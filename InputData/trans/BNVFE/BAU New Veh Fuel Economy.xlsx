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NVFE\"/>
    </mc:Choice>
  </mc:AlternateContent>
  <xr:revisionPtr revIDLastSave="0" documentId="13_ncr:1_{0295E1B5-04B4-495D-BAC3-233A5CC68C05}" xr6:coauthVersionLast="47" xr6:coauthVersionMax="47" xr10:uidLastSave="{00000000-0000-0000-0000-000000000000}"/>
  <bookViews>
    <workbookView xWindow="-28050" yWindow="1860" windowWidth="27045" windowHeight="14940" activeTab="1" xr2:uid="{D850E225-7E57-43A0-BCF6-AD6641E8498D}"/>
  </bookViews>
  <sheets>
    <sheet name="About" sheetId="1" r:id="rId1"/>
    <sheet name="SYFAFE psgr" sheetId="2" r:id="rId2"/>
    <sheet name="SYFAFE frgt" sheetId="3" r:id="rId3"/>
    <sheet name="US-LDVs-psgr" sheetId="14" r:id="rId4"/>
    <sheet name="US-LDVs-frgt" sheetId="15" r:id="rId5"/>
    <sheet name="US-HDVs-psgr" sheetId="16" r:id="rId6"/>
    <sheet name="US-HDVs-frgt" sheetId="17" r:id="rId7"/>
    <sheet name="US-aircraft-psgr" sheetId="18" r:id="rId8"/>
    <sheet name="US-aircraft-frgt" sheetId="19" r:id="rId9"/>
    <sheet name="US-rail-psgr" sheetId="11" r:id="rId10"/>
    <sheet name="US-rail-frgt" sheetId="10" r:id="rId11"/>
    <sheet name="US-ships-psgr" sheetId="5" r:id="rId12"/>
    <sheet name="US-ships-frgt" sheetId="6" r:id="rId13"/>
    <sheet name="US-motorbikes-psgr" sheetId="20" r:id="rId14"/>
    <sheet name="US-motorbikes-frgt" sheetId="21" r:id="rId15"/>
    <sheet name="Calibration" sheetId="4" r:id="rId16"/>
    <sheet name="CAGR" sheetId="9" r:id="rId17"/>
    <sheet name="SK_fuel econ" sheetId="31" r:id="rId18"/>
    <sheet name="Result&gt;&gt;" sheetId="30" r:id="rId19"/>
    <sheet name="BNVFE-LDVs-psgr" sheetId="23" r:id="rId20"/>
    <sheet name="BNVFE-LDVs-frgt" sheetId="22" r:id="rId21"/>
    <sheet name="BNVFE-HDVs-psgr" sheetId="27" r:id="rId22"/>
    <sheet name="BNVFE-HDVs-frgt" sheetId="28" r:id="rId23"/>
    <sheet name="BNVFE-aircraft-psgr" sheetId="29" r:id="rId24"/>
    <sheet name="BNVFE-aircraft-frgt" sheetId="26" r:id="rId25"/>
    <sheet name="BNVFE-rail-psgr" sheetId="13" r:id="rId26"/>
    <sheet name="BNVFE-rail-frgt" sheetId="12" r:id="rId27"/>
    <sheet name="BNVFE-ships-psgr" sheetId="8" r:id="rId28"/>
    <sheet name="BNVFE-ships-frgt" sheetId="7" r:id="rId29"/>
    <sheet name="BNVFE-motorbikes-psgr" sheetId="24" r:id="rId30"/>
    <sheet name="BNVFE-motorbikes-frgt" sheetId="25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31" l="1"/>
  <c r="F40" i="31"/>
  <c r="G40" i="31"/>
  <c r="H40" i="31"/>
  <c r="I40" i="31"/>
  <c r="J40" i="31"/>
  <c r="K40" i="31"/>
  <c r="L40" i="31"/>
  <c r="M40" i="31"/>
  <c r="N40" i="31"/>
  <c r="O40" i="31"/>
  <c r="P40" i="31"/>
  <c r="Q40" i="31"/>
  <c r="R40" i="31"/>
  <c r="S40" i="31"/>
  <c r="T40" i="31"/>
  <c r="U40" i="31"/>
  <c r="V40" i="31"/>
  <c r="W40" i="31"/>
  <c r="X40" i="31"/>
  <c r="Y40" i="31"/>
  <c r="Z40" i="31"/>
  <c r="AA40" i="31"/>
  <c r="AB40" i="31"/>
  <c r="AC40" i="31"/>
  <c r="AD40" i="31"/>
  <c r="AE40" i="31"/>
  <c r="AF40" i="31"/>
  <c r="AG40" i="31"/>
  <c r="D40" i="31"/>
  <c r="C16" i="31" l="1"/>
  <c r="C20" i="31" s="1"/>
  <c r="C24" i="31" s="1"/>
  <c r="C15" i="31"/>
  <c r="C19" i="31" s="1"/>
  <c r="C23" i="31" s="1"/>
  <c r="C26" i="31" s="1"/>
  <c r="B8" i="25" l="1"/>
  <c r="C8" i="25" s="1"/>
  <c r="D8" i="25" s="1"/>
  <c r="E8" i="25" s="1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B4" i="25"/>
  <c r="C4" i="25" s="1"/>
  <c r="D4" i="25" s="1"/>
  <c r="E4" i="25" s="1"/>
  <c r="F4" i="25" s="1"/>
  <c r="G4" i="25" s="1"/>
  <c r="H4" i="25" s="1"/>
  <c r="I4" i="25" s="1"/>
  <c r="J4" i="25" s="1"/>
  <c r="K4" i="25" s="1"/>
  <c r="L4" i="25" s="1"/>
  <c r="M4" i="25" s="1"/>
  <c r="N4" i="25" s="1"/>
  <c r="O4" i="25" s="1"/>
  <c r="P4" i="25" s="1"/>
  <c r="Q4" i="25" s="1"/>
  <c r="R4" i="25" s="1"/>
  <c r="S4" i="25" s="1"/>
  <c r="T4" i="25" s="1"/>
  <c r="U4" i="25" s="1"/>
  <c r="V4" i="25" s="1"/>
  <c r="W4" i="25" s="1"/>
  <c r="X4" i="25" s="1"/>
  <c r="Y4" i="25" s="1"/>
  <c r="Z4" i="25" s="1"/>
  <c r="AA4" i="25" s="1"/>
  <c r="AB4" i="25" s="1"/>
  <c r="AC4" i="25" s="1"/>
  <c r="AD4" i="25" s="1"/>
  <c r="AE4" i="25" s="1"/>
  <c r="AF4" i="25" s="1"/>
  <c r="B2" i="25"/>
  <c r="C2" i="25" s="1"/>
  <c r="D2" i="25" s="1"/>
  <c r="E2" i="25" s="1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D3" i="24"/>
  <c r="E3" i="24"/>
  <c r="F3" i="24"/>
  <c r="G3" i="24" s="1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D5" i="24"/>
  <c r="E5" i="24" s="1"/>
  <c r="F5" i="24" s="1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D6" i="24"/>
  <c r="E6" i="24"/>
  <c r="F6" i="24"/>
  <c r="G6" i="24" s="1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C3" i="24"/>
  <c r="C5" i="24"/>
  <c r="C6" i="24"/>
  <c r="C7" i="24"/>
  <c r="D7" i="24" s="1"/>
  <c r="E7" i="24" s="1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B8" i="24"/>
  <c r="C8" i="24" s="1"/>
  <c r="D8" i="24" s="1"/>
  <c r="E8" i="24" s="1"/>
  <c r="F8" i="24" s="1"/>
  <c r="G8" i="24" s="1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B4" i="24"/>
  <c r="C4" i="24" s="1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B2" i="24"/>
  <c r="C2" i="24" s="1"/>
  <c r="D2" i="24" s="1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D19" i="4"/>
  <c r="C19" i="4"/>
  <c r="B19" i="4"/>
  <c r="D18" i="4"/>
  <c r="C18" i="4"/>
  <c r="C20" i="4" s="1"/>
  <c r="B18" i="4"/>
  <c r="B20" i="4" s="1"/>
  <c r="B21" i="4"/>
  <c r="C21" i="4"/>
  <c r="D20" i="4"/>
  <c r="F25" i="4"/>
  <c r="F27" i="4" s="1"/>
  <c r="E25" i="4"/>
  <c r="D25" i="4"/>
  <c r="D27" i="4" s="1"/>
  <c r="C25" i="4"/>
  <c r="B25" i="4"/>
  <c r="F24" i="4"/>
  <c r="E24" i="4"/>
  <c r="D24" i="4"/>
  <c r="D26" i="4" s="1"/>
  <c r="C24" i="4"/>
  <c r="B24" i="4"/>
  <c r="D21" i="4" l="1"/>
  <c r="E26" i="4"/>
  <c r="E27" i="4"/>
  <c r="C27" i="4"/>
  <c r="F26" i="4"/>
  <c r="B27" i="4"/>
  <c r="C26" i="4"/>
  <c r="B26" i="4"/>
  <c r="D42" i="4"/>
  <c r="C42" i="4"/>
  <c r="D44" i="4" s="1"/>
  <c r="B42" i="4"/>
  <c r="D41" i="4"/>
  <c r="C41" i="4"/>
  <c r="C43" i="4" s="1"/>
  <c r="B41" i="4"/>
  <c r="B43" i="4" s="1"/>
  <c r="D36" i="4"/>
  <c r="C36" i="4"/>
  <c r="B36" i="4"/>
  <c r="D35" i="4"/>
  <c r="C35" i="4"/>
  <c r="C37" i="4" s="1"/>
  <c r="B35" i="4"/>
  <c r="D31" i="4"/>
  <c r="D30" i="4"/>
  <c r="C31" i="4"/>
  <c r="C32" i="4" s="1"/>
  <c r="C30" i="4"/>
  <c r="B31" i="4"/>
  <c r="B30" i="4"/>
  <c r="B3" i="25"/>
  <c r="C3" i="25" s="1"/>
  <c r="D3" i="25" s="1"/>
  <c r="E3" i="25" s="1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B5" i="25"/>
  <c r="C5" i="25" s="1"/>
  <c r="D5" i="25" s="1"/>
  <c r="E5" i="25" s="1"/>
  <c r="F5" i="25" s="1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B6" i="25"/>
  <c r="C6" i="25" s="1"/>
  <c r="D6" i="25" s="1"/>
  <c r="E6" i="25" s="1"/>
  <c r="F6" i="25" s="1"/>
  <c r="G6" i="25" s="1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6" i="25" s="1"/>
  <c r="AA6" i="25" s="1"/>
  <c r="AB6" i="25" s="1"/>
  <c r="AC6" i="25" s="1"/>
  <c r="AD6" i="25" s="1"/>
  <c r="AE6" i="25" s="1"/>
  <c r="AF6" i="25" s="1"/>
  <c r="B7" i="25"/>
  <c r="C7" i="25" s="1"/>
  <c r="D7" i="25" s="1"/>
  <c r="E7" i="25" s="1"/>
  <c r="F7" i="25" s="1"/>
  <c r="G7" i="25" s="1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7" i="25" s="1"/>
  <c r="AA7" i="25" s="1"/>
  <c r="AB7" i="25" s="1"/>
  <c r="AC7" i="25" s="1"/>
  <c r="AD7" i="25" s="1"/>
  <c r="AE7" i="25" s="1"/>
  <c r="AF7" i="25" s="1"/>
  <c r="B37" i="4" l="1"/>
  <c r="D43" i="4"/>
  <c r="D37" i="4"/>
  <c r="B38" i="4"/>
  <c r="D32" i="4"/>
  <c r="B32" i="4"/>
  <c r="C38" i="4"/>
  <c r="C44" i="4"/>
  <c r="D38" i="4"/>
  <c r="B44" i="4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T3" i="26"/>
  <c r="U3" i="26"/>
  <c r="V3" i="26"/>
  <c r="W3" i="26"/>
  <c r="X3" i="26"/>
  <c r="Y3" i="26"/>
  <c r="Z3" i="26"/>
  <c r="AA3" i="26"/>
  <c r="AB3" i="26"/>
  <c r="AC3" i="26"/>
  <c r="AD3" i="26"/>
  <c r="AE3" i="26"/>
  <c r="AF3" i="26"/>
  <c r="C4" i="26"/>
  <c r="D4" i="26"/>
  <c r="E4" i="26"/>
  <c r="F4" i="26"/>
  <c r="G4" i="26"/>
  <c r="H4" i="26"/>
  <c r="I4" i="26"/>
  <c r="J4" i="26"/>
  <c r="K4" i="26"/>
  <c r="L4" i="26"/>
  <c r="M4" i="26"/>
  <c r="N4" i="26"/>
  <c r="O4" i="26"/>
  <c r="P4" i="26"/>
  <c r="Q4" i="26"/>
  <c r="R4" i="26"/>
  <c r="S4" i="26"/>
  <c r="T4" i="26"/>
  <c r="U4" i="26"/>
  <c r="V4" i="26"/>
  <c r="W4" i="26"/>
  <c r="X4" i="26"/>
  <c r="Y4" i="26"/>
  <c r="Z4" i="26"/>
  <c r="AA4" i="26"/>
  <c r="AB4" i="26"/>
  <c r="AC4" i="26"/>
  <c r="AD4" i="26"/>
  <c r="AE4" i="26"/>
  <c r="AF4" i="26"/>
  <c r="C6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Q6" i="26"/>
  <c r="R6" i="26"/>
  <c r="S6" i="26"/>
  <c r="T6" i="26"/>
  <c r="U6" i="26"/>
  <c r="V6" i="26"/>
  <c r="W6" i="26"/>
  <c r="X6" i="26"/>
  <c r="Y6" i="26"/>
  <c r="Z6" i="26"/>
  <c r="AA6" i="26"/>
  <c r="AB6" i="26"/>
  <c r="AC6" i="26"/>
  <c r="AD6" i="26"/>
  <c r="AE6" i="26"/>
  <c r="AF6" i="26"/>
  <c r="C7" i="26"/>
  <c r="D7" i="26"/>
  <c r="E7" i="26"/>
  <c r="F7" i="26"/>
  <c r="G7" i="26"/>
  <c r="H7" i="26"/>
  <c r="I7" i="26"/>
  <c r="J7" i="26"/>
  <c r="K7" i="26"/>
  <c r="L7" i="26"/>
  <c r="M7" i="26"/>
  <c r="N7" i="26"/>
  <c r="O7" i="26"/>
  <c r="P7" i="26"/>
  <c r="Q7" i="26"/>
  <c r="R7" i="26"/>
  <c r="S7" i="26"/>
  <c r="T7" i="26"/>
  <c r="U7" i="26"/>
  <c r="V7" i="26"/>
  <c r="W7" i="26"/>
  <c r="X7" i="26"/>
  <c r="Y7" i="26"/>
  <c r="Z7" i="26"/>
  <c r="AA7" i="26"/>
  <c r="AB7" i="26"/>
  <c r="AC7" i="26"/>
  <c r="AD7" i="26"/>
  <c r="AE7" i="26"/>
  <c r="AF7" i="26"/>
  <c r="B3" i="26"/>
  <c r="B4" i="26"/>
  <c r="B6" i="26"/>
  <c r="B7" i="26"/>
  <c r="C3" i="29"/>
  <c r="D3" i="29"/>
  <c r="E3" i="29"/>
  <c r="F3" i="29"/>
  <c r="G3" i="29"/>
  <c r="H3" i="29"/>
  <c r="I3" i="29"/>
  <c r="J3" i="29"/>
  <c r="K3" i="29"/>
  <c r="L3" i="29"/>
  <c r="M3" i="29"/>
  <c r="N3" i="29"/>
  <c r="O3" i="29"/>
  <c r="P3" i="29"/>
  <c r="Q3" i="29"/>
  <c r="R3" i="29"/>
  <c r="S3" i="29"/>
  <c r="T3" i="29"/>
  <c r="U3" i="29"/>
  <c r="V3" i="29"/>
  <c r="W3" i="29"/>
  <c r="X3" i="29"/>
  <c r="Y3" i="29"/>
  <c r="Z3" i="29"/>
  <c r="AA3" i="29"/>
  <c r="AB3" i="29"/>
  <c r="AC3" i="29"/>
  <c r="AD3" i="29"/>
  <c r="AE3" i="29"/>
  <c r="AF3" i="29"/>
  <c r="C4" i="29"/>
  <c r="D4" i="29"/>
  <c r="E4" i="29"/>
  <c r="F4" i="29"/>
  <c r="G4" i="29"/>
  <c r="H4" i="29"/>
  <c r="I4" i="29"/>
  <c r="J4" i="29"/>
  <c r="K4" i="29"/>
  <c r="L4" i="29"/>
  <c r="M4" i="29"/>
  <c r="N4" i="29"/>
  <c r="O4" i="29"/>
  <c r="P4" i="29"/>
  <c r="Q4" i="29"/>
  <c r="R4" i="29"/>
  <c r="S4" i="29"/>
  <c r="T4" i="29"/>
  <c r="U4" i="29"/>
  <c r="V4" i="29"/>
  <c r="W4" i="29"/>
  <c r="X4" i="29"/>
  <c r="Y4" i="29"/>
  <c r="Z4" i="29"/>
  <c r="AA4" i="29"/>
  <c r="AB4" i="29"/>
  <c r="AC4" i="29"/>
  <c r="AD4" i="29"/>
  <c r="AE4" i="29"/>
  <c r="AF4" i="29"/>
  <c r="C6" i="29"/>
  <c r="D6" i="29"/>
  <c r="E6" i="29"/>
  <c r="F6" i="29"/>
  <c r="G6" i="29"/>
  <c r="H6" i="29"/>
  <c r="I6" i="29"/>
  <c r="J6" i="29"/>
  <c r="K6" i="29"/>
  <c r="L6" i="29"/>
  <c r="M6" i="29"/>
  <c r="N6" i="29"/>
  <c r="O6" i="29"/>
  <c r="P6" i="29"/>
  <c r="Q6" i="29"/>
  <c r="R6" i="29"/>
  <c r="S6" i="29"/>
  <c r="T6" i="29"/>
  <c r="U6" i="29"/>
  <c r="V6" i="29"/>
  <c r="W6" i="29"/>
  <c r="X6" i="29"/>
  <c r="Y6" i="29"/>
  <c r="Z6" i="29"/>
  <c r="AA6" i="29"/>
  <c r="AB6" i="29"/>
  <c r="AC6" i="29"/>
  <c r="AD6" i="29"/>
  <c r="AE6" i="29"/>
  <c r="AF6" i="29"/>
  <c r="C7" i="29"/>
  <c r="D7" i="29"/>
  <c r="E7" i="29"/>
  <c r="F7" i="29"/>
  <c r="G7" i="29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7" i="29"/>
  <c r="V7" i="29"/>
  <c r="W7" i="29"/>
  <c r="X7" i="29"/>
  <c r="Y7" i="29"/>
  <c r="Z7" i="29"/>
  <c r="AA7" i="29"/>
  <c r="AB7" i="29"/>
  <c r="AC7" i="29"/>
  <c r="AD7" i="29"/>
  <c r="AE7" i="29"/>
  <c r="AF7" i="29"/>
  <c r="B3" i="29"/>
  <c r="B4" i="29"/>
  <c r="B6" i="29"/>
  <c r="B7" i="29"/>
  <c r="D22" i="9" l="1"/>
  <c r="C80" i="9" l="1"/>
  <c r="C81" i="9"/>
  <c r="C82" i="9"/>
  <c r="C83" i="9"/>
  <c r="C84" i="9"/>
  <c r="C85" i="9"/>
  <c r="C79" i="9"/>
  <c r="C73" i="9"/>
  <c r="C74" i="9"/>
  <c r="C75" i="9"/>
  <c r="C76" i="9"/>
  <c r="C77" i="9"/>
  <c r="C78" i="9"/>
  <c r="C72" i="9"/>
  <c r="C66" i="9"/>
  <c r="C67" i="9"/>
  <c r="C68" i="9"/>
  <c r="C69" i="9"/>
  <c r="C70" i="9"/>
  <c r="C71" i="9"/>
  <c r="C65" i="9"/>
  <c r="C59" i="9"/>
  <c r="C60" i="9"/>
  <c r="C61" i="9"/>
  <c r="C62" i="9"/>
  <c r="C63" i="9"/>
  <c r="C64" i="9"/>
  <c r="C58" i="9"/>
  <c r="C52" i="9"/>
  <c r="C53" i="9"/>
  <c r="C54" i="9"/>
  <c r="C55" i="9"/>
  <c r="C56" i="9"/>
  <c r="C57" i="9"/>
  <c r="C51" i="9"/>
  <c r="C45" i="9"/>
  <c r="C46" i="9"/>
  <c r="C47" i="9"/>
  <c r="C48" i="9"/>
  <c r="C49" i="9"/>
  <c r="C50" i="9"/>
  <c r="C44" i="9"/>
  <c r="C38" i="9"/>
  <c r="C39" i="9"/>
  <c r="C40" i="9"/>
  <c r="B5" i="26" s="1"/>
  <c r="C41" i="9"/>
  <c r="C42" i="9"/>
  <c r="C43" i="9"/>
  <c r="C37" i="9"/>
  <c r="C31" i="9"/>
  <c r="C32" i="9"/>
  <c r="C33" i="9"/>
  <c r="B5" i="29" s="1"/>
  <c r="C34" i="9"/>
  <c r="C35" i="9"/>
  <c r="C36" i="9"/>
  <c r="C30" i="9"/>
  <c r="C24" i="9"/>
  <c r="C25" i="9"/>
  <c r="C26" i="9"/>
  <c r="C27" i="9"/>
  <c r="C28" i="9"/>
  <c r="C29" i="9"/>
  <c r="C23" i="9"/>
  <c r="C17" i="9"/>
  <c r="C18" i="9"/>
  <c r="C19" i="9"/>
  <c r="C20" i="9"/>
  <c r="C21" i="9"/>
  <c r="C22" i="9"/>
  <c r="C16" i="9"/>
  <c r="C10" i="9"/>
  <c r="C11" i="9"/>
  <c r="C12" i="9"/>
  <c r="C13" i="9"/>
  <c r="C14" i="9"/>
  <c r="C15" i="9"/>
  <c r="C9" i="9"/>
  <c r="C3" i="9"/>
  <c r="C4" i="9"/>
  <c r="B4" i="23" s="1"/>
  <c r="C4" i="23" s="1"/>
  <c r="D4" i="23" s="1"/>
  <c r="E4" i="23" s="1"/>
  <c r="F4" i="23" s="1"/>
  <c r="G4" i="23" s="1"/>
  <c r="H4" i="23" s="1"/>
  <c r="I4" i="23" s="1"/>
  <c r="J4" i="23" s="1"/>
  <c r="K4" i="23" s="1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C5" i="9"/>
  <c r="C6" i="9"/>
  <c r="C7" i="9"/>
  <c r="C8" i="9"/>
  <c r="C2" i="9"/>
  <c r="C5" i="29" l="1"/>
  <c r="D5" i="29" s="1"/>
  <c r="E5" i="29" s="1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B8" i="29"/>
  <c r="C8" i="29" s="1"/>
  <c r="D8" i="29" s="1"/>
  <c r="E8" i="29" s="1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B2" i="29"/>
  <c r="C2" i="29" s="1"/>
  <c r="D2" i="29" s="1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R2" i="29" s="1"/>
  <c r="S2" i="29" s="1"/>
  <c r="T2" i="29" s="1"/>
  <c r="U2" i="29" s="1"/>
  <c r="V2" i="29" s="1"/>
  <c r="W2" i="29" s="1"/>
  <c r="X2" i="29" s="1"/>
  <c r="Y2" i="29" s="1"/>
  <c r="Z2" i="29" s="1"/>
  <c r="AA2" i="29" s="1"/>
  <c r="AB2" i="29" s="1"/>
  <c r="AC2" i="29" s="1"/>
  <c r="AD2" i="29" s="1"/>
  <c r="AE2" i="29" s="1"/>
  <c r="AF2" i="29" s="1"/>
  <c r="C5" i="26"/>
  <c r="D5" i="26" s="1"/>
  <c r="E5" i="26" s="1"/>
  <c r="F5" i="26" s="1"/>
  <c r="G5" i="26" s="1"/>
  <c r="H5" i="26" s="1"/>
  <c r="I5" i="26" s="1"/>
  <c r="J5" i="26" s="1"/>
  <c r="K5" i="26" s="1"/>
  <c r="L5" i="26" s="1"/>
  <c r="M5" i="26" s="1"/>
  <c r="N5" i="26" s="1"/>
  <c r="O5" i="26" s="1"/>
  <c r="P5" i="26" s="1"/>
  <c r="Q5" i="26" s="1"/>
  <c r="R5" i="26" s="1"/>
  <c r="S5" i="26" s="1"/>
  <c r="T5" i="26" s="1"/>
  <c r="U5" i="26" s="1"/>
  <c r="V5" i="26" s="1"/>
  <c r="W5" i="26" s="1"/>
  <c r="X5" i="26" s="1"/>
  <c r="Y5" i="26" s="1"/>
  <c r="Z5" i="26" s="1"/>
  <c r="AA5" i="26" s="1"/>
  <c r="AB5" i="26" s="1"/>
  <c r="AC5" i="26" s="1"/>
  <c r="AD5" i="26" s="1"/>
  <c r="AE5" i="26" s="1"/>
  <c r="AF5" i="26" s="1"/>
  <c r="B8" i="26"/>
  <c r="C8" i="26" s="1"/>
  <c r="D8" i="26" s="1"/>
  <c r="E8" i="26" s="1"/>
  <c r="F8" i="26" s="1"/>
  <c r="G8" i="26" s="1"/>
  <c r="H8" i="26" s="1"/>
  <c r="I8" i="26" s="1"/>
  <c r="J8" i="26" s="1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8" i="26" s="1"/>
  <c r="B2" i="26"/>
  <c r="C2" i="26" s="1"/>
  <c r="D2" i="26" s="1"/>
  <c r="E2" i="26" s="1"/>
  <c r="F2" i="26" s="1"/>
  <c r="G2" i="26" s="1"/>
  <c r="H2" i="26" s="1"/>
  <c r="I2" i="26" s="1"/>
  <c r="J2" i="26" s="1"/>
  <c r="K2" i="26" s="1"/>
  <c r="L2" i="26" s="1"/>
  <c r="M2" i="26" s="1"/>
  <c r="N2" i="26" s="1"/>
  <c r="O2" i="26" s="1"/>
  <c r="P2" i="26" s="1"/>
  <c r="Q2" i="26" s="1"/>
  <c r="R2" i="26" s="1"/>
  <c r="S2" i="26" s="1"/>
  <c r="T2" i="26" s="1"/>
  <c r="U2" i="26" s="1"/>
  <c r="V2" i="26" s="1"/>
  <c r="W2" i="26" s="1"/>
  <c r="X2" i="26" s="1"/>
  <c r="Y2" i="26" s="1"/>
  <c r="Z2" i="26" s="1"/>
  <c r="AA2" i="26" s="1"/>
  <c r="AB2" i="26" s="1"/>
  <c r="AC2" i="26" s="1"/>
  <c r="AD2" i="26" s="1"/>
  <c r="AE2" i="26" s="1"/>
  <c r="AF2" i="26" s="1"/>
  <c r="C7" i="8"/>
  <c r="O7" i="8"/>
  <c r="AA7" i="8"/>
  <c r="Z7" i="8"/>
  <c r="D7" i="8"/>
  <c r="P7" i="8"/>
  <c r="AB7" i="8"/>
  <c r="E7" i="8"/>
  <c r="Q7" i="8"/>
  <c r="AC7" i="8"/>
  <c r="L7" i="8"/>
  <c r="M7" i="8"/>
  <c r="N7" i="8"/>
  <c r="F7" i="8"/>
  <c r="R7" i="8"/>
  <c r="AD7" i="8"/>
  <c r="Y7" i="8"/>
  <c r="G7" i="8"/>
  <c r="S7" i="8"/>
  <c r="AE7" i="8"/>
  <c r="H7" i="8"/>
  <c r="T7" i="8"/>
  <c r="AF7" i="8"/>
  <c r="X7" i="8"/>
  <c r="I7" i="8"/>
  <c r="U7" i="8"/>
  <c r="B7" i="8"/>
  <c r="J7" i="8"/>
  <c r="V7" i="8"/>
  <c r="K7" i="8"/>
  <c r="W7" i="8"/>
  <c r="I6" i="8"/>
  <c r="U6" i="8"/>
  <c r="R6" i="8"/>
  <c r="G6" i="8"/>
  <c r="J6" i="8"/>
  <c r="V6" i="8"/>
  <c r="AD6" i="8"/>
  <c r="T6" i="8"/>
  <c r="K6" i="8"/>
  <c r="W6" i="8"/>
  <c r="L6" i="8"/>
  <c r="X6" i="8"/>
  <c r="H6" i="8"/>
  <c r="M6" i="8"/>
  <c r="Y6" i="8"/>
  <c r="F6" i="8"/>
  <c r="N6" i="8"/>
  <c r="Z6" i="8"/>
  <c r="B6" i="8"/>
  <c r="AF6" i="8"/>
  <c r="C6" i="8"/>
  <c r="O6" i="8"/>
  <c r="AA6" i="8"/>
  <c r="D6" i="8"/>
  <c r="P6" i="8"/>
  <c r="AB6" i="8"/>
  <c r="AE6" i="8"/>
  <c r="E6" i="8"/>
  <c r="Q6" i="8"/>
  <c r="AC6" i="8"/>
  <c r="S6" i="8"/>
  <c r="F5" i="8"/>
  <c r="R5" i="8"/>
  <c r="G5" i="8"/>
  <c r="S5" i="8"/>
  <c r="H5" i="8"/>
  <c r="T5" i="8"/>
  <c r="I5" i="8"/>
  <c r="U5" i="8"/>
  <c r="AB5" i="8"/>
  <c r="J5" i="8"/>
  <c r="V5" i="8"/>
  <c r="Q5" i="8"/>
  <c r="K5" i="8"/>
  <c r="W5" i="8"/>
  <c r="AA5" i="8"/>
  <c r="L5" i="8"/>
  <c r="X5" i="8"/>
  <c r="M5" i="8"/>
  <c r="Y5" i="8"/>
  <c r="AE5" i="8"/>
  <c r="N5" i="8"/>
  <c r="Z5" i="8"/>
  <c r="AD5" i="8"/>
  <c r="C5" i="8"/>
  <c r="O5" i="8"/>
  <c r="AF5" i="8"/>
  <c r="D5" i="8"/>
  <c r="P5" i="8"/>
  <c r="AC5" i="8"/>
  <c r="E5" i="8"/>
  <c r="B5" i="8"/>
  <c r="C4" i="8"/>
  <c r="O4" i="8"/>
  <c r="AA4" i="8"/>
  <c r="D4" i="8"/>
  <c r="P4" i="8"/>
  <c r="AB4" i="8"/>
  <c r="Y4" i="8"/>
  <c r="E4" i="8"/>
  <c r="Q4" i="8"/>
  <c r="AC4" i="8"/>
  <c r="F4" i="8"/>
  <c r="R4" i="8"/>
  <c r="AD4" i="8"/>
  <c r="B4" i="8"/>
  <c r="G4" i="8"/>
  <c r="S4" i="8"/>
  <c r="AE4" i="8"/>
  <c r="Z4" i="8"/>
  <c r="H4" i="8"/>
  <c r="T4" i="8"/>
  <c r="AF4" i="8"/>
  <c r="L4" i="8"/>
  <c r="M4" i="8"/>
  <c r="I4" i="8"/>
  <c r="U4" i="8"/>
  <c r="N4" i="8"/>
  <c r="J4" i="8"/>
  <c r="V4" i="8"/>
  <c r="X4" i="8"/>
  <c r="K4" i="8"/>
  <c r="W4" i="8"/>
  <c r="I3" i="8"/>
  <c r="U3" i="8"/>
  <c r="T3" i="8"/>
  <c r="J3" i="8"/>
  <c r="V3" i="8"/>
  <c r="K3" i="8"/>
  <c r="W3" i="8"/>
  <c r="B3" i="8"/>
  <c r="L3" i="8"/>
  <c r="X3" i="8"/>
  <c r="F3" i="8"/>
  <c r="G3" i="8"/>
  <c r="M3" i="8"/>
  <c r="Y3" i="8"/>
  <c r="AE3" i="8"/>
  <c r="N3" i="8"/>
  <c r="Z3" i="8"/>
  <c r="C3" i="8"/>
  <c r="O3" i="8"/>
  <c r="AA3" i="8"/>
  <c r="R3" i="8"/>
  <c r="S3" i="8"/>
  <c r="D3" i="8"/>
  <c r="P3" i="8"/>
  <c r="AB3" i="8"/>
  <c r="H3" i="8"/>
  <c r="E3" i="8"/>
  <c r="Q3" i="8"/>
  <c r="AC3" i="8"/>
  <c r="AD3" i="8"/>
  <c r="AF3" i="8"/>
  <c r="B4" i="7"/>
  <c r="C4" i="7" s="1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B2" i="8" l="1"/>
  <c r="C2" i="8" s="1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B8" i="8"/>
  <c r="C8" i="8" s="1"/>
  <c r="D8" i="8" s="1"/>
  <c r="E8" i="8" s="1"/>
  <c r="F8" i="8" s="1"/>
  <c r="G8" i="8" s="1"/>
  <c r="H8" i="8" s="1"/>
  <c r="I8" i="8" s="1"/>
  <c r="J8" i="8" s="1"/>
  <c r="K8" i="8" s="1"/>
  <c r="L8" i="8" s="1"/>
  <c r="M8" i="8" s="1"/>
  <c r="N8" i="8" s="1"/>
  <c r="O8" i="8" s="1"/>
  <c r="P8" i="8" s="1"/>
  <c r="Q8" i="8" s="1"/>
  <c r="R8" i="8" s="1"/>
  <c r="S8" i="8" s="1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B3" i="13"/>
  <c r="C3" i="13" s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B4" i="13"/>
  <c r="C4" i="13" s="1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B5" i="13"/>
  <c r="B6" i="13"/>
  <c r="C6" i="13" s="1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B7" i="13"/>
  <c r="C7" i="13" s="1"/>
  <c r="D7" i="13" s="1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B2" i="13"/>
  <c r="C2" i="13" s="1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B3" i="7"/>
  <c r="B6" i="7"/>
  <c r="B7" i="7"/>
  <c r="C5" i="13" l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B8" i="13"/>
  <c r="C8" i="13" s="1"/>
  <c r="D8" i="13" s="1"/>
  <c r="E8" i="13" s="1"/>
  <c r="F8" i="13" s="1"/>
  <c r="G8" i="13" s="1"/>
  <c r="H8" i="13" s="1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G6" i="7"/>
  <c r="S6" i="7"/>
  <c r="AE6" i="7"/>
  <c r="T6" i="7"/>
  <c r="I6" i="7"/>
  <c r="U6" i="7"/>
  <c r="J6" i="7"/>
  <c r="V6" i="7"/>
  <c r="E6" i="7"/>
  <c r="K6" i="7"/>
  <c r="W6" i="7"/>
  <c r="AC6" i="7"/>
  <c r="L6" i="7"/>
  <c r="X6" i="7"/>
  <c r="D6" i="7"/>
  <c r="M6" i="7"/>
  <c r="Y6" i="7"/>
  <c r="P6" i="7"/>
  <c r="Q6" i="7"/>
  <c r="N6" i="7"/>
  <c r="Z6" i="7"/>
  <c r="C6" i="7"/>
  <c r="O6" i="7"/>
  <c r="AA6" i="7"/>
  <c r="AB6" i="7"/>
  <c r="F6" i="7"/>
  <c r="R6" i="7"/>
  <c r="AD6" i="7"/>
  <c r="H6" i="7"/>
  <c r="AF6" i="7"/>
  <c r="B6" i="12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B5" i="12"/>
  <c r="C5" i="12" s="1"/>
  <c r="B4" i="12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M7" i="7"/>
  <c r="Y7" i="7"/>
  <c r="N7" i="7"/>
  <c r="Z7" i="7"/>
  <c r="C7" i="7"/>
  <c r="O7" i="7"/>
  <c r="AA7" i="7"/>
  <c r="D7" i="7"/>
  <c r="AB7" i="7"/>
  <c r="K7" i="7"/>
  <c r="P7" i="7"/>
  <c r="E7" i="7"/>
  <c r="Q7" i="7"/>
  <c r="AC7" i="7"/>
  <c r="V7" i="7"/>
  <c r="F7" i="7"/>
  <c r="R7" i="7"/>
  <c r="AD7" i="7"/>
  <c r="G7" i="7"/>
  <c r="S7" i="7"/>
  <c r="AE7" i="7"/>
  <c r="H7" i="7"/>
  <c r="T7" i="7"/>
  <c r="AF7" i="7"/>
  <c r="J7" i="7"/>
  <c r="I7" i="7"/>
  <c r="U7" i="7"/>
  <c r="L7" i="7"/>
  <c r="X7" i="7"/>
  <c r="W7" i="7"/>
  <c r="B7" i="12"/>
  <c r="C7" i="12" s="1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M3" i="7"/>
  <c r="Y3" i="7"/>
  <c r="N3" i="7"/>
  <c r="Z3" i="7"/>
  <c r="C3" i="7"/>
  <c r="O3" i="7"/>
  <c r="AA3" i="7"/>
  <c r="W3" i="7"/>
  <c r="D3" i="7"/>
  <c r="P3" i="7"/>
  <c r="AB3" i="7"/>
  <c r="E3" i="7"/>
  <c r="Q3" i="7"/>
  <c r="AC3" i="7"/>
  <c r="J3" i="7"/>
  <c r="K3" i="7"/>
  <c r="F3" i="7"/>
  <c r="R3" i="7"/>
  <c r="AD3" i="7"/>
  <c r="G3" i="7"/>
  <c r="S3" i="7"/>
  <c r="AE3" i="7"/>
  <c r="H3" i="7"/>
  <c r="T3" i="7"/>
  <c r="AF3" i="7"/>
  <c r="V3" i="7"/>
  <c r="I3" i="7"/>
  <c r="U3" i="7"/>
  <c r="L3" i="7"/>
  <c r="X3" i="7"/>
  <c r="B3" i="12"/>
  <c r="C3" i="12" s="1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B2" i="12"/>
  <c r="C2" i="12" s="1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D5" i="12" l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B8" i="12"/>
  <c r="C8" i="12" s="1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B5" i="7"/>
  <c r="C5" i="7" l="1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B8" i="7"/>
  <c r="C8" i="7" s="1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B2" i="7"/>
  <c r="C2" i="7" s="1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B3" i="27" l="1"/>
  <c r="C3" i="27" s="1"/>
  <c r="D3" i="27" s="1"/>
  <c r="E3" i="27" s="1"/>
  <c r="F3" i="27" s="1"/>
  <c r="G3" i="27" s="1"/>
  <c r="H3" i="27" s="1"/>
  <c r="I3" i="27" s="1"/>
  <c r="J3" i="27" s="1"/>
  <c r="K3" i="27" s="1"/>
  <c r="L3" i="27" s="1"/>
  <c r="M3" i="27" s="1"/>
  <c r="N3" i="27" s="1"/>
  <c r="O3" i="27" s="1"/>
  <c r="P3" i="27" s="1"/>
  <c r="Q3" i="27" s="1"/>
  <c r="R3" i="27" s="1"/>
  <c r="S3" i="27" s="1"/>
  <c r="T3" i="27" s="1"/>
  <c r="U3" i="27" s="1"/>
  <c r="V3" i="27" s="1"/>
  <c r="W3" i="27" s="1"/>
  <c r="X3" i="27" s="1"/>
  <c r="Y3" i="27" s="1"/>
  <c r="Z3" i="27" s="1"/>
  <c r="AA3" i="27" s="1"/>
  <c r="AB3" i="27" s="1"/>
  <c r="AC3" i="27" s="1"/>
  <c r="AD3" i="27" s="1"/>
  <c r="AE3" i="27" s="1"/>
  <c r="AF3" i="27" s="1"/>
  <c r="B3" i="22" l="1"/>
  <c r="C3" i="22" s="1"/>
  <c r="D3" i="22" s="1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B2" i="27"/>
  <c r="C2" i="27" s="1"/>
  <c r="D2" i="27" s="1"/>
  <c r="E2" i="27" s="1"/>
  <c r="F2" i="27" s="1"/>
  <c r="G2" i="27" s="1"/>
  <c r="H2" i="27" s="1"/>
  <c r="I2" i="27" s="1"/>
  <c r="J2" i="27" s="1"/>
  <c r="K2" i="27" s="1"/>
  <c r="L2" i="27" s="1"/>
  <c r="M2" i="27" s="1"/>
  <c r="N2" i="27" s="1"/>
  <c r="O2" i="27" s="1"/>
  <c r="P2" i="27" s="1"/>
  <c r="Q2" i="27" s="1"/>
  <c r="R2" i="27" s="1"/>
  <c r="S2" i="27" s="1"/>
  <c r="T2" i="27" s="1"/>
  <c r="U2" i="27" s="1"/>
  <c r="V2" i="27" s="1"/>
  <c r="W2" i="27" s="1"/>
  <c r="X2" i="27" s="1"/>
  <c r="Y2" i="27" s="1"/>
  <c r="Z2" i="27" s="1"/>
  <c r="AA2" i="27" s="1"/>
  <c r="AB2" i="27" s="1"/>
  <c r="AC2" i="27" s="1"/>
  <c r="AD2" i="27" s="1"/>
  <c r="AE2" i="27" s="1"/>
  <c r="AF2" i="27" s="1"/>
  <c r="B5" i="22"/>
  <c r="B7" i="23"/>
  <c r="C7" i="23" s="1"/>
  <c r="D7" i="23" s="1"/>
  <c r="E7" i="23" s="1"/>
  <c r="F7" i="23" s="1"/>
  <c r="G7" i="23" s="1"/>
  <c r="H7" i="23" s="1"/>
  <c r="I7" i="23" s="1"/>
  <c r="J7" i="23" s="1"/>
  <c r="K7" i="23" s="1"/>
  <c r="L7" i="23" s="1"/>
  <c r="M7" i="23" s="1"/>
  <c r="N7" i="23" s="1"/>
  <c r="O7" i="23" s="1"/>
  <c r="P7" i="23" s="1"/>
  <c r="Q7" i="23" s="1"/>
  <c r="R7" i="23" s="1"/>
  <c r="S7" i="23" s="1"/>
  <c r="T7" i="23" s="1"/>
  <c r="U7" i="23" s="1"/>
  <c r="V7" i="23" s="1"/>
  <c r="W7" i="23" s="1"/>
  <c r="X7" i="23" s="1"/>
  <c r="Y7" i="23" s="1"/>
  <c r="Z7" i="23" s="1"/>
  <c r="AA7" i="23" s="1"/>
  <c r="AB7" i="23" s="1"/>
  <c r="AC7" i="23" s="1"/>
  <c r="AD7" i="23" s="1"/>
  <c r="AE7" i="23" s="1"/>
  <c r="AF7" i="23" s="1"/>
  <c r="B7" i="22"/>
  <c r="C7" i="22" s="1"/>
  <c r="D7" i="22" s="1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B3" i="23"/>
  <c r="C3" i="23" s="1"/>
  <c r="D3" i="23" s="1"/>
  <c r="E3" i="23" s="1"/>
  <c r="F3" i="23" s="1"/>
  <c r="G3" i="23" s="1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B6" i="27"/>
  <c r="C6" i="27" s="1"/>
  <c r="D6" i="27" s="1"/>
  <c r="E6" i="27" s="1"/>
  <c r="F6" i="27" s="1"/>
  <c r="G6" i="27" s="1"/>
  <c r="H6" i="27" s="1"/>
  <c r="I6" i="27" s="1"/>
  <c r="J6" i="27" s="1"/>
  <c r="K6" i="27" s="1"/>
  <c r="L6" i="27" s="1"/>
  <c r="M6" i="27" s="1"/>
  <c r="N6" i="27" s="1"/>
  <c r="O6" i="27" s="1"/>
  <c r="P6" i="27" s="1"/>
  <c r="Q6" i="27" s="1"/>
  <c r="R6" i="27" s="1"/>
  <c r="S6" i="27" s="1"/>
  <c r="T6" i="27" s="1"/>
  <c r="U6" i="27" s="1"/>
  <c r="V6" i="27" s="1"/>
  <c r="W6" i="27" s="1"/>
  <c r="X6" i="27" s="1"/>
  <c r="Y6" i="27" s="1"/>
  <c r="Z6" i="27" s="1"/>
  <c r="AA6" i="27" s="1"/>
  <c r="AB6" i="27" s="1"/>
  <c r="AC6" i="27" s="1"/>
  <c r="AD6" i="27" s="1"/>
  <c r="AE6" i="27" s="1"/>
  <c r="AF6" i="27" s="1"/>
  <c r="B4" i="27"/>
  <c r="C4" i="27" s="1"/>
  <c r="D4" i="27" s="1"/>
  <c r="E4" i="27" s="1"/>
  <c r="F4" i="27" s="1"/>
  <c r="G4" i="27" s="1"/>
  <c r="H4" i="27" s="1"/>
  <c r="I4" i="27" s="1"/>
  <c r="J4" i="27" s="1"/>
  <c r="K4" i="27" s="1"/>
  <c r="L4" i="27" s="1"/>
  <c r="M4" i="27" s="1"/>
  <c r="N4" i="27" s="1"/>
  <c r="O4" i="27" s="1"/>
  <c r="P4" i="27" s="1"/>
  <c r="Q4" i="27" s="1"/>
  <c r="R4" i="27" s="1"/>
  <c r="S4" i="27" s="1"/>
  <c r="T4" i="27" s="1"/>
  <c r="U4" i="27" s="1"/>
  <c r="V4" i="27" s="1"/>
  <c r="W4" i="27" s="1"/>
  <c r="X4" i="27" s="1"/>
  <c r="Y4" i="27" s="1"/>
  <c r="Z4" i="27" s="1"/>
  <c r="AA4" i="27" s="1"/>
  <c r="AB4" i="27" s="1"/>
  <c r="AC4" i="27" s="1"/>
  <c r="AD4" i="27" s="1"/>
  <c r="AE4" i="27" s="1"/>
  <c r="AF4" i="27" s="1"/>
  <c r="B2" i="22"/>
  <c r="C2" i="22" s="1"/>
  <c r="D2" i="22" s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B7" i="28"/>
  <c r="C7" i="28" s="1"/>
  <c r="D7" i="28" s="1"/>
  <c r="E7" i="28" s="1"/>
  <c r="F7" i="28" s="1"/>
  <c r="G7" i="28" s="1"/>
  <c r="H7" i="28" s="1"/>
  <c r="I7" i="28" s="1"/>
  <c r="J7" i="28" s="1"/>
  <c r="K7" i="28" s="1"/>
  <c r="L7" i="28" s="1"/>
  <c r="M7" i="28" s="1"/>
  <c r="N7" i="28" s="1"/>
  <c r="O7" i="28" s="1"/>
  <c r="P7" i="28" s="1"/>
  <c r="Q7" i="28" s="1"/>
  <c r="R7" i="28" s="1"/>
  <c r="S7" i="28" s="1"/>
  <c r="T7" i="28" s="1"/>
  <c r="U7" i="28" s="1"/>
  <c r="V7" i="28" s="1"/>
  <c r="W7" i="28" s="1"/>
  <c r="X7" i="28" s="1"/>
  <c r="Y7" i="28" s="1"/>
  <c r="Z7" i="28" s="1"/>
  <c r="AA7" i="28" s="1"/>
  <c r="AB7" i="28" s="1"/>
  <c r="AC7" i="28" s="1"/>
  <c r="AD7" i="28" s="1"/>
  <c r="AE7" i="28" s="1"/>
  <c r="AF7" i="28" s="1"/>
  <c r="B5" i="23"/>
  <c r="C5" i="23" s="1"/>
  <c r="D5" i="23" s="1"/>
  <c r="E5" i="23" s="1"/>
  <c r="F5" i="23" s="1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B2" i="23"/>
  <c r="C2" i="23" s="1"/>
  <c r="D2" i="23" s="1"/>
  <c r="E2" i="23" s="1"/>
  <c r="F2" i="23" s="1"/>
  <c r="G2" i="23" s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B4" i="22"/>
  <c r="C4" i="22" s="1"/>
  <c r="D4" i="22" s="1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B2" i="28"/>
  <c r="C2" i="28" s="1"/>
  <c r="D2" i="28" s="1"/>
  <c r="E2" i="28" s="1"/>
  <c r="F2" i="28" s="1"/>
  <c r="G2" i="28" s="1"/>
  <c r="H2" i="28" s="1"/>
  <c r="I2" i="28" s="1"/>
  <c r="J2" i="28" s="1"/>
  <c r="K2" i="28" s="1"/>
  <c r="L2" i="28" s="1"/>
  <c r="M2" i="28" s="1"/>
  <c r="N2" i="28" s="1"/>
  <c r="O2" i="28" s="1"/>
  <c r="P2" i="28" s="1"/>
  <c r="Q2" i="28" s="1"/>
  <c r="R2" i="28" s="1"/>
  <c r="S2" i="28" s="1"/>
  <c r="T2" i="28" s="1"/>
  <c r="U2" i="28" s="1"/>
  <c r="V2" i="28" s="1"/>
  <c r="W2" i="28" s="1"/>
  <c r="X2" i="28" s="1"/>
  <c r="Y2" i="28" s="1"/>
  <c r="Z2" i="28" s="1"/>
  <c r="AA2" i="28" s="1"/>
  <c r="AB2" i="28" s="1"/>
  <c r="AC2" i="28" s="1"/>
  <c r="AD2" i="28" s="1"/>
  <c r="AE2" i="28" s="1"/>
  <c r="AF2" i="28" s="1"/>
  <c r="B6" i="23"/>
  <c r="C6" i="23" s="1"/>
  <c r="D6" i="23" s="1"/>
  <c r="E6" i="23" s="1"/>
  <c r="F6" i="23" s="1"/>
  <c r="G6" i="23" s="1"/>
  <c r="H6" i="23" s="1"/>
  <c r="I6" i="23" s="1"/>
  <c r="J6" i="23" s="1"/>
  <c r="K6" i="23" s="1"/>
  <c r="L6" i="23" s="1"/>
  <c r="M6" i="23" s="1"/>
  <c r="N6" i="23" s="1"/>
  <c r="O6" i="23" s="1"/>
  <c r="P6" i="23" s="1"/>
  <c r="Q6" i="23" s="1"/>
  <c r="R6" i="23" s="1"/>
  <c r="S6" i="23" s="1"/>
  <c r="T6" i="23" s="1"/>
  <c r="U6" i="23" s="1"/>
  <c r="V6" i="23" s="1"/>
  <c r="W6" i="23" s="1"/>
  <c r="X6" i="23" s="1"/>
  <c r="Y6" i="23" s="1"/>
  <c r="Z6" i="23" s="1"/>
  <c r="AA6" i="23" s="1"/>
  <c r="AB6" i="23" s="1"/>
  <c r="AC6" i="23" s="1"/>
  <c r="AD6" i="23" s="1"/>
  <c r="AE6" i="23" s="1"/>
  <c r="AF6" i="23" s="1"/>
  <c r="B5" i="27"/>
  <c r="C5" i="27" s="1"/>
  <c r="D5" i="27" s="1"/>
  <c r="E5" i="27" s="1"/>
  <c r="F5" i="27" s="1"/>
  <c r="G5" i="27" s="1"/>
  <c r="H5" i="27" s="1"/>
  <c r="I5" i="27" s="1"/>
  <c r="J5" i="27" s="1"/>
  <c r="K5" i="27" s="1"/>
  <c r="L5" i="27" s="1"/>
  <c r="M5" i="27" s="1"/>
  <c r="N5" i="27" s="1"/>
  <c r="O5" i="27" s="1"/>
  <c r="P5" i="27" s="1"/>
  <c r="Q5" i="27" s="1"/>
  <c r="R5" i="27" s="1"/>
  <c r="S5" i="27" s="1"/>
  <c r="T5" i="27" s="1"/>
  <c r="U5" i="27" s="1"/>
  <c r="V5" i="27" s="1"/>
  <c r="W5" i="27" s="1"/>
  <c r="X5" i="27" s="1"/>
  <c r="Y5" i="27" s="1"/>
  <c r="Z5" i="27" s="1"/>
  <c r="AA5" i="27" s="1"/>
  <c r="AB5" i="27" s="1"/>
  <c r="AC5" i="27" s="1"/>
  <c r="AD5" i="27" s="1"/>
  <c r="AE5" i="27" s="1"/>
  <c r="AF5" i="27" s="1"/>
  <c r="B8" i="27"/>
  <c r="C8" i="27" s="1"/>
  <c r="D8" i="27" s="1"/>
  <c r="E8" i="27" s="1"/>
  <c r="F8" i="27" s="1"/>
  <c r="G8" i="27" s="1"/>
  <c r="H8" i="27" s="1"/>
  <c r="I8" i="27" s="1"/>
  <c r="J8" i="27" s="1"/>
  <c r="K8" i="27" s="1"/>
  <c r="L8" i="27" s="1"/>
  <c r="M8" i="27" s="1"/>
  <c r="N8" i="27" s="1"/>
  <c r="O8" i="27" s="1"/>
  <c r="P8" i="27" s="1"/>
  <c r="Q8" i="27" s="1"/>
  <c r="R8" i="27" s="1"/>
  <c r="S8" i="27" s="1"/>
  <c r="T8" i="27" s="1"/>
  <c r="U8" i="27" s="1"/>
  <c r="V8" i="27" s="1"/>
  <c r="W8" i="27" s="1"/>
  <c r="X8" i="27" s="1"/>
  <c r="Y8" i="27" s="1"/>
  <c r="Z8" i="27" s="1"/>
  <c r="AA8" i="27" s="1"/>
  <c r="AB8" i="27" s="1"/>
  <c r="AC8" i="27" s="1"/>
  <c r="AD8" i="27" s="1"/>
  <c r="AE8" i="27" s="1"/>
  <c r="AF8" i="27" s="1"/>
  <c r="B8" i="23"/>
  <c r="C8" i="23" s="1"/>
  <c r="D8" i="23" s="1"/>
  <c r="E8" i="23" s="1"/>
  <c r="F8" i="23" s="1"/>
  <c r="G8" i="23" s="1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B5" i="28"/>
  <c r="B4" i="28"/>
  <c r="C4" i="28" s="1"/>
  <c r="D4" i="28" s="1"/>
  <c r="E4" i="28" s="1"/>
  <c r="F4" i="28" s="1"/>
  <c r="G4" i="28" s="1"/>
  <c r="H4" i="28" s="1"/>
  <c r="I4" i="28" s="1"/>
  <c r="J4" i="28" s="1"/>
  <c r="K4" i="28" s="1"/>
  <c r="L4" i="28" s="1"/>
  <c r="M4" i="28" s="1"/>
  <c r="N4" i="28" s="1"/>
  <c r="O4" i="28" s="1"/>
  <c r="P4" i="28" s="1"/>
  <c r="Q4" i="28" s="1"/>
  <c r="R4" i="28" s="1"/>
  <c r="S4" i="28" s="1"/>
  <c r="T4" i="28" s="1"/>
  <c r="U4" i="28" s="1"/>
  <c r="V4" i="28" s="1"/>
  <c r="W4" i="28" s="1"/>
  <c r="X4" i="28" s="1"/>
  <c r="Y4" i="28" s="1"/>
  <c r="Z4" i="28" s="1"/>
  <c r="AA4" i="28" s="1"/>
  <c r="AB4" i="28" s="1"/>
  <c r="AC4" i="28" s="1"/>
  <c r="AD4" i="28" s="1"/>
  <c r="AE4" i="28" s="1"/>
  <c r="AF4" i="28" s="1"/>
  <c r="B7" i="27"/>
  <c r="C7" i="27" s="1"/>
  <c r="D7" i="27" s="1"/>
  <c r="E7" i="27" s="1"/>
  <c r="F7" i="27" s="1"/>
  <c r="G7" i="27" s="1"/>
  <c r="H7" i="27" s="1"/>
  <c r="I7" i="27" s="1"/>
  <c r="J7" i="27" s="1"/>
  <c r="K7" i="27" s="1"/>
  <c r="L7" i="27" s="1"/>
  <c r="M7" i="27" s="1"/>
  <c r="N7" i="27" s="1"/>
  <c r="O7" i="27" s="1"/>
  <c r="P7" i="27" s="1"/>
  <c r="Q7" i="27" s="1"/>
  <c r="R7" i="27" s="1"/>
  <c r="S7" i="27" s="1"/>
  <c r="T7" i="27" s="1"/>
  <c r="U7" i="27" s="1"/>
  <c r="V7" i="27" s="1"/>
  <c r="W7" i="27" s="1"/>
  <c r="X7" i="27" s="1"/>
  <c r="Y7" i="27" s="1"/>
  <c r="Z7" i="27" s="1"/>
  <c r="AA7" i="27" s="1"/>
  <c r="AB7" i="27" s="1"/>
  <c r="AC7" i="27" s="1"/>
  <c r="AD7" i="27" s="1"/>
  <c r="AE7" i="27" s="1"/>
  <c r="AF7" i="27" s="1"/>
  <c r="B8" i="22" l="1"/>
  <c r="C8" i="22" s="1"/>
  <c r="D8" i="22" s="1"/>
  <c r="E8" i="22" s="1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C5" i="22"/>
  <c r="D5" i="22" s="1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B6" i="22"/>
  <c r="C6" i="22" s="1"/>
  <c r="D6" i="22" s="1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C5" i="28"/>
  <c r="D5" i="28" s="1"/>
  <c r="E5" i="28" s="1"/>
  <c r="F5" i="28" s="1"/>
  <c r="G5" i="28" s="1"/>
  <c r="H5" i="28" s="1"/>
  <c r="I5" i="28" s="1"/>
  <c r="J5" i="28" s="1"/>
  <c r="K5" i="28" s="1"/>
  <c r="L5" i="28" s="1"/>
  <c r="M5" i="28" s="1"/>
  <c r="N5" i="28" s="1"/>
  <c r="O5" i="28" s="1"/>
  <c r="P5" i="28" s="1"/>
  <c r="Q5" i="28" s="1"/>
  <c r="R5" i="28" s="1"/>
  <c r="S5" i="28" s="1"/>
  <c r="T5" i="28" s="1"/>
  <c r="U5" i="28" s="1"/>
  <c r="V5" i="28" s="1"/>
  <c r="W5" i="28" s="1"/>
  <c r="X5" i="28" s="1"/>
  <c r="Y5" i="28" s="1"/>
  <c r="Z5" i="28" s="1"/>
  <c r="AA5" i="28" s="1"/>
  <c r="AB5" i="28" s="1"/>
  <c r="AC5" i="28" s="1"/>
  <c r="AD5" i="28" s="1"/>
  <c r="AE5" i="28" s="1"/>
  <c r="AF5" i="28" s="1"/>
  <c r="B8" i="28"/>
  <c r="C8" i="28" s="1"/>
  <c r="D8" i="28" s="1"/>
  <c r="E8" i="28" s="1"/>
  <c r="F8" i="28" s="1"/>
  <c r="G8" i="28" s="1"/>
  <c r="H8" i="28" s="1"/>
  <c r="I8" i="28" s="1"/>
  <c r="J8" i="28" s="1"/>
  <c r="K8" i="28" s="1"/>
  <c r="L8" i="28" s="1"/>
  <c r="M8" i="28" s="1"/>
  <c r="N8" i="28" s="1"/>
  <c r="O8" i="28" s="1"/>
  <c r="P8" i="28" s="1"/>
  <c r="Q8" i="28" s="1"/>
  <c r="R8" i="28" s="1"/>
  <c r="S8" i="28" s="1"/>
  <c r="T8" i="28" s="1"/>
  <c r="U8" i="28" s="1"/>
  <c r="V8" i="28" s="1"/>
  <c r="W8" i="28" s="1"/>
  <c r="X8" i="28" s="1"/>
  <c r="Y8" i="28" s="1"/>
  <c r="Z8" i="28" s="1"/>
  <c r="AA8" i="28" s="1"/>
  <c r="AB8" i="28" s="1"/>
  <c r="AC8" i="28" s="1"/>
  <c r="AD8" i="28" s="1"/>
  <c r="AE8" i="28" s="1"/>
  <c r="AF8" i="28" s="1"/>
  <c r="B6" i="28"/>
  <c r="C6" i="28" s="1"/>
  <c r="D6" i="28" s="1"/>
  <c r="E6" i="28" s="1"/>
  <c r="F6" i="28" s="1"/>
  <c r="G6" i="28" s="1"/>
  <c r="H6" i="28" s="1"/>
  <c r="I6" i="28" s="1"/>
  <c r="J6" i="28" s="1"/>
  <c r="K6" i="28" s="1"/>
  <c r="L6" i="28" s="1"/>
  <c r="M6" i="28" s="1"/>
  <c r="N6" i="28" s="1"/>
  <c r="O6" i="28" s="1"/>
  <c r="P6" i="28" s="1"/>
  <c r="Q6" i="28" s="1"/>
  <c r="R6" i="28" s="1"/>
  <c r="S6" i="28" s="1"/>
  <c r="T6" i="28" s="1"/>
  <c r="U6" i="28" s="1"/>
  <c r="V6" i="28" s="1"/>
  <c r="W6" i="28" s="1"/>
  <c r="X6" i="28" s="1"/>
  <c r="Y6" i="28" s="1"/>
  <c r="Z6" i="28" s="1"/>
  <c r="AA6" i="28" s="1"/>
  <c r="AB6" i="28" s="1"/>
  <c r="AC6" i="28" s="1"/>
  <c r="AD6" i="28" s="1"/>
  <c r="AE6" i="28" s="1"/>
  <c r="AF6" i="28" s="1"/>
  <c r="B3" i="28"/>
  <c r="C3" i="28" s="1"/>
  <c r="D3" i="28" s="1"/>
  <c r="E3" i="28" s="1"/>
  <c r="F3" i="28" s="1"/>
  <c r="G3" i="28" s="1"/>
  <c r="H3" i="28" s="1"/>
  <c r="I3" i="28" s="1"/>
  <c r="J3" i="28" s="1"/>
  <c r="K3" i="28" s="1"/>
  <c r="L3" i="28" s="1"/>
  <c r="M3" i="28" s="1"/>
  <c r="N3" i="28" s="1"/>
  <c r="O3" i="28" s="1"/>
  <c r="P3" i="28" s="1"/>
  <c r="Q3" i="28" s="1"/>
  <c r="R3" i="28" s="1"/>
  <c r="S3" i="28" s="1"/>
  <c r="T3" i="28" s="1"/>
  <c r="U3" i="28" s="1"/>
  <c r="V3" i="28" s="1"/>
  <c r="W3" i="28" s="1"/>
  <c r="X3" i="28" s="1"/>
  <c r="Y3" i="28" s="1"/>
  <c r="Z3" i="28" s="1"/>
  <c r="AA3" i="28" s="1"/>
  <c r="AB3" i="28" s="1"/>
  <c r="AC3" i="28" s="1"/>
  <c r="AD3" i="28" s="1"/>
  <c r="AE3" i="28" s="1"/>
  <c r="AF3" i="28" s="1"/>
</calcChain>
</file>

<file path=xl/sharedStrings.xml><?xml version="1.0" encoding="utf-8"?>
<sst xmlns="http://schemas.openxmlformats.org/spreadsheetml/2006/main" count="433" uniqueCount="72">
  <si>
    <t>BNVFE BAU New Veh Fuel Economy</t>
    <phoneticPr fontId="1" type="noConversion"/>
  </si>
  <si>
    <t>Sources:</t>
    <phoneticPr fontId="1" type="noConversion"/>
  </si>
  <si>
    <t>Korea SYFAFE, US BNVFE</t>
    <phoneticPr fontId="1" type="noConversion"/>
  </si>
  <si>
    <t>Notes</t>
    <phoneticPr fontId="1" type="noConversion"/>
  </si>
  <si>
    <t>Since there are few fuel economy forecast data in Korea, CAGR was extracted and used from US data when estimating fuel economy.</t>
    <phoneticPr fontId="1" type="noConversion"/>
  </si>
  <si>
    <t>We used cell colors to identify different methods</t>
    <phoneticPr fontId="1" type="noConversion"/>
  </si>
  <si>
    <t>We applied the US data as is due to the limited number of data in South Korea</t>
    <phoneticPr fontId="1" type="noConversion"/>
  </si>
  <si>
    <t>We applied the ratio of fuel shares in the US data to the KR data</t>
    <phoneticPr fontId="1" type="noConversion"/>
  </si>
  <si>
    <t>Fuel Economy (passenger*miles/BTU)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</si>
  <si>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</si>
  <si>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</si>
  <si>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</si>
  <si>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</si>
  <si>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</si>
  <si>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</si>
  <si>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</si>
  <si>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</si>
  <si>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</si>
  <si>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</si>
  <si>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</si>
  <si>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</si>
  <si>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</si>
  <si>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Fuel Economy (thing*miles/BTU)</t>
  </si>
  <si>
    <t>passenger</t>
    <phoneticPr fontId="1" type="noConversion"/>
  </si>
  <si>
    <t>freight</t>
    <phoneticPr fontId="1" type="noConversion"/>
  </si>
  <si>
    <t>US LDVs</t>
    <phoneticPr fontId="1" type="noConversion"/>
  </si>
  <si>
    <t>diesel vehicle</t>
    <phoneticPr fontId="1" type="noConversion"/>
  </si>
  <si>
    <t>plugin hybrid vehicle</t>
    <phoneticPr fontId="1" type="noConversion"/>
  </si>
  <si>
    <t>hydrogen vehicle</t>
    <phoneticPr fontId="1" type="noConversion"/>
  </si>
  <si>
    <t>psgr</t>
    <phoneticPr fontId="1" type="noConversion"/>
  </si>
  <si>
    <t>frgt</t>
    <phoneticPr fontId="1" type="noConversion"/>
  </si>
  <si>
    <t>psgr - x/disel vehicle</t>
    <phoneticPr fontId="1" type="noConversion"/>
  </si>
  <si>
    <t>frgt - x/disel vehicle</t>
    <phoneticPr fontId="1" type="noConversion"/>
  </si>
  <si>
    <t>US HDVs</t>
    <phoneticPr fontId="1" type="noConversion"/>
  </si>
  <si>
    <t>battery electric vehicle</t>
    <phoneticPr fontId="1" type="noConversion"/>
  </si>
  <si>
    <t>US aircrat</t>
    <phoneticPr fontId="1" type="noConversion"/>
  </si>
  <si>
    <t>x/disel vehicle</t>
    <phoneticPr fontId="1" type="noConversion"/>
  </si>
  <si>
    <t>US rail</t>
    <phoneticPr fontId="1" type="noConversion"/>
  </si>
  <si>
    <t>US ships</t>
    <phoneticPr fontId="1" type="noConversion"/>
  </si>
  <si>
    <t>2020-2050 CAGR</t>
    <phoneticPr fontId="1" type="noConversion"/>
  </si>
  <si>
    <t>Source</t>
    <phoneticPr fontId="1" type="noConversion"/>
  </si>
  <si>
    <t>US-LDVs-psgr</t>
    <phoneticPr fontId="1" type="noConversion"/>
  </si>
  <si>
    <t>US-LDVs-frgt</t>
    <phoneticPr fontId="1" type="noConversion"/>
  </si>
  <si>
    <t>US-HDVs-psgr</t>
    <phoneticPr fontId="1" type="noConversion"/>
  </si>
  <si>
    <t>2020년 실도로 연비 13.5km/kg, 2030년까지 15km/kg, 해당 비율을 2050까지 적용</t>
    <phoneticPr fontId="1" type="noConversion"/>
  </si>
  <si>
    <t>https://www.cheric.org/PDF/PIC/PC24/PC24-4-0022.pdf</t>
    <phoneticPr fontId="1" type="noConversion"/>
  </si>
  <si>
    <t>US-HDVs-frgt</t>
    <phoneticPr fontId="1" type="noConversion"/>
  </si>
  <si>
    <t>US-aircraft-psgr</t>
    <phoneticPr fontId="1" type="noConversion"/>
  </si>
  <si>
    <t>US-aircraft-frgt</t>
    <phoneticPr fontId="1" type="noConversion"/>
  </si>
  <si>
    <t>US-rail-psgr</t>
  </si>
  <si>
    <t>US-rail-frgt</t>
    <phoneticPr fontId="1" type="noConversion"/>
  </si>
  <si>
    <t>US-ships-psgr</t>
    <phoneticPr fontId="1" type="noConversion"/>
  </si>
  <si>
    <t>US-ships-frgt</t>
    <phoneticPr fontId="1" type="noConversion"/>
  </si>
  <si>
    <t>US-motorbikes-psgr</t>
    <phoneticPr fontId="1" type="noConversion"/>
  </si>
  <si>
    <t>US-motorbikes-frgt</t>
    <phoneticPr fontId="1" type="noConversion"/>
  </si>
  <si>
    <t>https://theicct.org/sites/default/files/publications/S.Korea%20FE%20GHG%20Policy%20Update_vFinal.pdf</t>
  </si>
  <si>
    <t>passenger vehicles fuel economy</t>
  </si>
  <si>
    <t>Conversion factor</t>
  </si>
  <si>
    <t>btus per liter gasoline</t>
  </si>
  <si>
    <t>km per mile</t>
  </si>
  <si>
    <t>AVLO-psgr-ldvs</t>
  </si>
  <si>
    <t>passenger vehicles</t>
  </si>
  <si>
    <t>km/L</t>
  </si>
  <si>
    <t>light trucks</t>
  </si>
  <si>
    <t>Convert</t>
  </si>
  <si>
    <t>miles/L</t>
  </si>
  <si>
    <t>miles/btu</t>
  </si>
  <si>
    <t>thing*miles/btu</t>
  </si>
  <si>
    <t>average</t>
  </si>
  <si>
    <t>US Fuel economy</t>
  </si>
  <si>
    <t>Trend</t>
  </si>
  <si>
    <t>Fuel Economy (freight ton*miles/BTU)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</si>
</sst>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name val="Calibri"/>
      <family val="2"/>
      <charset val="129"/>
      <scheme val="minor"/>
    </font>
    <font>
      <u/>
      <sz val="11"/>
      <color theme="10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43" fontId="6" fillId="0" borderId="0" applyFont="0" applyFill="0" applyBorder="0" applyAlignment="0" applyProtection="0"/>
  </cellStyleXfs>
  <cellXfs count="3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3" borderId="0" xfId="0" applyFill="1">
      <alignment vertical="center"/>
    </xf>
    <xf numFmtId="0" fontId="2" fillId="0" borderId="0" xfId="0" applyFont="1" applyAlignment="1"/>
    <xf numFmtId="11" fontId="0" fillId="0" borderId="0" xfId="0" applyNumberFormat="1" applyAlignment="1"/>
    <xf numFmtId="0" fontId="0" fillId="4" borderId="0" xfId="0" applyFill="1" applyAlignment="1"/>
    <xf numFmtId="11" fontId="0" fillId="4" borderId="0" xfId="0" applyNumberFormat="1" applyFill="1" applyAlignment="1"/>
    <xf numFmtId="0" fontId="0" fillId="0" borderId="1" xfId="0" applyBorder="1">
      <alignment vertical="center"/>
    </xf>
    <xf numFmtId="0" fontId="0" fillId="0" borderId="1" xfId="0" applyBorder="1" applyAlignment="1"/>
    <xf numFmtId="0" fontId="0" fillId="0" borderId="2" xfId="0" applyBorder="1">
      <alignment vertical="center"/>
    </xf>
    <xf numFmtId="0" fontId="0" fillId="0" borderId="2" xfId="0" applyBorder="1" applyAlignment="1"/>
    <xf numFmtId="11" fontId="0" fillId="3" borderId="0" xfId="0" applyNumberFormat="1" applyFill="1">
      <alignment vertical="center"/>
    </xf>
    <xf numFmtId="11" fontId="0" fillId="0" borderId="0" xfId="0" applyNumberFormat="1">
      <alignment vertical="center"/>
    </xf>
    <xf numFmtId="11" fontId="4" fillId="3" borderId="0" xfId="0" applyNumberFormat="1" applyFont="1" applyFill="1">
      <alignment vertical="center"/>
    </xf>
    <xf numFmtId="0" fontId="5" fillId="0" borderId="0" xfId="1">
      <alignment vertical="center"/>
    </xf>
    <xf numFmtId="0" fontId="0" fillId="5" borderId="0" xfId="0" applyFill="1">
      <alignment vertical="center"/>
    </xf>
    <xf numFmtId="11" fontId="0" fillId="5" borderId="0" xfId="0" applyNumberFormat="1" applyFill="1">
      <alignment vertical="center"/>
    </xf>
    <xf numFmtId="0" fontId="0" fillId="6" borderId="0" xfId="0" applyFill="1">
      <alignment vertical="center"/>
    </xf>
    <xf numFmtId="0" fontId="3" fillId="0" borderId="0" xfId="0" applyFont="1">
      <alignment vertical="center"/>
    </xf>
    <xf numFmtId="11" fontId="0" fillId="2" borderId="0" xfId="0" applyNumberFormat="1" applyFill="1">
      <alignment vertical="center"/>
    </xf>
    <xf numFmtId="0" fontId="2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left"/>
    </xf>
    <xf numFmtId="0" fontId="2" fillId="7" borderId="0" xfId="0" applyFont="1" applyFill="1">
      <alignment vertical="center"/>
    </xf>
    <xf numFmtId="0" fontId="0" fillId="7" borderId="0" xfId="0" applyFill="1">
      <alignment vertical="center"/>
    </xf>
    <xf numFmtId="164" fontId="7" fillId="0" borderId="0" xfId="2" applyNumberFormat="1" applyFont="1" applyAlignment="1">
      <alignment vertical="center"/>
    </xf>
    <xf numFmtId="0" fontId="8" fillId="0" borderId="0" xfId="0" applyFont="1">
      <alignment vertical="center"/>
    </xf>
    <xf numFmtId="0" fontId="0" fillId="8" borderId="0" xfId="0" applyFill="1">
      <alignment vertical="center"/>
    </xf>
    <xf numFmtId="43" fontId="0" fillId="0" borderId="0" xfId="2" applyFont="1" applyAlignment="1">
      <alignment vertical="center"/>
    </xf>
    <xf numFmtId="11" fontId="0" fillId="0" borderId="0" xfId="2" applyNumberFormat="1" applyFont="1" applyAlignment="1">
      <alignment vertical="center"/>
    </xf>
    <xf numFmtId="11" fontId="0" fillId="9" borderId="3" xfId="0" applyNumberFormat="1" applyFill="1" applyBorder="1">
      <alignment vertical="center"/>
    </xf>
    <xf numFmtId="0" fontId="0" fillId="10" borderId="0" xfId="0" applyFill="1">
      <alignment vertical="center"/>
    </xf>
    <xf numFmtId="11" fontId="9" fillId="0" borderId="0" xfId="0" applyNumberFormat="1" applyFont="1" applyAlignme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1F4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'BNVFE-rail-frgt'!$A$2</c:f>
              <c:strCache>
                <c:ptCount val="1"/>
                <c:pt idx="0">
                  <c:v>battery electric vehicle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'BNVFE-rail-frgt'!$B$2:$V$2</c:f>
              <c:numCache>
                <c:formatCode>0.00E+00</c:formatCode>
                <c:ptCount val="21"/>
                <c:pt idx="0">
                  <c:v>4.6989073334332684E-3</c:v>
                </c:pt>
                <c:pt idx="1">
                  <c:v>4.7283986054893245E-3</c:v>
                </c:pt>
                <c:pt idx="2">
                  <c:v>4.7580749706033548E-3</c:v>
                </c:pt>
                <c:pt idx="3">
                  <c:v>4.7879375904560104E-3</c:v>
                </c:pt>
                <c:pt idx="4">
                  <c:v>4.8179876340188792E-3</c:v>
                </c:pt>
                <c:pt idx="5">
                  <c:v>4.8482262776002472E-3</c:v>
                </c:pt>
                <c:pt idx="6">
                  <c:v>4.8786547048911425E-3</c:v>
                </c:pt>
                <c:pt idx="7">
                  <c:v>4.9092741070116729E-3</c:v>
                </c:pt>
                <c:pt idx="8">
                  <c:v>4.9400856825576513E-3</c:v>
                </c:pt>
                <c:pt idx="9">
                  <c:v>4.9710906376475164E-3</c:v>
                </c:pt>
                <c:pt idx="10">
                  <c:v>5.0022901859695431E-3</c:v>
                </c:pt>
                <c:pt idx="11">
                  <c:v>5.0336855488293548E-3</c:v>
                </c:pt>
                <c:pt idx="12">
                  <c:v>5.0652779551977308E-3</c:v>
                </c:pt>
                <c:pt idx="13">
                  <c:v>5.0970686417587136E-3</c:v>
                </c:pt>
                <c:pt idx="14">
                  <c:v>5.1290588529580199E-3</c:v>
                </c:pt>
                <c:pt idx="15">
                  <c:v>5.1612498410517531E-3</c:v>
                </c:pt>
                <c:pt idx="16">
                  <c:v>5.1936428661554252E-3</c:v>
                </c:pt>
                <c:pt idx="17">
                  <c:v>5.2262391962932817E-3</c:v>
                </c:pt>
                <c:pt idx="18">
                  <c:v>5.2590401074479381E-3</c:v>
                </c:pt>
                <c:pt idx="19">
                  <c:v>5.2920468836103306E-3</c:v>
                </c:pt>
                <c:pt idx="20">
                  <c:v>5.3252608168299761E-3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D0-4F2F-BA0A-6213D37F7926}"/>
            </c:ext>
          </c:extLst>
        </c:ser>
        <c:ser>
          <c:idx val="1"/>
          <c:order val="1"/>
          <c:tx>
            <c:strRef>
              <c:f>'BNVFE-rail-frgt'!$A$3</c:f>
              <c:strCache>
                <c:ptCount val="1"/>
                <c:pt idx="0">
                  <c:v>natural gas vehicle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'BNVFE-rail-frgt'!$B$3:$V$3</c:f>
              <c:numCache>
                <c:formatCode>0.00E+00</c:formatCode>
                <c:ptCount val="21"/>
                <c:pt idx="0">
                  <c:v>1.4530999999999999E-3</c:v>
                </c:pt>
                <c:pt idx="1">
                  <c:v>1.4530999999999999E-3</c:v>
                </c:pt>
                <c:pt idx="2">
                  <c:v>1.4530999999999999E-3</c:v>
                </c:pt>
                <c:pt idx="3">
                  <c:v>1.4530999999999999E-3</c:v>
                </c:pt>
                <c:pt idx="4">
                  <c:v>1.4530999999999999E-3</c:v>
                </c:pt>
                <c:pt idx="5">
                  <c:v>1.4530999999999999E-3</c:v>
                </c:pt>
                <c:pt idx="6">
                  <c:v>1.4530999999999999E-3</c:v>
                </c:pt>
                <c:pt idx="7">
                  <c:v>1.4530999999999999E-3</c:v>
                </c:pt>
                <c:pt idx="8">
                  <c:v>1.4530999999999999E-3</c:v>
                </c:pt>
                <c:pt idx="9">
                  <c:v>1.4530999999999999E-3</c:v>
                </c:pt>
                <c:pt idx="10">
                  <c:v>1.4530999999999999E-3</c:v>
                </c:pt>
                <c:pt idx="11">
                  <c:v>1.4530999999999999E-3</c:v>
                </c:pt>
                <c:pt idx="12">
                  <c:v>1.4530999999999999E-3</c:v>
                </c:pt>
                <c:pt idx="13">
                  <c:v>1.4530999999999999E-3</c:v>
                </c:pt>
                <c:pt idx="14">
                  <c:v>1.4530999999999999E-3</c:v>
                </c:pt>
                <c:pt idx="15">
                  <c:v>1.4530999999999999E-3</c:v>
                </c:pt>
                <c:pt idx="16">
                  <c:v>1.4530999999999999E-3</c:v>
                </c:pt>
                <c:pt idx="17">
                  <c:v>1.4530999999999999E-3</c:v>
                </c:pt>
                <c:pt idx="18">
                  <c:v>1.4530999999999999E-3</c:v>
                </c:pt>
                <c:pt idx="19">
                  <c:v>1.4530999999999999E-3</c:v>
                </c:pt>
                <c:pt idx="20">
                  <c:v>1.4530999999999999E-3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D0-4F2F-BA0A-6213D37F7926}"/>
            </c:ext>
          </c:extLst>
        </c:ser>
        <c:ser>
          <c:idx val="2"/>
          <c:order val="2"/>
          <c:tx>
            <c:strRef>
              <c:f>'BNVFE-rail-frgt'!$A$4</c:f>
              <c:strCache>
                <c:ptCount val="1"/>
                <c:pt idx="0">
                  <c:v>gasoline vehicle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'BNVFE-rail-frgt'!$B$4:$V$4</c:f>
              <c:numCache>
                <c:formatCode>0.00E+00</c:formatCode>
                <c:ptCount val="21"/>
                <c:pt idx="0">
                  <c:v>1.4530999999999999E-3</c:v>
                </c:pt>
                <c:pt idx="1">
                  <c:v>1.4530999999999999E-3</c:v>
                </c:pt>
                <c:pt idx="2">
                  <c:v>1.4530999999999999E-3</c:v>
                </c:pt>
                <c:pt idx="3">
                  <c:v>1.4530999999999999E-3</c:v>
                </c:pt>
                <c:pt idx="4">
                  <c:v>1.4530999999999999E-3</c:v>
                </c:pt>
                <c:pt idx="5">
                  <c:v>1.4530999999999999E-3</c:v>
                </c:pt>
                <c:pt idx="6">
                  <c:v>1.4530999999999999E-3</c:v>
                </c:pt>
                <c:pt idx="7">
                  <c:v>1.4530999999999999E-3</c:v>
                </c:pt>
                <c:pt idx="8">
                  <c:v>1.4530999999999999E-3</c:v>
                </c:pt>
                <c:pt idx="9">
                  <c:v>1.4530999999999999E-3</c:v>
                </c:pt>
                <c:pt idx="10">
                  <c:v>1.4530999999999999E-3</c:v>
                </c:pt>
                <c:pt idx="11">
                  <c:v>1.4530999999999999E-3</c:v>
                </c:pt>
                <c:pt idx="12">
                  <c:v>1.4530999999999999E-3</c:v>
                </c:pt>
                <c:pt idx="13">
                  <c:v>1.4530999999999999E-3</c:v>
                </c:pt>
                <c:pt idx="14">
                  <c:v>1.4530999999999999E-3</c:v>
                </c:pt>
                <c:pt idx="15">
                  <c:v>1.4530999999999999E-3</c:v>
                </c:pt>
                <c:pt idx="16">
                  <c:v>1.4530999999999999E-3</c:v>
                </c:pt>
                <c:pt idx="17">
                  <c:v>1.4530999999999999E-3</c:v>
                </c:pt>
                <c:pt idx="18">
                  <c:v>1.4530999999999999E-3</c:v>
                </c:pt>
                <c:pt idx="19">
                  <c:v>1.4530999999999999E-3</c:v>
                </c:pt>
                <c:pt idx="20">
                  <c:v>1.4530999999999999E-3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3D0-4F2F-BA0A-6213D37F7926}"/>
            </c:ext>
          </c:extLst>
        </c:ser>
        <c:ser>
          <c:idx val="3"/>
          <c:order val="3"/>
          <c:tx>
            <c:strRef>
              <c:f>'BNVFE-rail-frgt'!$A$5</c:f>
              <c:strCache>
                <c:ptCount val="1"/>
                <c:pt idx="0">
                  <c:v>diesel vehicle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'BNVFE-rail-frgt'!$B$5:$V$5</c:f>
              <c:numCache>
                <c:formatCode>0.00E+00</c:formatCode>
                <c:ptCount val="21"/>
                <c:pt idx="0">
                  <c:v>1.4622199430811809E-3</c:v>
                </c:pt>
                <c:pt idx="1">
                  <c:v>1.4713971247294281E-3</c:v>
                </c:pt>
                <c:pt idx="2">
                  <c:v>1.4806319041853126E-3</c:v>
                </c:pt>
                <c:pt idx="3">
                  <c:v>1.4899246429440701E-3</c:v>
                </c:pt>
                <c:pt idx="4">
                  <c:v>1.4992757047697521E-3</c:v>
                </c:pt>
                <c:pt idx="5">
                  <c:v>1.5086854557094654E-3</c:v>
                </c:pt>
                <c:pt idx="6">
                  <c:v>1.5181542641077008E-3</c:v>
                </c:pt>
                <c:pt idx="7">
                  <c:v>1.5276825006207517E-3</c:v>
                </c:pt>
                <c:pt idx="8">
                  <c:v>1.537270538231224E-3</c:v>
                </c:pt>
                <c:pt idx="9">
                  <c:v>1.5469187522626363E-3</c:v>
                </c:pt>
                <c:pt idx="10">
                  <c:v>1.5566275203941116E-3</c:v>
                </c:pt>
                <c:pt idx="11">
                  <c:v>1.5663972226751617E-3</c:v>
                </c:pt>
                <c:pt idx="12">
                  <c:v>1.5762282415405649E-3</c:v>
                </c:pt>
                <c:pt idx="13">
                  <c:v>1.5861209618253354E-3</c:v>
                </c:pt>
                <c:pt idx="14">
                  <c:v>1.5960757707797878E-3</c:v>
                </c:pt>
                <c:pt idx="15">
                  <c:v>1.6060930580846971E-3</c:v>
                </c:pt>
                <c:pt idx="16">
                  <c:v>1.6161732158665512E-3</c:v>
                </c:pt>
                <c:pt idx="17">
                  <c:v>1.6263166387129018E-3</c:v>
                </c:pt>
                <c:pt idx="18">
                  <c:v>1.63652372368781E-3</c:v>
                </c:pt>
                <c:pt idx="19">
                  <c:v>1.6467948703473895E-3</c:v>
                </c:pt>
                <c:pt idx="20">
                  <c:v>1.6571304807554473E-3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D0-4F2F-BA0A-6213D37F7926}"/>
            </c:ext>
          </c:extLst>
        </c:ser>
        <c:ser>
          <c:idx val="4"/>
          <c:order val="4"/>
          <c:tx>
            <c:strRef>
              <c:f>'BNVFE-rail-frgt'!$A$6</c:f>
              <c:strCache>
                <c:ptCount val="1"/>
                <c:pt idx="0">
                  <c:v>plugin hybrid vehicle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'BNVFE-rail-frgt'!$B$6:$V$6</c:f>
              <c:numCache>
                <c:formatCode>0.00E+00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3D0-4F2F-BA0A-6213D37F7926}"/>
            </c:ext>
          </c:extLst>
        </c:ser>
        <c:ser>
          <c:idx val="5"/>
          <c:order val="5"/>
          <c:tx>
            <c:strRef>
              <c:f>'BNVFE-rail-frgt'!$A$7</c:f>
              <c:strCache>
                <c:ptCount val="1"/>
                <c:pt idx="0">
                  <c:v>LPG vehicle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'BNVFE-rail-frgt'!$B$7:$V$7</c:f>
              <c:numCache>
                <c:formatCode>0.00E+00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D0-4F2F-BA0A-6213D37F7926}"/>
            </c:ext>
          </c:extLst>
        </c:ser>
        <c:ser>
          <c:idx val="6"/>
          <c:order val="6"/>
          <c:tx>
            <c:strRef>
              <c:f>'BNVFE-rail-frgt'!$A$8</c:f>
              <c:strCache>
                <c:ptCount val="1"/>
                <c:pt idx="0">
                  <c:v>hydrogen vehicle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'BNVFE-rail-frgt'!$B$8:$V$8</c:f>
              <c:numCache>
                <c:formatCode>0.00E+00</c:formatCode>
                <c:ptCount val="21"/>
                <c:pt idx="0">
                  <c:v>4.3866598292435421E-3</c:v>
                </c:pt>
                <c:pt idx="1">
                  <c:v>4.4141913741882833E-3</c:v>
                </c:pt>
                <c:pt idx="2">
                  <c:v>4.4418957125559365E-3</c:v>
                </c:pt>
                <c:pt idx="3">
                  <c:v>4.4697739288322089E-3</c:v>
                </c:pt>
                <c:pt idx="4">
                  <c:v>4.497827114309255E-3</c:v>
                </c:pt>
                <c:pt idx="5">
                  <c:v>4.526056367128395E-3</c:v>
                </c:pt>
                <c:pt idx="6">
                  <c:v>4.5544627923231008E-3</c:v>
                </c:pt>
                <c:pt idx="7">
                  <c:v>4.5830475018622538E-3</c:v>
                </c:pt>
                <c:pt idx="8">
                  <c:v>4.6118116146936705E-3</c:v>
                </c:pt>
                <c:pt idx="9">
                  <c:v>4.6407562567879071E-3</c:v>
                </c:pt>
                <c:pt idx="10">
                  <c:v>4.6698825611823326E-3</c:v>
                </c:pt>
                <c:pt idx="11">
                  <c:v>4.6991916680254832E-3</c:v>
                </c:pt>
                <c:pt idx="12">
                  <c:v>4.7286847246216929E-3</c:v>
                </c:pt>
                <c:pt idx="13">
                  <c:v>4.7583628854760036E-3</c:v>
                </c:pt>
                <c:pt idx="14">
                  <c:v>4.7882273123393609E-3</c:v>
                </c:pt>
                <c:pt idx="15">
                  <c:v>4.8182791742540886E-3</c:v>
                </c:pt>
                <c:pt idx="16">
                  <c:v>4.8485196475996509E-3</c:v>
                </c:pt>
                <c:pt idx="17">
                  <c:v>4.8789499161387027E-3</c:v>
                </c:pt>
                <c:pt idx="18">
                  <c:v>4.909571171063427E-3</c:v>
                </c:pt>
                <c:pt idx="19">
                  <c:v>4.9403846110421656E-3</c:v>
                </c:pt>
                <c:pt idx="20">
                  <c:v>4.9713914422663394E-3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3D0-4F2F-BA0A-6213D37F7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660655"/>
        <c:axId val="62661615"/>
      </c:scatterChart>
      <c:valAx>
        <c:axId val="62660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61615"/>
        <c:crosses val="autoZero"/>
        <c:crossBetween val="midCat"/>
      </c:valAx>
      <c:valAx>
        <c:axId val="6266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60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100012</xdr:colOff>
      <xdr:row>10</xdr:row>
      <xdr:rowOff>33337</xdr:rowOff>
    </xdr:from>
    <xdr:to>
      <xdr:col>14</xdr:col>
      <xdr:colOff>338137</xdr:colOff>
      <xdr:row>24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408322-D991-FC86-8CBD-ABF99C180A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heric.org/PDF/PIC/PC24/PC24-4-0022.pdf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BDC44-2269-493E-A648-3F924433C76C}">
  <dimension ref="A1:B10"/>
  <sheetViews>
    <sheetView workbookViewId="0">
      <selection activeCell="D35" sqref="D35"/>
    </sheetView>
  </sheetViews>
  <sheetFormatPr defaultRowHeight="15"/>
  <sheetData>
    <row r="1" spans="1:2">
      <c r="A1" s="22" t="s">
        <v>0</v>
      </c>
    </row>
    <row r="3" spans="1:2">
      <c r="A3" s="20" t="s">
        <v>1</v>
      </c>
      <c r="B3" t="s">
        <v>2</v>
      </c>
    </row>
    <row r="5" spans="1:2">
      <c r="A5" s="20" t="s">
        <v>3</v>
      </c>
    </row>
    <row r="6" spans="1:2">
      <c r="A6" t="s">
        <v>4</v>
      </c>
    </row>
    <row r="8" spans="1:2">
      <c r="A8" t="s">
        <v>5</v>
      </c>
    </row>
    <row r="9" spans="1:2">
      <c r="A9" s="19" t="s">
        <v>6</v>
      </c>
    </row>
    <row r="10" spans="1:2">
      <c r="A10" s="4" t="s">
        <v>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94805-68D5-4764-BABD-F181D2DA9F20}">
  <sheetPr>
    <tabColor theme="4" tint="0.79998168889431442"/>
  </sheetPr>
  <dimension ref="A1:H8"/>
  <sheetViews>
    <sheetView tabSelected="1" workbookViewId="0">
      <selection sqref="A1:H7"/>
    </sheetView>
  </sheetViews>
  <sheetFormatPr defaultRowHeight="15"/>
  <cols>
    <col min="1" max="1" width="19.7109375" bestFit="1" customWidth="1"/>
    <col min="2" max="2" width="21.42578125" bestFit="1" customWidth="1"/>
    <col min="3" max="3" width="18.28515625" bestFit="1" customWidth="1"/>
    <col min="4" max="4" width="15.42578125" bestFit="1" customWidth="1"/>
    <col min="5" max="5" width="13.28515625" bestFit="1" customWidth="1"/>
    <col min="6" max="6" width="20.42578125" bestFit="1" customWidth="1"/>
    <col min="7" max="7" width="11.42578125" bestFit="1" customWidth="1"/>
    <col min="8" max="8" width="16.7109375" bestFit="1" customWidth="1"/>
  </cols>
  <sheetData>
    <row r="1" spans="1:8" ht="16.5" customHeight="1">
      <c r="A1" s="2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</row>
    <row r="2" spans="1:8">
      <c r="A2" s="1" t="s">
        <v>16</v>
      </c>
      <c r="B2" s="34">
        <v>1.2643000000000001E-3</v>
      </c>
      <c r="C2" s="34">
        <v>2.944E-4</v>
      </c>
      <c r="D2" s="34">
        <v>3.8079999999999999E-4</v>
      </c>
      <c r="E2" s="34">
        <v>3.5330000000000002E-4</v>
      </c>
      <c r="F2" s="34">
        <v>4.347E-4</v>
      </c>
      <c r="G2" s="34">
        <v>3.7209999999999999E-4</v>
      </c>
      <c r="H2" s="34">
        <v>1.9093999999999999E-3</v>
      </c>
    </row>
    <row r="3" spans="1:8">
      <c r="A3" s="1" t="s">
        <v>17</v>
      </c>
      <c r="B3" s="34">
        <v>2.5948999999999998E-3</v>
      </c>
      <c r="C3" s="34">
        <v>2.0125E-3</v>
      </c>
      <c r="D3" s="34">
        <v>7.3919999999999997E-4</v>
      </c>
      <c r="E3" s="34">
        <v>8.0749999999999995E-4</v>
      </c>
      <c r="F3" s="34">
        <v>1.7906E-3</v>
      </c>
      <c r="G3" s="34">
        <v>1.3548E-3</v>
      </c>
      <c r="H3" s="34">
        <v>2.4225000000000002E-3</v>
      </c>
    </row>
    <row r="4" spans="1:8">
      <c r="A4" s="1" t="s">
        <v>18</v>
      </c>
      <c r="B4" s="34">
        <v>1.9247999999999999E-3</v>
      </c>
      <c r="C4" s="34">
        <v>5.9900000000000003E-4</v>
      </c>
      <c r="D4" s="34">
        <v>5.9900000000000003E-4</v>
      </c>
      <c r="E4" s="34">
        <v>5.9900000000000003E-4</v>
      </c>
      <c r="F4" s="34">
        <v>0</v>
      </c>
      <c r="G4" s="34">
        <v>0</v>
      </c>
      <c r="H4" s="34">
        <v>1.7968999999999999E-3</v>
      </c>
    </row>
    <row r="5" spans="1:8">
      <c r="A5" s="1" t="s">
        <v>19</v>
      </c>
      <c r="B5" s="34">
        <v>1.6872999999999999E-2</v>
      </c>
      <c r="C5" s="34">
        <v>1.2658000000000001E-3</v>
      </c>
      <c r="D5" s="34">
        <v>1.2658000000000001E-3</v>
      </c>
      <c r="E5" s="34">
        <v>1.2658000000000001E-3</v>
      </c>
      <c r="F5" s="34">
        <v>0</v>
      </c>
      <c r="G5" s="34">
        <v>0</v>
      </c>
      <c r="H5" s="34">
        <v>3.7975000000000001E-3</v>
      </c>
    </row>
    <row r="6" spans="1:8">
      <c r="A6" s="1" t="s">
        <v>20</v>
      </c>
      <c r="B6" s="34">
        <v>1.3426499999999999E-2</v>
      </c>
      <c r="C6" s="34">
        <v>0</v>
      </c>
      <c r="D6" s="34">
        <v>4.1782E-3</v>
      </c>
      <c r="E6" s="34">
        <v>4.1782E-3</v>
      </c>
      <c r="F6" s="34">
        <v>0</v>
      </c>
      <c r="G6" s="34">
        <v>0</v>
      </c>
      <c r="H6" s="34">
        <v>1.25346E-2</v>
      </c>
    </row>
    <row r="7" spans="1:8">
      <c r="A7" s="1" t="s">
        <v>21</v>
      </c>
      <c r="B7" s="34">
        <v>1.7952599999999999E-2</v>
      </c>
      <c r="C7" s="34">
        <v>5.6379999999999998E-3</v>
      </c>
      <c r="D7" s="34">
        <v>5.6379999999999998E-3</v>
      </c>
      <c r="E7" s="34">
        <v>5.6379999999999998E-3</v>
      </c>
      <c r="F7" s="34">
        <v>1.2411E-2</v>
      </c>
      <c r="G7" s="34">
        <v>4.3695000000000001E-3</v>
      </c>
      <c r="H7" s="34">
        <v>1.6913999999999998E-2</v>
      </c>
    </row>
    <row r="8" spans="1:8">
      <c r="A8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8DEC-73E8-46B0-9169-2591B82A049E}">
  <sheetPr>
    <tabColor theme="4" tint="0.79998168889431442"/>
  </sheetPr>
  <dimension ref="A1:J11"/>
  <sheetViews>
    <sheetView workbookViewId="0">
      <selection activeCell="K19" sqref="K19"/>
    </sheetView>
  </sheetViews>
  <sheetFormatPr defaultRowHeight="15"/>
  <cols>
    <col min="1" max="1" width="11.28515625" bestFit="1" customWidth="1"/>
    <col min="2" max="2" width="21.42578125" bestFit="1" customWidth="1"/>
    <col min="3" max="3" width="18.28515625" bestFit="1" customWidth="1"/>
    <col min="4" max="4" width="15.42578125" bestFit="1" customWidth="1"/>
    <col min="5" max="5" width="13.28515625" bestFit="1" customWidth="1"/>
    <col min="6" max="6" width="20.42578125" bestFit="1" customWidth="1"/>
    <col min="7" max="7" width="11.42578125" bestFit="1" customWidth="1"/>
    <col min="8" max="8" width="16.7109375" bestFit="1" customWidth="1"/>
  </cols>
  <sheetData>
    <row r="1" spans="1:10">
      <c r="A1" s="1" t="s">
        <v>71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/>
      <c r="J1" s="1"/>
    </row>
    <row r="2" spans="1:10">
      <c r="A2" s="1" t="s">
        <v>16</v>
      </c>
      <c r="B2" s="34">
        <v>1.8699999999999999E-4</v>
      </c>
      <c r="C2" s="34">
        <v>9.8999999999999994E-5</v>
      </c>
      <c r="D2" s="34">
        <v>1.4200000000000001E-4</v>
      </c>
      <c r="E2" s="34">
        <v>1.1E-4</v>
      </c>
      <c r="F2" s="34">
        <v>2.4800000000000001E-4</v>
      </c>
      <c r="G2" s="34">
        <v>7.7999999999999999E-5</v>
      </c>
      <c r="H2" s="34">
        <v>1.1900000000000001E-4</v>
      </c>
      <c r="I2" s="1"/>
      <c r="J2" s="1"/>
    </row>
    <row r="3" spans="1:10">
      <c r="A3" s="1" t="s">
        <v>17</v>
      </c>
      <c r="B3" s="34">
        <v>2.82E-3</v>
      </c>
      <c r="C3" s="34">
        <v>1.5759999999999999E-3</v>
      </c>
      <c r="D3" s="34">
        <v>1.498E-3</v>
      </c>
      <c r="E3" s="34">
        <v>1.4890000000000001E-3</v>
      </c>
      <c r="F3" s="34">
        <v>0</v>
      </c>
      <c r="G3" s="34">
        <v>1.5939999999999999E-3</v>
      </c>
      <c r="H3" s="34">
        <v>0</v>
      </c>
      <c r="I3" s="1"/>
      <c r="J3" s="1"/>
    </row>
    <row r="4" spans="1:10">
      <c r="A4" s="1" t="s">
        <v>18</v>
      </c>
      <c r="B4" s="34">
        <v>8.3219999999999995E-4</v>
      </c>
      <c r="C4" s="34">
        <v>2.5900000000000001E-4</v>
      </c>
      <c r="D4" s="34">
        <v>2.5900000000000001E-4</v>
      </c>
      <c r="E4" s="34">
        <v>2.5900000000000001E-4</v>
      </c>
      <c r="F4" s="34">
        <v>0</v>
      </c>
      <c r="G4" s="34">
        <v>0</v>
      </c>
      <c r="H4" s="34">
        <v>7.7689999999999996E-4</v>
      </c>
      <c r="I4" s="1"/>
      <c r="J4" s="1"/>
    </row>
    <row r="5" spans="1:10">
      <c r="A5" s="1" t="s">
        <v>19</v>
      </c>
      <c r="B5" s="34">
        <v>4.6696000000000003E-3</v>
      </c>
      <c r="C5" s="34">
        <v>1.4530999999999999E-3</v>
      </c>
      <c r="D5" s="34">
        <v>1.4530999999999999E-3</v>
      </c>
      <c r="E5" s="34">
        <v>1.4530999999999999E-3</v>
      </c>
      <c r="F5" s="34">
        <v>0</v>
      </c>
      <c r="G5" s="34">
        <v>0</v>
      </c>
      <c r="H5" s="34">
        <v>4.3594000000000003E-3</v>
      </c>
      <c r="I5" s="1"/>
      <c r="J5" s="1"/>
    </row>
    <row r="6" spans="1:10">
      <c r="A6" s="1" t="s">
        <v>20</v>
      </c>
      <c r="B6" s="34">
        <v>1.5614100000000001E-2</v>
      </c>
      <c r="C6" s="34">
        <v>4.8589000000000002E-3</v>
      </c>
      <c r="D6" s="34">
        <v>4.8589000000000002E-3</v>
      </c>
      <c r="E6" s="34">
        <v>4.8589000000000002E-3</v>
      </c>
      <c r="F6" s="34">
        <v>0</v>
      </c>
      <c r="G6" s="34">
        <v>0</v>
      </c>
      <c r="H6" s="34">
        <v>1.4576799999999999E-2</v>
      </c>
      <c r="I6" s="1"/>
      <c r="J6" s="1"/>
    </row>
    <row r="7" spans="1:10">
      <c r="A7" s="1" t="s">
        <v>21</v>
      </c>
      <c r="B7" s="34">
        <v>0</v>
      </c>
      <c r="C7" s="34">
        <v>0</v>
      </c>
      <c r="D7" s="34">
        <v>5.9799999999999997E-5</v>
      </c>
      <c r="E7" s="34">
        <v>0</v>
      </c>
      <c r="F7" s="34">
        <v>0</v>
      </c>
      <c r="G7" s="34">
        <v>0</v>
      </c>
      <c r="H7" s="34">
        <v>0</v>
      </c>
      <c r="I7" s="1"/>
      <c r="J7" s="1"/>
    </row>
    <row r="8" spans="1:10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41DF4-B6CA-4335-92CE-F6DD5C298F44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1.3016014821008825E-3</v>
      </c>
      <c r="C2">
        <v>1.2926576980307788E-3</v>
      </c>
      <c r="D2">
        <v>1.2869318658566659E-3</v>
      </c>
      <c r="E2">
        <v>1.2796983920849219E-3</v>
      </c>
      <c r="F2">
        <v>1.2723109001949813E-3</v>
      </c>
      <c r="G2">
        <v>1.2688722771223024E-3</v>
      </c>
      <c r="H2">
        <v>1.265614096179496E-3</v>
      </c>
      <c r="I2">
        <v>1.2602292006612041E-3</v>
      </c>
      <c r="J2">
        <v>1.2562225179555552E-3</v>
      </c>
      <c r="K2">
        <v>1.252664288663584E-3</v>
      </c>
      <c r="L2">
        <v>1.2501277882015535E-3</v>
      </c>
      <c r="M2">
        <v>1.2487082688849278E-3</v>
      </c>
      <c r="N2">
        <v>1.2467654435390108E-3</v>
      </c>
      <c r="O2">
        <v>1.2459379766549955E-3</v>
      </c>
      <c r="P2">
        <v>1.2454911060033728E-3</v>
      </c>
      <c r="Q2">
        <v>1.2451425075326549E-3</v>
      </c>
      <c r="R2">
        <v>1.2441678168462235E-3</v>
      </c>
      <c r="S2">
        <v>1.2437110831363233E-3</v>
      </c>
      <c r="T2">
        <v>1.2434472289246487E-3</v>
      </c>
      <c r="U2">
        <v>1.2431449346539255E-3</v>
      </c>
      <c r="V2">
        <v>1.242749474488683E-3</v>
      </c>
      <c r="W2">
        <v>1.2426414751633898E-3</v>
      </c>
      <c r="X2">
        <v>1.2425270452057901E-3</v>
      </c>
      <c r="Y2">
        <v>1.2423665768196443E-3</v>
      </c>
      <c r="Z2">
        <v>1.2423661582493899E-3</v>
      </c>
      <c r="AA2">
        <v>1.2424552878090294E-3</v>
      </c>
      <c r="AB2">
        <v>1.2425304264301077E-3</v>
      </c>
      <c r="AC2">
        <v>1.2424094170501326E-3</v>
      </c>
      <c r="AD2">
        <v>1.2423079259541866E-3</v>
      </c>
      <c r="AE2">
        <v>1.2421595174498235E-3</v>
      </c>
      <c r="AF2">
        <v>1.242184730573649E-3</v>
      </c>
    </row>
    <row r="3" spans="1:32">
      <c r="A3" s="1" t="s">
        <v>10</v>
      </c>
      <c r="B3">
        <v>3.8029529805498928E-4</v>
      </c>
      <c r="C3">
        <v>3.9476635103339935E-4</v>
      </c>
      <c r="D3">
        <v>4.0317709826518853E-4</v>
      </c>
      <c r="E3">
        <v>4.0861194678683542E-4</v>
      </c>
      <c r="F3">
        <v>4.1215478728194431E-4</v>
      </c>
      <c r="G3">
        <v>4.161380472574127E-4</v>
      </c>
      <c r="H3">
        <v>4.1864713672164384E-4</v>
      </c>
      <c r="I3">
        <v>4.1871977044755321E-4</v>
      </c>
      <c r="J3">
        <v>4.1845993448607482E-4</v>
      </c>
      <c r="K3">
        <v>4.1824574080425933E-4</v>
      </c>
      <c r="L3">
        <v>4.1892239620751885E-4</v>
      </c>
      <c r="M3">
        <v>4.1874050147763098E-4</v>
      </c>
      <c r="N3">
        <v>4.1850498686080801E-4</v>
      </c>
      <c r="O3">
        <v>4.1826480772119918E-4</v>
      </c>
      <c r="P3">
        <v>4.1829175912415644E-4</v>
      </c>
      <c r="Q3">
        <v>4.1761857347733379E-4</v>
      </c>
      <c r="R3">
        <v>4.1687945245925354E-4</v>
      </c>
      <c r="S3">
        <v>4.164113300533476E-4</v>
      </c>
      <c r="T3">
        <v>4.1613449901969674E-4</v>
      </c>
      <c r="U3">
        <v>4.1551323434343832E-4</v>
      </c>
      <c r="V3">
        <v>4.1503634236097445E-4</v>
      </c>
      <c r="W3">
        <v>4.1461933319641856E-4</v>
      </c>
      <c r="X3">
        <v>4.1413077690561246E-4</v>
      </c>
      <c r="Y3">
        <v>4.1366186353318095E-4</v>
      </c>
      <c r="Z3">
        <v>4.1331258589589651E-4</v>
      </c>
      <c r="AA3">
        <v>4.1306480490411649E-4</v>
      </c>
      <c r="AB3">
        <v>4.1264228513673742E-4</v>
      </c>
      <c r="AC3">
        <v>4.1222664654626295E-4</v>
      </c>
      <c r="AD3">
        <v>4.1170488758498282E-4</v>
      </c>
      <c r="AE3">
        <v>4.1134544874802168E-4</v>
      </c>
      <c r="AF3">
        <v>4.1101089728435994E-4</v>
      </c>
    </row>
    <row r="4" spans="1:32">
      <c r="A4" s="1" t="s">
        <v>11</v>
      </c>
      <c r="B4">
        <v>4.010435677007162E-4</v>
      </c>
      <c r="C4">
        <v>4.1543936179917892E-4</v>
      </c>
      <c r="D4">
        <v>4.232456921304615E-4</v>
      </c>
      <c r="E4">
        <v>4.284224989356039E-4</v>
      </c>
      <c r="F4">
        <v>4.3223887309206766E-4</v>
      </c>
      <c r="G4">
        <v>4.3661930301858122E-4</v>
      </c>
      <c r="H4">
        <v>4.4073837767711228E-4</v>
      </c>
      <c r="I4">
        <v>4.4130433819121803E-4</v>
      </c>
      <c r="J4">
        <v>4.4139330713525239E-4</v>
      </c>
      <c r="K4">
        <v>4.4143859386227608E-4</v>
      </c>
      <c r="L4">
        <v>4.4252278985937798E-4</v>
      </c>
      <c r="M4">
        <v>4.4258101673758966E-4</v>
      </c>
      <c r="N4">
        <v>4.4262644410952699E-4</v>
      </c>
      <c r="O4">
        <v>4.4263525674443374E-4</v>
      </c>
      <c r="P4">
        <v>4.428907913418545E-4</v>
      </c>
      <c r="Q4">
        <v>4.4235185104972023E-4</v>
      </c>
      <c r="R4">
        <v>4.4180682000362565E-4</v>
      </c>
      <c r="S4">
        <v>4.415169210975881E-4</v>
      </c>
      <c r="T4">
        <v>4.4141525513386555E-4</v>
      </c>
      <c r="U4">
        <v>4.4094858868260617E-4</v>
      </c>
      <c r="V4">
        <v>4.406528424788466E-4</v>
      </c>
      <c r="W4">
        <v>4.4046477188487546E-4</v>
      </c>
      <c r="X4">
        <v>4.4016736396697124E-4</v>
      </c>
      <c r="Y4">
        <v>4.3991921468742256E-4</v>
      </c>
      <c r="Z4">
        <v>4.3980677282836695E-4</v>
      </c>
      <c r="AA4">
        <v>4.3981133028276362E-4</v>
      </c>
      <c r="AB4">
        <v>4.3960459654073496E-4</v>
      </c>
      <c r="AC4">
        <v>4.3945697770705547E-4</v>
      </c>
      <c r="AD4">
        <v>4.3919624527100954E-4</v>
      </c>
      <c r="AE4">
        <v>4.3913823303573507E-4</v>
      </c>
      <c r="AF4">
        <v>4.3909651675542918E-4</v>
      </c>
    </row>
    <row r="5" spans="1:32">
      <c r="A5" s="1" t="s">
        <v>12</v>
      </c>
      <c r="B5">
        <v>4.2164836790723349E-4</v>
      </c>
      <c r="C5">
        <v>4.3038372468941308E-4</v>
      </c>
      <c r="D5">
        <v>4.3420465633630295E-4</v>
      </c>
      <c r="E5">
        <v>4.3755646869858035E-4</v>
      </c>
      <c r="F5">
        <v>4.3967943886681334E-4</v>
      </c>
      <c r="G5">
        <v>4.4460624002269991E-4</v>
      </c>
      <c r="H5">
        <v>4.4496012049244393E-4</v>
      </c>
      <c r="I5">
        <v>4.4386794465270786E-4</v>
      </c>
      <c r="J5">
        <v>4.4337540076502162E-4</v>
      </c>
      <c r="K5">
        <v>4.4271108702653624E-4</v>
      </c>
      <c r="L5">
        <v>4.4204868011526002E-4</v>
      </c>
      <c r="M5">
        <v>4.4134700384785902E-4</v>
      </c>
      <c r="N5">
        <v>4.4074150219218516E-4</v>
      </c>
      <c r="O5">
        <v>4.4004989920049426E-4</v>
      </c>
      <c r="P5">
        <v>4.3959873902550526E-4</v>
      </c>
      <c r="Q5">
        <v>4.3896791873294087E-4</v>
      </c>
      <c r="R5">
        <v>4.3853822206515422E-4</v>
      </c>
      <c r="S5">
        <v>4.380679289602619E-4</v>
      </c>
      <c r="T5">
        <v>4.3761382373608021E-4</v>
      </c>
      <c r="U5">
        <v>4.3728428606956427E-4</v>
      </c>
      <c r="V5">
        <v>4.3676208341619235E-4</v>
      </c>
      <c r="W5">
        <v>4.3641079058356913E-4</v>
      </c>
      <c r="X5">
        <v>4.3601813064876686E-4</v>
      </c>
      <c r="Y5">
        <v>4.3568341275915397E-4</v>
      </c>
      <c r="Z5">
        <v>4.3535955435881782E-4</v>
      </c>
      <c r="AA5">
        <v>4.3509879831850481E-4</v>
      </c>
      <c r="AB5">
        <v>4.3470212020737582E-4</v>
      </c>
      <c r="AC5">
        <v>4.3438066023618842E-4</v>
      </c>
      <c r="AD5">
        <v>4.3404466716966903E-4</v>
      </c>
      <c r="AE5">
        <v>4.3370047683290603E-4</v>
      </c>
      <c r="AF5">
        <v>4.3334687418764364E-4</v>
      </c>
    </row>
    <row r="6" spans="1:32">
      <c r="A6" s="1" t="s">
        <v>13</v>
      </c>
      <c r="B6">
        <v>6.5738318568648571E-4</v>
      </c>
      <c r="C6">
        <v>6.7868209237387732E-4</v>
      </c>
      <c r="D6">
        <v>6.8605104499600824E-4</v>
      </c>
      <c r="E6">
        <v>6.8995200477364748E-4</v>
      </c>
      <c r="F6">
        <v>7.0255070116778152E-4</v>
      </c>
      <c r="G6">
        <v>7.3075494105914415E-4</v>
      </c>
      <c r="H6">
        <v>7.6511494750975708E-4</v>
      </c>
      <c r="I6">
        <v>7.6729530817545215E-4</v>
      </c>
      <c r="J6">
        <v>7.6615763729175437E-4</v>
      </c>
      <c r="K6">
        <v>7.6497534983816374E-4</v>
      </c>
      <c r="L6">
        <v>7.6434508106930723E-4</v>
      </c>
      <c r="M6">
        <v>7.6297468642330408E-4</v>
      </c>
      <c r="N6">
        <v>7.6220701719009081E-4</v>
      </c>
      <c r="O6">
        <v>7.6135115263870209E-4</v>
      </c>
      <c r="P6">
        <v>7.6059039236971756E-4</v>
      </c>
      <c r="Q6">
        <v>7.5941521982376113E-4</v>
      </c>
      <c r="R6">
        <v>7.5865921051893645E-4</v>
      </c>
      <c r="S6">
        <v>7.5779553890121924E-4</v>
      </c>
      <c r="T6">
        <v>7.5675471415846706E-4</v>
      </c>
      <c r="U6">
        <v>7.5542246426100047E-4</v>
      </c>
      <c r="V6">
        <v>7.5410270573479155E-4</v>
      </c>
      <c r="W6">
        <v>7.5263393803100167E-4</v>
      </c>
      <c r="X6">
        <v>7.5087688624492623E-4</v>
      </c>
      <c r="Y6">
        <v>7.4906248631128583E-4</v>
      </c>
      <c r="Z6">
        <v>7.470071968170176E-4</v>
      </c>
      <c r="AA6">
        <v>7.4466971736164859E-4</v>
      </c>
      <c r="AB6">
        <v>7.4187742730834057E-4</v>
      </c>
      <c r="AC6">
        <v>7.3887113076972523E-4</v>
      </c>
      <c r="AD6">
        <v>7.3528955607294266E-4</v>
      </c>
      <c r="AE6">
        <v>7.3158063579575828E-4</v>
      </c>
      <c r="AF6">
        <v>7.2734242308217191E-4</v>
      </c>
    </row>
    <row r="7" spans="1:32">
      <c r="A7" s="1" t="s">
        <v>14</v>
      </c>
      <c r="B7">
        <v>3.6368321172053488E-4</v>
      </c>
      <c r="C7">
        <v>3.7519786349243767E-4</v>
      </c>
      <c r="D7">
        <v>3.8292342231539014E-4</v>
      </c>
      <c r="E7">
        <v>3.8737442480929154E-4</v>
      </c>
      <c r="F7">
        <v>3.9018162646122461E-4</v>
      </c>
      <c r="G7">
        <v>3.9393486543226201E-4</v>
      </c>
      <c r="H7">
        <v>3.958081254319439E-4</v>
      </c>
      <c r="I7">
        <v>3.958068662698271E-4</v>
      </c>
      <c r="J7">
        <v>3.9568870081904033E-4</v>
      </c>
      <c r="K7">
        <v>3.9552372368166668E-4</v>
      </c>
      <c r="L7">
        <v>3.9593709557582721E-4</v>
      </c>
      <c r="M7">
        <v>3.9597127514076109E-4</v>
      </c>
      <c r="N7">
        <v>3.9568311316840501E-4</v>
      </c>
      <c r="O7">
        <v>3.9545023752148126E-4</v>
      </c>
      <c r="P7">
        <v>3.9533735885442279E-4</v>
      </c>
      <c r="Q7">
        <v>3.9487850361981201E-4</v>
      </c>
      <c r="R7">
        <v>3.9428117062173101E-4</v>
      </c>
      <c r="S7">
        <v>3.9378231845382995E-4</v>
      </c>
      <c r="T7">
        <v>3.9349649872249946E-4</v>
      </c>
      <c r="U7">
        <v>3.9297415036491852E-4</v>
      </c>
      <c r="V7">
        <v>3.9250688719174123E-4</v>
      </c>
      <c r="W7">
        <v>3.9211185181415524E-4</v>
      </c>
      <c r="X7">
        <v>3.9168760952964436E-4</v>
      </c>
      <c r="Y7">
        <v>3.9122731880395569E-4</v>
      </c>
      <c r="Z7">
        <v>3.9085142797907205E-4</v>
      </c>
      <c r="AA7">
        <v>3.9051216876031034E-4</v>
      </c>
      <c r="AB7">
        <v>3.9011492927727893E-4</v>
      </c>
      <c r="AC7">
        <v>3.8968023550283847E-4</v>
      </c>
      <c r="AD7">
        <v>3.8920742031412479E-4</v>
      </c>
      <c r="AE7">
        <v>3.8876188063600889E-4</v>
      </c>
      <c r="AF7">
        <v>3.883715712735463E-4</v>
      </c>
    </row>
    <row r="8" spans="1:32">
      <c r="A8" s="1" t="s">
        <v>15</v>
      </c>
      <c r="B8">
        <v>5.8794415231938754E-4</v>
      </c>
      <c r="C8">
        <v>5.859697075889746E-4</v>
      </c>
      <c r="D8">
        <v>5.8487716230241557E-4</v>
      </c>
      <c r="E8">
        <v>5.8450715864569842E-4</v>
      </c>
      <c r="F8">
        <v>5.8509864619692446E-4</v>
      </c>
      <c r="G8">
        <v>5.8547838832553585E-4</v>
      </c>
      <c r="H8">
        <v>5.8677369900367977E-4</v>
      </c>
      <c r="I8">
        <v>5.8555189724455374E-4</v>
      </c>
      <c r="J8">
        <v>5.848624993596127E-4</v>
      </c>
      <c r="K8">
        <v>5.8392369578135807E-4</v>
      </c>
      <c r="L8">
        <v>5.8323582222320433E-4</v>
      </c>
      <c r="M8">
        <v>5.8232846507614633E-4</v>
      </c>
      <c r="N8">
        <v>5.8140476063791701E-4</v>
      </c>
      <c r="O8">
        <v>5.8053415348023238E-4</v>
      </c>
      <c r="P8">
        <v>5.7985999357189376E-4</v>
      </c>
      <c r="Q8">
        <v>5.790672010289583E-4</v>
      </c>
      <c r="R8">
        <v>5.783038784646057E-4</v>
      </c>
      <c r="S8">
        <v>5.7772941074558763E-4</v>
      </c>
      <c r="T8">
        <v>5.7728789584792482E-4</v>
      </c>
      <c r="U8">
        <v>5.7687866477931793E-4</v>
      </c>
      <c r="V8">
        <v>5.7657581365796442E-4</v>
      </c>
      <c r="W8">
        <v>5.7638685408458411E-4</v>
      </c>
      <c r="X8">
        <v>5.7622519119671751E-4</v>
      </c>
      <c r="Y8">
        <v>5.7612076801724784E-4</v>
      </c>
      <c r="Z8">
        <v>5.7610601336530144E-4</v>
      </c>
      <c r="AA8">
        <v>5.7616718513728532E-4</v>
      </c>
      <c r="AB8">
        <v>5.7619221096857649E-4</v>
      </c>
      <c r="AC8">
        <v>5.7620061572155568E-4</v>
      </c>
      <c r="AD8">
        <v>5.7622282038993897E-4</v>
      </c>
      <c r="AE8">
        <v>5.7625953419671364E-4</v>
      </c>
      <c r="AF8">
        <v>5.7635527402379559E-4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7918-D3AB-4AF1-9F44-DA1759B14BDC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1.3418728199415992E-4</v>
      </c>
      <c r="C2">
        <v>1.3640834056772384E-4</v>
      </c>
      <c r="D2">
        <v>1.3862939914128773E-4</v>
      </c>
      <c r="E2">
        <v>1.4085045771485165E-4</v>
      </c>
      <c r="F2">
        <v>1.4307151628841557E-4</v>
      </c>
      <c r="G2">
        <v>1.4529257486197946E-4</v>
      </c>
      <c r="H2">
        <v>1.4751363343554338E-4</v>
      </c>
      <c r="I2">
        <v>1.497346920091073E-4</v>
      </c>
      <c r="J2">
        <v>1.5195575058267119E-4</v>
      </c>
      <c r="K2">
        <v>1.5417680915623511E-4</v>
      </c>
      <c r="L2">
        <v>1.56397867729799E-4</v>
      </c>
      <c r="M2">
        <v>1.5861892630336292E-4</v>
      </c>
      <c r="N2">
        <v>1.6083998487692684E-4</v>
      </c>
      <c r="O2">
        <v>1.6306104345049073E-4</v>
      </c>
      <c r="P2">
        <v>1.6528210202405464E-4</v>
      </c>
      <c r="Q2">
        <v>1.6750316059761856E-4</v>
      </c>
      <c r="R2">
        <v>1.6972421917118245E-4</v>
      </c>
      <c r="S2">
        <v>1.7194527774474637E-4</v>
      </c>
      <c r="T2">
        <v>1.7416633631831029E-4</v>
      </c>
      <c r="U2">
        <v>1.7638739489187418E-4</v>
      </c>
      <c r="V2">
        <v>1.786084534654381E-4</v>
      </c>
      <c r="W2">
        <v>1.8082951203900199E-4</v>
      </c>
      <c r="X2">
        <v>1.8305057061256591E-4</v>
      </c>
      <c r="Y2">
        <v>1.8527162918612983E-4</v>
      </c>
      <c r="Z2">
        <v>1.8749268775969375E-4</v>
      </c>
      <c r="AA2">
        <v>1.8971374633325764E-4</v>
      </c>
      <c r="AB2">
        <v>1.9193480490682156E-4</v>
      </c>
      <c r="AC2">
        <v>1.9415586348038545E-4</v>
      </c>
      <c r="AD2">
        <v>1.9637692205394937E-4</v>
      </c>
      <c r="AE2">
        <v>1.9859798062751328E-4</v>
      </c>
      <c r="AF2">
        <v>2.008190392010772E-4</v>
      </c>
    </row>
    <row r="3" spans="1:32">
      <c r="A3" s="1" t="s">
        <v>10</v>
      </c>
      <c r="B3">
        <v>7.6006288669010344E-5</v>
      </c>
      <c r="C3">
        <v>7.6080376741914172E-5</v>
      </c>
      <c r="D3">
        <v>7.5743043666375457E-5</v>
      </c>
      <c r="E3">
        <v>7.5724277835314714E-5</v>
      </c>
      <c r="F3">
        <v>7.5855615749214229E-5</v>
      </c>
      <c r="G3">
        <v>7.6274191346832132E-5</v>
      </c>
      <c r="H3">
        <v>7.664460235057268E-5</v>
      </c>
      <c r="I3">
        <v>7.6861170255864997E-5</v>
      </c>
      <c r="J3">
        <v>7.6261937953287745E-5</v>
      </c>
      <c r="K3">
        <v>7.6089615966585825E-5</v>
      </c>
      <c r="L3">
        <v>7.5843506963502549E-5</v>
      </c>
      <c r="M3">
        <v>7.5469291426432186E-5</v>
      </c>
      <c r="N3">
        <v>7.4950369589322721E-5</v>
      </c>
      <c r="O3">
        <v>7.4315905351409709E-5</v>
      </c>
      <c r="P3">
        <v>7.3756483653024548E-5</v>
      </c>
      <c r="Q3">
        <v>7.3125173956256506E-5</v>
      </c>
      <c r="R3">
        <v>7.2690935039744075E-5</v>
      </c>
      <c r="S3">
        <v>7.2177151906125642E-5</v>
      </c>
      <c r="T3">
        <v>7.1871648297494589E-5</v>
      </c>
      <c r="U3">
        <v>7.1640208537458242E-5</v>
      </c>
      <c r="V3">
        <v>7.1448077325544755E-5</v>
      </c>
      <c r="W3">
        <v>7.1284562722858101E-5</v>
      </c>
      <c r="X3">
        <v>7.1121073609261765E-5</v>
      </c>
      <c r="Y3">
        <v>7.0997642281631361E-5</v>
      </c>
      <c r="Z3">
        <v>7.0894291213070466E-5</v>
      </c>
      <c r="AA3">
        <v>7.0792139726689904E-5</v>
      </c>
      <c r="AB3">
        <v>7.0714033031888464E-5</v>
      </c>
      <c r="AC3">
        <v>7.0561603706842998E-5</v>
      </c>
      <c r="AD3">
        <v>7.0407765905464056E-5</v>
      </c>
      <c r="AE3">
        <v>7.0265570249012377E-5</v>
      </c>
      <c r="AF3">
        <v>7.0125408470328278E-5</v>
      </c>
    </row>
    <row r="4" spans="1:32">
      <c r="A4" s="1" t="s">
        <v>11</v>
      </c>
      <c r="B4">
        <v>1.157863591831631E-4</v>
      </c>
      <c r="C4">
        <v>1.1589922337335911E-4</v>
      </c>
      <c r="D4">
        <v>1.1538533736033749E-4</v>
      </c>
      <c r="E4">
        <v>1.1535674989351573E-4</v>
      </c>
      <c r="F4">
        <v>1.1555682727052541E-4</v>
      </c>
      <c r="G4">
        <v>1.1619447640903485E-4</v>
      </c>
      <c r="H4">
        <v>1.1675875263243092E-4</v>
      </c>
      <c r="I4">
        <v>1.170886675606406E-4</v>
      </c>
      <c r="J4">
        <v>1.1617580985063572E-4</v>
      </c>
      <c r="K4">
        <v>1.1591329821118029E-4</v>
      </c>
      <c r="L4">
        <v>1.1553838100461461E-4</v>
      </c>
      <c r="M4">
        <v>1.1496830903628264E-4</v>
      </c>
      <c r="N4">
        <v>1.1417779457660161E-4</v>
      </c>
      <c r="O4">
        <v>1.1321126528769265E-4</v>
      </c>
      <c r="P4">
        <v>1.1235905420307894E-4</v>
      </c>
      <c r="Q4">
        <v>1.113973304748738E-4</v>
      </c>
      <c r="R4">
        <v>1.1073582017040977E-4</v>
      </c>
      <c r="S4">
        <v>1.099531339020346E-4</v>
      </c>
      <c r="T4">
        <v>1.0948773622007766E-4</v>
      </c>
      <c r="U4">
        <v>1.0913516582552083E-4</v>
      </c>
      <c r="V4">
        <v>1.0884247723484658E-4</v>
      </c>
      <c r="W4">
        <v>1.085933825763662E-4</v>
      </c>
      <c r="X4">
        <v>1.083443267474224E-4</v>
      </c>
      <c r="Y4">
        <v>1.0815629409531245E-4</v>
      </c>
      <c r="Z4">
        <v>1.0799885128162017E-4</v>
      </c>
      <c r="AA4">
        <v>1.078432358858381E-4</v>
      </c>
      <c r="AB4">
        <v>1.0772424981274788E-4</v>
      </c>
      <c r="AC4">
        <v>1.0749204222981193E-4</v>
      </c>
      <c r="AD4">
        <v>1.0725768900406794E-4</v>
      </c>
      <c r="AE4">
        <v>1.0704107117361582E-4</v>
      </c>
      <c r="AF4">
        <v>1.0682755170917861E-4</v>
      </c>
    </row>
    <row r="5" spans="1:32">
      <c r="A5" s="1" t="s">
        <v>12</v>
      </c>
      <c r="B5">
        <v>8.201551487503343E-5</v>
      </c>
      <c r="C5">
        <v>8.2095460515739128E-5</v>
      </c>
      <c r="D5">
        <v>8.1731457137082305E-5</v>
      </c>
      <c r="E5">
        <v>8.171120763768617E-5</v>
      </c>
      <c r="F5">
        <v>8.1852929419129673E-5</v>
      </c>
      <c r="G5">
        <v>8.2304598534329538E-5</v>
      </c>
      <c r="H5">
        <v>8.2704295055751004E-5</v>
      </c>
      <c r="I5">
        <v>8.2937985301242487E-5</v>
      </c>
      <c r="J5">
        <v>8.2291376360242263E-5</v>
      </c>
      <c r="K5">
        <v>8.2105430214059649E-5</v>
      </c>
      <c r="L5">
        <v>8.1839863285891951E-5</v>
      </c>
      <c r="M5">
        <v>8.1436061436275037E-5</v>
      </c>
      <c r="N5">
        <v>8.0876112484738039E-5</v>
      </c>
      <c r="O5">
        <v>8.0191486093245156E-5</v>
      </c>
      <c r="P5">
        <v>7.9587835271335844E-5</v>
      </c>
      <c r="Q5">
        <v>7.8906612826025961E-5</v>
      </c>
      <c r="R5">
        <v>7.8438042015107454E-5</v>
      </c>
      <c r="S5">
        <v>7.7883638044387005E-5</v>
      </c>
      <c r="T5">
        <v>7.7553980641074374E-5</v>
      </c>
      <c r="U5">
        <v>7.7304242738930563E-5</v>
      </c>
      <c r="V5">
        <v>7.7096921206139103E-5</v>
      </c>
      <c r="W5">
        <v>7.6920478775337981E-5</v>
      </c>
      <c r="X5">
        <v>7.6744063848851346E-5</v>
      </c>
      <c r="Y5">
        <v>7.6610873765970154E-5</v>
      </c>
      <c r="Z5">
        <v>7.6499351532095263E-5</v>
      </c>
      <c r="AA5">
        <v>7.638912372203555E-5</v>
      </c>
      <c r="AB5">
        <v>7.6304841738248364E-5</v>
      </c>
      <c r="AC5">
        <v>7.6140361011790326E-5</v>
      </c>
      <c r="AD5">
        <v>7.5974360451727698E-5</v>
      </c>
      <c r="AE5">
        <v>7.5820922490460257E-5</v>
      </c>
      <c r="AF5">
        <v>7.5669679209859657E-5</v>
      </c>
    </row>
    <row r="6" spans="1:32">
      <c r="A6" s="1" t="s">
        <v>13</v>
      </c>
      <c r="B6">
        <v>1.2590686672921136E-4</v>
      </c>
      <c r="C6">
        <v>1.2717923783025971E-4</v>
      </c>
      <c r="D6">
        <v>1.2816957133986013E-4</v>
      </c>
      <c r="E6">
        <v>1.2937828919525049E-4</v>
      </c>
      <c r="F6">
        <v>1.30689906230365E-4</v>
      </c>
      <c r="G6">
        <v>1.3219843055815438E-4</v>
      </c>
      <c r="H6">
        <v>1.3367393707414276E-4</v>
      </c>
      <c r="I6">
        <v>1.3504398100729726E-4</v>
      </c>
      <c r="J6">
        <v>1.3585477725325522E-4</v>
      </c>
      <c r="K6">
        <v>1.3695822923096045E-4</v>
      </c>
      <c r="L6">
        <v>1.3801109870346603E-4</v>
      </c>
      <c r="M6">
        <v>1.389761485331768E-4</v>
      </c>
      <c r="N6">
        <v>1.3984199924178047E-4</v>
      </c>
      <c r="O6">
        <v>1.4062864327723159E-4</v>
      </c>
      <c r="P6">
        <v>1.414667305046156E-4</v>
      </c>
      <c r="Q6">
        <v>1.4225553704238342E-4</v>
      </c>
      <c r="R6">
        <v>1.4317943962083475E-4</v>
      </c>
      <c r="S6">
        <v>1.4404881301552608E-4</v>
      </c>
      <c r="T6">
        <v>1.4506096627410562E-4</v>
      </c>
      <c r="U6">
        <v>1.4612389181201517E-4</v>
      </c>
      <c r="V6">
        <v>1.4721376416167192E-4</v>
      </c>
      <c r="W6">
        <v>1.483232537808159E-4</v>
      </c>
      <c r="X6">
        <v>1.4943276087325133E-4</v>
      </c>
      <c r="Y6">
        <v>1.5056972839526199E-4</v>
      </c>
      <c r="Z6">
        <v>1.5172046134456063E-4</v>
      </c>
      <c r="AA6">
        <v>1.5287201663191885E-4</v>
      </c>
      <c r="AB6">
        <v>1.5404005511448842E-4</v>
      </c>
      <c r="AC6">
        <v>1.5515714391762736E-4</v>
      </c>
      <c r="AD6">
        <v>1.5627326718150274E-4</v>
      </c>
      <c r="AE6">
        <v>1.5739737137325944E-4</v>
      </c>
      <c r="AF6">
        <v>1.5852286982972284E-4</v>
      </c>
    </row>
    <row r="7" spans="1:32">
      <c r="A7" s="1" t="s">
        <v>14</v>
      </c>
      <c r="B7">
        <v>4.4583709051118848E-5</v>
      </c>
      <c r="C7">
        <v>4.4627167574674539E-5</v>
      </c>
      <c r="D7">
        <v>4.4429295004437204E-5</v>
      </c>
      <c r="E7">
        <v>4.4418287358007338E-5</v>
      </c>
      <c r="F7">
        <v>4.4495327448284301E-5</v>
      </c>
      <c r="G7">
        <v>4.4740855193249741E-5</v>
      </c>
      <c r="H7">
        <v>4.4958130588605744E-5</v>
      </c>
      <c r="I7">
        <v>4.508516482022584E-5</v>
      </c>
      <c r="J7">
        <v>4.4733667607298132E-5</v>
      </c>
      <c r="K7">
        <v>4.4632587111818528E-5</v>
      </c>
      <c r="L7">
        <v>4.4488224686281508E-5</v>
      </c>
      <c r="M7">
        <v>4.4268717630756032E-5</v>
      </c>
      <c r="N7">
        <v>4.3964328867522117E-5</v>
      </c>
      <c r="O7">
        <v>4.3592165333664591E-5</v>
      </c>
      <c r="P7">
        <v>4.3264020193644674E-5</v>
      </c>
      <c r="Q7">
        <v>4.2893707048051865E-5</v>
      </c>
      <c r="R7">
        <v>4.2638991525803811E-5</v>
      </c>
      <c r="S7">
        <v>4.2337617019223595E-5</v>
      </c>
      <c r="T7">
        <v>4.2158414952660556E-5</v>
      </c>
      <c r="U7">
        <v>4.2022657200176995E-5</v>
      </c>
      <c r="V7">
        <v>4.1909957024946854E-5</v>
      </c>
      <c r="W7">
        <v>4.1814042757858543E-5</v>
      </c>
      <c r="X7">
        <v>4.1718143442140791E-5</v>
      </c>
      <c r="Y7">
        <v>4.1645741191021392E-5</v>
      </c>
      <c r="Z7">
        <v>4.158511760247982E-5</v>
      </c>
      <c r="AA7">
        <v>4.1525197663910494E-5</v>
      </c>
      <c r="AB7">
        <v>4.1479381900281561E-5</v>
      </c>
      <c r="AC7">
        <v>4.1389970026636733E-5</v>
      </c>
      <c r="AD7">
        <v>4.1299731970051566E-5</v>
      </c>
      <c r="AE7">
        <v>4.121632295368475E-5</v>
      </c>
      <c r="AF7">
        <v>4.1134106967739804E-5</v>
      </c>
    </row>
    <row r="8" spans="1:32">
      <c r="A8" s="1" t="s">
        <v>15</v>
      </c>
      <c r="B8">
        <v>2.4604654462510026E-4</v>
      </c>
      <c r="C8">
        <v>2.462863815472174E-4</v>
      </c>
      <c r="D8">
        <v>2.4519437141124688E-4</v>
      </c>
      <c r="E8">
        <v>2.4513362291305851E-4</v>
      </c>
      <c r="F8">
        <v>2.4555878825738899E-4</v>
      </c>
      <c r="G8">
        <v>2.4691379560298857E-4</v>
      </c>
      <c r="H8">
        <v>2.4811288516725301E-4</v>
      </c>
      <c r="I8">
        <v>2.4881395590372739E-4</v>
      </c>
      <c r="J8">
        <v>2.4687412908072675E-4</v>
      </c>
      <c r="K8">
        <v>2.4631629064217889E-4</v>
      </c>
      <c r="L8">
        <v>2.4551958985767581E-4</v>
      </c>
      <c r="M8">
        <v>2.4430818430882508E-4</v>
      </c>
      <c r="N8">
        <v>2.4262833745421412E-4</v>
      </c>
      <c r="O8">
        <v>2.4057445827973541E-4</v>
      </c>
      <c r="P8">
        <v>2.3876350581400748E-4</v>
      </c>
      <c r="Q8">
        <v>2.3671983847807786E-4</v>
      </c>
      <c r="R8">
        <v>2.3531412604532232E-4</v>
      </c>
      <c r="S8">
        <v>2.33650914133161E-4</v>
      </c>
      <c r="T8">
        <v>2.3266194192322309E-4</v>
      </c>
      <c r="U8">
        <v>2.3191272821679169E-4</v>
      </c>
      <c r="V8">
        <v>2.3129076361841732E-4</v>
      </c>
      <c r="W8">
        <v>2.3076143632601393E-4</v>
      </c>
      <c r="X8">
        <v>2.3023219154655404E-4</v>
      </c>
      <c r="Y8">
        <v>2.2983262129791046E-4</v>
      </c>
      <c r="Z8">
        <v>2.2949805459628579E-4</v>
      </c>
      <c r="AA8">
        <v>2.2916737116610668E-4</v>
      </c>
      <c r="AB8">
        <v>2.2891452521474505E-4</v>
      </c>
      <c r="AC8">
        <v>2.2842108303537095E-4</v>
      </c>
      <c r="AD8">
        <v>2.2792308135518305E-4</v>
      </c>
      <c r="AE8">
        <v>2.2746276747138072E-4</v>
      </c>
      <c r="AF8">
        <v>2.2700903762957897E-4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EF649-2F60-4C68-9D3E-7AFAA71FE386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3.1663477151009402E-3</v>
      </c>
      <c r="C2">
        <v>4.4079595093891597E-3</v>
      </c>
      <c r="D2">
        <v>4.4499552617472604E-3</v>
      </c>
      <c r="E2">
        <v>4.5052438778823926E-3</v>
      </c>
      <c r="F2">
        <v>4.5727808524734324E-3</v>
      </c>
      <c r="G2">
        <v>4.6568996641535541E-3</v>
      </c>
      <c r="H2">
        <v>4.7577561904264291E-3</v>
      </c>
      <c r="I2">
        <v>4.8608689490301296E-3</v>
      </c>
      <c r="J2">
        <v>4.9072532203259349E-3</v>
      </c>
      <c r="K2">
        <v>4.9900615685721924E-3</v>
      </c>
      <c r="L2">
        <v>5.0684759358657905E-3</v>
      </c>
      <c r="M2">
        <v>5.1401510170166632E-3</v>
      </c>
      <c r="N2">
        <v>5.1812984764369732E-3</v>
      </c>
      <c r="O2">
        <v>5.1861210154859894E-3</v>
      </c>
      <c r="P2">
        <v>5.1896536786959673E-3</v>
      </c>
      <c r="Q2">
        <v>5.1900028274979998E-3</v>
      </c>
      <c r="R2">
        <v>5.189671325205817E-3</v>
      </c>
      <c r="S2">
        <v>5.1889402555120303E-3</v>
      </c>
      <c r="T2">
        <v>5.1880016292500074E-3</v>
      </c>
      <c r="U2">
        <v>5.1869966184985477E-3</v>
      </c>
      <c r="V2">
        <v>5.1859319457375963E-3</v>
      </c>
      <c r="W2">
        <v>5.1847290419828199E-3</v>
      </c>
      <c r="X2">
        <v>5.1833484126645527E-3</v>
      </c>
      <c r="Y2">
        <v>5.1820211430308322E-3</v>
      </c>
      <c r="Z2">
        <v>5.1808115167961116E-3</v>
      </c>
      <c r="AA2">
        <v>5.1796770983057539E-3</v>
      </c>
      <c r="AB2">
        <v>5.1786166270947646E-3</v>
      </c>
      <c r="AC2">
        <v>5.1776036333983739E-3</v>
      </c>
      <c r="AD2">
        <v>5.1766360164415964E-3</v>
      </c>
      <c r="AE2">
        <v>5.1757179777743995E-3</v>
      </c>
      <c r="AF2">
        <v>5.1748444755368222E-3</v>
      </c>
    </row>
    <row r="3" spans="1:32">
      <c r="A3" s="1" t="s">
        <v>10</v>
      </c>
      <c r="B3">
        <v>8.4430740727243017E-4</v>
      </c>
      <c r="C3">
        <v>8.5584739574332729E-4</v>
      </c>
      <c r="D3">
        <v>8.6929128531010823E-4</v>
      </c>
      <c r="E3">
        <v>8.8589111695567169E-4</v>
      </c>
      <c r="F3">
        <v>9.0644258910400281E-4</v>
      </c>
      <c r="G3">
        <v>9.3018481598049565E-4</v>
      </c>
      <c r="H3">
        <v>9.5583701592660115E-4</v>
      </c>
      <c r="I3">
        <v>9.8234846762172072E-4</v>
      </c>
      <c r="J3">
        <v>9.9585483105153446E-4</v>
      </c>
      <c r="K3">
        <v>1.0155987306939222E-3</v>
      </c>
      <c r="L3">
        <v>1.0323399718609944E-3</v>
      </c>
      <c r="M3">
        <v>1.0472122595143114E-3</v>
      </c>
      <c r="N3">
        <v>1.0560436079711214E-3</v>
      </c>
      <c r="O3">
        <v>1.0571414208213061E-3</v>
      </c>
      <c r="P3">
        <v>1.0579798929268925E-3</v>
      </c>
      <c r="Q3">
        <v>1.0580681389450858E-3</v>
      </c>
      <c r="R3">
        <v>1.0584918277786134E-3</v>
      </c>
      <c r="S3">
        <v>1.058841978263647E-3</v>
      </c>
      <c r="T3">
        <v>1.058932518138582E-3</v>
      </c>
      <c r="U3">
        <v>1.0588075704125162E-3</v>
      </c>
      <c r="V3">
        <v>1.0588006888422902E-3</v>
      </c>
      <c r="W3">
        <v>1.0588079752107647E-3</v>
      </c>
      <c r="X3">
        <v>1.0588168807722338E-3</v>
      </c>
      <c r="Y3">
        <v>1.0587534623799542E-3</v>
      </c>
      <c r="Z3">
        <v>1.0588186348979779E-3</v>
      </c>
      <c r="AA3">
        <v>1.0589867611038935E-3</v>
      </c>
      <c r="AB3">
        <v>1.0589770459459274E-3</v>
      </c>
      <c r="AC3">
        <v>1.0592625636439352E-3</v>
      </c>
      <c r="AD3">
        <v>1.0597098657086307E-3</v>
      </c>
      <c r="AE3">
        <v>1.0602143792591274E-3</v>
      </c>
      <c r="AF3">
        <v>1.0607856845206423E-3</v>
      </c>
    </row>
    <row r="4" spans="1:32">
      <c r="A4" s="1" t="s">
        <v>11</v>
      </c>
      <c r="B4">
        <v>9.8510865378970158E-4</v>
      </c>
      <c r="C4">
        <v>9.9857311283553583E-4</v>
      </c>
      <c r="D4">
        <v>1.0142589777690357E-3</v>
      </c>
      <c r="E4">
        <v>1.0336270866647336E-3</v>
      </c>
      <c r="F4">
        <v>1.0576058328975104E-3</v>
      </c>
      <c r="G4">
        <v>1.0853074412866034E-3</v>
      </c>
      <c r="H4">
        <v>1.1152375401321042E-3</v>
      </c>
      <c r="I4">
        <v>1.1461701841719817E-3</v>
      </c>
      <c r="J4">
        <v>1.1619289414460904E-3</v>
      </c>
      <c r="K4">
        <v>1.1849654400362248E-3</v>
      </c>
      <c r="L4">
        <v>1.2044985406661731E-3</v>
      </c>
      <c r="M4">
        <v>1.2218510110374359E-3</v>
      </c>
      <c r="N4">
        <v>1.2321551226850418E-3</v>
      </c>
      <c r="O4">
        <v>1.2334360127135354E-3</v>
      </c>
      <c r="P4">
        <v>1.2344143129393297E-3</v>
      </c>
      <c r="Q4">
        <v>1.2345172753383752E-3</v>
      </c>
      <c r="R4">
        <v>1.2350116208016829E-3</v>
      </c>
      <c r="S4">
        <v>1.235420164265786E-3</v>
      </c>
      <c r="T4">
        <v>1.235525803057467E-3</v>
      </c>
      <c r="U4">
        <v>1.2353800183762496E-3</v>
      </c>
      <c r="V4">
        <v>1.2353719891983425E-3</v>
      </c>
      <c r="W4">
        <v>1.2353804906808325E-3</v>
      </c>
      <c r="X4">
        <v>1.2353908813816535E-3</v>
      </c>
      <c r="Y4">
        <v>1.2353168869970183E-3</v>
      </c>
      <c r="Z4">
        <v>1.2353929280348455E-3</v>
      </c>
      <c r="AA4">
        <v>1.2355890918715595E-3</v>
      </c>
      <c r="AB4">
        <v>1.2355777565615728E-3</v>
      </c>
      <c r="AC4">
        <v>1.2359108887272918E-3</v>
      </c>
      <c r="AD4">
        <v>1.2364327852912617E-3</v>
      </c>
      <c r="AE4">
        <v>1.2370214342362642E-3</v>
      </c>
      <c r="AF4">
        <v>1.237688013437425E-3</v>
      </c>
    </row>
    <row r="5" spans="1:32">
      <c r="A5" s="1" t="s">
        <v>12</v>
      </c>
      <c r="B5">
        <v>9.8533458931645266E-4</v>
      </c>
      <c r="C5">
        <v>9.988021364476826E-4</v>
      </c>
      <c r="D5">
        <v>1.0144915989479513E-3</v>
      </c>
      <c r="E5">
        <v>1.0338641499362739E-3</v>
      </c>
      <c r="F5">
        <v>1.0578483957153595E-3</v>
      </c>
      <c r="G5">
        <v>1.0855563574924357E-3</v>
      </c>
      <c r="H5">
        <v>1.1154933208321449E-3</v>
      </c>
      <c r="I5">
        <v>1.146433059300843E-3</v>
      </c>
      <c r="J5">
        <v>1.162195430859642E-3</v>
      </c>
      <c r="K5">
        <v>1.1852372128907688E-3</v>
      </c>
      <c r="L5">
        <v>1.2047747934543398E-3</v>
      </c>
      <c r="M5">
        <v>1.2221312436297778E-3</v>
      </c>
      <c r="N5">
        <v>1.2324377185343545E-3</v>
      </c>
      <c r="O5">
        <v>1.2337189023360906E-3</v>
      </c>
      <c r="P5">
        <v>1.2346974269358923E-3</v>
      </c>
      <c r="Q5">
        <v>1.2348004129494538E-3</v>
      </c>
      <c r="R5">
        <v>1.2352948717913239E-3</v>
      </c>
      <c r="S5">
        <v>1.2357035089552255E-3</v>
      </c>
      <c r="T5">
        <v>1.2358091719752555E-3</v>
      </c>
      <c r="U5">
        <v>1.2356633538581946E-3</v>
      </c>
      <c r="V5">
        <v>1.2356553228387885E-3</v>
      </c>
      <c r="W5">
        <v>1.2356638262711007E-3</v>
      </c>
      <c r="X5">
        <v>1.2356742193550382E-3</v>
      </c>
      <c r="Y5">
        <v>1.2356002079997265E-3</v>
      </c>
      <c r="Z5">
        <v>1.2356762664776318E-3</v>
      </c>
      <c r="AA5">
        <v>1.2358724753046924E-3</v>
      </c>
      <c r="AB5">
        <v>1.2358611373949426E-3</v>
      </c>
      <c r="AC5">
        <v>1.236194345964814E-3</v>
      </c>
      <c r="AD5">
        <v>1.2367163622262144E-3</v>
      </c>
      <c r="AE5">
        <v>1.2373051461783645E-3</v>
      </c>
      <c r="AF5">
        <v>1.2379718782600448E-3</v>
      </c>
    </row>
    <row r="6" spans="1:32">
      <c r="A6" s="1" t="s">
        <v>13</v>
      </c>
      <c r="B6">
        <v>2.184891808497921E-3</v>
      </c>
      <c r="C6">
        <v>2.2147548963531811E-3</v>
      </c>
      <c r="D6">
        <v>2.2495448839048742E-3</v>
      </c>
      <c r="E6">
        <v>2.2925017925763316E-3</v>
      </c>
      <c r="F6">
        <v>2.3456847242463524E-3</v>
      </c>
      <c r="G6">
        <v>2.4071246649256953E-3</v>
      </c>
      <c r="H6">
        <v>2.4735072183054651E-3</v>
      </c>
      <c r="I6">
        <v>2.5421133363391591E-3</v>
      </c>
      <c r="J6">
        <v>2.577064993243046E-3</v>
      </c>
      <c r="K6">
        <v>2.6281580953820141E-3</v>
      </c>
      <c r="L6">
        <v>2.671480942457572E-3</v>
      </c>
      <c r="M6">
        <v>2.7099673269041225E-3</v>
      </c>
      <c r="N6">
        <v>2.7328210182670939E-3</v>
      </c>
      <c r="O6">
        <v>2.7356619293890062E-3</v>
      </c>
      <c r="P6">
        <v>2.7378317206514886E-3</v>
      </c>
      <c r="Q6">
        <v>2.7380600829761854E-3</v>
      </c>
      <c r="R6">
        <v>2.7391565014770218E-3</v>
      </c>
      <c r="S6">
        <v>2.740062618040611E-3</v>
      </c>
      <c r="T6">
        <v>2.7402969163890381E-3</v>
      </c>
      <c r="U6">
        <v>2.7399735776846507E-3</v>
      </c>
      <c r="V6">
        <v>2.7399557696134594E-3</v>
      </c>
      <c r="W6">
        <v>2.7399746252182505E-3</v>
      </c>
      <c r="X6">
        <v>2.7399976709574399E-3</v>
      </c>
      <c r="Y6">
        <v>2.7398335573601816E-3</v>
      </c>
      <c r="Z6">
        <v>2.7400022102697045E-3</v>
      </c>
      <c r="AA6">
        <v>2.740437285891374E-3</v>
      </c>
      <c r="AB6">
        <v>2.7404121450849859E-3</v>
      </c>
      <c r="AC6">
        <v>2.741151005450517E-3</v>
      </c>
      <c r="AD6">
        <v>2.7423085300779925E-3</v>
      </c>
      <c r="AE6">
        <v>2.7436141061208679E-3</v>
      </c>
      <c r="AF6">
        <v>2.7450925252076636E-3</v>
      </c>
    </row>
    <row r="7" spans="1:32">
      <c r="A7" s="1" t="s">
        <v>14</v>
      </c>
      <c r="B7">
        <v>9.8533458931645266E-4</v>
      </c>
      <c r="C7">
        <v>9.988021364476826E-4</v>
      </c>
      <c r="D7">
        <v>1.0144915989479511E-3</v>
      </c>
      <c r="E7">
        <v>1.0338641499362737E-3</v>
      </c>
      <c r="F7">
        <v>1.0578483957153595E-3</v>
      </c>
      <c r="G7">
        <v>1.0855563574924359E-3</v>
      </c>
      <c r="H7">
        <v>1.1154933208321449E-3</v>
      </c>
      <c r="I7">
        <v>1.146433059300843E-3</v>
      </c>
      <c r="J7">
        <v>1.162195430859642E-3</v>
      </c>
      <c r="K7">
        <v>1.185237212890769E-3</v>
      </c>
      <c r="L7">
        <v>1.2047747934543398E-3</v>
      </c>
      <c r="M7">
        <v>1.222131243629778E-3</v>
      </c>
      <c r="N7">
        <v>1.2324377185343543E-3</v>
      </c>
      <c r="O7">
        <v>1.2337189023360906E-3</v>
      </c>
      <c r="P7">
        <v>1.2346974269358923E-3</v>
      </c>
      <c r="Q7">
        <v>1.2348004129494538E-3</v>
      </c>
      <c r="R7">
        <v>1.2352948717913237E-3</v>
      </c>
      <c r="S7">
        <v>1.2357035089552253E-3</v>
      </c>
      <c r="T7">
        <v>1.2358091719752557E-3</v>
      </c>
      <c r="U7">
        <v>1.2356633538581946E-3</v>
      </c>
      <c r="V7">
        <v>1.2356553228387885E-3</v>
      </c>
      <c r="W7">
        <v>1.2356638262711007E-3</v>
      </c>
      <c r="X7">
        <v>1.2356742193550382E-3</v>
      </c>
      <c r="Y7">
        <v>1.2356002079997265E-3</v>
      </c>
      <c r="Z7">
        <v>1.2356762664776323E-3</v>
      </c>
      <c r="AA7">
        <v>1.2358724753046926E-3</v>
      </c>
      <c r="AB7">
        <v>1.2358611373949424E-3</v>
      </c>
      <c r="AC7">
        <v>1.236194345964814E-3</v>
      </c>
      <c r="AD7">
        <v>1.2367163622262144E-3</v>
      </c>
      <c r="AE7">
        <v>1.2373051461783645E-3</v>
      </c>
      <c r="AF7">
        <v>1.2379718782600448E-3</v>
      </c>
    </row>
    <row r="8" spans="1:32">
      <c r="A8" s="1" t="s">
        <v>15</v>
      </c>
      <c r="B8">
        <v>2.9560037679493573E-3</v>
      </c>
      <c r="C8">
        <v>2.9964064093430461E-3</v>
      </c>
      <c r="D8">
        <v>3.0434747968438526E-3</v>
      </c>
      <c r="E8">
        <v>3.1015924498088211E-3</v>
      </c>
      <c r="F8">
        <v>3.1735451871460771E-3</v>
      </c>
      <c r="G8">
        <v>3.2566690724773069E-3</v>
      </c>
      <c r="H8">
        <v>3.3464799624964331E-3</v>
      </c>
      <c r="I8">
        <v>3.439299177902528E-3</v>
      </c>
      <c r="J8">
        <v>3.4865862925789249E-3</v>
      </c>
      <c r="K8">
        <v>3.5557116386723056E-3</v>
      </c>
      <c r="L8">
        <v>3.6143243803630188E-3</v>
      </c>
      <c r="M8">
        <v>3.6663937308893326E-3</v>
      </c>
      <c r="N8">
        <v>3.6973131556030628E-3</v>
      </c>
      <c r="O8">
        <v>3.7011567070082707E-3</v>
      </c>
      <c r="P8">
        <v>3.704092280807677E-3</v>
      </c>
      <c r="Q8">
        <v>3.7044012388483608E-3</v>
      </c>
      <c r="R8">
        <v>3.7058846153739697E-3</v>
      </c>
      <c r="S8">
        <v>3.7071105268656757E-3</v>
      </c>
      <c r="T8">
        <v>3.7074275159257658E-3</v>
      </c>
      <c r="U8">
        <v>3.706990061574583E-3</v>
      </c>
      <c r="V8">
        <v>3.7069659685163648E-3</v>
      </c>
      <c r="W8">
        <v>3.7069914788133013E-3</v>
      </c>
      <c r="X8">
        <v>3.707022658065114E-3</v>
      </c>
      <c r="Y8">
        <v>3.7068006239991788E-3</v>
      </c>
      <c r="Z8">
        <v>3.7070287994328951E-3</v>
      </c>
      <c r="AA8">
        <v>3.7076174259140764E-3</v>
      </c>
      <c r="AB8">
        <v>3.7075834121848266E-3</v>
      </c>
      <c r="AC8">
        <v>3.7085830378944407E-3</v>
      </c>
      <c r="AD8">
        <v>3.7101490866786424E-3</v>
      </c>
      <c r="AE8">
        <v>3.7119154385350924E-3</v>
      </c>
      <c r="AF8">
        <v>3.7139156347801338E-3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52E88-28BC-43FF-80ED-EE42F4787599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1.0008488993658489E-3</v>
      </c>
      <c r="C2">
        <v>1.3933092068129753E-3</v>
      </c>
      <c r="D2">
        <v>1.406583618314021E-3</v>
      </c>
      <c r="E2">
        <v>1.4240597629403366E-3</v>
      </c>
      <c r="F2">
        <v>1.4454074836481954E-3</v>
      </c>
      <c r="G2">
        <v>1.4719965470301141E-3</v>
      </c>
      <c r="H2">
        <v>1.5038762243102361E-3</v>
      </c>
      <c r="I2">
        <v>1.5364690726783758E-3</v>
      </c>
      <c r="J2">
        <v>1.5511306484279027E-3</v>
      </c>
      <c r="K2">
        <v>1.5773054882300208E-3</v>
      </c>
      <c r="L2">
        <v>1.602091437298715E-3</v>
      </c>
      <c r="M2">
        <v>1.6247471695607424E-3</v>
      </c>
      <c r="N2">
        <v>1.6377534446694777E-3</v>
      </c>
      <c r="O2">
        <v>1.6392777980676649E-3</v>
      </c>
      <c r="P2">
        <v>1.640394435406222E-3</v>
      </c>
      <c r="Q2">
        <v>1.6405047976360437E-3</v>
      </c>
      <c r="R2">
        <v>1.6404000132806532E-3</v>
      </c>
      <c r="S2">
        <v>1.6401689299113515E-3</v>
      </c>
      <c r="T2">
        <v>1.6398722401142136E-3</v>
      </c>
      <c r="U2">
        <v>1.6395545668846905E-3</v>
      </c>
      <c r="V2">
        <v>1.6392180351273284E-3</v>
      </c>
      <c r="W2">
        <v>1.6388378100202531E-3</v>
      </c>
      <c r="X2">
        <v>1.6384014077492613E-3</v>
      </c>
      <c r="Y2">
        <v>1.6379818719080977E-3</v>
      </c>
      <c r="Z2">
        <v>1.6375995218964772E-3</v>
      </c>
      <c r="AA2">
        <v>1.6372409442544575E-3</v>
      </c>
      <c r="AB2">
        <v>1.6369057405624355E-3</v>
      </c>
      <c r="AC2">
        <v>1.6365855440087652E-3</v>
      </c>
      <c r="AD2">
        <v>1.6362796905607755E-3</v>
      </c>
      <c r="AE2">
        <v>1.6359895082838076E-3</v>
      </c>
      <c r="AF2">
        <v>1.6357134034994522E-3</v>
      </c>
    </row>
    <row r="3" spans="1:32">
      <c r="A3" s="1" t="s">
        <v>10</v>
      </c>
      <c r="B3">
        <v>4.9961543882058763E-4</v>
      </c>
      <c r="C3">
        <v>5.064441795780537E-4</v>
      </c>
      <c r="D3">
        <v>5.1439954598548774E-4</v>
      </c>
      <c r="E3">
        <v>5.2422242814962586E-4</v>
      </c>
      <c r="F3">
        <v>5.3638367734317285E-4</v>
      </c>
      <c r="G3">
        <v>5.504330425356417E-4</v>
      </c>
      <c r="H3">
        <v>5.6561262644358153E-4</v>
      </c>
      <c r="I3">
        <v>5.813006690431581E-4</v>
      </c>
      <c r="J3">
        <v>5.892930041023238E-4</v>
      </c>
      <c r="K3">
        <v>6.0097637558396034E-4</v>
      </c>
      <c r="L3">
        <v>6.1088293625137036E-4</v>
      </c>
      <c r="M3">
        <v>6.1968355135693038E-4</v>
      </c>
      <c r="N3">
        <v>6.2490946551641967E-4</v>
      </c>
      <c r="O3">
        <v>6.2555909175937769E-4</v>
      </c>
      <c r="P3">
        <v>6.2605525418240389E-4</v>
      </c>
      <c r="Q3">
        <v>6.2610747340104882E-4</v>
      </c>
      <c r="R3">
        <v>6.2635818952726414E-4</v>
      </c>
      <c r="S3">
        <v>6.2656538963794229E-4</v>
      </c>
      <c r="T3">
        <v>6.2661896623688814E-4</v>
      </c>
      <c r="U3">
        <v>6.2654502893342472E-4</v>
      </c>
      <c r="V3">
        <v>6.2654095679252116E-4</v>
      </c>
      <c r="W3">
        <v>6.2654526847112483E-4</v>
      </c>
      <c r="X3">
        <v>6.2655053830052939E-4</v>
      </c>
      <c r="Y3">
        <v>6.2651301072749711E-4</v>
      </c>
      <c r="Z3">
        <v>6.2655157629723035E-4</v>
      </c>
      <c r="AA3">
        <v>6.2665106428871572E-4</v>
      </c>
      <c r="AB3">
        <v>6.2664531538391083E-4</v>
      </c>
      <c r="AC3">
        <v>6.2681426930845602E-4</v>
      </c>
      <c r="AD3">
        <v>6.2707895846718332E-4</v>
      </c>
      <c r="AE3">
        <v>6.2737750228753983E-4</v>
      </c>
      <c r="AF3">
        <v>6.2771556982843025E-4</v>
      </c>
    </row>
    <row r="4" spans="1:32">
      <c r="A4" s="1" t="s">
        <v>11</v>
      </c>
      <c r="B4">
        <v>7.1576826677045109E-3</v>
      </c>
      <c r="C4">
        <v>7.2555138305631806E-3</v>
      </c>
      <c r="D4">
        <v>7.3694854651951049E-3</v>
      </c>
      <c r="E4">
        <v>7.5102118478287761E-3</v>
      </c>
      <c r="F4">
        <v>7.6844385746404455E-3</v>
      </c>
      <c r="G4">
        <v>7.8857151764359645E-3</v>
      </c>
      <c r="H4">
        <v>8.1031837256411547E-3</v>
      </c>
      <c r="I4">
        <v>8.3279366493503888E-3</v>
      </c>
      <c r="J4">
        <v>8.4424379110858584E-3</v>
      </c>
      <c r="K4">
        <v>8.6098183782545128E-3</v>
      </c>
      <c r="L4">
        <v>8.7517435712651075E-3</v>
      </c>
      <c r="M4">
        <v>8.8778245633875843E-3</v>
      </c>
      <c r="N4">
        <v>8.952693016793644E-3</v>
      </c>
      <c r="O4">
        <v>8.961999811857229E-3</v>
      </c>
      <c r="P4">
        <v>8.9691080252944384E-3</v>
      </c>
      <c r="Q4">
        <v>8.9698561378769824E-3</v>
      </c>
      <c r="R4">
        <v>8.9734479933956234E-3</v>
      </c>
      <c r="S4">
        <v>8.9764164217621435E-3</v>
      </c>
      <c r="T4">
        <v>8.9771839806962218E-3</v>
      </c>
      <c r="U4">
        <v>8.976124726489133E-3</v>
      </c>
      <c r="V4">
        <v>8.9760663874345302E-3</v>
      </c>
      <c r="W4">
        <v>8.9761281581982252E-3</v>
      </c>
      <c r="X4">
        <v>8.9762036557982997E-3</v>
      </c>
      <c r="Y4">
        <v>8.9756660213735351E-3</v>
      </c>
      <c r="Z4">
        <v>8.9762185265377086E-3</v>
      </c>
      <c r="AA4">
        <v>8.9776438297148511E-3</v>
      </c>
      <c r="AB4">
        <v>8.9775614686965887E-3</v>
      </c>
      <c r="AC4">
        <v>8.9799819675110606E-3</v>
      </c>
      <c r="AD4">
        <v>8.9837740060601991E-3</v>
      </c>
      <c r="AE4">
        <v>8.9880510594946578E-3</v>
      </c>
      <c r="AF4">
        <v>8.992894344929666E-3</v>
      </c>
    </row>
    <row r="5" spans="1:32">
      <c r="A5" s="1" t="s">
        <v>12</v>
      </c>
      <c r="B5">
        <v>7.2928093510090471E-4</v>
      </c>
      <c r="C5">
        <v>7.3924874245474208E-4</v>
      </c>
      <c r="D5">
        <v>7.508610678592162E-4</v>
      </c>
      <c r="E5">
        <v>7.6519937715357957E-4</v>
      </c>
      <c r="F5">
        <v>7.8295096466416878E-4</v>
      </c>
      <c r="G5">
        <v>8.0345860591986078E-4</v>
      </c>
      <c r="H5">
        <v>8.2561600996837806E-4</v>
      </c>
      <c r="I5">
        <v>8.4851560331147032E-4</v>
      </c>
      <c r="J5">
        <v>8.6018189128557194E-4</v>
      </c>
      <c r="K5">
        <v>8.7723592808510082E-4</v>
      </c>
      <c r="L5">
        <v>8.9169638159754131E-4</v>
      </c>
      <c r="M5">
        <v>9.0454250346438524E-4</v>
      </c>
      <c r="N5">
        <v>9.1217068960288046E-4</v>
      </c>
      <c r="O5">
        <v>9.1311893899054719E-4</v>
      </c>
      <c r="P5">
        <v>9.1384317961185513E-4</v>
      </c>
      <c r="Q5">
        <v>9.1391940319832696E-4</v>
      </c>
      <c r="R5">
        <v>9.1428536965325259E-4</v>
      </c>
      <c r="S5">
        <v>9.1458781645278495E-4</v>
      </c>
      <c r="T5">
        <v>9.1466602138630556E-4</v>
      </c>
      <c r="U5">
        <v>9.1455809624705047E-4</v>
      </c>
      <c r="V5">
        <v>9.145521522059036E-4</v>
      </c>
      <c r="W5">
        <v>9.1455844589652965E-4</v>
      </c>
      <c r="X5">
        <v>9.1456613818507277E-4</v>
      </c>
      <c r="Y5">
        <v>9.1451135976666027E-4</v>
      </c>
      <c r="Z5">
        <v>9.1456765333281604E-4</v>
      </c>
      <c r="AA5">
        <v>9.1471287441652219E-4</v>
      </c>
      <c r="AB5">
        <v>9.147044828290207E-4</v>
      </c>
      <c r="AC5">
        <v>9.1495110226170301E-4</v>
      </c>
      <c r="AD5">
        <v>9.153374649362501E-4</v>
      </c>
      <c r="AE5">
        <v>9.1577324473719485E-4</v>
      </c>
      <c r="AF5">
        <v>9.1626671670221223E-4</v>
      </c>
    </row>
    <row r="6" spans="1:32">
      <c r="A6" s="1" t="s">
        <v>13</v>
      </c>
      <c r="B6">
        <v>1.1466008681806548E-3</v>
      </c>
      <c r="C6">
        <v>1.1622726018235836E-3</v>
      </c>
      <c r="D6">
        <v>1.1805299039818033E-3</v>
      </c>
      <c r="E6">
        <v>1.203073092887304E-3</v>
      </c>
      <c r="F6">
        <v>1.2309827566006578E-3</v>
      </c>
      <c r="G6">
        <v>1.2632255839342154E-3</v>
      </c>
      <c r="H6">
        <v>1.2980622257492715E-3</v>
      </c>
      <c r="I6">
        <v>1.3340657634045381E-3</v>
      </c>
      <c r="J6">
        <v>1.3524079073928485E-3</v>
      </c>
      <c r="K6">
        <v>1.3792208576006023E-3</v>
      </c>
      <c r="L6">
        <v>1.4019560858968914E-3</v>
      </c>
      <c r="M6">
        <v>1.4221532057945064E-3</v>
      </c>
      <c r="N6">
        <v>1.4341465055341081E-3</v>
      </c>
      <c r="O6">
        <v>1.4356373762244275E-3</v>
      </c>
      <c r="P6">
        <v>1.4367760525358388E-3</v>
      </c>
      <c r="Q6">
        <v>1.4368958939113884E-3</v>
      </c>
      <c r="R6">
        <v>1.4374712791089795E-3</v>
      </c>
      <c r="S6">
        <v>1.4379467964936131E-3</v>
      </c>
      <c r="T6">
        <v>1.438069753011952E-3</v>
      </c>
      <c r="U6">
        <v>1.4379000693517704E-3</v>
      </c>
      <c r="V6">
        <v>1.437890723923402E-3</v>
      </c>
      <c r="W6">
        <v>1.4379006190828509E-3</v>
      </c>
      <c r="X6">
        <v>1.4379127131666219E-3</v>
      </c>
      <c r="Y6">
        <v>1.4378265886306769E-3</v>
      </c>
      <c r="Z6">
        <v>1.4379150953346374E-3</v>
      </c>
      <c r="AA6">
        <v>1.438143416976739E-3</v>
      </c>
      <c r="AB6">
        <v>1.438130223430807E-3</v>
      </c>
      <c r="AC6">
        <v>1.4385179670862538E-3</v>
      </c>
      <c r="AD6">
        <v>1.4391254199302077E-3</v>
      </c>
      <c r="AE6">
        <v>1.4398105681002059E-3</v>
      </c>
      <c r="AF6">
        <v>1.4405864218984864E-3</v>
      </c>
    </row>
    <row r="7" spans="1:32">
      <c r="A7" s="1" t="s">
        <v>14</v>
      </c>
      <c r="B7">
        <v>3.092059196585414E-3</v>
      </c>
      <c r="C7">
        <v>3.1343214427443106E-3</v>
      </c>
      <c r="D7">
        <v>3.1835562380508383E-3</v>
      </c>
      <c r="E7">
        <v>3.2443488612818134E-3</v>
      </c>
      <c r="F7">
        <v>3.319613353707512E-3</v>
      </c>
      <c r="G7">
        <v>3.4065631664517097E-3</v>
      </c>
      <c r="H7">
        <v>3.5005077653890138E-3</v>
      </c>
      <c r="I7">
        <v>3.5975991533392245E-3</v>
      </c>
      <c r="J7">
        <v>3.6470627431358558E-3</v>
      </c>
      <c r="K7">
        <v>3.719369708513462E-3</v>
      </c>
      <c r="L7">
        <v>3.780680207825707E-3</v>
      </c>
      <c r="M7">
        <v>3.8351461445409402E-3</v>
      </c>
      <c r="N7">
        <v>3.8674886917920014E-3</v>
      </c>
      <c r="O7">
        <v>3.871509149613768E-3</v>
      </c>
      <c r="P7">
        <v>3.8745798385154957E-3</v>
      </c>
      <c r="Q7">
        <v>3.8749030169097235E-3</v>
      </c>
      <c r="R7">
        <v>3.8764546685272688E-3</v>
      </c>
      <c r="S7">
        <v>3.8777370048162911E-3</v>
      </c>
      <c r="T7">
        <v>3.8780685838721426E-3</v>
      </c>
      <c r="U7">
        <v>3.8776109948919363E-3</v>
      </c>
      <c r="V7">
        <v>3.8775857929070653E-3</v>
      </c>
      <c r="W7">
        <v>3.8776124773616341E-3</v>
      </c>
      <c r="X7">
        <v>3.8776450916949974E-3</v>
      </c>
      <c r="Y7">
        <v>3.877412838108931E-3</v>
      </c>
      <c r="Z7">
        <v>3.8776515157303566E-3</v>
      </c>
      <c r="AA7">
        <v>3.8782672348117134E-3</v>
      </c>
      <c r="AB7">
        <v>3.8782316555389541E-3</v>
      </c>
      <c r="AC7">
        <v>3.8792772908328157E-3</v>
      </c>
      <c r="AD7">
        <v>3.8809154198494282E-3</v>
      </c>
      <c r="AE7">
        <v>3.8827630712500658E-3</v>
      </c>
      <c r="AF7">
        <v>3.8848553301509209E-3</v>
      </c>
    </row>
    <row r="8" spans="1:32">
      <c r="A8" s="1" t="s">
        <v>15</v>
      </c>
      <c r="B8">
        <v>2.9126393532984403E-3</v>
      </c>
      <c r="C8">
        <v>2.9524492901383042E-3</v>
      </c>
      <c r="D8">
        <v>2.9988271869521004E-3</v>
      </c>
      <c r="E8">
        <v>3.0560922571061006E-3</v>
      </c>
      <c r="F8">
        <v>3.1269894516964252E-3</v>
      </c>
      <c r="G8">
        <v>3.2088939141466754E-3</v>
      </c>
      <c r="H8">
        <v>3.2973872832894133E-3</v>
      </c>
      <c r="I8">
        <v>3.38884484584916E-3</v>
      </c>
      <c r="J8">
        <v>3.4354382611227665E-3</v>
      </c>
      <c r="K8">
        <v>3.5035495421451273E-3</v>
      </c>
      <c r="L8">
        <v>3.5613024381001678E-3</v>
      </c>
      <c r="M8">
        <v>3.6126079340836328E-3</v>
      </c>
      <c r="N8">
        <v>3.6430737725169282E-3</v>
      </c>
      <c r="O8">
        <v>3.6468609392318746E-3</v>
      </c>
      <c r="P8">
        <v>3.6497534483231585E-3</v>
      </c>
      <c r="Q8">
        <v>3.6500578739661737E-3</v>
      </c>
      <c r="R8">
        <v>3.6515194894387567E-3</v>
      </c>
      <c r="S8">
        <v>3.6527274168754935E-3</v>
      </c>
      <c r="T8">
        <v>3.6530397557232967E-3</v>
      </c>
      <c r="U8">
        <v>3.6526087188036753E-3</v>
      </c>
      <c r="V8">
        <v>3.6525849791893121E-3</v>
      </c>
      <c r="W8">
        <v>3.6526101152515788E-3</v>
      </c>
      <c r="X8">
        <v>3.6526408371054613E-3</v>
      </c>
      <c r="Y8">
        <v>3.6524220602672085E-3</v>
      </c>
      <c r="Z8">
        <v>3.6526468883797108E-3</v>
      </c>
      <c r="AA8">
        <v>3.6532268797423982E-3</v>
      </c>
      <c r="AB8">
        <v>3.6531933649927083E-3</v>
      </c>
      <c r="AC8">
        <v>3.6541783262474805E-3</v>
      </c>
      <c r="AD8">
        <v>3.655721401181115E-3</v>
      </c>
      <c r="AE8">
        <v>3.6574618407518118E-3</v>
      </c>
      <c r="AF8">
        <v>3.6594326942266261E-3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F964-CFA7-48C9-B564-1E6DF0953F64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1.4980235812240234E-3</v>
      </c>
      <c r="C2">
        <v>1.5231644537335698E-3</v>
      </c>
      <c r="D2">
        <v>1.5304275172800137E-3</v>
      </c>
      <c r="E2">
        <v>1.5412712423030443E-3</v>
      </c>
      <c r="F2">
        <v>1.5576490945925607E-3</v>
      </c>
      <c r="G2">
        <v>1.5699908781437811E-3</v>
      </c>
      <c r="H2">
        <v>1.5806683889015623E-3</v>
      </c>
      <c r="I2">
        <v>1.5909098534806817E-3</v>
      </c>
      <c r="J2">
        <v>1.6012077984306095E-3</v>
      </c>
      <c r="K2">
        <v>1.611298486993707E-3</v>
      </c>
      <c r="L2">
        <v>1.6219407555186202E-3</v>
      </c>
      <c r="M2">
        <v>1.6329881937237401E-3</v>
      </c>
      <c r="N2">
        <v>1.6447141978177234E-3</v>
      </c>
      <c r="O2">
        <v>1.6570786747516877E-3</v>
      </c>
      <c r="P2">
        <v>1.6697670596523698E-3</v>
      </c>
      <c r="Q2">
        <v>1.6829627766366171E-3</v>
      </c>
      <c r="R2">
        <v>1.6961396808909308E-3</v>
      </c>
      <c r="S2">
        <v>1.7093091823781967E-3</v>
      </c>
      <c r="T2">
        <v>1.722308926395473E-3</v>
      </c>
      <c r="U2">
        <v>1.7349202255025392E-3</v>
      </c>
      <c r="V2">
        <v>1.7473289503147547E-3</v>
      </c>
      <c r="W2">
        <v>1.7596425780425883E-3</v>
      </c>
      <c r="X2">
        <v>1.7719576610152265E-3</v>
      </c>
      <c r="Y2">
        <v>1.7844069217769168E-3</v>
      </c>
      <c r="Z2">
        <v>1.7964568338376173E-3</v>
      </c>
      <c r="AA2">
        <v>1.8081574027832825E-3</v>
      </c>
      <c r="AB2">
        <v>1.8196558614251941E-3</v>
      </c>
      <c r="AC2">
        <v>1.8309308450823857E-3</v>
      </c>
      <c r="AD2">
        <v>1.8426753455487357E-3</v>
      </c>
      <c r="AE2">
        <v>1.8543062314678332E-3</v>
      </c>
      <c r="AF2">
        <v>1.8658766298202847E-3</v>
      </c>
    </row>
    <row r="3" spans="1:32">
      <c r="A3" s="1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s="1" t="s">
        <v>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s="1" t="s">
        <v>12</v>
      </c>
      <c r="B5">
        <v>4.6616941125958422E-4</v>
      </c>
      <c r="C5">
        <v>4.7399299019600609E-4</v>
      </c>
      <c r="D5">
        <v>4.7625318028902199E-4</v>
      </c>
      <c r="E5">
        <v>4.7962763511951036E-4</v>
      </c>
      <c r="F5">
        <v>4.8472425299335046E-4</v>
      </c>
      <c r="G5">
        <v>4.8856488811023198E-4</v>
      </c>
      <c r="H5">
        <v>4.9188761878420821E-4</v>
      </c>
      <c r="I5">
        <v>4.9507465640706257E-4</v>
      </c>
      <c r="J5">
        <v>4.9827927013588579E-4</v>
      </c>
      <c r="K5">
        <v>5.0141938782536798E-4</v>
      </c>
      <c r="L5">
        <v>5.0473115148176617E-4</v>
      </c>
      <c r="M5">
        <v>5.0816899974300608E-4</v>
      </c>
      <c r="N5">
        <v>5.1181801067543291E-4</v>
      </c>
      <c r="O5">
        <v>5.1566570773780435E-4</v>
      </c>
      <c r="P5">
        <v>5.1961420160206843E-4</v>
      </c>
      <c r="Q5">
        <v>5.2372057195217224E-4</v>
      </c>
      <c r="R5">
        <v>5.2782108797571725E-4</v>
      </c>
      <c r="S5">
        <v>5.3191930033488766E-4</v>
      </c>
      <c r="T5">
        <v>5.3596468592895642E-4</v>
      </c>
      <c r="U5">
        <v>5.3988919149325191E-4</v>
      </c>
      <c r="V5">
        <v>5.4375065803669985E-4</v>
      </c>
      <c r="W5">
        <v>5.4758253135318239E-4</v>
      </c>
      <c r="X5">
        <v>5.5141485752676429E-4</v>
      </c>
      <c r="Y5">
        <v>5.5528893843752823E-4</v>
      </c>
      <c r="Z5">
        <v>5.5903874617184749E-4</v>
      </c>
      <c r="AA5">
        <v>5.6267984194975651E-4</v>
      </c>
      <c r="AB5">
        <v>5.6625804309603806E-4</v>
      </c>
      <c r="AC5">
        <v>5.6976670114342325E-4</v>
      </c>
      <c r="AD5">
        <v>5.7342146795521316E-4</v>
      </c>
      <c r="AE5">
        <v>5.770408790975283E-4</v>
      </c>
      <c r="AF5">
        <v>5.8064146713606509E-4</v>
      </c>
    </row>
    <row r="6" spans="1:32">
      <c r="A6" s="1" t="s">
        <v>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s="1" t="s">
        <v>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s="1" t="s">
        <v>15</v>
      </c>
      <c r="B8">
        <v>1.3985082337787526E-3</v>
      </c>
      <c r="C8">
        <v>1.4219789705880181E-3</v>
      </c>
      <c r="D8">
        <v>1.4287595408670657E-3</v>
      </c>
      <c r="E8">
        <v>1.4388829053585308E-3</v>
      </c>
      <c r="F8">
        <v>1.4541727589800512E-3</v>
      </c>
      <c r="G8">
        <v>1.4656946643306957E-3</v>
      </c>
      <c r="H8">
        <v>1.4756628563526244E-3</v>
      </c>
      <c r="I8">
        <v>1.4852239692211874E-3</v>
      </c>
      <c r="J8">
        <v>1.4948378104076572E-3</v>
      </c>
      <c r="K8">
        <v>1.5042581634761036E-3</v>
      </c>
      <c r="L8">
        <v>1.5141934544452983E-3</v>
      </c>
      <c r="M8">
        <v>1.524506999229018E-3</v>
      </c>
      <c r="N8">
        <v>1.5354540320262984E-3</v>
      </c>
      <c r="O8">
        <v>1.5469971232134128E-3</v>
      </c>
      <c r="P8">
        <v>1.5588426048062051E-3</v>
      </c>
      <c r="Q8">
        <v>1.5711617158565164E-3</v>
      </c>
      <c r="R8">
        <v>1.5834632639271514E-3</v>
      </c>
      <c r="S8">
        <v>1.5957579010046628E-3</v>
      </c>
      <c r="T8">
        <v>1.6078940577868689E-3</v>
      </c>
      <c r="U8">
        <v>1.6196675744797554E-3</v>
      </c>
      <c r="V8">
        <v>1.6312519741100992E-3</v>
      </c>
      <c r="W8">
        <v>1.642747594059547E-3</v>
      </c>
      <c r="X8">
        <v>1.6542445725802927E-3</v>
      </c>
      <c r="Y8">
        <v>1.6658668153125844E-3</v>
      </c>
      <c r="Z8">
        <v>1.6771162385155421E-3</v>
      </c>
      <c r="AA8">
        <v>1.6880395258492692E-3</v>
      </c>
      <c r="AB8">
        <v>1.698774129288114E-3</v>
      </c>
      <c r="AC8">
        <v>1.7093001034302695E-3</v>
      </c>
      <c r="AD8">
        <v>1.7202644038656393E-3</v>
      </c>
      <c r="AE8">
        <v>1.7311226372925847E-3</v>
      </c>
      <c r="AF8">
        <v>1.741924401408195E-3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07540-7167-4711-9DCE-C0F064603E78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3.8569771061435794E-4</v>
      </c>
      <c r="C2" s="6">
        <v>3.9217075756189419E-4</v>
      </c>
      <c r="D2" s="6">
        <v>3.9404078618962861E-4</v>
      </c>
      <c r="E2" s="6">
        <v>3.9683273150232986E-4</v>
      </c>
      <c r="F2" s="6">
        <v>4.0104955439618917E-4</v>
      </c>
      <c r="G2" s="6">
        <v>4.0422720641733706E-4</v>
      </c>
      <c r="H2" s="6">
        <v>4.069763563679482E-4</v>
      </c>
      <c r="I2" s="6">
        <v>4.0961323704927693E-4</v>
      </c>
      <c r="J2" s="6">
        <v>4.1226465979121696E-4</v>
      </c>
      <c r="K2" s="6">
        <v>4.148627200127584E-4</v>
      </c>
      <c r="L2" s="6">
        <v>4.1760279610852203E-4</v>
      </c>
      <c r="M2" s="6">
        <v>4.2044719166896229E-4</v>
      </c>
      <c r="N2" s="6">
        <v>4.2346629830412516E-4</v>
      </c>
      <c r="O2" s="6">
        <v>4.2664979321445059E-4</v>
      </c>
      <c r="P2" s="6">
        <v>4.2991668505041756E-4</v>
      </c>
      <c r="Q2" s="6">
        <v>4.3331420021274928E-4</v>
      </c>
      <c r="R2" s="6">
        <v>4.3670687164167358E-4</v>
      </c>
      <c r="S2" s="6">
        <v>4.4009763707236223E-4</v>
      </c>
      <c r="T2" s="6">
        <v>4.4344469486830111E-4</v>
      </c>
      <c r="U2" s="6">
        <v>4.4669173934372511E-4</v>
      </c>
      <c r="V2" s="6">
        <v>4.498866268019081E-4</v>
      </c>
      <c r="W2" s="6">
        <v>4.5305702951352783E-4</v>
      </c>
      <c r="X2" s="6">
        <v>4.5622780690856147E-4</v>
      </c>
      <c r="Y2" s="6">
        <v>4.5943313120038717E-4</v>
      </c>
      <c r="Z2" s="6">
        <v>4.6253563476119156E-4</v>
      </c>
      <c r="AA2" s="6">
        <v>4.6554819258190429E-4</v>
      </c>
      <c r="AB2" s="6">
        <v>4.6850871284965303E-4</v>
      </c>
      <c r="AC2" s="6">
        <v>4.7141169477750731E-4</v>
      </c>
      <c r="AD2" s="6">
        <v>4.7443556369316164E-4</v>
      </c>
      <c r="AE2" s="6">
        <v>4.7743018015156688E-4</v>
      </c>
      <c r="AF2" s="6">
        <v>4.8040922281242433E-4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12</v>
      </c>
      <c r="B5" s="6">
        <v>1.2002512973417359E-4</v>
      </c>
      <c r="C5" s="6">
        <v>1.2203947485023846E-4</v>
      </c>
      <c r="D5" s="6">
        <v>1.2262140837608938E-4</v>
      </c>
      <c r="E5" s="6">
        <v>1.2349023281851067E-4</v>
      </c>
      <c r="F5" s="6">
        <v>1.2480246439513921E-4</v>
      </c>
      <c r="G5" s="6">
        <v>1.2579131676732679E-4</v>
      </c>
      <c r="H5" s="6">
        <v>1.2664682373664536E-4</v>
      </c>
      <c r="I5" s="6">
        <v>1.2746739367304943E-4</v>
      </c>
      <c r="J5" s="6">
        <v>1.282924889479853E-4</v>
      </c>
      <c r="K5" s="6">
        <v>1.2910097835968289E-4</v>
      </c>
      <c r="L5" s="6">
        <v>1.2995366163942465E-4</v>
      </c>
      <c r="M5" s="6">
        <v>1.3083880805528838E-4</v>
      </c>
      <c r="N5" s="6">
        <v>1.3177832274670185E-4</v>
      </c>
      <c r="O5" s="6">
        <v>1.3276899336543915E-4</v>
      </c>
      <c r="P5" s="6">
        <v>1.3378561624301569E-4</v>
      </c>
      <c r="Q5" s="6">
        <v>1.3484288774582846E-4</v>
      </c>
      <c r="R5" s="6">
        <v>1.3589865192901079E-4</v>
      </c>
      <c r="S5" s="6">
        <v>1.3695382298529812E-4</v>
      </c>
      <c r="T5" s="6">
        <v>1.3799539267868687E-4</v>
      </c>
      <c r="U5" s="6">
        <v>1.3900583926338301E-4</v>
      </c>
      <c r="V5" s="6">
        <v>1.4000005512492829E-4</v>
      </c>
      <c r="W5" s="6">
        <v>1.409866515871308E-4</v>
      </c>
      <c r="X5" s="6">
        <v>1.4197336464692809E-4</v>
      </c>
      <c r="Y5" s="6">
        <v>1.4297082834292379E-4</v>
      </c>
      <c r="Z5" s="6">
        <v>1.4393629529317647E-4</v>
      </c>
      <c r="AA5" s="6">
        <v>1.4487377206141239E-4</v>
      </c>
      <c r="AB5" s="6">
        <v>1.4579505528254221E-4</v>
      </c>
      <c r="AC5" s="6">
        <v>1.4669843316868957E-4</v>
      </c>
      <c r="AD5" s="6">
        <v>1.4763942983243028E-4</v>
      </c>
      <c r="AE5" s="6">
        <v>1.4857132343468077E-4</v>
      </c>
      <c r="AF5" s="6">
        <v>1.494983706325589E-4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3.600753892025207E-4</v>
      </c>
      <c r="C8" s="6">
        <v>3.6611842455071535E-4</v>
      </c>
      <c r="D8" s="6">
        <v>3.6786422512826805E-4</v>
      </c>
      <c r="E8" s="6">
        <v>3.7047069845553193E-4</v>
      </c>
      <c r="F8" s="6">
        <v>3.7440739318541754E-4</v>
      </c>
      <c r="G8" s="6">
        <v>3.773739503019803E-4</v>
      </c>
      <c r="H8" s="6">
        <v>3.7994047120993603E-4</v>
      </c>
      <c r="I8" s="6">
        <v>3.8240218101914824E-4</v>
      </c>
      <c r="J8" s="6">
        <v>3.8487746684395585E-4</v>
      </c>
      <c r="K8" s="6">
        <v>3.873029350790486E-4</v>
      </c>
      <c r="L8" s="6">
        <v>3.898609849182739E-4</v>
      </c>
      <c r="M8" s="6">
        <v>3.9251642416586506E-4</v>
      </c>
      <c r="N8" s="6">
        <v>3.953349682401055E-4</v>
      </c>
      <c r="O8" s="6">
        <v>3.9830698009631738E-4</v>
      </c>
      <c r="P8" s="6">
        <v>4.0135684872904701E-4</v>
      </c>
      <c r="Q8" s="6">
        <v>4.045286632374853E-4</v>
      </c>
      <c r="R8" s="6">
        <v>4.0769595578703233E-4</v>
      </c>
      <c r="S8" s="6">
        <v>4.1086146895589429E-4</v>
      </c>
      <c r="T8" s="6">
        <v>4.1398617803606053E-4</v>
      </c>
      <c r="U8" s="6">
        <v>4.1701751779014897E-4</v>
      </c>
      <c r="V8" s="6">
        <v>4.2000016537478479E-4</v>
      </c>
      <c r="W8" s="6">
        <v>4.2295995476139233E-4</v>
      </c>
      <c r="X8" s="6">
        <v>4.2592009394078423E-4</v>
      </c>
      <c r="Y8" s="6">
        <v>4.2891248502877131E-4</v>
      </c>
      <c r="Z8" s="6">
        <v>4.3180888587952934E-4</v>
      </c>
      <c r="AA8" s="6">
        <v>4.346213161842371E-4</v>
      </c>
      <c r="AB8" s="6">
        <v>4.3738516584762658E-4</v>
      </c>
      <c r="AC8" s="6">
        <v>4.4009529950606865E-4</v>
      </c>
      <c r="AD8" s="6">
        <v>4.4291828949729077E-4</v>
      </c>
      <c r="AE8" s="6">
        <v>4.4571397030404223E-4</v>
      </c>
      <c r="AF8" s="6">
        <v>4.4849511189767665E-4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9823-CDEA-4E8F-80A3-F2833AF1EC39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1.2490429545241593E-3</v>
      </c>
      <c r="C2" s="6">
        <v>1.2479838852561889E-3</v>
      </c>
      <c r="D2" s="6">
        <v>1.2471665685815224E-3</v>
      </c>
      <c r="E2" s="6">
        <v>1.2466464519590526E-3</v>
      </c>
      <c r="F2" s="6">
        <v>1.2461776274382624E-3</v>
      </c>
      <c r="G2" s="6">
        <v>1.2458210503215087E-3</v>
      </c>
      <c r="H2" s="6">
        <v>1.2454261907779705E-3</v>
      </c>
      <c r="I2" s="6">
        <v>1.2450097660041024E-3</v>
      </c>
      <c r="J2" s="6">
        <v>1.2449523012062393E-3</v>
      </c>
      <c r="K2" s="6">
        <v>1.2448581170389291E-3</v>
      </c>
      <c r="L2" s="6">
        <v>1.244492708563932E-3</v>
      </c>
      <c r="M2" s="6">
        <v>1.2445150475500222E-3</v>
      </c>
      <c r="N2" s="6">
        <v>1.244362963786191E-3</v>
      </c>
      <c r="O2" s="6">
        <v>1.2442462668418766E-3</v>
      </c>
      <c r="P2" s="6">
        <v>1.2440271982043711E-3</v>
      </c>
      <c r="Q2" s="6">
        <v>1.2439416368347936E-3</v>
      </c>
      <c r="R2" s="6">
        <v>1.2436776543099449E-3</v>
      </c>
      <c r="S2" s="6">
        <v>1.2434044966707469E-3</v>
      </c>
      <c r="T2" s="6">
        <v>1.2431106233009778E-3</v>
      </c>
      <c r="U2" s="6">
        <v>1.242818522097998E-3</v>
      </c>
      <c r="V2" s="6">
        <v>1.2424141228640053E-3</v>
      </c>
      <c r="W2" s="6">
        <v>1.2420321636298346E-3</v>
      </c>
      <c r="X2" s="6">
        <v>1.241620319407161E-3</v>
      </c>
      <c r="Y2" s="6">
        <v>1.2411620718582406E-3</v>
      </c>
      <c r="Z2" s="6">
        <v>1.240669038843074E-3</v>
      </c>
      <c r="AA2" s="6">
        <v>1.2401023941352315E-3</v>
      </c>
      <c r="AB2" s="6">
        <v>1.2395514545691941E-3</v>
      </c>
      <c r="AC2" s="6">
        <v>1.2389760811407262E-3</v>
      </c>
      <c r="AD2" s="6">
        <v>1.2383487405617649E-3</v>
      </c>
      <c r="AE2" s="6">
        <v>1.2375986561341948E-3</v>
      </c>
      <c r="AF2" s="6">
        <v>1.236792153822779E-3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7" t="s">
        <v>12</v>
      </c>
      <c r="B5" s="8">
        <v>3.8868922094850749E-4</v>
      </c>
      <c r="C5" s="8">
        <v>3.8835964956971156E-4</v>
      </c>
      <c r="D5" s="8">
        <v>3.8810530909215343E-4</v>
      </c>
      <c r="E5" s="8">
        <v>3.8794345419032003E-4</v>
      </c>
      <c r="F5" s="8">
        <v>3.8779756085887974E-4</v>
      </c>
      <c r="G5" s="8">
        <v>3.8768659775611613E-4</v>
      </c>
      <c r="H5" s="8">
        <v>3.8756372155893972E-4</v>
      </c>
      <c r="I5" s="8">
        <v>3.8743413448561116E-4</v>
      </c>
      <c r="J5" s="8">
        <v>3.8741625203614658E-4</v>
      </c>
      <c r="K5" s="8">
        <v>3.8738694289951122E-4</v>
      </c>
      <c r="L5" s="8">
        <v>3.8727323156960051E-4</v>
      </c>
      <c r="M5" s="8">
        <v>3.872801832305252E-4</v>
      </c>
      <c r="N5" s="8">
        <v>3.8723285633958973E-4</v>
      </c>
      <c r="O5" s="8">
        <v>3.8719654146009873E-4</v>
      </c>
      <c r="P5" s="8">
        <v>3.8712836957078314E-4</v>
      </c>
      <c r="Q5" s="8">
        <v>3.8710174375942578E-4</v>
      </c>
      <c r="R5" s="8">
        <v>3.8701959513390749E-4</v>
      </c>
      <c r="S5" s="8">
        <v>3.8693459130790495E-4</v>
      </c>
      <c r="T5" s="8">
        <v>3.8684314096127021E-4</v>
      </c>
      <c r="U5" s="8">
        <v>3.8675224209457141E-4</v>
      </c>
      <c r="V5" s="8">
        <v>3.8662639724460569E-4</v>
      </c>
      <c r="W5" s="8">
        <v>3.8650753548999096E-4</v>
      </c>
      <c r="X5" s="8">
        <v>3.8637937383671609E-4</v>
      </c>
      <c r="Y5" s="8">
        <v>3.8623677194928995E-4</v>
      </c>
      <c r="Z5" s="8">
        <v>3.8608334518532407E-4</v>
      </c>
      <c r="AA5" s="8">
        <v>3.8590701122559256E-4</v>
      </c>
      <c r="AB5" s="8">
        <v>3.8573556454320505E-4</v>
      </c>
      <c r="AC5" s="8">
        <v>3.8555651429608934E-4</v>
      </c>
      <c r="AD5" s="8">
        <v>3.8536129241038667E-4</v>
      </c>
      <c r="AE5" s="8">
        <v>3.8512787391125356E-4</v>
      </c>
      <c r="AF5" s="8">
        <v>3.8487689875144672E-4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1.1660676628455222E-3</v>
      </c>
      <c r="C8" s="6">
        <v>1.1650789487091344E-3</v>
      </c>
      <c r="D8" s="6">
        <v>1.16431592727646E-3</v>
      </c>
      <c r="E8" s="6">
        <v>1.1638303625709598E-3</v>
      </c>
      <c r="F8" s="6">
        <v>1.1633926825766389E-3</v>
      </c>
      <c r="G8" s="6">
        <v>1.1630597932683483E-3</v>
      </c>
      <c r="H8" s="6">
        <v>1.162691164676819E-3</v>
      </c>
      <c r="I8" s="6">
        <v>1.1623024034568333E-3</v>
      </c>
      <c r="J8" s="6">
        <v>1.1622487561084396E-3</v>
      </c>
      <c r="K8" s="6">
        <v>1.1621608286985334E-3</v>
      </c>
      <c r="L8" s="6">
        <v>1.1618196947088013E-3</v>
      </c>
      <c r="M8" s="6">
        <v>1.1618405496915754E-3</v>
      </c>
      <c r="N8" s="6">
        <v>1.161698569018769E-3</v>
      </c>
      <c r="O8" s="6">
        <v>1.1615896243802959E-3</v>
      </c>
      <c r="P8" s="6">
        <v>1.1613851087123493E-3</v>
      </c>
      <c r="Q8" s="6">
        <v>1.1613052312782772E-3</v>
      </c>
      <c r="R8" s="6">
        <v>1.1610587854017224E-3</v>
      </c>
      <c r="S8" s="6">
        <v>1.1608037739237146E-3</v>
      </c>
      <c r="T8" s="6">
        <v>1.1605294228838104E-3</v>
      </c>
      <c r="U8" s="6">
        <v>1.1602567262837141E-3</v>
      </c>
      <c r="V8" s="6">
        <v>1.1598791917338169E-3</v>
      </c>
      <c r="W8" s="6">
        <v>1.1595226064699726E-3</v>
      </c>
      <c r="X8" s="6">
        <v>1.1591381215101482E-3</v>
      </c>
      <c r="Y8" s="6">
        <v>1.1587103158478696E-3</v>
      </c>
      <c r="Z8" s="6">
        <v>1.158250035555972E-3</v>
      </c>
      <c r="AA8" s="6">
        <v>1.1577210336767775E-3</v>
      </c>
      <c r="AB8" s="6">
        <v>1.1572066936296149E-3</v>
      </c>
      <c r="AC8" s="6">
        <v>1.1566695428882679E-3</v>
      </c>
      <c r="AD8" s="6">
        <v>1.1560838772311599E-3</v>
      </c>
      <c r="AE8" s="6">
        <v>1.1553836217337605E-3</v>
      </c>
      <c r="AF8" s="6">
        <v>1.15463069625434E-3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22687-615D-4131-AB0A-50C4149D9CE3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1.1213005219530657E-2</v>
      </c>
      <c r="C2" s="6">
        <v>1.1285732577592732E-2</v>
      </c>
      <c r="D2" s="6">
        <v>1.1358932316426948E-2</v>
      </c>
      <c r="E2" s="6">
        <v>1.1432610862982587E-2</v>
      </c>
      <c r="F2" s="6">
        <v>1.150676179031037E-2</v>
      </c>
      <c r="G2" s="6">
        <v>1.1581394738834218E-2</v>
      </c>
      <c r="H2" s="6">
        <v>1.1656512922028765E-2</v>
      </c>
      <c r="I2" s="6">
        <v>1.1732119553368661E-2</v>
      </c>
      <c r="J2" s="6">
        <v>1.1808214632853897E-2</v>
      </c>
      <c r="K2" s="6">
        <v>1.188480458743376E-2</v>
      </c>
      <c r="L2" s="6">
        <v>1.1961889417108251E-2</v>
      </c>
      <c r="M2" s="6">
        <v>1.2039475548826646E-2</v>
      </c>
      <c r="N2" s="6">
        <v>1.2117562982588948E-2</v>
      </c>
      <c r="O2" s="6">
        <v>1.2196158145344435E-2</v>
      </c>
      <c r="P2" s="6">
        <v>1.2275264250567752E-2</v>
      </c>
      <c r="Q2" s="6">
        <v>1.2354884511733534E-2</v>
      </c>
      <c r="R2" s="6">
        <v>1.2435018928841786E-2</v>
      </c>
      <c r="S2" s="6">
        <v>1.2515673928841786E-2</v>
      </c>
      <c r="T2" s="6">
        <v>1.2596849511733533E-2</v>
      </c>
      <c r="U2" s="6">
        <v>1.2678555317940952E-2</v>
      </c>
      <c r="V2" s="6">
        <v>1.2760788133989403E-2</v>
      </c>
      <c r="W2" s="6">
        <v>1.2843557600302801E-2</v>
      </c>
      <c r="X2" s="6">
        <v>1.2926860503406511E-2</v>
      </c>
      <c r="Y2" s="6">
        <v>1.3010706483724453E-2</v>
      </c>
      <c r="Z2" s="6">
        <v>1.3095095541256624E-2</v>
      </c>
      <c r="AA2" s="6">
        <v>1.3180030889477667E-2</v>
      </c>
      <c r="AB2" s="6">
        <v>1.3265515741862226E-2</v>
      </c>
      <c r="AC2" s="6">
        <v>1.3351556525359576E-2</v>
      </c>
      <c r="AD2" s="6">
        <v>1.343815645344436E-2</v>
      </c>
      <c r="AE2" s="6">
        <v>1.3525318739591218E-2</v>
      </c>
      <c r="AF2" s="6">
        <v>1.361304338380015E-2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7" t="s">
        <v>12</v>
      </c>
      <c r="B5" s="8">
        <v>3.4893709999999998E-3</v>
      </c>
      <c r="C5" s="8">
        <v>3.5120030000000001E-3</v>
      </c>
      <c r="D5" s="8">
        <v>3.5347819999999998E-3</v>
      </c>
      <c r="E5" s="8">
        <v>3.55771E-3</v>
      </c>
      <c r="F5" s="8">
        <v>3.580785E-3</v>
      </c>
      <c r="G5" s="8">
        <v>3.6040100000000004E-3</v>
      </c>
      <c r="H5" s="8">
        <v>3.6273859999999998E-3</v>
      </c>
      <c r="I5" s="8">
        <v>3.6509140000000003E-3</v>
      </c>
      <c r="J5" s="8">
        <v>3.6745939999999998E-3</v>
      </c>
      <c r="K5" s="8">
        <v>3.6984279999999997E-3</v>
      </c>
      <c r="L5" s="8">
        <v>3.7224160000000001E-3</v>
      </c>
      <c r="M5" s="8">
        <v>3.7465599999999999E-3</v>
      </c>
      <c r="N5" s="8">
        <v>3.77086E-3</v>
      </c>
      <c r="O5" s="8">
        <v>3.7953179999999998E-3</v>
      </c>
      <c r="P5" s="8">
        <v>3.819935E-3</v>
      </c>
      <c r="Q5" s="8">
        <v>3.8447119999999997E-3</v>
      </c>
      <c r="R5" s="8">
        <v>3.8696489999999997E-3</v>
      </c>
      <c r="S5" s="8">
        <v>3.894748E-3</v>
      </c>
      <c r="T5" s="8">
        <v>3.9200089999999995E-3</v>
      </c>
      <c r="U5" s="8">
        <v>3.9454349999999997E-3</v>
      </c>
      <c r="V5" s="8">
        <v>3.9710250000000004E-3</v>
      </c>
      <c r="W5" s="8">
        <v>3.9967819999999999E-3</v>
      </c>
      <c r="X5" s="8">
        <v>4.0227050000000006E-3</v>
      </c>
      <c r="Y5" s="8">
        <v>4.0487970000000007E-3</v>
      </c>
      <c r="Z5" s="8">
        <v>4.0750580000000003E-3</v>
      </c>
      <c r="AA5" s="8">
        <v>4.1014889999999998E-3</v>
      </c>
      <c r="AB5" s="8">
        <v>4.1280910000000004E-3</v>
      </c>
      <c r="AC5" s="8">
        <v>4.1548660000000001E-3</v>
      </c>
      <c r="AD5" s="8">
        <v>4.1818150000000002E-3</v>
      </c>
      <c r="AE5" s="8">
        <v>4.2089390000000001E-3</v>
      </c>
      <c r="AF5" s="8">
        <v>4.2362379999999998E-3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1.0468112999999998E-2</v>
      </c>
      <c r="C8" s="6">
        <v>1.0536008999999999E-2</v>
      </c>
      <c r="D8" s="6">
        <v>1.0604345999999997E-2</v>
      </c>
      <c r="E8" s="6">
        <v>1.0673129999999998E-2</v>
      </c>
      <c r="F8" s="6">
        <v>1.0742354999999999E-2</v>
      </c>
      <c r="G8" s="6">
        <v>1.081203E-2</v>
      </c>
      <c r="H8" s="6">
        <v>1.0882157999999998E-2</v>
      </c>
      <c r="I8" s="6">
        <v>1.0952742E-2</v>
      </c>
      <c r="J8" s="6">
        <v>1.1023781999999998E-2</v>
      </c>
      <c r="K8" s="6">
        <v>1.1095283999999997E-2</v>
      </c>
      <c r="L8" s="6">
        <v>1.1167247999999999E-2</v>
      </c>
      <c r="M8" s="6">
        <v>1.1239679999999998E-2</v>
      </c>
      <c r="N8" s="6">
        <v>1.1312579999999999E-2</v>
      </c>
      <c r="O8" s="6">
        <v>1.1385953999999998E-2</v>
      </c>
      <c r="P8" s="6">
        <v>1.1459804999999998E-2</v>
      </c>
      <c r="Q8" s="6">
        <v>1.1534135999999997E-2</v>
      </c>
      <c r="R8" s="6">
        <v>1.1608946999999998E-2</v>
      </c>
      <c r="S8" s="6">
        <v>1.1684243999999998E-2</v>
      </c>
      <c r="T8" s="6">
        <v>1.1760026999999996E-2</v>
      </c>
      <c r="U8" s="6">
        <v>1.1836304999999997E-2</v>
      </c>
      <c r="V8" s="6">
        <v>1.1913074999999999E-2</v>
      </c>
      <c r="W8" s="6">
        <v>1.1990345999999997E-2</v>
      </c>
      <c r="X8" s="6">
        <v>1.2068114999999999E-2</v>
      </c>
      <c r="Y8" s="6">
        <v>1.2146390999999999E-2</v>
      </c>
      <c r="Z8" s="6">
        <v>1.2225173999999998E-2</v>
      </c>
      <c r="AA8" s="6">
        <v>1.2304466999999998E-2</v>
      </c>
      <c r="AB8" s="6">
        <v>1.2384272999999999E-2</v>
      </c>
      <c r="AC8" s="6">
        <v>1.2464597999999999E-2</v>
      </c>
      <c r="AD8" s="6">
        <v>1.2545444999999999E-2</v>
      </c>
      <c r="AE8" s="6">
        <v>1.2626816999999999E-2</v>
      </c>
      <c r="AF8" s="6">
        <v>1.2708713999999998E-2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AE47-E25D-4966-9232-7994CD562D42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3.2293482418666772E-5</v>
      </c>
      <c r="C2" s="6">
        <v>3.2293482418666772E-5</v>
      </c>
      <c r="D2" s="6">
        <v>3.2293482418666772E-5</v>
      </c>
      <c r="E2" s="6">
        <v>3.2293482418666772E-5</v>
      </c>
      <c r="F2" s="6">
        <v>3.2293482418666772E-5</v>
      </c>
      <c r="G2" s="6">
        <v>3.2293482418666772E-5</v>
      </c>
      <c r="H2" s="6">
        <v>3.2293482418666772E-5</v>
      </c>
      <c r="I2" s="6">
        <v>3.2293482418666772E-5</v>
      </c>
      <c r="J2" s="6">
        <v>3.2293482418666772E-5</v>
      </c>
      <c r="K2" s="6">
        <v>3.2293482418666772E-5</v>
      </c>
      <c r="L2" s="6">
        <v>3.2293482418666772E-5</v>
      </c>
      <c r="M2" s="6">
        <v>3.2293482418666772E-5</v>
      </c>
      <c r="N2" s="6">
        <v>3.2293482418666772E-5</v>
      </c>
      <c r="O2" s="6">
        <v>3.2293482418666772E-5</v>
      </c>
      <c r="P2" s="6">
        <v>3.2293482418666772E-5</v>
      </c>
      <c r="Q2" s="6">
        <v>3.2293482418666772E-5</v>
      </c>
      <c r="R2" s="6">
        <v>3.2293482418666772E-5</v>
      </c>
      <c r="S2" s="6">
        <v>3.2293482418666772E-5</v>
      </c>
      <c r="T2" s="6">
        <v>3.2293482418666772E-5</v>
      </c>
      <c r="U2" s="6">
        <v>3.2293482418666772E-5</v>
      </c>
      <c r="V2" s="6">
        <v>3.2293482418666772E-5</v>
      </c>
      <c r="W2" s="6">
        <v>3.2293482418666772E-5</v>
      </c>
      <c r="X2" s="6">
        <v>3.2293482418666772E-5</v>
      </c>
      <c r="Y2" s="6">
        <v>3.2293482418666772E-5</v>
      </c>
      <c r="Z2" s="6">
        <v>3.2293482418666772E-5</v>
      </c>
      <c r="AA2" s="6">
        <v>3.2293482418666772E-5</v>
      </c>
      <c r="AB2" s="6">
        <v>3.2293482418666772E-5</v>
      </c>
      <c r="AC2" s="6">
        <v>3.2293482418666772E-5</v>
      </c>
      <c r="AD2" s="6">
        <v>3.2293482418666772E-5</v>
      </c>
      <c r="AE2" s="6">
        <v>3.2293482418666772E-5</v>
      </c>
      <c r="AF2" s="6">
        <v>3.2293482418666772E-5</v>
      </c>
    </row>
    <row r="3" spans="1:32">
      <c r="A3" s="1" t="s">
        <v>10</v>
      </c>
      <c r="B3" s="1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</row>
    <row r="4" spans="1:32">
      <c r="A4" s="1" t="s">
        <v>11</v>
      </c>
      <c r="B4" s="6">
        <v>1.0049397002369564E-5</v>
      </c>
      <c r="C4" s="6">
        <v>1.0049397002369564E-5</v>
      </c>
      <c r="D4" s="6">
        <v>1.0049397002369564E-5</v>
      </c>
      <c r="E4" s="6">
        <v>1.0049397002369564E-5</v>
      </c>
      <c r="F4" s="6">
        <v>1.0049397002369564E-5</v>
      </c>
      <c r="G4" s="6">
        <v>1.0049397002369564E-5</v>
      </c>
      <c r="H4" s="6">
        <v>1.0049397002369564E-5</v>
      </c>
      <c r="I4" s="6">
        <v>1.0049397002369564E-5</v>
      </c>
      <c r="J4" s="6">
        <v>1.0049397002369564E-5</v>
      </c>
      <c r="K4" s="6">
        <v>1.0049397002369564E-5</v>
      </c>
      <c r="L4" s="6">
        <v>1.0049397002369564E-5</v>
      </c>
      <c r="M4" s="6">
        <v>1.0049397002369564E-5</v>
      </c>
      <c r="N4" s="6">
        <v>1.0049397002369564E-5</v>
      </c>
      <c r="O4" s="6">
        <v>1.0049397002369564E-5</v>
      </c>
      <c r="P4" s="6">
        <v>1.0049397002369564E-5</v>
      </c>
      <c r="Q4" s="6">
        <v>1.0049397002369564E-5</v>
      </c>
      <c r="R4" s="6">
        <v>1.0049397002369564E-5</v>
      </c>
      <c r="S4" s="6">
        <v>1.0049397002369564E-5</v>
      </c>
      <c r="T4" s="6">
        <v>1.0049397002369564E-5</v>
      </c>
      <c r="U4" s="6">
        <v>1.0049397002369564E-5</v>
      </c>
      <c r="V4" s="6">
        <v>1.0049397002369564E-5</v>
      </c>
      <c r="W4" s="6">
        <v>1.0049397002369564E-5</v>
      </c>
      <c r="X4" s="6">
        <v>1.0049397002369564E-5</v>
      </c>
      <c r="Y4" s="6">
        <v>1.0049397002369564E-5</v>
      </c>
      <c r="Z4" s="6">
        <v>1.0049397002369564E-5</v>
      </c>
      <c r="AA4" s="6">
        <v>1.0049397002369564E-5</v>
      </c>
      <c r="AB4" s="6">
        <v>1.0049397002369564E-5</v>
      </c>
      <c r="AC4" s="6">
        <v>1.0049397002369564E-5</v>
      </c>
      <c r="AD4" s="6">
        <v>1.0049397002369564E-5</v>
      </c>
      <c r="AE4" s="6">
        <v>1.0049397002369564E-5</v>
      </c>
      <c r="AF4" s="6">
        <v>1.0049397002369564E-5</v>
      </c>
    </row>
    <row r="5" spans="1:32">
      <c r="A5" s="1" t="s">
        <v>12</v>
      </c>
      <c r="B5" s="6">
        <v>1.0049397002369565E-5</v>
      </c>
      <c r="C5" s="6">
        <v>1.0049397002369565E-5</v>
      </c>
      <c r="D5" s="6">
        <v>1.0049397002369565E-5</v>
      </c>
      <c r="E5" s="6">
        <v>1.0049397002369565E-5</v>
      </c>
      <c r="F5" s="6">
        <v>1.0049397002369565E-5</v>
      </c>
      <c r="G5" s="6">
        <v>1.0049397002369565E-5</v>
      </c>
      <c r="H5" s="6">
        <v>1.0049397002369565E-5</v>
      </c>
      <c r="I5" s="6">
        <v>1.0049397002369565E-5</v>
      </c>
      <c r="J5" s="6">
        <v>1.0049397002369565E-5</v>
      </c>
      <c r="K5" s="6">
        <v>1.0049397002369565E-5</v>
      </c>
      <c r="L5" s="6">
        <v>1.0049397002369565E-5</v>
      </c>
      <c r="M5" s="6">
        <v>1.0049397002369565E-5</v>
      </c>
      <c r="N5" s="6">
        <v>1.0049397002369565E-5</v>
      </c>
      <c r="O5" s="6">
        <v>1.0049397002369565E-5</v>
      </c>
      <c r="P5" s="6">
        <v>1.0049397002369565E-5</v>
      </c>
      <c r="Q5" s="6">
        <v>1.0049397002369565E-5</v>
      </c>
      <c r="R5" s="6">
        <v>1.0049397002369565E-5</v>
      </c>
      <c r="S5" s="6">
        <v>1.0049397002369565E-5</v>
      </c>
      <c r="T5" s="6">
        <v>1.0049397002369565E-5</v>
      </c>
      <c r="U5" s="6">
        <v>1.0049397002369565E-5</v>
      </c>
      <c r="V5" s="6">
        <v>1.0049397002369565E-5</v>
      </c>
      <c r="W5" s="6">
        <v>1.0049397002369565E-5</v>
      </c>
      <c r="X5" s="6">
        <v>1.0049397002369565E-5</v>
      </c>
      <c r="Y5" s="6">
        <v>1.0049397002369565E-5</v>
      </c>
      <c r="Z5" s="6">
        <v>1.0049397002369565E-5</v>
      </c>
      <c r="AA5" s="6">
        <v>1.0049397002369565E-5</v>
      </c>
      <c r="AB5" s="6">
        <v>1.0049397002369565E-5</v>
      </c>
      <c r="AC5" s="6">
        <v>1.0049397002369565E-5</v>
      </c>
      <c r="AD5" s="6">
        <v>1.0049397002369565E-5</v>
      </c>
      <c r="AE5" s="6">
        <v>1.0049397002369565E-5</v>
      </c>
      <c r="AF5" s="6">
        <v>1.0049397002369565E-5</v>
      </c>
    </row>
    <row r="6" spans="1:32">
      <c r="A6" s="1" t="s">
        <v>13</v>
      </c>
      <c r="B6" s="1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</row>
    <row r="7" spans="1:32">
      <c r="A7" s="1" t="s">
        <v>14</v>
      </c>
      <c r="B7" s="1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</row>
    <row r="8" spans="1:32">
      <c r="A8" s="1" t="s">
        <v>15</v>
      </c>
      <c r="B8" s="6">
        <v>3.0148191007108693E-5</v>
      </c>
      <c r="C8" s="6">
        <v>3.0148191007108693E-5</v>
      </c>
      <c r="D8" s="6">
        <v>3.0148191007108693E-5</v>
      </c>
      <c r="E8" s="6">
        <v>3.0148191007108693E-5</v>
      </c>
      <c r="F8" s="6">
        <v>3.0148191007108693E-5</v>
      </c>
      <c r="G8" s="6">
        <v>3.0148191007108693E-5</v>
      </c>
      <c r="H8" s="6">
        <v>3.0148191007108693E-5</v>
      </c>
      <c r="I8" s="6">
        <v>3.0148191007108693E-5</v>
      </c>
      <c r="J8" s="6">
        <v>3.0148191007108693E-5</v>
      </c>
      <c r="K8" s="6">
        <v>3.0148191007108693E-5</v>
      </c>
      <c r="L8" s="6">
        <v>3.0148191007108693E-5</v>
      </c>
      <c r="M8" s="6">
        <v>3.0148191007108693E-5</v>
      </c>
      <c r="N8" s="6">
        <v>3.0148191007108693E-5</v>
      </c>
      <c r="O8" s="6">
        <v>3.0148191007108693E-5</v>
      </c>
      <c r="P8" s="6">
        <v>3.0148191007108693E-5</v>
      </c>
      <c r="Q8" s="6">
        <v>3.0148191007108693E-5</v>
      </c>
      <c r="R8" s="6">
        <v>3.0148191007108693E-5</v>
      </c>
      <c r="S8" s="6">
        <v>3.0148191007108693E-5</v>
      </c>
      <c r="T8" s="6">
        <v>3.0148191007108693E-5</v>
      </c>
      <c r="U8" s="6">
        <v>3.0148191007108693E-5</v>
      </c>
      <c r="V8" s="6">
        <v>3.0148191007108693E-5</v>
      </c>
      <c r="W8" s="6">
        <v>3.0148191007108693E-5</v>
      </c>
      <c r="X8" s="6">
        <v>3.0148191007108693E-5</v>
      </c>
      <c r="Y8" s="6">
        <v>3.0148191007108693E-5</v>
      </c>
      <c r="Z8" s="6">
        <v>3.0148191007108693E-5</v>
      </c>
      <c r="AA8" s="6">
        <v>3.0148191007108693E-5</v>
      </c>
      <c r="AB8" s="6">
        <v>3.0148191007108693E-5</v>
      </c>
      <c r="AC8" s="6">
        <v>3.0148191007108693E-5</v>
      </c>
      <c r="AD8" s="6">
        <v>3.0148191007108693E-5</v>
      </c>
      <c r="AE8" s="6">
        <v>3.0148191007108693E-5</v>
      </c>
      <c r="AF8" s="6">
        <v>3.0148191007108693E-5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DAD2-4DA9-444A-A605-DE00222A95B6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1.5975871779246573E-2</v>
      </c>
      <c r="C2" s="6">
        <v>1.5975871779246573E-2</v>
      </c>
      <c r="D2" s="6">
        <v>1.5975871779246573E-2</v>
      </c>
      <c r="E2" s="6">
        <v>1.5975871779246573E-2</v>
      </c>
      <c r="F2" s="6">
        <v>1.5975871779246573E-2</v>
      </c>
      <c r="G2" s="6">
        <v>1.5975871779246573E-2</v>
      </c>
      <c r="H2" s="6">
        <v>1.5975871779246573E-2</v>
      </c>
      <c r="I2" s="6">
        <v>1.5975871779246573E-2</v>
      </c>
      <c r="J2" s="6">
        <v>1.5975871779246573E-2</v>
      </c>
      <c r="K2" s="6">
        <v>1.5975871779246573E-2</v>
      </c>
      <c r="L2" s="6">
        <v>1.5975871779246573E-2</v>
      </c>
      <c r="M2" s="6">
        <v>1.5975871779246573E-2</v>
      </c>
      <c r="N2" s="6">
        <v>1.5975871779246573E-2</v>
      </c>
      <c r="O2" s="6">
        <v>1.5975871779246573E-2</v>
      </c>
      <c r="P2" s="6">
        <v>1.5975871779246573E-2</v>
      </c>
      <c r="Q2" s="6">
        <v>1.5975871779246573E-2</v>
      </c>
      <c r="R2" s="6">
        <v>1.5975871779246573E-2</v>
      </c>
      <c r="S2" s="6">
        <v>1.5975871779246573E-2</v>
      </c>
      <c r="T2" s="6">
        <v>1.5975871779246573E-2</v>
      </c>
      <c r="U2" s="6">
        <v>1.5975871779246573E-2</v>
      </c>
      <c r="V2" s="6">
        <v>1.5975871779246573E-2</v>
      </c>
      <c r="W2" s="6">
        <v>1.5975871779246573E-2</v>
      </c>
      <c r="X2" s="6">
        <v>1.5975871779246573E-2</v>
      </c>
      <c r="Y2" s="6">
        <v>1.5975871779246573E-2</v>
      </c>
      <c r="Z2" s="6">
        <v>1.5975871779246573E-2</v>
      </c>
      <c r="AA2" s="6">
        <v>1.5975871779246573E-2</v>
      </c>
      <c r="AB2" s="6">
        <v>1.5975871779246573E-2</v>
      </c>
      <c r="AC2" s="6">
        <v>1.5975871779246573E-2</v>
      </c>
      <c r="AD2" s="6">
        <v>1.5975871779246573E-2</v>
      </c>
      <c r="AE2" s="6">
        <v>1.5975871779246573E-2</v>
      </c>
      <c r="AF2" s="6">
        <v>1.5975871779246573E-2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12</v>
      </c>
      <c r="B5" s="6">
        <v>4.9715257056265547E-3</v>
      </c>
      <c r="C5" s="6">
        <v>4.9715257056265547E-3</v>
      </c>
      <c r="D5" s="6">
        <v>4.9715257056265547E-3</v>
      </c>
      <c r="E5" s="6">
        <v>4.9715257056265547E-3</v>
      </c>
      <c r="F5" s="6">
        <v>4.9715257056265547E-3</v>
      </c>
      <c r="G5" s="6">
        <v>4.9715257056265547E-3</v>
      </c>
      <c r="H5" s="6">
        <v>4.9715257056265547E-3</v>
      </c>
      <c r="I5" s="6">
        <v>4.9715257056265547E-3</v>
      </c>
      <c r="J5" s="6">
        <v>4.9715257056265547E-3</v>
      </c>
      <c r="K5" s="6">
        <v>4.9715257056265547E-3</v>
      </c>
      <c r="L5" s="6">
        <v>4.9715257056265547E-3</v>
      </c>
      <c r="M5" s="6">
        <v>4.9715257056265547E-3</v>
      </c>
      <c r="N5" s="6">
        <v>4.9715257056265547E-3</v>
      </c>
      <c r="O5" s="6">
        <v>4.9715257056265547E-3</v>
      </c>
      <c r="P5" s="6">
        <v>4.9715257056265547E-3</v>
      </c>
      <c r="Q5" s="6">
        <v>4.9715257056265547E-3</v>
      </c>
      <c r="R5" s="6">
        <v>4.9715257056265547E-3</v>
      </c>
      <c r="S5" s="6">
        <v>4.9715257056265547E-3</v>
      </c>
      <c r="T5" s="6">
        <v>4.9715257056265547E-3</v>
      </c>
      <c r="U5" s="6">
        <v>4.9715257056265547E-3</v>
      </c>
      <c r="V5" s="6">
        <v>4.9715257056265547E-3</v>
      </c>
      <c r="W5" s="6">
        <v>4.9715257056265547E-3</v>
      </c>
      <c r="X5" s="6">
        <v>4.9715257056265547E-3</v>
      </c>
      <c r="Y5" s="6">
        <v>4.9715257056265547E-3</v>
      </c>
      <c r="Z5" s="6">
        <v>4.9715257056265547E-3</v>
      </c>
      <c r="AA5" s="6">
        <v>4.9715257056265547E-3</v>
      </c>
      <c r="AB5" s="6">
        <v>4.9715257056265547E-3</v>
      </c>
      <c r="AC5" s="6">
        <v>4.9715257056265547E-3</v>
      </c>
      <c r="AD5" s="6">
        <v>4.9715257056265547E-3</v>
      </c>
      <c r="AE5" s="6">
        <v>4.9715257056265547E-3</v>
      </c>
      <c r="AF5" s="6">
        <v>4.9715257056265547E-3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1.4914577116879662E-2</v>
      </c>
      <c r="C8" s="6">
        <v>1.4914577116879662E-2</v>
      </c>
      <c r="D8" s="6">
        <v>1.4914577116879662E-2</v>
      </c>
      <c r="E8" s="6">
        <v>1.4914577116879662E-2</v>
      </c>
      <c r="F8" s="6">
        <v>1.4914577116879662E-2</v>
      </c>
      <c r="G8" s="6">
        <v>1.4914577116879662E-2</v>
      </c>
      <c r="H8" s="6">
        <v>1.4914577116879662E-2</v>
      </c>
      <c r="I8" s="6">
        <v>1.4914577116879662E-2</v>
      </c>
      <c r="J8" s="6">
        <v>1.4914577116879662E-2</v>
      </c>
      <c r="K8" s="6">
        <v>1.4914577116879662E-2</v>
      </c>
      <c r="L8" s="6">
        <v>1.4914577116879662E-2</v>
      </c>
      <c r="M8" s="6">
        <v>1.4914577116879662E-2</v>
      </c>
      <c r="N8" s="6">
        <v>1.4914577116879662E-2</v>
      </c>
      <c r="O8" s="6">
        <v>1.4914577116879662E-2</v>
      </c>
      <c r="P8" s="6">
        <v>1.4914577116879662E-2</v>
      </c>
      <c r="Q8" s="6">
        <v>1.4914577116879662E-2</v>
      </c>
      <c r="R8" s="6">
        <v>1.4914577116879662E-2</v>
      </c>
      <c r="S8" s="6">
        <v>1.4914577116879662E-2</v>
      </c>
      <c r="T8" s="6">
        <v>1.4914577116879662E-2</v>
      </c>
      <c r="U8" s="6">
        <v>1.4914577116879662E-2</v>
      </c>
      <c r="V8" s="6">
        <v>1.4914577116879662E-2</v>
      </c>
      <c r="W8" s="6">
        <v>1.4914577116879662E-2</v>
      </c>
      <c r="X8" s="6">
        <v>1.4914577116879662E-2</v>
      </c>
      <c r="Y8" s="6">
        <v>1.4914577116879662E-2</v>
      </c>
      <c r="Z8" s="6">
        <v>1.4914577116879662E-2</v>
      </c>
      <c r="AA8" s="6">
        <v>1.4914577116879662E-2</v>
      </c>
      <c r="AB8" s="6">
        <v>1.4914577116879662E-2</v>
      </c>
      <c r="AC8" s="6">
        <v>1.4914577116879662E-2</v>
      </c>
      <c r="AD8" s="6">
        <v>1.4914577116879662E-2</v>
      </c>
      <c r="AE8" s="6">
        <v>1.4914577116879662E-2</v>
      </c>
      <c r="AF8" s="6">
        <v>1.4914577116879662E-2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B59B2-D948-446C-AB83-38AE2958E3B0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3.5367364645723983E-3</v>
      </c>
      <c r="C2">
        <v>3.5367364645723983E-3</v>
      </c>
      <c r="D2">
        <v>3.5367364645723983E-3</v>
      </c>
      <c r="E2">
        <v>3.5367364645723983E-3</v>
      </c>
      <c r="F2">
        <v>3.5367364645723983E-3</v>
      </c>
      <c r="G2">
        <v>3.5367364645723983E-3</v>
      </c>
      <c r="H2">
        <v>3.5367364645723983E-3</v>
      </c>
      <c r="I2">
        <v>3.5367364645723983E-3</v>
      </c>
      <c r="J2">
        <v>3.5367364645723983E-3</v>
      </c>
      <c r="K2">
        <v>3.5367364645723983E-3</v>
      </c>
      <c r="L2">
        <v>3.5367364645723983E-3</v>
      </c>
      <c r="M2">
        <v>3.5367364645723983E-3</v>
      </c>
      <c r="N2">
        <v>3.5367364645723983E-3</v>
      </c>
      <c r="O2">
        <v>3.5367364645723983E-3</v>
      </c>
      <c r="P2">
        <v>3.5367364645723983E-3</v>
      </c>
      <c r="Q2">
        <v>3.5367364645723983E-3</v>
      </c>
      <c r="R2">
        <v>3.5367364645723983E-3</v>
      </c>
      <c r="S2">
        <v>3.5367364645723983E-3</v>
      </c>
      <c r="T2">
        <v>3.5367364645723983E-3</v>
      </c>
      <c r="U2">
        <v>3.5367364645723983E-3</v>
      </c>
      <c r="V2">
        <v>3.5367364645723983E-3</v>
      </c>
      <c r="W2">
        <v>3.5367364645723983E-3</v>
      </c>
      <c r="X2">
        <v>3.5367364645723983E-3</v>
      </c>
      <c r="Y2">
        <v>3.5367364645723983E-3</v>
      </c>
      <c r="Z2">
        <v>3.5367364645723983E-3</v>
      </c>
      <c r="AA2">
        <v>3.5367364645723983E-3</v>
      </c>
      <c r="AB2">
        <v>3.5367364645723983E-3</v>
      </c>
      <c r="AC2">
        <v>3.5367364645723983E-3</v>
      </c>
      <c r="AD2">
        <v>3.5367364645723983E-3</v>
      </c>
      <c r="AE2">
        <v>3.5367364645723983E-3</v>
      </c>
      <c r="AF2">
        <v>3.5367364645723983E-3</v>
      </c>
    </row>
    <row r="3" spans="1:32">
      <c r="A3" s="1" t="s">
        <v>10</v>
      </c>
      <c r="B3">
        <v>1.110710625237613E-3</v>
      </c>
      <c r="C3">
        <v>1.110710625237613E-3</v>
      </c>
      <c r="D3">
        <v>1.110710625237613E-3</v>
      </c>
      <c r="E3">
        <v>1.110710625237613E-3</v>
      </c>
      <c r="F3">
        <v>1.110710625237613E-3</v>
      </c>
      <c r="G3">
        <v>1.110710625237613E-3</v>
      </c>
      <c r="H3">
        <v>1.110710625237613E-3</v>
      </c>
      <c r="I3">
        <v>1.110710625237613E-3</v>
      </c>
      <c r="J3">
        <v>1.110710625237613E-3</v>
      </c>
      <c r="K3">
        <v>1.110710625237613E-3</v>
      </c>
      <c r="L3">
        <v>1.110710625237613E-3</v>
      </c>
      <c r="M3">
        <v>1.110710625237613E-3</v>
      </c>
      <c r="N3">
        <v>1.110710625237613E-3</v>
      </c>
      <c r="O3">
        <v>1.110710625237613E-3</v>
      </c>
      <c r="P3">
        <v>1.110710625237613E-3</v>
      </c>
      <c r="Q3">
        <v>1.110710625237613E-3</v>
      </c>
      <c r="R3">
        <v>1.110710625237613E-3</v>
      </c>
      <c r="S3">
        <v>1.110710625237613E-3</v>
      </c>
      <c r="T3">
        <v>1.110710625237613E-3</v>
      </c>
      <c r="U3">
        <v>1.110710625237613E-3</v>
      </c>
      <c r="V3">
        <v>1.110710625237613E-3</v>
      </c>
      <c r="W3">
        <v>1.110710625237613E-3</v>
      </c>
      <c r="X3">
        <v>1.110710625237613E-3</v>
      </c>
      <c r="Y3">
        <v>1.110710625237613E-3</v>
      </c>
      <c r="Z3">
        <v>1.110710625237613E-3</v>
      </c>
      <c r="AA3">
        <v>1.110710625237613E-3</v>
      </c>
      <c r="AB3">
        <v>1.110710625237613E-3</v>
      </c>
      <c r="AC3">
        <v>1.110710625237613E-3</v>
      </c>
      <c r="AD3">
        <v>1.110710625237613E-3</v>
      </c>
      <c r="AE3">
        <v>1.110710625237613E-3</v>
      </c>
      <c r="AF3">
        <v>1.110710625237613E-3</v>
      </c>
    </row>
    <row r="4" spans="1:32">
      <c r="A4" s="1" t="s">
        <v>11</v>
      </c>
      <c r="B4">
        <v>1.110710625237613E-3</v>
      </c>
      <c r="C4">
        <v>1.110710625237613E-3</v>
      </c>
      <c r="D4">
        <v>1.110710625237613E-3</v>
      </c>
      <c r="E4">
        <v>1.110710625237613E-3</v>
      </c>
      <c r="F4">
        <v>1.110710625237613E-3</v>
      </c>
      <c r="G4">
        <v>1.110710625237613E-3</v>
      </c>
      <c r="H4">
        <v>1.110710625237613E-3</v>
      </c>
      <c r="I4">
        <v>1.110710625237613E-3</v>
      </c>
      <c r="J4">
        <v>1.110710625237613E-3</v>
      </c>
      <c r="K4">
        <v>1.110710625237613E-3</v>
      </c>
      <c r="L4">
        <v>1.110710625237613E-3</v>
      </c>
      <c r="M4">
        <v>1.110710625237613E-3</v>
      </c>
      <c r="N4">
        <v>1.110710625237613E-3</v>
      </c>
      <c r="O4">
        <v>1.110710625237613E-3</v>
      </c>
      <c r="P4">
        <v>1.110710625237613E-3</v>
      </c>
      <c r="Q4">
        <v>1.110710625237613E-3</v>
      </c>
      <c r="R4">
        <v>1.110710625237613E-3</v>
      </c>
      <c r="S4">
        <v>1.110710625237613E-3</v>
      </c>
      <c r="T4">
        <v>1.110710625237613E-3</v>
      </c>
      <c r="U4">
        <v>1.110710625237613E-3</v>
      </c>
      <c r="V4">
        <v>1.110710625237613E-3</v>
      </c>
      <c r="W4">
        <v>1.110710625237613E-3</v>
      </c>
      <c r="X4">
        <v>1.110710625237613E-3</v>
      </c>
      <c r="Y4">
        <v>1.110710625237613E-3</v>
      </c>
      <c r="Z4">
        <v>1.110710625237613E-3</v>
      </c>
      <c r="AA4">
        <v>1.110710625237613E-3</v>
      </c>
      <c r="AB4">
        <v>1.110710625237613E-3</v>
      </c>
      <c r="AC4">
        <v>1.110710625237613E-3</v>
      </c>
      <c r="AD4">
        <v>1.110710625237613E-3</v>
      </c>
      <c r="AE4">
        <v>1.110710625237613E-3</v>
      </c>
      <c r="AF4">
        <v>1.110710625237613E-3</v>
      </c>
    </row>
    <row r="5" spans="1:32">
      <c r="A5" s="1" t="s">
        <v>12</v>
      </c>
      <c r="B5">
        <v>1.110710625237613E-3</v>
      </c>
      <c r="C5">
        <v>1.110710625237613E-3</v>
      </c>
      <c r="D5">
        <v>1.110710625237613E-3</v>
      </c>
      <c r="E5">
        <v>1.110710625237613E-3</v>
      </c>
      <c r="F5">
        <v>1.110710625237613E-3</v>
      </c>
      <c r="G5">
        <v>1.110710625237613E-3</v>
      </c>
      <c r="H5">
        <v>1.110710625237613E-3</v>
      </c>
      <c r="I5">
        <v>1.110710625237613E-3</v>
      </c>
      <c r="J5">
        <v>1.110710625237613E-3</v>
      </c>
      <c r="K5">
        <v>1.110710625237613E-3</v>
      </c>
      <c r="L5">
        <v>1.110710625237613E-3</v>
      </c>
      <c r="M5">
        <v>1.110710625237613E-3</v>
      </c>
      <c r="N5">
        <v>1.110710625237613E-3</v>
      </c>
      <c r="O5">
        <v>1.110710625237613E-3</v>
      </c>
      <c r="P5">
        <v>1.110710625237613E-3</v>
      </c>
      <c r="Q5">
        <v>1.110710625237613E-3</v>
      </c>
      <c r="R5">
        <v>1.110710625237613E-3</v>
      </c>
      <c r="S5">
        <v>1.110710625237613E-3</v>
      </c>
      <c r="T5">
        <v>1.110710625237613E-3</v>
      </c>
      <c r="U5">
        <v>1.110710625237613E-3</v>
      </c>
      <c r="V5">
        <v>1.110710625237613E-3</v>
      </c>
      <c r="W5">
        <v>1.110710625237613E-3</v>
      </c>
      <c r="X5">
        <v>1.110710625237613E-3</v>
      </c>
      <c r="Y5">
        <v>1.110710625237613E-3</v>
      </c>
      <c r="Z5">
        <v>1.110710625237613E-3</v>
      </c>
      <c r="AA5">
        <v>1.110710625237613E-3</v>
      </c>
      <c r="AB5">
        <v>1.110710625237613E-3</v>
      </c>
      <c r="AC5">
        <v>1.110710625237613E-3</v>
      </c>
      <c r="AD5">
        <v>1.110710625237613E-3</v>
      </c>
      <c r="AE5">
        <v>1.110710625237613E-3</v>
      </c>
      <c r="AF5">
        <v>1.110710625237613E-3</v>
      </c>
    </row>
    <row r="6" spans="1:32">
      <c r="A6" s="1" t="s">
        <v>13</v>
      </c>
      <c r="B6">
        <v>2.4450248368717451E-3</v>
      </c>
      <c r="C6">
        <v>2.4450248368717451E-3</v>
      </c>
      <c r="D6">
        <v>2.4450248368717451E-3</v>
      </c>
      <c r="E6">
        <v>2.4450248368717451E-3</v>
      </c>
      <c r="F6">
        <v>2.4450248368717451E-3</v>
      </c>
      <c r="G6">
        <v>2.4450248368717451E-3</v>
      </c>
      <c r="H6">
        <v>2.4450248368717451E-3</v>
      </c>
      <c r="I6">
        <v>2.4450248368717451E-3</v>
      </c>
      <c r="J6">
        <v>2.4450248368717451E-3</v>
      </c>
      <c r="K6">
        <v>2.4450248368717451E-3</v>
      </c>
      <c r="L6">
        <v>2.4450248368717451E-3</v>
      </c>
      <c r="M6">
        <v>2.4450248368717451E-3</v>
      </c>
      <c r="N6">
        <v>2.4450248368717451E-3</v>
      </c>
      <c r="O6">
        <v>2.4450248368717451E-3</v>
      </c>
      <c r="P6">
        <v>2.4450248368717451E-3</v>
      </c>
      <c r="Q6">
        <v>2.4450248368717451E-3</v>
      </c>
      <c r="R6">
        <v>2.4450248368717451E-3</v>
      </c>
      <c r="S6">
        <v>2.4450248368717451E-3</v>
      </c>
      <c r="T6">
        <v>2.4450248368717451E-3</v>
      </c>
      <c r="U6">
        <v>2.4450248368717451E-3</v>
      </c>
      <c r="V6">
        <v>2.4450248368717451E-3</v>
      </c>
      <c r="W6">
        <v>2.4450248368717451E-3</v>
      </c>
      <c r="X6">
        <v>2.4450248368717451E-3</v>
      </c>
      <c r="Y6">
        <v>2.4450248368717451E-3</v>
      </c>
      <c r="Z6">
        <v>2.4450248368717451E-3</v>
      </c>
      <c r="AA6">
        <v>2.4450248368717451E-3</v>
      </c>
      <c r="AB6">
        <v>2.4450248368717451E-3</v>
      </c>
      <c r="AC6">
        <v>2.4450248368717451E-3</v>
      </c>
      <c r="AD6">
        <v>2.4450248368717451E-3</v>
      </c>
      <c r="AE6">
        <v>2.4450248368717451E-3</v>
      </c>
      <c r="AF6">
        <v>2.4450248368717451E-3</v>
      </c>
    </row>
    <row r="7" spans="1:32">
      <c r="A7" s="1" t="s">
        <v>14</v>
      </c>
      <c r="B7">
        <v>8.6080073455915005E-4</v>
      </c>
      <c r="C7">
        <v>8.6080073455915005E-4</v>
      </c>
      <c r="D7">
        <v>8.6080073455915005E-4</v>
      </c>
      <c r="E7">
        <v>8.6080073455915005E-4</v>
      </c>
      <c r="F7">
        <v>8.6080073455915005E-4</v>
      </c>
      <c r="G7">
        <v>8.6080073455915005E-4</v>
      </c>
      <c r="H7">
        <v>8.6080073455915005E-4</v>
      </c>
      <c r="I7">
        <v>8.6080073455915005E-4</v>
      </c>
      <c r="J7">
        <v>8.6080073455915005E-4</v>
      </c>
      <c r="K7">
        <v>8.6080073455915005E-4</v>
      </c>
      <c r="L7">
        <v>8.6080073455915005E-4</v>
      </c>
      <c r="M7">
        <v>8.6080073455915005E-4</v>
      </c>
      <c r="N7">
        <v>8.6080073455915005E-4</v>
      </c>
      <c r="O7">
        <v>8.6080073455915005E-4</v>
      </c>
      <c r="P7">
        <v>8.6080073455915005E-4</v>
      </c>
      <c r="Q7">
        <v>8.6080073455915005E-4</v>
      </c>
      <c r="R7">
        <v>8.6080073455915005E-4</v>
      </c>
      <c r="S7">
        <v>8.6080073455915005E-4</v>
      </c>
      <c r="T7">
        <v>8.6080073455915005E-4</v>
      </c>
      <c r="U7">
        <v>8.6080073455915005E-4</v>
      </c>
      <c r="V7">
        <v>8.6080073455915005E-4</v>
      </c>
      <c r="W7">
        <v>8.6080073455915005E-4</v>
      </c>
      <c r="X7">
        <v>8.6080073455915005E-4</v>
      </c>
      <c r="Y7">
        <v>8.6080073455915005E-4</v>
      </c>
      <c r="Z7">
        <v>8.6080073455915005E-4</v>
      </c>
      <c r="AA7">
        <v>8.6080073455915005E-4</v>
      </c>
      <c r="AB7">
        <v>8.6080073455915005E-4</v>
      </c>
      <c r="AC7">
        <v>8.6080073455915005E-4</v>
      </c>
      <c r="AD7">
        <v>8.6080073455915005E-4</v>
      </c>
      <c r="AE7">
        <v>8.6080073455915005E-4</v>
      </c>
      <c r="AF7">
        <v>8.6080073455915005E-4</v>
      </c>
    </row>
    <row r="8" spans="1:32">
      <c r="A8" s="1" t="s">
        <v>15</v>
      </c>
      <c r="B8">
        <v>3.3321318757128385E-3</v>
      </c>
      <c r="C8">
        <v>3.3321318757128385E-3</v>
      </c>
      <c r="D8">
        <v>3.3321318757128385E-3</v>
      </c>
      <c r="E8">
        <v>3.3321318757128385E-3</v>
      </c>
      <c r="F8">
        <v>3.3321318757128385E-3</v>
      </c>
      <c r="G8">
        <v>3.3321318757128385E-3</v>
      </c>
      <c r="H8">
        <v>3.3321318757128385E-3</v>
      </c>
      <c r="I8">
        <v>3.3321318757128385E-3</v>
      </c>
      <c r="J8">
        <v>3.3321318757128385E-3</v>
      </c>
      <c r="K8">
        <v>3.3321318757128385E-3</v>
      </c>
      <c r="L8">
        <v>3.3321318757128385E-3</v>
      </c>
      <c r="M8">
        <v>3.3321318757128385E-3</v>
      </c>
      <c r="N8">
        <v>3.3321318757128385E-3</v>
      </c>
      <c r="O8">
        <v>3.3321318757128385E-3</v>
      </c>
      <c r="P8">
        <v>3.3321318757128385E-3</v>
      </c>
      <c r="Q8">
        <v>3.3321318757128385E-3</v>
      </c>
      <c r="R8">
        <v>3.3321318757128385E-3</v>
      </c>
      <c r="S8">
        <v>3.3321318757128385E-3</v>
      </c>
      <c r="T8">
        <v>3.3321318757128385E-3</v>
      </c>
      <c r="U8">
        <v>3.3321318757128385E-3</v>
      </c>
      <c r="V8">
        <v>3.3321318757128385E-3</v>
      </c>
      <c r="W8">
        <v>3.3321318757128385E-3</v>
      </c>
      <c r="X8">
        <v>3.3321318757128385E-3</v>
      </c>
      <c r="Y8">
        <v>3.3321318757128385E-3</v>
      </c>
      <c r="Z8">
        <v>3.3321318757128385E-3</v>
      </c>
      <c r="AA8">
        <v>3.3321318757128385E-3</v>
      </c>
      <c r="AB8">
        <v>3.3321318757128385E-3</v>
      </c>
      <c r="AC8">
        <v>3.3321318757128385E-3</v>
      </c>
      <c r="AD8">
        <v>3.3321318757128385E-3</v>
      </c>
      <c r="AE8">
        <v>3.3321318757128385E-3</v>
      </c>
      <c r="AF8">
        <v>3.3321318757128385E-3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BEEC7-641E-4988-B899-A8A7EC20E145}">
  <dimension ref="A1:AJ8"/>
  <sheetViews>
    <sheetView workbookViewId="0"/>
  </sheetViews>
  <sheetFormatPr defaultRowHeight="15"/>
  <cols>
    <col min="1" max="1" width="32.7109375" bestFit="1" customWidth="1"/>
  </cols>
  <sheetData>
    <row r="1" spans="1:36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6">
      <c r="A2" s="1" t="s">
        <v>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>
      <c r="A3" s="1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>
      <c r="A4" s="1" t="s">
        <v>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>
      <c r="A5" s="1" t="s">
        <v>12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>
      <c r="A6" s="1" t="s">
        <v>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>
      <c r="A7" s="1" t="s">
        <v>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>
      <c r="A8" s="1" t="s">
        <v>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B3876-A578-4195-8C33-1F4D5719F891}">
  <dimension ref="A1:H44"/>
  <sheetViews>
    <sheetView workbookViewId="0"/>
  </sheetViews>
  <sheetFormatPr defaultRowHeight="15"/>
  <cols>
    <col min="1" max="1" width="14.7109375" customWidth="1"/>
    <col min="2" max="2" width="21.42578125" bestFit="1" customWidth="1"/>
    <col min="3" max="3" width="18.28515625" bestFit="1" customWidth="1"/>
    <col min="4" max="4" width="15.42578125" bestFit="1" customWidth="1"/>
    <col min="5" max="5" width="13.28515625" bestFit="1" customWidth="1"/>
    <col min="6" max="6" width="20.42578125" bestFit="1" customWidth="1"/>
    <col min="7" max="7" width="11.42578125" bestFit="1" customWidth="1"/>
    <col min="8" max="8" width="16.7109375" bestFit="1" customWidth="1"/>
  </cols>
  <sheetData>
    <row r="1" spans="1:8">
      <c r="A1" t="s">
        <v>23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</row>
    <row r="2" spans="1:8">
      <c r="A2" s="1" t="s">
        <v>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</row>
    <row r="3" spans="1:8">
      <c r="A3" s="1" t="s">
        <v>17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</row>
    <row r="4" spans="1:8">
      <c r="A4" s="1" t="s">
        <v>18</v>
      </c>
      <c r="B4" s="4">
        <v>1</v>
      </c>
      <c r="C4">
        <v>0</v>
      </c>
      <c r="D4">
        <v>0</v>
      </c>
      <c r="E4">
        <v>1</v>
      </c>
      <c r="F4">
        <v>0</v>
      </c>
      <c r="G4">
        <v>0</v>
      </c>
      <c r="H4" s="4">
        <v>1</v>
      </c>
    </row>
    <row r="5" spans="1:8">
      <c r="A5" s="1" t="s">
        <v>19</v>
      </c>
      <c r="B5">
        <v>1</v>
      </c>
      <c r="C5">
        <v>0</v>
      </c>
      <c r="D5">
        <v>0</v>
      </c>
      <c r="E5">
        <v>1</v>
      </c>
      <c r="F5">
        <v>0</v>
      </c>
      <c r="G5">
        <v>0</v>
      </c>
      <c r="H5" s="4">
        <v>1</v>
      </c>
    </row>
    <row r="6" spans="1:8">
      <c r="A6" s="1" t="s">
        <v>20</v>
      </c>
      <c r="B6" s="4">
        <v>1</v>
      </c>
      <c r="C6">
        <v>0</v>
      </c>
      <c r="D6">
        <v>0</v>
      </c>
      <c r="E6">
        <v>1</v>
      </c>
      <c r="F6">
        <v>0</v>
      </c>
      <c r="G6">
        <v>0</v>
      </c>
      <c r="H6" s="4">
        <v>1</v>
      </c>
    </row>
    <row r="7" spans="1:8">
      <c r="A7" s="1" t="s">
        <v>21</v>
      </c>
      <c r="B7" s="4">
        <v>1</v>
      </c>
      <c r="C7">
        <v>0</v>
      </c>
      <c r="D7" s="19">
        <v>1</v>
      </c>
      <c r="E7">
        <v>0</v>
      </c>
      <c r="F7">
        <v>0</v>
      </c>
      <c r="G7">
        <v>0</v>
      </c>
      <c r="H7">
        <v>0</v>
      </c>
    </row>
    <row r="9" spans="1:8">
      <c r="A9" t="s">
        <v>24</v>
      </c>
      <c r="B9" s="3" t="s">
        <v>9</v>
      </c>
      <c r="C9" s="3" t="s">
        <v>10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</row>
    <row r="10" spans="1:8">
      <c r="A10" s="1" t="s">
        <v>16</v>
      </c>
      <c r="B10">
        <v>1</v>
      </c>
      <c r="C10" s="19">
        <v>1</v>
      </c>
      <c r="D10">
        <v>1</v>
      </c>
      <c r="E10">
        <v>1</v>
      </c>
      <c r="F10" s="4">
        <v>1</v>
      </c>
      <c r="G10">
        <v>1</v>
      </c>
      <c r="H10" s="4">
        <v>1</v>
      </c>
    </row>
    <row r="11" spans="1:8">
      <c r="A11" s="1" t="s">
        <v>17</v>
      </c>
      <c r="B11" s="19">
        <v>1</v>
      </c>
      <c r="C11" s="4">
        <v>1</v>
      </c>
      <c r="D11">
        <v>1</v>
      </c>
      <c r="E11">
        <v>1</v>
      </c>
      <c r="F11" s="4">
        <v>1</v>
      </c>
      <c r="G11">
        <v>1</v>
      </c>
      <c r="H11" s="4">
        <v>1</v>
      </c>
    </row>
    <row r="12" spans="1:8">
      <c r="A12" s="1" t="s">
        <v>18</v>
      </c>
      <c r="B12" s="4">
        <v>1</v>
      </c>
      <c r="C12">
        <v>0</v>
      </c>
      <c r="D12">
        <v>0</v>
      </c>
      <c r="E12">
        <v>1</v>
      </c>
      <c r="F12">
        <v>0</v>
      </c>
      <c r="G12">
        <v>0</v>
      </c>
      <c r="H12" s="4">
        <v>1</v>
      </c>
    </row>
    <row r="13" spans="1:8">
      <c r="A13" s="1" t="s">
        <v>19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  <c r="H13" s="4">
        <v>1</v>
      </c>
    </row>
    <row r="14" spans="1:8">
      <c r="A14" s="1" t="s">
        <v>20</v>
      </c>
      <c r="B14" s="4">
        <v>1</v>
      </c>
      <c r="C14">
        <v>0</v>
      </c>
      <c r="D14">
        <v>1</v>
      </c>
      <c r="E14">
        <v>1</v>
      </c>
      <c r="F14">
        <v>0</v>
      </c>
      <c r="G14">
        <v>0</v>
      </c>
      <c r="H14" s="4">
        <v>1</v>
      </c>
    </row>
    <row r="15" spans="1:8">
      <c r="A15" s="1" t="s">
        <v>21</v>
      </c>
      <c r="B15" s="4">
        <v>1</v>
      </c>
      <c r="C15">
        <v>0</v>
      </c>
      <c r="D15" s="19">
        <v>1</v>
      </c>
      <c r="E15">
        <v>0</v>
      </c>
      <c r="F15">
        <v>0</v>
      </c>
      <c r="G15">
        <v>0</v>
      </c>
      <c r="H15">
        <v>0</v>
      </c>
    </row>
    <row r="17" spans="1:6">
      <c r="A17" s="23" t="s">
        <v>25</v>
      </c>
      <c r="B17" s="23" t="s">
        <v>26</v>
      </c>
      <c r="C17" s="24" t="s">
        <v>27</v>
      </c>
      <c r="D17" s="23" t="s">
        <v>28</v>
      </c>
    </row>
    <row r="18" spans="1:6">
      <c r="A18" s="1" t="s">
        <v>29</v>
      </c>
      <c r="B18">
        <f>'US-LDVs-psgr'!B5</f>
        <v>4.2164836790723349E-4</v>
      </c>
      <c r="C18">
        <f>'US-LDVs-psgr'!B6</f>
        <v>6.5738318568648571E-4</v>
      </c>
      <c r="D18">
        <f>'US-LDVs-psgr'!B8</f>
        <v>5.8794415231938754E-4</v>
      </c>
    </row>
    <row r="19" spans="1:6">
      <c r="A19" s="1" t="s">
        <v>30</v>
      </c>
      <c r="B19" s="14">
        <f>'US-LDVs-frgt'!B5</f>
        <v>8.201551487503343E-5</v>
      </c>
      <c r="C19">
        <f>'US-LDVs-frgt'!B6</f>
        <v>1.2590686672921136E-4</v>
      </c>
      <c r="D19">
        <f>'US-LDVs-frgt'!B8</f>
        <v>2.4604654462510026E-4</v>
      </c>
    </row>
    <row r="20" spans="1:6">
      <c r="A20" s="1" t="s">
        <v>31</v>
      </c>
      <c r="B20" s="14">
        <f t="shared" ref="B20:D21" si="0">B18/$B18</f>
        <v>1</v>
      </c>
      <c r="C20" s="14">
        <f t="shared" si="0"/>
        <v>1.5590791657733063</v>
      </c>
      <c r="D20" s="14">
        <f t="shared" si="0"/>
        <v>1.3943944695849995</v>
      </c>
    </row>
    <row r="21" spans="1:6">
      <c r="A21" s="1" t="s">
        <v>32</v>
      </c>
      <c r="B21" s="14">
        <f t="shared" si="0"/>
        <v>1</v>
      </c>
      <c r="C21" s="14">
        <f t="shared" si="0"/>
        <v>1.5351591332573469</v>
      </c>
      <c r="D21" s="14">
        <f t="shared" si="0"/>
        <v>2.9999999999999996</v>
      </c>
    </row>
    <row r="23" spans="1:6">
      <c r="A23" s="23" t="s">
        <v>33</v>
      </c>
      <c r="B23" s="20" t="s">
        <v>34</v>
      </c>
      <c r="C23" s="20" t="s">
        <v>10</v>
      </c>
      <c r="D23" s="23" t="s">
        <v>26</v>
      </c>
      <c r="E23" s="24" t="s">
        <v>27</v>
      </c>
      <c r="F23" s="23" t="s">
        <v>28</v>
      </c>
    </row>
    <row r="24" spans="1:6">
      <c r="A24" s="1" t="s">
        <v>29</v>
      </c>
      <c r="B24">
        <f>'US-HDVs-psgr'!B2</f>
        <v>3.1663477151009402E-3</v>
      </c>
      <c r="C24">
        <f>'US-HDVs-psgr'!B3</f>
        <v>8.4430740727243017E-4</v>
      </c>
      <c r="D24">
        <f>'US-HDVs-psgr'!B5</f>
        <v>9.8533458931645266E-4</v>
      </c>
      <c r="E24">
        <f>'US-HDVs-psgr'!B6</f>
        <v>2.184891808497921E-3</v>
      </c>
      <c r="F24">
        <f>'US-HDVs-psgr'!B8</f>
        <v>2.9560037679493573E-3</v>
      </c>
    </row>
    <row r="25" spans="1:6">
      <c r="A25" s="1" t="s">
        <v>30</v>
      </c>
      <c r="B25" s="14">
        <f>'US-HDVs-frgt'!B2</f>
        <v>1.0008488993658489E-3</v>
      </c>
      <c r="C25" s="14">
        <f>'US-HDVs-frgt'!B3</f>
        <v>4.9961543882058763E-4</v>
      </c>
      <c r="D25" s="14">
        <f>'US-HDVs-frgt'!B5</f>
        <v>7.2928093510090471E-4</v>
      </c>
      <c r="E25">
        <f>'US-HDVs-frgt'!B6</f>
        <v>1.1466008681806548E-3</v>
      </c>
      <c r="F25">
        <f>'US-HDVs-frgt'!B8</f>
        <v>2.9126393532984403E-3</v>
      </c>
    </row>
    <row r="26" spans="1:6">
      <c r="A26" s="1" t="s">
        <v>31</v>
      </c>
      <c r="B26" s="14">
        <f t="shared" ref="B26:C27" si="1">B24/$D24</f>
        <v>3.2134746404239216</v>
      </c>
      <c r="C26" s="14">
        <f t="shared" si="1"/>
        <v>0.85687381365363824</v>
      </c>
      <c r="D26" s="14">
        <f>D24/$D24</f>
        <v>1</v>
      </c>
      <c r="E26" s="14">
        <f t="shared" ref="E26:F27" si="2">E24/$D24</f>
        <v>2.2174110522331572</v>
      </c>
      <c r="F26" s="14">
        <f t="shared" si="2"/>
        <v>2.9999999999999996</v>
      </c>
    </row>
    <row r="27" spans="1:6">
      <c r="A27" s="1" t="s">
        <v>32</v>
      </c>
      <c r="B27" s="14">
        <f t="shared" si="1"/>
        <v>1.372377709596055</v>
      </c>
      <c r="C27" s="14">
        <f t="shared" si="1"/>
        <v>0.68507952803052485</v>
      </c>
      <c r="D27" s="14">
        <f>D25/$D25</f>
        <v>1</v>
      </c>
      <c r="E27" s="14">
        <f t="shared" si="2"/>
        <v>1.5722348041663929</v>
      </c>
      <c r="F27" s="14">
        <f t="shared" si="2"/>
        <v>3.9938509470228261</v>
      </c>
    </row>
    <row r="29" spans="1:6">
      <c r="A29" s="23" t="s">
        <v>35</v>
      </c>
      <c r="B29" s="20" t="s">
        <v>34</v>
      </c>
      <c r="C29" s="23" t="s">
        <v>26</v>
      </c>
      <c r="D29" s="23" t="s">
        <v>28</v>
      </c>
    </row>
    <row r="30" spans="1:6">
      <c r="A30" s="1" t="s">
        <v>29</v>
      </c>
      <c r="B30">
        <f>'US-aircraft-psgr'!B2</f>
        <v>1.4980235812240234E-3</v>
      </c>
      <c r="C30">
        <f>'US-aircraft-psgr'!B5</f>
        <v>4.6616941125958422E-4</v>
      </c>
      <c r="D30">
        <f>'US-aircraft-psgr'!B8</f>
        <v>1.3985082337787526E-3</v>
      </c>
    </row>
    <row r="31" spans="1:6">
      <c r="A31" s="1" t="s">
        <v>30</v>
      </c>
      <c r="B31" s="14">
        <f>'US-aircraft-frgt'!B2</f>
        <v>3.8569771061435794E-4</v>
      </c>
      <c r="C31" s="14">
        <f>'US-aircraft-frgt'!B5</f>
        <v>1.2002512973417359E-4</v>
      </c>
      <c r="D31" s="14">
        <f>'US-aircraft-frgt'!B8</f>
        <v>3.600753892025207E-4</v>
      </c>
    </row>
    <row r="32" spans="1:6">
      <c r="A32" s="1" t="s">
        <v>36</v>
      </c>
      <c r="B32" s="14">
        <f>B31/C31</f>
        <v>3.2134746404239212</v>
      </c>
      <c r="C32" s="14">
        <f>C31/C31</f>
        <v>1</v>
      </c>
      <c r="D32" s="14">
        <f>D31/C31</f>
        <v>2.9999999999999996</v>
      </c>
    </row>
    <row r="34" spans="1:4">
      <c r="A34" s="23" t="s">
        <v>37</v>
      </c>
      <c r="B34" s="20" t="s">
        <v>34</v>
      </c>
      <c r="C34" s="23" t="s">
        <v>26</v>
      </c>
      <c r="D34" s="23" t="s">
        <v>28</v>
      </c>
    </row>
    <row r="35" spans="1:4">
      <c r="A35" s="1" t="s">
        <v>29</v>
      </c>
      <c r="B35" s="14">
        <f>'US-rail-psgr'!B2</f>
        <v>1.2490429545241593E-3</v>
      </c>
      <c r="C35" s="14">
        <f>'US-rail-psgr'!B5</f>
        <v>3.8868922094850749E-4</v>
      </c>
      <c r="D35" s="14">
        <f>'US-rail-psgr'!B8</f>
        <v>1.1660676628455222E-3</v>
      </c>
    </row>
    <row r="36" spans="1:4">
      <c r="A36" s="1" t="s">
        <v>30</v>
      </c>
      <c r="B36" s="14">
        <f>'US-rail-frgt'!B2</f>
        <v>1.1213005219530657E-2</v>
      </c>
      <c r="C36" s="14">
        <f>'US-rail-frgt'!B5</f>
        <v>3.4893709999999998E-3</v>
      </c>
      <c r="D36" s="14">
        <f>'US-rail-frgt'!B8</f>
        <v>1.0468112999999998E-2</v>
      </c>
    </row>
    <row r="37" spans="1:4">
      <c r="A37" s="1" t="s">
        <v>31</v>
      </c>
      <c r="B37" s="14">
        <f t="shared" ref="B37:D38" si="3">B35/$C35</f>
        <v>3.2134746404239216</v>
      </c>
      <c r="C37" s="14">
        <f t="shared" si="3"/>
        <v>1</v>
      </c>
      <c r="D37" s="14">
        <f t="shared" si="3"/>
        <v>2.9999999999999991</v>
      </c>
    </row>
    <row r="38" spans="1:4">
      <c r="A38" s="1" t="s">
        <v>32</v>
      </c>
      <c r="B38" s="14">
        <f t="shared" si="3"/>
        <v>3.2134746404239212</v>
      </c>
      <c r="C38" s="14">
        <f t="shared" si="3"/>
        <v>1</v>
      </c>
      <c r="D38" s="14">
        <f t="shared" si="3"/>
        <v>2.9999999999999996</v>
      </c>
    </row>
    <row r="40" spans="1:4">
      <c r="A40" s="23" t="s">
        <v>38</v>
      </c>
      <c r="B40" s="20" t="s">
        <v>34</v>
      </c>
      <c r="C40" s="23" t="s">
        <v>26</v>
      </c>
      <c r="D40" s="23" t="s">
        <v>28</v>
      </c>
    </row>
    <row r="41" spans="1:4">
      <c r="A41" s="1" t="s">
        <v>29</v>
      </c>
      <c r="B41" s="14">
        <f>'US-ships-psgr'!B2</f>
        <v>3.2293482418666772E-5</v>
      </c>
      <c r="C41" s="14">
        <f>'US-ships-psgr'!B5</f>
        <v>1.0049397002369565E-5</v>
      </c>
      <c r="D41" s="14">
        <f>'US-ships-psgr'!B8</f>
        <v>3.0148191007108693E-5</v>
      </c>
    </row>
    <row r="42" spans="1:4">
      <c r="A42" s="1" t="s">
        <v>30</v>
      </c>
      <c r="B42" s="14">
        <f>'US-ships-frgt'!B2</f>
        <v>1.5975871779246573E-2</v>
      </c>
      <c r="C42" s="14">
        <f>'US-ships-frgt'!B5</f>
        <v>4.9715257056265547E-3</v>
      </c>
      <c r="D42" s="14">
        <f>'US-ships-frgt'!B8</f>
        <v>1.4914577116879662E-2</v>
      </c>
    </row>
    <row r="43" spans="1:4">
      <c r="A43" s="1" t="s">
        <v>31</v>
      </c>
      <c r="B43" s="14">
        <f>B41/$C41</f>
        <v>3.2134746404239212</v>
      </c>
      <c r="C43" s="14">
        <f t="shared" ref="C43:D44" si="4">C41/$C41</f>
        <v>1</v>
      </c>
      <c r="D43" s="14">
        <f t="shared" si="4"/>
        <v>2.9999999999999996</v>
      </c>
    </row>
    <row r="44" spans="1:4">
      <c r="A44" s="1" t="s">
        <v>32</v>
      </c>
      <c r="B44" s="14">
        <f>B42/$C42</f>
        <v>3.2134746404239212</v>
      </c>
      <c r="C44" s="14">
        <f t="shared" si="4"/>
        <v>1</v>
      </c>
      <c r="D44" s="14">
        <f t="shared" si="4"/>
        <v>2.9999999999999996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E88D1-70ED-48BF-AD1C-49347ACDEA78}">
  <dimension ref="A1:F85"/>
  <sheetViews>
    <sheetView workbookViewId="0">
      <selection activeCell="C9" sqref="C9"/>
    </sheetView>
  </sheetViews>
  <sheetFormatPr defaultRowHeight="15"/>
  <cols>
    <col min="1" max="1" width="17.28515625" bestFit="1" customWidth="1"/>
    <col min="2" max="2" width="21.42578125" bestFit="1" customWidth="1"/>
    <col min="3" max="3" width="18" customWidth="1"/>
    <col min="5" max="5" width="46" customWidth="1"/>
  </cols>
  <sheetData>
    <row r="1" spans="1:6">
      <c r="C1" t="s">
        <v>39</v>
      </c>
      <c r="E1" t="s">
        <v>3</v>
      </c>
      <c r="F1" t="s">
        <v>40</v>
      </c>
    </row>
    <row r="2" spans="1:6">
      <c r="A2" s="9" t="s">
        <v>41</v>
      </c>
      <c r="B2" s="10" t="s">
        <v>9</v>
      </c>
      <c r="C2" s="9">
        <f>IFERROR(('US-LDVs-psgr'!AF2/'US-LDVs-psgr'!B2)^(1/COUNT('US-LDVs-psgr'!$B$1:$AF$1))-1,0)</f>
        <v>-1.5060810674758507E-3</v>
      </c>
    </row>
    <row r="3" spans="1:6">
      <c r="B3" s="1" t="s">
        <v>10</v>
      </c>
      <c r="C3">
        <f>IFERROR(('US-LDVs-psgr'!AF3/'US-LDVs-psgr'!B3)^(1/COUNT('US-LDVs-psgr'!$B$1:$AF$1))-1,0)</f>
        <v>2.5086794556596903E-3</v>
      </c>
    </row>
    <row r="4" spans="1:6">
      <c r="B4" s="1" t="s">
        <v>11</v>
      </c>
      <c r="C4">
        <f>IFERROR(('US-LDVs-psgr'!AF4/'US-LDVs-psgr'!B4)^(1/COUNT('US-LDVs-psgr'!$B$1:$AF$1))-1,0)</f>
        <v>2.9284465081031996E-3</v>
      </c>
    </row>
    <row r="5" spans="1:6">
      <c r="B5" s="1" t="s">
        <v>12</v>
      </c>
      <c r="C5">
        <f>IFERROR(('US-LDVs-psgr'!AF5/'US-LDVs-psgr'!B5)^(1/COUNT('US-LDVs-psgr'!$B$1:$AF$1))-1,0)</f>
        <v>8.8318936721920593E-4</v>
      </c>
    </row>
    <row r="6" spans="1:6">
      <c r="B6" s="1" t="s">
        <v>13</v>
      </c>
      <c r="C6">
        <f>IFERROR(('US-LDVs-psgr'!AF6/'US-LDVs-psgr'!B6)^(1/COUNT('US-LDVs-psgr'!$B$1:$AF$1))-1,0)</f>
        <v>3.2675944403379731E-3</v>
      </c>
    </row>
    <row r="7" spans="1:6">
      <c r="B7" s="1" t="s">
        <v>14</v>
      </c>
      <c r="C7">
        <f>IFERROR(('US-LDVs-psgr'!AF7/'US-LDVs-psgr'!B7)^(1/COUNT('US-LDVs-psgr'!$B$1:$AF$1))-1,0)</f>
        <v>2.120934653352613E-3</v>
      </c>
    </row>
    <row r="8" spans="1:6">
      <c r="A8" s="11"/>
      <c r="B8" s="12" t="s">
        <v>15</v>
      </c>
      <c r="C8" s="11">
        <f>IFERROR(('US-LDVs-psgr'!AF8/'US-LDVs-psgr'!B8)^(1/COUNT('US-LDVs-psgr'!$B$1:$AF$1))-1,0)</f>
        <v>-6.41977670003957E-4</v>
      </c>
    </row>
    <row r="9" spans="1:6">
      <c r="A9" s="9" t="s">
        <v>42</v>
      </c>
      <c r="B9" s="10" t="s">
        <v>9</v>
      </c>
      <c r="C9" s="9">
        <f>IFERROR(('US-LDVs-frgt'!AF2/'US-LDVs-frgt'!B2)^(1/COUNT('US-LDVs-frgt'!$B$1:$AF$1))-1,0)</f>
        <v>1.3090349440243898E-2</v>
      </c>
    </row>
    <row r="10" spans="1:6">
      <c r="B10" s="1" t="s">
        <v>10</v>
      </c>
      <c r="C10">
        <f>IFERROR(('US-LDVs-frgt'!AF3/'US-LDVs-frgt'!B3)^(1/COUNT('US-LDVs-frgt'!$B$1:$AF$1))-1,0)</f>
        <v>-2.5943994809526361E-3</v>
      </c>
    </row>
    <row r="11" spans="1:6">
      <c r="B11" s="1" t="s">
        <v>11</v>
      </c>
      <c r="C11">
        <f>IFERROR(('US-LDVs-frgt'!AF4/'US-LDVs-frgt'!B4)^(1/COUNT('US-LDVs-frgt'!$B$1:$AF$1))-1,0)</f>
        <v>-2.5943994809526361E-3</v>
      </c>
    </row>
    <row r="12" spans="1:6">
      <c r="B12" s="1" t="s">
        <v>12</v>
      </c>
      <c r="C12">
        <f>IFERROR(('US-LDVs-frgt'!AF5/'US-LDVs-frgt'!B5)^(1/COUNT('US-LDVs-frgt'!$B$1:$AF$1))-1,0)</f>
        <v>-2.5943994809526361E-3</v>
      </c>
    </row>
    <row r="13" spans="1:6">
      <c r="B13" s="1" t="s">
        <v>13</v>
      </c>
      <c r="C13">
        <f>IFERROR(('US-LDVs-frgt'!AF6/'US-LDVs-frgt'!B6)^(1/COUNT('US-LDVs-frgt'!$B$1:$AF$1))-1,0)</f>
        <v>7.4585286225954395E-3</v>
      </c>
    </row>
    <row r="14" spans="1:6">
      <c r="B14" s="1" t="s">
        <v>14</v>
      </c>
      <c r="C14">
        <f>IFERROR(('US-LDVs-frgt'!AF7/'US-LDVs-frgt'!B7)^(1/COUNT('US-LDVs-frgt'!$B$1:$AF$1))-1,0)</f>
        <v>-2.5943994809526361E-3</v>
      </c>
    </row>
    <row r="15" spans="1:6">
      <c r="A15" s="11"/>
      <c r="B15" s="12" t="s">
        <v>15</v>
      </c>
      <c r="C15" s="11">
        <f>IFERROR(('US-LDVs-frgt'!AF8/'US-LDVs-frgt'!B8)^(1/COUNT('US-LDVs-frgt'!$B$1:$AF$1))-1,0)</f>
        <v>-2.5943994809526361E-3</v>
      </c>
    </row>
    <row r="16" spans="1:6">
      <c r="A16" s="9" t="s">
        <v>43</v>
      </c>
      <c r="B16" s="10" t="s">
        <v>9</v>
      </c>
      <c r="C16" s="9">
        <f>IFERROR(('US-HDVs-psgr'!AF2/'US-HDVs-psgr'!B2)^(1/COUNT('US-HDVs-psgr'!$B$1:$AF$1))-1,0)</f>
        <v>1.5972361193876239E-2</v>
      </c>
    </row>
    <row r="17" spans="1:6">
      <c r="B17" s="1" t="s">
        <v>10</v>
      </c>
      <c r="C17">
        <f>IFERROR(('US-HDVs-psgr'!AF3/'US-HDVs-psgr'!B3)^(1/COUNT('US-HDVs-psgr'!$B$1:$AF$1))-1,0)</f>
        <v>7.3900263096151608E-3</v>
      </c>
    </row>
    <row r="18" spans="1:6">
      <c r="B18" s="1" t="s">
        <v>11</v>
      </c>
      <c r="C18">
        <f>IFERROR(('US-HDVs-psgr'!AF4/'US-HDVs-psgr'!B4)^(1/COUNT('US-HDVs-psgr'!$B$1:$AF$1))-1,0)</f>
        <v>7.3900263096151608E-3</v>
      </c>
    </row>
    <row r="19" spans="1:6">
      <c r="B19" s="1" t="s">
        <v>12</v>
      </c>
      <c r="C19">
        <f>IFERROR(('US-HDVs-psgr'!AF5/'US-HDVs-psgr'!B5)^(1/COUNT('US-HDVs-psgr'!$B$1:$AF$1))-1,0)</f>
        <v>7.3900263096151608E-3</v>
      </c>
    </row>
    <row r="20" spans="1:6">
      <c r="B20" s="1" t="s">
        <v>13</v>
      </c>
      <c r="C20">
        <f>IFERROR(('US-HDVs-psgr'!AF6/'US-HDVs-psgr'!B6)^(1/COUNT('US-HDVs-psgr'!$B$1:$AF$1))-1,0)</f>
        <v>7.3900263096151608E-3</v>
      </c>
    </row>
    <row r="21" spans="1:6">
      <c r="B21" s="1" t="s">
        <v>14</v>
      </c>
      <c r="C21">
        <f>IFERROR(('US-HDVs-psgr'!AF7/'US-HDVs-psgr'!B7)^(1/COUNT('US-HDVs-psgr'!$B$1:$AF$1))-1,0)</f>
        <v>7.3900263096151608E-3</v>
      </c>
    </row>
    <row r="22" spans="1:6">
      <c r="A22" s="11"/>
      <c r="B22" s="12" t="s">
        <v>15</v>
      </c>
      <c r="C22" s="11">
        <f>IFERROR(('US-HDVs-psgr'!AF8/'US-HDVs-psgr'!B8)^(1/COUNT('US-HDVs-psgr'!$B$1:$AF$1))-1,0)</f>
        <v>7.3900263096151608E-3</v>
      </c>
      <c r="D22" s="17">
        <f>IFERROR((15/13.5)^(1/10)-1,0)</f>
        <v>1.0591751203291366E-2</v>
      </c>
      <c r="E22" t="s">
        <v>44</v>
      </c>
      <c r="F22" s="16" t="s">
        <v>45</v>
      </c>
    </row>
    <row r="23" spans="1:6">
      <c r="A23" s="9" t="s">
        <v>46</v>
      </c>
      <c r="B23" s="10" t="s">
        <v>9</v>
      </c>
      <c r="C23" s="9">
        <f>IFERROR(('US-HDVs-frgt'!AF2/'US-HDVs-frgt'!B2)^(1/COUNT('US-HDVs-frgt'!$B$1:$AF$1))-1,0)</f>
        <v>1.5972361193876239E-2</v>
      </c>
    </row>
    <row r="24" spans="1:6">
      <c r="B24" s="1" t="s">
        <v>10</v>
      </c>
      <c r="C24">
        <f>IFERROR(('US-HDVs-frgt'!AF3/'US-HDVs-frgt'!B3)^(1/COUNT('US-HDVs-frgt'!$B$1:$AF$1))-1,0)</f>
        <v>7.3900263096151608E-3</v>
      </c>
    </row>
    <row r="25" spans="1:6">
      <c r="B25" s="1" t="s">
        <v>11</v>
      </c>
      <c r="C25">
        <f>IFERROR(('US-HDVs-frgt'!AF4/'US-HDVs-frgt'!B4)^(1/COUNT('US-HDVs-frgt'!$B$1:$AF$1))-1,0)</f>
        <v>7.3900263096151608E-3</v>
      </c>
    </row>
    <row r="26" spans="1:6">
      <c r="B26" s="1" t="s">
        <v>12</v>
      </c>
      <c r="C26">
        <f>IFERROR(('US-HDVs-frgt'!AF5/'US-HDVs-frgt'!B5)^(1/COUNT('US-HDVs-frgt'!$B$1:$AF$1))-1,0)</f>
        <v>7.3900263096151608E-3</v>
      </c>
    </row>
    <row r="27" spans="1:6">
      <c r="B27" s="1" t="s">
        <v>13</v>
      </c>
      <c r="C27">
        <f>IFERROR(('US-HDVs-frgt'!AF6/'US-HDVs-frgt'!B6)^(1/COUNT('US-HDVs-frgt'!$B$1:$AF$1))-1,0)</f>
        <v>7.3900263096151608E-3</v>
      </c>
    </row>
    <row r="28" spans="1:6">
      <c r="B28" s="1" t="s">
        <v>14</v>
      </c>
      <c r="C28">
        <f>IFERROR(('US-HDVs-frgt'!AF7/'US-HDVs-frgt'!B7)^(1/COUNT('US-HDVs-frgt'!$B$1:$AF$1))-1,0)</f>
        <v>7.3900263096151608E-3</v>
      </c>
    </row>
    <row r="29" spans="1:6">
      <c r="A29" s="11"/>
      <c r="B29" s="12" t="s">
        <v>15</v>
      </c>
      <c r="C29" s="11">
        <f>IFERROR(('US-HDVs-frgt'!AF8/'US-HDVs-frgt'!B8)^(1/COUNT('US-HDVs-frgt'!$B$1:$AF$1))-1,0)</f>
        <v>7.3900263096151608E-3</v>
      </c>
    </row>
    <row r="30" spans="1:6">
      <c r="A30" s="9" t="s">
        <v>47</v>
      </c>
      <c r="B30" s="10" t="s">
        <v>9</v>
      </c>
      <c r="C30" s="9">
        <f>IFERROR(('US-aircraft-psgr'!AF2/'US-aircraft-psgr'!B2)^(1/COUNT('US-aircraft-psgr'!$B$1:$AF$1))-1,0)</f>
        <v>7.1085127875833987E-3</v>
      </c>
    </row>
    <row r="31" spans="1:6">
      <c r="B31" s="1" t="s">
        <v>10</v>
      </c>
      <c r="C31">
        <f>IFERROR(('US-aircraft-psgr'!AF3/'US-aircraft-psgr'!B3)^(1/COUNT('US-aircraft-psgr'!$B$1:$AF$1))-1,0)</f>
        <v>0</v>
      </c>
    </row>
    <row r="32" spans="1:6">
      <c r="B32" s="1" t="s">
        <v>11</v>
      </c>
      <c r="C32">
        <f>IFERROR(('US-aircraft-psgr'!AF4/'US-aircraft-psgr'!B4)^(1/COUNT('US-aircraft-psgr'!$B$1:$AF$1))-1,0)</f>
        <v>0</v>
      </c>
    </row>
    <row r="33" spans="1:3">
      <c r="B33" s="1" t="s">
        <v>12</v>
      </c>
      <c r="C33">
        <f>IFERROR(('US-aircraft-psgr'!AF5/'US-aircraft-psgr'!B5)^(1/COUNT('US-aircraft-psgr'!$B$1:$AF$1))-1,0)</f>
        <v>7.1085127875833987E-3</v>
      </c>
    </row>
    <row r="34" spans="1:3">
      <c r="B34" s="1" t="s">
        <v>13</v>
      </c>
      <c r="C34">
        <f>IFERROR(('US-aircraft-psgr'!AF6/'US-aircraft-psgr'!B6)^(1/COUNT('US-aircraft-psgr'!$B$1:$AF$1))-1,0)</f>
        <v>0</v>
      </c>
    </row>
    <row r="35" spans="1:3">
      <c r="B35" s="1" t="s">
        <v>14</v>
      </c>
      <c r="C35">
        <f>IFERROR(('US-aircraft-psgr'!AF7/'US-aircraft-psgr'!B7)^(1/COUNT('US-aircraft-psgr'!$B$1:$AF$1))-1,0)</f>
        <v>0</v>
      </c>
    </row>
    <row r="36" spans="1:3">
      <c r="A36" s="11"/>
      <c r="B36" s="12" t="s">
        <v>15</v>
      </c>
      <c r="C36" s="11">
        <f>IFERROR(('US-aircraft-psgr'!AF8/'US-aircraft-psgr'!B8)^(1/COUNT('US-aircraft-psgr'!$B$1:$AF$1))-1,0)</f>
        <v>7.1085127875833987E-3</v>
      </c>
    </row>
    <row r="37" spans="1:3">
      <c r="A37" s="9" t="s">
        <v>48</v>
      </c>
      <c r="B37" s="10" t="s">
        <v>9</v>
      </c>
      <c r="C37" s="9">
        <f>IFERROR(('US-aircraft-frgt'!AF2/'US-aircraft-frgt'!B2)^(1/COUNT('US-aircraft-frgt'!$B$1:$AF$1))-1,0)</f>
        <v>7.1085127875833987E-3</v>
      </c>
    </row>
    <row r="38" spans="1:3">
      <c r="B38" s="1" t="s">
        <v>10</v>
      </c>
      <c r="C38">
        <f>IFERROR(('US-aircraft-frgt'!AF3/'US-aircraft-frgt'!B3)^(1/COUNT('US-aircraft-frgt'!$B$1:$AF$1))-1,0)</f>
        <v>0</v>
      </c>
    </row>
    <row r="39" spans="1:3">
      <c r="B39" s="1" t="s">
        <v>11</v>
      </c>
      <c r="C39">
        <f>IFERROR(('US-aircraft-frgt'!AF4/'US-aircraft-frgt'!B4)^(1/COUNT('US-aircraft-frgt'!$B$1:$AF$1))-1,0)</f>
        <v>0</v>
      </c>
    </row>
    <row r="40" spans="1:3">
      <c r="B40" s="1" t="s">
        <v>12</v>
      </c>
      <c r="C40">
        <f>IFERROR(('US-aircraft-frgt'!AF5/'US-aircraft-frgt'!B5)^(1/COUNT('US-aircraft-frgt'!$B$1:$AF$1))-1,0)</f>
        <v>7.1085127875833987E-3</v>
      </c>
    </row>
    <row r="41" spans="1:3">
      <c r="B41" s="1" t="s">
        <v>13</v>
      </c>
      <c r="C41">
        <f>IFERROR(('US-aircraft-frgt'!AF6/'US-aircraft-frgt'!B6)^(1/COUNT('US-aircraft-frgt'!$B$1:$AF$1))-1,0)</f>
        <v>0</v>
      </c>
    </row>
    <row r="42" spans="1:3">
      <c r="B42" s="1" t="s">
        <v>14</v>
      </c>
      <c r="C42">
        <f>IFERROR(('US-aircraft-frgt'!AF7/'US-aircraft-frgt'!B7)^(1/COUNT('US-aircraft-frgt'!$B$1:$AF$1))-1,0)</f>
        <v>0</v>
      </c>
    </row>
    <row r="43" spans="1:3">
      <c r="A43" s="11"/>
      <c r="B43" s="12" t="s">
        <v>15</v>
      </c>
      <c r="C43" s="11">
        <f>IFERROR(('US-aircraft-frgt'!AF8/'US-aircraft-frgt'!B8)^(1/COUNT('US-aircraft-frgt'!$B$1:$AF$1))-1,0)</f>
        <v>7.1085127875833987E-3</v>
      </c>
    </row>
    <row r="44" spans="1:3">
      <c r="A44" s="9" t="s">
        <v>49</v>
      </c>
      <c r="B44" s="10" t="s">
        <v>9</v>
      </c>
      <c r="C44" s="9">
        <f>IFERROR(('US-rail-psgr'!AF2/'US-rail-psgr'!B2)^(1/COUNT('US-rail-psgr'!$B$1:$AF$1))-1,0)</f>
        <v>-3.1790322538460813E-4</v>
      </c>
    </row>
    <row r="45" spans="1:3">
      <c r="B45" s="1" t="s">
        <v>10</v>
      </c>
      <c r="C45">
        <f>IFERROR(('US-rail-psgr'!AF3/'US-rail-psgr'!B3)^(1/COUNT('US-rail-psgr'!$B$1:$AF$1))-1,0)</f>
        <v>0</v>
      </c>
    </row>
    <row r="46" spans="1:3">
      <c r="B46" s="1" t="s">
        <v>11</v>
      </c>
      <c r="C46">
        <f>IFERROR(('US-rail-psgr'!AF4/'US-rail-psgr'!B4)^(1/COUNT('US-rail-psgr'!$B$1:$AF$1))-1,0)</f>
        <v>0</v>
      </c>
    </row>
    <row r="47" spans="1:3">
      <c r="B47" s="1" t="s">
        <v>12</v>
      </c>
      <c r="C47">
        <f>IFERROR(('US-rail-psgr'!AF5/'US-rail-psgr'!B5)^(1/COUNT('US-rail-psgr'!$B$1:$AF$1))-1,0)</f>
        <v>-3.1790322538449711E-4</v>
      </c>
    </row>
    <row r="48" spans="1:3">
      <c r="B48" s="1" t="s">
        <v>13</v>
      </c>
      <c r="C48">
        <f>IFERROR(('US-rail-psgr'!AF6/'US-rail-psgr'!B6)^(1/COUNT('US-rail-psgr'!$B$1:$AF$1))-1,0)</f>
        <v>0</v>
      </c>
    </row>
    <row r="49" spans="1:3">
      <c r="B49" s="1" t="s">
        <v>14</v>
      </c>
      <c r="C49">
        <f>IFERROR(('US-rail-psgr'!AF7/'US-rail-psgr'!B7)^(1/COUNT('US-rail-psgr'!$B$1:$AF$1))-1,0)</f>
        <v>0</v>
      </c>
    </row>
    <row r="50" spans="1:3">
      <c r="A50" s="11"/>
      <c r="B50" s="12" t="s">
        <v>15</v>
      </c>
      <c r="C50" s="11">
        <f>IFERROR(('US-rail-psgr'!AF8/'US-rail-psgr'!B8)^(1/COUNT('US-rail-psgr'!$B$1:$AF$1))-1,0)</f>
        <v>-3.1790322538449711E-4</v>
      </c>
    </row>
    <row r="51" spans="1:3">
      <c r="A51" s="9" t="s">
        <v>50</v>
      </c>
      <c r="B51" s="10" t="s">
        <v>9</v>
      </c>
      <c r="C51" s="9">
        <f>IFERROR(('US-rail-frgt'!AF2/'US-rail-frgt'!B2)^(1/COUNT('US-rail-frgt'!$B$1:$AF$1))-1,0)</f>
        <v>6.2761978399152873E-3</v>
      </c>
    </row>
    <row r="52" spans="1:3">
      <c r="B52" s="1" t="s">
        <v>10</v>
      </c>
      <c r="C52">
        <f>IFERROR(('US-rail-frgt'!AF3/'US-rail-frgt'!B3)^(1/COUNT('US-rail-frgt'!$B$1:$AF$1))-1,0)</f>
        <v>0</v>
      </c>
    </row>
    <row r="53" spans="1:3">
      <c r="B53" s="1" t="s">
        <v>11</v>
      </c>
      <c r="C53">
        <f>IFERROR(('US-rail-frgt'!AF4/'US-rail-frgt'!B4)^(1/COUNT('US-rail-frgt'!$B$1:$AF$1))-1,0)</f>
        <v>0</v>
      </c>
    </row>
    <row r="54" spans="1:3">
      <c r="B54" s="1" t="s">
        <v>12</v>
      </c>
      <c r="C54">
        <f>IFERROR(('US-rail-frgt'!AF5/'US-rail-frgt'!B5)^(1/COUNT('US-rail-frgt'!$B$1:$AF$1))-1,0)</f>
        <v>6.2761978399152873E-3</v>
      </c>
    </row>
    <row r="55" spans="1:3">
      <c r="B55" s="1" t="s">
        <v>13</v>
      </c>
      <c r="C55">
        <f>IFERROR(('US-rail-frgt'!AF6/'US-rail-frgt'!B6)^(1/COUNT('US-rail-frgt'!$B$1:$AF$1))-1,0)</f>
        <v>0</v>
      </c>
    </row>
    <row r="56" spans="1:3">
      <c r="B56" s="1" t="s">
        <v>14</v>
      </c>
      <c r="C56">
        <f>IFERROR(('US-rail-frgt'!AF7/'US-rail-frgt'!B7)^(1/COUNT('US-rail-frgt'!$B$1:$AF$1))-1,0)</f>
        <v>0</v>
      </c>
    </row>
    <row r="57" spans="1:3">
      <c r="A57" s="11"/>
      <c r="B57" s="12" t="s">
        <v>15</v>
      </c>
      <c r="C57" s="11">
        <f>IFERROR(('US-rail-frgt'!AF8/'US-rail-frgt'!B8)^(1/COUNT('US-rail-frgt'!$B$1:$AF$1))-1,0)</f>
        <v>6.2761978399152873E-3</v>
      </c>
    </row>
    <row r="58" spans="1:3">
      <c r="A58" s="9" t="s">
        <v>51</v>
      </c>
      <c r="B58" s="10" t="s">
        <v>9</v>
      </c>
      <c r="C58" s="9">
        <f>IFERROR(('US-ships-psgr'!AF2/'US-ships-psgr'!B2)^(1/COUNT('US-ships-psgr'!$B$1:$AF$1))-1,0)</f>
        <v>0</v>
      </c>
    </row>
    <row r="59" spans="1:3">
      <c r="B59" s="1" t="s">
        <v>10</v>
      </c>
      <c r="C59">
        <f>IFERROR(('US-ships-psgr'!AF3/'US-ships-psgr'!B3)^(1/COUNT('US-ships-psgr'!$B$1:$AF$1))-1,0)</f>
        <v>0</v>
      </c>
    </row>
    <row r="60" spans="1:3">
      <c r="B60" s="1" t="s">
        <v>11</v>
      </c>
      <c r="C60">
        <f>IFERROR(('US-ships-psgr'!AF4/'US-ships-psgr'!B4)^(1/COUNT('US-ships-psgr'!$B$1:$AF$1))-1,0)</f>
        <v>0</v>
      </c>
    </row>
    <row r="61" spans="1:3">
      <c r="B61" s="1" t="s">
        <v>12</v>
      </c>
      <c r="C61">
        <f>IFERROR(('US-ships-psgr'!AF5/'US-ships-psgr'!B5)^(1/COUNT('US-ships-psgr'!$B$1:$AF$1))-1,0)</f>
        <v>0</v>
      </c>
    </row>
    <row r="62" spans="1:3">
      <c r="B62" s="1" t="s">
        <v>13</v>
      </c>
      <c r="C62">
        <f>IFERROR(('US-ships-psgr'!AF6/'US-ships-psgr'!B6)^(1/COUNT('US-ships-psgr'!$B$1:$AF$1))-1,0)</f>
        <v>0</v>
      </c>
    </row>
    <row r="63" spans="1:3">
      <c r="B63" s="1" t="s">
        <v>14</v>
      </c>
      <c r="C63">
        <f>IFERROR(('US-ships-psgr'!AF7/'US-ships-psgr'!B7)^(1/COUNT('US-ships-psgr'!$B$1:$AF$1))-1,0)</f>
        <v>0</v>
      </c>
    </row>
    <row r="64" spans="1:3">
      <c r="A64" s="11"/>
      <c r="B64" s="12" t="s">
        <v>15</v>
      </c>
      <c r="C64" s="11">
        <f>IFERROR(('US-ships-psgr'!AF8/'US-ships-psgr'!B8)^(1/COUNT('US-ships-psgr'!$B$1:$AF$1))-1,0)</f>
        <v>0</v>
      </c>
    </row>
    <row r="65" spans="1:3">
      <c r="A65" s="9" t="s">
        <v>52</v>
      </c>
      <c r="B65" s="10" t="s">
        <v>9</v>
      </c>
      <c r="C65" s="9">
        <f>IFERROR(('US-ships-frgt'!AF2/'US-ships-frgt'!B2)^(1/COUNT('US-ships-frgt'!$B$1:$AF$1))-1,0)</f>
        <v>0</v>
      </c>
    </row>
    <row r="66" spans="1:3">
      <c r="B66" s="1" t="s">
        <v>10</v>
      </c>
      <c r="C66">
        <f>IFERROR(('US-ships-frgt'!AF3/'US-ships-frgt'!B3)^(1/COUNT('US-ships-frgt'!$B$1:$AF$1))-1,0)</f>
        <v>0</v>
      </c>
    </row>
    <row r="67" spans="1:3">
      <c r="B67" s="1" t="s">
        <v>11</v>
      </c>
      <c r="C67">
        <f>IFERROR(('US-ships-frgt'!AF4/'US-ships-frgt'!B4)^(1/COUNT('US-ships-frgt'!$B$1:$AF$1))-1,0)</f>
        <v>0</v>
      </c>
    </row>
    <row r="68" spans="1:3">
      <c r="B68" s="1" t="s">
        <v>12</v>
      </c>
      <c r="C68">
        <f>IFERROR(('US-ships-frgt'!AF5/'US-ships-frgt'!B5)^(1/COUNT('US-ships-frgt'!$B$1:$AF$1))-1,0)</f>
        <v>0</v>
      </c>
    </row>
    <row r="69" spans="1:3">
      <c r="B69" s="1" t="s">
        <v>13</v>
      </c>
      <c r="C69">
        <f>IFERROR(('US-ships-frgt'!AF6/'US-ships-frgt'!B6)^(1/COUNT('US-ships-frgt'!$B$1:$AF$1))-1,0)</f>
        <v>0</v>
      </c>
    </row>
    <row r="70" spans="1:3">
      <c r="B70" s="1" t="s">
        <v>14</v>
      </c>
      <c r="C70">
        <f>IFERROR(('US-ships-frgt'!AF7/'US-ships-frgt'!B7)^(1/COUNT('US-ships-frgt'!$B$1:$AF$1))-1,0)</f>
        <v>0</v>
      </c>
    </row>
    <row r="71" spans="1:3">
      <c r="A71" s="11"/>
      <c r="B71" s="12" t="s">
        <v>15</v>
      </c>
      <c r="C71" s="11">
        <f>IFERROR(('US-ships-frgt'!AF8/'US-ships-frgt'!B8)^(1/COUNT('US-ships-frgt'!$B$1:$AF$1))-1,0)</f>
        <v>0</v>
      </c>
    </row>
    <row r="72" spans="1:3">
      <c r="A72" s="9" t="s">
        <v>53</v>
      </c>
      <c r="B72" s="10" t="s">
        <v>9</v>
      </c>
      <c r="C72" s="9">
        <f>IFERROR(('US-motorbikes-psgr'!AF2/'US-motorbikes-psgr'!B2)^(1/COUNT('US-motorbikes-psgr'!$B$1:$AF$1))-1,0)</f>
        <v>0</v>
      </c>
    </row>
    <row r="73" spans="1:3">
      <c r="B73" s="1" t="s">
        <v>10</v>
      </c>
      <c r="C73">
        <f>IFERROR(('US-motorbikes-psgr'!AF3/'US-motorbikes-psgr'!B3)^(1/COUNT('US-motorbikes-psgr'!$B$1:$AF$1))-1,0)</f>
        <v>0</v>
      </c>
    </row>
    <row r="74" spans="1:3">
      <c r="B74" s="1" t="s">
        <v>11</v>
      </c>
      <c r="C74">
        <f>IFERROR(('US-motorbikes-psgr'!AF4/'US-motorbikes-psgr'!B4)^(1/COUNT('US-motorbikes-psgr'!$B$1:$AF$1))-1,0)</f>
        <v>0</v>
      </c>
    </row>
    <row r="75" spans="1:3">
      <c r="B75" s="1" t="s">
        <v>12</v>
      </c>
      <c r="C75">
        <f>IFERROR(('US-motorbikes-psgr'!AF5/'US-motorbikes-psgr'!B5)^(1/COUNT('US-motorbikes-psgr'!$B$1:$AF$1))-1,0)</f>
        <v>0</v>
      </c>
    </row>
    <row r="76" spans="1:3">
      <c r="B76" s="1" t="s">
        <v>13</v>
      </c>
      <c r="C76">
        <f>IFERROR(('US-motorbikes-psgr'!AF6/'US-motorbikes-psgr'!B6)^(1/COUNT('US-motorbikes-psgr'!$B$1:$AF$1))-1,0)</f>
        <v>0</v>
      </c>
    </row>
    <row r="77" spans="1:3">
      <c r="B77" s="1" t="s">
        <v>14</v>
      </c>
      <c r="C77">
        <f>IFERROR(('US-motorbikes-psgr'!AF7/'US-motorbikes-psgr'!B7)^(1/COUNT('US-motorbikes-psgr'!$B$1:$AF$1))-1,0)</f>
        <v>0</v>
      </c>
    </row>
    <row r="78" spans="1:3">
      <c r="A78" s="11"/>
      <c r="B78" s="12" t="s">
        <v>15</v>
      </c>
      <c r="C78" s="11">
        <f>IFERROR(('US-motorbikes-psgr'!AF8/'US-motorbikes-psgr'!B8)^(1/COUNT('US-motorbikes-psgr'!$B$1:$AF$1))-1,0)</f>
        <v>0</v>
      </c>
    </row>
    <row r="79" spans="1:3">
      <c r="A79" s="9" t="s">
        <v>54</v>
      </c>
      <c r="B79" s="10" t="s">
        <v>9</v>
      </c>
      <c r="C79" s="9">
        <f>IFERROR(('US-motorbikes-frgt'!AF2/'US-motorbikes-frgt'!B2)^(1/COUNT('US-motorbikes-frgt'!$B$1:$AF$1))-1,0)</f>
        <v>0</v>
      </c>
    </row>
    <row r="80" spans="1:3">
      <c r="B80" s="1" t="s">
        <v>10</v>
      </c>
      <c r="C80">
        <f>IFERROR(('US-motorbikes-frgt'!AF3/'US-motorbikes-frgt'!B3)^(1/COUNT('US-motorbikes-frgt'!$B$1:$AF$1))-1,0)</f>
        <v>0</v>
      </c>
    </row>
    <row r="81" spans="1:3">
      <c r="B81" s="1" t="s">
        <v>11</v>
      </c>
      <c r="C81">
        <f>IFERROR(('US-motorbikes-frgt'!AF4/'US-motorbikes-frgt'!B4)^(1/COUNT('US-motorbikes-frgt'!$B$1:$AF$1))-1,0)</f>
        <v>0</v>
      </c>
    </row>
    <row r="82" spans="1:3">
      <c r="B82" s="1" t="s">
        <v>12</v>
      </c>
      <c r="C82">
        <f>IFERROR(('US-motorbikes-frgt'!AF5/'US-motorbikes-frgt'!B5)^(1/COUNT('US-motorbikes-frgt'!$B$1:$AF$1))-1,0)</f>
        <v>0</v>
      </c>
    </row>
    <row r="83" spans="1:3">
      <c r="B83" s="1" t="s">
        <v>13</v>
      </c>
      <c r="C83">
        <f>IFERROR(('US-motorbikes-frgt'!AF6/'US-motorbikes-frgt'!B6)^(1/COUNT('US-motorbikes-frgt'!$B$1:$AF$1))-1,0)</f>
        <v>0</v>
      </c>
    </row>
    <row r="84" spans="1:3">
      <c r="B84" s="1" t="s">
        <v>14</v>
      </c>
      <c r="C84">
        <f>IFERROR(('US-motorbikes-frgt'!AF7/'US-motorbikes-frgt'!B7)^(1/COUNT('US-motorbikes-frgt'!$B$1:$AF$1))-1,0)</f>
        <v>0</v>
      </c>
    </row>
    <row r="85" spans="1:3">
      <c r="A85" s="11"/>
      <c r="B85" s="12" t="s">
        <v>15</v>
      </c>
      <c r="C85" s="11">
        <f>IFERROR(('US-motorbikes-frgt'!AF8/'US-motorbikes-frgt'!B8)^(1/COUNT('US-motorbikes-frgt'!$B$1:$AF$1))-1,0)</f>
        <v>0</v>
      </c>
    </row>
  </sheetData>
  <phoneticPr fontId="1" type="noConversion"/>
  <hyperlinks>
    <hyperlink ref="F22" r:id="rId1" xr:uid="{AA54E531-014D-4359-8B33-B65B3612FA46}"/>
  </hyperlinks>
  <pageMargins left="0.7" right="0.7" top="0.75" bottom="0.75" header="0.3" footer="0.3"/>
  <pageSetup paperSize="9" orientation="portrait" verticalDpi="0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C2BA1-F2C9-4C84-8D6D-BA9B17307A46}">
  <sheetPr>
    <tabColor theme="5"/>
  </sheetPr>
  <dimension ref="A1:AG40"/>
  <sheetViews>
    <sheetView workbookViewId="0"/>
  </sheetViews>
  <sheetFormatPr defaultRowHeight="15"/>
  <cols>
    <col min="1" max="1" width="10.7109375" bestFit="1" customWidth="1"/>
    <col min="2" max="2" width="18.28515625" customWidth="1"/>
    <col min="3" max="3" width="11.140625" bestFit="1" customWidth="1"/>
  </cols>
  <sheetData>
    <row r="1" spans="1:4">
      <c r="A1" t="s">
        <v>55</v>
      </c>
    </row>
    <row r="2" spans="1:4">
      <c r="A2" s="25" t="s">
        <v>56</v>
      </c>
      <c r="B2" s="26"/>
      <c r="C2" s="26"/>
      <c r="D2" s="26"/>
    </row>
    <row r="3" spans="1:4">
      <c r="A3" s="22" t="s">
        <v>57</v>
      </c>
    </row>
    <row r="4" spans="1:4">
      <c r="A4" s="27">
        <v>32415.35</v>
      </c>
      <c r="B4" t="s">
        <v>58</v>
      </c>
    </row>
    <row r="5" spans="1:4">
      <c r="A5">
        <v>1.60934</v>
      </c>
      <c r="B5" t="s">
        <v>59</v>
      </c>
    </row>
    <row r="6" spans="1:4">
      <c r="A6">
        <v>1.4</v>
      </c>
      <c r="B6" t="s">
        <v>60</v>
      </c>
    </row>
    <row r="10" spans="1:4">
      <c r="C10" s="22">
        <v>2020</v>
      </c>
    </row>
    <row r="11" spans="1:4">
      <c r="B11" s="29" t="s">
        <v>61</v>
      </c>
      <c r="C11">
        <v>24.1</v>
      </c>
      <c r="D11" t="s">
        <v>62</v>
      </c>
    </row>
    <row r="12" spans="1:4">
      <c r="B12" s="29" t="s">
        <v>63</v>
      </c>
      <c r="C12">
        <v>14.1</v>
      </c>
      <c r="D12" t="s">
        <v>62</v>
      </c>
    </row>
    <row r="14" spans="1:4">
      <c r="A14" s="28" t="s">
        <v>64</v>
      </c>
      <c r="C14" s="22">
        <v>2020</v>
      </c>
    </row>
    <row r="15" spans="1:4">
      <c r="B15" s="29" t="s">
        <v>61</v>
      </c>
      <c r="C15" s="30">
        <f>C11/$A$5</f>
        <v>14.975082953260344</v>
      </c>
      <c r="D15" t="s">
        <v>65</v>
      </c>
    </row>
    <row r="16" spans="1:4">
      <c r="B16" s="29" t="s">
        <v>63</v>
      </c>
      <c r="C16" s="30">
        <f>C12/$A$5</f>
        <v>8.7613555867622743</v>
      </c>
      <c r="D16" t="s">
        <v>65</v>
      </c>
    </row>
    <row r="18" spans="1:33">
      <c r="C18" s="22">
        <v>2020</v>
      </c>
    </row>
    <row r="19" spans="1:33">
      <c r="B19" s="29" t="s">
        <v>61</v>
      </c>
      <c r="C19" s="31">
        <f>C15/$A$4</f>
        <v>4.6197505050108497E-4</v>
      </c>
      <c r="D19" t="s">
        <v>66</v>
      </c>
    </row>
    <row r="20" spans="1:33">
      <c r="B20" s="29" t="s">
        <v>63</v>
      </c>
      <c r="C20" s="31">
        <f>C16/$A$4</f>
        <v>2.7028415817698326E-4</v>
      </c>
      <c r="D20" t="s">
        <v>66</v>
      </c>
    </row>
    <row r="22" spans="1:33">
      <c r="C22" s="22">
        <v>2020</v>
      </c>
    </row>
    <row r="23" spans="1:33">
      <c r="B23" s="29" t="s">
        <v>61</v>
      </c>
      <c r="C23" s="31">
        <f>C19*$A$6</f>
        <v>6.4676507070151896E-4</v>
      </c>
      <c r="D23" t="s">
        <v>67</v>
      </c>
    </row>
    <row r="24" spans="1:33">
      <c r="B24" s="29" t="s">
        <v>63</v>
      </c>
      <c r="C24" s="31">
        <f>C20*$A$6</f>
        <v>3.7839782144777654E-4</v>
      </c>
      <c r="D24" t="s">
        <v>67</v>
      </c>
    </row>
    <row r="25" spans="1:33" ht="15.75" thickBot="1"/>
    <row r="26" spans="1:33" ht="15.75" thickBot="1">
      <c r="B26" s="22" t="s">
        <v>68</v>
      </c>
      <c r="C26" s="32">
        <f>AVERAGE(C23:C24)</f>
        <v>5.1258144607464772E-4</v>
      </c>
      <c r="D26" t="s">
        <v>67</v>
      </c>
    </row>
    <row r="29" spans="1:33">
      <c r="A29" s="28" t="s">
        <v>69</v>
      </c>
      <c r="D29" s="14"/>
    </row>
    <row r="30" spans="1:33">
      <c r="B30" t="s">
        <v>22</v>
      </c>
      <c r="C30">
        <v>2020</v>
      </c>
      <c r="D30">
        <v>2021</v>
      </c>
      <c r="E30">
        <v>2022</v>
      </c>
      <c r="F30">
        <v>2023</v>
      </c>
      <c r="G30">
        <v>2024</v>
      </c>
      <c r="H30">
        <v>2025</v>
      </c>
      <c r="I30">
        <v>2026</v>
      </c>
      <c r="J30">
        <v>2027</v>
      </c>
      <c r="K30">
        <v>2028</v>
      </c>
      <c r="L30">
        <v>2029</v>
      </c>
      <c r="M30">
        <v>2030</v>
      </c>
      <c r="N30">
        <v>2031</v>
      </c>
      <c r="O30">
        <v>2032</v>
      </c>
      <c r="P30">
        <v>2033</v>
      </c>
      <c r="Q30">
        <v>2034</v>
      </c>
      <c r="R30">
        <v>2035</v>
      </c>
      <c r="S30">
        <v>2036</v>
      </c>
      <c r="T30">
        <v>2037</v>
      </c>
      <c r="U30">
        <v>2038</v>
      </c>
      <c r="V30">
        <v>2039</v>
      </c>
      <c r="W30">
        <v>2040</v>
      </c>
      <c r="X30">
        <v>2041</v>
      </c>
      <c r="Y30">
        <v>2042</v>
      </c>
      <c r="Z30">
        <v>2043</v>
      </c>
      <c r="AA30">
        <v>2044</v>
      </c>
      <c r="AB30">
        <v>2045</v>
      </c>
      <c r="AC30">
        <v>2046</v>
      </c>
      <c r="AD30">
        <v>2047</v>
      </c>
      <c r="AE30">
        <v>2048</v>
      </c>
      <c r="AF30">
        <v>2049</v>
      </c>
      <c r="AG30">
        <v>2050</v>
      </c>
    </row>
    <row r="31" spans="1:33">
      <c r="B31" t="s">
        <v>9</v>
      </c>
      <c r="C31">
        <v>1.3016014821008825E-3</v>
      </c>
      <c r="D31">
        <v>1.2926576980307788E-3</v>
      </c>
      <c r="E31">
        <v>1.2869318658566659E-3</v>
      </c>
      <c r="F31">
        <v>1.2796983920849219E-3</v>
      </c>
      <c r="G31">
        <v>1.2723109001949813E-3</v>
      </c>
      <c r="H31">
        <v>1.2688722771223024E-3</v>
      </c>
      <c r="I31">
        <v>1.265614096179496E-3</v>
      </c>
      <c r="J31">
        <v>1.2602292006612041E-3</v>
      </c>
      <c r="K31">
        <v>1.2562225179555552E-3</v>
      </c>
      <c r="L31">
        <v>1.252664288663584E-3</v>
      </c>
      <c r="M31">
        <v>1.2501277882015535E-3</v>
      </c>
      <c r="N31">
        <v>1.2487082688849278E-3</v>
      </c>
      <c r="O31">
        <v>1.2467654435390108E-3</v>
      </c>
      <c r="P31">
        <v>1.2459379766549955E-3</v>
      </c>
      <c r="Q31">
        <v>1.2454911060033728E-3</v>
      </c>
      <c r="R31">
        <v>1.2451425075326549E-3</v>
      </c>
      <c r="S31">
        <v>1.2441678168462235E-3</v>
      </c>
      <c r="T31">
        <v>1.2437110831363233E-3</v>
      </c>
      <c r="U31">
        <v>1.2434472289246487E-3</v>
      </c>
      <c r="V31">
        <v>1.2431449346539255E-3</v>
      </c>
      <c r="W31">
        <v>1.242749474488683E-3</v>
      </c>
      <c r="X31">
        <v>1.2426414751633898E-3</v>
      </c>
      <c r="Y31">
        <v>1.2425270452057901E-3</v>
      </c>
      <c r="Z31">
        <v>1.2423665768196443E-3</v>
      </c>
      <c r="AA31">
        <v>1.2423661582493899E-3</v>
      </c>
      <c r="AB31">
        <v>1.2424552878090294E-3</v>
      </c>
      <c r="AC31">
        <v>1.2425304264301077E-3</v>
      </c>
      <c r="AD31">
        <v>1.2424094170501326E-3</v>
      </c>
      <c r="AE31">
        <v>1.2423079259541866E-3</v>
      </c>
      <c r="AF31">
        <v>1.2421595174498235E-3</v>
      </c>
      <c r="AG31">
        <v>1.242184730573649E-3</v>
      </c>
    </row>
    <row r="32" spans="1:33">
      <c r="B32" t="s">
        <v>10</v>
      </c>
      <c r="C32">
        <v>3.8029529805498928E-4</v>
      </c>
      <c r="D32">
        <v>3.9476635103339935E-4</v>
      </c>
      <c r="E32">
        <v>4.0317709826518853E-4</v>
      </c>
      <c r="F32">
        <v>4.0861194678683542E-4</v>
      </c>
      <c r="G32">
        <v>4.1215478728194431E-4</v>
      </c>
      <c r="H32">
        <v>4.161380472574127E-4</v>
      </c>
      <c r="I32">
        <v>4.1864713672164384E-4</v>
      </c>
      <c r="J32">
        <v>4.1871977044755321E-4</v>
      </c>
      <c r="K32">
        <v>4.1845993448607482E-4</v>
      </c>
      <c r="L32">
        <v>4.1824574080425933E-4</v>
      </c>
      <c r="M32">
        <v>4.1892239620751885E-4</v>
      </c>
      <c r="N32">
        <v>4.1874050147763098E-4</v>
      </c>
      <c r="O32">
        <v>4.1850498686080801E-4</v>
      </c>
      <c r="P32">
        <v>4.1826480772119918E-4</v>
      </c>
      <c r="Q32">
        <v>4.1829175912415644E-4</v>
      </c>
      <c r="R32">
        <v>4.1761857347733379E-4</v>
      </c>
      <c r="S32">
        <v>4.1687945245925354E-4</v>
      </c>
      <c r="T32">
        <v>4.164113300533476E-4</v>
      </c>
      <c r="U32">
        <v>4.1613449901969674E-4</v>
      </c>
      <c r="V32">
        <v>4.1551323434343832E-4</v>
      </c>
      <c r="W32">
        <v>4.1503634236097445E-4</v>
      </c>
      <c r="X32">
        <v>4.1461933319641856E-4</v>
      </c>
      <c r="Y32">
        <v>4.1413077690561246E-4</v>
      </c>
      <c r="Z32">
        <v>4.1366186353318095E-4</v>
      </c>
      <c r="AA32">
        <v>4.1331258589589651E-4</v>
      </c>
      <c r="AB32">
        <v>4.1306480490411649E-4</v>
      </c>
      <c r="AC32">
        <v>4.1264228513673742E-4</v>
      </c>
      <c r="AD32">
        <v>4.1222664654626295E-4</v>
      </c>
      <c r="AE32">
        <v>4.1170488758498282E-4</v>
      </c>
      <c r="AF32">
        <v>4.1134544874802168E-4</v>
      </c>
      <c r="AG32">
        <v>4.1101089728435994E-4</v>
      </c>
    </row>
    <row r="33" spans="2:33">
      <c r="B33" s="33" t="s">
        <v>11</v>
      </c>
      <c r="C33" s="33">
        <v>4.010435677007162E-4</v>
      </c>
      <c r="D33" s="33">
        <v>4.1543936179917892E-4</v>
      </c>
      <c r="E33" s="33">
        <v>4.232456921304615E-4</v>
      </c>
      <c r="F33" s="33">
        <v>4.284224989356039E-4</v>
      </c>
      <c r="G33" s="33">
        <v>4.3223887309206766E-4</v>
      </c>
      <c r="H33" s="33">
        <v>4.3661930301858122E-4</v>
      </c>
      <c r="I33" s="33">
        <v>4.4073837767711228E-4</v>
      </c>
      <c r="J33" s="33">
        <v>4.4130433819121803E-4</v>
      </c>
      <c r="K33" s="33">
        <v>4.4139330713525239E-4</v>
      </c>
      <c r="L33" s="33">
        <v>4.4143859386227608E-4</v>
      </c>
      <c r="M33" s="33">
        <v>4.4252278985937798E-4</v>
      </c>
      <c r="N33" s="33">
        <v>4.4258101673758966E-4</v>
      </c>
      <c r="O33" s="33">
        <v>4.4262644410952699E-4</v>
      </c>
      <c r="P33" s="33">
        <v>4.4263525674443374E-4</v>
      </c>
      <c r="Q33" s="33">
        <v>4.428907913418545E-4</v>
      </c>
      <c r="R33" s="33">
        <v>4.4235185104972023E-4</v>
      </c>
      <c r="S33" s="33">
        <v>4.4180682000362565E-4</v>
      </c>
      <c r="T33" s="33">
        <v>4.415169210975881E-4</v>
      </c>
      <c r="U33" s="33">
        <v>4.4141525513386555E-4</v>
      </c>
      <c r="V33" s="33">
        <v>4.4094858868260617E-4</v>
      </c>
      <c r="W33" s="33">
        <v>4.406528424788466E-4</v>
      </c>
      <c r="X33" s="33">
        <v>4.4046477188487546E-4</v>
      </c>
      <c r="Y33" s="33">
        <v>4.4016736396697124E-4</v>
      </c>
      <c r="Z33" s="33">
        <v>4.3991921468742256E-4</v>
      </c>
      <c r="AA33" s="33">
        <v>4.3980677282836695E-4</v>
      </c>
      <c r="AB33" s="33">
        <v>4.3981133028276362E-4</v>
      </c>
      <c r="AC33" s="33">
        <v>4.3960459654073496E-4</v>
      </c>
      <c r="AD33" s="33">
        <v>4.3945697770705547E-4</v>
      </c>
      <c r="AE33" s="33">
        <v>4.3919624527100954E-4</v>
      </c>
      <c r="AF33" s="33">
        <v>4.3913823303573507E-4</v>
      </c>
      <c r="AG33" s="33">
        <v>4.3909651675542918E-4</v>
      </c>
    </row>
    <row r="34" spans="2:33">
      <c r="B34" t="s">
        <v>12</v>
      </c>
      <c r="C34">
        <v>4.2164836790723349E-4</v>
      </c>
      <c r="D34">
        <v>4.3038372468941308E-4</v>
      </c>
      <c r="E34">
        <v>4.3420465633630295E-4</v>
      </c>
      <c r="F34">
        <v>4.3755646869858035E-4</v>
      </c>
      <c r="G34">
        <v>4.3967943886681334E-4</v>
      </c>
      <c r="H34">
        <v>4.4460624002269991E-4</v>
      </c>
      <c r="I34">
        <v>4.4496012049244393E-4</v>
      </c>
      <c r="J34">
        <v>4.4386794465270786E-4</v>
      </c>
      <c r="K34">
        <v>4.4337540076502162E-4</v>
      </c>
      <c r="L34">
        <v>4.4271108702653624E-4</v>
      </c>
      <c r="M34">
        <v>4.4204868011526002E-4</v>
      </c>
      <c r="N34">
        <v>4.4134700384785902E-4</v>
      </c>
      <c r="O34">
        <v>4.4074150219218516E-4</v>
      </c>
      <c r="P34">
        <v>4.4004989920049426E-4</v>
      </c>
      <c r="Q34">
        <v>4.3959873902550526E-4</v>
      </c>
      <c r="R34">
        <v>4.3896791873294087E-4</v>
      </c>
      <c r="S34">
        <v>4.3853822206515422E-4</v>
      </c>
      <c r="T34">
        <v>4.380679289602619E-4</v>
      </c>
      <c r="U34">
        <v>4.3761382373608021E-4</v>
      </c>
      <c r="V34">
        <v>4.3728428606956427E-4</v>
      </c>
      <c r="W34">
        <v>4.3676208341619235E-4</v>
      </c>
      <c r="X34">
        <v>4.3641079058356913E-4</v>
      </c>
      <c r="Y34">
        <v>4.3601813064876686E-4</v>
      </c>
      <c r="Z34">
        <v>4.3568341275915397E-4</v>
      </c>
      <c r="AA34">
        <v>4.3535955435881782E-4</v>
      </c>
      <c r="AB34">
        <v>4.3509879831850481E-4</v>
      </c>
      <c r="AC34">
        <v>4.3470212020737582E-4</v>
      </c>
      <c r="AD34">
        <v>4.3438066023618842E-4</v>
      </c>
      <c r="AE34">
        <v>4.3404466716966903E-4</v>
      </c>
      <c r="AF34">
        <v>4.3370047683290603E-4</v>
      </c>
      <c r="AG34">
        <v>4.3334687418764364E-4</v>
      </c>
    </row>
    <row r="35" spans="2:33">
      <c r="B35" t="s">
        <v>13</v>
      </c>
      <c r="C35">
        <v>6.5738318568648571E-4</v>
      </c>
      <c r="D35">
        <v>6.7868209237387732E-4</v>
      </c>
      <c r="E35">
        <v>6.8605104499600824E-4</v>
      </c>
      <c r="F35">
        <v>6.8995200477364748E-4</v>
      </c>
      <c r="G35">
        <v>7.0255070116778152E-4</v>
      </c>
      <c r="H35">
        <v>7.3075494105914415E-4</v>
      </c>
      <c r="I35">
        <v>7.6511494750975708E-4</v>
      </c>
      <c r="J35">
        <v>7.6729530817545215E-4</v>
      </c>
      <c r="K35">
        <v>7.6615763729175437E-4</v>
      </c>
      <c r="L35">
        <v>7.6497534983816374E-4</v>
      </c>
      <c r="M35">
        <v>7.6434508106930723E-4</v>
      </c>
      <c r="N35">
        <v>7.6297468642330408E-4</v>
      </c>
      <c r="O35">
        <v>7.6220701719009081E-4</v>
      </c>
      <c r="P35">
        <v>7.6135115263870209E-4</v>
      </c>
      <c r="Q35">
        <v>7.6059039236971756E-4</v>
      </c>
      <c r="R35">
        <v>7.5941521982376113E-4</v>
      </c>
      <c r="S35">
        <v>7.5865921051893645E-4</v>
      </c>
      <c r="T35">
        <v>7.5779553890121924E-4</v>
      </c>
      <c r="U35">
        <v>7.5675471415846706E-4</v>
      </c>
      <c r="V35">
        <v>7.5542246426100047E-4</v>
      </c>
      <c r="W35">
        <v>7.5410270573479155E-4</v>
      </c>
      <c r="X35">
        <v>7.5263393803100167E-4</v>
      </c>
      <c r="Y35">
        <v>7.5087688624492623E-4</v>
      </c>
      <c r="Z35">
        <v>7.4906248631128583E-4</v>
      </c>
      <c r="AA35">
        <v>7.470071968170176E-4</v>
      </c>
      <c r="AB35">
        <v>7.4466971736164859E-4</v>
      </c>
      <c r="AC35">
        <v>7.4187742730834057E-4</v>
      </c>
      <c r="AD35">
        <v>7.3887113076972523E-4</v>
      </c>
      <c r="AE35">
        <v>7.3528955607294266E-4</v>
      </c>
      <c r="AF35">
        <v>7.3158063579575828E-4</v>
      </c>
      <c r="AG35">
        <v>7.2734242308217191E-4</v>
      </c>
    </row>
    <row r="36" spans="2:33">
      <c r="B36" t="s">
        <v>14</v>
      </c>
      <c r="C36">
        <v>3.6368321172053488E-4</v>
      </c>
      <c r="D36">
        <v>3.7519786349243767E-4</v>
      </c>
      <c r="E36">
        <v>3.8292342231539014E-4</v>
      </c>
      <c r="F36">
        <v>3.8737442480929154E-4</v>
      </c>
      <c r="G36">
        <v>3.9018162646122461E-4</v>
      </c>
      <c r="H36">
        <v>3.9393486543226201E-4</v>
      </c>
      <c r="I36">
        <v>3.958081254319439E-4</v>
      </c>
      <c r="J36">
        <v>3.958068662698271E-4</v>
      </c>
      <c r="K36">
        <v>3.9568870081904033E-4</v>
      </c>
      <c r="L36">
        <v>3.9552372368166668E-4</v>
      </c>
      <c r="M36">
        <v>3.9593709557582721E-4</v>
      </c>
      <c r="N36">
        <v>3.9597127514076109E-4</v>
      </c>
      <c r="O36">
        <v>3.9568311316840501E-4</v>
      </c>
      <c r="P36">
        <v>3.9545023752148126E-4</v>
      </c>
      <c r="Q36">
        <v>3.9533735885442279E-4</v>
      </c>
      <c r="R36">
        <v>3.9487850361981201E-4</v>
      </c>
      <c r="S36">
        <v>3.9428117062173101E-4</v>
      </c>
      <c r="T36">
        <v>3.9378231845382995E-4</v>
      </c>
      <c r="U36">
        <v>3.9349649872249946E-4</v>
      </c>
      <c r="V36">
        <v>3.9297415036491852E-4</v>
      </c>
      <c r="W36">
        <v>3.9250688719174123E-4</v>
      </c>
      <c r="X36">
        <v>3.9211185181415524E-4</v>
      </c>
      <c r="Y36">
        <v>3.9168760952964436E-4</v>
      </c>
      <c r="Z36">
        <v>3.9122731880395569E-4</v>
      </c>
      <c r="AA36">
        <v>3.9085142797907205E-4</v>
      </c>
      <c r="AB36">
        <v>3.9051216876031034E-4</v>
      </c>
      <c r="AC36">
        <v>3.9011492927727893E-4</v>
      </c>
      <c r="AD36">
        <v>3.8968023550283847E-4</v>
      </c>
      <c r="AE36">
        <v>3.8920742031412479E-4</v>
      </c>
      <c r="AF36">
        <v>3.8876188063600889E-4</v>
      </c>
      <c r="AG36">
        <v>3.883715712735463E-4</v>
      </c>
    </row>
    <row r="37" spans="2:33">
      <c r="B37" t="s">
        <v>15</v>
      </c>
      <c r="C37">
        <v>5.8794415231938754E-4</v>
      </c>
      <c r="D37">
        <v>5.859697075889746E-4</v>
      </c>
      <c r="E37">
        <v>5.8487716230241557E-4</v>
      </c>
      <c r="F37">
        <v>5.8450715864569842E-4</v>
      </c>
      <c r="G37">
        <v>5.8509864619692446E-4</v>
      </c>
      <c r="H37">
        <v>5.8547838832553585E-4</v>
      </c>
      <c r="I37">
        <v>5.8677369900367977E-4</v>
      </c>
      <c r="J37">
        <v>5.8555189724455374E-4</v>
      </c>
      <c r="K37">
        <v>5.848624993596127E-4</v>
      </c>
      <c r="L37">
        <v>5.8392369578135807E-4</v>
      </c>
      <c r="M37">
        <v>5.8323582222320433E-4</v>
      </c>
      <c r="N37">
        <v>5.8232846507614633E-4</v>
      </c>
      <c r="O37">
        <v>5.8140476063791701E-4</v>
      </c>
      <c r="P37">
        <v>5.8053415348023238E-4</v>
      </c>
      <c r="Q37">
        <v>5.7985999357189376E-4</v>
      </c>
      <c r="R37">
        <v>5.790672010289583E-4</v>
      </c>
      <c r="S37">
        <v>5.783038784646057E-4</v>
      </c>
      <c r="T37">
        <v>5.7772941074558763E-4</v>
      </c>
      <c r="U37">
        <v>5.7728789584792482E-4</v>
      </c>
      <c r="V37">
        <v>5.7687866477931793E-4</v>
      </c>
      <c r="W37">
        <v>5.7657581365796442E-4</v>
      </c>
      <c r="X37">
        <v>5.7638685408458411E-4</v>
      </c>
      <c r="Y37">
        <v>5.7622519119671751E-4</v>
      </c>
      <c r="Z37">
        <v>5.7612076801724784E-4</v>
      </c>
      <c r="AA37">
        <v>5.7610601336530144E-4</v>
      </c>
      <c r="AB37">
        <v>5.7616718513728532E-4</v>
      </c>
      <c r="AC37">
        <v>5.7619221096857649E-4</v>
      </c>
      <c r="AD37">
        <v>5.7620061572155568E-4</v>
      </c>
      <c r="AE37">
        <v>5.7622282038993897E-4</v>
      </c>
      <c r="AF37">
        <v>5.7625953419671364E-4</v>
      </c>
      <c r="AG37">
        <v>5.7635527402379559E-4</v>
      </c>
    </row>
    <row r="39" spans="2:33">
      <c r="C39">
        <v>2020</v>
      </c>
      <c r="D39">
        <v>2021</v>
      </c>
      <c r="E39">
        <v>2022</v>
      </c>
      <c r="F39">
        <v>2023</v>
      </c>
      <c r="G39">
        <v>2024</v>
      </c>
      <c r="H39">
        <v>2025</v>
      </c>
      <c r="I39">
        <v>2026</v>
      </c>
      <c r="J39">
        <v>2027</v>
      </c>
      <c r="K39">
        <v>2028</v>
      </c>
      <c r="L39">
        <v>2029</v>
      </c>
      <c r="M39">
        <v>2030</v>
      </c>
      <c r="N39">
        <v>2031</v>
      </c>
      <c r="O39">
        <v>2032</v>
      </c>
      <c r="P39">
        <v>2033</v>
      </c>
      <c r="Q39">
        <v>2034</v>
      </c>
      <c r="R39">
        <v>2035</v>
      </c>
      <c r="S39">
        <v>2036</v>
      </c>
      <c r="T39">
        <v>2037</v>
      </c>
      <c r="U39">
        <v>2038</v>
      </c>
      <c r="V39">
        <v>2039</v>
      </c>
      <c r="W39">
        <v>2040</v>
      </c>
      <c r="X39">
        <v>2041</v>
      </c>
      <c r="Y39">
        <v>2042</v>
      </c>
      <c r="Z39">
        <v>2043</v>
      </c>
      <c r="AA39">
        <v>2044</v>
      </c>
      <c r="AB39">
        <v>2045</v>
      </c>
      <c r="AC39">
        <v>2046</v>
      </c>
      <c r="AD39">
        <v>2047</v>
      </c>
      <c r="AE39">
        <v>2048</v>
      </c>
      <c r="AF39">
        <v>2049</v>
      </c>
      <c r="AG39">
        <v>2050</v>
      </c>
    </row>
    <row r="40" spans="2:33">
      <c r="B40" t="s">
        <v>70</v>
      </c>
      <c r="C40">
        <v>1</v>
      </c>
      <c r="D40">
        <f>D33/$C$33</f>
        <v>1.0358958359087953</v>
      </c>
      <c r="E40">
        <f t="shared" ref="E40:AG40" si="0">E33/$C$33</f>
        <v>1.0553608790113145</v>
      </c>
      <c r="F40">
        <f t="shared" si="0"/>
        <v>1.0682692192069256</v>
      </c>
      <c r="G40">
        <f t="shared" si="0"/>
        <v>1.0777853278390723</v>
      </c>
      <c r="H40">
        <f t="shared" si="0"/>
        <v>1.0887079065295315</v>
      </c>
      <c r="I40">
        <f t="shared" si="0"/>
        <v>1.0989787972513221</v>
      </c>
      <c r="J40">
        <f t="shared" si="0"/>
        <v>1.1003900167787928</v>
      </c>
      <c r="K40">
        <f t="shared" si="0"/>
        <v>1.1006118603668709</v>
      </c>
      <c r="L40">
        <f t="shared" si="0"/>
        <v>1.1007247825794957</v>
      </c>
      <c r="M40">
        <f t="shared" si="0"/>
        <v>1.103428219523561</v>
      </c>
      <c r="N40">
        <f t="shared" si="0"/>
        <v>1.1035734079342505</v>
      </c>
      <c r="O40">
        <f t="shared" si="0"/>
        <v>1.1036866808442183</v>
      </c>
      <c r="P40">
        <f t="shared" si="0"/>
        <v>1.1037086551024198</v>
      </c>
      <c r="Q40">
        <f t="shared" si="0"/>
        <v>1.1043458292600452</v>
      </c>
      <c r="R40">
        <f t="shared" si="0"/>
        <v>1.1030019845121437</v>
      </c>
      <c r="S40">
        <f t="shared" si="0"/>
        <v>1.1016429525016831</v>
      </c>
      <c r="T40">
        <f t="shared" si="0"/>
        <v>1.100920091123555</v>
      </c>
      <c r="U40">
        <f t="shared" si="0"/>
        <v>1.1006665875845121</v>
      </c>
      <c r="V40">
        <f t="shared" si="0"/>
        <v>1.099502957273883</v>
      </c>
      <c r="W40">
        <f t="shared" si="0"/>
        <v>1.0987655156900293</v>
      </c>
      <c r="X40">
        <f t="shared" si="0"/>
        <v>1.0982965626656749</v>
      </c>
      <c r="Y40">
        <f t="shared" si="0"/>
        <v>1.0975549776064522</v>
      </c>
      <c r="Z40">
        <f t="shared" si="0"/>
        <v>1.0969362186996048</v>
      </c>
      <c r="AA40">
        <f t="shared" si="0"/>
        <v>1.096655845522944</v>
      </c>
      <c r="AB40">
        <f t="shared" si="0"/>
        <v>1.0966672095112078</v>
      </c>
      <c r="AC40">
        <f t="shared" si="0"/>
        <v>1.0961517200265767</v>
      </c>
      <c r="AD40">
        <f t="shared" si="0"/>
        <v>1.0957836332510531</v>
      </c>
      <c r="AE40">
        <f t="shared" si="0"/>
        <v>1.095133498310501</v>
      </c>
      <c r="AF40">
        <f t="shared" si="0"/>
        <v>1.0949888451108323</v>
      </c>
      <c r="AG40">
        <f t="shared" si="0"/>
        <v>1.0948848257880812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DB74-C519-4F62-B64E-5A171DB8F66A}">
  <sheetPr>
    <tabColor rgb="FF92D050"/>
  </sheetPr>
  <dimension ref="A1"/>
  <sheetViews>
    <sheetView workbookViewId="0"/>
  </sheetViews>
  <sheetFormatPr defaultRowHeight="15"/>
  <sheetData/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70FD1-7C00-4B50-9A91-90B80228BA27}">
  <sheetPr>
    <tabColor rgb="FF1F497D"/>
  </sheetPr>
  <dimension ref="A1:AG8"/>
  <sheetViews>
    <sheetView workbookViewId="0">
      <selection activeCell="E3" sqref="E3"/>
    </sheetView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psgr'!$B$2:$H$2,,MATCH($A2,'SYFAFE psgr'!$B$1:$H$1,0))*(1+INDEX(CAGR!$C$2:$C$8,MATCH($A2,CAGR!$B$2:$B$8,0))),0)</f>
        <v>1.2623958617063904E-3</v>
      </c>
      <c r="C2" s="14">
        <f>IFERROR(B2*(1+INDEX(CAGR!$C$2:$C$8,MATCH($A2,CAGR!$B$2:$B$8,0))),0)</f>
        <v>1.2604945911994145E-3</v>
      </c>
      <c r="D2" s="14">
        <f>IFERROR(C2*(1+INDEX(CAGR!$C$2:$C$8,MATCH($A2,CAGR!$B$2:$B$8,0))),0)</f>
        <v>1.2585961841599534E-3</v>
      </c>
      <c r="E2" s="14">
        <f>IFERROR(D2*(1+INDEX(CAGR!$C$2:$C$8,MATCH($A2,CAGR!$B$2:$B$8,0))),0)</f>
        <v>1.2567006362753928E-3</v>
      </c>
      <c r="F2" s="14">
        <f>IFERROR(E2*(1+INDEX(CAGR!$C$2:$C$8,MATCH($A2,CAGR!$B$2:$B$8,0))),0)</f>
        <v>1.2548079432396135E-3</v>
      </c>
      <c r="G2" s="14">
        <f>IFERROR(F2*(1+INDEX(CAGR!$C$2:$C$8,MATCH($A2,CAGR!$B$2:$B$8,0))),0)</f>
        <v>1.2529181007529819E-3</v>
      </c>
      <c r="H2" s="14">
        <f>IFERROR(G2*(1+INDEX(CAGR!$C$2:$C$8,MATCH($A2,CAGR!$B$2:$B$8,0))),0)</f>
        <v>1.2510311045223401E-3</v>
      </c>
      <c r="I2" s="14">
        <f>IFERROR(H2*(1+INDEX(CAGR!$C$2:$C$8,MATCH($A2,CAGR!$B$2:$B$8,0))),0)</f>
        <v>1.2491469502609956E-3</v>
      </c>
      <c r="J2" s="14">
        <f>IFERROR(I2*(1+INDEX(CAGR!$C$2:$C$8,MATCH($A2,CAGR!$B$2:$B$8,0))),0)</f>
        <v>1.2472656336887122E-3</v>
      </c>
      <c r="K2" s="14">
        <f>IFERROR(J2*(1+INDEX(CAGR!$C$2:$C$8,MATCH($A2,CAGR!$B$2:$B$8,0))),0)</f>
        <v>1.2453871505317003E-3</v>
      </c>
      <c r="L2" s="14">
        <f>IFERROR(K2*(1+INDEX(CAGR!$C$2:$C$8,MATCH($A2,CAGR!$B$2:$B$8,0))),0)</f>
        <v>1.2435114965226068E-3</v>
      </c>
      <c r="M2" s="14">
        <f>IFERROR(L2*(1+INDEX(CAGR!$C$2:$C$8,MATCH($A2,CAGR!$B$2:$B$8,0))),0)</f>
        <v>1.2416386674005055E-3</v>
      </c>
      <c r="N2" s="14">
        <f>IFERROR(M2*(1+INDEX(CAGR!$C$2:$C$8,MATCH($A2,CAGR!$B$2:$B$8,0))),0)</f>
        <v>1.2397686589108877E-3</v>
      </c>
      <c r="O2" s="14">
        <f>IFERROR(N2*(1+INDEX(CAGR!$C$2:$C$8,MATCH($A2,CAGR!$B$2:$B$8,0))),0)</f>
        <v>1.2379014668056521E-3</v>
      </c>
      <c r="P2" s="14">
        <f>IFERROR(O2*(1+INDEX(CAGR!$C$2:$C$8,MATCH($A2,CAGR!$B$2:$B$8,0))),0)</f>
        <v>1.2360370868430956E-3</v>
      </c>
      <c r="Q2" s="14">
        <f>IFERROR(P2*(1+INDEX(CAGR!$C$2:$C$8,MATCH($A2,CAGR!$B$2:$B$8,0))),0)</f>
        <v>1.2341755147879032E-3</v>
      </c>
      <c r="R2" s="14">
        <f>IFERROR(Q2*(1+INDEX(CAGR!$C$2:$C$8,MATCH($A2,CAGR!$B$2:$B$8,0))),0)</f>
        <v>1.2323167464111389E-3</v>
      </c>
      <c r="S2" s="14">
        <f>IFERROR(R2*(1+INDEX(CAGR!$C$2:$C$8,MATCH($A2,CAGR!$B$2:$B$8,0))),0)</f>
        <v>1.2304607774902357E-3</v>
      </c>
      <c r="T2" s="14">
        <f>IFERROR(S2*(1+INDEX(CAGR!$C$2:$C$8,MATCH($A2,CAGR!$B$2:$B$8,0))),0)</f>
        <v>1.2286076038089859E-3</v>
      </c>
      <c r="U2" s="14">
        <f>IFERROR(T2*(1+INDEX(CAGR!$C$2:$C$8,MATCH($A2,CAGR!$B$2:$B$8,0))),0)</f>
        <v>1.2267572211575324E-3</v>
      </c>
      <c r="V2" s="14">
        <f>IFERROR(U2*(1+INDEX(CAGR!$C$2:$C$8,MATCH($A2,CAGR!$B$2:$B$8,0))),0)</f>
        <v>1.2249096253323577E-3</v>
      </c>
      <c r="W2" s="14">
        <f>IFERROR(V2*(1+INDEX(CAGR!$C$2:$C$8,MATCH($A2,CAGR!$B$2:$B$8,0))),0)</f>
        <v>1.2230648121362756E-3</v>
      </c>
      <c r="X2" s="14">
        <f>IFERROR(W2*(1+INDEX(CAGR!$C$2:$C$8,MATCH($A2,CAGR!$B$2:$B$8,0))),0)</f>
        <v>1.2212227773784213E-3</v>
      </c>
      <c r="Y2" s="14">
        <f>IFERROR(X2*(1+INDEX(CAGR!$C$2:$C$8,MATCH($A2,CAGR!$B$2:$B$8,0))),0)</f>
        <v>1.2193835168742414E-3</v>
      </c>
      <c r="Z2" s="14">
        <f>IFERROR(Y2*(1+INDEX(CAGR!$C$2:$C$8,MATCH($A2,CAGR!$B$2:$B$8,0))),0)</f>
        <v>1.2175470264454849E-3</v>
      </c>
      <c r="AA2" s="14">
        <f>IFERROR(Z2*(1+INDEX(CAGR!$C$2:$C$8,MATCH($A2,CAGR!$B$2:$B$8,0))),0)</f>
        <v>1.2157133019201939E-3</v>
      </c>
      <c r="AB2" s="14">
        <f>IFERROR(AA2*(1+INDEX(CAGR!$C$2:$C$8,MATCH($A2,CAGR!$B$2:$B$8,0))),0)</f>
        <v>1.2138823391326934E-3</v>
      </c>
      <c r="AC2" s="14">
        <f>IFERROR(AB2*(1+INDEX(CAGR!$C$2:$C$8,MATCH($A2,CAGR!$B$2:$B$8,0))),0)</f>
        <v>1.2120541339235822E-3</v>
      </c>
      <c r="AD2" s="14">
        <f>IFERROR(AC2*(1+INDEX(CAGR!$C$2:$C$8,MATCH($A2,CAGR!$B$2:$B$8,0))),0)</f>
        <v>1.2102286821397241E-3</v>
      </c>
      <c r="AE2" s="14">
        <f>IFERROR(AD2*(1+INDEX(CAGR!$C$2:$C$8,MATCH($A2,CAGR!$B$2:$B$8,0))),0)</f>
        <v>1.2084059796342373E-3</v>
      </c>
      <c r="AF2" s="14">
        <f>IFERROR(AE2*(1+INDEX(CAGR!$C$2:$C$8,MATCH($A2,CAGR!$B$2:$B$8,0))),0)</f>
        <v>1.2065860222664855E-3</v>
      </c>
      <c r="AG2" s="14"/>
    </row>
    <row r="3" spans="1:33">
      <c r="A3" s="1" t="s">
        <v>10</v>
      </c>
      <c r="B3" s="14">
        <f>IFERROR(INDEX('SYFAFE psgr'!$B$2:$H$2,,MATCH($A3,'SYFAFE psgr'!$B$1:$H$1,0))*(1+INDEX(CAGR!$C$2:$C$8,MATCH($A3,CAGR!$B$2:$B$8,0))),0)</f>
        <v>2.9513855523174623E-4</v>
      </c>
      <c r="C3" s="14">
        <f>IFERROR(B3*(1+INDEX(CAGR!$C$2:$C$8,MATCH($A3,CAGR!$B$2:$B$8,0))),0)</f>
        <v>2.958789632618292E-4</v>
      </c>
      <c r="D3" s="14">
        <f>IFERROR(C3*(1+INDEX(CAGR!$C$2:$C$8,MATCH($A3,CAGR!$B$2:$B$8,0))),0)</f>
        <v>2.9662122873832603E-4</v>
      </c>
      <c r="E3" s="14">
        <f>IFERROR(D3*(1+INDEX(CAGR!$C$2:$C$8,MATCH($A3,CAGR!$B$2:$B$8,0))),0)</f>
        <v>2.9736535632097442E-4</v>
      </c>
      <c r="F3" s="14">
        <f>IFERROR(E3*(1+INDEX(CAGR!$C$2:$C$8,MATCH($A3,CAGR!$B$2:$B$8,0))),0)</f>
        <v>2.9811135068120179E-4</v>
      </c>
      <c r="G3" s="14">
        <f>IFERROR(F3*(1+INDEX(CAGR!$C$2:$C$8,MATCH($A3,CAGR!$B$2:$B$8,0))),0)</f>
        <v>2.988592165021547E-4</v>
      </c>
      <c r="H3" s="14">
        <f>IFERROR(G3*(1+INDEX(CAGR!$C$2:$C$8,MATCH($A3,CAGR!$B$2:$B$8,0))),0)</f>
        <v>2.9960895847872822E-4</v>
      </c>
      <c r="I3" s="14">
        <f>IFERROR(H3*(1+INDEX(CAGR!$C$2:$C$8,MATCH($A3,CAGR!$B$2:$B$8,0))),0)</f>
        <v>3.0036058131759541E-4</v>
      </c>
      <c r="J3" s="14">
        <f>IFERROR(I3*(1+INDEX(CAGR!$C$2:$C$8,MATCH($A3,CAGR!$B$2:$B$8,0))),0)</f>
        <v>3.0111408973723685E-4</v>
      </c>
      <c r="K3" s="14">
        <f>IFERROR(J3*(1+INDEX(CAGR!$C$2:$C$8,MATCH($A3,CAGR!$B$2:$B$8,0))),0)</f>
        <v>3.018694884679703E-4</v>
      </c>
      <c r="L3" s="14">
        <f>IFERROR(K3*(1+INDEX(CAGR!$C$2:$C$8,MATCH($A3,CAGR!$B$2:$B$8,0))),0)</f>
        <v>3.0262678225198038E-4</v>
      </c>
      <c r="M3" s="14">
        <f>IFERROR(L3*(1+INDEX(CAGR!$C$2:$C$8,MATCH($A3,CAGR!$B$2:$B$8,0))),0)</f>
        <v>3.0338597584334833E-4</v>
      </c>
      <c r="N3" s="14">
        <f>IFERROR(M3*(1+INDEX(CAGR!$C$2:$C$8,MATCH($A3,CAGR!$B$2:$B$8,0))),0)</f>
        <v>3.0414707400808178E-4</v>
      </c>
      <c r="O3" s="14">
        <f>IFERROR(N3*(1+INDEX(CAGR!$C$2:$C$8,MATCH($A3,CAGR!$B$2:$B$8,0))),0)</f>
        <v>3.0491008152414489E-4</v>
      </c>
      <c r="P3" s="14">
        <f>IFERROR(O3*(1+INDEX(CAGR!$C$2:$C$8,MATCH($A3,CAGR!$B$2:$B$8,0))),0)</f>
        <v>3.0567500318148805E-4</v>
      </c>
      <c r="Q3" s="14">
        <f>IFERROR(P3*(1+INDEX(CAGR!$C$2:$C$8,MATCH($A3,CAGR!$B$2:$B$8,0))),0)</f>
        <v>3.0644184378207813E-4</v>
      </c>
      <c r="R3" s="14">
        <f>IFERROR(Q3*(1+INDEX(CAGR!$C$2:$C$8,MATCH($A3,CAGR!$B$2:$B$8,0))),0)</f>
        <v>3.072106081399287E-4</v>
      </c>
      <c r="S3" s="14">
        <f>IFERROR(R3*(1+INDEX(CAGR!$C$2:$C$8,MATCH($A3,CAGR!$B$2:$B$8,0))),0)</f>
        <v>3.0798130108113006E-4</v>
      </c>
      <c r="T3" s="14">
        <f>IFERROR(S3*(1+INDEX(CAGR!$C$2:$C$8,MATCH($A3,CAGR!$B$2:$B$8,0))),0)</f>
        <v>3.0875392744387961E-4</v>
      </c>
      <c r="U3" s="14">
        <f>IFERROR(T3*(1+INDEX(CAGR!$C$2:$C$8,MATCH($A3,CAGR!$B$2:$B$8,0))),0)</f>
        <v>3.0952849207851232E-4</v>
      </c>
      <c r="V3" s="14">
        <f>IFERROR(U3*(1+INDEX(CAGR!$C$2:$C$8,MATCH($A3,CAGR!$B$2:$B$8,0))),0)</f>
        <v>3.1030499984753101E-4</v>
      </c>
      <c r="W3" s="14">
        <f>IFERROR(V3*(1+INDEX(CAGR!$C$2:$C$8,MATCH($A3,CAGR!$B$2:$B$8,0))),0)</f>
        <v>3.1108345562563702E-4</v>
      </c>
      <c r="X3" s="14">
        <f>IFERROR(W3*(1+INDEX(CAGR!$C$2:$C$8,MATCH($A3,CAGR!$B$2:$B$8,0))),0)</f>
        <v>3.1186386429976067E-4</v>
      </c>
      <c r="Y3" s="14">
        <f>IFERROR(X3*(1+INDEX(CAGR!$C$2:$C$8,MATCH($A3,CAGR!$B$2:$B$8,0))),0)</f>
        <v>3.1264623076909212E-4</v>
      </c>
      <c r="Z3" s="14">
        <f>IFERROR(Y3*(1+INDEX(CAGR!$C$2:$C$8,MATCH($A3,CAGR!$B$2:$B$8,0))),0)</f>
        <v>3.1343055994511199E-4</v>
      </c>
      <c r="AA3" s="14">
        <f>IFERROR(Z3*(1+INDEX(CAGR!$C$2:$C$8,MATCH($A3,CAGR!$B$2:$B$8,0))),0)</f>
        <v>3.142168567516222E-4</v>
      </c>
      <c r="AB3" s="14">
        <f>IFERROR(AA3*(1+INDEX(CAGR!$C$2:$C$8,MATCH($A3,CAGR!$B$2:$B$8,0))),0)</f>
        <v>3.1500512612477695E-4</v>
      </c>
      <c r="AC3" s="14">
        <f>IFERROR(AB3*(1+INDEX(CAGR!$C$2:$C$8,MATCH($A3,CAGR!$B$2:$B$8,0))),0)</f>
        <v>3.1579537301311368E-4</v>
      </c>
      <c r="AD3" s="14">
        <f>IFERROR(AC3*(1+INDEX(CAGR!$C$2:$C$8,MATCH($A3,CAGR!$B$2:$B$8,0))),0)</f>
        <v>3.1658760237758408E-4</v>
      </c>
      <c r="AE3" s="14">
        <f>IFERROR(AD3*(1+INDEX(CAGR!$C$2:$C$8,MATCH($A3,CAGR!$B$2:$B$8,0))),0)</f>
        <v>3.1738181919158527E-4</v>
      </c>
      <c r="AF3" s="14">
        <f>IFERROR(AE3*(1+INDEX(CAGR!$C$2:$C$8,MATCH($A3,CAGR!$B$2:$B$8,0))),0)</f>
        <v>3.1817802844099111E-4</v>
      </c>
      <c r="AG3" s="14"/>
    </row>
    <row r="4" spans="1:33">
      <c r="A4" s="1" t="s">
        <v>11</v>
      </c>
      <c r="B4" s="14">
        <f>IFERROR(INDEX('SYFAFE psgr'!$B$2:$H$2,,MATCH($A4,'SYFAFE psgr'!$B$1:$H$1,0))*(1+INDEX(CAGR!$C$2:$C$8,MATCH($A4,CAGR!$B$2:$B$8,0))),0)</f>
        <v>3.8191515243028571E-4</v>
      </c>
      <c r="C4" s="14">
        <f>IFERROR(B4*(1+INDEX(CAGR!$C$2:$C$8,MATCH($A4,CAGR!$B$2:$B$8,0))),0)</f>
        <v>3.8303357052481187E-4</v>
      </c>
      <c r="D4" s="14">
        <f>IFERROR(C4*(1+INDEX(CAGR!$C$2:$C$8,MATCH($A4,CAGR!$B$2:$B$8,0))),0)</f>
        <v>3.8415526384690153E-4</v>
      </c>
      <c r="E4" s="14">
        <f>IFERROR(D4*(1+INDEX(CAGR!$C$2:$C$8,MATCH($A4,CAGR!$B$2:$B$8,0))),0)</f>
        <v>3.8528024198788345E-4</v>
      </c>
      <c r="F4" s="14">
        <f>IFERROR(E4*(1+INDEX(CAGR!$C$2:$C$8,MATCH($A4,CAGR!$B$2:$B$8,0))),0)</f>
        <v>3.86408514567174E-4</v>
      </c>
      <c r="G4" s="14">
        <f>IFERROR(F4*(1+INDEX(CAGR!$C$2:$C$8,MATCH($A4,CAGR!$B$2:$B$8,0))),0)</f>
        <v>3.8754009123235958E-4</v>
      </c>
      <c r="H4" s="14">
        <f>IFERROR(G4*(1+INDEX(CAGR!$C$2:$C$8,MATCH($A4,CAGR!$B$2:$B$8,0))),0)</f>
        <v>3.8867498165927897E-4</v>
      </c>
      <c r="I4" s="14">
        <f>IFERROR(H4*(1+INDEX(CAGR!$C$2:$C$8,MATCH($A4,CAGR!$B$2:$B$8,0))),0)</f>
        <v>3.8981319555210617E-4</v>
      </c>
      <c r="J4" s="14">
        <f>IFERROR(I4*(1+INDEX(CAGR!$C$2:$C$8,MATCH($A4,CAGR!$B$2:$B$8,0))),0)</f>
        <v>3.9095474264343329E-4</v>
      </c>
      <c r="K4" s="14">
        <f>IFERROR(J4*(1+INDEX(CAGR!$C$2:$C$8,MATCH($A4,CAGR!$B$2:$B$8,0))),0)</f>
        <v>3.9209963269435386E-4</v>
      </c>
      <c r="L4" s="14">
        <f>IFERROR(K4*(1+INDEX(CAGR!$C$2:$C$8,MATCH($A4,CAGR!$B$2:$B$8,0))),0)</f>
        <v>3.9324787549454616E-4</v>
      </c>
      <c r="M4" s="14">
        <f>IFERROR(L4*(1+INDEX(CAGR!$C$2:$C$8,MATCH($A4,CAGR!$B$2:$B$8,0))),0)</f>
        <v>3.9439948086235718E-4</v>
      </c>
      <c r="N4" s="14">
        <f>IFERROR(M4*(1+INDEX(CAGR!$C$2:$C$8,MATCH($A4,CAGR!$B$2:$B$8,0))),0)</f>
        <v>3.9555445864488629E-4</v>
      </c>
      <c r="O4" s="14">
        <f>IFERROR(N4*(1+INDEX(CAGR!$C$2:$C$8,MATCH($A4,CAGR!$B$2:$B$8,0))),0)</f>
        <v>3.9671281871806954E-4</v>
      </c>
      <c r="P4" s="14">
        <f>IFERROR(O4*(1+INDEX(CAGR!$C$2:$C$8,MATCH($A4,CAGR!$B$2:$B$8,0))),0)</f>
        <v>3.9787457098676426E-4</v>
      </c>
      <c r="Q4" s="14">
        <f>IFERROR(P4*(1+INDEX(CAGR!$C$2:$C$8,MATCH($A4,CAGR!$B$2:$B$8,0))),0)</f>
        <v>3.9903972538483354E-4</v>
      </c>
      <c r="R4" s="14">
        <f>IFERROR(Q4*(1+INDEX(CAGR!$C$2:$C$8,MATCH($A4,CAGR!$B$2:$B$8,0))),0)</f>
        <v>4.0020829187523122E-4</v>
      </c>
      <c r="S4" s="14">
        <f>IFERROR(R4*(1+INDEX(CAGR!$C$2:$C$8,MATCH($A4,CAGR!$B$2:$B$8,0))),0)</f>
        <v>4.0138028045008721E-4</v>
      </c>
      <c r="T4" s="14">
        <f>IFERROR(S4*(1+INDEX(CAGR!$C$2:$C$8,MATCH($A4,CAGR!$B$2:$B$8,0))),0)</f>
        <v>4.0255570113079277E-4</v>
      </c>
      <c r="U4" s="14">
        <f>IFERROR(T4*(1+INDEX(CAGR!$C$2:$C$8,MATCH($A4,CAGR!$B$2:$B$8,0))),0)</f>
        <v>4.0373456396808626E-4</v>
      </c>
      <c r="V4" s="14">
        <f>IFERROR(U4*(1+INDEX(CAGR!$C$2:$C$8,MATCH($A4,CAGR!$B$2:$B$8,0))),0)</f>
        <v>4.0491687904213917E-4</v>
      </c>
      <c r="W4" s="14">
        <f>IFERROR(V4*(1+INDEX(CAGR!$C$2:$C$8,MATCH($A4,CAGR!$B$2:$B$8,0))),0)</f>
        <v>4.0610265646264215E-4</v>
      </c>
      <c r="X4" s="14">
        <f>IFERROR(W4*(1+INDEX(CAGR!$C$2:$C$8,MATCH($A4,CAGR!$B$2:$B$8,0))),0)</f>
        <v>4.0729190636889162E-4</v>
      </c>
      <c r="Y4" s="14">
        <f>IFERROR(X4*(1+INDEX(CAGR!$C$2:$C$8,MATCH($A4,CAGR!$B$2:$B$8,0))),0)</f>
        <v>4.0848463892987627E-4</v>
      </c>
      <c r="Z4" s="14">
        <f>IFERROR(Y4*(1+INDEX(CAGR!$C$2:$C$8,MATCH($A4,CAGR!$B$2:$B$8,0))),0)</f>
        <v>4.0968086434436425E-4</v>
      </c>
      <c r="AA4" s="14">
        <f>IFERROR(Z4*(1+INDEX(CAGR!$C$2:$C$8,MATCH($A4,CAGR!$B$2:$B$8,0))),0)</f>
        <v>4.1088059284099019E-4</v>
      </c>
      <c r="AB4" s="14">
        <f>IFERROR(AA4*(1+INDEX(CAGR!$C$2:$C$8,MATCH($A4,CAGR!$B$2:$B$8,0))),0)</f>
        <v>4.1208383467834276E-4</v>
      </c>
      <c r="AC4" s="14">
        <f>IFERROR(AB4*(1+INDEX(CAGR!$C$2:$C$8,MATCH($A4,CAGR!$B$2:$B$8,0))),0)</f>
        <v>4.1329060014505233E-4</v>
      </c>
      <c r="AD4" s="14">
        <f>IFERROR(AC4*(1+INDEX(CAGR!$C$2:$C$8,MATCH($A4,CAGR!$B$2:$B$8,0))),0)</f>
        <v>4.14500899559879E-4</v>
      </c>
      <c r="AE4" s="14">
        <f>IFERROR(AD4*(1+INDEX(CAGR!$C$2:$C$8,MATCH($A4,CAGR!$B$2:$B$8,0))),0)</f>
        <v>4.1571474327180074E-4</v>
      </c>
      <c r="AF4" s="14">
        <f>IFERROR(AE4*(1+INDEX(CAGR!$C$2:$C$8,MATCH($A4,CAGR!$B$2:$B$8,0))),0)</f>
        <v>4.1693214166010206E-4</v>
      </c>
      <c r="AG4" s="14"/>
    </row>
    <row r="5" spans="1:33">
      <c r="A5" s="1" t="s">
        <v>12</v>
      </c>
      <c r="B5" s="14">
        <f>IFERROR(INDEX('SYFAFE psgr'!$B$2:$H$2,,MATCH($A5,'SYFAFE psgr'!$B$1:$H$1,0))*(1+INDEX(CAGR!$C$2:$C$8,MATCH($A5,CAGR!$B$2:$B$8,0))),0)</f>
        <v>3.5361203080343858E-4</v>
      </c>
      <c r="C5" s="14">
        <f>IFERROR(B5*(1+INDEX(CAGR!$C$2:$C$8,MATCH($A5,CAGR!$B$2:$B$8,0))),0)</f>
        <v>3.5392433718916497E-4</v>
      </c>
      <c r="D5" s="14">
        <f>IFERROR(C5*(1+INDEX(CAGR!$C$2:$C$8,MATCH($A5,CAGR!$B$2:$B$8,0))),0)</f>
        <v>3.5423691940057056E-4</v>
      </c>
      <c r="E5" s="14">
        <f>IFERROR(D5*(1+INDEX(CAGR!$C$2:$C$8,MATCH($A5,CAGR!$B$2:$B$8,0))),0)</f>
        <v>3.5454977768126163E-4</v>
      </c>
      <c r="F5" s="14">
        <f>IFERROR(E5*(1+INDEX(CAGR!$C$2:$C$8,MATCH($A5,CAGR!$B$2:$B$8,0))),0)</f>
        <v>3.5486291227505964E-4</v>
      </c>
      <c r="G5" s="14">
        <f>IFERROR(F5*(1+INDEX(CAGR!$C$2:$C$8,MATCH($A5,CAGR!$B$2:$B$8,0))),0)</f>
        <v>3.5517632342600144E-4</v>
      </c>
      <c r="H5" s="14">
        <f>IFERROR(G5*(1+INDEX(CAGR!$C$2:$C$8,MATCH($A5,CAGR!$B$2:$B$8,0))),0)</f>
        <v>3.5549001137833927E-4</v>
      </c>
      <c r="I5" s="14">
        <f>IFERROR(H5*(1+INDEX(CAGR!$C$2:$C$8,MATCH($A5,CAGR!$B$2:$B$8,0))),0)</f>
        <v>3.5580397637654127E-4</v>
      </c>
      <c r="J5" s="14">
        <f>IFERROR(I5*(1+INDEX(CAGR!$C$2:$C$8,MATCH($A5,CAGR!$B$2:$B$8,0))),0)</f>
        <v>3.5611821866529133E-4</v>
      </c>
      <c r="K5" s="14">
        <f>IFERROR(J5*(1+INDEX(CAGR!$C$2:$C$8,MATCH($A5,CAGR!$B$2:$B$8,0))),0)</f>
        <v>3.5643273848948956E-4</v>
      </c>
      <c r="L5" s="14">
        <f>IFERROR(K5*(1+INDEX(CAGR!$C$2:$C$8,MATCH($A5,CAGR!$B$2:$B$8,0))),0)</f>
        <v>3.567475360942523E-4</v>
      </c>
      <c r="M5" s="14">
        <f>IFERROR(L5*(1+INDEX(CAGR!$C$2:$C$8,MATCH($A5,CAGR!$B$2:$B$8,0))),0)</f>
        <v>3.5706261172491237E-4</v>
      </c>
      <c r="N5" s="14">
        <f>IFERROR(M5*(1+INDEX(CAGR!$C$2:$C$8,MATCH($A5,CAGR!$B$2:$B$8,0))),0)</f>
        <v>3.5737796562701935E-4</v>
      </c>
      <c r="O5" s="14">
        <f>IFERROR(N5*(1+INDEX(CAGR!$C$2:$C$8,MATCH($A5,CAGR!$B$2:$B$8,0))),0)</f>
        <v>3.5769359804633957E-4</v>
      </c>
      <c r="P5" s="14">
        <f>IFERROR(O5*(1+INDEX(CAGR!$C$2:$C$8,MATCH($A5,CAGR!$B$2:$B$8,0))),0)</f>
        <v>3.5800950922885646E-4</v>
      </c>
      <c r="Q5" s="14">
        <f>IFERROR(P5*(1+INDEX(CAGR!$C$2:$C$8,MATCH($A5,CAGR!$B$2:$B$8,0))),0)</f>
        <v>3.5832569942077075E-4</v>
      </c>
      <c r="R5" s="14">
        <f>IFERROR(Q5*(1+INDEX(CAGR!$C$2:$C$8,MATCH($A5,CAGR!$B$2:$B$8,0))),0)</f>
        <v>3.5864216886850056E-4</v>
      </c>
      <c r="S5" s="14">
        <f>IFERROR(R5*(1+INDEX(CAGR!$C$2:$C$8,MATCH($A5,CAGR!$B$2:$B$8,0))),0)</f>
        <v>3.5895891781868167E-4</v>
      </c>
      <c r="T5" s="14">
        <f>IFERROR(S5*(1+INDEX(CAGR!$C$2:$C$8,MATCH($A5,CAGR!$B$2:$B$8,0))),0)</f>
        <v>3.5927594651816765E-4</v>
      </c>
      <c r="U5" s="14">
        <f>IFERROR(T5*(1+INDEX(CAGR!$C$2:$C$8,MATCH($A5,CAGR!$B$2:$B$8,0))),0)</f>
        <v>3.595932552140301E-4</v>
      </c>
      <c r="V5" s="14">
        <f>IFERROR(U5*(1+INDEX(CAGR!$C$2:$C$8,MATCH($A5,CAGR!$B$2:$B$8,0))),0)</f>
        <v>3.5991084415355886E-4</v>
      </c>
      <c r="W5" s="14">
        <f>IFERROR(V5*(1+INDEX(CAGR!$C$2:$C$8,MATCH($A5,CAGR!$B$2:$B$8,0))),0)</f>
        <v>3.6022871358426219E-4</v>
      </c>
      <c r="X5" s="14">
        <f>IFERROR(W5*(1+INDEX(CAGR!$C$2:$C$8,MATCH($A5,CAGR!$B$2:$B$8,0))),0)</f>
        <v>3.6054686375386688E-4</v>
      </c>
      <c r="Y5" s="14">
        <f>IFERROR(X5*(1+INDEX(CAGR!$C$2:$C$8,MATCH($A5,CAGR!$B$2:$B$8,0))),0)</f>
        <v>3.6086529491031853E-4</v>
      </c>
      <c r="Z5" s="14">
        <f>IFERROR(Y5*(1+INDEX(CAGR!$C$2:$C$8,MATCH($A5,CAGR!$B$2:$B$8,0))),0)</f>
        <v>3.6118400730178175E-4</v>
      </c>
      <c r="AA5" s="14">
        <f>IFERROR(Z5*(1+INDEX(CAGR!$C$2:$C$8,MATCH($A5,CAGR!$B$2:$B$8,0))),0)</f>
        <v>3.6150300117664033E-4</v>
      </c>
      <c r="AB5" s="14">
        <f>IFERROR(AA5*(1+INDEX(CAGR!$C$2:$C$8,MATCH($A5,CAGR!$B$2:$B$8,0))),0)</f>
        <v>3.6182227678349736E-4</v>
      </c>
      <c r="AC5" s="14">
        <f>IFERROR(AB5*(1+INDEX(CAGR!$C$2:$C$8,MATCH($A5,CAGR!$B$2:$B$8,0))),0)</f>
        <v>3.6214183437117557E-4</v>
      </c>
      <c r="AD5" s="14">
        <f>IFERROR(AC5*(1+INDEX(CAGR!$C$2:$C$8,MATCH($A5,CAGR!$B$2:$B$8,0))),0)</f>
        <v>3.6246167418871745E-4</v>
      </c>
      <c r="AE5" s="14">
        <f>IFERROR(AD5*(1+INDEX(CAGR!$C$2:$C$8,MATCH($A5,CAGR!$B$2:$B$8,0))),0)</f>
        <v>3.6278179648538541E-4</v>
      </c>
      <c r="AF5" s="14">
        <f>IFERROR(AE5*(1+INDEX(CAGR!$C$2:$C$8,MATCH($A5,CAGR!$B$2:$B$8,0))),0)</f>
        <v>3.6310220151066196E-4</v>
      </c>
      <c r="AG5" s="14"/>
    </row>
    <row r="6" spans="1:33">
      <c r="A6" s="1" t="s">
        <v>13</v>
      </c>
      <c r="B6" s="14">
        <f>IFERROR(INDEX('SYFAFE psgr'!$B$2:$H$2,,MATCH($A6,'SYFAFE psgr'!$B$1:$H$1,0))*(1+INDEX(CAGR!$C$2:$C$8,MATCH($A6,CAGR!$B$2:$B$8,0))),0)</f>
        <v>4.3612042330321493E-4</v>
      </c>
      <c r="C6" s="14">
        <f>IFERROR(B6*(1+INDEX(CAGR!$C$2:$C$8,MATCH($A6,CAGR!$B$2:$B$8,0))),0)</f>
        <v>4.3754548797371836E-4</v>
      </c>
      <c r="D6" s="14">
        <f>IFERROR(C6*(1+INDEX(CAGR!$C$2:$C$8,MATCH($A6,CAGR!$B$2:$B$8,0))),0)</f>
        <v>4.3897520917761623E-4</v>
      </c>
      <c r="E6" s="14">
        <f>IFERROR(D6*(1+INDEX(CAGR!$C$2:$C$8,MATCH($A6,CAGR!$B$2:$B$8,0))),0)</f>
        <v>4.4040960213057121E-4</v>
      </c>
      <c r="F6" s="14">
        <f>IFERROR(E6*(1+INDEX(CAGR!$C$2:$C$8,MATCH($A6,CAGR!$B$2:$B$8,0))),0)</f>
        <v>4.4184868209796454E-4</v>
      </c>
      <c r="G6" s="14">
        <f>IFERROR(F6*(1+INDEX(CAGR!$C$2:$C$8,MATCH($A6,CAGR!$B$2:$B$8,0))),0)</f>
        <v>4.4329246439505851E-4</v>
      </c>
      <c r="H6" s="14">
        <f>IFERROR(G6*(1+INDEX(CAGR!$C$2:$C$8,MATCH($A6,CAGR!$B$2:$B$8,0))),0)</f>
        <v>4.4474096438715954E-4</v>
      </c>
      <c r="I6" s="14">
        <f>IFERROR(H6*(1+INDEX(CAGR!$C$2:$C$8,MATCH($A6,CAGR!$B$2:$B$8,0))),0)</f>
        <v>4.4619419748978154E-4</v>
      </c>
      <c r="J6" s="14">
        <f>IFERROR(I6*(1+INDEX(CAGR!$C$2:$C$8,MATCH($A6,CAGR!$B$2:$B$8,0))),0)</f>
        <v>4.476521791688102E-4</v>
      </c>
      <c r="K6" s="14">
        <f>IFERROR(J6*(1+INDEX(CAGR!$C$2:$C$8,MATCH($A6,CAGR!$B$2:$B$8,0))),0)</f>
        <v>4.4911492494066738E-4</v>
      </c>
      <c r="L6" s="14">
        <f>IFERROR(K6*(1+INDEX(CAGR!$C$2:$C$8,MATCH($A6,CAGR!$B$2:$B$8,0))),0)</f>
        <v>4.5058245037247628E-4</v>
      </c>
      <c r="M6" s="14">
        <f>IFERROR(L6*(1+INDEX(CAGR!$C$2:$C$8,MATCH($A6,CAGR!$B$2:$B$8,0))),0)</f>
        <v>4.5205477108222722E-4</v>
      </c>
      <c r="N6" s="14">
        <f>IFERROR(M6*(1+INDEX(CAGR!$C$2:$C$8,MATCH($A6,CAGR!$B$2:$B$8,0))),0)</f>
        <v>4.5353190273894378E-4</v>
      </c>
      <c r="O6" s="14">
        <f>IFERROR(N6*(1+INDEX(CAGR!$C$2:$C$8,MATCH($A6,CAGR!$B$2:$B$8,0))),0)</f>
        <v>4.5501386106284948E-4</v>
      </c>
      <c r="P6" s="14">
        <f>IFERROR(O6*(1+INDEX(CAGR!$C$2:$C$8,MATCH($A6,CAGR!$B$2:$B$8,0))),0)</f>
        <v>4.5650066182553517E-4</v>
      </c>
      <c r="Q6" s="14">
        <f>IFERROR(P6*(1+INDEX(CAGR!$C$2:$C$8,MATCH($A6,CAGR!$B$2:$B$8,0))),0)</f>
        <v>4.5799232085012691E-4</v>
      </c>
      <c r="R6" s="14">
        <f>IFERROR(Q6*(1+INDEX(CAGR!$C$2:$C$8,MATCH($A6,CAGR!$B$2:$B$8,0))),0)</f>
        <v>4.5948885401145425E-4</v>
      </c>
      <c r="S6" s="14">
        <f>IFERROR(R6*(1+INDEX(CAGR!$C$2:$C$8,MATCH($A6,CAGR!$B$2:$B$8,0))),0)</f>
        <v>4.6099027723621932E-4</v>
      </c>
      <c r="T6" s="14">
        <f>IFERROR(S6*(1+INDEX(CAGR!$C$2:$C$8,MATCH($A6,CAGR!$B$2:$B$8,0))),0)</f>
        <v>4.6249660650316628E-4</v>
      </c>
      <c r="U6" s="14">
        <f>IFERROR(T6*(1+INDEX(CAGR!$C$2:$C$8,MATCH($A6,CAGR!$B$2:$B$8,0))),0)</f>
        <v>4.6400785784325119E-4</v>
      </c>
      <c r="V6" s="14">
        <f>IFERROR(U6*(1+INDEX(CAGR!$C$2:$C$8,MATCH($A6,CAGR!$B$2:$B$8,0))),0)</f>
        <v>4.6552404733981293E-4</v>
      </c>
      <c r="W6" s="14">
        <f>IFERROR(V6*(1+INDEX(CAGR!$C$2:$C$8,MATCH($A6,CAGR!$B$2:$B$8,0))),0)</f>
        <v>4.6704519112874415E-4</v>
      </c>
      <c r="X6" s="14">
        <f>IFERROR(W6*(1+INDEX(CAGR!$C$2:$C$8,MATCH($A6,CAGR!$B$2:$B$8,0))),0)</f>
        <v>4.6857130539866305E-4</v>
      </c>
      <c r="Y6" s="14">
        <f>IFERROR(X6*(1+INDEX(CAGR!$C$2:$C$8,MATCH($A6,CAGR!$B$2:$B$8,0))),0)</f>
        <v>4.7010240639108563E-4</v>
      </c>
      <c r="Z6" s="14">
        <f>IFERROR(Y6*(1+INDEX(CAGR!$C$2:$C$8,MATCH($A6,CAGR!$B$2:$B$8,0))),0)</f>
        <v>4.7163851040059866E-4</v>
      </c>
      <c r="AA6" s="14">
        <f>IFERROR(Z6*(1+INDEX(CAGR!$C$2:$C$8,MATCH($A6,CAGR!$B$2:$B$8,0))),0)</f>
        <v>4.7317963377503295E-4</v>
      </c>
      <c r="AB6" s="14">
        <f>IFERROR(AA6*(1+INDEX(CAGR!$C$2:$C$8,MATCH($A6,CAGR!$B$2:$B$8,0))),0)</f>
        <v>4.747257929156374E-4</v>
      </c>
      <c r="AC6" s="14">
        <f>IFERROR(AB6*(1+INDEX(CAGR!$C$2:$C$8,MATCH($A6,CAGR!$B$2:$B$8,0))),0)</f>
        <v>4.7627700427725357E-4</v>
      </c>
      <c r="AD6" s="14">
        <f>IFERROR(AC6*(1+INDEX(CAGR!$C$2:$C$8,MATCH($A6,CAGR!$B$2:$B$8,0))),0)</f>
        <v>4.7783328436849077E-4</v>
      </c>
      <c r="AE6" s="14">
        <f>IFERROR(AD6*(1+INDEX(CAGR!$C$2:$C$8,MATCH($A6,CAGR!$B$2:$B$8,0))),0)</f>
        <v>4.7939464975190171E-4</v>
      </c>
      <c r="AF6" s="14">
        <f>IFERROR(AE6*(1+INDEX(CAGR!$C$2:$C$8,MATCH($A6,CAGR!$B$2:$B$8,0))),0)</f>
        <v>4.8096111704415878E-4</v>
      </c>
      <c r="AG6" s="14"/>
    </row>
    <row r="7" spans="1:33">
      <c r="A7" s="1" t="s">
        <v>14</v>
      </c>
      <c r="B7" s="14">
        <f>IFERROR(INDEX('SYFAFE psgr'!$B$2:$H$2,,MATCH($A7,'SYFAFE psgr'!$B$1:$H$1,0))*(1+INDEX(CAGR!$C$2:$C$8,MATCH($A7,CAGR!$B$2:$B$8,0))),0)</f>
        <v>3.728891997845125E-4</v>
      </c>
      <c r="C7" s="14">
        <f>IFERROR(B7*(1+INDEX(CAGR!$C$2:$C$8,MATCH($A7,CAGR!$B$2:$B$8,0))),0)</f>
        <v>3.7368007341019642E-4</v>
      </c>
      <c r="D7" s="14">
        <f>IFERROR(C7*(1+INDEX(CAGR!$C$2:$C$8,MATCH($A7,CAGR!$B$2:$B$8,0))),0)</f>
        <v>3.7447262442715944E-4</v>
      </c>
      <c r="E7" s="14">
        <f>IFERROR(D7*(1+INDEX(CAGR!$C$2:$C$8,MATCH($A7,CAGR!$B$2:$B$8,0))),0)</f>
        <v>3.7526685639303892E-4</v>
      </c>
      <c r="F7" s="14">
        <f>IFERROR(E7*(1+INDEX(CAGR!$C$2:$C$8,MATCH($A7,CAGR!$B$2:$B$8,0))),0)</f>
        <v>3.7606277287301762E-4</v>
      </c>
      <c r="G7" s="14">
        <f>IFERROR(F7*(1+INDEX(CAGR!$C$2:$C$8,MATCH($A7,CAGR!$B$2:$B$8,0))),0)</f>
        <v>3.7686037743983987E-4</v>
      </c>
      <c r="H7" s="14">
        <f>IFERROR(G7*(1+INDEX(CAGR!$C$2:$C$8,MATCH($A7,CAGR!$B$2:$B$8,0))),0)</f>
        <v>3.7765967367382758E-4</v>
      </c>
      <c r="I7" s="14">
        <f>IFERROR(H7*(1+INDEX(CAGR!$C$2:$C$8,MATCH($A7,CAGR!$B$2:$B$8,0))),0)</f>
        <v>3.7846066516289623E-4</v>
      </c>
      <c r="J7" s="14">
        <f>IFERROR(I7*(1+INDEX(CAGR!$C$2:$C$8,MATCH($A7,CAGR!$B$2:$B$8,0))),0)</f>
        <v>3.7926335550257108E-4</v>
      </c>
      <c r="K7" s="14">
        <f>IFERROR(J7*(1+INDEX(CAGR!$C$2:$C$8,MATCH($A7,CAGR!$B$2:$B$8,0))),0)</f>
        <v>3.8006774829600328E-4</v>
      </c>
      <c r="L7" s="14">
        <f>IFERROR(K7*(1+INDEX(CAGR!$C$2:$C$8,MATCH($A7,CAGR!$B$2:$B$8,0))),0)</f>
        <v>3.8087384715398596E-4</v>
      </c>
      <c r="M7" s="14">
        <f>IFERROR(L7*(1+INDEX(CAGR!$C$2:$C$8,MATCH($A7,CAGR!$B$2:$B$8,0))),0)</f>
        <v>3.8168165569497058E-4</v>
      </c>
      <c r="N7" s="14">
        <f>IFERROR(M7*(1+INDEX(CAGR!$C$2:$C$8,MATCH($A7,CAGR!$B$2:$B$8,0))),0)</f>
        <v>3.8249117754508301E-4</v>
      </c>
      <c r="O7" s="14">
        <f>IFERROR(N7*(1+INDEX(CAGR!$C$2:$C$8,MATCH($A7,CAGR!$B$2:$B$8,0))),0)</f>
        <v>3.8330241633814004E-4</v>
      </c>
      <c r="P7" s="14">
        <f>IFERROR(O7*(1+INDEX(CAGR!$C$2:$C$8,MATCH($A7,CAGR!$B$2:$B$8,0))),0)</f>
        <v>3.8411537571566537E-4</v>
      </c>
      <c r="Q7" s="14">
        <f>IFERROR(P7*(1+INDEX(CAGR!$C$2:$C$8,MATCH($A7,CAGR!$B$2:$B$8,0))),0)</f>
        <v>3.8493005932690631E-4</v>
      </c>
      <c r="R7" s="14">
        <f>IFERROR(Q7*(1+INDEX(CAGR!$C$2:$C$8,MATCH($A7,CAGR!$B$2:$B$8,0))),0)</f>
        <v>3.8574647082884983E-4</v>
      </c>
      <c r="S7" s="14">
        <f>IFERROR(R7*(1+INDEX(CAGR!$C$2:$C$8,MATCH($A7,CAGR!$B$2:$B$8,0))),0)</f>
        <v>3.865646138862392E-4</v>
      </c>
      <c r="T7" s="14">
        <f>IFERROR(S7*(1+INDEX(CAGR!$C$2:$C$8,MATCH($A7,CAGR!$B$2:$B$8,0))),0)</f>
        <v>3.8738449217159038E-4</v>
      </c>
      <c r="U7" s="14">
        <f>IFERROR(T7*(1+INDEX(CAGR!$C$2:$C$8,MATCH($A7,CAGR!$B$2:$B$8,0))),0)</f>
        <v>3.882061093652085E-4</v>
      </c>
      <c r="V7" s="14">
        <f>IFERROR(U7*(1+INDEX(CAGR!$C$2:$C$8,MATCH($A7,CAGR!$B$2:$B$8,0))),0)</f>
        <v>3.8902946915520437E-4</v>
      </c>
      <c r="W7" s="14">
        <f>IFERROR(V7*(1+INDEX(CAGR!$C$2:$C$8,MATCH($A7,CAGR!$B$2:$B$8,0))),0)</f>
        <v>3.8985457523751102E-4</v>
      </c>
      <c r="X7" s="14">
        <f>IFERROR(W7*(1+INDEX(CAGR!$C$2:$C$8,MATCH($A7,CAGR!$B$2:$B$8,0))),0)</f>
        <v>3.9068143131590035E-4</v>
      </c>
      <c r="Y7" s="14">
        <f>IFERROR(X7*(1+INDEX(CAGR!$C$2:$C$8,MATCH($A7,CAGR!$B$2:$B$8,0))),0)</f>
        <v>3.9151004110199965E-4</v>
      </c>
      <c r="Z7" s="14">
        <f>IFERROR(Y7*(1+INDEX(CAGR!$C$2:$C$8,MATCH($A7,CAGR!$B$2:$B$8,0))),0)</f>
        <v>3.923404083153084E-4</v>
      </c>
      <c r="AA7" s="14">
        <f>IFERROR(Z7*(1+INDEX(CAGR!$C$2:$C$8,MATCH($A7,CAGR!$B$2:$B$8,0))),0)</f>
        <v>3.9317253668321486E-4</v>
      </c>
      <c r="AB7" s="14">
        <f>IFERROR(AA7*(1+INDEX(CAGR!$C$2:$C$8,MATCH($A7,CAGR!$B$2:$B$8,0))),0)</f>
        <v>3.9400642994101283E-4</v>
      </c>
      <c r="AC7" s="14">
        <f>IFERROR(AB7*(1+INDEX(CAGR!$C$2:$C$8,MATCH($A7,CAGR!$B$2:$B$8,0))),0)</f>
        <v>3.9484209183191849E-4</v>
      </c>
      <c r="AD7" s="14">
        <f>IFERROR(AC7*(1+INDEX(CAGR!$C$2:$C$8,MATCH($A7,CAGR!$B$2:$B$8,0))),0)</f>
        <v>3.9567952610708706E-4</v>
      </c>
      <c r="AE7" s="14">
        <f>IFERROR(AD7*(1+INDEX(CAGR!$C$2:$C$8,MATCH($A7,CAGR!$B$2:$B$8,0))),0)</f>
        <v>3.9651873652562971E-4</v>
      </c>
      <c r="AF7" s="14">
        <f>IFERROR(AE7*(1+INDEX(CAGR!$C$2:$C$8,MATCH($A7,CAGR!$B$2:$B$8,0))),0)</f>
        <v>3.9735972685463054E-4</v>
      </c>
      <c r="AG7" s="14"/>
    </row>
    <row r="8" spans="1:33">
      <c r="A8" s="1" t="s">
        <v>15</v>
      </c>
      <c r="B8" s="14">
        <f>IFERROR(INDEX('SYFAFE psgr'!$B$2:$H$2,,MATCH($A8,'SYFAFE psgr'!$B$1:$H$1,0))*(1+INDEX(CAGR!$C$2:$C$8,MATCH($A8,CAGR!$B$2:$B$8,0))),0)</f>
        <v>1.9081742078368943E-3</v>
      </c>
      <c r="C8" s="14">
        <f>IFERROR(B8*(1+INDEX(CAGR!$C$2:$C$8,MATCH($A8,CAGR!$B$2:$B$8,0))),0)</f>
        <v>1.9069492026049855E-3</v>
      </c>
      <c r="D8" s="14">
        <f>IFERROR(C8*(1+INDEX(CAGR!$C$2:$C$8,MATCH($A8,CAGR!$B$2:$B$8,0))),0)</f>
        <v>1.9057249837990812E-3</v>
      </c>
      <c r="E8" s="14">
        <f>IFERROR(D8*(1+INDEX(CAGR!$C$2:$C$8,MATCH($A8,CAGR!$B$2:$B$8,0))),0)</f>
        <v>1.9045015509143136E-3</v>
      </c>
      <c r="F8" s="14">
        <f>IFERROR(E8*(1+INDEX(CAGR!$C$2:$C$8,MATCH($A8,CAGR!$B$2:$B$8,0))),0)</f>
        <v>1.9032789034461386E-3</v>
      </c>
      <c r="G8" s="14">
        <f>IFERROR(F8*(1+INDEX(CAGR!$C$2:$C$8,MATCH($A8,CAGR!$B$2:$B$8,0))),0)</f>
        <v>1.9020570408903367E-3</v>
      </c>
      <c r="H8" s="14">
        <f>IFERROR(G8*(1+INDEX(CAGR!$C$2:$C$8,MATCH($A8,CAGR!$B$2:$B$8,0))),0)</f>
        <v>1.9008359627430112E-3</v>
      </c>
      <c r="I8" s="14">
        <f>IFERROR(H8*(1+INDEX(CAGR!$C$2:$C$8,MATCH($A8,CAGR!$B$2:$B$8,0))),0)</f>
        <v>1.8996156685005896E-3</v>
      </c>
      <c r="J8" s="14">
        <f>IFERROR(I8*(1+INDEX(CAGR!$C$2:$C$8,MATCH($A8,CAGR!$B$2:$B$8,0))),0)</f>
        <v>1.8983961576598226E-3</v>
      </c>
      <c r="K8" s="14">
        <f>IFERROR(J8*(1+INDEX(CAGR!$C$2:$C$8,MATCH($A8,CAGR!$B$2:$B$8,0))),0)</f>
        <v>1.8971774297177836E-3</v>
      </c>
      <c r="L8" s="14">
        <f>IFERROR(K8*(1+INDEX(CAGR!$C$2:$C$8,MATCH($A8,CAGR!$B$2:$B$8,0))),0)</f>
        <v>1.8959594841718693E-3</v>
      </c>
      <c r="M8" s="14">
        <f>IFERROR(L8*(1+INDEX(CAGR!$C$2:$C$8,MATCH($A8,CAGR!$B$2:$B$8,0))),0)</f>
        <v>1.8947423205197987E-3</v>
      </c>
      <c r="N8" s="14">
        <f>IFERROR(M8*(1+INDEX(CAGR!$C$2:$C$8,MATCH($A8,CAGR!$B$2:$B$8,0))),0)</f>
        <v>1.8935259382596135E-3</v>
      </c>
      <c r="O8" s="14">
        <f>IFERROR(N8*(1+INDEX(CAGR!$C$2:$C$8,MATCH($A8,CAGR!$B$2:$B$8,0))),0)</f>
        <v>1.8923103368896775E-3</v>
      </c>
      <c r="P8" s="14">
        <f>IFERROR(O8*(1+INDEX(CAGR!$C$2:$C$8,MATCH($A8,CAGR!$B$2:$B$8,0))),0)</f>
        <v>1.8910955159086766E-3</v>
      </c>
      <c r="Q8" s="14">
        <f>IFERROR(P8*(1+INDEX(CAGR!$C$2:$C$8,MATCH($A8,CAGR!$B$2:$B$8,0))),0)</f>
        <v>1.8898814748156186E-3</v>
      </c>
      <c r="R8" s="14">
        <f>IFERROR(Q8*(1+INDEX(CAGR!$C$2:$C$8,MATCH($A8,CAGR!$B$2:$B$8,0))),0)</f>
        <v>1.8886682131098328E-3</v>
      </c>
      <c r="S8" s="14">
        <f>IFERROR(R8*(1+INDEX(CAGR!$C$2:$C$8,MATCH($A8,CAGR!$B$2:$B$8,0))),0)</f>
        <v>1.88745573029097E-3</v>
      </c>
      <c r="T8" s="14">
        <f>IFERROR(S8*(1+INDEX(CAGR!$C$2:$C$8,MATCH($A8,CAGR!$B$2:$B$8,0))),0)</f>
        <v>1.8862440258590023E-3</v>
      </c>
      <c r="U8" s="14">
        <f>IFERROR(T8*(1+INDEX(CAGR!$C$2:$C$8,MATCH($A8,CAGR!$B$2:$B$8,0))),0)</f>
        <v>1.8850330993142224E-3</v>
      </c>
      <c r="V8" s="14">
        <f>IFERROR(U8*(1+INDEX(CAGR!$C$2:$C$8,MATCH($A8,CAGR!$B$2:$B$8,0))),0)</f>
        <v>1.8838229501572442E-3</v>
      </c>
      <c r="W8" s="14">
        <f>IFERROR(V8*(1+INDEX(CAGR!$C$2:$C$8,MATCH($A8,CAGR!$B$2:$B$8,0))),0)</f>
        <v>1.8826135778890023E-3</v>
      </c>
      <c r="X8" s="14">
        <f>IFERROR(W8*(1+INDEX(CAGR!$C$2:$C$8,MATCH($A8,CAGR!$B$2:$B$8,0))),0)</f>
        <v>1.8814049820107513E-3</v>
      </c>
      <c r="Y8" s="14">
        <f>IFERROR(X8*(1+INDEX(CAGR!$C$2:$C$8,MATCH($A8,CAGR!$B$2:$B$8,0))),0)</f>
        <v>1.8801971620240662E-3</v>
      </c>
      <c r="Z8" s="14">
        <f>IFERROR(Y8*(1+INDEX(CAGR!$C$2:$C$8,MATCH($A8,CAGR!$B$2:$B$8,0))),0)</f>
        <v>1.8789901174308418E-3</v>
      </c>
      <c r="AA8" s="14">
        <f>IFERROR(Z8*(1+INDEX(CAGR!$C$2:$C$8,MATCH($A8,CAGR!$B$2:$B$8,0))),0)</f>
        <v>1.8777838477332931E-3</v>
      </c>
      <c r="AB8" s="14">
        <f>IFERROR(AA8*(1+INDEX(CAGR!$C$2:$C$8,MATCH($A8,CAGR!$B$2:$B$8,0))),0)</f>
        <v>1.8765783524339543E-3</v>
      </c>
      <c r="AC8" s="14">
        <f>IFERROR(AB8*(1+INDEX(CAGR!$C$2:$C$8,MATCH($A8,CAGR!$B$2:$B$8,0))),0)</f>
        <v>1.8753736310356788E-3</v>
      </c>
      <c r="AD8" s="14">
        <f>IFERROR(AC8*(1+INDEX(CAGR!$C$2:$C$8,MATCH($A8,CAGR!$B$2:$B$8,0))),0)</f>
        <v>1.8741696830416397E-3</v>
      </c>
      <c r="AE8" s="14">
        <f>IFERROR(AD8*(1+INDEX(CAGR!$C$2:$C$8,MATCH($A8,CAGR!$B$2:$B$8,0))),0)</f>
        <v>1.8729665079553286E-3</v>
      </c>
      <c r="AF8" s="14">
        <f>IFERROR(AE8*(1+INDEX(CAGR!$C$2:$C$8,MATCH($A8,CAGR!$B$2:$B$8,0))),0)</f>
        <v>1.8717641052805559E-3</v>
      </c>
      <c r="AG8" s="14"/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6C3DC-AC34-4050-8F3C-9ED62912A698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frgt'!$B$2:$H$2,,MATCH($A2,'SYFAFE psgr'!$B$1:$H$1,0))*(1+INDEX(CAGR!$C$9:$C$15,MATCH($A2,CAGR!$B$9:$B$15,0))),0)</f>
        <v>1.8944789534532561E-4</v>
      </c>
      <c r="C2" s="14">
        <f>IFERROR(B2*(1+INDEX(CAGR!$C$9:$C$15,MATCH($A2,CAGR!$B$9:$B$15,0))),0)</f>
        <v>1.9192783449611467E-4</v>
      </c>
      <c r="D2" s="14">
        <f>IFERROR(C2*(1+INDEX(CAGR!$C$9:$C$15,MATCH($A2,CAGR!$B$9:$B$15,0))),0)</f>
        <v>1.944402369169781E-4</v>
      </c>
      <c r="E2" s="14">
        <f>IFERROR(D2*(1+INDEX(CAGR!$C$9:$C$15,MATCH($A2,CAGR!$B$9:$B$15,0))),0)</f>
        <v>1.9698552756346516E-4</v>
      </c>
      <c r="F2" s="14">
        <f>IFERROR(E2*(1+INDEX(CAGR!$C$9:$C$15,MATCH($A2,CAGR!$B$9:$B$15,0))),0)</f>
        <v>1.9956413695394171E-4</v>
      </c>
      <c r="G2" s="14">
        <f>IFERROR(F2*(1+INDEX(CAGR!$C$9:$C$15,MATCH($A2,CAGR!$B$9:$B$15,0))),0)</f>
        <v>2.0217650124240949E-4</v>
      </c>
      <c r="H2" s="14">
        <f>IFERROR(G2*(1+INDEX(CAGR!$C$9:$C$15,MATCH($A2,CAGR!$B$9:$B$15,0))),0)</f>
        <v>2.0482306229227854E-4</v>
      </c>
      <c r="I2" s="14">
        <f>IFERROR(H2*(1+INDEX(CAGR!$C$9:$C$15,MATCH($A2,CAGR!$B$9:$B$15,0))),0)</f>
        <v>2.0750426775110532E-4</v>
      </c>
      <c r="J2" s="14">
        <f>IFERROR(I2*(1+INDEX(CAGR!$C$9:$C$15,MATCH($A2,CAGR!$B$9:$B$15,0))),0)</f>
        <v>2.1022057112630923E-4</v>
      </c>
      <c r="K2" s="14">
        <f>IFERROR(J2*(1+INDEX(CAGR!$C$9:$C$15,MATCH($A2,CAGR!$B$9:$B$15,0))),0)</f>
        <v>2.1297243186188026E-4</v>
      </c>
      <c r="L2" s="14">
        <f>IFERROR(K2*(1+INDEX(CAGR!$C$9:$C$15,MATCH($A2,CAGR!$B$9:$B$15,0))),0)</f>
        <v>2.157603154160908E-4</v>
      </c>
      <c r="M2" s="14">
        <f>IFERROR(L2*(1+INDEX(CAGR!$C$9:$C$15,MATCH($A2,CAGR!$B$9:$B$15,0))),0)</f>
        <v>2.1858469334022466E-4</v>
      </c>
      <c r="N2" s="14">
        <f>IFERROR(M2*(1+INDEX(CAGR!$C$9:$C$15,MATCH($A2,CAGR!$B$9:$B$15,0))),0)</f>
        <v>2.2144604335833676E-4</v>
      </c>
      <c r="O2" s="14">
        <f>IFERROR(N2*(1+INDEX(CAGR!$C$9:$C$15,MATCH($A2,CAGR!$B$9:$B$15,0))),0)</f>
        <v>2.2434484944805678E-4</v>
      </c>
      <c r="P2" s="14">
        <f>IFERROR(O2*(1+INDEX(CAGR!$C$9:$C$15,MATCH($A2,CAGR!$B$9:$B$15,0))),0)</f>
        <v>2.2728160192245076E-4</v>
      </c>
      <c r="Q2" s="14">
        <f>IFERROR(P2*(1+INDEX(CAGR!$C$9:$C$15,MATCH($A2,CAGR!$B$9:$B$15,0))),0)</f>
        <v>2.3025679751295406E-4</v>
      </c>
      <c r="R2" s="14">
        <f>IFERROR(Q2*(1+INDEX(CAGR!$C$9:$C$15,MATCH($A2,CAGR!$B$9:$B$15,0))),0)</f>
        <v>2.332709394533901E-4</v>
      </c>
      <c r="S2" s="14">
        <f>IFERROR(R2*(1+INDEX(CAGR!$C$9:$C$15,MATCH($A2,CAGR!$B$9:$B$15,0))),0)</f>
        <v>2.3632453756508896E-4</v>
      </c>
      <c r="T2" s="14">
        <f>IFERROR(S2*(1+INDEX(CAGR!$C$9:$C$15,MATCH($A2,CAGR!$B$9:$B$15,0))),0)</f>
        <v>2.3941810834312002E-4</v>
      </c>
      <c r="U2" s="14">
        <f>IFERROR(T2*(1+INDEX(CAGR!$C$9:$C$15,MATCH($A2,CAGR!$B$9:$B$15,0))),0)</f>
        <v>2.4255217504365364E-4</v>
      </c>
      <c r="V2" s="14">
        <f>IFERROR(U2*(1+INDEX(CAGR!$C$9:$C$15,MATCH($A2,CAGR!$B$9:$B$15,0))),0)</f>
        <v>2.4572726777246626E-4</v>
      </c>
      <c r="W2" s="14">
        <f>IFERROR(V2*(1+INDEX(CAGR!$C$9:$C$15,MATCH($A2,CAGR!$B$9:$B$15,0))),0)</f>
        <v>2.4894392357460422E-4</v>
      </c>
      <c r="X2" s="14">
        <f>IFERROR(W2*(1+INDEX(CAGR!$C$9:$C$15,MATCH($A2,CAGR!$B$9:$B$15,0))),0)</f>
        <v>2.5220268652522115E-4</v>
      </c>
      <c r="Y2" s="14">
        <f>IFERROR(X2*(1+INDEX(CAGR!$C$9:$C$15,MATCH($A2,CAGR!$B$9:$B$15,0))),0)</f>
        <v>2.555041078216046E-4</v>
      </c>
      <c r="Z2" s="14">
        <f>IFERROR(Y2*(1+INDEX(CAGR!$C$9:$C$15,MATCH($A2,CAGR!$B$9:$B$15,0))),0)</f>
        <v>2.5884874587640719E-4</v>
      </c>
      <c r="AA2" s="14">
        <f>IFERROR(Z2*(1+INDEX(CAGR!$C$9:$C$15,MATCH($A2,CAGR!$B$9:$B$15,0))),0)</f>
        <v>2.6223716641209826E-4</v>
      </c>
      <c r="AB2" s="14">
        <f>IFERROR(AA2*(1+INDEX(CAGR!$C$9:$C$15,MATCH($A2,CAGR!$B$9:$B$15,0))),0)</f>
        <v>2.6566994255665204E-4</v>
      </c>
      <c r="AC2" s="14">
        <f>IFERROR(AB2*(1+INDEX(CAGR!$C$9:$C$15,MATCH($A2,CAGR!$B$9:$B$15,0))),0)</f>
        <v>2.6914765494048814E-4</v>
      </c>
      <c r="AD2" s="14">
        <f>IFERROR(AC2*(1+INDEX(CAGR!$C$9:$C$15,MATCH($A2,CAGR!$B$9:$B$15,0))),0)</f>
        <v>2.7267089179468132E-4</v>
      </c>
      <c r="AE2" s="14">
        <f>IFERROR(AD2*(1+INDEX(CAGR!$C$9:$C$15,MATCH($A2,CAGR!$B$9:$B$15,0))),0)</f>
        <v>2.7624024905045661E-4</v>
      </c>
      <c r="AF2" s="14">
        <f>IFERROR(AE2*(1+INDEX(CAGR!$C$9:$C$15,MATCH($A2,CAGR!$B$9:$B$15,0))),0)</f>
        <v>2.798563304399871E-4</v>
      </c>
      <c r="AG2" s="14"/>
    </row>
    <row r="3" spans="1:33">
      <c r="A3" s="1" t="s">
        <v>10</v>
      </c>
      <c r="B3" s="21">
        <f>IFERROR(INDEX('SYFAFE frgt'!$B$2:$H$2,,MATCH($A3,'SYFAFE psgr'!$B$1:$H$1,0))*(1+INDEX(CAGR!$C$9:$C$15,MATCH($A3,CAGR!$B$9:$B$15,0))),0)</f>
        <v>9.8743154451385681E-5</v>
      </c>
      <c r="C3" s="21">
        <f>IFERROR(B3*(1+INDEX(CAGR!$C$9:$C$15,MATCH($A3,CAGR!$B$9:$B$15,0))),0)</f>
        <v>9.8486975262729385E-5</v>
      </c>
      <c r="D3" s="21">
        <f>IFERROR(C3*(1+INDEX(CAGR!$C$9:$C$15,MATCH($A3,CAGR!$B$9:$B$15,0))),0)</f>
        <v>9.8231460705227171E-5</v>
      </c>
      <c r="E3" s="21">
        <f>IFERROR(D3*(1+INDEX(CAGR!$C$9:$C$15,MATCH($A3,CAGR!$B$9:$B$15,0))),0)</f>
        <v>9.797660905456031E-5</v>
      </c>
      <c r="F3" s="21">
        <f>IFERROR(E3*(1+INDEX(CAGR!$C$9:$C$15,MATCH($A3,CAGR!$B$9:$B$15,0))),0)</f>
        <v>9.7722418590883659E-5</v>
      </c>
      <c r="G3" s="21">
        <f>IFERROR(F3*(1+INDEX(CAGR!$C$9:$C$15,MATCH($A3,CAGR!$B$9:$B$15,0))),0)</f>
        <v>9.7468887598814037E-5</v>
      </c>
      <c r="H3" s="21">
        <f>IFERROR(G3*(1+INDEX(CAGR!$C$9:$C$15,MATCH($A3,CAGR!$B$9:$B$15,0))),0)</f>
        <v>9.7216014367418644E-5</v>
      </c>
      <c r="I3" s="21">
        <f>IFERROR(H3*(1+INDEX(CAGR!$C$9:$C$15,MATCH($A3,CAGR!$B$9:$B$15,0))),0)</f>
        <v>9.6963797190203525E-5</v>
      </c>
      <c r="J3" s="21">
        <f>IFERROR(I3*(1+INDEX(CAGR!$C$9:$C$15,MATCH($A3,CAGR!$B$9:$B$15,0))),0)</f>
        <v>9.6712234365102065E-5</v>
      </c>
      <c r="K3" s="21">
        <f>IFERROR(J3*(1+INDEX(CAGR!$C$9:$C$15,MATCH($A3,CAGR!$B$9:$B$15,0))),0)</f>
        <v>9.6461324194463481E-5</v>
      </c>
      <c r="L3" s="21">
        <f>IFERROR(K3*(1+INDEX(CAGR!$C$9:$C$15,MATCH($A3,CAGR!$B$9:$B$15,0))),0)</f>
        <v>9.621106498504136E-5</v>
      </c>
      <c r="M3" s="21">
        <f>IFERROR(L3*(1+INDEX(CAGR!$C$9:$C$15,MATCH($A3,CAGR!$B$9:$B$15,0))),0)</f>
        <v>9.5961455047982271E-5</v>
      </c>
      <c r="N3" s="21">
        <f>IFERROR(M3*(1+INDEX(CAGR!$C$9:$C$15,MATCH($A3,CAGR!$B$9:$B$15,0))),0)</f>
        <v>9.5712492698814332E-5</v>
      </c>
      <c r="O3" s="21">
        <f>IFERROR(N3*(1+INDEX(CAGR!$C$9:$C$15,MATCH($A3,CAGR!$B$9:$B$15,0))),0)</f>
        <v>9.5464176257435845E-5</v>
      </c>
      <c r="P3" s="21">
        <f>IFERROR(O3*(1+INDEX(CAGR!$C$9:$C$15,MATCH($A3,CAGR!$B$9:$B$15,0))),0)</f>
        <v>9.5216504048103987E-5</v>
      </c>
      <c r="Q3" s="21">
        <f>IFERROR(P3*(1+INDEX(CAGR!$C$9:$C$15,MATCH($A3,CAGR!$B$9:$B$15,0))),0)</f>
        <v>9.4969474399423463E-5</v>
      </c>
      <c r="R3" s="21">
        <f>IFERROR(Q3*(1+INDEX(CAGR!$C$9:$C$15,MATCH($A3,CAGR!$B$9:$B$15,0))),0)</f>
        <v>9.4723085644335259E-5</v>
      </c>
      <c r="S3" s="21">
        <f>IFERROR(R3*(1+INDEX(CAGR!$C$9:$C$15,MATCH($A3,CAGR!$B$9:$B$15,0))),0)</f>
        <v>9.4477336120105365E-5</v>
      </c>
      <c r="T3" s="21">
        <f>IFERROR(S3*(1+INDEX(CAGR!$C$9:$C$15,MATCH($A3,CAGR!$B$9:$B$15,0))),0)</f>
        <v>9.4232224168313579E-5</v>
      </c>
      <c r="U3" s="21">
        <f>IFERROR(T3*(1+INDEX(CAGR!$C$9:$C$15,MATCH($A3,CAGR!$B$9:$B$15,0))),0)</f>
        <v>9.3987748134842291E-5</v>
      </c>
      <c r="V3" s="21">
        <f>IFERROR(U3*(1+INDEX(CAGR!$C$9:$C$15,MATCH($A3,CAGR!$B$9:$B$15,0))),0)</f>
        <v>9.3743906369865351E-5</v>
      </c>
      <c r="W3" s="21">
        <f>IFERROR(V3*(1+INDEX(CAGR!$C$9:$C$15,MATCH($A3,CAGR!$B$9:$B$15,0))),0)</f>
        <v>9.3500697227836903E-5</v>
      </c>
      <c r="X3" s="21">
        <f>IFERROR(W3*(1+INDEX(CAGR!$C$9:$C$15,MATCH($A3,CAGR!$B$9:$B$15,0))),0)</f>
        <v>9.3258119067480289E-5</v>
      </c>
      <c r="Y3" s="21">
        <f>IFERROR(X3*(1+INDEX(CAGR!$C$9:$C$15,MATCH($A3,CAGR!$B$9:$B$15,0))),0)</f>
        <v>9.3016170251776996E-5</v>
      </c>
      <c r="Z3" s="21">
        <f>IFERROR(Y3*(1+INDEX(CAGR!$C$9:$C$15,MATCH($A3,CAGR!$B$9:$B$15,0))),0)</f>
        <v>9.2774849147955581E-5</v>
      </c>
      <c r="AA3" s="21">
        <f>IFERROR(Z3*(1+INDEX(CAGR!$C$9:$C$15,MATCH($A3,CAGR!$B$9:$B$15,0))),0)</f>
        <v>9.2534154127480668E-5</v>
      </c>
      <c r="AB3" s="21">
        <f>IFERROR(AA3*(1+INDEX(CAGR!$C$9:$C$15,MATCH($A3,CAGR!$B$9:$B$15,0))),0)</f>
        <v>9.2294083566041939E-5</v>
      </c>
      <c r="AC3" s="21">
        <f>IFERROR(AB3*(1+INDEX(CAGR!$C$9:$C$15,MATCH($A3,CAGR!$B$9:$B$15,0))),0)</f>
        <v>9.2054635843543206E-5</v>
      </c>
      <c r="AD3" s="21">
        <f>IFERROR(AC3*(1+INDEX(CAGR!$C$9:$C$15,MATCH($A3,CAGR!$B$9:$B$15,0))),0)</f>
        <v>9.1815809344091435E-5</v>
      </c>
      <c r="AE3" s="21">
        <f>IFERROR(AD3*(1+INDEX(CAGR!$C$9:$C$15,MATCH($A3,CAGR!$B$9:$B$15,0))),0)</f>
        <v>9.1577602455985877E-5</v>
      </c>
      <c r="AF3" s="21">
        <f>IFERROR(AE3*(1+INDEX(CAGR!$C$9:$C$15,MATCH($A3,CAGR!$B$9:$B$15,0))),0)</f>
        <v>9.1340013571707183E-5</v>
      </c>
      <c r="AG3" s="14"/>
    </row>
    <row r="4" spans="1:33">
      <c r="A4" s="1" t="s">
        <v>11</v>
      </c>
      <c r="B4" s="14">
        <f>IFERROR(INDEX('SYFAFE frgt'!$B$2:$H$2,,MATCH($A4,'SYFAFE psgr'!$B$1:$H$1,0))*(1+INDEX(CAGR!$C$9:$C$15,MATCH($A4,CAGR!$B$9:$B$15,0))),0)</f>
        <v>1.4163159527370473E-4</v>
      </c>
      <c r="C4" s="14">
        <f>IFERROR(B4*(1+INDEX(CAGR!$C$9:$C$15,MATCH($A4,CAGR!$B$9:$B$15,0))),0)</f>
        <v>1.4126414633644014E-4</v>
      </c>
      <c r="D4" s="14">
        <f>IFERROR(C4*(1+INDEX(CAGR!$C$9:$C$15,MATCH($A4,CAGR!$B$9:$B$15,0))),0)</f>
        <v>1.4089765070850766E-4</v>
      </c>
      <c r="E4" s="14">
        <f>IFERROR(D4*(1+INDEX(CAGR!$C$9:$C$15,MATCH($A4,CAGR!$B$9:$B$15,0))),0)</f>
        <v>1.4053210591664206E-4</v>
      </c>
      <c r="F4" s="14">
        <f>IFERROR(E4*(1+INDEX(CAGR!$C$9:$C$15,MATCH($A4,CAGR!$B$9:$B$15,0))),0)</f>
        <v>1.4016750949399475E-4</v>
      </c>
      <c r="G4" s="14">
        <f>IFERROR(F4*(1+INDEX(CAGR!$C$9:$C$15,MATCH($A4,CAGR!$B$9:$B$15,0))),0)</f>
        <v>1.398038589801171E-4</v>
      </c>
      <c r="H4" s="14">
        <f>IFERROR(G4*(1+INDEX(CAGR!$C$9:$C$15,MATCH($A4,CAGR!$B$9:$B$15,0))),0)</f>
        <v>1.3944115192094392E-4</v>
      </c>
      <c r="I4" s="14">
        <f>IFERROR(H4*(1+INDEX(CAGR!$C$9:$C$15,MATCH($A4,CAGR!$B$9:$B$15,0))),0)</f>
        <v>1.3907938586877678E-4</v>
      </c>
      <c r="J4" s="14">
        <f>IFERROR(I4*(1+INDEX(CAGR!$C$9:$C$15,MATCH($A4,CAGR!$B$9:$B$15,0))),0)</f>
        <v>1.3871855838226761E-4</v>
      </c>
      <c r="K4" s="14">
        <f>IFERROR(J4*(1+INDEX(CAGR!$C$9:$C$15,MATCH($A4,CAGR!$B$9:$B$15,0))),0)</f>
        <v>1.3835866702640215E-4</v>
      </c>
      <c r="L4" s="14">
        <f>IFERROR(K4*(1+INDEX(CAGR!$C$9:$C$15,MATCH($A4,CAGR!$B$9:$B$15,0))),0)</f>
        <v>1.3799970937248356E-4</v>
      </c>
      <c r="M4" s="14">
        <f>IFERROR(L4*(1+INDEX(CAGR!$C$9:$C$15,MATCH($A4,CAGR!$B$9:$B$15,0))),0)</f>
        <v>1.3764168299811597E-4</v>
      </c>
      <c r="N4" s="14">
        <f>IFERROR(M4*(1+INDEX(CAGR!$C$9:$C$15,MATCH($A4,CAGR!$B$9:$B$15,0))),0)</f>
        <v>1.3728458548718821E-4</v>
      </c>
      <c r="O4" s="14">
        <f>IFERROR(N4*(1+INDEX(CAGR!$C$9:$C$15,MATCH($A4,CAGR!$B$9:$B$15,0))),0)</f>
        <v>1.3692841442985746E-4</v>
      </c>
      <c r="P4" s="14">
        <f>IFERROR(O4*(1+INDEX(CAGR!$C$9:$C$15,MATCH($A4,CAGR!$B$9:$B$15,0))),0)</f>
        <v>1.3657316742253297E-4</v>
      </c>
      <c r="Q4" s="14">
        <f>IFERROR(P4*(1+INDEX(CAGR!$C$9:$C$15,MATCH($A4,CAGR!$B$9:$B$15,0))),0)</f>
        <v>1.362188420678599E-4</v>
      </c>
      <c r="R4" s="14">
        <f>IFERROR(Q4*(1+INDEX(CAGR!$C$9:$C$15,MATCH($A4,CAGR!$B$9:$B$15,0))),0)</f>
        <v>1.3586543597470308E-4</v>
      </c>
      <c r="S4" s="14">
        <f>IFERROR(R4*(1+INDEX(CAGR!$C$9:$C$15,MATCH($A4,CAGR!$B$9:$B$15,0))),0)</f>
        <v>1.3551294675813089E-4</v>
      </c>
      <c r="T4" s="14">
        <f>IFERROR(S4*(1+INDEX(CAGR!$C$9:$C$15,MATCH($A4,CAGR!$B$9:$B$15,0))),0)</f>
        <v>1.3516137203939922E-4</v>
      </c>
      <c r="U4" s="14">
        <f>IFERROR(T4*(1+INDEX(CAGR!$C$9:$C$15,MATCH($A4,CAGR!$B$9:$B$15,0))),0)</f>
        <v>1.3481070944593537E-4</v>
      </c>
      <c r="V4" s="14">
        <f>IFERROR(U4*(1+INDEX(CAGR!$C$9:$C$15,MATCH($A4,CAGR!$B$9:$B$15,0))),0)</f>
        <v>1.3446095661132199E-4</v>
      </c>
      <c r="W4" s="14">
        <f>IFERROR(V4*(1+INDEX(CAGR!$C$9:$C$15,MATCH($A4,CAGR!$B$9:$B$15,0))),0)</f>
        <v>1.3411211117528117E-4</v>
      </c>
      <c r="X4" s="14">
        <f>IFERROR(W4*(1+INDEX(CAGR!$C$9:$C$15,MATCH($A4,CAGR!$B$9:$B$15,0))),0)</f>
        <v>1.3376417078365857E-4</v>
      </c>
      <c r="Y4" s="14">
        <f>IFERROR(X4*(1+INDEX(CAGR!$C$9:$C$15,MATCH($A4,CAGR!$B$9:$B$15,0))),0)</f>
        <v>1.3341713308840739E-4</v>
      </c>
      <c r="Z4" s="14">
        <f>IFERROR(Y4*(1+INDEX(CAGR!$C$9:$C$15,MATCH($A4,CAGR!$B$9:$B$15,0))),0)</f>
        <v>1.3307099574757264E-4</v>
      </c>
      <c r="AA4" s="14">
        <f>IFERROR(Z4*(1+INDEX(CAGR!$C$9:$C$15,MATCH($A4,CAGR!$B$9:$B$15,0))),0)</f>
        <v>1.327257564252753E-4</v>
      </c>
      <c r="AB4" s="14">
        <f>IFERROR(AA4*(1+INDEX(CAGR!$C$9:$C$15,MATCH($A4,CAGR!$B$9:$B$15,0))),0)</f>
        <v>1.3238141279169651E-4</v>
      </c>
      <c r="AC4" s="14">
        <f>IFERROR(AB4*(1+INDEX(CAGR!$C$9:$C$15,MATCH($A4,CAGR!$B$9:$B$15,0))),0)</f>
        <v>1.3203796252306196E-4</v>
      </c>
      <c r="AD4" s="14">
        <f>IFERROR(AC4*(1+INDEX(CAGR!$C$9:$C$15,MATCH($A4,CAGR!$B$9:$B$15,0))),0)</f>
        <v>1.3169540330162607E-4</v>
      </c>
      <c r="AE4" s="14">
        <f>IFERROR(AD4*(1+INDEX(CAGR!$C$9:$C$15,MATCH($A4,CAGR!$B$9:$B$15,0))),0)</f>
        <v>1.3135373281565648E-4</v>
      </c>
      <c r="AF4" s="14">
        <f>IFERROR(AE4*(1+INDEX(CAGR!$C$9:$C$15,MATCH($A4,CAGR!$B$9:$B$15,0))),0)</f>
        <v>1.3101294875941834E-4</v>
      </c>
      <c r="AG4" s="14"/>
    </row>
    <row r="5" spans="1:33">
      <c r="A5" s="1" t="s">
        <v>12</v>
      </c>
      <c r="B5" s="14">
        <f>IFERROR(INDEX('SYFAFE frgt'!$B$2:$H$2,,MATCH($A5,'SYFAFE psgr'!$B$1:$H$1,0))*(1+INDEX(CAGR!$C$9:$C$15,MATCH($A5,CAGR!$B$9:$B$15,0))),0)</f>
        <v>1.0971461605709522E-4</v>
      </c>
      <c r="C5" s="14">
        <f>IFERROR(B5*(1+INDEX(CAGR!$C$9:$C$15,MATCH($A5,CAGR!$B$9:$B$15,0))),0)</f>
        <v>1.0942997251414377E-4</v>
      </c>
      <c r="D5" s="14">
        <f>IFERROR(C5*(1+INDEX(CAGR!$C$9:$C$15,MATCH($A5,CAGR!$B$9:$B$15,0))),0)</f>
        <v>1.0914606745025242E-4</v>
      </c>
      <c r="E5" s="14">
        <f>IFERROR(D5*(1+INDEX(CAGR!$C$9:$C$15,MATCH($A5,CAGR!$B$9:$B$15,0))),0)</f>
        <v>1.0886289894951146E-4</v>
      </c>
      <c r="F5" s="14">
        <f>IFERROR(E5*(1+INDEX(CAGR!$C$9:$C$15,MATCH($A5,CAGR!$B$9:$B$15,0))),0)</f>
        <v>1.0858046510098185E-4</v>
      </c>
      <c r="G5" s="14">
        <f>IFERROR(F5*(1+INDEX(CAGR!$C$9:$C$15,MATCH($A5,CAGR!$B$9:$B$15,0))),0)</f>
        <v>1.0829876399868227E-4</v>
      </c>
      <c r="H5" s="14">
        <f>IFERROR(G5*(1+INDEX(CAGR!$C$9:$C$15,MATCH($A5,CAGR!$B$9:$B$15,0))),0)</f>
        <v>1.0801779374157627E-4</v>
      </c>
      <c r="I5" s="14">
        <f>IFERROR(H5*(1+INDEX(CAGR!$C$9:$C$15,MATCH($A5,CAGR!$B$9:$B$15,0))),0)</f>
        <v>1.0773755243355947E-4</v>
      </c>
      <c r="J5" s="14">
        <f>IFERROR(I5*(1+INDEX(CAGR!$C$9:$C$15,MATCH($A5,CAGR!$B$9:$B$15,0))),0)</f>
        <v>1.0745803818344673E-4</v>
      </c>
      <c r="K5" s="14">
        <f>IFERROR(J5*(1+INDEX(CAGR!$C$9:$C$15,MATCH($A5,CAGR!$B$9:$B$15,0))),0)</f>
        <v>1.0717924910495941E-4</v>
      </c>
      <c r="L5" s="14">
        <f>IFERROR(K5*(1+INDEX(CAGR!$C$9:$C$15,MATCH($A5,CAGR!$B$9:$B$15,0))),0)</f>
        <v>1.0690118331671261E-4</v>
      </c>
      <c r="M5" s="14">
        <f>IFERROR(L5*(1+INDEX(CAGR!$C$9:$C$15,MATCH($A5,CAGR!$B$9:$B$15,0))),0)</f>
        <v>1.066238389422025E-4</v>
      </c>
      <c r="N5" s="14">
        <f>IFERROR(M5*(1+INDEX(CAGR!$C$9:$C$15,MATCH($A5,CAGR!$B$9:$B$15,0))),0)</f>
        <v>1.0634721410979367E-4</v>
      </c>
      <c r="O5" s="14">
        <f>IFERROR(N5*(1+INDEX(CAGR!$C$9:$C$15,MATCH($A5,CAGR!$B$9:$B$15,0))),0)</f>
        <v>1.0607130695270647E-4</v>
      </c>
      <c r="P5" s="14">
        <f>IFERROR(O5*(1+INDEX(CAGR!$C$9:$C$15,MATCH($A5,CAGR!$B$9:$B$15,0))),0)</f>
        <v>1.057961156090044E-4</v>
      </c>
      <c r="Q5" s="14">
        <f>IFERROR(P5*(1+INDEX(CAGR!$C$9:$C$15,MATCH($A5,CAGR!$B$9:$B$15,0))),0)</f>
        <v>1.0552163822158159E-4</v>
      </c>
      <c r="R5" s="14">
        <f>IFERROR(Q5*(1+INDEX(CAGR!$C$9:$C$15,MATCH($A5,CAGR!$B$9:$B$15,0))),0)</f>
        <v>1.0524787293815025E-4</v>
      </c>
      <c r="S5" s="14">
        <f>IFERROR(R5*(1+INDEX(CAGR!$C$9:$C$15,MATCH($A5,CAGR!$B$9:$B$15,0))),0)</f>
        <v>1.0497481791122814E-4</v>
      </c>
      <c r="T5" s="14">
        <f>IFERROR(S5*(1+INDEX(CAGR!$C$9:$C$15,MATCH($A5,CAGR!$B$9:$B$15,0))),0)</f>
        <v>1.0470247129812615E-4</v>
      </c>
      <c r="U5" s="14">
        <f>IFERROR(T5*(1+INDEX(CAGR!$C$9:$C$15,MATCH($A5,CAGR!$B$9:$B$15,0))),0)</f>
        <v>1.0443083126093583E-4</v>
      </c>
      <c r="V5" s="14">
        <f>IFERROR(U5*(1+INDEX(CAGR!$C$9:$C$15,MATCH($A5,CAGR!$B$9:$B$15,0))),0)</f>
        <v>1.0415989596651701E-4</v>
      </c>
      <c r="W5" s="14">
        <f>IFERROR(V5*(1+INDEX(CAGR!$C$9:$C$15,MATCH($A5,CAGR!$B$9:$B$15,0))),0)</f>
        <v>1.038896635864854E-4</v>
      </c>
      <c r="X5" s="14">
        <f>IFERROR(W5*(1+INDEX(CAGR!$C$9:$C$15,MATCH($A5,CAGR!$B$9:$B$15,0))),0)</f>
        <v>1.0362013229720028E-4</v>
      </c>
      <c r="Y5" s="14">
        <f>IFERROR(X5*(1+INDEX(CAGR!$C$9:$C$15,MATCH($A5,CAGR!$B$9:$B$15,0))),0)</f>
        <v>1.0335130027975219E-4</v>
      </c>
      <c r="Z5" s="14">
        <f>IFERROR(Y5*(1+INDEX(CAGR!$C$9:$C$15,MATCH($A5,CAGR!$B$9:$B$15,0))),0)</f>
        <v>1.0308316571995062E-4</v>
      </c>
      <c r="AA5" s="14">
        <f>IFERROR(Z5*(1+INDEX(CAGR!$C$9:$C$15,MATCH($A5,CAGR!$B$9:$B$15,0))),0)</f>
        <v>1.0281572680831183E-4</v>
      </c>
      <c r="AB5" s="14">
        <f>IFERROR(AA5*(1+INDEX(CAGR!$C$9:$C$15,MATCH($A5,CAGR!$B$9:$B$15,0))),0)</f>
        <v>1.0254898174004658E-4</v>
      </c>
      <c r="AC5" s="14">
        <f>IFERROR(AB5*(1+INDEX(CAGR!$C$9:$C$15,MATCH($A5,CAGR!$B$9:$B$15,0))),0)</f>
        <v>1.0228292871504797E-4</v>
      </c>
      <c r="AD5" s="14">
        <f>IFERROR(AC5*(1+INDEX(CAGR!$C$9:$C$15,MATCH($A5,CAGR!$B$9:$B$15,0))),0)</f>
        <v>1.0201756593787933E-4</v>
      </c>
      <c r="AE5" s="14">
        <f>IFERROR(AD5*(1+INDEX(CAGR!$C$9:$C$15,MATCH($A5,CAGR!$B$9:$B$15,0))),0)</f>
        <v>1.0175289161776204E-4</v>
      </c>
      <c r="AF5" s="14">
        <f>IFERROR(AE5*(1+INDEX(CAGR!$C$9:$C$15,MATCH($A5,CAGR!$B$9:$B$15,0))),0)</f>
        <v>1.0148890396856348E-4</v>
      </c>
      <c r="AG5" s="14"/>
    </row>
    <row r="6" spans="1:33">
      <c r="A6" s="1" t="s">
        <v>13</v>
      </c>
      <c r="B6" s="15">
        <f>B5*Calibration!$C$21</f>
        <v>1.6842939489187289E-4</v>
      </c>
      <c r="C6" s="15">
        <f>B6*(1+CAGR!$C$13)</f>
        <v>1.6968563035456036E-4</v>
      </c>
      <c r="D6" s="15">
        <f>C6*(1+CAGR!$C$13)</f>
        <v>1.7095123548540301E-4</v>
      </c>
      <c r="E6" s="15">
        <f>D6*(1+CAGR!$C$13)</f>
        <v>1.7222628016833896E-4</v>
      </c>
      <c r="F6" s="15">
        <f>E6*(1+CAGR!$C$13)</f>
        <v>1.7351083480853766E-4</v>
      </c>
      <c r="G6" s="15">
        <f>F6*(1+CAGR!$C$13)</f>
        <v>1.7480497033628756E-4</v>
      </c>
      <c r="H6" s="15">
        <f>G6*(1+CAGR!$C$13)</f>
        <v>1.7610875821091272E-4</v>
      </c>
      <c r="I6" s="15">
        <f>H6*(1+CAGR!$C$13)</f>
        <v>1.7742227042471856E-4</v>
      </c>
      <c r="J6" s="15">
        <f>I6*(1+CAGR!$C$13)</f>
        <v>1.7874557950696719E-4</v>
      </c>
      <c r="K6" s="15">
        <f>J6*(1+CAGR!$C$13)</f>
        <v>1.8007875852788232E-4</v>
      </c>
      <c r="L6" s="15">
        <f>K6*(1+CAGR!$C$13)</f>
        <v>1.8142188110268397E-4</v>
      </c>
      <c r="M6" s="15">
        <f>L6*(1+CAGR!$C$13)</f>
        <v>1.8277502139565346E-4</v>
      </c>
      <c r="N6" s="15">
        <f>M6*(1+CAGR!$C$13)</f>
        <v>1.8413825412422845E-4</v>
      </c>
      <c r="O6" s="15">
        <f>N6*(1+CAGR!$C$13)</f>
        <v>1.8551165456312876E-4</v>
      </c>
      <c r="P6" s="15">
        <f>O6*(1+CAGR!$C$13)</f>
        <v>1.8689529854851289E-4</v>
      </c>
      <c r="Q6" s="15">
        <f>P6*(1+CAGR!$C$13)</f>
        <v>1.8828926248216549E-4</v>
      </c>
      <c r="R6" s="15">
        <f>Q6*(1+CAGR!$C$13)</f>
        <v>1.8969362333571611E-4</v>
      </c>
      <c r="S6" s="15">
        <f>R6*(1+CAGR!$C$13)</f>
        <v>1.9110845865488938E-4</v>
      </c>
      <c r="T6" s="15">
        <f>S6*(1+CAGR!$C$13)</f>
        <v>1.9253384656378698E-4</v>
      </c>
      <c r="U6" s="15">
        <f>T6*(1+CAGR!$C$13)</f>
        <v>1.9396986576920139E-4</v>
      </c>
      <c r="V6" s="15">
        <f>U6*(1+CAGR!$C$13)</f>
        <v>1.9541659556496197E-4</v>
      </c>
      <c r="W6" s="15">
        <f>V6*(1+CAGR!$C$13)</f>
        <v>1.968741158363134E-4</v>
      </c>
      <c r="X6" s="15">
        <f>W6*(1+CAGR!$C$13)</f>
        <v>1.983425070643267E-4</v>
      </c>
      <c r="Y6" s="15">
        <f>X6*(1+CAGR!$C$13)</f>
        <v>1.9982185033034331E-4</v>
      </c>
      <c r="Z6" s="15">
        <f>Y6*(1+CAGR!$C$13)</f>
        <v>2.0131222732045216E-4</v>
      </c>
      <c r="AA6" s="15">
        <f>Z6*(1+CAGR!$C$13)</f>
        <v>2.0281372033000019E-4</v>
      </c>
      <c r="AB6" s="15">
        <f>AA6*(1+CAGR!$C$13)</f>
        <v>2.0432641226813658E-4</v>
      </c>
      <c r="AC6" s="15">
        <f>AB6*(1+CAGR!$C$13)</f>
        <v>2.0585038666239071E-4</v>
      </c>
      <c r="AD6" s="15">
        <f>AC6*(1+CAGR!$C$13)</f>
        <v>2.0738572766328448E-4</v>
      </c>
      <c r="AE6" s="15">
        <f>AD6*(1+CAGR!$C$13)</f>
        <v>2.0893252004897887E-4</v>
      </c>
      <c r="AF6" s="15">
        <f>AE6*(1+CAGR!$C$13)</f>
        <v>2.1049084922995518E-4</v>
      </c>
      <c r="AG6" s="14"/>
    </row>
    <row r="7" spans="1:33">
      <c r="A7" s="1" t="s">
        <v>14</v>
      </c>
      <c r="B7" s="14">
        <f>IFERROR(INDEX('SYFAFE frgt'!$B$2:$H$2,,MATCH($A7,'SYFAFE psgr'!$B$1:$H$1,0))*(1+INDEX(CAGR!$C$9:$C$15,MATCH($A7,CAGR!$B$9:$B$15,0))),0)</f>
        <v>7.7797636840485688E-5</v>
      </c>
      <c r="C7" s="14">
        <f>IFERROR(B7*(1+INDEX(CAGR!$C$9:$C$15,MATCH($A7,CAGR!$B$9:$B$15,0))),0)</f>
        <v>7.7595798691847392E-5</v>
      </c>
      <c r="D7" s="14">
        <f>IFERROR(C7*(1+INDEX(CAGR!$C$9:$C$15,MATCH($A7,CAGR!$B$9:$B$15,0))),0)</f>
        <v>7.7394484191997163E-5</v>
      </c>
      <c r="E7" s="14">
        <f>IFERROR(D7*(1+INDEX(CAGR!$C$9:$C$15,MATCH($A7,CAGR!$B$9:$B$15,0))),0)</f>
        <v>7.7193691982380851E-5</v>
      </c>
      <c r="F7" s="14">
        <f>IFERROR(E7*(1+INDEX(CAGR!$C$9:$C$15,MATCH($A7,CAGR!$B$9:$B$15,0))),0)</f>
        <v>7.699342070796895E-5</v>
      </c>
      <c r="G7" s="14">
        <f>IFERROR(F7*(1+INDEX(CAGR!$C$9:$C$15,MATCH($A7,CAGR!$B$9:$B$15,0))),0)</f>
        <v>7.6793669017247425E-5</v>
      </c>
      <c r="H7" s="14">
        <f>IFERROR(G7*(1+INDEX(CAGR!$C$9:$C$15,MATCH($A7,CAGR!$B$9:$B$15,0))),0)</f>
        <v>7.6594435562208634E-5</v>
      </c>
      <c r="I7" s="14">
        <f>IFERROR(H7*(1+INDEX(CAGR!$C$9:$C$15,MATCH($A7,CAGR!$B$9:$B$15,0))),0)</f>
        <v>7.6395718998342177E-5</v>
      </c>
      <c r="J7" s="14">
        <f>IFERROR(I7*(1+INDEX(CAGR!$C$9:$C$15,MATCH($A7,CAGR!$B$9:$B$15,0))),0)</f>
        <v>7.619751798462587E-5</v>
      </c>
      <c r="K7" s="14">
        <f>IFERROR(J7*(1+INDEX(CAGR!$C$9:$C$15,MATCH($A7,CAGR!$B$9:$B$15,0))),0)</f>
        <v>7.5999831183516683E-5</v>
      </c>
      <c r="L7" s="14">
        <f>IFERROR(K7*(1+INDEX(CAGR!$C$9:$C$15,MATCH($A7,CAGR!$B$9:$B$15,0))),0)</f>
        <v>7.580265726094168E-5</v>
      </c>
      <c r="M7" s="14">
        <f>IFERROR(L7*(1+INDEX(CAGR!$C$9:$C$15,MATCH($A7,CAGR!$B$9:$B$15,0))),0)</f>
        <v>7.5605994886289066E-5</v>
      </c>
      <c r="N7" s="14">
        <f>IFERROR(M7*(1+INDEX(CAGR!$C$9:$C$15,MATCH($A7,CAGR!$B$9:$B$15,0))),0)</f>
        <v>7.5409842732399173E-5</v>
      </c>
      <c r="O7" s="14">
        <f>IFERROR(N7*(1+INDEX(CAGR!$C$9:$C$15,MATCH($A7,CAGR!$B$9:$B$15,0))),0)</f>
        <v>7.5214199475555514E-5</v>
      </c>
      <c r="P7" s="14">
        <f>IFERROR(O7*(1+INDEX(CAGR!$C$9:$C$15,MATCH($A7,CAGR!$B$9:$B$15,0))),0)</f>
        <v>7.5019063795475868E-5</v>
      </c>
      <c r="Q7" s="14">
        <f>IFERROR(P7*(1+INDEX(CAGR!$C$9:$C$15,MATCH($A7,CAGR!$B$9:$B$15,0))),0)</f>
        <v>7.4824434375303332E-5</v>
      </c>
      <c r="R7" s="14">
        <f>IFERROR(Q7*(1+INDEX(CAGR!$C$9:$C$15,MATCH($A7,CAGR!$B$9:$B$15,0))),0)</f>
        <v>7.4630309901597475E-5</v>
      </c>
      <c r="S7" s="14">
        <f>IFERROR(R7*(1+INDEX(CAGR!$C$9:$C$15,MATCH($A7,CAGR!$B$9:$B$15,0))),0)</f>
        <v>7.4436689064325432E-5</v>
      </c>
      <c r="T7" s="14">
        <f>IFERROR(S7*(1+INDEX(CAGR!$C$9:$C$15,MATCH($A7,CAGR!$B$9:$B$15,0))),0)</f>
        <v>7.4243570556853107E-5</v>
      </c>
      <c r="U7" s="14">
        <f>IFERROR(T7*(1+INDEX(CAGR!$C$9:$C$15,MATCH($A7,CAGR!$B$9:$B$15,0))),0)</f>
        <v>7.4050953075936339E-5</v>
      </c>
      <c r="V7" s="14">
        <f>IFERROR(U7*(1+INDEX(CAGR!$C$9:$C$15,MATCH($A7,CAGR!$B$9:$B$15,0))),0)</f>
        <v>7.3858835321712079E-5</v>
      </c>
      <c r="W7" s="14">
        <f>IFERROR(V7*(1+INDEX(CAGR!$C$9:$C$15,MATCH($A7,CAGR!$B$9:$B$15,0))),0)</f>
        <v>7.3667215997689662E-5</v>
      </c>
      <c r="X7" s="14">
        <f>IFERROR(W7*(1+INDEX(CAGR!$C$9:$C$15,MATCH($A7,CAGR!$B$9:$B$15,0))),0)</f>
        <v>7.3476093810742024E-5</v>
      </c>
      <c r="Y7" s="14">
        <f>IFERROR(X7*(1+INDEX(CAGR!$C$9:$C$15,MATCH($A7,CAGR!$B$9:$B$15,0))),0)</f>
        <v>7.3285467471097002E-5</v>
      </c>
      <c r="Z7" s="14">
        <f>IFERROR(Y7*(1+INDEX(CAGR!$C$9:$C$15,MATCH($A7,CAGR!$B$9:$B$15,0))),0)</f>
        <v>7.3095335692328621E-5</v>
      </c>
      <c r="AA7" s="14">
        <f>IFERROR(Z7*(1+INDEX(CAGR!$C$9:$C$15,MATCH($A7,CAGR!$B$9:$B$15,0))),0)</f>
        <v>7.2905697191348389E-5</v>
      </c>
      <c r="AB7" s="14">
        <f>IFERROR(AA7*(1+INDEX(CAGR!$C$9:$C$15,MATCH($A7,CAGR!$B$9:$B$15,0))),0)</f>
        <v>7.2716550688396671E-5</v>
      </c>
      <c r="AC7" s="14">
        <f>IFERROR(AB7*(1+INDEX(CAGR!$C$9:$C$15,MATCH($A7,CAGR!$B$9:$B$15,0))),0)</f>
        <v>7.2527894907034035E-5</v>
      </c>
      <c r="AD7" s="14">
        <f>IFERROR(AC7*(1+INDEX(CAGR!$C$9:$C$15,MATCH($A7,CAGR!$B$9:$B$15,0))),0)</f>
        <v>7.2339728574132638E-5</v>
      </c>
      <c r="AE7" s="14">
        <f>IFERROR(AD7*(1+INDEX(CAGR!$C$9:$C$15,MATCH($A7,CAGR!$B$9:$B$15,0))),0)</f>
        <v>7.2152050419867659E-5</v>
      </c>
      <c r="AF7" s="14">
        <f>IFERROR(AE7*(1+INDEX(CAGR!$C$9:$C$15,MATCH($A7,CAGR!$B$9:$B$15,0))),0)</f>
        <v>7.1964859177708692E-5</v>
      </c>
      <c r="AG7" s="14"/>
    </row>
    <row r="8" spans="1:33">
      <c r="A8" s="1" t="s">
        <v>15</v>
      </c>
      <c r="B8" s="13">
        <f>B5*Calibration!$D$21</f>
        <v>3.291438481712856E-4</v>
      </c>
      <c r="C8" s="13">
        <f>B8*(1+CAGR!$C$15)</f>
        <v>3.2828991754243125E-4</v>
      </c>
      <c r="D8" s="13">
        <f>C8*(1+CAGR!$C$15)</f>
        <v>3.2743820235075718E-4</v>
      </c>
      <c r="E8" s="13">
        <f>D8*(1+CAGR!$C$15)</f>
        <v>3.2658869684853433E-4</v>
      </c>
      <c r="F8" s="13">
        <f>E8*(1+CAGR!$C$15)</f>
        <v>3.2574139530294549E-4</v>
      </c>
      <c r="G8" s="13">
        <f>F8*(1+CAGR!$C$15)</f>
        <v>3.2489629199604673E-4</v>
      </c>
      <c r="H8" s="13">
        <f>G8*(1+CAGR!$C$15)</f>
        <v>3.2405338122472874E-4</v>
      </c>
      <c r="I8" s="13">
        <f>H8*(1+CAGR!$C$15)</f>
        <v>3.2321265730067837E-4</v>
      </c>
      <c r="J8" s="13">
        <f>I8*(1+CAGR!$C$15)</f>
        <v>3.2237411455034019E-4</v>
      </c>
      <c r="K8" s="13">
        <f>J8*(1+CAGR!$C$15)</f>
        <v>3.2153774731487821E-4</v>
      </c>
      <c r="L8" s="13">
        <f>K8*(1+CAGR!$C$15)</f>
        <v>3.2070354995013782E-4</v>
      </c>
      <c r="M8" s="13">
        <f>L8*(1+CAGR!$C$15)</f>
        <v>3.198715168266075E-4</v>
      </c>
      <c r="N8" s="13">
        <f>M8*(1+CAGR!$C$15)</f>
        <v>3.1904164232938103E-4</v>
      </c>
      <c r="O8" s="13">
        <f>N8*(1+CAGR!$C$15)</f>
        <v>3.1821392085811944E-4</v>
      </c>
      <c r="P8" s="13">
        <f>O8*(1+CAGR!$C$15)</f>
        <v>3.1738834682701323E-4</v>
      </c>
      <c r="Q8" s="13">
        <f>P8*(1+CAGR!$C$15)</f>
        <v>3.165649146647448E-4</v>
      </c>
      <c r="R8" s="13">
        <f>Q8*(1+CAGR!$C$15)</f>
        <v>3.1574361881445075E-4</v>
      </c>
      <c r="S8" s="13">
        <f>R8*(1+CAGR!$C$15)</f>
        <v>3.1492445373368442E-4</v>
      </c>
      <c r="T8" s="13">
        <f>S8*(1+CAGR!$C$15)</f>
        <v>3.1410741389437845E-4</v>
      </c>
      <c r="U8" s="13">
        <f>T8*(1+CAGR!$C$15)</f>
        <v>3.1329249378280751E-4</v>
      </c>
      <c r="V8" s="13">
        <f>U8*(1+CAGR!$C$15)</f>
        <v>3.1247968789955102E-4</v>
      </c>
      <c r="W8" s="13">
        <f>V8*(1+CAGR!$C$15)</f>
        <v>3.1166899075945616E-4</v>
      </c>
      <c r="X8" s="13">
        <f>W8*(1+CAGR!$C$15)</f>
        <v>3.1086039689160079E-4</v>
      </c>
      <c r="Y8" s="13">
        <f>X8*(1+CAGR!$C$15)</f>
        <v>3.1005390083925651E-4</v>
      </c>
      <c r="Z8" s="13">
        <f>Y8*(1+CAGR!$C$15)</f>
        <v>3.092494971598518E-4</v>
      </c>
      <c r="AA8" s="13">
        <f>Z8*(1+CAGR!$C$15)</f>
        <v>3.0844718042493541E-4</v>
      </c>
      <c r="AB8" s="13">
        <f>AA8*(1+CAGR!$C$15)</f>
        <v>3.0764694522013964E-4</v>
      </c>
      <c r="AC8" s="13">
        <f>AB8*(1+CAGR!$C$15)</f>
        <v>3.0684878614514386E-4</v>
      </c>
      <c r="AD8" s="13">
        <f>AC8*(1+CAGR!$C$15)</f>
        <v>3.0605269781363794E-4</v>
      </c>
      <c r="AE8" s="13">
        <f>AD8*(1+CAGR!$C$15)</f>
        <v>3.0525867485328608E-4</v>
      </c>
      <c r="AF8" s="13">
        <f>AE8*(1+CAGR!$C$15)</f>
        <v>3.0446671190569041E-4</v>
      </c>
      <c r="AG8" s="14"/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19C5-19A5-4B14-84C5-13CDDB297E8D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psgr'!$B$3:$H$3,,MATCH($A2,'SYFAFE psgr'!$B$1:$H$1,0))*(1+INDEX(CAGR!$C$16:$C$22,MATCH($A2,CAGR!$B$16:$B$22,0))),0)</f>
        <v>2.6363466800619893E-3</v>
      </c>
      <c r="C2" s="14">
        <f>IFERROR(B2*(1+INDEX(CAGR!$C$16:$C$22,MATCH($A2,CAGR!$B$16:$B$22,0))),0)</f>
        <v>2.6784553614682158E-3</v>
      </c>
      <c r="D2" s="14">
        <f>IFERROR(C2*(1+INDEX(CAGR!$C$16:$C$22,MATCH($A2,CAGR!$B$16:$B$22,0))),0)</f>
        <v>2.7212366179432605E-3</v>
      </c>
      <c r="E2" s="14">
        <f>IFERROR(D2*(1+INDEX(CAGR!$C$16:$C$22,MATCH($A2,CAGR!$B$16:$B$22,0))),0)</f>
        <v>2.7647011920990524E-3</v>
      </c>
      <c r="F2" s="14">
        <f>IFERROR(E2*(1+INDEX(CAGR!$C$16:$C$22,MATCH($A2,CAGR!$B$16:$B$22,0))),0)</f>
        <v>2.8088599981323987E-3</v>
      </c>
      <c r="G2" s="14">
        <f>IFERROR(F2*(1+INDEX(CAGR!$C$16:$C$22,MATCH($A2,CAGR!$B$16:$B$22,0))),0)</f>
        <v>2.8537241245655998E-3</v>
      </c>
      <c r="H2" s="14">
        <f>IFERROR(G2*(1+INDEX(CAGR!$C$16:$C$22,MATCH($A2,CAGR!$B$16:$B$22,0))),0)</f>
        <v>2.8993048370308397E-3</v>
      </c>
      <c r="I2" s="14">
        <f>IFERROR(H2*(1+INDEX(CAGR!$C$16:$C$22,MATCH($A2,CAGR!$B$16:$B$22,0))),0)</f>
        <v>2.9456135810990488E-3</v>
      </c>
      <c r="J2" s="14">
        <f>IFERROR(I2*(1+INDEX(CAGR!$C$16:$C$22,MATCH($A2,CAGR!$B$16:$B$22,0))),0)</f>
        <v>2.9926619851539499E-3</v>
      </c>
      <c r="K2" s="14">
        <f>IFERROR(J2*(1+INDEX(CAGR!$C$16:$C$22,MATCH($A2,CAGR!$B$16:$B$22,0))),0)</f>
        <v>3.0404618633120117E-3</v>
      </c>
      <c r="L2" s="14">
        <f>IFERROR(K2*(1+INDEX(CAGR!$C$16:$C$22,MATCH($A2,CAGR!$B$16:$B$22,0))),0)</f>
        <v>3.0890252183890369E-3</v>
      </c>
      <c r="M2" s="14">
        <f>IFERROR(L2*(1+INDEX(CAGR!$C$16:$C$22,MATCH($A2,CAGR!$B$16:$B$22,0))),0)</f>
        <v>3.1383642449141391E-3</v>
      </c>
      <c r="N2" s="14">
        <f>IFERROR(M2*(1+INDEX(CAGR!$C$16:$C$22,MATCH($A2,CAGR!$B$16:$B$22,0))),0)</f>
        <v>3.1884913321918546E-3</v>
      </c>
      <c r="O2" s="14">
        <f>IFERROR(N2*(1+INDEX(CAGR!$C$16:$C$22,MATCH($A2,CAGR!$B$16:$B$22,0))),0)</f>
        <v>3.2394190674131665E-3</v>
      </c>
      <c r="P2" s="14">
        <f>IFERROR(O2*(1+INDEX(CAGR!$C$16:$C$22,MATCH($A2,CAGR!$B$16:$B$22,0))),0)</f>
        <v>3.2911602388162194E-3</v>
      </c>
      <c r="Q2" s="14">
        <f>IFERROR(P2*(1+INDEX(CAGR!$C$16:$C$22,MATCH($A2,CAGR!$B$16:$B$22,0))),0)</f>
        <v>3.343727838897516E-3</v>
      </c>
      <c r="R2" s="14">
        <f>IFERROR(Q2*(1+INDEX(CAGR!$C$16:$C$22,MATCH($A2,CAGR!$B$16:$B$22,0))),0)</f>
        <v>3.3971350676744064E-3</v>
      </c>
      <c r="S2" s="14">
        <f>IFERROR(R2*(1+INDEX(CAGR!$C$16:$C$22,MATCH($A2,CAGR!$B$16:$B$22,0))),0)</f>
        <v>3.451395335999685E-3</v>
      </c>
      <c r="T2" s="14">
        <f>IFERROR(S2*(1+INDEX(CAGR!$C$16:$C$22,MATCH($A2,CAGR!$B$16:$B$22,0))),0)</f>
        <v>3.5065222689291318E-3</v>
      </c>
      <c r="U2" s="14">
        <f>IFERROR(T2*(1+INDEX(CAGR!$C$16:$C$22,MATCH($A2,CAGR!$B$16:$B$22,0))),0)</f>
        <v>3.5625297091428382E-3</v>
      </c>
      <c r="V2" s="14">
        <f>IFERROR(U2*(1+INDEX(CAGR!$C$16:$C$22,MATCH($A2,CAGR!$B$16:$B$22,0))),0)</f>
        <v>3.6194317204211826E-3</v>
      </c>
      <c r="W2" s="14">
        <f>IFERROR(V2*(1+INDEX(CAGR!$C$16:$C$22,MATCH($A2,CAGR!$B$16:$B$22,0))),0)</f>
        <v>3.6772425911763226E-3</v>
      </c>
      <c r="X2" s="14">
        <f>IFERROR(W2*(1+INDEX(CAGR!$C$16:$C$22,MATCH($A2,CAGR!$B$16:$B$22,0))),0)</f>
        <v>3.7359768380400963E-3</v>
      </c>
      <c r="Y2" s="14">
        <f>IFERROR(X2*(1+INDEX(CAGR!$C$16:$C$22,MATCH($A2,CAGR!$B$16:$B$22,0))),0)</f>
        <v>3.7956492095092284E-3</v>
      </c>
      <c r="Z2" s="14">
        <f>IFERROR(Y2*(1+INDEX(CAGR!$C$16:$C$22,MATCH($A2,CAGR!$B$16:$B$22,0))),0)</f>
        <v>3.8562746896487607E-3</v>
      </c>
      <c r="AA2" s="14">
        <f>IFERROR(Z2*(1+INDEX(CAGR!$C$16:$C$22,MATCH($A2,CAGR!$B$16:$B$22,0))),0)</f>
        <v>3.9178685018546339E-3</v>
      </c>
      <c r="AB2" s="14">
        <f>IFERROR(AA2*(1+INDEX(CAGR!$C$16:$C$22,MATCH($A2,CAGR!$B$16:$B$22,0))),0)</f>
        <v>3.9804461126763668E-3</v>
      </c>
      <c r="AC2" s="14">
        <f>IFERROR(AB2*(1+INDEX(CAGR!$C$16:$C$22,MATCH($A2,CAGR!$B$16:$B$22,0))),0)</f>
        <v>4.0440232357007947E-3</v>
      </c>
      <c r="AD2" s="14">
        <f>IFERROR(AC2*(1+INDEX(CAGR!$C$16:$C$22,MATCH($A2,CAGR!$B$16:$B$22,0))),0)</f>
        <v>4.1086158354978362E-3</v>
      </c>
      <c r="AE2" s="14">
        <f>IFERROR(AD2*(1+INDEX(CAGR!$C$16:$C$22,MATCH($A2,CAGR!$B$16:$B$22,0))),0)</f>
        <v>4.1742401316292874E-3</v>
      </c>
      <c r="AF2" s="14">
        <f>IFERROR(AE2*(1+INDEX(CAGR!$C$16:$C$22,MATCH($A2,CAGR!$B$16:$B$22,0))),0)</f>
        <v>4.2409126027216438E-3</v>
      </c>
      <c r="AG2" s="14"/>
    </row>
    <row r="3" spans="1:33">
      <c r="A3" s="1" t="s">
        <v>10</v>
      </c>
      <c r="B3" s="14">
        <f>IFERROR(INDEX('SYFAFE psgr'!$B$3:$H$3,,MATCH($A3,'SYFAFE psgr'!$B$1:$H$1,0))*(1+INDEX(CAGR!$C$16:$C$22,MATCH($A3,CAGR!$B$16:$B$22,0))),0)</f>
        <v>2.0273724279481005E-3</v>
      </c>
      <c r="C3" s="14">
        <f>IFERROR(B3*(1+INDEX(CAGR!$C$16:$C$22,MATCH($A3,CAGR!$B$16:$B$22,0))),0)</f>
        <v>2.0423547635300254E-3</v>
      </c>
      <c r="D3" s="14">
        <f>IFERROR(C3*(1+INDEX(CAGR!$C$16:$C$22,MATCH($A3,CAGR!$B$16:$B$22,0))),0)</f>
        <v>2.0574478189660803E-3</v>
      </c>
      <c r="E3" s="14">
        <f>IFERROR(D3*(1+INDEX(CAGR!$C$16:$C$22,MATCH($A3,CAGR!$B$16:$B$22,0))),0)</f>
        <v>2.0726524124788999E-3</v>
      </c>
      <c r="F3" s="14">
        <f>IFERROR(E3*(1+INDEX(CAGR!$C$16:$C$22,MATCH($A3,CAGR!$B$16:$B$22,0))),0)</f>
        <v>2.0879693683378063E-3</v>
      </c>
      <c r="G3" s="14">
        <f>IFERROR(F3*(1+INDEX(CAGR!$C$16:$C$22,MATCH($A3,CAGR!$B$16:$B$22,0))),0)</f>
        <v>2.1033995169034933E-3</v>
      </c>
      <c r="H3" s="14">
        <f>IFERROR(G3*(1+INDEX(CAGR!$C$16:$C$22,MATCH($A3,CAGR!$B$16:$B$22,0))),0)</f>
        <v>2.118943694673042E-3</v>
      </c>
      <c r="I3" s="14">
        <f>IFERROR(H3*(1+INDEX(CAGR!$C$16:$C$22,MATCH($A3,CAGR!$B$16:$B$22,0))),0)</f>
        <v>2.1346027443252692E-3</v>
      </c>
      <c r="J3" s="14">
        <f>IFERROR(I3*(1+INDEX(CAGR!$C$16:$C$22,MATCH($A3,CAGR!$B$16:$B$22,0))),0)</f>
        <v>2.1503775147664098E-3</v>
      </c>
      <c r="K3" s="14">
        <f>IFERROR(J3*(1+INDEX(CAGR!$C$16:$C$22,MATCH($A3,CAGR!$B$16:$B$22,0))),0)</f>
        <v>2.1662688611761385E-3</v>
      </c>
      <c r="L3" s="14">
        <f>IFERROR(K3*(1+INDEX(CAGR!$C$16:$C$22,MATCH($A3,CAGR!$B$16:$B$22,0))),0)</f>
        <v>2.1822776450539302E-3</v>
      </c>
      <c r="M3" s="14">
        <f>IFERROR(L3*(1+INDEX(CAGR!$C$16:$C$22,MATCH($A3,CAGR!$B$16:$B$22,0))),0)</f>
        <v>2.1984047342657638E-3</v>
      </c>
      <c r="N3" s="14">
        <f>IFERROR(M3*(1+INDEX(CAGR!$C$16:$C$22,MATCH($A3,CAGR!$B$16:$B$22,0))),0)</f>
        <v>2.2146510030911703E-3</v>
      </c>
      <c r="O3" s="14">
        <f>IFERROR(N3*(1+INDEX(CAGR!$C$16:$C$22,MATCH($A3,CAGR!$B$16:$B$22,0))),0)</f>
        <v>2.2310173322706295E-3</v>
      </c>
      <c r="P3" s="14">
        <f>IFERROR(O3*(1+INDEX(CAGR!$C$16:$C$22,MATCH($A3,CAGR!$B$16:$B$22,0))),0)</f>
        <v>2.2475046090533169E-3</v>
      </c>
      <c r="Q3" s="14">
        <f>IFERROR(P3*(1+INDEX(CAGR!$C$16:$C$22,MATCH($A3,CAGR!$B$16:$B$22,0))),0)</f>
        <v>2.2641137272452023E-3</v>
      </c>
      <c r="R3" s="14">
        <f>IFERROR(Q3*(1+INDEX(CAGR!$C$16:$C$22,MATCH($A3,CAGR!$B$16:$B$22,0))),0)</f>
        <v>2.2808455872575053E-3</v>
      </c>
      <c r="S3" s="14">
        <f>IFERROR(R3*(1+INDEX(CAGR!$C$16:$C$22,MATCH($A3,CAGR!$B$16:$B$22,0))),0)</f>
        <v>2.2977010961555081E-3</v>
      </c>
      <c r="T3" s="14">
        <f>IFERROR(S3*(1+INDEX(CAGR!$C$16:$C$22,MATCH($A3,CAGR!$B$16:$B$22,0))),0)</f>
        <v>2.3146811677077291E-3</v>
      </c>
      <c r="U3" s="14">
        <f>IFERROR(T3*(1+INDEX(CAGR!$C$16:$C$22,MATCH($A3,CAGR!$B$16:$B$22,0))),0)</f>
        <v>2.3317867224354597E-3</v>
      </c>
      <c r="V3" s="14">
        <f>IFERROR(U3*(1+INDEX(CAGR!$C$16:$C$22,MATCH($A3,CAGR!$B$16:$B$22,0))),0)</f>
        <v>2.349018687662669E-3</v>
      </c>
      <c r="W3" s="14">
        <f>IFERROR(V3*(1+INDEX(CAGR!$C$16:$C$22,MATCH($A3,CAGR!$B$16:$B$22,0))),0)</f>
        <v>2.3663779975662737E-3</v>
      </c>
      <c r="X3" s="14">
        <f>IFERROR(W3*(1+INDEX(CAGR!$C$16:$C$22,MATCH($A3,CAGR!$B$16:$B$22,0))),0)</f>
        <v>2.383865593226783E-3</v>
      </c>
      <c r="Y3" s="14">
        <f>IFERROR(X3*(1+INDEX(CAGR!$C$16:$C$22,MATCH($A3,CAGR!$B$16:$B$22,0))),0)</f>
        <v>2.4014824226793151E-3</v>
      </c>
      <c r="Z3" s="14">
        <f>IFERROR(Y3*(1+INDEX(CAGR!$C$16:$C$22,MATCH($A3,CAGR!$B$16:$B$22,0))),0)</f>
        <v>2.4192294409649934E-3</v>
      </c>
      <c r="AA3" s="14">
        <f>IFERROR(Z3*(1+INDEX(CAGR!$C$16:$C$22,MATCH($A3,CAGR!$B$16:$B$22,0))),0)</f>
        <v>2.4371076101827203E-3</v>
      </c>
      <c r="AB3" s="14">
        <f>IFERROR(AA3*(1+INDEX(CAGR!$C$16:$C$22,MATCH($A3,CAGR!$B$16:$B$22,0))),0)</f>
        <v>2.4551178995413339E-3</v>
      </c>
      <c r="AC3" s="14">
        <f>IFERROR(AB3*(1+INDEX(CAGR!$C$16:$C$22,MATCH($A3,CAGR!$B$16:$B$22,0))),0)</f>
        <v>2.4732612854121514E-3</v>
      </c>
      <c r="AD3" s="14">
        <f>IFERROR(AC3*(1+INDEX(CAGR!$C$16:$C$22,MATCH($A3,CAGR!$B$16:$B$22,0))),0)</f>
        <v>2.4915387513819E-3</v>
      </c>
      <c r="AE3" s="14">
        <f>IFERROR(AD3*(1+INDEX(CAGR!$C$16:$C$22,MATCH($A3,CAGR!$B$16:$B$22,0))),0)</f>
        <v>2.5099512883060377E-3</v>
      </c>
      <c r="AF3" s="14">
        <f>IFERROR(AE3*(1+INDEX(CAGR!$C$16:$C$22,MATCH($A3,CAGR!$B$16:$B$22,0))),0)</f>
        <v>2.5284998943624717E-3</v>
      </c>
      <c r="AG3" s="14"/>
    </row>
    <row r="4" spans="1:33">
      <c r="A4" s="1" t="s">
        <v>11</v>
      </c>
      <c r="B4" s="14">
        <f>IFERROR(INDEX('SYFAFE psgr'!$B$3:$H$3,,MATCH($A4,'SYFAFE psgr'!$B$1:$H$1,0))*(1+INDEX(CAGR!$C$16:$C$22,MATCH($A4,CAGR!$B$16:$B$22,0))),0)</f>
        <v>7.4466270744806746E-4</v>
      </c>
      <c r="C4" s="14">
        <f>IFERROR(B4*(1+INDEX(CAGR!$C$16:$C$22,MATCH($A4,CAGR!$B$16:$B$22,0))),0)</f>
        <v>7.5016578444789793E-4</v>
      </c>
      <c r="D4" s="14">
        <f>IFERROR(C4*(1+INDEX(CAGR!$C$16:$C$22,MATCH($A4,CAGR!$B$16:$B$22,0))),0)</f>
        <v>7.5570952933154097E-4</v>
      </c>
      <c r="E4" s="14">
        <f>IFERROR(D4*(1+INDEX(CAGR!$C$16:$C$22,MATCH($A4,CAGR!$B$16:$B$22,0))),0)</f>
        <v>7.6129424263572795E-4</v>
      </c>
      <c r="F4" s="14">
        <f>IFERROR(E4*(1+INDEX(CAGR!$C$16:$C$22,MATCH($A4,CAGR!$B$16:$B$22,0))),0)</f>
        <v>7.6692022711816448E-4</v>
      </c>
      <c r="G4" s="14">
        <f>IFERROR(F4*(1+INDEX(CAGR!$C$16:$C$22,MATCH($A4,CAGR!$B$16:$B$22,0))),0)</f>
        <v>7.7258778777394377E-4</v>
      </c>
      <c r="H4" s="14">
        <f>IFERROR(G4*(1+INDEX(CAGR!$C$16:$C$22,MATCH($A4,CAGR!$B$16:$B$22,0))),0)</f>
        <v>7.7829723185208056E-4</v>
      </c>
      <c r="I4" s="14">
        <f>IFERROR(H4*(1+INDEX(CAGR!$C$16:$C$22,MATCH($A4,CAGR!$B$16:$B$22,0))),0)</f>
        <v>7.8404886887216809E-4</v>
      </c>
      <c r="J4" s="14">
        <f>IFERROR(I4*(1+INDEX(CAGR!$C$16:$C$22,MATCH($A4,CAGR!$B$16:$B$22,0))),0)</f>
        <v>7.8984301064115737E-4</v>
      </c>
      <c r="K4" s="14">
        <f>IFERROR(J4*(1+INDEX(CAGR!$C$16:$C$22,MATCH($A4,CAGR!$B$16:$B$22,0))),0)</f>
        <v>7.9567997127026114E-4</v>
      </c>
      <c r="L4" s="14">
        <f>IFERROR(K4*(1+INDEX(CAGR!$C$16:$C$22,MATCH($A4,CAGR!$B$16:$B$22,0))),0)</f>
        <v>8.0156006719198222E-4</v>
      </c>
      <c r="M4" s="14">
        <f>IFERROR(L4*(1+INDEX(CAGR!$C$16:$C$22,MATCH($A4,CAGR!$B$16:$B$22,0))),0)</f>
        <v>8.0748361717726785E-4</v>
      </c>
      <c r="N4" s="14">
        <f>IFERROR(M4*(1+INDEX(CAGR!$C$16:$C$22,MATCH($A4,CAGR!$B$16:$B$22,0))),0)</f>
        <v>8.1345094235279103E-4</v>
      </c>
      <c r="O4" s="14">
        <f>IFERROR(N4*(1+INDEX(CAGR!$C$16:$C$22,MATCH($A4,CAGR!$B$16:$B$22,0))),0)</f>
        <v>8.1946236621835943E-4</v>
      </c>
      <c r="P4" s="14">
        <f>IFERROR(O4*(1+INDEX(CAGR!$C$16:$C$22,MATCH($A4,CAGR!$B$16:$B$22,0))),0)</f>
        <v>8.2551821466445257E-4</v>
      </c>
      <c r="Q4" s="14">
        <f>IFERROR(P4*(1+INDEX(CAGR!$C$16:$C$22,MATCH($A4,CAGR!$B$16:$B$22,0))),0)</f>
        <v>8.3161881598988938E-4</v>
      </c>
      <c r="R4" s="14">
        <f>IFERROR(Q4*(1+INDEX(CAGR!$C$16:$C$22,MATCH($A4,CAGR!$B$16:$B$22,0))),0)</f>
        <v>8.3776450091962572E-4</v>
      </c>
      <c r="S4" s="14">
        <f>IFERROR(R4*(1+INDEX(CAGR!$C$16:$C$22,MATCH($A4,CAGR!$B$16:$B$22,0))),0)</f>
        <v>8.4395560262268338E-4</v>
      </c>
      <c r="T4" s="14">
        <f>IFERROR(S4*(1+INDEX(CAGR!$C$16:$C$22,MATCH($A4,CAGR!$B$16:$B$22,0))),0)</f>
        <v>8.5019245673021218E-4</v>
      </c>
      <c r="U4" s="14">
        <f>IFERROR(T4*(1+INDEX(CAGR!$C$16:$C$22,MATCH($A4,CAGR!$B$16:$B$22,0))),0)</f>
        <v>8.5647540135368476E-4</v>
      </c>
      <c r="V4" s="14">
        <f>IFERROR(U4*(1+INDEX(CAGR!$C$16:$C$22,MATCH($A4,CAGR!$B$16:$B$22,0))),0)</f>
        <v>8.6280477710322671E-4</v>
      </c>
      <c r="W4" s="14">
        <f>IFERROR(V4*(1+INDEX(CAGR!$C$16:$C$22,MATCH($A4,CAGR!$B$16:$B$22,0))),0)</f>
        <v>8.6918092710608125E-4</v>
      </c>
      <c r="X4" s="14">
        <f>IFERROR(W4*(1+INDEX(CAGR!$C$16:$C$22,MATCH($A4,CAGR!$B$16:$B$22,0))),0)</f>
        <v>8.7560419702521091E-4</v>
      </c>
      <c r="Y4" s="14">
        <f>IFERROR(X4*(1+INDEX(CAGR!$C$16:$C$22,MATCH($A4,CAGR!$B$16:$B$22,0))),0)</f>
        <v>8.8207493507803665E-4</v>
      </c>
      <c r="Z4" s="14">
        <f>IFERROR(Y4*(1+INDEX(CAGR!$C$16:$C$22,MATCH($A4,CAGR!$B$16:$B$22,0))),0)</f>
        <v>8.8859349205531546E-4</v>
      </c>
      <c r="AA4" s="14">
        <f>IFERROR(Z4*(1+INDEX(CAGR!$C$16:$C$22,MATCH($A4,CAGR!$B$16:$B$22,0))),0)</f>
        <v>8.9516022134015702E-4</v>
      </c>
      <c r="AB4" s="14">
        <f>IFERROR(AA4*(1+INDEX(CAGR!$C$16:$C$22,MATCH($A4,CAGR!$B$16:$B$22,0))),0)</f>
        <v>9.0177547892718172E-4</v>
      </c>
      <c r="AC4" s="14">
        <f>IFERROR(AB4*(1+INDEX(CAGR!$C$16:$C$22,MATCH($A4,CAGR!$B$16:$B$22,0))),0)</f>
        <v>9.0843962344181936E-4</v>
      </c>
      <c r="AD4" s="14">
        <f>IFERROR(AC4*(1+INDEX(CAGR!$C$16:$C$22,MATCH($A4,CAGR!$B$16:$B$22,0))),0)</f>
        <v>9.1515301615975131E-4</v>
      </c>
      <c r="AE4" s="14">
        <f>IFERROR(AD4*(1+INDEX(CAGR!$C$16:$C$22,MATCH($A4,CAGR!$B$16:$B$22,0))),0)</f>
        <v>9.2191602102649549E-4</v>
      </c>
      <c r="AF4" s="14">
        <f>IFERROR(AE4*(1+INDEX(CAGR!$C$16:$C$22,MATCH($A4,CAGR!$B$16:$B$22,0))),0)</f>
        <v>9.2872900467713703E-4</v>
      </c>
      <c r="AG4" s="14"/>
    </row>
    <row r="5" spans="1:33">
      <c r="A5" s="1" t="s">
        <v>12</v>
      </c>
      <c r="B5" s="14">
        <f>IFERROR(INDEX('SYFAFE psgr'!$B$3:$H$3,,MATCH($A5,'SYFAFE psgr'!$B$1:$H$1,0))*(1+INDEX(CAGR!$C$16:$C$22,MATCH($A5,CAGR!$B$16:$B$22,0))),0)</f>
        <v>8.1346744624501415E-4</v>
      </c>
      <c r="C5" s="14">
        <f>IFERROR(B5*(1+INDEX(CAGR!$C$16:$C$22,MATCH($A5,CAGR!$B$16:$B$22,0))),0)</f>
        <v>8.1947899207478029E-4</v>
      </c>
      <c r="D5" s="14">
        <f>IFERROR(C5*(1+INDEX(CAGR!$C$16:$C$22,MATCH($A5,CAGR!$B$16:$B$22,0))),0)</f>
        <v>8.2553496338638982E-4</v>
      </c>
      <c r="E5" s="14">
        <f>IFERROR(D5*(1+INDEX(CAGR!$C$16:$C$22,MATCH($A5,CAGR!$B$16:$B$22,0))),0)</f>
        <v>8.3163568848532241E-4</v>
      </c>
      <c r="F5" s="14">
        <f>IFERROR(E5*(1+INDEX(CAGR!$C$16:$C$22,MATCH($A5,CAGR!$B$16:$B$22,0))),0)</f>
        <v>8.3778149810324388E-4</v>
      </c>
      <c r="G5" s="14">
        <f>IFERROR(F5*(1+INDEX(CAGR!$C$16:$C$22,MATCH($A5,CAGR!$B$16:$B$22,0))),0)</f>
        <v>8.4397272541593567E-4</v>
      </c>
      <c r="H5" s="14">
        <f>IFERROR(G5*(1+INDEX(CAGR!$C$16:$C$22,MATCH($A5,CAGR!$B$16:$B$22,0))),0)</f>
        <v>8.5020970606135705E-4</v>
      </c>
      <c r="I5" s="14">
        <f>IFERROR(H5*(1+INDEX(CAGR!$C$16:$C$22,MATCH($A5,CAGR!$B$16:$B$22,0))),0)</f>
        <v>8.5649277815784061E-4</v>
      </c>
      <c r="J5" s="14">
        <f>IFERROR(I5*(1+INDEX(CAGR!$C$16:$C$22,MATCH($A5,CAGR!$B$16:$B$22,0))),0)</f>
        <v>8.6282228232242245E-4</v>
      </c>
      <c r="K5" s="14">
        <f>IFERROR(J5*(1+INDEX(CAGR!$C$16:$C$22,MATCH($A5,CAGR!$B$16:$B$22,0))),0)</f>
        <v>8.6919856168930732E-4</v>
      </c>
      <c r="L5" s="14">
        <f>IFERROR(K5*(1+INDEX(CAGR!$C$16:$C$22,MATCH($A5,CAGR!$B$16:$B$22,0))),0)</f>
        <v>8.7562196192847094E-4</v>
      </c>
      <c r="M5" s="14">
        <f>IFERROR(L5*(1+INDEX(CAGR!$C$16:$C$22,MATCH($A5,CAGR!$B$16:$B$22,0))),0)</f>
        <v>8.8209283126439923E-4</v>
      </c>
      <c r="N5" s="14">
        <f>IFERROR(M5*(1+INDEX(CAGR!$C$16:$C$22,MATCH($A5,CAGR!$B$16:$B$22,0))),0)</f>
        <v>8.8861152049496612E-4</v>
      </c>
      <c r="O5" s="14">
        <f>IFERROR(N5*(1+INDEX(CAGR!$C$16:$C$22,MATCH($A5,CAGR!$B$16:$B$22,0))),0)</f>
        <v>8.951783830104511E-4</v>
      </c>
      <c r="P5" s="14">
        <f>IFERROR(O5*(1+INDEX(CAGR!$C$16:$C$22,MATCH($A5,CAGR!$B$16:$B$22,0))),0)</f>
        <v>9.0179377481269709E-4</v>
      </c>
      <c r="Q5" s="14">
        <f>IFERROR(P5*(1+INDEX(CAGR!$C$16:$C$22,MATCH($A5,CAGR!$B$16:$B$22,0))),0)</f>
        <v>9.0845805453441009E-4</v>
      </c>
      <c r="R5" s="14">
        <f>IFERROR(Q5*(1+INDEX(CAGR!$C$16:$C$22,MATCH($A5,CAGR!$B$16:$B$22,0))),0)</f>
        <v>9.151715834586012E-4</v>
      </c>
      <c r="S5" s="14">
        <f>IFERROR(R5*(1+INDEX(CAGR!$C$16:$C$22,MATCH($A5,CAGR!$B$16:$B$22,0))),0)</f>
        <v>9.2193472553817241E-4</v>
      </c>
      <c r="T5" s="14">
        <f>IFERROR(S5*(1+INDEX(CAGR!$C$16:$C$22,MATCH($A5,CAGR!$B$16:$B$22,0))),0)</f>
        <v>9.2874784741564737E-4</v>
      </c>
      <c r="U5" s="14">
        <f>IFERROR(T5*(1+INDEX(CAGR!$C$16:$C$22,MATCH($A5,CAGR!$B$16:$B$22,0))),0)</f>
        <v>9.3561131844304747E-4</v>
      </c>
      <c r="V5" s="14">
        <f>IFERROR(U5*(1+INDEX(CAGR!$C$16:$C$22,MATCH($A5,CAGR!$B$16:$B$22,0))),0)</f>
        <v>9.4252551070191527E-4</v>
      </c>
      <c r="W5" s="14">
        <f>IFERROR(V5*(1+INDEX(CAGR!$C$16:$C$22,MATCH($A5,CAGR!$B$16:$B$22,0))),0)</f>
        <v>9.4949079902348593E-4</v>
      </c>
      <c r="X5" s="14">
        <f>IFERROR(W5*(1+INDEX(CAGR!$C$16:$C$22,MATCH($A5,CAGR!$B$16:$B$22,0))),0)</f>
        <v>9.5650756100900704E-4</v>
      </c>
      <c r="Y5" s="14">
        <f>IFERROR(X5*(1+INDEX(CAGR!$C$16:$C$22,MATCH($A5,CAGR!$B$16:$B$22,0))),0)</f>
        <v>9.6357617705020941E-4</v>
      </c>
      <c r="Z5" s="14">
        <f>IFERROR(Y5*(1+INDEX(CAGR!$C$16:$C$22,MATCH($A5,CAGR!$B$16:$B$22,0))),0)</f>
        <v>9.7069703034992881E-4</v>
      </c>
      <c r="AA5" s="14">
        <f>IFERROR(Z5*(1+INDEX(CAGR!$C$16:$C$22,MATCH($A5,CAGR!$B$16:$B$22,0))),0)</f>
        <v>9.7787050694288008E-4</v>
      </c>
      <c r="AB5" s="14">
        <f>IFERROR(AA5*(1+INDEX(CAGR!$C$16:$C$22,MATCH($A5,CAGR!$B$16:$B$22,0))),0)</f>
        <v>9.8509699571658468E-4</v>
      </c>
      <c r="AC5" s="14">
        <f>IFERROR(AB5*(1+INDEX(CAGR!$C$16:$C$22,MATCH($A5,CAGR!$B$16:$B$22,0))),0)</f>
        <v>9.9237688843245315E-4</v>
      </c>
      <c r="AD5" s="14">
        <f>IFERROR(AC5*(1+INDEX(CAGR!$C$16:$C$22,MATCH($A5,CAGR!$B$16:$B$22,0))),0)</f>
        <v>9.9971057974702297E-4</v>
      </c>
      <c r="AE5" s="14">
        <f>IFERROR(AD5*(1+INDEX(CAGR!$C$16:$C$22,MATCH($A5,CAGR!$B$16:$B$22,0))),0)</f>
        <v>1.0070984672333541E-3</v>
      </c>
      <c r="AF5" s="14">
        <f>IFERROR(AE5*(1+INDEX(CAGR!$C$16:$C$22,MATCH($A5,CAGR!$B$16:$B$22,0))),0)</f>
        <v>1.0145409514025817E-3</v>
      </c>
      <c r="AG5" s="14"/>
    </row>
    <row r="6" spans="1:33">
      <c r="A6" s="1" t="s">
        <v>13</v>
      </c>
      <c r="B6" s="14">
        <f>IFERROR(INDEX('SYFAFE psgr'!$B$3:$H$3,,MATCH($A6,'SYFAFE psgr'!$B$1:$H$1,0))*(1+INDEX(CAGR!$C$16:$C$22,MATCH($A6,CAGR!$B$16:$B$22,0))),0)</f>
        <v>1.8038325811099969E-3</v>
      </c>
      <c r="C6" s="14">
        <f>IFERROR(B6*(1+INDEX(CAGR!$C$16:$C$22,MATCH($A6,CAGR!$B$16:$B$22,0))),0)</f>
        <v>1.8171629513425408E-3</v>
      </c>
      <c r="D6" s="14">
        <f>IFERROR(C6*(1+INDEX(CAGR!$C$16:$C$22,MATCH($A6,CAGR!$B$16:$B$22,0))),0)</f>
        <v>1.83059183336182E-3</v>
      </c>
      <c r="E6" s="14">
        <f>IFERROR(D6*(1+INDEX(CAGR!$C$16:$C$22,MATCH($A6,CAGR!$B$16:$B$22,0))),0)</f>
        <v>1.8441199551725304E-3</v>
      </c>
      <c r="F6" s="14">
        <f>IFERROR(E6*(1+INDEX(CAGR!$C$16:$C$22,MATCH($A6,CAGR!$B$16:$B$22,0))),0)</f>
        <v>1.8577480501593417E-3</v>
      </c>
      <c r="G6" s="14">
        <f>IFERROR(F6*(1+INDEX(CAGR!$C$16:$C$22,MATCH($A6,CAGR!$B$16:$B$22,0))),0)</f>
        <v>1.8714768571266556E-3</v>
      </c>
      <c r="H6" s="14">
        <f>IFERROR(G6*(1+INDEX(CAGR!$C$16:$C$22,MATCH($A6,CAGR!$B$16:$B$22,0))),0)</f>
        <v>1.8853071203386576E-3</v>
      </c>
      <c r="I6" s="14">
        <f>IFERROR(H6*(1+INDEX(CAGR!$C$16:$C$22,MATCH($A6,CAGR!$B$16:$B$22,0))),0)</f>
        <v>1.899239589559665E-3</v>
      </c>
      <c r="J6" s="14">
        <f>IFERROR(I6*(1+INDEX(CAGR!$C$16:$C$22,MATCH($A6,CAGR!$B$16:$B$22,0))),0)</f>
        <v>1.9132750200947736E-3</v>
      </c>
      <c r="K6" s="14">
        <f>IFERROR(J6*(1+INDEX(CAGR!$C$16:$C$22,MATCH($A6,CAGR!$B$16:$B$22,0))),0)</f>
        <v>1.9274141728308034E-3</v>
      </c>
      <c r="L6" s="14">
        <f>IFERROR(K6*(1+INDEX(CAGR!$C$16:$C$22,MATCH($A6,CAGR!$B$16:$B$22,0))),0)</f>
        <v>1.9416578142775482E-3</v>
      </c>
      <c r="M6" s="14">
        <f>IFERROR(L6*(1+INDEX(CAGR!$C$16:$C$22,MATCH($A6,CAGR!$B$16:$B$22,0))),0)</f>
        <v>1.9560067166093293E-3</v>
      </c>
      <c r="N6" s="14">
        <f>IFERROR(M6*(1+INDEX(CAGR!$C$16:$C$22,MATCH($A6,CAGR!$B$16:$B$22,0))),0)</f>
        <v>1.9704616577068562E-3</v>
      </c>
      <c r="O6" s="14">
        <f>IFERROR(N6*(1+INDEX(CAGR!$C$16:$C$22,MATCH($A6,CAGR!$B$16:$B$22,0))),0)</f>
        <v>1.9850234211993977E-3</v>
      </c>
      <c r="P6" s="14">
        <f>IFERROR(O6*(1+INDEX(CAGR!$C$16:$C$22,MATCH($A6,CAGR!$B$16:$B$22,0))),0)</f>
        <v>1.9996927965072633E-3</v>
      </c>
      <c r="Q6" s="14">
        <f>IFERROR(P6*(1+INDEX(CAGR!$C$16:$C$22,MATCH($A6,CAGR!$B$16:$B$22,0))),0)</f>
        <v>2.0144705788846E-3</v>
      </c>
      <c r="R6" s="14">
        <f>IFERROR(Q6*(1+INDEX(CAGR!$C$16:$C$22,MATCH($A6,CAGR!$B$16:$B$22,0))),0)</f>
        <v>2.0293575694625026E-3</v>
      </c>
      <c r="S6" s="14">
        <f>IFERROR(R6*(1+INDEX(CAGR!$C$16:$C$22,MATCH($A6,CAGR!$B$16:$B$22,0))),0)</f>
        <v>2.0443545752924473E-3</v>
      </c>
      <c r="T6" s="14">
        <f>IFERROR(S6*(1+INDEX(CAGR!$C$16:$C$22,MATCH($A6,CAGR!$B$16:$B$22,0))),0)</f>
        <v>2.0594624093900407E-3</v>
      </c>
      <c r="U6" s="14">
        <f>IFERROR(T6*(1+INDEX(CAGR!$C$16:$C$22,MATCH($A6,CAGR!$B$16:$B$22,0))),0)</f>
        <v>2.0746818907790964E-3</v>
      </c>
      <c r="V6" s="14">
        <f>IFERROR(U6*(1+INDEX(CAGR!$C$16:$C$22,MATCH($A6,CAGR!$B$16:$B$22,0))),0)</f>
        <v>2.0900138445360361E-3</v>
      </c>
      <c r="W6" s="14">
        <f>IFERROR(V6*(1+INDEX(CAGR!$C$16:$C$22,MATCH($A6,CAGR!$B$16:$B$22,0))),0)</f>
        <v>2.1054591018346172E-3</v>
      </c>
      <c r="X6" s="14">
        <f>IFERROR(W6*(1+INDEX(CAGR!$C$16:$C$22,MATCH($A6,CAGR!$B$16:$B$22,0))),0)</f>
        <v>2.1210184999909936E-3</v>
      </c>
      <c r="Y6" s="14">
        <f>IFERROR(X6*(1+INDEX(CAGR!$C$16:$C$22,MATCH($A6,CAGR!$B$16:$B$22,0))),0)</f>
        <v>2.1366928825091074E-3</v>
      </c>
      <c r="Z6" s="14">
        <f>IFERROR(Y6*(1+INDEX(CAGR!$C$16:$C$22,MATCH($A6,CAGR!$B$16:$B$22,0))),0)</f>
        <v>2.1524830991264173E-3</v>
      </c>
      <c r="AA6" s="14">
        <f>IFERROR(Z6*(1+INDEX(CAGR!$C$16:$C$22,MATCH($A6,CAGR!$B$16:$B$22,0))),0)</f>
        <v>2.1683900058599636E-3</v>
      </c>
      <c r="AB6" s="14">
        <f>IFERROR(AA6*(1+INDEX(CAGR!$C$16:$C$22,MATCH($A6,CAGR!$B$16:$B$22,0))),0)</f>
        <v>2.1844144650527753E-3</v>
      </c>
      <c r="AC6" s="14">
        <f>IFERROR(AB6*(1+INDEX(CAGR!$C$16:$C$22,MATCH($A6,CAGR!$B$16:$B$22,0))),0)</f>
        <v>2.2005573454206193E-3</v>
      </c>
      <c r="AD6" s="14">
        <f>IFERROR(AC6*(1+INDEX(CAGR!$C$16:$C$22,MATCH($A6,CAGR!$B$16:$B$22,0))),0)</f>
        <v>2.2168195220990945E-3</v>
      </c>
      <c r="AE6" s="14">
        <f>IFERROR(AD6*(1+INDEX(CAGR!$C$16:$C$22,MATCH($A6,CAGR!$B$16:$B$22,0))),0)</f>
        <v>2.2332018766910754E-3</v>
      </c>
      <c r="AF6" s="14">
        <f>IFERROR(AE6*(1+INDEX(CAGR!$C$16:$C$22,MATCH($A6,CAGR!$B$16:$B$22,0))),0)</f>
        <v>2.2497052973145045E-3</v>
      </c>
      <c r="AG6" s="14"/>
    </row>
    <row r="7" spans="1:33">
      <c r="A7" s="1" t="s">
        <v>14</v>
      </c>
      <c r="B7" s="14">
        <f>IFERROR(INDEX('SYFAFE psgr'!$B$3:$H$3,,MATCH($A7,'SYFAFE psgr'!$B$1:$H$1,0))*(1+INDEX(CAGR!$C$16:$C$22,MATCH($A7,CAGR!$B$16:$B$22,0))),0)</f>
        <v>1.3648120076442665E-3</v>
      </c>
      <c r="C7" s="14">
        <f>IFERROR(B7*(1+INDEX(CAGR!$C$16:$C$22,MATCH($A7,CAGR!$B$16:$B$22,0))),0)</f>
        <v>1.3748980042884364E-3</v>
      </c>
      <c r="D7" s="14">
        <f>IFERROR(C7*(1+INDEX(CAGR!$C$16:$C$22,MATCH($A7,CAGR!$B$16:$B$22,0))),0)</f>
        <v>1.3850585367131654E-3</v>
      </c>
      <c r="E7" s="14">
        <f>IFERROR(D7*(1+INDEX(CAGR!$C$16:$C$22,MATCH($A7,CAGR!$B$16:$B$22,0))),0)</f>
        <v>1.3952941557398328E-3</v>
      </c>
      <c r="F7" s="14">
        <f>IFERROR(E7*(1+INDEX(CAGR!$C$16:$C$22,MATCH($A7,CAGR!$B$16:$B$22,0))),0)</f>
        <v>1.4056054162604023E-3</v>
      </c>
      <c r="G7" s="14">
        <f>IFERROR(F7*(1+INDEX(CAGR!$C$16:$C$22,MATCH($A7,CAGR!$B$16:$B$22,0))),0)</f>
        <v>1.4159928772675043E-3</v>
      </c>
      <c r="H7" s="14">
        <f>IFERROR(G7*(1+INDEX(CAGR!$C$16:$C$22,MATCH($A7,CAGR!$B$16:$B$22,0))),0)</f>
        <v>1.4264571018847388E-3</v>
      </c>
      <c r="I7" s="14">
        <f>IFERROR(H7*(1+INDEX(CAGR!$C$16:$C$22,MATCH($A7,CAGR!$B$16:$B$22,0))),0)</f>
        <v>1.4369986573972045E-3</v>
      </c>
      <c r="J7" s="14">
        <f>IFERROR(I7*(1+INDEX(CAGR!$C$16:$C$22,MATCH($A7,CAGR!$B$16:$B$22,0))),0)</f>
        <v>1.4476181152822515E-3</v>
      </c>
      <c r="K7" s="14">
        <f>IFERROR(J7*(1+INDEX(CAGR!$C$16:$C$22,MATCH($A7,CAGR!$B$16:$B$22,0))),0)</f>
        <v>1.4583160512404629E-3</v>
      </c>
      <c r="L7" s="14">
        <f>IFERROR(K7*(1+INDEX(CAGR!$C$16:$C$22,MATCH($A7,CAGR!$B$16:$B$22,0))),0)</f>
        <v>1.469093045226864E-3</v>
      </c>
      <c r="M7" s="14">
        <f>IFERROR(L7*(1+INDEX(CAGR!$C$16:$C$22,MATCH($A7,CAGR!$B$16:$B$22,0))),0)</f>
        <v>1.4799496814823631E-3</v>
      </c>
      <c r="N7" s="14">
        <f>IFERROR(M7*(1+INDEX(CAGR!$C$16:$C$22,MATCH($A7,CAGR!$B$16:$B$22,0))),0)</f>
        <v>1.4908865485654243E-3</v>
      </c>
      <c r="O7" s="14">
        <f>IFERROR(N7*(1+INDEX(CAGR!$C$16:$C$22,MATCH($A7,CAGR!$B$16:$B$22,0))),0)</f>
        <v>1.5019042393839741E-3</v>
      </c>
      <c r="P7" s="14">
        <f>IFERROR(O7*(1+INDEX(CAGR!$C$16:$C$22,MATCH($A7,CAGR!$B$16:$B$22,0))),0)</f>
        <v>1.5130033512275442E-3</v>
      </c>
      <c r="Q7" s="14">
        <f>IFERROR(P7*(1+INDEX(CAGR!$C$16:$C$22,MATCH($A7,CAGR!$B$16:$B$22,0))),0)</f>
        <v>1.5241844857996516E-3</v>
      </c>
      <c r="R7" s="14">
        <f>IFERROR(Q7*(1+INDEX(CAGR!$C$16:$C$22,MATCH($A7,CAGR!$B$16:$B$22,0))),0)</f>
        <v>1.5354482492504183E-3</v>
      </c>
      <c r="S7" s="14">
        <f>IFERROR(R7*(1+INDEX(CAGR!$C$16:$C$22,MATCH($A7,CAGR!$B$16:$B$22,0))),0)</f>
        <v>1.5467952522094314E-3</v>
      </c>
      <c r="T7" s="14">
        <f>IFERROR(S7*(1+INDEX(CAGR!$C$16:$C$22,MATCH($A7,CAGR!$B$16:$B$22,0))),0)</f>
        <v>1.558226109818847E-3</v>
      </c>
      <c r="U7" s="14">
        <f>IFERROR(T7*(1+INDEX(CAGR!$C$16:$C$22,MATCH($A7,CAGR!$B$16:$B$22,0))),0)</f>
        <v>1.5697414417667375E-3</v>
      </c>
      <c r="V7" s="14">
        <f>IFERROR(U7*(1+INDEX(CAGR!$C$16:$C$22,MATCH($A7,CAGR!$B$16:$B$22,0))),0)</f>
        <v>1.5813418723206868E-3</v>
      </c>
      <c r="W7" s="14">
        <f>IFERROR(V7*(1+INDEX(CAGR!$C$16:$C$22,MATCH($A7,CAGR!$B$16:$B$22,0))),0)</f>
        <v>1.5930280303616327E-3</v>
      </c>
      <c r="X7" s="14">
        <f>IFERROR(W7*(1+INDEX(CAGR!$C$16:$C$22,MATCH($A7,CAGR!$B$16:$B$22,0))),0)</f>
        <v>1.6048005494179597E-3</v>
      </c>
      <c r="Y7" s="14">
        <f>IFERROR(X7*(1+INDEX(CAGR!$C$16:$C$22,MATCH($A7,CAGR!$B$16:$B$22,0))),0)</f>
        <v>1.6166600676998434E-3</v>
      </c>
      <c r="Z7" s="14">
        <f>IFERROR(Y7*(1+INDEX(CAGR!$C$16:$C$22,MATCH($A7,CAGR!$B$16:$B$22,0))),0)</f>
        <v>1.6286072281338495E-3</v>
      </c>
      <c r="AA7" s="14">
        <f>IFERROR(Z7*(1+INDEX(CAGR!$C$16:$C$22,MATCH($A7,CAGR!$B$16:$B$22,0))),0)</f>
        <v>1.6406426783977881E-3</v>
      </c>
      <c r="AB7" s="14">
        <f>IFERROR(AA7*(1+INDEX(CAGR!$C$16:$C$22,MATCH($A7,CAGR!$B$16:$B$22,0))),0)</f>
        <v>1.6527670709558253E-3</v>
      </c>
      <c r="AC7" s="14">
        <f>IFERROR(AB7*(1+INDEX(CAGR!$C$16:$C$22,MATCH($A7,CAGR!$B$16:$B$22,0))),0)</f>
        <v>1.6649810630938544E-3</v>
      </c>
      <c r="AD7" s="14">
        <f>IFERROR(AC7*(1+INDEX(CAGR!$C$16:$C$22,MATCH($A7,CAGR!$B$16:$B$22,0))),0)</f>
        <v>1.677285316955129E-3</v>
      </c>
      <c r="AE7" s="14">
        <f>IFERROR(AD7*(1+INDEX(CAGR!$C$16:$C$22,MATCH($A7,CAGR!$B$16:$B$22,0))),0)</f>
        <v>1.6896804995761585E-3</v>
      </c>
      <c r="AF7" s="14">
        <f>IFERROR(AE7*(1+INDEX(CAGR!$C$16:$C$22,MATCH($A7,CAGR!$B$16:$B$22,0))),0)</f>
        <v>1.7021672829228699E-3</v>
      </c>
      <c r="AG7" s="14"/>
    </row>
    <row r="8" spans="1:33">
      <c r="A8" s="1" t="s">
        <v>15</v>
      </c>
      <c r="B8" s="18">
        <f>'SYFAFE psgr'!H3</f>
        <v>2.4225000000000002E-3</v>
      </c>
      <c r="C8" s="18">
        <f>B8*(1+CAGR!$D$22)</f>
        <v>2.4481585172899736E-3</v>
      </c>
      <c r="D8" s="18">
        <f>C8*(1+CAGR!$D$22)</f>
        <v>2.4740888032113279E-3</v>
      </c>
      <c r="E8" s="18">
        <f>D8*(1+CAGR!$D$22)</f>
        <v>2.500293736269791E-3</v>
      </c>
      <c r="F8" s="18">
        <f>E8*(1+CAGR!$D$22)</f>
        <v>2.5267762254595084E-3</v>
      </c>
      <c r="G8" s="18">
        <f>F8*(1+CAGR!$D$22)</f>
        <v>2.5535392105859671E-3</v>
      </c>
      <c r="H8" s="18">
        <f>G8*(1+CAGR!$D$22)</f>
        <v>2.5805856625923428E-3</v>
      </c>
      <c r="I8" s="18">
        <f>H8*(1+CAGR!$D$22)</f>
        <v>2.6079185838893018E-3</v>
      </c>
      <c r="J8" s="18">
        <f>I8*(1+CAGR!$D$22)</f>
        <v>2.6355410086882974E-3</v>
      </c>
      <c r="K8" s="18">
        <f>J8*(1+CAGR!$D$22)</f>
        <v>2.6634560033383953E-3</v>
      </c>
      <c r="L8" s="18">
        <f>K8*(1+CAGR!$D$22)</f>
        <v>2.6916666666666686E-3</v>
      </c>
      <c r="M8" s="18">
        <f>L8*(1+CAGR!$D$22)</f>
        <v>2.7201761303221944E-3</v>
      </c>
      <c r="N8" s="18">
        <f>M8*(1+CAGR!$D$22)</f>
        <v>2.7489875591236988E-3</v>
      </c>
      <c r="O8" s="18">
        <f>N8*(1+CAGR!$D$22)</f>
        <v>2.7781041514108804E-3</v>
      </c>
      <c r="P8" s="18">
        <f>O8*(1+CAGR!$D$22)</f>
        <v>2.8075291393994551E-3</v>
      </c>
      <c r="Q8" s="18">
        <f>P8*(1+CAGR!$D$22)</f>
        <v>2.8372657895399649E-3</v>
      </c>
      <c r="R8" s="18">
        <f>Q8*(1+CAGR!$D$22)</f>
        <v>2.8673174028803821E-3</v>
      </c>
      <c r="S8" s="18">
        <f>R8*(1+CAGR!$D$22)</f>
        <v>2.8976873154325589E-3</v>
      </c>
      <c r="T8" s="18">
        <f>S8*(1+CAGR!$D$22)</f>
        <v>2.9283788985425539E-3</v>
      </c>
      <c r="U8" s="18">
        <f>T8*(1+CAGR!$D$22)</f>
        <v>2.9593955592648849E-3</v>
      </c>
      <c r="V8" s="18">
        <f>U8*(1+CAGR!$D$22)</f>
        <v>2.9907407407407439E-3</v>
      </c>
      <c r="W8" s="18">
        <f>V8*(1+CAGR!$D$22)</f>
        <v>3.022417922580217E-3</v>
      </c>
      <c r="X8" s="18">
        <f>W8*(1+CAGR!$D$22)</f>
        <v>3.0544306212485555E-3</v>
      </c>
      <c r="Y8" s="18">
        <f>X8*(1+CAGR!$D$22)</f>
        <v>3.0867823904565349E-3</v>
      </c>
      <c r="Z8" s="18">
        <f>Y8*(1+CAGR!$D$22)</f>
        <v>3.1194768215549516E-3</v>
      </c>
      <c r="AA8" s="18">
        <f>Z8*(1+CAGR!$D$22)</f>
        <v>3.1525175439332956E-3</v>
      </c>
      <c r="AB8" s="18">
        <f>AA8*(1+CAGR!$D$22)</f>
        <v>3.1859082254226483E-3</v>
      </c>
      <c r="AC8" s="18">
        <f>AB8*(1+CAGR!$D$22)</f>
        <v>3.2196525727028447E-3</v>
      </c>
      <c r="AD8" s="18">
        <f>AC8*(1+CAGR!$D$22)</f>
        <v>3.2537543317139503E-3</v>
      </c>
      <c r="AE8" s="18">
        <f>AD8*(1+CAGR!$D$22)</f>
        <v>3.2882172880720961E-3</v>
      </c>
      <c r="AF8" s="18">
        <f>AE8*(1+CAGR!$D$22)</f>
        <v>3.3230452674897172E-3</v>
      </c>
      <c r="AG8" s="14"/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27949-0190-4A7F-B2B4-C3DC0F9CD3E5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21">
        <f>IFERROR(INDEX('SYFAFE frgt'!$B$3:$H$3,,MATCH($A2,'SYFAFE frgt'!$B$1:$H$1,0))*(1+INDEX(CAGR!$C$23:$C$29,MATCH($A2,CAGR!$B$23:$B$29,0))),0)</f>
        <v>2.8650420585667308E-3</v>
      </c>
      <c r="C2" s="21">
        <f>IFERROR(B2*(1+INDEX(CAGR!$C$23:$C$29,MATCH($A2,CAGR!$B$23:$B$29,0))),0)</f>
        <v>2.9108035451618055E-3</v>
      </c>
      <c r="D2" s="21">
        <f>IFERROR(C2*(1+INDEX(CAGR!$C$23:$C$29,MATCH($A2,CAGR!$B$23:$B$29,0))),0)</f>
        <v>2.9572959507495455E-3</v>
      </c>
      <c r="E2" s="21">
        <f>IFERROR(D2*(1+INDEX(CAGR!$C$23:$C$29,MATCH($A2,CAGR!$B$23:$B$29,0))),0)</f>
        <v>3.0045309498321049E-3</v>
      </c>
      <c r="F2" s="21">
        <f>IFERROR(E2*(1+INDEX(CAGR!$C$23:$C$29,MATCH($A2,CAGR!$B$23:$B$29,0))),0)</f>
        <v>3.0525204033810035E-3</v>
      </c>
      <c r="G2" s="21">
        <f>IFERROR(F2*(1+INDEX(CAGR!$C$23:$C$29,MATCH($A2,CAGR!$B$23:$B$29,0))),0)</f>
        <v>3.1012763618154817E-3</v>
      </c>
      <c r="H2" s="21">
        <f>IFERROR(G2*(1+INDEX(CAGR!$C$23:$C$29,MATCH($A2,CAGR!$B$23:$B$29,0))),0)</f>
        <v>3.1508110680284291E-3</v>
      </c>
      <c r="I2" s="21">
        <f>IFERROR(H2*(1+INDEX(CAGR!$C$23:$C$29,MATCH($A2,CAGR!$B$23:$B$29,0))),0)</f>
        <v>3.2011369604606423E-3</v>
      </c>
      <c r="J2" s="21">
        <f>IFERROR(I2*(1+INDEX(CAGR!$C$23:$C$29,MATCH($A2,CAGR!$B$23:$B$29,0))),0)</f>
        <v>3.2522666762241866E-3</v>
      </c>
      <c r="K2" s="21">
        <f>IFERROR(J2*(1+INDEX(CAGR!$C$23:$C$29,MATCH($A2,CAGR!$B$23:$B$29,0))),0)</f>
        <v>3.3042130542756468E-3</v>
      </c>
      <c r="L2" s="21">
        <f>IFERROR(K2*(1+INDEX(CAGR!$C$23:$C$29,MATCH($A2,CAGR!$B$23:$B$29,0))),0)</f>
        <v>3.3569891386400585E-3</v>
      </c>
      <c r="M2" s="21">
        <f>IFERROR(L2*(1+INDEX(CAGR!$C$23:$C$29,MATCH($A2,CAGR!$B$23:$B$29,0))),0)</f>
        <v>3.4106081816863369E-3</v>
      </c>
      <c r="N2" s="21">
        <f>IFERROR(M2*(1+INDEX(CAGR!$C$23:$C$29,MATCH($A2,CAGR!$B$23:$B$29,0))),0)</f>
        <v>3.4650836474550205E-3</v>
      </c>
      <c r="O2" s="21">
        <f>IFERROR(N2*(1+INDEX(CAGR!$C$23:$C$29,MATCH($A2,CAGR!$B$23:$B$29,0))),0)</f>
        <v>3.520429215039166E-3</v>
      </c>
      <c r="P2" s="21">
        <f>IFERROR(O2*(1+INDEX(CAGR!$C$23:$C$29,MATCH($A2,CAGR!$B$23:$B$29,0))),0)</f>
        <v>3.5766587820192457E-3</v>
      </c>
      <c r="Q2" s="21">
        <f>IFERROR(P2*(1+INDEX(CAGR!$C$23:$C$29,MATCH($A2,CAGR!$B$23:$B$29,0))),0)</f>
        <v>3.6337864679529064E-3</v>
      </c>
      <c r="R2" s="21">
        <f>IFERROR(Q2*(1+INDEX(CAGR!$C$23:$C$29,MATCH($A2,CAGR!$B$23:$B$29,0))),0)</f>
        <v>3.69182661792047E-3</v>
      </c>
      <c r="S2" s="21">
        <f>IFERROR(R2*(1+INDEX(CAGR!$C$23:$C$29,MATCH($A2,CAGR!$B$23:$B$29,0))),0)</f>
        <v>3.7507938061270623E-3</v>
      </c>
      <c r="T2" s="21">
        <f>IFERROR(S2*(1+INDEX(CAGR!$C$23:$C$29,MATCH($A2,CAGR!$B$23:$B$29,0))),0)</f>
        <v>3.8107028395622778E-3</v>
      </c>
      <c r="U2" s="21">
        <f>IFERROR(T2*(1+INDEX(CAGR!$C$23:$C$29,MATCH($A2,CAGR!$B$23:$B$29,0))),0)</f>
        <v>3.8715687617182962E-3</v>
      </c>
      <c r="V2" s="21">
        <f>IFERROR(U2*(1+INDEX(CAGR!$C$23:$C$29,MATCH($A2,CAGR!$B$23:$B$29,0))),0)</f>
        <v>3.9334068563673889E-3</v>
      </c>
      <c r="W2" s="21">
        <f>IFERROR(V2*(1+INDEX(CAGR!$C$23:$C$29,MATCH($A2,CAGR!$B$23:$B$29,0))),0)</f>
        <v>3.9962326513997577E-3</v>
      </c>
      <c r="X2" s="21">
        <f>IFERROR(W2*(1+INDEX(CAGR!$C$23:$C$29,MATCH($A2,CAGR!$B$23:$B$29,0))),0)</f>
        <v>4.0600619227226763E-3</v>
      </c>
      <c r="Y2" s="21">
        <f>IFERROR(X2*(1+INDEX(CAGR!$C$23:$C$29,MATCH($A2,CAGR!$B$23:$B$29,0))),0)</f>
        <v>4.1249106982219064E-3</v>
      </c>
      <c r="Z2" s="21">
        <f>IFERROR(Y2*(1+INDEX(CAGR!$C$23:$C$29,MATCH($A2,CAGR!$B$23:$B$29,0))),0)</f>
        <v>4.1907952617863909E-3</v>
      </c>
      <c r="AA2" s="21">
        <f>IFERROR(Z2*(1+INDEX(CAGR!$C$23:$C$29,MATCH($A2,CAGR!$B$23:$B$29,0))),0)</f>
        <v>4.2577321573972282E-3</v>
      </c>
      <c r="AB2" s="21">
        <f>IFERROR(AA2*(1+INDEX(CAGR!$C$23:$C$29,MATCH($A2,CAGR!$B$23:$B$29,0))),0)</f>
        <v>4.325738193281959E-3</v>
      </c>
      <c r="AC2" s="21">
        <f>IFERROR(AB2*(1+INDEX(CAGR!$C$23:$C$29,MATCH($A2,CAGR!$B$23:$B$29,0))),0)</f>
        <v>4.394830446135204E-3</v>
      </c>
      <c r="AD2" s="21">
        <f>IFERROR(AC2*(1+INDEX(CAGR!$C$23:$C$29,MATCH($A2,CAGR!$B$23:$B$29,0))),0)</f>
        <v>4.4650262654067196E-3</v>
      </c>
      <c r="AE2" s="21">
        <f>IFERROR(AD2*(1+INDEX(CAGR!$C$23:$C$29,MATCH($A2,CAGR!$B$23:$B$29,0))),0)</f>
        <v>4.53634327765794E-3</v>
      </c>
      <c r="AF2" s="21">
        <f>IFERROR(AE2*(1+INDEX(CAGR!$C$23:$C$29,MATCH($A2,CAGR!$B$23:$B$29,0))),0)</f>
        <v>4.608799390988105E-3</v>
      </c>
      <c r="AG2" s="14"/>
    </row>
    <row r="3" spans="1:33">
      <c r="A3" s="1" t="s">
        <v>10</v>
      </c>
      <c r="B3" s="13">
        <f>B5*Calibration!$C$27</f>
        <v>1.0276218605288386E-3</v>
      </c>
      <c r="C3" s="13">
        <f>B3*(1+CAGR!$C$24)</f>
        <v>1.0352160131144824E-3</v>
      </c>
      <c r="D3" s="13">
        <f>C3*(1+CAGR!$C$24)</f>
        <v>1.0428662866875335E-3</v>
      </c>
      <c r="E3" s="13">
        <f>D3*(1+CAGR!$C$24)</f>
        <v>1.050573095983565E-3</v>
      </c>
      <c r="F3" s="13">
        <f>E3*(1+CAGR!$C$24)</f>
        <v>1.0583368588030573E-3</v>
      </c>
      <c r="G3" s="13">
        <f>F3*(1+CAGR!$C$24)</f>
        <v>1.0661579960340474E-3</v>
      </c>
      <c r="H3" s="13">
        <f>G3*(1+CAGR!$C$24)</f>
        <v>1.0740369316749455E-3</v>
      </c>
      <c r="I3" s="13">
        <f>H3*(1+CAGR!$C$24)</f>
        <v>1.0819740928575217E-3</v>
      </c>
      <c r="J3" s="13">
        <f>I3*(1+CAGR!$C$24)</f>
        <v>1.0899699098700607E-3</v>
      </c>
      <c r="K3" s="13">
        <f>J3*(1+CAGR!$C$24)</f>
        <v>1.0980248161806894E-3</v>
      </c>
      <c r="L3" s="13">
        <f>K3*(1+CAGR!$C$24)</f>
        <v>1.106139248460875E-3</v>
      </c>
      <c r="M3" s="13">
        <f>L3*(1+CAGR!$C$24)</f>
        <v>1.1143136466090988E-3</v>
      </c>
      <c r="N3" s="13">
        <f>M3*(1+CAGR!$C$24)</f>
        <v>1.1225484537747033E-3</v>
      </c>
      <c r="O3" s="13">
        <f>N3*(1+CAGR!$C$24)</f>
        <v>1.1308441163819162E-3</v>
      </c>
      <c r="P3" s="13">
        <f>O3*(1+CAGR!$C$24)</f>
        <v>1.1392010841540521E-3</v>
      </c>
      <c r="Q3" s="13">
        <f>P3*(1+CAGR!$C$24)</f>
        <v>1.1476198101378926E-3</v>
      </c>
      <c r="R3" s="13">
        <f>Q3*(1+CAGR!$C$24)</f>
        <v>1.1561007507282473E-3</v>
      </c>
      <c r="S3" s="13">
        <f>R3*(1+CAGR!$C$24)</f>
        <v>1.1646443656926949E-3</v>
      </c>
      <c r="T3" s="13">
        <f>S3*(1+CAGR!$C$24)</f>
        <v>1.1732511181965089E-3</v>
      </c>
      <c r="U3" s="13">
        <f>T3*(1+CAGR!$C$24)</f>
        <v>1.1819214748277666E-3</v>
      </c>
      <c r="V3" s="13">
        <f>U3*(1+CAGR!$C$24)</f>
        <v>1.1906559056226429E-3</v>
      </c>
      <c r="W3" s="13">
        <f>V3*(1+CAGR!$C$24)</f>
        <v>1.1994548840908929E-3</v>
      </c>
      <c r="X3" s="13">
        <f>W3*(1+CAGR!$C$24)</f>
        <v>1.208318887241521E-3</v>
      </c>
      <c r="Y3" s="13">
        <f>X3*(1+CAGR!$C$24)</f>
        <v>1.2172483956086409E-3</v>
      </c>
      <c r="Z3" s="13">
        <f>Y3*(1+CAGR!$C$24)</f>
        <v>1.2262438932775256E-3</v>
      </c>
      <c r="AA3" s="13">
        <f>Z3*(1+CAGR!$C$24)</f>
        <v>1.2353058679108514E-3</v>
      </c>
      <c r="AB3" s="13">
        <f>AA3*(1+CAGR!$C$24)</f>
        <v>1.2444348107751345E-3</v>
      </c>
      <c r="AC3" s="13">
        <f>AB3*(1+CAGR!$C$24)</f>
        <v>1.2536312167673637E-3</v>
      </c>
      <c r="AD3" s="13">
        <f>AC3*(1+CAGR!$C$24)</f>
        <v>1.2628955844418293E-3</v>
      </c>
      <c r="AE3" s="13">
        <f>AD3*(1+CAGR!$C$24)</f>
        <v>1.2722284160371514E-3</v>
      </c>
      <c r="AF3" s="13">
        <f>AE3*(1+CAGR!$C$24)</f>
        <v>1.2816302175035058E-3</v>
      </c>
      <c r="AG3" s="14"/>
    </row>
    <row r="4" spans="1:33">
      <c r="A4" s="1" t="s">
        <v>11</v>
      </c>
      <c r="B4" s="14">
        <f>IFERROR(INDEX('SYFAFE frgt'!$B$3:$H$3,,MATCH($A4,'SYFAFE frgt'!$B$1:$H$1,0))*(1+INDEX(CAGR!$C$23:$C$29,MATCH($A4,CAGR!$B$23:$B$29,0))),0)</f>
        <v>1.5090702594118034E-3</v>
      </c>
      <c r="C4" s="14">
        <f>IFERROR(B4*(1+INDEX(CAGR!$C$23:$C$29,MATCH($A4,CAGR!$B$23:$B$29,0))),0)</f>
        <v>1.5202223283319145E-3</v>
      </c>
      <c r="D4" s="14">
        <f>IFERROR(C4*(1+INDEX(CAGR!$C$23:$C$29,MATCH($A4,CAGR!$B$23:$B$29,0))),0)</f>
        <v>1.5314568113347518E-3</v>
      </c>
      <c r="E4" s="14">
        <f>IFERROR(D4*(1+INDEX(CAGR!$C$23:$C$29,MATCH($A4,CAGR!$B$23:$B$29,0))),0)</f>
        <v>1.542774317462555E-3</v>
      </c>
      <c r="F4" s="14">
        <f>IFERROR(E4*(1+INDEX(CAGR!$C$23:$C$29,MATCH($A4,CAGR!$B$23:$B$29,0))),0)</f>
        <v>1.5541754602584018E-3</v>
      </c>
      <c r="G4" s="14">
        <f>IFERROR(F4*(1+INDEX(CAGR!$C$23:$C$29,MATCH($A4,CAGR!$B$23:$B$29,0))),0)</f>
        <v>1.5656608577994697E-3</v>
      </c>
      <c r="H4" s="14">
        <f>IFERROR(G4*(1+INDEX(CAGR!$C$23:$C$29,MATCH($A4,CAGR!$B$23:$B$29,0))),0)</f>
        <v>1.5772311327305424E-3</v>
      </c>
      <c r="I4" s="14">
        <f>IFERROR(H4*(1+INDEX(CAGR!$C$23:$C$29,MATCH($A4,CAGR!$B$23:$B$29,0))),0)</f>
        <v>1.5888869122977652E-3</v>
      </c>
      <c r="J4" s="14">
        <f>IFERROR(I4*(1+INDEX(CAGR!$C$23:$C$29,MATCH($A4,CAGR!$B$23:$B$29,0))),0)</f>
        <v>1.6006288283826489E-3</v>
      </c>
      <c r="K4" s="14">
        <f>IFERROR(J4*(1+INDEX(CAGR!$C$23:$C$29,MATCH($A4,CAGR!$B$23:$B$29,0))),0)</f>
        <v>1.6124575175363253E-3</v>
      </c>
      <c r="L4" s="14">
        <f>IFERROR(K4*(1+INDEX(CAGR!$C$23:$C$29,MATCH($A4,CAGR!$B$23:$B$29,0))),0)</f>
        <v>1.6243736210140554E-3</v>
      </c>
      <c r="M4" s="14">
        <f>IFERROR(L4*(1+INDEX(CAGR!$C$23:$C$29,MATCH($A4,CAGR!$B$23:$B$29,0))),0)</f>
        <v>1.6363777848099942E-3</v>
      </c>
      <c r="N4" s="14">
        <f>IFERROR(M4*(1+INDEX(CAGR!$C$23:$C$29,MATCH($A4,CAGR!$B$23:$B$29,0))),0)</f>
        <v>1.6484706596922099E-3</v>
      </c>
      <c r="O4" s="14">
        <f>IFERROR(N4*(1+INDEX(CAGR!$C$23:$C$29,MATCH($A4,CAGR!$B$23:$B$29,0))),0)</f>
        <v>1.6606529012379639E-3</v>
      </c>
      <c r="P4" s="14">
        <f>IFERROR(O4*(1+INDEX(CAGR!$C$23:$C$29,MATCH($A4,CAGR!$B$23:$B$29,0))),0)</f>
        <v>1.6729251698692513E-3</v>
      </c>
      <c r="Q4" s="14">
        <f>IFERROR(P4*(1+INDEX(CAGR!$C$23:$C$29,MATCH($A4,CAGR!$B$23:$B$29,0))),0)</f>
        <v>1.6852881308886025E-3</v>
      </c>
      <c r="R4" s="14">
        <f>IFERROR(Q4*(1+INDEX(CAGR!$C$23:$C$29,MATCH($A4,CAGR!$B$23:$B$29,0))),0)</f>
        <v>1.6977424545151516E-3</v>
      </c>
      <c r="S4" s="14">
        <f>IFERROR(R4*(1+INDEX(CAGR!$C$23:$C$29,MATCH($A4,CAGR!$B$23:$B$29,0))),0)</f>
        <v>1.7102888159209692E-3</v>
      </c>
      <c r="T4" s="14">
        <f>IFERROR(S4*(1+INDEX(CAGR!$C$23:$C$29,MATCH($A4,CAGR!$B$23:$B$29,0))),0)</f>
        <v>1.7229278952676657E-3</v>
      </c>
      <c r="U4" s="14">
        <f>IFERROR(T4*(1+INDEX(CAGR!$C$23:$C$29,MATCH($A4,CAGR!$B$23:$B$29,0))),0)</f>
        <v>1.7356603777432637E-3</v>
      </c>
      <c r="V4" s="14">
        <f>IFERROR(U4*(1+INDEX(CAGR!$C$23:$C$29,MATCH($A4,CAGR!$B$23:$B$29,0))),0)</f>
        <v>1.748486953599343E-3</v>
      </c>
      <c r="W4" s="14">
        <f>IFERROR(V4*(1+INDEX(CAGR!$C$23:$C$29,MATCH($A4,CAGR!$B$23:$B$29,0))),0)</f>
        <v>1.7614083181884609E-3</v>
      </c>
      <c r="X4" s="14">
        <f>IFERROR(W4*(1+INDEX(CAGR!$C$23:$C$29,MATCH($A4,CAGR!$B$23:$B$29,0))),0)</f>
        <v>1.7744251720018486E-3</v>
      </c>
      <c r="Y4" s="14">
        <f>IFERROR(X4*(1+INDEX(CAGR!$C$23:$C$29,MATCH($A4,CAGR!$B$23:$B$29,0))),0)</f>
        <v>1.7875382207073857E-3</v>
      </c>
      <c r="Z4" s="14">
        <f>IFERROR(Y4*(1+INDEX(CAGR!$C$23:$C$29,MATCH($A4,CAGR!$B$23:$B$29,0))),0)</f>
        <v>1.800748175187856E-3</v>
      </c>
      <c r="AA4" s="14">
        <f>IFERROR(Z4*(1+INDEX(CAGR!$C$23:$C$29,MATCH($A4,CAGR!$B$23:$B$29,0))),0)</f>
        <v>1.8140557515794857E-3</v>
      </c>
      <c r="AB4" s="14">
        <f>IFERROR(AA4*(1+INDEX(CAGR!$C$23:$C$29,MATCH($A4,CAGR!$B$23:$B$29,0))),0)</f>
        <v>1.8274616713107668E-3</v>
      </c>
      <c r="AC4" s="14">
        <f>IFERROR(AB4*(1+INDEX(CAGR!$C$23:$C$29,MATCH($A4,CAGR!$B$23:$B$29,0))),0)</f>
        <v>1.8409666611415667E-3</v>
      </c>
      <c r="AD4" s="14">
        <f>IFERROR(AC4*(1+INDEX(CAGR!$C$23:$C$29,MATCH($A4,CAGR!$B$23:$B$29,0))),0)</f>
        <v>1.8545714532025273E-3</v>
      </c>
      <c r="AE4" s="14">
        <f>IFERROR(AD4*(1+INDEX(CAGR!$C$23:$C$29,MATCH($A4,CAGR!$B$23:$B$29,0))),0)</f>
        <v>1.8682767850347552E-3</v>
      </c>
      <c r="AF4" s="14">
        <f>IFERROR(AE4*(1+INDEX(CAGR!$C$23:$C$29,MATCH($A4,CAGR!$B$23:$B$29,0))),0)</f>
        <v>1.8820833996298053E-3</v>
      </c>
      <c r="AG4" s="14"/>
    </row>
    <row r="5" spans="1:33">
      <c r="A5" s="1" t="s">
        <v>12</v>
      </c>
      <c r="B5" s="14">
        <f>IFERROR(INDEX('SYFAFE frgt'!$B$3:$H$3,,MATCH($A5,'SYFAFE frgt'!$B$1:$H$1,0))*(1+INDEX(CAGR!$C$23:$C$29,MATCH($A5,CAGR!$B$23:$B$29,0))),0)</f>
        <v>1.5000037491750171E-3</v>
      </c>
      <c r="C5" s="14">
        <f>IFERROR(B5*(1+INDEX(CAGR!$C$23:$C$29,MATCH($A5,CAGR!$B$23:$B$29,0))),0)</f>
        <v>1.5110888163459419E-3</v>
      </c>
      <c r="D5" s="14">
        <f>IFERROR(C5*(1+INDEX(CAGR!$C$23:$C$29,MATCH($A5,CAGR!$B$23:$B$29,0))),0)</f>
        <v>1.5222558024549037E-3</v>
      </c>
      <c r="E5" s="14">
        <f>IFERROR(D5*(1+INDEX(CAGR!$C$23:$C$29,MATCH($A5,CAGR!$B$23:$B$29,0))),0)</f>
        <v>1.5335053128850097E-3</v>
      </c>
      <c r="F5" s="14">
        <f>IFERROR(E5*(1+INDEX(CAGR!$C$23:$C$29,MATCH($A5,CAGR!$B$23:$B$29,0))),0)</f>
        <v>1.5448379574931645E-3</v>
      </c>
      <c r="G5" s="14">
        <f>IFERROR(F5*(1+INDEX(CAGR!$C$23:$C$29,MATCH($A5,CAGR!$B$23:$B$29,0))),0)</f>
        <v>1.556254350643131E-3</v>
      </c>
      <c r="H5" s="14">
        <f>IFERROR(G5*(1+INDEX(CAGR!$C$23:$C$29,MATCH($A5,CAGR!$B$23:$B$29,0))),0)</f>
        <v>1.5677551112388368E-3</v>
      </c>
      <c r="I5" s="14">
        <f>IFERROR(H5*(1+INDEX(CAGR!$C$23:$C$29,MATCH($A5,CAGR!$B$23:$B$29,0))),0)</f>
        <v>1.5793408627579255E-3</v>
      </c>
      <c r="J5" s="14">
        <f>IFERROR(I5*(1+INDEX(CAGR!$C$23:$C$29,MATCH($A5,CAGR!$B$23:$B$29,0))),0)</f>
        <v>1.5910122332855568E-3</v>
      </c>
      <c r="K5" s="14">
        <f>IFERROR(J5*(1+INDEX(CAGR!$C$23:$C$29,MATCH($A5,CAGR!$B$23:$B$29,0))),0)</f>
        <v>1.6027698555484567E-3</v>
      </c>
      <c r="L5" s="14">
        <f>IFERROR(K5*(1+INDEX(CAGR!$C$23:$C$29,MATCH($A5,CAGR!$B$23:$B$29,0))),0)</f>
        <v>1.6146143669492179E-3</v>
      </c>
      <c r="M5" s="14">
        <f>IFERROR(L5*(1+INDEX(CAGR!$C$23:$C$29,MATCH($A5,CAGR!$B$23:$B$29,0))),0)</f>
        <v>1.6265464096008552E-3</v>
      </c>
      <c r="N5" s="14">
        <f>IFERROR(M5*(1+INDEX(CAGR!$C$23:$C$29,MATCH($A5,CAGR!$B$23:$B$29,0))),0)</f>
        <v>1.6385666303616155E-3</v>
      </c>
      <c r="O5" s="14">
        <f>IFERROR(N5*(1+INDEX(CAGR!$C$23:$C$29,MATCH($A5,CAGR!$B$23:$B$29,0))),0)</f>
        <v>1.6506756808700453E-3</v>
      </c>
      <c r="P5" s="14">
        <f>IFERROR(O5*(1+INDEX(CAGR!$C$23:$C$29,MATCH($A5,CAGR!$B$23:$B$29,0))),0)</f>
        <v>1.662874217580317E-3</v>
      </c>
      <c r="Q5" s="14">
        <f>IFERROR(P5*(1+INDEX(CAGR!$C$23:$C$29,MATCH($A5,CAGR!$B$23:$B$29,0))),0)</f>
        <v>1.6751629017978163E-3</v>
      </c>
      <c r="R5" s="14">
        <f>IFERROR(Q5*(1+INDEX(CAGR!$C$23:$C$29,MATCH($A5,CAGR!$B$23:$B$29,0))),0)</f>
        <v>1.6875423997149935E-3</v>
      </c>
      <c r="S5" s="14">
        <f>IFERROR(R5*(1+INDEX(CAGR!$C$23:$C$29,MATCH($A5,CAGR!$B$23:$B$29,0))),0)</f>
        <v>1.7000133824474784E-3</v>
      </c>
      <c r="T5" s="14">
        <f>IFERROR(S5*(1+INDEX(CAGR!$C$23:$C$29,MATCH($A5,CAGR!$B$23:$B$29,0))),0)</f>
        <v>1.7125765260704632E-3</v>
      </c>
      <c r="U5" s="14">
        <f>IFERROR(T5*(1+INDEX(CAGR!$C$23:$C$29,MATCH($A5,CAGR!$B$23:$B$29,0))),0)</f>
        <v>1.7252325116553532E-3</v>
      </c>
      <c r="V5" s="14">
        <f>IFERROR(U5*(1+INDEX(CAGR!$C$23:$C$29,MATCH($A5,CAGR!$B$23:$B$29,0))),0)</f>
        <v>1.7379820253066898E-3</v>
      </c>
      <c r="W5" s="14">
        <f>IFERROR(V5*(1+INDEX(CAGR!$C$23:$C$29,MATCH($A5,CAGR!$B$23:$B$29,0))),0)</f>
        <v>1.7508257581993446E-3</v>
      </c>
      <c r="X5" s="14">
        <f>IFERROR(W5*(1+INDEX(CAGR!$C$23:$C$29,MATCH($A5,CAGR!$B$23:$B$29,0))),0)</f>
        <v>1.7637644066159897E-3</v>
      </c>
      <c r="Y5" s="14">
        <f>IFERROR(X5*(1+INDEX(CAGR!$C$23:$C$29,MATCH($A5,CAGR!$B$23:$B$29,0))),0)</f>
        <v>1.7767986719848447E-3</v>
      </c>
      <c r="Z5" s="14">
        <f>IFERROR(Y5*(1+INDEX(CAGR!$C$23:$C$29,MATCH($A5,CAGR!$B$23:$B$29,0))),0)</f>
        <v>1.7899292609177019E-3</v>
      </c>
      <c r="AA5" s="14">
        <f>IFERROR(Z5*(1+INDEX(CAGR!$C$23:$C$29,MATCH($A5,CAGR!$B$23:$B$29,0))),0)</f>
        <v>1.8031568852482339E-3</v>
      </c>
      <c r="AB5" s="14">
        <f>IFERROR(AA5*(1+INDEX(CAGR!$C$23:$C$29,MATCH($A5,CAGR!$B$23:$B$29,0))),0)</f>
        <v>1.8164822620705819E-3</v>
      </c>
      <c r="AC5" s="14">
        <f>IFERROR(AB5*(1+INDEX(CAGR!$C$23:$C$29,MATCH($A5,CAGR!$B$23:$B$29,0))),0)</f>
        <v>1.8299061137782328E-3</v>
      </c>
      <c r="AD5" s="14">
        <f>IFERROR(AC5*(1+INDEX(CAGR!$C$23:$C$29,MATCH($A5,CAGR!$B$23:$B$29,0))),0)</f>
        <v>1.8434291681031795E-3</v>
      </c>
      <c r="AE5" s="14">
        <f>IFERROR(AD5*(1+INDEX(CAGR!$C$23:$C$29,MATCH($A5,CAGR!$B$23:$B$29,0))),0)</f>
        <v>1.8570521581553741E-3</v>
      </c>
      <c r="AF5" s="14">
        <f>IFERROR(AE5*(1+INDEX(CAGR!$C$23:$C$29,MATCH($A5,CAGR!$B$23:$B$29,0))),0)</f>
        <v>1.87077582246247E-3</v>
      </c>
      <c r="AG5" s="14"/>
    </row>
    <row r="6" spans="1:33">
      <c r="A6" s="1" t="s">
        <v>13</v>
      </c>
      <c r="B6" s="13">
        <f>B5*Calibration!$E$26</f>
        <v>3.3261248918118554E-3</v>
      </c>
      <c r="C6" s="13">
        <f>B6*(1+CAGR!$C$27)</f>
        <v>3.350705042271411E-3</v>
      </c>
      <c r="D6" s="13">
        <f>C6*(1+CAGR!$C$27)</f>
        <v>3.3754668406895567E-3</v>
      </c>
      <c r="E6" s="13">
        <f>D6*(1+CAGR!$C$27)</f>
        <v>3.4004116294494863E-3</v>
      </c>
      <c r="F6" s="13">
        <f>E6*(1+CAGR!$C$27)</f>
        <v>3.4255407608546392E-3</v>
      </c>
      <c r="G6" s="13">
        <f>F6*(1+CAGR!$C$27)</f>
        <v>3.450855597202014E-3</v>
      </c>
      <c r="H6" s="13">
        <f>G6*(1+CAGR!$C$27)</f>
        <v>3.4763575108560196E-3</v>
      </c>
      <c r="I6" s="13">
        <f>H6*(1+CAGR!$C$27)</f>
        <v>3.5020478843228739E-3</v>
      </c>
      <c r="J6" s="13">
        <f>I6*(1+CAGR!$C$27)</f>
        <v>3.5279281103255521E-3</v>
      </c>
      <c r="K6" s="13">
        <f>J6*(1+CAGR!$C$27)</f>
        <v>3.553999591879289E-3</v>
      </c>
      <c r="L6" s="13">
        <f>K6*(1+CAGR!$C$27)</f>
        <v>3.5802637423676385E-3</v>
      </c>
      <c r="M6" s="13">
        <f>L6*(1+CAGR!$C$27)</f>
        <v>3.6067219856190966E-3</v>
      </c>
      <c r="N6" s="13">
        <f>M6*(1+CAGR!$C$27)</f>
        <v>3.6333757559842889E-3</v>
      </c>
      <c r="O6" s="13">
        <f>N6*(1+CAGR!$C$27)</f>
        <v>3.6602264984137308E-3</v>
      </c>
      <c r="P6" s="13">
        <f>O6*(1+CAGR!$C$27)</f>
        <v>3.687275668536159E-3</v>
      </c>
      <c r="Q6" s="13">
        <f>P6*(1+CAGR!$C$27)</f>
        <v>3.7145247327374452E-3</v>
      </c>
      <c r="R6" s="13">
        <f>Q6*(1+CAGR!$C$27)</f>
        <v>3.7419751682400914E-3</v>
      </c>
      <c r="S6" s="13">
        <f>R6*(1+CAGR!$C$27)</f>
        <v>3.7696284631833121E-3</v>
      </c>
      <c r="T6" s="13">
        <f>S6*(1+CAGR!$C$27)</f>
        <v>3.797486116703711E-3</v>
      </c>
      <c r="U6" s="13">
        <f>T6*(1+CAGR!$C$27)</f>
        <v>3.8255496390165499E-3</v>
      </c>
      <c r="V6" s="13">
        <f>U6*(1+CAGR!$C$27)</f>
        <v>3.853820551497621E-3</v>
      </c>
      <c r="W6" s="13">
        <f>V6*(1+CAGR!$C$27)</f>
        <v>3.882300386765724E-3</v>
      </c>
      <c r="X6" s="13">
        <f>W6*(1+CAGR!$C$27)</f>
        <v>3.9109906887657515E-3</v>
      </c>
      <c r="Y6" s="13">
        <f>X6*(1+CAGR!$C$27)</f>
        <v>3.93989301285239E-3</v>
      </c>
      <c r="Z6" s="13">
        <f>Y6*(1+CAGR!$C$27)</f>
        <v>3.9690089258744383E-3</v>
      </c>
      <c r="AA6" s="13">
        <f>Z6*(1+CAGR!$C$27)</f>
        <v>3.9983400062597475E-3</v>
      </c>
      <c r="AB6" s="13">
        <f>AA6*(1+CAGR!$C$27)</f>
        <v>4.0278878441007936E-3</v>
      </c>
      <c r="AC6" s="13">
        <f>AB6*(1+CAGR!$C$27)</f>
        <v>4.0576540412408778E-3</v>
      </c>
      <c r="AD6" s="13">
        <f>AC6*(1+CAGR!$C$27)</f>
        <v>4.0876402113609643E-3</v>
      </c>
      <c r="AE6" s="13">
        <f>AD6*(1+CAGR!$C$27)</f>
        <v>4.1178479800671628E-3</v>
      </c>
      <c r="AF6" s="13">
        <f>AE6*(1+CAGR!$C$27)</f>
        <v>4.1482789849788546E-3</v>
      </c>
      <c r="AG6" s="14"/>
    </row>
    <row r="7" spans="1:33">
      <c r="A7" s="1" t="s">
        <v>14</v>
      </c>
      <c r="B7" s="14">
        <f>IFERROR(INDEX('SYFAFE frgt'!$B$3:$H$3,,MATCH($A7,'SYFAFE frgt'!$B$1:$H$1,0))*(1+INDEX(CAGR!$C$23:$C$29,MATCH($A7,CAGR!$B$23:$B$29,0))),0)</f>
        <v>1.6057797019375264E-3</v>
      </c>
      <c r="C7" s="14">
        <f>IFERROR(B7*(1+INDEX(CAGR!$C$23:$C$29,MATCH($A7,CAGR!$B$23:$B$29,0))),0)</f>
        <v>1.6176464561822907E-3</v>
      </c>
      <c r="D7" s="14">
        <f>IFERROR(C7*(1+INDEX(CAGR!$C$23:$C$29,MATCH($A7,CAGR!$B$23:$B$29,0))),0)</f>
        <v>1.6296009060531335E-3</v>
      </c>
      <c r="E7" s="14">
        <f>IFERROR(D7*(1+INDEX(CAGR!$C$23:$C$29,MATCH($A7,CAGR!$B$23:$B$29,0))),0)</f>
        <v>1.6416436996230389E-3</v>
      </c>
      <c r="F7" s="14">
        <f>IFERROR(E7*(1+INDEX(CAGR!$C$23:$C$29,MATCH($A7,CAGR!$B$23:$B$29,0))),0)</f>
        <v>1.6537754897542672E-3</v>
      </c>
      <c r="G7" s="14">
        <f>IFERROR(F7*(1+INDEX(CAGR!$C$23:$C$29,MATCH($A7,CAGR!$B$23:$B$29,0))),0)</f>
        <v>1.6659969341337479E-3</v>
      </c>
      <c r="H7" s="14">
        <f>IFERROR(G7*(1+INDEX(CAGR!$C$23:$C$29,MATCH($A7,CAGR!$B$23:$B$29,0))),0)</f>
        <v>1.6783086953087345E-3</v>
      </c>
      <c r="I7" s="14">
        <f>IFERROR(H7*(1+INDEX(CAGR!$C$23:$C$29,MATCH($A7,CAGR!$B$23:$B$29,0))),0)</f>
        <v>1.6907114407227219E-3</v>
      </c>
      <c r="J7" s="14">
        <f>IFERROR(I7*(1+INDEX(CAGR!$C$23:$C$29,MATCH($A7,CAGR!$B$23:$B$29,0))),0)</f>
        <v>1.7032058427516302E-3</v>
      </c>
      <c r="K7" s="14">
        <f>IFERROR(J7*(1+INDEX(CAGR!$C$23:$C$29,MATCH($A7,CAGR!$B$23:$B$29,0))),0)</f>
        <v>1.715792578740255E-3</v>
      </c>
      <c r="L7" s="14">
        <f>IFERROR(K7*(1+INDEX(CAGR!$C$23:$C$29,MATCH($A7,CAGR!$B$23:$B$29,0))),0)</f>
        <v>1.7284723310389879E-3</v>
      </c>
      <c r="M7" s="14">
        <f>IFERROR(L7*(1+INDEX(CAGR!$C$23:$C$29,MATCH($A7,CAGR!$B$23:$B$29,0))),0)</f>
        <v>1.7412457870408079E-3</v>
      </c>
      <c r="N7" s="14">
        <f>IFERROR(M7*(1+INDEX(CAGR!$C$23:$C$29,MATCH($A7,CAGR!$B$23:$B$29,0))),0)</f>
        <v>1.754113639218546E-3</v>
      </c>
      <c r="O7" s="14">
        <f>IFERROR(N7*(1+INDEX(CAGR!$C$23:$C$29,MATCH($A7,CAGR!$B$23:$B$29,0))),0)</f>
        <v>1.7670765851624259E-3</v>
      </c>
      <c r="P7" s="14">
        <f>IFERROR(O7*(1+INDEX(CAGR!$C$23:$C$29,MATCH($A7,CAGR!$B$23:$B$29,0))),0)</f>
        <v>1.7801353276178811E-3</v>
      </c>
      <c r="Q7" s="14">
        <f>IFERROR(P7*(1+INDEX(CAGR!$C$23:$C$29,MATCH($A7,CAGR!$B$23:$B$29,0))),0)</f>
        <v>1.7932905745236527E-3</v>
      </c>
      <c r="R7" s="14">
        <f>IFERROR(Q7*(1+INDEX(CAGR!$C$23:$C$29,MATCH($A7,CAGR!$B$23:$B$29,0))),0)</f>
        <v>1.8065430390501675E-3</v>
      </c>
      <c r="S7" s="14">
        <f>IFERROR(R7*(1+INDEX(CAGR!$C$23:$C$29,MATCH($A7,CAGR!$B$23:$B$29,0))),0)</f>
        <v>1.8198934396382004E-3</v>
      </c>
      <c r="T7" s="14">
        <f>IFERROR(S7*(1+INDEX(CAGR!$C$23:$C$29,MATCH($A7,CAGR!$B$23:$B$29,0))),0)</f>
        <v>1.8333425000378227E-3</v>
      </c>
      <c r="U7" s="14">
        <f>IFERROR(T7*(1+INDEX(CAGR!$C$23:$C$29,MATCH($A7,CAGR!$B$23:$B$29,0))),0)</f>
        <v>1.8468909493476379E-3</v>
      </c>
      <c r="V7" s="14">
        <f>IFERROR(U7*(1+INDEX(CAGR!$C$23:$C$29,MATCH($A7,CAGR!$B$23:$B$29,0))),0)</f>
        <v>1.8605395220543071E-3</v>
      </c>
      <c r="W7" s="14">
        <f>IFERROR(V7*(1+INDEX(CAGR!$C$23:$C$29,MATCH($A7,CAGR!$B$23:$B$29,0))),0)</f>
        <v>1.8742889580723673E-3</v>
      </c>
      <c r="X7" s="14">
        <f>IFERROR(W7*(1+INDEX(CAGR!$C$23:$C$29,MATCH($A7,CAGR!$B$23:$B$29,0))),0)</f>
        <v>1.8881400027843432E-3</v>
      </c>
      <c r="Y7" s="14">
        <f>IFERROR(X7*(1+INDEX(CAGR!$C$23:$C$29,MATCH($A7,CAGR!$B$23:$B$29,0))),0)</f>
        <v>1.9020934070811564E-3</v>
      </c>
      <c r="Z7" s="14">
        <f>IFERROR(Y7*(1+INDEX(CAGR!$C$23:$C$29,MATCH($A7,CAGR!$B$23:$B$29,0))),0)</f>
        <v>1.9161499274028316E-3</v>
      </c>
      <c r="AA7" s="14">
        <f>IFERROR(Z7*(1+INDEX(CAGR!$C$23:$C$29,MATCH($A7,CAGR!$B$23:$B$29,0))),0)</f>
        <v>1.9303103257795058E-3</v>
      </c>
      <c r="AB7" s="14">
        <f>IFERROR(AA7*(1+INDEX(CAGR!$C$23:$C$29,MATCH($A7,CAGR!$B$23:$B$29,0))),0)</f>
        <v>1.9445753698727382E-3</v>
      </c>
      <c r="AC7" s="14">
        <f>IFERROR(AB7*(1+INDEX(CAGR!$C$23:$C$29,MATCH($A7,CAGR!$B$23:$B$29,0))),0)</f>
        <v>1.9589458330171272E-3</v>
      </c>
      <c r="AD7" s="14">
        <f>IFERROR(AC7*(1+INDEX(CAGR!$C$23:$C$29,MATCH($A7,CAGR!$B$23:$B$29,0))),0)</f>
        <v>1.9734224942622347E-3</v>
      </c>
      <c r="AE7" s="14">
        <f>IFERROR(AD7*(1+INDEX(CAGR!$C$23:$C$29,MATCH($A7,CAGR!$B$23:$B$29,0))),0)</f>
        <v>1.9880061384148192E-3</v>
      </c>
      <c r="AF7" s="14">
        <f>IFERROR(AE7*(1+INDEX(CAGR!$C$23:$C$29,MATCH($A7,CAGR!$B$23:$B$29,0))),0)</f>
        <v>2.0026975560813809E-3</v>
      </c>
      <c r="AG7" s="14"/>
    </row>
    <row r="8" spans="1:33">
      <c r="A8" s="1" t="s">
        <v>15</v>
      </c>
      <c r="B8" s="13">
        <f>B5*Calibration!$F$27</f>
        <v>5.9907913941804319E-3</v>
      </c>
      <c r="C8" s="13">
        <f>B8*(1+CAGR!$C$29)</f>
        <v>6.0350635001988418E-3</v>
      </c>
      <c r="D8" s="13">
        <f>C8*(1+CAGR!$C$29)</f>
        <v>6.0796627782455093E-3</v>
      </c>
      <c r="E8" s="13">
        <f>D8*(1+CAGR!$C$29)</f>
        <v>6.1245916461303319E-3</v>
      </c>
      <c r="F8" s="13">
        <f>E8*(1+CAGR!$C$29)</f>
        <v>6.1698525395308844E-3</v>
      </c>
      <c r="G8" s="13">
        <f>F8*(1+CAGR!$C$29)</f>
        <v>6.2154479121244634E-3</v>
      </c>
      <c r="H8" s="13">
        <f>G8*(1+CAGR!$C$29)</f>
        <v>6.2613802357211062E-3</v>
      </c>
      <c r="I8" s="13">
        <f>H8*(1+CAGR!$C$29)</f>
        <v>6.3076520003975895E-3</v>
      </c>
      <c r="J8" s="13">
        <f>I8*(1+CAGR!$C$29)</f>
        <v>6.354265714632424E-3</v>
      </c>
      <c r="K8" s="13">
        <f>J8*(1+CAGR!$C$29)</f>
        <v>6.4012239054418432E-3</v>
      </c>
      <c r="L8" s="13">
        <f>K8*(1+CAGR!$C$29)</f>
        <v>6.4485291185167959E-3</v>
      </c>
      <c r="M8" s="13">
        <f>L8*(1+CAGR!$C$29)</f>
        <v>6.4961839183609541E-3</v>
      </c>
      <c r="N8" s="13">
        <f>M8*(1+CAGR!$C$29)</f>
        <v>6.5441908884297404E-3</v>
      </c>
      <c r="O8" s="13">
        <f>N8*(1+CAGR!$C$29)</f>
        <v>6.5925526312703804E-3</v>
      </c>
      <c r="P8" s="13">
        <f>O8*(1+CAGR!$C$29)</f>
        <v>6.6412717686629916E-3</v>
      </c>
      <c r="Q8" s="13">
        <f>P8*(1+CAGR!$C$29)</f>
        <v>6.6903509417627158E-3</v>
      </c>
      <c r="R8" s="13">
        <f>Q8*(1+CAGR!$C$29)</f>
        <v>6.7397928112429006E-3</v>
      </c>
      <c r="S8" s="13">
        <f>R8*(1+CAGR!$C$29)</f>
        <v>6.7896000574393404E-3</v>
      </c>
      <c r="T8" s="13">
        <f>S8*(1+CAGR!$C$29)</f>
        <v>6.8397753804955814E-3</v>
      </c>
      <c r="U8" s="13">
        <f>T8*(1+CAGR!$C$29)</f>
        <v>6.890321500509302E-3</v>
      </c>
      <c r="V8" s="13">
        <f>U8*(1+CAGR!$C$29)</f>
        <v>6.9412411576797728E-3</v>
      </c>
      <c r="W8" s="13">
        <f>V8*(1+CAGR!$C$29)</f>
        <v>6.9925371124564097E-3</v>
      </c>
      <c r="X8" s="13">
        <f>W8*(1+CAGR!$C$29)</f>
        <v>7.0442121456884233E-3</v>
      </c>
      <c r="Y8" s="13">
        <f>X8*(1+CAGR!$C$29)</f>
        <v>7.0962690587755718E-3</v>
      </c>
      <c r="Z8" s="13">
        <f>Y8*(1+CAGR!$C$29)</f>
        <v>7.148710673820031E-3</v>
      </c>
      <c r="AA8" s="13">
        <f>Z8*(1+CAGR!$C$29)</f>
        <v>7.2015398337793874E-3</v>
      </c>
      <c r="AB8" s="13">
        <f>AA8*(1+CAGR!$C$29)</f>
        <v>7.2547594026207583E-3</v>
      </c>
      <c r="AC8" s="13">
        <f>AB8*(1+CAGR!$C$29)</f>
        <v>7.3083722654760539E-3</v>
      </c>
      <c r="AD8" s="13">
        <f>AC8*(1+CAGR!$C$29)</f>
        <v>7.3623813287983838E-3</v>
      </c>
      <c r="AE8" s="13">
        <f>AD8*(1+CAGR!$C$29)</f>
        <v>7.4167895205196231E-3</v>
      </c>
      <c r="AF8" s="13">
        <f>AE8*(1+CAGR!$C$29)</f>
        <v>7.471599790209141E-3</v>
      </c>
      <c r="AG8" s="14"/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2C3C7-AA0C-4A82-B7C4-68B2E4B4CB1A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3">
        <f>B5*Calibration!B32</f>
        <v>1.9385542819327719E-3</v>
      </c>
      <c r="C2" s="13">
        <f>B2*(1+CAGR!$C$30)</f>
        <v>1.9523345198353156E-3</v>
      </c>
      <c r="D2" s="13">
        <f>C2*(1+CAGR!$C$30)</f>
        <v>1.9662127147352057E-3</v>
      </c>
      <c r="E2" s="13">
        <f>D2*(1+CAGR!$C$30)</f>
        <v>1.9801895629610101E-3</v>
      </c>
      <c r="F2" s="13">
        <f>E2*(1+CAGR!$C$30)</f>
        <v>1.9942657657911578E-3</v>
      </c>
      <c r="G2" s="13">
        <f>F2*(1+CAGR!$C$30)</f>
        <v>2.0084420294891239E-3</v>
      </c>
      <c r="H2" s="13">
        <f>G2*(1+CAGR!$C$30)</f>
        <v>2.0227190653388672E-3</v>
      </c>
      <c r="I2" s="13">
        <f>H2*(1+CAGR!$C$30)</f>
        <v>2.0370975896805174E-3</v>
      </c>
      <c r="J2" s="13">
        <f>I2*(1+CAGR!$C$30)</f>
        <v>2.0515783239463165E-3</v>
      </c>
      <c r="K2" s="13">
        <f>J2*(1+CAGR!$C$30)</f>
        <v>2.0661619946968179E-3</v>
      </c>
      <c r="L2" s="13">
        <f>K2*(1+CAGR!$C$30)</f>
        <v>2.0808493336573392E-3</v>
      </c>
      <c r="M2" s="13">
        <f>L2*(1+CAGR!$C$30)</f>
        <v>2.0956410777546769E-3</v>
      </c>
      <c r="N2" s="13">
        <f>M2*(1+CAGR!$C$30)</f>
        <v>2.1105379691540812E-3</v>
      </c>
      <c r="O2" s="13">
        <f>N2*(1+CAGR!$C$30)</f>
        <v>2.1255407552964933E-3</v>
      </c>
      <c r="P2" s="13">
        <f>O2*(1+CAGR!$C$30)</f>
        <v>2.1406501889360482E-3</v>
      </c>
      <c r="Q2" s="13">
        <f>P2*(1+CAGR!$C$30)</f>
        <v>2.155867028177843E-3</v>
      </c>
      <c r="R2" s="13">
        <f>Q2*(1+CAGR!$C$30)</f>
        <v>2.1711920365159744E-3</v>
      </c>
      <c r="S2" s="13">
        <f>R2*(1+CAGR!$C$30)</f>
        <v>2.1866259828718475E-3</v>
      </c>
      <c r="T2" s="13">
        <f>S2*(1+CAGR!$C$30)</f>
        <v>2.2021696416327542E-3</v>
      </c>
      <c r="U2" s="13">
        <f>T2*(1+CAGR!$C$30)</f>
        <v>2.2178237926907284E-3</v>
      </c>
      <c r="V2" s="13">
        <f>U2*(1+CAGR!$C$30)</f>
        <v>2.233589221481677E-3</v>
      </c>
      <c r="W2" s="13">
        <f>V2*(1+CAGR!$C$30)</f>
        <v>2.2494667190247879E-3</v>
      </c>
      <c r="X2" s="13">
        <f>W2*(1+CAGR!$C$30)</f>
        <v>2.2654570819622189E-3</v>
      </c>
      <c r="Y2" s="13">
        <f>X2*(1+CAGR!$C$30)</f>
        <v>2.2815611125990686E-3</v>
      </c>
      <c r="Z2" s="13">
        <f>Y2*(1+CAGR!$C$30)</f>
        <v>2.2977796189436323E-3</v>
      </c>
      <c r="AA2" s="13">
        <f>Z2*(1+CAGR!$C$30)</f>
        <v>2.3141134147479417E-3</v>
      </c>
      <c r="AB2" s="13">
        <f>AA2*(1+CAGR!$C$30)</f>
        <v>2.3305633195485958E-3</v>
      </c>
      <c r="AC2" s="13">
        <f>AB2*(1+CAGR!$C$30)</f>
        <v>2.34713015870788E-3</v>
      </c>
      <c r="AD2" s="13">
        <f>AC2*(1+CAGR!$C$30)</f>
        <v>2.3638147634551777E-3</v>
      </c>
      <c r="AE2" s="13">
        <f>AD2*(1+CAGR!$C$30)</f>
        <v>2.3806179709286771E-3</v>
      </c>
      <c r="AF2" s="13">
        <f>AE2*(1+CAGR!$C$30)</f>
        <v>2.3975406242173745E-3</v>
      </c>
      <c r="AG2" s="14"/>
    </row>
    <row r="3" spans="1:33">
      <c r="A3" s="1" t="s">
        <v>10</v>
      </c>
      <c r="B3" s="14">
        <f>'US-aircraft-psgr'!B3</f>
        <v>0</v>
      </c>
      <c r="C3" s="14">
        <f>'US-aircraft-psgr'!C3</f>
        <v>0</v>
      </c>
      <c r="D3" s="14">
        <f>'US-aircraft-psgr'!D3</f>
        <v>0</v>
      </c>
      <c r="E3" s="14">
        <f>'US-aircraft-psgr'!E3</f>
        <v>0</v>
      </c>
      <c r="F3" s="14">
        <f>'US-aircraft-psgr'!F3</f>
        <v>0</v>
      </c>
      <c r="G3" s="14">
        <f>'US-aircraft-psgr'!G3</f>
        <v>0</v>
      </c>
      <c r="H3" s="14">
        <f>'US-aircraft-psgr'!H3</f>
        <v>0</v>
      </c>
      <c r="I3" s="14">
        <f>'US-aircraft-psgr'!I3</f>
        <v>0</v>
      </c>
      <c r="J3" s="14">
        <f>'US-aircraft-psgr'!J3</f>
        <v>0</v>
      </c>
      <c r="K3" s="14">
        <f>'US-aircraft-psgr'!K3</f>
        <v>0</v>
      </c>
      <c r="L3" s="14">
        <f>'US-aircraft-psgr'!L3</f>
        <v>0</v>
      </c>
      <c r="M3" s="14">
        <f>'US-aircraft-psgr'!M3</f>
        <v>0</v>
      </c>
      <c r="N3" s="14">
        <f>'US-aircraft-psgr'!N3</f>
        <v>0</v>
      </c>
      <c r="O3" s="14">
        <f>'US-aircraft-psgr'!O3</f>
        <v>0</v>
      </c>
      <c r="P3" s="14">
        <f>'US-aircraft-psgr'!P3</f>
        <v>0</v>
      </c>
      <c r="Q3" s="14">
        <f>'US-aircraft-psgr'!Q3</f>
        <v>0</v>
      </c>
      <c r="R3" s="14">
        <f>'US-aircraft-psgr'!R3</f>
        <v>0</v>
      </c>
      <c r="S3" s="14">
        <f>'US-aircraft-psgr'!S3</f>
        <v>0</v>
      </c>
      <c r="T3" s="14">
        <f>'US-aircraft-psgr'!T3</f>
        <v>0</v>
      </c>
      <c r="U3" s="14">
        <f>'US-aircraft-psgr'!U3</f>
        <v>0</v>
      </c>
      <c r="V3" s="14">
        <f>'US-aircraft-psgr'!V3</f>
        <v>0</v>
      </c>
      <c r="W3" s="14">
        <f>'US-aircraft-psgr'!W3</f>
        <v>0</v>
      </c>
      <c r="X3" s="14">
        <f>'US-aircraft-psgr'!X3</f>
        <v>0</v>
      </c>
      <c r="Y3" s="14">
        <f>'US-aircraft-psgr'!Y3</f>
        <v>0</v>
      </c>
      <c r="Z3" s="14">
        <f>'US-aircraft-psgr'!Z3</f>
        <v>0</v>
      </c>
      <c r="AA3" s="14">
        <f>'US-aircraft-psgr'!AA3</f>
        <v>0</v>
      </c>
      <c r="AB3" s="14">
        <f>'US-aircraft-psgr'!AB3</f>
        <v>0</v>
      </c>
      <c r="AC3" s="14">
        <f>'US-aircraft-psgr'!AC3</f>
        <v>0</v>
      </c>
      <c r="AD3" s="14">
        <f>'US-aircraft-psgr'!AD3</f>
        <v>0</v>
      </c>
      <c r="AE3" s="14">
        <f>'US-aircraft-psgr'!AE3</f>
        <v>0</v>
      </c>
      <c r="AF3" s="14">
        <f>'US-aircraft-psgr'!AF3</f>
        <v>0</v>
      </c>
      <c r="AG3" s="14"/>
    </row>
    <row r="4" spans="1:33">
      <c r="A4" s="1" t="s">
        <v>11</v>
      </c>
      <c r="B4" s="14">
        <f>'US-aircraft-psgr'!B4</f>
        <v>0</v>
      </c>
      <c r="C4" s="14">
        <f>'US-aircraft-psgr'!C4</f>
        <v>0</v>
      </c>
      <c r="D4" s="14">
        <f>'US-aircraft-psgr'!D4</f>
        <v>0</v>
      </c>
      <c r="E4" s="14">
        <f>'US-aircraft-psgr'!E4</f>
        <v>0</v>
      </c>
      <c r="F4" s="14">
        <f>'US-aircraft-psgr'!F4</f>
        <v>0</v>
      </c>
      <c r="G4" s="14">
        <f>'US-aircraft-psgr'!G4</f>
        <v>0</v>
      </c>
      <c r="H4" s="14">
        <f>'US-aircraft-psgr'!H4</f>
        <v>0</v>
      </c>
      <c r="I4" s="14">
        <f>'US-aircraft-psgr'!I4</f>
        <v>0</v>
      </c>
      <c r="J4" s="14">
        <f>'US-aircraft-psgr'!J4</f>
        <v>0</v>
      </c>
      <c r="K4" s="14">
        <f>'US-aircraft-psgr'!K4</f>
        <v>0</v>
      </c>
      <c r="L4" s="14">
        <f>'US-aircraft-psgr'!L4</f>
        <v>0</v>
      </c>
      <c r="M4" s="14">
        <f>'US-aircraft-psgr'!M4</f>
        <v>0</v>
      </c>
      <c r="N4" s="14">
        <f>'US-aircraft-psgr'!N4</f>
        <v>0</v>
      </c>
      <c r="O4" s="14">
        <f>'US-aircraft-psgr'!O4</f>
        <v>0</v>
      </c>
      <c r="P4" s="14">
        <f>'US-aircraft-psgr'!P4</f>
        <v>0</v>
      </c>
      <c r="Q4" s="14">
        <f>'US-aircraft-psgr'!Q4</f>
        <v>0</v>
      </c>
      <c r="R4" s="14">
        <f>'US-aircraft-psgr'!R4</f>
        <v>0</v>
      </c>
      <c r="S4" s="14">
        <f>'US-aircraft-psgr'!S4</f>
        <v>0</v>
      </c>
      <c r="T4" s="14">
        <f>'US-aircraft-psgr'!T4</f>
        <v>0</v>
      </c>
      <c r="U4" s="14">
        <f>'US-aircraft-psgr'!U4</f>
        <v>0</v>
      </c>
      <c r="V4" s="14">
        <f>'US-aircraft-psgr'!V4</f>
        <v>0</v>
      </c>
      <c r="W4" s="14">
        <f>'US-aircraft-psgr'!W4</f>
        <v>0</v>
      </c>
      <c r="X4" s="14">
        <f>'US-aircraft-psgr'!X4</f>
        <v>0</v>
      </c>
      <c r="Y4" s="14">
        <f>'US-aircraft-psgr'!Y4</f>
        <v>0</v>
      </c>
      <c r="Z4" s="14">
        <f>'US-aircraft-psgr'!Z4</f>
        <v>0</v>
      </c>
      <c r="AA4" s="14">
        <f>'US-aircraft-psgr'!AA4</f>
        <v>0</v>
      </c>
      <c r="AB4" s="14">
        <f>'US-aircraft-psgr'!AB4</f>
        <v>0</v>
      </c>
      <c r="AC4" s="14">
        <f>'US-aircraft-psgr'!AC4</f>
        <v>0</v>
      </c>
      <c r="AD4" s="14">
        <f>'US-aircraft-psgr'!AD4</f>
        <v>0</v>
      </c>
      <c r="AE4" s="14">
        <f>'US-aircraft-psgr'!AE4</f>
        <v>0</v>
      </c>
      <c r="AF4" s="14">
        <f>'US-aircraft-psgr'!AF4</f>
        <v>0</v>
      </c>
      <c r="AG4" s="14"/>
    </row>
    <row r="5" spans="1:33">
      <c r="A5" s="1" t="s">
        <v>12</v>
      </c>
      <c r="B5" s="14">
        <f>'SYFAFE psgr'!E4*(1+CAGR!$C$33)</f>
        <v>6.0325799915976247E-4</v>
      </c>
      <c r="C5" s="14">
        <f>B5*(1+CAGR!$C$33)</f>
        <v>6.0754626636100166E-4</v>
      </c>
      <c r="D5" s="14">
        <f>C5*(1+CAGR!$C$33)</f>
        <v>6.1186501676447735E-4</v>
      </c>
      <c r="E5" s="14">
        <f>D5*(1+CAGR!$C$33)</f>
        <v>6.1621446706042258E-4</v>
      </c>
      <c r="F5" s="14">
        <f>E5*(1+CAGR!$C$33)</f>
        <v>6.205948354794155E-4</v>
      </c>
      <c r="G5" s="14">
        <f>F5*(1+CAGR!$C$33)</f>
        <v>6.2500634180332913E-4</v>
      </c>
      <c r="H5" s="14">
        <f>G5*(1+CAGR!$C$33)</f>
        <v>6.2944920737635884E-4</v>
      </c>
      <c r="I5" s="14">
        <f>H5*(1+CAGR!$C$33)</f>
        <v>6.339236551161279E-4</v>
      </c>
      <c r="J5" s="14">
        <f>I5*(1+CAGR!$C$33)</f>
        <v>6.3842990952487255E-4</v>
      </c>
      <c r="K5" s="14">
        <f>J5*(1+CAGR!$C$33)</f>
        <v>6.429681967007058E-4</v>
      </c>
      <c r="L5" s="14">
        <f>K5*(1+CAGR!$C$33)</f>
        <v>6.4753874434896215E-4</v>
      </c>
      <c r="M5" s="14">
        <f>L5*(1+CAGR!$C$33)</f>
        <v>6.5214178179362242E-4</v>
      </c>
      <c r="N5" s="14">
        <f>M5*(1+CAGR!$C$33)</f>
        <v>6.5677753998881982E-4</v>
      </c>
      <c r="O5" s="14">
        <f>N5*(1+CAGR!$C$33)</f>
        <v>6.6144625153042788E-4</v>
      </c>
      <c r="P5" s="14">
        <f>O5*(1+CAGR!$C$33)</f>
        <v>6.6614815066773098E-4</v>
      </c>
      <c r="Q5" s="14">
        <f>P5*(1+CAGR!$C$33)</f>
        <v>6.7088347331517757E-4</v>
      </c>
      <c r="R5" s="14">
        <f>Q5*(1+CAGR!$C$33)</f>
        <v>6.7565245706421688E-4</v>
      </c>
      <c r="S5" s="14">
        <f>R5*(1+CAGR!$C$33)</f>
        <v>6.8045534119522003E-4</v>
      </c>
      <c r="T5" s="14">
        <f>S5*(1+CAGR!$C$33)</f>
        <v>6.8529236668948563E-4</v>
      </c>
      <c r="U5" s="14">
        <f>T5*(1+CAGR!$C$33)</f>
        <v>6.9016377624133113E-4</v>
      </c>
      <c r="V5" s="14">
        <f>U5*(1+CAGR!$C$33)</f>
        <v>6.9506981427026947E-4</v>
      </c>
      <c r="W5" s="14">
        <f>V5*(1+CAGR!$C$33)</f>
        <v>7.0001072693327284E-4</v>
      </c>
      <c r="X5" s="14">
        <f>W5*(1+CAGR!$C$33)</f>
        <v>7.049867621371236E-4</v>
      </c>
      <c r="Y5" s="14">
        <f>X5*(1+CAGR!$C$33)</f>
        <v>7.099981695508524E-4</v>
      </c>
      <c r="Z5" s="14">
        <f>Y5*(1+CAGR!$C$33)</f>
        <v>7.1504520061826547E-4</v>
      </c>
      <c r="AA5" s="14">
        <f>Z5*(1+CAGR!$C$33)</f>
        <v>7.2012810857056053E-4</v>
      </c>
      <c r="AB5" s="14">
        <f>AA5*(1+CAGR!$C$33)</f>
        <v>7.2524714843903259E-4</v>
      </c>
      <c r="AC5" s="14">
        <f>AB5*(1+CAGR!$C$33)</f>
        <v>7.3040257706786984E-4</v>
      </c>
      <c r="AD5" s="14">
        <f>AC5*(1+CAGR!$C$33)</f>
        <v>7.3559465312704063E-4</v>
      </c>
      <c r="AE5" s="14">
        <f>AD5*(1+CAGR!$C$33)</f>
        <v>7.4082363712527218E-4</v>
      </c>
      <c r="AF5" s="14">
        <f>AE5*(1+CAGR!$C$33)</f>
        <v>7.4608979142312118E-4</v>
      </c>
      <c r="AG5" s="14"/>
    </row>
    <row r="6" spans="1:33">
      <c r="A6" s="1" t="s">
        <v>13</v>
      </c>
      <c r="B6" s="14">
        <f>'US-aircraft-psgr'!B6</f>
        <v>0</v>
      </c>
      <c r="C6" s="14">
        <f>'US-aircraft-psgr'!C6</f>
        <v>0</v>
      </c>
      <c r="D6" s="14">
        <f>'US-aircraft-psgr'!D6</f>
        <v>0</v>
      </c>
      <c r="E6" s="14">
        <f>'US-aircraft-psgr'!E6</f>
        <v>0</v>
      </c>
      <c r="F6" s="14">
        <f>'US-aircraft-psgr'!F6</f>
        <v>0</v>
      </c>
      <c r="G6" s="14">
        <f>'US-aircraft-psgr'!G6</f>
        <v>0</v>
      </c>
      <c r="H6" s="14">
        <f>'US-aircraft-psgr'!H6</f>
        <v>0</v>
      </c>
      <c r="I6" s="14">
        <f>'US-aircraft-psgr'!I6</f>
        <v>0</v>
      </c>
      <c r="J6" s="14">
        <f>'US-aircraft-psgr'!J6</f>
        <v>0</v>
      </c>
      <c r="K6" s="14">
        <f>'US-aircraft-psgr'!K6</f>
        <v>0</v>
      </c>
      <c r="L6" s="14">
        <f>'US-aircraft-psgr'!L6</f>
        <v>0</v>
      </c>
      <c r="M6" s="14">
        <f>'US-aircraft-psgr'!M6</f>
        <v>0</v>
      </c>
      <c r="N6" s="14">
        <f>'US-aircraft-psgr'!N6</f>
        <v>0</v>
      </c>
      <c r="O6" s="14">
        <f>'US-aircraft-psgr'!O6</f>
        <v>0</v>
      </c>
      <c r="P6" s="14">
        <f>'US-aircraft-psgr'!P6</f>
        <v>0</v>
      </c>
      <c r="Q6" s="14">
        <f>'US-aircraft-psgr'!Q6</f>
        <v>0</v>
      </c>
      <c r="R6" s="14">
        <f>'US-aircraft-psgr'!R6</f>
        <v>0</v>
      </c>
      <c r="S6" s="14">
        <f>'US-aircraft-psgr'!S6</f>
        <v>0</v>
      </c>
      <c r="T6" s="14">
        <f>'US-aircraft-psgr'!T6</f>
        <v>0</v>
      </c>
      <c r="U6" s="14">
        <f>'US-aircraft-psgr'!U6</f>
        <v>0</v>
      </c>
      <c r="V6" s="14">
        <f>'US-aircraft-psgr'!V6</f>
        <v>0</v>
      </c>
      <c r="W6" s="14">
        <f>'US-aircraft-psgr'!W6</f>
        <v>0</v>
      </c>
      <c r="X6" s="14">
        <f>'US-aircraft-psgr'!X6</f>
        <v>0</v>
      </c>
      <c r="Y6" s="14">
        <f>'US-aircraft-psgr'!Y6</f>
        <v>0</v>
      </c>
      <c r="Z6" s="14">
        <f>'US-aircraft-psgr'!Z6</f>
        <v>0</v>
      </c>
      <c r="AA6" s="14">
        <f>'US-aircraft-psgr'!AA6</f>
        <v>0</v>
      </c>
      <c r="AB6" s="14">
        <f>'US-aircraft-psgr'!AB6</f>
        <v>0</v>
      </c>
      <c r="AC6" s="14">
        <f>'US-aircraft-psgr'!AC6</f>
        <v>0</v>
      </c>
      <c r="AD6" s="14">
        <f>'US-aircraft-psgr'!AD6</f>
        <v>0</v>
      </c>
      <c r="AE6" s="14">
        <f>'US-aircraft-psgr'!AE6</f>
        <v>0</v>
      </c>
      <c r="AF6" s="14">
        <f>'US-aircraft-psgr'!AF6</f>
        <v>0</v>
      </c>
      <c r="AG6" s="14"/>
    </row>
    <row r="7" spans="1:33">
      <c r="A7" s="1" t="s">
        <v>14</v>
      </c>
      <c r="B7" s="14">
        <f>'US-aircraft-psgr'!B7</f>
        <v>0</v>
      </c>
      <c r="C7" s="14">
        <f>'US-aircraft-psgr'!C7</f>
        <v>0</v>
      </c>
      <c r="D7" s="14">
        <f>'US-aircraft-psgr'!D7</f>
        <v>0</v>
      </c>
      <c r="E7" s="14">
        <f>'US-aircraft-psgr'!E7</f>
        <v>0</v>
      </c>
      <c r="F7" s="14">
        <f>'US-aircraft-psgr'!F7</f>
        <v>0</v>
      </c>
      <c r="G7" s="14">
        <f>'US-aircraft-psgr'!G7</f>
        <v>0</v>
      </c>
      <c r="H7" s="14">
        <f>'US-aircraft-psgr'!H7</f>
        <v>0</v>
      </c>
      <c r="I7" s="14">
        <f>'US-aircraft-psgr'!I7</f>
        <v>0</v>
      </c>
      <c r="J7" s="14">
        <f>'US-aircraft-psgr'!J7</f>
        <v>0</v>
      </c>
      <c r="K7" s="14">
        <f>'US-aircraft-psgr'!K7</f>
        <v>0</v>
      </c>
      <c r="L7" s="14">
        <f>'US-aircraft-psgr'!L7</f>
        <v>0</v>
      </c>
      <c r="M7" s="14">
        <f>'US-aircraft-psgr'!M7</f>
        <v>0</v>
      </c>
      <c r="N7" s="14">
        <f>'US-aircraft-psgr'!N7</f>
        <v>0</v>
      </c>
      <c r="O7" s="14">
        <f>'US-aircraft-psgr'!O7</f>
        <v>0</v>
      </c>
      <c r="P7" s="14">
        <f>'US-aircraft-psgr'!P7</f>
        <v>0</v>
      </c>
      <c r="Q7" s="14">
        <f>'US-aircraft-psgr'!Q7</f>
        <v>0</v>
      </c>
      <c r="R7" s="14">
        <f>'US-aircraft-psgr'!R7</f>
        <v>0</v>
      </c>
      <c r="S7" s="14">
        <f>'US-aircraft-psgr'!S7</f>
        <v>0</v>
      </c>
      <c r="T7" s="14">
        <f>'US-aircraft-psgr'!T7</f>
        <v>0</v>
      </c>
      <c r="U7" s="14">
        <f>'US-aircraft-psgr'!U7</f>
        <v>0</v>
      </c>
      <c r="V7" s="14">
        <f>'US-aircraft-psgr'!V7</f>
        <v>0</v>
      </c>
      <c r="W7" s="14">
        <f>'US-aircraft-psgr'!W7</f>
        <v>0</v>
      </c>
      <c r="X7" s="14">
        <f>'US-aircraft-psgr'!X7</f>
        <v>0</v>
      </c>
      <c r="Y7" s="14">
        <f>'US-aircraft-psgr'!Y7</f>
        <v>0</v>
      </c>
      <c r="Z7" s="14">
        <f>'US-aircraft-psgr'!Z7</f>
        <v>0</v>
      </c>
      <c r="AA7" s="14">
        <f>'US-aircraft-psgr'!AA7</f>
        <v>0</v>
      </c>
      <c r="AB7" s="14">
        <f>'US-aircraft-psgr'!AB7</f>
        <v>0</v>
      </c>
      <c r="AC7" s="14">
        <f>'US-aircraft-psgr'!AC7</f>
        <v>0</v>
      </c>
      <c r="AD7" s="14">
        <f>'US-aircraft-psgr'!AD7</f>
        <v>0</v>
      </c>
      <c r="AE7" s="14">
        <f>'US-aircraft-psgr'!AE7</f>
        <v>0</v>
      </c>
      <c r="AF7" s="14">
        <f>'US-aircraft-psgr'!AF7</f>
        <v>0</v>
      </c>
      <c r="AG7" s="14"/>
    </row>
    <row r="8" spans="1:33">
      <c r="A8" s="1" t="s">
        <v>15</v>
      </c>
      <c r="B8" s="13">
        <f>B5*Calibration!D32</f>
        <v>1.8097739974792871E-3</v>
      </c>
      <c r="C8" s="13">
        <f>B8*(1+CAGR!$C$36)</f>
        <v>1.8226387990830045E-3</v>
      </c>
      <c r="D8" s="13">
        <f>C8*(1+CAGR!$C$36)</f>
        <v>1.8355950502934317E-3</v>
      </c>
      <c r="E8" s="13">
        <f>D8*(1+CAGR!$C$36)</f>
        <v>1.8486434011812673E-3</v>
      </c>
      <c r="F8" s="13">
        <f>E8*(1+CAGR!$C$36)</f>
        <v>1.8617845064382459E-3</v>
      </c>
      <c r="G8" s="13">
        <f>F8*(1+CAGR!$C$36)</f>
        <v>1.875019025409987E-3</v>
      </c>
      <c r="H8" s="13">
        <f>G8*(1+CAGR!$C$36)</f>
        <v>1.888347622129076E-3</v>
      </c>
      <c r="I8" s="13">
        <f>H8*(1+CAGR!$C$36)</f>
        <v>1.9017709653483832E-3</v>
      </c>
      <c r="J8" s="13">
        <f>I8*(1+CAGR!$C$36)</f>
        <v>1.915289728574617E-3</v>
      </c>
      <c r="K8" s="13">
        <f>J8*(1+CAGR!$C$36)</f>
        <v>1.9289045901021169E-3</v>
      </c>
      <c r="L8" s="13">
        <f>K8*(1+CAGR!$C$36)</f>
        <v>1.9426162330468861E-3</v>
      </c>
      <c r="M8" s="13">
        <f>L8*(1+CAGR!$C$36)</f>
        <v>1.9564253453808671E-3</v>
      </c>
      <c r="N8" s="13">
        <f>M8*(1+CAGR!$C$36)</f>
        <v>1.9703326199664592E-3</v>
      </c>
      <c r="O8" s="13">
        <f>N8*(1+CAGR!$C$36)</f>
        <v>1.9843387545912835E-3</v>
      </c>
      <c r="P8" s="13">
        <f>O8*(1+CAGR!$C$36)</f>
        <v>1.9984444520031929E-3</v>
      </c>
      <c r="Q8" s="13">
        <f>P8*(1+CAGR!$C$36)</f>
        <v>2.0126504199455327E-3</v>
      </c>
      <c r="R8" s="13">
        <f>Q8*(1+CAGR!$C$36)</f>
        <v>2.0269573711926506E-3</v>
      </c>
      <c r="S8" s="13">
        <f>R8*(1+CAGR!$C$36)</f>
        <v>2.0413660235856601E-3</v>
      </c>
      <c r="T8" s="13">
        <f>S8*(1+CAGR!$C$36)</f>
        <v>2.0558771000684572E-3</v>
      </c>
      <c r="U8" s="13">
        <f>T8*(1+CAGR!$C$36)</f>
        <v>2.0704913287239936E-3</v>
      </c>
      <c r="V8" s="13">
        <f>U8*(1+CAGR!$C$36)</f>
        <v>2.0852094428108086E-3</v>
      </c>
      <c r="W8" s="13">
        <f>V8*(1+CAGR!$C$36)</f>
        <v>2.1000321807998191E-3</v>
      </c>
      <c r="X8" s="13">
        <f>W8*(1+CAGR!$C$36)</f>
        <v>2.1149602864113711E-3</v>
      </c>
      <c r="Y8" s="13">
        <f>X8*(1+CAGR!$C$36)</f>
        <v>2.1299945086525572E-3</v>
      </c>
      <c r="Z8" s="13">
        <f>Y8*(1+CAGR!$C$36)</f>
        <v>2.1451356018547963E-3</v>
      </c>
      <c r="AA8" s="13">
        <f>Z8*(1+CAGR!$C$36)</f>
        <v>2.1603843257116816E-3</v>
      </c>
      <c r="AB8" s="13">
        <f>AA8*(1+CAGR!$C$36)</f>
        <v>2.175741445317098E-3</v>
      </c>
      <c r="AC8" s="13">
        <f>AB8*(1+CAGR!$C$36)</f>
        <v>2.19120773120361E-3</v>
      </c>
      <c r="AD8" s="13">
        <f>AC8*(1+CAGR!$C$36)</f>
        <v>2.2067839593811222E-3</v>
      </c>
      <c r="AE8" s="13">
        <f>AD8*(1+CAGR!$C$36)</f>
        <v>2.2224709113758167E-3</v>
      </c>
      <c r="AF8" s="13">
        <f>AE8*(1+CAGR!$C$36)</f>
        <v>2.238269374269364E-3</v>
      </c>
      <c r="AG8" s="14"/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5438-07F5-4CA8-B024-425F0232725E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3">
        <f>B5*Calibration!$B$32</f>
        <v>8.3820627549346894E-4</v>
      </c>
      <c r="C2" s="13">
        <f>B2*(1+CAGR!$C$37)</f>
        <v>8.4416467552144694E-4</v>
      </c>
      <c r="D2" s="13">
        <f>C2*(1+CAGR!$C$37)</f>
        <v>8.5016543091221732E-4</v>
      </c>
      <c r="E2" s="13">
        <f>D2*(1+CAGR!$C$37)</f>
        <v>8.5620884274941811E-4</v>
      </c>
      <c r="F2" s="13">
        <f>E2*(1+CAGR!$C$37)</f>
        <v>8.6229521425694434E-4</v>
      </c>
      <c r="G2" s="13">
        <f>F2*(1+CAGR!$C$37)</f>
        <v>8.6842485081416176E-4</v>
      </c>
      <c r="H2" s="13">
        <f>G2*(1+CAGR!$C$37)</f>
        <v>8.7459805997122946E-4</v>
      </c>
      <c r="I2" s="13">
        <f>H2*(1+CAGR!$C$37)</f>
        <v>8.8081515146453055E-4</v>
      </c>
      <c r="J2" s="13">
        <f>I2*(1+CAGR!$C$37)</f>
        <v>8.8707643723221342E-4</v>
      </c>
      <c r="K2" s="13">
        <f>J2*(1+CAGR!$C$37)</f>
        <v>8.9338223142984249E-4</v>
      </c>
      <c r="L2" s="13">
        <f>K2*(1+CAGR!$C$37)</f>
        <v>8.9973285044616129E-4</v>
      </c>
      <c r="M2" s="13">
        <f>L2*(1+CAGR!$C$37)</f>
        <v>9.0612861291896663E-4</v>
      </c>
      <c r="N2" s="13">
        <f>M2*(1+CAGR!$C$37)</f>
        <v>9.1256983975109636E-4</v>
      </c>
      <c r="O2" s="13">
        <f>N2*(1+CAGR!$C$37)</f>
        <v>9.1905685412652994E-4</v>
      </c>
      <c r="P2" s="13">
        <f>O2*(1+CAGR!$C$37)</f>
        <v>9.2558998152660456E-4</v>
      </c>
      <c r="Q2" s="13">
        <f>P2*(1+CAGR!$C$37)</f>
        <v>9.321695497463455E-4</v>
      </c>
      <c r="R2" s="13">
        <f>Q2*(1+CAGR!$C$37)</f>
        <v>9.3879588891091327E-4</v>
      </c>
      <c r="S2" s="13">
        <f>R2*(1+CAGR!$C$37)</f>
        <v>9.4546933149216726E-4</v>
      </c>
      <c r="T2" s="13">
        <f>S2*(1+CAGR!$C$37)</f>
        <v>9.521902123253473E-4</v>
      </c>
      <c r="U2" s="13">
        <f>T2*(1+CAGR!$C$37)</f>
        <v>9.589588686258738E-4</v>
      </c>
      <c r="V2" s="13">
        <f>U2*(1+CAGR!$C$37)</f>
        <v>9.6577564000626737E-4</v>
      </c>
      <c r="W2" s="13">
        <f>V2*(1+CAGR!$C$37)</f>
        <v>9.7264086849318848E-4</v>
      </c>
      <c r="X2" s="13">
        <f>W2*(1+CAGR!$C$37)</f>
        <v>9.7955489854459864E-4</v>
      </c>
      <c r="Y2" s="13">
        <f>X2*(1+CAGR!$C$37)</f>
        <v>9.8651807706704288E-4</v>
      </c>
      <c r="Z2" s="13">
        <f>Y2*(1+CAGR!$C$37)</f>
        <v>9.9353075343305624E-4</v>
      </c>
      <c r="AA2" s="13">
        <f>Z2*(1+CAGR!$C$37)</f>
        <v>1.0005932794986926E-3</v>
      </c>
      <c r="AB2" s="13">
        <f>AA2*(1+CAGR!$C$37)</f>
        <v>1.007706009621179E-3</v>
      </c>
      <c r="AC2" s="13">
        <f>AB2*(1+CAGR!$C$37)</f>
        <v>1.0148693006766958E-3</v>
      </c>
      <c r="AD2" s="13">
        <f>AC2*(1+CAGR!$C$37)</f>
        <v>1.0220835120782819E-3</v>
      </c>
      <c r="AE2" s="13">
        <f>AD2*(1+CAGR!$C$37)</f>
        <v>1.0293490057938686E-3</v>
      </c>
      <c r="AF2" s="13">
        <f>AE2*(1+CAGR!$C$37)</f>
        <v>1.0366661463644406E-3</v>
      </c>
      <c r="AG2" s="14"/>
    </row>
    <row r="3" spans="1:33">
      <c r="A3" s="1" t="s">
        <v>10</v>
      </c>
      <c r="B3" s="14">
        <f>'US-aircraft-frgt'!B3</f>
        <v>0</v>
      </c>
      <c r="C3" s="14">
        <f>'US-aircraft-frgt'!C3</f>
        <v>0</v>
      </c>
      <c r="D3" s="14">
        <f>'US-aircraft-frgt'!D3</f>
        <v>0</v>
      </c>
      <c r="E3" s="14">
        <f>'US-aircraft-frgt'!E3</f>
        <v>0</v>
      </c>
      <c r="F3" s="14">
        <f>'US-aircraft-frgt'!F3</f>
        <v>0</v>
      </c>
      <c r="G3" s="14">
        <f>'US-aircraft-frgt'!G3</f>
        <v>0</v>
      </c>
      <c r="H3" s="14">
        <f>'US-aircraft-frgt'!H3</f>
        <v>0</v>
      </c>
      <c r="I3" s="14">
        <f>'US-aircraft-frgt'!I3</f>
        <v>0</v>
      </c>
      <c r="J3" s="14">
        <f>'US-aircraft-frgt'!J3</f>
        <v>0</v>
      </c>
      <c r="K3" s="14">
        <f>'US-aircraft-frgt'!K3</f>
        <v>0</v>
      </c>
      <c r="L3" s="14">
        <f>'US-aircraft-frgt'!L3</f>
        <v>0</v>
      </c>
      <c r="M3" s="14">
        <f>'US-aircraft-frgt'!M3</f>
        <v>0</v>
      </c>
      <c r="N3" s="14">
        <f>'US-aircraft-frgt'!N3</f>
        <v>0</v>
      </c>
      <c r="O3" s="14">
        <f>'US-aircraft-frgt'!O3</f>
        <v>0</v>
      </c>
      <c r="P3" s="14">
        <f>'US-aircraft-frgt'!P3</f>
        <v>0</v>
      </c>
      <c r="Q3" s="14">
        <f>'US-aircraft-frgt'!Q3</f>
        <v>0</v>
      </c>
      <c r="R3" s="14">
        <f>'US-aircraft-frgt'!R3</f>
        <v>0</v>
      </c>
      <c r="S3" s="14">
        <f>'US-aircraft-frgt'!S3</f>
        <v>0</v>
      </c>
      <c r="T3" s="14">
        <f>'US-aircraft-frgt'!T3</f>
        <v>0</v>
      </c>
      <c r="U3" s="14">
        <f>'US-aircraft-frgt'!U3</f>
        <v>0</v>
      </c>
      <c r="V3" s="14">
        <f>'US-aircraft-frgt'!V3</f>
        <v>0</v>
      </c>
      <c r="W3" s="14">
        <f>'US-aircraft-frgt'!W3</f>
        <v>0</v>
      </c>
      <c r="X3" s="14">
        <f>'US-aircraft-frgt'!X3</f>
        <v>0</v>
      </c>
      <c r="Y3" s="14">
        <f>'US-aircraft-frgt'!Y3</f>
        <v>0</v>
      </c>
      <c r="Z3" s="14">
        <f>'US-aircraft-frgt'!Z3</f>
        <v>0</v>
      </c>
      <c r="AA3" s="14">
        <f>'US-aircraft-frgt'!AA3</f>
        <v>0</v>
      </c>
      <c r="AB3" s="14">
        <f>'US-aircraft-frgt'!AB3</f>
        <v>0</v>
      </c>
      <c r="AC3" s="14">
        <f>'US-aircraft-frgt'!AC3</f>
        <v>0</v>
      </c>
      <c r="AD3" s="14">
        <f>'US-aircraft-frgt'!AD3</f>
        <v>0</v>
      </c>
      <c r="AE3" s="14">
        <f>'US-aircraft-frgt'!AE3</f>
        <v>0</v>
      </c>
      <c r="AF3" s="14">
        <f>'US-aircraft-frgt'!AF3</f>
        <v>0</v>
      </c>
      <c r="AG3" s="14"/>
    </row>
    <row r="4" spans="1:33">
      <c r="A4" s="1" t="s">
        <v>11</v>
      </c>
      <c r="B4" s="14">
        <f>'US-aircraft-frgt'!B4</f>
        <v>0</v>
      </c>
      <c r="C4" s="14">
        <f>'US-aircraft-frgt'!C4</f>
        <v>0</v>
      </c>
      <c r="D4" s="14">
        <f>'US-aircraft-frgt'!D4</f>
        <v>0</v>
      </c>
      <c r="E4" s="14">
        <f>'US-aircraft-frgt'!E4</f>
        <v>0</v>
      </c>
      <c r="F4" s="14">
        <f>'US-aircraft-frgt'!F4</f>
        <v>0</v>
      </c>
      <c r="G4" s="14">
        <f>'US-aircraft-frgt'!G4</f>
        <v>0</v>
      </c>
      <c r="H4" s="14">
        <f>'US-aircraft-frgt'!H4</f>
        <v>0</v>
      </c>
      <c r="I4" s="14">
        <f>'US-aircraft-frgt'!I4</f>
        <v>0</v>
      </c>
      <c r="J4" s="14">
        <f>'US-aircraft-frgt'!J4</f>
        <v>0</v>
      </c>
      <c r="K4" s="14">
        <f>'US-aircraft-frgt'!K4</f>
        <v>0</v>
      </c>
      <c r="L4" s="14">
        <f>'US-aircraft-frgt'!L4</f>
        <v>0</v>
      </c>
      <c r="M4" s="14">
        <f>'US-aircraft-frgt'!M4</f>
        <v>0</v>
      </c>
      <c r="N4" s="14">
        <f>'US-aircraft-frgt'!N4</f>
        <v>0</v>
      </c>
      <c r="O4" s="14">
        <f>'US-aircraft-frgt'!O4</f>
        <v>0</v>
      </c>
      <c r="P4" s="14">
        <f>'US-aircraft-frgt'!P4</f>
        <v>0</v>
      </c>
      <c r="Q4" s="14">
        <f>'US-aircraft-frgt'!Q4</f>
        <v>0</v>
      </c>
      <c r="R4" s="14">
        <f>'US-aircraft-frgt'!R4</f>
        <v>0</v>
      </c>
      <c r="S4" s="14">
        <f>'US-aircraft-frgt'!S4</f>
        <v>0</v>
      </c>
      <c r="T4" s="14">
        <f>'US-aircraft-frgt'!T4</f>
        <v>0</v>
      </c>
      <c r="U4" s="14">
        <f>'US-aircraft-frgt'!U4</f>
        <v>0</v>
      </c>
      <c r="V4" s="14">
        <f>'US-aircraft-frgt'!V4</f>
        <v>0</v>
      </c>
      <c r="W4" s="14">
        <f>'US-aircraft-frgt'!W4</f>
        <v>0</v>
      </c>
      <c r="X4" s="14">
        <f>'US-aircraft-frgt'!X4</f>
        <v>0</v>
      </c>
      <c r="Y4" s="14">
        <f>'US-aircraft-frgt'!Y4</f>
        <v>0</v>
      </c>
      <c r="Z4" s="14">
        <f>'US-aircraft-frgt'!Z4</f>
        <v>0</v>
      </c>
      <c r="AA4" s="14">
        <f>'US-aircraft-frgt'!AA4</f>
        <v>0</v>
      </c>
      <c r="AB4" s="14">
        <f>'US-aircraft-frgt'!AB4</f>
        <v>0</v>
      </c>
      <c r="AC4" s="14">
        <f>'US-aircraft-frgt'!AC4</f>
        <v>0</v>
      </c>
      <c r="AD4" s="14">
        <f>'US-aircraft-frgt'!AD4</f>
        <v>0</v>
      </c>
      <c r="AE4" s="14">
        <f>'US-aircraft-frgt'!AE4</f>
        <v>0</v>
      </c>
      <c r="AF4" s="14">
        <f>'US-aircraft-frgt'!AF4</f>
        <v>0</v>
      </c>
      <c r="AG4" s="14"/>
    </row>
    <row r="5" spans="1:33">
      <c r="A5" s="1" t="s">
        <v>12</v>
      </c>
      <c r="B5" s="14">
        <f>'SYFAFE frgt'!E4*(1+CAGR!$C$40)</f>
        <v>2.6084110481198412E-4</v>
      </c>
      <c r="C5" s="14">
        <f>B5*(1+CAGR!$C$40)</f>
        <v>2.6269529714106747E-4</v>
      </c>
      <c r="D5" s="14">
        <f>C5*(1+CAGR!$C$40)</f>
        <v>2.6456267002003276E-4</v>
      </c>
      <c r="E5" s="14">
        <f>D5*(1+CAGR!$C$40)</f>
        <v>2.6644331714298738E-4</v>
      </c>
      <c r="F5" s="14">
        <f>E5*(1+CAGR!$C$40)</f>
        <v>2.6833733287006447E-4</v>
      </c>
      <c r="G5" s="14">
        <f>F5*(1+CAGR!$C$40)</f>
        <v>2.7024481223215734E-4</v>
      </c>
      <c r="H5" s="14">
        <f>G5*(1+CAGR!$C$40)</f>
        <v>2.7216585093568768E-4</v>
      </c>
      <c r="I5" s="14">
        <f>H5*(1+CAGR!$C$40)</f>
        <v>2.7410054536740753E-4</v>
      </c>
      <c r="J5" s="14">
        <f>I5*(1+CAGR!$C$40)</f>
        <v>2.7604899259923532E-4</v>
      </c>
      <c r="K5" s="14">
        <f>J5*(1+CAGR!$C$40)</f>
        <v>2.7801129039312647E-4</v>
      </c>
      <c r="L5" s="14">
        <f>K5*(1+CAGR!$C$40)</f>
        <v>2.7998753720597858E-4</v>
      </c>
      <c r="M5" s="14">
        <f>L5*(1+CAGR!$C$40)</f>
        <v>2.8197783219457127E-4</v>
      </c>
      <c r="N5" s="14">
        <f>M5*(1+CAGR!$C$40)</f>
        <v>2.839822752205414E-4</v>
      </c>
      <c r="O5" s="14">
        <f>N5*(1+CAGR!$C$40)</f>
        <v>2.8600096685539367E-4</v>
      </c>
      <c r="P5" s="14">
        <f>O5*(1+CAGR!$C$40)</f>
        <v>2.8803400838554644E-4</v>
      </c>
      <c r="Q5" s="14">
        <f>P5*(1+CAGR!$C$40)</f>
        <v>2.9008150181741399E-4</v>
      </c>
      <c r="R5" s="14">
        <f>Q5*(1+CAGR!$C$40)</f>
        <v>2.9214354988252447E-4</v>
      </c>
      <c r="S5" s="14">
        <f>R5*(1+CAGR!$C$40)</f>
        <v>2.9422025604267441E-4</v>
      </c>
      <c r="T5" s="14">
        <f>S5*(1+CAGR!$C$40)</f>
        <v>2.9631172449511982E-4</v>
      </c>
      <c r="U5" s="14">
        <f>T5*(1+CAGR!$C$40)</f>
        <v>2.9841806017780426E-4</v>
      </c>
      <c r="V5" s="14">
        <f>U5*(1+CAGR!$C$40)</f>
        <v>3.0053936877462401E-4</v>
      </c>
      <c r="W5" s="14">
        <f>V5*(1+CAGR!$C$40)</f>
        <v>3.026757567207307E-4</v>
      </c>
      <c r="X5" s="14">
        <f>W5*(1+CAGR!$C$40)</f>
        <v>3.0482733120787149E-4</v>
      </c>
      <c r="Y5" s="14">
        <f>X5*(1+CAGR!$C$40)</f>
        <v>3.0699420018976754E-4</v>
      </c>
      <c r="Z5" s="14">
        <f>Y5*(1+CAGR!$C$40)</f>
        <v>3.0917647238753044E-4</v>
      </c>
      <c r="AA5" s="14">
        <f>Z5*(1+CAGR!$C$40)</f>
        <v>3.1137425729511713E-4</v>
      </c>
      <c r="AB5" s="14">
        <f>AA5*(1+CAGR!$C$40)</f>
        <v>3.1358766518482377E-4</v>
      </c>
      <c r="AC5" s="14">
        <f>AB5*(1+CAGR!$C$40)</f>
        <v>3.1581680711281849E-4</v>
      </c>
      <c r="AD5" s="14">
        <f>AC5*(1+CAGR!$C$40)</f>
        <v>3.1806179492471374E-4</v>
      </c>
      <c r="AE5" s="14">
        <f>AD5*(1+CAGR!$C$40)</f>
        <v>3.2032274126117782E-4</v>
      </c>
      <c r="AF5" s="14">
        <f>AE5*(1+CAGR!$C$40)</f>
        <v>3.2259975956358669E-4</v>
      </c>
      <c r="AG5" s="14"/>
    </row>
    <row r="6" spans="1:33">
      <c r="A6" s="1" t="s">
        <v>13</v>
      </c>
      <c r="B6" s="14">
        <f>'US-aircraft-frgt'!B6</f>
        <v>0</v>
      </c>
      <c r="C6" s="14">
        <f>'US-aircraft-frgt'!C6</f>
        <v>0</v>
      </c>
      <c r="D6" s="14">
        <f>'US-aircraft-frgt'!D6</f>
        <v>0</v>
      </c>
      <c r="E6" s="14">
        <f>'US-aircraft-frgt'!E6</f>
        <v>0</v>
      </c>
      <c r="F6" s="14">
        <f>'US-aircraft-frgt'!F6</f>
        <v>0</v>
      </c>
      <c r="G6" s="14">
        <f>'US-aircraft-frgt'!G6</f>
        <v>0</v>
      </c>
      <c r="H6" s="14">
        <f>'US-aircraft-frgt'!H6</f>
        <v>0</v>
      </c>
      <c r="I6" s="14">
        <f>'US-aircraft-frgt'!I6</f>
        <v>0</v>
      </c>
      <c r="J6" s="14">
        <f>'US-aircraft-frgt'!J6</f>
        <v>0</v>
      </c>
      <c r="K6" s="14">
        <f>'US-aircraft-frgt'!K6</f>
        <v>0</v>
      </c>
      <c r="L6" s="14">
        <f>'US-aircraft-frgt'!L6</f>
        <v>0</v>
      </c>
      <c r="M6" s="14">
        <f>'US-aircraft-frgt'!M6</f>
        <v>0</v>
      </c>
      <c r="N6" s="14">
        <f>'US-aircraft-frgt'!N6</f>
        <v>0</v>
      </c>
      <c r="O6" s="14">
        <f>'US-aircraft-frgt'!O6</f>
        <v>0</v>
      </c>
      <c r="P6" s="14">
        <f>'US-aircraft-frgt'!P6</f>
        <v>0</v>
      </c>
      <c r="Q6" s="14">
        <f>'US-aircraft-frgt'!Q6</f>
        <v>0</v>
      </c>
      <c r="R6" s="14">
        <f>'US-aircraft-frgt'!R6</f>
        <v>0</v>
      </c>
      <c r="S6" s="14">
        <f>'US-aircraft-frgt'!S6</f>
        <v>0</v>
      </c>
      <c r="T6" s="14">
        <f>'US-aircraft-frgt'!T6</f>
        <v>0</v>
      </c>
      <c r="U6" s="14">
        <f>'US-aircraft-frgt'!U6</f>
        <v>0</v>
      </c>
      <c r="V6" s="14">
        <f>'US-aircraft-frgt'!V6</f>
        <v>0</v>
      </c>
      <c r="W6" s="14">
        <f>'US-aircraft-frgt'!W6</f>
        <v>0</v>
      </c>
      <c r="X6" s="14">
        <f>'US-aircraft-frgt'!X6</f>
        <v>0</v>
      </c>
      <c r="Y6" s="14">
        <f>'US-aircraft-frgt'!Y6</f>
        <v>0</v>
      </c>
      <c r="Z6" s="14">
        <f>'US-aircraft-frgt'!Z6</f>
        <v>0</v>
      </c>
      <c r="AA6" s="14">
        <f>'US-aircraft-frgt'!AA6</f>
        <v>0</v>
      </c>
      <c r="AB6" s="14">
        <f>'US-aircraft-frgt'!AB6</f>
        <v>0</v>
      </c>
      <c r="AC6" s="14">
        <f>'US-aircraft-frgt'!AC6</f>
        <v>0</v>
      </c>
      <c r="AD6" s="14">
        <f>'US-aircraft-frgt'!AD6</f>
        <v>0</v>
      </c>
      <c r="AE6" s="14">
        <f>'US-aircraft-frgt'!AE6</f>
        <v>0</v>
      </c>
      <c r="AF6" s="14">
        <f>'US-aircraft-frgt'!AF6</f>
        <v>0</v>
      </c>
      <c r="AG6" s="14"/>
    </row>
    <row r="7" spans="1:33">
      <c r="A7" s="1" t="s">
        <v>14</v>
      </c>
      <c r="B7" s="14">
        <f>'US-aircraft-frgt'!B7</f>
        <v>0</v>
      </c>
      <c r="C7" s="14">
        <f>'US-aircraft-frgt'!C7</f>
        <v>0</v>
      </c>
      <c r="D7" s="14">
        <f>'US-aircraft-frgt'!D7</f>
        <v>0</v>
      </c>
      <c r="E7" s="14">
        <f>'US-aircraft-frgt'!E7</f>
        <v>0</v>
      </c>
      <c r="F7" s="14">
        <f>'US-aircraft-frgt'!F7</f>
        <v>0</v>
      </c>
      <c r="G7" s="14">
        <f>'US-aircraft-frgt'!G7</f>
        <v>0</v>
      </c>
      <c r="H7" s="14">
        <f>'US-aircraft-frgt'!H7</f>
        <v>0</v>
      </c>
      <c r="I7" s="14">
        <f>'US-aircraft-frgt'!I7</f>
        <v>0</v>
      </c>
      <c r="J7" s="14">
        <f>'US-aircraft-frgt'!J7</f>
        <v>0</v>
      </c>
      <c r="K7" s="14">
        <f>'US-aircraft-frgt'!K7</f>
        <v>0</v>
      </c>
      <c r="L7" s="14">
        <f>'US-aircraft-frgt'!L7</f>
        <v>0</v>
      </c>
      <c r="M7" s="14">
        <f>'US-aircraft-frgt'!M7</f>
        <v>0</v>
      </c>
      <c r="N7" s="14">
        <f>'US-aircraft-frgt'!N7</f>
        <v>0</v>
      </c>
      <c r="O7" s="14">
        <f>'US-aircraft-frgt'!O7</f>
        <v>0</v>
      </c>
      <c r="P7" s="14">
        <f>'US-aircraft-frgt'!P7</f>
        <v>0</v>
      </c>
      <c r="Q7" s="14">
        <f>'US-aircraft-frgt'!Q7</f>
        <v>0</v>
      </c>
      <c r="R7" s="14">
        <f>'US-aircraft-frgt'!R7</f>
        <v>0</v>
      </c>
      <c r="S7" s="14">
        <f>'US-aircraft-frgt'!S7</f>
        <v>0</v>
      </c>
      <c r="T7" s="14">
        <f>'US-aircraft-frgt'!T7</f>
        <v>0</v>
      </c>
      <c r="U7" s="14">
        <f>'US-aircraft-frgt'!U7</f>
        <v>0</v>
      </c>
      <c r="V7" s="14">
        <f>'US-aircraft-frgt'!V7</f>
        <v>0</v>
      </c>
      <c r="W7" s="14">
        <f>'US-aircraft-frgt'!W7</f>
        <v>0</v>
      </c>
      <c r="X7" s="14">
        <f>'US-aircraft-frgt'!X7</f>
        <v>0</v>
      </c>
      <c r="Y7" s="14">
        <f>'US-aircraft-frgt'!Y7</f>
        <v>0</v>
      </c>
      <c r="Z7" s="14">
        <f>'US-aircraft-frgt'!Z7</f>
        <v>0</v>
      </c>
      <c r="AA7" s="14">
        <f>'US-aircraft-frgt'!AA7</f>
        <v>0</v>
      </c>
      <c r="AB7" s="14">
        <f>'US-aircraft-frgt'!AB7</f>
        <v>0</v>
      </c>
      <c r="AC7" s="14">
        <f>'US-aircraft-frgt'!AC7</f>
        <v>0</v>
      </c>
      <c r="AD7" s="14">
        <f>'US-aircraft-frgt'!AD7</f>
        <v>0</v>
      </c>
      <c r="AE7" s="14">
        <f>'US-aircraft-frgt'!AE7</f>
        <v>0</v>
      </c>
      <c r="AF7" s="14">
        <f>'US-aircraft-frgt'!AF7</f>
        <v>0</v>
      </c>
      <c r="AG7" s="14"/>
    </row>
    <row r="8" spans="1:33">
      <c r="A8" s="1" t="s">
        <v>15</v>
      </c>
      <c r="B8" s="13">
        <f>B5*Calibration!$D$32</f>
        <v>7.8252331443595224E-4</v>
      </c>
      <c r="C8" s="13">
        <f>B8*(1+CAGR!$C$43)</f>
        <v>7.880858914232024E-4</v>
      </c>
      <c r="D8" s="13">
        <f>C8*(1+CAGR!$C$43)</f>
        <v>7.9368801006009834E-4</v>
      </c>
      <c r="E8" s="13">
        <f>D8*(1+CAGR!$C$43)</f>
        <v>7.9932995142896219E-4</v>
      </c>
      <c r="F8" s="13">
        <f>E8*(1+CAGR!$C$43)</f>
        <v>8.0501199861019335E-4</v>
      </c>
      <c r="G8" s="13">
        <f>F8*(1+CAGR!$C$43)</f>
        <v>8.1073443669647197E-4</v>
      </c>
      <c r="H8" s="13">
        <f>G8*(1+CAGR!$C$43)</f>
        <v>8.1649755280706305E-4</v>
      </c>
      <c r="I8" s="13">
        <f>H8*(1+CAGR!$C$43)</f>
        <v>8.2230163610222265E-4</v>
      </c>
      <c r="J8" s="13">
        <f>I8*(1+CAGR!$C$43)</f>
        <v>8.2814697779770607E-4</v>
      </c>
      <c r="K8" s="13">
        <f>J8*(1+CAGR!$C$43)</f>
        <v>8.3403387117937959E-4</v>
      </c>
      <c r="L8" s="13">
        <f>K8*(1+CAGR!$C$43)</f>
        <v>8.3996261161793585E-4</v>
      </c>
      <c r="M8" s="13">
        <f>L8*(1+CAGR!$C$43)</f>
        <v>8.4593349658371392E-4</v>
      </c>
      <c r="N8" s="13">
        <f>M8*(1+CAGR!$C$43)</f>
        <v>8.5194682566162438E-4</v>
      </c>
      <c r="O8" s="13">
        <f>N8*(1+CAGR!$C$43)</f>
        <v>8.5800290056618116E-4</v>
      </c>
      <c r="P8" s="13">
        <f>O8*(1+CAGR!$C$43)</f>
        <v>8.6410202515663952E-4</v>
      </c>
      <c r="Q8" s="13">
        <f>P8*(1+CAGR!$C$43)</f>
        <v>8.7024450545224218E-4</v>
      </c>
      <c r="R8" s="13">
        <f>Q8*(1+CAGR!$C$43)</f>
        <v>8.7643064964757367E-4</v>
      </c>
      <c r="S8" s="13">
        <f>R8*(1+CAGR!$C$43)</f>
        <v>8.8266076812802349E-4</v>
      </c>
      <c r="T8" s="13">
        <f>S8*(1+CAGR!$C$43)</f>
        <v>8.8893517348535974E-4</v>
      </c>
      <c r="U8" s="13">
        <f>T8*(1+CAGR!$C$43)</f>
        <v>8.9525418053341304E-4</v>
      </c>
      <c r="V8" s="13">
        <f>U8*(1+CAGR!$C$43)</f>
        <v>9.0161810632387231E-4</v>
      </c>
      <c r="W8" s="13">
        <f>V8*(1+CAGR!$C$43)</f>
        <v>9.0802727016219226E-4</v>
      </c>
      <c r="X8" s="13">
        <f>W8*(1+CAGR!$C$43)</f>
        <v>9.1448199362361468E-4</v>
      </c>
      <c r="Y8" s="13">
        <f>X8*(1+CAGR!$C$43)</f>
        <v>9.2098260056930293E-4</v>
      </c>
      <c r="Z8" s="13">
        <f>Y8*(1+CAGR!$C$43)</f>
        <v>9.2752941716259165E-4</v>
      </c>
      <c r="AA8" s="13">
        <f>Z8*(1+CAGR!$C$43)</f>
        <v>9.3412277188535176E-4</v>
      </c>
      <c r="AB8" s="13">
        <f>AA8*(1+CAGR!$C$43)</f>
        <v>9.4076299555447159E-4</v>
      </c>
      <c r="AC8" s="13">
        <f>AB8*(1+CAGR!$C$43)</f>
        <v>9.4745042133845584E-4</v>
      </c>
      <c r="AD8" s="13">
        <f>AC8*(1+CAGR!$C$43)</f>
        <v>9.5418538477414156E-4</v>
      </c>
      <c r="AE8" s="13">
        <f>AD8*(1+CAGR!$C$43)</f>
        <v>9.6096822378353367E-4</v>
      </c>
      <c r="AF8" s="13">
        <f>AE8*(1+CAGR!$C$43)</f>
        <v>9.6779927869076023E-4</v>
      </c>
      <c r="AG8" s="14"/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4DA6F-E696-40E1-A10D-288DB42265DE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psgr'!$B$5:$H$5,,MATCH($A2,'SYFAFE psgr'!$B$1:$H$1,0))*(1+INDEX(CAGR!$C$44:$C$50,MATCH($A2,CAGR!$B$44:$B$50,0))),0)</f>
        <v>1.6867636018878085E-2</v>
      </c>
      <c r="C2" s="14">
        <f>IFERROR(B2*(1+INDEX(CAGR!$C$44:$C$50,MATCH($A2,CAGR!$B$44:$B$50,0))),0)</f>
        <v>1.6862273742983071E-2</v>
      </c>
      <c r="D2" s="14">
        <f>IFERROR(C2*(1+INDEX(CAGR!$C$44:$C$50,MATCH($A2,CAGR!$B$44:$B$50,0))),0)</f>
        <v>1.6856913171772858E-2</v>
      </c>
      <c r="E2" s="14">
        <f>IFERROR(D2*(1+INDEX(CAGR!$C$44:$C$50,MATCH($A2,CAGR!$B$44:$B$50,0))),0)</f>
        <v>1.6851554304705522E-2</v>
      </c>
      <c r="F2" s="14">
        <f>IFERROR(E2*(1+INDEX(CAGR!$C$44:$C$50,MATCH($A2,CAGR!$B$44:$B$50,0))),0)</f>
        <v>1.6846197141239312E-2</v>
      </c>
      <c r="G2" s="14">
        <f>IFERROR(F2*(1+INDEX(CAGR!$C$44:$C$50,MATCH($A2,CAGR!$B$44:$B$50,0))),0)</f>
        <v>1.6840841680832646E-2</v>
      </c>
      <c r="H2" s="14">
        <f>IFERROR(G2*(1+INDEX(CAGR!$C$44:$C$50,MATCH($A2,CAGR!$B$44:$B$50,0))),0)</f>
        <v>1.6835487922944117E-2</v>
      </c>
      <c r="I2" s="14">
        <f>IFERROR(H2*(1+INDEX(CAGR!$C$44:$C$50,MATCH($A2,CAGR!$B$44:$B$50,0))),0)</f>
        <v>1.683013586703249E-2</v>
      </c>
      <c r="J2" s="14">
        <f>IFERROR(I2*(1+INDEX(CAGR!$C$44:$C$50,MATCH($A2,CAGR!$B$44:$B$50,0))),0)</f>
        <v>1.68247855125567E-2</v>
      </c>
      <c r="K2" s="14">
        <f>IFERROR(J2*(1+INDEX(CAGR!$C$44:$C$50,MATCH($A2,CAGR!$B$44:$B$50,0))),0)</f>
        <v>1.6819436858975856E-2</v>
      </c>
      <c r="L2" s="14">
        <f>IFERROR(K2*(1+INDEX(CAGR!$C$44:$C$50,MATCH($A2,CAGR!$B$44:$B$50,0))),0)</f>
        <v>1.6814089905749233E-2</v>
      </c>
      <c r="M2" s="14">
        <f>IFERROR(L2*(1+INDEX(CAGR!$C$44:$C$50,MATCH($A2,CAGR!$B$44:$B$50,0))),0)</f>
        <v>1.680874465233629E-2</v>
      </c>
      <c r="N2" s="14">
        <f>IFERROR(M2*(1+INDEX(CAGR!$C$44:$C$50,MATCH($A2,CAGR!$B$44:$B$50,0))),0)</f>
        <v>1.6803401098196644E-2</v>
      </c>
      <c r="O2" s="14">
        <f>IFERROR(N2*(1+INDEX(CAGR!$C$44:$C$50,MATCH($A2,CAGR!$B$44:$B$50,0))),0)</f>
        <v>1.6798059242790098E-2</v>
      </c>
      <c r="P2" s="14">
        <f>IFERROR(O2*(1+INDEX(CAGR!$C$44:$C$50,MATCH($A2,CAGR!$B$44:$B$50,0))),0)</f>
        <v>1.6792719085576613E-2</v>
      </c>
      <c r="Q2" s="14">
        <f>IFERROR(P2*(1+INDEX(CAGR!$C$44:$C$50,MATCH($A2,CAGR!$B$44:$B$50,0))),0)</f>
        <v>1.678738062601633E-2</v>
      </c>
      <c r="R2" s="14">
        <f>IFERROR(Q2*(1+INDEX(CAGR!$C$44:$C$50,MATCH($A2,CAGR!$B$44:$B$50,0))),0)</f>
        <v>1.678204386356956E-2</v>
      </c>
      <c r="S2" s="14">
        <f>IFERROR(R2*(1+INDEX(CAGR!$C$44:$C$50,MATCH($A2,CAGR!$B$44:$B$50,0))),0)</f>
        <v>1.6776708797696785E-2</v>
      </c>
      <c r="T2" s="14">
        <f>IFERROR(S2*(1+INDEX(CAGR!$C$44:$C$50,MATCH($A2,CAGR!$B$44:$B$50,0))),0)</f>
        <v>1.677137542785866E-2</v>
      </c>
      <c r="U2" s="14">
        <f>IFERROR(T2*(1+INDEX(CAGR!$C$44:$C$50,MATCH($A2,CAGR!$B$44:$B$50,0))),0)</f>
        <v>1.6766043753516008E-2</v>
      </c>
      <c r="V2" s="14">
        <f>IFERROR(U2*(1+INDEX(CAGR!$C$44:$C$50,MATCH($A2,CAGR!$B$44:$B$50,0))),0)</f>
        <v>1.6760713774129826E-2</v>
      </c>
      <c r="W2" s="14">
        <f>IFERROR(V2*(1+INDEX(CAGR!$C$44:$C$50,MATCH($A2,CAGR!$B$44:$B$50,0))),0)</f>
        <v>1.6755385489161282E-2</v>
      </c>
      <c r="X2" s="14">
        <f>IFERROR(W2*(1+INDEX(CAGR!$C$44:$C$50,MATCH($A2,CAGR!$B$44:$B$50,0))),0)</f>
        <v>1.6750058898071716E-2</v>
      </c>
      <c r="Y2" s="14">
        <f>IFERROR(X2*(1+INDEX(CAGR!$C$44:$C$50,MATCH($A2,CAGR!$B$44:$B$50,0))),0)</f>
        <v>1.6744734000322638E-2</v>
      </c>
      <c r="Z2" s="14">
        <f>IFERROR(Y2*(1+INDEX(CAGR!$C$44:$C$50,MATCH($A2,CAGR!$B$44:$B$50,0))),0)</f>
        <v>1.673941079537573E-2</v>
      </c>
      <c r="AA2" s="14">
        <f>IFERROR(Z2*(1+INDEX(CAGR!$C$44:$C$50,MATCH($A2,CAGR!$B$44:$B$50,0))),0)</f>
        <v>1.6734089282692842E-2</v>
      </c>
      <c r="AB2" s="14">
        <f>IFERROR(AA2*(1+INDEX(CAGR!$C$44:$C$50,MATCH($A2,CAGR!$B$44:$B$50,0))),0)</f>
        <v>1.6728769461736001E-2</v>
      </c>
      <c r="AC2" s="14">
        <f>IFERROR(AB2*(1+INDEX(CAGR!$C$44:$C$50,MATCH($A2,CAGR!$B$44:$B$50,0))),0)</f>
        <v>1.6723451331967398E-2</v>
      </c>
      <c r="AD2" s="14">
        <f>IFERROR(AC2*(1+INDEX(CAGR!$C$44:$C$50,MATCH($A2,CAGR!$B$44:$B$50,0))),0)</f>
        <v>1.6718134892849405E-2</v>
      </c>
      <c r="AE2" s="14">
        <f>IFERROR(AD2*(1+INDEX(CAGR!$C$44:$C$50,MATCH($A2,CAGR!$B$44:$B$50,0))),0)</f>
        <v>1.6712820143844554E-2</v>
      </c>
      <c r="AF2" s="14">
        <f>IFERROR(AE2*(1+INDEX(CAGR!$C$44:$C$50,MATCH($A2,CAGR!$B$44:$B$50,0))),0)</f>
        <v>1.6707507084415554E-2</v>
      </c>
      <c r="AG2" s="14"/>
    </row>
    <row r="3" spans="1:33">
      <c r="A3" s="1" t="s">
        <v>10</v>
      </c>
      <c r="B3" s="14">
        <f>IFERROR(INDEX('SYFAFE psgr'!$B$5:$H$5,,MATCH($A3,'SYFAFE psgr'!$B$1:$H$1,0))*(1+INDEX(CAGR!$C$44:$C$50,MATCH($A3,CAGR!$B$44:$B$50,0))),0)</f>
        <v>1.2658000000000001E-3</v>
      </c>
      <c r="C3" s="14">
        <f>IFERROR(B3*(1+INDEX(CAGR!$C$44:$C$50,MATCH($A3,CAGR!$B$44:$B$50,0))),0)</f>
        <v>1.2658000000000001E-3</v>
      </c>
      <c r="D3" s="14">
        <f>IFERROR(C3*(1+INDEX(CAGR!$C$44:$C$50,MATCH($A3,CAGR!$B$44:$B$50,0))),0)</f>
        <v>1.2658000000000001E-3</v>
      </c>
      <c r="E3" s="14">
        <f>IFERROR(D3*(1+INDEX(CAGR!$C$44:$C$50,MATCH($A3,CAGR!$B$44:$B$50,0))),0)</f>
        <v>1.2658000000000001E-3</v>
      </c>
      <c r="F3" s="14">
        <f>IFERROR(E3*(1+INDEX(CAGR!$C$44:$C$50,MATCH($A3,CAGR!$B$44:$B$50,0))),0)</f>
        <v>1.2658000000000001E-3</v>
      </c>
      <c r="G3" s="14">
        <f>IFERROR(F3*(1+INDEX(CAGR!$C$44:$C$50,MATCH($A3,CAGR!$B$44:$B$50,0))),0)</f>
        <v>1.2658000000000001E-3</v>
      </c>
      <c r="H3" s="14">
        <f>IFERROR(G3*(1+INDEX(CAGR!$C$44:$C$50,MATCH($A3,CAGR!$B$44:$B$50,0))),0)</f>
        <v>1.2658000000000001E-3</v>
      </c>
      <c r="I3" s="14">
        <f>IFERROR(H3*(1+INDEX(CAGR!$C$44:$C$50,MATCH($A3,CAGR!$B$44:$B$50,0))),0)</f>
        <v>1.2658000000000001E-3</v>
      </c>
      <c r="J3" s="14">
        <f>IFERROR(I3*(1+INDEX(CAGR!$C$44:$C$50,MATCH($A3,CAGR!$B$44:$B$50,0))),0)</f>
        <v>1.2658000000000001E-3</v>
      </c>
      <c r="K3" s="14">
        <f>IFERROR(J3*(1+INDEX(CAGR!$C$44:$C$50,MATCH($A3,CAGR!$B$44:$B$50,0))),0)</f>
        <v>1.2658000000000001E-3</v>
      </c>
      <c r="L3" s="14">
        <f>IFERROR(K3*(1+INDEX(CAGR!$C$44:$C$50,MATCH($A3,CAGR!$B$44:$B$50,0))),0)</f>
        <v>1.2658000000000001E-3</v>
      </c>
      <c r="M3" s="14">
        <f>IFERROR(L3*(1+INDEX(CAGR!$C$44:$C$50,MATCH($A3,CAGR!$B$44:$B$50,0))),0)</f>
        <v>1.2658000000000001E-3</v>
      </c>
      <c r="N3" s="14">
        <f>IFERROR(M3*(1+INDEX(CAGR!$C$44:$C$50,MATCH($A3,CAGR!$B$44:$B$50,0))),0)</f>
        <v>1.2658000000000001E-3</v>
      </c>
      <c r="O3" s="14">
        <f>IFERROR(N3*(1+INDEX(CAGR!$C$44:$C$50,MATCH($A3,CAGR!$B$44:$B$50,0))),0)</f>
        <v>1.2658000000000001E-3</v>
      </c>
      <c r="P3" s="14">
        <f>IFERROR(O3*(1+INDEX(CAGR!$C$44:$C$50,MATCH($A3,CAGR!$B$44:$B$50,0))),0)</f>
        <v>1.2658000000000001E-3</v>
      </c>
      <c r="Q3" s="14">
        <f>IFERROR(P3*(1+INDEX(CAGR!$C$44:$C$50,MATCH($A3,CAGR!$B$44:$B$50,0))),0)</f>
        <v>1.2658000000000001E-3</v>
      </c>
      <c r="R3" s="14">
        <f>IFERROR(Q3*(1+INDEX(CAGR!$C$44:$C$50,MATCH($A3,CAGR!$B$44:$B$50,0))),0)</f>
        <v>1.2658000000000001E-3</v>
      </c>
      <c r="S3" s="14">
        <f>IFERROR(R3*(1+INDEX(CAGR!$C$44:$C$50,MATCH($A3,CAGR!$B$44:$B$50,0))),0)</f>
        <v>1.2658000000000001E-3</v>
      </c>
      <c r="T3" s="14">
        <f>IFERROR(S3*(1+INDEX(CAGR!$C$44:$C$50,MATCH($A3,CAGR!$B$44:$B$50,0))),0)</f>
        <v>1.2658000000000001E-3</v>
      </c>
      <c r="U3" s="14">
        <f>IFERROR(T3*(1+INDEX(CAGR!$C$44:$C$50,MATCH($A3,CAGR!$B$44:$B$50,0))),0)</f>
        <v>1.2658000000000001E-3</v>
      </c>
      <c r="V3" s="14">
        <f>IFERROR(U3*(1+INDEX(CAGR!$C$44:$C$50,MATCH($A3,CAGR!$B$44:$B$50,0))),0)</f>
        <v>1.2658000000000001E-3</v>
      </c>
      <c r="W3" s="14">
        <f>IFERROR(V3*(1+INDEX(CAGR!$C$44:$C$50,MATCH($A3,CAGR!$B$44:$B$50,0))),0)</f>
        <v>1.2658000000000001E-3</v>
      </c>
      <c r="X3" s="14">
        <f>IFERROR(W3*(1+INDEX(CAGR!$C$44:$C$50,MATCH($A3,CAGR!$B$44:$B$50,0))),0)</f>
        <v>1.2658000000000001E-3</v>
      </c>
      <c r="Y3" s="14">
        <f>IFERROR(X3*(1+INDEX(CAGR!$C$44:$C$50,MATCH($A3,CAGR!$B$44:$B$50,0))),0)</f>
        <v>1.2658000000000001E-3</v>
      </c>
      <c r="Z3" s="14">
        <f>IFERROR(Y3*(1+INDEX(CAGR!$C$44:$C$50,MATCH($A3,CAGR!$B$44:$B$50,0))),0)</f>
        <v>1.2658000000000001E-3</v>
      </c>
      <c r="AA3" s="14">
        <f>IFERROR(Z3*(1+INDEX(CAGR!$C$44:$C$50,MATCH($A3,CAGR!$B$44:$B$50,0))),0)</f>
        <v>1.2658000000000001E-3</v>
      </c>
      <c r="AB3" s="14">
        <f>IFERROR(AA3*(1+INDEX(CAGR!$C$44:$C$50,MATCH($A3,CAGR!$B$44:$B$50,0))),0)</f>
        <v>1.2658000000000001E-3</v>
      </c>
      <c r="AC3" s="14">
        <f>IFERROR(AB3*(1+INDEX(CAGR!$C$44:$C$50,MATCH($A3,CAGR!$B$44:$B$50,0))),0)</f>
        <v>1.2658000000000001E-3</v>
      </c>
      <c r="AD3" s="14">
        <f>IFERROR(AC3*(1+INDEX(CAGR!$C$44:$C$50,MATCH($A3,CAGR!$B$44:$B$50,0))),0)</f>
        <v>1.2658000000000001E-3</v>
      </c>
      <c r="AE3" s="14">
        <f>IFERROR(AD3*(1+INDEX(CAGR!$C$44:$C$50,MATCH($A3,CAGR!$B$44:$B$50,0))),0)</f>
        <v>1.2658000000000001E-3</v>
      </c>
      <c r="AF3" s="14">
        <f>IFERROR(AE3*(1+INDEX(CAGR!$C$44:$C$50,MATCH($A3,CAGR!$B$44:$B$50,0))),0)</f>
        <v>1.2658000000000001E-3</v>
      </c>
      <c r="AG3" s="14"/>
    </row>
    <row r="4" spans="1:33">
      <c r="A4" s="1" t="s">
        <v>11</v>
      </c>
      <c r="B4" s="14">
        <f>IFERROR(INDEX('SYFAFE psgr'!$B$5:$H$5,,MATCH($A4,'SYFAFE psgr'!$B$1:$H$1,0))*(1+INDEX(CAGR!$C$44:$C$50,MATCH($A4,CAGR!$B$44:$B$50,0))),0)</f>
        <v>1.2658000000000001E-3</v>
      </c>
      <c r="C4" s="14">
        <f>IFERROR(B4*(1+INDEX(CAGR!$C$44:$C$50,MATCH($A4,CAGR!$B$44:$B$50,0))),0)</f>
        <v>1.2658000000000001E-3</v>
      </c>
      <c r="D4" s="14">
        <f>IFERROR(C4*(1+INDEX(CAGR!$C$44:$C$50,MATCH($A4,CAGR!$B$44:$B$50,0))),0)</f>
        <v>1.2658000000000001E-3</v>
      </c>
      <c r="E4" s="14">
        <f>IFERROR(D4*(1+INDEX(CAGR!$C$44:$C$50,MATCH($A4,CAGR!$B$44:$B$50,0))),0)</f>
        <v>1.2658000000000001E-3</v>
      </c>
      <c r="F4" s="14">
        <f>IFERROR(E4*(1+INDEX(CAGR!$C$44:$C$50,MATCH($A4,CAGR!$B$44:$B$50,0))),0)</f>
        <v>1.2658000000000001E-3</v>
      </c>
      <c r="G4" s="14">
        <f>IFERROR(F4*(1+INDEX(CAGR!$C$44:$C$50,MATCH($A4,CAGR!$B$44:$B$50,0))),0)</f>
        <v>1.2658000000000001E-3</v>
      </c>
      <c r="H4" s="14">
        <f>IFERROR(G4*(1+INDEX(CAGR!$C$44:$C$50,MATCH($A4,CAGR!$B$44:$B$50,0))),0)</f>
        <v>1.2658000000000001E-3</v>
      </c>
      <c r="I4" s="14">
        <f>IFERROR(H4*(1+INDEX(CAGR!$C$44:$C$50,MATCH($A4,CAGR!$B$44:$B$50,0))),0)</f>
        <v>1.2658000000000001E-3</v>
      </c>
      <c r="J4" s="14">
        <f>IFERROR(I4*(1+INDEX(CAGR!$C$44:$C$50,MATCH($A4,CAGR!$B$44:$B$50,0))),0)</f>
        <v>1.2658000000000001E-3</v>
      </c>
      <c r="K4" s="14">
        <f>IFERROR(J4*(1+INDEX(CAGR!$C$44:$C$50,MATCH($A4,CAGR!$B$44:$B$50,0))),0)</f>
        <v>1.2658000000000001E-3</v>
      </c>
      <c r="L4" s="14">
        <f>IFERROR(K4*(1+INDEX(CAGR!$C$44:$C$50,MATCH($A4,CAGR!$B$44:$B$50,0))),0)</f>
        <v>1.2658000000000001E-3</v>
      </c>
      <c r="M4" s="14">
        <f>IFERROR(L4*(1+INDEX(CAGR!$C$44:$C$50,MATCH($A4,CAGR!$B$44:$B$50,0))),0)</f>
        <v>1.2658000000000001E-3</v>
      </c>
      <c r="N4" s="14">
        <f>IFERROR(M4*(1+INDEX(CAGR!$C$44:$C$50,MATCH($A4,CAGR!$B$44:$B$50,0))),0)</f>
        <v>1.2658000000000001E-3</v>
      </c>
      <c r="O4" s="14">
        <f>IFERROR(N4*(1+INDEX(CAGR!$C$44:$C$50,MATCH($A4,CAGR!$B$44:$B$50,0))),0)</f>
        <v>1.2658000000000001E-3</v>
      </c>
      <c r="P4" s="14">
        <f>IFERROR(O4*(1+INDEX(CAGR!$C$44:$C$50,MATCH($A4,CAGR!$B$44:$B$50,0))),0)</f>
        <v>1.2658000000000001E-3</v>
      </c>
      <c r="Q4" s="14">
        <f>IFERROR(P4*(1+INDEX(CAGR!$C$44:$C$50,MATCH($A4,CAGR!$B$44:$B$50,0))),0)</f>
        <v>1.2658000000000001E-3</v>
      </c>
      <c r="R4" s="14">
        <f>IFERROR(Q4*(1+INDEX(CAGR!$C$44:$C$50,MATCH($A4,CAGR!$B$44:$B$50,0))),0)</f>
        <v>1.2658000000000001E-3</v>
      </c>
      <c r="S4" s="14">
        <f>IFERROR(R4*(1+INDEX(CAGR!$C$44:$C$50,MATCH($A4,CAGR!$B$44:$B$50,0))),0)</f>
        <v>1.2658000000000001E-3</v>
      </c>
      <c r="T4" s="14">
        <f>IFERROR(S4*(1+INDEX(CAGR!$C$44:$C$50,MATCH($A4,CAGR!$B$44:$B$50,0))),0)</f>
        <v>1.2658000000000001E-3</v>
      </c>
      <c r="U4" s="14">
        <f>IFERROR(T4*(1+INDEX(CAGR!$C$44:$C$50,MATCH($A4,CAGR!$B$44:$B$50,0))),0)</f>
        <v>1.2658000000000001E-3</v>
      </c>
      <c r="V4" s="14">
        <f>IFERROR(U4*(1+INDEX(CAGR!$C$44:$C$50,MATCH($A4,CAGR!$B$44:$B$50,0))),0)</f>
        <v>1.2658000000000001E-3</v>
      </c>
      <c r="W4" s="14">
        <f>IFERROR(V4*(1+INDEX(CAGR!$C$44:$C$50,MATCH($A4,CAGR!$B$44:$B$50,0))),0)</f>
        <v>1.2658000000000001E-3</v>
      </c>
      <c r="X4" s="14">
        <f>IFERROR(W4*(1+INDEX(CAGR!$C$44:$C$50,MATCH($A4,CAGR!$B$44:$B$50,0))),0)</f>
        <v>1.2658000000000001E-3</v>
      </c>
      <c r="Y4" s="14">
        <f>IFERROR(X4*(1+INDEX(CAGR!$C$44:$C$50,MATCH($A4,CAGR!$B$44:$B$50,0))),0)</f>
        <v>1.2658000000000001E-3</v>
      </c>
      <c r="Z4" s="14">
        <f>IFERROR(Y4*(1+INDEX(CAGR!$C$44:$C$50,MATCH($A4,CAGR!$B$44:$B$50,0))),0)</f>
        <v>1.2658000000000001E-3</v>
      </c>
      <c r="AA4" s="14">
        <f>IFERROR(Z4*(1+INDEX(CAGR!$C$44:$C$50,MATCH($A4,CAGR!$B$44:$B$50,0))),0)</f>
        <v>1.2658000000000001E-3</v>
      </c>
      <c r="AB4" s="14">
        <f>IFERROR(AA4*(1+INDEX(CAGR!$C$44:$C$50,MATCH($A4,CAGR!$B$44:$B$50,0))),0)</f>
        <v>1.2658000000000001E-3</v>
      </c>
      <c r="AC4" s="14">
        <f>IFERROR(AB4*(1+INDEX(CAGR!$C$44:$C$50,MATCH($A4,CAGR!$B$44:$B$50,0))),0)</f>
        <v>1.2658000000000001E-3</v>
      </c>
      <c r="AD4" s="14">
        <f>IFERROR(AC4*(1+INDEX(CAGR!$C$44:$C$50,MATCH($A4,CAGR!$B$44:$B$50,0))),0)</f>
        <v>1.2658000000000001E-3</v>
      </c>
      <c r="AE4" s="14">
        <f>IFERROR(AD4*(1+INDEX(CAGR!$C$44:$C$50,MATCH($A4,CAGR!$B$44:$B$50,0))),0)</f>
        <v>1.2658000000000001E-3</v>
      </c>
      <c r="AF4" s="14">
        <f>IFERROR(AE4*(1+INDEX(CAGR!$C$44:$C$50,MATCH($A4,CAGR!$B$44:$B$50,0))),0)</f>
        <v>1.2658000000000001E-3</v>
      </c>
      <c r="AG4" s="14"/>
    </row>
    <row r="5" spans="1:33">
      <c r="A5" s="1" t="s">
        <v>12</v>
      </c>
      <c r="B5" s="14">
        <f>IFERROR(INDEX('SYFAFE psgr'!$B$5:$H$5,,MATCH($A5,'SYFAFE psgr'!$B$1:$H$1,0))*(1+INDEX(CAGR!$C$44:$C$50,MATCH($A5,CAGR!$B$44:$B$50,0))),0)</f>
        <v>1.2653975980973084E-3</v>
      </c>
      <c r="C5" s="14">
        <f>IFERROR(B5*(1+INDEX(CAGR!$C$44:$C$50,MATCH($A5,CAGR!$B$44:$B$50,0))),0)</f>
        <v>1.2649953241194794E-3</v>
      </c>
      <c r="D5" s="14">
        <f>IFERROR(C5*(1+INDEX(CAGR!$C$44:$C$50,MATCH($A5,CAGR!$B$44:$B$50,0))),0)</f>
        <v>1.2645931780258454E-3</v>
      </c>
      <c r="E5" s="14">
        <f>IFERROR(D5*(1+INDEX(CAGR!$C$44:$C$50,MATCH($A5,CAGR!$B$44:$B$50,0))),0)</f>
        <v>1.2641911597757517E-3</v>
      </c>
      <c r="F5" s="14">
        <f>IFERROR(E5*(1+INDEX(CAGR!$C$44:$C$50,MATCH($A5,CAGR!$B$44:$B$50,0))),0)</f>
        <v>1.2637892693285564E-3</v>
      </c>
      <c r="G5" s="14">
        <f>IFERROR(F5*(1+INDEX(CAGR!$C$44:$C$50,MATCH($A5,CAGR!$B$44:$B$50,0))),0)</f>
        <v>1.2633875066436306E-3</v>
      </c>
      <c r="H5" s="14">
        <f>IFERROR(G5*(1+INDEX(CAGR!$C$44:$C$50,MATCH($A5,CAGR!$B$44:$B$50,0))),0)</f>
        <v>1.2629858716803582E-3</v>
      </c>
      <c r="I5" s="14">
        <f>IFERROR(H5*(1+INDEX(CAGR!$C$44:$C$50,MATCH($A5,CAGR!$B$44:$B$50,0))),0)</f>
        <v>1.262584364398136E-3</v>
      </c>
      <c r="J5" s="14">
        <f>IFERROR(I5*(1+INDEX(CAGR!$C$44:$C$50,MATCH($A5,CAGR!$B$44:$B$50,0))),0)</f>
        <v>1.2621829847563738E-3</v>
      </c>
      <c r="K5" s="14">
        <f>IFERROR(J5*(1+INDEX(CAGR!$C$44:$C$50,MATCH($A5,CAGR!$B$44:$B$50,0))),0)</f>
        <v>1.2617817327144943E-3</v>
      </c>
      <c r="L5" s="14">
        <f>IFERROR(K5*(1+INDEX(CAGR!$C$44:$C$50,MATCH($A5,CAGR!$B$44:$B$50,0))),0)</f>
        <v>1.2613806082319332E-3</v>
      </c>
      <c r="M5" s="14">
        <f>IFERROR(L5*(1+INDEX(CAGR!$C$44:$C$50,MATCH($A5,CAGR!$B$44:$B$50,0))),0)</f>
        <v>1.2609796112681389E-3</v>
      </c>
      <c r="N5" s="14">
        <f>IFERROR(M5*(1+INDEX(CAGR!$C$44:$C$50,MATCH($A5,CAGR!$B$44:$B$50,0))),0)</f>
        <v>1.2605787417825727E-3</v>
      </c>
      <c r="O5" s="14">
        <f>IFERROR(N5*(1+INDEX(CAGR!$C$44:$C$50,MATCH($A5,CAGR!$B$44:$B$50,0))),0)</f>
        <v>1.260177999734709E-3</v>
      </c>
      <c r="P5" s="14">
        <f>IFERROR(O5*(1+INDEX(CAGR!$C$44:$C$50,MATCH($A5,CAGR!$B$44:$B$50,0))),0)</f>
        <v>1.2597773850840347E-3</v>
      </c>
      <c r="Q5" s="14">
        <f>IFERROR(P5*(1+INDEX(CAGR!$C$44:$C$50,MATCH($A5,CAGR!$B$44:$B$50,0))),0)</f>
        <v>1.25937689779005E-3</v>
      </c>
      <c r="R5" s="14">
        <f>IFERROR(Q5*(1+INDEX(CAGR!$C$44:$C$50,MATCH($A5,CAGR!$B$44:$B$50,0))),0)</f>
        <v>1.2589765378122678E-3</v>
      </c>
      <c r="S5" s="14">
        <f>IFERROR(R5*(1+INDEX(CAGR!$C$44:$C$50,MATCH($A5,CAGR!$B$44:$B$50,0))),0)</f>
        <v>1.2585763051102138E-3</v>
      </c>
      <c r="T5" s="14">
        <f>IFERROR(S5*(1+INDEX(CAGR!$C$44:$C$50,MATCH($A5,CAGR!$B$44:$B$50,0))),0)</f>
        <v>1.2581761996434267E-3</v>
      </c>
      <c r="U5" s="14">
        <f>IFERROR(T5*(1+INDEX(CAGR!$C$44:$C$50,MATCH($A5,CAGR!$B$44:$B$50,0))),0)</f>
        <v>1.257776221371458E-3</v>
      </c>
      <c r="V5" s="14">
        <f>IFERROR(U5*(1+INDEX(CAGR!$C$44:$C$50,MATCH($A5,CAGR!$B$44:$B$50,0))),0)</f>
        <v>1.257376370253872E-3</v>
      </c>
      <c r="W5" s="14">
        <f>IFERROR(V5*(1+INDEX(CAGR!$C$44:$C$50,MATCH($A5,CAGR!$B$44:$B$50,0))),0)</f>
        <v>1.256976646250246E-3</v>
      </c>
      <c r="X5" s="14">
        <f>IFERROR(W5*(1+INDEX(CAGR!$C$44:$C$50,MATCH($A5,CAGR!$B$44:$B$50,0))),0)</f>
        <v>1.25657704932017E-3</v>
      </c>
      <c r="Y5" s="14">
        <f>IFERROR(X5*(1+INDEX(CAGR!$C$44:$C$50,MATCH($A5,CAGR!$B$44:$B$50,0))),0)</f>
        <v>1.2561775794232468E-3</v>
      </c>
      <c r="Z5" s="14">
        <f>IFERROR(Y5*(1+INDEX(CAGR!$C$44:$C$50,MATCH($A5,CAGR!$B$44:$B$50,0))),0)</f>
        <v>1.2557782365190924E-3</v>
      </c>
      <c r="AA5" s="14">
        <f>IFERROR(Z5*(1+INDEX(CAGR!$C$44:$C$50,MATCH($A5,CAGR!$B$44:$B$50,0))),0)</f>
        <v>1.2553790205673354E-3</v>
      </c>
      <c r="AB5" s="14">
        <f>IFERROR(AA5*(1+INDEX(CAGR!$C$44:$C$50,MATCH($A5,CAGR!$B$44:$B$50,0))),0)</f>
        <v>1.254979931527617E-3</v>
      </c>
      <c r="AC5" s="14">
        <f>IFERROR(AB5*(1+INDEX(CAGR!$C$44:$C$50,MATCH($A5,CAGR!$B$44:$B$50,0))),0)</f>
        <v>1.2545809693595917E-3</v>
      </c>
      <c r="AD5" s="14">
        <f>IFERROR(AC5*(1+INDEX(CAGR!$C$44:$C$50,MATCH($A5,CAGR!$B$44:$B$50,0))),0)</f>
        <v>1.2541821340229262E-3</v>
      </c>
      <c r="AE5" s="14">
        <f>IFERROR(AD5*(1+INDEX(CAGR!$C$44:$C$50,MATCH($A5,CAGR!$B$44:$B$50,0))),0)</f>
        <v>1.2537834254773006E-3</v>
      </c>
      <c r="AF5" s="14">
        <f>IFERROR(AE5*(1+INDEX(CAGR!$C$44:$C$50,MATCH($A5,CAGR!$B$44:$B$50,0))),0)</f>
        <v>1.2533848436824078E-3</v>
      </c>
      <c r="AG5" s="14"/>
    </row>
    <row r="6" spans="1:33">
      <c r="A6" s="1" t="s">
        <v>13</v>
      </c>
      <c r="B6" s="14">
        <f>IFERROR(INDEX('SYFAFE psgr'!$B$5:$H$5,,MATCH($A6,'SYFAFE psgr'!$B$1:$H$1,0))*(1+INDEX(CAGR!$C$44:$C$50,MATCH($A6,CAGR!$B$44:$B$50,0))),0)</f>
        <v>0</v>
      </c>
      <c r="C6" s="14">
        <f>IFERROR(B6*(1+INDEX(CAGR!$C$44:$C$50,MATCH($A6,CAGR!$B$44:$B$50,0))),0)</f>
        <v>0</v>
      </c>
      <c r="D6" s="14">
        <f>IFERROR(C6*(1+INDEX(CAGR!$C$44:$C$50,MATCH($A6,CAGR!$B$44:$B$50,0))),0)</f>
        <v>0</v>
      </c>
      <c r="E6" s="14">
        <f>IFERROR(D6*(1+INDEX(CAGR!$C$44:$C$50,MATCH($A6,CAGR!$B$44:$B$50,0))),0)</f>
        <v>0</v>
      </c>
      <c r="F6" s="14">
        <f>IFERROR(E6*(1+INDEX(CAGR!$C$44:$C$50,MATCH($A6,CAGR!$B$44:$B$50,0))),0)</f>
        <v>0</v>
      </c>
      <c r="G6" s="14">
        <f>IFERROR(F6*(1+INDEX(CAGR!$C$44:$C$50,MATCH($A6,CAGR!$B$44:$B$50,0))),0)</f>
        <v>0</v>
      </c>
      <c r="H6" s="14">
        <f>IFERROR(G6*(1+INDEX(CAGR!$C$44:$C$50,MATCH($A6,CAGR!$B$44:$B$50,0))),0)</f>
        <v>0</v>
      </c>
      <c r="I6" s="14">
        <f>IFERROR(H6*(1+INDEX(CAGR!$C$44:$C$50,MATCH($A6,CAGR!$B$44:$B$50,0))),0)</f>
        <v>0</v>
      </c>
      <c r="J6" s="14">
        <f>IFERROR(I6*(1+INDEX(CAGR!$C$44:$C$50,MATCH($A6,CAGR!$B$44:$B$50,0))),0)</f>
        <v>0</v>
      </c>
      <c r="K6" s="14">
        <f>IFERROR(J6*(1+INDEX(CAGR!$C$44:$C$50,MATCH($A6,CAGR!$B$44:$B$50,0))),0)</f>
        <v>0</v>
      </c>
      <c r="L6" s="14">
        <f>IFERROR(K6*(1+INDEX(CAGR!$C$44:$C$50,MATCH($A6,CAGR!$B$44:$B$50,0))),0)</f>
        <v>0</v>
      </c>
      <c r="M6" s="14">
        <f>IFERROR(L6*(1+INDEX(CAGR!$C$44:$C$50,MATCH($A6,CAGR!$B$44:$B$50,0))),0)</f>
        <v>0</v>
      </c>
      <c r="N6" s="14">
        <f>IFERROR(M6*(1+INDEX(CAGR!$C$44:$C$50,MATCH($A6,CAGR!$B$44:$B$50,0))),0)</f>
        <v>0</v>
      </c>
      <c r="O6" s="14">
        <f>IFERROR(N6*(1+INDEX(CAGR!$C$44:$C$50,MATCH($A6,CAGR!$B$44:$B$50,0))),0)</f>
        <v>0</v>
      </c>
      <c r="P6" s="14">
        <f>IFERROR(O6*(1+INDEX(CAGR!$C$44:$C$50,MATCH($A6,CAGR!$B$44:$B$50,0))),0)</f>
        <v>0</v>
      </c>
      <c r="Q6" s="14">
        <f>IFERROR(P6*(1+INDEX(CAGR!$C$44:$C$50,MATCH($A6,CAGR!$B$44:$B$50,0))),0)</f>
        <v>0</v>
      </c>
      <c r="R6" s="14">
        <f>IFERROR(Q6*(1+INDEX(CAGR!$C$44:$C$50,MATCH($A6,CAGR!$B$44:$B$50,0))),0)</f>
        <v>0</v>
      </c>
      <c r="S6" s="14">
        <f>IFERROR(R6*(1+INDEX(CAGR!$C$44:$C$50,MATCH($A6,CAGR!$B$44:$B$50,0))),0)</f>
        <v>0</v>
      </c>
      <c r="T6" s="14">
        <f>IFERROR(S6*(1+INDEX(CAGR!$C$44:$C$50,MATCH($A6,CAGR!$B$44:$B$50,0))),0)</f>
        <v>0</v>
      </c>
      <c r="U6" s="14">
        <f>IFERROR(T6*(1+INDEX(CAGR!$C$44:$C$50,MATCH($A6,CAGR!$B$44:$B$50,0))),0)</f>
        <v>0</v>
      </c>
      <c r="V6" s="14">
        <f>IFERROR(U6*(1+INDEX(CAGR!$C$44:$C$50,MATCH($A6,CAGR!$B$44:$B$50,0))),0)</f>
        <v>0</v>
      </c>
      <c r="W6" s="14">
        <f>IFERROR(V6*(1+INDEX(CAGR!$C$44:$C$50,MATCH($A6,CAGR!$B$44:$B$50,0))),0)</f>
        <v>0</v>
      </c>
      <c r="X6" s="14">
        <f>IFERROR(W6*(1+INDEX(CAGR!$C$44:$C$50,MATCH($A6,CAGR!$B$44:$B$50,0))),0)</f>
        <v>0</v>
      </c>
      <c r="Y6" s="14">
        <f>IFERROR(X6*(1+INDEX(CAGR!$C$44:$C$50,MATCH($A6,CAGR!$B$44:$B$50,0))),0)</f>
        <v>0</v>
      </c>
      <c r="Z6" s="14">
        <f>IFERROR(Y6*(1+INDEX(CAGR!$C$44:$C$50,MATCH($A6,CAGR!$B$44:$B$50,0))),0)</f>
        <v>0</v>
      </c>
      <c r="AA6" s="14">
        <f>IFERROR(Z6*(1+INDEX(CAGR!$C$44:$C$50,MATCH($A6,CAGR!$B$44:$B$50,0))),0)</f>
        <v>0</v>
      </c>
      <c r="AB6" s="14">
        <f>IFERROR(AA6*(1+INDEX(CAGR!$C$44:$C$50,MATCH($A6,CAGR!$B$44:$B$50,0))),0)</f>
        <v>0</v>
      </c>
      <c r="AC6" s="14">
        <f>IFERROR(AB6*(1+INDEX(CAGR!$C$44:$C$50,MATCH($A6,CAGR!$B$44:$B$50,0))),0)</f>
        <v>0</v>
      </c>
      <c r="AD6" s="14">
        <f>IFERROR(AC6*(1+INDEX(CAGR!$C$44:$C$50,MATCH($A6,CAGR!$B$44:$B$50,0))),0)</f>
        <v>0</v>
      </c>
      <c r="AE6" s="14">
        <f>IFERROR(AD6*(1+INDEX(CAGR!$C$44:$C$50,MATCH($A6,CAGR!$B$44:$B$50,0))),0)</f>
        <v>0</v>
      </c>
      <c r="AF6" s="14">
        <f>IFERROR(AE6*(1+INDEX(CAGR!$C$44:$C$50,MATCH($A6,CAGR!$B$44:$B$50,0))),0)</f>
        <v>0</v>
      </c>
      <c r="AG6" s="14"/>
    </row>
    <row r="7" spans="1:33">
      <c r="A7" s="1" t="s">
        <v>14</v>
      </c>
      <c r="B7" s="14">
        <f>IFERROR(INDEX('SYFAFE psgr'!$B$5:$H$5,,MATCH($A7,'SYFAFE psgr'!$B$1:$H$1,0))*(1+INDEX(CAGR!$C$44:$C$50,MATCH($A7,CAGR!$B$44:$B$50,0))),0)</f>
        <v>0</v>
      </c>
      <c r="C7" s="14">
        <f>IFERROR(B7*(1+INDEX(CAGR!$C$44:$C$50,MATCH($A7,CAGR!$B$44:$B$50,0))),0)</f>
        <v>0</v>
      </c>
      <c r="D7" s="14">
        <f>IFERROR(C7*(1+INDEX(CAGR!$C$44:$C$50,MATCH($A7,CAGR!$B$44:$B$50,0))),0)</f>
        <v>0</v>
      </c>
      <c r="E7" s="14">
        <f>IFERROR(D7*(1+INDEX(CAGR!$C$44:$C$50,MATCH($A7,CAGR!$B$44:$B$50,0))),0)</f>
        <v>0</v>
      </c>
      <c r="F7" s="14">
        <f>IFERROR(E7*(1+INDEX(CAGR!$C$44:$C$50,MATCH($A7,CAGR!$B$44:$B$50,0))),0)</f>
        <v>0</v>
      </c>
      <c r="G7" s="14">
        <f>IFERROR(F7*(1+INDEX(CAGR!$C$44:$C$50,MATCH($A7,CAGR!$B$44:$B$50,0))),0)</f>
        <v>0</v>
      </c>
      <c r="H7" s="14">
        <f>IFERROR(G7*(1+INDEX(CAGR!$C$44:$C$50,MATCH($A7,CAGR!$B$44:$B$50,0))),0)</f>
        <v>0</v>
      </c>
      <c r="I7" s="14">
        <f>IFERROR(H7*(1+INDEX(CAGR!$C$44:$C$50,MATCH($A7,CAGR!$B$44:$B$50,0))),0)</f>
        <v>0</v>
      </c>
      <c r="J7" s="14">
        <f>IFERROR(I7*(1+INDEX(CAGR!$C$44:$C$50,MATCH($A7,CAGR!$B$44:$B$50,0))),0)</f>
        <v>0</v>
      </c>
      <c r="K7" s="14">
        <f>IFERROR(J7*(1+INDEX(CAGR!$C$44:$C$50,MATCH($A7,CAGR!$B$44:$B$50,0))),0)</f>
        <v>0</v>
      </c>
      <c r="L7" s="14">
        <f>IFERROR(K7*(1+INDEX(CAGR!$C$44:$C$50,MATCH($A7,CAGR!$B$44:$B$50,0))),0)</f>
        <v>0</v>
      </c>
      <c r="M7" s="14">
        <f>IFERROR(L7*(1+INDEX(CAGR!$C$44:$C$50,MATCH($A7,CAGR!$B$44:$B$50,0))),0)</f>
        <v>0</v>
      </c>
      <c r="N7" s="14">
        <f>IFERROR(M7*(1+INDEX(CAGR!$C$44:$C$50,MATCH($A7,CAGR!$B$44:$B$50,0))),0)</f>
        <v>0</v>
      </c>
      <c r="O7" s="14">
        <f>IFERROR(N7*(1+INDEX(CAGR!$C$44:$C$50,MATCH($A7,CAGR!$B$44:$B$50,0))),0)</f>
        <v>0</v>
      </c>
      <c r="P7" s="14">
        <f>IFERROR(O7*(1+INDEX(CAGR!$C$44:$C$50,MATCH($A7,CAGR!$B$44:$B$50,0))),0)</f>
        <v>0</v>
      </c>
      <c r="Q7" s="14">
        <f>IFERROR(P7*(1+INDEX(CAGR!$C$44:$C$50,MATCH($A7,CAGR!$B$44:$B$50,0))),0)</f>
        <v>0</v>
      </c>
      <c r="R7" s="14">
        <f>IFERROR(Q7*(1+INDEX(CAGR!$C$44:$C$50,MATCH($A7,CAGR!$B$44:$B$50,0))),0)</f>
        <v>0</v>
      </c>
      <c r="S7" s="14">
        <f>IFERROR(R7*(1+INDEX(CAGR!$C$44:$C$50,MATCH($A7,CAGR!$B$44:$B$50,0))),0)</f>
        <v>0</v>
      </c>
      <c r="T7" s="14">
        <f>IFERROR(S7*(1+INDEX(CAGR!$C$44:$C$50,MATCH($A7,CAGR!$B$44:$B$50,0))),0)</f>
        <v>0</v>
      </c>
      <c r="U7" s="14">
        <f>IFERROR(T7*(1+INDEX(CAGR!$C$44:$C$50,MATCH($A7,CAGR!$B$44:$B$50,0))),0)</f>
        <v>0</v>
      </c>
      <c r="V7" s="14">
        <f>IFERROR(U7*(1+INDEX(CAGR!$C$44:$C$50,MATCH($A7,CAGR!$B$44:$B$50,0))),0)</f>
        <v>0</v>
      </c>
      <c r="W7" s="14">
        <f>IFERROR(V7*(1+INDEX(CAGR!$C$44:$C$50,MATCH($A7,CAGR!$B$44:$B$50,0))),0)</f>
        <v>0</v>
      </c>
      <c r="X7" s="14">
        <f>IFERROR(W7*(1+INDEX(CAGR!$C$44:$C$50,MATCH($A7,CAGR!$B$44:$B$50,0))),0)</f>
        <v>0</v>
      </c>
      <c r="Y7" s="14">
        <f>IFERROR(X7*(1+INDEX(CAGR!$C$44:$C$50,MATCH($A7,CAGR!$B$44:$B$50,0))),0)</f>
        <v>0</v>
      </c>
      <c r="Z7" s="14">
        <f>IFERROR(Y7*(1+INDEX(CAGR!$C$44:$C$50,MATCH($A7,CAGR!$B$44:$B$50,0))),0)</f>
        <v>0</v>
      </c>
      <c r="AA7" s="14">
        <f>IFERROR(Z7*(1+INDEX(CAGR!$C$44:$C$50,MATCH($A7,CAGR!$B$44:$B$50,0))),0)</f>
        <v>0</v>
      </c>
      <c r="AB7" s="14">
        <f>IFERROR(AA7*(1+INDEX(CAGR!$C$44:$C$50,MATCH($A7,CAGR!$B$44:$B$50,0))),0)</f>
        <v>0</v>
      </c>
      <c r="AC7" s="14">
        <f>IFERROR(AB7*(1+INDEX(CAGR!$C$44:$C$50,MATCH($A7,CAGR!$B$44:$B$50,0))),0)</f>
        <v>0</v>
      </c>
      <c r="AD7" s="14">
        <f>IFERROR(AC7*(1+INDEX(CAGR!$C$44:$C$50,MATCH($A7,CAGR!$B$44:$B$50,0))),0)</f>
        <v>0</v>
      </c>
      <c r="AE7" s="14">
        <f>IFERROR(AD7*(1+INDEX(CAGR!$C$44:$C$50,MATCH($A7,CAGR!$B$44:$B$50,0))),0)</f>
        <v>0</v>
      </c>
      <c r="AF7" s="14">
        <f>IFERROR(AE7*(1+INDEX(CAGR!$C$44:$C$50,MATCH($A7,CAGR!$B$44:$B$50,0))),0)</f>
        <v>0</v>
      </c>
      <c r="AG7" s="14"/>
    </row>
    <row r="8" spans="1:33">
      <c r="A8" s="1" t="s">
        <v>15</v>
      </c>
      <c r="B8" s="13">
        <f>B5*Calibration!$D$37</f>
        <v>3.7961927942919238E-3</v>
      </c>
      <c r="C8" s="13">
        <f>B8*(1+CAGR!$C$50)</f>
        <v>3.7949859723584371E-3</v>
      </c>
      <c r="D8" s="13">
        <f>C8*(1+CAGR!$C$50)</f>
        <v>3.7937795340775354E-3</v>
      </c>
      <c r="E8" s="13">
        <f>D8*(1+CAGR!$C$50)</f>
        <v>3.7925734793272546E-3</v>
      </c>
      <c r="F8" s="13">
        <f>E8*(1+CAGR!$C$50)</f>
        <v>3.7913678079856687E-3</v>
      </c>
      <c r="G8" s="13">
        <f>F8*(1+CAGR!$C$50)</f>
        <v>3.790162519930891E-3</v>
      </c>
      <c r="H8" s="13">
        <f>G8*(1+CAGR!$C$50)</f>
        <v>3.7889576150410735E-3</v>
      </c>
      <c r="I8" s="13">
        <f>H8*(1+CAGR!$C$50)</f>
        <v>3.7877530931944067E-3</v>
      </c>
      <c r="J8" s="13">
        <f>I8*(1+CAGR!$C$50)</f>
        <v>3.7865489542691201E-3</v>
      </c>
      <c r="K8" s="13">
        <f>J8*(1+CAGR!$C$50)</f>
        <v>3.7853451981434815E-3</v>
      </c>
      <c r="L8" s="13">
        <f>K8*(1+CAGR!$C$50)</f>
        <v>3.7841418246957982E-3</v>
      </c>
      <c r="M8" s="13">
        <f>L8*(1+CAGR!$C$50)</f>
        <v>3.7829388338044148E-3</v>
      </c>
      <c r="N8" s="13">
        <f>M8*(1+CAGR!$C$50)</f>
        <v>3.7817362253477161E-3</v>
      </c>
      <c r="O8" s="13">
        <f>N8*(1+CAGR!$C$50)</f>
        <v>3.7805339992041248E-3</v>
      </c>
      <c r="P8" s="13">
        <f>O8*(1+CAGR!$C$50)</f>
        <v>3.7793321552521022E-3</v>
      </c>
      <c r="Q8" s="13">
        <f>P8*(1+CAGR!$C$50)</f>
        <v>3.7781306933701484E-3</v>
      </c>
      <c r="R8" s="13">
        <f>Q8*(1+CAGR!$C$50)</f>
        <v>3.7769296134368018E-3</v>
      </c>
      <c r="S8" s="13">
        <f>R8*(1+CAGR!$C$50)</f>
        <v>3.7757289153306402E-3</v>
      </c>
      <c r="T8" s="13">
        <f>S8*(1+CAGR!$C$50)</f>
        <v>3.7745285989302792E-3</v>
      </c>
      <c r="U8" s="13">
        <f>T8*(1+CAGR!$C$50)</f>
        <v>3.7733286641143731E-3</v>
      </c>
      <c r="V8" s="13">
        <f>U8*(1+CAGR!$C$50)</f>
        <v>3.7721291107616155E-3</v>
      </c>
      <c r="W8" s="13">
        <f>V8*(1+CAGR!$C$50)</f>
        <v>3.7709299387507379E-3</v>
      </c>
      <c r="X8" s="13">
        <f>W8*(1+CAGR!$C$50)</f>
        <v>3.7697311479605099E-3</v>
      </c>
      <c r="Y8" s="13">
        <f>X8*(1+CAGR!$C$50)</f>
        <v>3.7685327382697407E-3</v>
      </c>
      <c r="Z8" s="13">
        <f>Y8*(1+CAGR!$C$50)</f>
        <v>3.7673347095572777E-3</v>
      </c>
      <c r="AA8" s="13">
        <f>Z8*(1+CAGR!$C$50)</f>
        <v>3.7661370617020065E-3</v>
      </c>
      <c r="AB8" s="13">
        <f>AA8*(1+CAGR!$C$50)</f>
        <v>3.7649397945828515E-3</v>
      </c>
      <c r="AC8" s="13">
        <f>AB8*(1+CAGR!$C$50)</f>
        <v>3.763742908078775E-3</v>
      </c>
      <c r="AD8" s="13">
        <f>AC8*(1+CAGR!$C$50)</f>
        <v>3.7625464020687787E-3</v>
      </c>
      <c r="AE8" s="13">
        <f>AD8*(1+CAGR!$C$50)</f>
        <v>3.7613502764319022E-3</v>
      </c>
      <c r="AF8" s="13">
        <f>AE8*(1+CAGR!$C$50)</f>
        <v>3.7601545310472235E-3</v>
      </c>
      <c r="AG8" s="14"/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154C0-0C37-417F-BDAF-821D86C49073}">
  <sheetPr>
    <tabColor rgb="FF1F497D"/>
  </sheetPr>
  <dimension ref="A1:AF8"/>
  <sheetViews>
    <sheetView workbookViewId="0">
      <selection activeCell="B5" sqref="B5"/>
    </sheetView>
  </sheetViews>
  <sheetFormatPr defaultRowHeight="15"/>
  <cols>
    <col min="1" max="1" width="32.7109375" bestFit="1" customWidth="1"/>
    <col min="2" max="32" width="9.2851562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4">
        <f>IFERROR(INDEX('SYFAFE frgt'!$B$5:$H$5,,MATCH($A2,'SYFAFE frgt'!$B$1:$H$1,0))*(1+INDEX(CAGR!$C$51:$C$57,MATCH($A2,CAGR!$B$51:$B$57,0))),0)</f>
        <v>4.6989073334332684E-3</v>
      </c>
      <c r="C2" s="14">
        <f>IFERROR(B2*(1+INDEX(CAGR!$C$51:$C$57,MATCH($A2,CAGR!$B$44:$B$50,0))),0)</f>
        <v>4.7283986054893245E-3</v>
      </c>
      <c r="D2" s="14">
        <f>IFERROR(C2*(1+INDEX(CAGR!$C$51:$C$57,MATCH($A2,CAGR!$B$44:$B$50,0))),0)</f>
        <v>4.7580749706033548E-3</v>
      </c>
      <c r="E2" s="14">
        <f>IFERROR(D2*(1+INDEX(CAGR!$C$51:$C$57,MATCH($A2,CAGR!$B$44:$B$50,0))),0)</f>
        <v>4.7879375904560104E-3</v>
      </c>
      <c r="F2" s="14">
        <f>IFERROR(E2*(1+INDEX(CAGR!$C$51:$C$57,MATCH($A2,CAGR!$B$44:$B$50,0))),0)</f>
        <v>4.8179876340188792E-3</v>
      </c>
      <c r="G2" s="14">
        <f>IFERROR(F2*(1+INDEX(CAGR!$C$51:$C$57,MATCH($A2,CAGR!$B$44:$B$50,0))),0)</f>
        <v>4.8482262776002472E-3</v>
      </c>
      <c r="H2" s="14">
        <f>IFERROR(G2*(1+INDEX(CAGR!$C$51:$C$57,MATCH($A2,CAGR!$B$44:$B$50,0))),0)</f>
        <v>4.8786547048911425E-3</v>
      </c>
      <c r="I2" s="14">
        <f>IFERROR(H2*(1+INDEX(CAGR!$C$51:$C$57,MATCH($A2,CAGR!$B$44:$B$50,0))),0)</f>
        <v>4.9092741070116729E-3</v>
      </c>
      <c r="J2" s="14">
        <f>IFERROR(I2*(1+INDEX(CAGR!$C$51:$C$57,MATCH($A2,CAGR!$B$44:$B$50,0))),0)</f>
        <v>4.9400856825576513E-3</v>
      </c>
      <c r="K2" s="14">
        <f>IFERROR(J2*(1+INDEX(CAGR!$C$51:$C$57,MATCH($A2,CAGR!$B$44:$B$50,0))),0)</f>
        <v>4.9710906376475164E-3</v>
      </c>
      <c r="L2" s="14">
        <f>IFERROR(K2*(1+INDEX(CAGR!$C$51:$C$57,MATCH($A2,CAGR!$B$44:$B$50,0))),0)</f>
        <v>5.0022901859695431E-3</v>
      </c>
      <c r="M2" s="14">
        <f>IFERROR(L2*(1+INDEX(CAGR!$C$51:$C$57,MATCH($A2,CAGR!$B$44:$B$50,0))),0)</f>
        <v>5.0336855488293548E-3</v>
      </c>
      <c r="N2" s="14">
        <f>IFERROR(M2*(1+INDEX(CAGR!$C$51:$C$57,MATCH($A2,CAGR!$B$44:$B$50,0))),0)</f>
        <v>5.0652779551977308E-3</v>
      </c>
      <c r="O2" s="14">
        <f>IFERROR(N2*(1+INDEX(CAGR!$C$51:$C$57,MATCH($A2,CAGR!$B$44:$B$50,0))),0)</f>
        <v>5.0970686417587136E-3</v>
      </c>
      <c r="P2" s="14">
        <f>IFERROR(O2*(1+INDEX(CAGR!$C$51:$C$57,MATCH($A2,CAGR!$B$44:$B$50,0))),0)</f>
        <v>5.1290588529580199E-3</v>
      </c>
      <c r="Q2" s="14">
        <f>IFERROR(P2*(1+INDEX(CAGR!$C$51:$C$57,MATCH($A2,CAGR!$B$44:$B$50,0))),0)</f>
        <v>5.1612498410517531E-3</v>
      </c>
      <c r="R2" s="14">
        <f>IFERROR(Q2*(1+INDEX(CAGR!$C$51:$C$57,MATCH($A2,CAGR!$B$44:$B$50,0))),0)</f>
        <v>5.1936428661554252E-3</v>
      </c>
      <c r="S2" s="14">
        <f>IFERROR(R2*(1+INDEX(CAGR!$C$51:$C$57,MATCH($A2,CAGR!$B$44:$B$50,0))),0)</f>
        <v>5.2262391962932817E-3</v>
      </c>
      <c r="T2" s="14">
        <f>IFERROR(S2*(1+INDEX(CAGR!$C$51:$C$57,MATCH($A2,CAGR!$B$44:$B$50,0))),0)</f>
        <v>5.2590401074479381E-3</v>
      </c>
      <c r="U2" s="14">
        <f>IFERROR(T2*(1+INDEX(CAGR!$C$51:$C$57,MATCH($A2,CAGR!$B$44:$B$50,0))),0)</f>
        <v>5.2920468836103306E-3</v>
      </c>
      <c r="V2" s="14">
        <f>IFERROR(U2*(1+INDEX(CAGR!$C$51:$C$57,MATCH($A2,CAGR!$B$44:$B$50,0))),0)</f>
        <v>5.3252608168299761E-3</v>
      </c>
      <c r="W2" s="14">
        <f>IFERROR(V2*(1+INDEX(CAGR!$C$51:$C$57,MATCH($A2,CAGR!$B$44:$B$50,0))),0)</f>
        <v>5.3586832072655497E-3</v>
      </c>
      <c r="X2" s="14">
        <f>IFERROR(W2*(1+INDEX(CAGR!$C$51:$C$57,MATCH($A2,CAGR!$B$44:$B$50,0))),0)</f>
        <v>5.39231536323578E-3</v>
      </c>
      <c r="Y2" s="14">
        <f>IFERROR(X2*(1+INDEX(CAGR!$C$51:$C$57,MATCH($A2,CAGR!$B$44:$B$50,0))),0)</f>
        <v>5.4261586012706621E-3</v>
      </c>
      <c r="Z2" s="14">
        <f>IFERROR(Y2*(1+INDEX(CAGR!$C$51:$C$57,MATCH($A2,CAGR!$B$44:$B$50,0))),0)</f>
        <v>5.4602142461629951E-3</v>
      </c>
      <c r="AA2" s="14">
        <f>IFERROR(Z2*(1+INDEX(CAGR!$C$51:$C$57,MATCH($A2,CAGR!$B$44:$B$50,0))),0)</f>
        <v>5.4944836310202383E-3</v>
      </c>
      <c r="AB2" s="14">
        <f>IFERROR(AA2*(1+INDEX(CAGR!$C$51:$C$57,MATCH($A2,CAGR!$B$44:$B$50,0))),0)</f>
        <v>5.5289680973166977E-3</v>
      </c>
      <c r="AC2" s="14">
        <f>IFERROR(AB2*(1+INDEX(CAGR!$C$51:$C$57,MATCH($A2,CAGR!$B$44:$B$50,0))),0)</f>
        <v>5.5636689949460369E-3</v>
      </c>
      <c r="AD2" s="14">
        <f>IFERROR(AC2*(1+INDEX(CAGR!$C$51:$C$57,MATCH($A2,CAGR!$B$44:$B$50,0))),0)</f>
        <v>5.5985876822741212E-3</v>
      </c>
      <c r="AE2" s="14">
        <f>IFERROR(AD2*(1+INDEX(CAGR!$C$51:$C$57,MATCH($A2,CAGR!$B$44:$B$50,0))),0)</f>
        <v>5.6337255261921862E-3</v>
      </c>
      <c r="AF2" s="14">
        <f>IFERROR(AE2*(1+INDEX(CAGR!$C$51:$C$57,MATCH($A2,CAGR!$B$44:$B$50,0))),0)</f>
        <v>5.669083902170349E-3</v>
      </c>
    </row>
    <row r="3" spans="1:32">
      <c r="A3" s="1" t="s">
        <v>10</v>
      </c>
      <c r="B3" s="14">
        <f>IFERROR(INDEX('SYFAFE frgt'!$B$5:$H$5,,MATCH($A3,'SYFAFE frgt'!$B$1:$H$1,0))*(1+INDEX(CAGR!$C$51:$C$57,MATCH($A3,CAGR!$B$51:$B$57,0))),0)</f>
        <v>1.4530999999999999E-3</v>
      </c>
      <c r="C3" s="14">
        <f>IFERROR(B3*(1+INDEX(CAGR!$C$51:$C$57,MATCH($A3,CAGR!$B$44:$B$50,0))),0)</f>
        <v>1.4530999999999999E-3</v>
      </c>
      <c r="D3" s="14">
        <f>IFERROR(C3*(1+INDEX(CAGR!$C$51:$C$57,MATCH($A3,CAGR!$B$44:$B$50,0))),0)</f>
        <v>1.4530999999999999E-3</v>
      </c>
      <c r="E3" s="14">
        <f>IFERROR(D3*(1+INDEX(CAGR!$C$51:$C$57,MATCH($A3,CAGR!$B$44:$B$50,0))),0)</f>
        <v>1.4530999999999999E-3</v>
      </c>
      <c r="F3" s="14">
        <f>IFERROR(E3*(1+INDEX(CAGR!$C$51:$C$57,MATCH($A3,CAGR!$B$44:$B$50,0))),0)</f>
        <v>1.4530999999999999E-3</v>
      </c>
      <c r="G3" s="14">
        <f>IFERROR(F3*(1+INDEX(CAGR!$C$51:$C$57,MATCH($A3,CAGR!$B$44:$B$50,0))),0)</f>
        <v>1.4530999999999999E-3</v>
      </c>
      <c r="H3" s="14">
        <f>IFERROR(G3*(1+INDEX(CAGR!$C$51:$C$57,MATCH($A3,CAGR!$B$44:$B$50,0))),0)</f>
        <v>1.4530999999999999E-3</v>
      </c>
      <c r="I3" s="14">
        <f>IFERROR(H3*(1+INDEX(CAGR!$C$51:$C$57,MATCH($A3,CAGR!$B$44:$B$50,0))),0)</f>
        <v>1.4530999999999999E-3</v>
      </c>
      <c r="J3" s="14">
        <f>IFERROR(I3*(1+INDEX(CAGR!$C$51:$C$57,MATCH($A3,CAGR!$B$44:$B$50,0))),0)</f>
        <v>1.4530999999999999E-3</v>
      </c>
      <c r="K3" s="14">
        <f>IFERROR(J3*(1+INDEX(CAGR!$C$51:$C$57,MATCH($A3,CAGR!$B$44:$B$50,0))),0)</f>
        <v>1.4530999999999999E-3</v>
      </c>
      <c r="L3" s="14">
        <f>IFERROR(K3*(1+INDEX(CAGR!$C$51:$C$57,MATCH($A3,CAGR!$B$44:$B$50,0))),0)</f>
        <v>1.4530999999999999E-3</v>
      </c>
      <c r="M3" s="14">
        <f>IFERROR(L3*(1+INDEX(CAGR!$C$51:$C$57,MATCH($A3,CAGR!$B$44:$B$50,0))),0)</f>
        <v>1.4530999999999999E-3</v>
      </c>
      <c r="N3" s="14">
        <f>IFERROR(M3*(1+INDEX(CAGR!$C$51:$C$57,MATCH($A3,CAGR!$B$44:$B$50,0))),0)</f>
        <v>1.4530999999999999E-3</v>
      </c>
      <c r="O3" s="14">
        <f>IFERROR(N3*(1+INDEX(CAGR!$C$51:$C$57,MATCH($A3,CAGR!$B$44:$B$50,0))),0)</f>
        <v>1.4530999999999999E-3</v>
      </c>
      <c r="P3" s="14">
        <f>IFERROR(O3*(1+INDEX(CAGR!$C$51:$C$57,MATCH($A3,CAGR!$B$44:$B$50,0))),0)</f>
        <v>1.4530999999999999E-3</v>
      </c>
      <c r="Q3" s="14">
        <f>IFERROR(P3*(1+INDEX(CAGR!$C$51:$C$57,MATCH($A3,CAGR!$B$44:$B$50,0))),0)</f>
        <v>1.4530999999999999E-3</v>
      </c>
      <c r="R3" s="14">
        <f>IFERROR(Q3*(1+INDEX(CAGR!$C$51:$C$57,MATCH($A3,CAGR!$B$44:$B$50,0))),0)</f>
        <v>1.4530999999999999E-3</v>
      </c>
      <c r="S3" s="14">
        <f>IFERROR(R3*(1+INDEX(CAGR!$C$51:$C$57,MATCH($A3,CAGR!$B$44:$B$50,0))),0)</f>
        <v>1.4530999999999999E-3</v>
      </c>
      <c r="T3" s="14">
        <f>IFERROR(S3*(1+INDEX(CAGR!$C$51:$C$57,MATCH($A3,CAGR!$B$44:$B$50,0))),0)</f>
        <v>1.4530999999999999E-3</v>
      </c>
      <c r="U3" s="14">
        <f>IFERROR(T3*(1+INDEX(CAGR!$C$51:$C$57,MATCH($A3,CAGR!$B$44:$B$50,0))),0)</f>
        <v>1.4530999999999999E-3</v>
      </c>
      <c r="V3" s="14">
        <f>IFERROR(U3*(1+INDEX(CAGR!$C$51:$C$57,MATCH($A3,CAGR!$B$44:$B$50,0))),0)</f>
        <v>1.4530999999999999E-3</v>
      </c>
      <c r="W3" s="14">
        <f>IFERROR(V3*(1+INDEX(CAGR!$C$51:$C$57,MATCH($A3,CAGR!$B$44:$B$50,0))),0)</f>
        <v>1.4530999999999999E-3</v>
      </c>
      <c r="X3" s="14">
        <f>IFERROR(W3*(1+INDEX(CAGR!$C$51:$C$57,MATCH($A3,CAGR!$B$44:$B$50,0))),0)</f>
        <v>1.4530999999999999E-3</v>
      </c>
      <c r="Y3" s="14">
        <f>IFERROR(X3*(1+INDEX(CAGR!$C$51:$C$57,MATCH($A3,CAGR!$B$44:$B$50,0))),0)</f>
        <v>1.4530999999999999E-3</v>
      </c>
      <c r="Z3" s="14">
        <f>IFERROR(Y3*(1+INDEX(CAGR!$C$51:$C$57,MATCH($A3,CAGR!$B$44:$B$50,0))),0)</f>
        <v>1.4530999999999999E-3</v>
      </c>
      <c r="AA3" s="14">
        <f>IFERROR(Z3*(1+INDEX(CAGR!$C$51:$C$57,MATCH($A3,CAGR!$B$44:$B$50,0))),0)</f>
        <v>1.4530999999999999E-3</v>
      </c>
      <c r="AB3" s="14">
        <f>IFERROR(AA3*(1+INDEX(CAGR!$C$51:$C$57,MATCH($A3,CAGR!$B$44:$B$50,0))),0)</f>
        <v>1.4530999999999999E-3</v>
      </c>
      <c r="AC3" s="14">
        <f>IFERROR(AB3*(1+INDEX(CAGR!$C$51:$C$57,MATCH($A3,CAGR!$B$44:$B$50,0))),0)</f>
        <v>1.4530999999999999E-3</v>
      </c>
      <c r="AD3" s="14">
        <f>IFERROR(AC3*(1+INDEX(CAGR!$C$51:$C$57,MATCH($A3,CAGR!$B$44:$B$50,0))),0)</f>
        <v>1.4530999999999999E-3</v>
      </c>
      <c r="AE3" s="14">
        <f>IFERROR(AD3*(1+INDEX(CAGR!$C$51:$C$57,MATCH($A3,CAGR!$B$44:$B$50,0))),0)</f>
        <v>1.4530999999999999E-3</v>
      </c>
      <c r="AF3" s="14">
        <f>IFERROR(AE3*(1+INDEX(CAGR!$C$51:$C$57,MATCH($A3,CAGR!$B$44:$B$50,0))),0)</f>
        <v>1.4530999999999999E-3</v>
      </c>
    </row>
    <row r="4" spans="1:32">
      <c r="A4" s="1" t="s">
        <v>11</v>
      </c>
      <c r="B4" s="14">
        <f>IFERROR(INDEX('SYFAFE frgt'!$B$5:$H$5,,MATCH($A4,'SYFAFE frgt'!$B$1:$H$1,0))*(1+INDEX(CAGR!$C$51:$C$57,MATCH($A4,CAGR!$B$51:$B$57,0))),0)</f>
        <v>1.4530999999999999E-3</v>
      </c>
      <c r="C4" s="14">
        <f>IFERROR(B4*(1+INDEX(CAGR!$C$51:$C$57,MATCH($A4,CAGR!$B$44:$B$50,0))),0)</f>
        <v>1.4530999999999999E-3</v>
      </c>
      <c r="D4" s="14">
        <f>IFERROR(C4*(1+INDEX(CAGR!$C$51:$C$57,MATCH($A4,CAGR!$B$44:$B$50,0))),0)</f>
        <v>1.4530999999999999E-3</v>
      </c>
      <c r="E4" s="14">
        <f>IFERROR(D4*(1+INDEX(CAGR!$C$51:$C$57,MATCH($A4,CAGR!$B$44:$B$50,0))),0)</f>
        <v>1.4530999999999999E-3</v>
      </c>
      <c r="F4" s="14">
        <f>IFERROR(E4*(1+INDEX(CAGR!$C$51:$C$57,MATCH($A4,CAGR!$B$44:$B$50,0))),0)</f>
        <v>1.4530999999999999E-3</v>
      </c>
      <c r="G4" s="14">
        <f>IFERROR(F4*(1+INDEX(CAGR!$C$51:$C$57,MATCH($A4,CAGR!$B$44:$B$50,0))),0)</f>
        <v>1.4530999999999999E-3</v>
      </c>
      <c r="H4" s="14">
        <f>IFERROR(G4*(1+INDEX(CAGR!$C$51:$C$57,MATCH($A4,CAGR!$B$44:$B$50,0))),0)</f>
        <v>1.4530999999999999E-3</v>
      </c>
      <c r="I4" s="14">
        <f>IFERROR(H4*(1+INDEX(CAGR!$C$51:$C$57,MATCH($A4,CAGR!$B$44:$B$50,0))),0)</f>
        <v>1.4530999999999999E-3</v>
      </c>
      <c r="J4" s="14">
        <f>IFERROR(I4*(1+INDEX(CAGR!$C$51:$C$57,MATCH($A4,CAGR!$B$44:$B$50,0))),0)</f>
        <v>1.4530999999999999E-3</v>
      </c>
      <c r="K4" s="14">
        <f>IFERROR(J4*(1+INDEX(CAGR!$C$51:$C$57,MATCH($A4,CAGR!$B$44:$B$50,0))),0)</f>
        <v>1.4530999999999999E-3</v>
      </c>
      <c r="L4" s="14">
        <f>IFERROR(K4*(1+INDEX(CAGR!$C$51:$C$57,MATCH($A4,CAGR!$B$44:$B$50,0))),0)</f>
        <v>1.4530999999999999E-3</v>
      </c>
      <c r="M4" s="14">
        <f>IFERROR(L4*(1+INDEX(CAGR!$C$51:$C$57,MATCH($A4,CAGR!$B$44:$B$50,0))),0)</f>
        <v>1.4530999999999999E-3</v>
      </c>
      <c r="N4" s="14">
        <f>IFERROR(M4*(1+INDEX(CAGR!$C$51:$C$57,MATCH($A4,CAGR!$B$44:$B$50,0))),0)</f>
        <v>1.4530999999999999E-3</v>
      </c>
      <c r="O4" s="14">
        <f>IFERROR(N4*(1+INDEX(CAGR!$C$51:$C$57,MATCH($A4,CAGR!$B$44:$B$50,0))),0)</f>
        <v>1.4530999999999999E-3</v>
      </c>
      <c r="P4" s="14">
        <f>IFERROR(O4*(1+INDEX(CAGR!$C$51:$C$57,MATCH($A4,CAGR!$B$44:$B$50,0))),0)</f>
        <v>1.4530999999999999E-3</v>
      </c>
      <c r="Q4" s="14">
        <f>IFERROR(P4*(1+INDEX(CAGR!$C$51:$C$57,MATCH($A4,CAGR!$B$44:$B$50,0))),0)</f>
        <v>1.4530999999999999E-3</v>
      </c>
      <c r="R4" s="14">
        <f>IFERROR(Q4*(1+INDEX(CAGR!$C$51:$C$57,MATCH($A4,CAGR!$B$44:$B$50,0))),0)</f>
        <v>1.4530999999999999E-3</v>
      </c>
      <c r="S4" s="14">
        <f>IFERROR(R4*(1+INDEX(CAGR!$C$51:$C$57,MATCH($A4,CAGR!$B$44:$B$50,0))),0)</f>
        <v>1.4530999999999999E-3</v>
      </c>
      <c r="T4" s="14">
        <f>IFERROR(S4*(1+INDEX(CAGR!$C$51:$C$57,MATCH($A4,CAGR!$B$44:$B$50,0))),0)</f>
        <v>1.4530999999999999E-3</v>
      </c>
      <c r="U4" s="14">
        <f>IFERROR(T4*(1+INDEX(CAGR!$C$51:$C$57,MATCH($A4,CAGR!$B$44:$B$50,0))),0)</f>
        <v>1.4530999999999999E-3</v>
      </c>
      <c r="V4" s="14">
        <f>IFERROR(U4*(1+INDEX(CAGR!$C$51:$C$57,MATCH($A4,CAGR!$B$44:$B$50,0))),0)</f>
        <v>1.4530999999999999E-3</v>
      </c>
      <c r="W4" s="14">
        <f>IFERROR(V4*(1+INDEX(CAGR!$C$51:$C$57,MATCH($A4,CAGR!$B$44:$B$50,0))),0)</f>
        <v>1.4530999999999999E-3</v>
      </c>
      <c r="X4" s="14">
        <f>IFERROR(W4*(1+INDEX(CAGR!$C$51:$C$57,MATCH($A4,CAGR!$B$44:$B$50,0))),0)</f>
        <v>1.4530999999999999E-3</v>
      </c>
      <c r="Y4" s="14">
        <f>IFERROR(X4*(1+INDEX(CAGR!$C$51:$C$57,MATCH($A4,CAGR!$B$44:$B$50,0))),0)</f>
        <v>1.4530999999999999E-3</v>
      </c>
      <c r="Z4" s="14">
        <f>IFERROR(Y4*(1+INDEX(CAGR!$C$51:$C$57,MATCH($A4,CAGR!$B$44:$B$50,0))),0)</f>
        <v>1.4530999999999999E-3</v>
      </c>
      <c r="AA4" s="14">
        <f>IFERROR(Z4*(1+INDEX(CAGR!$C$51:$C$57,MATCH($A4,CAGR!$B$44:$B$50,0))),0)</f>
        <v>1.4530999999999999E-3</v>
      </c>
      <c r="AB4" s="14">
        <f>IFERROR(AA4*(1+INDEX(CAGR!$C$51:$C$57,MATCH($A4,CAGR!$B$44:$B$50,0))),0)</f>
        <v>1.4530999999999999E-3</v>
      </c>
      <c r="AC4" s="14">
        <f>IFERROR(AB4*(1+INDEX(CAGR!$C$51:$C$57,MATCH($A4,CAGR!$B$44:$B$50,0))),0)</f>
        <v>1.4530999999999999E-3</v>
      </c>
      <c r="AD4" s="14">
        <f>IFERROR(AC4*(1+INDEX(CAGR!$C$51:$C$57,MATCH($A4,CAGR!$B$44:$B$50,0))),0)</f>
        <v>1.4530999999999999E-3</v>
      </c>
      <c r="AE4" s="14">
        <f>IFERROR(AD4*(1+INDEX(CAGR!$C$51:$C$57,MATCH($A4,CAGR!$B$44:$B$50,0))),0)</f>
        <v>1.4530999999999999E-3</v>
      </c>
      <c r="AF4" s="14">
        <f>IFERROR(AE4*(1+INDEX(CAGR!$C$51:$C$57,MATCH($A4,CAGR!$B$44:$B$50,0))),0)</f>
        <v>1.4530999999999999E-3</v>
      </c>
    </row>
    <row r="5" spans="1:32">
      <c r="A5" s="1" t="s">
        <v>12</v>
      </c>
      <c r="B5" s="14">
        <f>IFERROR(INDEX('SYFAFE frgt'!$B$5:$H$5,,MATCH($A5,'SYFAFE frgt'!$B$1:$H$1,0))*(1+INDEX(CAGR!$C$51:$C$57,MATCH($A5,CAGR!$B$51:$B$57,0))),0)</f>
        <v>1.4622199430811809E-3</v>
      </c>
      <c r="C5" s="14">
        <f>IFERROR(B5*(1+INDEX(CAGR!$C$51:$C$57,MATCH($A5,CAGR!$B$44:$B$50,0))),0)</f>
        <v>1.4713971247294281E-3</v>
      </c>
      <c r="D5" s="14">
        <f>IFERROR(C5*(1+INDEX(CAGR!$C$51:$C$57,MATCH($A5,CAGR!$B$44:$B$50,0))),0)</f>
        <v>1.4806319041853126E-3</v>
      </c>
      <c r="E5" s="14">
        <f>IFERROR(D5*(1+INDEX(CAGR!$C$51:$C$57,MATCH($A5,CAGR!$B$44:$B$50,0))),0)</f>
        <v>1.4899246429440701E-3</v>
      </c>
      <c r="F5" s="14">
        <f>IFERROR(E5*(1+INDEX(CAGR!$C$51:$C$57,MATCH($A5,CAGR!$B$44:$B$50,0))),0)</f>
        <v>1.4992757047697521E-3</v>
      </c>
      <c r="G5" s="14">
        <f>IFERROR(F5*(1+INDEX(CAGR!$C$51:$C$57,MATCH($A5,CAGR!$B$44:$B$50,0))),0)</f>
        <v>1.5086854557094654E-3</v>
      </c>
      <c r="H5" s="14">
        <f>IFERROR(G5*(1+INDEX(CAGR!$C$51:$C$57,MATCH($A5,CAGR!$B$44:$B$50,0))),0)</f>
        <v>1.5181542641077008E-3</v>
      </c>
      <c r="I5" s="14">
        <f>IFERROR(H5*(1+INDEX(CAGR!$C$51:$C$57,MATCH($A5,CAGR!$B$44:$B$50,0))),0)</f>
        <v>1.5276825006207517E-3</v>
      </c>
      <c r="J5" s="14">
        <f>IFERROR(I5*(1+INDEX(CAGR!$C$51:$C$57,MATCH($A5,CAGR!$B$44:$B$50,0))),0)</f>
        <v>1.537270538231224E-3</v>
      </c>
      <c r="K5" s="14">
        <f>IFERROR(J5*(1+INDEX(CAGR!$C$51:$C$57,MATCH($A5,CAGR!$B$44:$B$50,0))),0)</f>
        <v>1.5469187522626363E-3</v>
      </c>
      <c r="L5" s="14">
        <f>IFERROR(K5*(1+INDEX(CAGR!$C$51:$C$57,MATCH($A5,CAGR!$B$44:$B$50,0))),0)</f>
        <v>1.5566275203941116E-3</v>
      </c>
      <c r="M5" s="14">
        <f>IFERROR(L5*(1+INDEX(CAGR!$C$51:$C$57,MATCH($A5,CAGR!$B$44:$B$50,0))),0)</f>
        <v>1.5663972226751617E-3</v>
      </c>
      <c r="N5" s="14">
        <f>IFERROR(M5*(1+INDEX(CAGR!$C$51:$C$57,MATCH($A5,CAGR!$B$44:$B$50,0))),0)</f>
        <v>1.5762282415405649E-3</v>
      </c>
      <c r="O5" s="14">
        <f>IFERROR(N5*(1+INDEX(CAGR!$C$51:$C$57,MATCH($A5,CAGR!$B$44:$B$50,0))),0)</f>
        <v>1.5861209618253354E-3</v>
      </c>
      <c r="P5" s="14">
        <f>IFERROR(O5*(1+INDEX(CAGR!$C$51:$C$57,MATCH($A5,CAGR!$B$44:$B$50,0))),0)</f>
        <v>1.5960757707797878E-3</v>
      </c>
      <c r="Q5" s="14">
        <f>IFERROR(P5*(1+INDEX(CAGR!$C$51:$C$57,MATCH($A5,CAGR!$B$44:$B$50,0))),0)</f>
        <v>1.6060930580846971E-3</v>
      </c>
      <c r="R5" s="14">
        <f>IFERROR(Q5*(1+INDEX(CAGR!$C$51:$C$57,MATCH($A5,CAGR!$B$44:$B$50,0))),0)</f>
        <v>1.6161732158665512E-3</v>
      </c>
      <c r="S5" s="14">
        <f>IFERROR(R5*(1+INDEX(CAGR!$C$51:$C$57,MATCH($A5,CAGR!$B$44:$B$50,0))),0)</f>
        <v>1.6263166387129018E-3</v>
      </c>
      <c r="T5" s="14">
        <f>IFERROR(S5*(1+INDEX(CAGR!$C$51:$C$57,MATCH($A5,CAGR!$B$44:$B$50,0))),0)</f>
        <v>1.63652372368781E-3</v>
      </c>
      <c r="U5" s="14">
        <f>IFERROR(T5*(1+INDEX(CAGR!$C$51:$C$57,MATCH($A5,CAGR!$B$44:$B$50,0))),0)</f>
        <v>1.6467948703473895E-3</v>
      </c>
      <c r="V5" s="14">
        <f>IFERROR(U5*(1+INDEX(CAGR!$C$51:$C$57,MATCH($A5,CAGR!$B$44:$B$50,0))),0)</f>
        <v>1.6571304807554473E-3</v>
      </c>
      <c r="W5" s="14">
        <f>IFERROR(V5*(1+INDEX(CAGR!$C$51:$C$57,MATCH($A5,CAGR!$B$44:$B$50,0))),0)</f>
        <v>1.6675309594992224E-3</v>
      </c>
      <c r="X5" s="14">
        <f>IFERROR(W5*(1+INDEX(CAGR!$C$51:$C$57,MATCH($A5,CAGR!$B$44:$B$50,0))),0)</f>
        <v>1.6779967137052234E-3</v>
      </c>
      <c r="Y5" s="14">
        <f>IFERROR(X5*(1+INDEX(CAGR!$C$51:$C$57,MATCH($A5,CAGR!$B$44:$B$50,0))),0)</f>
        <v>1.688528153055165E-3</v>
      </c>
      <c r="Z5" s="14">
        <f>IFERROR(Y5*(1+INDEX(CAGR!$C$51:$C$57,MATCH($A5,CAGR!$B$44:$B$50,0))),0)</f>
        <v>1.699125689802006E-3</v>
      </c>
      <c r="AA5" s="14">
        <f>IFERROR(Z5*(1+INDEX(CAGR!$C$51:$C$57,MATCH($A5,CAGR!$B$44:$B$50,0))),0)</f>
        <v>1.7097897387860859E-3</v>
      </c>
      <c r="AB5" s="14">
        <f>IFERROR(AA5*(1+INDEX(CAGR!$C$51:$C$57,MATCH($A5,CAGR!$B$44:$B$50,0))),0)</f>
        <v>1.7205207174513645E-3</v>
      </c>
      <c r="AC5" s="14">
        <f>IFERROR(AB5*(1+INDEX(CAGR!$C$51:$C$57,MATCH($A5,CAGR!$B$44:$B$50,0))),0)</f>
        <v>1.7313190458617623E-3</v>
      </c>
      <c r="AD5" s="14">
        <f>IFERROR(AC5*(1+INDEX(CAGR!$C$51:$C$57,MATCH($A5,CAGR!$B$44:$B$50,0))),0)</f>
        <v>1.742185146717604E-3</v>
      </c>
      <c r="AE5" s="14">
        <f>IFERROR(AD5*(1+INDEX(CAGR!$C$51:$C$57,MATCH($A5,CAGR!$B$44:$B$50,0))),0)</f>
        <v>1.7531194453721656E-3</v>
      </c>
      <c r="AF5" s="14">
        <f>IFERROR(AE5*(1+INDEX(CAGR!$C$51:$C$57,MATCH($A5,CAGR!$B$44:$B$50,0))),0)</f>
        <v>1.764122369848324E-3</v>
      </c>
    </row>
    <row r="6" spans="1:32">
      <c r="A6" s="1" t="s">
        <v>13</v>
      </c>
      <c r="B6" s="14">
        <f>IFERROR(INDEX('SYFAFE frgt'!$B$5:$H$5,,MATCH($A6,'SYFAFE frgt'!$B$1:$H$1,0))*(1+INDEX(CAGR!$C$51:$C$57,MATCH($A6,CAGR!$B$51:$B$57,0))),0)</f>
        <v>0</v>
      </c>
      <c r="C6" s="14">
        <f>IFERROR(B6*(1+INDEX(CAGR!$C$51:$C$57,MATCH($A6,CAGR!$B$44:$B$50,0))),0)</f>
        <v>0</v>
      </c>
      <c r="D6" s="14">
        <f>IFERROR(C6*(1+INDEX(CAGR!$C$51:$C$57,MATCH($A6,CAGR!$B$44:$B$50,0))),0)</f>
        <v>0</v>
      </c>
      <c r="E6" s="14">
        <f>IFERROR(D6*(1+INDEX(CAGR!$C$51:$C$57,MATCH($A6,CAGR!$B$44:$B$50,0))),0)</f>
        <v>0</v>
      </c>
      <c r="F6" s="14">
        <f>IFERROR(E6*(1+INDEX(CAGR!$C$51:$C$57,MATCH($A6,CAGR!$B$44:$B$50,0))),0)</f>
        <v>0</v>
      </c>
      <c r="G6" s="14">
        <f>IFERROR(F6*(1+INDEX(CAGR!$C$51:$C$57,MATCH($A6,CAGR!$B$44:$B$50,0))),0)</f>
        <v>0</v>
      </c>
      <c r="H6" s="14">
        <f>IFERROR(G6*(1+INDEX(CAGR!$C$51:$C$57,MATCH($A6,CAGR!$B$44:$B$50,0))),0)</f>
        <v>0</v>
      </c>
      <c r="I6" s="14">
        <f>IFERROR(H6*(1+INDEX(CAGR!$C$51:$C$57,MATCH($A6,CAGR!$B$44:$B$50,0))),0)</f>
        <v>0</v>
      </c>
      <c r="J6" s="14">
        <f>IFERROR(I6*(1+INDEX(CAGR!$C$51:$C$57,MATCH($A6,CAGR!$B$44:$B$50,0))),0)</f>
        <v>0</v>
      </c>
      <c r="K6" s="14">
        <f>IFERROR(J6*(1+INDEX(CAGR!$C$51:$C$57,MATCH($A6,CAGR!$B$44:$B$50,0))),0)</f>
        <v>0</v>
      </c>
      <c r="L6" s="14">
        <f>IFERROR(K6*(1+INDEX(CAGR!$C$51:$C$57,MATCH($A6,CAGR!$B$44:$B$50,0))),0)</f>
        <v>0</v>
      </c>
      <c r="M6" s="14">
        <f>IFERROR(L6*(1+INDEX(CAGR!$C$51:$C$57,MATCH($A6,CAGR!$B$44:$B$50,0))),0)</f>
        <v>0</v>
      </c>
      <c r="N6" s="14">
        <f>IFERROR(M6*(1+INDEX(CAGR!$C$51:$C$57,MATCH($A6,CAGR!$B$44:$B$50,0))),0)</f>
        <v>0</v>
      </c>
      <c r="O6" s="14">
        <f>IFERROR(N6*(1+INDEX(CAGR!$C$51:$C$57,MATCH($A6,CAGR!$B$44:$B$50,0))),0)</f>
        <v>0</v>
      </c>
      <c r="P6" s="14">
        <f>IFERROR(O6*(1+INDEX(CAGR!$C$51:$C$57,MATCH($A6,CAGR!$B$44:$B$50,0))),0)</f>
        <v>0</v>
      </c>
      <c r="Q6" s="14">
        <f>IFERROR(P6*(1+INDEX(CAGR!$C$51:$C$57,MATCH($A6,CAGR!$B$44:$B$50,0))),0)</f>
        <v>0</v>
      </c>
      <c r="R6" s="14">
        <f>IFERROR(Q6*(1+INDEX(CAGR!$C$51:$C$57,MATCH($A6,CAGR!$B$44:$B$50,0))),0)</f>
        <v>0</v>
      </c>
      <c r="S6" s="14">
        <f>IFERROR(R6*(1+INDEX(CAGR!$C$51:$C$57,MATCH($A6,CAGR!$B$44:$B$50,0))),0)</f>
        <v>0</v>
      </c>
      <c r="T6" s="14">
        <f>IFERROR(S6*(1+INDEX(CAGR!$C$51:$C$57,MATCH($A6,CAGR!$B$44:$B$50,0))),0)</f>
        <v>0</v>
      </c>
      <c r="U6" s="14">
        <f>IFERROR(T6*(1+INDEX(CAGR!$C$51:$C$57,MATCH($A6,CAGR!$B$44:$B$50,0))),0)</f>
        <v>0</v>
      </c>
      <c r="V6" s="14">
        <f>IFERROR(U6*(1+INDEX(CAGR!$C$51:$C$57,MATCH($A6,CAGR!$B$44:$B$50,0))),0)</f>
        <v>0</v>
      </c>
      <c r="W6" s="14">
        <f>IFERROR(V6*(1+INDEX(CAGR!$C$51:$C$57,MATCH($A6,CAGR!$B$44:$B$50,0))),0)</f>
        <v>0</v>
      </c>
      <c r="X6" s="14">
        <f>IFERROR(W6*(1+INDEX(CAGR!$C$51:$C$57,MATCH($A6,CAGR!$B$44:$B$50,0))),0)</f>
        <v>0</v>
      </c>
      <c r="Y6" s="14">
        <f>IFERROR(X6*(1+INDEX(CAGR!$C$51:$C$57,MATCH($A6,CAGR!$B$44:$B$50,0))),0)</f>
        <v>0</v>
      </c>
      <c r="Z6" s="14">
        <f>IFERROR(Y6*(1+INDEX(CAGR!$C$51:$C$57,MATCH($A6,CAGR!$B$44:$B$50,0))),0)</f>
        <v>0</v>
      </c>
      <c r="AA6" s="14">
        <f>IFERROR(Z6*(1+INDEX(CAGR!$C$51:$C$57,MATCH($A6,CAGR!$B$44:$B$50,0))),0)</f>
        <v>0</v>
      </c>
      <c r="AB6" s="14">
        <f>IFERROR(AA6*(1+INDEX(CAGR!$C$51:$C$57,MATCH($A6,CAGR!$B$44:$B$50,0))),0)</f>
        <v>0</v>
      </c>
      <c r="AC6" s="14">
        <f>IFERROR(AB6*(1+INDEX(CAGR!$C$51:$C$57,MATCH($A6,CAGR!$B$44:$B$50,0))),0)</f>
        <v>0</v>
      </c>
      <c r="AD6" s="14">
        <f>IFERROR(AC6*(1+INDEX(CAGR!$C$51:$C$57,MATCH($A6,CAGR!$B$44:$B$50,0))),0)</f>
        <v>0</v>
      </c>
      <c r="AE6" s="14">
        <f>IFERROR(AD6*(1+INDEX(CAGR!$C$51:$C$57,MATCH($A6,CAGR!$B$44:$B$50,0))),0)</f>
        <v>0</v>
      </c>
      <c r="AF6" s="14">
        <f>IFERROR(AE6*(1+INDEX(CAGR!$C$51:$C$57,MATCH($A6,CAGR!$B$44:$B$50,0))),0)</f>
        <v>0</v>
      </c>
    </row>
    <row r="7" spans="1:32">
      <c r="A7" s="1" t="s">
        <v>14</v>
      </c>
      <c r="B7" s="14">
        <f>IFERROR(INDEX('SYFAFE frgt'!$B$5:$H$5,,MATCH($A7,'SYFAFE frgt'!$B$1:$H$1,0))*(1+INDEX(CAGR!$C$51:$C$57,MATCH($A7,CAGR!$B$51:$B$57,0))),0)</f>
        <v>0</v>
      </c>
      <c r="C7" s="14">
        <f>IFERROR(B7*(1+INDEX(CAGR!$C$51:$C$57,MATCH($A7,CAGR!$B$44:$B$50,0))),0)</f>
        <v>0</v>
      </c>
      <c r="D7" s="14">
        <f>IFERROR(C7*(1+INDEX(CAGR!$C$51:$C$57,MATCH($A7,CAGR!$B$44:$B$50,0))),0)</f>
        <v>0</v>
      </c>
      <c r="E7" s="14">
        <f>IFERROR(D7*(1+INDEX(CAGR!$C$51:$C$57,MATCH($A7,CAGR!$B$44:$B$50,0))),0)</f>
        <v>0</v>
      </c>
      <c r="F7" s="14">
        <f>IFERROR(E7*(1+INDEX(CAGR!$C$51:$C$57,MATCH($A7,CAGR!$B$44:$B$50,0))),0)</f>
        <v>0</v>
      </c>
      <c r="G7" s="14">
        <f>IFERROR(F7*(1+INDEX(CAGR!$C$51:$C$57,MATCH($A7,CAGR!$B$44:$B$50,0))),0)</f>
        <v>0</v>
      </c>
      <c r="H7" s="14">
        <f>IFERROR(G7*(1+INDEX(CAGR!$C$51:$C$57,MATCH($A7,CAGR!$B$44:$B$50,0))),0)</f>
        <v>0</v>
      </c>
      <c r="I7" s="14">
        <f>IFERROR(H7*(1+INDEX(CAGR!$C$51:$C$57,MATCH($A7,CAGR!$B$44:$B$50,0))),0)</f>
        <v>0</v>
      </c>
      <c r="J7" s="14">
        <f>IFERROR(I7*(1+INDEX(CAGR!$C$51:$C$57,MATCH($A7,CAGR!$B$44:$B$50,0))),0)</f>
        <v>0</v>
      </c>
      <c r="K7" s="14">
        <f>IFERROR(J7*(1+INDEX(CAGR!$C$51:$C$57,MATCH($A7,CAGR!$B$44:$B$50,0))),0)</f>
        <v>0</v>
      </c>
      <c r="L7" s="14">
        <f>IFERROR(K7*(1+INDEX(CAGR!$C$51:$C$57,MATCH($A7,CAGR!$B$44:$B$50,0))),0)</f>
        <v>0</v>
      </c>
      <c r="M7" s="14">
        <f>IFERROR(L7*(1+INDEX(CAGR!$C$51:$C$57,MATCH($A7,CAGR!$B$44:$B$50,0))),0)</f>
        <v>0</v>
      </c>
      <c r="N7" s="14">
        <f>IFERROR(M7*(1+INDEX(CAGR!$C$51:$C$57,MATCH($A7,CAGR!$B$44:$B$50,0))),0)</f>
        <v>0</v>
      </c>
      <c r="O7" s="14">
        <f>IFERROR(N7*(1+INDEX(CAGR!$C$51:$C$57,MATCH($A7,CAGR!$B$44:$B$50,0))),0)</f>
        <v>0</v>
      </c>
      <c r="P7" s="14">
        <f>IFERROR(O7*(1+INDEX(CAGR!$C$51:$C$57,MATCH($A7,CAGR!$B$44:$B$50,0))),0)</f>
        <v>0</v>
      </c>
      <c r="Q7" s="14">
        <f>IFERROR(P7*(1+INDEX(CAGR!$C$51:$C$57,MATCH($A7,CAGR!$B$44:$B$50,0))),0)</f>
        <v>0</v>
      </c>
      <c r="R7" s="14">
        <f>IFERROR(Q7*(1+INDEX(CAGR!$C$51:$C$57,MATCH($A7,CAGR!$B$44:$B$50,0))),0)</f>
        <v>0</v>
      </c>
      <c r="S7" s="14">
        <f>IFERROR(R7*(1+INDEX(CAGR!$C$51:$C$57,MATCH($A7,CAGR!$B$44:$B$50,0))),0)</f>
        <v>0</v>
      </c>
      <c r="T7" s="14">
        <f>IFERROR(S7*(1+INDEX(CAGR!$C$51:$C$57,MATCH($A7,CAGR!$B$44:$B$50,0))),0)</f>
        <v>0</v>
      </c>
      <c r="U7" s="14">
        <f>IFERROR(T7*(1+INDEX(CAGR!$C$51:$C$57,MATCH($A7,CAGR!$B$44:$B$50,0))),0)</f>
        <v>0</v>
      </c>
      <c r="V7" s="14">
        <f>IFERROR(U7*(1+INDEX(CAGR!$C$51:$C$57,MATCH($A7,CAGR!$B$44:$B$50,0))),0)</f>
        <v>0</v>
      </c>
      <c r="W7" s="14">
        <f>IFERROR(V7*(1+INDEX(CAGR!$C$51:$C$57,MATCH($A7,CAGR!$B$44:$B$50,0))),0)</f>
        <v>0</v>
      </c>
      <c r="X7" s="14">
        <f>IFERROR(W7*(1+INDEX(CAGR!$C$51:$C$57,MATCH($A7,CAGR!$B$44:$B$50,0))),0)</f>
        <v>0</v>
      </c>
      <c r="Y7" s="14">
        <f>IFERROR(X7*(1+INDEX(CAGR!$C$51:$C$57,MATCH($A7,CAGR!$B$44:$B$50,0))),0)</f>
        <v>0</v>
      </c>
      <c r="Z7" s="14">
        <f>IFERROR(Y7*(1+INDEX(CAGR!$C$51:$C$57,MATCH($A7,CAGR!$B$44:$B$50,0))),0)</f>
        <v>0</v>
      </c>
      <c r="AA7" s="14">
        <f>IFERROR(Z7*(1+INDEX(CAGR!$C$51:$C$57,MATCH($A7,CAGR!$B$44:$B$50,0))),0)</f>
        <v>0</v>
      </c>
      <c r="AB7" s="14">
        <f>IFERROR(AA7*(1+INDEX(CAGR!$C$51:$C$57,MATCH($A7,CAGR!$B$44:$B$50,0))),0)</f>
        <v>0</v>
      </c>
      <c r="AC7" s="14">
        <f>IFERROR(AB7*(1+INDEX(CAGR!$C$51:$C$57,MATCH($A7,CAGR!$B$44:$B$50,0))),0)</f>
        <v>0</v>
      </c>
      <c r="AD7" s="14">
        <f>IFERROR(AC7*(1+INDEX(CAGR!$C$51:$C$57,MATCH($A7,CAGR!$B$44:$B$50,0))),0)</f>
        <v>0</v>
      </c>
      <c r="AE7" s="14">
        <f>IFERROR(AD7*(1+INDEX(CAGR!$C$51:$C$57,MATCH($A7,CAGR!$B$44:$B$50,0))),0)</f>
        <v>0</v>
      </c>
      <c r="AF7" s="14">
        <f>IFERROR(AE7*(1+INDEX(CAGR!$C$51:$C$57,MATCH($A7,CAGR!$B$44:$B$50,0))),0)</f>
        <v>0</v>
      </c>
    </row>
    <row r="8" spans="1:32">
      <c r="A8" s="1" t="s">
        <v>15</v>
      </c>
      <c r="B8" s="13">
        <f>B5*Calibration!$D$38</f>
        <v>4.3866598292435421E-3</v>
      </c>
      <c r="C8" s="13">
        <f>B8*(1+CAGR!$C$57)</f>
        <v>4.4141913741882833E-3</v>
      </c>
      <c r="D8" s="13">
        <f>C8*(1+CAGR!$C$57)</f>
        <v>4.4418957125559365E-3</v>
      </c>
      <c r="E8" s="13">
        <f>D8*(1+CAGR!$C$57)</f>
        <v>4.4697739288322089E-3</v>
      </c>
      <c r="F8" s="13">
        <f>E8*(1+CAGR!$C$57)</f>
        <v>4.497827114309255E-3</v>
      </c>
      <c r="G8" s="13">
        <f>F8*(1+CAGR!$C$57)</f>
        <v>4.526056367128395E-3</v>
      </c>
      <c r="H8" s="13">
        <f>G8*(1+CAGR!$C$57)</f>
        <v>4.5544627923231008E-3</v>
      </c>
      <c r="I8" s="13">
        <f>H8*(1+CAGR!$C$57)</f>
        <v>4.5830475018622538E-3</v>
      </c>
      <c r="J8" s="13">
        <f>I8*(1+CAGR!$C$57)</f>
        <v>4.6118116146936705E-3</v>
      </c>
      <c r="K8" s="13">
        <f>J8*(1+CAGR!$C$57)</f>
        <v>4.6407562567879071E-3</v>
      </c>
      <c r="L8" s="13">
        <f>K8*(1+CAGR!$C$57)</f>
        <v>4.6698825611823326E-3</v>
      </c>
      <c r="M8" s="13">
        <f>L8*(1+CAGR!$C$57)</f>
        <v>4.6991916680254832E-3</v>
      </c>
      <c r="N8" s="13">
        <f>M8*(1+CAGR!$C$57)</f>
        <v>4.7286847246216929E-3</v>
      </c>
      <c r="O8" s="13">
        <f>N8*(1+CAGR!$C$57)</f>
        <v>4.7583628854760036E-3</v>
      </c>
      <c r="P8" s="13">
        <f>O8*(1+CAGR!$C$57)</f>
        <v>4.7882273123393609E-3</v>
      </c>
      <c r="Q8" s="13">
        <f>P8*(1+CAGR!$C$57)</f>
        <v>4.8182791742540886E-3</v>
      </c>
      <c r="R8" s="13">
        <f>Q8*(1+CAGR!$C$57)</f>
        <v>4.8485196475996509E-3</v>
      </c>
      <c r="S8" s="13">
        <f>R8*(1+CAGR!$C$57)</f>
        <v>4.8789499161387027E-3</v>
      </c>
      <c r="T8" s="13">
        <f>S8*(1+CAGR!$C$57)</f>
        <v>4.909571171063427E-3</v>
      </c>
      <c r="U8" s="13">
        <f>T8*(1+CAGR!$C$57)</f>
        <v>4.9403846110421656E-3</v>
      </c>
      <c r="V8" s="13">
        <f>U8*(1+CAGR!$C$57)</f>
        <v>4.9713914422663394E-3</v>
      </c>
      <c r="W8" s="13">
        <f>V8*(1+CAGR!$C$57)</f>
        <v>5.0025928784976645E-3</v>
      </c>
      <c r="X8" s="13">
        <f>W8*(1+CAGR!$C$57)</f>
        <v>5.0339901411156672E-3</v>
      </c>
      <c r="Y8" s="13">
        <f>X8*(1+CAGR!$C$57)</f>
        <v>5.0655844591654927E-3</v>
      </c>
      <c r="Z8" s="13">
        <f>Y8*(1+CAGR!$C$57)</f>
        <v>5.0973770694060158E-3</v>
      </c>
      <c r="AA8" s="13">
        <f>Z8*(1+CAGR!$C$57)</f>
        <v>5.1293692163582559E-3</v>
      </c>
      <c r="AB8" s="13">
        <f>AA8*(1+CAGR!$C$57)</f>
        <v>5.1615621523540918E-3</v>
      </c>
      <c r="AC8" s="13">
        <f>AB8*(1+CAGR!$C$57)</f>
        <v>5.1939571375852851E-3</v>
      </c>
      <c r="AD8" s="13">
        <f>AC8*(1+CAGR!$C$57)</f>
        <v>5.2265554401528108E-3</v>
      </c>
      <c r="AE8" s="13">
        <f>AD8*(1+CAGR!$C$57)</f>
        <v>5.2593583361164953E-3</v>
      </c>
      <c r="AF8" s="13">
        <f>AE8*(1+CAGR!$C$57)</f>
        <v>5.2923671095449704E-3</v>
      </c>
    </row>
  </sheetData>
  <phoneticPr fontId="1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69B2A-5EC5-464D-AF74-0A66B9AD00B7}">
  <sheetPr>
    <tabColor rgb="FF1F497D"/>
  </sheetPr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B5*Calibration!$B$43</f>
        <v>1.3426539742619228E-2</v>
      </c>
      <c r="C2" s="13">
        <f>B2*(1+CAGR!$C$58)</f>
        <v>1.3426539742619228E-2</v>
      </c>
      <c r="D2" s="13">
        <f>C2*(1+CAGR!$C$58)</f>
        <v>1.3426539742619228E-2</v>
      </c>
      <c r="E2" s="13">
        <f>D2*(1+CAGR!$C$58)</f>
        <v>1.3426539742619228E-2</v>
      </c>
      <c r="F2" s="13">
        <f>E2*(1+CAGR!$C$58)</f>
        <v>1.3426539742619228E-2</v>
      </c>
      <c r="G2" s="13">
        <f>F2*(1+CAGR!$C$58)</f>
        <v>1.3426539742619228E-2</v>
      </c>
      <c r="H2" s="13">
        <f>G2*(1+CAGR!$C$58)</f>
        <v>1.3426539742619228E-2</v>
      </c>
      <c r="I2" s="13">
        <f>H2*(1+CAGR!$C$58)</f>
        <v>1.3426539742619228E-2</v>
      </c>
      <c r="J2" s="13">
        <f>I2*(1+CAGR!$C$58)</f>
        <v>1.3426539742619228E-2</v>
      </c>
      <c r="K2" s="13">
        <f>J2*(1+CAGR!$C$58)</f>
        <v>1.3426539742619228E-2</v>
      </c>
      <c r="L2" s="13">
        <f>K2*(1+CAGR!$C$58)</f>
        <v>1.3426539742619228E-2</v>
      </c>
      <c r="M2" s="13">
        <f>L2*(1+CAGR!$C$58)</f>
        <v>1.3426539742619228E-2</v>
      </c>
      <c r="N2" s="13">
        <f>M2*(1+CAGR!$C$58)</f>
        <v>1.3426539742619228E-2</v>
      </c>
      <c r="O2" s="13">
        <f>N2*(1+CAGR!$C$58)</f>
        <v>1.3426539742619228E-2</v>
      </c>
      <c r="P2" s="13">
        <f>O2*(1+CAGR!$C$58)</f>
        <v>1.3426539742619228E-2</v>
      </c>
      <c r="Q2" s="13">
        <f>P2*(1+CAGR!$C$58)</f>
        <v>1.3426539742619228E-2</v>
      </c>
      <c r="R2" s="13">
        <f>Q2*(1+CAGR!$C$58)</f>
        <v>1.3426539742619228E-2</v>
      </c>
      <c r="S2" s="13">
        <f>R2*(1+CAGR!$C$58)</f>
        <v>1.3426539742619228E-2</v>
      </c>
      <c r="T2" s="13">
        <f>S2*(1+CAGR!$C$58)</f>
        <v>1.3426539742619228E-2</v>
      </c>
      <c r="U2" s="13">
        <f>T2*(1+CAGR!$C$58)</f>
        <v>1.3426539742619228E-2</v>
      </c>
      <c r="V2" s="13">
        <f>U2*(1+CAGR!$C$58)</f>
        <v>1.3426539742619228E-2</v>
      </c>
      <c r="W2" s="13">
        <f>V2*(1+CAGR!$C$58)</f>
        <v>1.3426539742619228E-2</v>
      </c>
      <c r="X2" s="13">
        <f>W2*(1+CAGR!$C$58)</f>
        <v>1.3426539742619228E-2</v>
      </c>
      <c r="Y2" s="13">
        <f>X2*(1+CAGR!$C$58)</f>
        <v>1.3426539742619228E-2</v>
      </c>
      <c r="Z2" s="13">
        <f>Y2*(1+CAGR!$C$58)</f>
        <v>1.3426539742619228E-2</v>
      </c>
      <c r="AA2" s="13">
        <f>Z2*(1+CAGR!$C$58)</f>
        <v>1.3426539742619228E-2</v>
      </c>
      <c r="AB2" s="13">
        <f>AA2*(1+CAGR!$C$58)</f>
        <v>1.3426539742619228E-2</v>
      </c>
      <c r="AC2" s="13">
        <f>AB2*(1+CAGR!$C$58)</f>
        <v>1.3426539742619228E-2</v>
      </c>
      <c r="AD2" s="13">
        <f>AC2*(1+CAGR!$C$58)</f>
        <v>1.3426539742619228E-2</v>
      </c>
      <c r="AE2" s="13">
        <f>AD2*(1+CAGR!$C$58)</f>
        <v>1.3426539742619228E-2</v>
      </c>
      <c r="AF2" s="13">
        <f>AE2*(1+CAGR!$C$58)</f>
        <v>1.3426539742619228E-2</v>
      </c>
    </row>
    <row r="3" spans="1:32">
      <c r="A3" s="1" t="s">
        <v>10</v>
      </c>
      <c r="B3">
        <f>IFERROR(INDEX('SYFAFE psgr'!$B$6:$H$6,,MATCH($A3,'SYFAFE psgr'!$B$1:$H$1,0))*(1+INDEX(CAGR!$C$58:$C$64,MATCH($A3,CAGR!$B$58:$B$64,0))),0)</f>
        <v>0</v>
      </c>
      <c r="C3">
        <f>IFERROR(INDEX('SYFAFE psgr'!$B$6:$H$6,,MATCH($A3,'SYFAFE psgr'!$B$1:$H$1,0))*(1+INDEX(CAGR!$C$58:$C$64,MATCH($A3,CAGR!$B$58:$B$64,0))),0)</f>
        <v>0</v>
      </c>
      <c r="D3">
        <f>IFERROR(INDEX('SYFAFE psgr'!$B$6:$H$6,,MATCH($A3,'SYFAFE psgr'!$B$1:$H$1,0))*(1+INDEX(CAGR!$C$58:$C$64,MATCH($A3,CAGR!$B$58:$B$64,0))),0)</f>
        <v>0</v>
      </c>
      <c r="E3">
        <f>IFERROR(INDEX('SYFAFE psgr'!$B$6:$H$6,,MATCH($A3,'SYFAFE psgr'!$B$1:$H$1,0))*(1+INDEX(CAGR!$C$58:$C$64,MATCH($A3,CAGR!$B$58:$B$64,0))),0)</f>
        <v>0</v>
      </c>
      <c r="F3">
        <f>IFERROR(INDEX('SYFAFE psgr'!$B$6:$H$6,,MATCH($A3,'SYFAFE psgr'!$B$1:$H$1,0))*(1+INDEX(CAGR!$C$58:$C$64,MATCH($A3,CAGR!$B$58:$B$64,0))),0)</f>
        <v>0</v>
      </c>
      <c r="G3">
        <f>IFERROR(INDEX('SYFAFE psgr'!$B$6:$H$6,,MATCH($A3,'SYFAFE psgr'!$B$1:$H$1,0))*(1+INDEX(CAGR!$C$58:$C$64,MATCH($A3,CAGR!$B$58:$B$64,0))),0)</f>
        <v>0</v>
      </c>
      <c r="H3">
        <f>IFERROR(INDEX('SYFAFE psgr'!$B$6:$H$6,,MATCH($A3,'SYFAFE psgr'!$B$1:$H$1,0))*(1+INDEX(CAGR!$C$58:$C$64,MATCH($A3,CAGR!$B$58:$B$64,0))),0)</f>
        <v>0</v>
      </c>
      <c r="I3">
        <f>IFERROR(INDEX('SYFAFE psgr'!$B$6:$H$6,,MATCH($A3,'SYFAFE psgr'!$B$1:$H$1,0))*(1+INDEX(CAGR!$C$58:$C$64,MATCH($A3,CAGR!$B$58:$B$64,0))),0)</f>
        <v>0</v>
      </c>
      <c r="J3">
        <f>IFERROR(INDEX('SYFAFE psgr'!$B$6:$H$6,,MATCH($A3,'SYFAFE psgr'!$B$1:$H$1,0))*(1+INDEX(CAGR!$C$58:$C$64,MATCH($A3,CAGR!$B$58:$B$64,0))),0)</f>
        <v>0</v>
      </c>
      <c r="K3">
        <f>IFERROR(INDEX('SYFAFE psgr'!$B$6:$H$6,,MATCH($A3,'SYFAFE psgr'!$B$1:$H$1,0))*(1+INDEX(CAGR!$C$58:$C$64,MATCH($A3,CAGR!$B$58:$B$64,0))),0)</f>
        <v>0</v>
      </c>
      <c r="L3">
        <f>IFERROR(INDEX('SYFAFE psgr'!$B$6:$H$6,,MATCH($A3,'SYFAFE psgr'!$B$1:$H$1,0))*(1+INDEX(CAGR!$C$58:$C$64,MATCH($A3,CAGR!$B$58:$B$64,0))),0)</f>
        <v>0</v>
      </c>
      <c r="M3">
        <f>IFERROR(INDEX('SYFAFE psgr'!$B$6:$H$6,,MATCH($A3,'SYFAFE psgr'!$B$1:$H$1,0))*(1+INDEX(CAGR!$C$58:$C$64,MATCH($A3,CAGR!$B$58:$B$64,0))),0)</f>
        <v>0</v>
      </c>
      <c r="N3">
        <f>IFERROR(INDEX('SYFAFE psgr'!$B$6:$H$6,,MATCH($A3,'SYFAFE psgr'!$B$1:$H$1,0))*(1+INDEX(CAGR!$C$58:$C$64,MATCH($A3,CAGR!$B$58:$B$64,0))),0)</f>
        <v>0</v>
      </c>
      <c r="O3">
        <f>IFERROR(INDEX('SYFAFE psgr'!$B$6:$H$6,,MATCH($A3,'SYFAFE psgr'!$B$1:$H$1,0))*(1+INDEX(CAGR!$C$58:$C$64,MATCH($A3,CAGR!$B$58:$B$64,0))),0)</f>
        <v>0</v>
      </c>
      <c r="P3">
        <f>IFERROR(INDEX('SYFAFE psgr'!$B$6:$H$6,,MATCH($A3,'SYFAFE psgr'!$B$1:$H$1,0))*(1+INDEX(CAGR!$C$58:$C$64,MATCH($A3,CAGR!$B$58:$B$64,0))),0)</f>
        <v>0</v>
      </c>
      <c r="Q3">
        <f>IFERROR(INDEX('SYFAFE psgr'!$B$6:$H$6,,MATCH($A3,'SYFAFE psgr'!$B$1:$H$1,0))*(1+INDEX(CAGR!$C$58:$C$64,MATCH($A3,CAGR!$B$58:$B$64,0))),0)</f>
        <v>0</v>
      </c>
      <c r="R3">
        <f>IFERROR(INDEX('SYFAFE psgr'!$B$6:$H$6,,MATCH($A3,'SYFAFE psgr'!$B$1:$H$1,0))*(1+INDEX(CAGR!$C$58:$C$64,MATCH($A3,CAGR!$B$58:$B$64,0))),0)</f>
        <v>0</v>
      </c>
      <c r="S3">
        <f>IFERROR(INDEX('SYFAFE psgr'!$B$6:$H$6,,MATCH($A3,'SYFAFE psgr'!$B$1:$H$1,0))*(1+INDEX(CAGR!$C$58:$C$64,MATCH($A3,CAGR!$B$58:$B$64,0))),0)</f>
        <v>0</v>
      </c>
      <c r="T3">
        <f>IFERROR(INDEX('SYFAFE psgr'!$B$6:$H$6,,MATCH($A3,'SYFAFE psgr'!$B$1:$H$1,0))*(1+INDEX(CAGR!$C$58:$C$64,MATCH($A3,CAGR!$B$58:$B$64,0))),0)</f>
        <v>0</v>
      </c>
      <c r="U3">
        <f>IFERROR(INDEX('SYFAFE psgr'!$B$6:$H$6,,MATCH($A3,'SYFAFE psgr'!$B$1:$H$1,0))*(1+INDEX(CAGR!$C$58:$C$64,MATCH($A3,CAGR!$B$58:$B$64,0))),0)</f>
        <v>0</v>
      </c>
      <c r="V3">
        <f>IFERROR(INDEX('SYFAFE psgr'!$B$6:$H$6,,MATCH($A3,'SYFAFE psgr'!$B$1:$H$1,0))*(1+INDEX(CAGR!$C$58:$C$64,MATCH($A3,CAGR!$B$58:$B$64,0))),0)</f>
        <v>0</v>
      </c>
      <c r="W3">
        <f>IFERROR(INDEX('SYFAFE psgr'!$B$6:$H$6,,MATCH($A3,'SYFAFE psgr'!$B$1:$H$1,0))*(1+INDEX(CAGR!$C$58:$C$64,MATCH($A3,CAGR!$B$58:$B$64,0))),0)</f>
        <v>0</v>
      </c>
      <c r="X3">
        <f>IFERROR(INDEX('SYFAFE psgr'!$B$6:$H$6,,MATCH($A3,'SYFAFE psgr'!$B$1:$H$1,0))*(1+INDEX(CAGR!$C$58:$C$64,MATCH($A3,CAGR!$B$58:$B$64,0))),0)</f>
        <v>0</v>
      </c>
      <c r="Y3">
        <f>IFERROR(INDEX('SYFAFE psgr'!$B$6:$H$6,,MATCH($A3,'SYFAFE psgr'!$B$1:$H$1,0))*(1+INDEX(CAGR!$C$58:$C$64,MATCH($A3,CAGR!$B$58:$B$64,0))),0)</f>
        <v>0</v>
      </c>
      <c r="Z3">
        <f>IFERROR(INDEX('SYFAFE psgr'!$B$6:$H$6,,MATCH($A3,'SYFAFE psgr'!$B$1:$H$1,0))*(1+INDEX(CAGR!$C$58:$C$64,MATCH($A3,CAGR!$B$58:$B$64,0))),0)</f>
        <v>0</v>
      </c>
      <c r="AA3">
        <f>IFERROR(INDEX('SYFAFE psgr'!$B$6:$H$6,,MATCH($A3,'SYFAFE psgr'!$B$1:$H$1,0))*(1+INDEX(CAGR!$C$58:$C$64,MATCH($A3,CAGR!$B$58:$B$64,0))),0)</f>
        <v>0</v>
      </c>
      <c r="AB3">
        <f>IFERROR(INDEX('SYFAFE psgr'!$B$6:$H$6,,MATCH($A3,'SYFAFE psgr'!$B$1:$H$1,0))*(1+INDEX(CAGR!$C$58:$C$64,MATCH($A3,CAGR!$B$58:$B$64,0))),0)</f>
        <v>0</v>
      </c>
      <c r="AC3">
        <f>IFERROR(INDEX('SYFAFE psgr'!$B$6:$H$6,,MATCH($A3,'SYFAFE psgr'!$B$1:$H$1,0))*(1+INDEX(CAGR!$C$58:$C$64,MATCH($A3,CAGR!$B$58:$B$64,0))),0)</f>
        <v>0</v>
      </c>
      <c r="AD3">
        <f>IFERROR(INDEX('SYFAFE psgr'!$B$6:$H$6,,MATCH($A3,'SYFAFE psgr'!$B$1:$H$1,0))*(1+INDEX(CAGR!$C$58:$C$64,MATCH($A3,CAGR!$B$58:$B$64,0))),0)</f>
        <v>0</v>
      </c>
      <c r="AE3">
        <f>IFERROR(INDEX('SYFAFE psgr'!$B$6:$H$6,,MATCH($A3,'SYFAFE psgr'!$B$1:$H$1,0))*(1+INDEX(CAGR!$C$58:$C$64,MATCH($A3,CAGR!$B$58:$B$64,0))),0)</f>
        <v>0</v>
      </c>
      <c r="AF3">
        <f>IFERROR(INDEX('SYFAFE psgr'!$B$6:$H$6,,MATCH($A3,'SYFAFE psgr'!$B$1:$H$1,0))*(1+INDEX(CAGR!$C$58:$C$64,MATCH($A3,CAGR!$B$58:$B$64,0))),0)</f>
        <v>0</v>
      </c>
    </row>
    <row r="4" spans="1:32">
      <c r="A4" s="1" t="s">
        <v>11</v>
      </c>
      <c r="B4">
        <f>IFERROR(INDEX('SYFAFE psgr'!$B$6:$H$6,,MATCH($A4,'SYFAFE psgr'!$B$1:$H$1,0))*(1+INDEX(CAGR!$C$58:$C$64,MATCH($A4,CAGR!$B$58:$B$64,0))),0)</f>
        <v>4.1782E-3</v>
      </c>
      <c r="C4">
        <f>IFERROR(INDEX('SYFAFE psgr'!$B$6:$H$6,,MATCH($A4,'SYFAFE psgr'!$B$1:$H$1,0))*(1+INDEX(CAGR!$C$58:$C$64,MATCH($A4,CAGR!$B$58:$B$64,0))),0)</f>
        <v>4.1782E-3</v>
      </c>
      <c r="D4">
        <f>IFERROR(INDEX('SYFAFE psgr'!$B$6:$H$6,,MATCH($A4,'SYFAFE psgr'!$B$1:$H$1,0))*(1+INDEX(CAGR!$C$58:$C$64,MATCH($A4,CAGR!$B$58:$B$64,0))),0)</f>
        <v>4.1782E-3</v>
      </c>
      <c r="E4">
        <f>IFERROR(INDEX('SYFAFE psgr'!$B$6:$H$6,,MATCH($A4,'SYFAFE psgr'!$B$1:$H$1,0))*(1+INDEX(CAGR!$C$58:$C$64,MATCH($A4,CAGR!$B$58:$B$64,0))),0)</f>
        <v>4.1782E-3</v>
      </c>
      <c r="F4">
        <f>IFERROR(INDEX('SYFAFE psgr'!$B$6:$H$6,,MATCH($A4,'SYFAFE psgr'!$B$1:$H$1,0))*(1+INDEX(CAGR!$C$58:$C$64,MATCH($A4,CAGR!$B$58:$B$64,0))),0)</f>
        <v>4.1782E-3</v>
      </c>
      <c r="G4">
        <f>IFERROR(INDEX('SYFAFE psgr'!$B$6:$H$6,,MATCH($A4,'SYFAFE psgr'!$B$1:$H$1,0))*(1+INDEX(CAGR!$C$58:$C$64,MATCH($A4,CAGR!$B$58:$B$64,0))),0)</f>
        <v>4.1782E-3</v>
      </c>
      <c r="H4">
        <f>IFERROR(INDEX('SYFAFE psgr'!$B$6:$H$6,,MATCH($A4,'SYFAFE psgr'!$B$1:$H$1,0))*(1+INDEX(CAGR!$C$58:$C$64,MATCH($A4,CAGR!$B$58:$B$64,0))),0)</f>
        <v>4.1782E-3</v>
      </c>
      <c r="I4">
        <f>IFERROR(INDEX('SYFAFE psgr'!$B$6:$H$6,,MATCH($A4,'SYFAFE psgr'!$B$1:$H$1,0))*(1+INDEX(CAGR!$C$58:$C$64,MATCH($A4,CAGR!$B$58:$B$64,0))),0)</f>
        <v>4.1782E-3</v>
      </c>
      <c r="J4">
        <f>IFERROR(INDEX('SYFAFE psgr'!$B$6:$H$6,,MATCH($A4,'SYFAFE psgr'!$B$1:$H$1,0))*(1+INDEX(CAGR!$C$58:$C$64,MATCH($A4,CAGR!$B$58:$B$64,0))),0)</f>
        <v>4.1782E-3</v>
      </c>
      <c r="K4">
        <f>IFERROR(INDEX('SYFAFE psgr'!$B$6:$H$6,,MATCH($A4,'SYFAFE psgr'!$B$1:$H$1,0))*(1+INDEX(CAGR!$C$58:$C$64,MATCH($A4,CAGR!$B$58:$B$64,0))),0)</f>
        <v>4.1782E-3</v>
      </c>
      <c r="L4">
        <f>IFERROR(INDEX('SYFAFE psgr'!$B$6:$H$6,,MATCH($A4,'SYFAFE psgr'!$B$1:$H$1,0))*(1+INDEX(CAGR!$C$58:$C$64,MATCH($A4,CAGR!$B$58:$B$64,0))),0)</f>
        <v>4.1782E-3</v>
      </c>
      <c r="M4">
        <f>IFERROR(INDEX('SYFAFE psgr'!$B$6:$H$6,,MATCH($A4,'SYFAFE psgr'!$B$1:$H$1,0))*(1+INDEX(CAGR!$C$58:$C$64,MATCH($A4,CAGR!$B$58:$B$64,0))),0)</f>
        <v>4.1782E-3</v>
      </c>
      <c r="N4">
        <f>IFERROR(INDEX('SYFAFE psgr'!$B$6:$H$6,,MATCH($A4,'SYFAFE psgr'!$B$1:$H$1,0))*(1+INDEX(CAGR!$C$58:$C$64,MATCH($A4,CAGR!$B$58:$B$64,0))),0)</f>
        <v>4.1782E-3</v>
      </c>
      <c r="O4">
        <f>IFERROR(INDEX('SYFAFE psgr'!$B$6:$H$6,,MATCH($A4,'SYFAFE psgr'!$B$1:$H$1,0))*(1+INDEX(CAGR!$C$58:$C$64,MATCH($A4,CAGR!$B$58:$B$64,0))),0)</f>
        <v>4.1782E-3</v>
      </c>
      <c r="P4">
        <f>IFERROR(INDEX('SYFAFE psgr'!$B$6:$H$6,,MATCH($A4,'SYFAFE psgr'!$B$1:$H$1,0))*(1+INDEX(CAGR!$C$58:$C$64,MATCH($A4,CAGR!$B$58:$B$64,0))),0)</f>
        <v>4.1782E-3</v>
      </c>
      <c r="Q4">
        <f>IFERROR(INDEX('SYFAFE psgr'!$B$6:$H$6,,MATCH($A4,'SYFAFE psgr'!$B$1:$H$1,0))*(1+INDEX(CAGR!$C$58:$C$64,MATCH($A4,CAGR!$B$58:$B$64,0))),0)</f>
        <v>4.1782E-3</v>
      </c>
      <c r="R4">
        <f>IFERROR(INDEX('SYFAFE psgr'!$B$6:$H$6,,MATCH($A4,'SYFAFE psgr'!$B$1:$H$1,0))*(1+INDEX(CAGR!$C$58:$C$64,MATCH($A4,CAGR!$B$58:$B$64,0))),0)</f>
        <v>4.1782E-3</v>
      </c>
      <c r="S4">
        <f>IFERROR(INDEX('SYFAFE psgr'!$B$6:$H$6,,MATCH($A4,'SYFAFE psgr'!$B$1:$H$1,0))*(1+INDEX(CAGR!$C$58:$C$64,MATCH($A4,CAGR!$B$58:$B$64,0))),0)</f>
        <v>4.1782E-3</v>
      </c>
      <c r="T4">
        <f>IFERROR(INDEX('SYFAFE psgr'!$B$6:$H$6,,MATCH($A4,'SYFAFE psgr'!$B$1:$H$1,0))*(1+INDEX(CAGR!$C$58:$C$64,MATCH($A4,CAGR!$B$58:$B$64,0))),0)</f>
        <v>4.1782E-3</v>
      </c>
      <c r="U4">
        <f>IFERROR(INDEX('SYFAFE psgr'!$B$6:$H$6,,MATCH($A4,'SYFAFE psgr'!$B$1:$H$1,0))*(1+INDEX(CAGR!$C$58:$C$64,MATCH($A4,CAGR!$B$58:$B$64,0))),0)</f>
        <v>4.1782E-3</v>
      </c>
      <c r="V4">
        <f>IFERROR(INDEX('SYFAFE psgr'!$B$6:$H$6,,MATCH($A4,'SYFAFE psgr'!$B$1:$H$1,0))*(1+INDEX(CAGR!$C$58:$C$64,MATCH($A4,CAGR!$B$58:$B$64,0))),0)</f>
        <v>4.1782E-3</v>
      </c>
      <c r="W4">
        <f>IFERROR(INDEX('SYFAFE psgr'!$B$6:$H$6,,MATCH($A4,'SYFAFE psgr'!$B$1:$H$1,0))*(1+INDEX(CAGR!$C$58:$C$64,MATCH($A4,CAGR!$B$58:$B$64,0))),0)</f>
        <v>4.1782E-3</v>
      </c>
      <c r="X4">
        <f>IFERROR(INDEX('SYFAFE psgr'!$B$6:$H$6,,MATCH($A4,'SYFAFE psgr'!$B$1:$H$1,0))*(1+INDEX(CAGR!$C$58:$C$64,MATCH($A4,CAGR!$B$58:$B$64,0))),0)</f>
        <v>4.1782E-3</v>
      </c>
      <c r="Y4">
        <f>IFERROR(INDEX('SYFAFE psgr'!$B$6:$H$6,,MATCH($A4,'SYFAFE psgr'!$B$1:$H$1,0))*(1+INDEX(CAGR!$C$58:$C$64,MATCH($A4,CAGR!$B$58:$B$64,0))),0)</f>
        <v>4.1782E-3</v>
      </c>
      <c r="Z4">
        <f>IFERROR(INDEX('SYFAFE psgr'!$B$6:$H$6,,MATCH($A4,'SYFAFE psgr'!$B$1:$H$1,0))*(1+INDEX(CAGR!$C$58:$C$64,MATCH($A4,CAGR!$B$58:$B$64,0))),0)</f>
        <v>4.1782E-3</v>
      </c>
      <c r="AA4">
        <f>IFERROR(INDEX('SYFAFE psgr'!$B$6:$H$6,,MATCH($A4,'SYFAFE psgr'!$B$1:$H$1,0))*(1+INDEX(CAGR!$C$58:$C$64,MATCH($A4,CAGR!$B$58:$B$64,0))),0)</f>
        <v>4.1782E-3</v>
      </c>
      <c r="AB4">
        <f>IFERROR(INDEX('SYFAFE psgr'!$B$6:$H$6,,MATCH($A4,'SYFAFE psgr'!$B$1:$H$1,0))*(1+INDEX(CAGR!$C$58:$C$64,MATCH($A4,CAGR!$B$58:$B$64,0))),0)</f>
        <v>4.1782E-3</v>
      </c>
      <c r="AC4">
        <f>IFERROR(INDEX('SYFAFE psgr'!$B$6:$H$6,,MATCH($A4,'SYFAFE psgr'!$B$1:$H$1,0))*(1+INDEX(CAGR!$C$58:$C$64,MATCH($A4,CAGR!$B$58:$B$64,0))),0)</f>
        <v>4.1782E-3</v>
      </c>
      <c r="AD4">
        <f>IFERROR(INDEX('SYFAFE psgr'!$B$6:$H$6,,MATCH($A4,'SYFAFE psgr'!$B$1:$H$1,0))*(1+INDEX(CAGR!$C$58:$C$64,MATCH($A4,CAGR!$B$58:$B$64,0))),0)</f>
        <v>4.1782E-3</v>
      </c>
      <c r="AE4">
        <f>IFERROR(INDEX('SYFAFE psgr'!$B$6:$H$6,,MATCH($A4,'SYFAFE psgr'!$B$1:$H$1,0))*(1+INDEX(CAGR!$C$58:$C$64,MATCH($A4,CAGR!$B$58:$B$64,0))),0)</f>
        <v>4.1782E-3</v>
      </c>
      <c r="AF4">
        <f>IFERROR(INDEX('SYFAFE psgr'!$B$6:$H$6,,MATCH($A4,'SYFAFE psgr'!$B$1:$H$1,0))*(1+INDEX(CAGR!$C$58:$C$64,MATCH($A4,CAGR!$B$58:$B$64,0))),0)</f>
        <v>4.1782E-3</v>
      </c>
    </row>
    <row r="5" spans="1:32">
      <c r="A5" s="1" t="s">
        <v>12</v>
      </c>
      <c r="B5" s="14">
        <f>IFERROR(INDEX('SYFAFE psgr'!$B$6:$H$6,,MATCH($A5,'SYFAFE psgr'!$B$1:$H$1,0))*(1+INDEX(CAGR!$C$58:$C$64,MATCH($A5,CAGR!$B$58:$B$64,0))),0)</f>
        <v>4.1782E-3</v>
      </c>
      <c r="C5" s="14">
        <f>IFERROR(INDEX('SYFAFE psgr'!$B$6:$H$6,,MATCH($A5,'SYFAFE psgr'!$B$1:$H$1,0))*(1+INDEX(CAGR!$C$58:$C$64,MATCH($A5,CAGR!$B$58:$B$64,0))),0)</f>
        <v>4.1782E-3</v>
      </c>
      <c r="D5" s="14">
        <f>IFERROR(INDEX('SYFAFE psgr'!$B$6:$H$6,,MATCH($A5,'SYFAFE psgr'!$B$1:$H$1,0))*(1+INDEX(CAGR!$C$58:$C$64,MATCH($A5,CAGR!$B$58:$B$64,0))),0)</f>
        <v>4.1782E-3</v>
      </c>
      <c r="E5" s="14">
        <f>IFERROR(INDEX('SYFAFE psgr'!$B$6:$H$6,,MATCH($A5,'SYFAFE psgr'!$B$1:$H$1,0))*(1+INDEX(CAGR!$C$58:$C$64,MATCH($A5,CAGR!$B$58:$B$64,0))),0)</f>
        <v>4.1782E-3</v>
      </c>
      <c r="F5" s="14">
        <f>IFERROR(INDEX('SYFAFE psgr'!$B$6:$H$6,,MATCH($A5,'SYFAFE psgr'!$B$1:$H$1,0))*(1+INDEX(CAGR!$C$58:$C$64,MATCH($A5,CAGR!$B$58:$B$64,0))),0)</f>
        <v>4.1782E-3</v>
      </c>
      <c r="G5" s="14">
        <f>IFERROR(INDEX('SYFAFE psgr'!$B$6:$H$6,,MATCH($A5,'SYFAFE psgr'!$B$1:$H$1,0))*(1+INDEX(CAGR!$C$58:$C$64,MATCH($A5,CAGR!$B$58:$B$64,0))),0)</f>
        <v>4.1782E-3</v>
      </c>
      <c r="H5" s="14">
        <f>IFERROR(INDEX('SYFAFE psgr'!$B$6:$H$6,,MATCH($A5,'SYFAFE psgr'!$B$1:$H$1,0))*(1+INDEX(CAGR!$C$58:$C$64,MATCH($A5,CAGR!$B$58:$B$64,0))),0)</f>
        <v>4.1782E-3</v>
      </c>
      <c r="I5" s="14">
        <f>IFERROR(INDEX('SYFAFE psgr'!$B$6:$H$6,,MATCH($A5,'SYFAFE psgr'!$B$1:$H$1,0))*(1+INDEX(CAGR!$C$58:$C$64,MATCH($A5,CAGR!$B$58:$B$64,0))),0)</f>
        <v>4.1782E-3</v>
      </c>
      <c r="J5" s="14">
        <f>IFERROR(INDEX('SYFAFE psgr'!$B$6:$H$6,,MATCH($A5,'SYFAFE psgr'!$B$1:$H$1,0))*(1+INDEX(CAGR!$C$58:$C$64,MATCH($A5,CAGR!$B$58:$B$64,0))),0)</f>
        <v>4.1782E-3</v>
      </c>
      <c r="K5" s="14">
        <f>IFERROR(INDEX('SYFAFE psgr'!$B$6:$H$6,,MATCH($A5,'SYFAFE psgr'!$B$1:$H$1,0))*(1+INDEX(CAGR!$C$58:$C$64,MATCH($A5,CAGR!$B$58:$B$64,0))),0)</f>
        <v>4.1782E-3</v>
      </c>
      <c r="L5" s="14">
        <f>IFERROR(INDEX('SYFAFE psgr'!$B$6:$H$6,,MATCH($A5,'SYFAFE psgr'!$B$1:$H$1,0))*(1+INDEX(CAGR!$C$58:$C$64,MATCH($A5,CAGR!$B$58:$B$64,0))),0)</f>
        <v>4.1782E-3</v>
      </c>
      <c r="M5" s="14">
        <f>IFERROR(INDEX('SYFAFE psgr'!$B$6:$H$6,,MATCH($A5,'SYFAFE psgr'!$B$1:$H$1,0))*(1+INDEX(CAGR!$C$58:$C$64,MATCH($A5,CAGR!$B$58:$B$64,0))),0)</f>
        <v>4.1782E-3</v>
      </c>
      <c r="N5" s="14">
        <f>IFERROR(INDEX('SYFAFE psgr'!$B$6:$H$6,,MATCH($A5,'SYFAFE psgr'!$B$1:$H$1,0))*(1+INDEX(CAGR!$C$58:$C$64,MATCH($A5,CAGR!$B$58:$B$64,0))),0)</f>
        <v>4.1782E-3</v>
      </c>
      <c r="O5" s="14">
        <f>IFERROR(INDEX('SYFAFE psgr'!$B$6:$H$6,,MATCH($A5,'SYFAFE psgr'!$B$1:$H$1,0))*(1+INDEX(CAGR!$C$58:$C$64,MATCH($A5,CAGR!$B$58:$B$64,0))),0)</f>
        <v>4.1782E-3</v>
      </c>
      <c r="P5" s="14">
        <f>IFERROR(INDEX('SYFAFE psgr'!$B$6:$H$6,,MATCH($A5,'SYFAFE psgr'!$B$1:$H$1,0))*(1+INDEX(CAGR!$C$58:$C$64,MATCH($A5,CAGR!$B$58:$B$64,0))),0)</f>
        <v>4.1782E-3</v>
      </c>
      <c r="Q5" s="14">
        <f>IFERROR(INDEX('SYFAFE psgr'!$B$6:$H$6,,MATCH($A5,'SYFAFE psgr'!$B$1:$H$1,0))*(1+INDEX(CAGR!$C$58:$C$64,MATCH($A5,CAGR!$B$58:$B$64,0))),0)</f>
        <v>4.1782E-3</v>
      </c>
      <c r="R5" s="14">
        <f>IFERROR(INDEX('SYFAFE psgr'!$B$6:$H$6,,MATCH($A5,'SYFAFE psgr'!$B$1:$H$1,0))*(1+INDEX(CAGR!$C$58:$C$64,MATCH($A5,CAGR!$B$58:$B$64,0))),0)</f>
        <v>4.1782E-3</v>
      </c>
      <c r="S5" s="14">
        <f>IFERROR(INDEX('SYFAFE psgr'!$B$6:$H$6,,MATCH($A5,'SYFAFE psgr'!$B$1:$H$1,0))*(1+INDEX(CAGR!$C$58:$C$64,MATCH($A5,CAGR!$B$58:$B$64,0))),0)</f>
        <v>4.1782E-3</v>
      </c>
      <c r="T5" s="14">
        <f>IFERROR(INDEX('SYFAFE psgr'!$B$6:$H$6,,MATCH($A5,'SYFAFE psgr'!$B$1:$H$1,0))*(1+INDEX(CAGR!$C$58:$C$64,MATCH($A5,CAGR!$B$58:$B$64,0))),0)</f>
        <v>4.1782E-3</v>
      </c>
      <c r="U5" s="14">
        <f>IFERROR(INDEX('SYFAFE psgr'!$B$6:$H$6,,MATCH($A5,'SYFAFE psgr'!$B$1:$H$1,0))*(1+INDEX(CAGR!$C$58:$C$64,MATCH($A5,CAGR!$B$58:$B$64,0))),0)</f>
        <v>4.1782E-3</v>
      </c>
      <c r="V5" s="14">
        <f>IFERROR(INDEX('SYFAFE psgr'!$B$6:$H$6,,MATCH($A5,'SYFAFE psgr'!$B$1:$H$1,0))*(1+INDEX(CAGR!$C$58:$C$64,MATCH($A5,CAGR!$B$58:$B$64,0))),0)</f>
        <v>4.1782E-3</v>
      </c>
      <c r="W5" s="14">
        <f>IFERROR(INDEX('SYFAFE psgr'!$B$6:$H$6,,MATCH($A5,'SYFAFE psgr'!$B$1:$H$1,0))*(1+INDEX(CAGR!$C$58:$C$64,MATCH($A5,CAGR!$B$58:$B$64,0))),0)</f>
        <v>4.1782E-3</v>
      </c>
      <c r="X5" s="14">
        <f>IFERROR(INDEX('SYFAFE psgr'!$B$6:$H$6,,MATCH($A5,'SYFAFE psgr'!$B$1:$H$1,0))*(1+INDEX(CAGR!$C$58:$C$64,MATCH($A5,CAGR!$B$58:$B$64,0))),0)</f>
        <v>4.1782E-3</v>
      </c>
      <c r="Y5" s="14">
        <f>IFERROR(INDEX('SYFAFE psgr'!$B$6:$H$6,,MATCH($A5,'SYFAFE psgr'!$B$1:$H$1,0))*(1+INDEX(CAGR!$C$58:$C$64,MATCH($A5,CAGR!$B$58:$B$64,0))),0)</f>
        <v>4.1782E-3</v>
      </c>
      <c r="Z5" s="14">
        <f>IFERROR(INDEX('SYFAFE psgr'!$B$6:$H$6,,MATCH($A5,'SYFAFE psgr'!$B$1:$H$1,0))*(1+INDEX(CAGR!$C$58:$C$64,MATCH($A5,CAGR!$B$58:$B$64,0))),0)</f>
        <v>4.1782E-3</v>
      </c>
      <c r="AA5" s="14">
        <f>IFERROR(INDEX('SYFAFE psgr'!$B$6:$H$6,,MATCH($A5,'SYFAFE psgr'!$B$1:$H$1,0))*(1+INDEX(CAGR!$C$58:$C$64,MATCH($A5,CAGR!$B$58:$B$64,0))),0)</f>
        <v>4.1782E-3</v>
      </c>
      <c r="AB5" s="14">
        <f>IFERROR(INDEX('SYFAFE psgr'!$B$6:$H$6,,MATCH($A5,'SYFAFE psgr'!$B$1:$H$1,0))*(1+INDEX(CAGR!$C$58:$C$64,MATCH($A5,CAGR!$B$58:$B$64,0))),0)</f>
        <v>4.1782E-3</v>
      </c>
      <c r="AC5" s="14">
        <f>IFERROR(INDEX('SYFAFE psgr'!$B$6:$H$6,,MATCH($A5,'SYFAFE psgr'!$B$1:$H$1,0))*(1+INDEX(CAGR!$C$58:$C$64,MATCH($A5,CAGR!$B$58:$B$64,0))),0)</f>
        <v>4.1782E-3</v>
      </c>
      <c r="AD5" s="14">
        <f>IFERROR(INDEX('SYFAFE psgr'!$B$6:$H$6,,MATCH($A5,'SYFAFE psgr'!$B$1:$H$1,0))*(1+INDEX(CAGR!$C$58:$C$64,MATCH($A5,CAGR!$B$58:$B$64,0))),0)</f>
        <v>4.1782E-3</v>
      </c>
      <c r="AE5" s="14">
        <f>IFERROR(INDEX('SYFAFE psgr'!$B$6:$H$6,,MATCH($A5,'SYFAFE psgr'!$B$1:$H$1,0))*(1+INDEX(CAGR!$C$58:$C$64,MATCH($A5,CAGR!$B$58:$B$64,0))),0)</f>
        <v>4.1782E-3</v>
      </c>
      <c r="AF5" s="14">
        <f>IFERROR(INDEX('SYFAFE psgr'!$B$6:$H$6,,MATCH($A5,'SYFAFE psgr'!$B$1:$H$1,0))*(1+INDEX(CAGR!$C$58:$C$64,MATCH($A5,CAGR!$B$58:$B$64,0))),0)</f>
        <v>4.1782E-3</v>
      </c>
    </row>
    <row r="6" spans="1:32">
      <c r="A6" s="1" t="s">
        <v>13</v>
      </c>
      <c r="B6">
        <f>IFERROR(INDEX('SYFAFE psgr'!$B$6:$H$6,,MATCH($A6,'SYFAFE psgr'!$B$1:$H$1,0))*(1+INDEX(CAGR!$C$58:$C$64,MATCH($A6,CAGR!$B$58:$B$64,0))),0)</f>
        <v>0</v>
      </c>
      <c r="C6">
        <f>IFERROR(INDEX('SYFAFE psgr'!$B$6:$H$6,,MATCH($A6,'SYFAFE psgr'!$B$1:$H$1,0))*(1+INDEX(CAGR!$C$58:$C$64,MATCH($A6,CAGR!$B$58:$B$64,0))),0)</f>
        <v>0</v>
      </c>
      <c r="D6">
        <f>IFERROR(INDEX('SYFAFE psgr'!$B$6:$H$6,,MATCH($A6,'SYFAFE psgr'!$B$1:$H$1,0))*(1+INDEX(CAGR!$C$58:$C$64,MATCH($A6,CAGR!$B$58:$B$64,0))),0)</f>
        <v>0</v>
      </c>
      <c r="E6">
        <f>IFERROR(INDEX('SYFAFE psgr'!$B$6:$H$6,,MATCH($A6,'SYFAFE psgr'!$B$1:$H$1,0))*(1+INDEX(CAGR!$C$58:$C$64,MATCH($A6,CAGR!$B$58:$B$64,0))),0)</f>
        <v>0</v>
      </c>
      <c r="F6">
        <f>IFERROR(INDEX('SYFAFE psgr'!$B$6:$H$6,,MATCH($A6,'SYFAFE psgr'!$B$1:$H$1,0))*(1+INDEX(CAGR!$C$58:$C$64,MATCH($A6,CAGR!$B$58:$B$64,0))),0)</f>
        <v>0</v>
      </c>
      <c r="G6">
        <f>IFERROR(INDEX('SYFAFE psgr'!$B$6:$H$6,,MATCH($A6,'SYFAFE psgr'!$B$1:$H$1,0))*(1+INDEX(CAGR!$C$58:$C$64,MATCH($A6,CAGR!$B$58:$B$64,0))),0)</f>
        <v>0</v>
      </c>
      <c r="H6">
        <f>IFERROR(INDEX('SYFAFE psgr'!$B$6:$H$6,,MATCH($A6,'SYFAFE psgr'!$B$1:$H$1,0))*(1+INDEX(CAGR!$C$58:$C$64,MATCH($A6,CAGR!$B$58:$B$64,0))),0)</f>
        <v>0</v>
      </c>
      <c r="I6">
        <f>IFERROR(INDEX('SYFAFE psgr'!$B$6:$H$6,,MATCH($A6,'SYFAFE psgr'!$B$1:$H$1,0))*(1+INDEX(CAGR!$C$58:$C$64,MATCH($A6,CAGR!$B$58:$B$64,0))),0)</f>
        <v>0</v>
      </c>
      <c r="J6">
        <f>IFERROR(INDEX('SYFAFE psgr'!$B$6:$H$6,,MATCH($A6,'SYFAFE psgr'!$B$1:$H$1,0))*(1+INDEX(CAGR!$C$58:$C$64,MATCH($A6,CAGR!$B$58:$B$64,0))),0)</f>
        <v>0</v>
      </c>
      <c r="K6">
        <f>IFERROR(INDEX('SYFAFE psgr'!$B$6:$H$6,,MATCH($A6,'SYFAFE psgr'!$B$1:$H$1,0))*(1+INDEX(CAGR!$C$58:$C$64,MATCH($A6,CAGR!$B$58:$B$64,0))),0)</f>
        <v>0</v>
      </c>
      <c r="L6">
        <f>IFERROR(INDEX('SYFAFE psgr'!$B$6:$H$6,,MATCH($A6,'SYFAFE psgr'!$B$1:$H$1,0))*(1+INDEX(CAGR!$C$58:$C$64,MATCH($A6,CAGR!$B$58:$B$64,0))),0)</f>
        <v>0</v>
      </c>
      <c r="M6">
        <f>IFERROR(INDEX('SYFAFE psgr'!$B$6:$H$6,,MATCH($A6,'SYFAFE psgr'!$B$1:$H$1,0))*(1+INDEX(CAGR!$C$58:$C$64,MATCH($A6,CAGR!$B$58:$B$64,0))),0)</f>
        <v>0</v>
      </c>
      <c r="N6">
        <f>IFERROR(INDEX('SYFAFE psgr'!$B$6:$H$6,,MATCH($A6,'SYFAFE psgr'!$B$1:$H$1,0))*(1+INDEX(CAGR!$C$58:$C$64,MATCH($A6,CAGR!$B$58:$B$64,0))),0)</f>
        <v>0</v>
      </c>
      <c r="O6">
        <f>IFERROR(INDEX('SYFAFE psgr'!$B$6:$H$6,,MATCH($A6,'SYFAFE psgr'!$B$1:$H$1,0))*(1+INDEX(CAGR!$C$58:$C$64,MATCH($A6,CAGR!$B$58:$B$64,0))),0)</f>
        <v>0</v>
      </c>
      <c r="P6">
        <f>IFERROR(INDEX('SYFAFE psgr'!$B$6:$H$6,,MATCH($A6,'SYFAFE psgr'!$B$1:$H$1,0))*(1+INDEX(CAGR!$C$58:$C$64,MATCH($A6,CAGR!$B$58:$B$64,0))),0)</f>
        <v>0</v>
      </c>
      <c r="Q6">
        <f>IFERROR(INDEX('SYFAFE psgr'!$B$6:$H$6,,MATCH($A6,'SYFAFE psgr'!$B$1:$H$1,0))*(1+INDEX(CAGR!$C$58:$C$64,MATCH($A6,CAGR!$B$58:$B$64,0))),0)</f>
        <v>0</v>
      </c>
      <c r="R6">
        <f>IFERROR(INDEX('SYFAFE psgr'!$B$6:$H$6,,MATCH($A6,'SYFAFE psgr'!$B$1:$H$1,0))*(1+INDEX(CAGR!$C$58:$C$64,MATCH($A6,CAGR!$B$58:$B$64,0))),0)</f>
        <v>0</v>
      </c>
      <c r="S6">
        <f>IFERROR(INDEX('SYFAFE psgr'!$B$6:$H$6,,MATCH($A6,'SYFAFE psgr'!$B$1:$H$1,0))*(1+INDEX(CAGR!$C$58:$C$64,MATCH($A6,CAGR!$B$58:$B$64,0))),0)</f>
        <v>0</v>
      </c>
      <c r="T6">
        <f>IFERROR(INDEX('SYFAFE psgr'!$B$6:$H$6,,MATCH($A6,'SYFAFE psgr'!$B$1:$H$1,0))*(1+INDEX(CAGR!$C$58:$C$64,MATCH($A6,CAGR!$B$58:$B$64,0))),0)</f>
        <v>0</v>
      </c>
      <c r="U6">
        <f>IFERROR(INDEX('SYFAFE psgr'!$B$6:$H$6,,MATCH($A6,'SYFAFE psgr'!$B$1:$H$1,0))*(1+INDEX(CAGR!$C$58:$C$64,MATCH($A6,CAGR!$B$58:$B$64,0))),0)</f>
        <v>0</v>
      </c>
      <c r="V6">
        <f>IFERROR(INDEX('SYFAFE psgr'!$B$6:$H$6,,MATCH($A6,'SYFAFE psgr'!$B$1:$H$1,0))*(1+INDEX(CAGR!$C$58:$C$64,MATCH($A6,CAGR!$B$58:$B$64,0))),0)</f>
        <v>0</v>
      </c>
      <c r="W6">
        <f>IFERROR(INDEX('SYFAFE psgr'!$B$6:$H$6,,MATCH($A6,'SYFAFE psgr'!$B$1:$H$1,0))*(1+INDEX(CAGR!$C$58:$C$64,MATCH($A6,CAGR!$B$58:$B$64,0))),0)</f>
        <v>0</v>
      </c>
      <c r="X6">
        <f>IFERROR(INDEX('SYFAFE psgr'!$B$6:$H$6,,MATCH($A6,'SYFAFE psgr'!$B$1:$H$1,0))*(1+INDEX(CAGR!$C$58:$C$64,MATCH($A6,CAGR!$B$58:$B$64,0))),0)</f>
        <v>0</v>
      </c>
      <c r="Y6">
        <f>IFERROR(INDEX('SYFAFE psgr'!$B$6:$H$6,,MATCH($A6,'SYFAFE psgr'!$B$1:$H$1,0))*(1+INDEX(CAGR!$C$58:$C$64,MATCH($A6,CAGR!$B$58:$B$64,0))),0)</f>
        <v>0</v>
      </c>
      <c r="Z6">
        <f>IFERROR(INDEX('SYFAFE psgr'!$B$6:$H$6,,MATCH($A6,'SYFAFE psgr'!$B$1:$H$1,0))*(1+INDEX(CAGR!$C$58:$C$64,MATCH($A6,CAGR!$B$58:$B$64,0))),0)</f>
        <v>0</v>
      </c>
      <c r="AA6">
        <f>IFERROR(INDEX('SYFAFE psgr'!$B$6:$H$6,,MATCH($A6,'SYFAFE psgr'!$B$1:$H$1,0))*(1+INDEX(CAGR!$C$58:$C$64,MATCH($A6,CAGR!$B$58:$B$64,0))),0)</f>
        <v>0</v>
      </c>
      <c r="AB6">
        <f>IFERROR(INDEX('SYFAFE psgr'!$B$6:$H$6,,MATCH($A6,'SYFAFE psgr'!$B$1:$H$1,0))*(1+INDEX(CAGR!$C$58:$C$64,MATCH($A6,CAGR!$B$58:$B$64,0))),0)</f>
        <v>0</v>
      </c>
      <c r="AC6">
        <f>IFERROR(INDEX('SYFAFE psgr'!$B$6:$H$6,,MATCH($A6,'SYFAFE psgr'!$B$1:$H$1,0))*(1+INDEX(CAGR!$C$58:$C$64,MATCH($A6,CAGR!$B$58:$B$64,0))),0)</f>
        <v>0</v>
      </c>
      <c r="AD6">
        <f>IFERROR(INDEX('SYFAFE psgr'!$B$6:$H$6,,MATCH($A6,'SYFAFE psgr'!$B$1:$H$1,0))*(1+INDEX(CAGR!$C$58:$C$64,MATCH($A6,CAGR!$B$58:$B$64,0))),0)</f>
        <v>0</v>
      </c>
      <c r="AE6">
        <f>IFERROR(INDEX('SYFAFE psgr'!$B$6:$H$6,,MATCH($A6,'SYFAFE psgr'!$B$1:$H$1,0))*(1+INDEX(CAGR!$C$58:$C$64,MATCH($A6,CAGR!$B$58:$B$64,0))),0)</f>
        <v>0</v>
      </c>
      <c r="AF6">
        <f>IFERROR(INDEX('SYFAFE psgr'!$B$6:$H$6,,MATCH($A6,'SYFAFE psgr'!$B$1:$H$1,0))*(1+INDEX(CAGR!$C$58:$C$64,MATCH($A6,CAGR!$B$58:$B$64,0))),0)</f>
        <v>0</v>
      </c>
    </row>
    <row r="7" spans="1:32">
      <c r="A7" s="1" t="s">
        <v>14</v>
      </c>
      <c r="B7">
        <f>IFERROR(INDEX('SYFAFE psgr'!$B$6:$H$6,,MATCH($A7,'SYFAFE psgr'!$B$1:$H$1,0))*(1+INDEX(CAGR!$C$58:$C$64,MATCH($A7,CAGR!$B$58:$B$64,0))),0)</f>
        <v>0</v>
      </c>
      <c r="C7">
        <f>IFERROR(INDEX('SYFAFE psgr'!$B$6:$H$6,,MATCH($A7,'SYFAFE psgr'!$B$1:$H$1,0))*(1+INDEX(CAGR!$C$58:$C$64,MATCH($A7,CAGR!$B$58:$B$64,0))),0)</f>
        <v>0</v>
      </c>
      <c r="D7">
        <f>IFERROR(INDEX('SYFAFE psgr'!$B$6:$H$6,,MATCH($A7,'SYFAFE psgr'!$B$1:$H$1,0))*(1+INDEX(CAGR!$C$58:$C$64,MATCH($A7,CAGR!$B$58:$B$64,0))),0)</f>
        <v>0</v>
      </c>
      <c r="E7">
        <f>IFERROR(INDEX('SYFAFE psgr'!$B$6:$H$6,,MATCH($A7,'SYFAFE psgr'!$B$1:$H$1,0))*(1+INDEX(CAGR!$C$58:$C$64,MATCH($A7,CAGR!$B$58:$B$64,0))),0)</f>
        <v>0</v>
      </c>
      <c r="F7">
        <f>IFERROR(INDEX('SYFAFE psgr'!$B$6:$H$6,,MATCH($A7,'SYFAFE psgr'!$B$1:$H$1,0))*(1+INDEX(CAGR!$C$58:$C$64,MATCH($A7,CAGR!$B$58:$B$64,0))),0)</f>
        <v>0</v>
      </c>
      <c r="G7">
        <f>IFERROR(INDEX('SYFAFE psgr'!$B$6:$H$6,,MATCH($A7,'SYFAFE psgr'!$B$1:$H$1,0))*(1+INDEX(CAGR!$C$58:$C$64,MATCH($A7,CAGR!$B$58:$B$64,0))),0)</f>
        <v>0</v>
      </c>
      <c r="H7">
        <f>IFERROR(INDEX('SYFAFE psgr'!$B$6:$H$6,,MATCH($A7,'SYFAFE psgr'!$B$1:$H$1,0))*(1+INDEX(CAGR!$C$58:$C$64,MATCH($A7,CAGR!$B$58:$B$64,0))),0)</f>
        <v>0</v>
      </c>
      <c r="I7">
        <f>IFERROR(INDEX('SYFAFE psgr'!$B$6:$H$6,,MATCH($A7,'SYFAFE psgr'!$B$1:$H$1,0))*(1+INDEX(CAGR!$C$58:$C$64,MATCH($A7,CAGR!$B$58:$B$64,0))),0)</f>
        <v>0</v>
      </c>
      <c r="J7">
        <f>IFERROR(INDEX('SYFAFE psgr'!$B$6:$H$6,,MATCH($A7,'SYFAFE psgr'!$B$1:$H$1,0))*(1+INDEX(CAGR!$C$58:$C$64,MATCH($A7,CAGR!$B$58:$B$64,0))),0)</f>
        <v>0</v>
      </c>
      <c r="K7">
        <f>IFERROR(INDEX('SYFAFE psgr'!$B$6:$H$6,,MATCH($A7,'SYFAFE psgr'!$B$1:$H$1,0))*(1+INDEX(CAGR!$C$58:$C$64,MATCH($A7,CAGR!$B$58:$B$64,0))),0)</f>
        <v>0</v>
      </c>
      <c r="L7">
        <f>IFERROR(INDEX('SYFAFE psgr'!$B$6:$H$6,,MATCH($A7,'SYFAFE psgr'!$B$1:$H$1,0))*(1+INDEX(CAGR!$C$58:$C$64,MATCH($A7,CAGR!$B$58:$B$64,0))),0)</f>
        <v>0</v>
      </c>
      <c r="M7">
        <f>IFERROR(INDEX('SYFAFE psgr'!$B$6:$H$6,,MATCH($A7,'SYFAFE psgr'!$B$1:$H$1,0))*(1+INDEX(CAGR!$C$58:$C$64,MATCH($A7,CAGR!$B$58:$B$64,0))),0)</f>
        <v>0</v>
      </c>
      <c r="N7">
        <f>IFERROR(INDEX('SYFAFE psgr'!$B$6:$H$6,,MATCH($A7,'SYFAFE psgr'!$B$1:$H$1,0))*(1+INDEX(CAGR!$C$58:$C$64,MATCH($A7,CAGR!$B$58:$B$64,0))),0)</f>
        <v>0</v>
      </c>
      <c r="O7">
        <f>IFERROR(INDEX('SYFAFE psgr'!$B$6:$H$6,,MATCH($A7,'SYFAFE psgr'!$B$1:$H$1,0))*(1+INDEX(CAGR!$C$58:$C$64,MATCH($A7,CAGR!$B$58:$B$64,0))),0)</f>
        <v>0</v>
      </c>
      <c r="P7">
        <f>IFERROR(INDEX('SYFAFE psgr'!$B$6:$H$6,,MATCH($A7,'SYFAFE psgr'!$B$1:$H$1,0))*(1+INDEX(CAGR!$C$58:$C$64,MATCH($A7,CAGR!$B$58:$B$64,0))),0)</f>
        <v>0</v>
      </c>
      <c r="Q7">
        <f>IFERROR(INDEX('SYFAFE psgr'!$B$6:$H$6,,MATCH($A7,'SYFAFE psgr'!$B$1:$H$1,0))*(1+INDEX(CAGR!$C$58:$C$64,MATCH($A7,CAGR!$B$58:$B$64,0))),0)</f>
        <v>0</v>
      </c>
      <c r="R7">
        <f>IFERROR(INDEX('SYFAFE psgr'!$B$6:$H$6,,MATCH($A7,'SYFAFE psgr'!$B$1:$H$1,0))*(1+INDEX(CAGR!$C$58:$C$64,MATCH($A7,CAGR!$B$58:$B$64,0))),0)</f>
        <v>0</v>
      </c>
      <c r="S7">
        <f>IFERROR(INDEX('SYFAFE psgr'!$B$6:$H$6,,MATCH($A7,'SYFAFE psgr'!$B$1:$H$1,0))*(1+INDEX(CAGR!$C$58:$C$64,MATCH($A7,CAGR!$B$58:$B$64,0))),0)</f>
        <v>0</v>
      </c>
      <c r="T7">
        <f>IFERROR(INDEX('SYFAFE psgr'!$B$6:$H$6,,MATCH($A7,'SYFAFE psgr'!$B$1:$H$1,0))*(1+INDEX(CAGR!$C$58:$C$64,MATCH($A7,CAGR!$B$58:$B$64,0))),0)</f>
        <v>0</v>
      </c>
      <c r="U7">
        <f>IFERROR(INDEX('SYFAFE psgr'!$B$6:$H$6,,MATCH($A7,'SYFAFE psgr'!$B$1:$H$1,0))*(1+INDEX(CAGR!$C$58:$C$64,MATCH($A7,CAGR!$B$58:$B$64,0))),0)</f>
        <v>0</v>
      </c>
      <c r="V7">
        <f>IFERROR(INDEX('SYFAFE psgr'!$B$6:$H$6,,MATCH($A7,'SYFAFE psgr'!$B$1:$H$1,0))*(1+INDEX(CAGR!$C$58:$C$64,MATCH($A7,CAGR!$B$58:$B$64,0))),0)</f>
        <v>0</v>
      </c>
      <c r="W7">
        <f>IFERROR(INDEX('SYFAFE psgr'!$B$6:$H$6,,MATCH($A7,'SYFAFE psgr'!$B$1:$H$1,0))*(1+INDEX(CAGR!$C$58:$C$64,MATCH($A7,CAGR!$B$58:$B$64,0))),0)</f>
        <v>0</v>
      </c>
      <c r="X7">
        <f>IFERROR(INDEX('SYFAFE psgr'!$B$6:$H$6,,MATCH($A7,'SYFAFE psgr'!$B$1:$H$1,0))*(1+INDEX(CAGR!$C$58:$C$64,MATCH($A7,CAGR!$B$58:$B$64,0))),0)</f>
        <v>0</v>
      </c>
      <c r="Y7">
        <f>IFERROR(INDEX('SYFAFE psgr'!$B$6:$H$6,,MATCH($A7,'SYFAFE psgr'!$B$1:$H$1,0))*(1+INDEX(CAGR!$C$58:$C$64,MATCH($A7,CAGR!$B$58:$B$64,0))),0)</f>
        <v>0</v>
      </c>
      <c r="Z7">
        <f>IFERROR(INDEX('SYFAFE psgr'!$B$6:$H$6,,MATCH($A7,'SYFAFE psgr'!$B$1:$H$1,0))*(1+INDEX(CAGR!$C$58:$C$64,MATCH($A7,CAGR!$B$58:$B$64,0))),0)</f>
        <v>0</v>
      </c>
      <c r="AA7">
        <f>IFERROR(INDEX('SYFAFE psgr'!$B$6:$H$6,,MATCH($A7,'SYFAFE psgr'!$B$1:$H$1,0))*(1+INDEX(CAGR!$C$58:$C$64,MATCH($A7,CAGR!$B$58:$B$64,0))),0)</f>
        <v>0</v>
      </c>
      <c r="AB7">
        <f>IFERROR(INDEX('SYFAFE psgr'!$B$6:$H$6,,MATCH($A7,'SYFAFE psgr'!$B$1:$H$1,0))*(1+INDEX(CAGR!$C$58:$C$64,MATCH($A7,CAGR!$B$58:$B$64,0))),0)</f>
        <v>0</v>
      </c>
      <c r="AC7">
        <f>IFERROR(INDEX('SYFAFE psgr'!$B$6:$H$6,,MATCH($A7,'SYFAFE psgr'!$B$1:$H$1,0))*(1+INDEX(CAGR!$C$58:$C$64,MATCH($A7,CAGR!$B$58:$B$64,0))),0)</f>
        <v>0</v>
      </c>
      <c r="AD7">
        <f>IFERROR(INDEX('SYFAFE psgr'!$B$6:$H$6,,MATCH($A7,'SYFAFE psgr'!$B$1:$H$1,0))*(1+INDEX(CAGR!$C$58:$C$64,MATCH($A7,CAGR!$B$58:$B$64,0))),0)</f>
        <v>0</v>
      </c>
      <c r="AE7">
        <f>IFERROR(INDEX('SYFAFE psgr'!$B$6:$H$6,,MATCH($A7,'SYFAFE psgr'!$B$1:$H$1,0))*(1+INDEX(CAGR!$C$58:$C$64,MATCH($A7,CAGR!$B$58:$B$64,0))),0)</f>
        <v>0</v>
      </c>
      <c r="AF7">
        <f>IFERROR(INDEX('SYFAFE psgr'!$B$6:$H$6,,MATCH($A7,'SYFAFE psgr'!$B$1:$H$1,0))*(1+INDEX(CAGR!$C$58:$C$64,MATCH($A7,CAGR!$B$58:$B$64,0))),0)</f>
        <v>0</v>
      </c>
    </row>
    <row r="8" spans="1:32">
      <c r="A8" s="1" t="s">
        <v>15</v>
      </c>
      <c r="B8" s="13">
        <f>B5*Calibration!D43</f>
        <v>1.2534599999999998E-2</v>
      </c>
      <c r="C8" s="13">
        <f>B8*(1+CAGR!$C$64)</f>
        <v>1.2534599999999998E-2</v>
      </c>
      <c r="D8" s="13">
        <f>C8*(1+CAGR!$C$64)</f>
        <v>1.2534599999999998E-2</v>
      </c>
      <c r="E8" s="13">
        <f>D8*(1+CAGR!$C$64)</f>
        <v>1.2534599999999998E-2</v>
      </c>
      <c r="F8" s="13">
        <f>E8*(1+CAGR!$C$64)</f>
        <v>1.2534599999999998E-2</v>
      </c>
      <c r="G8" s="13">
        <f>F8*(1+CAGR!$C$64)</f>
        <v>1.2534599999999998E-2</v>
      </c>
      <c r="H8" s="13">
        <f>G8*(1+CAGR!$C$64)</f>
        <v>1.2534599999999998E-2</v>
      </c>
      <c r="I8" s="13">
        <f>H8*(1+CAGR!$C$64)</f>
        <v>1.2534599999999998E-2</v>
      </c>
      <c r="J8" s="13">
        <f>I8*(1+CAGR!$C$64)</f>
        <v>1.2534599999999998E-2</v>
      </c>
      <c r="K8" s="13">
        <f>J8*(1+CAGR!$C$64)</f>
        <v>1.2534599999999998E-2</v>
      </c>
      <c r="L8" s="13">
        <f>K8*(1+CAGR!$C$64)</f>
        <v>1.2534599999999998E-2</v>
      </c>
      <c r="M8" s="13">
        <f>L8*(1+CAGR!$C$64)</f>
        <v>1.2534599999999998E-2</v>
      </c>
      <c r="N8" s="13">
        <f>M8*(1+CAGR!$C$64)</f>
        <v>1.2534599999999998E-2</v>
      </c>
      <c r="O8" s="13">
        <f>N8*(1+CAGR!$C$64)</f>
        <v>1.2534599999999998E-2</v>
      </c>
      <c r="P8" s="13">
        <f>O8*(1+CAGR!$C$64)</f>
        <v>1.2534599999999998E-2</v>
      </c>
      <c r="Q8" s="13">
        <f>P8*(1+CAGR!$C$64)</f>
        <v>1.2534599999999998E-2</v>
      </c>
      <c r="R8" s="13">
        <f>Q8*(1+CAGR!$C$64)</f>
        <v>1.2534599999999998E-2</v>
      </c>
      <c r="S8" s="13">
        <f>R8*(1+CAGR!$C$64)</f>
        <v>1.2534599999999998E-2</v>
      </c>
      <c r="T8" s="13">
        <f>S8*(1+CAGR!$C$64)</f>
        <v>1.2534599999999998E-2</v>
      </c>
      <c r="U8" s="13">
        <f>T8*(1+CAGR!$C$64)</f>
        <v>1.2534599999999998E-2</v>
      </c>
      <c r="V8" s="13">
        <f>U8*(1+CAGR!$C$64)</f>
        <v>1.2534599999999998E-2</v>
      </c>
      <c r="W8" s="13">
        <f>V8*(1+CAGR!$C$64)</f>
        <v>1.2534599999999998E-2</v>
      </c>
      <c r="X8" s="13">
        <f>W8*(1+CAGR!$C$64)</f>
        <v>1.2534599999999998E-2</v>
      </c>
      <c r="Y8" s="13">
        <f>X8*(1+CAGR!$C$64)</f>
        <v>1.2534599999999998E-2</v>
      </c>
      <c r="Z8" s="13">
        <f>Y8*(1+CAGR!$C$64)</f>
        <v>1.2534599999999998E-2</v>
      </c>
      <c r="AA8" s="13">
        <f>Z8*(1+CAGR!$C$64)</f>
        <v>1.2534599999999998E-2</v>
      </c>
      <c r="AB8" s="13">
        <f>AA8*(1+CAGR!$C$64)</f>
        <v>1.2534599999999998E-2</v>
      </c>
      <c r="AC8" s="13">
        <f>AB8*(1+CAGR!$C$64)</f>
        <v>1.2534599999999998E-2</v>
      </c>
      <c r="AD8" s="13">
        <f>AC8*(1+CAGR!$C$64)</f>
        <v>1.2534599999999998E-2</v>
      </c>
      <c r="AE8" s="13">
        <f>AD8*(1+CAGR!$C$64)</f>
        <v>1.2534599999999998E-2</v>
      </c>
      <c r="AF8" s="13">
        <f>AE8*(1+CAGR!$C$64)</f>
        <v>1.2534599999999998E-2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12DF-67C7-4533-9DF8-C884909DBE9D}">
  <sheetPr>
    <tabColor rgb="FF1F497D"/>
  </sheetPr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B5*Calibration!$B$44</f>
        <v>1.5613951930355792E-2</v>
      </c>
      <c r="C2" s="13">
        <f>B2*(1+CAGR!$C$65)</f>
        <v>1.5613951930355792E-2</v>
      </c>
      <c r="D2" s="13">
        <f>C2*(1+CAGR!$C$65)</f>
        <v>1.5613951930355792E-2</v>
      </c>
      <c r="E2" s="13">
        <f>D2*(1+CAGR!$C$65)</f>
        <v>1.5613951930355792E-2</v>
      </c>
      <c r="F2" s="13">
        <f>E2*(1+CAGR!$C$65)</f>
        <v>1.5613951930355792E-2</v>
      </c>
      <c r="G2" s="13">
        <f>F2*(1+CAGR!$C$65)</f>
        <v>1.5613951930355792E-2</v>
      </c>
      <c r="H2" s="13">
        <f>G2*(1+CAGR!$C$65)</f>
        <v>1.5613951930355792E-2</v>
      </c>
      <c r="I2" s="13">
        <f>H2*(1+CAGR!$C$65)</f>
        <v>1.5613951930355792E-2</v>
      </c>
      <c r="J2" s="13">
        <f>I2*(1+CAGR!$C$65)</f>
        <v>1.5613951930355792E-2</v>
      </c>
      <c r="K2" s="13">
        <f>J2*(1+CAGR!$C$65)</f>
        <v>1.5613951930355792E-2</v>
      </c>
      <c r="L2" s="13">
        <f>K2*(1+CAGR!$C$65)</f>
        <v>1.5613951930355792E-2</v>
      </c>
      <c r="M2" s="13">
        <f>L2*(1+CAGR!$C$65)</f>
        <v>1.5613951930355792E-2</v>
      </c>
      <c r="N2" s="13">
        <f>M2*(1+CAGR!$C$65)</f>
        <v>1.5613951930355792E-2</v>
      </c>
      <c r="O2" s="13">
        <f>N2*(1+CAGR!$C$65)</f>
        <v>1.5613951930355792E-2</v>
      </c>
      <c r="P2" s="13">
        <f>O2*(1+CAGR!$C$65)</f>
        <v>1.5613951930355792E-2</v>
      </c>
      <c r="Q2" s="13">
        <f>P2*(1+CAGR!$C$65)</f>
        <v>1.5613951930355792E-2</v>
      </c>
      <c r="R2" s="13">
        <f>Q2*(1+CAGR!$C$65)</f>
        <v>1.5613951930355792E-2</v>
      </c>
      <c r="S2" s="13">
        <f>R2*(1+CAGR!$C$65)</f>
        <v>1.5613951930355792E-2</v>
      </c>
      <c r="T2" s="13">
        <f>S2*(1+CAGR!$C$65)</f>
        <v>1.5613951930355792E-2</v>
      </c>
      <c r="U2" s="13">
        <f>T2*(1+CAGR!$C$65)</f>
        <v>1.5613951930355792E-2</v>
      </c>
      <c r="V2" s="13">
        <f>U2*(1+CAGR!$C$65)</f>
        <v>1.5613951930355792E-2</v>
      </c>
      <c r="W2" s="13">
        <f>V2*(1+CAGR!$C$65)</f>
        <v>1.5613951930355792E-2</v>
      </c>
      <c r="X2" s="13">
        <f>W2*(1+CAGR!$C$65)</f>
        <v>1.5613951930355792E-2</v>
      </c>
      <c r="Y2" s="13">
        <f>X2*(1+CAGR!$C$65)</f>
        <v>1.5613951930355792E-2</v>
      </c>
      <c r="Z2" s="13">
        <f>Y2*(1+CAGR!$C$65)</f>
        <v>1.5613951930355792E-2</v>
      </c>
      <c r="AA2" s="13">
        <f>Z2*(1+CAGR!$C$65)</f>
        <v>1.5613951930355792E-2</v>
      </c>
      <c r="AB2" s="13">
        <f>AA2*(1+CAGR!$C$65)</f>
        <v>1.5613951930355792E-2</v>
      </c>
      <c r="AC2" s="13">
        <f>AB2*(1+CAGR!$C$65)</f>
        <v>1.5613951930355792E-2</v>
      </c>
      <c r="AD2" s="13">
        <f>AC2*(1+CAGR!$C$65)</f>
        <v>1.5613951930355792E-2</v>
      </c>
      <c r="AE2" s="13">
        <f>AD2*(1+CAGR!$C$65)</f>
        <v>1.5613951930355792E-2</v>
      </c>
      <c r="AF2" s="13">
        <f>AE2*(1+CAGR!$C$65)</f>
        <v>1.5613951930355792E-2</v>
      </c>
    </row>
    <row r="3" spans="1:32">
      <c r="A3" s="1" t="s">
        <v>10</v>
      </c>
      <c r="B3">
        <f>IFERROR(INDEX('SYFAFE frgt'!$B$6:$H$6,,MATCH($A3,'SYFAFE frgt'!$B$1:$H$1,0))*(1+INDEX(CAGR!$C$65:$C$71,MATCH($A3,CAGR!$B$65:$B$71,0))),0)</f>
        <v>4.8589000000000002E-3</v>
      </c>
      <c r="C3">
        <f>IFERROR(INDEX('SYFAFE frgt'!$B$6:$H$6,,MATCH($A3,'SYFAFE frgt'!$B$1:$H$1,0))*(1+INDEX(CAGR!$C$51:$C$57,MATCH($A3,CAGR!$B$65:$B$71,0))),0)</f>
        <v>4.8589000000000002E-3</v>
      </c>
      <c r="D3">
        <f>IFERROR(INDEX('SYFAFE frgt'!$B$6:$H$6,,MATCH($A3,'SYFAFE frgt'!$B$1:$H$1,0))*(1+INDEX(CAGR!$C$51:$C$57,MATCH($A3,CAGR!$B$65:$B$71,0))),0)</f>
        <v>4.8589000000000002E-3</v>
      </c>
      <c r="E3">
        <f>IFERROR(INDEX('SYFAFE frgt'!$B$6:$H$6,,MATCH($A3,'SYFAFE frgt'!$B$1:$H$1,0))*(1+INDEX(CAGR!$C$51:$C$57,MATCH($A3,CAGR!$B$65:$B$71,0))),0)</f>
        <v>4.8589000000000002E-3</v>
      </c>
      <c r="F3">
        <f>IFERROR(INDEX('SYFAFE frgt'!$B$6:$H$6,,MATCH($A3,'SYFAFE frgt'!$B$1:$H$1,0))*(1+INDEX(CAGR!$C$51:$C$57,MATCH($A3,CAGR!$B$65:$B$71,0))),0)</f>
        <v>4.8589000000000002E-3</v>
      </c>
      <c r="G3">
        <f>IFERROR(INDEX('SYFAFE frgt'!$B$6:$H$6,,MATCH($A3,'SYFAFE frgt'!$B$1:$H$1,0))*(1+INDEX(CAGR!$C$51:$C$57,MATCH($A3,CAGR!$B$65:$B$71,0))),0)</f>
        <v>4.8589000000000002E-3</v>
      </c>
      <c r="H3">
        <f>IFERROR(INDEX('SYFAFE frgt'!$B$6:$H$6,,MATCH($A3,'SYFAFE frgt'!$B$1:$H$1,0))*(1+INDEX(CAGR!$C$51:$C$57,MATCH($A3,CAGR!$B$65:$B$71,0))),0)</f>
        <v>4.8589000000000002E-3</v>
      </c>
      <c r="I3">
        <f>IFERROR(INDEX('SYFAFE frgt'!$B$6:$H$6,,MATCH($A3,'SYFAFE frgt'!$B$1:$H$1,0))*(1+INDEX(CAGR!$C$51:$C$57,MATCH($A3,CAGR!$B$65:$B$71,0))),0)</f>
        <v>4.8589000000000002E-3</v>
      </c>
      <c r="J3">
        <f>IFERROR(INDEX('SYFAFE frgt'!$B$6:$H$6,,MATCH($A3,'SYFAFE frgt'!$B$1:$H$1,0))*(1+INDEX(CAGR!$C$51:$C$57,MATCH($A3,CAGR!$B$65:$B$71,0))),0)</f>
        <v>4.8589000000000002E-3</v>
      </c>
      <c r="K3">
        <f>IFERROR(INDEX('SYFAFE frgt'!$B$6:$H$6,,MATCH($A3,'SYFAFE frgt'!$B$1:$H$1,0))*(1+INDEX(CAGR!$C$51:$C$57,MATCH($A3,CAGR!$B$65:$B$71,0))),0)</f>
        <v>4.8589000000000002E-3</v>
      </c>
      <c r="L3">
        <f>IFERROR(INDEX('SYFAFE frgt'!$B$6:$H$6,,MATCH($A3,'SYFAFE frgt'!$B$1:$H$1,0))*(1+INDEX(CAGR!$C$51:$C$57,MATCH($A3,CAGR!$B$65:$B$71,0))),0)</f>
        <v>4.8589000000000002E-3</v>
      </c>
      <c r="M3">
        <f>IFERROR(INDEX('SYFAFE frgt'!$B$6:$H$6,,MATCH($A3,'SYFAFE frgt'!$B$1:$H$1,0))*(1+INDEX(CAGR!$C$51:$C$57,MATCH($A3,CAGR!$B$65:$B$71,0))),0)</f>
        <v>4.8589000000000002E-3</v>
      </c>
      <c r="N3">
        <f>IFERROR(INDEX('SYFAFE frgt'!$B$6:$H$6,,MATCH($A3,'SYFAFE frgt'!$B$1:$H$1,0))*(1+INDEX(CAGR!$C$51:$C$57,MATCH($A3,CAGR!$B$65:$B$71,0))),0)</f>
        <v>4.8589000000000002E-3</v>
      </c>
      <c r="O3">
        <f>IFERROR(INDEX('SYFAFE frgt'!$B$6:$H$6,,MATCH($A3,'SYFAFE frgt'!$B$1:$H$1,0))*(1+INDEX(CAGR!$C$51:$C$57,MATCH($A3,CAGR!$B$65:$B$71,0))),0)</f>
        <v>4.8589000000000002E-3</v>
      </c>
      <c r="P3">
        <f>IFERROR(INDEX('SYFAFE frgt'!$B$6:$H$6,,MATCH($A3,'SYFAFE frgt'!$B$1:$H$1,0))*(1+INDEX(CAGR!$C$51:$C$57,MATCH($A3,CAGR!$B$65:$B$71,0))),0)</f>
        <v>4.8589000000000002E-3</v>
      </c>
      <c r="Q3">
        <f>IFERROR(INDEX('SYFAFE frgt'!$B$6:$H$6,,MATCH($A3,'SYFAFE frgt'!$B$1:$H$1,0))*(1+INDEX(CAGR!$C$51:$C$57,MATCH($A3,CAGR!$B$65:$B$71,0))),0)</f>
        <v>4.8589000000000002E-3</v>
      </c>
      <c r="R3">
        <f>IFERROR(INDEX('SYFAFE frgt'!$B$6:$H$6,,MATCH($A3,'SYFAFE frgt'!$B$1:$H$1,0))*(1+INDEX(CAGR!$C$51:$C$57,MATCH($A3,CAGR!$B$65:$B$71,0))),0)</f>
        <v>4.8589000000000002E-3</v>
      </c>
      <c r="S3">
        <f>IFERROR(INDEX('SYFAFE frgt'!$B$6:$H$6,,MATCH($A3,'SYFAFE frgt'!$B$1:$H$1,0))*(1+INDEX(CAGR!$C$51:$C$57,MATCH($A3,CAGR!$B$65:$B$71,0))),0)</f>
        <v>4.8589000000000002E-3</v>
      </c>
      <c r="T3">
        <f>IFERROR(INDEX('SYFAFE frgt'!$B$6:$H$6,,MATCH($A3,'SYFAFE frgt'!$B$1:$H$1,0))*(1+INDEX(CAGR!$C$51:$C$57,MATCH($A3,CAGR!$B$65:$B$71,0))),0)</f>
        <v>4.8589000000000002E-3</v>
      </c>
      <c r="U3">
        <f>IFERROR(INDEX('SYFAFE frgt'!$B$6:$H$6,,MATCH($A3,'SYFAFE frgt'!$B$1:$H$1,0))*(1+INDEX(CAGR!$C$51:$C$57,MATCH($A3,CAGR!$B$65:$B$71,0))),0)</f>
        <v>4.8589000000000002E-3</v>
      </c>
      <c r="V3">
        <f>IFERROR(INDEX('SYFAFE frgt'!$B$6:$H$6,,MATCH($A3,'SYFAFE frgt'!$B$1:$H$1,0))*(1+INDEX(CAGR!$C$51:$C$57,MATCH($A3,CAGR!$B$65:$B$71,0))),0)</f>
        <v>4.8589000000000002E-3</v>
      </c>
      <c r="W3">
        <f>IFERROR(INDEX('SYFAFE frgt'!$B$6:$H$6,,MATCH($A3,'SYFAFE frgt'!$B$1:$H$1,0))*(1+INDEX(CAGR!$C$51:$C$57,MATCH($A3,CAGR!$B$65:$B$71,0))),0)</f>
        <v>4.8589000000000002E-3</v>
      </c>
      <c r="X3">
        <f>IFERROR(INDEX('SYFAFE frgt'!$B$6:$H$6,,MATCH($A3,'SYFAFE frgt'!$B$1:$H$1,0))*(1+INDEX(CAGR!$C$51:$C$57,MATCH($A3,CAGR!$B$65:$B$71,0))),0)</f>
        <v>4.8589000000000002E-3</v>
      </c>
      <c r="Y3">
        <f>IFERROR(INDEX('SYFAFE frgt'!$B$6:$H$6,,MATCH($A3,'SYFAFE frgt'!$B$1:$H$1,0))*(1+INDEX(CAGR!$C$51:$C$57,MATCH($A3,CAGR!$B$65:$B$71,0))),0)</f>
        <v>4.8589000000000002E-3</v>
      </c>
      <c r="Z3">
        <f>IFERROR(INDEX('SYFAFE frgt'!$B$6:$H$6,,MATCH($A3,'SYFAFE frgt'!$B$1:$H$1,0))*(1+INDEX(CAGR!$C$51:$C$57,MATCH($A3,CAGR!$B$65:$B$71,0))),0)</f>
        <v>4.8589000000000002E-3</v>
      </c>
      <c r="AA3">
        <f>IFERROR(INDEX('SYFAFE frgt'!$B$6:$H$6,,MATCH($A3,'SYFAFE frgt'!$B$1:$H$1,0))*(1+INDEX(CAGR!$C$51:$C$57,MATCH($A3,CAGR!$B$65:$B$71,0))),0)</f>
        <v>4.8589000000000002E-3</v>
      </c>
      <c r="AB3">
        <f>IFERROR(INDEX('SYFAFE frgt'!$B$6:$H$6,,MATCH($A3,'SYFAFE frgt'!$B$1:$H$1,0))*(1+INDEX(CAGR!$C$51:$C$57,MATCH($A3,CAGR!$B$65:$B$71,0))),0)</f>
        <v>4.8589000000000002E-3</v>
      </c>
      <c r="AC3">
        <f>IFERROR(INDEX('SYFAFE frgt'!$B$6:$H$6,,MATCH($A3,'SYFAFE frgt'!$B$1:$H$1,0))*(1+INDEX(CAGR!$C$51:$C$57,MATCH($A3,CAGR!$B$65:$B$71,0))),0)</f>
        <v>4.8589000000000002E-3</v>
      </c>
      <c r="AD3">
        <f>IFERROR(INDEX('SYFAFE frgt'!$B$6:$H$6,,MATCH($A3,'SYFAFE frgt'!$B$1:$H$1,0))*(1+INDEX(CAGR!$C$51:$C$57,MATCH($A3,CAGR!$B$65:$B$71,0))),0)</f>
        <v>4.8589000000000002E-3</v>
      </c>
      <c r="AE3">
        <f>IFERROR(INDEX('SYFAFE frgt'!$B$6:$H$6,,MATCH($A3,'SYFAFE frgt'!$B$1:$H$1,0))*(1+INDEX(CAGR!$C$51:$C$57,MATCH($A3,CAGR!$B$65:$B$71,0))),0)</f>
        <v>4.8589000000000002E-3</v>
      </c>
      <c r="AF3">
        <f>IFERROR(INDEX('SYFAFE frgt'!$B$6:$H$6,,MATCH($A3,'SYFAFE frgt'!$B$1:$H$1,0))*(1+INDEX(CAGR!$C$51:$C$57,MATCH($A3,CAGR!$B$65:$B$71,0))),0)</f>
        <v>4.8589000000000002E-3</v>
      </c>
    </row>
    <row r="4" spans="1:32">
      <c r="A4" s="1" t="s">
        <v>11</v>
      </c>
      <c r="B4" s="14">
        <f>IFERROR(INDEX('SYFAFE frgt'!$B$6:$H$6,,MATCH($A4,'SYFAFE frgt'!$B$1:$H$1,0))*(1+INDEX(CAGR!$C$65:$C$71,MATCH($A4,CAGR!$B$65:$B$71,0))),0)</f>
        <v>4.8589000000000002E-3</v>
      </c>
      <c r="C4" s="14">
        <f>IFERROR(B4*(1+INDEX(CAGR!$C$51:$C$57,MATCH($A4,CAGR!$B$65:$B$71,0))),0)</f>
        <v>4.8589000000000002E-3</v>
      </c>
      <c r="D4" s="14">
        <f>IFERROR(C4*(1+INDEX(CAGR!$C$51:$C$57,MATCH($A4,CAGR!$B$65:$B$71,0))),0)</f>
        <v>4.8589000000000002E-3</v>
      </c>
      <c r="E4" s="14">
        <f>IFERROR(D4*(1+INDEX(CAGR!$C$51:$C$57,MATCH($A4,CAGR!$B$65:$B$71,0))),0)</f>
        <v>4.8589000000000002E-3</v>
      </c>
      <c r="F4" s="14">
        <f>IFERROR(E4*(1+INDEX(CAGR!$C$51:$C$57,MATCH($A4,CAGR!$B$65:$B$71,0))),0)</f>
        <v>4.8589000000000002E-3</v>
      </c>
      <c r="G4" s="14">
        <f>IFERROR(F4*(1+INDEX(CAGR!$C$51:$C$57,MATCH($A4,CAGR!$B$65:$B$71,0))),0)</f>
        <v>4.8589000000000002E-3</v>
      </c>
      <c r="H4" s="14">
        <f>IFERROR(G4*(1+INDEX(CAGR!$C$51:$C$57,MATCH($A4,CAGR!$B$65:$B$71,0))),0)</f>
        <v>4.8589000000000002E-3</v>
      </c>
      <c r="I4" s="14">
        <f>IFERROR(H4*(1+INDEX(CAGR!$C$51:$C$57,MATCH($A4,CAGR!$B$65:$B$71,0))),0)</f>
        <v>4.8589000000000002E-3</v>
      </c>
      <c r="J4" s="14">
        <f>IFERROR(I4*(1+INDEX(CAGR!$C$51:$C$57,MATCH($A4,CAGR!$B$65:$B$71,0))),0)</f>
        <v>4.8589000000000002E-3</v>
      </c>
      <c r="K4" s="14">
        <f>IFERROR(J4*(1+INDEX(CAGR!$C$51:$C$57,MATCH($A4,CAGR!$B$65:$B$71,0))),0)</f>
        <v>4.8589000000000002E-3</v>
      </c>
      <c r="L4" s="14">
        <f>IFERROR(K4*(1+INDEX(CAGR!$C$51:$C$57,MATCH($A4,CAGR!$B$65:$B$71,0))),0)</f>
        <v>4.8589000000000002E-3</v>
      </c>
      <c r="M4" s="14">
        <f>IFERROR(L4*(1+INDEX(CAGR!$C$51:$C$57,MATCH($A4,CAGR!$B$65:$B$71,0))),0)</f>
        <v>4.8589000000000002E-3</v>
      </c>
      <c r="N4" s="14">
        <f>IFERROR(M4*(1+INDEX(CAGR!$C$51:$C$57,MATCH($A4,CAGR!$B$65:$B$71,0))),0)</f>
        <v>4.8589000000000002E-3</v>
      </c>
      <c r="O4" s="14">
        <f>IFERROR(N4*(1+INDEX(CAGR!$C$51:$C$57,MATCH($A4,CAGR!$B$65:$B$71,0))),0)</f>
        <v>4.8589000000000002E-3</v>
      </c>
      <c r="P4" s="14">
        <f>IFERROR(O4*(1+INDEX(CAGR!$C$51:$C$57,MATCH($A4,CAGR!$B$65:$B$71,0))),0)</f>
        <v>4.8589000000000002E-3</v>
      </c>
      <c r="Q4" s="14">
        <f>IFERROR(P4*(1+INDEX(CAGR!$C$51:$C$57,MATCH($A4,CAGR!$B$65:$B$71,0))),0)</f>
        <v>4.8589000000000002E-3</v>
      </c>
      <c r="R4" s="14">
        <f>IFERROR(Q4*(1+INDEX(CAGR!$C$51:$C$57,MATCH($A4,CAGR!$B$65:$B$71,0))),0)</f>
        <v>4.8589000000000002E-3</v>
      </c>
      <c r="S4" s="14">
        <f>IFERROR(R4*(1+INDEX(CAGR!$C$51:$C$57,MATCH($A4,CAGR!$B$65:$B$71,0))),0)</f>
        <v>4.8589000000000002E-3</v>
      </c>
      <c r="T4" s="14">
        <f>IFERROR(S4*(1+INDEX(CAGR!$C$51:$C$57,MATCH($A4,CAGR!$B$65:$B$71,0))),0)</f>
        <v>4.8589000000000002E-3</v>
      </c>
      <c r="U4" s="14">
        <f>IFERROR(T4*(1+INDEX(CAGR!$C$51:$C$57,MATCH($A4,CAGR!$B$65:$B$71,0))),0)</f>
        <v>4.8589000000000002E-3</v>
      </c>
      <c r="V4" s="14">
        <f>IFERROR(U4*(1+INDEX(CAGR!$C$51:$C$57,MATCH($A4,CAGR!$B$65:$B$71,0))),0)</f>
        <v>4.8589000000000002E-3</v>
      </c>
      <c r="W4" s="14">
        <f>IFERROR(V4*(1+INDEX(CAGR!$C$51:$C$57,MATCH($A4,CAGR!$B$65:$B$71,0))),0)</f>
        <v>4.8589000000000002E-3</v>
      </c>
      <c r="X4" s="14">
        <f>IFERROR(W4*(1+INDEX(CAGR!$C$51:$C$57,MATCH($A4,CAGR!$B$65:$B$71,0))),0)</f>
        <v>4.8589000000000002E-3</v>
      </c>
      <c r="Y4" s="14">
        <f>IFERROR(X4*(1+INDEX(CAGR!$C$51:$C$57,MATCH($A4,CAGR!$B$65:$B$71,0))),0)</f>
        <v>4.8589000000000002E-3</v>
      </c>
      <c r="Z4" s="14">
        <f>IFERROR(Y4*(1+INDEX(CAGR!$C$51:$C$57,MATCH($A4,CAGR!$B$65:$B$71,0))),0)</f>
        <v>4.8589000000000002E-3</v>
      </c>
      <c r="AA4" s="14">
        <f>IFERROR(Z4*(1+INDEX(CAGR!$C$51:$C$57,MATCH($A4,CAGR!$B$65:$B$71,0))),0)</f>
        <v>4.8589000000000002E-3</v>
      </c>
      <c r="AB4" s="14">
        <f>IFERROR(AA4*(1+INDEX(CAGR!$C$51:$C$57,MATCH($A4,CAGR!$B$65:$B$71,0))),0)</f>
        <v>4.8589000000000002E-3</v>
      </c>
      <c r="AC4" s="14">
        <f>IFERROR(AB4*(1+INDEX(CAGR!$C$51:$C$57,MATCH($A4,CAGR!$B$65:$B$71,0))),0)</f>
        <v>4.8589000000000002E-3</v>
      </c>
      <c r="AD4" s="14">
        <f>IFERROR(AC4*(1+INDEX(CAGR!$C$51:$C$57,MATCH($A4,CAGR!$B$65:$B$71,0))),0)</f>
        <v>4.8589000000000002E-3</v>
      </c>
      <c r="AE4" s="14">
        <f>IFERROR(AD4*(1+INDEX(CAGR!$C$51:$C$57,MATCH($A4,CAGR!$B$65:$B$71,0))),0)</f>
        <v>4.8589000000000002E-3</v>
      </c>
      <c r="AF4" s="14">
        <f>IFERROR(AE4*(1+INDEX(CAGR!$C$51:$C$57,MATCH($A4,CAGR!$B$65:$B$71,0))),0)</f>
        <v>4.8589000000000002E-3</v>
      </c>
    </row>
    <row r="5" spans="1:32">
      <c r="A5" s="1" t="s">
        <v>12</v>
      </c>
      <c r="B5" s="14">
        <f>IFERROR(INDEX('SYFAFE frgt'!$B$6:$H$6,,MATCH($A5,'SYFAFE frgt'!$B$1:$H$1,0))*(1+INDEX(CAGR!$C$65:$C$71,MATCH($A5,CAGR!$B$65:$B$71,0))),0)</f>
        <v>4.8589000000000002E-3</v>
      </c>
      <c r="C5" s="14">
        <f>IFERROR(B5*(1+INDEX(CAGR!$C$51:$C$57,MATCH($A5,CAGR!$B$65:$B$71,0))),0)</f>
        <v>4.8893954176843649E-3</v>
      </c>
      <c r="D5" s="14">
        <f>IFERROR(C5*(1+INDEX(CAGR!$C$51:$C$57,MATCH($A5,CAGR!$B$65:$B$71,0))),0)</f>
        <v>4.9200822306433275E-3</v>
      </c>
      <c r="E5" s="14">
        <f>IFERROR(D5*(1+INDEX(CAGR!$C$51:$C$57,MATCH($A5,CAGR!$B$65:$B$71,0))),0)</f>
        <v>4.950961640111497E-3</v>
      </c>
      <c r="F5" s="14">
        <f>IFERROR(E5*(1+INDEX(CAGR!$C$51:$C$57,MATCH($A5,CAGR!$B$65:$B$71,0))),0)</f>
        <v>4.9820348548626683E-3</v>
      </c>
      <c r="G5" s="14">
        <f>IFERROR(F5*(1+INDEX(CAGR!$C$51:$C$57,MATCH($A5,CAGR!$B$65:$B$71,0))),0)</f>
        <v>5.0133030912571401E-3</v>
      </c>
      <c r="H5" s="14">
        <f>IFERROR(G5*(1+INDEX(CAGR!$C$51:$C$57,MATCH($A5,CAGR!$B$65:$B$71,0))),0)</f>
        <v>5.0447675732893287E-3</v>
      </c>
      <c r="I5" s="14">
        <f>IFERROR(H5*(1+INDEX(CAGR!$C$51:$C$57,MATCH($A5,CAGR!$B$65:$B$71,0))),0)</f>
        <v>5.0764295326356816E-3</v>
      </c>
      <c r="J5" s="14">
        <f>IFERROR(I5*(1+INDEX(CAGR!$C$51:$C$57,MATCH($A5,CAGR!$B$65:$B$71,0))),0)</f>
        <v>5.1082902087028915E-3</v>
      </c>
      <c r="K5" s="14">
        <f>IFERROR(J5*(1+INDEX(CAGR!$C$51:$C$57,MATCH($A5,CAGR!$B$65:$B$71,0))),0)</f>
        <v>5.1403508486764131E-3</v>
      </c>
      <c r="L5" s="14">
        <f>IFERROR(K5*(1+INDEX(CAGR!$C$51:$C$57,MATCH($A5,CAGR!$B$65:$B$71,0))),0)</f>
        <v>5.1726127075692827E-3</v>
      </c>
      <c r="M5" s="14">
        <f>IFERROR(L5*(1+INDEX(CAGR!$C$51:$C$57,MATCH($A5,CAGR!$B$65:$B$71,0))),0)</f>
        <v>5.205077048271247E-3</v>
      </c>
      <c r="N5" s="14">
        <f>IFERROR(M5*(1+INDEX(CAGR!$C$51:$C$57,MATCH($A5,CAGR!$B$65:$B$71,0))),0)</f>
        <v>5.2377451415981996E-3</v>
      </c>
      <c r="O5" s="14">
        <f>IFERROR(N5*(1+INDEX(CAGR!$C$51:$C$57,MATCH($A5,CAGR!$B$65:$B$71,0))),0)</f>
        <v>5.2706182663419246E-3</v>
      </c>
      <c r="P5" s="14">
        <f>IFERROR(O5*(1+INDEX(CAGR!$C$51:$C$57,MATCH($A5,CAGR!$B$65:$B$71,0))),0)</f>
        <v>5.3036977093201577E-3</v>
      </c>
      <c r="Q5" s="14">
        <f>IFERROR(P5*(1+INDEX(CAGR!$C$51:$C$57,MATCH($A5,CAGR!$B$65:$B$71,0))),0)</f>
        <v>5.3369847654269565E-3</v>
      </c>
      <c r="R5" s="14">
        <f>IFERROR(Q5*(1+INDEX(CAGR!$C$51:$C$57,MATCH($A5,CAGR!$B$65:$B$71,0))),0)</f>
        <v>5.3704807376833896E-3</v>
      </c>
      <c r="S5" s="14">
        <f>IFERROR(R5*(1+INDEX(CAGR!$C$51:$C$57,MATCH($A5,CAGR!$B$65:$B$71,0))),0)</f>
        <v>5.4041869372885446E-3</v>
      </c>
      <c r="T5" s="14">
        <f>IFERROR(S5*(1+INDEX(CAGR!$C$51:$C$57,MATCH($A5,CAGR!$B$65:$B$71,0))),0)</f>
        <v>5.4381046836708535E-3</v>
      </c>
      <c r="U5" s="14">
        <f>IFERROR(T5*(1+INDEX(CAGR!$C$51:$C$57,MATCH($A5,CAGR!$B$65:$B$71,0))),0)</f>
        <v>5.4722353045397413E-3</v>
      </c>
      <c r="V5" s="14">
        <f>IFERROR(U5*(1+INDEX(CAGR!$C$51:$C$57,MATCH($A5,CAGR!$B$65:$B$71,0))),0)</f>
        <v>5.506580135937602E-3</v>
      </c>
      <c r="W5" s="14">
        <f>IFERROR(V5*(1+INDEX(CAGR!$C$51:$C$57,MATCH($A5,CAGR!$B$65:$B$71,0))),0)</f>
        <v>5.5411405222920941E-3</v>
      </c>
      <c r="X5" s="14">
        <f>IFERROR(W5*(1+INDEX(CAGR!$C$51:$C$57,MATCH($A5,CAGR!$B$65:$B$71,0))),0)</f>
        <v>5.5759178164687707E-3</v>
      </c>
      <c r="Y5" s="14">
        <f>IFERROR(X5*(1+INDEX(CAGR!$C$51:$C$57,MATCH($A5,CAGR!$B$65:$B$71,0))),0)</f>
        <v>5.6109133798240372E-3</v>
      </c>
      <c r="Z5" s="14">
        <f>IFERROR(Y5*(1+INDEX(CAGR!$C$51:$C$57,MATCH($A5,CAGR!$B$65:$B$71,0))),0)</f>
        <v>5.6461285822584405E-3</v>
      </c>
      <c r="AA5" s="14">
        <f>IFERROR(Z5*(1+INDEX(CAGR!$C$51:$C$57,MATCH($A5,CAGR!$B$65:$B$71,0))),0)</f>
        <v>5.6815648022702945E-3</v>
      </c>
      <c r="AB5" s="14">
        <f>IFERROR(AA5*(1+INDEX(CAGR!$C$51:$C$57,MATCH($A5,CAGR!$B$65:$B$71,0))),0)</f>
        <v>5.7172234270096425E-3</v>
      </c>
      <c r="AC5" s="14">
        <f>IFERROR(AB5*(1+INDEX(CAGR!$C$51:$C$57,MATCH($A5,CAGR!$B$65:$B$71,0))),0)</f>
        <v>5.7531058523325532E-3</v>
      </c>
      <c r="AD5" s="14">
        <f>IFERROR(AC5*(1+INDEX(CAGR!$C$51:$C$57,MATCH($A5,CAGR!$B$65:$B$71,0))),0)</f>
        <v>5.7892134828557672E-3</v>
      </c>
      <c r="AE5" s="14">
        <f>IFERROR(AD5*(1+INDEX(CAGR!$C$51:$C$57,MATCH($A5,CAGR!$B$65:$B$71,0))),0)</f>
        <v>5.8255477320116747E-3</v>
      </c>
      <c r="AF5" s="14">
        <f>IFERROR(AE5*(1+INDEX(CAGR!$C$51:$C$57,MATCH($A5,CAGR!$B$65:$B$71,0))),0)</f>
        <v>5.8621100221036499E-3</v>
      </c>
    </row>
    <row r="6" spans="1:32">
      <c r="A6" s="1" t="s">
        <v>13</v>
      </c>
      <c r="B6">
        <f>IFERROR(INDEX('SYFAFE frgt'!$B$6:$H$6,,MATCH($A6,'SYFAFE frgt'!$B$1:$H$1,0))*(1+INDEX(CAGR!$C$65:$C$71,MATCH($A6,CAGR!$B$65:$B$71,0))),0)</f>
        <v>0</v>
      </c>
      <c r="C6">
        <f>IFERROR(INDEX('SYFAFE frgt'!$B$6:$H$6,,MATCH($A6,'SYFAFE frgt'!$B$1:$H$1,0))*(1+INDEX(CAGR!$C$51:$C$57,MATCH($A6,CAGR!$B$65:$B$71,0))),0)</f>
        <v>0</v>
      </c>
      <c r="D6">
        <f>IFERROR(INDEX('SYFAFE frgt'!$B$6:$H$6,,MATCH($A6,'SYFAFE frgt'!$B$1:$H$1,0))*(1+INDEX(CAGR!$C$51:$C$57,MATCH($A6,CAGR!$B$65:$B$71,0))),0)</f>
        <v>0</v>
      </c>
      <c r="E6">
        <f>IFERROR(INDEX('SYFAFE frgt'!$B$6:$H$6,,MATCH($A6,'SYFAFE frgt'!$B$1:$H$1,0))*(1+INDEX(CAGR!$C$51:$C$57,MATCH($A6,CAGR!$B$65:$B$71,0))),0)</f>
        <v>0</v>
      </c>
      <c r="F6">
        <f>IFERROR(INDEX('SYFAFE frgt'!$B$6:$H$6,,MATCH($A6,'SYFAFE frgt'!$B$1:$H$1,0))*(1+INDEX(CAGR!$C$51:$C$57,MATCH($A6,CAGR!$B$65:$B$71,0))),0)</f>
        <v>0</v>
      </c>
      <c r="G6">
        <f>IFERROR(INDEX('SYFAFE frgt'!$B$6:$H$6,,MATCH($A6,'SYFAFE frgt'!$B$1:$H$1,0))*(1+INDEX(CAGR!$C$51:$C$57,MATCH($A6,CAGR!$B$65:$B$71,0))),0)</f>
        <v>0</v>
      </c>
      <c r="H6">
        <f>IFERROR(INDEX('SYFAFE frgt'!$B$6:$H$6,,MATCH($A6,'SYFAFE frgt'!$B$1:$H$1,0))*(1+INDEX(CAGR!$C$51:$C$57,MATCH($A6,CAGR!$B$65:$B$71,0))),0)</f>
        <v>0</v>
      </c>
      <c r="I6">
        <f>IFERROR(INDEX('SYFAFE frgt'!$B$6:$H$6,,MATCH($A6,'SYFAFE frgt'!$B$1:$H$1,0))*(1+INDEX(CAGR!$C$51:$C$57,MATCH($A6,CAGR!$B$65:$B$71,0))),0)</f>
        <v>0</v>
      </c>
      <c r="J6">
        <f>IFERROR(INDEX('SYFAFE frgt'!$B$6:$H$6,,MATCH($A6,'SYFAFE frgt'!$B$1:$H$1,0))*(1+INDEX(CAGR!$C$51:$C$57,MATCH($A6,CAGR!$B$65:$B$71,0))),0)</f>
        <v>0</v>
      </c>
      <c r="K6">
        <f>IFERROR(INDEX('SYFAFE frgt'!$B$6:$H$6,,MATCH($A6,'SYFAFE frgt'!$B$1:$H$1,0))*(1+INDEX(CAGR!$C$51:$C$57,MATCH($A6,CAGR!$B$65:$B$71,0))),0)</f>
        <v>0</v>
      </c>
      <c r="L6">
        <f>IFERROR(INDEX('SYFAFE frgt'!$B$6:$H$6,,MATCH($A6,'SYFAFE frgt'!$B$1:$H$1,0))*(1+INDEX(CAGR!$C$51:$C$57,MATCH($A6,CAGR!$B$65:$B$71,0))),0)</f>
        <v>0</v>
      </c>
      <c r="M6">
        <f>IFERROR(INDEX('SYFAFE frgt'!$B$6:$H$6,,MATCH($A6,'SYFAFE frgt'!$B$1:$H$1,0))*(1+INDEX(CAGR!$C$51:$C$57,MATCH($A6,CAGR!$B$65:$B$71,0))),0)</f>
        <v>0</v>
      </c>
      <c r="N6">
        <f>IFERROR(INDEX('SYFAFE frgt'!$B$6:$H$6,,MATCH($A6,'SYFAFE frgt'!$B$1:$H$1,0))*(1+INDEX(CAGR!$C$51:$C$57,MATCH($A6,CAGR!$B$65:$B$71,0))),0)</f>
        <v>0</v>
      </c>
      <c r="O6">
        <f>IFERROR(INDEX('SYFAFE frgt'!$B$6:$H$6,,MATCH($A6,'SYFAFE frgt'!$B$1:$H$1,0))*(1+INDEX(CAGR!$C$51:$C$57,MATCH($A6,CAGR!$B$65:$B$71,0))),0)</f>
        <v>0</v>
      </c>
      <c r="P6">
        <f>IFERROR(INDEX('SYFAFE frgt'!$B$6:$H$6,,MATCH($A6,'SYFAFE frgt'!$B$1:$H$1,0))*(1+INDEX(CAGR!$C$51:$C$57,MATCH($A6,CAGR!$B$65:$B$71,0))),0)</f>
        <v>0</v>
      </c>
      <c r="Q6">
        <f>IFERROR(INDEX('SYFAFE frgt'!$B$6:$H$6,,MATCH($A6,'SYFAFE frgt'!$B$1:$H$1,0))*(1+INDEX(CAGR!$C$51:$C$57,MATCH($A6,CAGR!$B$65:$B$71,0))),0)</f>
        <v>0</v>
      </c>
      <c r="R6">
        <f>IFERROR(INDEX('SYFAFE frgt'!$B$6:$H$6,,MATCH($A6,'SYFAFE frgt'!$B$1:$H$1,0))*(1+INDEX(CAGR!$C$51:$C$57,MATCH($A6,CAGR!$B$65:$B$71,0))),0)</f>
        <v>0</v>
      </c>
      <c r="S6">
        <f>IFERROR(INDEX('SYFAFE frgt'!$B$6:$H$6,,MATCH($A6,'SYFAFE frgt'!$B$1:$H$1,0))*(1+INDEX(CAGR!$C$51:$C$57,MATCH($A6,CAGR!$B$65:$B$71,0))),0)</f>
        <v>0</v>
      </c>
      <c r="T6">
        <f>IFERROR(INDEX('SYFAFE frgt'!$B$6:$H$6,,MATCH($A6,'SYFAFE frgt'!$B$1:$H$1,0))*(1+INDEX(CAGR!$C$51:$C$57,MATCH($A6,CAGR!$B$65:$B$71,0))),0)</f>
        <v>0</v>
      </c>
      <c r="U6">
        <f>IFERROR(INDEX('SYFAFE frgt'!$B$6:$H$6,,MATCH($A6,'SYFAFE frgt'!$B$1:$H$1,0))*(1+INDEX(CAGR!$C$51:$C$57,MATCH($A6,CAGR!$B$65:$B$71,0))),0)</f>
        <v>0</v>
      </c>
      <c r="V6">
        <f>IFERROR(INDEX('SYFAFE frgt'!$B$6:$H$6,,MATCH($A6,'SYFAFE frgt'!$B$1:$H$1,0))*(1+INDEX(CAGR!$C$51:$C$57,MATCH($A6,CAGR!$B$65:$B$71,0))),0)</f>
        <v>0</v>
      </c>
      <c r="W6">
        <f>IFERROR(INDEX('SYFAFE frgt'!$B$6:$H$6,,MATCH($A6,'SYFAFE frgt'!$B$1:$H$1,0))*(1+INDEX(CAGR!$C$51:$C$57,MATCH($A6,CAGR!$B$65:$B$71,0))),0)</f>
        <v>0</v>
      </c>
      <c r="X6">
        <f>IFERROR(INDEX('SYFAFE frgt'!$B$6:$H$6,,MATCH($A6,'SYFAFE frgt'!$B$1:$H$1,0))*(1+INDEX(CAGR!$C$51:$C$57,MATCH($A6,CAGR!$B$65:$B$71,0))),0)</f>
        <v>0</v>
      </c>
      <c r="Y6">
        <f>IFERROR(INDEX('SYFAFE frgt'!$B$6:$H$6,,MATCH($A6,'SYFAFE frgt'!$B$1:$H$1,0))*(1+INDEX(CAGR!$C$51:$C$57,MATCH($A6,CAGR!$B$65:$B$71,0))),0)</f>
        <v>0</v>
      </c>
      <c r="Z6">
        <f>IFERROR(INDEX('SYFAFE frgt'!$B$6:$H$6,,MATCH($A6,'SYFAFE frgt'!$B$1:$H$1,0))*(1+INDEX(CAGR!$C$51:$C$57,MATCH($A6,CAGR!$B$65:$B$71,0))),0)</f>
        <v>0</v>
      </c>
      <c r="AA6">
        <f>IFERROR(INDEX('SYFAFE frgt'!$B$6:$H$6,,MATCH($A6,'SYFAFE frgt'!$B$1:$H$1,0))*(1+INDEX(CAGR!$C$51:$C$57,MATCH($A6,CAGR!$B$65:$B$71,0))),0)</f>
        <v>0</v>
      </c>
      <c r="AB6">
        <f>IFERROR(INDEX('SYFAFE frgt'!$B$6:$H$6,,MATCH($A6,'SYFAFE frgt'!$B$1:$H$1,0))*(1+INDEX(CAGR!$C$51:$C$57,MATCH($A6,CAGR!$B$65:$B$71,0))),0)</f>
        <v>0</v>
      </c>
      <c r="AC6">
        <f>IFERROR(INDEX('SYFAFE frgt'!$B$6:$H$6,,MATCH($A6,'SYFAFE frgt'!$B$1:$H$1,0))*(1+INDEX(CAGR!$C$51:$C$57,MATCH($A6,CAGR!$B$65:$B$71,0))),0)</f>
        <v>0</v>
      </c>
      <c r="AD6">
        <f>IFERROR(INDEX('SYFAFE frgt'!$B$6:$H$6,,MATCH($A6,'SYFAFE frgt'!$B$1:$H$1,0))*(1+INDEX(CAGR!$C$51:$C$57,MATCH($A6,CAGR!$B$65:$B$71,0))),0)</f>
        <v>0</v>
      </c>
      <c r="AE6">
        <f>IFERROR(INDEX('SYFAFE frgt'!$B$6:$H$6,,MATCH($A6,'SYFAFE frgt'!$B$1:$H$1,0))*(1+INDEX(CAGR!$C$51:$C$57,MATCH($A6,CAGR!$B$65:$B$71,0))),0)</f>
        <v>0</v>
      </c>
      <c r="AF6">
        <f>IFERROR(INDEX('SYFAFE frgt'!$B$6:$H$6,,MATCH($A6,'SYFAFE frgt'!$B$1:$H$1,0))*(1+INDEX(CAGR!$C$51:$C$57,MATCH($A6,CAGR!$B$65:$B$71,0))),0)</f>
        <v>0</v>
      </c>
    </row>
    <row r="7" spans="1:32">
      <c r="A7" s="1" t="s">
        <v>14</v>
      </c>
      <c r="B7">
        <f>IFERROR(INDEX('SYFAFE frgt'!$B$6:$H$6,,MATCH($A7,'SYFAFE frgt'!$B$1:$H$1,0))*(1+INDEX(CAGR!$C$65:$C$71,MATCH($A7,CAGR!$B$65:$B$71,0))),0)</f>
        <v>0</v>
      </c>
      <c r="C7">
        <f>IFERROR(INDEX('SYFAFE frgt'!$B$6:$H$6,,MATCH($A7,'SYFAFE frgt'!$B$1:$H$1,0))*(1+INDEX(CAGR!$C$51:$C$57,MATCH($A7,CAGR!$B$65:$B$71,0))),0)</f>
        <v>0</v>
      </c>
      <c r="D7">
        <f>IFERROR(INDEX('SYFAFE frgt'!$B$6:$H$6,,MATCH($A7,'SYFAFE frgt'!$B$1:$H$1,0))*(1+INDEX(CAGR!$C$51:$C$57,MATCH($A7,CAGR!$B$65:$B$71,0))),0)</f>
        <v>0</v>
      </c>
      <c r="E7">
        <f>IFERROR(INDEX('SYFAFE frgt'!$B$6:$H$6,,MATCH($A7,'SYFAFE frgt'!$B$1:$H$1,0))*(1+INDEX(CAGR!$C$51:$C$57,MATCH($A7,CAGR!$B$65:$B$71,0))),0)</f>
        <v>0</v>
      </c>
      <c r="F7">
        <f>IFERROR(INDEX('SYFAFE frgt'!$B$6:$H$6,,MATCH($A7,'SYFAFE frgt'!$B$1:$H$1,0))*(1+INDEX(CAGR!$C$51:$C$57,MATCH($A7,CAGR!$B$65:$B$71,0))),0)</f>
        <v>0</v>
      </c>
      <c r="G7">
        <f>IFERROR(INDEX('SYFAFE frgt'!$B$6:$H$6,,MATCH($A7,'SYFAFE frgt'!$B$1:$H$1,0))*(1+INDEX(CAGR!$C$51:$C$57,MATCH($A7,CAGR!$B$65:$B$71,0))),0)</f>
        <v>0</v>
      </c>
      <c r="H7">
        <f>IFERROR(INDEX('SYFAFE frgt'!$B$6:$H$6,,MATCH($A7,'SYFAFE frgt'!$B$1:$H$1,0))*(1+INDEX(CAGR!$C$51:$C$57,MATCH($A7,CAGR!$B$65:$B$71,0))),0)</f>
        <v>0</v>
      </c>
      <c r="I7">
        <f>IFERROR(INDEX('SYFAFE frgt'!$B$6:$H$6,,MATCH($A7,'SYFAFE frgt'!$B$1:$H$1,0))*(1+INDEX(CAGR!$C$51:$C$57,MATCH($A7,CAGR!$B$65:$B$71,0))),0)</f>
        <v>0</v>
      </c>
      <c r="J7">
        <f>IFERROR(INDEX('SYFAFE frgt'!$B$6:$H$6,,MATCH($A7,'SYFAFE frgt'!$B$1:$H$1,0))*(1+INDEX(CAGR!$C$51:$C$57,MATCH($A7,CAGR!$B$65:$B$71,0))),0)</f>
        <v>0</v>
      </c>
      <c r="K7">
        <f>IFERROR(INDEX('SYFAFE frgt'!$B$6:$H$6,,MATCH($A7,'SYFAFE frgt'!$B$1:$H$1,0))*(1+INDEX(CAGR!$C$51:$C$57,MATCH($A7,CAGR!$B$65:$B$71,0))),0)</f>
        <v>0</v>
      </c>
      <c r="L7">
        <f>IFERROR(INDEX('SYFAFE frgt'!$B$6:$H$6,,MATCH($A7,'SYFAFE frgt'!$B$1:$H$1,0))*(1+INDEX(CAGR!$C$51:$C$57,MATCH($A7,CAGR!$B$65:$B$71,0))),0)</f>
        <v>0</v>
      </c>
      <c r="M7">
        <f>IFERROR(INDEX('SYFAFE frgt'!$B$6:$H$6,,MATCH($A7,'SYFAFE frgt'!$B$1:$H$1,0))*(1+INDEX(CAGR!$C$51:$C$57,MATCH($A7,CAGR!$B$65:$B$71,0))),0)</f>
        <v>0</v>
      </c>
      <c r="N7">
        <f>IFERROR(INDEX('SYFAFE frgt'!$B$6:$H$6,,MATCH($A7,'SYFAFE frgt'!$B$1:$H$1,0))*(1+INDEX(CAGR!$C$51:$C$57,MATCH($A7,CAGR!$B$65:$B$71,0))),0)</f>
        <v>0</v>
      </c>
      <c r="O7">
        <f>IFERROR(INDEX('SYFAFE frgt'!$B$6:$H$6,,MATCH($A7,'SYFAFE frgt'!$B$1:$H$1,0))*(1+INDEX(CAGR!$C$51:$C$57,MATCH($A7,CAGR!$B$65:$B$71,0))),0)</f>
        <v>0</v>
      </c>
      <c r="P7">
        <f>IFERROR(INDEX('SYFAFE frgt'!$B$6:$H$6,,MATCH($A7,'SYFAFE frgt'!$B$1:$H$1,0))*(1+INDEX(CAGR!$C$51:$C$57,MATCH($A7,CAGR!$B$65:$B$71,0))),0)</f>
        <v>0</v>
      </c>
      <c r="Q7">
        <f>IFERROR(INDEX('SYFAFE frgt'!$B$6:$H$6,,MATCH($A7,'SYFAFE frgt'!$B$1:$H$1,0))*(1+INDEX(CAGR!$C$51:$C$57,MATCH($A7,CAGR!$B$65:$B$71,0))),0)</f>
        <v>0</v>
      </c>
      <c r="R7">
        <f>IFERROR(INDEX('SYFAFE frgt'!$B$6:$H$6,,MATCH($A7,'SYFAFE frgt'!$B$1:$H$1,0))*(1+INDEX(CAGR!$C$51:$C$57,MATCH($A7,CAGR!$B$65:$B$71,0))),0)</f>
        <v>0</v>
      </c>
      <c r="S7">
        <f>IFERROR(INDEX('SYFAFE frgt'!$B$6:$H$6,,MATCH($A7,'SYFAFE frgt'!$B$1:$H$1,0))*(1+INDEX(CAGR!$C$51:$C$57,MATCH($A7,CAGR!$B$65:$B$71,0))),0)</f>
        <v>0</v>
      </c>
      <c r="T7">
        <f>IFERROR(INDEX('SYFAFE frgt'!$B$6:$H$6,,MATCH($A7,'SYFAFE frgt'!$B$1:$H$1,0))*(1+INDEX(CAGR!$C$51:$C$57,MATCH($A7,CAGR!$B$65:$B$71,0))),0)</f>
        <v>0</v>
      </c>
      <c r="U7">
        <f>IFERROR(INDEX('SYFAFE frgt'!$B$6:$H$6,,MATCH($A7,'SYFAFE frgt'!$B$1:$H$1,0))*(1+INDEX(CAGR!$C$51:$C$57,MATCH($A7,CAGR!$B$65:$B$71,0))),0)</f>
        <v>0</v>
      </c>
      <c r="V7">
        <f>IFERROR(INDEX('SYFAFE frgt'!$B$6:$H$6,,MATCH($A7,'SYFAFE frgt'!$B$1:$H$1,0))*(1+INDEX(CAGR!$C$51:$C$57,MATCH($A7,CAGR!$B$65:$B$71,0))),0)</f>
        <v>0</v>
      </c>
      <c r="W7">
        <f>IFERROR(INDEX('SYFAFE frgt'!$B$6:$H$6,,MATCH($A7,'SYFAFE frgt'!$B$1:$H$1,0))*(1+INDEX(CAGR!$C$51:$C$57,MATCH($A7,CAGR!$B$65:$B$71,0))),0)</f>
        <v>0</v>
      </c>
      <c r="X7">
        <f>IFERROR(INDEX('SYFAFE frgt'!$B$6:$H$6,,MATCH($A7,'SYFAFE frgt'!$B$1:$H$1,0))*(1+INDEX(CAGR!$C$51:$C$57,MATCH($A7,CAGR!$B$65:$B$71,0))),0)</f>
        <v>0</v>
      </c>
      <c r="Y7">
        <f>IFERROR(INDEX('SYFAFE frgt'!$B$6:$H$6,,MATCH($A7,'SYFAFE frgt'!$B$1:$H$1,0))*(1+INDEX(CAGR!$C$51:$C$57,MATCH($A7,CAGR!$B$65:$B$71,0))),0)</f>
        <v>0</v>
      </c>
      <c r="Z7">
        <f>IFERROR(INDEX('SYFAFE frgt'!$B$6:$H$6,,MATCH($A7,'SYFAFE frgt'!$B$1:$H$1,0))*(1+INDEX(CAGR!$C$51:$C$57,MATCH($A7,CAGR!$B$65:$B$71,0))),0)</f>
        <v>0</v>
      </c>
      <c r="AA7">
        <f>IFERROR(INDEX('SYFAFE frgt'!$B$6:$H$6,,MATCH($A7,'SYFAFE frgt'!$B$1:$H$1,0))*(1+INDEX(CAGR!$C$51:$C$57,MATCH($A7,CAGR!$B$65:$B$71,0))),0)</f>
        <v>0</v>
      </c>
      <c r="AB7">
        <f>IFERROR(INDEX('SYFAFE frgt'!$B$6:$H$6,,MATCH($A7,'SYFAFE frgt'!$B$1:$H$1,0))*(1+INDEX(CAGR!$C$51:$C$57,MATCH($A7,CAGR!$B$65:$B$71,0))),0)</f>
        <v>0</v>
      </c>
      <c r="AC7">
        <f>IFERROR(INDEX('SYFAFE frgt'!$B$6:$H$6,,MATCH($A7,'SYFAFE frgt'!$B$1:$H$1,0))*(1+INDEX(CAGR!$C$51:$C$57,MATCH($A7,CAGR!$B$65:$B$71,0))),0)</f>
        <v>0</v>
      </c>
      <c r="AD7">
        <f>IFERROR(INDEX('SYFAFE frgt'!$B$6:$H$6,,MATCH($A7,'SYFAFE frgt'!$B$1:$H$1,0))*(1+INDEX(CAGR!$C$51:$C$57,MATCH($A7,CAGR!$B$65:$B$71,0))),0)</f>
        <v>0</v>
      </c>
      <c r="AE7">
        <f>IFERROR(INDEX('SYFAFE frgt'!$B$6:$H$6,,MATCH($A7,'SYFAFE frgt'!$B$1:$H$1,0))*(1+INDEX(CAGR!$C$51:$C$57,MATCH($A7,CAGR!$B$65:$B$71,0))),0)</f>
        <v>0</v>
      </c>
      <c r="AF7">
        <f>IFERROR(INDEX('SYFAFE frgt'!$B$6:$H$6,,MATCH($A7,'SYFAFE frgt'!$B$1:$H$1,0))*(1+INDEX(CAGR!$C$51:$C$57,MATCH($A7,CAGR!$B$65:$B$71,0))),0)</f>
        <v>0</v>
      </c>
    </row>
    <row r="8" spans="1:32">
      <c r="A8" s="1" t="s">
        <v>15</v>
      </c>
      <c r="B8" s="13">
        <f>B5*Calibration!$D$44</f>
        <v>1.4576699999999998E-2</v>
      </c>
      <c r="C8" s="13">
        <f>B8*(1+CAGR!$C$71)</f>
        <v>1.4576699999999998E-2</v>
      </c>
      <c r="D8" s="13">
        <f>C8*(1+CAGR!$C$71)</f>
        <v>1.4576699999999998E-2</v>
      </c>
      <c r="E8" s="13">
        <f>D8*(1+CAGR!$C$71)</f>
        <v>1.4576699999999998E-2</v>
      </c>
      <c r="F8" s="13">
        <f>E8*(1+CAGR!$C$71)</f>
        <v>1.4576699999999998E-2</v>
      </c>
      <c r="G8" s="13">
        <f>F8*(1+CAGR!$C$71)</f>
        <v>1.4576699999999998E-2</v>
      </c>
      <c r="H8" s="13">
        <f>G8*(1+CAGR!$C$71)</f>
        <v>1.4576699999999998E-2</v>
      </c>
      <c r="I8" s="13">
        <f>H8*(1+CAGR!$C$71)</f>
        <v>1.4576699999999998E-2</v>
      </c>
      <c r="J8" s="13">
        <f>I8*(1+CAGR!$C$71)</f>
        <v>1.4576699999999998E-2</v>
      </c>
      <c r="K8" s="13">
        <f>J8*(1+CAGR!$C$71)</f>
        <v>1.4576699999999998E-2</v>
      </c>
      <c r="L8" s="13">
        <f>K8*(1+CAGR!$C$71)</f>
        <v>1.4576699999999998E-2</v>
      </c>
      <c r="M8" s="13">
        <f>L8*(1+CAGR!$C$71)</f>
        <v>1.4576699999999998E-2</v>
      </c>
      <c r="N8" s="13">
        <f>M8*(1+CAGR!$C$71)</f>
        <v>1.4576699999999998E-2</v>
      </c>
      <c r="O8" s="13">
        <f>N8*(1+CAGR!$C$71)</f>
        <v>1.4576699999999998E-2</v>
      </c>
      <c r="P8" s="13">
        <f>O8*(1+CAGR!$C$71)</f>
        <v>1.4576699999999998E-2</v>
      </c>
      <c r="Q8" s="13">
        <f>P8*(1+CAGR!$C$71)</f>
        <v>1.4576699999999998E-2</v>
      </c>
      <c r="R8" s="13">
        <f>Q8*(1+CAGR!$C$71)</f>
        <v>1.4576699999999998E-2</v>
      </c>
      <c r="S8" s="13">
        <f>R8*(1+CAGR!$C$71)</f>
        <v>1.4576699999999998E-2</v>
      </c>
      <c r="T8" s="13">
        <f>S8*(1+CAGR!$C$71)</f>
        <v>1.4576699999999998E-2</v>
      </c>
      <c r="U8" s="13">
        <f>T8*(1+CAGR!$C$71)</f>
        <v>1.4576699999999998E-2</v>
      </c>
      <c r="V8" s="13">
        <f>U8*(1+CAGR!$C$71)</f>
        <v>1.4576699999999998E-2</v>
      </c>
      <c r="W8" s="13">
        <f>V8*(1+CAGR!$C$71)</f>
        <v>1.4576699999999998E-2</v>
      </c>
      <c r="X8" s="13">
        <f>W8*(1+CAGR!$C$71)</f>
        <v>1.4576699999999998E-2</v>
      </c>
      <c r="Y8" s="13">
        <f>X8*(1+CAGR!$C$71)</f>
        <v>1.4576699999999998E-2</v>
      </c>
      <c r="Z8" s="13">
        <f>Y8*(1+CAGR!$C$71)</f>
        <v>1.4576699999999998E-2</v>
      </c>
      <c r="AA8" s="13">
        <f>Z8*(1+CAGR!$C$71)</f>
        <v>1.4576699999999998E-2</v>
      </c>
      <c r="AB8" s="13">
        <f>AA8*(1+CAGR!$C$71)</f>
        <v>1.4576699999999998E-2</v>
      </c>
      <c r="AC8" s="13">
        <f>AB8*(1+CAGR!$C$71)</f>
        <v>1.4576699999999998E-2</v>
      </c>
      <c r="AD8" s="13">
        <f>AC8*(1+CAGR!$C$71)</f>
        <v>1.4576699999999998E-2</v>
      </c>
      <c r="AE8" s="13">
        <f>AD8*(1+CAGR!$C$71)</f>
        <v>1.4576699999999998E-2</v>
      </c>
      <c r="AF8" s="13">
        <f>AE8*(1+CAGR!$C$71)</f>
        <v>1.4576699999999998E-2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46ACD-ADD5-4C5E-8F52-5577E5CAE016}">
  <sheetPr>
    <tabColor rgb="FF1F497D"/>
  </sheetPr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'SYFAFE psgr'!B7</f>
        <v>1.7952599999999999E-2</v>
      </c>
      <c r="C2" s="13">
        <f>B2</f>
        <v>1.7952599999999999E-2</v>
      </c>
      <c r="D2" s="13">
        <f t="shared" ref="D2:AF8" si="0">C2</f>
        <v>1.7952599999999999E-2</v>
      </c>
      <c r="E2" s="13">
        <f t="shared" si="0"/>
        <v>1.7952599999999999E-2</v>
      </c>
      <c r="F2" s="13">
        <f t="shared" si="0"/>
        <v>1.7952599999999999E-2</v>
      </c>
      <c r="G2" s="13">
        <f t="shared" si="0"/>
        <v>1.7952599999999999E-2</v>
      </c>
      <c r="H2" s="13">
        <f t="shared" si="0"/>
        <v>1.7952599999999999E-2</v>
      </c>
      <c r="I2" s="13">
        <f t="shared" si="0"/>
        <v>1.7952599999999999E-2</v>
      </c>
      <c r="J2" s="13">
        <f t="shared" si="0"/>
        <v>1.7952599999999999E-2</v>
      </c>
      <c r="K2" s="13">
        <f t="shared" si="0"/>
        <v>1.7952599999999999E-2</v>
      </c>
      <c r="L2" s="13">
        <f t="shared" si="0"/>
        <v>1.7952599999999999E-2</v>
      </c>
      <c r="M2" s="13">
        <f t="shared" si="0"/>
        <v>1.7952599999999999E-2</v>
      </c>
      <c r="N2" s="13">
        <f t="shared" si="0"/>
        <v>1.7952599999999999E-2</v>
      </c>
      <c r="O2" s="13">
        <f t="shared" si="0"/>
        <v>1.7952599999999999E-2</v>
      </c>
      <c r="P2" s="13">
        <f t="shared" si="0"/>
        <v>1.7952599999999999E-2</v>
      </c>
      <c r="Q2" s="13">
        <f t="shared" si="0"/>
        <v>1.7952599999999999E-2</v>
      </c>
      <c r="R2" s="13">
        <f t="shared" si="0"/>
        <v>1.7952599999999999E-2</v>
      </c>
      <c r="S2" s="13">
        <f t="shared" si="0"/>
        <v>1.7952599999999999E-2</v>
      </c>
      <c r="T2" s="13">
        <f t="shared" si="0"/>
        <v>1.7952599999999999E-2</v>
      </c>
      <c r="U2" s="13">
        <f t="shared" si="0"/>
        <v>1.7952599999999999E-2</v>
      </c>
      <c r="V2" s="13">
        <f t="shared" si="0"/>
        <v>1.7952599999999999E-2</v>
      </c>
      <c r="W2" s="13">
        <f t="shared" si="0"/>
        <v>1.7952599999999999E-2</v>
      </c>
      <c r="X2" s="13">
        <f t="shared" si="0"/>
        <v>1.7952599999999999E-2</v>
      </c>
      <c r="Y2" s="13">
        <f t="shared" si="0"/>
        <v>1.7952599999999999E-2</v>
      </c>
      <c r="Z2" s="13">
        <f t="shared" si="0"/>
        <v>1.7952599999999999E-2</v>
      </c>
      <c r="AA2" s="13">
        <f t="shared" si="0"/>
        <v>1.7952599999999999E-2</v>
      </c>
      <c r="AB2" s="13">
        <f t="shared" si="0"/>
        <v>1.7952599999999999E-2</v>
      </c>
      <c r="AC2" s="13">
        <f t="shared" si="0"/>
        <v>1.7952599999999999E-2</v>
      </c>
      <c r="AD2" s="13">
        <f t="shared" si="0"/>
        <v>1.7952599999999999E-2</v>
      </c>
      <c r="AE2" s="13">
        <f t="shared" si="0"/>
        <v>1.7952599999999999E-2</v>
      </c>
      <c r="AF2" s="13">
        <f t="shared" si="0"/>
        <v>1.7952599999999999E-2</v>
      </c>
    </row>
    <row r="3" spans="1:32">
      <c r="A3" s="1" t="s">
        <v>10</v>
      </c>
      <c r="B3">
        <v>0</v>
      </c>
      <c r="C3" s="13">
        <f t="shared" ref="C3:R8" si="1">B3</f>
        <v>0</v>
      </c>
      <c r="D3" s="13">
        <f t="shared" si="1"/>
        <v>0</v>
      </c>
      <c r="E3" s="13">
        <f t="shared" si="1"/>
        <v>0</v>
      </c>
      <c r="F3" s="13">
        <f t="shared" si="1"/>
        <v>0</v>
      </c>
      <c r="G3" s="13">
        <f t="shared" si="1"/>
        <v>0</v>
      </c>
      <c r="H3" s="13">
        <f t="shared" si="1"/>
        <v>0</v>
      </c>
      <c r="I3" s="13">
        <f t="shared" si="1"/>
        <v>0</v>
      </c>
      <c r="J3" s="13">
        <f t="shared" si="1"/>
        <v>0</v>
      </c>
      <c r="K3" s="13">
        <f t="shared" si="1"/>
        <v>0</v>
      </c>
      <c r="L3" s="13">
        <f t="shared" si="1"/>
        <v>0</v>
      </c>
      <c r="M3" s="13">
        <f t="shared" si="1"/>
        <v>0</v>
      </c>
      <c r="N3" s="13">
        <f t="shared" si="1"/>
        <v>0</v>
      </c>
      <c r="O3" s="13">
        <f t="shared" si="1"/>
        <v>0</v>
      </c>
      <c r="P3" s="13">
        <f t="shared" si="1"/>
        <v>0</v>
      </c>
      <c r="Q3" s="13">
        <f t="shared" si="1"/>
        <v>0</v>
      </c>
      <c r="R3" s="13">
        <f t="shared" si="1"/>
        <v>0</v>
      </c>
      <c r="S3" s="13">
        <f t="shared" si="0"/>
        <v>0</v>
      </c>
      <c r="T3" s="13">
        <f t="shared" si="0"/>
        <v>0</v>
      </c>
      <c r="U3" s="13">
        <f t="shared" si="0"/>
        <v>0</v>
      </c>
      <c r="V3" s="13">
        <f t="shared" si="0"/>
        <v>0</v>
      </c>
      <c r="W3" s="13">
        <f t="shared" si="0"/>
        <v>0</v>
      </c>
      <c r="X3" s="13">
        <f t="shared" si="0"/>
        <v>0</v>
      </c>
      <c r="Y3" s="13">
        <f t="shared" si="0"/>
        <v>0</v>
      </c>
      <c r="Z3" s="13">
        <f t="shared" si="0"/>
        <v>0</v>
      </c>
      <c r="AA3" s="13">
        <f t="shared" si="0"/>
        <v>0</v>
      </c>
      <c r="AB3" s="13">
        <f t="shared" si="0"/>
        <v>0</v>
      </c>
      <c r="AC3" s="13">
        <f t="shared" si="0"/>
        <v>0</v>
      </c>
      <c r="AD3" s="13">
        <f t="shared" si="0"/>
        <v>0</v>
      </c>
      <c r="AE3" s="13">
        <f t="shared" si="0"/>
        <v>0</v>
      </c>
      <c r="AF3" s="13">
        <f t="shared" si="0"/>
        <v>0</v>
      </c>
    </row>
    <row r="4" spans="1:32">
      <c r="A4" s="1" t="s">
        <v>11</v>
      </c>
      <c r="B4" s="21">
        <f>'SYFAFE psgr'!D7</f>
        <v>5.6379999999999998E-3</v>
      </c>
      <c r="C4" s="13">
        <f t="shared" si="1"/>
        <v>5.6379999999999998E-3</v>
      </c>
      <c r="D4" s="13">
        <f t="shared" si="0"/>
        <v>5.6379999999999998E-3</v>
      </c>
      <c r="E4" s="13">
        <f t="shared" si="0"/>
        <v>5.6379999999999998E-3</v>
      </c>
      <c r="F4" s="13">
        <f t="shared" si="0"/>
        <v>5.6379999999999998E-3</v>
      </c>
      <c r="G4" s="13">
        <f t="shared" si="0"/>
        <v>5.6379999999999998E-3</v>
      </c>
      <c r="H4" s="13">
        <f t="shared" si="0"/>
        <v>5.6379999999999998E-3</v>
      </c>
      <c r="I4" s="13">
        <f t="shared" si="0"/>
        <v>5.6379999999999998E-3</v>
      </c>
      <c r="J4" s="13">
        <f t="shared" si="0"/>
        <v>5.6379999999999998E-3</v>
      </c>
      <c r="K4" s="13">
        <f t="shared" si="0"/>
        <v>5.6379999999999998E-3</v>
      </c>
      <c r="L4" s="13">
        <f t="shared" si="0"/>
        <v>5.6379999999999998E-3</v>
      </c>
      <c r="M4" s="13">
        <f t="shared" si="0"/>
        <v>5.6379999999999998E-3</v>
      </c>
      <c r="N4" s="13">
        <f t="shared" si="0"/>
        <v>5.6379999999999998E-3</v>
      </c>
      <c r="O4" s="13">
        <f t="shared" si="0"/>
        <v>5.6379999999999998E-3</v>
      </c>
      <c r="P4" s="13">
        <f t="shared" si="0"/>
        <v>5.6379999999999998E-3</v>
      </c>
      <c r="Q4" s="13">
        <f t="shared" si="0"/>
        <v>5.6379999999999998E-3</v>
      </c>
      <c r="R4" s="13">
        <f t="shared" si="0"/>
        <v>5.6379999999999998E-3</v>
      </c>
      <c r="S4" s="13">
        <f t="shared" si="0"/>
        <v>5.6379999999999998E-3</v>
      </c>
      <c r="T4" s="13">
        <f t="shared" si="0"/>
        <v>5.6379999999999998E-3</v>
      </c>
      <c r="U4" s="13">
        <f t="shared" si="0"/>
        <v>5.6379999999999998E-3</v>
      </c>
      <c r="V4" s="13">
        <f t="shared" si="0"/>
        <v>5.6379999999999998E-3</v>
      </c>
      <c r="W4" s="13">
        <f t="shared" si="0"/>
        <v>5.6379999999999998E-3</v>
      </c>
      <c r="X4" s="13">
        <f t="shared" si="0"/>
        <v>5.6379999999999998E-3</v>
      </c>
      <c r="Y4" s="13">
        <f t="shared" si="0"/>
        <v>5.6379999999999998E-3</v>
      </c>
      <c r="Z4" s="13">
        <f t="shared" si="0"/>
        <v>5.6379999999999998E-3</v>
      </c>
      <c r="AA4" s="13">
        <f t="shared" si="0"/>
        <v>5.6379999999999998E-3</v>
      </c>
      <c r="AB4" s="13">
        <f t="shared" si="0"/>
        <v>5.6379999999999998E-3</v>
      </c>
      <c r="AC4" s="13">
        <f t="shared" si="0"/>
        <v>5.6379999999999998E-3</v>
      </c>
      <c r="AD4" s="13">
        <f t="shared" si="0"/>
        <v>5.6379999999999998E-3</v>
      </c>
      <c r="AE4" s="13">
        <f t="shared" si="0"/>
        <v>5.6379999999999998E-3</v>
      </c>
      <c r="AF4" s="13">
        <f t="shared" si="0"/>
        <v>5.6379999999999998E-3</v>
      </c>
    </row>
    <row r="5" spans="1:32">
      <c r="A5" s="1" t="s">
        <v>12</v>
      </c>
      <c r="B5">
        <v>0</v>
      </c>
      <c r="C5" s="13">
        <f t="shared" si="1"/>
        <v>0</v>
      </c>
      <c r="D5" s="13">
        <f t="shared" si="0"/>
        <v>0</v>
      </c>
      <c r="E5" s="13">
        <f t="shared" si="0"/>
        <v>0</v>
      </c>
      <c r="F5" s="13">
        <f t="shared" si="0"/>
        <v>0</v>
      </c>
      <c r="G5" s="13">
        <f t="shared" si="0"/>
        <v>0</v>
      </c>
      <c r="H5" s="13">
        <f t="shared" si="0"/>
        <v>0</v>
      </c>
      <c r="I5" s="13">
        <f t="shared" si="0"/>
        <v>0</v>
      </c>
      <c r="J5" s="13">
        <f t="shared" si="0"/>
        <v>0</v>
      </c>
      <c r="K5" s="13">
        <f t="shared" si="0"/>
        <v>0</v>
      </c>
      <c r="L5" s="13">
        <f t="shared" si="0"/>
        <v>0</v>
      </c>
      <c r="M5" s="13">
        <f t="shared" si="0"/>
        <v>0</v>
      </c>
      <c r="N5" s="13">
        <f t="shared" si="0"/>
        <v>0</v>
      </c>
      <c r="O5" s="13">
        <f t="shared" si="0"/>
        <v>0</v>
      </c>
      <c r="P5" s="13">
        <f t="shared" si="0"/>
        <v>0</v>
      </c>
      <c r="Q5" s="13">
        <f t="shared" si="0"/>
        <v>0</v>
      </c>
      <c r="R5" s="13">
        <f t="shared" si="0"/>
        <v>0</v>
      </c>
      <c r="S5" s="13">
        <f t="shared" si="0"/>
        <v>0</v>
      </c>
      <c r="T5" s="13">
        <f t="shared" si="0"/>
        <v>0</v>
      </c>
      <c r="U5" s="13">
        <f t="shared" si="0"/>
        <v>0</v>
      </c>
      <c r="V5" s="13">
        <f t="shared" si="0"/>
        <v>0</v>
      </c>
      <c r="W5" s="13">
        <f t="shared" si="0"/>
        <v>0</v>
      </c>
      <c r="X5" s="13">
        <f t="shared" si="0"/>
        <v>0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>
        <f t="shared" si="0"/>
        <v>0</v>
      </c>
      <c r="AD5" s="13">
        <f t="shared" si="0"/>
        <v>0</v>
      </c>
      <c r="AE5" s="13">
        <f t="shared" si="0"/>
        <v>0</v>
      </c>
      <c r="AF5" s="13">
        <f t="shared" si="0"/>
        <v>0</v>
      </c>
    </row>
    <row r="6" spans="1:32">
      <c r="A6" s="1" t="s">
        <v>13</v>
      </c>
      <c r="B6">
        <v>0</v>
      </c>
      <c r="C6" s="13">
        <f t="shared" si="1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3">
        <f t="shared" si="0"/>
        <v>0</v>
      </c>
      <c r="J6" s="13">
        <f t="shared" si="0"/>
        <v>0</v>
      </c>
      <c r="K6" s="13">
        <f t="shared" si="0"/>
        <v>0</v>
      </c>
      <c r="L6" s="13">
        <f t="shared" si="0"/>
        <v>0</v>
      </c>
      <c r="M6" s="13">
        <f t="shared" si="0"/>
        <v>0</v>
      </c>
      <c r="N6" s="13">
        <f t="shared" si="0"/>
        <v>0</v>
      </c>
      <c r="O6" s="13">
        <f t="shared" si="0"/>
        <v>0</v>
      </c>
      <c r="P6" s="13">
        <f t="shared" si="0"/>
        <v>0</v>
      </c>
      <c r="Q6" s="13">
        <f t="shared" si="0"/>
        <v>0</v>
      </c>
      <c r="R6" s="13">
        <f t="shared" si="0"/>
        <v>0</v>
      </c>
      <c r="S6" s="13">
        <f t="shared" si="0"/>
        <v>0</v>
      </c>
      <c r="T6" s="13">
        <f t="shared" si="0"/>
        <v>0</v>
      </c>
      <c r="U6" s="13">
        <f t="shared" si="0"/>
        <v>0</v>
      </c>
      <c r="V6" s="13">
        <f t="shared" si="0"/>
        <v>0</v>
      </c>
      <c r="W6" s="13">
        <f t="shared" si="0"/>
        <v>0</v>
      </c>
      <c r="X6" s="13">
        <f t="shared" si="0"/>
        <v>0</v>
      </c>
      <c r="Y6" s="13">
        <f t="shared" si="0"/>
        <v>0</v>
      </c>
      <c r="Z6" s="13">
        <f t="shared" si="0"/>
        <v>0</v>
      </c>
      <c r="AA6" s="13">
        <f t="shared" si="0"/>
        <v>0</v>
      </c>
      <c r="AB6" s="13">
        <f t="shared" si="0"/>
        <v>0</v>
      </c>
      <c r="AC6" s="13">
        <f t="shared" si="0"/>
        <v>0</v>
      </c>
      <c r="AD6" s="13">
        <f t="shared" si="0"/>
        <v>0</v>
      </c>
      <c r="AE6" s="13">
        <f t="shared" si="0"/>
        <v>0</v>
      </c>
      <c r="AF6" s="13">
        <f t="shared" si="0"/>
        <v>0</v>
      </c>
    </row>
    <row r="7" spans="1:32">
      <c r="A7" s="1" t="s">
        <v>14</v>
      </c>
      <c r="B7">
        <v>0</v>
      </c>
      <c r="C7" s="13">
        <f t="shared" si="1"/>
        <v>0</v>
      </c>
      <c r="D7" s="13">
        <f t="shared" si="0"/>
        <v>0</v>
      </c>
      <c r="E7" s="13">
        <f t="shared" si="0"/>
        <v>0</v>
      </c>
      <c r="F7" s="13">
        <f t="shared" si="0"/>
        <v>0</v>
      </c>
      <c r="G7" s="13">
        <f t="shared" si="0"/>
        <v>0</v>
      </c>
      <c r="H7" s="13">
        <f t="shared" si="0"/>
        <v>0</v>
      </c>
      <c r="I7" s="13">
        <f t="shared" si="0"/>
        <v>0</v>
      </c>
      <c r="J7" s="13">
        <f t="shared" si="0"/>
        <v>0</v>
      </c>
      <c r="K7" s="13">
        <f t="shared" si="0"/>
        <v>0</v>
      </c>
      <c r="L7" s="13">
        <f t="shared" si="0"/>
        <v>0</v>
      </c>
      <c r="M7" s="13">
        <f t="shared" si="0"/>
        <v>0</v>
      </c>
      <c r="N7" s="13">
        <f t="shared" si="0"/>
        <v>0</v>
      </c>
      <c r="O7" s="13">
        <f t="shared" si="0"/>
        <v>0</v>
      </c>
      <c r="P7" s="13">
        <f t="shared" si="0"/>
        <v>0</v>
      </c>
      <c r="Q7" s="13">
        <f t="shared" si="0"/>
        <v>0</v>
      </c>
      <c r="R7" s="13">
        <f t="shared" si="0"/>
        <v>0</v>
      </c>
      <c r="S7" s="13">
        <f t="shared" si="0"/>
        <v>0</v>
      </c>
      <c r="T7" s="13">
        <f t="shared" si="0"/>
        <v>0</v>
      </c>
      <c r="U7" s="13">
        <f t="shared" si="0"/>
        <v>0</v>
      </c>
      <c r="V7" s="13">
        <f t="shared" si="0"/>
        <v>0</v>
      </c>
      <c r="W7" s="13">
        <f t="shared" si="0"/>
        <v>0</v>
      </c>
      <c r="X7" s="13">
        <f t="shared" si="0"/>
        <v>0</v>
      </c>
      <c r="Y7" s="13">
        <f t="shared" si="0"/>
        <v>0</v>
      </c>
      <c r="Z7" s="13">
        <f t="shared" si="0"/>
        <v>0</v>
      </c>
      <c r="AA7" s="13">
        <f t="shared" si="0"/>
        <v>0</v>
      </c>
      <c r="AB7" s="13">
        <f t="shared" si="0"/>
        <v>0</v>
      </c>
      <c r="AC7" s="13">
        <f t="shared" si="0"/>
        <v>0</v>
      </c>
      <c r="AD7" s="13">
        <f t="shared" si="0"/>
        <v>0</v>
      </c>
      <c r="AE7" s="13">
        <f t="shared" si="0"/>
        <v>0</v>
      </c>
      <c r="AF7" s="13">
        <f t="shared" si="0"/>
        <v>0</v>
      </c>
    </row>
    <row r="8" spans="1:32">
      <c r="A8" s="1" t="s">
        <v>15</v>
      </c>
      <c r="B8">
        <f>'SYFAFE psgr'!H7</f>
        <v>1.6913999999999998E-2</v>
      </c>
      <c r="C8" s="13">
        <f t="shared" si="1"/>
        <v>1.6913999999999998E-2</v>
      </c>
      <c r="D8" s="13">
        <f t="shared" si="0"/>
        <v>1.6913999999999998E-2</v>
      </c>
      <c r="E8" s="13">
        <f t="shared" si="0"/>
        <v>1.6913999999999998E-2</v>
      </c>
      <c r="F8" s="13">
        <f t="shared" si="0"/>
        <v>1.6913999999999998E-2</v>
      </c>
      <c r="G8" s="13">
        <f t="shared" si="0"/>
        <v>1.6913999999999998E-2</v>
      </c>
      <c r="H8" s="13">
        <f t="shared" si="0"/>
        <v>1.6913999999999998E-2</v>
      </c>
      <c r="I8" s="13">
        <f t="shared" si="0"/>
        <v>1.6913999999999998E-2</v>
      </c>
      <c r="J8" s="13">
        <f t="shared" si="0"/>
        <v>1.6913999999999998E-2</v>
      </c>
      <c r="K8" s="13">
        <f t="shared" si="0"/>
        <v>1.6913999999999998E-2</v>
      </c>
      <c r="L8" s="13">
        <f t="shared" si="0"/>
        <v>1.6913999999999998E-2</v>
      </c>
      <c r="M8" s="13">
        <f t="shared" si="0"/>
        <v>1.6913999999999998E-2</v>
      </c>
      <c r="N8" s="13">
        <f t="shared" si="0"/>
        <v>1.6913999999999998E-2</v>
      </c>
      <c r="O8" s="13">
        <f t="shared" si="0"/>
        <v>1.6913999999999998E-2</v>
      </c>
      <c r="P8" s="13">
        <f t="shared" si="0"/>
        <v>1.6913999999999998E-2</v>
      </c>
      <c r="Q8" s="13">
        <f t="shared" si="0"/>
        <v>1.6913999999999998E-2</v>
      </c>
      <c r="R8" s="13">
        <f t="shared" si="0"/>
        <v>1.6913999999999998E-2</v>
      </c>
      <c r="S8" s="13">
        <f t="shared" si="0"/>
        <v>1.6913999999999998E-2</v>
      </c>
      <c r="T8" s="13">
        <f t="shared" si="0"/>
        <v>1.6913999999999998E-2</v>
      </c>
      <c r="U8" s="13">
        <f t="shared" si="0"/>
        <v>1.6913999999999998E-2</v>
      </c>
      <c r="V8" s="13">
        <f t="shared" si="0"/>
        <v>1.6913999999999998E-2</v>
      </c>
      <c r="W8" s="13">
        <f t="shared" si="0"/>
        <v>1.6913999999999998E-2</v>
      </c>
      <c r="X8" s="13">
        <f t="shared" si="0"/>
        <v>1.6913999999999998E-2</v>
      </c>
      <c r="Y8" s="13">
        <f t="shared" si="0"/>
        <v>1.6913999999999998E-2</v>
      </c>
      <c r="Z8" s="13">
        <f t="shared" si="0"/>
        <v>1.6913999999999998E-2</v>
      </c>
      <c r="AA8" s="13">
        <f t="shared" si="0"/>
        <v>1.6913999999999998E-2</v>
      </c>
      <c r="AB8" s="13">
        <f t="shared" si="0"/>
        <v>1.6913999999999998E-2</v>
      </c>
      <c r="AC8" s="13">
        <f t="shared" si="0"/>
        <v>1.6913999999999998E-2</v>
      </c>
      <c r="AD8" s="13">
        <f t="shared" si="0"/>
        <v>1.6913999999999998E-2</v>
      </c>
      <c r="AE8" s="13">
        <f t="shared" si="0"/>
        <v>1.6913999999999998E-2</v>
      </c>
      <c r="AF8" s="13">
        <f t="shared" si="0"/>
        <v>1.6913999999999998E-2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0A9E5-F65D-4793-825C-485F0A205F8F}">
  <sheetPr>
    <tabColor rgb="FF1F497D"/>
  </sheetPr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'SYFAFE frgt'!B7</f>
        <v>0</v>
      </c>
      <c r="C2" s="13">
        <f>B2</f>
        <v>0</v>
      </c>
      <c r="D2" s="13">
        <f t="shared" ref="D2:AF8" si="0">C2</f>
        <v>0</v>
      </c>
      <c r="E2" s="13">
        <f t="shared" si="0"/>
        <v>0</v>
      </c>
      <c r="F2" s="13">
        <f t="shared" si="0"/>
        <v>0</v>
      </c>
      <c r="G2" s="13">
        <f t="shared" si="0"/>
        <v>0</v>
      </c>
      <c r="H2" s="13">
        <f t="shared" si="0"/>
        <v>0</v>
      </c>
      <c r="I2" s="13">
        <f t="shared" si="0"/>
        <v>0</v>
      </c>
      <c r="J2" s="13">
        <f t="shared" si="0"/>
        <v>0</v>
      </c>
      <c r="K2" s="13">
        <f t="shared" si="0"/>
        <v>0</v>
      </c>
      <c r="L2" s="13">
        <f t="shared" si="0"/>
        <v>0</v>
      </c>
      <c r="M2" s="13">
        <f t="shared" si="0"/>
        <v>0</v>
      </c>
      <c r="N2" s="13">
        <f t="shared" si="0"/>
        <v>0</v>
      </c>
      <c r="O2" s="13">
        <f t="shared" si="0"/>
        <v>0</v>
      </c>
      <c r="P2" s="13">
        <f t="shared" si="0"/>
        <v>0</v>
      </c>
      <c r="Q2" s="13">
        <f t="shared" si="0"/>
        <v>0</v>
      </c>
      <c r="R2" s="13">
        <f t="shared" si="0"/>
        <v>0</v>
      </c>
      <c r="S2" s="13">
        <f t="shared" si="0"/>
        <v>0</v>
      </c>
      <c r="T2" s="13">
        <f t="shared" si="0"/>
        <v>0</v>
      </c>
      <c r="U2" s="13">
        <f t="shared" si="0"/>
        <v>0</v>
      </c>
      <c r="V2" s="13">
        <f t="shared" si="0"/>
        <v>0</v>
      </c>
      <c r="W2" s="13">
        <f t="shared" si="0"/>
        <v>0</v>
      </c>
      <c r="X2" s="13">
        <f t="shared" si="0"/>
        <v>0</v>
      </c>
      <c r="Y2" s="13">
        <f t="shared" si="0"/>
        <v>0</v>
      </c>
      <c r="Z2" s="13">
        <f t="shared" si="0"/>
        <v>0</v>
      </c>
      <c r="AA2" s="13">
        <f t="shared" si="0"/>
        <v>0</v>
      </c>
      <c r="AB2" s="13">
        <f t="shared" si="0"/>
        <v>0</v>
      </c>
      <c r="AC2" s="13">
        <f t="shared" si="0"/>
        <v>0</v>
      </c>
      <c r="AD2" s="13">
        <f t="shared" si="0"/>
        <v>0</v>
      </c>
      <c r="AE2" s="13">
        <f t="shared" si="0"/>
        <v>0</v>
      </c>
      <c r="AF2" s="13">
        <f t="shared" si="0"/>
        <v>0</v>
      </c>
    </row>
    <row r="3" spans="1:32">
      <c r="A3" s="1" t="s">
        <v>10</v>
      </c>
      <c r="B3" s="14">
        <f>'BNVFE-motorbikes-psgr'!B3</f>
        <v>0</v>
      </c>
      <c r="C3" s="14">
        <f t="shared" ref="C3:R8" si="1">B3</f>
        <v>0</v>
      </c>
      <c r="D3" s="14">
        <f t="shared" si="1"/>
        <v>0</v>
      </c>
      <c r="E3" s="14">
        <f t="shared" si="1"/>
        <v>0</v>
      </c>
      <c r="F3" s="14">
        <f t="shared" si="1"/>
        <v>0</v>
      </c>
      <c r="G3" s="14">
        <f t="shared" si="1"/>
        <v>0</v>
      </c>
      <c r="H3" s="14">
        <f t="shared" si="1"/>
        <v>0</v>
      </c>
      <c r="I3" s="14">
        <f t="shared" si="1"/>
        <v>0</v>
      </c>
      <c r="J3" s="14">
        <f t="shared" si="1"/>
        <v>0</v>
      </c>
      <c r="K3" s="14">
        <f t="shared" si="1"/>
        <v>0</v>
      </c>
      <c r="L3" s="14">
        <f t="shared" si="1"/>
        <v>0</v>
      </c>
      <c r="M3" s="14">
        <f t="shared" si="1"/>
        <v>0</v>
      </c>
      <c r="N3" s="14">
        <f t="shared" si="1"/>
        <v>0</v>
      </c>
      <c r="O3" s="14">
        <f t="shared" si="1"/>
        <v>0</v>
      </c>
      <c r="P3" s="14">
        <f t="shared" si="1"/>
        <v>0</v>
      </c>
      <c r="Q3" s="14">
        <f t="shared" si="1"/>
        <v>0</v>
      </c>
      <c r="R3" s="14">
        <f t="shared" si="1"/>
        <v>0</v>
      </c>
      <c r="S3" s="14">
        <f t="shared" si="0"/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>
      <c r="A4" s="1" t="s">
        <v>11</v>
      </c>
      <c r="B4" s="21">
        <f>'SYFAFE frgt'!D7</f>
        <v>5.9799999999999997E-5</v>
      </c>
      <c r="C4" s="21">
        <f t="shared" si="1"/>
        <v>5.9799999999999997E-5</v>
      </c>
      <c r="D4" s="21">
        <f t="shared" si="0"/>
        <v>5.9799999999999997E-5</v>
      </c>
      <c r="E4" s="21">
        <f t="shared" si="0"/>
        <v>5.9799999999999997E-5</v>
      </c>
      <c r="F4" s="21">
        <f t="shared" si="0"/>
        <v>5.9799999999999997E-5</v>
      </c>
      <c r="G4" s="21">
        <f t="shared" si="0"/>
        <v>5.9799999999999997E-5</v>
      </c>
      <c r="H4" s="21">
        <f t="shared" si="0"/>
        <v>5.9799999999999997E-5</v>
      </c>
      <c r="I4" s="21">
        <f t="shared" si="0"/>
        <v>5.9799999999999997E-5</v>
      </c>
      <c r="J4" s="21">
        <f t="shared" si="0"/>
        <v>5.9799999999999997E-5</v>
      </c>
      <c r="K4" s="21">
        <f t="shared" si="0"/>
        <v>5.9799999999999997E-5</v>
      </c>
      <c r="L4" s="21">
        <f t="shared" si="0"/>
        <v>5.9799999999999997E-5</v>
      </c>
      <c r="M4" s="21">
        <f t="shared" si="0"/>
        <v>5.9799999999999997E-5</v>
      </c>
      <c r="N4" s="21">
        <f t="shared" si="0"/>
        <v>5.9799999999999997E-5</v>
      </c>
      <c r="O4" s="21">
        <f t="shared" si="0"/>
        <v>5.9799999999999997E-5</v>
      </c>
      <c r="P4" s="21">
        <f t="shared" si="0"/>
        <v>5.9799999999999997E-5</v>
      </c>
      <c r="Q4" s="21">
        <f t="shared" si="0"/>
        <v>5.9799999999999997E-5</v>
      </c>
      <c r="R4" s="21">
        <f t="shared" si="0"/>
        <v>5.9799999999999997E-5</v>
      </c>
      <c r="S4" s="21">
        <f t="shared" si="0"/>
        <v>5.9799999999999997E-5</v>
      </c>
      <c r="T4" s="21">
        <f t="shared" si="0"/>
        <v>5.9799999999999997E-5</v>
      </c>
      <c r="U4" s="21">
        <f t="shared" si="0"/>
        <v>5.9799999999999997E-5</v>
      </c>
      <c r="V4" s="21">
        <f t="shared" si="0"/>
        <v>5.9799999999999997E-5</v>
      </c>
      <c r="W4" s="21">
        <f t="shared" si="0"/>
        <v>5.9799999999999997E-5</v>
      </c>
      <c r="X4" s="21">
        <f t="shared" si="0"/>
        <v>5.9799999999999997E-5</v>
      </c>
      <c r="Y4" s="21">
        <f t="shared" si="0"/>
        <v>5.9799999999999997E-5</v>
      </c>
      <c r="Z4" s="21">
        <f t="shared" si="0"/>
        <v>5.9799999999999997E-5</v>
      </c>
      <c r="AA4" s="21">
        <f t="shared" si="0"/>
        <v>5.9799999999999997E-5</v>
      </c>
      <c r="AB4" s="21">
        <f t="shared" si="0"/>
        <v>5.9799999999999997E-5</v>
      </c>
      <c r="AC4" s="21">
        <f t="shared" si="0"/>
        <v>5.9799999999999997E-5</v>
      </c>
      <c r="AD4" s="21">
        <f t="shared" si="0"/>
        <v>5.9799999999999997E-5</v>
      </c>
      <c r="AE4" s="21">
        <f t="shared" si="0"/>
        <v>5.9799999999999997E-5</v>
      </c>
      <c r="AF4" s="21">
        <f t="shared" si="0"/>
        <v>5.9799999999999997E-5</v>
      </c>
    </row>
    <row r="5" spans="1:32">
      <c r="A5" s="1" t="s">
        <v>12</v>
      </c>
      <c r="B5" s="14">
        <f>'BNVFE-motorbikes-psgr'!B5</f>
        <v>0</v>
      </c>
      <c r="C5" s="14">
        <f t="shared" si="1"/>
        <v>0</v>
      </c>
      <c r="D5" s="14">
        <f t="shared" si="0"/>
        <v>0</v>
      </c>
      <c r="E5" s="14">
        <f t="shared" si="0"/>
        <v>0</v>
      </c>
      <c r="F5" s="14">
        <f t="shared" si="0"/>
        <v>0</v>
      </c>
      <c r="G5" s="14">
        <f t="shared" si="0"/>
        <v>0</v>
      </c>
      <c r="H5" s="14">
        <f t="shared" si="0"/>
        <v>0</v>
      </c>
      <c r="I5" s="14">
        <f t="shared" si="0"/>
        <v>0</v>
      </c>
      <c r="J5" s="14">
        <f t="shared" si="0"/>
        <v>0</v>
      </c>
      <c r="K5" s="14">
        <f t="shared" si="0"/>
        <v>0</v>
      </c>
      <c r="L5" s="14">
        <f t="shared" si="0"/>
        <v>0</v>
      </c>
      <c r="M5" s="14">
        <f t="shared" si="0"/>
        <v>0</v>
      </c>
      <c r="N5" s="14">
        <f t="shared" si="0"/>
        <v>0</v>
      </c>
      <c r="O5" s="14">
        <f t="shared" si="0"/>
        <v>0</v>
      </c>
      <c r="P5" s="14">
        <f t="shared" si="0"/>
        <v>0</v>
      </c>
      <c r="Q5" s="14">
        <f t="shared" si="0"/>
        <v>0</v>
      </c>
      <c r="R5" s="14">
        <f t="shared" si="0"/>
        <v>0</v>
      </c>
      <c r="S5" s="14">
        <f t="shared" si="0"/>
        <v>0</v>
      </c>
      <c r="T5" s="14">
        <f t="shared" si="0"/>
        <v>0</v>
      </c>
      <c r="U5" s="14">
        <f t="shared" si="0"/>
        <v>0</v>
      </c>
      <c r="V5" s="14">
        <f t="shared" si="0"/>
        <v>0</v>
      </c>
      <c r="W5" s="14">
        <f t="shared" si="0"/>
        <v>0</v>
      </c>
      <c r="X5" s="14">
        <f t="shared" si="0"/>
        <v>0</v>
      </c>
      <c r="Y5" s="14">
        <f t="shared" si="0"/>
        <v>0</v>
      </c>
      <c r="Z5" s="14">
        <f t="shared" si="0"/>
        <v>0</v>
      </c>
      <c r="AA5" s="14">
        <f t="shared" si="0"/>
        <v>0</v>
      </c>
      <c r="AB5" s="14">
        <f t="shared" si="0"/>
        <v>0</v>
      </c>
      <c r="AC5" s="14">
        <f t="shared" si="0"/>
        <v>0</v>
      </c>
      <c r="AD5" s="14">
        <f t="shared" si="0"/>
        <v>0</v>
      </c>
      <c r="AE5" s="14">
        <f t="shared" si="0"/>
        <v>0</v>
      </c>
      <c r="AF5" s="14">
        <f t="shared" si="0"/>
        <v>0</v>
      </c>
    </row>
    <row r="6" spans="1:32">
      <c r="A6" s="1" t="s">
        <v>13</v>
      </c>
      <c r="B6" s="14">
        <f>'BNVFE-motorbikes-psgr'!B6</f>
        <v>0</v>
      </c>
      <c r="C6" s="14">
        <f t="shared" si="1"/>
        <v>0</v>
      </c>
      <c r="D6" s="14">
        <f t="shared" si="0"/>
        <v>0</v>
      </c>
      <c r="E6" s="14">
        <f t="shared" si="0"/>
        <v>0</v>
      </c>
      <c r="F6" s="14">
        <f t="shared" si="0"/>
        <v>0</v>
      </c>
      <c r="G6" s="14">
        <f t="shared" si="0"/>
        <v>0</v>
      </c>
      <c r="H6" s="14">
        <f t="shared" si="0"/>
        <v>0</v>
      </c>
      <c r="I6" s="14">
        <f t="shared" si="0"/>
        <v>0</v>
      </c>
      <c r="J6" s="14">
        <f t="shared" si="0"/>
        <v>0</v>
      </c>
      <c r="K6" s="14">
        <f t="shared" si="0"/>
        <v>0</v>
      </c>
      <c r="L6" s="14">
        <f t="shared" si="0"/>
        <v>0</v>
      </c>
      <c r="M6" s="14">
        <f t="shared" si="0"/>
        <v>0</v>
      </c>
      <c r="N6" s="14">
        <f t="shared" si="0"/>
        <v>0</v>
      </c>
      <c r="O6" s="14">
        <f t="shared" si="0"/>
        <v>0</v>
      </c>
      <c r="P6" s="14">
        <f t="shared" si="0"/>
        <v>0</v>
      </c>
      <c r="Q6" s="14">
        <f t="shared" si="0"/>
        <v>0</v>
      </c>
      <c r="R6" s="14">
        <f t="shared" si="0"/>
        <v>0</v>
      </c>
      <c r="S6" s="14">
        <f t="shared" si="0"/>
        <v>0</v>
      </c>
      <c r="T6" s="14">
        <f t="shared" si="0"/>
        <v>0</v>
      </c>
      <c r="U6" s="14">
        <f t="shared" si="0"/>
        <v>0</v>
      </c>
      <c r="V6" s="14">
        <f t="shared" si="0"/>
        <v>0</v>
      </c>
      <c r="W6" s="14">
        <f t="shared" si="0"/>
        <v>0</v>
      </c>
      <c r="X6" s="14">
        <f t="shared" si="0"/>
        <v>0</v>
      </c>
      <c r="Y6" s="14">
        <f t="shared" si="0"/>
        <v>0</v>
      </c>
      <c r="Z6" s="14">
        <f t="shared" si="0"/>
        <v>0</v>
      </c>
      <c r="AA6" s="14">
        <f t="shared" si="0"/>
        <v>0</v>
      </c>
      <c r="AB6" s="14">
        <f t="shared" si="0"/>
        <v>0</v>
      </c>
      <c r="AC6" s="14">
        <f t="shared" si="0"/>
        <v>0</v>
      </c>
      <c r="AD6" s="14">
        <f t="shared" si="0"/>
        <v>0</v>
      </c>
      <c r="AE6" s="14">
        <f t="shared" si="0"/>
        <v>0</v>
      </c>
      <c r="AF6" s="14">
        <f t="shared" si="0"/>
        <v>0</v>
      </c>
    </row>
    <row r="7" spans="1:32">
      <c r="A7" s="1" t="s">
        <v>14</v>
      </c>
      <c r="B7" s="14">
        <f>'BNVFE-motorbikes-psgr'!B7</f>
        <v>0</v>
      </c>
      <c r="C7" s="14">
        <f t="shared" si="1"/>
        <v>0</v>
      </c>
      <c r="D7" s="14">
        <f t="shared" si="0"/>
        <v>0</v>
      </c>
      <c r="E7" s="14">
        <f t="shared" si="0"/>
        <v>0</v>
      </c>
      <c r="F7" s="14">
        <f t="shared" si="0"/>
        <v>0</v>
      </c>
      <c r="G7" s="14">
        <f t="shared" si="0"/>
        <v>0</v>
      </c>
      <c r="H7" s="14">
        <f t="shared" si="0"/>
        <v>0</v>
      </c>
      <c r="I7" s="14">
        <f t="shared" si="0"/>
        <v>0</v>
      </c>
      <c r="J7" s="14">
        <f t="shared" si="0"/>
        <v>0</v>
      </c>
      <c r="K7" s="14">
        <f t="shared" si="0"/>
        <v>0</v>
      </c>
      <c r="L7" s="14">
        <f t="shared" si="0"/>
        <v>0</v>
      </c>
      <c r="M7" s="14">
        <f t="shared" si="0"/>
        <v>0</v>
      </c>
      <c r="N7" s="14">
        <f t="shared" si="0"/>
        <v>0</v>
      </c>
      <c r="O7" s="14">
        <f t="shared" si="0"/>
        <v>0</v>
      </c>
      <c r="P7" s="14">
        <f t="shared" si="0"/>
        <v>0</v>
      </c>
      <c r="Q7" s="14">
        <f t="shared" si="0"/>
        <v>0</v>
      </c>
      <c r="R7" s="14">
        <f t="shared" si="0"/>
        <v>0</v>
      </c>
      <c r="S7" s="14">
        <f t="shared" si="0"/>
        <v>0</v>
      </c>
      <c r="T7" s="14">
        <f t="shared" si="0"/>
        <v>0</v>
      </c>
      <c r="U7" s="14">
        <f t="shared" si="0"/>
        <v>0</v>
      </c>
      <c r="V7" s="14">
        <f t="shared" si="0"/>
        <v>0</v>
      </c>
      <c r="W7" s="14">
        <f t="shared" si="0"/>
        <v>0</v>
      </c>
      <c r="X7" s="14">
        <f t="shared" si="0"/>
        <v>0</v>
      </c>
      <c r="Y7" s="14">
        <f t="shared" si="0"/>
        <v>0</v>
      </c>
      <c r="Z7" s="14">
        <f t="shared" si="0"/>
        <v>0</v>
      </c>
      <c r="AA7" s="14">
        <f t="shared" si="0"/>
        <v>0</v>
      </c>
      <c r="AB7" s="14">
        <f t="shared" si="0"/>
        <v>0</v>
      </c>
      <c r="AC7" s="14">
        <f t="shared" si="0"/>
        <v>0</v>
      </c>
      <c r="AD7" s="14">
        <f t="shared" si="0"/>
        <v>0</v>
      </c>
      <c r="AE7" s="14">
        <f t="shared" si="0"/>
        <v>0</v>
      </c>
      <c r="AF7" s="14">
        <f t="shared" si="0"/>
        <v>0</v>
      </c>
    </row>
    <row r="8" spans="1:32">
      <c r="A8" s="1" t="s">
        <v>15</v>
      </c>
      <c r="B8" s="14">
        <f>'SYFAFE frgt'!H7</f>
        <v>0</v>
      </c>
      <c r="C8" s="14">
        <f t="shared" si="1"/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0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14">
        <f t="shared" si="0"/>
        <v>0</v>
      </c>
      <c r="R8" s="14">
        <f t="shared" si="0"/>
        <v>0</v>
      </c>
      <c r="S8" s="14">
        <f t="shared" si="0"/>
        <v>0</v>
      </c>
      <c r="T8" s="14">
        <f t="shared" si="0"/>
        <v>0</v>
      </c>
      <c r="U8" s="14">
        <f t="shared" si="0"/>
        <v>0</v>
      </c>
      <c r="V8" s="14">
        <f t="shared" si="0"/>
        <v>0</v>
      </c>
      <c r="W8" s="14">
        <f t="shared" si="0"/>
        <v>0</v>
      </c>
      <c r="X8" s="14">
        <f t="shared" si="0"/>
        <v>0</v>
      </c>
      <c r="Y8" s="14">
        <f t="shared" si="0"/>
        <v>0</v>
      </c>
      <c r="Z8" s="14">
        <f t="shared" si="0"/>
        <v>0</v>
      </c>
      <c r="AA8" s="14">
        <f t="shared" si="0"/>
        <v>0</v>
      </c>
      <c r="AB8" s="14">
        <f t="shared" si="0"/>
        <v>0</v>
      </c>
      <c r="AC8" s="14">
        <f t="shared" si="0"/>
        <v>0</v>
      </c>
      <c r="AD8" s="14">
        <f t="shared" si="0"/>
        <v>0</v>
      </c>
      <c r="AE8" s="14">
        <f t="shared" si="0"/>
        <v>0</v>
      </c>
      <c r="AF8" s="14">
        <f t="shared" si="0"/>
        <v>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3097742-8605-4D00-9519-07E7CAC067C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7954CBA-CC49-4137-B897-2F07557F3495}">
  <ds:schemaRefs>
    <ds:schemaRef ds:uri="http://schemas.microsoft.com/office/infopath/2007/PartnerControls"/>
    <ds:schemaRef ds:uri="http://schemas.microsoft.com/office/2006/documentManagement/types"/>
    <ds:schemaRef ds:uri="40f4d404-d193-41dc-bb72-733c1e774208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1E16404-9CDB-444B-B1EF-816DE1AF28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About</vt:lpstr>
      <vt:lpstr>SYFAFE psgr</vt:lpstr>
      <vt:lpstr>SYFAFE frgt</vt:lpstr>
      <vt:lpstr>US-LDVs-psgr</vt:lpstr>
      <vt:lpstr>US-LDVs-frgt</vt:lpstr>
      <vt:lpstr>US-HDVs-psgr</vt:lpstr>
      <vt:lpstr>US-HDVs-frgt</vt:lpstr>
      <vt:lpstr>US-aircraft-psgr</vt:lpstr>
      <vt:lpstr>US-aircraft-frgt</vt:lpstr>
      <vt:lpstr>US-rail-psgr</vt:lpstr>
      <vt:lpstr>US-rail-frgt</vt:lpstr>
      <vt:lpstr>US-ships-psgr</vt:lpstr>
      <vt:lpstr>US-ships-frgt</vt:lpstr>
      <vt:lpstr>US-motorbikes-psgr</vt:lpstr>
      <vt:lpstr>US-motorbikes-frgt</vt:lpstr>
      <vt:lpstr>Calibration</vt:lpstr>
      <vt:lpstr>CAGR</vt:lpstr>
      <vt:lpstr>SK_fuel econ</vt:lpstr>
      <vt:lpstr>Result&gt;&gt;</vt:lpstr>
      <vt:lpstr>BNVFE-LDVs-psgr</vt:lpstr>
      <vt:lpstr>BNVFE-LDVs-frgt</vt:lpstr>
      <vt:lpstr>BNVFE-HDVs-psgr</vt:lpstr>
      <vt:lpstr>BNVFE-HDVs-frgt</vt:lpstr>
      <vt:lpstr>BNVFE-aircraft-psgr</vt:lpstr>
      <vt:lpstr>BNVFE-aircraft-frgt</vt:lpstr>
      <vt:lpstr>BNVFE-rail-psgr</vt:lpstr>
      <vt:lpstr>BNVFE-rail-frgt</vt:lpstr>
      <vt:lpstr>BNVFE-ships-psgr</vt:lpstr>
      <vt:lpstr>BNVFE-ships-frgt</vt:lpstr>
      <vt:lpstr>BNVFE-motorbikes-psgr</vt:lpstr>
      <vt:lpstr>BNVFE-motorbikes-frgt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GyeHyunPark</dc:creator>
  <cp:keywords/>
  <dc:description/>
  <cp:lastModifiedBy>Dan O'Brien</cp:lastModifiedBy>
  <cp:revision/>
  <dcterms:created xsi:type="dcterms:W3CDTF">2022-02-10T07:50:47Z</dcterms:created>
  <dcterms:modified xsi:type="dcterms:W3CDTF">2026-03-20T17:13:18Z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