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trans\BNVFE\"/>
    </mc:Choice>
  </mc:AlternateContent>
  <xr:revisionPtr revIDLastSave="0" documentId="13_ncr:1_{BC0E3A67-6F24-4A2B-9CC4-E71EB2D4552A}" xr6:coauthVersionLast="47" xr6:coauthVersionMax="47" xr10:uidLastSave="{00000000-0000-0000-0000-000000000000}"/>
  <bookViews>
    <workbookView xWindow="-38505" yWindow="-2205" windowWidth="19410" windowHeight="20985" firstSheet="1" activeTab="2" xr2:uid="{D850E225-7E57-43A0-BCF6-AD6641E8498D}"/>
  </bookViews>
  <sheets>
    <sheet name="About" sheetId="1" r:id="rId1"/>
    <sheet name="SYFAFE psgr" sheetId="2" r:id="rId2"/>
    <sheet name="SYFAFE frgt" sheetId="3" r:id="rId3"/>
    <sheet name="US-LDVs-psgr" sheetId="14" r:id="rId4"/>
    <sheet name="US-LDVs-frgt" sheetId="15" r:id="rId5"/>
    <sheet name="US-HDVs-psgr" sheetId="16" r:id="rId6"/>
    <sheet name="US-HDVs-frgt" sheetId="17" r:id="rId7"/>
    <sheet name="US-aircraft-psgr" sheetId="18" r:id="rId8"/>
    <sheet name="US-aircraft-frgt" sheetId="19" r:id="rId9"/>
    <sheet name="US-rail-psgr" sheetId="11" r:id="rId10"/>
    <sheet name="US-rail-frgt" sheetId="10" r:id="rId11"/>
    <sheet name="US-ships-psgr" sheetId="5" r:id="rId12"/>
    <sheet name="US-ships-frgt" sheetId="6" r:id="rId13"/>
    <sheet name="US-motorbikes-psgr" sheetId="20" r:id="rId14"/>
    <sheet name="US-motorbikes-frgt" sheetId="21" r:id="rId15"/>
    <sheet name="Calibration" sheetId="4" r:id="rId16"/>
    <sheet name="CAGR" sheetId="9" r:id="rId17"/>
    <sheet name="SK_fuel econ" sheetId="31" r:id="rId18"/>
    <sheet name="Result&gt;&gt;" sheetId="30" r:id="rId19"/>
    <sheet name="BNVFE-LDVs-psgr" sheetId="23" r:id="rId20"/>
    <sheet name="BNVFE-LDVs-frgt" sheetId="22" r:id="rId21"/>
    <sheet name="BNVFE-HDVs-psgr" sheetId="27" r:id="rId22"/>
    <sheet name="BNVFE-HDVs-frgt" sheetId="28" r:id="rId23"/>
    <sheet name="BNVFE-aircraft-psgr" sheetId="29" r:id="rId24"/>
    <sheet name="BNVFE-aircraft-frgt" sheetId="26" r:id="rId25"/>
    <sheet name="BNVFE-rail-psgr" sheetId="13" r:id="rId26"/>
    <sheet name="BNVFE-rail-frgt" sheetId="12" r:id="rId27"/>
    <sheet name="BNVFE-ships-psgr" sheetId="8" r:id="rId28"/>
    <sheet name="BNVFE-ships-frgt" sheetId="7" r:id="rId29"/>
    <sheet name="BNVFE-motorbikes-psgr" sheetId="24" r:id="rId30"/>
    <sheet name="BNVFE-motorbikes-frgt" sheetId="25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9" l="1"/>
  <c r="C13" i="9"/>
  <c r="C12" i="9"/>
  <c r="C11" i="9"/>
  <c r="C10" i="9"/>
  <c r="C9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8" i="9"/>
  <c r="C7" i="9"/>
  <c r="C6" i="9"/>
  <c r="C5" i="9"/>
  <c r="C4" i="9"/>
  <c r="C3" i="9"/>
  <c r="C2" i="9"/>
  <c r="E40" i="31"/>
  <c r="F40" i="31"/>
  <c r="G40" i="31"/>
  <c r="H40" i="31"/>
  <c r="I40" i="31"/>
  <c r="J40" i="31"/>
  <c r="K40" i="31"/>
  <c r="L40" i="31"/>
  <c r="M40" i="31"/>
  <c r="N40" i="31"/>
  <c r="O40" i="31"/>
  <c r="P40" i="31"/>
  <c r="Q40" i="31"/>
  <c r="R40" i="31"/>
  <c r="S40" i="31"/>
  <c r="T40" i="31"/>
  <c r="U40" i="31"/>
  <c r="V40" i="31"/>
  <c r="W40" i="31"/>
  <c r="X40" i="31"/>
  <c r="Y40" i="31"/>
  <c r="Z40" i="31"/>
  <c r="AA40" i="31"/>
  <c r="AB40" i="31"/>
  <c r="AC40" i="31"/>
  <c r="AD40" i="31"/>
  <c r="AE40" i="31"/>
  <c r="AF40" i="31"/>
  <c r="AG40" i="31"/>
  <c r="D40" i="31"/>
  <c r="C16" i="31" l="1"/>
  <c r="C20" i="31" s="1"/>
  <c r="C24" i="31" s="1"/>
  <c r="C15" i="31"/>
  <c r="C19" i="31" s="1"/>
  <c r="C23" i="31" s="1"/>
  <c r="C26" i="31" s="1"/>
  <c r="B8" i="25" l="1"/>
  <c r="C8" i="25" s="1"/>
  <c r="D8" i="25" s="1"/>
  <c r="E8" i="25" s="1"/>
  <c r="F8" i="25" s="1"/>
  <c r="G8" i="25" s="1"/>
  <c r="H8" i="25" s="1"/>
  <c r="I8" i="25" s="1"/>
  <c r="J8" i="25" s="1"/>
  <c r="K8" i="25" s="1"/>
  <c r="L8" i="25" s="1"/>
  <c r="M8" i="25" s="1"/>
  <c r="N8" i="25" s="1"/>
  <c r="O8" i="25" s="1"/>
  <c r="P8" i="25" s="1"/>
  <c r="Q8" i="25" s="1"/>
  <c r="R8" i="25" s="1"/>
  <c r="S8" i="25" s="1"/>
  <c r="T8" i="25" s="1"/>
  <c r="U8" i="25" s="1"/>
  <c r="V8" i="25" s="1"/>
  <c r="W8" i="25" s="1"/>
  <c r="X8" i="25" s="1"/>
  <c r="Y8" i="25" s="1"/>
  <c r="Z8" i="25" s="1"/>
  <c r="AA8" i="25" s="1"/>
  <c r="AB8" i="25" s="1"/>
  <c r="AC8" i="25" s="1"/>
  <c r="AD8" i="25" s="1"/>
  <c r="AE8" i="25" s="1"/>
  <c r="AF8" i="25" s="1"/>
  <c r="B4" i="25"/>
  <c r="C4" i="25" s="1"/>
  <c r="D4" i="25" s="1"/>
  <c r="E4" i="25" s="1"/>
  <c r="F4" i="25" s="1"/>
  <c r="G4" i="25" s="1"/>
  <c r="H4" i="25" s="1"/>
  <c r="I4" i="25" s="1"/>
  <c r="J4" i="25" s="1"/>
  <c r="K4" i="25" s="1"/>
  <c r="L4" i="25" s="1"/>
  <c r="M4" i="25" s="1"/>
  <c r="N4" i="25" s="1"/>
  <c r="O4" i="25" s="1"/>
  <c r="P4" i="25" s="1"/>
  <c r="Q4" i="25" s="1"/>
  <c r="R4" i="25" s="1"/>
  <c r="S4" i="25" s="1"/>
  <c r="T4" i="25" s="1"/>
  <c r="U4" i="25" s="1"/>
  <c r="V4" i="25" s="1"/>
  <c r="W4" i="25" s="1"/>
  <c r="X4" i="25" s="1"/>
  <c r="Y4" i="25" s="1"/>
  <c r="Z4" i="25" s="1"/>
  <c r="AA4" i="25" s="1"/>
  <c r="AB4" i="25" s="1"/>
  <c r="AC4" i="25" s="1"/>
  <c r="AD4" i="25" s="1"/>
  <c r="AE4" i="25" s="1"/>
  <c r="AF4" i="25" s="1"/>
  <c r="B2" i="25"/>
  <c r="C2" i="25" s="1"/>
  <c r="D2" i="25" s="1"/>
  <c r="E2" i="25" s="1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P2" i="25" s="1"/>
  <c r="Q2" i="25" s="1"/>
  <c r="R2" i="25" s="1"/>
  <c r="S2" i="25" s="1"/>
  <c r="T2" i="25" s="1"/>
  <c r="U2" i="25" s="1"/>
  <c r="V2" i="25" s="1"/>
  <c r="W2" i="25" s="1"/>
  <c r="X2" i="25" s="1"/>
  <c r="Y2" i="25" s="1"/>
  <c r="Z2" i="25" s="1"/>
  <c r="AA2" i="25" s="1"/>
  <c r="AB2" i="25" s="1"/>
  <c r="AC2" i="25" s="1"/>
  <c r="AD2" i="25" s="1"/>
  <c r="AE2" i="25" s="1"/>
  <c r="AF2" i="25" s="1"/>
  <c r="D3" i="24"/>
  <c r="E3" i="24"/>
  <c r="F3" i="24"/>
  <c r="G3" i="24" s="1"/>
  <c r="H3" i="24" s="1"/>
  <c r="I3" i="24" s="1"/>
  <c r="J3" i="24" s="1"/>
  <c r="K3" i="24" s="1"/>
  <c r="L3" i="24" s="1"/>
  <c r="M3" i="24" s="1"/>
  <c r="N3" i="24" s="1"/>
  <c r="O3" i="24" s="1"/>
  <c r="P3" i="24" s="1"/>
  <c r="Q3" i="24" s="1"/>
  <c r="R3" i="24" s="1"/>
  <c r="S3" i="24" s="1"/>
  <c r="T3" i="24" s="1"/>
  <c r="U3" i="24" s="1"/>
  <c r="V3" i="24" s="1"/>
  <c r="W3" i="24" s="1"/>
  <c r="X3" i="24" s="1"/>
  <c r="Y3" i="24" s="1"/>
  <c r="Z3" i="24" s="1"/>
  <c r="AA3" i="24" s="1"/>
  <c r="AB3" i="24" s="1"/>
  <c r="AC3" i="24" s="1"/>
  <c r="AD3" i="24" s="1"/>
  <c r="AE3" i="24" s="1"/>
  <c r="AF3" i="24" s="1"/>
  <c r="D5" i="24"/>
  <c r="E5" i="24" s="1"/>
  <c r="F5" i="24" s="1"/>
  <c r="G5" i="24" s="1"/>
  <c r="H5" i="24" s="1"/>
  <c r="I5" i="24" s="1"/>
  <c r="J5" i="24" s="1"/>
  <c r="K5" i="24" s="1"/>
  <c r="L5" i="24" s="1"/>
  <c r="M5" i="24" s="1"/>
  <c r="N5" i="24" s="1"/>
  <c r="O5" i="24" s="1"/>
  <c r="P5" i="24" s="1"/>
  <c r="Q5" i="24" s="1"/>
  <c r="R5" i="24" s="1"/>
  <c r="S5" i="24" s="1"/>
  <c r="T5" i="24" s="1"/>
  <c r="U5" i="24" s="1"/>
  <c r="V5" i="24" s="1"/>
  <c r="W5" i="24" s="1"/>
  <c r="X5" i="24" s="1"/>
  <c r="Y5" i="24" s="1"/>
  <c r="Z5" i="24" s="1"/>
  <c r="AA5" i="24" s="1"/>
  <c r="AB5" i="24" s="1"/>
  <c r="AC5" i="24" s="1"/>
  <c r="AD5" i="24" s="1"/>
  <c r="AE5" i="24" s="1"/>
  <c r="AF5" i="24" s="1"/>
  <c r="D6" i="24"/>
  <c r="E6" i="24"/>
  <c r="F6" i="24"/>
  <c r="G6" i="24" s="1"/>
  <c r="H6" i="24" s="1"/>
  <c r="I6" i="24" s="1"/>
  <c r="J6" i="24" s="1"/>
  <c r="K6" i="24" s="1"/>
  <c r="L6" i="24" s="1"/>
  <c r="M6" i="24" s="1"/>
  <c r="N6" i="24" s="1"/>
  <c r="O6" i="24" s="1"/>
  <c r="P6" i="24" s="1"/>
  <c r="Q6" i="24" s="1"/>
  <c r="R6" i="24" s="1"/>
  <c r="S6" i="24" s="1"/>
  <c r="T6" i="24" s="1"/>
  <c r="U6" i="24" s="1"/>
  <c r="V6" i="24" s="1"/>
  <c r="W6" i="24" s="1"/>
  <c r="X6" i="24" s="1"/>
  <c r="Y6" i="24" s="1"/>
  <c r="Z6" i="24" s="1"/>
  <c r="AA6" i="24" s="1"/>
  <c r="AB6" i="24" s="1"/>
  <c r="AC6" i="24" s="1"/>
  <c r="AD6" i="24" s="1"/>
  <c r="AE6" i="24" s="1"/>
  <c r="AF6" i="24" s="1"/>
  <c r="C3" i="24"/>
  <c r="C5" i="24"/>
  <c r="C6" i="24"/>
  <c r="C7" i="24"/>
  <c r="D7" i="24" s="1"/>
  <c r="E7" i="24" s="1"/>
  <c r="F7" i="24" s="1"/>
  <c r="G7" i="24" s="1"/>
  <c r="H7" i="24" s="1"/>
  <c r="I7" i="24" s="1"/>
  <c r="J7" i="24" s="1"/>
  <c r="K7" i="24" s="1"/>
  <c r="L7" i="24" s="1"/>
  <c r="M7" i="24" s="1"/>
  <c r="N7" i="24" s="1"/>
  <c r="O7" i="24" s="1"/>
  <c r="P7" i="24" s="1"/>
  <c r="Q7" i="24" s="1"/>
  <c r="R7" i="24" s="1"/>
  <c r="S7" i="24" s="1"/>
  <c r="T7" i="24" s="1"/>
  <c r="U7" i="24" s="1"/>
  <c r="V7" i="24" s="1"/>
  <c r="W7" i="24" s="1"/>
  <c r="X7" i="24" s="1"/>
  <c r="Y7" i="24" s="1"/>
  <c r="Z7" i="24" s="1"/>
  <c r="AA7" i="24" s="1"/>
  <c r="AB7" i="24" s="1"/>
  <c r="AC7" i="24" s="1"/>
  <c r="AD7" i="24" s="1"/>
  <c r="AE7" i="24" s="1"/>
  <c r="AF7" i="24" s="1"/>
  <c r="B8" i="24"/>
  <c r="C8" i="24" s="1"/>
  <c r="D8" i="24" s="1"/>
  <c r="E8" i="24" s="1"/>
  <c r="F8" i="24" s="1"/>
  <c r="G8" i="24" s="1"/>
  <c r="H8" i="24" s="1"/>
  <c r="I8" i="24" s="1"/>
  <c r="J8" i="24" s="1"/>
  <c r="K8" i="24" s="1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B4" i="24"/>
  <c r="C4" i="24" s="1"/>
  <c r="D4" i="24" s="1"/>
  <c r="E4" i="24" s="1"/>
  <c r="F4" i="24" s="1"/>
  <c r="G4" i="24" s="1"/>
  <c r="H4" i="24" s="1"/>
  <c r="I4" i="24" s="1"/>
  <c r="J4" i="24" s="1"/>
  <c r="K4" i="24" s="1"/>
  <c r="L4" i="24" s="1"/>
  <c r="M4" i="24" s="1"/>
  <c r="N4" i="24" s="1"/>
  <c r="O4" i="24" s="1"/>
  <c r="P4" i="24" s="1"/>
  <c r="Q4" i="24" s="1"/>
  <c r="R4" i="24" s="1"/>
  <c r="S4" i="24" s="1"/>
  <c r="T4" i="24" s="1"/>
  <c r="U4" i="24" s="1"/>
  <c r="V4" i="24" s="1"/>
  <c r="W4" i="24" s="1"/>
  <c r="X4" i="24" s="1"/>
  <c r="Y4" i="24" s="1"/>
  <c r="Z4" i="24" s="1"/>
  <c r="AA4" i="24" s="1"/>
  <c r="AB4" i="24" s="1"/>
  <c r="AC4" i="24" s="1"/>
  <c r="AD4" i="24" s="1"/>
  <c r="AE4" i="24" s="1"/>
  <c r="AF4" i="24" s="1"/>
  <c r="B2" i="24"/>
  <c r="C2" i="24" s="1"/>
  <c r="D2" i="24" s="1"/>
  <c r="E2" i="24" s="1"/>
  <c r="F2" i="24" s="1"/>
  <c r="G2" i="24" s="1"/>
  <c r="H2" i="24" s="1"/>
  <c r="I2" i="24" s="1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U2" i="24" s="1"/>
  <c r="V2" i="24" s="1"/>
  <c r="W2" i="24" s="1"/>
  <c r="X2" i="24" s="1"/>
  <c r="Y2" i="24" s="1"/>
  <c r="Z2" i="24" s="1"/>
  <c r="AA2" i="24" s="1"/>
  <c r="AB2" i="24" s="1"/>
  <c r="AC2" i="24" s="1"/>
  <c r="AD2" i="24" s="1"/>
  <c r="AE2" i="24" s="1"/>
  <c r="AF2" i="24" s="1"/>
  <c r="D19" i="4"/>
  <c r="C19" i="4"/>
  <c r="B19" i="4"/>
  <c r="D18" i="4"/>
  <c r="C18" i="4"/>
  <c r="B18" i="4"/>
  <c r="F25" i="4"/>
  <c r="E25" i="4"/>
  <c r="D25" i="4"/>
  <c r="D27" i="4" s="1"/>
  <c r="C25" i="4"/>
  <c r="B25" i="4"/>
  <c r="F24" i="4"/>
  <c r="E24" i="4"/>
  <c r="D24" i="4"/>
  <c r="D26" i="4" s="1"/>
  <c r="C24" i="4"/>
  <c r="B24" i="4"/>
  <c r="F27" i="4" l="1"/>
  <c r="B21" i="4"/>
  <c r="C21" i="4"/>
  <c r="C20" i="4"/>
  <c r="B20" i="4"/>
  <c r="D20" i="4"/>
  <c r="D21" i="4"/>
  <c r="E26" i="4"/>
  <c r="E27" i="4"/>
  <c r="C27" i="4"/>
  <c r="F26" i="4"/>
  <c r="B27" i="4"/>
  <c r="C26" i="4"/>
  <c r="B26" i="4"/>
  <c r="D42" i="4"/>
  <c r="C42" i="4"/>
  <c r="D44" i="4" s="1"/>
  <c r="B42" i="4"/>
  <c r="D41" i="4"/>
  <c r="C41" i="4"/>
  <c r="C43" i="4" s="1"/>
  <c r="B41" i="4"/>
  <c r="B43" i="4" s="1"/>
  <c r="D36" i="4"/>
  <c r="C36" i="4"/>
  <c r="B36" i="4"/>
  <c r="D35" i="4"/>
  <c r="C35" i="4"/>
  <c r="C37" i="4" s="1"/>
  <c r="B35" i="4"/>
  <c r="D31" i="4"/>
  <c r="D30" i="4"/>
  <c r="C31" i="4"/>
  <c r="C32" i="4" s="1"/>
  <c r="C30" i="4"/>
  <c r="B31" i="4"/>
  <c r="B30" i="4"/>
  <c r="B3" i="25"/>
  <c r="C3" i="25" s="1"/>
  <c r="D3" i="25" s="1"/>
  <c r="E3" i="25" s="1"/>
  <c r="F3" i="25" s="1"/>
  <c r="G3" i="25" s="1"/>
  <c r="H3" i="25" s="1"/>
  <c r="I3" i="25" s="1"/>
  <c r="J3" i="25" s="1"/>
  <c r="K3" i="25" s="1"/>
  <c r="L3" i="25" s="1"/>
  <c r="M3" i="25" s="1"/>
  <c r="N3" i="25" s="1"/>
  <c r="O3" i="25" s="1"/>
  <c r="P3" i="25" s="1"/>
  <c r="Q3" i="25" s="1"/>
  <c r="R3" i="25" s="1"/>
  <c r="S3" i="25" s="1"/>
  <c r="T3" i="25" s="1"/>
  <c r="U3" i="25" s="1"/>
  <c r="V3" i="25" s="1"/>
  <c r="W3" i="25" s="1"/>
  <c r="X3" i="25" s="1"/>
  <c r="Y3" i="25" s="1"/>
  <c r="Z3" i="25" s="1"/>
  <c r="AA3" i="25" s="1"/>
  <c r="AB3" i="25" s="1"/>
  <c r="AC3" i="25" s="1"/>
  <c r="AD3" i="25" s="1"/>
  <c r="AE3" i="25" s="1"/>
  <c r="AF3" i="25" s="1"/>
  <c r="B5" i="25"/>
  <c r="C5" i="25" s="1"/>
  <c r="D5" i="25" s="1"/>
  <c r="E5" i="25" s="1"/>
  <c r="F5" i="25" s="1"/>
  <c r="G5" i="25" s="1"/>
  <c r="H5" i="25" s="1"/>
  <c r="I5" i="25" s="1"/>
  <c r="J5" i="25" s="1"/>
  <c r="K5" i="25" s="1"/>
  <c r="L5" i="25" s="1"/>
  <c r="M5" i="25" s="1"/>
  <c r="N5" i="25" s="1"/>
  <c r="O5" i="25" s="1"/>
  <c r="P5" i="25" s="1"/>
  <c r="Q5" i="25" s="1"/>
  <c r="R5" i="25" s="1"/>
  <c r="S5" i="25" s="1"/>
  <c r="T5" i="25" s="1"/>
  <c r="U5" i="25" s="1"/>
  <c r="V5" i="25" s="1"/>
  <c r="W5" i="25" s="1"/>
  <c r="X5" i="25" s="1"/>
  <c r="Y5" i="25" s="1"/>
  <c r="Z5" i="25" s="1"/>
  <c r="AA5" i="25" s="1"/>
  <c r="AB5" i="25" s="1"/>
  <c r="AC5" i="25" s="1"/>
  <c r="AD5" i="25" s="1"/>
  <c r="AE5" i="25" s="1"/>
  <c r="AF5" i="25" s="1"/>
  <c r="B6" i="25"/>
  <c r="C6" i="25" s="1"/>
  <c r="D6" i="25" s="1"/>
  <c r="E6" i="25" s="1"/>
  <c r="F6" i="25" s="1"/>
  <c r="G6" i="25" s="1"/>
  <c r="H6" i="25" s="1"/>
  <c r="I6" i="25" s="1"/>
  <c r="J6" i="25" s="1"/>
  <c r="K6" i="25" s="1"/>
  <c r="L6" i="25" s="1"/>
  <c r="M6" i="25" s="1"/>
  <c r="N6" i="25" s="1"/>
  <c r="O6" i="25" s="1"/>
  <c r="P6" i="25" s="1"/>
  <c r="Q6" i="25" s="1"/>
  <c r="R6" i="25" s="1"/>
  <c r="S6" i="25" s="1"/>
  <c r="T6" i="25" s="1"/>
  <c r="U6" i="25" s="1"/>
  <c r="V6" i="25" s="1"/>
  <c r="W6" i="25" s="1"/>
  <c r="X6" i="25" s="1"/>
  <c r="Y6" i="25" s="1"/>
  <c r="Z6" i="25" s="1"/>
  <c r="AA6" i="25" s="1"/>
  <c r="AB6" i="25" s="1"/>
  <c r="AC6" i="25" s="1"/>
  <c r="AD6" i="25" s="1"/>
  <c r="AE6" i="25" s="1"/>
  <c r="AF6" i="25" s="1"/>
  <c r="B7" i="25"/>
  <c r="C7" i="25" s="1"/>
  <c r="D7" i="25" s="1"/>
  <c r="E7" i="25" s="1"/>
  <c r="F7" i="25" s="1"/>
  <c r="G7" i="25" s="1"/>
  <c r="H7" i="25" s="1"/>
  <c r="I7" i="25" s="1"/>
  <c r="J7" i="25" s="1"/>
  <c r="K7" i="25" s="1"/>
  <c r="L7" i="25" s="1"/>
  <c r="M7" i="25" s="1"/>
  <c r="N7" i="25" s="1"/>
  <c r="O7" i="25" s="1"/>
  <c r="P7" i="25" s="1"/>
  <c r="Q7" i="25" s="1"/>
  <c r="R7" i="25" s="1"/>
  <c r="S7" i="25" s="1"/>
  <c r="T7" i="25" s="1"/>
  <c r="U7" i="25" s="1"/>
  <c r="V7" i="25" s="1"/>
  <c r="W7" i="25" s="1"/>
  <c r="X7" i="25" s="1"/>
  <c r="Y7" i="25" s="1"/>
  <c r="Z7" i="25" s="1"/>
  <c r="AA7" i="25" s="1"/>
  <c r="AB7" i="25" s="1"/>
  <c r="AC7" i="25" s="1"/>
  <c r="AD7" i="25" s="1"/>
  <c r="AE7" i="25" s="1"/>
  <c r="AF7" i="25" s="1"/>
  <c r="B37" i="4" l="1"/>
  <c r="D43" i="4"/>
  <c r="D37" i="4"/>
  <c r="B38" i="4"/>
  <c r="D32" i="4"/>
  <c r="B32" i="4"/>
  <c r="C38" i="4"/>
  <c r="C44" i="4"/>
  <c r="D38" i="4"/>
  <c r="B44" i="4"/>
  <c r="C3" i="26"/>
  <c r="D3" i="26"/>
  <c r="E3" i="26"/>
  <c r="F3" i="26"/>
  <c r="G3" i="26"/>
  <c r="H3" i="26"/>
  <c r="I3" i="26"/>
  <c r="J3" i="26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B3" i="26"/>
  <c r="B4" i="26"/>
  <c r="B6" i="26"/>
  <c r="B7" i="26"/>
  <c r="C3" i="29"/>
  <c r="D3" i="29"/>
  <c r="E3" i="29"/>
  <c r="F3" i="29"/>
  <c r="G3" i="29"/>
  <c r="H3" i="29"/>
  <c r="I3" i="29"/>
  <c r="J3" i="29"/>
  <c r="K3" i="29"/>
  <c r="L3" i="29"/>
  <c r="M3" i="29"/>
  <c r="N3" i="29"/>
  <c r="O3" i="29"/>
  <c r="P3" i="29"/>
  <c r="Q3" i="29"/>
  <c r="R3" i="29"/>
  <c r="S3" i="29"/>
  <c r="T3" i="29"/>
  <c r="U3" i="29"/>
  <c r="V3" i="29"/>
  <c r="W3" i="29"/>
  <c r="X3" i="29"/>
  <c r="Y3" i="29"/>
  <c r="Z3" i="29"/>
  <c r="AA3" i="29"/>
  <c r="AB3" i="29"/>
  <c r="AC3" i="29"/>
  <c r="AD3" i="29"/>
  <c r="AE3" i="29"/>
  <c r="AF3" i="29"/>
  <c r="C4" i="29"/>
  <c r="D4" i="29"/>
  <c r="E4" i="29"/>
  <c r="F4" i="29"/>
  <c r="G4" i="29"/>
  <c r="H4" i="29"/>
  <c r="I4" i="29"/>
  <c r="J4" i="29"/>
  <c r="K4" i="29"/>
  <c r="L4" i="29"/>
  <c r="M4" i="29"/>
  <c r="N4" i="29"/>
  <c r="O4" i="29"/>
  <c r="P4" i="29"/>
  <c r="Q4" i="29"/>
  <c r="R4" i="29"/>
  <c r="S4" i="29"/>
  <c r="T4" i="29"/>
  <c r="U4" i="29"/>
  <c r="V4" i="29"/>
  <c r="W4" i="29"/>
  <c r="X4" i="29"/>
  <c r="Y4" i="29"/>
  <c r="Z4" i="29"/>
  <c r="AA4" i="29"/>
  <c r="AB4" i="29"/>
  <c r="AC4" i="29"/>
  <c r="AD4" i="29"/>
  <c r="AE4" i="29"/>
  <c r="AF4" i="29"/>
  <c r="C6" i="29"/>
  <c r="D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W6" i="29"/>
  <c r="X6" i="29"/>
  <c r="Y6" i="29"/>
  <c r="Z6" i="29"/>
  <c r="AA6" i="29"/>
  <c r="AB6" i="29"/>
  <c r="AC6" i="29"/>
  <c r="AD6" i="29"/>
  <c r="AE6" i="29"/>
  <c r="AF6" i="29"/>
  <c r="C7" i="29"/>
  <c r="D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AC7" i="29"/>
  <c r="AD7" i="29"/>
  <c r="AE7" i="29"/>
  <c r="AF7" i="29"/>
  <c r="B3" i="29"/>
  <c r="B4" i="29"/>
  <c r="B6" i="29"/>
  <c r="B7" i="29"/>
  <c r="D22" i="9" l="1"/>
  <c r="B5" i="26" l="1"/>
  <c r="B5" i="29"/>
  <c r="B4" i="23"/>
  <c r="C4" i="23" s="1"/>
  <c r="D4" i="23" s="1"/>
  <c r="E4" i="23" s="1"/>
  <c r="F4" i="23" s="1"/>
  <c r="G4" i="23" s="1"/>
  <c r="H4" i="23" s="1"/>
  <c r="I4" i="23" s="1"/>
  <c r="J4" i="23" s="1"/>
  <c r="K4" i="23" s="1"/>
  <c r="L4" i="23" s="1"/>
  <c r="M4" i="23" s="1"/>
  <c r="N4" i="23" s="1"/>
  <c r="O4" i="23" s="1"/>
  <c r="P4" i="23" s="1"/>
  <c r="Q4" i="23" s="1"/>
  <c r="R4" i="23" s="1"/>
  <c r="S4" i="23" s="1"/>
  <c r="T4" i="23" s="1"/>
  <c r="U4" i="23" s="1"/>
  <c r="V4" i="23" s="1"/>
  <c r="W4" i="23" s="1"/>
  <c r="X4" i="23" s="1"/>
  <c r="Y4" i="23" s="1"/>
  <c r="Z4" i="23" s="1"/>
  <c r="AA4" i="23" s="1"/>
  <c r="AB4" i="23" s="1"/>
  <c r="AC4" i="23" s="1"/>
  <c r="AD4" i="23" s="1"/>
  <c r="AE4" i="23" s="1"/>
  <c r="AF4" i="23" s="1"/>
  <c r="C5" i="29" l="1"/>
  <c r="D5" i="29" s="1"/>
  <c r="E5" i="29" s="1"/>
  <c r="F5" i="29" s="1"/>
  <c r="G5" i="29" s="1"/>
  <c r="H5" i="29" s="1"/>
  <c r="I5" i="29" s="1"/>
  <c r="J5" i="29" s="1"/>
  <c r="K5" i="29" s="1"/>
  <c r="L5" i="29" s="1"/>
  <c r="M5" i="29" s="1"/>
  <c r="N5" i="29" s="1"/>
  <c r="O5" i="29" s="1"/>
  <c r="P5" i="29" s="1"/>
  <c r="Q5" i="29" s="1"/>
  <c r="R5" i="29" s="1"/>
  <c r="S5" i="29" s="1"/>
  <c r="T5" i="29" s="1"/>
  <c r="U5" i="29" s="1"/>
  <c r="V5" i="29" s="1"/>
  <c r="W5" i="29" s="1"/>
  <c r="X5" i="29" s="1"/>
  <c r="Y5" i="29" s="1"/>
  <c r="Z5" i="29" s="1"/>
  <c r="AA5" i="29" s="1"/>
  <c r="AB5" i="29" s="1"/>
  <c r="AC5" i="29" s="1"/>
  <c r="AD5" i="29" s="1"/>
  <c r="AE5" i="29" s="1"/>
  <c r="AF5" i="29" s="1"/>
  <c r="B8" i="29"/>
  <c r="C8" i="29" s="1"/>
  <c r="D8" i="29" s="1"/>
  <c r="E8" i="29" s="1"/>
  <c r="F8" i="29" s="1"/>
  <c r="G8" i="29" s="1"/>
  <c r="H8" i="29" s="1"/>
  <c r="I8" i="29" s="1"/>
  <c r="J8" i="29" s="1"/>
  <c r="K8" i="29" s="1"/>
  <c r="L8" i="29" s="1"/>
  <c r="M8" i="29" s="1"/>
  <c r="N8" i="29" s="1"/>
  <c r="O8" i="29" s="1"/>
  <c r="P8" i="29" s="1"/>
  <c r="Q8" i="29" s="1"/>
  <c r="R8" i="29" s="1"/>
  <c r="S8" i="29" s="1"/>
  <c r="T8" i="29" s="1"/>
  <c r="U8" i="29" s="1"/>
  <c r="V8" i="29" s="1"/>
  <c r="W8" i="29" s="1"/>
  <c r="X8" i="29" s="1"/>
  <c r="Y8" i="29" s="1"/>
  <c r="Z8" i="29" s="1"/>
  <c r="AA8" i="29" s="1"/>
  <c r="AB8" i="29" s="1"/>
  <c r="AC8" i="29" s="1"/>
  <c r="AD8" i="29" s="1"/>
  <c r="AE8" i="29" s="1"/>
  <c r="AF8" i="29" s="1"/>
  <c r="B2" i="29"/>
  <c r="C2" i="29" s="1"/>
  <c r="D2" i="29" s="1"/>
  <c r="E2" i="29" s="1"/>
  <c r="F2" i="29" s="1"/>
  <c r="G2" i="29" s="1"/>
  <c r="H2" i="29" s="1"/>
  <c r="I2" i="29" s="1"/>
  <c r="J2" i="29" s="1"/>
  <c r="K2" i="29" s="1"/>
  <c r="L2" i="29" s="1"/>
  <c r="M2" i="29" s="1"/>
  <c r="N2" i="29" s="1"/>
  <c r="O2" i="29" s="1"/>
  <c r="P2" i="29" s="1"/>
  <c r="Q2" i="29" s="1"/>
  <c r="R2" i="29" s="1"/>
  <c r="S2" i="29" s="1"/>
  <c r="T2" i="29" s="1"/>
  <c r="U2" i="29" s="1"/>
  <c r="V2" i="29" s="1"/>
  <c r="W2" i="29" s="1"/>
  <c r="X2" i="29" s="1"/>
  <c r="Y2" i="29" s="1"/>
  <c r="Z2" i="29" s="1"/>
  <c r="AA2" i="29" s="1"/>
  <c r="AB2" i="29" s="1"/>
  <c r="AC2" i="29" s="1"/>
  <c r="AD2" i="29" s="1"/>
  <c r="AE2" i="29" s="1"/>
  <c r="AF2" i="29" s="1"/>
  <c r="C5" i="26"/>
  <c r="D5" i="26" s="1"/>
  <c r="E5" i="26" s="1"/>
  <c r="F5" i="26" s="1"/>
  <c r="G5" i="26" s="1"/>
  <c r="H5" i="26" s="1"/>
  <c r="I5" i="26" s="1"/>
  <c r="J5" i="26" s="1"/>
  <c r="K5" i="26" s="1"/>
  <c r="L5" i="26" s="1"/>
  <c r="M5" i="26" s="1"/>
  <c r="N5" i="26" s="1"/>
  <c r="O5" i="26" s="1"/>
  <c r="P5" i="26" s="1"/>
  <c r="Q5" i="26" s="1"/>
  <c r="R5" i="26" s="1"/>
  <c r="S5" i="26" s="1"/>
  <c r="T5" i="26" s="1"/>
  <c r="U5" i="26" s="1"/>
  <c r="V5" i="26" s="1"/>
  <c r="W5" i="26" s="1"/>
  <c r="X5" i="26" s="1"/>
  <c r="Y5" i="26" s="1"/>
  <c r="Z5" i="26" s="1"/>
  <c r="AA5" i="26" s="1"/>
  <c r="AB5" i="26" s="1"/>
  <c r="AC5" i="26" s="1"/>
  <c r="AD5" i="26" s="1"/>
  <c r="AE5" i="26" s="1"/>
  <c r="AF5" i="26" s="1"/>
  <c r="B8" i="26"/>
  <c r="C8" i="26" s="1"/>
  <c r="D8" i="26" s="1"/>
  <c r="E8" i="26" s="1"/>
  <c r="F8" i="26" s="1"/>
  <c r="G8" i="26" s="1"/>
  <c r="H8" i="26" s="1"/>
  <c r="I8" i="26" s="1"/>
  <c r="J8" i="26" s="1"/>
  <c r="K8" i="26" s="1"/>
  <c r="L8" i="26" s="1"/>
  <c r="M8" i="26" s="1"/>
  <c r="N8" i="26" s="1"/>
  <c r="O8" i="26" s="1"/>
  <c r="P8" i="26" s="1"/>
  <c r="Q8" i="26" s="1"/>
  <c r="R8" i="26" s="1"/>
  <c r="S8" i="26" s="1"/>
  <c r="T8" i="26" s="1"/>
  <c r="U8" i="26" s="1"/>
  <c r="V8" i="26" s="1"/>
  <c r="W8" i="26" s="1"/>
  <c r="X8" i="26" s="1"/>
  <c r="Y8" i="26" s="1"/>
  <c r="Z8" i="26" s="1"/>
  <c r="AA8" i="26" s="1"/>
  <c r="AB8" i="26" s="1"/>
  <c r="AC8" i="26" s="1"/>
  <c r="AD8" i="26" s="1"/>
  <c r="AE8" i="26" s="1"/>
  <c r="AF8" i="26" s="1"/>
  <c r="B2" i="26"/>
  <c r="C2" i="26" s="1"/>
  <c r="D2" i="26" s="1"/>
  <c r="E2" i="26" s="1"/>
  <c r="F2" i="26" s="1"/>
  <c r="G2" i="26" s="1"/>
  <c r="H2" i="26" s="1"/>
  <c r="I2" i="26" s="1"/>
  <c r="J2" i="26" s="1"/>
  <c r="K2" i="26" s="1"/>
  <c r="L2" i="26" s="1"/>
  <c r="M2" i="26" s="1"/>
  <c r="N2" i="26" s="1"/>
  <c r="O2" i="26" s="1"/>
  <c r="P2" i="26" s="1"/>
  <c r="Q2" i="26" s="1"/>
  <c r="R2" i="26" s="1"/>
  <c r="S2" i="26" s="1"/>
  <c r="T2" i="26" s="1"/>
  <c r="U2" i="26" s="1"/>
  <c r="V2" i="26" s="1"/>
  <c r="W2" i="26" s="1"/>
  <c r="X2" i="26" s="1"/>
  <c r="Y2" i="26" s="1"/>
  <c r="Z2" i="26" s="1"/>
  <c r="AA2" i="26" s="1"/>
  <c r="AB2" i="26" s="1"/>
  <c r="AC2" i="26" s="1"/>
  <c r="AD2" i="26" s="1"/>
  <c r="AE2" i="26" s="1"/>
  <c r="AF2" i="26" s="1"/>
  <c r="C7" i="8"/>
  <c r="O7" i="8"/>
  <c r="AA7" i="8"/>
  <c r="Z7" i="8"/>
  <c r="D7" i="8"/>
  <c r="P7" i="8"/>
  <c r="AB7" i="8"/>
  <c r="E7" i="8"/>
  <c r="Q7" i="8"/>
  <c r="AC7" i="8"/>
  <c r="L7" i="8"/>
  <c r="M7" i="8"/>
  <c r="N7" i="8"/>
  <c r="F7" i="8"/>
  <c r="R7" i="8"/>
  <c r="AD7" i="8"/>
  <c r="Y7" i="8"/>
  <c r="G7" i="8"/>
  <c r="S7" i="8"/>
  <c r="AE7" i="8"/>
  <c r="H7" i="8"/>
  <c r="T7" i="8"/>
  <c r="AF7" i="8"/>
  <c r="X7" i="8"/>
  <c r="I7" i="8"/>
  <c r="U7" i="8"/>
  <c r="B7" i="8"/>
  <c r="J7" i="8"/>
  <c r="V7" i="8"/>
  <c r="K7" i="8"/>
  <c r="W7" i="8"/>
  <c r="I6" i="8"/>
  <c r="U6" i="8"/>
  <c r="R6" i="8"/>
  <c r="G6" i="8"/>
  <c r="J6" i="8"/>
  <c r="V6" i="8"/>
  <c r="AD6" i="8"/>
  <c r="T6" i="8"/>
  <c r="K6" i="8"/>
  <c r="W6" i="8"/>
  <c r="L6" i="8"/>
  <c r="X6" i="8"/>
  <c r="H6" i="8"/>
  <c r="M6" i="8"/>
  <c r="Y6" i="8"/>
  <c r="F6" i="8"/>
  <c r="N6" i="8"/>
  <c r="Z6" i="8"/>
  <c r="B6" i="8"/>
  <c r="AF6" i="8"/>
  <c r="C6" i="8"/>
  <c r="O6" i="8"/>
  <c r="AA6" i="8"/>
  <c r="D6" i="8"/>
  <c r="P6" i="8"/>
  <c r="AB6" i="8"/>
  <c r="AE6" i="8"/>
  <c r="E6" i="8"/>
  <c r="Q6" i="8"/>
  <c r="AC6" i="8"/>
  <c r="S6" i="8"/>
  <c r="F5" i="8"/>
  <c r="R5" i="8"/>
  <c r="G5" i="8"/>
  <c r="S5" i="8"/>
  <c r="H5" i="8"/>
  <c r="T5" i="8"/>
  <c r="I5" i="8"/>
  <c r="U5" i="8"/>
  <c r="AB5" i="8"/>
  <c r="J5" i="8"/>
  <c r="V5" i="8"/>
  <c r="Q5" i="8"/>
  <c r="K5" i="8"/>
  <c r="W5" i="8"/>
  <c r="AA5" i="8"/>
  <c r="L5" i="8"/>
  <c r="X5" i="8"/>
  <c r="M5" i="8"/>
  <c r="Y5" i="8"/>
  <c r="AE5" i="8"/>
  <c r="N5" i="8"/>
  <c r="Z5" i="8"/>
  <c r="AD5" i="8"/>
  <c r="C5" i="8"/>
  <c r="O5" i="8"/>
  <c r="AF5" i="8"/>
  <c r="D5" i="8"/>
  <c r="P5" i="8"/>
  <c r="AC5" i="8"/>
  <c r="E5" i="8"/>
  <c r="B5" i="8"/>
  <c r="C4" i="8"/>
  <c r="O4" i="8"/>
  <c r="AA4" i="8"/>
  <c r="D4" i="8"/>
  <c r="P4" i="8"/>
  <c r="AB4" i="8"/>
  <c r="Y4" i="8"/>
  <c r="E4" i="8"/>
  <c r="Q4" i="8"/>
  <c r="AC4" i="8"/>
  <c r="F4" i="8"/>
  <c r="R4" i="8"/>
  <c r="AD4" i="8"/>
  <c r="B4" i="8"/>
  <c r="G4" i="8"/>
  <c r="S4" i="8"/>
  <c r="AE4" i="8"/>
  <c r="Z4" i="8"/>
  <c r="H4" i="8"/>
  <c r="T4" i="8"/>
  <c r="AF4" i="8"/>
  <c r="L4" i="8"/>
  <c r="M4" i="8"/>
  <c r="I4" i="8"/>
  <c r="U4" i="8"/>
  <c r="N4" i="8"/>
  <c r="J4" i="8"/>
  <c r="V4" i="8"/>
  <c r="X4" i="8"/>
  <c r="K4" i="8"/>
  <c r="W4" i="8"/>
  <c r="I3" i="8"/>
  <c r="U3" i="8"/>
  <c r="T3" i="8"/>
  <c r="J3" i="8"/>
  <c r="V3" i="8"/>
  <c r="K3" i="8"/>
  <c r="W3" i="8"/>
  <c r="B3" i="8"/>
  <c r="L3" i="8"/>
  <c r="X3" i="8"/>
  <c r="F3" i="8"/>
  <c r="G3" i="8"/>
  <c r="M3" i="8"/>
  <c r="Y3" i="8"/>
  <c r="AE3" i="8"/>
  <c r="N3" i="8"/>
  <c r="Z3" i="8"/>
  <c r="C3" i="8"/>
  <c r="O3" i="8"/>
  <c r="AA3" i="8"/>
  <c r="R3" i="8"/>
  <c r="S3" i="8"/>
  <c r="D3" i="8"/>
  <c r="P3" i="8"/>
  <c r="AB3" i="8"/>
  <c r="H3" i="8"/>
  <c r="E3" i="8"/>
  <c r="Q3" i="8"/>
  <c r="AC3" i="8"/>
  <c r="AD3" i="8"/>
  <c r="AF3" i="8"/>
  <c r="B4" i="7"/>
  <c r="C4" i="7" s="1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B2" i="8" l="1"/>
  <c r="C2" i="8" s="1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B8" i="8"/>
  <c r="C8" i="8" s="1"/>
  <c r="D8" i="8" s="1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B3" i="13"/>
  <c r="C3" i="13" s="1"/>
  <c r="D3" i="13" s="1"/>
  <c r="E3" i="13" s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B4" i="13"/>
  <c r="C4" i="13" s="1"/>
  <c r="D4" i="13" s="1"/>
  <c r="E4" i="13" s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B5" i="13"/>
  <c r="B6" i="13"/>
  <c r="C6" i="13" s="1"/>
  <c r="D6" i="13" s="1"/>
  <c r="E6" i="13" s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B7" i="13"/>
  <c r="C7" i="13" s="1"/>
  <c r="D7" i="13" s="1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B2" i="13"/>
  <c r="C2" i="13" s="1"/>
  <c r="D2" i="13" s="1"/>
  <c r="E2" i="13" s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B3" i="7"/>
  <c r="B6" i="7"/>
  <c r="B7" i="7"/>
  <c r="C5" i="13" l="1"/>
  <c r="D5" i="13" s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B8" i="13"/>
  <c r="C8" i="13" s="1"/>
  <c r="D8" i="13" s="1"/>
  <c r="E8" i="13" s="1"/>
  <c r="F8" i="13" s="1"/>
  <c r="G8" i="13" s="1"/>
  <c r="H8" i="13" s="1"/>
  <c r="I8" i="13" s="1"/>
  <c r="J8" i="13" s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G6" i="7"/>
  <c r="S6" i="7"/>
  <c r="AE6" i="7"/>
  <c r="T6" i="7"/>
  <c r="I6" i="7"/>
  <c r="U6" i="7"/>
  <c r="J6" i="7"/>
  <c r="V6" i="7"/>
  <c r="E6" i="7"/>
  <c r="K6" i="7"/>
  <c r="W6" i="7"/>
  <c r="AC6" i="7"/>
  <c r="L6" i="7"/>
  <c r="X6" i="7"/>
  <c r="D6" i="7"/>
  <c r="M6" i="7"/>
  <c r="Y6" i="7"/>
  <c r="P6" i="7"/>
  <c r="Q6" i="7"/>
  <c r="N6" i="7"/>
  <c r="Z6" i="7"/>
  <c r="C6" i="7"/>
  <c r="O6" i="7"/>
  <c r="AA6" i="7"/>
  <c r="AB6" i="7"/>
  <c r="F6" i="7"/>
  <c r="R6" i="7"/>
  <c r="AD6" i="7"/>
  <c r="H6" i="7"/>
  <c r="AF6" i="7"/>
  <c r="B6" i="12"/>
  <c r="C6" i="12" s="1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B5" i="12"/>
  <c r="C5" i="12" s="1"/>
  <c r="B4" i="12"/>
  <c r="C4" i="12" s="1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M7" i="7"/>
  <c r="Y7" i="7"/>
  <c r="N7" i="7"/>
  <c r="Z7" i="7"/>
  <c r="C7" i="7"/>
  <c r="O7" i="7"/>
  <c r="AA7" i="7"/>
  <c r="D7" i="7"/>
  <c r="AB7" i="7"/>
  <c r="K7" i="7"/>
  <c r="P7" i="7"/>
  <c r="E7" i="7"/>
  <c r="Q7" i="7"/>
  <c r="AC7" i="7"/>
  <c r="V7" i="7"/>
  <c r="F7" i="7"/>
  <c r="R7" i="7"/>
  <c r="AD7" i="7"/>
  <c r="G7" i="7"/>
  <c r="S7" i="7"/>
  <c r="AE7" i="7"/>
  <c r="H7" i="7"/>
  <c r="T7" i="7"/>
  <c r="AF7" i="7"/>
  <c r="J7" i="7"/>
  <c r="I7" i="7"/>
  <c r="U7" i="7"/>
  <c r="L7" i="7"/>
  <c r="X7" i="7"/>
  <c r="W7" i="7"/>
  <c r="B7" i="12"/>
  <c r="C7" i="12" s="1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M3" i="7"/>
  <c r="Y3" i="7"/>
  <c r="N3" i="7"/>
  <c r="Z3" i="7"/>
  <c r="C3" i="7"/>
  <c r="O3" i="7"/>
  <c r="AA3" i="7"/>
  <c r="W3" i="7"/>
  <c r="D3" i="7"/>
  <c r="P3" i="7"/>
  <c r="AB3" i="7"/>
  <c r="E3" i="7"/>
  <c r="Q3" i="7"/>
  <c r="AC3" i="7"/>
  <c r="J3" i="7"/>
  <c r="K3" i="7"/>
  <c r="F3" i="7"/>
  <c r="R3" i="7"/>
  <c r="AD3" i="7"/>
  <c r="G3" i="7"/>
  <c r="S3" i="7"/>
  <c r="AE3" i="7"/>
  <c r="H3" i="7"/>
  <c r="T3" i="7"/>
  <c r="AF3" i="7"/>
  <c r="V3" i="7"/>
  <c r="I3" i="7"/>
  <c r="U3" i="7"/>
  <c r="L3" i="7"/>
  <c r="X3" i="7"/>
  <c r="B3" i="12"/>
  <c r="C3" i="12" s="1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B2" i="12"/>
  <c r="C2" i="12" s="1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D5" i="12" l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B8" i="12"/>
  <c r="C8" i="12" s="1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B5" i="7"/>
  <c r="C5" i="7" l="1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B8" i="7"/>
  <c r="C8" i="7" s="1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B2" i="7"/>
  <c r="C2" i="7" s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B3" i="27" l="1"/>
  <c r="C3" i="27" s="1"/>
  <c r="D3" i="27" s="1"/>
  <c r="E3" i="27" s="1"/>
  <c r="F3" i="27" s="1"/>
  <c r="G3" i="27" s="1"/>
  <c r="H3" i="27" s="1"/>
  <c r="I3" i="27" s="1"/>
  <c r="J3" i="27" s="1"/>
  <c r="K3" i="27" s="1"/>
  <c r="L3" i="27" s="1"/>
  <c r="M3" i="27" s="1"/>
  <c r="N3" i="27" s="1"/>
  <c r="O3" i="27" s="1"/>
  <c r="P3" i="27" s="1"/>
  <c r="Q3" i="27" s="1"/>
  <c r="R3" i="27" s="1"/>
  <c r="S3" i="27" s="1"/>
  <c r="T3" i="27" s="1"/>
  <c r="U3" i="27" s="1"/>
  <c r="V3" i="27" s="1"/>
  <c r="W3" i="27" s="1"/>
  <c r="X3" i="27" s="1"/>
  <c r="Y3" i="27" s="1"/>
  <c r="Z3" i="27" s="1"/>
  <c r="AA3" i="27" s="1"/>
  <c r="AB3" i="27" s="1"/>
  <c r="AC3" i="27" s="1"/>
  <c r="AD3" i="27" s="1"/>
  <c r="AE3" i="27" s="1"/>
  <c r="AF3" i="27" s="1"/>
  <c r="B3" i="22" l="1"/>
  <c r="C3" i="22" s="1"/>
  <c r="D3" i="22" s="1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B2" i="27"/>
  <c r="C2" i="27" s="1"/>
  <c r="D2" i="27" s="1"/>
  <c r="E2" i="27" s="1"/>
  <c r="F2" i="27" s="1"/>
  <c r="G2" i="27" s="1"/>
  <c r="H2" i="27" s="1"/>
  <c r="I2" i="27" s="1"/>
  <c r="J2" i="27" s="1"/>
  <c r="K2" i="27" s="1"/>
  <c r="L2" i="27" s="1"/>
  <c r="M2" i="27" s="1"/>
  <c r="N2" i="27" s="1"/>
  <c r="O2" i="27" s="1"/>
  <c r="P2" i="27" s="1"/>
  <c r="Q2" i="27" s="1"/>
  <c r="R2" i="27" s="1"/>
  <c r="S2" i="27" s="1"/>
  <c r="T2" i="27" s="1"/>
  <c r="U2" i="27" s="1"/>
  <c r="V2" i="27" s="1"/>
  <c r="W2" i="27" s="1"/>
  <c r="X2" i="27" s="1"/>
  <c r="Y2" i="27" s="1"/>
  <c r="Z2" i="27" s="1"/>
  <c r="AA2" i="27" s="1"/>
  <c r="AB2" i="27" s="1"/>
  <c r="AC2" i="27" s="1"/>
  <c r="AD2" i="27" s="1"/>
  <c r="AE2" i="27" s="1"/>
  <c r="AF2" i="27" s="1"/>
  <c r="B5" i="22"/>
  <c r="B7" i="23"/>
  <c r="C7" i="23" s="1"/>
  <c r="D7" i="23" s="1"/>
  <c r="E7" i="23" s="1"/>
  <c r="F7" i="23" s="1"/>
  <c r="G7" i="23" s="1"/>
  <c r="H7" i="23" s="1"/>
  <c r="I7" i="23" s="1"/>
  <c r="J7" i="23" s="1"/>
  <c r="K7" i="23" s="1"/>
  <c r="L7" i="23" s="1"/>
  <c r="M7" i="23" s="1"/>
  <c r="N7" i="23" s="1"/>
  <c r="O7" i="23" s="1"/>
  <c r="P7" i="23" s="1"/>
  <c r="Q7" i="23" s="1"/>
  <c r="R7" i="23" s="1"/>
  <c r="S7" i="23" s="1"/>
  <c r="T7" i="23" s="1"/>
  <c r="U7" i="23" s="1"/>
  <c r="V7" i="23" s="1"/>
  <c r="W7" i="23" s="1"/>
  <c r="X7" i="23" s="1"/>
  <c r="Y7" i="23" s="1"/>
  <c r="Z7" i="23" s="1"/>
  <c r="AA7" i="23" s="1"/>
  <c r="AB7" i="23" s="1"/>
  <c r="AC7" i="23" s="1"/>
  <c r="AD7" i="23" s="1"/>
  <c r="AE7" i="23" s="1"/>
  <c r="AF7" i="23" s="1"/>
  <c r="B7" i="22"/>
  <c r="C7" i="22" s="1"/>
  <c r="D7" i="22" s="1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B3" i="23"/>
  <c r="C3" i="23" s="1"/>
  <c r="D3" i="23" s="1"/>
  <c r="E3" i="23" s="1"/>
  <c r="F3" i="23" s="1"/>
  <c r="G3" i="23" s="1"/>
  <c r="H3" i="23" s="1"/>
  <c r="I3" i="23" s="1"/>
  <c r="J3" i="23" s="1"/>
  <c r="K3" i="23" s="1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B6" i="27"/>
  <c r="C6" i="27" s="1"/>
  <c r="D6" i="27" s="1"/>
  <c r="E6" i="27" s="1"/>
  <c r="F6" i="27" s="1"/>
  <c r="G6" i="27" s="1"/>
  <c r="H6" i="27" s="1"/>
  <c r="I6" i="27" s="1"/>
  <c r="J6" i="27" s="1"/>
  <c r="K6" i="27" s="1"/>
  <c r="L6" i="27" s="1"/>
  <c r="M6" i="27" s="1"/>
  <c r="N6" i="27" s="1"/>
  <c r="O6" i="27" s="1"/>
  <c r="P6" i="27" s="1"/>
  <c r="Q6" i="27" s="1"/>
  <c r="R6" i="27" s="1"/>
  <c r="S6" i="27" s="1"/>
  <c r="T6" i="27" s="1"/>
  <c r="U6" i="27" s="1"/>
  <c r="V6" i="27" s="1"/>
  <c r="W6" i="27" s="1"/>
  <c r="X6" i="27" s="1"/>
  <c r="Y6" i="27" s="1"/>
  <c r="Z6" i="27" s="1"/>
  <c r="AA6" i="27" s="1"/>
  <c r="AB6" i="27" s="1"/>
  <c r="AC6" i="27" s="1"/>
  <c r="AD6" i="27" s="1"/>
  <c r="AE6" i="27" s="1"/>
  <c r="AF6" i="27" s="1"/>
  <c r="B4" i="27"/>
  <c r="C4" i="27" s="1"/>
  <c r="D4" i="27" s="1"/>
  <c r="E4" i="27" s="1"/>
  <c r="F4" i="27" s="1"/>
  <c r="G4" i="27" s="1"/>
  <c r="H4" i="27" s="1"/>
  <c r="I4" i="27" s="1"/>
  <c r="J4" i="27" s="1"/>
  <c r="K4" i="27" s="1"/>
  <c r="L4" i="27" s="1"/>
  <c r="M4" i="27" s="1"/>
  <c r="N4" i="27" s="1"/>
  <c r="O4" i="27" s="1"/>
  <c r="P4" i="27" s="1"/>
  <c r="Q4" i="27" s="1"/>
  <c r="R4" i="27" s="1"/>
  <c r="S4" i="27" s="1"/>
  <c r="T4" i="27" s="1"/>
  <c r="U4" i="27" s="1"/>
  <c r="V4" i="27" s="1"/>
  <c r="W4" i="27" s="1"/>
  <c r="X4" i="27" s="1"/>
  <c r="Y4" i="27" s="1"/>
  <c r="Z4" i="27" s="1"/>
  <c r="AA4" i="27" s="1"/>
  <c r="AB4" i="27" s="1"/>
  <c r="AC4" i="27" s="1"/>
  <c r="AD4" i="27" s="1"/>
  <c r="AE4" i="27" s="1"/>
  <c r="AF4" i="27" s="1"/>
  <c r="B2" i="22"/>
  <c r="C2" i="22" s="1"/>
  <c r="D2" i="22" s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B7" i="28"/>
  <c r="C7" i="28" s="1"/>
  <c r="D7" i="28" s="1"/>
  <c r="E7" i="28" s="1"/>
  <c r="F7" i="28" s="1"/>
  <c r="G7" i="28" s="1"/>
  <c r="H7" i="28" s="1"/>
  <c r="I7" i="28" s="1"/>
  <c r="J7" i="28" s="1"/>
  <c r="K7" i="28" s="1"/>
  <c r="L7" i="28" s="1"/>
  <c r="M7" i="28" s="1"/>
  <c r="N7" i="28" s="1"/>
  <c r="O7" i="28" s="1"/>
  <c r="P7" i="28" s="1"/>
  <c r="Q7" i="28" s="1"/>
  <c r="R7" i="28" s="1"/>
  <c r="S7" i="28" s="1"/>
  <c r="T7" i="28" s="1"/>
  <c r="U7" i="28" s="1"/>
  <c r="V7" i="28" s="1"/>
  <c r="W7" i="28" s="1"/>
  <c r="X7" i="28" s="1"/>
  <c r="Y7" i="28" s="1"/>
  <c r="Z7" i="28" s="1"/>
  <c r="AA7" i="28" s="1"/>
  <c r="AB7" i="28" s="1"/>
  <c r="AC7" i="28" s="1"/>
  <c r="AD7" i="28" s="1"/>
  <c r="AE7" i="28" s="1"/>
  <c r="AF7" i="28" s="1"/>
  <c r="B5" i="23"/>
  <c r="C5" i="23" s="1"/>
  <c r="D5" i="23" s="1"/>
  <c r="E5" i="23" s="1"/>
  <c r="F5" i="23" s="1"/>
  <c r="G5" i="23" s="1"/>
  <c r="H5" i="23" s="1"/>
  <c r="I5" i="23" s="1"/>
  <c r="J5" i="23" s="1"/>
  <c r="K5" i="23" s="1"/>
  <c r="L5" i="23" s="1"/>
  <c r="M5" i="23" s="1"/>
  <c r="N5" i="23" s="1"/>
  <c r="O5" i="23" s="1"/>
  <c r="P5" i="23" s="1"/>
  <c r="Q5" i="23" s="1"/>
  <c r="R5" i="23" s="1"/>
  <c r="S5" i="23" s="1"/>
  <c r="T5" i="23" s="1"/>
  <c r="U5" i="23" s="1"/>
  <c r="V5" i="23" s="1"/>
  <c r="W5" i="23" s="1"/>
  <c r="X5" i="23" s="1"/>
  <c r="Y5" i="23" s="1"/>
  <c r="Z5" i="23" s="1"/>
  <c r="AA5" i="23" s="1"/>
  <c r="AB5" i="23" s="1"/>
  <c r="AC5" i="23" s="1"/>
  <c r="AD5" i="23" s="1"/>
  <c r="AE5" i="23" s="1"/>
  <c r="AF5" i="23" s="1"/>
  <c r="B2" i="23"/>
  <c r="C2" i="23" s="1"/>
  <c r="D2" i="23" s="1"/>
  <c r="E2" i="23" s="1"/>
  <c r="F2" i="23" s="1"/>
  <c r="G2" i="23" s="1"/>
  <c r="H2" i="23" s="1"/>
  <c r="I2" i="23" s="1"/>
  <c r="J2" i="23" s="1"/>
  <c r="K2" i="23" s="1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B2" i="23" s="1"/>
  <c r="AC2" i="23" s="1"/>
  <c r="AD2" i="23" s="1"/>
  <c r="AE2" i="23" s="1"/>
  <c r="AF2" i="23" s="1"/>
  <c r="B4" i="22"/>
  <c r="C4" i="22" s="1"/>
  <c r="D4" i="22" s="1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B2" i="28"/>
  <c r="C2" i="28" s="1"/>
  <c r="D2" i="28" s="1"/>
  <c r="E2" i="28" s="1"/>
  <c r="F2" i="28" s="1"/>
  <c r="G2" i="28" s="1"/>
  <c r="H2" i="28" s="1"/>
  <c r="I2" i="28" s="1"/>
  <c r="J2" i="28" s="1"/>
  <c r="K2" i="28" s="1"/>
  <c r="L2" i="28" s="1"/>
  <c r="M2" i="28" s="1"/>
  <c r="N2" i="28" s="1"/>
  <c r="O2" i="28" s="1"/>
  <c r="P2" i="28" s="1"/>
  <c r="Q2" i="28" s="1"/>
  <c r="R2" i="28" s="1"/>
  <c r="S2" i="28" s="1"/>
  <c r="T2" i="28" s="1"/>
  <c r="U2" i="28" s="1"/>
  <c r="V2" i="28" s="1"/>
  <c r="W2" i="28" s="1"/>
  <c r="X2" i="28" s="1"/>
  <c r="Y2" i="28" s="1"/>
  <c r="Z2" i="28" s="1"/>
  <c r="AA2" i="28" s="1"/>
  <c r="AB2" i="28" s="1"/>
  <c r="AC2" i="28" s="1"/>
  <c r="AD2" i="28" s="1"/>
  <c r="AE2" i="28" s="1"/>
  <c r="AF2" i="28" s="1"/>
  <c r="B6" i="23"/>
  <c r="C6" i="23" s="1"/>
  <c r="D6" i="23" s="1"/>
  <c r="E6" i="23" s="1"/>
  <c r="F6" i="23" s="1"/>
  <c r="G6" i="23" s="1"/>
  <c r="H6" i="23" s="1"/>
  <c r="I6" i="23" s="1"/>
  <c r="J6" i="23" s="1"/>
  <c r="K6" i="23" s="1"/>
  <c r="L6" i="23" s="1"/>
  <c r="M6" i="23" s="1"/>
  <c r="N6" i="23" s="1"/>
  <c r="O6" i="23" s="1"/>
  <c r="P6" i="23" s="1"/>
  <c r="Q6" i="23" s="1"/>
  <c r="R6" i="23" s="1"/>
  <c r="S6" i="23" s="1"/>
  <c r="T6" i="23" s="1"/>
  <c r="U6" i="23" s="1"/>
  <c r="V6" i="23" s="1"/>
  <c r="W6" i="23" s="1"/>
  <c r="X6" i="23" s="1"/>
  <c r="Y6" i="23" s="1"/>
  <c r="Z6" i="23" s="1"/>
  <c r="AA6" i="23" s="1"/>
  <c r="AB6" i="23" s="1"/>
  <c r="AC6" i="23" s="1"/>
  <c r="AD6" i="23" s="1"/>
  <c r="AE6" i="23" s="1"/>
  <c r="AF6" i="23" s="1"/>
  <c r="B5" i="27"/>
  <c r="C5" i="27" s="1"/>
  <c r="D5" i="27" s="1"/>
  <c r="E5" i="27" s="1"/>
  <c r="F5" i="27" s="1"/>
  <c r="G5" i="27" s="1"/>
  <c r="H5" i="27" s="1"/>
  <c r="I5" i="27" s="1"/>
  <c r="J5" i="27" s="1"/>
  <c r="K5" i="27" s="1"/>
  <c r="L5" i="27" s="1"/>
  <c r="M5" i="27" s="1"/>
  <c r="N5" i="27" s="1"/>
  <c r="O5" i="27" s="1"/>
  <c r="P5" i="27" s="1"/>
  <c r="Q5" i="27" s="1"/>
  <c r="R5" i="27" s="1"/>
  <c r="S5" i="27" s="1"/>
  <c r="T5" i="27" s="1"/>
  <c r="U5" i="27" s="1"/>
  <c r="V5" i="27" s="1"/>
  <c r="W5" i="27" s="1"/>
  <c r="X5" i="27" s="1"/>
  <c r="Y5" i="27" s="1"/>
  <c r="Z5" i="27" s="1"/>
  <c r="AA5" i="27" s="1"/>
  <c r="AB5" i="27" s="1"/>
  <c r="AC5" i="27" s="1"/>
  <c r="AD5" i="27" s="1"/>
  <c r="AE5" i="27" s="1"/>
  <c r="AF5" i="27" s="1"/>
  <c r="B8" i="27"/>
  <c r="C8" i="27" s="1"/>
  <c r="D8" i="27" s="1"/>
  <c r="E8" i="27" s="1"/>
  <c r="F8" i="27" s="1"/>
  <c r="G8" i="27" s="1"/>
  <c r="H8" i="27" s="1"/>
  <c r="I8" i="27" s="1"/>
  <c r="J8" i="27" s="1"/>
  <c r="K8" i="27" s="1"/>
  <c r="L8" i="27" s="1"/>
  <c r="M8" i="27" s="1"/>
  <c r="N8" i="27" s="1"/>
  <c r="O8" i="27" s="1"/>
  <c r="P8" i="27" s="1"/>
  <c r="Q8" i="27" s="1"/>
  <c r="R8" i="27" s="1"/>
  <c r="S8" i="27" s="1"/>
  <c r="T8" i="27" s="1"/>
  <c r="U8" i="27" s="1"/>
  <c r="V8" i="27" s="1"/>
  <c r="W8" i="27" s="1"/>
  <c r="X8" i="27" s="1"/>
  <c r="Y8" i="27" s="1"/>
  <c r="Z8" i="27" s="1"/>
  <c r="AA8" i="27" s="1"/>
  <c r="AB8" i="27" s="1"/>
  <c r="AC8" i="27" s="1"/>
  <c r="AD8" i="27" s="1"/>
  <c r="AE8" i="27" s="1"/>
  <c r="AF8" i="27" s="1"/>
  <c r="B8" i="23"/>
  <c r="C8" i="23" s="1"/>
  <c r="D8" i="23" s="1"/>
  <c r="E8" i="23" s="1"/>
  <c r="F8" i="23" s="1"/>
  <c r="G8" i="23" s="1"/>
  <c r="H8" i="23" s="1"/>
  <c r="I8" i="23" s="1"/>
  <c r="J8" i="23" s="1"/>
  <c r="K8" i="23" s="1"/>
  <c r="L8" i="23" s="1"/>
  <c r="M8" i="23" s="1"/>
  <c r="N8" i="23" s="1"/>
  <c r="O8" i="23" s="1"/>
  <c r="P8" i="23" s="1"/>
  <c r="Q8" i="23" s="1"/>
  <c r="R8" i="23" s="1"/>
  <c r="S8" i="23" s="1"/>
  <c r="T8" i="23" s="1"/>
  <c r="U8" i="23" s="1"/>
  <c r="V8" i="23" s="1"/>
  <c r="W8" i="23" s="1"/>
  <c r="X8" i="23" s="1"/>
  <c r="Y8" i="23" s="1"/>
  <c r="Z8" i="23" s="1"/>
  <c r="AA8" i="23" s="1"/>
  <c r="AB8" i="23" s="1"/>
  <c r="AC8" i="23" s="1"/>
  <c r="AD8" i="23" s="1"/>
  <c r="AE8" i="23" s="1"/>
  <c r="AF8" i="23" s="1"/>
  <c r="B5" i="28"/>
  <c r="B4" i="28"/>
  <c r="C4" i="28" s="1"/>
  <c r="D4" i="28" s="1"/>
  <c r="E4" i="28" s="1"/>
  <c r="F4" i="28" s="1"/>
  <c r="G4" i="28" s="1"/>
  <c r="H4" i="28" s="1"/>
  <c r="I4" i="28" s="1"/>
  <c r="J4" i="28" s="1"/>
  <c r="K4" i="28" s="1"/>
  <c r="L4" i="28" s="1"/>
  <c r="M4" i="28" s="1"/>
  <c r="N4" i="28" s="1"/>
  <c r="O4" i="28" s="1"/>
  <c r="P4" i="28" s="1"/>
  <c r="Q4" i="28" s="1"/>
  <c r="R4" i="28" s="1"/>
  <c r="S4" i="28" s="1"/>
  <c r="T4" i="28" s="1"/>
  <c r="U4" i="28" s="1"/>
  <c r="V4" i="28" s="1"/>
  <c r="W4" i="28" s="1"/>
  <c r="X4" i="28" s="1"/>
  <c r="Y4" i="28" s="1"/>
  <c r="Z4" i="28" s="1"/>
  <c r="AA4" i="28" s="1"/>
  <c r="AB4" i="28" s="1"/>
  <c r="AC4" i="28" s="1"/>
  <c r="AD4" i="28" s="1"/>
  <c r="AE4" i="28" s="1"/>
  <c r="AF4" i="28" s="1"/>
  <c r="B7" i="27"/>
  <c r="C7" i="27" s="1"/>
  <c r="D7" i="27" s="1"/>
  <c r="E7" i="27" s="1"/>
  <c r="F7" i="27" s="1"/>
  <c r="G7" i="27" s="1"/>
  <c r="H7" i="27" s="1"/>
  <c r="I7" i="27" s="1"/>
  <c r="J7" i="27" s="1"/>
  <c r="K7" i="27" s="1"/>
  <c r="L7" i="27" s="1"/>
  <c r="M7" i="27" s="1"/>
  <c r="N7" i="27" s="1"/>
  <c r="O7" i="27" s="1"/>
  <c r="P7" i="27" s="1"/>
  <c r="Q7" i="27" s="1"/>
  <c r="R7" i="27" s="1"/>
  <c r="S7" i="27" s="1"/>
  <c r="T7" i="27" s="1"/>
  <c r="U7" i="27" s="1"/>
  <c r="V7" i="27" s="1"/>
  <c r="W7" i="27" s="1"/>
  <c r="X7" i="27" s="1"/>
  <c r="Y7" i="27" s="1"/>
  <c r="Z7" i="27" s="1"/>
  <c r="AA7" i="27" s="1"/>
  <c r="AB7" i="27" s="1"/>
  <c r="AC7" i="27" s="1"/>
  <c r="AD7" i="27" s="1"/>
  <c r="AE7" i="27" s="1"/>
  <c r="AF7" i="27" s="1"/>
  <c r="B8" i="22" l="1"/>
  <c r="C8" i="22" s="1"/>
  <c r="D8" i="22" s="1"/>
  <c r="E8" i="22" s="1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C5" i="22"/>
  <c r="D5" i="22" s="1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B6" i="22"/>
  <c r="C6" i="22" s="1"/>
  <c r="D6" i="22" s="1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C5" i="28"/>
  <c r="D5" i="28" s="1"/>
  <c r="E5" i="28" s="1"/>
  <c r="F5" i="28" s="1"/>
  <c r="G5" i="28" s="1"/>
  <c r="H5" i="28" s="1"/>
  <c r="I5" i="28" s="1"/>
  <c r="J5" i="28" s="1"/>
  <c r="K5" i="28" s="1"/>
  <c r="L5" i="28" s="1"/>
  <c r="M5" i="28" s="1"/>
  <c r="N5" i="28" s="1"/>
  <c r="O5" i="28" s="1"/>
  <c r="P5" i="28" s="1"/>
  <c r="Q5" i="28" s="1"/>
  <c r="R5" i="28" s="1"/>
  <c r="S5" i="28" s="1"/>
  <c r="T5" i="28" s="1"/>
  <c r="U5" i="28" s="1"/>
  <c r="V5" i="28" s="1"/>
  <c r="W5" i="28" s="1"/>
  <c r="X5" i="28" s="1"/>
  <c r="Y5" i="28" s="1"/>
  <c r="Z5" i="28" s="1"/>
  <c r="AA5" i="28" s="1"/>
  <c r="AB5" i="28" s="1"/>
  <c r="AC5" i="28" s="1"/>
  <c r="AD5" i="28" s="1"/>
  <c r="AE5" i="28" s="1"/>
  <c r="AF5" i="28" s="1"/>
  <c r="B8" i="28"/>
  <c r="C8" i="28" s="1"/>
  <c r="D8" i="28" s="1"/>
  <c r="E8" i="28" s="1"/>
  <c r="F8" i="28" s="1"/>
  <c r="G8" i="28" s="1"/>
  <c r="H8" i="28" s="1"/>
  <c r="I8" i="28" s="1"/>
  <c r="J8" i="28" s="1"/>
  <c r="K8" i="28" s="1"/>
  <c r="L8" i="28" s="1"/>
  <c r="M8" i="28" s="1"/>
  <c r="N8" i="28" s="1"/>
  <c r="O8" i="28" s="1"/>
  <c r="P8" i="28" s="1"/>
  <c r="Q8" i="28" s="1"/>
  <c r="R8" i="28" s="1"/>
  <c r="S8" i="28" s="1"/>
  <c r="T8" i="28" s="1"/>
  <c r="U8" i="28" s="1"/>
  <c r="V8" i="28" s="1"/>
  <c r="W8" i="28" s="1"/>
  <c r="X8" i="28" s="1"/>
  <c r="Y8" i="28" s="1"/>
  <c r="Z8" i="28" s="1"/>
  <c r="AA8" i="28" s="1"/>
  <c r="AB8" i="28" s="1"/>
  <c r="AC8" i="28" s="1"/>
  <c r="AD8" i="28" s="1"/>
  <c r="AE8" i="28" s="1"/>
  <c r="AF8" i="28" s="1"/>
  <c r="B6" i="28"/>
  <c r="C6" i="28" s="1"/>
  <c r="D6" i="28" s="1"/>
  <c r="E6" i="28" s="1"/>
  <c r="F6" i="28" s="1"/>
  <c r="G6" i="28" s="1"/>
  <c r="H6" i="28" s="1"/>
  <c r="I6" i="28" s="1"/>
  <c r="J6" i="28" s="1"/>
  <c r="K6" i="28" s="1"/>
  <c r="L6" i="28" s="1"/>
  <c r="M6" i="28" s="1"/>
  <c r="N6" i="28" s="1"/>
  <c r="O6" i="28" s="1"/>
  <c r="P6" i="28" s="1"/>
  <c r="Q6" i="28" s="1"/>
  <c r="R6" i="28" s="1"/>
  <c r="S6" i="28" s="1"/>
  <c r="T6" i="28" s="1"/>
  <c r="U6" i="28" s="1"/>
  <c r="V6" i="28" s="1"/>
  <c r="W6" i="28" s="1"/>
  <c r="X6" i="28" s="1"/>
  <c r="Y6" i="28" s="1"/>
  <c r="Z6" i="28" s="1"/>
  <c r="AA6" i="28" s="1"/>
  <c r="AB6" i="28" s="1"/>
  <c r="AC6" i="28" s="1"/>
  <c r="AD6" i="28" s="1"/>
  <c r="AE6" i="28" s="1"/>
  <c r="AF6" i="28" s="1"/>
  <c r="B3" i="28"/>
  <c r="C3" i="28" s="1"/>
  <c r="D3" i="28" s="1"/>
  <c r="E3" i="28" s="1"/>
  <c r="F3" i="28" s="1"/>
  <c r="G3" i="28" s="1"/>
  <c r="H3" i="28" s="1"/>
  <c r="I3" i="28" s="1"/>
  <c r="J3" i="28" s="1"/>
  <c r="K3" i="28" s="1"/>
  <c r="L3" i="28" s="1"/>
  <c r="M3" i="28" s="1"/>
  <c r="N3" i="28" s="1"/>
  <c r="O3" i="28" s="1"/>
  <c r="P3" i="28" s="1"/>
  <c r="Q3" i="28" s="1"/>
  <c r="R3" i="28" s="1"/>
  <c r="S3" i="28" s="1"/>
  <c r="T3" i="28" s="1"/>
  <c r="U3" i="28" s="1"/>
  <c r="V3" i="28" s="1"/>
  <c r="W3" i="28" s="1"/>
  <c r="X3" i="28" s="1"/>
  <c r="Y3" i="28" s="1"/>
  <c r="Z3" i="28" s="1"/>
  <c r="AA3" i="28" s="1"/>
  <c r="AB3" i="28" s="1"/>
  <c r="AC3" i="28" s="1"/>
  <c r="AD3" i="28" s="1"/>
  <c r="AE3" i="28" s="1"/>
  <c r="AF3" i="28" s="1"/>
</calcChain>
</file>

<file path=xl/sharedStrings.xml><?xml version="1.0" encoding="utf-8"?>
<sst xmlns="http://schemas.openxmlformats.org/spreadsheetml/2006/main" count="433" uniqueCount="72">
  <si>
    <t>BNVFE BAU New Veh Fuel Economy</t>
    <phoneticPr fontId="1" type="noConversion"/>
  </si>
  <si>
    <t>Sources:</t>
    <phoneticPr fontId="1" type="noConversion"/>
  </si>
  <si>
    <t>Korea SYFAFE, US BNVFE</t>
    <phoneticPr fontId="1" type="noConversion"/>
  </si>
  <si>
    <t>Notes</t>
    <phoneticPr fontId="1" type="noConversion"/>
  </si>
  <si>
    <t>Since there are few fuel economy forecast data in Korea, CAGR was extracted and used from US data when estimating fuel economy.</t>
    <phoneticPr fontId="1" type="noConversion"/>
  </si>
  <si>
    <t>We used cell colors to identify different methods</t>
    <phoneticPr fontId="1" type="noConversion"/>
  </si>
  <si>
    <t>We applied the US data as is due to the limited number of data in South Korea</t>
    <phoneticPr fontId="1" type="noConversion"/>
  </si>
  <si>
    <t>We applied the ratio of fuel shares in the US data to the KR data</t>
    <phoneticPr fontId="1" type="noConversion"/>
  </si>
  <si>
    <t>Fuel Economy (passenger*miles/BTU)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</si>
  <si>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</si>
  <si>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</si>
  <si>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</si>
  <si>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</si>
  <si>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</si>
  <si>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</si>
  <si>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</si>
  <si>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</si>
  <si>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</si>
  <si>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</si>
  <si>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</si>
  <si>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</si>
  <si>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</si>
  <si>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Fuel Economy (thing*miles/BTU)</t>
  </si>
  <si>
    <t>passenger</t>
    <phoneticPr fontId="1" type="noConversion"/>
  </si>
  <si>
    <t>freight</t>
    <phoneticPr fontId="1" type="noConversion"/>
  </si>
  <si>
    <t>US LDVs</t>
    <phoneticPr fontId="1" type="noConversion"/>
  </si>
  <si>
    <t>diesel vehicle</t>
    <phoneticPr fontId="1" type="noConversion"/>
  </si>
  <si>
    <t>plugin hybrid vehicle</t>
    <phoneticPr fontId="1" type="noConversion"/>
  </si>
  <si>
    <t>hydrogen vehicle</t>
    <phoneticPr fontId="1" type="noConversion"/>
  </si>
  <si>
    <t>psgr</t>
    <phoneticPr fontId="1" type="noConversion"/>
  </si>
  <si>
    <t>frgt</t>
    <phoneticPr fontId="1" type="noConversion"/>
  </si>
  <si>
    <t>psgr - x/disel vehicle</t>
    <phoneticPr fontId="1" type="noConversion"/>
  </si>
  <si>
    <t>frgt - x/disel vehicle</t>
    <phoneticPr fontId="1" type="noConversion"/>
  </si>
  <si>
    <t>US HDVs</t>
    <phoneticPr fontId="1" type="noConversion"/>
  </si>
  <si>
    <t>battery electric vehicle</t>
    <phoneticPr fontId="1" type="noConversion"/>
  </si>
  <si>
    <t>US aircrat</t>
    <phoneticPr fontId="1" type="noConversion"/>
  </si>
  <si>
    <t>x/disel vehicle</t>
    <phoneticPr fontId="1" type="noConversion"/>
  </si>
  <si>
    <t>US rail</t>
    <phoneticPr fontId="1" type="noConversion"/>
  </si>
  <si>
    <t>US ships</t>
    <phoneticPr fontId="1" type="noConversion"/>
  </si>
  <si>
    <t>2020-2050 CAGR</t>
    <phoneticPr fontId="1" type="noConversion"/>
  </si>
  <si>
    <t>Source</t>
    <phoneticPr fontId="1" type="noConversion"/>
  </si>
  <si>
    <t>US-LDVs-psgr</t>
    <phoneticPr fontId="1" type="noConversion"/>
  </si>
  <si>
    <t>US-LDVs-frgt</t>
    <phoneticPr fontId="1" type="noConversion"/>
  </si>
  <si>
    <t>US-HDVs-psgr</t>
    <phoneticPr fontId="1" type="noConversion"/>
  </si>
  <si>
    <t>2020년 실도로 연비 13.5km/kg, 2030년까지 15km/kg, 해당 비율을 2050까지 적용</t>
    <phoneticPr fontId="1" type="noConversion"/>
  </si>
  <si>
    <t>https://www.cheric.org/PDF/PIC/PC24/PC24-4-0022.pdf</t>
    <phoneticPr fontId="1" type="noConversion"/>
  </si>
  <si>
    <t>US-HDVs-frgt</t>
    <phoneticPr fontId="1" type="noConversion"/>
  </si>
  <si>
    <t>US-aircraft-psgr</t>
    <phoneticPr fontId="1" type="noConversion"/>
  </si>
  <si>
    <t>US-aircraft-frgt</t>
    <phoneticPr fontId="1" type="noConversion"/>
  </si>
  <si>
    <t>US-rail-psgr</t>
  </si>
  <si>
    <t>US-rail-frgt</t>
    <phoneticPr fontId="1" type="noConversion"/>
  </si>
  <si>
    <t>US-ships-psgr</t>
    <phoneticPr fontId="1" type="noConversion"/>
  </si>
  <si>
    <t>US-ships-frgt</t>
    <phoneticPr fontId="1" type="noConversion"/>
  </si>
  <si>
    <t>US-motorbikes-psgr</t>
    <phoneticPr fontId="1" type="noConversion"/>
  </si>
  <si>
    <t>US-motorbikes-frgt</t>
    <phoneticPr fontId="1" type="noConversion"/>
  </si>
  <si>
    <t>https://theicct.org/sites/default/files/publications/S.Korea%20FE%20GHG%20Policy%20Update_vFinal.pdf</t>
  </si>
  <si>
    <t>passenger vehicles fuel economy</t>
  </si>
  <si>
    <t>Conversion factor</t>
  </si>
  <si>
    <t>btus per liter gasoline</t>
  </si>
  <si>
    <t>km per mile</t>
  </si>
  <si>
    <t>AVLO-psgr-ldvs</t>
  </si>
  <si>
    <t>passenger vehicles</t>
  </si>
  <si>
    <t>km/L</t>
  </si>
  <si>
    <t>light trucks</t>
  </si>
  <si>
    <t>Convert</t>
  </si>
  <si>
    <t>miles/L</t>
  </si>
  <si>
    <t>miles/btu</t>
  </si>
  <si>
    <t>thing*miles/btu</t>
  </si>
  <si>
    <t>average</t>
  </si>
  <si>
    <t>US Fuel economy</t>
  </si>
  <si>
    <t>Trend</t>
  </si>
  <si>
    <t>Fuel Economy (freight ton*miles/BTU)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</si>
</sst>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2"/>
      <charset val="129"/>
      <scheme val="minor"/>
    </font>
    <font>
      <u/>
      <sz val="11"/>
      <color theme="10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43" fontId="6" fillId="0" borderId="0" applyFont="0" applyFill="0" applyBorder="0" applyAlignment="0" applyProtection="0"/>
  </cellStyleXfs>
  <cellXfs count="3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3" borderId="0" xfId="0" applyFill="1">
      <alignment vertical="center"/>
    </xf>
    <xf numFmtId="0" fontId="2" fillId="0" borderId="0" xfId="0" applyFont="1" applyAlignment="1"/>
    <xf numFmtId="11" fontId="0" fillId="0" borderId="0" xfId="0" applyNumberFormat="1" applyAlignment="1"/>
    <xf numFmtId="0" fontId="0" fillId="4" borderId="0" xfId="0" applyFill="1" applyAlignment="1"/>
    <xf numFmtId="11" fontId="0" fillId="4" borderId="0" xfId="0" applyNumberFormat="1" applyFill="1" applyAlignment="1"/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2" xfId="0" applyBorder="1">
      <alignment vertical="center"/>
    </xf>
    <xf numFmtId="0" fontId="0" fillId="0" borderId="2" xfId="0" applyBorder="1" applyAlignment="1"/>
    <xf numFmtId="11" fontId="0" fillId="3" borderId="0" xfId="0" applyNumberFormat="1" applyFill="1">
      <alignment vertical="center"/>
    </xf>
    <xf numFmtId="11" fontId="0" fillId="0" borderId="0" xfId="0" applyNumberFormat="1">
      <alignment vertical="center"/>
    </xf>
    <xf numFmtId="11" fontId="4" fillId="3" borderId="0" xfId="0" applyNumberFormat="1" applyFont="1" applyFill="1">
      <alignment vertical="center"/>
    </xf>
    <xf numFmtId="0" fontId="5" fillId="0" borderId="0" xfId="1">
      <alignment vertical="center"/>
    </xf>
    <xf numFmtId="0" fontId="0" fillId="5" borderId="0" xfId="0" applyFill="1">
      <alignment vertical="center"/>
    </xf>
    <xf numFmtId="11" fontId="0" fillId="5" borderId="0" xfId="0" applyNumberFormat="1" applyFill="1">
      <alignment vertical="center"/>
    </xf>
    <xf numFmtId="0" fontId="0" fillId="6" borderId="0" xfId="0" applyFill="1">
      <alignment vertical="center"/>
    </xf>
    <xf numFmtId="0" fontId="3" fillId="0" borderId="0" xfId="0" applyFont="1">
      <alignment vertical="center"/>
    </xf>
    <xf numFmtId="11" fontId="0" fillId="2" borderId="0" xfId="0" applyNumberFormat="1" applyFill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2" fillId="7" borderId="0" xfId="0" applyFont="1" applyFill="1">
      <alignment vertical="center"/>
    </xf>
    <xf numFmtId="0" fontId="0" fillId="7" borderId="0" xfId="0" applyFill="1">
      <alignment vertical="center"/>
    </xf>
    <xf numFmtId="164" fontId="7" fillId="0" borderId="0" xfId="2" applyNumberFormat="1" applyFont="1" applyAlignment="1">
      <alignment vertical="center"/>
    </xf>
    <xf numFmtId="0" fontId="8" fillId="0" borderId="0" xfId="0" applyFont="1">
      <alignment vertical="center"/>
    </xf>
    <xf numFmtId="0" fontId="0" fillId="8" borderId="0" xfId="0" applyFill="1">
      <alignment vertical="center"/>
    </xf>
    <xf numFmtId="43" fontId="0" fillId="0" borderId="0" xfId="2" applyFont="1" applyAlignment="1">
      <alignment vertical="center"/>
    </xf>
    <xf numFmtId="11" fontId="0" fillId="0" borderId="0" xfId="2" applyNumberFormat="1" applyFont="1" applyAlignment="1">
      <alignment vertical="center"/>
    </xf>
    <xf numFmtId="11" fontId="0" fillId="9" borderId="3" xfId="0" applyNumberFormat="1" applyFill="1" applyBorder="1">
      <alignment vertical="center"/>
    </xf>
    <xf numFmtId="0" fontId="0" fillId="10" borderId="0" xfId="0" applyFill="1">
      <alignment vertical="center"/>
    </xf>
    <xf numFmtId="11" fontId="9" fillId="0" borderId="0" xfId="0" applyNumberFormat="1" applyFont="1" applyAlignme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'BNVFE-rail-frgt'!$A$2</c:f>
              <c:strCache>
                <c:ptCount val="1"/>
                <c:pt idx="0">
                  <c:v>battery electric vehicle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'BNVFE-rail-frgt'!$B$1:$V$1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xVal>
          <c:yVal>
            <c:numRef>
              <c:f>'BNVFE-rail-frgt'!$B$2:$V$2</c:f>
              <c:numCache>
                <c:formatCode>0.00E+00</c:formatCode>
                <c:ptCount val="21"/>
                <c:pt idx="0">
                  <c:v>4.6792579938174442E-3</c:v>
                </c:pt>
                <c:pt idx="1">
                  <c:v>4.6840199229097436E-3</c:v>
                </c:pt>
                <c:pt idx="2">
                  <c:v>4.688786698062831E-3</c:v>
                </c:pt>
                <c:pt idx="3">
                  <c:v>4.6935583242083854E-3</c:v>
                </c:pt>
                <c:pt idx="4">
                  <c:v>4.6983348062831038E-3</c:v>
                </c:pt>
                <c:pt idx="5">
                  <c:v>4.7031161492287086E-3</c:v>
                </c:pt>
                <c:pt idx="6">
                  <c:v>4.7079023579919502E-3</c:v>
                </c:pt>
                <c:pt idx="7">
                  <c:v>4.7126934375246133E-3</c:v>
                </c:pt>
                <c:pt idx="8">
                  <c:v>4.7174893927835219E-3</c:v>
                </c:pt>
                <c:pt idx="9">
                  <c:v>4.7222902287305446E-3</c:v>
                </c:pt>
                <c:pt idx="10">
                  <c:v>4.7270959503325988E-3</c:v>
                </c:pt>
                <c:pt idx="11">
                  <c:v>4.731906562561658E-3</c:v>
                </c:pt>
                <c:pt idx="12">
                  <c:v>4.7367220703947539E-3</c:v>
                </c:pt>
                <c:pt idx="13">
                  <c:v>4.7415424788139846E-3</c:v>
                </c:pt>
                <c:pt idx="14">
                  <c:v>4.746367792806518E-3</c:v>
                </c:pt>
                <c:pt idx="15">
                  <c:v>4.7511980173645958E-3</c:v>
                </c:pt>
                <c:pt idx="16">
                  <c:v>4.7560331574855418E-3</c:v>
                </c:pt>
                <c:pt idx="17">
                  <c:v>4.760873218171765E-3</c:v>
                </c:pt>
                <c:pt idx="18">
                  <c:v>4.7657182044307652E-3</c:v>
                </c:pt>
                <c:pt idx="19">
                  <c:v>4.7705681212751377E-3</c:v>
                </c:pt>
                <c:pt idx="20">
                  <c:v>4.7754229737225797E-3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D0-4F2F-BA0A-6213D37F7926}"/>
            </c:ext>
          </c:extLst>
        </c:ser>
        <c:ser>
          <c:idx val="1"/>
          <c:order val="1"/>
          <c:tx>
            <c:strRef>
              <c:f>'BNVFE-rail-frgt'!$A$3</c:f>
              <c:strCache>
                <c:ptCount val="1"/>
                <c:pt idx="0">
                  <c:v>natural gas vehicle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'BNVFE-rail-frgt'!$B$1:$V$1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xVal>
          <c:yVal>
            <c:numRef>
              <c:f>'BNVFE-rail-frgt'!$B$3:$V$3</c:f>
              <c:numCache>
                <c:formatCode>0.00E+00</c:formatCode>
                <c:ptCount val="21"/>
                <c:pt idx="0">
                  <c:v>1.4546562300683371E-3</c:v>
                </c:pt>
                <c:pt idx="1">
                  <c:v>1.4546562300683371E-3</c:v>
                </c:pt>
                <c:pt idx="2">
                  <c:v>1.4546562300683371E-3</c:v>
                </c:pt>
                <c:pt idx="3">
                  <c:v>1.4546562300683371E-3</c:v>
                </c:pt>
                <c:pt idx="4">
                  <c:v>1.4546562300683371E-3</c:v>
                </c:pt>
                <c:pt idx="5">
                  <c:v>1.4546562300683371E-3</c:v>
                </c:pt>
                <c:pt idx="6">
                  <c:v>1.4546562300683371E-3</c:v>
                </c:pt>
                <c:pt idx="7">
                  <c:v>1.4546562300683371E-3</c:v>
                </c:pt>
                <c:pt idx="8">
                  <c:v>1.4546562300683371E-3</c:v>
                </c:pt>
                <c:pt idx="9">
                  <c:v>1.4546562300683371E-3</c:v>
                </c:pt>
                <c:pt idx="10">
                  <c:v>1.4546562300683371E-3</c:v>
                </c:pt>
                <c:pt idx="11">
                  <c:v>1.4546562300683371E-3</c:v>
                </c:pt>
                <c:pt idx="12">
                  <c:v>1.4546562300683371E-3</c:v>
                </c:pt>
                <c:pt idx="13">
                  <c:v>1.4546562300683371E-3</c:v>
                </c:pt>
                <c:pt idx="14">
                  <c:v>1.4546562300683371E-3</c:v>
                </c:pt>
                <c:pt idx="15">
                  <c:v>1.4546562300683371E-3</c:v>
                </c:pt>
                <c:pt idx="16">
                  <c:v>1.4546562300683371E-3</c:v>
                </c:pt>
                <c:pt idx="17">
                  <c:v>1.4546562300683371E-3</c:v>
                </c:pt>
                <c:pt idx="18">
                  <c:v>1.4546562300683371E-3</c:v>
                </c:pt>
                <c:pt idx="19">
                  <c:v>1.4546562300683371E-3</c:v>
                </c:pt>
                <c:pt idx="20">
                  <c:v>1.4546562300683371E-3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D0-4F2F-BA0A-6213D37F7926}"/>
            </c:ext>
          </c:extLst>
        </c:ser>
        <c:ser>
          <c:idx val="2"/>
          <c:order val="2"/>
          <c:tx>
            <c:strRef>
              <c:f>'BNVFE-rail-frgt'!$A$4</c:f>
              <c:strCache>
                <c:ptCount val="1"/>
                <c:pt idx="0">
                  <c:v>gasoline vehicle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'BNVFE-rail-frgt'!$B$1:$V$1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xVal>
          <c:yVal>
            <c:numRef>
              <c:f>'BNVFE-rail-frgt'!$B$4:$V$4</c:f>
              <c:numCache>
                <c:formatCode>0.00E+00</c:formatCode>
                <c:ptCount val="21"/>
                <c:pt idx="0">
                  <c:v>1.4546562300683371E-3</c:v>
                </c:pt>
                <c:pt idx="1">
                  <c:v>1.4546562300683371E-3</c:v>
                </c:pt>
                <c:pt idx="2">
                  <c:v>1.4546562300683371E-3</c:v>
                </c:pt>
                <c:pt idx="3">
                  <c:v>1.4546562300683371E-3</c:v>
                </c:pt>
                <c:pt idx="4">
                  <c:v>1.4546562300683371E-3</c:v>
                </c:pt>
                <c:pt idx="5">
                  <c:v>1.4546562300683371E-3</c:v>
                </c:pt>
                <c:pt idx="6">
                  <c:v>1.4546562300683371E-3</c:v>
                </c:pt>
                <c:pt idx="7">
                  <c:v>1.4546562300683371E-3</c:v>
                </c:pt>
                <c:pt idx="8">
                  <c:v>1.4546562300683371E-3</c:v>
                </c:pt>
                <c:pt idx="9">
                  <c:v>1.4546562300683371E-3</c:v>
                </c:pt>
                <c:pt idx="10">
                  <c:v>1.4546562300683371E-3</c:v>
                </c:pt>
                <c:pt idx="11">
                  <c:v>1.4546562300683371E-3</c:v>
                </c:pt>
                <c:pt idx="12">
                  <c:v>1.4546562300683371E-3</c:v>
                </c:pt>
                <c:pt idx="13">
                  <c:v>1.4546562300683371E-3</c:v>
                </c:pt>
                <c:pt idx="14">
                  <c:v>1.4546562300683371E-3</c:v>
                </c:pt>
                <c:pt idx="15">
                  <c:v>1.4546562300683371E-3</c:v>
                </c:pt>
                <c:pt idx="16">
                  <c:v>1.4546562300683371E-3</c:v>
                </c:pt>
                <c:pt idx="17">
                  <c:v>1.4546562300683371E-3</c:v>
                </c:pt>
                <c:pt idx="18">
                  <c:v>1.4546562300683371E-3</c:v>
                </c:pt>
                <c:pt idx="19">
                  <c:v>1.4546562300683371E-3</c:v>
                </c:pt>
                <c:pt idx="20">
                  <c:v>1.4546562300683371E-3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D0-4F2F-BA0A-6213D37F7926}"/>
            </c:ext>
          </c:extLst>
        </c:ser>
        <c:ser>
          <c:idx val="3"/>
          <c:order val="3"/>
          <c:tx>
            <c:strRef>
              <c:f>'BNVFE-rail-frgt'!$A$5</c:f>
              <c:strCache>
                <c:ptCount val="1"/>
                <c:pt idx="0">
                  <c:v>diesel vehicle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'BNVFE-rail-frgt'!$B$1:$V$1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xVal>
          <c:yVal>
            <c:numRef>
              <c:f>'BNVFE-rail-frgt'!$B$5:$V$5</c:f>
              <c:numCache>
                <c:formatCode>0.00E+00</c:formatCode>
                <c:ptCount val="21"/>
                <c:pt idx="0">
                  <c:v>1.4561365865330609E-3</c:v>
                </c:pt>
                <c:pt idx="1">
                  <c:v>1.4576184495085445E-3</c:v>
                </c:pt>
                <c:pt idx="2">
                  <c:v>1.4591018205279151E-3</c:v>
                </c:pt>
                <c:pt idx="3">
                  <c:v>1.4605867011258603E-3</c:v>
                </c:pt>
                <c:pt idx="4">
                  <c:v>1.4620730928386291E-3</c:v>
                </c:pt>
                <c:pt idx="5">
                  <c:v>1.463560997204034E-3</c:v>
                </c:pt>
                <c:pt idx="6">
                  <c:v>1.4650504157614527E-3</c:v>
                </c:pt>
                <c:pt idx="7">
                  <c:v>1.4665413500518291E-3</c:v>
                </c:pt>
                <c:pt idx="8">
                  <c:v>1.4680338016176755E-3</c:v>
                </c:pt>
                <c:pt idx="9">
                  <c:v>1.4695277720030741E-3</c:v>
                </c:pt>
                <c:pt idx="10">
                  <c:v>1.4710232627536781E-3</c:v>
                </c:pt>
                <c:pt idx="11">
                  <c:v>1.4725202754167139E-3</c:v>
                </c:pt>
                <c:pt idx="12">
                  <c:v>1.4740188115409825E-3</c:v>
                </c:pt>
                <c:pt idx="13">
                  <c:v>1.475518872676861E-3</c:v>
                </c:pt>
                <c:pt idx="14">
                  <c:v>1.4770204603763042E-3</c:v>
                </c:pt>
                <c:pt idx="15">
                  <c:v>1.4785235761928463E-3</c:v>
                </c:pt>
                <c:pt idx="16">
                  <c:v>1.4800282216816025E-3</c:v>
                </c:pt>
                <c:pt idx="17">
                  <c:v>1.4815343983992707E-3</c:v>
                </c:pt>
                <c:pt idx="18">
                  <c:v>1.4830421079041326E-3</c:v>
                </c:pt>
                <c:pt idx="19">
                  <c:v>1.4845513517560563E-3</c:v>
                </c:pt>
                <c:pt idx="20">
                  <c:v>1.4860621315164971E-3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D0-4F2F-BA0A-6213D37F7926}"/>
            </c:ext>
          </c:extLst>
        </c:ser>
        <c:ser>
          <c:idx val="4"/>
          <c:order val="4"/>
          <c:tx>
            <c:strRef>
              <c:f>'BNVFE-rail-frgt'!$A$6</c:f>
              <c:strCache>
                <c:ptCount val="1"/>
                <c:pt idx="0">
                  <c:v>plugin hybrid vehicle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'BNVFE-rail-frgt'!$B$1:$V$1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xVal>
          <c:yVal>
            <c:numRef>
              <c:f>'BNVFE-rail-frgt'!$B$6:$V$6</c:f>
              <c:numCache>
                <c:formatCode>0.00E+00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D0-4F2F-BA0A-6213D37F7926}"/>
            </c:ext>
          </c:extLst>
        </c:ser>
        <c:ser>
          <c:idx val="5"/>
          <c:order val="5"/>
          <c:tx>
            <c:strRef>
              <c:f>'BNVFE-rail-frgt'!$A$7</c:f>
              <c:strCache>
                <c:ptCount val="1"/>
                <c:pt idx="0">
                  <c:v>LPG vehicle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'BNVFE-rail-frgt'!$B$1:$V$1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xVal>
          <c:yVal>
            <c:numRef>
              <c:f>'BNVFE-rail-frgt'!$B$7:$V$7</c:f>
              <c:numCache>
                <c:formatCode>0.00E+00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D0-4F2F-BA0A-6213D37F7926}"/>
            </c:ext>
          </c:extLst>
        </c:ser>
        <c:ser>
          <c:idx val="6"/>
          <c:order val="6"/>
          <c:tx>
            <c:strRef>
              <c:f>'BNVFE-rail-frgt'!$A$8</c:f>
              <c:strCache>
                <c:ptCount val="1"/>
                <c:pt idx="0">
                  <c:v>hydrogen vehicle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'BNVFE-rail-frgt'!$B$1:$V$1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xVal>
          <c:yVal>
            <c:numRef>
              <c:f>'BNVFE-rail-frgt'!$B$8:$V$8</c:f>
              <c:numCache>
                <c:formatCode>0.00E+00</c:formatCode>
                <c:ptCount val="21"/>
                <c:pt idx="0">
                  <c:v>4.3684097595991823E-3</c:v>
                </c:pt>
                <c:pt idx="1">
                  <c:v>4.372855348525633E-3</c:v>
                </c:pt>
                <c:pt idx="2">
                  <c:v>4.3773054615837449E-3</c:v>
                </c:pt>
                <c:pt idx="3">
                  <c:v>4.3817601033775801E-3</c:v>
                </c:pt>
                <c:pt idx="4">
                  <c:v>4.3862192785158868E-3</c:v>
                </c:pt>
                <c:pt idx="5">
                  <c:v>4.3906829916121014E-3</c:v>
                </c:pt>
                <c:pt idx="6">
                  <c:v>4.395151247284357E-3</c:v>
                </c:pt>
                <c:pt idx="7">
                  <c:v>4.3996240501554861E-3</c:v>
                </c:pt>
                <c:pt idx="8">
                  <c:v>4.4041014048530258E-3</c:v>
                </c:pt>
                <c:pt idx="9">
                  <c:v>4.4085833160092212E-3</c:v>
                </c:pt>
                <c:pt idx="10">
                  <c:v>4.4130697882610332E-3</c:v>
                </c:pt>
                <c:pt idx="11">
                  <c:v>4.4175608262501404E-3</c:v>
                </c:pt>
                <c:pt idx="12">
                  <c:v>4.4220564346229459E-3</c:v>
                </c:pt>
                <c:pt idx="13">
                  <c:v>4.4265566180305815E-3</c:v>
                </c:pt>
                <c:pt idx="14">
                  <c:v>4.4310613811289106E-3</c:v>
                </c:pt>
                <c:pt idx="15">
                  <c:v>4.4355707285785367E-3</c:v>
                </c:pt>
                <c:pt idx="16">
                  <c:v>4.4400846650448052E-3</c:v>
                </c:pt>
                <c:pt idx="17">
                  <c:v>4.4446031951978094E-3</c:v>
                </c:pt>
                <c:pt idx="18">
                  <c:v>4.4491263237123957E-3</c:v>
                </c:pt>
                <c:pt idx="19">
                  <c:v>4.4536540552681672E-3</c:v>
                </c:pt>
                <c:pt idx="20">
                  <c:v>4.4581863945494897E-3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3D0-4F2F-BA0A-6213D37F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60655"/>
        <c:axId val="62661615"/>
      </c:scatterChart>
      <c:valAx>
        <c:axId val="6266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61615"/>
        <c:crosses val="autoZero"/>
        <c:crossBetween val="midCat"/>
      </c:valAx>
      <c:valAx>
        <c:axId val="6266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60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100012</xdr:colOff>
      <xdr:row>10</xdr:row>
      <xdr:rowOff>33337</xdr:rowOff>
    </xdr:from>
    <xdr:to>
      <xdr:col>14</xdr:col>
      <xdr:colOff>338137</xdr:colOff>
      <xdr:row>24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408322-D991-FC86-8CBD-ABF99C180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cheric.org/PDF/PIC/PC24/PC24-4-0022.pdf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DC44-2269-493E-A648-3F924433C76C}">
  <dimension ref="A1:B10"/>
  <sheetViews>
    <sheetView workbookViewId="0">
      <selection activeCell="D35" sqref="D35"/>
    </sheetView>
  </sheetViews>
  <sheetFormatPr defaultRowHeight="14.5"/>
  <sheetData>
    <row r="1" spans="1:2">
      <c r="A1" s="22" t="s">
        <v>0</v>
      </c>
    </row>
    <row r="3" spans="1:2">
      <c r="A3" s="20" t="s">
        <v>1</v>
      </c>
      <c r="B3" t="s">
        <v>2</v>
      </c>
    </row>
    <row r="5" spans="1:2">
      <c r="A5" s="20" t="s">
        <v>3</v>
      </c>
    </row>
    <row r="6" spans="1:2">
      <c r="A6" t="s">
        <v>4</v>
      </c>
    </row>
    <row r="8" spans="1:2">
      <c r="A8" t="s">
        <v>5</v>
      </c>
    </row>
    <row r="9" spans="1:2">
      <c r="A9" s="19" t="s">
        <v>6</v>
      </c>
    </row>
    <row r="10" spans="1:2">
      <c r="A10" s="4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4805-68D5-4764-BABD-F181D2DA9F20}">
  <sheetPr>
    <tabColor theme="4" tint="0.79998168889431442"/>
  </sheetPr>
  <dimension ref="A1:H8"/>
  <sheetViews>
    <sheetView workbookViewId="0">
      <selection activeCell="E34" sqref="E34"/>
    </sheetView>
  </sheetViews>
  <sheetFormatPr defaultRowHeight="14.5"/>
  <cols>
    <col min="1" max="1" width="19.7265625" bestFit="1" customWidth="1"/>
    <col min="2" max="2" width="21.453125" bestFit="1" customWidth="1"/>
    <col min="3" max="3" width="18.26953125" bestFit="1" customWidth="1"/>
    <col min="4" max="4" width="15.453125" bestFit="1" customWidth="1"/>
    <col min="5" max="5" width="13.26953125" bestFit="1" customWidth="1"/>
    <col min="6" max="6" width="20.453125" bestFit="1" customWidth="1"/>
    <col min="7" max="7" width="11.453125" bestFit="1" customWidth="1"/>
    <col min="8" max="8" width="16.7265625" bestFit="1" customWidth="1"/>
  </cols>
  <sheetData>
    <row r="1" spans="1:8" ht="16.5" customHeight="1">
      <c r="A1" s="2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>
      <c r="A2" s="1" t="s">
        <v>16</v>
      </c>
      <c r="B2" s="34">
        <v>8.2452399742772187E-4</v>
      </c>
      <c r="C2" s="34">
        <v>1.8034360055260913E-4</v>
      </c>
      <c r="D2" s="34">
        <v>2.4832143085868106E-4</v>
      </c>
      <c r="E2" s="34">
        <v>2.3044305508156172E-4</v>
      </c>
      <c r="F2" s="34">
        <v>2.8351829453691153E-4</v>
      </c>
      <c r="G2" s="34">
        <v>2.4266759834522006E-4</v>
      </c>
      <c r="H2" s="34">
        <v>1.2452892300902612E-3</v>
      </c>
    </row>
    <row r="3" spans="1:8">
      <c r="A3" s="1" t="s">
        <v>17</v>
      </c>
      <c r="B3" s="34">
        <v>2.3069174795649441E-3</v>
      </c>
      <c r="C3" s="34">
        <v>1.632206926082601E-3</v>
      </c>
      <c r="D3" s="34">
        <v>5.9188212228936902E-4</v>
      </c>
      <c r="E3" s="34">
        <v>7.1788880812845496E-4</v>
      </c>
      <c r="F3" s="34">
        <v>1.591854577418524E-3</v>
      </c>
      <c r="G3" s="34">
        <v>1.2712108426100193E-3</v>
      </c>
      <c r="H3" s="34">
        <v>2.1536664243853644E-3</v>
      </c>
    </row>
    <row r="4" spans="1:8">
      <c r="A4" s="1" t="s">
        <v>18</v>
      </c>
      <c r="B4" s="34">
        <v>1.3685532721117956E-3</v>
      </c>
      <c r="C4" s="34">
        <v>4.2587959304115009E-4</v>
      </c>
      <c r="D4" s="34">
        <v>4.2587959304115009E-4</v>
      </c>
      <c r="E4" s="34">
        <v>4.2587959304115009E-4</v>
      </c>
      <c r="F4" s="34">
        <v>0</v>
      </c>
      <c r="G4" s="34">
        <v>0</v>
      </c>
      <c r="H4" s="34">
        <v>1.2776387791234502E-3</v>
      </c>
    </row>
    <row r="5" spans="1:8">
      <c r="A5" s="1" t="s">
        <v>19</v>
      </c>
      <c r="B5" s="34">
        <v>1.6872967255900227E-2</v>
      </c>
      <c r="C5" s="34">
        <v>1.2658454254639211E-3</v>
      </c>
      <c r="D5" s="34">
        <v>1.2658454254639211E-3</v>
      </c>
      <c r="E5" s="34">
        <v>1.2658454254639211E-3</v>
      </c>
      <c r="F5" s="34">
        <v>0</v>
      </c>
      <c r="G5" s="34">
        <v>0</v>
      </c>
      <c r="H5" s="34">
        <v>3.797536276391763E-3</v>
      </c>
    </row>
    <row r="6" spans="1:8">
      <c r="A6" s="1" t="s">
        <v>20</v>
      </c>
      <c r="B6" s="34">
        <v>4.1217725374913233E-3</v>
      </c>
      <c r="C6" s="34">
        <v>0</v>
      </c>
      <c r="D6" s="34">
        <v>1.2826530829001732E-3</v>
      </c>
      <c r="E6" s="34">
        <v>1.2826528909366407E-3</v>
      </c>
      <c r="F6" s="34">
        <v>0</v>
      </c>
      <c r="G6" s="34">
        <v>0</v>
      </c>
      <c r="H6" s="34">
        <v>3.8479586728099209E-3</v>
      </c>
    </row>
    <row r="7" spans="1:8">
      <c r="A7" s="1" t="s">
        <v>21</v>
      </c>
      <c r="B7" s="34">
        <v>5.0261148102940046E-3</v>
      </c>
      <c r="C7" s="34">
        <v>1.578449279265886E-3</v>
      </c>
      <c r="D7" s="34">
        <v>1.578449279265886E-3</v>
      </c>
      <c r="E7" s="34">
        <v>1.578449279265886E-3</v>
      </c>
      <c r="F7" s="34">
        <v>3.4746653213313518E-3</v>
      </c>
      <c r="G7" s="34">
        <v>1.2232981914310618E-3</v>
      </c>
      <c r="H7" s="34">
        <v>4.7353478377976568E-3</v>
      </c>
    </row>
    <row r="8" spans="1:8">
      <c r="A8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8DEC-73E8-46B0-9169-2591B82A049E}">
  <sheetPr>
    <tabColor theme="4" tint="0.79998168889431442"/>
  </sheetPr>
  <dimension ref="A1:J11"/>
  <sheetViews>
    <sheetView tabSelected="1" workbookViewId="0">
      <selection activeCell="F32" sqref="F32"/>
    </sheetView>
  </sheetViews>
  <sheetFormatPr defaultRowHeight="14.5"/>
  <cols>
    <col min="1" max="1" width="11.26953125" bestFit="1" customWidth="1"/>
    <col min="2" max="2" width="21.453125" bestFit="1" customWidth="1"/>
    <col min="3" max="3" width="18.26953125" bestFit="1" customWidth="1"/>
    <col min="4" max="4" width="15.453125" bestFit="1" customWidth="1"/>
    <col min="5" max="5" width="13.26953125" bestFit="1" customWidth="1"/>
    <col min="6" max="6" width="20.453125" bestFit="1" customWidth="1"/>
    <col min="7" max="7" width="11.453125" bestFit="1" customWidth="1"/>
    <col min="8" max="8" width="16.7265625" bestFit="1" customWidth="1"/>
  </cols>
  <sheetData>
    <row r="1" spans="1:10">
      <c r="A1" s="1" t="s">
        <v>71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/>
      <c r="J1" s="1"/>
    </row>
    <row r="2" spans="1:10">
      <c r="A2" s="1" t="s">
        <v>16</v>
      </c>
      <c r="B2" s="34">
        <v>1.6928597503230273E-4</v>
      </c>
      <c r="C2" s="34">
        <v>3.9414710005125919E-5</v>
      </c>
      <c r="D2" s="34">
        <v>5.2386953567623324E-5</v>
      </c>
      <c r="E2" s="34">
        <v>5.0291963834037454E-5</v>
      </c>
      <c r="F2" s="34">
        <v>8.6127967293943671E-5</v>
      </c>
      <c r="G2" s="34">
        <v>6.483273085017986E-5</v>
      </c>
      <c r="H2" s="34">
        <v>4.704096300440833E-5</v>
      </c>
      <c r="I2" s="1"/>
      <c r="J2" s="1"/>
    </row>
    <row r="3" spans="1:10">
      <c r="A3" s="1" t="s">
        <v>17</v>
      </c>
      <c r="B3" s="34">
        <v>6.8104722969909411E-4</v>
      </c>
      <c r="C3" s="34">
        <v>3.2315174219009485E-4</v>
      </c>
      <c r="D3" s="34">
        <v>2.8108969761825162E-4</v>
      </c>
      <c r="E3" s="34">
        <v>3.1393293836166002E-4</v>
      </c>
      <c r="F3" s="34">
        <v>0</v>
      </c>
      <c r="G3" s="34">
        <v>2.8756540025017219E-4</v>
      </c>
      <c r="H3" s="34">
        <v>0</v>
      </c>
      <c r="I3" s="1"/>
      <c r="J3" s="1"/>
    </row>
    <row r="4" spans="1:10">
      <c r="A4" s="1" t="s">
        <v>18</v>
      </c>
      <c r="B4" s="34">
        <v>4.5340883864726072E-4</v>
      </c>
      <c r="C4" s="34">
        <v>1.4109613094299915E-4</v>
      </c>
      <c r="D4" s="34">
        <v>1.4109613094299915E-4</v>
      </c>
      <c r="E4" s="34">
        <v>1.4109613094299915E-4</v>
      </c>
      <c r="F4" s="34">
        <v>0</v>
      </c>
      <c r="G4" s="34">
        <v>0</v>
      </c>
      <c r="H4" s="34">
        <v>4.2328839282899743E-4</v>
      </c>
      <c r="I4" s="1"/>
      <c r="J4" s="1"/>
    </row>
    <row r="5" spans="1:10">
      <c r="A5" s="1" t="s">
        <v>19</v>
      </c>
      <c r="B5" s="34">
        <v>4.6745009058592668E-3</v>
      </c>
      <c r="C5" s="34">
        <v>1.4546562300683371E-3</v>
      </c>
      <c r="D5" s="34">
        <v>1.4546562300683371E-3</v>
      </c>
      <c r="E5" s="34">
        <v>1.4546562300683371E-3</v>
      </c>
      <c r="F5" s="34">
        <v>0</v>
      </c>
      <c r="G5" s="34">
        <v>0</v>
      </c>
      <c r="H5" s="34">
        <v>4.3639686902050114E-3</v>
      </c>
      <c r="I5" s="1"/>
      <c r="J5" s="1"/>
    </row>
    <row r="6" spans="1:10">
      <c r="A6" s="1" t="s">
        <v>20</v>
      </c>
      <c r="B6" s="34">
        <v>4.9965104568885609E-3</v>
      </c>
      <c r="C6" s="34">
        <v>1.5548622646760399E-3</v>
      </c>
      <c r="D6" s="34">
        <v>1.5548622646760399E-3</v>
      </c>
      <c r="E6" s="34">
        <v>1.5548622646760399E-3</v>
      </c>
      <c r="F6" s="34">
        <v>0</v>
      </c>
      <c r="G6" s="34">
        <v>0</v>
      </c>
      <c r="H6" s="34">
        <v>4.6645867940281194E-3</v>
      </c>
      <c r="I6" s="1"/>
      <c r="J6" s="1"/>
    </row>
    <row r="7" spans="1:10">
      <c r="A7" s="1" t="s">
        <v>21</v>
      </c>
      <c r="B7" s="34">
        <v>0</v>
      </c>
      <c r="C7" s="34">
        <v>0</v>
      </c>
      <c r="D7" s="34">
        <v>5.983190553484204E-5</v>
      </c>
      <c r="E7" s="34">
        <v>0</v>
      </c>
      <c r="F7" s="34">
        <v>0</v>
      </c>
      <c r="G7" s="34">
        <v>0</v>
      </c>
      <c r="H7" s="34">
        <v>0</v>
      </c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1DF4-B6CA-4335-92CE-F6DD5C298F44}">
  <dimension ref="A1:AC8"/>
  <sheetViews>
    <sheetView workbookViewId="0">
      <selection sqref="A1:XFD1048576"/>
    </sheetView>
  </sheetViews>
  <sheetFormatPr defaultRowHeight="14.5"/>
  <cols>
    <col min="1" max="1" width="31.1796875" style="1" customWidth="1"/>
    <col min="2" max="16384" width="8.7265625" style="1"/>
  </cols>
  <sheetData>
    <row r="1" spans="1:29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>
      <c r="A2" s="1" t="s">
        <v>9</v>
      </c>
      <c r="B2" s="1">
        <v>1.1704178038241025E-3</v>
      </c>
      <c r="C2" s="1">
        <v>1.8334104357125213E-3</v>
      </c>
      <c r="D2" s="1">
        <v>1.5977722665200707E-3</v>
      </c>
      <c r="E2" s="1">
        <v>1.535679733313378E-3</v>
      </c>
      <c r="F2" s="1">
        <v>1.501720108813058E-3</v>
      </c>
      <c r="G2" s="1">
        <v>1.4797353557080425E-3</v>
      </c>
      <c r="H2" s="1">
        <v>1.4555534269877091E-3</v>
      </c>
      <c r="I2" s="1">
        <v>1.4652250250864816E-3</v>
      </c>
      <c r="J2" s="1">
        <v>1.4783719628729134E-3</v>
      </c>
      <c r="K2" s="1">
        <v>1.4872961660807552E-3</v>
      </c>
      <c r="L2" s="1">
        <v>1.4847663683733539E-3</v>
      </c>
      <c r="M2" s="1">
        <v>1.4810787024664559E-3</v>
      </c>
      <c r="N2" s="1">
        <v>1.4775345941420892E-3</v>
      </c>
      <c r="O2" s="1">
        <v>1.4744203317819209E-3</v>
      </c>
      <c r="P2" s="1">
        <v>1.4718262024301875E-3</v>
      </c>
      <c r="Q2" s="1">
        <v>1.4694223127301395E-3</v>
      </c>
      <c r="R2" s="1">
        <v>1.4673355365911207E-3</v>
      </c>
      <c r="S2" s="1">
        <v>1.4647489555709471E-3</v>
      </c>
      <c r="T2" s="1">
        <v>1.4627132231404192E-3</v>
      </c>
      <c r="U2" s="1">
        <v>1.4607640416358072E-3</v>
      </c>
      <c r="V2" s="1">
        <v>1.458619544849511E-3</v>
      </c>
      <c r="W2" s="1">
        <v>1.456573633893484E-3</v>
      </c>
      <c r="X2" s="1">
        <v>1.4547704626175814E-3</v>
      </c>
      <c r="Y2" s="1">
        <v>1.4533374957647345E-3</v>
      </c>
      <c r="Z2" s="1">
        <v>1.4521713576729407E-3</v>
      </c>
      <c r="AA2" s="1">
        <v>1.4511442589493044E-3</v>
      </c>
      <c r="AB2" s="1">
        <v>1.4499777531997114E-3</v>
      </c>
      <c r="AC2" s="1">
        <v>1.4489849336051929E-3</v>
      </c>
    </row>
    <row r="3" spans="1:29">
      <c r="A3" s="1" t="s">
        <v>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>
      <c r="A4" s="1" t="s">
        <v>11</v>
      </c>
      <c r="B4" s="1">
        <v>4.0102815590911211E-4</v>
      </c>
      <c r="C4" s="1">
        <v>3.7447643323240698E-4</v>
      </c>
      <c r="D4" s="1">
        <v>3.8969037817856381E-4</v>
      </c>
      <c r="E4" s="1">
        <v>3.9985001436006255E-4</v>
      </c>
      <c r="F4" s="1">
        <v>4.0645495978422236E-4</v>
      </c>
      <c r="G4" s="1">
        <v>4.1222868457836193E-4</v>
      </c>
      <c r="H4" s="1">
        <v>4.1315950014361388E-4</v>
      </c>
      <c r="I4" s="1">
        <v>4.1586031572729884E-4</v>
      </c>
      <c r="J4" s="1">
        <v>4.1791006177450995E-4</v>
      </c>
      <c r="K4" s="1">
        <v>4.1868747861134429E-4</v>
      </c>
      <c r="L4" s="1">
        <v>4.2132009406936789E-4</v>
      </c>
      <c r="M4" s="1">
        <v>4.224153063913546E-4</v>
      </c>
      <c r="N4" s="1">
        <v>4.2414977562549528E-4</v>
      </c>
      <c r="O4" s="1">
        <v>4.2551597947059568E-4</v>
      </c>
      <c r="P4" s="1">
        <v>4.2699017471707065E-4</v>
      </c>
      <c r="Q4" s="1">
        <v>4.278185027990744E-4</v>
      </c>
      <c r="R4" s="1">
        <v>4.2962147676115707E-4</v>
      </c>
      <c r="S4" s="1">
        <v>4.3041495518616422E-4</v>
      </c>
      <c r="T4" s="1">
        <v>4.3058027955271102E-4</v>
      </c>
      <c r="U4" s="1">
        <v>4.3088934374883934E-4</v>
      </c>
      <c r="V4" s="1">
        <v>4.3093489146882265E-4</v>
      </c>
      <c r="W4" s="1">
        <v>4.3107618325306866E-4</v>
      </c>
      <c r="X4" s="1">
        <v>4.3159356456922571E-4</v>
      </c>
      <c r="Y4" s="1">
        <v>4.3137509125134069E-4</v>
      </c>
      <c r="Z4" s="1">
        <v>4.3181432059055414E-4</v>
      </c>
      <c r="AA4" s="1">
        <v>4.3184298375304391E-4</v>
      </c>
      <c r="AB4" s="1">
        <v>4.3221033154474715E-4</v>
      </c>
      <c r="AC4" s="1">
        <v>4.3232208233433581E-4</v>
      </c>
    </row>
    <row r="5" spans="1:29">
      <c r="A5" s="1" t="s">
        <v>12</v>
      </c>
      <c r="B5" s="1">
        <v>4.1870929984394776E-4</v>
      </c>
      <c r="C5" s="1">
        <v>3.4409208550507931E-4</v>
      </c>
      <c r="D5" s="1">
        <v>3.7206420577137706E-4</v>
      </c>
      <c r="E5" s="1">
        <v>3.7002927029200597E-4</v>
      </c>
      <c r="F5" s="1">
        <v>3.6966887338309314E-4</v>
      </c>
      <c r="G5" s="1">
        <v>3.7015557272571478E-4</v>
      </c>
      <c r="H5" s="1">
        <v>3.7027151917209386E-4</v>
      </c>
      <c r="I5" s="1">
        <v>3.7054919642988908E-4</v>
      </c>
      <c r="J5" s="1">
        <v>3.707505129761553E-4</v>
      </c>
      <c r="K5" s="1">
        <v>3.7089429982190919E-4</v>
      </c>
      <c r="L5" s="1">
        <v>3.7117173127195564E-4</v>
      </c>
      <c r="M5" s="1">
        <v>3.7103430336579029E-4</v>
      </c>
      <c r="N5" s="1">
        <v>3.7122252797760965E-4</v>
      </c>
      <c r="O5" s="1">
        <v>3.7140072790819534E-4</v>
      </c>
      <c r="P5" s="1">
        <v>3.7151280555435413E-4</v>
      </c>
      <c r="Q5" s="1">
        <v>3.7163899042783532E-4</v>
      </c>
      <c r="R5" s="1">
        <v>3.7167033625945393E-4</v>
      </c>
      <c r="S5" s="1">
        <v>3.7199514448125803E-4</v>
      </c>
      <c r="T5" s="1">
        <v>3.7169419029838084E-4</v>
      </c>
      <c r="U5" s="1">
        <v>3.716051865187288E-4</v>
      </c>
      <c r="V5" s="1">
        <v>3.7140905330977419E-4</v>
      </c>
      <c r="W5" s="1">
        <v>3.7127891413772543E-4</v>
      </c>
      <c r="X5" s="1">
        <v>3.7153506718656061E-4</v>
      </c>
      <c r="Y5" s="1">
        <v>3.7114111217629008E-4</v>
      </c>
      <c r="Z5" s="1">
        <v>3.7111951315627604E-4</v>
      </c>
      <c r="AA5" s="1">
        <v>3.7104661512781705E-4</v>
      </c>
      <c r="AB5" s="1">
        <v>3.7093976356814359E-4</v>
      </c>
      <c r="AC5" s="1">
        <v>3.708372296750142E-4</v>
      </c>
    </row>
    <row r="6" spans="1:29">
      <c r="A6" s="1" t="s">
        <v>13</v>
      </c>
      <c r="B6" s="1">
        <v>6.0150704320725845E-4</v>
      </c>
      <c r="C6" s="1">
        <v>5.3583985164873816E-4</v>
      </c>
      <c r="D6" s="1">
        <v>6.2417769080830017E-4</v>
      </c>
      <c r="E6" s="1">
        <v>6.4047721069137524E-4</v>
      </c>
      <c r="F6" s="1">
        <v>6.7015236710704651E-4</v>
      </c>
      <c r="G6" s="1">
        <v>6.5479579323872233E-4</v>
      </c>
      <c r="H6" s="1">
        <v>6.4035453567148405E-4</v>
      </c>
      <c r="I6" s="1">
        <v>6.3036532167118039E-4</v>
      </c>
      <c r="J6" s="1">
        <v>6.3582885205406366E-4</v>
      </c>
      <c r="K6" s="1">
        <v>6.3646589006351108E-4</v>
      </c>
      <c r="L6" s="1">
        <v>6.3965910450751917E-4</v>
      </c>
      <c r="M6" s="1">
        <v>6.3870954215501706E-4</v>
      </c>
      <c r="N6" s="1">
        <v>6.4122955752600225E-4</v>
      </c>
      <c r="O6" s="1">
        <v>6.4225408236033045E-4</v>
      </c>
      <c r="P6" s="1">
        <v>6.4363257756582892E-4</v>
      </c>
      <c r="Q6" s="1">
        <v>6.4381969842214543E-4</v>
      </c>
      <c r="R6" s="1">
        <v>6.4496639036889267E-4</v>
      </c>
      <c r="S6" s="1">
        <v>6.4583010608143087E-4</v>
      </c>
      <c r="T6" s="1">
        <v>6.440526115605664E-4</v>
      </c>
      <c r="U6" s="1">
        <v>6.429326955477324E-4</v>
      </c>
      <c r="V6" s="1">
        <v>6.4137507581927395E-4</v>
      </c>
      <c r="W6" s="1">
        <v>6.4019098691623353E-4</v>
      </c>
      <c r="X6" s="1">
        <v>6.4057828892344034E-4</v>
      </c>
      <c r="Y6" s="1">
        <v>6.3772329312961735E-4</v>
      </c>
      <c r="Z6" s="1">
        <v>6.3693830741866852E-4</v>
      </c>
      <c r="AA6" s="1">
        <v>6.349866086386778E-4</v>
      </c>
      <c r="AB6" s="1">
        <v>6.3417989102265216E-4</v>
      </c>
      <c r="AC6" s="1">
        <v>6.3255539839999662E-4</v>
      </c>
    </row>
    <row r="7" spans="1:29">
      <c r="A7" s="1" t="s">
        <v>14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 t="s">
        <v>15</v>
      </c>
      <c r="B8" s="1">
        <v>5.6894733626181731E-4</v>
      </c>
      <c r="C8" s="1">
        <v>1.0820719047685537E-3</v>
      </c>
      <c r="D8" s="1">
        <v>1.1300543254446212E-3</v>
      </c>
      <c r="E8" s="1">
        <v>1.1300543254446212E-3</v>
      </c>
      <c r="F8" s="1">
        <v>1.1300543254446212E-3</v>
      </c>
      <c r="G8" s="1">
        <v>1.1300544109429686E-3</v>
      </c>
      <c r="H8" s="1">
        <v>1.1300543254446212E-3</v>
      </c>
      <c r="I8" s="1">
        <v>1.1300543254446212E-3</v>
      </c>
      <c r="J8" s="1">
        <v>1.1300543254446212E-3</v>
      </c>
      <c r="K8" s="1">
        <v>1.1300543254446212E-3</v>
      </c>
      <c r="L8" s="1">
        <v>1.1300543254446212E-3</v>
      </c>
      <c r="M8" s="1">
        <v>1.1300543254446212E-3</v>
      </c>
      <c r="N8" s="1">
        <v>1.1300543254446212E-3</v>
      </c>
      <c r="O8" s="1">
        <v>1.1300543254446212E-3</v>
      </c>
      <c r="P8" s="1">
        <v>1.1300543254446212E-3</v>
      </c>
      <c r="Q8" s="1">
        <v>1.1300543254446212E-3</v>
      </c>
      <c r="R8" s="1">
        <v>1.1300543254446212E-3</v>
      </c>
      <c r="S8" s="1">
        <v>1.1300544109429686E-3</v>
      </c>
      <c r="T8" s="1">
        <v>1.1300544109429686E-3</v>
      </c>
      <c r="U8" s="1">
        <v>1.1300543254446212E-3</v>
      </c>
      <c r="V8" s="1">
        <v>1.1300544109429686E-3</v>
      </c>
      <c r="W8" s="1">
        <v>1.1300543254446212E-3</v>
      </c>
      <c r="X8" s="1">
        <v>1.1300544109429686E-3</v>
      </c>
      <c r="Y8" s="1">
        <v>1.1300544109429686E-3</v>
      </c>
      <c r="Z8" s="1">
        <v>1.1300542399462739E-3</v>
      </c>
      <c r="AA8" s="1">
        <v>1.1300543254446212E-3</v>
      </c>
      <c r="AB8" s="1">
        <v>1.1300543254446212E-3</v>
      </c>
      <c r="AC8" s="1">
        <v>1.1300543254446212E-3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7918-D3AB-4AF1-9F44-DA1759B14BDC}">
  <dimension ref="A1:AF8"/>
  <sheetViews>
    <sheetView workbookViewId="0">
      <selection sqref="A1:XFD1048576"/>
    </sheetView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/>
      <c r="AE1" s="1"/>
      <c r="AF1" s="1"/>
    </row>
    <row r="2" spans="1:32">
      <c r="A2" s="1" t="s">
        <v>9</v>
      </c>
      <c r="B2">
        <v>3.0156650473713915E-4</v>
      </c>
      <c r="C2">
        <v>3.0711262456552176E-4</v>
      </c>
      <c r="D2">
        <v>3.1265874439390443E-4</v>
      </c>
      <c r="E2">
        <v>3.1820486422228704E-4</v>
      </c>
      <c r="F2">
        <v>3.2375098405066965E-4</v>
      </c>
      <c r="G2">
        <v>3.2929710387905232E-4</v>
      </c>
      <c r="H2">
        <v>3.3484322370743493E-4</v>
      </c>
      <c r="I2">
        <v>3.403893435358176E-4</v>
      </c>
      <c r="J2">
        <v>3.4593546336420021E-4</v>
      </c>
      <c r="K2">
        <v>3.5148158319258283E-4</v>
      </c>
      <c r="L2">
        <v>3.5702770302096549E-4</v>
      </c>
      <c r="M2">
        <v>3.6257382284934811E-4</v>
      </c>
      <c r="N2">
        <v>3.6811994267773077E-4</v>
      </c>
      <c r="O2">
        <v>3.7366606250611339E-4</v>
      </c>
      <c r="P2">
        <v>3.79212182334496E-4</v>
      </c>
      <c r="Q2">
        <v>3.8475830216287861E-4</v>
      </c>
      <c r="R2">
        <v>3.9030442199126128E-4</v>
      </c>
      <c r="S2">
        <v>3.9585054181964389E-4</v>
      </c>
      <c r="T2">
        <v>4.0139666164802656E-4</v>
      </c>
      <c r="U2">
        <v>4.0694278147640917E-4</v>
      </c>
      <c r="V2">
        <v>4.1248890130479179E-4</v>
      </c>
      <c r="W2">
        <v>4.1803502113317445E-4</v>
      </c>
      <c r="X2">
        <v>4.2358114096155707E-4</v>
      </c>
      <c r="Y2">
        <v>4.2912726078993973E-4</v>
      </c>
      <c r="Z2">
        <v>4.3467338061832235E-4</v>
      </c>
      <c r="AA2">
        <v>4.4021950044670496E-4</v>
      </c>
      <c r="AB2">
        <v>4.4576562027508757E-4</v>
      </c>
      <c r="AC2">
        <v>4.5131174010347024E-4</v>
      </c>
    </row>
    <row r="3" spans="1:32">
      <c r="A3" s="1" t="s">
        <v>10</v>
      </c>
      <c r="B3">
        <v>7.0213473556835903E-5</v>
      </c>
      <c r="C3">
        <v>6.0044206742857998E-5</v>
      </c>
      <c r="D3">
        <v>6.2138058541253246E-5</v>
      </c>
      <c r="E3">
        <v>6.2745303494752085E-5</v>
      </c>
      <c r="F3">
        <v>6.3329955444239936E-5</v>
      </c>
      <c r="G3">
        <v>6.384968190230344E-5</v>
      </c>
      <c r="H3">
        <v>6.4367631288435469E-5</v>
      </c>
      <c r="I3">
        <v>6.4733452515419103E-5</v>
      </c>
      <c r="J3">
        <v>6.5033770083332469E-5</v>
      </c>
      <c r="K3">
        <v>6.5299762009254293E-5</v>
      </c>
      <c r="L3">
        <v>6.5544558575828001E-5</v>
      </c>
      <c r="M3">
        <v>6.5737911617435617E-5</v>
      </c>
      <c r="N3">
        <v>6.601268017673803E-5</v>
      </c>
      <c r="O3">
        <v>6.6246899476219014E-5</v>
      </c>
      <c r="P3">
        <v>6.644421784152126E-5</v>
      </c>
      <c r="Q3">
        <v>6.6578137658374498E-5</v>
      </c>
      <c r="R3">
        <v>6.673136744675741E-5</v>
      </c>
      <c r="S3">
        <v>6.7153021070857731E-5</v>
      </c>
      <c r="T3">
        <v>6.775235873711663E-5</v>
      </c>
      <c r="U3">
        <v>6.8377432914802096E-5</v>
      </c>
      <c r="V3">
        <v>6.9142119423188457E-5</v>
      </c>
      <c r="W3">
        <v>7.0177609184652269E-5</v>
      </c>
      <c r="X3">
        <v>7.1216150096781877E-5</v>
      </c>
      <c r="Y3">
        <v>7.1903223625240076E-5</v>
      </c>
      <c r="Z3">
        <v>7.2557131933060956E-5</v>
      </c>
      <c r="AA3">
        <v>7.3326782402226946E-5</v>
      </c>
      <c r="AB3">
        <v>7.4001482754221728E-5</v>
      </c>
      <c r="AC3">
        <v>7.4653990747376017E-5</v>
      </c>
    </row>
    <row r="4" spans="1:32">
      <c r="A4" s="1" t="s">
        <v>11</v>
      </c>
      <c r="B4">
        <v>9.3322264163941547E-5</v>
      </c>
      <c r="C4">
        <v>7.9806069110588361E-5</v>
      </c>
      <c r="D4">
        <v>8.2589053354941577E-5</v>
      </c>
      <c r="E4">
        <v>8.3396155910788876E-5</v>
      </c>
      <c r="F4">
        <v>8.4173229610609506E-5</v>
      </c>
      <c r="G4">
        <v>8.4864009419033756E-5</v>
      </c>
      <c r="H4">
        <v>8.5552427282266762E-5</v>
      </c>
      <c r="I4">
        <v>8.6038648280202556E-5</v>
      </c>
      <c r="J4">
        <v>8.6437806931471918E-5</v>
      </c>
      <c r="K4">
        <v>8.6791342620833007E-5</v>
      </c>
      <c r="L4">
        <v>8.7116707094273078E-5</v>
      </c>
      <c r="M4">
        <v>8.7373696852958087E-5</v>
      </c>
      <c r="N4">
        <v>8.7738897757801631E-5</v>
      </c>
      <c r="O4">
        <v>8.8050203754089717E-5</v>
      </c>
      <c r="P4">
        <v>8.8312463911269213E-5</v>
      </c>
      <c r="Q4">
        <v>8.8490459670374438E-5</v>
      </c>
      <c r="R4">
        <v>8.8694120735193857E-5</v>
      </c>
      <c r="S4">
        <v>8.9254549793900385E-5</v>
      </c>
      <c r="T4">
        <v>9.005114260124438E-5</v>
      </c>
      <c r="U4">
        <v>9.0881942369109463E-5</v>
      </c>
      <c r="V4">
        <v>9.1898303940802261E-5</v>
      </c>
      <c r="W4">
        <v>9.3274596042063404E-5</v>
      </c>
      <c r="X4">
        <v>9.4654943494441841E-5</v>
      </c>
      <c r="Y4">
        <v>9.5568147956131454E-5</v>
      </c>
      <c r="Z4">
        <v>9.643727179732782E-5</v>
      </c>
      <c r="AA4">
        <v>9.7460231077917589E-5</v>
      </c>
      <c r="AB4">
        <v>9.8356990080011308E-5</v>
      </c>
      <c r="AC4">
        <v>9.9224252732341657E-5</v>
      </c>
    </row>
    <row r="5" spans="1:32">
      <c r="A5" s="1" t="s">
        <v>12</v>
      </c>
      <c r="B5">
        <v>8.9590243650741159E-5</v>
      </c>
      <c r="C5">
        <v>9.2624627325099093E-5</v>
      </c>
      <c r="D5">
        <v>9.4039319505963393E-5</v>
      </c>
      <c r="E5">
        <v>9.551942495631675E-5</v>
      </c>
      <c r="F5">
        <v>9.6905632072353341E-5</v>
      </c>
      <c r="G5">
        <v>9.8202732180412605E-5</v>
      </c>
      <c r="H5">
        <v>9.9721338066549137E-5</v>
      </c>
      <c r="I5">
        <v>1.0081169489265913E-4</v>
      </c>
      <c r="J5">
        <v>1.0170272471446771E-4</v>
      </c>
      <c r="K5">
        <v>1.0236856686060925E-4</v>
      </c>
      <c r="L5">
        <v>1.0286054457172411E-4</v>
      </c>
      <c r="M5">
        <v>1.0321561853741178E-4</v>
      </c>
      <c r="N5">
        <v>1.0345030967819561E-4</v>
      </c>
      <c r="O5">
        <v>1.0343877169589721E-4</v>
      </c>
      <c r="P5">
        <v>1.0337603006127792E-4</v>
      </c>
      <c r="Q5">
        <v>1.0330751636556004E-4</v>
      </c>
      <c r="R5">
        <v>1.0321141530998804E-4</v>
      </c>
      <c r="S5">
        <v>1.0346947412128357E-4</v>
      </c>
      <c r="T5">
        <v>1.0435126032538917E-4</v>
      </c>
      <c r="U5">
        <v>1.0582333954058648E-4</v>
      </c>
      <c r="V5">
        <v>1.0746416919220236E-4</v>
      </c>
      <c r="W5">
        <v>1.0953784232727445E-4</v>
      </c>
      <c r="X5">
        <v>1.1157931459630521E-4</v>
      </c>
      <c r="Y5">
        <v>1.1284658598667777E-4</v>
      </c>
      <c r="Z5">
        <v>1.1415604002048589E-4</v>
      </c>
      <c r="AA5">
        <v>1.1552815965090279E-4</v>
      </c>
      <c r="AB5">
        <v>1.1648127569920354E-4</v>
      </c>
      <c r="AC5">
        <v>1.1716065297568211E-4</v>
      </c>
    </row>
    <row r="6" spans="1:32">
      <c r="A6" s="1" t="s">
        <v>13</v>
      </c>
      <c r="B6">
        <v>1.5342859945717928E-4</v>
      </c>
      <c r="C6">
        <v>1.3120699033094776E-4</v>
      </c>
      <c r="D6">
        <v>1.3578241912865039E-4</v>
      </c>
      <c r="E6">
        <v>1.3710935451616328E-4</v>
      </c>
      <c r="F6">
        <v>1.3838692027720226E-4</v>
      </c>
      <c r="G6">
        <v>1.3952261259552883E-4</v>
      </c>
      <c r="H6">
        <v>1.406544217039276E-4</v>
      </c>
      <c r="I6">
        <v>1.4145380443867251E-4</v>
      </c>
      <c r="J6">
        <v>1.4211005033427029E-4</v>
      </c>
      <c r="K6">
        <v>1.426912887575206E-4</v>
      </c>
      <c r="L6">
        <v>1.4322621164993281E-4</v>
      </c>
      <c r="M6">
        <v>1.4364872153118272E-4</v>
      </c>
      <c r="N6">
        <v>1.4424913841832776E-4</v>
      </c>
      <c r="O6">
        <v>1.447609481503462E-4</v>
      </c>
      <c r="P6">
        <v>1.4519212295059305E-4</v>
      </c>
      <c r="Q6">
        <v>1.4548476094296812E-4</v>
      </c>
      <c r="R6">
        <v>1.4581959456728212E-4</v>
      </c>
      <c r="S6">
        <v>1.4674098075891367E-4</v>
      </c>
      <c r="T6">
        <v>1.480506373544046E-4</v>
      </c>
      <c r="U6">
        <v>1.4941653268447249E-4</v>
      </c>
      <c r="V6">
        <v>1.5108750513551569E-4</v>
      </c>
      <c r="W6">
        <v>1.5335022959288118E-4</v>
      </c>
      <c r="X6">
        <v>1.5561962134285698E-4</v>
      </c>
      <c r="Y6">
        <v>1.5712099599155761E-4</v>
      </c>
      <c r="Z6">
        <v>1.585498988895343E-4</v>
      </c>
      <c r="AA6">
        <v>1.602317184545514E-4</v>
      </c>
      <c r="AB6">
        <v>1.6170605556986348E-4</v>
      </c>
      <c r="AC6">
        <v>1.6313189853778387E-4</v>
      </c>
    </row>
    <row r="7" spans="1:32">
      <c r="A7" s="1" t="s">
        <v>14</v>
      </c>
      <c r="B7">
        <v>1.1549320628198341E-4</v>
      </c>
      <c r="C7">
        <v>9.876591491770462E-5</v>
      </c>
      <c r="D7">
        <v>1.0221006381713506E-4</v>
      </c>
      <c r="E7">
        <v>1.0320891294288533E-4</v>
      </c>
      <c r="F7">
        <v>1.0417059913763974E-4</v>
      </c>
      <c r="G7">
        <v>1.0502549025740103E-4</v>
      </c>
      <c r="H7">
        <v>1.0587745829524137E-4</v>
      </c>
      <c r="I7">
        <v>1.0647919275289001E-4</v>
      </c>
      <c r="J7">
        <v>1.0697318111529521E-4</v>
      </c>
      <c r="K7">
        <v>1.0741070768695761E-4</v>
      </c>
      <c r="L7">
        <v>1.0781337029469107E-4</v>
      </c>
      <c r="M7">
        <v>1.0813141413426212E-4</v>
      </c>
      <c r="N7">
        <v>1.0858337727312649E-4</v>
      </c>
      <c r="O7">
        <v>1.0896864147527824E-4</v>
      </c>
      <c r="P7">
        <v>1.0929320782291278E-4</v>
      </c>
      <c r="Q7">
        <v>1.0951349074369089E-4</v>
      </c>
      <c r="R7">
        <v>1.0976553637911908E-4</v>
      </c>
      <c r="S7">
        <v>1.1045910880220029E-4</v>
      </c>
      <c r="T7">
        <v>1.1144495133662172E-4</v>
      </c>
      <c r="U7">
        <v>1.124731275154648E-4</v>
      </c>
      <c r="V7">
        <v>1.1373095015519828E-4</v>
      </c>
      <c r="W7">
        <v>1.1543421345446825E-4</v>
      </c>
      <c r="X7">
        <v>1.1714249555077805E-4</v>
      </c>
      <c r="Y7">
        <v>1.1827265363487967E-4</v>
      </c>
      <c r="Z7">
        <v>1.1934825868984859E-4</v>
      </c>
      <c r="AA7">
        <v>1.2061424648246875E-4</v>
      </c>
      <c r="AB7">
        <v>1.217240520936152E-4</v>
      </c>
      <c r="AC7">
        <v>1.2279735378966378E-4</v>
      </c>
    </row>
    <row r="8" spans="1:32">
      <c r="A8" s="1" t="s">
        <v>15</v>
      </c>
      <c r="B8">
        <v>8.379890176963306E-5</v>
      </c>
      <c r="C8">
        <v>7.166200912432172E-5</v>
      </c>
      <c r="D8">
        <v>7.4160995035221869E-5</v>
      </c>
      <c r="E8">
        <v>7.4885734285832562E-5</v>
      </c>
      <c r="F8">
        <v>7.5583509068971559E-5</v>
      </c>
      <c r="G8">
        <v>7.6203796090821982E-5</v>
      </c>
      <c r="H8">
        <v>7.6821962199567258E-5</v>
      </c>
      <c r="I8">
        <v>7.7258565254683634E-5</v>
      </c>
      <c r="J8">
        <v>7.7616990512663451E-5</v>
      </c>
      <c r="K8">
        <v>7.793444854660897E-5</v>
      </c>
      <c r="L8">
        <v>7.8226610184492458E-5</v>
      </c>
      <c r="M8">
        <v>7.8457374619290298E-5</v>
      </c>
      <c r="N8">
        <v>7.8785307455311114E-5</v>
      </c>
      <c r="O8">
        <v>7.9064845257323878E-5</v>
      </c>
      <c r="P8">
        <v>7.9300342256314005E-5</v>
      </c>
      <c r="Q8">
        <v>7.9460173881342608E-5</v>
      </c>
      <c r="R8">
        <v>7.9643051715672905E-5</v>
      </c>
      <c r="S8">
        <v>8.01462900378475E-5</v>
      </c>
      <c r="T8">
        <v>8.0861592040119414E-5</v>
      </c>
      <c r="U8">
        <v>8.1607610246613597E-5</v>
      </c>
      <c r="V8">
        <v>8.2520254022155662E-5</v>
      </c>
      <c r="W8">
        <v>8.3756098090376061E-5</v>
      </c>
      <c r="X8">
        <v>8.4995583668722317E-5</v>
      </c>
      <c r="Y8">
        <v>8.5815597324266347E-5</v>
      </c>
      <c r="Z8">
        <v>8.6596028704136367E-5</v>
      </c>
      <c r="AA8">
        <v>8.7514596904730859E-5</v>
      </c>
      <c r="AB8">
        <v>8.831984332905113E-5</v>
      </c>
      <c r="AC8">
        <v>8.9098603450895488E-5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F649-2F60-4C68-9D3E-7AFAA71FE386}">
  <dimension ref="A1:AF8"/>
  <sheetViews>
    <sheetView workbookViewId="0">
      <selection sqref="A1:XFD1048576"/>
    </sheetView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/>
      <c r="AE1" s="1"/>
      <c r="AF1" s="1"/>
    </row>
    <row r="2" spans="1:32">
      <c r="A2" s="1" t="s">
        <v>9</v>
      </c>
      <c r="B2">
        <v>3.3199658675940884E-3</v>
      </c>
      <c r="C2">
        <v>3.3199658675940884E-3</v>
      </c>
      <c r="D2">
        <v>3.3199658675940884E-3</v>
      </c>
      <c r="E2">
        <v>3.3199658675940884E-3</v>
      </c>
      <c r="F2">
        <v>3.3199658675940884E-3</v>
      </c>
      <c r="G2">
        <v>3.3426164234816431E-3</v>
      </c>
      <c r="H2">
        <v>3.3937158098527086E-3</v>
      </c>
      <c r="I2">
        <v>3.4412141475379057E-3</v>
      </c>
      <c r="J2">
        <v>3.4818462135872471E-3</v>
      </c>
      <c r="K2">
        <v>3.5300964211885336E-3</v>
      </c>
      <c r="L2">
        <v>3.5784194899212093E-3</v>
      </c>
      <c r="M2">
        <v>3.5993379919427217E-3</v>
      </c>
      <c r="N2">
        <v>3.6166414426505094E-3</v>
      </c>
      <c r="O2">
        <v>3.6282745410744529E-3</v>
      </c>
      <c r="P2">
        <v>3.6374144597419197E-3</v>
      </c>
      <c r="Q2">
        <v>3.6440996465463434E-3</v>
      </c>
      <c r="R2">
        <v>3.647820073568005E-3</v>
      </c>
      <c r="S2">
        <v>3.6491310992676513E-3</v>
      </c>
      <c r="T2">
        <v>3.6496233272367081E-3</v>
      </c>
      <c r="U2">
        <v>3.6499722062697422E-3</v>
      </c>
      <c r="V2">
        <v>3.6501829576856154E-3</v>
      </c>
      <c r="W2">
        <v>3.6502842987380683E-3</v>
      </c>
      <c r="X2">
        <v>3.6503749598201219E-3</v>
      </c>
      <c r="Y2">
        <v>3.6503946584321911E-3</v>
      </c>
      <c r="Z2">
        <v>3.6503941837668402E-3</v>
      </c>
      <c r="AA2">
        <v>3.6503937091014889E-3</v>
      </c>
      <c r="AB2">
        <v>3.6503937091014889E-3</v>
      </c>
      <c r="AC2">
        <v>3.650393946434165E-3</v>
      </c>
    </row>
    <row r="3" spans="1:32">
      <c r="A3" s="1" t="s">
        <v>10</v>
      </c>
      <c r="B3">
        <v>2.3489662423758803E-3</v>
      </c>
      <c r="C3">
        <v>2.3489662423758803E-3</v>
      </c>
      <c r="D3">
        <v>2.3696730097448027E-3</v>
      </c>
      <c r="E3">
        <v>2.4270681232288057E-3</v>
      </c>
      <c r="F3">
        <v>2.4633498842850867E-3</v>
      </c>
      <c r="G3">
        <v>2.5162204772438651E-3</v>
      </c>
      <c r="H3">
        <v>2.5694439553480149E-3</v>
      </c>
      <c r="I3">
        <v>2.6165351455941337E-3</v>
      </c>
      <c r="J3">
        <v>2.6579519104019595E-3</v>
      </c>
      <c r="K3">
        <v>2.6926250966079375E-3</v>
      </c>
      <c r="L3">
        <v>2.7192477371461971E-3</v>
      </c>
      <c r="M3">
        <v>2.7413716977190764E-3</v>
      </c>
      <c r="N3">
        <v>2.758938837066926E-3</v>
      </c>
      <c r="O3">
        <v>2.7601000472249251E-3</v>
      </c>
      <c r="P3">
        <v>2.7663288334236267E-3</v>
      </c>
      <c r="Q3">
        <v>2.7655697669782021E-3</v>
      </c>
      <c r="R3">
        <v>2.7725640797622879E-3</v>
      </c>
      <c r="S3">
        <v>2.7850733332793788E-3</v>
      </c>
      <c r="T3">
        <v>2.7951446914786641E-3</v>
      </c>
      <c r="U3">
        <v>2.8000741820276981E-3</v>
      </c>
      <c r="V3">
        <v>2.8011946125521938E-3</v>
      </c>
      <c r="W3">
        <v>2.8138262049697957E-3</v>
      </c>
      <c r="X3">
        <v>2.8171721537108754E-3</v>
      </c>
      <c r="Y3">
        <v>2.8345592166573101E-3</v>
      </c>
      <c r="Z3">
        <v>2.8513220685800079E-3</v>
      </c>
      <c r="AA3">
        <v>2.8778086424203378E-3</v>
      </c>
      <c r="AB3">
        <v>2.8935887455514599E-3</v>
      </c>
      <c r="AC3">
        <v>2.9193267506738025E-3</v>
      </c>
    </row>
    <row r="4" spans="1:32">
      <c r="A4" s="1" t="s">
        <v>11</v>
      </c>
      <c r="B4">
        <v>8.5179832440752728E-4</v>
      </c>
      <c r="C4">
        <v>9.3055532057740762E-4</v>
      </c>
      <c r="D4">
        <v>9.5141946432477926E-4</v>
      </c>
      <c r="E4">
        <v>9.7672565266561048E-4</v>
      </c>
      <c r="F4">
        <v>9.9953089752142393E-4</v>
      </c>
      <c r="G4">
        <v>1.0216195912656663E-3</v>
      </c>
      <c r="H4">
        <v>1.0434652265637943E-3</v>
      </c>
      <c r="I4">
        <v>1.0641873056792266E-3</v>
      </c>
      <c r="J4">
        <v>1.0828206643944979E-3</v>
      </c>
      <c r="K4">
        <v>1.0985548273508548E-3</v>
      </c>
      <c r="L4">
        <v>1.1107513453196881E-3</v>
      </c>
      <c r="M4">
        <v>1.1205963906484823E-3</v>
      </c>
      <c r="N4">
        <v>1.1276361644655445E-3</v>
      </c>
      <c r="O4">
        <v>1.127255081140058E-3</v>
      </c>
      <c r="P4">
        <v>1.1269509214363676E-3</v>
      </c>
      <c r="Q4">
        <v>1.1267065164060645E-3</v>
      </c>
      <c r="R4">
        <v>1.1265092418223759E-3</v>
      </c>
      <c r="S4">
        <v>1.1263495032729561E-3</v>
      </c>
      <c r="T4">
        <v>1.1262197262217413E-3</v>
      </c>
      <c r="U4">
        <v>1.1261136827168576E-3</v>
      </c>
      <c r="V4">
        <v>1.1260263230675964E-3</v>
      </c>
      <c r="W4">
        <v>1.1259539441674377E-3</v>
      </c>
      <c r="X4">
        <v>1.125894526140098E-3</v>
      </c>
      <c r="Y4">
        <v>1.1258455441402232E-3</v>
      </c>
      <c r="Z4">
        <v>1.1258051466145533E-3</v>
      </c>
      <c r="AA4">
        <v>1.1257721553019227E-3</v>
      </c>
      <c r="AB4">
        <v>1.1257453919411664E-3</v>
      </c>
      <c r="AC4">
        <v>1.1257230049790243E-3</v>
      </c>
    </row>
    <row r="5" spans="1:32">
      <c r="A5" s="1" t="s">
        <v>12</v>
      </c>
      <c r="B5">
        <v>1.0331389660993618E-3</v>
      </c>
      <c r="C5">
        <v>1.0995181101032814E-3</v>
      </c>
      <c r="D5">
        <v>1.1178720570179867E-3</v>
      </c>
      <c r="E5">
        <v>1.139337361078613E-3</v>
      </c>
      <c r="F5">
        <v>1.1689067098604232E-3</v>
      </c>
      <c r="G5">
        <v>1.1886355244649762E-3</v>
      </c>
      <c r="H5">
        <v>1.2005104013829389E-3</v>
      </c>
      <c r="I5">
        <v>1.2150324713986361E-3</v>
      </c>
      <c r="J5">
        <v>1.2281657343830318E-3</v>
      </c>
      <c r="K5">
        <v>1.2718191053697899E-3</v>
      </c>
      <c r="L5">
        <v>1.2872919346060385E-3</v>
      </c>
      <c r="M5">
        <v>1.294373280286983E-3</v>
      </c>
      <c r="N5">
        <v>1.2991392532857248E-3</v>
      </c>
      <c r="O5">
        <v>1.2994994330511106E-3</v>
      </c>
      <c r="P5">
        <v>1.2998067394523606E-3</v>
      </c>
      <c r="Q5">
        <v>1.29969410316452E-3</v>
      </c>
      <c r="R5">
        <v>1.299580986209732E-3</v>
      </c>
      <c r="S5">
        <v>1.2991434190659293E-3</v>
      </c>
      <c r="T5">
        <v>1.2988513337846576E-3</v>
      </c>
      <c r="U5">
        <v>1.2983562468295675E-3</v>
      </c>
      <c r="V5">
        <v>1.2980781008897497E-3</v>
      </c>
      <c r="W5">
        <v>1.2978283142997872E-3</v>
      </c>
      <c r="X5">
        <v>1.2973135199998824E-3</v>
      </c>
      <c r="Y5">
        <v>1.2970622914090792E-3</v>
      </c>
      <c r="Z5">
        <v>1.2965591933382112E-3</v>
      </c>
      <c r="AA5">
        <v>1.2964217225914581E-3</v>
      </c>
      <c r="AB5">
        <v>1.2961902013454692E-3</v>
      </c>
      <c r="AC5">
        <v>1.2958891436145262E-3</v>
      </c>
    </row>
    <row r="6" spans="1:32">
      <c r="A6" s="1" t="s">
        <v>13</v>
      </c>
      <c r="B6">
        <v>2.2908937619214613E-3</v>
      </c>
      <c r="C6">
        <v>2.2908937619214613E-3</v>
      </c>
      <c r="D6">
        <v>2.2908937619214613E-3</v>
      </c>
      <c r="E6">
        <v>2.2908937619214613E-3</v>
      </c>
      <c r="F6">
        <v>2.2908937619214613E-3</v>
      </c>
      <c r="G6">
        <v>2.2908937619214613E-3</v>
      </c>
      <c r="H6">
        <v>2.2908937619214613E-3</v>
      </c>
      <c r="I6">
        <v>2.2908937619214613E-3</v>
      </c>
      <c r="J6">
        <v>2.2908937619214613E-3</v>
      </c>
      <c r="K6">
        <v>2.2908937619214613E-3</v>
      </c>
      <c r="L6">
        <v>2.2908937619214613E-3</v>
      </c>
      <c r="M6">
        <v>2.2908937619214613E-3</v>
      </c>
      <c r="N6">
        <v>2.2908937619214613E-3</v>
      </c>
      <c r="O6">
        <v>2.2908937619214613E-3</v>
      </c>
      <c r="P6">
        <v>2.2908937619214613E-3</v>
      </c>
      <c r="Q6">
        <v>2.2908937619214613E-3</v>
      </c>
      <c r="R6">
        <v>2.2908937619214613E-3</v>
      </c>
      <c r="S6">
        <v>2.2908937619214613E-3</v>
      </c>
      <c r="T6">
        <v>2.2908937619214613E-3</v>
      </c>
      <c r="U6">
        <v>2.2908937619214613E-3</v>
      </c>
      <c r="V6">
        <v>2.2908937619214613E-3</v>
      </c>
      <c r="W6">
        <v>2.2908937619214613E-3</v>
      </c>
      <c r="X6">
        <v>2.2908937619214613E-3</v>
      </c>
      <c r="Y6">
        <v>2.2908937619214613E-3</v>
      </c>
      <c r="Z6">
        <v>2.2908937619214613E-3</v>
      </c>
      <c r="AA6">
        <v>2.2908937619214613E-3</v>
      </c>
      <c r="AB6">
        <v>2.2908937619214613E-3</v>
      </c>
      <c r="AC6">
        <v>2.2908937619214613E-3</v>
      </c>
    </row>
    <row r="7" spans="1:32">
      <c r="A7" s="1" t="s">
        <v>14</v>
      </c>
      <c r="B7">
        <v>1.8294441155202029E-3</v>
      </c>
      <c r="C7">
        <v>1.9213788697622328E-3</v>
      </c>
      <c r="D7">
        <v>1.9522411126502762E-3</v>
      </c>
      <c r="E7">
        <v>1.9674990809957454E-3</v>
      </c>
      <c r="F7">
        <v>1.9866911584150507E-3</v>
      </c>
      <c r="G7">
        <v>2.0087572238966507E-3</v>
      </c>
      <c r="H7">
        <v>2.0360104614877304E-3</v>
      </c>
      <c r="I7">
        <v>2.0694565726545738E-3</v>
      </c>
      <c r="J7">
        <v>2.1090086274742357E-3</v>
      </c>
      <c r="K7">
        <v>2.151554817404166E-3</v>
      </c>
      <c r="L7">
        <v>2.1930613819954431E-3</v>
      </c>
      <c r="M7">
        <v>2.2359022855665822E-3</v>
      </c>
      <c r="N7">
        <v>2.2706272560470172E-3</v>
      </c>
      <c r="O7">
        <v>2.3016022251359548E-3</v>
      </c>
      <c r="P7">
        <v>2.3227958110250539E-3</v>
      </c>
      <c r="Q7">
        <v>2.3382552023627164E-3</v>
      </c>
      <c r="R7">
        <v>2.3487698359288714E-3</v>
      </c>
      <c r="S7">
        <v>2.3533785353397202E-3</v>
      </c>
      <c r="T7">
        <v>2.3569500830276091E-3</v>
      </c>
      <c r="U7">
        <v>2.3590254465945394E-3</v>
      </c>
      <c r="V7">
        <v>2.3589964699535578E-3</v>
      </c>
      <c r="W7">
        <v>2.3589848086224305E-3</v>
      </c>
      <c r="X7">
        <v>2.3586476901407603E-3</v>
      </c>
      <c r="Y7">
        <v>2.3595441991428544E-3</v>
      </c>
      <c r="Z7">
        <v>2.3609071613900287E-3</v>
      </c>
      <c r="AA7">
        <v>2.3624729601240779E-3</v>
      </c>
      <c r="AB7">
        <v>2.3643946061443354E-3</v>
      </c>
      <c r="AC7">
        <v>2.3670565700043195E-3</v>
      </c>
    </row>
    <row r="8" spans="1:32">
      <c r="A8" s="1" t="s">
        <v>15</v>
      </c>
      <c r="B8">
        <v>3.099416898298085E-3</v>
      </c>
      <c r="C8">
        <v>3.099416898298085E-3</v>
      </c>
      <c r="D8">
        <v>3.099416898298085E-3</v>
      </c>
      <c r="E8">
        <v>3.099416898298085E-3</v>
      </c>
      <c r="F8">
        <v>3.099416898298085E-3</v>
      </c>
      <c r="G8">
        <v>3.099416898298085E-3</v>
      </c>
      <c r="H8">
        <v>3.099416898298085E-3</v>
      </c>
      <c r="I8">
        <v>3.099416898298085E-3</v>
      </c>
      <c r="J8">
        <v>3.099416898298085E-3</v>
      </c>
      <c r="K8">
        <v>3.099416898298085E-3</v>
      </c>
      <c r="L8">
        <v>3.099416898298085E-3</v>
      </c>
      <c r="M8">
        <v>3.099416898298085E-3</v>
      </c>
      <c r="N8">
        <v>3.099416898298085E-3</v>
      </c>
      <c r="O8">
        <v>3.099416898298085E-3</v>
      </c>
      <c r="P8">
        <v>3.099416898298085E-3</v>
      </c>
      <c r="Q8">
        <v>3.099416898298085E-3</v>
      </c>
      <c r="R8">
        <v>3.099416898298085E-3</v>
      </c>
      <c r="S8">
        <v>3.099416898298085E-3</v>
      </c>
      <c r="T8">
        <v>3.099416898298085E-3</v>
      </c>
      <c r="U8">
        <v>3.099416898298085E-3</v>
      </c>
      <c r="V8">
        <v>3.099416898298085E-3</v>
      </c>
      <c r="W8">
        <v>3.099416898298085E-3</v>
      </c>
      <c r="X8">
        <v>3.099416898298085E-3</v>
      </c>
      <c r="Y8">
        <v>3.099416898298085E-3</v>
      </c>
      <c r="Z8">
        <v>3.099416898298085E-3</v>
      </c>
      <c r="AA8">
        <v>3.099416898298085E-3</v>
      </c>
      <c r="AB8">
        <v>3.099416898298085E-3</v>
      </c>
      <c r="AC8">
        <v>3.099416898298085E-3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2E88-28BC-43FF-80ED-EE42F4787599}">
  <dimension ref="A1:AF8"/>
  <sheetViews>
    <sheetView workbookViewId="0">
      <selection sqref="A1:XFD1048576"/>
    </sheetView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/>
      <c r="AE1" s="1"/>
      <c r="AF1" s="1"/>
    </row>
    <row r="2" spans="1:32">
      <c r="A2" s="1" t="s">
        <v>9</v>
      </c>
      <c r="B2">
        <v>1.6283396676658034E-3</v>
      </c>
      <c r="C2">
        <v>1.6283396676658034E-3</v>
      </c>
      <c r="D2">
        <v>1.6283396676658034E-3</v>
      </c>
      <c r="E2">
        <v>1.6283396676658034E-3</v>
      </c>
      <c r="F2">
        <v>1.6283396676658034E-3</v>
      </c>
      <c r="G2">
        <v>1.63944905858045E-3</v>
      </c>
      <c r="H2">
        <v>1.6645117131798737E-3</v>
      </c>
      <c r="I2">
        <v>1.6878081657596836E-3</v>
      </c>
      <c r="J2">
        <v>1.707736926345197E-3</v>
      </c>
      <c r="K2">
        <v>1.7314021476588191E-3</v>
      </c>
      <c r="L2">
        <v>1.7551031050839566E-3</v>
      </c>
      <c r="M2">
        <v>1.7653629776212788E-3</v>
      </c>
      <c r="N2">
        <v>1.7738497802869365E-3</v>
      </c>
      <c r="O2">
        <v>1.7795554520850913E-3</v>
      </c>
      <c r="P2">
        <v>1.7840382970055002E-3</v>
      </c>
      <c r="Q2">
        <v>1.7873171725402322E-3</v>
      </c>
      <c r="R2">
        <v>1.7891419259086808E-3</v>
      </c>
      <c r="S2">
        <v>1.789784943107412E-3</v>
      </c>
      <c r="T2">
        <v>1.7900263655676164E-3</v>
      </c>
      <c r="U2">
        <v>1.7901974798475106E-3</v>
      </c>
      <c r="V2">
        <v>1.7903008468410791E-3</v>
      </c>
      <c r="W2">
        <v>1.7903505514652389E-3</v>
      </c>
      <c r="X2">
        <v>1.7903950178971568E-3</v>
      </c>
      <c r="Y2">
        <v>1.790404679451736E-3</v>
      </c>
      <c r="Z2">
        <v>1.7904044466431918E-3</v>
      </c>
      <c r="AA2">
        <v>1.7904042138346479E-3</v>
      </c>
      <c r="AB2">
        <v>1.7904042138346479E-3</v>
      </c>
      <c r="AC2">
        <v>1.79040433023892E-3</v>
      </c>
    </row>
    <row r="3" spans="1:32">
      <c r="A3" s="1" t="s">
        <v>10</v>
      </c>
      <c r="B3">
        <v>7.7263481523290941E-4</v>
      </c>
      <c r="C3">
        <v>7.7263481523290941E-4</v>
      </c>
      <c r="D3">
        <v>7.7944579833327799E-4</v>
      </c>
      <c r="E3">
        <v>7.9832451276602809E-4</v>
      </c>
      <c r="F3">
        <v>8.1025850791858957E-4</v>
      </c>
      <c r="G3">
        <v>8.2764899233042264E-4</v>
      </c>
      <c r="H3">
        <v>8.451555496530428E-4</v>
      </c>
      <c r="I3">
        <v>8.6064504133603371E-4</v>
      </c>
      <c r="J3">
        <v>8.7426806998904341E-4</v>
      </c>
      <c r="K3">
        <v>8.8567296390982435E-4</v>
      </c>
      <c r="L3">
        <v>8.9442982834755469E-4</v>
      </c>
      <c r="M3">
        <v>9.0170696238254925E-4</v>
      </c>
      <c r="N3">
        <v>9.0748524187390022E-4</v>
      </c>
      <c r="O3">
        <v>9.0786719346591844E-4</v>
      </c>
      <c r="P3">
        <v>9.0991599986719345E-4</v>
      </c>
      <c r="Q3">
        <v>9.0966632358312031E-4</v>
      </c>
      <c r="R3">
        <v>9.1196693117301354E-4</v>
      </c>
      <c r="S3">
        <v>9.1608154321192608E-4</v>
      </c>
      <c r="T3">
        <v>9.1939426939805424E-4</v>
      </c>
      <c r="U3">
        <v>9.2101570437265511E-4</v>
      </c>
      <c r="V3">
        <v>9.2138424250473117E-4</v>
      </c>
      <c r="W3">
        <v>9.255390949234702E-4</v>
      </c>
      <c r="X3">
        <v>9.2663966267140336E-4</v>
      </c>
      <c r="Y3">
        <v>9.3235871044855393E-4</v>
      </c>
      <c r="Z3">
        <v>9.3787243932401464E-4</v>
      </c>
      <c r="AA3">
        <v>9.4658454795975959E-4</v>
      </c>
      <c r="AB3">
        <v>9.5177502573126594E-4</v>
      </c>
      <c r="AC3">
        <v>9.6024091105282369E-4</v>
      </c>
    </row>
    <row r="4" spans="1:32">
      <c r="A4" s="1" t="s">
        <v>11</v>
      </c>
      <c r="B4">
        <v>6.720672001062452E-4</v>
      </c>
      <c r="C4">
        <v>7.3420631495069557E-4</v>
      </c>
      <c r="D4">
        <v>7.5066808326969693E-4</v>
      </c>
      <c r="E4">
        <v>7.7063461602310825E-4</v>
      </c>
      <c r="F4">
        <v>7.8862790929313717E-4</v>
      </c>
      <c r="G4">
        <v>8.0605584514758122E-4</v>
      </c>
      <c r="H4">
        <v>8.2329200836681157E-4</v>
      </c>
      <c r="I4">
        <v>8.3964168797104821E-4</v>
      </c>
      <c r="J4">
        <v>8.5434337129386764E-4</v>
      </c>
      <c r="K4">
        <v>8.667575948736678E-4</v>
      </c>
      <c r="L4">
        <v>8.7638062352667751E-4</v>
      </c>
      <c r="M4">
        <v>8.8414834489856898E-4</v>
      </c>
      <c r="N4">
        <v>8.8970271257345871E-4</v>
      </c>
      <c r="O4">
        <v>8.8940203858029821E-4</v>
      </c>
      <c r="P4">
        <v>8.8916205717321287E-4</v>
      </c>
      <c r="Q4">
        <v>8.8896922208572663E-4</v>
      </c>
      <c r="R4">
        <v>8.8881357282778305E-4</v>
      </c>
      <c r="S4">
        <v>8.8868753942693984E-4</v>
      </c>
      <c r="T4">
        <v>8.8858514558916302E-4</v>
      </c>
      <c r="U4">
        <v>8.8850147747269168E-4</v>
      </c>
      <c r="V4">
        <v>8.8843255088150337E-4</v>
      </c>
      <c r="W4">
        <v>8.8837544407184825E-4</v>
      </c>
      <c r="X4">
        <v>8.8832856336531758E-4</v>
      </c>
      <c r="Y4">
        <v>8.8828991666389985E-4</v>
      </c>
      <c r="Z4">
        <v>8.882580430957203E-4</v>
      </c>
      <c r="AA4">
        <v>8.882320130150403E-4</v>
      </c>
      <c r="AB4">
        <v>8.8821089677612131E-4</v>
      </c>
      <c r="AC4">
        <v>8.8819323350708846E-4</v>
      </c>
    </row>
    <row r="5" spans="1:32">
      <c r="A5" s="1" t="s">
        <v>12</v>
      </c>
      <c r="B5">
        <v>7.5059325437243547E-4</v>
      </c>
      <c r="C5">
        <v>7.9881884585164282E-4</v>
      </c>
      <c r="D5">
        <v>8.1215330442627252E-4</v>
      </c>
      <c r="E5">
        <v>8.277482175595845E-4</v>
      </c>
      <c r="F5">
        <v>8.4923085877251694E-4</v>
      </c>
      <c r="G5">
        <v>8.6356418240549429E-4</v>
      </c>
      <c r="H5">
        <v>8.721914850275005E-4</v>
      </c>
      <c r="I5">
        <v>8.8274201903209843E-4</v>
      </c>
      <c r="J5">
        <v>8.9228356080668159E-4</v>
      </c>
      <c r="K5">
        <v>9.2399848674446351E-4</v>
      </c>
      <c r="L5">
        <v>9.3523976369932777E-4</v>
      </c>
      <c r="M5">
        <v>9.4038448331053737E-4</v>
      </c>
      <c r="N5">
        <v>9.4384704478654366E-4</v>
      </c>
      <c r="O5">
        <v>9.4410872159008232E-4</v>
      </c>
      <c r="P5">
        <v>9.443319849838489E-4</v>
      </c>
      <c r="Q5">
        <v>9.4425015278060706E-4</v>
      </c>
      <c r="R5">
        <v>9.4416797136454901E-4</v>
      </c>
      <c r="S5">
        <v>9.4385007129761667E-4</v>
      </c>
      <c r="T5">
        <v>9.4363786630969357E-4</v>
      </c>
      <c r="U5">
        <v>9.4327817710909993E-4</v>
      </c>
      <c r="V5">
        <v>9.4307609929284396E-4</v>
      </c>
      <c r="W5">
        <v>9.4289462503273878E-4</v>
      </c>
      <c r="X5">
        <v>9.4252061810668451E-4</v>
      </c>
      <c r="Y5">
        <v>9.4233809620813079E-4</v>
      </c>
      <c r="Z5">
        <v>9.4197258679393529E-4</v>
      </c>
      <c r="AA5">
        <v>9.4187271192852781E-4</v>
      </c>
      <c r="AB5">
        <v>9.4170450775543462E-4</v>
      </c>
      <c r="AC5">
        <v>9.4148578412827765E-4</v>
      </c>
    </row>
    <row r="6" spans="1:32">
      <c r="A6" s="1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32">
      <c r="A7" s="1" t="s">
        <v>14</v>
      </c>
      <c r="B7">
        <v>6.8755018426906603E-4</v>
      </c>
      <c r="C7">
        <v>7.2210153059530527E-4</v>
      </c>
      <c r="D7">
        <v>7.3370032205584521E-4</v>
      </c>
      <c r="E7">
        <v>7.3943464258441523E-4</v>
      </c>
      <c r="F7">
        <v>7.4664749825691405E-4</v>
      </c>
      <c r="G7">
        <v>7.5494046947109802E-4</v>
      </c>
      <c r="H7">
        <v>7.6518290779906367E-4</v>
      </c>
      <c r="I7">
        <v>7.7775278063680719E-4</v>
      </c>
      <c r="J7">
        <v>7.9261741757694472E-4</v>
      </c>
      <c r="K7">
        <v>8.0860732428035455E-4</v>
      </c>
      <c r="L7">
        <v>8.2420651416049669E-4</v>
      </c>
      <c r="M7">
        <v>8.403071815133304E-4</v>
      </c>
      <c r="N7">
        <v>8.5335768119791482E-4</v>
      </c>
      <c r="O7">
        <v>8.6499883794282685E-4</v>
      </c>
      <c r="P7">
        <v>8.7296390982436335E-4</v>
      </c>
      <c r="Q7">
        <v>8.7877393007735976E-4</v>
      </c>
      <c r="R7">
        <v>8.82725588498954E-4</v>
      </c>
      <c r="S7">
        <v>8.8445765131644474E-4</v>
      </c>
      <c r="T7">
        <v>8.8579992695640621E-4</v>
      </c>
      <c r="U7">
        <v>8.8657989973106664E-4</v>
      </c>
      <c r="V7">
        <v>8.8656900959527209E-4</v>
      </c>
      <c r="W7">
        <v>8.865646269796473E-4</v>
      </c>
      <c r="X7">
        <v>8.8643792954613365E-4</v>
      </c>
      <c r="Y7">
        <v>8.8677485972309827E-4</v>
      </c>
      <c r="Z7">
        <v>8.8728709452505061E-4</v>
      </c>
      <c r="AA7">
        <v>8.8787556027756555E-4</v>
      </c>
      <c r="AB7">
        <v>8.8859776220990075E-4</v>
      </c>
      <c r="AC7">
        <v>8.8959819383113638E-4</v>
      </c>
    </row>
    <row r="8" spans="1:32">
      <c r="A8" s="1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F964-CFA7-48C9-B564-1E6DF0953F64}">
  <dimension ref="A1:AF8"/>
  <sheetViews>
    <sheetView workbookViewId="0">
      <selection sqref="A1:XFD1048576"/>
    </sheetView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/>
      <c r="AE1" s="1"/>
      <c r="AF1" s="1"/>
    </row>
    <row r="2" spans="1:32">
      <c r="A2" s="1" t="s">
        <v>9</v>
      </c>
      <c r="B2">
        <v>9.7898292792220369E-4</v>
      </c>
      <c r="C2">
        <v>9.7898292792220369E-4</v>
      </c>
      <c r="D2">
        <v>1.0735662695704627E-3</v>
      </c>
      <c r="E2">
        <v>1.0818274381547478E-3</v>
      </c>
      <c r="F2">
        <v>1.0905113057142538E-3</v>
      </c>
      <c r="G2">
        <v>1.0995229763842737E-3</v>
      </c>
      <c r="H2">
        <v>1.1087165962516935E-3</v>
      </c>
      <c r="I2">
        <v>1.1179968153458826E-3</v>
      </c>
      <c r="J2">
        <v>1.1273505505070146E-3</v>
      </c>
      <c r="K2">
        <v>1.1367745984473645E-3</v>
      </c>
      <c r="L2">
        <v>1.1462657926986065E-3</v>
      </c>
      <c r="M2">
        <v>1.1558228077623715E-3</v>
      </c>
      <c r="N2">
        <v>1.165445275444669E-3</v>
      </c>
      <c r="O2">
        <v>1.1751448061293587E-3</v>
      </c>
      <c r="P2">
        <v>1.1849169078497475E-3</v>
      </c>
      <c r="Q2">
        <v>1.1947568922690104E-3</v>
      </c>
      <c r="R2">
        <v>1.2046654221363332E-3</v>
      </c>
      <c r="S2">
        <v>1.214636508162789E-3</v>
      </c>
      <c r="T2">
        <v>1.2246659161174772E-3</v>
      </c>
      <c r="U2">
        <v>1.2347514245633164E-3</v>
      </c>
      <c r="V2">
        <v>1.2448974150088045E-3</v>
      </c>
      <c r="W2">
        <v>1.255108109411708E-3</v>
      </c>
      <c r="X2">
        <v>1.2653848087241311E-3</v>
      </c>
      <c r="Y2">
        <v>1.2757293170966306E-3</v>
      </c>
      <c r="Z2">
        <v>1.2861427268380475E-3</v>
      </c>
      <c r="AA2">
        <v>1.296622534229241E-3</v>
      </c>
      <c r="AB2">
        <v>1.3071691074642022E-3</v>
      </c>
      <c r="AC2">
        <v>1.317774849473576E-3</v>
      </c>
    </row>
    <row r="3" spans="1:32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32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32">
      <c r="A5" s="1" t="s">
        <v>12</v>
      </c>
      <c r="B5">
        <v>3.0464933987873528E-4</v>
      </c>
      <c r="C5">
        <v>3.0464933987873528E-4</v>
      </c>
      <c r="D5">
        <v>3.3408269543052564E-4</v>
      </c>
      <c r="E5">
        <v>3.3665348546582375E-4</v>
      </c>
      <c r="F5">
        <v>3.3935581504087849E-4</v>
      </c>
      <c r="G5">
        <v>3.4216015354620157E-4</v>
      </c>
      <c r="H5">
        <v>3.4502111275582734E-4</v>
      </c>
      <c r="I5">
        <v>3.4790902074721106E-4</v>
      </c>
      <c r="J5">
        <v>3.5081980617662339E-4</v>
      </c>
      <c r="K5">
        <v>3.5375247221412683E-4</v>
      </c>
      <c r="L5">
        <v>3.5670603348759934E-4</v>
      </c>
      <c r="M5">
        <v>3.5968007751568736E-4</v>
      </c>
      <c r="N5">
        <v>3.626744897202374E-4</v>
      </c>
      <c r="O5">
        <v>3.656928831323635E-4</v>
      </c>
      <c r="P5">
        <v>3.6873385989859042E-4</v>
      </c>
      <c r="Q5">
        <v>3.7179596105709373E-4</v>
      </c>
      <c r="R5">
        <v>3.7487939284855035E-4</v>
      </c>
      <c r="S5">
        <v>3.7798229146832611E-4</v>
      </c>
      <c r="T5">
        <v>3.8110333926765313E-4</v>
      </c>
      <c r="U5">
        <v>3.8424184495833714E-4</v>
      </c>
      <c r="V5">
        <v>3.8739917202040771E-4</v>
      </c>
      <c r="W5">
        <v>3.9057663428336076E-4</v>
      </c>
      <c r="X5">
        <v>3.937746365900064E-4</v>
      </c>
      <c r="Y5">
        <v>3.9699374037329777E-4</v>
      </c>
      <c r="Z5">
        <v>4.0023428554842422E-4</v>
      </c>
      <c r="AA5">
        <v>4.0349549298394053E-4</v>
      </c>
      <c r="AB5">
        <v>4.067774772580003E-4</v>
      </c>
      <c r="AC5">
        <v>4.1007787424136491E-4</v>
      </c>
    </row>
    <row r="6" spans="1:32">
      <c r="A6" s="1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32">
      <c r="A7" s="1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32">
      <c r="A8" s="1" t="s">
        <v>15</v>
      </c>
      <c r="B8">
        <v>9.1394801963620568E-4</v>
      </c>
      <c r="C8">
        <v>9.1394801963620568E-4</v>
      </c>
      <c r="D8">
        <v>1.0022480862915768E-3</v>
      </c>
      <c r="E8">
        <v>1.0099604563974711E-3</v>
      </c>
      <c r="F8">
        <v>1.0180674451226353E-3</v>
      </c>
      <c r="G8">
        <v>1.0264804606386045E-3</v>
      </c>
      <c r="H8">
        <v>1.0350633382674819E-3</v>
      </c>
      <c r="I8">
        <v>1.043727062241633E-3</v>
      </c>
      <c r="J8">
        <v>1.05245941852987E-3</v>
      </c>
      <c r="K8">
        <v>1.0612574166423804E-3</v>
      </c>
      <c r="L8">
        <v>1.0701181004627979E-3</v>
      </c>
      <c r="M8">
        <v>1.079040232547062E-3</v>
      </c>
      <c r="N8">
        <v>1.088023469160712E-3</v>
      </c>
      <c r="O8">
        <v>1.0970786493970904E-3</v>
      </c>
      <c r="P8">
        <v>1.106201579695771E-3</v>
      </c>
      <c r="Q8">
        <v>1.1153878831712809E-3</v>
      </c>
      <c r="R8">
        <v>1.1246381785456508E-3</v>
      </c>
      <c r="S8">
        <v>1.1339468744049782E-3</v>
      </c>
      <c r="T8">
        <v>1.1433100178029592E-3</v>
      </c>
      <c r="U8">
        <v>1.1527255348750113E-3</v>
      </c>
      <c r="V8">
        <v>1.1621975160612228E-3</v>
      </c>
      <c r="W8">
        <v>1.1717299028500821E-3</v>
      </c>
      <c r="X8">
        <v>1.1813239097700191E-3</v>
      </c>
      <c r="Y8">
        <v>1.190981221119893E-3</v>
      </c>
      <c r="Z8">
        <v>1.2007028566452724E-3</v>
      </c>
      <c r="AA8">
        <v>1.2104864789518213E-3</v>
      </c>
      <c r="AB8">
        <v>1.2203324317740006E-3</v>
      </c>
      <c r="AC8">
        <v>1.2302336227240946E-3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7540-7167-4711-9DCE-C0F064603E78}">
  <dimension ref="A1:AF8"/>
  <sheetViews>
    <sheetView workbookViewId="0">
      <selection sqref="A1:XFD1048576"/>
    </sheetView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/>
      <c r="AE1" s="1"/>
      <c r="AF1" s="1"/>
    </row>
    <row r="2" spans="1:32">
      <c r="A2" s="1" t="s">
        <v>9</v>
      </c>
      <c r="B2" s="6">
        <v>2.9962432880267732E-4</v>
      </c>
      <c r="C2" s="6">
        <v>2.9962432880267732E-4</v>
      </c>
      <c r="D2" s="6">
        <v>3.2857219852439111E-4</v>
      </c>
      <c r="E2" s="6">
        <v>3.3110058489517865E-4</v>
      </c>
      <c r="F2" s="6">
        <v>3.3375834113864102E-4</v>
      </c>
      <c r="G2" s="6">
        <v>3.365164237352663E-4</v>
      </c>
      <c r="H2" s="6">
        <v>3.3933019311109091E-4</v>
      </c>
      <c r="I2" s="6">
        <v>3.4217046676442186E-4</v>
      </c>
      <c r="J2" s="6">
        <v>3.4503324050594195E-4</v>
      </c>
      <c r="K2" s="6">
        <v>3.4791753394783532E-4</v>
      </c>
      <c r="L2" s="6">
        <v>3.5082237797111148E-4</v>
      </c>
      <c r="M2" s="6">
        <v>3.5374736689805346E-4</v>
      </c>
      <c r="N2" s="6">
        <v>3.5669238804040675E-4</v>
      </c>
      <c r="O2" s="6">
        <v>3.5966099483446945E-4</v>
      </c>
      <c r="P2" s="6">
        <v>3.6265181248353425E-4</v>
      </c>
      <c r="Q2" s="6">
        <v>3.6566340609049122E-4</v>
      </c>
      <c r="R2" s="6">
        <v>3.6869597849419896E-4</v>
      </c>
      <c r="S2" s="6">
        <v>3.7174769663238081E-4</v>
      </c>
      <c r="T2" s="6">
        <v>3.7481726459010774E-4</v>
      </c>
      <c r="U2" s="6">
        <v>3.7790400248157634E-4</v>
      </c>
      <c r="V2" s="6">
        <v>3.8100925129701762E-4</v>
      </c>
      <c r="W2" s="6">
        <v>3.8413430319508542E-4</v>
      </c>
      <c r="X2" s="6">
        <v>3.8727955634094659E-4</v>
      </c>
      <c r="Y2" s="6">
        <v>3.9044556290704894E-4</v>
      </c>
      <c r="Z2" s="6">
        <v>3.9363265720188155E-4</v>
      </c>
      <c r="AA2" s="6">
        <v>3.9684007294531236E-4</v>
      </c>
      <c r="AB2" s="6">
        <v>4.0006792282559609E-4</v>
      </c>
      <c r="AC2" s="6">
        <v>4.0331388170841085E-4</v>
      </c>
      <c r="AD2" s="6"/>
      <c r="AE2" s="6"/>
      <c r="AF2" s="6"/>
    </row>
    <row r="3" spans="1:32">
      <c r="A3" s="1" t="s">
        <v>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/>
      <c r="AE3" s="1"/>
      <c r="AF3" s="1"/>
    </row>
    <row r="4" spans="1:32">
      <c r="A4" s="1" t="s">
        <v>11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/>
      <c r="AE4" s="1"/>
      <c r="AF4" s="1"/>
    </row>
    <row r="5" spans="1:32">
      <c r="A5" s="1" t="s">
        <v>12</v>
      </c>
      <c r="B5" s="6">
        <v>9.3239985476639982E-5</v>
      </c>
      <c r="C5" s="6">
        <v>9.3239985476639982E-5</v>
      </c>
      <c r="D5" s="6">
        <v>1.0224826248544657E-4</v>
      </c>
      <c r="E5" s="6">
        <v>1.0303507011696843E-4</v>
      </c>
      <c r="F5" s="6">
        <v>1.0386213631193046E-4</v>
      </c>
      <c r="G5" s="6">
        <v>1.0472042302810055E-4</v>
      </c>
      <c r="H5" s="6">
        <v>1.0559603889275644E-4</v>
      </c>
      <c r="I5" s="6">
        <v>1.0647990261385189E-4</v>
      </c>
      <c r="J5" s="6">
        <v>1.0737076812917535E-4</v>
      </c>
      <c r="K5" s="6">
        <v>1.0826833035220035E-4</v>
      </c>
      <c r="L5" s="6">
        <v>1.0917228770314212E-4</v>
      </c>
      <c r="M5" s="6">
        <v>1.1008251393930003E-4</v>
      </c>
      <c r="N5" s="6">
        <v>1.1099897399325733E-4</v>
      </c>
      <c r="O5" s="6">
        <v>1.1192277365755811E-4</v>
      </c>
      <c r="P5" s="6">
        <v>1.1285348510971702E-4</v>
      </c>
      <c r="Q5" s="6">
        <v>1.1379066182462636E-4</v>
      </c>
      <c r="R5" s="6">
        <v>1.1473436692363647E-4</v>
      </c>
      <c r="S5" s="6">
        <v>1.156840299767668E-4</v>
      </c>
      <c r="T5" s="6">
        <v>1.1663924770872375E-4</v>
      </c>
      <c r="U5" s="6">
        <v>1.1759980854609242E-4</v>
      </c>
      <c r="V5" s="6">
        <v>1.1856612979113317E-4</v>
      </c>
      <c r="W5" s="6">
        <v>1.1953861355022565E-4</v>
      </c>
      <c r="X5" s="6">
        <v>1.2051738372824274E-4</v>
      </c>
      <c r="Y5" s="6">
        <v>1.2150261215552689E-4</v>
      </c>
      <c r="Z5" s="6">
        <v>1.2249440286541473E-4</v>
      </c>
      <c r="AA5" s="6">
        <v>1.2349251739947177E-4</v>
      </c>
      <c r="AB5" s="6">
        <v>1.2449699082511483E-4</v>
      </c>
      <c r="AC5" s="6">
        <v>1.2550709958464328E-4</v>
      </c>
      <c r="AD5" s="6"/>
      <c r="AE5" s="6"/>
      <c r="AF5" s="6"/>
    </row>
    <row r="6" spans="1:32">
      <c r="A6" s="1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/>
      <c r="AE6" s="1"/>
      <c r="AF6" s="1"/>
    </row>
    <row r="7" spans="1:32">
      <c r="A7" s="1" t="s">
        <v>14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/>
      <c r="AE7" s="1"/>
      <c r="AF7" s="1"/>
    </row>
    <row r="8" spans="1:32">
      <c r="A8" s="1" t="s">
        <v>15</v>
      </c>
      <c r="B8" s="6">
        <v>2.7971995642991991E-4</v>
      </c>
      <c r="C8" s="6">
        <v>2.7971995642991991E-4</v>
      </c>
      <c r="D8" s="6">
        <v>3.0674478745633968E-4</v>
      </c>
      <c r="E8" s="6">
        <v>3.0910521035090526E-4</v>
      </c>
      <c r="F8" s="6">
        <v>3.115864089357913E-4</v>
      </c>
      <c r="G8" s="6">
        <v>3.1416126908430158E-4</v>
      </c>
      <c r="H8" s="6">
        <v>3.1678811667826929E-4</v>
      </c>
      <c r="I8" s="6">
        <v>3.1943970784155564E-4</v>
      </c>
      <c r="J8" s="6">
        <v>3.2211230438752598E-4</v>
      </c>
      <c r="K8" s="6">
        <v>3.2480499105660098E-4</v>
      </c>
      <c r="L8" s="6">
        <v>3.275168631094263E-4</v>
      </c>
      <c r="M8" s="6">
        <v>3.3024754181790005E-4</v>
      </c>
      <c r="N8" s="6">
        <v>3.3299692197977194E-4</v>
      </c>
      <c r="O8" s="6">
        <v>3.3576832097267429E-4</v>
      </c>
      <c r="P8" s="6">
        <v>3.3856045532915102E-4</v>
      </c>
      <c r="Q8" s="6">
        <v>3.4137198547387902E-4</v>
      </c>
      <c r="R8" s="6">
        <v>3.4420310077090937E-4</v>
      </c>
      <c r="S8" s="6">
        <v>3.4705208993030033E-4</v>
      </c>
      <c r="T8" s="6">
        <v>3.4991774312617121E-4</v>
      </c>
      <c r="U8" s="6">
        <v>3.5279942563827722E-4</v>
      </c>
      <c r="V8" s="6">
        <v>3.5569838937339946E-4</v>
      </c>
      <c r="W8" s="6">
        <v>3.586158406506769E-4</v>
      </c>
      <c r="X8" s="6">
        <v>3.6155215118472816E-4</v>
      </c>
      <c r="Y8" s="6">
        <v>3.645078364665806E-4</v>
      </c>
      <c r="Z8" s="6">
        <v>3.6748320859624411E-4</v>
      </c>
      <c r="AA8" s="6">
        <v>3.7047755219841522E-4</v>
      </c>
      <c r="AB8" s="6">
        <v>3.7349097247534442E-4</v>
      </c>
      <c r="AC8" s="6">
        <v>3.7652129875392979E-4</v>
      </c>
      <c r="AD8" s="6"/>
      <c r="AE8" s="6"/>
      <c r="AF8" s="6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9823-CDEA-4E8F-80A3-F2833AF1EC39}">
  <dimension ref="A1:AF8"/>
  <sheetViews>
    <sheetView workbookViewId="0">
      <selection activeCell="G42" sqref="G42"/>
    </sheetView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/>
      <c r="AE1" s="1"/>
      <c r="AF1" s="1"/>
    </row>
    <row r="2" spans="1:32">
      <c r="A2" s="1" t="s">
        <v>9</v>
      </c>
      <c r="B2" s="6">
        <v>6.7428486606874269E-4</v>
      </c>
      <c r="C2" s="6">
        <v>6.7428486606874269E-4</v>
      </c>
      <c r="D2" s="6">
        <v>6.8790081429402638E-4</v>
      </c>
      <c r="E2" s="6">
        <v>7.0151676251931018E-4</v>
      </c>
      <c r="F2" s="6">
        <v>7.2399594869901036E-4</v>
      </c>
      <c r="G2" s="6">
        <v>7.4147192443357402E-4</v>
      </c>
      <c r="H2" s="6">
        <v>7.5793346051039969E-4</v>
      </c>
      <c r="I2" s="6">
        <v>7.7208225078382372E-4</v>
      </c>
      <c r="J2" s="6">
        <v>7.8400200860568551E-4</v>
      </c>
      <c r="K2" s="6">
        <v>7.9325507136175839E-4</v>
      </c>
      <c r="L2" s="6">
        <v>8.0153609872005344E-4</v>
      </c>
      <c r="M2" s="6">
        <v>8.0701136926914386E-4</v>
      </c>
      <c r="N2" s="6">
        <v>8.0905095167728652E-4</v>
      </c>
      <c r="O2" s="6">
        <v>8.0877968276759445E-4</v>
      </c>
      <c r="P2" s="6">
        <v>8.0844451395166992E-4</v>
      </c>
      <c r="Q2" s="6">
        <v>8.0818909688657511E-4</v>
      </c>
      <c r="R2" s="6">
        <v>8.0796355028640886E-4</v>
      </c>
      <c r="S2" s="6">
        <v>8.0783555873099769E-4</v>
      </c>
      <c r="T2" s="6">
        <v>8.0755995596055552E-4</v>
      </c>
      <c r="U2" s="6">
        <v>8.0722932119458072E-4</v>
      </c>
      <c r="V2" s="6">
        <v>8.0695217207261245E-4</v>
      </c>
      <c r="W2" s="6">
        <v>8.067061038054559E-4</v>
      </c>
      <c r="X2" s="6">
        <v>8.0647237247156566E-4</v>
      </c>
      <c r="Y2" s="6">
        <v>8.0618396553817874E-4</v>
      </c>
      <c r="Z2" s="6">
        <v>8.0579287026920799E-4</v>
      </c>
      <c r="AA2" s="6">
        <v>8.0538662532013395E-4</v>
      </c>
      <c r="AB2" s="6">
        <v>8.0497502775788527E-4</v>
      </c>
      <c r="AC2" s="6">
        <v>8.0468759689124563E-4</v>
      </c>
      <c r="AD2" s="6"/>
      <c r="AE2" s="6"/>
      <c r="AF2" s="6"/>
    </row>
    <row r="3" spans="1:32">
      <c r="A3" s="1" t="s">
        <v>10</v>
      </c>
      <c r="B3" s="1">
        <v>5.0586266198922429E-5</v>
      </c>
      <c r="C3" s="1">
        <v>5.0586266198922429E-5</v>
      </c>
      <c r="D3" s="1">
        <v>5.1607763219151746E-5</v>
      </c>
      <c r="E3" s="1">
        <v>5.2629260239381077E-5</v>
      </c>
      <c r="F3" s="1">
        <v>5.4315695977812021E-5</v>
      </c>
      <c r="G3" s="1">
        <v>5.5626780365259058E-5</v>
      </c>
      <c r="H3" s="1">
        <v>5.6861759359938993E-5</v>
      </c>
      <c r="I3" s="1">
        <v>5.7923231309231095E-5</v>
      </c>
      <c r="J3" s="1">
        <v>5.8817476564532313E-5</v>
      </c>
      <c r="K3" s="1">
        <v>5.9511660757725099E-5</v>
      </c>
      <c r="L3" s="1">
        <v>6.0132920814753527E-5</v>
      </c>
      <c r="M3" s="1">
        <v>6.0543687105745991E-5</v>
      </c>
      <c r="N3" s="1">
        <v>6.0696700859761384E-5</v>
      </c>
      <c r="O3" s="1">
        <v>6.0676349696673325E-5</v>
      </c>
      <c r="P3" s="1">
        <v>6.0651204628472715E-5</v>
      </c>
      <c r="Q3" s="1">
        <v>6.0632042704044597E-5</v>
      </c>
      <c r="R3" s="1">
        <v>6.0615121724603387E-5</v>
      </c>
      <c r="S3" s="1">
        <v>6.0605519529419925E-5</v>
      </c>
      <c r="T3" s="1">
        <v>6.0584843231000183E-5</v>
      </c>
      <c r="U3" s="1">
        <v>6.0560038316745274E-5</v>
      </c>
      <c r="V3" s="1">
        <v>6.053924600778776E-5</v>
      </c>
      <c r="W3" s="1">
        <v>6.0520785449807174E-5</v>
      </c>
      <c r="X3" s="1">
        <v>6.0503250434459527E-5</v>
      </c>
      <c r="Y3" s="1">
        <v>6.0481613540855517E-5</v>
      </c>
      <c r="Z3" s="1">
        <v>6.0452272752739302E-5</v>
      </c>
      <c r="AA3" s="1">
        <v>6.0421795403817555E-5</v>
      </c>
      <c r="AB3" s="1">
        <v>6.0390916490618554E-5</v>
      </c>
      <c r="AC3" s="1">
        <v>6.0369352823591006E-5</v>
      </c>
      <c r="AD3" s="1"/>
      <c r="AE3" s="1"/>
      <c r="AF3" s="1"/>
    </row>
    <row r="4" spans="1:32">
      <c r="A4" s="1" t="s">
        <v>11</v>
      </c>
      <c r="B4" s="1">
        <v>5.0586266198922429E-5</v>
      </c>
      <c r="C4" s="1">
        <v>5.0586266198922429E-5</v>
      </c>
      <c r="D4" s="1">
        <v>5.1607763219151746E-5</v>
      </c>
      <c r="E4" s="1">
        <v>5.2629260239381077E-5</v>
      </c>
      <c r="F4" s="1">
        <v>5.4315695977812021E-5</v>
      </c>
      <c r="G4" s="1">
        <v>5.5626780365259058E-5</v>
      </c>
      <c r="H4" s="1">
        <v>5.6861759359938993E-5</v>
      </c>
      <c r="I4" s="1">
        <v>5.7923231309231095E-5</v>
      </c>
      <c r="J4" s="1">
        <v>5.8817476564532313E-5</v>
      </c>
      <c r="K4" s="1">
        <v>5.9511660757725099E-5</v>
      </c>
      <c r="L4" s="1">
        <v>6.0132920814753527E-5</v>
      </c>
      <c r="M4" s="1">
        <v>6.0543687105745991E-5</v>
      </c>
      <c r="N4" s="1">
        <v>6.0696700859761384E-5</v>
      </c>
      <c r="O4" s="1">
        <v>6.0676349696673325E-5</v>
      </c>
      <c r="P4" s="1">
        <v>6.0651204628472715E-5</v>
      </c>
      <c r="Q4" s="1">
        <v>6.0632042704044597E-5</v>
      </c>
      <c r="R4" s="1">
        <v>6.0615121724603387E-5</v>
      </c>
      <c r="S4" s="1">
        <v>6.0605519529419925E-5</v>
      </c>
      <c r="T4" s="1">
        <v>6.0584843231000183E-5</v>
      </c>
      <c r="U4" s="1">
        <v>6.0560038316745274E-5</v>
      </c>
      <c r="V4" s="1">
        <v>6.053924600778776E-5</v>
      </c>
      <c r="W4" s="1">
        <v>6.0520785449807174E-5</v>
      </c>
      <c r="X4" s="1">
        <v>6.0503250434459527E-5</v>
      </c>
      <c r="Y4" s="1">
        <v>6.0481613540855517E-5</v>
      </c>
      <c r="Z4" s="1">
        <v>6.0452272752739302E-5</v>
      </c>
      <c r="AA4" s="1">
        <v>6.0421795403817555E-5</v>
      </c>
      <c r="AB4" s="1">
        <v>6.0390916490618554E-5</v>
      </c>
      <c r="AC4" s="1">
        <v>6.0369352823591006E-5</v>
      </c>
      <c r="AD4" s="1"/>
      <c r="AE4" s="1"/>
      <c r="AF4" s="1"/>
    </row>
    <row r="5" spans="1:32">
      <c r="A5" s="7" t="s">
        <v>12</v>
      </c>
      <c r="B5" s="8">
        <v>5.0586266198922429E-5</v>
      </c>
      <c r="C5" s="8">
        <v>5.0586266198922429E-5</v>
      </c>
      <c r="D5" s="8">
        <v>5.1607763219151746E-5</v>
      </c>
      <c r="E5" s="8">
        <v>5.2629260239381077E-5</v>
      </c>
      <c r="F5" s="8">
        <v>5.4315695977812021E-5</v>
      </c>
      <c r="G5" s="8">
        <v>5.5626780365259058E-5</v>
      </c>
      <c r="H5" s="8">
        <v>5.6861759359938993E-5</v>
      </c>
      <c r="I5" s="8">
        <v>5.7923231309231095E-5</v>
      </c>
      <c r="J5" s="8">
        <v>5.8817476564532313E-5</v>
      </c>
      <c r="K5" s="8">
        <v>5.9511660757725099E-5</v>
      </c>
      <c r="L5" s="8">
        <v>6.0132920814753527E-5</v>
      </c>
      <c r="M5" s="8">
        <v>6.0543687105745991E-5</v>
      </c>
      <c r="N5" s="8">
        <v>6.0696700859761384E-5</v>
      </c>
      <c r="O5" s="8">
        <v>6.0676349696673325E-5</v>
      </c>
      <c r="P5" s="8">
        <v>6.0651204628472715E-5</v>
      </c>
      <c r="Q5" s="8">
        <v>6.0632042704044597E-5</v>
      </c>
      <c r="R5" s="8">
        <v>6.0615121724603387E-5</v>
      </c>
      <c r="S5" s="8">
        <v>6.0605519529419925E-5</v>
      </c>
      <c r="T5" s="8">
        <v>6.0584843231000183E-5</v>
      </c>
      <c r="U5" s="8">
        <v>6.0560038316745274E-5</v>
      </c>
      <c r="V5" s="8">
        <v>6.053924600778776E-5</v>
      </c>
      <c r="W5" s="8">
        <v>6.0520785449807174E-5</v>
      </c>
      <c r="X5" s="8">
        <v>6.0503250434459527E-5</v>
      </c>
      <c r="Y5" s="8">
        <v>6.0481613540855517E-5</v>
      </c>
      <c r="Z5" s="8">
        <v>6.0452272752739302E-5</v>
      </c>
      <c r="AA5" s="8">
        <v>6.0421795403817555E-5</v>
      </c>
      <c r="AB5" s="8">
        <v>6.0390916490618554E-5</v>
      </c>
      <c r="AC5" s="8">
        <v>6.0369352823591006E-5</v>
      </c>
      <c r="AD5" s="8"/>
      <c r="AE5" s="8"/>
      <c r="AF5" s="8"/>
    </row>
    <row r="6" spans="1:32">
      <c r="A6" s="1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/>
      <c r="AE6" s="1"/>
      <c r="AF6" s="1"/>
    </row>
    <row r="7" spans="1:32">
      <c r="A7" s="1" t="s">
        <v>14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/>
      <c r="AE7" s="1"/>
      <c r="AF7" s="1"/>
    </row>
    <row r="8" spans="1:32">
      <c r="A8" s="1" t="s">
        <v>15</v>
      </c>
      <c r="B8" s="6">
        <v>1.5175879859676727E-4</v>
      </c>
      <c r="C8" s="6">
        <v>1.5175879859676727E-4</v>
      </c>
      <c r="D8" s="6">
        <v>1.5482328965745523E-4</v>
      </c>
      <c r="E8" s="6">
        <v>1.5788778071814321E-4</v>
      </c>
      <c r="F8" s="6">
        <v>1.6294708793343604E-4</v>
      </c>
      <c r="G8" s="6">
        <v>1.6688034109577717E-4</v>
      </c>
      <c r="H8" s="6">
        <v>1.7058527807981697E-4</v>
      </c>
      <c r="I8" s="6">
        <v>1.7376969392769327E-4</v>
      </c>
      <c r="J8" s="6">
        <v>1.764524296935969E-4</v>
      </c>
      <c r="K8" s="6">
        <v>1.7853498227317528E-4</v>
      </c>
      <c r="L8" s="6">
        <v>1.8039876244426055E-4</v>
      </c>
      <c r="M8" s="6">
        <v>1.8163106131723793E-4</v>
      </c>
      <c r="N8" s="6">
        <v>1.8209010257928414E-4</v>
      </c>
      <c r="O8" s="6">
        <v>1.8202904909001995E-4</v>
      </c>
      <c r="P8" s="6">
        <v>1.8195361388541811E-4</v>
      </c>
      <c r="Q8" s="6">
        <v>1.8189612811213377E-4</v>
      </c>
      <c r="R8" s="6">
        <v>1.8184536517381011E-4</v>
      </c>
      <c r="S8" s="6">
        <v>1.8181655858825975E-4</v>
      </c>
      <c r="T8" s="6">
        <v>1.8175452969300054E-4</v>
      </c>
      <c r="U8" s="6">
        <v>1.8168011495023581E-4</v>
      </c>
      <c r="V8" s="6">
        <v>1.8161773802336325E-4</v>
      </c>
      <c r="W8" s="6">
        <v>1.8156235634942148E-4</v>
      </c>
      <c r="X8" s="6">
        <v>1.8150975130337856E-4</v>
      </c>
      <c r="Y8" s="6">
        <v>1.8144484062256652E-4</v>
      </c>
      <c r="Z8" s="6">
        <v>1.8135681825821789E-4</v>
      </c>
      <c r="AA8" s="6">
        <v>1.8126538621145264E-4</v>
      </c>
      <c r="AB8" s="6">
        <v>1.8117274947185562E-4</v>
      </c>
      <c r="AC8" s="6">
        <v>1.8110805847077298E-4</v>
      </c>
      <c r="AD8" s="6"/>
      <c r="AE8" s="6"/>
      <c r="AF8" s="6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2687-615D-4131-AB0A-50C4149D9CE3}">
  <dimension ref="A1:AF8"/>
  <sheetViews>
    <sheetView workbookViewId="0">
      <selection activeCell="F34" sqref="F34"/>
    </sheetView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/>
      <c r="AE1" s="1"/>
      <c r="AF1" s="1"/>
    </row>
    <row r="2" spans="1:32">
      <c r="A2" s="1" t="s">
        <v>9</v>
      </c>
      <c r="B2" s="6">
        <v>1.0829065696442089E-2</v>
      </c>
      <c r="C2" s="6">
        <v>1.0840496025738076E-2</v>
      </c>
      <c r="D2" s="6">
        <v>1.0851935995457985E-2</v>
      </c>
      <c r="E2" s="6">
        <v>1.0863388819076458E-2</v>
      </c>
      <c r="F2" s="6">
        <v>1.087485449659349E-2</v>
      </c>
      <c r="G2" s="6">
        <v>1.0886329814534444E-2</v>
      </c>
      <c r="H2" s="6">
        <v>1.08978211998486E-2</v>
      </c>
      <c r="I2" s="6">
        <v>1.0909322225586677E-2</v>
      </c>
      <c r="J2" s="6">
        <v>1.0920836105223316E-2</v>
      </c>
      <c r="K2" s="6">
        <v>1.0932359625283876E-2</v>
      </c>
      <c r="L2" s="6">
        <v>1.0943899212717637E-2</v>
      </c>
      <c r="M2" s="6">
        <v>1.0955448440575322E-2</v>
      </c>
      <c r="N2" s="6">
        <v>1.0967010522331566E-2</v>
      </c>
      <c r="O2" s="6">
        <v>1.0978585457986372E-2</v>
      </c>
      <c r="P2" s="6">
        <v>1.0990170034065102E-2</v>
      </c>
      <c r="Q2" s="6">
        <v>1.1001770677517031E-2</v>
      </c>
      <c r="R2" s="6">
        <v>1.1013380961392883E-2</v>
      </c>
      <c r="S2" s="6">
        <v>1.1025004099167297E-2</v>
      </c>
      <c r="T2" s="6">
        <v>1.1036640090840271E-2</v>
      </c>
      <c r="U2" s="6">
        <v>1.1048288936411809E-2</v>
      </c>
      <c r="V2" s="6">
        <v>1.1059947422407266E-2</v>
      </c>
      <c r="W2" s="6">
        <v>1.1071618762301286E-2</v>
      </c>
      <c r="X2" s="6">
        <v>1.1083306169568508E-2</v>
      </c>
      <c r="Y2" s="6">
        <v>1.1095000003785011E-2</v>
      </c>
      <c r="Z2" s="6">
        <v>1.1106709905374716E-2</v>
      </c>
      <c r="AA2" s="6">
        <v>1.1118432660862983E-2</v>
      </c>
      <c r="AB2" s="6">
        <v>1.113016827024981E-2</v>
      </c>
      <c r="AC2" s="6">
        <v>1.114191352006056E-2</v>
      </c>
      <c r="AD2" s="6"/>
      <c r="AE2" s="6"/>
      <c r="AF2" s="6"/>
    </row>
    <row r="3" spans="1:32">
      <c r="A3" s="1" t="s">
        <v>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/>
      <c r="AE3" s="1"/>
      <c r="AF3" s="1"/>
    </row>
    <row r="4" spans="1:32">
      <c r="A4" s="1" t="s">
        <v>11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/>
      <c r="AE4" s="1"/>
      <c r="AF4" s="1"/>
    </row>
    <row r="5" spans="1:32">
      <c r="A5" s="7" t="s">
        <v>12</v>
      </c>
      <c r="B5" s="8">
        <v>3.3698929999999997E-3</v>
      </c>
      <c r="C5" s="8">
        <v>3.3734500000000001E-3</v>
      </c>
      <c r="D5" s="8">
        <v>3.3770099999999997E-3</v>
      </c>
      <c r="E5" s="8">
        <v>3.3805740000000003E-3</v>
      </c>
      <c r="F5" s="8">
        <v>3.3841420000000001E-3</v>
      </c>
      <c r="G5" s="8">
        <v>3.3877130000000001E-3</v>
      </c>
      <c r="H5" s="8">
        <v>3.391289E-3</v>
      </c>
      <c r="I5" s="8">
        <v>3.3948680000000001E-3</v>
      </c>
      <c r="J5" s="8">
        <v>3.3984510000000002E-3</v>
      </c>
      <c r="K5" s="8">
        <v>3.4020370000000001E-3</v>
      </c>
      <c r="L5" s="8">
        <v>3.405628E-3</v>
      </c>
      <c r="M5" s="8">
        <v>3.4092220000000004E-3</v>
      </c>
      <c r="N5" s="8">
        <v>3.41282E-3</v>
      </c>
      <c r="O5" s="8">
        <v>3.4164219999999997E-3</v>
      </c>
      <c r="P5" s="8">
        <v>3.420027E-3</v>
      </c>
      <c r="Q5" s="8">
        <v>3.4236369999999998E-3</v>
      </c>
      <c r="R5" s="8">
        <v>3.4272499999999997E-3</v>
      </c>
      <c r="S5" s="8">
        <v>3.4308670000000002E-3</v>
      </c>
      <c r="T5" s="8">
        <v>3.4344879999999999E-3</v>
      </c>
      <c r="U5" s="8">
        <v>3.438113E-3</v>
      </c>
      <c r="V5" s="8">
        <v>3.4417409999999999E-3</v>
      </c>
      <c r="W5" s="8">
        <v>3.4453729999999998E-3</v>
      </c>
      <c r="X5" s="8">
        <v>3.4490099999999997E-3</v>
      </c>
      <c r="Y5" s="8">
        <v>3.4526489999999999E-3</v>
      </c>
      <c r="Z5" s="8">
        <v>3.456293E-3</v>
      </c>
      <c r="AA5" s="8">
        <v>3.4599410000000002E-3</v>
      </c>
      <c r="AB5" s="8">
        <v>3.4635930000000001E-3</v>
      </c>
      <c r="AC5" s="8">
        <v>3.467248E-3</v>
      </c>
      <c r="AD5" s="8"/>
      <c r="AE5" s="8"/>
      <c r="AF5" s="8"/>
    </row>
    <row r="6" spans="1:32">
      <c r="A6" s="1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/>
      <c r="AE6" s="1"/>
      <c r="AF6" s="1"/>
    </row>
    <row r="7" spans="1:32">
      <c r="A7" s="1" t="s">
        <v>14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/>
      <c r="AE7" s="1"/>
      <c r="AF7" s="1"/>
    </row>
    <row r="8" spans="1:32">
      <c r="A8" s="1" t="s">
        <v>15</v>
      </c>
      <c r="B8" s="6">
        <v>1.0109678999999998E-2</v>
      </c>
      <c r="C8" s="6">
        <v>1.0120349999999998E-2</v>
      </c>
      <c r="D8" s="6">
        <v>1.0131029999999997E-2</v>
      </c>
      <c r="E8" s="6">
        <v>1.0141721999999999E-2</v>
      </c>
      <c r="F8" s="6">
        <v>1.0152425999999999E-2</v>
      </c>
      <c r="G8" s="6">
        <v>1.0163138999999998E-2</v>
      </c>
      <c r="H8" s="6">
        <v>1.0173866999999998E-2</v>
      </c>
      <c r="I8" s="6">
        <v>1.0184603999999998E-2</v>
      </c>
      <c r="J8" s="6">
        <v>1.0195352999999999E-2</v>
      </c>
      <c r="K8" s="6">
        <v>1.0206110999999999E-2</v>
      </c>
      <c r="L8" s="6">
        <v>1.0216883999999999E-2</v>
      </c>
      <c r="M8" s="6">
        <v>1.0227666E-2</v>
      </c>
      <c r="N8" s="6">
        <v>1.0238459999999998E-2</v>
      </c>
      <c r="O8" s="6">
        <v>1.0249265999999998E-2</v>
      </c>
      <c r="P8" s="6">
        <v>1.0260080999999999E-2</v>
      </c>
      <c r="Q8" s="6">
        <v>1.0270910999999997E-2</v>
      </c>
      <c r="R8" s="6">
        <v>1.0281749999999997E-2</v>
      </c>
      <c r="S8" s="6">
        <v>1.0292600999999998E-2</v>
      </c>
      <c r="T8" s="6">
        <v>1.0303463999999998E-2</v>
      </c>
      <c r="U8" s="6">
        <v>1.0314338999999999E-2</v>
      </c>
      <c r="V8" s="6">
        <v>1.0325222999999998E-2</v>
      </c>
      <c r="W8" s="6">
        <v>1.0336118999999998E-2</v>
      </c>
      <c r="X8" s="6">
        <v>1.0347029999999998E-2</v>
      </c>
      <c r="Y8" s="6">
        <v>1.0357946999999998E-2</v>
      </c>
      <c r="Z8" s="6">
        <v>1.0368878999999999E-2</v>
      </c>
      <c r="AA8" s="6">
        <v>1.0379823E-2</v>
      </c>
      <c r="AB8" s="6">
        <v>1.0390778999999999E-2</v>
      </c>
      <c r="AC8" s="6">
        <v>1.0401743999999999E-2</v>
      </c>
      <c r="AD8" s="6"/>
      <c r="AE8" s="6"/>
      <c r="AF8" s="6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AE47-E25D-4966-9232-7994CD562D42}">
  <dimension ref="A1:AF8"/>
  <sheetViews>
    <sheetView workbookViewId="0">
      <selection sqref="A1:XFD1048576"/>
    </sheetView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/>
      <c r="AE1" s="1"/>
      <c r="AF1" s="1"/>
    </row>
    <row r="2" spans="1:32">
      <c r="A2" s="1" t="s">
        <v>9</v>
      </c>
      <c r="B2" s="6">
        <v>3.8151653664103207E-5</v>
      </c>
      <c r="C2" s="6">
        <v>3.8151653664103207E-5</v>
      </c>
      <c r="D2" s="6">
        <v>3.8151653664103207E-5</v>
      </c>
      <c r="E2" s="6">
        <v>3.8151653664103207E-5</v>
      </c>
      <c r="F2" s="6">
        <v>3.8151653664103207E-5</v>
      </c>
      <c r="G2" s="6">
        <v>3.8151653664103207E-5</v>
      </c>
      <c r="H2" s="6">
        <v>3.8151653664103207E-5</v>
      </c>
      <c r="I2" s="6">
        <v>3.8151653664103207E-5</v>
      </c>
      <c r="J2" s="6">
        <v>3.8151653664103207E-5</v>
      </c>
      <c r="K2" s="6">
        <v>3.8151653664103207E-5</v>
      </c>
      <c r="L2" s="6">
        <v>3.8151653664103207E-5</v>
      </c>
      <c r="M2" s="6">
        <v>3.8151653664103207E-5</v>
      </c>
      <c r="N2" s="6">
        <v>3.8151653664103207E-5</v>
      </c>
      <c r="O2" s="6">
        <v>3.8151653664103207E-5</v>
      </c>
      <c r="P2" s="6">
        <v>3.8151653664103207E-5</v>
      </c>
      <c r="Q2" s="6">
        <v>3.8151653664103207E-5</v>
      </c>
      <c r="R2" s="6">
        <v>3.8151653664103207E-5</v>
      </c>
      <c r="S2" s="6">
        <v>3.8151653664103207E-5</v>
      </c>
      <c r="T2" s="6">
        <v>3.8151653664103207E-5</v>
      </c>
      <c r="U2" s="6">
        <v>3.8151653664103207E-5</v>
      </c>
      <c r="V2" s="6">
        <v>3.8151653664103207E-5</v>
      </c>
      <c r="W2" s="6">
        <v>3.8151653664103207E-5</v>
      </c>
      <c r="X2" s="6">
        <v>3.8151653664103207E-5</v>
      </c>
      <c r="Y2" s="6">
        <v>3.8151653664103207E-5</v>
      </c>
      <c r="Z2" s="6">
        <v>3.8151653664103207E-5</v>
      </c>
      <c r="AA2" s="6">
        <v>3.8151653664103207E-5</v>
      </c>
      <c r="AB2" s="6">
        <v>3.8151653664103207E-5</v>
      </c>
      <c r="AC2" s="6">
        <v>3.8151653664103207E-5</v>
      </c>
      <c r="AD2" s="6"/>
      <c r="AE2" s="6"/>
      <c r="AF2" s="6"/>
    </row>
    <row r="3" spans="1:32">
      <c r="A3" s="1" t="s">
        <v>10</v>
      </c>
      <c r="B3" s="1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/>
      <c r="AE3" s="6"/>
      <c r="AF3" s="6"/>
    </row>
    <row r="4" spans="1:32">
      <c r="A4" s="1" t="s">
        <v>11</v>
      </c>
      <c r="B4" s="6">
        <v>1.1872400950049923E-5</v>
      </c>
      <c r="C4" s="6">
        <v>1.1872400950049923E-5</v>
      </c>
      <c r="D4" s="6">
        <v>1.1872400950049923E-5</v>
      </c>
      <c r="E4" s="6">
        <v>1.1872400950049923E-5</v>
      </c>
      <c r="F4" s="6">
        <v>1.1872400950049923E-5</v>
      </c>
      <c r="G4" s="6">
        <v>1.1872400950049923E-5</v>
      </c>
      <c r="H4" s="6">
        <v>1.1872400950049923E-5</v>
      </c>
      <c r="I4" s="6">
        <v>1.1872400950049923E-5</v>
      </c>
      <c r="J4" s="6">
        <v>1.1872400950049923E-5</v>
      </c>
      <c r="K4" s="6">
        <v>1.1872400950049923E-5</v>
      </c>
      <c r="L4" s="6">
        <v>1.1872400950049923E-5</v>
      </c>
      <c r="M4" s="6">
        <v>1.1872400950049923E-5</v>
      </c>
      <c r="N4" s="6">
        <v>1.1872400950049923E-5</v>
      </c>
      <c r="O4" s="6">
        <v>1.1872400950049923E-5</v>
      </c>
      <c r="P4" s="6">
        <v>1.1872400950049923E-5</v>
      </c>
      <c r="Q4" s="6">
        <v>1.1872400950049923E-5</v>
      </c>
      <c r="R4" s="6">
        <v>1.1872400950049923E-5</v>
      </c>
      <c r="S4" s="6">
        <v>1.1872400950049923E-5</v>
      </c>
      <c r="T4" s="6">
        <v>1.1872400950049923E-5</v>
      </c>
      <c r="U4" s="6">
        <v>1.1872400950049923E-5</v>
      </c>
      <c r="V4" s="6">
        <v>1.1872400950049923E-5</v>
      </c>
      <c r="W4" s="6">
        <v>1.1872400950049923E-5</v>
      </c>
      <c r="X4" s="6">
        <v>1.1872400950049923E-5</v>
      </c>
      <c r="Y4" s="6">
        <v>1.1872400950049923E-5</v>
      </c>
      <c r="Z4" s="6">
        <v>1.1872400950049923E-5</v>
      </c>
      <c r="AA4" s="6">
        <v>1.1872400950049923E-5</v>
      </c>
      <c r="AB4" s="6">
        <v>1.1872400950049923E-5</v>
      </c>
      <c r="AC4" s="6">
        <v>1.1872400950049923E-5</v>
      </c>
      <c r="AD4" s="6"/>
      <c r="AE4" s="6"/>
      <c r="AF4" s="6"/>
    </row>
    <row r="5" spans="1:32">
      <c r="A5" s="1" t="s">
        <v>12</v>
      </c>
      <c r="B5" s="6">
        <v>1.1872399173210917E-5</v>
      </c>
      <c r="C5" s="6">
        <v>1.1872399173210917E-5</v>
      </c>
      <c r="D5" s="6">
        <v>1.1872399173210917E-5</v>
      </c>
      <c r="E5" s="6">
        <v>1.1872399173210917E-5</v>
      </c>
      <c r="F5" s="6">
        <v>1.1872399173210917E-5</v>
      </c>
      <c r="G5" s="6">
        <v>1.1872399173210917E-5</v>
      </c>
      <c r="H5" s="6">
        <v>1.1872399173210917E-5</v>
      </c>
      <c r="I5" s="6">
        <v>1.1872399173210917E-5</v>
      </c>
      <c r="J5" s="6">
        <v>1.1872399173210917E-5</v>
      </c>
      <c r="K5" s="6">
        <v>1.1872399173210917E-5</v>
      </c>
      <c r="L5" s="6">
        <v>1.1872399173210917E-5</v>
      </c>
      <c r="M5" s="6">
        <v>1.1872399173210917E-5</v>
      </c>
      <c r="N5" s="6">
        <v>1.1872399173210917E-5</v>
      </c>
      <c r="O5" s="6">
        <v>1.1872399173210917E-5</v>
      </c>
      <c r="P5" s="6">
        <v>1.1872399173210917E-5</v>
      </c>
      <c r="Q5" s="6">
        <v>1.1872399173210917E-5</v>
      </c>
      <c r="R5" s="6">
        <v>1.1872399173210917E-5</v>
      </c>
      <c r="S5" s="6">
        <v>1.1872399173210917E-5</v>
      </c>
      <c r="T5" s="6">
        <v>1.1872399173210917E-5</v>
      </c>
      <c r="U5" s="6">
        <v>1.1872399173210917E-5</v>
      </c>
      <c r="V5" s="6">
        <v>1.1872399173210917E-5</v>
      </c>
      <c r="W5" s="6">
        <v>1.1872399173210917E-5</v>
      </c>
      <c r="X5" s="6">
        <v>1.1872399173210917E-5</v>
      </c>
      <c r="Y5" s="6">
        <v>1.1872399173210917E-5</v>
      </c>
      <c r="Z5" s="6">
        <v>1.1872399173210917E-5</v>
      </c>
      <c r="AA5" s="6">
        <v>1.1872399173210917E-5</v>
      </c>
      <c r="AB5" s="6">
        <v>1.1872399173210917E-5</v>
      </c>
      <c r="AC5" s="6">
        <v>1.1872399173210917E-5</v>
      </c>
      <c r="AD5" s="6"/>
      <c r="AE5" s="6"/>
      <c r="AF5" s="6"/>
    </row>
    <row r="6" spans="1:32">
      <c r="A6" s="1" t="s">
        <v>13</v>
      </c>
      <c r="B6" s="1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/>
      <c r="AE6" s="6"/>
      <c r="AF6" s="6"/>
    </row>
    <row r="7" spans="1:32">
      <c r="A7" s="1" t="s">
        <v>14</v>
      </c>
      <c r="B7" s="1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/>
      <c r="AE7" s="6"/>
      <c r="AF7" s="6"/>
    </row>
    <row r="8" spans="1:32">
      <c r="A8" s="1" t="s">
        <v>15</v>
      </c>
      <c r="B8" s="6">
        <v>3.5617197519632745E-5</v>
      </c>
      <c r="C8" s="6">
        <v>3.5617197519632745E-5</v>
      </c>
      <c r="D8" s="6">
        <v>3.5617197519632745E-5</v>
      </c>
      <c r="E8" s="6">
        <v>3.5617197519632745E-5</v>
      </c>
      <c r="F8" s="6">
        <v>3.5617197519632745E-5</v>
      </c>
      <c r="G8" s="6">
        <v>3.5617197519632745E-5</v>
      </c>
      <c r="H8" s="6">
        <v>3.5617197519632745E-5</v>
      </c>
      <c r="I8" s="6">
        <v>3.5617197519632745E-5</v>
      </c>
      <c r="J8" s="6">
        <v>3.5617197519632745E-5</v>
      </c>
      <c r="K8" s="6">
        <v>3.5617197519632745E-5</v>
      </c>
      <c r="L8" s="6">
        <v>3.5617197519632745E-5</v>
      </c>
      <c r="M8" s="6">
        <v>3.5617197519632745E-5</v>
      </c>
      <c r="N8" s="6">
        <v>3.5617197519632745E-5</v>
      </c>
      <c r="O8" s="6">
        <v>3.5617197519632745E-5</v>
      </c>
      <c r="P8" s="6">
        <v>3.5617197519632745E-5</v>
      </c>
      <c r="Q8" s="6">
        <v>3.5617197519632745E-5</v>
      </c>
      <c r="R8" s="6">
        <v>3.5617197519632745E-5</v>
      </c>
      <c r="S8" s="6">
        <v>3.5617197519632745E-5</v>
      </c>
      <c r="T8" s="6">
        <v>3.5617197519632745E-5</v>
      </c>
      <c r="U8" s="6">
        <v>3.5617197519632745E-5</v>
      </c>
      <c r="V8" s="6">
        <v>3.5617197519632745E-5</v>
      </c>
      <c r="W8" s="6">
        <v>3.5617197519632745E-5</v>
      </c>
      <c r="X8" s="6">
        <v>3.5617197519632745E-5</v>
      </c>
      <c r="Y8" s="6">
        <v>3.5617197519632745E-5</v>
      </c>
      <c r="Z8" s="6">
        <v>3.5617197519632745E-5</v>
      </c>
      <c r="AA8" s="6">
        <v>3.5617197519632745E-5</v>
      </c>
      <c r="AB8" s="6">
        <v>3.5617197519632745E-5</v>
      </c>
      <c r="AC8" s="6">
        <v>3.5617197519632745E-5</v>
      </c>
      <c r="AD8" s="6"/>
      <c r="AE8" s="6"/>
      <c r="AF8" s="6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DAD2-4DA9-444A-A605-DE00222A95B6}">
  <dimension ref="A1:AF8"/>
  <sheetViews>
    <sheetView workbookViewId="0">
      <selection sqref="A1:XFD1048576"/>
    </sheetView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/>
      <c r="AE1" s="1"/>
      <c r="AF1" s="1"/>
    </row>
    <row r="2" spans="1:32">
      <c r="A2" s="1" t="s">
        <v>9</v>
      </c>
      <c r="B2" s="6">
        <v>1.5610349625283874E-2</v>
      </c>
      <c r="C2" s="6">
        <v>1.5610349625283874E-2</v>
      </c>
      <c r="D2" s="6">
        <v>1.567103930734292E-2</v>
      </c>
      <c r="E2" s="6">
        <v>1.5731963573050716E-2</v>
      </c>
      <c r="F2" s="6">
        <v>1.5793125635881908E-2</v>
      </c>
      <c r="G2" s="6">
        <v>1.5854525495836488E-2</v>
      </c>
      <c r="H2" s="6">
        <v>1.5916163152914456E-2</v>
      </c>
      <c r="I2" s="6">
        <v>1.5978038607115819E-2</v>
      </c>
      <c r="J2" s="6">
        <v>1.6040158285389856E-2</v>
      </c>
      <c r="K2" s="6">
        <v>1.6102518974261921E-2</v>
      </c>
      <c r="L2" s="6">
        <v>1.616512067373202E-2</v>
      </c>
      <c r="M2" s="6">
        <v>1.6227966597274792E-2</v>
      </c>
      <c r="N2" s="6">
        <v>1.6291056744890235E-2</v>
      </c>
      <c r="O2" s="6">
        <v>1.6354391116578351E-2</v>
      </c>
      <c r="P2" s="6">
        <v>1.6417972925813779E-2</v>
      </c>
      <c r="Q2" s="6">
        <v>1.6481802172596517E-2</v>
      </c>
      <c r="R2" s="6">
        <v>1.6545878856926571E-2</v>
      </c>
      <c r="S2" s="6">
        <v>1.6610202978803938E-2</v>
      </c>
      <c r="T2" s="6">
        <v>1.6674780965177896E-2</v>
      </c>
      <c r="U2" s="6">
        <v>1.6739606389099167E-2</v>
      </c>
      <c r="V2" s="6">
        <v>1.6804688890991671E-2</v>
      </c>
      <c r="W2" s="6">
        <v>1.6870018830431491E-2</v>
      </c>
      <c r="X2" s="6">
        <v>1.6935605847842542E-2</v>
      </c>
      <c r="Y2" s="6">
        <v>1.7001446729750191E-2</v>
      </c>
      <c r="Z2" s="6">
        <v>1.706754468962907E-2</v>
      </c>
      <c r="AA2" s="6">
        <v>1.7133899727479179E-2</v>
      </c>
      <c r="AB2" s="6">
        <v>1.7200511843300528E-2</v>
      </c>
      <c r="AC2" s="6">
        <v>1.7267381037093112E-2</v>
      </c>
      <c r="AD2" s="6"/>
      <c r="AE2" s="6"/>
      <c r="AF2" s="6"/>
    </row>
    <row r="3" spans="1:32">
      <c r="A3" s="1" t="s">
        <v>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/>
      <c r="AE3" s="1"/>
      <c r="AF3" s="1"/>
    </row>
    <row r="4" spans="1:32">
      <c r="A4" s="1" t="s">
        <v>11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/>
      <c r="AE4" s="1"/>
      <c r="AF4" s="1"/>
    </row>
    <row r="5" spans="1:32">
      <c r="A5" s="1" t="s">
        <v>12</v>
      </c>
      <c r="B5" s="6">
        <v>4.8577789999999996E-3</v>
      </c>
      <c r="C5" s="6">
        <v>4.8577789999999996E-3</v>
      </c>
      <c r="D5" s="6">
        <v>4.8766649999999996E-3</v>
      </c>
      <c r="E5" s="6">
        <v>4.8956239999999995E-3</v>
      </c>
      <c r="F5" s="6">
        <v>4.9146570000000002E-3</v>
      </c>
      <c r="G5" s="6">
        <v>4.9337640000000002E-3</v>
      </c>
      <c r="H5" s="6">
        <v>4.9529449999999994E-3</v>
      </c>
      <c r="I5" s="6">
        <v>4.9721999999999995E-3</v>
      </c>
      <c r="J5" s="6">
        <v>4.9915310000000004E-3</v>
      </c>
      <c r="K5" s="6">
        <v>5.010937E-3</v>
      </c>
      <c r="L5" s="6">
        <v>5.030418E-3</v>
      </c>
      <c r="M5" s="6">
        <v>5.049975E-3</v>
      </c>
      <c r="N5" s="6">
        <v>5.0696079999999998E-3</v>
      </c>
      <c r="O5" s="6">
        <v>5.0893170000000003E-3</v>
      </c>
      <c r="P5" s="6">
        <v>5.1091030000000003E-3</v>
      </c>
      <c r="Q5" s="6">
        <v>5.1289660000000004E-3</v>
      </c>
      <c r="R5" s="6">
        <v>5.148906E-3</v>
      </c>
      <c r="S5" s="6">
        <v>5.1689230000000006E-3</v>
      </c>
      <c r="T5" s="6">
        <v>5.1890190000000004E-3</v>
      </c>
      <c r="U5" s="6">
        <v>5.2091919999999996E-3</v>
      </c>
      <c r="V5" s="6">
        <v>5.2294450000000001E-3</v>
      </c>
      <c r="W5" s="6">
        <v>5.2497749999999999E-3</v>
      </c>
      <c r="X5" s="6">
        <v>5.2701849999999993E-3</v>
      </c>
      <c r="Y5" s="6">
        <v>5.2906740000000004E-3</v>
      </c>
      <c r="Z5" s="6">
        <v>5.3112430000000002E-3</v>
      </c>
      <c r="AA5" s="6">
        <v>5.3318919999999995E-3</v>
      </c>
      <c r="AB5" s="6">
        <v>5.3526210000000001E-3</v>
      </c>
      <c r="AC5" s="6">
        <v>5.3734300000000002E-3</v>
      </c>
      <c r="AD5" s="6"/>
      <c r="AE5" s="6"/>
      <c r="AF5" s="6"/>
    </row>
    <row r="6" spans="1:32">
      <c r="A6" s="1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/>
      <c r="AE6" s="1"/>
      <c r="AF6" s="1"/>
    </row>
    <row r="7" spans="1:32">
      <c r="A7" s="1" t="s">
        <v>14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/>
      <c r="AE7" s="1"/>
      <c r="AF7" s="1"/>
    </row>
    <row r="8" spans="1:32">
      <c r="A8" s="1" t="s">
        <v>15</v>
      </c>
      <c r="B8" s="6">
        <v>1.4573336999999997E-2</v>
      </c>
      <c r="C8" s="6">
        <v>1.4573336999999997E-2</v>
      </c>
      <c r="D8" s="6">
        <v>1.4629994999999996E-2</v>
      </c>
      <c r="E8" s="6">
        <v>1.4686871999999997E-2</v>
      </c>
      <c r="F8" s="6">
        <v>1.4743970999999998E-2</v>
      </c>
      <c r="G8" s="6">
        <v>1.4801291999999999E-2</v>
      </c>
      <c r="H8" s="6">
        <v>1.4858834999999996E-2</v>
      </c>
      <c r="I8" s="6">
        <v>1.4916599999999997E-2</v>
      </c>
      <c r="J8" s="6">
        <v>1.4974593E-2</v>
      </c>
      <c r="K8" s="6">
        <v>1.5032810999999998E-2</v>
      </c>
      <c r="L8" s="6">
        <v>1.5091253999999998E-2</v>
      </c>
      <c r="M8" s="6">
        <v>1.5149924999999998E-2</v>
      </c>
      <c r="N8" s="6">
        <v>1.5208823999999998E-2</v>
      </c>
      <c r="O8" s="6">
        <v>1.5267950999999998E-2</v>
      </c>
      <c r="P8" s="6">
        <v>1.5327308999999999E-2</v>
      </c>
      <c r="Q8" s="6">
        <v>1.5386898E-2</v>
      </c>
      <c r="R8" s="6">
        <v>1.5446717999999998E-2</v>
      </c>
      <c r="S8" s="6">
        <v>1.5506769E-2</v>
      </c>
      <c r="T8" s="6">
        <v>1.5567056999999999E-2</v>
      </c>
      <c r="U8" s="6">
        <v>1.5627575999999997E-2</v>
      </c>
      <c r="V8" s="6">
        <v>1.5688334999999998E-2</v>
      </c>
      <c r="W8" s="6">
        <v>1.5749324999999998E-2</v>
      </c>
      <c r="X8" s="6">
        <v>1.5810554999999997E-2</v>
      </c>
      <c r="Y8" s="6">
        <v>1.5872022E-2</v>
      </c>
      <c r="Z8" s="6">
        <v>1.5933728999999997E-2</v>
      </c>
      <c r="AA8" s="6">
        <v>1.5995675999999997E-2</v>
      </c>
      <c r="AB8" s="6">
        <v>1.6057862999999999E-2</v>
      </c>
      <c r="AC8" s="6">
        <v>1.6120289999999999E-2</v>
      </c>
      <c r="AD8" s="6"/>
      <c r="AE8" s="6"/>
      <c r="AF8" s="6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59B2-D948-446C-AB83-38AE2958E3B0}">
  <dimension ref="A1:AF8"/>
  <sheetViews>
    <sheetView workbookViewId="0">
      <selection activeCell="G42" sqref="G42"/>
    </sheetView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/>
      <c r="AE1" s="1"/>
      <c r="AF1" s="1"/>
    </row>
    <row r="2" spans="1:32">
      <c r="A2" s="1" t="s">
        <v>9</v>
      </c>
      <c r="B2">
        <v>5.8028780082485321E-3</v>
      </c>
      <c r="C2">
        <v>5.8028780082485321E-3</v>
      </c>
      <c r="D2">
        <v>5.8028780082485321E-3</v>
      </c>
      <c r="E2">
        <v>5.8028780082485321E-3</v>
      </c>
      <c r="F2">
        <v>5.8028780082485321E-3</v>
      </c>
      <c r="G2">
        <v>5.8028780082485321E-3</v>
      </c>
      <c r="H2">
        <v>5.8028780082485321E-3</v>
      </c>
      <c r="I2">
        <v>5.8028780082485321E-3</v>
      </c>
      <c r="J2">
        <v>5.8028780082485321E-3</v>
      </c>
      <c r="K2">
        <v>5.8028780082485321E-3</v>
      </c>
      <c r="L2">
        <v>5.8028780082485321E-3</v>
      </c>
      <c r="M2">
        <v>5.8028780082485321E-3</v>
      </c>
      <c r="N2">
        <v>5.8028780082485321E-3</v>
      </c>
      <c r="O2">
        <v>5.8028780082485321E-3</v>
      </c>
      <c r="P2">
        <v>5.8028780082485321E-3</v>
      </c>
      <c r="Q2">
        <v>5.8028780082485321E-3</v>
      </c>
      <c r="R2">
        <v>5.8028780082485321E-3</v>
      </c>
      <c r="S2">
        <v>5.8028780082485321E-3</v>
      </c>
      <c r="T2">
        <v>5.8028780082485321E-3</v>
      </c>
      <c r="U2">
        <v>5.8028780082485321E-3</v>
      </c>
      <c r="V2">
        <v>5.8028780082485321E-3</v>
      </c>
      <c r="W2">
        <v>5.8028780082485321E-3</v>
      </c>
      <c r="X2">
        <v>5.8028780082485321E-3</v>
      </c>
      <c r="Y2">
        <v>5.8028780082485321E-3</v>
      </c>
      <c r="Z2">
        <v>5.8028780082485321E-3</v>
      </c>
      <c r="AA2">
        <v>5.8028780082485321E-3</v>
      </c>
      <c r="AB2">
        <v>5.8028780082485321E-3</v>
      </c>
      <c r="AC2">
        <v>5.8028780082485321E-3</v>
      </c>
    </row>
    <row r="3" spans="1:32">
      <c r="A3" s="1" t="s">
        <v>10</v>
      </c>
      <c r="B3">
        <v>1.8223914406069774E-3</v>
      </c>
      <c r="C3">
        <v>1.8223914406069774E-3</v>
      </c>
      <c r="D3">
        <v>1.8223914406069774E-3</v>
      </c>
      <c r="E3">
        <v>1.8223914406069774E-3</v>
      </c>
      <c r="F3">
        <v>1.8223914406069774E-3</v>
      </c>
      <c r="G3">
        <v>1.8223914406069774E-3</v>
      </c>
      <c r="H3">
        <v>1.8223914406069774E-3</v>
      </c>
      <c r="I3">
        <v>1.8223914406069774E-3</v>
      </c>
      <c r="J3">
        <v>1.8223914406069774E-3</v>
      </c>
      <c r="K3">
        <v>1.8223914406069774E-3</v>
      </c>
      <c r="L3">
        <v>1.8223914406069774E-3</v>
      </c>
      <c r="M3">
        <v>1.8223914406069774E-3</v>
      </c>
      <c r="N3">
        <v>1.8223914406069774E-3</v>
      </c>
      <c r="O3">
        <v>1.8223914406069774E-3</v>
      </c>
      <c r="P3">
        <v>1.8223914406069774E-3</v>
      </c>
      <c r="Q3">
        <v>1.8223914406069774E-3</v>
      </c>
      <c r="R3">
        <v>1.8223914406069774E-3</v>
      </c>
      <c r="S3">
        <v>1.8223914406069774E-3</v>
      </c>
      <c r="T3">
        <v>1.8223914406069774E-3</v>
      </c>
      <c r="U3">
        <v>1.8223914406069774E-3</v>
      </c>
      <c r="V3">
        <v>1.8223914406069774E-3</v>
      </c>
      <c r="W3">
        <v>1.8223914406069774E-3</v>
      </c>
      <c r="X3">
        <v>1.8223914406069774E-3</v>
      </c>
      <c r="Y3">
        <v>1.8223914406069774E-3</v>
      </c>
      <c r="Z3">
        <v>1.8223914406069774E-3</v>
      </c>
      <c r="AA3">
        <v>1.8223914406069774E-3</v>
      </c>
      <c r="AB3">
        <v>1.8223914406069774E-3</v>
      </c>
      <c r="AC3">
        <v>1.8223914406069774E-3</v>
      </c>
    </row>
    <row r="4" spans="1:32">
      <c r="A4" s="1" t="s">
        <v>11</v>
      </c>
      <c r="B4">
        <v>1.8223914406069774E-3</v>
      </c>
      <c r="C4">
        <v>1.8223914406069774E-3</v>
      </c>
      <c r="D4">
        <v>1.8223914406069774E-3</v>
      </c>
      <c r="E4">
        <v>1.8223914406069774E-3</v>
      </c>
      <c r="F4">
        <v>1.8223914406069774E-3</v>
      </c>
      <c r="G4">
        <v>1.8223914406069774E-3</v>
      </c>
      <c r="H4">
        <v>1.8223914406069774E-3</v>
      </c>
      <c r="I4">
        <v>1.8223914406069774E-3</v>
      </c>
      <c r="J4">
        <v>1.8223914406069774E-3</v>
      </c>
      <c r="K4">
        <v>1.8223914406069774E-3</v>
      </c>
      <c r="L4">
        <v>1.8223914406069774E-3</v>
      </c>
      <c r="M4">
        <v>1.8223914406069774E-3</v>
      </c>
      <c r="N4">
        <v>1.8223914406069774E-3</v>
      </c>
      <c r="O4">
        <v>1.8223914406069774E-3</v>
      </c>
      <c r="P4">
        <v>1.8223914406069774E-3</v>
      </c>
      <c r="Q4">
        <v>1.8223914406069774E-3</v>
      </c>
      <c r="R4">
        <v>1.8223914406069774E-3</v>
      </c>
      <c r="S4">
        <v>1.8223914406069774E-3</v>
      </c>
      <c r="T4">
        <v>1.8223914406069774E-3</v>
      </c>
      <c r="U4">
        <v>1.8223914406069774E-3</v>
      </c>
      <c r="V4">
        <v>1.8223914406069774E-3</v>
      </c>
      <c r="W4">
        <v>1.8223914406069774E-3</v>
      </c>
      <c r="X4">
        <v>1.8223914406069774E-3</v>
      </c>
      <c r="Y4">
        <v>1.8223914406069774E-3</v>
      </c>
      <c r="Z4">
        <v>1.8223914406069774E-3</v>
      </c>
      <c r="AA4">
        <v>1.8223914406069774E-3</v>
      </c>
      <c r="AB4">
        <v>1.8223914406069774E-3</v>
      </c>
      <c r="AC4">
        <v>1.8223914406069774E-3</v>
      </c>
    </row>
    <row r="5" spans="1:32">
      <c r="A5" s="1" t="s">
        <v>12</v>
      </c>
      <c r="B5">
        <v>1.8223914406069774E-3</v>
      </c>
      <c r="C5">
        <v>1.8223914406069774E-3</v>
      </c>
      <c r="D5">
        <v>1.8223914406069774E-3</v>
      </c>
      <c r="E5">
        <v>1.8223914406069774E-3</v>
      </c>
      <c r="F5">
        <v>1.8223914406069774E-3</v>
      </c>
      <c r="G5">
        <v>1.8223914406069774E-3</v>
      </c>
      <c r="H5">
        <v>1.8223914406069774E-3</v>
      </c>
      <c r="I5">
        <v>1.8223914406069774E-3</v>
      </c>
      <c r="J5">
        <v>1.8223914406069774E-3</v>
      </c>
      <c r="K5">
        <v>1.8223914406069774E-3</v>
      </c>
      <c r="L5">
        <v>1.8223914406069774E-3</v>
      </c>
      <c r="M5">
        <v>1.8223914406069774E-3</v>
      </c>
      <c r="N5">
        <v>1.8223914406069774E-3</v>
      </c>
      <c r="O5">
        <v>1.8223914406069774E-3</v>
      </c>
      <c r="P5">
        <v>1.8223914406069774E-3</v>
      </c>
      <c r="Q5">
        <v>1.8223914406069774E-3</v>
      </c>
      <c r="R5">
        <v>1.8223914406069774E-3</v>
      </c>
      <c r="S5">
        <v>1.8223914406069774E-3</v>
      </c>
      <c r="T5">
        <v>1.8223914406069774E-3</v>
      </c>
      <c r="U5">
        <v>1.8223914406069774E-3</v>
      </c>
      <c r="V5">
        <v>1.8223914406069774E-3</v>
      </c>
      <c r="W5">
        <v>1.8223914406069774E-3</v>
      </c>
      <c r="X5">
        <v>1.8223914406069774E-3</v>
      </c>
      <c r="Y5">
        <v>1.8223914406069774E-3</v>
      </c>
      <c r="Z5">
        <v>1.8223914406069774E-3</v>
      </c>
      <c r="AA5">
        <v>1.8223914406069774E-3</v>
      </c>
      <c r="AB5">
        <v>1.8223914406069774E-3</v>
      </c>
      <c r="AC5">
        <v>1.8223914406069774E-3</v>
      </c>
    </row>
    <row r="6" spans="1:32">
      <c r="A6" s="1" t="s">
        <v>13</v>
      </c>
      <c r="B6">
        <v>4.0116590528098328E-3</v>
      </c>
      <c r="C6">
        <v>4.0116590528098328E-3</v>
      </c>
      <c r="D6">
        <v>4.0116590528098328E-3</v>
      </c>
      <c r="E6">
        <v>4.0116590528098328E-3</v>
      </c>
      <c r="F6">
        <v>4.0116590528098328E-3</v>
      </c>
      <c r="G6">
        <v>4.0116590528098328E-3</v>
      </c>
      <c r="H6">
        <v>4.0116590528098328E-3</v>
      </c>
      <c r="I6">
        <v>4.0116590528098328E-3</v>
      </c>
      <c r="J6">
        <v>4.0116590528098328E-3</v>
      </c>
      <c r="K6">
        <v>4.0116590528098328E-3</v>
      </c>
      <c r="L6">
        <v>4.0116590528098328E-3</v>
      </c>
      <c r="M6">
        <v>4.0116590528098328E-3</v>
      </c>
      <c r="N6">
        <v>4.0116590528098328E-3</v>
      </c>
      <c r="O6">
        <v>4.0116590528098328E-3</v>
      </c>
      <c r="P6">
        <v>4.0116590528098328E-3</v>
      </c>
      <c r="Q6">
        <v>4.0116590528098328E-3</v>
      </c>
      <c r="R6">
        <v>4.0116590528098328E-3</v>
      </c>
      <c r="S6">
        <v>4.0116590528098328E-3</v>
      </c>
      <c r="T6">
        <v>4.0116590528098328E-3</v>
      </c>
      <c r="U6">
        <v>4.0116590528098328E-3</v>
      </c>
      <c r="V6">
        <v>4.0116590528098328E-3</v>
      </c>
      <c r="W6">
        <v>4.0116590528098328E-3</v>
      </c>
      <c r="X6">
        <v>4.0116590528098328E-3</v>
      </c>
      <c r="Y6">
        <v>4.0116590528098328E-3</v>
      </c>
      <c r="Z6">
        <v>4.0116590528098328E-3</v>
      </c>
      <c r="AA6">
        <v>4.0116590528098328E-3</v>
      </c>
      <c r="AB6">
        <v>4.0116590528098328E-3</v>
      </c>
      <c r="AC6">
        <v>4.0116590528098328E-3</v>
      </c>
    </row>
    <row r="7" spans="1:32">
      <c r="A7" s="1" t="s">
        <v>14</v>
      </c>
      <c r="B7">
        <v>1.4123533664704075E-3</v>
      </c>
      <c r="C7">
        <v>1.4123533664704075E-3</v>
      </c>
      <c r="D7">
        <v>1.4123533664704075E-3</v>
      </c>
      <c r="E7">
        <v>1.4123533664704075E-3</v>
      </c>
      <c r="F7">
        <v>1.4123533664704075E-3</v>
      </c>
      <c r="G7">
        <v>1.4123533664704075E-3</v>
      </c>
      <c r="H7">
        <v>1.4123533664704075E-3</v>
      </c>
      <c r="I7">
        <v>1.4123533664704075E-3</v>
      </c>
      <c r="J7">
        <v>1.4123533664704075E-3</v>
      </c>
      <c r="K7">
        <v>1.4123533664704075E-3</v>
      </c>
      <c r="L7">
        <v>1.4123533664704075E-3</v>
      </c>
      <c r="M7">
        <v>1.4123533664704075E-3</v>
      </c>
      <c r="N7">
        <v>1.4123533664704075E-3</v>
      </c>
      <c r="O7">
        <v>1.4123533664704075E-3</v>
      </c>
      <c r="P7">
        <v>1.4123533664704075E-3</v>
      </c>
      <c r="Q7">
        <v>1.4123533664704075E-3</v>
      </c>
      <c r="R7">
        <v>1.4123533664704075E-3</v>
      </c>
      <c r="S7">
        <v>1.4123533664704075E-3</v>
      </c>
      <c r="T7">
        <v>1.4123533664704075E-3</v>
      </c>
      <c r="U7">
        <v>1.4123533664704075E-3</v>
      </c>
      <c r="V7">
        <v>1.4123533664704075E-3</v>
      </c>
      <c r="W7">
        <v>1.4123533664704075E-3</v>
      </c>
      <c r="X7">
        <v>1.4123533664704075E-3</v>
      </c>
      <c r="Y7">
        <v>1.4123533664704075E-3</v>
      </c>
      <c r="Z7">
        <v>1.4123533664704075E-3</v>
      </c>
      <c r="AA7">
        <v>1.4123533664704075E-3</v>
      </c>
      <c r="AB7">
        <v>1.4123533664704075E-3</v>
      </c>
      <c r="AC7">
        <v>1.4123533664704075E-3</v>
      </c>
    </row>
    <row r="8" spans="1:32">
      <c r="A8" s="1" t="s">
        <v>15</v>
      </c>
      <c r="B8">
        <v>5.467174321820931E-3</v>
      </c>
      <c r="C8">
        <v>5.467174321820931E-3</v>
      </c>
      <c r="D8">
        <v>5.467174321820931E-3</v>
      </c>
      <c r="E8">
        <v>5.467174321820931E-3</v>
      </c>
      <c r="F8">
        <v>5.467174321820931E-3</v>
      </c>
      <c r="G8">
        <v>5.467174321820931E-3</v>
      </c>
      <c r="H8">
        <v>5.467174321820931E-3</v>
      </c>
      <c r="I8">
        <v>5.467174321820931E-3</v>
      </c>
      <c r="J8">
        <v>5.467174321820931E-3</v>
      </c>
      <c r="K8">
        <v>5.467174321820931E-3</v>
      </c>
      <c r="L8">
        <v>5.467174321820931E-3</v>
      </c>
      <c r="M8">
        <v>5.467174321820931E-3</v>
      </c>
      <c r="N8">
        <v>5.467174321820931E-3</v>
      </c>
      <c r="O8">
        <v>5.467174321820931E-3</v>
      </c>
      <c r="P8">
        <v>5.467174321820931E-3</v>
      </c>
      <c r="Q8">
        <v>5.467174321820931E-3</v>
      </c>
      <c r="R8">
        <v>5.467174321820931E-3</v>
      </c>
      <c r="S8">
        <v>5.467174321820931E-3</v>
      </c>
      <c r="T8">
        <v>5.467174321820931E-3</v>
      </c>
      <c r="U8">
        <v>5.467174321820931E-3</v>
      </c>
      <c r="V8">
        <v>5.467174321820931E-3</v>
      </c>
      <c r="W8">
        <v>5.467174321820931E-3</v>
      </c>
      <c r="X8">
        <v>5.467174321820931E-3</v>
      </c>
      <c r="Y8">
        <v>5.467174321820931E-3</v>
      </c>
      <c r="Z8">
        <v>5.467174321820931E-3</v>
      </c>
      <c r="AA8">
        <v>5.467174321820931E-3</v>
      </c>
      <c r="AB8">
        <v>5.467174321820931E-3</v>
      </c>
      <c r="AC8">
        <v>5.467174321820931E-3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EEC7-641E-4988-B899-A8A7EC20E145}">
  <dimension ref="A1:AF8"/>
  <sheetViews>
    <sheetView workbookViewId="0">
      <selection activeCell="D23" sqref="D23"/>
    </sheetView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/>
      <c r="AE1" s="1"/>
      <c r="AF1" s="1"/>
    </row>
    <row r="2" spans="1:32">
      <c r="A2" s="1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32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32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32">
      <c r="A5" s="1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32">
      <c r="A6" s="1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32">
      <c r="A7" s="1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32">
      <c r="A8" s="1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3876-A578-4195-8C33-1F4D5719F891}">
  <dimension ref="A1:H44"/>
  <sheetViews>
    <sheetView workbookViewId="0">
      <selection activeCell="G42" sqref="G42"/>
    </sheetView>
  </sheetViews>
  <sheetFormatPr defaultRowHeight="14.5"/>
  <cols>
    <col min="1" max="1" width="14.7265625" customWidth="1"/>
    <col min="2" max="2" width="21.453125" bestFit="1" customWidth="1"/>
    <col min="3" max="3" width="18.26953125" bestFit="1" customWidth="1"/>
    <col min="4" max="4" width="15.453125" bestFit="1" customWidth="1"/>
    <col min="5" max="5" width="13.26953125" bestFit="1" customWidth="1"/>
    <col min="6" max="6" width="20.453125" bestFit="1" customWidth="1"/>
    <col min="7" max="7" width="11.453125" bestFit="1" customWidth="1"/>
    <col min="8" max="8" width="16.7265625" bestFit="1" customWidth="1"/>
  </cols>
  <sheetData>
    <row r="1" spans="1:8">
      <c r="A1" t="s">
        <v>23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>
      <c r="A2" s="1" t="s">
        <v>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s="1" t="s">
        <v>17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s="1" t="s">
        <v>18</v>
      </c>
      <c r="B4" s="4">
        <v>1</v>
      </c>
      <c r="C4">
        <v>0</v>
      </c>
      <c r="D4">
        <v>0</v>
      </c>
      <c r="E4">
        <v>1</v>
      </c>
      <c r="F4">
        <v>0</v>
      </c>
      <c r="G4">
        <v>0</v>
      </c>
      <c r="H4" s="4">
        <v>1</v>
      </c>
    </row>
    <row r="5" spans="1:8">
      <c r="A5" s="1" t="s">
        <v>19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 s="4">
        <v>1</v>
      </c>
    </row>
    <row r="6" spans="1:8">
      <c r="A6" s="1" t="s">
        <v>20</v>
      </c>
      <c r="B6" s="4">
        <v>1</v>
      </c>
      <c r="C6">
        <v>0</v>
      </c>
      <c r="D6">
        <v>0</v>
      </c>
      <c r="E6">
        <v>1</v>
      </c>
      <c r="F6">
        <v>0</v>
      </c>
      <c r="G6">
        <v>0</v>
      </c>
      <c r="H6" s="4">
        <v>1</v>
      </c>
    </row>
    <row r="7" spans="1:8">
      <c r="A7" s="1" t="s">
        <v>21</v>
      </c>
      <c r="B7" s="4">
        <v>1</v>
      </c>
      <c r="C7">
        <v>0</v>
      </c>
      <c r="D7" s="19">
        <v>1</v>
      </c>
      <c r="E7">
        <v>0</v>
      </c>
      <c r="F7">
        <v>0</v>
      </c>
      <c r="G7">
        <v>0</v>
      </c>
      <c r="H7">
        <v>0</v>
      </c>
    </row>
    <row r="9" spans="1:8">
      <c r="A9" t="s">
        <v>24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</row>
    <row r="10" spans="1:8">
      <c r="A10" s="1" t="s">
        <v>16</v>
      </c>
      <c r="B10">
        <v>1</v>
      </c>
      <c r="C10" s="19">
        <v>1</v>
      </c>
      <c r="D10">
        <v>1</v>
      </c>
      <c r="E10">
        <v>1</v>
      </c>
      <c r="F10" s="4">
        <v>1</v>
      </c>
      <c r="G10">
        <v>1</v>
      </c>
      <c r="H10" s="4">
        <v>1</v>
      </c>
    </row>
    <row r="11" spans="1:8">
      <c r="A11" s="1" t="s">
        <v>17</v>
      </c>
      <c r="B11" s="19">
        <v>1</v>
      </c>
      <c r="C11" s="4">
        <v>1</v>
      </c>
      <c r="D11">
        <v>1</v>
      </c>
      <c r="E11">
        <v>1</v>
      </c>
      <c r="F11" s="4">
        <v>1</v>
      </c>
      <c r="G11">
        <v>1</v>
      </c>
      <c r="H11" s="4">
        <v>1</v>
      </c>
    </row>
    <row r="12" spans="1:8">
      <c r="A12" s="1" t="s">
        <v>18</v>
      </c>
      <c r="B12" s="4">
        <v>1</v>
      </c>
      <c r="C12">
        <v>0</v>
      </c>
      <c r="D12">
        <v>0</v>
      </c>
      <c r="E12">
        <v>1</v>
      </c>
      <c r="F12">
        <v>0</v>
      </c>
      <c r="G12">
        <v>0</v>
      </c>
      <c r="H12" s="4">
        <v>1</v>
      </c>
    </row>
    <row r="13" spans="1:8">
      <c r="A13" s="1" t="s">
        <v>19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 s="4">
        <v>1</v>
      </c>
    </row>
    <row r="14" spans="1:8">
      <c r="A14" s="1" t="s">
        <v>20</v>
      </c>
      <c r="B14" s="4">
        <v>1</v>
      </c>
      <c r="C14">
        <v>0</v>
      </c>
      <c r="D14">
        <v>1</v>
      </c>
      <c r="E14">
        <v>1</v>
      </c>
      <c r="F14">
        <v>0</v>
      </c>
      <c r="G14">
        <v>0</v>
      </c>
      <c r="H14" s="4">
        <v>1</v>
      </c>
    </row>
    <row r="15" spans="1:8">
      <c r="A15" s="1" t="s">
        <v>21</v>
      </c>
      <c r="B15" s="4">
        <v>1</v>
      </c>
      <c r="C15">
        <v>0</v>
      </c>
      <c r="D15" s="19">
        <v>1</v>
      </c>
      <c r="E15">
        <v>0</v>
      </c>
      <c r="F15">
        <v>0</v>
      </c>
      <c r="G15">
        <v>0</v>
      </c>
      <c r="H15">
        <v>0</v>
      </c>
    </row>
    <row r="17" spans="1:6">
      <c r="A17" s="23" t="s">
        <v>25</v>
      </c>
      <c r="B17" s="23" t="s">
        <v>26</v>
      </c>
      <c r="C17" s="24" t="s">
        <v>27</v>
      </c>
      <c r="D17" s="23" t="s">
        <v>28</v>
      </c>
    </row>
    <row r="18" spans="1:6">
      <c r="A18" s="1" t="s">
        <v>29</v>
      </c>
      <c r="B18">
        <f>'US-LDVs-psgr'!B5</f>
        <v>4.1870929984394776E-4</v>
      </c>
      <c r="C18">
        <f>'US-LDVs-psgr'!B6</f>
        <v>6.0150704320725845E-4</v>
      </c>
      <c r="D18">
        <f>'US-LDVs-psgr'!B8</f>
        <v>5.6894733626181731E-4</v>
      </c>
    </row>
    <row r="19" spans="1:6">
      <c r="A19" s="1" t="s">
        <v>30</v>
      </c>
      <c r="B19" s="14">
        <f>'US-LDVs-frgt'!B5</f>
        <v>8.9590243650741159E-5</v>
      </c>
      <c r="C19">
        <f>'US-LDVs-frgt'!B6</f>
        <v>1.5342859945717928E-4</v>
      </c>
      <c r="D19">
        <f>'US-LDVs-frgt'!B8</f>
        <v>8.379890176963306E-5</v>
      </c>
    </row>
    <row r="20" spans="1:6">
      <c r="A20" s="1" t="s">
        <v>31</v>
      </c>
      <c r="B20" s="14">
        <f t="shared" ref="B20:D21" si="0">B18/$B18</f>
        <v>1</v>
      </c>
      <c r="C20" s="14">
        <f t="shared" si="0"/>
        <v>1.4365743570334815</v>
      </c>
      <c r="D20" s="14">
        <f t="shared" si="0"/>
        <v>1.35881227494556</v>
      </c>
    </row>
    <row r="21" spans="1:6">
      <c r="A21" s="1" t="s">
        <v>32</v>
      </c>
      <c r="B21" s="14">
        <f t="shared" si="0"/>
        <v>1</v>
      </c>
      <c r="C21" s="14">
        <f t="shared" si="0"/>
        <v>1.7125592386522102</v>
      </c>
      <c r="D21" s="14">
        <f t="shared" si="0"/>
        <v>0.93535744914719643</v>
      </c>
    </row>
    <row r="23" spans="1:6">
      <c r="A23" s="23" t="s">
        <v>33</v>
      </c>
      <c r="B23" s="20" t="s">
        <v>34</v>
      </c>
      <c r="C23" s="20" t="s">
        <v>10</v>
      </c>
      <c r="D23" s="23" t="s">
        <v>26</v>
      </c>
      <c r="E23" s="24" t="s">
        <v>27</v>
      </c>
      <c r="F23" s="23" t="s">
        <v>28</v>
      </c>
    </row>
    <row r="24" spans="1:6">
      <c r="A24" s="1" t="s">
        <v>29</v>
      </c>
      <c r="B24">
        <f>'US-HDVs-psgr'!B2</f>
        <v>3.3199658675940884E-3</v>
      </c>
      <c r="C24">
        <f>'US-HDVs-psgr'!B3</f>
        <v>2.3489662423758803E-3</v>
      </c>
      <c r="D24">
        <f>'US-HDVs-psgr'!B5</f>
        <v>1.0331389660993618E-3</v>
      </c>
      <c r="E24">
        <f>'US-HDVs-psgr'!B6</f>
        <v>2.2908937619214613E-3</v>
      </c>
      <c r="F24">
        <f>'US-HDVs-psgr'!B8</f>
        <v>3.099416898298085E-3</v>
      </c>
    </row>
    <row r="25" spans="1:6">
      <c r="A25" s="1" t="s">
        <v>30</v>
      </c>
      <c r="B25" s="14">
        <f>'US-HDVs-frgt'!B2</f>
        <v>1.6283396676658034E-3</v>
      </c>
      <c r="C25" s="14">
        <f>'US-HDVs-frgt'!B3</f>
        <v>7.7263481523290941E-4</v>
      </c>
      <c r="D25" s="14">
        <f>'US-HDVs-frgt'!B5</f>
        <v>7.5059325437243547E-4</v>
      </c>
      <c r="E25">
        <f>'US-HDVs-frgt'!B6</f>
        <v>0</v>
      </c>
      <c r="F25">
        <f>'US-HDVs-frgt'!B8</f>
        <v>0</v>
      </c>
    </row>
    <row r="26" spans="1:6">
      <c r="A26" s="1" t="s">
        <v>31</v>
      </c>
      <c r="B26" s="14">
        <f t="shared" ref="B26:C27" si="1">B24/$D24</f>
        <v>3.2134746404239212</v>
      </c>
      <c r="C26" s="14">
        <f t="shared" si="1"/>
        <v>2.2736207997695144</v>
      </c>
      <c r="D26" s="14">
        <f>D24/$D24</f>
        <v>1</v>
      </c>
      <c r="E26" s="14">
        <f t="shared" ref="E26:F27" si="2">E24/$D24</f>
        <v>2.2174110522331563</v>
      </c>
      <c r="F26" s="14">
        <f t="shared" si="2"/>
        <v>2.9999999999999996</v>
      </c>
    </row>
    <row r="27" spans="1:6">
      <c r="A27" s="1" t="s">
        <v>32</v>
      </c>
      <c r="B27" s="14">
        <f t="shared" si="1"/>
        <v>2.169403546035388</v>
      </c>
      <c r="C27" s="14">
        <f t="shared" si="1"/>
        <v>1.029365519516829</v>
      </c>
      <c r="D27" s="14">
        <f>D25/$D25</f>
        <v>1</v>
      </c>
      <c r="E27" s="14">
        <f t="shared" si="2"/>
        <v>0</v>
      </c>
      <c r="F27" s="14">
        <f t="shared" si="2"/>
        <v>0</v>
      </c>
    </row>
    <row r="29" spans="1:6">
      <c r="A29" s="23" t="s">
        <v>35</v>
      </c>
      <c r="B29" s="20" t="s">
        <v>34</v>
      </c>
      <c r="C29" s="23" t="s">
        <v>26</v>
      </c>
      <c r="D29" s="23" t="s">
        <v>28</v>
      </c>
    </row>
    <row r="30" spans="1:6">
      <c r="A30" s="1" t="s">
        <v>29</v>
      </c>
      <c r="B30">
        <f>'US-aircraft-psgr'!B2</f>
        <v>9.7898292792220369E-4</v>
      </c>
      <c r="C30">
        <f>'US-aircraft-psgr'!B5</f>
        <v>3.0464933987873528E-4</v>
      </c>
      <c r="D30">
        <f>'US-aircraft-psgr'!B8</f>
        <v>9.1394801963620568E-4</v>
      </c>
    </row>
    <row r="31" spans="1:6">
      <c r="A31" s="1" t="s">
        <v>30</v>
      </c>
      <c r="B31" s="14">
        <f>'US-aircraft-frgt'!B2</f>
        <v>2.9962432880267732E-4</v>
      </c>
      <c r="C31" s="14">
        <f>'US-aircraft-frgt'!B5</f>
        <v>9.3239985476639982E-5</v>
      </c>
      <c r="D31" s="14">
        <f>'US-aircraft-frgt'!B8</f>
        <v>2.7971995642991991E-4</v>
      </c>
    </row>
    <row r="32" spans="1:6">
      <c r="A32" s="1" t="s">
        <v>36</v>
      </c>
      <c r="B32" s="14">
        <f>B31/C31</f>
        <v>3.2134746404239216</v>
      </c>
      <c r="C32" s="14">
        <f>C31/C31</f>
        <v>1</v>
      </c>
      <c r="D32" s="14">
        <f>D31/C31</f>
        <v>2.9999999999999996</v>
      </c>
    </row>
    <row r="34" spans="1:4">
      <c r="A34" s="23" t="s">
        <v>37</v>
      </c>
      <c r="B34" s="20" t="s">
        <v>34</v>
      </c>
      <c r="C34" s="23" t="s">
        <v>26</v>
      </c>
      <c r="D34" s="23" t="s">
        <v>28</v>
      </c>
    </row>
    <row r="35" spans="1:4">
      <c r="A35" s="1" t="s">
        <v>29</v>
      </c>
      <c r="B35" s="14">
        <f>'US-rail-psgr'!B2</f>
        <v>6.7428486606874269E-4</v>
      </c>
      <c r="C35" s="14">
        <f>'US-rail-psgr'!B5</f>
        <v>5.0586266198922429E-5</v>
      </c>
      <c r="D35" s="14">
        <f>'US-rail-psgr'!B8</f>
        <v>1.5175879859676727E-4</v>
      </c>
    </row>
    <row r="36" spans="1:4">
      <c r="A36" s="1" t="s">
        <v>30</v>
      </c>
      <c r="B36" s="14">
        <f>'US-rail-frgt'!B2</f>
        <v>1.0829065696442089E-2</v>
      </c>
      <c r="C36" s="14">
        <f>'US-rail-frgt'!B5</f>
        <v>3.3698929999999997E-3</v>
      </c>
      <c r="D36" s="14">
        <f>'US-rail-frgt'!B8</f>
        <v>1.0109678999999998E-2</v>
      </c>
    </row>
    <row r="37" spans="1:4">
      <c r="A37" s="1" t="s">
        <v>31</v>
      </c>
      <c r="B37" s="14">
        <f t="shared" ref="B37:D38" si="3">B35/$C35</f>
        <v>13.329405720857613</v>
      </c>
      <c r="C37" s="14">
        <f t="shared" si="3"/>
        <v>1</v>
      </c>
      <c r="D37" s="14">
        <f t="shared" si="3"/>
        <v>2.9999999999999996</v>
      </c>
    </row>
    <row r="38" spans="1:4">
      <c r="A38" s="1" t="s">
        <v>32</v>
      </c>
      <c r="B38" s="14">
        <f t="shared" si="3"/>
        <v>3.2134746404239212</v>
      </c>
      <c r="C38" s="14">
        <f t="shared" si="3"/>
        <v>1</v>
      </c>
      <c r="D38" s="14">
        <f t="shared" si="3"/>
        <v>2.9999999999999996</v>
      </c>
    </row>
    <row r="40" spans="1:4">
      <c r="A40" s="23" t="s">
        <v>38</v>
      </c>
      <c r="B40" s="20" t="s">
        <v>34</v>
      </c>
      <c r="C40" s="23" t="s">
        <v>26</v>
      </c>
      <c r="D40" s="23" t="s">
        <v>28</v>
      </c>
    </row>
    <row r="41" spans="1:4">
      <c r="A41" s="1" t="s">
        <v>29</v>
      </c>
      <c r="B41" s="14">
        <f>'US-ships-psgr'!B2</f>
        <v>3.8151653664103207E-5</v>
      </c>
      <c r="C41" s="14">
        <f>'US-ships-psgr'!B5</f>
        <v>1.1872399173210917E-5</v>
      </c>
      <c r="D41" s="14">
        <f>'US-ships-psgr'!B8</f>
        <v>3.5617197519632745E-5</v>
      </c>
    </row>
    <row r="42" spans="1:4">
      <c r="A42" s="1" t="s">
        <v>30</v>
      </c>
      <c r="B42" s="14">
        <f>'US-ships-frgt'!B2</f>
        <v>1.5610349625283874E-2</v>
      </c>
      <c r="C42" s="14">
        <f>'US-ships-frgt'!B5</f>
        <v>4.8577789999999996E-3</v>
      </c>
      <c r="D42" s="14">
        <f>'US-ships-frgt'!B8</f>
        <v>1.4573336999999997E-2</v>
      </c>
    </row>
    <row r="43" spans="1:4">
      <c r="A43" s="1" t="s">
        <v>31</v>
      </c>
      <c r="B43" s="14">
        <f>B41/$C41</f>
        <v>3.2134746404239207</v>
      </c>
      <c r="C43" s="14">
        <f t="shared" ref="C43:D44" si="4">C41/$C41</f>
        <v>1</v>
      </c>
      <c r="D43" s="14">
        <f t="shared" si="4"/>
        <v>2.9999999999999996</v>
      </c>
    </row>
    <row r="44" spans="1:4">
      <c r="A44" s="1" t="s">
        <v>32</v>
      </c>
      <c r="B44" s="14">
        <f>B42/$C42</f>
        <v>3.2134746404239212</v>
      </c>
      <c r="C44" s="14">
        <f t="shared" si="4"/>
        <v>1</v>
      </c>
      <c r="D44" s="14">
        <f t="shared" si="4"/>
        <v>2.9999999999999996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88D1-70ED-48BF-AD1C-49347ACDEA78}">
  <dimension ref="A1:F85"/>
  <sheetViews>
    <sheetView workbookViewId="0">
      <selection activeCell="E35" sqref="E35"/>
    </sheetView>
  </sheetViews>
  <sheetFormatPr defaultRowHeight="14.5"/>
  <cols>
    <col min="1" max="1" width="17.26953125" bestFit="1" customWidth="1"/>
    <col min="2" max="2" width="21.453125" bestFit="1" customWidth="1"/>
    <col min="3" max="3" width="18" customWidth="1"/>
    <col min="5" max="5" width="46" customWidth="1"/>
  </cols>
  <sheetData>
    <row r="1" spans="1:6">
      <c r="C1" t="s">
        <v>39</v>
      </c>
      <c r="E1" t="s">
        <v>3</v>
      </c>
      <c r="F1" t="s">
        <v>40</v>
      </c>
    </row>
    <row r="2" spans="1:6">
      <c r="A2" s="9" t="s">
        <v>41</v>
      </c>
      <c r="B2" s="10" t="s">
        <v>9</v>
      </c>
      <c r="C2" s="9">
        <f>IFERROR(('US-LDVs-psgr'!AC2/'US-LDVs-psgr'!B2)^(1/COUNT('US-LDVs-psgr'!$B$1:$AC$1))-1,0)</f>
        <v>7.6542337031706431E-3</v>
      </c>
    </row>
    <row r="3" spans="1:6">
      <c r="B3" s="1" t="s">
        <v>10</v>
      </c>
      <c r="C3">
        <f>IFERROR(('US-LDVs-psgr'!AC3/'US-LDVs-psgr'!B3)^(1/COUNT('US-LDVs-psgr'!$B$1:$AC$1))-1,0)</f>
        <v>0</v>
      </c>
    </row>
    <row r="4" spans="1:6">
      <c r="B4" s="1" t="s">
        <v>11</v>
      </c>
      <c r="C4">
        <f>IFERROR(('US-LDVs-psgr'!AC4/'US-LDVs-psgr'!B4)^(1/COUNT('US-LDVs-psgr'!$B$1:$AC$1))-1,0)</f>
        <v>2.6871479391288311E-3</v>
      </c>
    </row>
    <row r="5" spans="1:6">
      <c r="B5" s="1" t="s">
        <v>12</v>
      </c>
      <c r="C5">
        <f>IFERROR(('US-LDVs-psgr'!AC5/'US-LDVs-psgr'!B5)^(1/COUNT('US-LDVs-psgr'!$B$1:$AC$1))-1,0)</f>
        <v>-4.3268140974181968E-3</v>
      </c>
    </row>
    <row r="6" spans="1:6">
      <c r="B6" s="1" t="s">
        <v>13</v>
      </c>
      <c r="C6">
        <f>IFERROR(('US-LDVs-psgr'!AC6/'US-LDVs-psgr'!B6)^(1/COUNT('US-LDVs-psgr'!$B$1:$AC$1))-1,0)</f>
        <v>1.7991006723543368E-3</v>
      </c>
    </row>
    <row r="7" spans="1:6">
      <c r="B7" s="1" t="s">
        <v>14</v>
      </c>
      <c r="C7">
        <f>IFERROR(('US-LDVs-psgr'!AC7/'US-LDVs-psgr'!B7)^(1/COUNT('US-LDVs-psgr'!$B$1:$AC$1))-1,0)</f>
        <v>0</v>
      </c>
    </row>
    <row r="8" spans="1:6">
      <c r="A8" s="11"/>
      <c r="B8" s="12" t="s">
        <v>15</v>
      </c>
      <c r="C8" s="11">
        <f>IFERROR(('US-LDVs-psgr'!AC8/'US-LDVs-psgr'!B8)^(1/COUNT('US-LDVs-psgr'!$B$1:$AC$1))-1,0)</f>
        <v>2.4811123035040294E-2</v>
      </c>
    </row>
    <row r="9" spans="1:6">
      <c r="A9" s="9" t="s">
        <v>42</v>
      </c>
      <c r="B9" s="10" t="s">
        <v>9</v>
      </c>
      <c r="C9" s="9">
        <f>IFERROR(('US-LDVs-frgt'!AC2/'US-LDVs-frgt'!B2)^(1/COUNT('US-LDVs-frgt'!$B$1:$AC$1))-1,0)</f>
        <v>1.4503010935937422E-2</v>
      </c>
    </row>
    <row r="10" spans="1:6">
      <c r="B10" s="1" t="s">
        <v>10</v>
      </c>
      <c r="C10">
        <f>IFERROR(('US-LDVs-frgt'!AC3/'US-LDVs-frgt'!B3)^(1/COUNT('US-LDVs-frgt'!$B$1:$AC$1))-1,0)</f>
        <v>2.1925343234778794E-3</v>
      </c>
    </row>
    <row r="11" spans="1:6">
      <c r="B11" s="1" t="s">
        <v>11</v>
      </c>
      <c r="C11">
        <f>IFERROR(('US-LDVs-frgt'!AC4/'US-LDVs-frgt'!B4)^(1/COUNT('US-LDVs-frgt'!$B$1:$AC$1))-1,0)</f>
        <v>2.1925343234778794E-3</v>
      </c>
    </row>
    <row r="12" spans="1:6">
      <c r="B12" s="1" t="s">
        <v>12</v>
      </c>
      <c r="C12">
        <f>IFERROR(('US-LDVs-frgt'!AC5/'US-LDVs-frgt'!B5)^(1/COUNT('US-LDVs-frgt'!$B$1:$AC$1))-1,0)</f>
        <v>9.6281866424579032E-3</v>
      </c>
    </row>
    <row r="13" spans="1:6">
      <c r="B13" s="1" t="s">
        <v>13</v>
      </c>
      <c r="C13">
        <f>IFERROR(('US-LDVs-frgt'!AC6/'US-LDVs-frgt'!B6)^(1/COUNT('US-LDVs-frgt'!$B$1:$AC$1))-1,0)</f>
        <v>2.1925343234781014E-3</v>
      </c>
    </row>
    <row r="14" spans="1:6">
      <c r="B14" s="1" t="s">
        <v>14</v>
      </c>
      <c r="C14">
        <f>IFERROR(('US-LDVs-frgt'!AC7/'US-LDVs-frgt'!B7)^(1/COUNT('US-LDVs-frgt'!$B$1:$AC$1))-1,0)</f>
        <v>2.1925343234781014E-3</v>
      </c>
    </row>
    <row r="15" spans="1:6">
      <c r="A15" s="11"/>
      <c r="B15" s="12" t="s">
        <v>15</v>
      </c>
      <c r="C15" s="11">
        <f>IFERROR(('US-LDVs-frgt'!AC8/'US-LDVs-frgt'!B8)^(1/COUNT('US-LDVs-frgt'!$B$1:$AC$1))-1,0)</f>
        <v>2.1925343234778794E-3</v>
      </c>
    </row>
    <row r="16" spans="1:6">
      <c r="A16" s="9" t="s">
        <v>43</v>
      </c>
      <c r="B16" s="10" t="s">
        <v>9</v>
      </c>
      <c r="C16" s="9">
        <f>IFERROR(('US-HDVs-psgr'!AC2/'US-HDVs-psgr'!B2)^(1/COUNT('US-HDVs-psgr'!$B$1:$AC$1))-1,0)</f>
        <v>3.394340279684771E-3</v>
      </c>
    </row>
    <row r="17" spans="1:6">
      <c r="B17" s="1" t="s">
        <v>10</v>
      </c>
      <c r="C17">
        <f>IFERROR(('US-HDVs-psgr'!AC3/'US-HDVs-psgr'!B3)^(1/COUNT('US-HDVs-psgr'!$B$1:$AC$1))-1,0)</f>
        <v>7.7937029593382334E-3</v>
      </c>
    </row>
    <row r="18" spans="1:6">
      <c r="B18" s="1" t="s">
        <v>11</v>
      </c>
      <c r="C18">
        <f>IFERROR(('US-HDVs-psgr'!AC4/'US-HDVs-psgr'!B4)^(1/COUNT('US-HDVs-psgr'!$B$1:$AC$1))-1,0)</f>
        <v>1.000799797097307E-2</v>
      </c>
    </row>
    <row r="19" spans="1:6">
      <c r="B19" s="1" t="s">
        <v>12</v>
      </c>
      <c r="C19">
        <f>IFERROR(('US-HDVs-psgr'!AC5/'US-HDVs-psgr'!B5)^(1/COUNT('US-HDVs-psgr'!$B$1:$AC$1))-1,0)</f>
        <v>8.1255253774381586E-3</v>
      </c>
    </row>
    <row r="20" spans="1:6">
      <c r="B20" s="1" t="s">
        <v>13</v>
      </c>
      <c r="C20">
        <f>IFERROR(('US-HDVs-psgr'!AC6/'US-HDVs-psgr'!B6)^(1/COUNT('US-HDVs-psgr'!$B$1:$AC$1))-1,0)</f>
        <v>0</v>
      </c>
    </row>
    <row r="21" spans="1:6">
      <c r="B21" s="1" t="s">
        <v>14</v>
      </c>
      <c r="C21">
        <f>IFERROR(('US-HDVs-psgr'!AC7/'US-HDVs-psgr'!B7)^(1/COUNT('US-HDVs-psgr'!$B$1:$AC$1))-1,0)</f>
        <v>9.2437141934349487E-3</v>
      </c>
    </row>
    <row r="22" spans="1:6">
      <c r="A22" s="11"/>
      <c r="B22" s="12" t="s">
        <v>15</v>
      </c>
      <c r="C22" s="11">
        <f>IFERROR(('US-HDVs-psgr'!AC8/'US-HDVs-psgr'!B8)^(1/COUNT('US-HDVs-psgr'!$B$1:$AC$1))-1,0)</f>
        <v>0</v>
      </c>
      <c r="D22" s="17">
        <f>IFERROR((15/13.5)^(1/10)-1,0)</f>
        <v>1.0591751203291366E-2</v>
      </c>
      <c r="E22" t="s">
        <v>44</v>
      </c>
      <c r="F22" s="16" t="s">
        <v>45</v>
      </c>
    </row>
    <row r="23" spans="1:6">
      <c r="A23" s="9" t="s">
        <v>46</v>
      </c>
      <c r="B23" s="10" t="s">
        <v>9</v>
      </c>
      <c r="C23" s="9">
        <f>IFERROR(('US-HDVs-frgt'!AC2/'US-HDVs-frgt'!B2)^(1/COUNT('US-HDVs-frgt'!$B$1:$AC$1))-1,0)</f>
        <v>3.394340279684771E-3</v>
      </c>
    </row>
    <row r="24" spans="1:6">
      <c r="B24" s="1" t="s">
        <v>10</v>
      </c>
      <c r="C24">
        <f>IFERROR(('US-HDVs-frgt'!AC3/'US-HDVs-frgt'!B3)^(1/COUNT('US-HDVs-frgt'!$B$1:$AC$1))-1,0)</f>
        <v>7.7937029593382334E-3</v>
      </c>
    </row>
    <row r="25" spans="1:6">
      <c r="B25" s="1" t="s">
        <v>11</v>
      </c>
      <c r="C25">
        <f>IFERROR(('US-HDVs-frgt'!AC4/'US-HDVs-frgt'!B4)^(1/COUNT('US-HDVs-frgt'!$B$1:$AC$1))-1,0)</f>
        <v>1.000799797097307E-2</v>
      </c>
    </row>
    <row r="26" spans="1:6">
      <c r="B26" s="1" t="s">
        <v>12</v>
      </c>
      <c r="C26">
        <f>IFERROR(('US-HDVs-frgt'!AC5/'US-HDVs-frgt'!B5)^(1/COUNT('US-HDVs-frgt'!$B$1:$AC$1))-1,0)</f>
        <v>8.1255253774381586E-3</v>
      </c>
    </row>
    <row r="27" spans="1:6">
      <c r="B27" s="1" t="s">
        <v>13</v>
      </c>
      <c r="C27">
        <f>IFERROR(('US-HDVs-frgt'!AC6/'US-HDVs-frgt'!B6)^(1/COUNT('US-HDVs-frgt'!$B$1:$AC$1))-1,0)</f>
        <v>0</v>
      </c>
    </row>
    <row r="28" spans="1:6">
      <c r="B28" s="1" t="s">
        <v>14</v>
      </c>
      <c r="C28">
        <f>IFERROR(('US-HDVs-frgt'!AC7/'US-HDVs-frgt'!B7)^(1/COUNT('US-HDVs-frgt'!$B$1:$AC$1))-1,0)</f>
        <v>9.2437141934349487E-3</v>
      </c>
    </row>
    <row r="29" spans="1:6">
      <c r="A29" s="11"/>
      <c r="B29" s="12" t="s">
        <v>15</v>
      </c>
      <c r="C29" s="11">
        <f>IFERROR(('US-HDVs-frgt'!AC8/'US-HDVs-frgt'!B8)^(1/COUNT('US-HDVs-frgt'!$B$1:$AC$1))-1,0)</f>
        <v>0</v>
      </c>
    </row>
    <row r="30" spans="1:6">
      <c r="A30" s="9" t="s">
        <v>47</v>
      </c>
      <c r="B30" s="10" t="s">
        <v>9</v>
      </c>
      <c r="C30" s="9">
        <f>IFERROR(('US-aircraft-psgr'!AC2/'US-aircraft-psgr'!B2)^(1/COUNT('US-aircraft-psgr'!$B$1:$AC$1))-1,0)</f>
        <v>1.0670299797032046E-2</v>
      </c>
    </row>
    <row r="31" spans="1:6">
      <c r="B31" s="1" t="s">
        <v>10</v>
      </c>
      <c r="C31">
        <f>IFERROR(('US-aircraft-psgr'!AC3/'US-aircraft-psgr'!B3)^(1/COUNT('US-aircraft-psgr'!$B$1:$AC$1))-1,0)</f>
        <v>0</v>
      </c>
    </row>
    <row r="32" spans="1:6">
      <c r="B32" s="1" t="s">
        <v>11</v>
      </c>
      <c r="C32">
        <f>IFERROR(('US-aircraft-psgr'!AC4/'US-aircraft-psgr'!B4)^(1/COUNT('US-aircraft-psgr'!$B$1:$AC$1))-1,0)</f>
        <v>0</v>
      </c>
    </row>
    <row r="33" spans="1:3">
      <c r="B33" s="1" t="s">
        <v>12</v>
      </c>
      <c r="C33">
        <f>IFERROR(('US-aircraft-psgr'!AC5/'US-aircraft-psgr'!B5)^(1/COUNT('US-aircraft-psgr'!$B$1:$AC$1))-1,0)</f>
        <v>1.0670299797032046E-2</v>
      </c>
    </row>
    <row r="34" spans="1:3">
      <c r="B34" s="1" t="s">
        <v>13</v>
      </c>
      <c r="C34">
        <f>IFERROR(('US-aircraft-psgr'!AC6/'US-aircraft-psgr'!B6)^(1/COUNT('US-aircraft-psgr'!$B$1:$AC$1))-1,0)</f>
        <v>0</v>
      </c>
    </row>
    <row r="35" spans="1:3">
      <c r="B35" s="1" t="s">
        <v>14</v>
      </c>
      <c r="C35">
        <f>IFERROR(('US-aircraft-psgr'!AC7/'US-aircraft-psgr'!B7)^(1/COUNT('US-aircraft-psgr'!$B$1:$AC$1))-1,0)</f>
        <v>0</v>
      </c>
    </row>
    <row r="36" spans="1:3">
      <c r="A36" s="11"/>
      <c r="B36" s="12" t="s">
        <v>15</v>
      </c>
      <c r="C36" s="11">
        <f>IFERROR(('US-aircraft-psgr'!AC8/'US-aircraft-psgr'!B8)^(1/COUNT('US-aircraft-psgr'!$B$1:$AC$1))-1,0)</f>
        <v>1.0670299797032046E-2</v>
      </c>
    </row>
    <row r="37" spans="1:3">
      <c r="A37" s="9" t="s">
        <v>48</v>
      </c>
      <c r="B37" s="10" t="s">
        <v>9</v>
      </c>
      <c r="C37" s="9">
        <f>IFERROR(('US-aircraft-frgt'!AC2/'US-aircraft-frgt'!B2)^(1/COUNT('US-aircraft-frgt'!$B$1:$AC$1))-1,0)</f>
        <v>1.0670299797032046E-2</v>
      </c>
    </row>
    <row r="38" spans="1:3">
      <c r="B38" s="1" t="s">
        <v>10</v>
      </c>
      <c r="C38">
        <f>IFERROR(('US-aircraft-frgt'!AC3/'US-aircraft-frgt'!B3)^(1/COUNT('US-aircraft-frgt'!$B$1:$AC$1))-1,0)</f>
        <v>0</v>
      </c>
    </row>
    <row r="39" spans="1:3">
      <c r="B39" s="1" t="s">
        <v>11</v>
      </c>
      <c r="C39">
        <f>IFERROR(('US-aircraft-frgt'!AC4/'US-aircraft-frgt'!B4)^(1/COUNT('US-aircraft-frgt'!$B$1:$AC$1))-1,0)</f>
        <v>0</v>
      </c>
    </row>
    <row r="40" spans="1:3">
      <c r="B40" s="1" t="s">
        <v>12</v>
      </c>
      <c r="C40">
        <f>IFERROR(('US-aircraft-frgt'!AC5/'US-aircraft-frgt'!B5)^(1/COUNT('US-aircraft-frgt'!$B$1:$AC$1))-1,0)</f>
        <v>1.0670299797032046E-2</v>
      </c>
    </row>
    <row r="41" spans="1:3">
      <c r="B41" s="1" t="s">
        <v>13</v>
      </c>
      <c r="C41">
        <f>IFERROR(('US-aircraft-frgt'!AC6/'US-aircraft-frgt'!B6)^(1/COUNT('US-aircraft-frgt'!$B$1:$AC$1))-1,0)</f>
        <v>0</v>
      </c>
    </row>
    <row r="42" spans="1:3">
      <c r="B42" s="1" t="s">
        <v>14</v>
      </c>
      <c r="C42">
        <f>IFERROR(('US-aircraft-frgt'!AC7/'US-aircraft-frgt'!B7)^(1/COUNT('US-aircraft-frgt'!$B$1:$AC$1))-1,0)</f>
        <v>0</v>
      </c>
    </row>
    <row r="43" spans="1:3">
      <c r="A43" s="11"/>
      <c r="B43" s="12" t="s">
        <v>15</v>
      </c>
      <c r="C43" s="11">
        <f>IFERROR(('US-aircraft-frgt'!AC8/'US-aircraft-frgt'!B8)^(1/COUNT('US-aircraft-frgt'!$B$1:$AC$1))-1,0)</f>
        <v>1.0670299797032046E-2</v>
      </c>
    </row>
    <row r="44" spans="1:3">
      <c r="A44" s="9" t="s">
        <v>49</v>
      </c>
      <c r="B44" s="10" t="s">
        <v>9</v>
      </c>
      <c r="C44" s="9">
        <f>IFERROR(('US-rail-psgr'!AC2/'US-rail-psgr'!B2)^(1/COUNT('US-rail-psgr'!$B$1:$AC$1))-1,0)</f>
        <v>6.3343150314409957E-3</v>
      </c>
    </row>
    <row r="45" spans="1:3">
      <c r="B45" s="1" t="s">
        <v>10</v>
      </c>
      <c r="C45">
        <f>IFERROR(('US-rail-psgr'!AC3/'US-rail-psgr'!B3)^(1/COUNT('US-rail-psgr'!$B$1:$AC$1))-1,0)</f>
        <v>6.3343150314409957E-3</v>
      </c>
    </row>
    <row r="46" spans="1:3">
      <c r="B46" s="1" t="s">
        <v>11</v>
      </c>
      <c r="C46">
        <f>IFERROR(('US-rail-psgr'!AC4/'US-rail-psgr'!B4)^(1/COUNT('US-rail-psgr'!$B$1:$AC$1))-1,0)</f>
        <v>6.3343150314409957E-3</v>
      </c>
    </row>
    <row r="47" spans="1:3">
      <c r="B47" s="1" t="s">
        <v>12</v>
      </c>
      <c r="C47">
        <f>IFERROR(('US-rail-psgr'!AC5/'US-rail-psgr'!B5)^(1/COUNT('US-rail-psgr'!$B$1:$AC$1))-1,0)</f>
        <v>6.3343150314409957E-3</v>
      </c>
    </row>
    <row r="48" spans="1:3">
      <c r="B48" s="1" t="s">
        <v>13</v>
      </c>
      <c r="C48">
        <f>IFERROR(('US-rail-psgr'!AC6/'US-rail-psgr'!B6)^(1/COUNT('US-rail-psgr'!$B$1:$AC$1))-1,0)</f>
        <v>0</v>
      </c>
    </row>
    <row r="49" spans="1:3">
      <c r="B49" s="1" t="s">
        <v>14</v>
      </c>
      <c r="C49">
        <f>IFERROR(('US-rail-psgr'!AC7/'US-rail-psgr'!B7)^(1/COUNT('US-rail-psgr'!$B$1:$AC$1))-1,0)</f>
        <v>0</v>
      </c>
    </row>
    <row r="50" spans="1:3">
      <c r="A50" s="11"/>
      <c r="B50" s="12" t="s">
        <v>15</v>
      </c>
      <c r="C50" s="11">
        <f>IFERROR(('US-rail-psgr'!AC8/'US-rail-psgr'!B8)^(1/COUNT('US-rail-psgr'!$B$1:$AC$1))-1,0)</f>
        <v>6.3343150314409957E-3</v>
      </c>
    </row>
    <row r="51" spans="1:3">
      <c r="A51" s="9" t="s">
        <v>50</v>
      </c>
      <c r="B51" s="10" t="s">
        <v>9</v>
      </c>
      <c r="C51" s="9">
        <f>IFERROR(('US-rail-frgt'!AC2/'US-rail-frgt'!B2)^(1/COUNT('US-rail-frgt'!$B$1:$AC$1))-1,0)</f>
        <v>1.017667565796021E-3</v>
      </c>
    </row>
    <row r="52" spans="1:3">
      <c r="B52" s="1" t="s">
        <v>10</v>
      </c>
      <c r="C52">
        <f>IFERROR(('US-rail-frgt'!AC3/'US-rail-frgt'!B3)^(1/COUNT('US-rail-frgt'!$B$1:$AC$1))-1,0)</f>
        <v>0</v>
      </c>
    </row>
    <row r="53" spans="1:3">
      <c r="B53" s="1" t="s">
        <v>11</v>
      </c>
      <c r="C53">
        <f>IFERROR(('US-rail-frgt'!AC4/'US-rail-frgt'!B4)^(1/COUNT('US-rail-frgt'!$B$1:$AC$1))-1,0)</f>
        <v>0</v>
      </c>
    </row>
    <row r="54" spans="1:3">
      <c r="B54" s="1" t="s">
        <v>12</v>
      </c>
      <c r="C54">
        <f>IFERROR(('US-rail-frgt'!AC5/'US-rail-frgt'!B5)^(1/COUNT('US-rail-frgt'!$B$1:$AC$1))-1,0)</f>
        <v>1.017667565796021E-3</v>
      </c>
    </row>
    <row r="55" spans="1:3">
      <c r="B55" s="1" t="s">
        <v>13</v>
      </c>
      <c r="C55">
        <f>IFERROR(('US-rail-frgt'!AC6/'US-rail-frgt'!B6)^(1/COUNT('US-rail-frgt'!$B$1:$AC$1))-1,0)</f>
        <v>0</v>
      </c>
    </row>
    <row r="56" spans="1:3">
      <c r="B56" s="1" t="s">
        <v>14</v>
      </c>
      <c r="C56">
        <f>IFERROR(('US-rail-frgt'!AC7/'US-rail-frgt'!B7)^(1/COUNT('US-rail-frgt'!$B$1:$AC$1))-1,0)</f>
        <v>0</v>
      </c>
    </row>
    <row r="57" spans="1:3">
      <c r="A57" s="11"/>
      <c r="B57" s="12" t="s">
        <v>15</v>
      </c>
      <c r="C57" s="11">
        <f>IFERROR(('US-rail-frgt'!AC8/'US-rail-frgt'!B8)^(1/COUNT('US-rail-frgt'!$B$1:$AC$1))-1,0)</f>
        <v>1.017667565796021E-3</v>
      </c>
    </row>
    <row r="58" spans="1:3">
      <c r="A58" s="9" t="s">
        <v>51</v>
      </c>
      <c r="B58" s="10" t="s">
        <v>9</v>
      </c>
      <c r="C58" s="9">
        <f>IFERROR(('US-ships-psgr'!AC2/'US-ships-psgr'!B2)^(1/COUNT('US-ships-psgr'!$B$1:$AC$1))-1,0)</f>
        <v>0</v>
      </c>
    </row>
    <row r="59" spans="1:3">
      <c r="B59" s="1" t="s">
        <v>10</v>
      </c>
      <c r="C59">
        <f>IFERROR(('US-ships-psgr'!AC3/'US-ships-psgr'!B3)^(1/COUNT('US-ships-psgr'!$B$1:$AC$1))-1,0)</f>
        <v>0</v>
      </c>
    </row>
    <row r="60" spans="1:3">
      <c r="B60" s="1" t="s">
        <v>11</v>
      </c>
      <c r="C60">
        <f>IFERROR(('US-ships-psgr'!AC4/'US-ships-psgr'!B4)^(1/COUNT('US-ships-psgr'!$B$1:$AC$1))-1,0)</f>
        <v>0</v>
      </c>
    </row>
    <row r="61" spans="1:3">
      <c r="B61" s="1" t="s">
        <v>12</v>
      </c>
      <c r="C61">
        <f>IFERROR(('US-ships-psgr'!AC5/'US-ships-psgr'!B5)^(1/COUNT('US-ships-psgr'!$B$1:$AC$1))-1,0)</f>
        <v>0</v>
      </c>
    </row>
    <row r="62" spans="1:3">
      <c r="B62" s="1" t="s">
        <v>13</v>
      </c>
      <c r="C62">
        <f>IFERROR(('US-ships-psgr'!AC6/'US-ships-psgr'!B6)^(1/COUNT('US-ships-psgr'!$B$1:$AC$1))-1,0)</f>
        <v>0</v>
      </c>
    </row>
    <row r="63" spans="1:3">
      <c r="B63" s="1" t="s">
        <v>14</v>
      </c>
      <c r="C63">
        <f>IFERROR(('US-ships-psgr'!AC7/'US-ships-psgr'!B7)^(1/COUNT('US-ships-psgr'!$B$1:$AC$1))-1,0)</f>
        <v>0</v>
      </c>
    </row>
    <row r="64" spans="1:3">
      <c r="A64" s="11"/>
      <c r="B64" s="12" t="s">
        <v>15</v>
      </c>
      <c r="C64" s="11">
        <f>IFERROR(('US-ships-psgr'!AC8/'US-ships-psgr'!B8)^(1/COUNT('US-ships-psgr'!$B$1:$AC$1))-1,0)</f>
        <v>0</v>
      </c>
    </row>
    <row r="65" spans="1:3">
      <c r="A65" s="9" t="s">
        <v>52</v>
      </c>
      <c r="B65" s="10" t="s">
        <v>9</v>
      </c>
      <c r="C65" s="9">
        <f>IFERROR(('US-ships-frgt'!AC2/'US-ships-frgt'!B2)^(1/COUNT('US-ships-frgt'!$B$1:$AC$1))-1,0)</f>
        <v>3.609538061375428E-3</v>
      </c>
    </row>
    <row r="66" spans="1:3">
      <c r="B66" s="1" t="s">
        <v>10</v>
      </c>
      <c r="C66">
        <f>IFERROR(('US-ships-frgt'!AC3/'US-ships-frgt'!B3)^(1/COUNT('US-ships-frgt'!$B$1:$AC$1))-1,0)</f>
        <v>0</v>
      </c>
    </row>
    <row r="67" spans="1:3">
      <c r="B67" s="1" t="s">
        <v>11</v>
      </c>
      <c r="C67">
        <f>IFERROR(('US-ships-frgt'!AC4/'US-ships-frgt'!B4)^(1/COUNT('US-ships-frgt'!$B$1:$AC$1))-1,0)</f>
        <v>0</v>
      </c>
    </row>
    <row r="68" spans="1:3">
      <c r="B68" s="1" t="s">
        <v>12</v>
      </c>
      <c r="C68">
        <f>IFERROR(('US-ships-frgt'!AC5/'US-ships-frgt'!B5)^(1/COUNT('US-ships-frgt'!$B$1:$AC$1))-1,0)</f>
        <v>3.609538061375428E-3</v>
      </c>
    </row>
    <row r="69" spans="1:3">
      <c r="B69" s="1" t="s">
        <v>13</v>
      </c>
      <c r="C69">
        <f>IFERROR(('US-ships-frgt'!AC6/'US-ships-frgt'!B6)^(1/COUNT('US-ships-frgt'!$B$1:$AC$1))-1,0)</f>
        <v>0</v>
      </c>
    </row>
    <row r="70" spans="1:3">
      <c r="B70" s="1" t="s">
        <v>14</v>
      </c>
      <c r="C70">
        <f>IFERROR(('US-ships-frgt'!AC7/'US-ships-frgt'!B7)^(1/COUNT('US-ships-frgt'!$B$1:$AC$1))-1,0)</f>
        <v>0</v>
      </c>
    </row>
    <row r="71" spans="1:3">
      <c r="A71" s="11"/>
      <c r="B71" s="12" t="s">
        <v>15</v>
      </c>
      <c r="C71" s="11">
        <f>IFERROR(('US-ships-frgt'!AC8/'US-ships-frgt'!B8)^(1/COUNT('US-ships-frgt'!$B$1:$AC$1))-1,0)</f>
        <v>3.609538061375428E-3</v>
      </c>
    </row>
    <row r="72" spans="1:3">
      <c r="A72" s="9" t="s">
        <v>53</v>
      </c>
      <c r="B72" s="10" t="s">
        <v>9</v>
      </c>
      <c r="C72" s="9">
        <f>IFERROR(('US-motorbikes-psgr'!AC2/'US-motorbikes-psgr'!B2)^(1/COUNT('US-motorbikes-psgr'!$B$1:$AC$1))-1,0)</f>
        <v>0</v>
      </c>
    </row>
    <row r="73" spans="1:3">
      <c r="B73" s="1" t="s">
        <v>10</v>
      </c>
      <c r="C73">
        <f>IFERROR(('US-motorbikes-psgr'!AC3/'US-motorbikes-psgr'!B3)^(1/COUNT('US-motorbikes-psgr'!$B$1:$AC$1))-1,0)</f>
        <v>0</v>
      </c>
    </row>
    <row r="74" spans="1:3">
      <c r="B74" s="1" t="s">
        <v>11</v>
      </c>
      <c r="C74">
        <f>IFERROR(('US-motorbikes-psgr'!AC4/'US-motorbikes-psgr'!B4)^(1/COUNT('US-motorbikes-psgr'!$B$1:$AC$1))-1,0)</f>
        <v>0</v>
      </c>
    </row>
    <row r="75" spans="1:3">
      <c r="B75" s="1" t="s">
        <v>12</v>
      </c>
      <c r="C75">
        <f>IFERROR(('US-motorbikes-psgr'!AC5/'US-motorbikes-psgr'!B5)^(1/COUNT('US-motorbikes-psgr'!$B$1:$AC$1))-1,0)</f>
        <v>0</v>
      </c>
    </row>
    <row r="76" spans="1:3">
      <c r="B76" s="1" t="s">
        <v>13</v>
      </c>
      <c r="C76">
        <f>IFERROR(('US-motorbikes-psgr'!AC6/'US-motorbikes-psgr'!B6)^(1/COUNT('US-motorbikes-psgr'!$B$1:$AC$1))-1,0)</f>
        <v>0</v>
      </c>
    </row>
    <row r="77" spans="1:3">
      <c r="B77" s="1" t="s">
        <v>14</v>
      </c>
      <c r="C77">
        <f>IFERROR(('US-motorbikes-psgr'!AC7/'US-motorbikes-psgr'!B7)^(1/COUNT('US-motorbikes-psgr'!$B$1:$AC$1))-1,0)</f>
        <v>0</v>
      </c>
    </row>
    <row r="78" spans="1:3">
      <c r="A78" s="11"/>
      <c r="B78" s="12" t="s">
        <v>15</v>
      </c>
      <c r="C78" s="11">
        <f>IFERROR(('US-motorbikes-psgr'!AC8/'US-motorbikes-psgr'!B8)^(1/COUNT('US-motorbikes-psgr'!$B$1:$AC$1))-1,0)</f>
        <v>0</v>
      </c>
    </row>
    <row r="79" spans="1:3">
      <c r="A79" s="9" t="s">
        <v>54</v>
      </c>
      <c r="B79" s="10" t="s">
        <v>9</v>
      </c>
      <c r="C79" s="9">
        <f>IFERROR(('US-motorbikes-frgt'!AC2/'US-motorbikes-frgt'!B2)^(1/COUNT('US-motorbikes-frgt'!$B$1:$AC$1))-1,0)</f>
        <v>0</v>
      </c>
    </row>
    <row r="80" spans="1:3">
      <c r="B80" s="1" t="s">
        <v>10</v>
      </c>
      <c r="C80">
        <f>IFERROR(('US-motorbikes-frgt'!AC3/'US-motorbikes-frgt'!B3)^(1/COUNT('US-motorbikes-frgt'!$B$1:$AC$1))-1,0)</f>
        <v>0</v>
      </c>
    </row>
    <row r="81" spans="1:3">
      <c r="B81" s="1" t="s">
        <v>11</v>
      </c>
      <c r="C81">
        <f>IFERROR(('US-motorbikes-frgt'!AC4/'US-motorbikes-frgt'!B4)^(1/COUNT('US-motorbikes-frgt'!$B$1:$AC$1))-1,0)</f>
        <v>0</v>
      </c>
    </row>
    <row r="82" spans="1:3">
      <c r="B82" s="1" t="s">
        <v>12</v>
      </c>
      <c r="C82">
        <f>IFERROR(('US-motorbikes-frgt'!AC5/'US-motorbikes-frgt'!B5)^(1/COUNT('US-motorbikes-frgt'!$B$1:$AC$1))-1,0)</f>
        <v>0</v>
      </c>
    </row>
    <row r="83" spans="1:3">
      <c r="B83" s="1" t="s">
        <v>13</v>
      </c>
      <c r="C83">
        <f>IFERROR(('US-motorbikes-frgt'!AC6/'US-motorbikes-frgt'!B6)^(1/COUNT('US-motorbikes-frgt'!$B$1:$AC$1))-1,0)</f>
        <v>0</v>
      </c>
    </row>
    <row r="84" spans="1:3">
      <c r="B84" s="1" t="s">
        <v>14</v>
      </c>
      <c r="C84">
        <f>IFERROR(('US-motorbikes-frgt'!AC7/'US-motorbikes-frgt'!B7)^(1/COUNT('US-motorbikes-frgt'!$B$1:$AC$1))-1,0)</f>
        <v>0</v>
      </c>
    </row>
    <row r="85" spans="1:3">
      <c r="A85" s="11"/>
      <c r="B85" s="12" t="s">
        <v>15</v>
      </c>
      <c r="C85" s="11">
        <f>IFERROR(('US-motorbikes-frgt'!AC8/'US-motorbikes-frgt'!B8)^(1/COUNT('US-motorbikes-frgt'!$B$1:$AC$1))-1,0)</f>
        <v>0</v>
      </c>
    </row>
  </sheetData>
  <phoneticPr fontId="1" type="noConversion"/>
  <hyperlinks>
    <hyperlink ref="F22" r:id="rId1" xr:uid="{AA54E531-014D-4359-8B33-B65B3612FA46}"/>
  </hyperlinks>
  <pageMargins left="0.7" right="0.7" top="0.75" bottom="0.75" header="0.3" footer="0.3"/>
  <pageSetup paperSize="9" orientation="portrait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2BA1-F2C9-4C84-8D6D-BA9B17307A46}">
  <sheetPr>
    <tabColor theme="5"/>
  </sheetPr>
  <dimension ref="A1:AG40"/>
  <sheetViews>
    <sheetView workbookViewId="0"/>
  </sheetViews>
  <sheetFormatPr defaultRowHeight="14.5"/>
  <cols>
    <col min="1" max="1" width="10.7265625" bestFit="1" customWidth="1"/>
    <col min="2" max="2" width="18.26953125" customWidth="1"/>
    <col min="3" max="3" width="11.1796875" bestFit="1" customWidth="1"/>
  </cols>
  <sheetData>
    <row r="1" spans="1:4">
      <c r="A1" t="s">
        <v>55</v>
      </c>
    </row>
    <row r="2" spans="1:4">
      <c r="A2" s="25" t="s">
        <v>56</v>
      </c>
      <c r="B2" s="26"/>
      <c r="C2" s="26"/>
      <c r="D2" s="26"/>
    </row>
    <row r="3" spans="1:4">
      <c r="A3" s="22" t="s">
        <v>57</v>
      </c>
    </row>
    <row r="4" spans="1:4">
      <c r="A4" s="27">
        <v>32415.35</v>
      </c>
      <c r="B4" t="s">
        <v>58</v>
      </c>
    </row>
    <row r="5" spans="1:4">
      <c r="A5">
        <v>1.60934</v>
      </c>
      <c r="B5" t="s">
        <v>59</v>
      </c>
    </row>
    <row r="6" spans="1:4">
      <c r="A6">
        <v>1.4</v>
      </c>
      <c r="B6" t="s">
        <v>60</v>
      </c>
    </row>
    <row r="10" spans="1:4">
      <c r="C10" s="22">
        <v>2020</v>
      </c>
    </row>
    <row r="11" spans="1:4">
      <c r="B11" s="29" t="s">
        <v>61</v>
      </c>
      <c r="C11">
        <v>24.1</v>
      </c>
      <c r="D11" t="s">
        <v>62</v>
      </c>
    </row>
    <row r="12" spans="1:4">
      <c r="B12" s="29" t="s">
        <v>63</v>
      </c>
      <c r="C12">
        <v>14.1</v>
      </c>
      <c r="D12" t="s">
        <v>62</v>
      </c>
    </row>
    <row r="14" spans="1:4">
      <c r="A14" s="28" t="s">
        <v>64</v>
      </c>
      <c r="C14" s="22">
        <v>2020</v>
      </c>
    </row>
    <row r="15" spans="1:4">
      <c r="B15" s="29" t="s">
        <v>61</v>
      </c>
      <c r="C15" s="30">
        <f>C11/$A$5</f>
        <v>14.975082953260344</v>
      </c>
      <c r="D15" t="s">
        <v>65</v>
      </c>
    </row>
    <row r="16" spans="1:4">
      <c r="B16" s="29" t="s">
        <v>63</v>
      </c>
      <c r="C16" s="30">
        <f>C12/$A$5</f>
        <v>8.7613555867622743</v>
      </c>
      <c r="D16" t="s">
        <v>65</v>
      </c>
    </row>
    <row r="18" spans="1:33">
      <c r="C18" s="22">
        <v>2020</v>
      </c>
    </row>
    <row r="19" spans="1:33">
      <c r="B19" s="29" t="s">
        <v>61</v>
      </c>
      <c r="C19" s="31">
        <f>C15/$A$4</f>
        <v>4.6197505050108497E-4</v>
      </c>
      <c r="D19" t="s">
        <v>66</v>
      </c>
    </row>
    <row r="20" spans="1:33">
      <c r="B20" s="29" t="s">
        <v>63</v>
      </c>
      <c r="C20" s="31">
        <f>C16/$A$4</f>
        <v>2.7028415817698326E-4</v>
      </c>
      <c r="D20" t="s">
        <v>66</v>
      </c>
    </row>
    <row r="22" spans="1:33">
      <c r="C22" s="22">
        <v>2020</v>
      </c>
    </row>
    <row r="23" spans="1:33">
      <c r="B23" s="29" t="s">
        <v>61</v>
      </c>
      <c r="C23" s="31">
        <f>C19*$A$6</f>
        <v>6.4676507070151896E-4</v>
      </c>
      <c r="D23" t="s">
        <v>67</v>
      </c>
    </row>
    <row r="24" spans="1:33">
      <c r="B24" s="29" t="s">
        <v>63</v>
      </c>
      <c r="C24" s="31">
        <f>C20*$A$6</f>
        <v>3.7839782144777654E-4</v>
      </c>
      <c r="D24" t="s">
        <v>67</v>
      </c>
    </row>
    <row r="25" spans="1:33" ht="15" thickBot="1"/>
    <row r="26" spans="1:33" ht="15" thickBot="1">
      <c r="B26" s="22" t="s">
        <v>68</v>
      </c>
      <c r="C26" s="32">
        <f>AVERAGE(C23:C24)</f>
        <v>5.1258144607464772E-4</v>
      </c>
      <c r="D26" t="s">
        <v>67</v>
      </c>
    </row>
    <row r="29" spans="1:33">
      <c r="A29" s="28" t="s">
        <v>69</v>
      </c>
      <c r="D29" s="14"/>
    </row>
    <row r="30" spans="1:33">
      <c r="B30" t="s">
        <v>22</v>
      </c>
      <c r="C30">
        <v>2020</v>
      </c>
      <c r="D30">
        <v>2021</v>
      </c>
      <c r="E30">
        <v>2022</v>
      </c>
      <c r="F30">
        <v>2023</v>
      </c>
      <c r="G30">
        <v>2024</v>
      </c>
      <c r="H30">
        <v>2025</v>
      </c>
      <c r="I30">
        <v>2026</v>
      </c>
      <c r="J30">
        <v>2027</v>
      </c>
      <c r="K30">
        <v>2028</v>
      </c>
      <c r="L30">
        <v>2029</v>
      </c>
      <c r="M30">
        <v>2030</v>
      </c>
      <c r="N30">
        <v>2031</v>
      </c>
      <c r="O30">
        <v>2032</v>
      </c>
      <c r="P30">
        <v>2033</v>
      </c>
      <c r="Q30">
        <v>2034</v>
      </c>
      <c r="R30">
        <v>2035</v>
      </c>
      <c r="S30">
        <v>2036</v>
      </c>
      <c r="T30">
        <v>2037</v>
      </c>
      <c r="U30">
        <v>2038</v>
      </c>
      <c r="V30">
        <v>2039</v>
      </c>
      <c r="W30">
        <v>2040</v>
      </c>
      <c r="X30">
        <v>2041</v>
      </c>
      <c r="Y30">
        <v>2042</v>
      </c>
      <c r="Z30">
        <v>2043</v>
      </c>
      <c r="AA30">
        <v>2044</v>
      </c>
      <c r="AB30">
        <v>2045</v>
      </c>
      <c r="AC30">
        <v>2046</v>
      </c>
      <c r="AD30">
        <v>2047</v>
      </c>
      <c r="AE30">
        <v>2048</v>
      </c>
      <c r="AF30">
        <v>2049</v>
      </c>
      <c r="AG30">
        <v>2050</v>
      </c>
    </row>
    <row r="31" spans="1:33">
      <c r="B31" t="s">
        <v>9</v>
      </c>
      <c r="C31">
        <v>1.3016014821008825E-3</v>
      </c>
      <c r="D31">
        <v>1.2926576980307788E-3</v>
      </c>
      <c r="E31">
        <v>1.2869318658566659E-3</v>
      </c>
      <c r="F31">
        <v>1.2796983920849219E-3</v>
      </c>
      <c r="G31">
        <v>1.2723109001949813E-3</v>
      </c>
      <c r="H31">
        <v>1.2688722771223024E-3</v>
      </c>
      <c r="I31">
        <v>1.265614096179496E-3</v>
      </c>
      <c r="J31">
        <v>1.2602292006612041E-3</v>
      </c>
      <c r="K31">
        <v>1.2562225179555552E-3</v>
      </c>
      <c r="L31">
        <v>1.252664288663584E-3</v>
      </c>
      <c r="M31">
        <v>1.2501277882015535E-3</v>
      </c>
      <c r="N31">
        <v>1.2487082688849278E-3</v>
      </c>
      <c r="O31">
        <v>1.2467654435390108E-3</v>
      </c>
      <c r="P31">
        <v>1.2459379766549955E-3</v>
      </c>
      <c r="Q31">
        <v>1.2454911060033728E-3</v>
      </c>
      <c r="R31">
        <v>1.2451425075326549E-3</v>
      </c>
      <c r="S31">
        <v>1.2441678168462235E-3</v>
      </c>
      <c r="T31">
        <v>1.2437110831363233E-3</v>
      </c>
      <c r="U31">
        <v>1.2434472289246487E-3</v>
      </c>
      <c r="V31">
        <v>1.2431449346539255E-3</v>
      </c>
      <c r="W31">
        <v>1.242749474488683E-3</v>
      </c>
      <c r="X31">
        <v>1.2426414751633898E-3</v>
      </c>
      <c r="Y31">
        <v>1.2425270452057901E-3</v>
      </c>
      <c r="Z31">
        <v>1.2423665768196443E-3</v>
      </c>
      <c r="AA31">
        <v>1.2423661582493899E-3</v>
      </c>
      <c r="AB31">
        <v>1.2424552878090294E-3</v>
      </c>
      <c r="AC31">
        <v>1.2425304264301077E-3</v>
      </c>
      <c r="AD31">
        <v>1.2424094170501326E-3</v>
      </c>
      <c r="AE31">
        <v>1.2423079259541866E-3</v>
      </c>
      <c r="AF31">
        <v>1.2421595174498235E-3</v>
      </c>
      <c r="AG31">
        <v>1.242184730573649E-3</v>
      </c>
    </row>
    <row r="32" spans="1:33">
      <c r="B32" t="s">
        <v>10</v>
      </c>
      <c r="C32">
        <v>3.8029529805498928E-4</v>
      </c>
      <c r="D32">
        <v>3.9476635103339935E-4</v>
      </c>
      <c r="E32">
        <v>4.0317709826518853E-4</v>
      </c>
      <c r="F32">
        <v>4.0861194678683542E-4</v>
      </c>
      <c r="G32">
        <v>4.1215478728194431E-4</v>
      </c>
      <c r="H32">
        <v>4.161380472574127E-4</v>
      </c>
      <c r="I32">
        <v>4.1864713672164384E-4</v>
      </c>
      <c r="J32">
        <v>4.1871977044755321E-4</v>
      </c>
      <c r="K32">
        <v>4.1845993448607482E-4</v>
      </c>
      <c r="L32">
        <v>4.1824574080425933E-4</v>
      </c>
      <c r="M32">
        <v>4.1892239620751885E-4</v>
      </c>
      <c r="N32">
        <v>4.1874050147763098E-4</v>
      </c>
      <c r="O32">
        <v>4.1850498686080801E-4</v>
      </c>
      <c r="P32">
        <v>4.1826480772119918E-4</v>
      </c>
      <c r="Q32">
        <v>4.1829175912415644E-4</v>
      </c>
      <c r="R32">
        <v>4.1761857347733379E-4</v>
      </c>
      <c r="S32">
        <v>4.1687945245925354E-4</v>
      </c>
      <c r="T32">
        <v>4.164113300533476E-4</v>
      </c>
      <c r="U32">
        <v>4.1613449901969674E-4</v>
      </c>
      <c r="V32">
        <v>4.1551323434343832E-4</v>
      </c>
      <c r="W32">
        <v>4.1503634236097445E-4</v>
      </c>
      <c r="X32">
        <v>4.1461933319641856E-4</v>
      </c>
      <c r="Y32">
        <v>4.1413077690561246E-4</v>
      </c>
      <c r="Z32">
        <v>4.1366186353318095E-4</v>
      </c>
      <c r="AA32">
        <v>4.1331258589589651E-4</v>
      </c>
      <c r="AB32">
        <v>4.1306480490411649E-4</v>
      </c>
      <c r="AC32">
        <v>4.1264228513673742E-4</v>
      </c>
      <c r="AD32">
        <v>4.1222664654626295E-4</v>
      </c>
      <c r="AE32">
        <v>4.1170488758498282E-4</v>
      </c>
      <c r="AF32">
        <v>4.1134544874802168E-4</v>
      </c>
      <c r="AG32">
        <v>4.1101089728435994E-4</v>
      </c>
    </row>
    <row r="33" spans="2:33">
      <c r="B33" s="33" t="s">
        <v>11</v>
      </c>
      <c r="C33" s="33">
        <v>4.010435677007162E-4</v>
      </c>
      <c r="D33" s="33">
        <v>4.1543936179917892E-4</v>
      </c>
      <c r="E33" s="33">
        <v>4.232456921304615E-4</v>
      </c>
      <c r="F33" s="33">
        <v>4.284224989356039E-4</v>
      </c>
      <c r="G33" s="33">
        <v>4.3223887309206766E-4</v>
      </c>
      <c r="H33" s="33">
        <v>4.3661930301858122E-4</v>
      </c>
      <c r="I33" s="33">
        <v>4.4073837767711228E-4</v>
      </c>
      <c r="J33" s="33">
        <v>4.4130433819121803E-4</v>
      </c>
      <c r="K33" s="33">
        <v>4.4139330713525239E-4</v>
      </c>
      <c r="L33" s="33">
        <v>4.4143859386227608E-4</v>
      </c>
      <c r="M33" s="33">
        <v>4.4252278985937798E-4</v>
      </c>
      <c r="N33" s="33">
        <v>4.4258101673758966E-4</v>
      </c>
      <c r="O33" s="33">
        <v>4.4262644410952699E-4</v>
      </c>
      <c r="P33" s="33">
        <v>4.4263525674443374E-4</v>
      </c>
      <c r="Q33" s="33">
        <v>4.428907913418545E-4</v>
      </c>
      <c r="R33" s="33">
        <v>4.4235185104972023E-4</v>
      </c>
      <c r="S33" s="33">
        <v>4.4180682000362565E-4</v>
      </c>
      <c r="T33" s="33">
        <v>4.415169210975881E-4</v>
      </c>
      <c r="U33" s="33">
        <v>4.4141525513386555E-4</v>
      </c>
      <c r="V33" s="33">
        <v>4.4094858868260617E-4</v>
      </c>
      <c r="W33" s="33">
        <v>4.406528424788466E-4</v>
      </c>
      <c r="X33" s="33">
        <v>4.4046477188487546E-4</v>
      </c>
      <c r="Y33" s="33">
        <v>4.4016736396697124E-4</v>
      </c>
      <c r="Z33" s="33">
        <v>4.3991921468742256E-4</v>
      </c>
      <c r="AA33" s="33">
        <v>4.3980677282836695E-4</v>
      </c>
      <c r="AB33" s="33">
        <v>4.3981133028276362E-4</v>
      </c>
      <c r="AC33" s="33">
        <v>4.3960459654073496E-4</v>
      </c>
      <c r="AD33" s="33">
        <v>4.3945697770705547E-4</v>
      </c>
      <c r="AE33" s="33">
        <v>4.3919624527100954E-4</v>
      </c>
      <c r="AF33" s="33">
        <v>4.3913823303573507E-4</v>
      </c>
      <c r="AG33" s="33">
        <v>4.3909651675542918E-4</v>
      </c>
    </row>
    <row r="34" spans="2:33">
      <c r="B34" t="s">
        <v>12</v>
      </c>
      <c r="C34">
        <v>4.2164836790723349E-4</v>
      </c>
      <c r="D34">
        <v>4.3038372468941308E-4</v>
      </c>
      <c r="E34">
        <v>4.3420465633630295E-4</v>
      </c>
      <c r="F34">
        <v>4.3755646869858035E-4</v>
      </c>
      <c r="G34">
        <v>4.3967943886681334E-4</v>
      </c>
      <c r="H34">
        <v>4.4460624002269991E-4</v>
      </c>
      <c r="I34">
        <v>4.4496012049244393E-4</v>
      </c>
      <c r="J34">
        <v>4.4386794465270786E-4</v>
      </c>
      <c r="K34">
        <v>4.4337540076502162E-4</v>
      </c>
      <c r="L34">
        <v>4.4271108702653624E-4</v>
      </c>
      <c r="M34">
        <v>4.4204868011526002E-4</v>
      </c>
      <c r="N34">
        <v>4.4134700384785902E-4</v>
      </c>
      <c r="O34">
        <v>4.4074150219218516E-4</v>
      </c>
      <c r="P34">
        <v>4.4004989920049426E-4</v>
      </c>
      <c r="Q34">
        <v>4.3959873902550526E-4</v>
      </c>
      <c r="R34">
        <v>4.3896791873294087E-4</v>
      </c>
      <c r="S34">
        <v>4.3853822206515422E-4</v>
      </c>
      <c r="T34">
        <v>4.380679289602619E-4</v>
      </c>
      <c r="U34">
        <v>4.3761382373608021E-4</v>
      </c>
      <c r="V34">
        <v>4.3728428606956427E-4</v>
      </c>
      <c r="W34">
        <v>4.3676208341619235E-4</v>
      </c>
      <c r="X34">
        <v>4.3641079058356913E-4</v>
      </c>
      <c r="Y34">
        <v>4.3601813064876686E-4</v>
      </c>
      <c r="Z34">
        <v>4.3568341275915397E-4</v>
      </c>
      <c r="AA34">
        <v>4.3535955435881782E-4</v>
      </c>
      <c r="AB34">
        <v>4.3509879831850481E-4</v>
      </c>
      <c r="AC34">
        <v>4.3470212020737582E-4</v>
      </c>
      <c r="AD34">
        <v>4.3438066023618842E-4</v>
      </c>
      <c r="AE34">
        <v>4.3404466716966903E-4</v>
      </c>
      <c r="AF34">
        <v>4.3370047683290603E-4</v>
      </c>
      <c r="AG34">
        <v>4.3334687418764364E-4</v>
      </c>
    </row>
    <row r="35" spans="2:33">
      <c r="B35" t="s">
        <v>13</v>
      </c>
      <c r="C35">
        <v>6.5738318568648571E-4</v>
      </c>
      <c r="D35">
        <v>6.7868209237387732E-4</v>
      </c>
      <c r="E35">
        <v>6.8605104499600824E-4</v>
      </c>
      <c r="F35">
        <v>6.8995200477364748E-4</v>
      </c>
      <c r="G35">
        <v>7.0255070116778152E-4</v>
      </c>
      <c r="H35">
        <v>7.3075494105914415E-4</v>
      </c>
      <c r="I35">
        <v>7.6511494750975708E-4</v>
      </c>
      <c r="J35">
        <v>7.6729530817545215E-4</v>
      </c>
      <c r="K35">
        <v>7.6615763729175437E-4</v>
      </c>
      <c r="L35">
        <v>7.6497534983816374E-4</v>
      </c>
      <c r="M35">
        <v>7.6434508106930723E-4</v>
      </c>
      <c r="N35">
        <v>7.6297468642330408E-4</v>
      </c>
      <c r="O35">
        <v>7.6220701719009081E-4</v>
      </c>
      <c r="P35">
        <v>7.6135115263870209E-4</v>
      </c>
      <c r="Q35">
        <v>7.6059039236971756E-4</v>
      </c>
      <c r="R35">
        <v>7.5941521982376113E-4</v>
      </c>
      <c r="S35">
        <v>7.5865921051893645E-4</v>
      </c>
      <c r="T35">
        <v>7.5779553890121924E-4</v>
      </c>
      <c r="U35">
        <v>7.5675471415846706E-4</v>
      </c>
      <c r="V35">
        <v>7.5542246426100047E-4</v>
      </c>
      <c r="W35">
        <v>7.5410270573479155E-4</v>
      </c>
      <c r="X35">
        <v>7.5263393803100167E-4</v>
      </c>
      <c r="Y35">
        <v>7.5087688624492623E-4</v>
      </c>
      <c r="Z35">
        <v>7.4906248631128583E-4</v>
      </c>
      <c r="AA35">
        <v>7.470071968170176E-4</v>
      </c>
      <c r="AB35">
        <v>7.4466971736164859E-4</v>
      </c>
      <c r="AC35">
        <v>7.4187742730834057E-4</v>
      </c>
      <c r="AD35">
        <v>7.3887113076972523E-4</v>
      </c>
      <c r="AE35">
        <v>7.3528955607294266E-4</v>
      </c>
      <c r="AF35">
        <v>7.3158063579575828E-4</v>
      </c>
      <c r="AG35">
        <v>7.2734242308217191E-4</v>
      </c>
    </row>
    <row r="36" spans="2:33">
      <c r="B36" t="s">
        <v>14</v>
      </c>
      <c r="C36">
        <v>3.6368321172053488E-4</v>
      </c>
      <c r="D36">
        <v>3.7519786349243767E-4</v>
      </c>
      <c r="E36">
        <v>3.8292342231539014E-4</v>
      </c>
      <c r="F36">
        <v>3.8737442480929154E-4</v>
      </c>
      <c r="G36">
        <v>3.9018162646122461E-4</v>
      </c>
      <c r="H36">
        <v>3.9393486543226201E-4</v>
      </c>
      <c r="I36">
        <v>3.958081254319439E-4</v>
      </c>
      <c r="J36">
        <v>3.958068662698271E-4</v>
      </c>
      <c r="K36">
        <v>3.9568870081904033E-4</v>
      </c>
      <c r="L36">
        <v>3.9552372368166668E-4</v>
      </c>
      <c r="M36">
        <v>3.9593709557582721E-4</v>
      </c>
      <c r="N36">
        <v>3.9597127514076109E-4</v>
      </c>
      <c r="O36">
        <v>3.9568311316840501E-4</v>
      </c>
      <c r="P36">
        <v>3.9545023752148126E-4</v>
      </c>
      <c r="Q36">
        <v>3.9533735885442279E-4</v>
      </c>
      <c r="R36">
        <v>3.9487850361981201E-4</v>
      </c>
      <c r="S36">
        <v>3.9428117062173101E-4</v>
      </c>
      <c r="T36">
        <v>3.9378231845382995E-4</v>
      </c>
      <c r="U36">
        <v>3.9349649872249946E-4</v>
      </c>
      <c r="V36">
        <v>3.9297415036491852E-4</v>
      </c>
      <c r="W36">
        <v>3.9250688719174123E-4</v>
      </c>
      <c r="X36">
        <v>3.9211185181415524E-4</v>
      </c>
      <c r="Y36">
        <v>3.9168760952964436E-4</v>
      </c>
      <c r="Z36">
        <v>3.9122731880395569E-4</v>
      </c>
      <c r="AA36">
        <v>3.9085142797907205E-4</v>
      </c>
      <c r="AB36">
        <v>3.9051216876031034E-4</v>
      </c>
      <c r="AC36">
        <v>3.9011492927727893E-4</v>
      </c>
      <c r="AD36">
        <v>3.8968023550283847E-4</v>
      </c>
      <c r="AE36">
        <v>3.8920742031412479E-4</v>
      </c>
      <c r="AF36">
        <v>3.8876188063600889E-4</v>
      </c>
      <c r="AG36">
        <v>3.883715712735463E-4</v>
      </c>
    </row>
    <row r="37" spans="2:33">
      <c r="B37" t="s">
        <v>15</v>
      </c>
      <c r="C37">
        <v>5.8794415231938754E-4</v>
      </c>
      <c r="D37">
        <v>5.859697075889746E-4</v>
      </c>
      <c r="E37">
        <v>5.8487716230241557E-4</v>
      </c>
      <c r="F37">
        <v>5.8450715864569842E-4</v>
      </c>
      <c r="G37">
        <v>5.8509864619692446E-4</v>
      </c>
      <c r="H37">
        <v>5.8547838832553585E-4</v>
      </c>
      <c r="I37">
        <v>5.8677369900367977E-4</v>
      </c>
      <c r="J37">
        <v>5.8555189724455374E-4</v>
      </c>
      <c r="K37">
        <v>5.848624993596127E-4</v>
      </c>
      <c r="L37">
        <v>5.8392369578135807E-4</v>
      </c>
      <c r="M37">
        <v>5.8323582222320433E-4</v>
      </c>
      <c r="N37">
        <v>5.8232846507614633E-4</v>
      </c>
      <c r="O37">
        <v>5.8140476063791701E-4</v>
      </c>
      <c r="P37">
        <v>5.8053415348023238E-4</v>
      </c>
      <c r="Q37">
        <v>5.7985999357189376E-4</v>
      </c>
      <c r="R37">
        <v>5.790672010289583E-4</v>
      </c>
      <c r="S37">
        <v>5.783038784646057E-4</v>
      </c>
      <c r="T37">
        <v>5.7772941074558763E-4</v>
      </c>
      <c r="U37">
        <v>5.7728789584792482E-4</v>
      </c>
      <c r="V37">
        <v>5.7687866477931793E-4</v>
      </c>
      <c r="W37">
        <v>5.7657581365796442E-4</v>
      </c>
      <c r="X37">
        <v>5.7638685408458411E-4</v>
      </c>
      <c r="Y37">
        <v>5.7622519119671751E-4</v>
      </c>
      <c r="Z37">
        <v>5.7612076801724784E-4</v>
      </c>
      <c r="AA37">
        <v>5.7610601336530144E-4</v>
      </c>
      <c r="AB37">
        <v>5.7616718513728532E-4</v>
      </c>
      <c r="AC37">
        <v>5.7619221096857649E-4</v>
      </c>
      <c r="AD37">
        <v>5.7620061572155568E-4</v>
      </c>
      <c r="AE37">
        <v>5.7622282038993897E-4</v>
      </c>
      <c r="AF37">
        <v>5.7625953419671364E-4</v>
      </c>
      <c r="AG37">
        <v>5.7635527402379559E-4</v>
      </c>
    </row>
    <row r="39" spans="2:33">
      <c r="C39">
        <v>2020</v>
      </c>
      <c r="D39">
        <v>2021</v>
      </c>
      <c r="E39">
        <v>2022</v>
      </c>
      <c r="F39">
        <v>2023</v>
      </c>
      <c r="G39">
        <v>2024</v>
      </c>
      <c r="H39">
        <v>2025</v>
      </c>
      <c r="I39">
        <v>2026</v>
      </c>
      <c r="J39">
        <v>2027</v>
      </c>
      <c r="K39">
        <v>2028</v>
      </c>
      <c r="L39">
        <v>2029</v>
      </c>
      <c r="M39">
        <v>2030</v>
      </c>
      <c r="N39">
        <v>2031</v>
      </c>
      <c r="O39">
        <v>2032</v>
      </c>
      <c r="P39">
        <v>2033</v>
      </c>
      <c r="Q39">
        <v>2034</v>
      </c>
      <c r="R39">
        <v>2035</v>
      </c>
      <c r="S39">
        <v>2036</v>
      </c>
      <c r="T39">
        <v>2037</v>
      </c>
      <c r="U39">
        <v>2038</v>
      </c>
      <c r="V39">
        <v>2039</v>
      </c>
      <c r="W39">
        <v>2040</v>
      </c>
      <c r="X39">
        <v>2041</v>
      </c>
      <c r="Y39">
        <v>2042</v>
      </c>
      <c r="Z39">
        <v>2043</v>
      </c>
      <c r="AA39">
        <v>2044</v>
      </c>
      <c r="AB39">
        <v>2045</v>
      </c>
      <c r="AC39">
        <v>2046</v>
      </c>
      <c r="AD39">
        <v>2047</v>
      </c>
      <c r="AE39">
        <v>2048</v>
      </c>
      <c r="AF39">
        <v>2049</v>
      </c>
      <c r="AG39">
        <v>2050</v>
      </c>
    </row>
    <row r="40" spans="2:33">
      <c r="B40" t="s">
        <v>70</v>
      </c>
      <c r="C40">
        <v>1</v>
      </c>
      <c r="D40">
        <f>D33/$C$33</f>
        <v>1.0358958359087953</v>
      </c>
      <c r="E40">
        <f t="shared" ref="E40:AG40" si="0">E33/$C$33</f>
        <v>1.0553608790113145</v>
      </c>
      <c r="F40">
        <f t="shared" si="0"/>
        <v>1.0682692192069256</v>
      </c>
      <c r="G40">
        <f t="shared" si="0"/>
        <v>1.0777853278390723</v>
      </c>
      <c r="H40">
        <f t="shared" si="0"/>
        <v>1.0887079065295315</v>
      </c>
      <c r="I40">
        <f t="shared" si="0"/>
        <v>1.0989787972513221</v>
      </c>
      <c r="J40">
        <f t="shared" si="0"/>
        <v>1.1003900167787928</v>
      </c>
      <c r="K40">
        <f t="shared" si="0"/>
        <v>1.1006118603668709</v>
      </c>
      <c r="L40">
        <f t="shared" si="0"/>
        <v>1.1007247825794957</v>
      </c>
      <c r="M40">
        <f t="shared" si="0"/>
        <v>1.103428219523561</v>
      </c>
      <c r="N40">
        <f t="shared" si="0"/>
        <v>1.1035734079342505</v>
      </c>
      <c r="O40">
        <f t="shared" si="0"/>
        <v>1.1036866808442183</v>
      </c>
      <c r="P40">
        <f t="shared" si="0"/>
        <v>1.1037086551024198</v>
      </c>
      <c r="Q40">
        <f t="shared" si="0"/>
        <v>1.1043458292600452</v>
      </c>
      <c r="R40">
        <f t="shared" si="0"/>
        <v>1.1030019845121437</v>
      </c>
      <c r="S40">
        <f t="shared" si="0"/>
        <v>1.1016429525016831</v>
      </c>
      <c r="T40">
        <f t="shared" si="0"/>
        <v>1.100920091123555</v>
      </c>
      <c r="U40">
        <f t="shared" si="0"/>
        <v>1.1006665875845121</v>
      </c>
      <c r="V40">
        <f t="shared" si="0"/>
        <v>1.099502957273883</v>
      </c>
      <c r="W40">
        <f t="shared" si="0"/>
        <v>1.0987655156900293</v>
      </c>
      <c r="X40">
        <f t="shared" si="0"/>
        <v>1.0982965626656749</v>
      </c>
      <c r="Y40">
        <f t="shared" si="0"/>
        <v>1.0975549776064522</v>
      </c>
      <c r="Z40">
        <f t="shared" si="0"/>
        <v>1.0969362186996048</v>
      </c>
      <c r="AA40">
        <f t="shared" si="0"/>
        <v>1.096655845522944</v>
      </c>
      <c r="AB40">
        <f t="shared" si="0"/>
        <v>1.0966672095112078</v>
      </c>
      <c r="AC40">
        <f t="shared" si="0"/>
        <v>1.0961517200265767</v>
      </c>
      <c r="AD40">
        <f t="shared" si="0"/>
        <v>1.0957836332510531</v>
      </c>
      <c r="AE40">
        <f t="shared" si="0"/>
        <v>1.095133498310501</v>
      </c>
      <c r="AF40">
        <f t="shared" si="0"/>
        <v>1.0949888451108323</v>
      </c>
      <c r="AG40">
        <f t="shared" si="0"/>
        <v>1.0948848257880812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DB74-C519-4F62-B64E-5A171DB8F66A}">
  <sheetPr>
    <tabColor rgb="FF92D050"/>
  </sheetPr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0FD1-7C00-4B50-9A91-90B80228BA27}">
  <sheetPr>
    <tabColor rgb="FF1F497D"/>
  </sheetPr>
  <dimension ref="A1:AG8"/>
  <sheetViews>
    <sheetView workbookViewId="0">
      <selection activeCell="B2" sqref="B2"/>
    </sheetView>
  </sheetViews>
  <sheetFormatPr defaultRowHeight="14.5"/>
  <cols>
    <col min="1" max="1" width="32.7265625" bestFit="1" customWidth="1"/>
    <col min="2" max="3" width="9" customWidth="1"/>
    <col min="4" max="33" width="9.269531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4">
        <f>IFERROR(INDEX('SYFAFE psgr'!$B$2:$H$2,,MATCH($A2,'SYFAFE psgr'!$B$1:$H$1,0))*(1+INDEX(CAGR!$C$2:$C$8,MATCH($A2,CAGR!$B$2:$B$8,0))),0)</f>
        <v>8.308350967979061E-4</v>
      </c>
      <c r="C2" s="14">
        <f>IFERROR(B2*(1+INDEX(CAGR!$C$2:$C$8,MATCH($A2,CAGR!$B$2:$B$8,0))),0)</f>
        <v>8.3719450279759369E-4</v>
      </c>
      <c r="D2" s="14">
        <f>IFERROR(C2*(1+INDEX(CAGR!$C$2:$C$8,MATCH($A2,CAGR!$B$2:$B$8,0))),0)</f>
        <v>8.4360258517701626E-4</v>
      </c>
      <c r="E2" s="14">
        <f>IFERROR(D2*(1+INDEX(CAGR!$C$2:$C$8,MATCH($A2,CAGR!$B$2:$B$8,0))),0)</f>
        <v>8.5005971651656007E-4</v>
      </c>
      <c r="F2" s="14">
        <f>IFERROR(E2*(1+INDEX(CAGR!$C$2:$C$8,MATCH($A2,CAGR!$B$2:$B$8,0))),0)</f>
        <v>8.5656627224842878E-4</v>
      </c>
      <c r="G2" s="14">
        <f>IFERROR(F2*(1+INDEX(CAGR!$C$2:$C$8,MATCH($A2,CAGR!$B$2:$B$8,0))),0)</f>
        <v>8.6312263067847192E-4</v>
      </c>
      <c r="H2" s="14">
        <f>IFERROR(G2*(1+INDEX(CAGR!$C$2:$C$8,MATCH($A2,CAGR!$B$2:$B$8,0))),0)</f>
        <v>8.6972917300818034E-4</v>
      </c>
      <c r="I2" s="14">
        <f>IFERROR(H2*(1+INDEX(CAGR!$C$2:$C$8,MATCH($A2,CAGR!$B$2:$B$8,0))),0)</f>
        <v>8.7638628335685029E-4</v>
      </c>
      <c r="J2" s="14">
        <f>IFERROR(I2*(1+INDEX(CAGR!$C$2:$C$8,MATCH($A2,CAGR!$B$2:$B$8,0))),0)</f>
        <v>8.8309434878391675E-4</v>
      </c>
      <c r="K2" s="14">
        <f>IFERROR(J2*(1+INDEX(CAGR!$C$2:$C$8,MATCH($A2,CAGR!$B$2:$B$8,0))),0)</f>
        <v>8.8985375931145813E-4</v>
      </c>
      <c r="L2" s="14">
        <f>IFERROR(K2*(1+INDEX(CAGR!$C$2:$C$8,MATCH($A2,CAGR!$B$2:$B$8,0))),0)</f>
        <v>8.9666490794687299E-4</v>
      </c>
      <c r="M2" s="14">
        <f>IFERROR(L2*(1+INDEX(CAGR!$C$2:$C$8,MATCH($A2,CAGR!$B$2:$B$8,0))),0)</f>
        <v>9.035281907057303E-4</v>
      </c>
      <c r="N2" s="14">
        <f>IFERROR(M2*(1+INDEX(CAGR!$C$2:$C$8,MATCH($A2,CAGR!$B$2:$B$8,0))),0)</f>
        <v>9.1044400663479487E-4</v>
      </c>
      <c r="O2" s="14">
        <f>IFERROR(N2*(1+INDEX(CAGR!$C$2:$C$8,MATCH($A2,CAGR!$B$2:$B$8,0))),0)</f>
        <v>9.1741275783522864E-4</v>
      </c>
      <c r="P2" s="14">
        <f>IFERROR(O2*(1+INDEX(CAGR!$C$2:$C$8,MATCH($A2,CAGR!$B$2:$B$8,0))),0)</f>
        <v>9.2443484948596976E-4</v>
      </c>
      <c r="Q2" s="14">
        <f>IFERROR(P2*(1+INDEX(CAGR!$C$2:$C$8,MATCH($A2,CAGR!$B$2:$B$8,0))),0)</f>
        <v>9.3151068986729077E-4</v>
      </c>
      <c r="R2" s="14">
        <f>IFERROR(Q2*(1+INDEX(CAGR!$C$2:$C$8,MATCH($A2,CAGR!$B$2:$B$8,0))),0)</f>
        <v>9.3864069038453667E-4</v>
      </c>
      <c r="S2" s="14">
        <f>IFERROR(R2*(1+INDEX(CAGR!$C$2:$C$8,MATCH($A2,CAGR!$B$2:$B$8,0))),0)</f>
        <v>9.4582526559204539E-4</v>
      </c>
      <c r="T2" s="14">
        <f>IFERROR(S2*(1+INDEX(CAGR!$C$2:$C$8,MATCH($A2,CAGR!$B$2:$B$8,0))),0)</f>
        <v>9.530648332172504E-4</v>
      </c>
      <c r="U2" s="14">
        <f>IFERROR(T2*(1+INDEX(CAGR!$C$2:$C$8,MATCH($A2,CAGR!$B$2:$B$8,0))),0)</f>
        <v>9.6035981418496862E-4</v>
      </c>
      <c r="V2" s="14">
        <f>IFERROR(U2*(1+INDEX(CAGR!$C$2:$C$8,MATCH($A2,CAGR!$B$2:$B$8,0))),0)</f>
        <v>9.6771063264187388E-4</v>
      </c>
      <c r="W2" s="14">
        <f>IFERROR(V2*(1+INDEX(CAGR!$C$2:$C$8,MATCH($A2,CAGR!$B$2:$B$8,0))),0)</f>
        <v>9.7511771598115789E-4</v>
      </c>
      <c r="X2" s="14">
        <f>IFERROR(W2*(1+INDEX(CAGR!$C$2:$C$8,MATCH($A2,CAGR!$B$2:$B$8,0))),0)</f>
        <v>9.8258149486737966E-4</v>
      </c>
      <c r="Y2" s="14">
        <f>IFERROR(X2*(1+INDEX(CAGR!$C$2:$C$8,MATCH($A2,CAGR!$B$2:$B$8,0))),0)</f>
        <v>9.9010240326150543E-4</v>
      </c>
      <c r="Z2" s="14">
        <f>IFERROR(Y2*(1+INDEX(CAGR!$C$2:$C$8,MATCH($A2,CAGR!$B$2:$B$8,0))),0)</f>
        <v>9.9768087844613997E-4</v>
      </c>
      <c r="AA2" s="14">
        <f>IFERROR(Z2*(1+INDEX(CAGR!$C$2:$C$8,MATCH($A2,CAGR!$B$2:$B$8,0))),0)</f>
        <v>1.0053173610509512E-3</v>
      </c>
      <c r="AB2" s="14">
        <f>IFERROR(AA2*(1+INDEX(CAGR!$C$2:$C$8,MATCH($A2,CAGR!$B$2:$B$8,0))),0)</f>
        <v>1.0130122950782899E-3</v>
      </c>
      <c r="AC2" s="14">
        <f>IFERROR(AB2*(1+INDEX(CAGR!$C$2:$C$8,MATCH($A2,CAGR!$B$2:$B$8,0))),0)</f>
        <v>1.0207661279290044E-3</v>
      </c>
      <c r="AD2" s="14">
        <f>IFERROR(AC2*(1+INDEX(CAGR!$C$2:$C$8,MATCH($A2,CAGR!$B$2:$B$8,0))),0)</f>
        <v>1.0285793104284535E-3</v>
      </c>
      <c r="AE2" s="14">
        <f>IFERROR(AD2*(1+INDEX(CAGR!$C$2:$C$8,MATCH($A2,CAGR!$B$2:$B$8,0))),0)</f>
        <v>1.036452296852719E-3</v>
      </c>
      <c r="AF2" s="14">
        <f>IFERROR(AE2*(1+INDEX(CAGR!$C$2:$C$8,MATCH($A2,CAGR!$B$2:$B$8,0))),0)</f>
        <v>1.0443855449550178E-3</v>
      </c>
      <c r="AG2" s="14"/>
    </row>
    <row r="3" spans="1:33">
      <c r="A3" s="1" t="s">
        <v>10</v>
      </c>
      <c r="B3" s="14">
        <f>IFERROR(INDEX('SYFAFE psgr'!$B$2:$H$2,,MATCH($A3,'SYFAFE psgr'!$B$1:$H$1,0))*(1+INDEX(CAGR!$C$2:$C$8,MATCH($A3,CAGR!$B$2:$B$8,0))),0)</f>
        <v>1.8034360055260913E-4</v>
      </c>
      <c r="C3" s="14">
        <f>IFERROR(B3*(1+INDEX(CAGR!$C$2:$C$8,MATCH($A3,CAGR!$B$2:$B$8,0))),0)</f>
        <v>1.8034360055260913E-4</v>
      </c>
      <c r="D3" s="14">
        <f>IFERROR(C3*(1+INDEX(CAGR!$C$2:$C$8,MATCH($A3,CAGR!$B$2:$B$8,0))),0)</f>
        <v>1.8034360055260913E-4</v>
      </c>
      <c r="E3" s="14">
        <f>IFERROR(D3*(1+INDEX(CAGR!$C$2:$C$8,MATCH($A3,CAGR!$B$2:$B$8,0))),0)</f>
        <v>1.8034360055260913E-4</v>
      </c>
      <c r="F3" s="14">
        <f>IFERROR(E3*(1+INDEX(CAGR!$C$2:$C$8,MATCH($A3,CAGR!$B$2:$B$8,0))),0)</f>
        <v>1.8034360055260913E-4</v>
      </c>
      <c r="G3" s="14">
        <f>IFERROR(F3*(1+INDEX(CAGR!$C$2:$C$8,MATCH($A3,CAGR!$B$2:$B$8,0))),0)</f>
        <v>1.8034360055260913E-4</v>
      </c>
      <c r="H3" s="14">
        <f>IFERROR(G3*(1+INDEX(CAGR!$C$2:$C$8,MATCH($A3,CAGR!$B$2:$B$8,0))),0)</f>
        <v>1.8034360055260913E-4</v>
      </c>
      <c r="I3" s="14">
        <f>IFERROR(H3*(1+INDEX(CAGR!$C$2:$C$8,MATCH($A3,CAGR!$B$2:$B$8,0))),0)</f>
        <v>1.8034360055260913E-4</v>
      </c>
      <c r="J3" s="14">
        <f>IFERROR(I3*(1+INDEX(CAGR!$C$2:$C$8,MATCH($A3,CAGR!$B$2:$B$8,0))),0)</f>
        <v>1.8034360055260913E-4</v>
      </c>
      <c r="K3" s="14">
        <f>IFERROR(J3*(1+INDEX(CAGR!$C$2:$C$8,MATCH($A3,CAGR!$B$2:$B$8,0))),0)</f>
        <v>1.8034360055260913E-4</v>
      </c>
      <c r="L3" s="14">
        <f>IFERROR(K3*(1+INDEX(CAGR!$C$2:$C$8,MATCH($A3,CAGR!$B$2:$B$8,0))),0)</f>
        <v>1.8034360055260913E-4</v>
      </c>
      <c r="M3" s="14">
        <f>IFERROR(L3*(1+INDEX(CAGR!$C$2:$C$8,MATCH($A3,CAGR!$B$2:$B$8,0))),0)</f>
        <v>1.8034360055260913E-4</v>
      </c>
      <c r="N3" s="14">
        <f>IFERROR(M3*(1+INDEX(CAGR!$C$2:$C$8,MATCH($A3,CAGR!$B$2:$B$8,0))),0)</f>
        <v>1.8034360055260913E-4</v>
      </c>
      <c r="O3" s="14">
        <f>IFERROR(N3*(1+INDEX(CAGR!$C$2:$C$8,MATCH($A3,CAGR!$B$2:$B$8,0))),0)</f>
        <v>1.8034360055260913E-4</v>
      </c>
      <c r="P3" s="14">
        <f>IFERROR(O3*(1+INDEX(CAGR!$C$2:$C$8,MATCH($A3,CAGR!$B$2:$B$8,0))),0)</f>
        <v>1.8034360055260913E-4</v>
      </c>
      <c r="Q3" s="14">
        <f>IFERROR(P3*(1+INDEX(CAGR!$C$2:$C$8,MATCH($A3,CAGR!$B$2:$B$8,0))),0)</f>
        <v>1.8034360055260913E-4</v>
      </c>
      <c r="R3" s="14">
        <f>IFERROR(Q3*(1+INDEX(CAGR!$C$2:$C$8,MATCH($A3,CAGR!$B$2:$B$8,0))),0)</f>
        <v>1.8034360055260913E-4</v>
      </c>
      <c r="S3" s="14">
        <f>IFERROR(R3*(1+INDEX(CAGR!$C$2:$C$8,MATCH($A3,CAGR!$B$2:$B$8,0))),0)</f>
        <v>1.8034360055260913E-4</v>
      </c>
      <c r="T3" s="14">
        <f>IFERROR(S3*(1+INDEX(CAGR!$C$2:$C$8,MATCH($A3,CAGR!$B$2:$B$8,0))),0)</f>
        <v>1.8034360055260913E-4</v>
      </c>
      <c r="U3" s="14">
        <f>IFERROR(T3*(1+INDEX(CAGR!$C$2:$C$8,MATCH($A3,CAGR!$B$2:$B$8,0))),0)</f>
        <v>1.8034360055260913E-4</v>
      </c>
      <c r="V3" s="14">
        <f>IFERROR(U3*(1+INDEX(CAGR!$C$2:$C$8,MATCH($A3,CAGR!$B$2:$B$8,0))),0)</f>
        <v>1.8034360055260913E-4</v>
      </c>
      <c r="W3" s="14">
        <f>IFERROR(V3*(1+INDEX(CAGR!$C$2:$C$8,MATCH($A3,CAGR!$B$2:$B$8,0))),0)</f>
        <v>1.8034360055260913E-4</v>
      </c>
      <c r="X3" s="14">
        <f>IFERROR(W3*(1+INDEX(CAGR!$C$2:$C$8,MATCH($A3,CAGR!$B$2:$B$8,0))),0)</f>
        <v>1.8034360055260913E-4</v>
      </c>
      <c r="Y3" s="14">
        <f>IFERROR(X3*(1+INDEX(CAGR!$C$2:$C$8,MATCH($A3,CAGR!$B$2:$B$8,0))),0)</f>
        <v>1.8034360055260913E-4</v>
      </c>
      <c r="Z3" s="14">
        <f>IFERROR(Y3*(1+INDEX(CAGR!$C$2:$C$8,MATCH($A3,CAGR!$B$2:$B$8,0))),0)</f>
        <v>1.8034360055260913E-4</v>
      </c>
      <c r="AA3" s="14">
        <f>IFERROR(Z3*(1+INDEX(CAGR!$C$2:$C$8,MATCH($A3,CAGR!$B$2:$B$8,0))),0)</f>
        <v>1.8034360055260913E-4</v>
      </c>
      <c r="AB3" s="14">
        <f>IFERROR(AA3*(1+INDEX(CAGR!$C$2:$C$8,MATCH($A3,CAGR!$B$2:$B$8,0))),0)</f>
        <v>1.8034360055260913E-4</v>
      </c>
      <c r="AC3" s="14">
        <f>IFERROR(AB3*(1+INDEX(CAGR!$C$2:$C$8,MATCH($A3,CAGR!$B$2:$B$8,0))),0)</f>
        <v>1.8034360055260913E-4</v>
      </c>
      <c r="AD3" s="14">
        <f>IFERROR(AC3*(1+INDEX(CAGR!$C$2:$C$8,MATCH($A3,CAGR!$B$2:$B$8,0))),0)</f>
        <v>1.8034360055260913E-4</v>
      </c>
      <c r="AE3" s="14">
        <f>IFERROR(AD3*(1+INDEX(CAGR!$C$2:$C$8,MATCH($A3,CAGR!$B$2:$B$8,0))),0)</f>
        <v>1.8034360055260913E-4</v>
      </c>
      <c r="AF3" s="14">
        <f>IFERROR(AE3*(1+INDEX(CAGR!$C$2:$C$8,MATCH($A3,CAGR!$B$2:$B$8,0))),0)</f>
        <v>1.8034360055260913E-4</v>
      </c>
      <c r="AG3" s="14"/>
    </row>
    <row r="4" spans="1:33">
      <c r="A4" s="1" t="s">
        <v>11</v>
      </c>
      <c r="B4" s="14">
        <f>IFERROR(INDEX('SYFAFE psgr'!$B$2:$H$2,,MATCH($A4,'SYFAFE psgr'!$B$1:$H$1,0))*(1+INDEX(CAGR!$C$2:$C$8,MATCH($A4,CAGR!$B$2:$B$8,0))),0)</f>
        <v>2.4898870727985448E-4</v>
      </c>
      <c r="C4" s="14">
        <f>IFERROR(B4*(1+INDEX(CAGR!$C$2:$C$8,MATCH($A4,CAGR!$B$2:$B$8,0))),0)</f>
        <v>2.4965777677148792E-4</v>
      </c>
      <c r="D4" s="14">
        <f>IFERROR(C4*(1+INDEX(CAGR!$C$2:$C$8,MATCH($A4,CAGR!$B$2:$B$8,0))),0)</f>
        <v>2.503286441518269E-4</v>
      </c>
      <c r="E4" s="14">
        <f>IFERROR(D4*(1+INDEX(CAGR!$C$2:$C$8,MATCH($A4,CAGR!$B$2:$B$8,0))),0)</f>
        <v>2.5100131425206441E-4</v>
      </c>
      <c r="F4" s="14">
        <f>IFERROR(E4*(1+INDEX(CAGR!$C$2:$C$8,MATCH($A4,CAGR!$B$2:$B$8,0))),0)</f>
        <v>2.516757919163755E-4</v>
      </c>
      <c r="G4" s="14">
        <f>IFERROR(F4*(1+INDEX(CAGR!$C$2:$C$8,MATCH($A4,CAGR!$B$2:$B$8,0))),0)</f>
        <v>2.5235208200195222E-4</v>
      </c>
      <c r="H4" s="14">
        <f>IFERROR(G4*(1+INDEX(CAGR!$C$2:$C$8,MATCH($A4,CAGR!$B$2:$B$8,0))),0)</f>
        <v>2.5303018937903866E-4</v>
      </c>
      <c r="I4" s="14">
        <f>IFERROR(H4*(1+INDEX(CAGR!$C$2:$C$8,MATCH($A4,CAGR!$B$2:$B$8,0))),0)</f>
        <v>2.5371011893096591E-4</v>
      </c>
      <c r="J4" s="14">
        <f>IFERROR(I4*(1+INDEX(CAGR!$C$2:$C$8,MATCH($A4,CAGR!$B$2:$B$8,0))),0)</f>
        <v>2.5439187555418739E-4</v>
      </c>
      <c r="K4" s="14">
        <f>IFERROR(J4*(1+INDEX(CAGR!$C$2:$C$8,MATCH($A4,CAGR!$B$2:$B$8,0))),0)</f>
        <v>2.5507546415831395E-4</v>
      </c>
      <c r="L4" s="14">
        <f>IFERROR(K4*(1+INDEX(CAGR!$C$2:$C$8,MATCH($A4,CAGR!$B$2:$B$8,0))),0)</f>
        <v>2.5576088966614929E-4</v>
      </c>
      <c r="M4" s="14">
        <f>IFERROR(L4*(1+INDEX(CAGR!$C$2:$C$8,MATCH($A4,CAGR!$B$2:$B$8,0))),0)</f>
        <v>2.5644815701372542E-4</v>
      </c>
      <c r="N4" s="14">
        <f>IFERROR(M4*(1+INDEX(CAGR!$C$2:$C$8,MATCH($A4,CAGR!$B$2:$B$8,0))),0)</f>
        <v>2.5713727115033824E-4</v>
      </c>
      <c r="O4" s="14">
        <f>IFERROR(N4*(1+INDEX(CAGR!$C$2:$C$8,MATCH($A4,CAGR!$B$2:$B$8,0))),0)</f>
        <v>2.5782823703858308E-4</v>
      </c>
      <c r="P4" s="14">
        <f>IFERROR(O4*(1+INDEX(CAGR!$C$2:$C$8,MATCH($A4,CAGR!$B$2:$B$8,0))),0)</f>
        <v>2.5852105965439053E-4</v>
      </c>
      <c r="Q4" s="14">
        <f>IFERROR(P4*(1+INDEX(CAGR!$C$2:$C$8,MATCH($A4,CAGR!$B$2:$B$8,0))),0)</f>
        <v>2.5921574398706226E-4</v>
      </c>
      <c r="R4" s="14">
        <f>IFERROR(Q4*(1+INDEX(CAGR!$C$2:$C$8,MATCH($A4,CAGR!$B$2:$B$8,0))),0)</f>
        <v>2.5991229503930684E-4</v>
      </c>
      <c r="S4" s="14">
        <f>IFERROR(R4*(1+INDEX(CAGR!$C$2:$C$8,MATCH($A4,CAGR!$B$2:$B$8,0))),0)</f>
        <v>2.6061071782727596E-4</v>
      </c>
      <c r="T4" s="14">
        <f>IFERROR(S4*(1+INDEX(CAGR!$C$2:$C$8,MATCH($A4,CAGR!$B$2:$B$8,0))),0)</f>
        <v>2.613110173806004E-4</v>
      </c>
      <c r="U4" s="14">
        <f>IFERROR(T4*(1+INDEX(CAGR!$C$2:$C$8,MATCH($A4,CAGR!$B$2:$B$8,0))),0)</f>
        <v>2.6201319874242634E-4</v>
      </c>
      <c r="V4" s="14">
        <f>IFERROR(U4*(1+INDEX(CAGR!$C$2:$C$8,MATCH($A4,CAGR!$B$2:$B$8,0))),0)</f>
        <v>2.6271726696945158E-4</v>
      </c>
      <c r="W4" s="14">
        <f>IFERROR(V4*(1+INDEX(CAGR!$C$2:$C$8,MATCH($A4,CAGR!$B$2:$B$8,0))),0)</f>
        <v>2.634232271319621E-4</v>
      </c>
      <c r="X4" s="14">
        <f>IFERROR(W4*(1+INDEX(CAGR!$C$2:$C$8,MATCH($A4,CAGR!$B$2:$B$8,0))),0)</f>
        <v>2.6413108431386841E-4</v>
      </c>
      <c r="Y4" s="14">
        <f>IFERROR(X4*(1+INDEX(CAGR!$C$2:$C$8,MATCH($A4,CAGR!$B$2:$B$8,0))),0)</f>
        <v>2.6484084361274229E-4</v>
      </c>
      <c r="Z4" s="14">
        <f>IFERROR(Y4*(1+INDEX(CAGR!$C$2:$C$8,MATCH($A4,CAGR!$B$2:$B$8,0))),0)</f>
        <v>2.6555251013985344E-4</v>
      </c>
      <c r="AA4" s="14">
        <f>IFERROR(Z4*(1+INDEX(CAGR!$C$2:$C$8,MATCH($A4,CAGR!$B$2:$B$8,0))),0)</f>
        <v>2.6626608902020622E-4</v>
      </c>
      <c r="AB4" s="14">
        <f>IFERROR(AA4*(1+INDEX(CAGR!$C$2:$C$8,MATCH($A4,CAGR!$B$2:$B$8,0))),0)</f>
        <v>2.6698158539257676E-4</v>
      </c>
      <c r="AC4" s="14">
        <f>IFERROR(AB4*(1+INDEX(CAGR!$C$2:$C$8,MATCH($A4,CAGR!$B$2:$B$8,0))),0)</f>
        <v>2.6769900440954975E-4</v>
      </c>
      <c r="AD4" s="14">
        <f>IFERROR(AC4*(1+INDEX(CAGR!$C$2:$C$8,MATCH($A4,CAGR!$B$2:$B$8,0))),0)</f>
        <v>2.6841835123755573E-4</v>
      </c>
      <c r="AE4" s="14">
        <f>IFERROR(AD4*(1+INDEX(CAGR!$C$2:$C$8,MATCH($A4,CAGR!$B$2:$B$8,0))),0)</f>
        <v>2.6913963105690806E-4</v>
      </c>
      <c r="AF4" s="14">
        <f>IFERROR(AE4*(1+INDEX(CAGR!$C$2:$C$8,MATCH($A4,CAGR!$B$2:$B$8,0))),0)</f>
        <v>2.6986284906184053E-4</v>
      </c>
      <c r="AG4" s="14"/>
    </row>
    <row r="5" spans="1:33">
      <c r="A5" s="1" t="s">
        <v>12</v>
      </c>
      <c r="B5" s="14">
        <f>IFERROR(INDEX('SYFAFE psgr'!$B$2:$H$2,,MATCH($A5,'SYFAFE psgr'!$B$1:$H$1,0))*(1+INDEX(CAGR!$C$2:$C$8,MATCH($A5,CAGR!$B$2:$B$8,0))),0)</f>
        <v>2.294459708221827E-4</v>
      </c>
      <c r="C5" s="14">
        <f>IFERROR(B5*(1+INDEX(CAGR!$C$2:$C$8,MATCH($A5,CAGR!$B$2:$B$8,0))),0)</f>
        <v>2.2845320076103349E-4</v>
      </c>
      <c r="D5" s="14">
        <f>IFERROR(C5*(1+INDEX(CAGR!$C$2:$C$8,MATCH($A5,CAGR!$B$2:$B$8,0))),0)</f>
        <v>2.2746472623138035E-4</v>
      </c>
      <c r="E5" s="14">
        <f>IFERROR(D5*(1+INDEX(CAGR!$C$2:$C$8,MATCH($A5,CAGR!$B$2:$B$8,0))),0)</f>
        <v>2.2648052864725703E-4</v>
      </c>
      <c r="F5" s="14">
        <f>IFERROR(E5*(1+INDEX(CAGR!$C$2:$C$8,MATCH($A5,CAGR!$B$2:$B$8,0))),0)</f>
        <v>2.2550058950311536E-4</v>
      </c>
      <c r="G5" s="14">
        <f>IFERROR(F5*(1+INDEX(CAGR!$C$2:$C$8,MATCH($A5,CAGR!$B$2:$B$8,0))),0)</f>
        <v>2.2452489037347716E-4</v>
      </c>
      <c r="H5" s="14">
        <f>IFERROR(G5*(1+INDEX(CAGR!$C$2:$C$8,MATCH($A5,CAGR!$B$2:$B$8,0))),0)</f>
        <v>2.2355341291258792E-4</v>
      </c>
      <c r="I5" s="14">
        <f>IFERROR(H5*(1+INDEX(CAGR!$C$2:$C$8,MATCH($A5,CAGR!$B$2:$B$8,0))),0)</f>
        <v>2.2258613885407178E-4</v>
      </c>
      <c r="J5" s="14">
        <f>IFERROR(I5*(1+INDEX(CAGR!$C$2:$C$8,MATCH($A5,CAGR!$B$2:$B$8,0))),0)</f>
        <v>2.2162305001058809E-4</v>
      </c>
      <c r="K5" s="14">
        <f>IFERROR(J5*(1+INDEX(CAGR!$C$2:$C$8,MATCH($A5,CAGR!$B$2:$B$8,0))),0)</f>
        <v>2.2066412827348946E-4</v>
      </c>
      <c r="L5" s="14">
        <f>IFERROR(K5*(1+INDEX(CAGR!$C$2:$C$8,MATCH($A5,CAGR!$B$2:$B$8,0))),0)</f>
        <v>2.1970935561248123E-4</v>
      </c>
      <c r="M5" s="14">
        <f>IFERROR(L5*(1+INDEX(CAGR!$C$2:$C$8,MATCH($A5,CAGR!$B$2:$B$8,0))),0)</f>
        <v>2.1875871407528249E-4</v>
      </c>
      <c r="N5" s="14">
        <f>IFERROR(M5*(1+INDEX(CAGR!$C$2:$C$8,MATCH($A5,CAGR!$B$2:$B$8,0))),0)</f>
        <v>2.1781218578728847E-4</v>
      </c>
      <c r="O5" s="14">
        <f>IFERROR(N5*(1+INDEX(CAGR!$C$2:$C$8,MATCH($A5,CAGR!$B$2:$B$8,0))),0)</f>
        <v>2.1686975295123455E-4</v>
      </c>
      <c r="P5" s="14">
        <f>IFERROR(O5*(1+INDEX(CAGR!$C$2:$C$8,MATCH($A5,CAGR!$B$2:$B$8,0))),0)</f>
        <v>2.1593139784686154E-4</v>
      </c>
      <c r="Q5" s="14">
        <f>IFERROR(P5*(1+INDEX(CAGR!$C$2:$C$8,MATCH($A5,CAGR!$B$2:$B$8,0))),0)</f>
        <v>2.1499710283058251E-4</v>
      </c>
      <c r="R5" s="14">
        <f>IFERROR(Q5*(1+INDEX(CAGR!$C$2:$C$8,MATCH($A5,CAGR!$B$2:$B$8,0))),0)</f>
        <v>2.1406685033515107E-4</v>
      </c>
      <c r="S5" s="14">
        <f>IFERROR(R5*(1+INDEX(CAGR!$C$2:$C$8,MATCH($A5,CAGR!$B$2:$B$8,0))),0)</f>
        <v>2.1314062286933102E-4</v>
      </c>
      <c r="T5" s="14">
        <f>IFERROR(S5*(1+INDEX(CAGR!$C$2:$C$8,MATCH($A5,CAGR!$B$2:$B$8,0))),0)</f>
        <v>2.122184030175675E-4</v>
      </c>
      <c r="U5" s="14">
        <f>IFERROR(T5*(1+INDEX(CAGR!$C$2:$C$8,MATCH($A5,CAGR!$B$2:$B$8,0))),0)</f>
        <v>2.1130017343965951E-4</v>
      </c>
      <c r="V5" s="14">
        <f>IFERROR(U5*(1+INDEX(CAGR!$C$2:$C$8,MATCH($A5,CAGR!$B$2:$B$8,0))),0)</f>
        <v>2.1038591687043388E-4</v>
      </c>
      <c r="W5" s="14">
        <f>IFERROR(V5*(1+INDEX(CAGR!$C$2:$C$8,MATCH($A5,CAGR!$B$2:$B$8,0))),0)</f>
        <v>2.0947561611942063E-4</v>
      </c>
      <c r="X5" s="14">
        <f>IFERROR(W5*(1+INDEX(CAGR!$C$2:$C$8,MATCH($A5,CAGR!$B$2:$B$8,0))),0)</f>
        <v>2.0856925407052975E-4</v>
      </c>
      <c r="Y5" s="14">
        <f>IFERROR(X5*(1+INDEX(CAGR!$C$2:$C$8,MATCH($A5,CAGR!$B$2:$B$8,0))),0)</f>
        <v>2.0766681368172938E-4</v>
      </c>
      <c r="Z5" s="14">
        <f>IFERROR(Y5*(1+INDEX(CAGR!$C$2:$C$8,MATCH($A5,CAGR!$B$2:$B$8,0))),0)</f>
        <v>2.0676827798472535E-4</v>
      </c>
      <c r="AA5" s="14">
        <f>IFERROR(Z5*(1+INDEX(CAGR!$C$2:$C$8,MATCH($A5,CAGR!$B$2:$B$8,0))),0)</f>
        <v>2.0587363008464215E-4</v>
      </c>
      <c r="AB5" s="14">
        <f>IFERROR(AA5*(1+INDEX(CAGR!$C$2:$C$8,MATCH($A5,CAGR!$B$2:$B$8,0))),0)</f>
        <v>2.0498285315970525E-4</v>
      </c>
      <c r="AC5" s="14">
        <f>IFERROR(AB5*(1+INDEX(CAGR!$C$2:$C$8,MATCH($A5,CAGR!$B$2:$B$8,0))),0)</f>
        <v>2.0409593046092484E-4</v>
      </c>
      <c r="AD5" s="14">
        <f>IFERROR(AC5*(1+INDEX(CAGR!$C$2:$C$8,MATCH($A5,CAGR!$B$2:$B$8,0))),0)</f>
        <v>2.0321284531178084E-4</v>
      </c>
      <c r="AE5" s="14">
        <f>IFERROR(AD5*(1+INDEX(CAGR!$C$2:$C$8,MATCH($A5,CAGR!$B$2:$B$8,0))),0)</f>
        <v>2.0233358110790937E-4</v>
      </c>
      <c r="AF5" s="14">
        <f>IFERROR(AE5*(1+INDEX(CAGR!$C$2:$C$8,MATCH($A5,CAGR!$B$2:$B$8,0))),0)</f>
        <v>2.0145812131679055E-4</v>
      </c>
      <c r="AG5" s="14"/>
    </row>
    <row r="6" spans="1:33">
      <c r="A6" s="1" t="s">
        <v>13</v>
      </c>
      <c r="B6" s="14">
        <f>IFERROR(INDEX('SYFAFE psgr'!$B$2:$H$2,,MATCH($A6,'SYFAFE psgr'!$B$1:$H$1,0))*(1+INDEX(CAGR!$C$2:$C$8,MATCH($A6,CAGR!$B$2:$B$8,0))),0)</f>
        <v>2.8402837249123764E-4</v>
      </c>
      <c r="C6" s="14">
        <f>IFERROR(B6*(1+INDEX(CAGR!$C$2:$C$8,MATCH($A6,CAGR!$B$2:$B$8,0))),0)</f>
        <v>2.8453936812715435E-4</v>
      </c>
      <c r="D6" s="14">
        <f>IFERROR(C6*(1+INDEX(CAGR!$C$2:$C$8,MATCH($A6,CAGR!$B$2:$B$8,0))),0)</f>
        <v>2.8505128309566321E-4</v>
      </c>
      <c r="E6" s="14">
        <f>IFERROR(D6*(1+INDEX(CAGR!$C$2:$C$8,MATCH($A6,CAGR!$B$2:$B$8,0))),0)</f>
        <v>2.855641190507361E-4</v>
      </c>
      <c r="F6" s="14">
        <f>IFERROR(E6*(1+INDEX(CAGR!$C$2:$C$8,MATCH($A6,CAGR!$B$2:$B$8,0))),0)</f>
        <v>2.8607787764932055E-4</v>
      </c>
      <c r="G6" s="14">
        <f>IFERROR(F6*(1+INDEX(CAGR!$C$2:$C$8,MATCH($A6,CAGR!$B$2:$B$8,0))),0)</f>
        <v>2.8659256055134515E-4</v>
      </c>
      <c r="H6" s="14">
        <f>IFERROR(G6*(1+INDEX(CAGR!$C$2:$C$8,MATCH($A6,CAGR!$B$2:$B$8,0))),0)</f>
        <v>2.8710816941972483E-4</v>
      </c>
      <c r="I6" s="14">
        <f>IFERROR(H6*(1+INDEX(CAGR!$C$2:$C$8,MATCH($A6,CAGR!$B$2:$B$8,0))),0)</f>
        <v>2.8762470592036627E-4</v>
      </c>
      <c r="J6" s="14">
        <f>IFERROR(I6*(1+INDEX(CAGR!$C$2:$C$8,MATCH($A6,CAGR!$B$2:$B$8,0))),0)</f>
        <v>2.8814217172217334E-4</v>
      </c>
      <c r="K6" s="14">
        <f>IFERROR(J6*(1+INDEX(CAGR!$C$2:$C$8,MATCH($A6,CAGR!$B$2:$B$8,0))),0)</f>
        <v>2.8866056849705232E-4</v>
      </c>
      <c r="L6" s="14">
        <f>IFERROR(K6*(1+INDEX(CAGR!$C$2:$C$8,MATCH($A6,CAGR!$B$2:$B$8,0))),0)</f>
        <v>2.8917989791991754E-4</v>
      </c>
      <c r="M6" s="14">
        <f>IFERROR(L6*(1+INDEX(CAGR!$C$2:$C$8,MATCH($A6,CAGR!$B$2:$B$8,0))),0)</f>
        <v>2.897001616686966E-4</v>
      </c>
      <c r="N6" s="14">
        <f>IFERROR(M6*(1+INDEX(CAGR!$C$2:$C$8,MATCH($A6,CAGR!$B$2:$B$8,0))),0)</f>
        <v>2.9022136142433589E-4</v>
      </c>
      <c r="O6" s="14">
        <f>IFERROR(N6*(1+INDEX(CAGR!$C$2:$C$8,MATCH($A6,CAGR!$B$2:$B$8,0))),0)</f>
        <v>2.9074349887080598E-4</v>
      </c>
      <c r="P6" s="14">
        <f>IFERROR(O6*(1+INDEX(CAGR!$C$2:$C$8,MATCH($A6,CAGR!$B$2:$B$8,0))),0)</f>
        <v>2.9126657569510708E-4</v>
      </c>
      <c r="Q6" s="14">
        <f>IFERROR(P6*(1+INDEX(CAGR!$C$2:$C$8,MATCH($A6,CAGR!$B$2:$B$8,0))),0)</f>
        <v>2.9179059358727449E-4</v>
      </c>
      <c r="R6" s="14">
        <f>IFERROR(Q6*(1+INDEX(CAGR!$C$2:$C$8,MATCH($A6,CAGR!$B$2:$B$8,0))),0)</f>
        <v>2.9231555424038402E-4</v>
      </c>
      <c r="S6" s="14">
        <f>IFERROR(R6*(1+INDEX(CAGR!$C$2:$C$8,MATCH($A6,CAGR!$B$2:$B$8,0))),0)</f>
        <v>2.9284145935055755E-4</v>
      </c>
      <c r="T6" s="14">
        <f>IFERROR(S6*(1+INDEX(CAGR!$C$2:$C$8,MATCH($A6,CAGR!$B$2:$B$8,0))),0)</f>
        <v>2.9336831061696836E-4</v>
      </c>
      <c r="U6" s="14">
        <f>IFERROR(T6*(1+INDEX(CAGR!$C$2:$C$8,MATCH($A6,CAGR!$B$2:$B$8,0))),0)</f>
        <v>2.9389610974184683E-4</v>
      </c>
      <c r="V6" s="14">
        <f>IFERROR(U6*(1+INDEX(CAGR!$C$2:$C$8,MATCH($A6,CAGR!$B$2:$B$8,0))),0)</f>
        <v>2.9442485843048571E-4</v>
      </c>
      <c r="W6" s="14">
        <f>IFERROR(V6*(1+INDEX(CAGR!$C$2:$C$8,MATCH($A6,CAGR!$B$2:$B$8,0))),0)</f>
        <v>2.9495455839124583E-4</v>
      </c>
      <c r="X6" s="14">
        <f>IFERROR(W6*(1+INDEX(CAGR!$C$2:$C$8,MATCH($A6,CAGR!$B$2:$B$8,0))),0)</f>
        <v>2.9548521133556153E-4</v>
      </c>
      <c r="Y6" s="14">
        <f>IFERROR(X6*(1+INDEX(CAGR!$C$2:$C$8,MATCH($A6,CAGR!$B$2:$B$8,0))),0)</f>
        <v>2.9601681897794608E-4</v>
      </c>
      <c r="Z6" s="14">
        <f>IFERROR(Y6*(1+INDEX(CAGR!$C$2:$C$8,MATCH($A6,CAGR!$B$2:$B$8,0))),0)</f>
        <v>2.9654938303599752E-4</v>
      </c>
      <c r="AA6" s="14">
        <f>IFERROR(Z6*(1+INDEX(CAGR!$C$2:$C$8,MATCH($A6,CAGR!$B$2:$B$8,0))),0)</f>
        <v>2.9708290523040382E-4</v>
      </c>
      <c r="AB6" s="14">
        <f>IFERROR(AA6*(1+INDEX(CAGR!$C$2:$C$8,MATCH($A6,CAGR!$B$2:$B$8,0))),0)</f>
        <v>2.9761738728494881E-4</v>
      </c>
      <c r="AC6" s="14">
        <f>IFERROR(AB6*(1+INDEX(CAGR!$C$2:$C$8,MATCH($A6,CAGR!$B$2:$B$8,0))),0)</f>
        <v>2.9815283092651752E-4</v>
      </c>
      <c r="AD6" s="14">
        <f>IFERROR(AC6*(1+INDEX(CAGR!$C$2:$C$8,MATCH($A6,CAGR!$B$2:$B$8,0))),0)</f>
        <v>2.9868923788510179E-4</v>
      </c>
      <c r="AE6" s="14">
        <f>IFERROR(AD6*(1+INDEX(CAGR!$C$2:$C$8,MATCH($A6,CAGR!$B$2:$B$8,0))),0)</f>
        <v>2.9922660989380591E-4</v>
      </c>
      <c r="AF6" s="14">
        <f>IFERROR(AE6*(1+INDEX(CAGR!$C$2:$C$8,MATCH($A6,CAGR!$B$2:$B$8,0))),0)</f>
        <v>2.9976494868885214E-4</v>
      </c>
      <c r="AG6" s="14"/>
    </row>
    <row r="7" spans="1:33">
      <c r="A7" s="1" t="s">
        <v>14</v>
      </c>
      <c r="B7" s="14">
        <f>IFERROR(INDEX('SYFAFE psgr'!$B$2:$H$2,,MATCH($A7,'SYFAFE psgr'!$B$1:$H$1,0))*(1+INDEX(CAGR!$C$2:$C$8,MATCH($A7,CAGR!$B$2:$B$8,0))),0)</f>
        <v>2.4266759834522006E-4</v>
      </c>
      <c r="C7" s="14">
        <f>IFERROR(B7*(1+INDEX(CAGR!$C$2:$C$8,MATCH($A7,CAGR!$B$2:$B$8,0))),0)</f>
        <v>2.4266759834522006E-4</v>
      </c>
      <c r="D7" s="14">
        <f>IFERROR(C7*(1+INDEX(CAGR!$C$2:$C$8,MATCH($A7,CAGR!$B$2:$B$8,0))),0)</f>
        <v>2.4266759834522006E-4</v>
      </c>
      <c r="E7" s="14">
        <f>IFERROR(D7*(1+INDEX(CAGR!$C$2:$C$8,MATCH($A7,CAGR!$B$2:$B$8,0))),0)</f>
        <v>2.4266759834522006E-4</v>
      </c>
      <c r="F7" s="14">
        <f>IFERROR(E7*(1+INDEX(CAGR!$C$2:$C$8,MATCH($A7,CAGR!$B$2:$B$8,0))),0)</f>
        <v>2.4266759834522006E-4</v>
      </c>
      <c r="G7" s="14">
        <f>IFERROR(F7*(1+INDEX(CAGR!$C$2:$C$8,MATCH($A7,CAGR!$B$2:$B$8,0))),0)</f>
        <v>2.4266759834522006E-4</v>
      </c>
      <c r="H7" s="14">
        <f>IFERROR(G7*(1+INDEX(CAGR!$C$2:$C$8,MATCH($A7,CAGR!$B$2:$B$8,0))),0)</f>
        <v>2.4266759834522006E-4</v>
      </c>
      <c r="I7" s="14">
        <f>IFERROR(H7*(1+INDEX(CAGR!$C$2:$C$8,MATCH($A7,CAGR!$B$2:$B$8,0))),0)</f>
        <v>2.4266759834522006E-4</v>
      </c>
      <c r="J7" s="14">
        <f>IFERROR(I7*(1+INDEX(CAGR!$C$2:$C$8,MATCH($A7,CAGR!$B$2:$B$8,0))),0)</f>
        <v>2.4266759834522006E-4</v>
      </c>
      <c r="K7" s="14">
        <f>IFERROR(J7*(1+INDEX(CAGR!$C$2:$C$8,MATCH($A7,CAGR!$B$2:$B$8,0))),0)</f>
        <v>2.4266759834522006E-4</v>
      </c>
      <c r="L7" s="14">
        <f>IFERROR(K7*(1+INDEX(CAGR!$C$2:$C$8,MATCH($A7,CAGR!$B$2:$B$8,0))),0)</f>
        <v>2.4266759834522006E-4</v>
      </c>
      <c r="M7" s="14">
        <f>IFERROR(L7*(1+INDEX(CAGR!$C$2:$C$8,MATCH($A7,CAGR!$B$2:$B$8,0))),0)</f>
        <v>2.4266759834522006E-4</v>
      </c>
      <c r="N7" s="14">
        <f>IFERROR(M7*(1+INDEX(CAGR!$C$2:$C$8,MATCH($A7,CAGR!$B$2:$B$8,0))),0)</f>
        <v>2.4266759834522006E-4</v>
      </c>
      <c r="O7" s="14">
        <f>IFERROR(N7*(1+INDEX(CAGR!$C$2:$C$8,MATCH($A7,CAGR!$B$2:$B$8,0))),0)</f>
        <v>2.4266759834522006E-4</v>
      </c>
      <c r="P7" s="14">
        <f>IFERROR(O7*(1+INDEX(CAGR!$C$2:$C$8,MATCH($A7,CAGR!$B$2:$B$8,0))),0)</f>
        <v>2.4266759834522006E-4</v>
      </c>
      <c r="Q7" s="14">
        <f>IFERROR(P7*(1+INDEX(CAGR!$C$2:$C$8,MATCH($A7,CAGR!$B$2:$B$8,0))),0)</f>
        <v>2.4266759834522006E-4</v>
      </c>
      <c r="R7" s="14">
        <f>IFERROR(Q7*(1+INDEX(CAGR!$C$2:$C$8,MATCH($A7,CAGR!$B$2:$B$8,0))),0)</f>
        <v>2.4266759834522006E-4</v>
      </c>
      <c r="S7" s="14">
        <f>IFERROR(R7*(1+INDEX(CAGR!$C$2:$C$8,MATCH($A7,CAGR!$B$2:$B$8,0))),0)</f>
        <v>2.4266759834522006E-4</v>
      </c>
      <c r="T7" s="14">
        <f>IFERROR(S7*(1+INDEX(CAGR!$C$2:$C$8,MATCH($A7,CAGR!$B$2:$B$8,0))),0)</f>
        <v>2.4266759834522006E-4</v>
      </c>
      <c r="U7" s="14">
        <f>IFERROR(T7*(1+INDEX(CAGR!$C$2:$C$8,MATCH($A7,CAGR!$B$2:$B$8,0))),0)</f>
        <v>2.4266759834522006E-4</v>
      </c>
      <c r="V7" s="14">
        <f>IFERROR(U7*(1+INDEX(CAGR!$C$2:$C$8,MATCH($A7,CAGR!$B$2:$B$8,0))),0)</f>
        <v>2.4266759834522006E-4</v>
      </c>
      <c r="W7" s="14">
        <f>IFERROR(V7*(1+INDEX(CAGR!$C$2:$C$8,MATCH($A7,CAGR!$B$2:$B$8,0))),0)</f>
        <v>2.4266759834522006E-4</v>
      </c>
      <c r="X7" s="14">
        <f>IFERROR(W7*(1+INDEX(CAGR!$C$2:$C$8,MATCH($A7,CAGR!$B$2:$B$8,0))),0)</f>
        <v>2.4266759834522006E-4</v>
      </c>
      <c r="Y7" s="14">
        <f>IFERROR(X7*(1+INDEX(CAGR!$C$2:$C$8,MATCH($A7,CAGR!$B$2:$B$8,0))),0)</f>
        <v>2.4266759834522006E-4</v>
      </c>
      <c r="Z7" s="14">
        <f>IFERROR(Y7*(1+INDEX(CAGR!$C$2:$C$8,MATCH($A7,CAGR!$B$2:$B$8,0))),0)</f>
        <v>2.4266759834522006E-4</v>
      </c>
      <c r="AA7" s="14">
        <f>IFERROR(Z7*(1+INDEX(CAGR!$C$2:$C$8,MATCH($A7,CAGR!$B$2:$B$8,0))),0)</f>
        <v>2.4266759834522006E-4</v>
      </c>
      <c r="AB7" s="14">
        <f>IFERROR(AA7*(1+INDEX(CAGR!$C$2:$C$8,MATCH($A7,CAGR!$B$2:$B$8,0))),0)</f>
        <v>2.4266759834522006E-4</v>
      </c>
      <c r="AC7" s="14">
        <f>IFERROR(AB7*(1+INDEX(CAGR!$C$2:$C$8,MATCH($A7,CAGR!$B$2:$B$8,0))),0)</f>
        <v>2.4266759834522006E-4</v>
      </c>
      <c r="AD7" s="14">
        <f>IFERROR(AC7*(1+INDEX(CAGR!$C$2:$C$8,MATCH($A7,CAGR!$B$2:$B$8,0))),0)</f>
        <v>2.4266759834522006E-4</v>
      </c>
      <c r="AE7" s="14">
        <f>IFERROR(AD7*(1+INDEX(CAGR!$C$2:$C$8,MATCH($A7,CAGR!$B$2:$B$8,0))),0)</f>
        <v>2.4266759834522006E-4</v>
      </c>
      <c r="AF7" s="14">
        <f>IFERROR(AE7*(1+INDEX(CAGR!$C$2:$C$8,MATCH($A7,CAGR!$B$2:$B$8,0))),0)</f>
        <v>2.4266759834522006E-4</v>
      </c>
      <c r="AG7" s="14"/>
    </row>
    <row r="8" spans="1:33">
      <c r="A8" s="1" t="s">
        <v>15</v>
      </c>
      <c r="B8" s="14">
        <f>IFERROR(INDEX('SYFAFE psgr'!$B$2:$H$2,,MATCH($A8,'SYFAFE psgr'!$B$1:$H$1,0))*(1+INDEX(CAGR!$C$2:$C$8,MATCH($A8,CAGR!$B$2:$B$8,0))),0)</f>
        <v>1.2761862543922413E-3</v>
      </c>
      <c r="C8" s="14">
        <f>IFERROR(B8*(1+INDEX(CAGR!$C$2:$C$8,MATCH($A8,CAGR!$B$2:$B$8,0))),0)</f>
        <v>1.3078498685655945E-3</v>
      </c>
      <c r="D8" s="14">
        <f>IFERROR(C8*(1+INDEX(CAGR!$C$2:$C$8,MATCH($A8,CAGR!$B$2:$B$8,0))),0)</f>
        <v>1.3402990925659368E-3</v>
      </c>
      <c r="E8" s="14">
        <f>IFERROR(D8*(1+INDEX(CAGR!$C$2:$C$8,MATCH($A8,CAGR!$B$2:$B$8,0))),0)</f>
        <v>1.3735534182553431E-3</v>
      </c>
      <c r="F8" s="14">
        <f>IFERROR(E8*(1+INDEX(CAGR!$C$2:$C$8,MATCH($A8,CAGR!$B$2:$B$8,0))),0)</f>
        <v>1.4076328211108766E-3</v>
      </c>
      <c r="G8" s="14">
        <f>IFERROR(F8*(1+INDEX(CAGR!$C$2:$C$8,MATCH($A8,CAGR!$B$2:$B$8,0))),0)</f>
        <v>1.4425577722236194E-3</v>
      </c>
      <c r="H8" s="14">
        <f>IFERROR(G8*(1+INDEX(CAGR!$C$2:$C$8,MATCH($A8,CAGR!$B$2:$B$8,0))),0)</f>
        <v>1.4783492505954132E-3</v>
      </c>
      <c r="I8" s="14">
        <f>IFERROR(H8*(1+INDEX(CAGR!$C$2:$C$8,MATCH($A8,CAGR!$B$2:$B$8,0))),0)</f>
        <v>1.5150287557406956E-3</v>
      </c>
      <c r="J8" s="14">
        <f>IFERROR(I8*(1+INDEX(CAGR!$C$2:$C$8,MATCH($A8,CAGR!$B$2:$B$8,0))),0)</f>
        <v>1.5526183206010021E-3</v>
      </c>
      <c r="K8" s="14">
        <f>IFERROR(J8*(1+INDEX(CAGR!$C$2:$C$8,MATCH($A8,CAGR!$B$2:$B$8,0))),0)</f>
        <v>1.5911405247798912E-3</v>
      </c>
      <c r="L8" s="14">
        <f>IFERROR(K8*(1+INDEX(CAGR!$C$2:$C$8,MATCH($A8,CAGR!$B$2:$B$8,0))),0)</f>
        <v>1.6306185081062436E-3</v>
      </c>
      <c r="M8" s="14">
        <f>IFERROR(L8*(1+INDEX(CAGR!$C$2:$C$8,MATCH($A8,CAGR!$B$2:$B$8,0))),0)</f>
        <v>1.6710759845340814E-3</v>
      </c>
      <c r="N8" s="14">
        <f>IFERROR(M8*(1+INDEX(CAGR!$C$2:$C$8,MATCH($A8,CAGR!$B$2:$B$8,0))),0)</f>
        <v>1.7125372563872576E-3</v>
      </c>
      <c r="O8" s="14">
        <f>IFERROR(N8*(1+INDEX(CAGR!$C$2:$C$8,MATCH($A8,CAGR!$B$2:$B$8,0))),0)</f>
        <v>1.7550272289575722E-3</v>
      </c>
      <c r="P8" s="14">
        <f>IFERROR(O8*(1+INDEX(CAGR!$C$2:$C$8,MATCH($A8,CAGR!$B$2:$B$8,0))),0)</f>
        <v>1.7985714254650845E-3</v>
      </c>
      <c r="Q8" s="14">
        <f>IFERROR(P8*(1+INDEX(CAGR!$C$2:$C$8,MATCH($A8,CAGR!$B$2:$B$8,0))),0)</f>
        <v>1.8431960023896066E-3</v>
      </c>
      <c r="R8" s="14">
        <f>IFERROR(Q8*(1+INDEX(CAGR!$C$2:$C$8,MATCH($A8,CAGR!$B$2:$B$8,0))),0)</f>
        <v>1.8889277651825895E-3</v>
      </c>
      <c r="S8" s="14">
        <f>IFERROR(R8*(1+INDEX(CAGR!$C$2:$C$8,MATCH($A8,CAGR!$B$2:$B$8,0))),0)</f>
        <v>1.9357941843688384E-3</v>
      </c>
      <c r="T8" s="14">
        <f>IFERROR(S8*(1+INDEX(CAGR!$C$2:$C$8,MATCH($A8,CAGR!$B$2:$B$8,0))),0)</f>
        <v>1.9838234120477293E-3</v>
      </c>
      <c r="U8" s="14">
        <f>IFERROR(T8*(1+INDEX(CAGR!$C$2:$C$8,MATCH($A8,CAGR!$B$2:$B$8,0))),0)</f>
        <v>2.0330442988038388E-3</v>
      </c>
      <c r="V8" s="14">
        <f>IFERROR(U8*(1+INDEX(CAGR!$C$2:$C$8,MATCH($A8,CAGR!$B$2:$B$8,0))),0)</f>
        <v>2.0834864110371482E-3</v>
      </c>
      <c r="W8" s="14">
        <f>IFERROR(V8*(1+INDEX(CAGR!$C$2:$C$8,MATCH($A8,CAGR!$B$2:$B$8,0))),0)</f>
        <v>2.1351800487232255E-3</v>
      </c>
      <c r="X8" s="14">
        <f>IFERROR(W8*(1+INDEX(CAGR!$C$2:$C$8,MATCH($A8,CAGR!$B$2:$B$8,0))),0)</f>
        <v>2.1881562636140608E-3</v>
      </c>
      <c r="Y8" s="14">
        <f>IFERROR(X8*(1+INDEX(CAGR!$C$2:$C$8,MATCH($A8,CAGR!$B$2:$B$8,0))),0)</f>
        <v>2.2424468778904833E-3</v>
      </c>
      <c r="Z8" s="14">
        <f>IFERROR(Y8*(1+INDEX(CAGR!$C$2:$C$8,MATCH($A8,CAGR!$B$2:$B$8,0))),0)</f>
        <v>2.2980845032773661E-3</v>
      </c>
      <c r="AA8" s="14">
        <f>IFERROR(Z8*(1+INDEX(CAGR!$C$2:$C$8,MATCH($A8,CAGR!$B$2:$B$8,0))),0)</f>
        <v>2.3551025606331003E-3</v>
      </c>
      <c r="AB8" s="14">
        <f>IFERROR(AA8*(1+INDEX(CAGR!$C$2:$C$8,MATCH($A8,CAGR!$B$2:$B$8,0))),0)</f>
        <v>2.4135353000251064E-3</v>
      </c>
      <c r="AC8" s="14">
        <f>IFERROR(AB8*(1+INDEX(CAGR!$C$2:$C$8,MATCH($A8,CAGR!$B$2:$B$8,0))),0)</f>
        <v>2.4734178213034422E-3</v>
      </c>
      <c r="AD8" s="14">
        <f>IFERROR(AC8*(1+INDEX(CAGR!$C$2:$C$8,MATCH($A8,CAGR!$B$2:$B$8,0))),0)</f>
        <v>2.5347860951848633E-3</v>
      </c>
      <c r="AE8" s="14">
        <f>IFERROR(AD8*(1+INDEX(CAGR!$C$2:$C$8,MATCH($A8,CAGR!$B$2:$B$8,0))),0)</f>
        <v>2.5976769848600045E-3</v>
      </c>
      <c r="AF8" s="14">
        <f>IFERROR(AE8*(1+INDEX(CAGR!$C$2:$C$8,MATCH($A8,CAGR!$B$2:$B$8,0))),0)</f>
        <v>2.6621282681366584E-3</v>
      </c>
      <c r="AG8" s="14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C3DC-AC34-4050-8F3C-9ED62912A698}">
  <sheetPr>
    <tabColor rgb="FF1F497D"/>
  </sheetPr>
  <dimension ref="A1:AG8"/>
  <sheetViews>
    <sheetView workbookViewId="0"/>
  </sheetViews>
  <sheetFormatPr defaultRowHeight="14.5"/>
  <cols>
    <col min="1" max="1" width="32.7265625" bestFit="1" customWidth="1"/>
    <col min="2" max="3" width="9" customWidth="1"/>
    <col min="4" max="33" width="9.269531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4">
        <f>IFERROR(INDEX('SYFAFE frgt'!$B$2:$H$2,,MATCH($A2,'SYFAFE psgr'!$B$1:$H$1,0))*(1+INDEX(CAGR!$C$9:$C$15,MATCH($A2,CAGR!$B$9:$B$15,0))),0)</f>
        <v>1.7174113137949704E-4</v>
      </c>
      <c r="C2" s="14">
        <f>IFERROR(B2*(1+INDEX(CAGR!$C$9:$C$15,MATCH($A2,CAGR!$B$9:$B$15,0))),0)</f>
        <v>1.7423189488604415E-4</v>
      </c>
      <c r="D2" s="14">
        <f>IFERROR(C2*(1+INDEX(CAGR!$C$9:$C$15,MATCH($A2,CAGR!$B$9:$B$15,0))),0)</f>
        <v>1.7675878196296555E-4</v>
      </c>
      <c r="E2" s="14">
        <f>IFERROR(D2*(1+INDEX(CAGR!$C$9:$C$15,MATCH($A2,CAGR!$B$9:$B$15,0))),0)</f>
        <v>1.793223165107974E-4</v>
      </c>
      <c r="F2" s="14">
        <f>IFERROR(E2*(1+INDEX(CAGR!$C$9:$C$15,MATCH($A2,CAGR!$B$9:$B$15,0))),0)</f>
        <v>1.8192303002821113E-4</v>
      </c>
      <c r="G2" s="14">
        <f>IFERROR(F2*(1+INDEX(CAGR!$C$9:$C$15,MATCH($A2,CAGR!$B$9:$B$15,0))),0)</f>
        <v>1.8456146172220916E-4</v>
      </c>
      <c r="H2" s="14">
        <f>IFERROR(G2*(1+INDEX(CAGR!$C$9:$C$15,MATCH($A2,CAGR!$B$9:$B$15,0))),0)</f>
        <v>1.8723815861991896E-4</v>
      </c>
      <c r="I2" s="14">
        <f>IFERROR(H2*(1+INDEX(CAGR!$C$9:$C$15,MATCH($A2,CAGR!$B$9:$B$15,0))),0)</f>
        <v>1.8995367568200842E-4</v>
      </c>
      <c r="J2" s="14">
        <f>IFERROR(I2*(1+INDEX(CAGR!$C$9:$C$15,MATCH($A2,CAGR!$B$9:$B$15,0))),0)</f>
        <v>1.927085759177461E-4</v>
      </c>
      <c r="K2" s="14">
        <f>IFERROR(J2*(1+INDEX(CAGR!$C$9:$C$15,MATCH($A2,CAGR!$B$9:$B$15,0))),0)</f>
        <v>1.955034305017301E-4</v>
      </c>
      <c r="L2" s="14">
        <f>IFERROR(K2*(1+INDEX(CAGR!$C$9:$C$15,MATCH($A2,CAGR!$B$9:$B$15,0))),0)</f>
        <v>1.9833881889230997E-4</v>
      </c>
      <c r="M2" s="14">
        <f>IFERROR(L2*(1+INDEX(CAGR!$C$9:$C$15,MATCH($A2,CAGR!$B$9:$B$15,0))),0)</f>
        <v>2.0121532895172605E-4</v>
      </c>
      <c r="N2" s="14">
        <f>IFERROR(M2*(1+INDEX(CAGR!$C$9:$C$15,MATCH($A2,CAGR!$B$9:$B$15,0))),0)</f>
        <v>2.0413355706799119E-4</v>
      </c>
      <c r="O2" s="14">
        <f>IFERROR(N2*(1+INDEX(CAGR!$C$9:$C$15,MATCH($A2,CAGR!$B$9:$B$15,0))),0)</f>
        <v>2.0709410827854006E-4</v>
      </c>
      <c r="P2" s="14">
        <f>IFERROR(O2*(1+INDEX(CAGR!$C$9:$C$15,MATCH($A2,CAGR!$B$9:$B$15,0))),0)</f>
        <v>2.1009759639567193E-4</v>
      </c>
      <c r="Q2" s="14">
        <f>IFERROR(P2*(1+INDEX(CAGR!$C$9:$C$15,MATCH($A2,CAGR!$B$9:$B$15,0))),0)</f>
        <v>2.1314464413381252E-4</v>
      </c>
      <c r="R2" s="14">
        <f>IFERROR(Q2*(1+INDEX(CAGR!$C$9:$C$15,MATCH($A2,CAGR!$B$9:$B$15,0))),0)</f>
        <v>2.162358832386217E-4</v>
      </c>
      <c r="S2" s="14">
        <f>IFERROR(R2*(1+INDEX(CAGR!$C$9:$C$15,MATCH($A2,CAGR!$B$9:$B$15,0))),0)</f>
        <v>2.1937195461797353E-4</v>
      </c>
      <c r="T2" s="14">
        <f>IFERROR(S2*(1+INDEX(CAGR!$C$9:$C$15,MATCH($A2,CAGR!$B$9:$B$15,0))),0)</f>
        <v>2.2255350847483598E-4</v>
      </c>
      <c r="U2" s="14">
        <f>IFERROR(T2*(1+INDEX(CAGR!$C$9:$C$15,MATCH($A2,CAGR!$B$9:$B$15,0))),0)</f>
        <v>2.2578120444207775E-4</v>
      </c>
      <c r="V2" s="14">
        <f>IFERROR(U2*(1+INDEX(CAGR!$C$9:$C$15,MATCH($A2,CAGR!$B$9:$B$15,0))),0)</f>
        <v>2.2905571171923033E-4</v>
      </c>
      <c r="W2" s="14">
        <f>IFERROR(V2*(1+INDEX(CAGR!$C$9:$C$15,MATCH($A2,CAGR!$B$9:$B$15,0))),0)</f>
        <v>2.3237770921123325E-4</v>
      </c>
      <c r="X2" s="14">
        <f>IFERROR(W2*(1+INDEX(CAGR!$C$9:$C$15,MATCH($A2,CAGR!$B$9:$B$15,0))),0)</f>
        <v>2.3574788566919187E-4</v>
      </c>
      <c r="Y2" s="14">
        <f>IFERROR(X2*(1+INDEX(CAGR!$C$9:$C$15,MATCH($A2,CAGR!$B$9:$B$15,0))),0)</f>
        <v>2.3916693983317628E-4</v>
      </c>
      <c r="Z2" s="14">
        <f>IFERROR(Y2*(1+INDEX(CAGR!$C$9:$C$15,MATCH($A2,CAGR!$B$9:$B$15,0))),0)</f>
        <v>2.4263558057709153E-4</v>
      </c>
      <c r="AA2" s="14">
        <f>IFERROR(Z2*(1+INDEX(CAGR!$C$9:$C$15,MATCH($A2,CAGR!$B$9:$B$15,0))),0)</f>
        <v>2.4615452705564858E-4</v>
      </c>
      <c r="AB2" s="14">
        <f>IFERROR(AA2*(1+INDEX(CAGR!$C$9:$C$15,MATCH($A2,CAGR!$B$9:$B$15,0))),0)</f>
        <v>2.4972450885346717E-4</v>
      </c>
      <c r="AC2" s="14">
        <f>IFERROR(AB2*(1+INDEX(CAGR!$C$9:$C$15,MATCH($A2,CAGR!$B$9:$B$15,0))),0)</f>
        <v>2.5334626613634061E-4</v>
      </c>
      <c r="AD2" s="14">
        <f>IFERROR(AC2*(1+INDEX(CAGR!$C$9:$C$15,MATCH($A2,CAGR!$B$9:$B$15,0))),0)</f>
        <v>2.5702054980469488E-4</v>
      </c>
      <c r="AE2" s="14">
        <f>IFERROR(AD2*(1+INDEX(CAGR!$C$9:$C$15,MATCH($A2,CAGR!$B$9:$B$15,0))),0)</f>
        <v>2.60748121649273E-4</v>
      </c>
      <c r="AF2" s="14">
        <f>IFERROR(AE2*(1+INDEX(CAGR!$C$9:$C$15,MATCH($A2,CAGR!$B$9:$B$15,0))),0)</f>
        <v>2.6452975450907756E-4</v>
      </c>
      <c r="AG2" s="14"/>
    </row>
    <row r="3" spans="1:33">
      <c r="A3" s="1" t="s">
        <v>10</v>
      </c>
      <c r="B3" s="21">
        <f>IFERROR(INDEX('SYFAFE frgt'!$B$2:$H$2,,MATCH($A3,'SYFAFE psgr'!$B$1:$H$1,0))*(1+INDEX(CAGR!$C$9:$C$15,MATCH($A3,CAGR!$B$9:$B$15,0))),0)</f>
        <v>3.9501128109662086E-5</v>
      </c>
      <c r="C3" s="21">
        <f>IFERROR(B3*(1+INDEX(CAGR!$C$9:$C$15,MATCH($A3,CAGR!$B$9:$B$15,0))),0)</f>
        <v>3.9587735688858621E-5</v>
      </c>
      <c r="D3" s="21">
        <f>IFERROR(C3*(1+INDEX(CAGR!$C$9:$C$15,MATCH($A3,CAGR!$B$9:$B$15,0))),0)</f>
        <v>3.9674533158145217E-5</v>
      </c>
      <c r="E3" s="21">
        <f>IFERROR(D3*(1+INDEX(CAGR!$C$9:$C$15,MATCH($A3,CAGR!$B$9:$B$15,0))),0)</f>
        <v>3.9761520933862413E-5</v>
      </c>
      <c r="F3" s="21">
        <f>IFERROR(E3*(1+INDEX(CAGR!$C$9:$C$15,MATCH($A3,CAGR!$B$9:$B$15,0))),0)</f>
        <v>3.9848699433263594E-5</v>
      </c>
      <c r="G3" s="21">
        <f>IFERROR(F3*(1+INDEX(CAGR!$C$9:$C$15,MATCH($A3,CAGR!$B$9:$B$15,0))),0)</f>
        <v>3.9936069074516979E-5</v>
      </c>
      <c r="H3" s="21">
        <f>IFERROR(G3*(1+INDEX(CAGR!$C$9:$C$15,MATCH($A3,CAGR!$B$9:$B$15,0))),0)</f>
        <v>4.0023630276707642E-5</v>
      </c>
      <c r="I3" s="21">
        <f>IFERROR(H3*(1+INDEX(CAGR!$C$9:$C$15,MATCH($A3,CAGR!$B$9:$B$15,0))),0)</f>
        <v>4.0111383459839513E-5</v>
      </c>
      <c r="J3" s="21">
        <f>IFERROR(I3*(1+INDEX(CAGR!$C$9:$C$15,MATCH($A3,CAGR!$B$9:$B$15,0))),0)</f>
        <v>4.0199329044837397E-5</v>
      </c>
      <c r="K3" s="21">
        <f>IFERROR(J3*(1+INDEX(CAGR!$C$9:$C$15,MATCH($A3,CAGR!$B$9:$B$15,0))),0)</f>
        <v>4.0287467453548982E-5</v>
      </c>
      <c r="L3" s="21">
        <f>IFERROR(K3*(1+INDEX(CAGR!$C$9:$C$15,MATCH($A3,CAGR!$B$9:$B$15,0))),0)</f>
        <v>4.0375799108746885E-5</v>
      </c>
      <c r="M3" s="21">
        <f>IFERROR(L3*(1+INDEX(CAGR!$C$9:$C$15,MATCH($A3,CAGR!$B$9:$B$15,0))),0)</f>
        <v>4.0464324434130661E-5</v>
      </c>
      <c r="N3" s="21">
        <f>IFERROR(M3*(1+INDEX(CAGR!$C$9:$C$15,MATCH($A3,CAGR!$B$9:$B$15,0))),0)</f>
        <v>4.0553043854328836E-5</v>
      </c>
      <c r="O3" s="21">
        <f>IFERROR(N3*(1+INDEX(CAGR!$C$9:$C$15,MATCH($A3,CAGR!$B$9:$B$15,0))),0)</f>
        <v>4.0641957794900953E-5</v>
      </c>
      <c r="P3" s="21">
        <f>IFERROR(O3*(1+INDEX(CAGR!$C$9:$C$15,MATCH($A3,CAGR!$B$9:$B$15,0))),0)</f>
        <v>4.0731066682339616E-5</v>
      </c>
      <c r="Q3" s="21">
        <f>IFERROR(P3*(1+INDEX(CAGR!$C$9:$C$15,MATCH($A3,CAGR!$B$9:$B$15,0))),0)</f>
        <v>4.0820370944072509E-5</v>
      </c>
      <c r="R3" s="21">
        <f>IFERROR(Q3*(1+INDEX(CAGR!$C$9:$C$15,MATCH($A3,CAGR!$B$9:$B$15,0))),0)</f>
        <v>4.0909871008464488E-5</v>
      </c>
      <c r="S3" s="21">
        <f>IFERROR(R3*(1+INDEX(CAGR!$C$9:$C$15,MATCH($A3,CAGR!$B$9:$B$15,0))),0)</f>
        <v>4.0999567304819601E-5</v>
      </c>
      <c r="T3" s="21">
        <f>IFERROR(S3*(1+INDEX(CAGR!$C$9:$C$15,MATCH($A3,CAGR!$B$9:$B$15,0))),0)</f>
        <v>4.1089460263383158E-5</v>
      </c>
      <c r="U3" s="21">
        <f>IFERROR(T3*(1+INDEX(CAGR!$C$9:$C$15,MATCH($A3,CAGR!$B$9:$B$15,0))),0)</f>
        <v>4.1179550315343805E-5</v>
      </c>
      <c r="V3" s="21">
        <f>IFERROR(U3*(1+INDEX(CAGR!$C$9:$C$15,MATCH($A3,CAGR!$B$9:$B$15,0))),0)</f>
        <v>4.126983789283558E-5</v>
      </c>
      <c r="W3" s="21">
        <f>IFERROR(V3*(1+INDEX(CAGR!$C$9:$C$15,MATCH($A3,CAGR!$B$9:$B$15,0))),0)</f>
        <v>4.1360323428939992E-5</v>
      </c>
      <c r="X3" s="21">
        <f>IFERROR(W3*(1+INDEX(CAGR!$C$9:$C$15,MATCH($A3,CAGR!$B$9:$B$15,0))),0)</f>
        <v>4.1451007357688088E-5</v>
      </c>
      <c r="Y3" s="21">
        <f>IFERROR(X3*(1+INDEX(CAGR!$C$9:$C$15,MATCH($A3,CAGR!$B$9:$B$15,0))),0)</f>
        <v>4.154189011406255E-5</v>
      </c>
      <c r="Z3" s="21">
        <f>IFERROR(Y3*(1+INDEX(CAGR!$C$9:$C$15,MATCH($A3,CAGR!$B$9:$B$15,0))),0)</f>
        <v>4.1632972133999782E-5</v>
      </c>
      <c r="AA3" s="21">
        <f>IFERROR(Z3*(1+INDEX(CAGR!$C$9:$C$15,MATCH($A3,CAGR!$B$9:$B$15,0))),0)</f>
        <v>4.1724253854391977E-5</v>
      </c>
      <c r="AB3" s="21">
        <f>IFERROR(AA3*(1+INDEX(CAGR!$C$9:$C$15,MATCH($A3,CAGR!$B$9:$B$15,0))),0)</f>
        <v>4.1815735713089238E-5</v>
      </c>
      <c r="AC3" s="21">
        <f>IFERROR(AB3*(1+INDEX(CAGR!$C$9:$C$15,MATCH($A3,CAGR!$B$9:$B$15,0))),0)</f>
        <v>4.1907418148901664E-5</v>
      </c>
      <c r="AD3" s="21">
        <f>IFERROR(AC3*(1+INDEX(CAGR!$C$9:$C$15,MATCH($A3,CAGR!$B$9:$B$15,0))),0)</f>
        <v>4.199930160160147E-5</v>
      </c>
      <c r="AE3" s="21">
        <f>IFERROR(AD3*(1+INDEX(CAGR!$C$9:$C$15,MATCH($A3,CAGR!$B$9:$B$15,0))),0)</f>
        <v>4.209138651192508E-5</v>
      </c>
      <c r="AF3" s="21">
        <f>IFERROR(AE3*(1+INDEX(CAGR!$C$9:$C$15,MATCH($A3,CAGR!$B$9:$B$15,0))),0)</f>
        <v>4.2183673321575252E-5</v>
      </c>
      <c r="AG3" s="14"/>
    </row>
    <row r="4" spans="1:33">
      <c r="A4" s="1" t="s">
        <v>11</v>
      </c>
      <c r="B4" s="14">
        <f>IFERROR(INDEX('SYFAFE frgt'!$B$2:$H$2,,MATCH($A4,'SYFAFE psgr'!$B$1:$H$1,0))*(1+INDEX(CAGR!$C$9:$C$15,MATCH($A4,CAGR!$B$9:$B$15,0))),0)</f>
        <v>5.250181376142278E-5</v>
      </c>
      <c r="C4" s="14">
        <f>IFERROR(B4*(1+INDEX(CAGR!$C$9:$C$15,MATCH($A4,CAGR!$B$9:$B$15,0))),0)</f>
        <v>5.2616925790139543E-5</v>
      </c>
      <c r="D4" s="14">
        <f>IFERROR(C4*(1+INDEX(CAGR!$C$9:$C$15,MATCH($A4,CAGR!$B$9:$B$15,0))),0)</f>
        <v>5.2732290205930314E-5</v>
      </c>
      <c r="E4" s="14">
        <f>IFERROR(D4*(1+INDEX(CAGR!$C$9:$C$15,MATCH($A4,CAGR!$B$9:$B$15,0))),0)</f>
        <v>5.284790756216241E-5</v>
      </c>
      <c r="F4" s="14">
        <f>IFERROR(E4*(1+INDEX(CAGR!$C$9:$C$15,MATCH($A4,CAGR!$B$9:$B$15,0))),0)</f>
        <v>5.2963778413416435E-5</v>
      </c>
      <c r="G4" s="14">
        <f>IFERROR(F4*(1+INDEX(CAGR!$C$9:$C$15,MATCH($A4,CAGR!$B$9:$B$15,0))),0)</f>
        <v>5.3079903315488929E-5</v>
      </c>
      <c r="H4" s="14">
        <f>IFERROR(G4*(1+INDEX(CAGR!$C$9:$C$15,MATCH($A4,CAGR!$B$9:$B$15,0))),0)</f>
        <v>5.3196282825395025E-5</v>
      </c>
      <c r="I4" s="14">
        <f>IFERROR(H4*(1+INDEX(CAGR!$C$9:$C$15,MATCH($A4,CAGR!$B$9:$B$15,0))),0)</f>
        <v>5.3312917501371143E-5</v>
      </c>
      <c r="J4" s="14">
        <f>IFERROR(I4*(1+INDEX(CAGR!$C$9:$C$15,MATCH($A4,CAGR!$B$9:$B$15,0))),0)</f>
        <v>5.3429807902877647E-5</v>
      </c>
      <c r="K4" s="14">
        <f>IFERROR(J4*(1+INDEX(CAGR!$C$9:$C$15,MATCH($A4,CAGR!$B$9:$B$15,0))),0)</f>
        <v>5.3546954590601537E-5</v>
      </c>
      <c r="L4" s="14">
        <f>IFERROR(K4*(1+INDEX(CAGR!$C$9:$C$15,MATCH($A4,CAGR!$B$9:$B$15,0))),0)</f>
        <v>5.3664358126459145E-5</v>
      </c>
      <c r="M4" s="14">
        <f>IFERROR(L4*(1+INDEX(CAGR!$C$9:$C$15,MATCH($A4,CAGR!$B$9:$B$15,0))),0)</f>
        <v>5.3782019073598814E-5</v>
      </c>
      <c r="N4" s="14">
        <f>IFERROR(M4*(1+INDEX(CAGR!$C$9:$C$15,MATCH($A4,CAGR!$B$9:$B$15,0))),0)</f>
        <v>5.3899937996403619E-5</v>
      </c>
      <c r="O4" s="14">
        <f>IFERROR(N4*(1+INDEX(CAGR!$C$9:$C$15,MATCH($A4,CAGR!$B$9:$B$15,0))),0)</f>
        <v>5.4018115460494061E-5</v>
      </c>
      <c r="P4" s="14">
        <f>IFERROR(O4*(1+INDEX(CAGR!$C$9:$C$15,MATCH($A4,CAGR!$B$9:$B$15,0))),0)</f>
        <v>5.4136552032730784E-5</v>
      </c>
      <c r="Q4" s="14">
        <f>IFERROR(P4*(1+INDEX(CAGR!$C$9:$C$15,MATCH($A4,CAGR!$B$9:$B$15,0))),0)</f>
        <v>5.425524828121729E-5</v>
      </c>
      <c r="R4" s="14">
        <f>IFERROR(Q4*(1+INDEX(CAGR!$C$9:$C$15,MATCH($A4,CAGR!$B$9:$B$15,0))),0)</f>
        <v>5.437420477530267E-5</v>
      </c>
      <c r="S4" s="14">
        <f>IFERROR(R4*(1+INDEX(CAGR!$C$9:$C$15,MATCH($A4,CAGR!$B$9:$B$15,0))),0)</f>
        <v>5.4493422085584334E-5</v>
      </c>
      <c r="T4" s="14">
        <f>IFERROR(S4*(1+INDEX(CAGR!$C$9:$C$15,MATCH($A4,CAGR!$B$9:$B$15,0))),0)</f>
        <v>5.4612900783910744E-5</v>
      </c>
      <c r="U4" s="14">
        <f>IFERROR(T4*(1+INDEX(CAGR!$C$9:$C$15,MATCH($A4,CAGR!$B$9:$B$15,0))),0)</f>
        <v>5.4732641443384164E-5</v>
      </c>
      <c r="V4" s="14">
        <f>IFERROR(U4*(1+INDEX(CAGR!$C$9:$C$15,MATCH($A4,CAGR!$B$9:$B$15,0))),0)</f>
        <v>5.485264463836339E-5</v>
      </c>
      <c r="W4" s="14">
        <f>IFERROR(V4*(1+INDEX(CAGR!$C$9:$C$15,MATCH($A4,CAGR!$B$9:$B$15,0))),0)</f>
        <v>5.4972910944466535E-5</v>
      </c>
      <c r="X4" s="14">
        <f>IFERROR(W4*(1+INDEX(CAGR!$C$9:$C$15,MATCH($A4,CAGR!$B$9:$B$15,0))),0)</f>
        <v>5.5093440938573769E-5</v>
      </c>
      <c r="Y4" s="14">
        <f>IFERROR(X4*(1+INDEX(CAGR!$C$9:$C$15,MATCH($A4,CAGR!$B$9:$B$15,0))),0)</f>
        <v>5.5214235198830095E-5</v>
      </c>
      <c r="Z4" s="14">
        <f>IFERROR(Y4*(1+INDEX(CAGR!$C$9:$C$15,MATCH($A4,CAGR!$B$9:$B$15,0))),0)</f>
        <v>5.5335294304648107E-5</v>
      </c>
      <c r="AA4" s="14">
        <f>IFERROR(Z4*(1+INDEX(CAGR!$C$9:$C$15,MATCH($A4,CAGR!$B$9:$B$15,0))),0)</f>
        <v>5.5456618836710797E-5</v>
      </c>
      <c r="AB4" s="14">
        <f>IFERROR(AA4*(1+INDEX(CAGR!$C$9:$C$15,MATCH($A4,CAGR!$B$9:$B$15,0))),0)</f>
        <v>5.5578209376974318E-5</v>
      </c>
      <c r="AC4" s="14">
        <f>IFERROR(AB4*(1+INDEX(CAGR!$C$9:$C$15,MATCH($A4,CAGR!$B$9:$B$15,0))),0)</f>
        <v>5.5700066508670775E-5</v>
      </c>
      <c r="AD4" s="14">
        <f>IFERROR(AC4*(1+INDEX(CAGR!$C$9:$C$15,MATCH($A4,CAGR!$B$9:$B$15,0))),0)</f>
        <v>5.5822190816311037E-5</v>
      </c>
      <c r="AE4" s="14">
        <f>IFERROR(AD4*(1+INDEX(CAGR!$C$9:$C$15,MATCH($A4,CAGR!$B$9:$B$15,0))),0)</f>
        <v>5.594458288568753E-5</v>
      </c>
      <c r="AF4" s="14">
        <f>IFERROR(AE4*(1+INDEX(CAGR!$C$9:$C$15,MATCH($A4,CAGR!$B$9:$B$15,0))),0)</f>
        <v>5.6067243303877056E-5</v>
      </c>
      <c r="AG4" s="14"/>
    </row>
    <row r="5" spans="1:33">
      <c r="A5" s="1" t="s">
        <v>12</v>
      </c>
      <c r="B5" s="14">
        <f>IFERROR(INDEX('SYFAFE frgt'!$B$2:$H$2,,MATCH($A5,'SYFAFE psgr'!$B$1:$H$1,0))*(1+INDEX(CAGR!$C$9:$C$15,MATCH($A5,CAGR!$B$9:$B$15,0))),0)</f>
        <v>5.0776184248447306E-5</v>
      </c>
      <c r="C5" s="14">
        <f>IFERROR(B5*(1+INDEX(CAGR!$C$9:$C$15,MATCH($A5,CAGR!$B$9:$B$15,0))),0)</f>
        <v>5.1265066827383191E-5</v>
      </c>
      <c r="D5" s="14">
        <f>IFERROR(C5*(1+INDEX(CAGR!$C$9:$C$15,MATCH($A5,CAGR!$B$9:$B$15,0))),0)</f>
        <v>5.1758656459035312E-5</v>
      </c>
      <c r="E5" s="14">
        <f>IFERROR(D5*(1+INDEX(CAGR!$C$9:$C$15,MATCH($A5,CAGR!$B$9:$B$15,0))),0)</f>
        <v>5.2256998463785761E-5</v>
      </c>
      <c r="F5" s="14">
        <f>IFERROR(E5*(1+INDEX(CAGR!$C$9:$C$15,MATCH($A5,CAGR!$B$9:$B$15,0))),0)</f>
        <v>5.2760138598369723E-5</v>
      </c>
      <c r="G5" s="14">
        <f>IFERROR(F5*(1+INDEX(CAGR!$C$9:$C$15,MATCH($A5,CAGR!$B$9:$B$15,0))),0)</f>
        <v>5.3268123060076776E-5</v>
      </c>
      <c r="H5" s="14">
        <f>IFERROR(G5*(1+INDEX(CAGR!$C$9:$C$15,MATCH($A5,CAGR!$B$9:$B$15,0))),0)</f>
        <v>5.3780998490992609E-5</v>
      </c>
      <c r="I5" s="14">
        <f>IFERROR(H5*(1+INDEX(CAGR!$C$9:$C$15,MATCH($A5,CAGR!$B$9:$B$15,0))),0)</f>
        <v>5.4298811982281631E-5</v>
      </c>
      <c r="J5" s="14">
        <f>IFERROR(I5*(1+INDEX(CAGR!$C$9:$C$15,MATCH($A5,CAGR!$B$9:$B$15,0))),0)</f>
        <v>5.4821611078510766E-5</v>
      </c>
      <c r="K5" s="14">
        <f>IFERROR(J5*(1+INDEX(CAGR!$C$9:$C$15,MATCH($A5,CAGR!$B$9:$B$15,0))),0)</f>
        <v>5.5349443782014908E-5</v>
      </c>
      <c r="L5" s="14">
        <f>IFERROR(K5*(1+INDEX(CAGR!$C$9:$C$15,MATCH($A5,CAGR!$B$9:$B$15,0))),0)</f>
        <v>5.5882358557304376E-5</v>
      </c>
      <c r="M5" s="14">
        <f>IFERROR(L5*(1+INDEX(CAGR!$C$9:$C$15,MATCH($A5,CAGR!$B$9:$B$15,0))),0)</f>
        <v>5.6420404335514857E-5</v>
      </c>
      <c r="N5" s="14">
        <f>IFERROR(M5*(1+INDEX(CAGR!$C$9:$C$15,MATCH($A5,CAGR!$B$9:$B$15,0))),0)</f>
        <v>5.6963630518900135E-5</v>
      </c>
      <c r="O5" s="14">
        <f>IFERROR(N5*(1+INDEX(CAGR!$C$9:$C$15,MATCH($A5,CAGR!$B$9:$B$15,0))),0)</f>
        <v>5.7512086985368115E-5</v>
      </c>
      <c r="P5" s="14">
        <f>IFERROR(O5*(1+INDEX(CAGR!$C$9:$C$15,MATCH($A5,CAGR!$B$9:$B$15,0))),0)</f>
        <v>5.8065824093060516E-5</v>
      </c>
      <c r="Q5" s="14">
        <f>IFERROR(P5*(1+INDEX(CAGR!$C$9:$C$15,MATCH($A5,CAGR!$B$9:$B$15,0))),0)</f>
        <v>5.8624892684976632E-5</v>
      </c>
      <c r="R5" s="14">
        <f>IFERROR(Q5*(1+INDEX(CAGR!$C$9:$C$15,MATCH($A5,CAGR!$B$9:$B$15,0))),0)</f>
        <v>5.9189344093641654E-5</v>
      </c>
      <c r="S5" s="14">
        <f>IFERROR(R5*(1+INDEX(CAGR!$C$9:$C$15,MATCH($A5,CAGR!$B$9:$B$15,0))),0)</f>
        <v>5.9759230145819897E-5</v>
      </c>
      <c r="T5" s="14">
        <f>IFERROR(S5*(1+INDEX(CAGR!$C$9:$C$15,MATCH($A5,CAGR!$B$9:$B$15,0))),0)</f>
        <v>6.0334603167273447E-5</v>
      </c>
      <c r="U5" s="14">
        <f>IFERROR(T5*(1+INDEX(CAGR!$C$9:$C$15,MATCH($A5,CAGR!$B$9:$B$15,0))),0)</f>
        <v>6.0915515987566587E-5</v>
      </c>
      <c r="V5" s="14">
        <f>IFERROR(U5*(1+INDEX(CAGR!$C$9:$C$15,MATCH($A5,CAGR!$B$9:$B$15,0))),0)</f>
        <v>6.1502021944916501E-5</v>
      </c>
      <c r="W5" s="14">
        <f>IFERROR(V5*(1+INDEX(CAGR!$C$9:$C$15,MATCH($A5,CAGR!$B$9:$B$15,0))),0)</f>
        <v>6.2094174891090697E-5</v>
      </c>
      <c r="X5" s="14">
        <f>IFERROR(W5*(1+INDEX(CAGR!$C$9:$C$15,MATCH($A5,CAGR!$B$9:$B$15,0))),0)</f>
        <v>6.2692029196351542E-5</v>
      </c>
      <c r="Y5" s="14">
        <f>IFERROR(X5*(1+INDEX(CAGR!$C$9:$C$15,MATCH($A5,CAGR!$B$9:$B$15,0))),0)</f>
        <v>6.3295639754448429E-5</v>
      </c>
      <c r="Z5" s="14">
        <f>IFERROR(Y5*(1+INDEX(CAGR!$C$9:$C$15,MATCH($A5,CAGR!$B$9:$B$15,0))),0)</f>
        <v>6.3905061987658041E-5</v>
      </c>
      <c r="AA5" s="14">
        <f>IFERROR(Z5*(1+INDEX(CAGR!$C$9:$C$15,MATCH($A5,CAGR!$B$9:$B$15,0))),0)</f>
        <v>6.4520351851873048E-5</v>
      </c>
      <c r="AB5" s="14">
        <f>IFERROR(AA5*(1+INDEX(CAGR!$C$9:$C$15,MATCH($A5,CAGR!$B$9:$B$15,0))),0)</f>
        <v>6.5141565841739937E-5</v>
      </c>
      <c r="AC5" s="14">
        <f>IFERROR(AB5*(1+INDEX(CAGR!$C$9:$C$15,MATCH($A5,CAGR!$B$9:$B$15,0))),0)</f>
        <v>6.576876099584617E-5</v>
      </c>
      <c r="AD5" s="14">
        <f>IFERROR(AC5*(1+INDEX(CAGR!$C$9:$C$15,MATCH($A5,CAGR!$B$9:$B$15,0))),0)</f>
        <v>6.6401994901957385E-5</v>
      </c>
      <c r="AE5" s="14">
        <f>IFERROR(AD5*(1+INDEX(CAGR!$C$9:$C$15,MATCH($A5,CAGR!$B$9:$B$15,0))),0)</f>
        <v>6.7041325702304967E-5</v>
      </c>
      <c r="AF5" s="14">
        <f>IFERROR(AE5*(1+INDEX(CAGR!$C$9:$C$15,MATCH($A5,CAGR!$B$9:$B$15,0))),0)</f>
        <v>6.7686812098924568E-5</v>
      </c>
      <c r="AG5" s="14"/>
    </row>
    <row r="6" spans="1:33">
      <c r="A6" s="1" t="s">
        <v>13</v>
      </c>
      <c r="B6" s="15">
        <f>B5*Calibration!$C$21</f>
        <v>8.6957223438185259E-5</v>
      </c>
      <c r="C6" s="15">
        <f>B6*(1+CAGR!$C$13)</f>
        <v>8.7147880135247829E-5</v>
      </c>
      <c r="D6" s="15">
        <f>C6*(1+CAGR!$C$13)</f>
        <v>8.7338954853662714E-5</v>
      </c>
      <c r="E6" s="15">
        <f>D6*(1+CAGR!$C$13)</f>
        <v>8.7530448509956073E-5</v>
      </c>
      <c r="F6" s="15">
        <f>E6*(1+CAGR!$C$13)</f>
        <v>8.7722362022663581E-5</v>
      </c>
      <c r="G6" s="15">
        <f>F6*(1+CAGR!$C$13)</f>
        <v>8.7914696312334844E-5</v>
      </c>
      <c r="H6" s="15">
        <f>G6*(1+CAGR!$C$13)</f>
        <v>8.8107452301537792E-5</v>
      </c>
      <c r="I6" s="15">
        <f>H6*(1+CAGR!$C$13)</f>
        <v>8.8300630914863124E-5</v>
      </c>
      <c r="J6" s="15">
        <f>I6*(1+CAGR!$C$13)</f>
        <v>8.8494233078928726E-5</v>
      </c>
      <c r="K6" s="15">
        <f>J6*(1+CAGR!$C$13)</f>
        <v>8.8688259722384145E-5</v>
      </c>
      <c r="L6" s="15">
        <f>K6*(1+CAGR!$C$13)</f>
        <v>8.8882711775915016E-5</v>
      </c>
      <c r="M6" s="15">
        <f>L6*(1+CAGR!$C$13)</f>
        <v>8.9077590172247526E-5</v>
      </c>
      <c r="N6" s="15">
        <f>M6*(1+CAGR!$C$13)</f>
        <v>8.9272895846152897E-5</v>
      </c>
      <c r="O6" s="15">
        <f>N6*(1+CAGR!$C$13)</f>
        <v>8.9468629734451872E-5</v>
      </c>
      <c r="P6" s="15">
        <f>O6*(1+CAGR!$C$13)</f>
        <v>8.9664792776019217E-5</v>
      </c>
      <c r="Q6" s="15">
        <f>P6*(1+CAGR!$C$13)</f>
        <v>8.9861385911788188E-5</v>
      </c>
      <c r="R6" s="15">
        <f>Q6*(1+CAGR!$C$13)</f>
        <v>9.0058410084755091E-5</v>
      </c>
      <c r="S6" s="15">
        <f>R6*(1+CAGR!$C$13)</f>
        <v>9.0255866239983778E-5</v>
      </c>
      <c r="T6" s="15">
        <f>S6*(1+CAGR!$C$13)</f>
        <v>9.0453755324610186E-5</v>
      </c>
      <c r="U6" s="15">
        <f>T6*(1+CAGR!$C$13)</f>
        <v>9.065207828784688E-5</v>
      </c>
      <c r="V6" s="15">
        <f>U6*(1+CAGR!$C$13)</f>
        <v>9.0850836080987605E-5</v>
      </c>
      <c r="W6" s="15">
        <f>V6*(1+CAGR!$C$13)</f>
        <v>9.1050029657411852E-5</v>
      </c>
      <c r="X6" s="15">
        <f>W6*(1+CAGR!$C$13)</f>
        <v>9.124965997258943E-5</v>
      </c>
      <c r="Y6" s="15">
        <f>X6*(1+CAGR!$C$13)</f>
        <v>9.144972798408504E-5</v>
      </c>
      <c r="Z6" s="15">
        <f>Y6*(1+CAGR!$C$13)</f>
        <v>9.1650234651562888E-5</v>
      </c>
      <c r="AA6" s="15">
        <f>Z6*(1+CAGR!$C$13)</f>
        <v>9.1851180936791265E-5</v>
      </c>
      <c r="AB6" s="15">
        <f>AA6*(1+CAGR!$C$13)</f>
        <v>9.2052567803647178E-5</v>
      </c>
      <c r="AC6" s="15">
        <f>AB6*(1+CAGR!$C$13)</f>
        <v>9.2254396218120963E-5</v>
      </c>
      <c r="AD6" s="15">
        <f>AC6*(1+CAGR!$C$13)</f>
        <v>9.2456667148320946E-5</v>
      </c>
      <c r="AE6" s="15">
        <f>AD6*(1+CAGR!$C$13)</f>
        <v>9.2659381564478034E-5</v>
      </c>
      <c r="AF6" s="15">
        <f>AE6*(1+CAGR!$C$13)</f>
        <v>9.2862540438950407E-5</v>
      </c>
      <c r="AG6" s="14"/>
    </row>
    <row r="7" spans="1:33">
      <c r="A7" s="1" t="s">
        <v>14</v>
      </c>
      <c r="B7" s="14">
        <f>IFERROR(INDEX('SYFAFE frgt'!$B$2:$H$2,,MATCH($A7,'SYFAFE psgr'!$B$1:$H$1,0))*(1+INDEX(CAGR!$C$9:$C$15,MATCH($A7,CAGR!$B$9:$B$15,0))),0)</f>
        <v>6.4974878837853692E-5</v>
      </c>
      <c r="C7" s="14">
        <f>IFERROR(B7*(1+INDEX(CAGR!$C$9:$C$15,MATCH($A7,CAGR!$B$9:$B$15,0))),0)</f>
        <v>6.5117338489869523E-5</v>
      </c>
      <c r="D7" s="14">
        <f>IFERROR(C7*(1+INDEX(CAGR!$C$9:$C$15,MATCH($A7,CAGR!$B$9:$B$15,0))),0)</f>
        <v>6.5260110489562102E-5</v>
      </c>
      <c r="E7" s="14">
        <f>IFERROR(D7*(1+INDEX(CAGR!$C$9:$C$15,MATCH($A7,CAGR!$B$9:$B$15,0))),0)</f>
        <v>6.5403195521764439E-5</v>
      </c>
      <c r="F7" s="14">
        <f>IFERROR(E7*(1+INDEX(CAGR!$C$9:$C$15,MATCH($A7,CAGR!$B$9:$B$15,0))),0)</f>
        <v>6.5546594272811054E-5</v>
      </c>
      <c r="G7" s="14">
        <f>IFERROR(F7*(1+INDEX(CAGR!$C$9:$C$15,MATCH($A7,CAGR!$B$9:$B$15,0))),0)</f>
        <v>6.5690307430541287E-5</v>
      </c>
      <c r="H7" s="14">
        <f>IFERROR(G7*(1+INDEX(CAGR!$C$9:$C$15,MATCH($A7,CAGR!$B$9:$B$15,0))),0)</f>
        <v>6.5834335684302573E-5</v>
      </c>
      <c r="I7" s="14">
        <f>IFERROR(H7*(1+INDEX(CAGR!$C$9:$C$15,MATCH($A7,CAGR!$B$9:$B$15,0))),0)</f>
        <v>6.5978679724953783E-5</v>
      </c>
      <c r="J7" s="14">
        <f>IFERROR(I7*(1+INDEX(CAGR!$C$9:$C$15,MATCH($A7,CAGR!$B$9:$B$15,0))),0)</f>
        <v>6.6123340244868511E-5</v>
      </c>
      <c r="K7" s="14">
        <f>IFERROR(J7*(1+INDEX(CAGR!$C$9:$C$15,MATCH($A7,CAGR!$B$9:$B$15,0))),0)</f>
        <v>6.6268317937938411E-5</v>
      </c>
      <c r="L7" s="14">
        <f>IFERROR(K7*(1+INDEX(CAGR!$C$9:$C$15,MATCH($A7,CAGR!$B$9:$B$15,0))),0)</f>
        <v>6.6413613499576501E-5</v>
      </c>
      <c r="M7" s="14">
        <f>IFERROR(L7*(1+INDEX(CAGR!$C$9:$C$15,MATCH($A7,CAGR!$B$9:$B$15,0))),0)</f>
        <v>6.655922762672053E-5</v>
      </c>
      <c r="N7" s="14">
        <f>IFERROR(M7*(1+INDEX(CAGR!$C$9:$C$15,MATCH($A7,CAGR!$B$9:$B$15,0))),0)</f>
        <v>6.6705161017836304E-5</v>
      </c>
      <c r="O7" s="14">
        <f>IFERROR(N7*(1+INDEX(CAGR!$C$9:$C$15,MATCH($A7,CAGR!$B$9:$B$15,0))),0)</f>
        <v>6.6851414372921041E-5</v>
      </c>
      <c r="P7" s="14">
        <f>IFERROR(O7*(1+INDEX(CAGR!$C$9:$C$15,MATCH($A7,CAGR!$B$9:$B$15,0))),0)</f>
        <v>6.6997988393506725E-5</v>
      </c>
      <c r="Q7" s="14">
        <f>IFERROR(P7*(1+INDEX(CAGR!$C$9:$C$15,MATCH($A7,CAGR!$B$9:$B$15,0))),0)</f>
        <v>6.7144883782663473E-5</v>
      </c>
      <c r="R7" s="14">
        <f>IFERROR(Q7*(1+INDEX(CAGR!$C$9:$C$15,MATCH($A7,CAGR!$B$9:$B$15,0))),0)</f>
        <v>6.7292101245002906E-5</v>
      </c>
      <c r="S7" s="14">
        <f>IFERROR(R7*(1+INDEX(CAGR!$C$9:$C$15,MATCH($A7,CAGR!$B$9:$B$15,0))),0)</f>
        <v>6.7439641486681539E-5</v>
      </c>
      <c r="T7" s="14">
        <f>IFERROR(S7*(1+INDEX(CAGR!$C$9:$C$15,MATCH($A7,CAGR!$B$9:$B$15,0))),0)</f>
        <v>6.7587505215404141E-5</v>
      </c>
      <c r="U7" s="14">
        <f>IFERROR(T7*(1+INDEX(CAGR!$C$9:$C$15,MATCH($A7,CAGR!$B$9:$B$15,0))),0)</f>
        <v>6.7735693140427163E-5</v>
      </c>
      <c r="V7" s="14">
        <f>IFERROR(U7*(1+INDEX(CAGR!$C$9:$C$15,MATCH($A7,CAGR!$B$9:$B$15,0))),0)</f>
        <v>6.7884205972562129E-5</v>
      </c>
      <c r="W7" s="14">
        <f>IFERROR(V7*(1+INDEX(CAGR!$C$9:$C$15,MATCH($A7,CAGR!$B$9:$B$15,0))),0)</f>
        <v>6.8033044424179034E-5</v>
      </c>
      <c r="X7" s="14">
        <f>IFERROR(W7*(1+INDEX(CAGR!$C$9:$C$15,MATCH($A7,CAGR!$B$9:$B$15,0))),0)</f>
        <v>6.8182209209209762E-5</v>
      </c>
      <c r="Y7" s="14">
        <f>IFERROR(X7*(1+INDEX(CAGR!$C$9:$C$15,MATCH($A7,CAGR!$B$9:$B$15,0))),0)</f>
        <v>6.8331701043151515E-5</v>
      </c>
      <c r="Z7" s="14">
        <f>IFERROR(Y7*(1+INDEX(CAGR!$C$9:$C$15,MATCH($A7,CAGR!$B$9:$B$15,0))),0)</f>
        <v>6.8481520643070266E-5</v>
      </c>
      <c r="AA7" s="14">
        <f>IFERROR(Z7*(1+INDEX(CAGR!$C$9:$C$15,MATCH($A7,CAGR!$B$9:$B$15,0))),0)</f>
        <v>6.8631668727604176E-5</v>
      </c>
      <c r="AB7" s="14">
        <f>IFERROR(AA7*(1+INDEX(CAGR!$C$9:$C$15,MATCH($A7,CAGR!$B$9:$B$15,0))),0)</f>
        <v>6.8782146016967025E-5</v>
      </c>
      <c r="AC7" s="14">
        <f>IFERROR(AB7*(1+INDEX(CAGR!$C$9:$C$15,MATCH($A7,CAGR!$B$9:$B$15,0))),0)</f>
        <v>6.8932953232951703E-5</v>
      </c>
      <c r="AD7" s="14">
        <f>IFERROR(AC7*(1+INDEX(CAGR!$C$9:$C$15,MATCH($A7,CAGR!$B$9:$B$15,0))),0)</f>
        <v>6.9084091098933658E-5</v>
      </c>
      <c r="AE7" s="14">
        <f>IFERROR(AD7*(1+INDEX(CAGR!$C$9:$C$15,MATCH($A7,CAGR!$B$9:$B$15,0))),0)</f>
        <v>6.9235560339874364E-5</v>
      </c>
      <c r="AF7" s="14">
        <f>IFERROR(AE7*(1+INDEX(CAGR!$C$9:$C$15,MATCH($A7,CAGR!$B$9:$B$15,0))),0)</f>
        <v>6.9387361682324774E-5</v>
      </c>
      <c r="AG7" s="14"/>
    </row>
    <row r="8" spans="1:33">
      <c r="A8" s="1" t="s">
        <v>15</v>
      </c>
      <c r="B8" s="13">
        <f>B5*Calibration!$D$21</f>
        <v>4.7493882176055731E-5</v>
      </c>
      <c r="C8" s="13">
        <f>B8*(1+CAGR!$C$15)</f>
        <v>4.7598014142881948E-5</v>
      </c>
      <c r="D8" s="13">
        <f>C8*(1+CAGR!$C$15)</f>
        <v>4.7702374422619603E-5</v>
      </c>
      <c r="E8" s="13">
        <f>D8*(1+CAGR!$C$15)</f>
        <v>4.7806963515852589E-5</v>
      </c>
      <c r="F8" s="13">
        <f>E8*(1+CAGR!$C$15)</f>
        <v>4.7911781924262347E-5</v>
      </c>
      <c r="G8" s="13">
        <f>F8*(1+CAGR!$C$15)</f>
        <v>4.8016830150630281E-5</v>
      </c>
      <c r="H8" s="13">
        <f>G8*(1+CAGR!$C$15)</f>
        <v>4.8122108698840142E-5</v>
      </c>
      <c r="I8" s="13">
        <f>H8*(1+CAGR!$C$15)</f>
        <v>4.8227618073880485E-5</v>
      </c>
      <c r="J8" s="13">
        <f>I8*(1+CAGR!$C$15)</f>
        <v>4.8333358781847052E-5</v>
      </c>
      <c r="K8" s="13">
        <f>J8*(1+CAGR!$C$15)</f>
        <v>4.8439331329945225E-5</v>
      </c>
      <c r="L8" s="13">
        <f>K8*(1+CAGR!$C$15)</f>
        <v>4.8545536226492446E-5</v>
      </c>
      <c r="M8" s="13">
        <f>L8*(1+CAGR!$C$15)</f>
        <v>4.8651973980920667E-5</v>
      </c>
      <c r="N8" s="13">
        <f>M8*(1+CAGR!$C$15)</f>
        <v>4.8758645103778789E-5</v>
      </c>
      <c r="O8" s="13">
        <f>N8*(1+CAGR!$C$15)</f>
        <v>4.8865550106735101E-5</v>
      </c>
      <c r="P8" s="13">
        <f>O8*(1+CAGR!$C$15)</f>
        <v>4.8972689502579745E-5</v>
      </c>
      <c r="Q8" s="13">
        <f>P8*(1+CAGR!$C$15)</f>
        <v>4.9080063805227179E-5</v>
      </c>
      <c r="R8" s="13">
        <f>Q8*(1+CAGR!$C$15)</f>
        <v>4.9187673529718626E-5</v>
      </c>
      <c r="S8" s="13">
        <f>R8*(1+CAGR!$C$15)</f>
        <v>4.9295519192224561E-5</v>
      </c>
      <c r="T8" s="13">
        <f>S8*(1+CAGR!$C$15)</f>
        <v>4.9403601310047173E-5</v>
      </c>
      <c r="U8" s="13">
        <f>T8*(1+CAGR!$C$15)</f>
        <v>4.9511920401622865E-5</v>
      </c>
      <c r="V8" s="13">
        <f>U8*(1+CAGR!$C$15)</f>
        <v>4.962047698652473E-5</v>
      </c>
      <c r="W8" s="13">
        <f>V8*(1+CAGR!$C$15)</f>
        <v>4.9729271585465032E-5</v>
      </c>
      <c r="X8" s="13">
        <f>W8*(1+CAGR!$C$15)</f>
        <v>4.9838304720297714E-5</v>
      </c>
      <c r="Y8" s="13">
        <f>X8*(1+CAGR!$C$15)</f>
        <v>4.9947576914020918E-5</v>
      </c>
      <c r="Z8" s="13">
        <f>Y8*(1+CAGR!$C$15)</f>
        <v>5.0057088690779457E-5</v>
      </c>
      <c r="AA8" s="13">
        <f>Z8*(1+CAGR!$C$15)</f>
        <v>5.0166840575867369E-5</v>
      </c>
      <c r="AB8" s="13">
        <f>AA8*(1+CAGR!$C$15)</f>
        <v>5.02768330957304E-5</v>
      </c>
      <c r="AC8" s="13">
        <f>AB8*(1+CAGR!$C$15)</f>
        <v>5.0387066777968555E-5</v>
      </c>
      <c r="AD8" s="13">
        <f>AC8*(1+CAGR!$C$15)</f>
        <v>5.0497542151338622E-5</v>
      </c>
      <c r="AE8" s="13">
        <f>AD8*(1+CAGR!$C$15)</f>
        <v>5.0608259745756703E-5</v>
      </c>
      <c r="AF8" s="13">
        <f>AE8*(1+CAGR!$C$15)</f>
        <v>5.0719220092300762E-5</v>
      </c>
      <c r="AG8" s="14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19C5-19A5-4B14-84C5-13CDDB297E8D}">
  <sheetPr>
    <tabColor rgb="FF1F497D"/>
  </sheetPr>
  <dimension ref="A1:AG8"/>
  <sheetViews>
    <sheetView workbookViewId="0"/>
  </sheetViews>
  <sheetFormatPr defaultRowHeight="14.5"/>
  <cols>
    <col min="1" max="1" width="32.7265625" bestFit="1" customWidth="1"/>
    <col min="2" max="3" width="9" customWidth="1"/>
    <col min="4" max="33" width="9.269531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4">
        <f>IFERROR(INDEX('SYFAFE psgr'!$B$3:$H$3,,MATCH($A2,'SYFAFE psgr'!$B$1:$H$1,0))*(1+INDEX(CAGR!$C$16:$C$22,MATCH($A2,CAGR!$B$16:$B$22,0))),0)</f>
        <v>2.3147479424877404E-3</v>
      </c>
      <c r="C2" s="14">
        <f>IFERROR(B2*(1+INDEX(CAGR!$C$16:$C$22,MATCH($A2,CAGR!$B$16:$B$22,0))),0)</f>
        <v>2.3226049846662442E-3</v>
      </c>
      <c r="D2" s="14">
        <f>IFERROR(C2*(1+INDEX(CAGR!$C$16:$C$22,MATCH($A2,CAGR!$B$16:$B$22,0))),0)</f>
        <v>2.3304886963194933E-3</v>
      </c>
      <c r="E2" s="14">
        <f>IFERROR(D2*(1+INDEX(CAGR!$C$16:$C$22,MATCH($A2,CAGR!$B$16:$B$22,0))),0)</f>
        <v>2.3383991679727608E-3</v>
      </c>
      <c r="F2" s="14">
        <f>IFERROR(E2*(1+INDEX(CAGR!$C$16:$C$22,MATCH($A2,CAGR!$B$16:$B$22,0))),0)</f>
        <v>2.3463364904585922E-3</v>
      </c>
      <c r="G2" s="14">
        <f>IFERROR(F2*(1+INDEX(CAGR!$C$16:$C$22,MATCH($A2,CAGR!$B$16:$B$22,0))),0)</f>
        <v>2.3543007549178502E-3</v>
      </c>
      <c r="H2" s="14">
        <f>IFERROR(G2*(1+INDEX(CAGR!$C$16:$C$22,MATCH($A2,CAGR!$B$16:$B$22,0))),0)</f>
        <v>2.3622920528007601E-3</v>
      </c>
      <c r="I2" s="14">
        <f>IFERROR(H2*(1+INDEX(CAGR!$C$16:$C$22,MATCH($A2,CAGR!$B$16:$B$22,0))),0)</f>
        <v>2.370310475867961E-3</v>
      </c>
      <c r="J2" s="14">
        <f>IFERROR(I2*(1+INDEX(CAGR!$C$16:$C$22,MATCH($A2,CAGR!$B$16:$B$22,0))),0)</f>
        <v>2.3783561161915584E-3</v>
      </c>
      <c r="K2" s="14">
        <f>IFERROR(J2*(1+INDEX(CAGR!$C$16:$C$22,MATCH($A2,CAGR!$B$16:$B$22,0))),0)</f>
        <v>2.3864290661561819E-3</v>
      </c>
      <c r="L2" s="14">
        <f>IFERROR(K2*(1+INDEX(CAGR!$C$16:$C$22,MATCH($A2,CAGR!$B$16:$B$22,0))),0)</f>
        <v>2.3945294184600464E-3</v>
      </c>
      <c r="M2" s="14">
        <f>IFERROR(L2*(1+INDEX(CAGR!$C$16:$C$22,MATCH($A2,CAGR!$B$16:$B$22,0))),0)</f>
        <v>2.4026572661160154E-3</v>
      </c>
      <c r="N2" s="14">
        <f>IFERROR(M2*(1+INDEX(CAGR!$C$16:$C$22,MATCH($A2,CAGR!$B$16:$B$22,0))),0)</f>
        <v>2.4108127024526703E-3</v>
      </c>
      <c r="O2" s="14">
        <f>IFERROR(N2*(1+INDEX(CAGR!$C$16:$C$22,MATCH($A2,CAGR!$B$16:$B$22,0))),0)</f>
        <v>2.4189958211153812E-3</v>
      </c>
      <c r="P2" s="14">
        <f>IFERROR(O2*(1+INDEX(CAGR!$C$16:$C$22,MATCH($A2,CAGR!$B$16:$B$22,0))),0)</f>
        <v>2.4272067160673824E-3</v>
      </c>
      <c r="Q2" s="14">
        <f>IFERROR(P2*(1+INDEX(CAGR!$C$16:$C$22,MATCH($A2,CAGR!$B$16:$B$22,0))),0)</f>
        <v>2.4354454815908515E-3</v>
      </c>
      <c r="R2" s="14">
        <f>IFERROR(Q2*(1+INDEX(CAGR!$C$16:$C$22,MATCH($A2,CAGR!$B$16:$B$22,0))),0)</f>
        <v>2.4437122122879917E-3</v>
      </c>
      <c r="S2" s="14">
        <f>IFERROR(R2*(1+INDEX(CAGR!$C$16:$C$22,MATCH($A2,CAGR!$B$16:$B$22,0))),0)</f>
        <v>2.4520070030821183E-3</v>
      </c>
      <c r="T2" s="14">
        <f>IFERROR(S2*(1+INDEX(CAGR!$C$16:$C$22,MATCH($A2,CAGR!$B$16:$B$22,0))),0)</f>
        <v>2.460329949218749E-3</v>
      </c>
      <c r="U2" s="14">
        <f>IFERROR(T2*(1+INDEX(CAGR!$C$16:$C$22,MATCH($A2,CAGR!$B$16:$B$22,0))),0)</f>
        <v>2.468681146266697E-3</v>
      </c>
      <c r="V2" s="14">
        <f>IFERROR(U2*(1+INDEX(CAGR!$C$16:$C$22,MATCH($A2,CAGR!$B$16:$B$22,0))),0)</f>
        <v>2.4770606901191685E-3</v>
      </c>
      <c r="W2" s="14">
        <f>IFERROR(V2*(1+INDEX(CAGR!$C$16:$C$22,MATCH($A2,CAGR!$B$16:$B$22,0))),0)</f>
        <v>2.4854686769948636E-3</v>
      </c>
      <c r="X2" s="14">
        <f>IFERROR(W2*(1+INDEX(CAGR!$C$16:$C$22,MATCH($A2,CAGR!$B$16:$B$22,0))),0)</f>
        <v>2.4939052034390822E-3</v>
      </c>
      <c r="Y2" s="14">
        <f>IFERROR(X2*(1+INDEX(CAGR!$C$16:$C$22,MATCH($A2,CAGR!$B$16:$B$22,0))),0)</f>
        <v>2.502370366324831E-3</v>
      </c>
      <c r="Z2" s="14">
        <f>IFERROR(Y2*(1+INDEX(CAGR!$C$16:$C$22,MATCH($A2,CAGR!$B$16:$B$22,0))),0)</f>
        <v>2.5108642628539368E-3</v>
      </c>
      <c r="AA2" s="14">
        <f>IFERROR(Z2*(1+INDEX(CAGR!$C$16:$C$22,MATCH($A2,CAGR!$B$16:$B$22,0))),0)</f>
        <v>2.519386990558163E-3</v>
      </c>
      <c r="AB2" s="14">
        <f>IFERROR(AA2*(1+INDEX(CAGR!$C$16:$C$22,MATCH($A2,CAGR!$B$16:$B$22,0))),0)</f>
        <v>2.5279386473003283E-3</v>
      </c>
      <c r="AC2" s="14">
        <f>IFERROR(AB2*(1+INDEX(CAGR!$C$16:$C$22,MATCH($A2,CAGR!$B$16:$B$22,0))),0)</f>
        <v>2.5365193312754317E-3</v>
      </c>
      <c r="AD2" s="14">
        <f>IFERROR(AC2*(1+INDEX(CAGR!$C$16:$C$22,MATCH($A2,CAGR!$B$16:$B$22,0))),0)</f>
        <v>2.5451291410117788E-3</v>
      </c>
      <c r="AE2" s="14">
        <f>IFERROR(AD2*(1+INDEX(CAGR!$C$16:$C$22,MATCH($A2,CAGR!$B$16:$B$22,0))),0)</f>
        <v>2.5537681753721145E-3</v>
      </c>
      <c r="AF2" s="14">
        <f>IFERROR(AE2*(1+INDEX(CAGR!$C$16:$C$22,MATCH($A2,CAGR!$B$16:$B$22,0))),0)</f>
        <v>2.5624365335547572E-3</v>
      </c>
      <c r="AG2" s="14"/>
    </row>
    <row r="3" spans="1:33">
      <c r="A3" s="1" t="s">
        <v>10</v>
      </c>
      <c r="B3" s="14">
        <f>IFERROR(INDEX('SYFAFE psgr'!$B$3:$H$3,,MATCH($A3,'SYFAFE psgr'!$B$1:$H$1,0))*(1+INDEX(CAGR!$C$16:$C$22,MATCH($A3,CAGR!$B$16:$B$22,0))),0)</f>
        <v>1.6449278620326634E-3</v>
      </c>
      <c r="C3" s="14">
        <f>IFERROR(B3*(1+INDEX(CAGR!$C$16:$C$22,MATCH($A3,CAGR!$B$16:$B$22,0))),0)</f>
        <v>1.6577479411788853E-3</v>
      </c>
      <c r="D3" s="14">
        <f>IFERROR(C3*(1+INDEX(CAGR!$C$16:$C$22,MATCH($A3,CAGR!$B$16:$B$22,0))),0)</f>
        <v>1.6706679362138879E-3</v>
      </c>
      <c r="E3" s="14">
        <f>IFERROR(D3*(1+INDEX(CAGR!$C$16:$C$22,MATCH($A3,CAGR!$B$16:$B$22,0))),0)</f>
        <v>1.6836886258524296E-3</v>
      </c>
      <c r="F3" s="14">
        <f>IFERROR(E3*(1+INDEX(CAGR!$C$16:$C$22,MATCH($A3,CAGR!$B$16:$B$22,0))),0)</f>
        <v>1.6968107948783398E-3</v>
      </c>
      <c r="G3" s="14">
        <f>IFERROR(F3*(1+INDEX(CAGR!$C$16:$C$22,MATCH($A3,CAGR!$B$16:$B$22,0))),0)</f>
        <v>1.7100352341918202E-3</v>
      </c>
      <c r="H3" s="14">
        <f>IFERROR(G3*(1+INDEX(CAGR!$C$16:$C$22,MATCH($A3,CAGR!$B$16:$B$22,0))),0)</f>
        <v>1.7233627408571137E-3</v>
      </c>
      <c r="I3" s="14">
        <f>IFERROR(H3*(1+INDEX(CAGR!$C$16:$C$22,MATCH($A3,CAGR!$B$16:$B$22,0))),0)</f>
        <v>1.736794118150545E-3</v>
      </c>
      <c r="J3" s="14">
        <f>IFERROR(I3*(1+INDEX(CAGR!$C$16:$C$22,MATCH($A3,CAGR!$B$16:$B$22,0))),0)</f>
        <v>1.7503301756089361E-3</v>
      </c>
      <c r="K3" s="14">
        <f>IFERROR(J3*(1+INDEX(CAGR!$C$16:$C$22,MATCH($A3,CAGR!$B$16:$B$22,0))),0)</f>
        <v>1.7639717290783984E-3</v>
      </c>
      <c r="L3" s="14">
        <f>IFERROR(K3*(1+INDEX(CAGR!$C$16:$C$22,MATCH($A3,CAGR!$B$16:$B$22,0))),0)</f>
        <v>1.7777196007635057E-3</v>
      </c>
      <c r="M3" s="14">
        <f>IFERROR(L3*(1+INDEX(CAGR!$C$16:$C$22,MATCH($A3,CAGR!$B$16:$B$22,0))),0)</f>
        <v>1.7915746192768498E-3</v>
      </c>
      <c r="N3" s="14">
        <f>IFERROR(M3*(1+INDEX(CAGR!$C$16:$C$22,MATCH($A3,CAGR!$B$16:$B$22,0))),0)</f>
        <v>1.8055376196889831E-3</v>
      </c>
      <c r="O3" s="14">
        <f>IFERROR(N3*(1+INDEX(CAGR!$C$16:$C$22,MATCH($A3,CAGR!$B$16:$B$22,0))),0)</f>
        <v>1.8196094435787497E-3</v>
      </c>
      <c r="P3" s="14">
        <f>IFERROR(O3*(1+INDEX(CAGR!$C$16:$C$22,MATCH($A3,CAGR!$B$16:$B$22,0))),0)</f>
        <v>1.8337909390840092E-3</v>
      </c>
      <c r="Q3" s="14">
        <f>IFERROR(P3*(1+INDEX(CAGR!$C$16:$C$22,MATCH($A3,CAGR!$B$16:$B$22,0))),0)</f>
        <v>1.848082960952756E-3</v>
      </c>
      <c r="R3" s="14">
        <f>IFERROR(Q3*(1+INDEX(CAGR!$C$16:$C$22,MATCH($A3,CAGR!$B$16:$B$22,0))),0)</f>
        <v>1.8624863705946359E-3</v>
      </c>
      <c r="S3" s="14">
        <f>IFERROR(R3*(1+INDEX(CAGR!$C$16:$C$22,MATCH($A3,CAGR!$B$16:$B$22,0))),0)</f>
        <v>1.8770020361328665E-3</v>
      </c>
      <c r="T3" s="14">
        <f>IFERROR(S3*(1+INDEX(CAGR!$C$16:$C$22,MATCH($A3,CAGR!$B$16:$B$22,0))),0)</f>
        <v>1.891630832456559E-3</v>
      </c>
      <c r="U3" s="14">
        <f>IFERROR(T3*(1+INDEX(CAGR!$C$16:$C$22,MATCH($A3,CAGR!$B$16:$B$22,0))),0)</f>
        <v>1.9063736412734511E-3</v>
      </c>
      <c r="V3" s="14">
        <f>IFERROR(U3*(1+INDEX(CAGR!$C$16:$C$22,MATCH($A3,CAGR!$B$16:$B$22,0))),0)</f>
        <v>1.9212313511630483E-3</v>
      </c>
      <c r="W3" s="14">
        <f>IFERROR(V3*(1+INDEX(CAGR!$C$16:$C$22,MATCH($A3,CAGR!$B$16:$B$22,0))),0)</f>
        <v>1.9362048576301812E-3</v>
      </c>
      <c r="X3" s="14">
        <f>IFERROR(W3*(1+INDEX(CAGR!$C$16:$C$22,MATCH($A3,CAGR!$B$16:$B$22,0))),0)</f>
        <v>1.9512950631589787E-3</v>
      </c>
      <c r="Y3" s="14">
        <f>IFERROR(X3*(1+INDEX(CAGR!$C$16:$C$22,MATCH($A3,CAGR!$B$16:$B$22,0))),0)</f>
        <v>1.9665028772672629E-3</v>
      </c>
      <c r="Z3" s="14">
        <f>IFERROR(Y3*(1+INDEX(CAGR!$C$16:$C$22,MATCH($A3,CAGR!$B$16:$B$22,0))),0)</f>
        <v>1.9818292165613679E-3</v>
      </c>
      <c r="AA3" s="14">
        <f>IFERROR(Z3*(1+INDEX(CAGR!$C$16:$C$22,MATCH($A3,CAGR!$B$16:$B$22,0))),0)</f>
        <v>1.9972750047913853E-3</v>
      </c>
      <c r="AB3" s="14">
        <f>IFERROR(AA3*(1+INDEX(CAGR!$C$16:$C$22,MATCH($A3,CAGR!$B$16:$B$22,0))),0)</f>
        <v>2.0128411729068403E-3</v>
      </c>
      <c r="AC3" s="14">
        <f>IFERROR(AB3*(1+INDEX(CAGR!$C$16:$C$22,MATCH($A3,CAGR!$B$16:$B$22,0))),0)</f>
        <v>2.028528659112802E-3</v>
      </c>
      <c r="AD3" s="14">
        <f>IFERROR(AC3*(1+INDEX(CAGR!$C$16:$C$22,MATCH($A3,CAGR!$B$16:$B$22,0))),0)</f>
        <v>2.0443384089264319E-3</v>
      </c>
      <c r="AE3" s="14">
        <f>IFERROR(AD3*(1+INDEX(CAGR!$C$16:$C$22,MATCH($A3,CAGR!$B$16:$B$22,0))),0)</f>
        <v>2.0602713752339709E-3</v>
      </c>
      <c r="AF3" s="14">
        <f>IFERROR(AE3*(1+INDEX(CAGR!$C$16:$C$22,MATCH($A3,CAGR!$B$16:$B$22,0))),0)</f>
        <v>2.0763285183481718E-3</v>
      </c>
      <c r="AG3" s="14"/>
    </row>
    <row r="4" spans="1:33">
      <c r="A4" s="1" t="s">
        <v>11</v>
      </c>
      <c r="B4" s="14">
        <f>IFERROR(INDEX('SYFAFE psgr'!$B$3:$H$3,,MATCH($A4,'SYFAFE psgr'!$B$1:$H$1,0))*(1+INDEX(CAGR!$C$16:$C$22,MATCH($A4,CAGR!$B$16:$B$22,0))),0)</f>
        <v>5.978056773682963E-4</v>
      </c>
      <c r="C4" s="14">
        <f>IFERROR(B4*(1+INDEX(CAGR!$C$16:$C$22,MATCH($A4,CAGR!$B$16:$B$22,0))),0)</f>
        <v>6.0378851537443439E-4</v>
      </c>
      <c r="D4" s="14">
        <f>IFERROR(C4*(1+INDEX(CAGR!$C$16:$C$22,MATCH($A4,CAGR!$B$16:$B$22,0))),0)</f>
        <v>6.0983122961119857E-4</v>
      </c>
      <c r="E4" s="14">
        <f>IFERROR(D4*(1+INDEX(CAGR!$C$16:$C$22,MATCH($A4,CAGR!$B$16:$B$22,0))),0)</f>
        <v>6.1593441931978349E-4</v>
      </c>
      <c r="F4" s="14">
        <f>IFERROR(E4*(1+INDEX(CAGR!$C$16:$C$22,MATCH($A4,CAGR!$B$16:$B$22,0))),0)</f>
        <v>6.2209868973858837E-4</v>
      </c>
      <c r="G4" s="14">
        <f>IFERROR(F4*(1+INDEX(CAGR!$C$16:$C$22,MATCH($A4,CAGR!$B$16:$B$22,0))),0)</f>
        <v>6.2832465216323713E-4</v>
      </c>
      <c r="H4" s="14">
        <f>IFERROR(G4*(1+INDEX(CAGR!$C$16:$C$22,MATCH($A4,CAGR!$B$16:$B$22,0))),0)</f>
        <v>6.3461292400719921E-4</v>
      </c>
      <c r="I4" s="14">
        <f>IFERROR(H4*(1+INDEX(CAGR!$C$16:$C$22,MATCH($A4,CAGR!$B$16:$B$22,0))),0)</f>
        <v>6.4096412886301656E-4</v>
      </c>
      <c r="J4" s="14">
        <f>IFERROR(I4*(1+INDEX(CAGR!$C$16:$C$22,MATCH($A4,CAGR!$B$16:$B$22,0))),0)</f>
        <v>6.473788965641441E-4</v>
      </c>
      <c r="K4" s="14">
        <f>IFERROR(J4*(1+INDEX(CAGR!$C$16:$C$22,MATCH($A4,CAGR!$B$16:$B$22,0))),0)</f>
        <v>6.5385786324740887E-4</v>
      </c>
      <c r="L4" s="14">
        <f>IFERROR(K4*(1+INDEX(CAGR!$C$16:$C$22,MATCH($A4,CAGR!$B$16:$B$22,0))),0)</f>
        <v>6.6040167141609375E-4</v>
      </c>
      <c r="M4" s="14">
        <f>IFERROR(L4*(1+INDEX(CAGR!$C$16:$C$22,MATCH($A4,CAGR!$B$16:$B$22,0))),0)</f>
        <v>6.6701097000365325E-4</v>
      </c>
      <c r="N4" s="14">
        <f>IFERROR(M4*(1+INDEX(CAGR!$C$16:$C$22,MATCH($A4,CAGR!$B$16:$B$22,0))),0)</f>
        <v>6.736864144380666E-4</v>
      </c>
      <c r="O4" s="14">
        <f>IFERROR(N4*(1+INDEX(CAGR!$C$16:$C$22,MATCH($A4,CAGR!$B$16:$B$22,0))),0)</f>
        <v>6.8042866670683488E-4</v>
      </c>
      <c r="P4" s="14">
        <f>IFERROR(O4*(1+INDEX(CAGR!$C$16:$C$22,MATCH($A4,CAGR!$B$16:$B$22,0))),0)</f>
        <v>6.8723839542262884E-4</v>
      </c>
      <c r="Q4" s="14">
        <f>IFERROR(P4*(1+INDEX(CAGR!$C$16:$C$22,MATCH($A4,CAGR!$B$16:$B$22,0))),0)</f>
        <v>6.9411627588959334E-4</v>
      </c>
      <c r="R4" s="14">
        <f>IFERROR(Q4*(1+INDEX(CAGR!$C$16:$C$22,MATCH($A4,CAGR!$B$16:$B$22,0))),0)</f>
        <v>7.0106299017031577E-4</v>
      </c>
      <c r="S4" s="14">
        <f>IFERROR(R4*(1+INDEX(CAGR!$C$16:$C$22,MATCH($A4,CAGR!$B$16:$B$22,0))),0)</f>
        <v>7.0807922715346457E-4</v>
      </c>
      <c r="T4" s="14">
        <f>IFERROR(S4*(1+INDEX(CAGR!$C$16:$C$22,MATCH($A4,CAGR!$B$16:$B$22,0))),0)</f>
        <v>7.1516568262210459E-4</v>
      </c>
      <c r="U4" s="14">
        <f>IFERROR(T4*(1+INDEX(CAGR!$C$16:$C$22,MATCH($A4,CAGR!$B$16:$B$22,0))),0)</f>
        <v>7.2232305932269614E-4</v>
      </c>
      <c r="V4" s="14">
        <f>IFERROR(U4*(1+INDEX(CAGR!$C$16:$C$22,MATCH($A4,CAGR!$B$16:$B$22,0))),0)</f>
        <v>7.295520670347848E-4</v>
      </c>
      <c r="W4" s="14">
        <f>IFERROR(V4*(1+INDEX(CAGR!$C$16:$C$22,MATCH($A4,CAGR!$B$16:$B$22,0))),0)</f>
        <v>7.3685342264138813E-4</v>
      </c>
      <c r="X4" s="14">
        <f>IFERROR(W4*(1+INDEX(CAGR!$C$16:$C$22,MATCH($A4,CAGR!$B$16:$B$22,0))),0)</f>
        <v>7.4422785020008772E-4</v>
      </c>
      <c r="Y4" s="14">
        <f>IFERROR(X4*(1+INDEX(CAGR!$C$16:$C$22,MATCH($A4,CAGR!$B$16:$B$22,0))),0)</f>
        <v>7.5167608101483184E-4</v>
      </c>
      <c r="Z4" s="14">
        <f>IFERROR(Y4*(1+INDEX(CAGR!$C$16:$C$22,MATCH($A4,CAGR!$B$16:$B$22,0))),0)</f>
        <v>7.5919885370845722E-4</v>
      </c>
      <c r="AA4" s="14">
        <f>IFERROR(Z4*(1+INDEX(CAGR!$C$16:$C$22,MATCH($A4,CAGR!$B$16:$B$22,0))),0)</f>
        <v>7.6679691429593652E-4</v>
      </c>
      <c r="AB4" s="14">
        <f>IFERROR(AA4*(1+INDEX(CAGR!$C$16:$C$22,MATCH($A4,CAGR!$B$16:$B$22,0))),0)</f>
        <v>7.7447101625835869E-4</v>
      </c>
      <c r="AC4" s="14">
        <f>IFERROR(AB4*(1+INDEX(CAGR!$C$16:$C$22,MATCH($A4,CAGR!$B$16:$B$22,0))),0)</f>
        <v>7.8222192061764976E-4</v>
      </c>
      <c r="AD4" s="14">
        <f>IFERROR(AC4*(1+INDEX(CAGR!$C$16:$C$22,MATCH($A4,CAGR!$B$16:$B$22,0))),0)</f>
        <v>7.9005039601204188E-4</v>
      </c>
      <c r="AE4" s="14">
        <f>IFERROR(AD4*(1+INDEX(CAGR!$C$16:$C$22,MATCH($A4,CAGR!$B$16:$B$22,0))),0)</f>
        <v>7.979572187722969E-4</v>
      </c>
      <c r="AF4" s="14">
        <f>IFERROR(AE4*(1+INDEX(CAGR!$C$16:$C$22,MATCH($A4,CAGR!$B$16:$B$22,0))),0)</f>
        <v>8.0594317299869332E-4</v>
      </c>
      <c r="AG4" s="14"/>
    </row>
    <row r="5" spans="1:33">
      <c r="A5" s="1" t="s">
        <v>12</v>
      </c>
      <c r="B5" s="14">
        <f>IFERROR(INDEX('SYFAFE psgr'!$B$3:$H$3,,MATCH($A5,'SYFAFE psgr'!$B$1:$H$1,0))*(1+INDEX(CAGR!$C$16:$C$22,MATCH($A5,CAGR!$B$16:$B$22,0))),0)</f>
        <v>7.2372203185708153E-4</v>
      </c>
      <c r="C5" s="14">
        <f>IFERROR(B5*(1+INDEX(CAGR!$C$16:$C$22,MATCH($A5,CAGR!$B$16:$B$22,0))),0)</f>
        <v>7.2960265359314736E-4</v>
      </c>
      <c r="D5" s="14">
        <f>IFERROR(C5*(1+INDEX(CAGR!$C$16:$C$22,MATCH($A5,CAGR!$B$16:$B$22,0))),0)</f>
        <v>7.3553105847036471E-4</v>
      </c>
      <c r="E5" s="14">
        <f>IFERROR(D5*(1+INDEX(CAGR!$C$16:$C$22,MATCH($A5,CAGR!$B$16:$B$22,0))),0)</f>
        <v>7.4150763475185966E-4</v>
      </c>
      <c r="F5" s="14">
        <f>IFERROR(E5*(1+INDEX(CAGR!$C$16:$C$22,MATCH($A5,CAGR!$B$16:$B$22,0))),0)</f>
        <v>7.4753277385560001E-4</v>
      </c>
      <c r="G5" s="14">
        <f>IFERROR(F5*(1+INDEX(CAGR!$C$16:$C$22,MATCH($A5,CAGR!$B$16:$B$22,0))),0)</f>
        <v>7.536068703800304E-4</v>
      </c>
      <c r="H5" s="14">
        <f>IFERROR(G5*(1+INDEX(CAGR!$C$16:$C$22,MATCH($A5,CAGR!$B$16:$B$22,0))),0)</f>
        <v>7.597303221299151E-4</v>
      </c>
      <c r="I5" s="14">
        <f>IFERROR(H5*(1+INDEX(CAGR!$C$16:$C$22,MATCH($A5,CAGR!$B$16:$B$22,0))),0)</f>
        <v>7.6590353014239099E-4</v>
      </c>
      <c r="J5" s="14">
        <f>IFERROR(I5*(1+INDEX(CAGR!$C$16:$C$22,MATCH($A5,CAGR!$B$16:$B$22,0))),0)</f>
        <v>7.7212689871323245E-4</v>
      </c>
      <c r="K5" s="14">
        <f>IFERROR(J5*(1+INDEX(CAGR!$C$16:$C$22,MATCH($A5,CAGR!$B$16:$B$22,0))),0)</f>
        <v>7.7840083542332942E-4</v>
      </c>
      <c r="L5" s="14">
        <f>IFERROR(K5*(1+INDEX(CAGR!$C$16:$C$22,MATCH($A5,CAGR!$B$16:$B$22,0))),0)</f>
        <v>7.8472575116538077E-4</v>
      </c>
      <c r="M5" s="14">
        <f>IFERROR(L5*(1+INDEX(CAGR!$C$16:$C$22,MATCH($A5,CAGR!$B$16:$B$22,0))),0)</f>
        <v>7.9110206017080434E-4</v>
      </c>
      <c r="N5" s="14">
        <f>IFERROR(M5*(1+INDEX(CAGR!$C$16:$C$22,MATCH($A5,CAGR!$B$16:$B$22,0))),0)</f>
        <v>7.975301800368658E-4</v>
      </c>
      <c r="O5" s="14">
        <f>IFERROR(N5*(1+INDEX(CAGR!$C$16:$C$22,MATCH($A5,CAGR!$B$16:$B$22,0))),0)</f>
        <v>8.0401053175402815E-4</v>
      </c>
      <c r="P5" s="14">
        <f>IFERROR(O5*(1+INDEX(CAGR!$C$16:$C$22,MATCH($A5,CAGR!$B$16:$B$22,0))),0)</f>
        <v>8.1054353973352301E-4</v>
      </c>
      <c r="Q5" s="14">
        <f>IFERROR(P5*(1+INDEX(CAGR!$C$16:$C$22,MATCH($A5,CAGR!$B$16:$B$22,0))),0)</f>
        <v>8.1712963183514626E-4</v>
      </c>
      <c r="R5" s="14">
        <f>IFERROR(Q5*(1+INDEX(CAGR!$C$16:$C$22,MATCH($A5,CAGR!$B$16:$B$22,0))),0)</f>
        <v>8.2376923939527944E-4</v>
      </c>
      <c r="S5" s="14">
        <f>IFERROR(R5*(1+INDEX(CAGR!$C$16:$C$22,MATCH($A5,CAGR!$B$16:$B$22,0))),0)</f>
        <v>8.3046279725513877E-4</v>
      </c>
      <c r="T5" s="14">
        <f>IFERROR(S5*(1+INDEX(CAGR!$C$16:$C$22,MATCH($A5,CAGR!$B$16:$B$22,0))),0)</f>
        <v>8.3721074378925373E-4</v>
      </c>
      <c r="U5" s="14">
        <f>IFERROR(T5*(1+INDEX(CAGR!$C$16:$C$22,MATCH($A5,CAGR!$B$16:$B$22,0))),0)</f>
        <v>8.4401352093417721E-4</v>
      </c>
      <c r="V5" s="14">
        <f>IFERROR(U5*(1+INDEX(CAGR!$C$16:$C$22,MATCH($A5,CAGR!$B$16:$B$22,0))),0)</f>
        <v>8.5087157421742882E-4</v>
      </c>
      <c r="W5" s="14">
        <f>IFERROR(V5*(1+INDEX(CAGR!$C$16:$C$22,MATCH($A5,CAGR!$B$16:$B$22,0))),0)</f>
        <v>8.5778535278667326E-4</v>
      </c>
      <c r="X5" s="14">
        <f>IFERROR(W5*(1+INDEX(CAGR!$C$16:$C$22,MATCH($A5,CAGR!$B$16:$B$22,0))),0)</f>
        <v>8.6475530943913614E-4</v>
      </c>
      <c r="Y5" s="14">
        <f>IFERROR(X5*(1+INDEX(CAGR!$C$16:$C$22,MATCH($A5,CAGR!$B$16:$B$22,0))),0)</f>
        <v>8.7178190065125818E-4</v>
      </c>
      <c r="Z5" s="14">
        <f>IFERROR(Y5*(1+INDEX(CAGR!$C$16:$C$22,MATCH($A5,CAGR!$B$16:$B$22,0))),0)</f>
        <v>8.7886558660859129E-4</v>
      </c>
      <c r="AA5" s="14">
        <f>IFERROR(Z5*(1+INDEX(CAGR!$C$16:$C$22,MATCH($A5,CAGR!$B$16:$B$22,0))),0)</f>
        <v>8.8600683123593647E-4</v>
      </c>
      <c r="AB5" s="14">
        <f>IFERROR(AA5*(1+INDEX(CAGR!$C$16:$C$22,MATCH($A5,CAGR!$B$16:$B$22,0))),0)</f>
        <v>8.932061022277276E-4</v>
      </c>
      <c r="AC5" s="14">
        <f>IFERROR(AB5*(1+INDEX(CAGR!$C$16:$C$22,MATCH($A5,CAGR!$B$16:$B$22,0))),0)</f>
        <v>9.0046387107866157E-4</v>
      </c>
      <c r="AD5" s="14">
        <f>IFERROR(AC5*(1+INDEX(CAGR!$C$16:$C$22,MATCH($A5,CAGR!$B$16:$B$22,0))),0)</f>
        <v>9.077806131145774E-4</v>
      </c>
      <c r="AE5" s="14">
        <f>IFERROR(AD5*(1+INDEX(CAGR!$C$16:$C$22,MATCH($A5,CAGR!$B$16:$B$22,0))),0)</f>
        <v>9.1515680752358628E-4</v>
      </c>
      <c r="AF5" s="14">
        <f>IFERROR(AE5*(1+INDEX(CAGR!$C$16:$C$22,MATCH($A5,CAGR!$B$16:$B$22,0))),0)</f>
        <v>9.2259293738745452E-4</v>
      </c>
      <c r="AG5" s="14"/>
    </row>
    <row r="6" spans="1:33">
      <c r="A6" s="1" t="s">
        <v>13</v>
      </c>
      <c r="B6" s="14">
        <f>IFERROR(INDEX('SYFAFE psgr'!$B$3:$H$3,,MATCH($A6,'SYFAFE psgr'!$B$1:$H$1,0))*(1+INDEX(CAGR!$C$16:$C$22,MATCH($A6,CAGR!$B$16:$B$22,0))),0)</f>
        <v>1.591854577418524E-3</v>
      </c>
      <c r="C6" s="14">
        <f>IFERROR(B6*(1+INDEX(CAGR!$C$16:$C$22,MATCH($A6,CAGR!$B$16:$B$22,0))),0)</f>
        <v>1.591854577418524E-3</v>
      </c>
      <c r="D6" s="14">
        <f>IFERROR(C6*(1+INDEX(CAGR!$C$16:$C$22,MATCH($A6,CAGR!$B$16:$B$22,0))),0)</f>
        <v>1.591854577418524E-3</v>
      </c>
      <c r="E6" s="14">
        <f>IFERROR(D6*(1+INDEX(CAGR!$C$16:$C$22,MATCH($A6,CAGR!$B$16:$B$22,0))),0)</f>
        <v>1.591854577418524E-3</v>
      </c>
      <c r="F6" s="14">
        <f>IFERROR(E6*(1+INDEX(CAGR!$C$16:$C$22,MATCH($A6,CAGR!$B$16:$B$22,0))),0)</f>
        <v>1.591854577418524E-3</v>
      </c>
      <c r="G6" s="14">
        <f>IFERROR(F6*(1+INDEX(CAGR!$C$16:$C$22,MATCH($A6,CAGR!$B$16:$B$22,0))),0)</f>
        <v>1.591854577418524E-3</v>
      </c>
      <c r="H6" s="14">
        <f>IFERROR(G6*(1+INDEX(CAGR!$C$16:$C$22,MATCH($A6,CAGR!$B$16:$B$22,0))),0)</f>
        <v>1.591854577418524E-3</v>
      </c>
      <c r="I6" s="14">
        <f>IFERROR(H6*(1+INDEX(CAGR!$C$16:$C$22,MATCH($A6,CAGR!$B$16:$B$22,0))),0)</f>
        <v>1.591854577418524E-3</v>
      </c>
      <c r="J6" s="14">
        <f>IFERROR(I6*(1+INDEX(CAGR!$C$16:$C$22,MATCH($A6,CAGR!$B$16:$B$22,0))),0)</f>
        <v>1.591854577418524E-3</v>
      </c>
      <c r="K6" s="14">
        <f>IFERROR(J6*(1+INDEX(CAGR!$C$16:$C$22,MATCH($A6,CAGR!$B$16:$B$22,0))),0)</f>
        <v>1.591854577418524E-3</v>
      </c>
      <c r="L6" s="14">
        <f>IFERROR(K6*(1+INDEX(CAGR!$C$16:$C$22,MATCH($A6,CAGR!$B$16:$B$22,0))),0)</f>
        <v>1.591854577418524E-3</v>
      </c>
      <c r="M6" s="14">
        <f>IFERROR(L6*(1+INDEX(CAGR!$C$16:$C$22,MATCH($A6,CAGR!$B$16:$B$22,0))),0)</f>
        <v>1.591854577418524E-3</v>
      </c>
      <c r="N6" s="14">
        <f>IFERROR(M6*(1+INDEX(CAGR!$C$16:$C$22,MATCH($A6,CAGR!$B$16:$B$22,0))),0)</f>
        <v>1.591854577418524E-3</v>
      </c>
      <c r="O6" s="14">
        <f>IFERROR(N6*(1+INDEX(CAGR!$C$16:$C$22,MATCH($A6,CAGR!$B$16:$B$22,0))),0)</f>
        <v>1.591854577418524E-3</v>
      </c>
      <c r="P6" s="14">
        <f>IFERROR(O6*(1+INDEX(CAGR!$C$16:$C$22,MATCH($A6,CAGR!$B$16:$B$22,0))),0)</f>
        <v>1.591854577418524E-3</v>
      </c>
      <c r="Q6" s="14">
        <f>IFERROR(P6*(1+INDEX(CAGR!$C$16:$C$22,MATCH($A6,CAGR!$B$16:$B$22,0))),0)</f>
        <v>1.591854577418524E-3</v>
      </c>
      <c r="R6" s="14">
        <f>IFERROR(Q6*(1+INDEX(CAGR!$C$16:$C$22,MATCH($A6,CAGR!$B$16:$B$22,0))),0)</f>
        <v>1.591854577418524E-3</v>
      </c>
      <c r="S6" s="14">
        <f>IFERROR(R6*(1+INDEX(CAGR!$C$16:$C$22,MATCH($A6,CAGR!$B$16:$B$22,0))),0)</f>
        <v>1.591854577418524E-3</v>
      </c>
      <c r="T6" s="14">
        <f>IFERROR(S6*(1+INDEX(CAGR!$C$16:$C$22,MATCH($A6,CAGR!$B$16:$B$22,0))),0)</f>
        <v>1.591854577418524E-3</v>
      </c>
      <c r="U6" s="14">
        <f>IFERROR(T6*(1+INDEX(CAGR!$C$16:$C$22,MATCH($A6,CAGR!$B$16:$B$22,0))),0)</f>
        <v>1.591854577418524E-3</v>
      </c>
      <c r="V6" s="14">
        <f>IFERROR(U6*(1+INDEX(CAGR!$C$16:$C$22,MATCH($A6,CAGR!$B$16:$B$22,0))),0)</f>
        <v>1.591854577418524E-3</v>
      </c>
      <c r="W6" s="14">
        <f>IFERROR(V6*(1+INDEX(CAGR!$C$16:$C$22,MATCH($A6,CAGR!$B$16:$B$22,0))),0)</f>
        <v>1.591854577418524E-3</v>
      </c>
      <c r="X6" s="14">
        <f>IFERROR(W6*(1+INDEX(CAGR!$C$16:$C$22,MATCH($A6,CAGR!$B$16:$B$22,0))),0)</f>
        <v>1.591854577418524E-3</v>
      </c>
      <c r="Y6" s="14">
        <f>IFERROR(X6*(1+INDEX(CAGR!$C$16:$C$22,MATCH($A6,CAGR!$B$16:$B$22,0))),0)</f>
        <v>1.591854577418524E-3</v>
      </c>
      <c r="Z6" s="14">
        <f>IFERROR(Y6*(1+INDEX(CAGR!$C$16:$C$22,MATCH($A6,CAGR!$B$16:$B$22,0))),0)</f>
        <v>1.591854577418524E-3</v>
      </c>
      <c r="AA6" s="14">
        <f>IFERROR(Z6*(1+INDEX(CAGR!$C$16:$C$22,MATCH($A6,CAGR!$B$16:$B$22,0))),0)</f>
        <v>1.591854577418524E-3</v>
      </c>
      <c r="AB6" s="14">
        <f>IFERROR(AA6*(1+INDEX(CAGR!$C$16:$C$22,MATCH($A6,CAGR!$B$16:$B$22,0))),0)</f>
        <v>1.591854577418524E-3</v>
      </c>
      <c r="AC6" s="14">
        <f>IFERROR(AB6*(1+INDEX(CAGR!$C$16:$C$22,MATCH($A6,CAGR!$B$16:$B$22,0))),0)</f>
        <v>1.591854577418524E-3</v>
      </c>
      <c r="AD6" s="14">
        <f>IFERROR(AC6*(1+INDEX(CAGR!$C$16:$C$22,MATCH($A6,CAGR!$B$16:$B$22,0))),0)</f>
        <v>1.591854577418524E-3</v>
      </c>
      <c r="AE6" s="14">
        <f>IFERROR(AD6*(1+INDEX(CAGR!$C$16:$C$22,MATCH($A6,CAGR!$B$16:$B$22,0))),0)</f>
        <v>1.591854577418524E-3</v>
      </c>
      <c r="AF6" s="14">
        <f>IFERROR(AE6*(1+INDEX(CAGR!$C$16:$C$22,MATCH($A6,CAGR!$B$16:$B$22,0))),0)</f>
        <v>1.591854577418524E-3</v>
      </c>
      <c r="AG6" s="14"/>
    </row>
    <row r="7" spans="1:33">
      <c r="A7" s="1" t="s">
        <v>14</v>
      </c>
      <c r="B7" s="14">
        <f>IFERROR(INDEX('SYFAFE psgr'!$B$3:$H$3,,MATCH($A7,'SYFAFE psgr'!$B$1:$H$1,0))*(1+INDEX(CAGR!$C$16:$C$22,MATCH($A7,CAGR!$B$16:$B$22,0))),0)</f>
        <v>1.2829615523187021E-3</v>
      </c>
      <c r="C7" s="14">
        <f>IFERROR(B7*(1+INDEX(CAGR!$C$16:$C$22,MATCH($A7,CAGR!$B$16:$B$22,0))),0)</f>
        <v>1.2948208822295018E-3</v>
      </c>
      <c r="D7" s="14">
        <f>IFERROR(C7*(1+INDEX(CAGR!$C$16:$C$22,MATCH($A7,CAGR!$B$16:$B$22,0))),0)</f>
        <v>1.3067898363965226E-3</v>
      </c>
      <c r="E7" s="14">
        <f>IFERROR(D7*(1+INDEX(CAGR!$C$16:$C$22,MATCH($A7,CAGR!$B$16:$B$22,0))),0)</f>
        <v>1.3188694281550577E-3</v>
      </c>
      <c r="F7" s="14">
        <f>IFERROR(E7*(1+INDEX(CAGR!$C$16:$C$22,MATCH($A7,CAGR!$B$16:$B$22,0))),0)</f>
        <v>1.331060680207382E-3</v>
      </c>
      <c r="G7" s="14">
        <f>IFERROR(F7*(1+INDEX(CAGR!$C$16:$C$22,MATCH($A7,CAGR!$B$16:$B$22,0))),0)</f>
        <v>1.3433646247093382E-3</v>
      </c>
      <c r="H7" s="14">
        <f>IFERROR(G7*(1+INDEX(CAGR!$C$16:$C$22,MATCH($A7,CAGR!$B$16:$B$22,0))),0)</f>
        <v>1.3557823033577222E-3</v>
      </c>
      <c r="I7" s="14">
        <f>IFERROR(H7*(1+INDEX(CAGR!$C$16:$C$22,MATCH($A7,CAGR!$B$16:$B$22,0))),0)</f>
        <v>1.3683147674784779E-3</v>
      </c>
      <c r="J7" s="14">
        <f>IFERROR(I7*(1+INDEX(CAGR!$C$16:$C$22,MATCH($A7,CAGR!$B$16:$B$22,0))),0)</f>
        <v>1.3809630781157053E-3</v>
      </c>
      <c r="K7" s="14">
        <f>IFERROR(J7*(1+INDEX(CAGR!$C$16:$C$22,MATCH($A7,CAGR!$B$16:$B$22,0))),0)</f>
        <v>1.3937283061214931E-3</v>
      </c>
      <c r="L7" s="14">
        <f>IFERROR(K7*(1+INDEX(CAGR!$C$16:$C$22,MATCH($A7,CAGR!$B$16:$B$22,0))),0)</f>
        <v>1.4066115322465805E-3</v>
      </c>
      <c r="M7" s="14">
        <f>IFERROR(L7*(1+INDEX(CAGR!$C$16:$C$22,MATCH($A7,CAGR!$B$16:$B$22,0))),0)</f>
        <v>1.4196138472318575E-3</v>
      </c>
      <c r="N7" s="14">
        <f>IFERROR(M7*(1+INDEX(CAGR!$C$16:$C$22,MATCH($A7,CAGR!$B$16:$B$22,0))),0)</f>
        <v>1.4327363519007115E-3</v>
      </c>
      <c r="O7" s="14">
        <f>IFERROR(N7*(1+INDEX(CAGR!$C$16:$C$22,MATCH($A7,CAGR!$B$16:$B$22,0))),0)</f>
        <v>1.4459801572522264E-3</v>
      </c>
      <c r="P7" s="14">
        <f>IFERROR(O7*(1+INDEX(CAGR!$C$16:$C$22,MATCH($A7,CAGR!$B$16:$B$22,0))),0)</f>
        <v>1.459346384555244E-3</v>
      </c>
      <c r="Q7" s="14">
        <f>IFERROR(P7*(1+INDEX(CAGR!$C$16:$C$22,MATCH($A7,CAGR!$B$16:$B$22,0))),0)</f>
        <v>1.4728361654432953E-3</v>
      </c>
      <c r="R7" s="14">
        <f>IFERROR(Q7*(1+INDEX(CAGR!$C$16:$C$22,MATCH($A7,CAGR!$B$16:$B$22,0))),0)</f>
        <v>1.4864506420104078E-3</v>
      </c>
      <c r="S7" s="14">
        <f>IFERROR(R7*(1+INDEX(CAGR!$C$16:$C$22,MATCH($A7,CAGR!$B$16:$B$22,0))),0)</f>
        <v>1.5001909669077999E-3</v>
      </c>
      <c r="T7" s="14">
        <f>IFERROR(S7*(1+INDEX(CAGR!$C$16:$C$22,MATCH($A7,CAGR!$B$16:$B$22,0))),0)</f>
        <v>1.5140583034414683E-3</v>
      </c>
      <c r="U7" s="14">
        <f>IFERROR(T7*(1+INDEX(CAGR!$C$16:$C$22,MATCH($A7,CAGR!$B$16:$B$22,0))),0)</f>
        <v>1.5280538256706782E-3</v>
      </c>
      <c r="V7" s="14">
        <f>IFERROR(U7*(1+INDEX(CAGR!$C$16:$C$22,MATCH($A7,CAGR!$B$16:$B$22,0))),0)</f>
        <v>1.5421787185073629E-3</v>
      </c>
      <c r="W7" s="14">
        <f>IFERROR(V7*(1+INDEX(CAGR!$C$16:$C$22,MATCH($A7,CAGR!$B$16:$B$22,0))),0)</f>
        <v>1.5564341778164428E-3</v>
      </c>
      <c r="X7" s="14">
        <f>IFERROR(W7*(1+INDEX(CAGR!$C$16:$C$22,MATCH($A7,CAGR!$B$16:$B$22,0))),0)</f>
        <v>1.570821410517072E-3</v>
      </c>
      <c r="Y7" s="14">
        <f>IFERROR(X7*(1+INDEX(CAGR!$C$16:$C$22,MATCH($A7,CAGR!$B$16:$B$22,0))),0)</f>
        <v>1.5853416346848202E-3</v>
      </c>
      <c r="Z7" s="14">
        <f>IFERROR(Y7*(1+INDEX(CAGR!$C$16:$C$22,MATCH($A7,CAGR!$B$16:$B$22,0))),0)</f>
        <v>1.5999960796547997E-3</v>
      </c>
      <c r="AA7" s="14">
        <f>IFERROR(Z7*(1+INDEX(CAGR!$C$16:$C$22,MATCH($A7,CAGR!$B$16:$B$22,0))),0)</f>
        <v>1.614785986125745E-3</v>
      </c>
      <c r="AB7" s="14">
        <f>IFERROR(AA7*(1+INDEX(CAGR!$C$16:$C$22,MATCH($A7,CAGR!$B$16:$B$22,0))),0)</f>
        <v>1.6297126062650553E-3</v>
      </c>
      <c r="AC7" s="14">
        <f>IFERROR(AB7*(1+INDEX(CAGR!$C$16:$C$22,MATCH($A7,CAGR!$B$16:$B$22,0))),0)</f>
        <v>1.6447772038148073E-3</v>
      </c>
      <c r="AD7" s="14">
        <f>IFERROR(AC7*(1+INDEX(CAGR!$C$16:$C$22,MATCH($A7,CAGR!$B$16:$B$22,0))),0)</f>
        <v>1.6599810541987484E-3</v>
      </c>
      <c r="AE7" s="14">
        <f>IFERROR(AD7*(1+INDEX(CAGR!$C$16:$C$22,MATCH($A7,CAGR!$B$16:$B$22,0))),0)</f>
        <v>1.6753254446302784E-3</v>
      </c>
      <c r="AF7" s="14">
        <f>IFERROR(AE7*(1+INDEX(CAGR!$C$16:$C$22,MATCH($A7,CAGR!$B$16:$B$22,0))),0)</f>
        <v>1.69081167422143E-3</v>
      </c>
      <c r="AG7" s="14"/>
    </row>
    <row r="8" spans="1:33">
      <c r="A8" s="1" t="s">
        <v>15</v>
      </c>
      <c r="B8" s="18">
        <f>'SYFAFE psgr'!H3</f>
        <v>2.1536664243853644E-3</v>
      </c>
      <c r="C8" s="18">
        <f>B8*(1+CAGR!$D$22)</f>
        <v>2.1764775233273363E-3</v>
      </c>
      <c r="D8" s="18">
        <f>C8*(1+CAGR!$D$22)</f>
        <v>2.1995302317539753E-3</v>
      </c>
      <c r="E8" s="18">
        <f>D8*(1+CAGR!$D$22)</f>
        <v>2.222827108732831E-3</v>
      </c>
      <c r="F8" s="18">
        <f>E8*(1+CAGR!$D$22)</f>
        <v>2.2463707404364605E-3</v>
      </c>
      <c r="G8" s="18">
        <f>F8*(1+CAGR!$D$22)</f>
        <v>2.2701637404295171E-3</v>
      </c>
      <c r="H8" s="18">
        <f>G8*(1+CAGR!$D$22)</f>
        <v>2.29420874995888E-3</v>
      </c>
      <c r="I8" s="18">
        <f>H8*(1+CAGR!$D$22)</f>
        <v>2.3185084382468584E-3</v>
      </c>
      <c r="J8" s="18">
        <f>I8*(1+CAGR!$D$22)</f>
        <v>2.3430655027875009E-3</v>
      </c>
      <c r="K8" s="18">
        <f>J8*(1+CAGR!$D$22)</f>
        <v>2.3678826696460408E-3</v>
      </c>
      <c r="L8" s="18">
        <f>K8*(1+CAGR!$D$22)</f>
        <v>2.3929626937615172E-3</v>
      </c>
      <c r="M8" s="18">
        <f>L8*(1+CAGR!$D$22)</f>
        <v>2.4183083592525969E-3</v>
      </c>
      <c r="N8" s="18">
        <f>M8*(1+CAGR!$D$22)</f>
        <v>2.4439224797266402E-3</v>
      </c>
      <c r="O8" s="18">
        <f>N8*(1+CAGR!$D$22)</f>
        <v>2.4698078985920355E-3</v>
      </c>
      <c r="P8" s="18">
        <f>O8*(1+CAGR!$D$22)</f>
        <v>2.4959674893738461E-3</v>
      </c>
      <c r="Q8" s="18">
        <f>P8*(1+CAGR!$D$22)</f>
        <v>2.5224041560327976E-3</v>
      </c>
      <c r="R8" s="18">
        <f>Q8*(1+CAGR!$D$22)</f>
        <v>2.5491208332876453E-3</v>
      </c>
      <c r="S8" s="18">
        <f>R8*(1+CAGR!$D$22)</f>
        <v>2.5761204869409549E-3</v>
      </c>
      <c r="T8" s="18">
        <f>S8*(1+CAGR!$D$22)</f>
        <v>2.6034061142083354E-3</v>
      </c>
      <c r="U8" s="18">
        <f>T8*(1+CAGR!$D$22)</f>
        <v>2.6309807440511577E-3</v>
      </c>
      <c r="V8" s="18">
        <f>U8*(1+CAGR!$D$22)</f>
        <v>2.6588474375127979E-3</v>
      </c>
      <c r="W8" s="18">
        <f>V8*(1+CAGR!$D$22)</f>
        <v>2.6870092880584423E-3</v>
      </c>
      <c r="X8" s="18">
        <f>W8*(1+CAGR!$D$22)</f>
        <v>2.7154694219184905E-3</v>
      </c>
      <c r="Y8" s="18">
        <f>X8*(1+CAGR!$D$22)</f>
        <v>2.7442309984355966E-3</v>
      </c>
      <c r="Z8" s="18">
        <f>Y8*(1+CAGR!$D$22)</f>
        <v>2.7732972104153862E-3</v>
      </c>
      <c r="AA8" s="18">
        <f>Z8*(1+CAGR!$D$22)</f>
        <v>2.8026712844808877E-3</v>
      </c>
      <c r="AB8" s="18">
        <f>AA8*(1+CAGR!$D$22)</f>
        <v>2.8323564814307185E-3</v>
      </c>
      <c r="AC8" s="18">
        <f>AB8*(1+CAGR!$D$22)</f>
        <v>2.8623560966010626E-3</v>
      </c>
      <c r="AD8" s="18">
        <f>AC8*(1+CAGR!$D$22)</f>
        <v>2.8926734602314854E-3</v>
      </c>
      <c r="AE8" s="18">
        <f>AD8*(1+CAGR!$D$22)</f>
        <v>2.9233119378346212E-3</v>
      </c>
      <c r="AF8" s="18">
        <f>AE8*(1+CAGR!$D$22)</f>
        <v>2.9542749305697773E-3</v>
      </c>
      <c r="AG8" s="14"/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7949-0190-4A7F-B2B4-C3DC0F9CD3E5}">
  <sheetPr>
    <tabColor rgb="FF1F497D"/>
  </sheetPr>
  <dimension ref="A1:AG8"/>
  <sheetViews>
    <sheetView workbookViewId="0"/>
  </sheetViews>
  <sheetFormatPr defaultRowHeight="14.5"/>
  <cols>
    <col min="1" max="1" width="32.7265625" bestFit="1" customWidth="1"/>
    <col min="2" max="3" width="9" customWidth="1"/>
    <col min="4" max="33" width="9.269531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21">
        <f>IFERROR(INDEX('SYFAFE frgt'!$B$3:$H$3,,MATCH($A2,'SYFAFE frgt'!$B$1:$H$1,0))*(1+INDEX(CAGR!$C$23:$C$29,MATCH($A2,CAGR!$B$23:$B$29,0))),0)</f>
        <v>6.8335893574322944E-4</v>
      </c>
      <c r="C2" s="21">
        <f>IFERROR(B2*(1+INDEX(CAGR!$C$23:$C$29,MATCH($A2,CAGR!$B$23:$B$29,0))),0)</f>
        <v>6.8567848850430515E-4</v>
      </c>
      <c r="D2" s="21">
        <f>IFERROR(C2*(1+INDEX(CAGR!$C$23:$C$29,MATCH($A2,CAGR!$B$23:$B$29,0))),0)</f>
        <v>6.8800591461674865E-4</v>
      </c>
      <c r="E2" s="21">
        <f>IFERROR(D2*(1+INDEX(CAGR!$C$23:$C$29,MATCH($A2,CAGR!$B$23:$B$29,0))),0)</f>
        <v>6.9034124080539366E-4</v>
      </c>
      <c r="F2" s="21">
        <f>IFERROR(E2*(1+INDEX(CAGR!$C$23:$C$29,MATCH($A2,CAGR!$B$23:$B$29,0))),0)</f>
        <v>6.9268449388578692E-4</v>
      </c>
      <c r="G2" s="21">
        <f>IFERROR(F2*(1+INDEX(CAGR!$C$23:$C$29,MATCH($A2,CAGR!$B$23:$B$29,0))),0)</f>
        <v>6.9503570076449655E-4</v>
      </c>
      <c r="H2" s="21">
        <f>IFERROR(G2*(1+INDEX(CAGR!$C$23:$C$29,MATCH($A2,CAGR!$B$23:$B$29,0))),0)</f>
        <v>6.9739488843942039E-4</v>
      </c>
      <c r="I2" s="21">
        <f>IFERROR(H2*(1+INDEX(CAGR!$C$23:$C$29,MATCH($A2,CAGR!$B$23:$B$29,0))),0)</f>
        <v>6.9976208400009663E-4</v>
      </c>
      <c r="J2" s="21">
        <f>IFERROR(I2*(1+INDEX(CAGR!$C$23:$C$29,MATCH($A2,CAGR!$B$23:$B$29,0))),0)</f>
        <v>7.0213731462801432E-4</v>
      </c>
      <c r="K2" s="21">
        <f>IFERROR(J2*(1+INDEX(CAGR!$C$23:$C$29,MATCH($A2,CAGR!$B$23:$B$29,0))),0)</f>
        <v>7.0452060759692593E-4</v>
      </c>
      <c r="L2" s="21">
        <f>IFERROR(K2*(1+INDEX(CAGR!$C$23:$C$29,MATCH($A2,CAGR!$B$23:$B$29,0))),0)</f>
        <v>7.0691199027316019E-4</v>
      </c>
      <c r="M2" s="21">
        <f>IFERROR(L2*(1+INDEX(CAGR!$C$23:$C$29,MATCH($A2,CAGR!$B$23:$B$29,0))),0)</f>
        <v>7.0931149011593656E-4</v>
      </c>
      <c r="N2" s="21">
        <f>IFERROR(M2*(1+INDEX(CAGR!$C$23:$C$29,MATCH($A2,CAGR!$B$23:$B$29,0))),0)</f>
        <v>7.1171913467768034E-4</v>
      </c>
      <c r="O2" s="21">
        <f>IFERROR(N2*(1+INDEX(CAGR!$C$23:$C$29,MATCH($A2,CAGR!$B$23:$B$29,0))),0)</f>
        <v>7.1413495160433922E-4</v>
      </c>
      <c r="P2" s="21">
        <f>IFERROR(O2*(1+INDEX(CAGR!$C$23:$C$29,MATCH($A2,CAGR!$B$23:$B$29,0))),0)</f>
        <v>7.1655896863570057E-4</v>
      </c>
      <c r="Q2" s="21">
        <f>IFERROR(P2*(1+INDEX(CAGR!$C$23:$C$29,MATCH($A2,CAGR!$B$23:$B$29,0))),0)</f>
        <v>7.1899121360571015E-4</v>
      </c>
      <c r="R2" s="21">
        <f>IFERROR(Q2*(1+INDEX(CAGR!$C$23:$C$29,MATCH($A2,CAGR!$B$23:$B$29,0))),0)</f>
        <v>7.2143171444279141E-4</v>
      </c>
      <c r="S2" s="21">
        <f>IFERROR(R2*(1+INDEX(CAGR!$C$23:$C$29,MATCH($A2,CAGR!$B$23:$B$29,0))),0)</f>
        <v>7.2388049917016667E-4</v>
      </c>
      <c r="T2" s="21">
        <f>IFERROR(S2*(1+INDEX(CAGR!$C$23:$C$29,MATCH($A2,CAGR!$B$23:$B$29,0))),0)</f>
        <v>7.2633759590617832E-4</v>
      </c>
      <c r="U2" s="21">
        <f>IFERROR(T2*(1+INDEX(CAGR!$C$23:$C$29,MATCH($A2,CAGR!$B$23:$B$29,0))),0)</f>
        <v>7.2880303286461205E-4</v>
      </c>
      <c r="V2" s="21">
        <f>IFERROR(U2*(1+INDEX(CAGR!$C$23:$C$29,MATCH($A2,CAGR!$B$23:$B$29,0))),0)</f>
        <v>7.3127683835502082E-4</v>
      </c>
      <c r="W2" s="21">
        <f>IFERROR(V2*(1+INDEX(CAGR!$C$23:$C$29,MATCH($A2,CAGR!$B$23:$B$29,0))),0)</f>
        <v>7.3375904078304974E-4</v>
      </c>
      <c r="X2" s="21">
        <f>IFERROR(W2*(1+INDEX(CAGR!$C$23:$C$29,MATCH($A2,CAGR!$B$23:$B$29,0))),0)</f>
        <v>7.3624966865076249E-4</v>
      </c>
      <c r="Y2" s="21">
        <f>IFERROR(X2*(1+INDEX(CAGR!$C$23:$C$29,MATCH($A2,CAGR!$B$23:$B$29,0))),0)</f>
        <v>7.3874875055696836E-4</v>
      </c>
      <c r="Z2" s="21">
        <f>IFERROR(Y2*(1+INDEX(CAGR!$C$23:$C$29,MATCH($A2,CAGR!$B$23:$B$29,0))),0)</f>
        <v>7.4125631519755071E-4</v>
      </c>
      <c r="AA2" s="21">
        <f>IFERROR(Z2*(1+INDEX(CAGR!$C$23:$C$29,MATCH($A2,CAGR!$B$23:$B$29,0))),0)</f>
        <v>7.4377239136579651E-4</v>
      </c>
      <c r="AB2" s="21">
        <f>IFERROR(AA2*(1+INDEX(CAGR!$C$23:$C$29,MATCH($A2,CAGR!$B$23:$B$29,0))),0)</f>
        <v>7.4629700795272684E-4</v>
      </c>
      <c r="AC2" s="21">
        <f>IFERROR(AB2*(1+INDEX(CAGR!$C$23:$C$29,MATCH($A2,CAGR!$B$23:$B$29,0))),0)</f>
        <v>7.48830193947429E-4</v>
      </c>
      <c r="AD2" s="21">
        <f>IFERROR(AC2*(1+INDEX(CAGR!$C$23:$C$29,MATCH($A2,CAGR!$B$23:$B$29,0))),0)</f>
        <v>7.5137197843738886E-4</v>
      </c>
      <c r="AE2" s="21">
        <f>IFERROR(AD2*(1+INDEX(CAGR!$C$23:$C$29,MATCH($A2,CAGR!$B$23:$B$29,0))),0)</f>
        <v>7.5392239060882531E-4</v>
      </c>
      <c r="AF2" s="21">
        <f>IFERROR(AE2*(1+INDEX(CAGR!$C$23:$C$29,MATCH($A2,CAGR!$B$23:$B$29,0))),0)</f>
        <v>7.564814597470251E-4</v>
      </c>
      <c r="AG2" s="14"/>
    </row>
    <row r="3" spans="1:33">
      <c r="A3" s="1" t="s">
        <v>10</v>
      </c>
      <c r="B3" s="13">
        <f>B5*Calibration!$C$27</f>
        <v>3.2577751987202382E-4</v>
      </c>
      <c r="C3" s="13">
        <f>B3*(1+CAGR!$C$24)</f>
        <v>3.2831653309273629E-4</v>
      </c>
      <c r="D3" s="13">
        <f>C3*(1+CAGR!$C$24)</f>
        <v>3.3087533462830082E-4</v>
      </c>
      <c r="E3" s="13">
        <f>D3*(1+CAGR!$C$24)</f>
        <v>3.3345407870296543E-4</v>
      </c>
      <c r="F3" s="13">
        <f>E3*(1+CAGR!$C$24)</f>
        <v>3.3605292074295615E-4</v>
      </c>
      <c r="G3" s="13">
        <f>F3*(1+CAGR!$C$24)</f>
        <v>3.3867201738584476E-4</v>
      </c>
      <c r="H3" s="13">
        <f>G3*(1+CAGR!$C$24)</f>
        <v>3.4131152648998986E-4</v>
      </c>
      <c r="I3" s="13">
        <f>H3*(1+CAGR!$C$24)</f>
        <v>3.4397160714405112E-4</v>
      </c>
      <c r="J3" s="13">
        <f>I3*(1+CAGR!$C$24)</f>
        <v>3.4665241967657802E-4</v>
      </c>
      <c r="K3" s="13">
        <f>J3*(1+CAGR!$C$24)</f>
        <v>3.4935412566567314E-4</v>
      </c>
      <c r="L3" s="13">
        <f>K3*(1+CAGR!$C$24)</f>
        <v>3.5207688794873071E-4</v>
      </c>
      <c r="M3" s="13">
        <f>L3*(1+CAGR!$C$24)</f>
        <v>3.5482087063225135E-4</v>
      </c>
      <c r="N3" s="13">
        <f>M3*(1+CAGR!$C$24)</f>
        <v>3.5758623910173289E-4</v>
      </c>
      <c r="O3" s="13">
        <f>N3*(1+CAGR!$C$24)</f>
        <v>3.603731600316387E-4</v>
      </c>
      <c r="P3" s="13">
        <f>O3*(1+CAGR!$C$24)</f>
        <v>3.6318180139544335E-4</v>
      </c>
      <c r="Q3" s="13">
        <f>P3*(1+CAGR!$C$24)</f>
        <v>3.6601233247575681E-4</v>
      </c>
      <c r="R3" s="13">
        <f>Q3*(1+CAGR!$C$24)</f>
        <v>3.6886492387452739E-4</v>
      </c>
      <c r="S3" s="13">
        <f>R3*(1+CAGR!$C$24)</f>
        <v>3.7173974752332438E-4</v>
      </c>
      <c r="T3" s="13">
        <f>S3*(1+CAGR!$C$24)</f>
        <v>3.7463697669370055E-4</v>
      </c>
      <c r="U3" s="13">
        <f>T3*(1+CAGR!$C$24)</f>
        <v>3.775567860076358E-4</v>
      </c>
      <c r="V3" s="13">
        <f>U3*(1+CAGR!$C$24)</f>
        <v>3.8049935144806175E-4</v>
      </c>
      <c r="W3" s="13">
        <f>V3*(1+CAGR!$C$24)</f>
        <v>3.8346485036946877E-4</v>
      </c>
      <c r="X3" s="13">
        <f>W3*(1+CAGR!$C$24)</f>
        <v>3.8645346150859548E-4</v>
      </c>
      <c r="Y3" s="13">
        <f>X3*(1+CAGR!$C$24)</f>
        <v>3.8946536499520152E-4</v>
      </c>
      <c r="Z3" s="13">
        <f>Y3*(1+CAGR!$C$24)</f>
        <v>3.9250074236292439E-4</v>
      </c>
      <c r="AA3" s="13">
        <f>Z3*(1+CAGR!$C$24)</f>
        <v>3.9555977656022078E-4</v>
      </c>
      <c r="AB3" s="13">
        <f>AA3*(1+CAGR!$C$24)</f>
        <v>3.9864265196139334E-4</v>
      </c>
      <c r="AC3" s="13">
        <f>AB3*(1+CAGR!$C$24)</f>
        <v>4.0174955437770332E-4</v>
      </c>
      <c r="AD3" s="13">
        <f>AC3*(1+CAGR!$C$24)</f>
        <v>4.0488067106856962E-4</v>
      </c>
      <c r="AE3" s="13">
        <f>AD3*(1+CAGR!$C$24)</f>
        <v>4.0803619075285559E-4</v>
      </c>
      <c r="AF3" s="13">
        <f>AE3*(1+CAGR!$C$24)</f>
        <v>4.1121630362024321E-4</v>
      </c>
      <c r="AG3" s="14"/>
    </row>
    <row r="4" spans="1:33">
      <c r="A4" s="1" t="s">
        <v>11</v>
      </c>
      <c r="B4" s="14">
        <f>IFERROR(INDEX('SYFAFE frgt'!$B$3:$H$3,,MATCH($A4,'SYFAFE frgt'!$B$1:$H$1,0))*(1+INDEX(CAGR!$C$23:$C$29,MATCH($A4,CAGR!$B$23:$B$29,0))),0)</f>
        <v>2.8390284274167651E-4</v>
      </c>
      <c r="C4" s="14">
        <f>IFERROR(B4*(1+INDEX(CAGR!$C$23:$C$29,MATCH($A4,CAGR!$B$23:$B$29,0))),0)</f>
        <v>2.8674414181578868E-4</v>
      </c>
      <c r="D4" s="14">
        <f>IFERROR(C4*(1+INDEX(CAGR!$C$23:$C$29,MATCH($A4,CAGR!$B$23:$B$29,0))),0)</f>
        <v>2.8961387660526953E-4</v>
      </c>
      <c r="E4" s="14">
        <f>IFERROR(D4*(1+INDEX(CAGR!$C$23:$C$29,MATCH($A4,CAGR!$B$23:$B$29,0))),0)</f>
        <v>2.9251233169470071E-4</v>
      </c>
      <c r="F4" s="14">
        <f>IFERROR(E4*(1+INDEX(CAGR!$C$23:$C$29,MATCH($A4,CAGR!$B$23:$B$29,0))),0)</f>
        <v>2.954397945167859E-4</v>
      </c>
      <c r="G4" s="14">
        <f>IFERROR(F4*(1+INDEX(CAGR!$C$23:$C$29,MATCH($A4,CAGR!$B$23:$B$29,0))),0)</f>
        <v>2.9839655538085462E-4</v>
      </c>
      <c r="H4" s="14">
        <f>IFERROR(G4*(1+INDEX(CAGR!$C$23:$C$29,MATCH($A4,CAGR!$B$23:$B$29,0))),0)</f>
        <v>3.0138290750165157E-4</v>
      </c>
      <c r="I4" s="14">
        <f>IFERROR(H4*(1+INDEX(CAGR!$C$23:$C$29,MATCH($A4,CAGR!$B$23:$B$29,0))),0)</f>
        <v>3.0439914702841409E-4</v>
      </c>
      <c r="J4" s="14">
        <f>IFERROR(I4*(1+INDEX(CAGR!$C$23:$C$29,MATCH($A4,CAGR!$B$23:$B$29,0))),0)</f>
        <v>3.074455730742404E-4</v>
      </c>
      <c r="K4" s="14">
        <f>IFERROR(J4*(1+INDEX(CAGR!$C$23:$C$29,MATCH($A4,CAGR!$B$23:$B$29,0))),0)</f>
        <v>3.1052248774575208E-4</v>
      </c>
      <c r="L4" s="14">
        <f>IFERROR(K4*(1+INDEX(CAGR!$C$23:$C$29,MATCH($A4,CAGR!$B$23:$B$29,0))),0)</f>
        <v>3.1363019617305308E-4</v>
      </c>
      <c r="M4" s="14">
        <f>IFERROR(L4*(1+INDEX(CAGR!$C$23:$C$29,MATCH($A4,CAGR!$B$23:$B$29,0))),0)</f>
        <v>3.1676900653998888E-4</v>
      </c>
      <c r="N4" s="14">
        <f>IFERROR(M4*(1+INDEX(CAGR!$C$23:$C$29,MATCH($A4,CAGR!$B$23:$B$29,0))),0)</f>
        <v>3.1993923011470825E-4</v>
      </c>
      <c r="O4" s="14">
        <f>IFERROR(N4*(1+INDEX(CAGR!$C$23:$C$29,MATCH($A4,CAGR!$B$23:$B$29,0))),0)</f>
        <v>3.2314118128053094E-4</v>
      </c>
      <c r="P4" s="14">
        <f>IFERROR(O4*(1+INDEX(CAGR!$C$23:$C$29,MATCH($A4,CAGR!$B$23:$B$29,0))),0)</f>
        <v>3.2637517756712431E-4</v>
      </c>
      <c r="Q4" s="14">
        <f>IFERROR(P4*(1+INDEX(CAGR!$C$23:$C$29,MATCH($A4,CAGR!$B$23:$B$29,0))),0)</f>
        <v>3.2964153968199206E-4</v>
      </c>
      <c r="R4" s="14">
        <f>IFERROR(Q4*(1+INDEX(CAGR!$C$23:$C$29,MATCH($A4,CAGR!$B$23:$B$29,0))),0)</f>
        <v>3.3294059154227788E-4</v>
      </c>
      <c r="S4" s="14">
        <f>IFERROR(R4*(1+INDEX(CAGR!$C$23:$C$29,MATCH($A4,CAGR!$B$23:$B$29,0))),0)</f>
        <v>3.362726603068876E-4</v>
      </c>
      <c r="T4" s="14">
        <f>IFERROR(S4*(1+INDEX(CAGR!$C$23:$C$29,MATCH($A4,CAGR!$B$23:$B$29,0))),0)</f>
        <v>3.3963807640893264E-4</v>
      </c>
      <c r="U4" s="14">
        <f>IFERROR(T4*(1+INDEX(CAGR!$C$23:$C$29,MATCH($A4,CAGR!$B$23:$B$29,0))),0)</f>
        <v>3.4303717358849842E-4</v>
      </c>
      <c r="V4" s="14">
        <f>IFERROR(U4*(1+INDEX(CAGR!$C$23:$C$29,MATCH($A4,CAGR!$B$23:$B$29,0))),0)</f>
        <v>3.4647028892574046E-4</v>
      </c>
      <c r="W4" s="14">
        <f>IFERROR(V4*(1+INDEX(CAGR!$C$23:$C$29,MATCH($A4,CAGR!$B$23:$B$29,0))),0)</f>
        <v>3.4993776287431172E-4</v>
      </c>
      <c r="X4" s="14">
        <f>IFERROR(W4*(1+INDEX(CAGR!$C$23:$C$29,MATCH($A4,CAGR!$B$23:$B$29,0))),0)</f>
        <v>3.5343993929512469E-4</v>
      </c>
      <c r="Y4" s="14">
        <f>IFERROR(X4*(1+INDEX(CAGR!$C$23:$C$29,MATCH($A4,CAGR!$B$23:$B$29,0))),0)</f>
        <v>3.5697716549045112E-4</v>
      </c>
      <c r="Z4" s="14">
        <f>IFERROR(Y4*(1+INDEX(CAGR!$C$23:$C$29,MATCH($A4,CAGR!$B$23:$B$29,0))),0)</f>
        <v>3.6054979223836328E-4</v>
      </c>
      <c r="AA4" s="14">
        <f>IFERROR(Z4*(1+INDEX(CAGR!$C$23:$C$29,MATCH($A4,CAGR!$B$23:$B$29,0))),0)</f>
        <v>3.641581738275196E-4</v>
      </c>
      <c r="AB4" s="14">
        <f>IFERROR(AA4*(1+INDEX(CAGR!$C$23:$C$29,MATCH($A4,CAGR!$B$23:$B$29,0))),0)</f>
        <v>3.6780266809229869E-4</v>
      </c>
      <c r="AC4" s="14">
        <f>IFERROR(AB4*(1+INDEX(CAGR!$C$23:$C$29,MATCH($A4,CAGR!$B$23:$B$29,0))),0)</f>
        <v>3.714836364482849E-4</v>
      </c>
      <c r="AD4" s="14">
        <f>IFERROR(AC4*(1+INDEX(CAGR!$C$23:$C$29,MATCH($A4,CAGR!$B$23:$B$29,0))),0)</f>
        <v>3.7520144392810904E-4</v>
      </c>
      <c r="AE4" s="14">
        <f>IFERROR(AD4*(1+INDEX(CAGR!$C$23:$C$29,MATCH($A4,CAGR!$B$23:$B$29,0))),0)</f>
        <v>3.7895645921764769E-4</v>
      </c>
      <c r="AF4" s="14">
        <f>IFERROR(AE4*(1+INDEX(CAGR!$C$23:$C$29,MATCH($A4,CAGR!$B$23:$B$29,0))),0)</f>
        <v>3.8274905469258503E-4</v>
      </c>
      <c r="AG4" s="14"/>
    </row>
    <row r="5" spans="1:33">
      <c r="A5" s="1" t="s">
        <v>12</v>
      </c>
      <c r="B5" s="14">
        <f>IFERROR(INDEX('SYFAFE frgt'!$B$3:$H$3,,MATCH($A5,'SYFAFE frgt'!$B$1:$H$1,0))*(1+INDEX(CAGR!$C$23:$C$29,MATCH($A5,CAGR!$B$23:$B$29,0))),0)</f>
        <v>3.1648380841913144E-4</v>
      </c>
      <c r="C5" s="14">
        <f>IFERROR(B5*(1+INDEX(CAGR!$C$23:$C$29,MATCH($A5,CAGR!$B$23:$B$29,0))),0)</f>
        <v>3.1905540563598937E-4</v>
      </c>
      <c r="D5" s="14">
        <f>IFERROR(C5*(1+INDEX(CAGR!$C$23:$C$29,MATCH($A5,CAGR!$B$23:$B$29,0))),0)</f>
        <v>3.2164789843129344E-4</v>
      </c>
      <c r="E5" s="14">
        <f>IFERROR(D5*(1+INDEX(CAGR!$C$23:$C$29,MATCH($A5,CAGR!$B$23:$B$29,0))),0)</f>
        <v>3.2426145659259658E-4</v>
      </c>
      <c r="F5" s="14">
        <f>IFERROR(E5*(1+INDEX(CAGR!$C$23:$C$29,MATCH($A5,CAGR!$B$23:$B$29,0))),0)</f>
        <v>3.268962512870648E-4</v>
      </c>
      <c r="G5" s="14">
        <f>IFERROR(F5*(1+INDEX(CAGR!$C$23:$C$29,MATCH($A5,CAGR!$B$23:$B$29,0))),0)</f>
        <v>3.2955245507268726E-4</v>
      </c>
      <c r="H5" s="14">
        <f>IFERROR(G5*(1+INDEX(CAGR!$C$23:$C$29,MATCH($A5,CAGR!$B$23:$B$29,0))),0)</f>
        <v>3.3223024190957742E-4</v>
      </c>
      <c r="I5" s="14">
        <f>IFERROR(H5*(1+INDEX(CAGR!$C$23:$C$29,MATCH($A5,CAGR!$B$23:$B$29,0))),0)</f>
        <v>3.349297871713661E-4</v>
      </c>
      <c r="J5" s="14">
        <f>IFERROR(I5*(1+INDEX(CAGR!$C$23:$C$29,MATCH($A5,CAGR!$B$23:$B$29,0))),0)</f>
        <v>3.3765126765668697E-4</v>
      </c>
      <c r="K5" s="14">
        <f>IFERROR(J5*(1+INDEX(CAGR!$C$23:$C$29,MATCH($A5,CAGR!$B$23:$B$29,0))),0)</f>
        <v>3.4039486160075553E-4</v>
      </c>
      <c r="L5" s="14">
        <f>IFERROR(K5*(1+INDEX(CAGR!$C$23:$C$29,MATCH($A5,CAGR!$B$23:$B$29,0))),0)</f>
        <v>3.4316074868704201E-4</v>
      </c>
      <c r="M5" s="14">
        <f>IFERROR(L5*(1+INDEX(CAGR!$C$23:$C$29,MATCH($A5,CAGR!$B$23:$B$29,0))),0)</f>
        <v>3.4594911005903927E-4</v>
      </c>
      <c r="N5" s="14">
        <f>IFERROR(M5*(1+INDEX(CAGR!$C$23:$C$29,MATCH($A5,CAGR!$B$23:$B$29,0))),0)</f>
        <v>3.4876012833212611E-4</v>
      </c>
      <c r="O5" s="14">
        <f>IFERROR(N5*(1+INDEX(CAGR!$C$23:$C$29,MATCH($A5,CAGR!$B$23:$B$29,0))),0)</f>
        <v>3.5159398760552739E-4</v>
      </c>
      <c r="P5" s="14">
        <f>IFERROR(O5*(1+INDEX(CAGR!$C$23:$C$29,MATCH($A5,CAGR!$B$23:$B$29,0))),0)</f>
        <v>3.5445087347437076E-4</v>
      </c>
      <c r="Q5" s="14">
        <f>IFERROR(P5*(1+INDEX(CAGR!$C$23:$C$29,MATCH($A5,CAGR!$B$23:$B$29,0))),0)</f>
        <v>3.5733097304184187E-4</v>
      </c>
      <c r="R5" s="14">
        <f>IFERROR(Q5*(1+INDEX(CAGR!$C$23:$C$29,MATCH($A5,CAGR!$B$23:$B$29,0))),0)</f>
        <v>3.60234474931438E-4</v>
      </c>
      <c r="S5" s="14">
        <f>IFERROR(R5*(1+INDEX(CAGR!$C$23:$C$29,MATCH($A5,CAGR!$B$23:$B$29,0))),0)</f>
        <v>3.6316156929932153E-4</v>
      </c>
      <c r="T5" s="14">
        <f>IFERROR(S5*(1+INDEX(CAGR!$C$23:$C$29,MATCH($A5,CAGR!$B$23:$B$29,0))),0)</f>
        <v>3.6611244784677343E-4</v>
      </c>
      <c r="U5" s="14">
        <f>IFERROR(T5*(1+INDEX(CAGR!$C$23:$C$29,MATCH($A5,CAGR!$B$23:$B$29,0))),0)</f>
        <v>3.6908730383274839E-4</v>
      </c>
      <c r="V5" s="14">
        <f>IFERROR(U5*(1+INDEX(CAGR!$C$23:$C$29,MATCH($A5,CAGR!$B$23:$B$29,0))),0)</f>
        <v>3.720863320865316E-4</v>
      </c>
      <c r="W5" s="14">
        <f>IFERROR(V5*(1+INDEX(CAGR!$C$23:$C$29,MATCH($A5,CAGR!$B$23:$B$29,0))),0)</f>
        <v>3.7510972902049858E-4</v>
      </c>
      <c r="X5" s="14">
        <f>IFERROR(W5*(1+INDEX(CAGR!$C$23:$C$29,MATCH($A5,CAGR!$B$23:$B$29,0))),0)</f>
        <v>3.7815769264297857E-4</v>
      </c>
      <c r="Y5" s="14">
        <f>IFERROR(X5*(1+INDEX(CAGR!$C$23:$C$29,MATCH($A5,CAGR!$B$23:$B$29,0))),0)</f>
        <v>3.8123042257122257E-4</v>
      </c>
      <c r="Z5" s="14">
        <f>IFERROR(Y5*(1+INDEX(CAGR!$C$23:$C$29,MATCH($A5,CAGR!$B$23:$B$29,0))),0)</f>
        <v>3.843281200444765E-4</v>
      </c>
      <c r="AA5" s="14">
        <f>IFERROR(Z5*(1+INDEX(CAGR!$C$23:$C$29,MATCH($A5,CAGR!$B$23:$B$29,0))),0)</f>
        <v>3.8745098793716102E-4</v>
      </c>
      <c r="AB5" s="14">
        <f>IFERROR(AA5*(1+INDEX(CAGR!$C$23:$C$29,MATCH($A5,CAGR!$B$23:$B$29,0))),0)</f>
        <v>3.9059923077215789E-4</v>
      </c>
      <c r="AC5" s="14">
        <f>IFERROR(AB5*(1+INDEX(CAGR!$C$23:$C$29,MATCH($A5,CAGR!$B$23:$B$29,0))),0)</f>
        <v>3.9377305473420489E-4</v>
      </c>
      <c r="AD5" s="14">
        <f>IFERROR(AC5*(1+INDEX(CAGR!$C$23:$C$29,MATCH($A5,CAGR!$B$23:$B$29,0))),0)</f>
        <v>3.9697266768339901E-4</v>
      </c>
      <c r="AE5" s="14">
        <f>IFERROR(AD5*(1+INDEX(CAGR!$C$23:$C$29,MATCH($A5,CAGR!$B$23:$B$29,0))),0)</f>
        <v>4.0019827916880981E-4</v>
      </c>
      <c r="AF5" s="14">
        <f>IFERROR(AE5*(1+INDEX(CAGR!$C$23:$C$29,MATCH($A5,CAGR!$B$23:$B$29,0))),0)</f>
        <v>4.0345010044220302E-4</v>
      </c>
      <c r="AG5" s="14"/>
    </row>
    <row r="6" spans="1:33">
      <c r="A6" s="1" t="s">
        <v>13</v>
      </c>
      <c r="B6" s="13">
        <f>B5*Calibration!$E$26</f>
        <v>7.0177469464142289E-4</v>
      </c>
      <c r="C6" s="13">
        <f>B6*(1+CAGR!$C$27)</f>
        <v>7.0177469464142289E-4</v>
      </c>
      <c r="D6" s="13">
        <f>C6*(1+CAGR!$C$27)</f>
        <v>7.0177469464142289E-4</v>
      </c>
      <c r="E6" s="13">
        <f>D6*(1+CAGR!$C$27)</f>
        <v>7.0177469464142289E-4</v>
      </c>
      <c r="F6" s="13">
        <f>E6*(1+CAGR!$C$27)</f>
        <v>7.0177469464142289E-4</v>
      </c>
      <c r="G6" s="13">
        <f>F6*(1+CAGR!$C$27)</f>
        <v>7.0177469464142289E-4</v>
      </c>
      <c r="H6" s="13">
        <f>G6*(1+CAGR!$C$27)</f>
        <v>7.0177469464142289E-4</v>
      </c>
      <c r="I6" s="13">
        <f>H6*(1+CAGR!$C$27)</f>
        <v>7.0177469464142289E-4</v>
      </c>
      <c r="J6" s="13">
        <f>I6*(1+CAGR!$C$27)</f>
        <v>7.0177469464142289E-4</v>
      </c>
      <c r="K6" s="13">
        <f>J6*(1+CAGR!$C$27)</f>
        <v>7.0177469464142289E-4</v>
      </c>
      <c r="L6" s="13">
        <f>K6*(1+CAGR!$C$27)</f>
        <v>7.0177469464142289E-4</v>
      </c>
      <c r="M6" s="13">
        <f>L6*(1+CAGR!$C$27)</f>
        <v>7.0177469464142289E-4</v>
      </c>
      <c r="N6" s="13">
        <f>M6*(1+CAGR!$C$27)</f>
        <v>7.0177469464142289E-4</v>
      </c>
      <c r="O6" s="13">
        <f>N6*(1+CAGR!$C$27)</f>
        <v>7.0177469464142289E-4</v>
      </c>
      <c r="P6" s="13">
        <f>O6*(1+CAGR!$C$27)</f>
        <v>7.0177469464142289E-4</v>
      </c>
      <c r="Q6" s="13">
        <f>P6*(1+CAGR!$C$27)</f>
        <v>7.0177469464142289E-4</v>
      </c>
      <c r="R6" s="13">
        <f>Q6*(1+CAGR!$C$27)</f>
        <v>7.0177469464142289E-4</v>
      </c>
      <c r="S6" s="13">
        <f>R6*(1+CAGR!$C$27)</f>
        <v>7.0177469464142289E-4</v>
      </c>
      <c r="T6" s="13">
        <f>S6*(1+CAGR!$C$27)</f>
        <v>7.0177469464142289E-4</v>
      </c>
      <c r="U6" s="13">
        <f>T6*(1+CAGR!$C$27)</f>
        <v>7.0177469464142289E-4</v>
      </c>
      <c r="V6" s="13">
        <f>U6*(1+CAGR!$C$27)</f>
        <v>7.0177469464142289E-4</v>
      </c>
      <c r="W6" s="13">
        <f>V6*(1+CAGR!$C$27)</f>
        <v>7.0177469464142289E-4</v>
      </c>
      <c r="X6" s="13">
        <f>W6*(1+CAGR!$C$27)</f>
        <v>7.0177469464142289E-4</v>
      </c>
      <c r="Y6" s="13">
        <f>X6*(1+CAGR!$C$27)</f>
        <v>7.0177469464142289E-4</v>
      </c>
      <c r="Z6" s="13">
        <f>Y6*(1+CAGR!$C$27)</f>
        <v>7.0177469464142289E-4</v>
      </c>
      <c r="AA6" s="13">
        <f>Z6*(1+CAGR!$C$27)</f>
        <v>7.0177469464142289E-4</v>
      </c>
      <c r="AB6" s="13">
        <f>AA6*(1+CAGR!$C$27)</f>
        <v>7.0177469464142289E-4</v>
      </c>
      <c r="AC6" s="13">
        <f>AB6*(1+CAGR!$C$27)</f>
        <v>7.0177469464142289E-4</v>
      </c>
      <c r="AD6" s="13">
        <f>AC6*(1+CAGR!$C$27)</f>
        <v>7.0177469464142289E-4</v>
      </c>
      <c r="AE6" s="13">
        <f>AD6*(1+CAGR!$C$27)</f>
        <v>7.0177469464142289E-4</v>
      </c>
      <c r="AF6" s="13">
        <f>AE6*(1+CAGR!$C$27)</f>
        <v>7.0177469464142289E-4</v>
      </c>
      <c r="AG6" s="14"/>
    </row>
    <row r="7" spans="1:33">
      <c r="A7" s="1" t="s">
        <v>14</v>
      </c>
      <c r="B7" s="14">
        <f>IFERROR(INDEX('SYFAFE frgt'!$B$3:$H$3,,MATCH($A7,'SYFAFE frgt'!$B$1:$H$1,0))*(1+INDEX(CAGR!$C$23:$C$29,MATCH($A7,CAGR!$B$23:$B$29,0))),0)</f>
        <v>2.9022357262200552E-4</v>
      </c>
      <c r="C7" s="14">
        <f>IFERROR(B7*(1+INDEX(CAGR!$C$23:$C$29,MATCH($A7,CAGR!$B$23:$B$29,0))),0)</f>
        <v>2.9290631637952095E-4</v>
      </c>
      <c r="D7" s="14">
        <f>IFERROR(C7*(1+INDEX(CAGR!$C$23:$C$29,MATCH($A7,CAGR!$B$23:$B$29,0))),0)</f>
        <v>2.9561385865358505E-4</v>
      </c>
      <c r="E7" s="14">
        <f>IFERROR(D7*(1+INDEX(CAGR!$C$23:$C$29,MATCH($A7,CAGR!$B$23:$B$29,0))),0)</f>
        <v>2.9834642867459724E-4</v>
      </c>
      <c r="F7" s="14">
        <f>IFERROR(E7*(1+INDEX(CAGR!$C$23:$C$29,MATCH($A7,CAGR!$B$23:$B$29,0))),0)</f>
        <v>3.0110425779189721E-4</v>
      </c>
      <c r="G7" s="14">
        <f>IFERROR(F7*(1+INDEX(CAGR!$C$23:$C$29,MATCH($A7,CAGR!$B$23:$B$29,0))),0)</f>
        <v>3.0388757949335188E-4</v>
      </c>
      <c r="H7" s="14">
        <f>IFERROR(G7*(1+INDEX(CAGR!$C$23:$C$29,MATCH($A7,CAGR!$B$23:$B$29,0))),0)</f>
        <v>3.0669662942512315E-4</v>
      </c>
      <c r="I7" s="14">
        <f>IFERROR(H7*(1+INDEX(CAGR!$C$23:$C$29,MATCH($A7,CAGR!$B$23:$B$29,0))),0)</f>
        <v>3.0953164541161883E-4</v>
      </c>
      <c r="J7" s="14">
        <f>IFERROR(I7*(1+INDEX(CAGR!$C$23:$C$29,MATCH($A7,CAGR!$B$23:$B$29,0))),0)</f>
        <v>3.123928674756275E-4</v>
      </c>
      <c r="K7" s="14">
        <f>IFERROR(J7*(1+INDEX(CAGR!$C$23:$C$29,MATCH($A7,CAGR!$B$23:$B$29,0))),0)</f>
        <v>3.1528053785863982E-4</v>
      </c>
      <c r="L7" s="14">
        <f>IFERROR(K7*(1+INDEX(CAGR!$C$23:$C$29,MATCH($A7,CAGR!$B$23:$B$29,0))),0)</f>
        <v>3.1819490104135752E-4</v>
      </c>
      <c r="M7" s="14">
        <f>IFERROR(L7*(1+INDEX(CAGR!$C$23:$C$29,MATCH($A7,CAGR!$B$23:$B$29,0))),0)</f>
        <v>3.2113620376439216E-4</v>
      </c>
      <c r="N7" s="14">
        <f>IFERROR(M7*(1+INDEX(CAGR!$C$23:$C$29,MATCH($A7,CAGR!$B$23:$B$29,0))),0)</f>
        <v>3.2410469504915487E-4</v>
      </c>
      <c r="O7" s="14">
        <f>IFERROR(N7*(1+INDEX(CAGR!$C$23:$C$29,MATCH($A7,CAGR!$B$23:$B$29,0))),0)</f>
        <v>3.2710062621893964E-4</v>
      </c>
      <c r="P7" s="14">
        <f>IFERROR(O7*(1+INDEX(CAGR!$C$23:$C$29,MATCH($A7,CAGR!$B$23:$B$29,0))),0)</f>
        <v>3.3012425092020112E-4</v>
      </c>
      <c r="Q7" s="14">
        <f>IFERROR(P7*(1+INDEX(CAGR!$C$23:$C$29,MATCH($A7,CAGR!$B$23:$B$29,0))),0)</f>
        <v>3.3317582514402928E-4</v>
      </c>
      <c r="R7" s="14">
        <f>IFERROR(Q7*(1+INDEX(CAGR!$C$23:$C$29,MATCH($A7,CAGR!$B$23:$B$29,0))),0)</f>
        <v>3.3625560724782254E-4</v>
      </c>
      <c r="S7" s="14">
        <f>IFERROR(R7*(1+INDEX(CAGR!$C$23:$C$29,MATCH($A7,CAGR!$B$23:$B$29,0))),0)</f>
        <v>3.3936385797716135E-4</v>
      </c>
      <c r="T7" s="14">
        <f>IFERROR(S7*(1+INDEX(CAGR!$C$23:$C$29,MATCH($A7,CAGR!$B$23:$B$29,0))),0)</f>
        <v>3.4250084048788369E-4</v>
      </c>
      <c r="U7" s="14">
        <f>IFERROR(T7*(1+INDEX(CAGR!$C$23:$C$29,MATCH($A7,CAGR!$B$23:$B$29,0))),0)</f>
        <v>3.4566682036836494E-4</v>
      </c>
      <c r="V7" s="14">
        <f>IFERROR(U7*(1+INDEX(CAGR!$C$23:$C$29,MATCH($A7,CAGR!$B$23:$B$29,0))),0)</f>
        <v>3.4886206566200353E-4</v>
      </c>
      <c r="W7" s="14">
        <f>IFERROR(V7*(1+INDEX(CAGR!$C$23:$C$29,MATCH($A7,CAGR!$B$23:$B$29,0))),0)</f>
        <v>3.5208684688991441E-4</v>
      </c>
      <c r="X7" s="14">
        <f>IFERROR(W7*(1+INDEX(CAGR!$C$23:$C$29,MATCH($A7,CAGR!$B$23:$B$29,0))),0)</f>
        <v>3.5534143707383249E-4</v>
      </c>
      <c r="Y7" s="14">
        <f>IFERROR(X7*(1+INDEX(CAGR!$C$23:$C$29,MATCH($A7,CAGR!$B$23:$B$29,0))),0)</f>
        <v>3.5862611175922743E-4</v>
      </c>
      <c r="Z7" s="14">
        <f>IFERROR(Y7*(1+INDEX(CAGR!$C$23:$C$29,MATCH($A7,CAGR!$B$23:$B$29,0))),0)</f>
        <v>3.6194114903863257E-4</v>
      </c>
      <c r="AA7" s="14">
        <f>IFERROR(Z7*(1+INDEX(CAGR!$C$23:$C$29,MATCH($A7,CAGR!$B$23:$B$29,0))),0)</f>
        <v>3.6528682957518913E-4</v>
      </c>
      <c r="AB7" s="14">
        <f>IFERROR(AA7*(1+INDEX(CAGR!$C$23:$C$29,MATCH($A7,CAGR!$B$23:$B$29,0))),0)</f>
        <v>3.6866343662640818E-4</v>
      </c>
      <c r="AC7" s="14">
        <f>IFERROR(AB7*(1+INDEX(CAGR!$C$23:$C$29,MATCH($A7,CAGR!$B$23:$B$29,0))),0)</f>
        <v>3.7207125606815222E-4</v>
      </c>
      <c r="AD7" s="14">
        <f>IFERROR(AC7*(1+INDEX(CAGR!$C$23:$C$29,MATCH($A7,CAGR!$B$23:$B$29,0))),0)</f>
        <v>3.7551057641883856E-4</v>
      </c>
      <c r="AE7" s="14">
        <f>IFERROR(AD7*(1+INDEX(CAGR!$C$23:$C$29,MATCH($A7,CAGR!$B$23:$B$29,0))),0)</f>
        <v>3.7898168886386631E-4</v>
      </c>
      <c r="AF7" s="14">
        <f>IFERROR(AE7*(1+INDEX(CAGR!$C$23:$C$29,MATCH($A7,CAGR!$B$23:$B$29,0))),0)</f>
        <v>3.8248488728026916E-4</v>
      </c>
      <c r="AG7" s="14"/>
    </row>
    <row r="8" spans="1:33">
      <c r="A8" s="1" t="s">
        <v>15</v>
      </c>
      <c r="B8" s="13">
        <f>B5*Calibration!$F$27</f>
        <v>0</v>
      </c>
      <c r="C8" s="13">
        <f>B8*(1+CAGR!$C$29)</f>
        <v>0</v>
      </c>
      <c r="D8" s="13">
        <f>C8*(1+CAGR!$C$29)</f>
        <v>0</v>
      </c>
      <c r="E8" s="13">
        <f>D8*(1+CAGR!$C$29)</f>
        <v>0</v>
      </c>
      <c r="F8" s="13">
        <f>E8*(1+CAGR!$C$29)</f>
        <v>0</v>
      </c>
      <c r="G8" s="13">
        <f>F8*(1+CAGR!$C$29)</f>
        <v>0</v>
      </c>
      <c r="H8" s="13">
        <f>G8*(1+CAGR!$C$29)</f>
        <v>0</v>
      </c>
      <c r="I8" s="13">
        <f>H8*(1+CAGR!$C$29)</f>
        <v>0</v>
      </c>
      <c r="J8" s="13">
        <f>I8*(1+CAGR!$C$29)</f>
        <v>0</v>
      </c>
      <c r="K8" s="13">
        <f>J8*(1+CAGR!$C$29)</f>
        <v>0</v>
      </c>
      <c r="L8" s="13">
        <f>K8*(1+CAGR!$C$29)</f>
        <v>0</v>
      </c>
      <c r="M8" s="13">
        <f>L8*(1+CAGR!$C$29)</f>
        <v>0</v>
      </c>
      <c r="N8" s="13">
        <f>M8*(1+CAGR!$C$29)</f>
        <v>0</v>
      </c>
      <c r="O8" s="13">
        <f>N8*(1+CAGR!$C$29)</f>
        <v>0</v>
      </c>
      <c r="P8" s="13">
        <f>O8*(1+CAGR!$C$29)</f>
        <v>0</v>
      </c>
      <c r="Q8" s="13">
        <f>P8*(1+CAGR!$C$29)</f>
        <v>0</v>
      </c>
      <c r="R8" s="13">
        <f>Q8*(1+CAGR!$C$29)</f>
        <v>0</v>
      </c>
      <c r="S8" s="13">
        <f>R8*(1+CAGR!$C$29)</f>
        <v>0</v>
      </c>
      <c r="T8" s="13">
        <f>S8*(1+CAGR!$C$29)</f>
        <v>0</v>
      </c>
      <c r="U8" s="13">
        <f>T8*(1+CAGR!$C$29)</f>
        <v>0</v>
      </c>
      <c r="V8" s="13">
        <f>U8*(1+CAGR!$C$29)</f>
        <v>0</v>
      </c>
      <c r="W8" s="13">
        <f>V8*(1+CAGR!$C$29)</f>
        <v>0</v>
      </c>
      <c r="X8" s="13">
        <f>W8*(1+CAGR!$C$29)</f>
        <v>0</v>
      </c>
      <c r="Y8" s="13">
        <f>X8*(1+CAGR!$C$29)</f>
        <v>0</v>
      </c>
      <c r="Z8" s="13">
        <f>Y8*(1+CAGR!$C$29)</f>
        <v>0</v>
      </c>
      <c r="AA8" s="13">
        <f>Z8*(1+CAGR!$C$29)</f>
        <v>0</v>
      </c>
      <c r="AB8" s="13">
        <f>AA8*(1+CAGR!$C$29)</f>
        <v>0</v>
      </c>
      <c r="AC8" s="13">
        <f>AB8*(1+CAGR!$C$29)</f>
        <v>0</v>
      </c>
      <c r="AD8" s="13">
        <f>AC8*(1+CAGR!$C$29)</f>
        <v>0</v>
      </c>
      <c r="AE8" s="13">
        <f>AD8*(1+CAGR!$C$29)</f>
        <v>0</v>
      </c>
      <c r="AF8" s="13">
        <f>AE8*(1+CAGR!$C$29)</f>
        <v>0</v>
      </c>
      <c r="AG8" s="14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C3C7-AA0C-4A82-B7C4-68B2E4B4CB1A}">
  <sheetPr>
    <tabColor rgb="FF1F497D"/>
  </sheetPr>
  <dimension ref="A1:AG8"/>
  <sheetViews>
    <sheetView workbookViewId="0"/>
  </sheetViews>
  <sheetFormatPr defaultRowHeight="14.5"/>
  <cols>
    <col min="1" max="1" width="32.7265625" bestFit="1" customWidth="1"/>
    <col min="2" max="3" width="9" customWidth="1"/>
    <col min="4" max="33" width="9.269531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3">
        <f>B5*Calibration!B32</f>
        <v>1.3831561458134379E-3</v>
      </c>
      <c r="C2" s="13">
        <f>B2*(1+CAGR!$C$30)</f>
        <v>1.3979148365553746E-3</v>
      </c>
      <c r="D2" s="13">
        <f>C2*(1+CAGR!$C$30)</f>
        <v>1.4128310069521394E-3</v>
      </c>
      <c r="E2" s="13">
        <f>D2*(1+CAGR!$C$30)</f>
        <v>1.4279063373588614E-3</v>
      </c>
      <c r="F2" s="13">
        <f>E2*(1+CAGR!$C$30)</f>
        <v>1.4431425260605624E-3</v>
      </c>
      <c r="G2" s="13">
        <f>F2*(1+CAGR!$C$30)</f>
        <v>1.4585412894634747E-3</v>
      </c>
      <c r="H2" s="13">
        <f>G2*(1+CAGR!$C$30)</f>
        <v>1.4741043622883998E-3</v>
      </c>
      <c r="I2" s="13">
        <f>H2*(1+CAGR!$C$30)</f>
        <v>1.4898334977661296E-3</v>
      </c>
      <c r="J2" s="13">
        <f>I2*(1+CAGR!$C$30)</f>
        <v>1.5057304678349551E-3</v>
      </c>
      <c r="K2" s="13">
        <f>J2*(1+CAGR!$C$30)</f>
        <v>1.5217970633402793E-3</v>
      </c>
      <c r="L2" s="13">
        <f>K2*(1+CAGR!$C$30)</f>
        <v>1.538035094236363E-3</v>
      </c>
      <c r="M2" s="13">
        <f>L2*(1+CAGR!$C$30)</f>
        <v>1.5544463897902213E-3</v>
      </c>
      <c r="N2" s="13">
        <f>M2*(1+CAGR!$C$30)</f>
        <v>1.571032798787697E-3</v>
      </c>
      <c r="O2" s="13">
        <f>N2*(1+CAGR!$C$30)</f>
        <v>1.5877961897417321E-3</v>
      </c>
      <c r="P2" s="13">
        <f>O2*(1+CAGR!$C$30)</f>
        <v>1.6047384511028615E-3</v>
      </c>
      <c r="Q2" s="13">
        <f>P2*(1+CAGR!$C$30)</f>
        <v>1.6218614914719539E-3</v>
      </c>
      <c r="R2" s="13">
        <f>Q2*(1+CAGR!$C$30)</f>
        <v>1.6391672398152213E-3</v>
      </c>
      <c r="S2" s="13">
        <f>R2*(1+CAGR!$C$30)</f>
        <v>1.6566576456815232E-3</v>
      </c>
      <c r="T2" s="13">
        <f>S2*(1+CAGR!$C$30)</f>
        <v>1.6743346794219904E-3</v>
      </c>
      <c r="U2" s="13">
        <f>T2*(1+CAGR!$C$30)</f>
        <v>1.6922003324119906E-3</v>
      </c>
      <c r="V2" s="13">
        <f>U2*(1+CAGR!$C$30)</f>
        <v>1.7102566172754639E-3</v>
      </c>
      <c r="W2" s="13">
        <f>V2*(1+CAGR!$C$30)</f>
        <v>1.728505568111651E-3</v>
      </c>
      <c r="X2" s="13">
        <f>W2*(1+CAGR!$C$30)</f>
        <v>1.7469492407242416E-3</v>
      </c>
      <c r="Y2" s="13">
        <f>X2*(1+CAGR!$C$30)</f>
        <v>1.7655897128529667E-3</v>
      </c>
      <c r="Z2" s="13">
        <f>Y2*(1+CAGR!$C$30)</f>
        <v>1.7844290844076635E-3</v>
      </c>
      <c r="AA2" s="13">
        <f>Z2*(1+CAGR!$C$30)</f>
        <v>1.8034694777048367E-3</v>
      </c>
      <c r="AB2" s="13">
        <f>AA2*(1+CAGR!$C$30)</f>
        <v>1.8227130377067441E-3</v>
      </c>
      <c r="AC2" s="13">
        <f>AB2*(1+CAGR!$C$30)</f>
        <v>1.8421619322630341E-3</v>
      </c>
      <c r="AD2" s="13">
        <f>AC2*(1+CAGR!$C$30)</f>
        <v>1.8618183523549604E-3</v>
      </c>
      <c r="AE2" s="13">
        <f>AD2*(1+CAGR!$C$30)</f>
        <v>1.881684512342204E-3</v>
      </c>
      <c r="AF2" s="13">
        <f>AE2*(1+CAGR!$C$30)</f>
        <v>1.9017626502123273E-3</v>
      </c>
      <c r="AG2" s="14"/>
    </row>
    <row r="3" spans="1:33">
      <c r="A3" s="1" t="s">
        <v>10</v>
      </c>
      <c r="B3" s="14">
        <f>'US-aircraft-psgr'!B3</f>
        <v>0</v>
      </c>
      <c r="C3" s="14">
        <f>'US-aircraft-psgr'!C3</f>
        <v>0</v>
      </c>
      <c r="D3" s="14">
        <f>'US-aircraft-psgr'!D3</f>
        <v>0</v>
      </c>
      <c r="E3" s="14">
        <f>'US-aircraft-psgr'!E3</f>
        <v>0</v>
      </c>
      <c r="F3" s="14">
        <f>'US-aircraft-psgr'!F3</f>
        <v>0</v>
      </c>
      <c r="G3" s="14">
        <f>'US-aircraft-psgr'!G3</f>
        <v>0</v>
      </c>
      <c r="H3" s="14">
        <f>'US-aircraft-psgr'!H3</f>
        <v>0</v>
      </c>
      <c r="I3" s="14">
        <f>'US-aircraft-psgr'!I3</f>
        <v>0</v>
      </c>
      <c r="J3" s="14">
        <f>'US-aircraft-psgr'!J3</f>
        <v>0</v>
      </c>
      <c r="K3" s="14">
        <f>'US-aircraft-psgr'!K3</f>
        <v>0</v>
      </c>
      <c r="L3" s="14">
        <f>'US-aircraft-psgr'!L3</f>
        <v>0</v>
      </c>
      <c r="M3" s="14">
        <f>'US-aircraft-psgr'!M3</f>
        <v>0</v>
      </c>
      <c r="N3" s="14">
        <f>'US-aircraft-psgr'!N3</f>
        <v>0</v>
      </c>
      <c r="O3" s="14">
        <f>'US-aircraft-psgr'!O3</f>
        <v>0</v>
      </c>
      <c r="P3" s="14">
        <f>'US-aircraft-psgr'!P3</f>
        <v>0</v>
      </c>
      <c r="Q3" s="14">
        <f>'US-aircraft-psgr'!Q3</f>
        <v>0</v>
      </c>
      <c r="R3" s="14">
        <f>'US-aircraft-psgr'!R3</f>
        <v>0</v>
      </c>
      <c r="S3" s="14">
        <f>'US-aircraft-psgr'!S3</f>
        <v>0</v>
      </c>
      <c r="T3" s="14">
        <f>'US-aircraft-psgr'!T3</f>
        <v>0</v>
      </c>
      <c r="U3" s="14">
        <f>'US-aircraft-psgr'!U3</f>
        <v>0</v>
      </c>
      <c r="V3" s="14">
        <f>'US-aircraft-psgr'!V3</f>
        <v>0</v>
      </c>
      <c r="W3" s="14">
        <f>'US-aircraft-psgr'!W3</f>
        <v>0</v>
      </c>
      <c r="X3" s="14">
        <f>'US-aircraft-psgr'!X3</f>
        <v>0</v>
      </c>
      <c r="Y3" s="14">
        <f>'US-aircraft-psgr'!Y3</f>
        <v>0</v>
      </c>
      <c r="Z3" s="14">
        <f>'US-aircraft-psgr'!Z3</f>
        <v>0</v>
      </c>
      <c r="AA3" s="14">
        <f>'US-aircraft-psgr'!AA3</f>
        <v>0</v>
      </c>
      <c r="AB3" s="14">
        <f>'US-aircraft-psgr'!AB3</f>
        <v>0</v>
      </c>
      <c r="AC3" s="14">
        <f>'US-aircraft-psgr'!AC3</f>
        <v>0</v>
      </c>
      <c r="AD3" s="14">
        <f>'US-aircraft-psgr'!AD3</f>
        <v>0</v>
      </c>
      <c r="AE3" s="14">
        <f>'US-aircraft-psgr'!AE3</f>
        <v>0</v>
      </c>
      <c r="AF3" s="14">
        <f>'US-aircraft-psgr'!AF3</f>
        <v>0</v>
      </c>
      <c r="AG3" s="14"/>
    </row>
    <row r="4" spans="1:33">
      <c r="A4" s="1" t="s">
        <v>11</v>
      </c>
      <c r="B4" s="14">
        <f>'US-aircraft-psgr'!B4</f>
        <v>0</v>
      </c>
      <c r="C4" s="14">
        <f>'US-aircraft-psgr'!C4</f>
        <v>0</v>
      </c>
      <c r="D4" s="14">
        <f>'US-aircraft-psgr'!D4</f>
        <v>0</v>
      </c>
      <c r="E4" s="14">
        <f>'US-aircraft-psgr'!E4</f>
        <v>0</v>
      </c>
      <c r="F4" s="14">
        <f>'US-aircraft-psgr'!F4</f>
        <v>0</v>
      </c>
      <c r="G4" s="14">
        <f>'US-aircraft-psgr'!G4</f>
        <v>0</v>
      </c>
      <c r="H4" s="14">
        <f>'US-aircraft-psgr'!H4</f>
        <v>0</v>
      </c>
      <c r="I4" s="14">
        <f>'US-aircraft-psgr'!I4</f>
        <v>0</v>
      </c>
      <c r="J4" s="14">
        <f>'US-aircraft-psgr'!J4</f>
        <v>0</v>
      </c>
      <c r="K4" s="14">
        <f>'US-aircraft-psgr'!K4</f>
        <v>0</v>
      </c>
      <c r="L4" s="14">
        <f>'US-aircraft-psgr'!L4</f>
        <v>0</v>
      </c>
      <c r="M4" s="14">
        <f>'US-aircraft-psgr'!M4</f>
        <v>0</v>
      </c>
      <c r="N4" s="14">
        <f>'US-aircraft-psgr'!N4</f>
        <v>0</v>
      </c>
      <c r="O4" s="14">
        <f>'US-aircraft-psgr'!O4</f>
        <v>0</v>
      </c>
      <c r="P4" s="14">
        <f>'US-aircraft-psgr'!P4</f>
        <v>0</v>
      </c>
      <c r="Q4" s="14">
        <f>'US-aircraft-psgr'!Q4</f>
        <v>0</v>
      </c>
      <c r="R4" s="14">
        <f>'US-aircraft-psgr'!R4</f>
        <v>0</v>
      </c>
      <c r="S4" s="14">
        <f>'US-aircraft-psgr'!S4</f>
        <v>0</v>
      </c>
      <c r="T4" s="14">
        <f>'US-aircraft-psgr'!T4</f>
        <v>0</v>
      </c>
      <c r="U4" s="14">
        <f>'US-aircraft-psgr'!U4</f>
        <v>0</v>
      </c>
      <c r="V4" s="14">
        <f>'US-aircraft-psgr'!V4</f>
        <v>0</v>
      </c>
      <c r="W4" s="14">
        <f>'US-aircraft-psgr'!W4</f>
        <v>0</v>
      </c>
      <c r="X4" s="14">
        <f>'US-aircraft-psgr'!X4</f>
        <v>0</v>
      </c>
      <c r="Y4" s="14">
        <f>'US-aircraft-psgr'!Y4</f>
        <v>0</v>
      </c>
      <c r="Z4" s="14">
        <f>'US-aircraft-psgr'!Z4</f>
        <v>0</v>
      </c>
      <c r="AA4" s="14">
        <f>'US-aircraft-psgr'!AA4</f>
        <v>0</v>
      </c>
      <c r="AB4" s="14">
        <f>'US-aircraft-psgr'!AB4</f>
        <v>0</v>
      </c>
      <c r="AC4" s="14">
        <f>'US-aircraft-psgr'!AC4</f>
        <v>0</v>
      </c>
      <c r="AD4" s="14">
        <f>'US-aircraft-psgr'!AD4</f>
        <v>0</v>
      </c>
      <c r="AE4" s="14">
        <f>'US-aircraft-psgr'!AE4</f>
        <v>0</v>
      </c>
      <c r="AF4" s="14">
        <f>'US-aircraft-psgr'!AF4</f>
        <v>0</v>
      </c>
      <c r="AG4" s="14"/>
    </row>
    <row r="5" spans="1:33">
      <c r="A5" s="1" t="s">
        <v>12</v>
      </c>
      <c r="B5" s="14">
        <f>'SYFAFE psgr'!E4*(1+CAGR!$C$33)</f>
        <v>4.3042385597633716E-4</v>
      </c>
      <c r="C5" s="14">
        <f>B5*(1+CAGR!$C$33)</f>
        <v>4.350166075593992E-4</v>
      </c>
      <c r="D5" s="14">
        <f>C5*(1+CAGR!$C$33)</f>
        <v>4.3965836517874586E-4</v>
      </c>
      <c r="E5" s="14">
        <f>D5*(1+CAGR!$C$33)</f>
        <v>4.4434965174347605E-4</v>
      </c>
      <c r="F5" s="14">
        <f>E5*(1+CAGR!$C$33)</f>
        <v>4.4909099574228574E-4</v>
      </c>
      <c r="G5" s="14">
        <f>F5*(1+CAGR!$C$33)</f>
        <v>4.5388293130300359E-4</v>
      </c>
      <c r="H5" s="14">
        <f>G5*(1+CAGR!$C$33)</f>
        <v>4.5872599825276235E-4</v>
      </c>
      <c r="I5" s="14">
        <f>H5*(1+CAGR!$C$33)</f>
        <v>4.636207421788121E-4</v>
      </c>
      <c r="J5" s="14">
        <f>I5*(1+CAGR!$C$33)</f>
        <v>4.6856771448998251E-4</v>
      </c>
      <c r="K5" s="14">
        <f>J5*(1+CAGR!$C$33)</f>
        <v>4.7356747247880075E-4</v>
      </c>
      <c r="L5" s="14">
        <f>K5*(1+CAGR!$C$33)</f>
        <v>4.786205793842723E-4</v>
      </c>
      <c r="M5" s="14">
        <f>L5*(1+CAGR!$C$33)</f>
        <v>4.8372760445533164E-4</v>
      </c>
      <c r="N5" s="14">
        <f>M5*(1+CAGR!$C$33)</f>
        <v>4.8888912301497012E-4</v>
      </c>
      <c r="O5" s="14">
        <f>N5*(1+CAGR!$C$33)</f>
        <v>4.9410571652504795E-4</v>
      </c>
      <c r="P5" s="14">
        <f>O5*(1+CAGR!$C$33)</f>
        <v>4.993779726517975E-4</v>
      </c>
      <c r="Q5" s="14">
        <f>P5*(1+CAGR!$C$33)</f>
        <v>5.0470648533202625E-4</v>
      </c>
      <c r="R5" s="14">
        <f>Q5*(1+CAGR!$C$33)</f>
        <v>5.1009185484002532E-4</v>
      </c>
      <c r="S5" s="14">
        <f>R5*(1+CAGR!$C$33)</f>
        <v>5.1553468785519251E-4</v>
      </c>
      <c r="T5" s="14">
        <f>S5*(1+CAGR!$C$33)</f>
        <v>5.2103559753037673E-4</v>
      </c>
      <c r="U5" s="14">
        <f>T5*(1+CAGR!$C$33)</f>
        <v>5.2659520356095155E-4</v>
      </c>
      <c r="V5" s="14">
        <f>U5*(1+CAGR!$C$33)</f>
        <v>5.3221413225462602E-4</v>
      </c>
      <c r="W5" s="14">
        <f>V5*(1+CAGR!$C$33)</f>
        <v>5.3789301660200016E-4</v>
      </c>
      <c r="X5" s="14">
        <f>W5*(1+CAGR!$C$33)</f>
        <v>5.4363249634787345E-4</v>
      </c>
      <c r="Y5" s="14">
        <f>X5*(1+CAGR!$C$33)</f>
        <v>5.4943321806331415E-4</v>
      </c>
      <c r="Z5" s="14">
        <f>Y5*(1+CAGR!$C$33)</f>
        <v>5.552958352184978E-4</v>
      </c>
      <c r="AA5" s="14">
        <f>Z5*(1+CAGR!$C$33)</f>
        <v>5.6122100825632248E-4</v>
      </c>
      <c r="AB5" s="14">
        <f>AA5*(1+CAGR!$C$33)</f>
        <v>5.6720940466680999E-4</v>
      </c>
      <c r="AC5" s="14">
        <f>AB5*(1+CAGR!$C$33)</f>
        <v>5.7326169906230092E-4</v>
      </c>
      <c r="AD5" s="14">
        <f>AC5*(1+CAGR!$C$33)</f>
        <v>5.7937857325345162E-4</v>
      </c>
      <c r="AE5" s="14">
        <f>AD5*(1+CAGR!$C$33)</f>
        <v>5.8556071632604259E-4</v>
      </c>
      <c r="AF5" s="14">
        <f>AE5*(1+CAGR!$C$33)</f>
        <v>5.9180882471860632E-4</v>
      </c>
      <c r="AG5" s="14"/>
    </row>
    <row r="6" spans="1:33">
      <c r="A6" s="1" t="s">
        <v>13</v>
      </c>
      <c r="B6" s="14">
        <f>'US-aircraft-psgr'!B6</f>
        <v>0</v>
      </c>
      <c r="C6" s="14">
        <f>'US-aircraft-psgr'!C6</f>
        <v>0</v>
      </c>
      <c r="D6" s="14">
        <f>'US-aircraft-psgr'!D6</f>
        <v>0</v>
      </c>
      <c r="E6" s="14">
        <f>'US-aircraft-psgr'!E6</f>
        <v>0</v>
      </c>
      <c r="F6" s="14">
        <f>'US-aircraft-psgr'!F6</f>
        <v>0</v>
      </c>
      <c r="G6" s="14">
        <f>'US-aircraft-psgr'!G6</f>
        <v>0</v>
      </c>
      <c r="H6" s="14">
        <f>'US-aircraft-psgr'!H6</f>
        <v>0</v>
      </c>
      <c r="I6" s="14">
        <f>'US-aircraft-psgr'!I6</f>
        <v>0</v>
      </c>
      <c r="J6" s="14">
        <f>'US-aircraft-psgr'!J6</f>
        <v>0</v>
      </c>
      <c r="K6" s="14">
        <f>'US-aircraft-psgr'!K6</f>
        <v>0</v>
      </c>
      <c r="L6" s="14">
        <f>'US-aircraft-psgr'!L6</f>
        <v>0</v>
      </c>
      <c r="M6" s="14">
        <f>'US-aircraft-psgr'!M6</f>
        <v>0</v>
      </c>
      <c r="N6" s="14">
        <f>'US-aircraft-psgr'!N6</f>
        <v>0</v>
      </c>
      <c r="O6" s="14">
        <f>'US-aircraft-psgr'!O6</f>
        <v>0</v>
      </c>
      <c r="P6" s="14">
        <f>'US-aircraft-psgr'!P6</f>
        <v>0</v>
      </c>
      <c r="Q6" s="14">
        <f>'US-aircraft-psgr'!Q6</f>
        <v>0</v>
      </c>
      <c r="R6" s="14">
        <f>'US-aircraft-psgr'!R6</f>
        <v>0</v>
      </c>
      <c r="S6" s="14">
        <f>'US-aircraft-psgr'!S6</f>
        <v>0</v>
      </c>
      <c r="T6" s="14">
        <f>'US-aircraft-psgr'!T6</f>
        <v>0</v>
      </c>
      <c r="U6" s="14">
        <f>'US-aircraft-psgr'!U6</f>
        <v>0</v>
      </c>
      <c r="V6" s="14">
        <f>'US-aircraft-psgr'!V6</f>
        <v>0</v>
      </c>
      <c r="W6" s="14">
        <f>'US-aircraft-psgr'!W6</f>
        <v>0</v>
      </c>
      <c r="X6" s="14">
        <f>'US-aircraft-psgr'!X6</f>
        <v>0</v>
      </c>
      <c r="Y6" s="14">
        <f>'US-aircraft-psgr'!Y6</f>
        <v>0</v>
      </c>
      <c r="Z6" s="14">
        <f>'US-aircraft-psgr'!Z6</f>
        <v>0</v>
      </c>
      <c r="AA6" s="14">
        <f>'US-aircraft-psgr'!AA6</f>
        <v>0</v>
      </c>
      <c r="AB6" s="14">
        <f>'US-aircraft-psgr'!AB6</f>
        <v>0</v>
      </c>
      <c r="AC6" s="14">
        <f>'US-aircraft-psgr'!AC6</f>
        <v>0</v>
      </c>
      <c r="AD6" s="14">
        <f>'US-aircraft-psgr'!AD6</f>
        <v>0</v>
      </c>
      <c r="AE6" s="14">
        <f>'US-aircraft-psgr'!AE6</f>
        <v>0</v>
      </c>
      <c r="AF6" s="14">
        <f>'US-aircraft-psgr'!AF6</f>
        <v>0</v>
      </c>
      <c r="AG6" s="14"/>
    </row>
    <row r="7" spans="1:33">
      <c r="A7" s="1" t="s">
        <v>14</v>
      </c>
      <c r="B7" s="14">
        <f>'US-aircraft-psgr'!B7</f>
        <v>0</v>
      </c>
      <c r="C7" s="14">
        <f>'US-aircraft-psgr'!C7</f>
        <v>0</v>
      </c>
      <c r="D7" s="14">
        <f>'US-aircraft-psgr'!D7</f>
        <v>0</v>
      </c>
      <c r="E7" s="14">
        <f>'US-aircraft-psgr'!E7</f>
        <v>0</v>
      </c>
      <c r="F7" s="14">
        <f>'US-aircraft-psgr'!F7</f>
        <v>0</v>
      </c>
      <c r="G7" s="14">
        <f>'US-aircraft-psgr'!G7</f>
        <v>0</v>
      </c>
      <c r="H7" s="14">
        <f>'US-aircraft-psgr'!H7</f>
        <v>0</v>
      </c>
      <c r="I7" s="14">
        <f>'US-aircraft-psgr'!I7</f>
        <v>0</v>
      </c>
      <c r="J7" s="14">
        <f>'US-aircraft-psgr'!J7</f>
        <v>0</v>
      </c>
      <c r="K7" s="14">
        <f>'US-aircraft-psgr'!K7</f>
        <v>0</v>
      </c>
      <c r="L7" s="14">
        <f>'US-aircraft-psgr'!L7</f>
        <v>0</v>
      </c>
      <c r="M7" s="14">
        <f>'US-aircraft-psgr'!M7</f>
        <v>0</v>
      </c>
      <c r="N7" s="14">
        <f>'US-aircraft-psgr'!N7</f>
        <v>0</v>
      </c>
      <c r="O7" s="14">
        <f>'US-aircraft-psgr'!O7</f>
        <v>0</v>
      </c>
      <c r="P7" s="14">
        <f>'US-aircraft-psgr'!P7</f>
        <v>0</v>
      </c>
      <c r="Q7" s="14">
        <f>'US-aircraft-psgr'!Q7</f>
        <v>0</v>
      </c>
      <c r="R7" s="14">
        <f>'US-aircraft-psgr'!R7</f>
        <v>0</v>
      </c>
      <c r="S7" s="14">
        <f>'US-aircraft-psgr'!S7</f>
        <v>0</v>
      </c>
      <c r="T7" s="14">
        <f>'US-aircraft-psgr'!T7</f>
        <v>0</v>
      </c>
      <c r="U7" s="14">
        <f>'US-aircraft-psgr'!U7</f>
        <v>0</v>
      </c>
      <c r="V7" s="14">
        <f>'US-aircraft-psgr'!V7</f>
        <v>0</v>
      </c>
      <c r="W7" s="14">
        <f>'US-aircraft-psgr'!W7</f>
        <v>0</v>
      </c>
      <c r="X7" s="14">
        <f>'US-aircraft-psgr'!X7</f>
        <v>0</v>
      </c>
      <c r="Y7" s="14">
        <f>'US-aircraft-psgr'!Y7</f>
        <v>0</v>
      </c>
      <c r="Z7" s="14">
        <f>'US-aircraft-psgr'!Z7</f>
        <v>0</v>
      </c>
      <c r="AA7" s="14">
        <f>'US-aircraft-psgr'!AA7</f>
        <v>0</v>
      </c>
      <c r="AB7" s="14">
        <f>'US-aircraft-psgr'!AB7</f>
        <v>0</v>
      </c>
      <c r="AC7" s="14">
        <f>'US-aircraft-psgr'!AC7</f>
        <v>0</v>
      </c>
      <c r="AD7" s="14">
        <f>'US-aircraft-psgr'!AD7</f>
        <v>0</v>
      </c>
      <c r="AE7" s="14">
        <f>'US-aircraft-psgr'!AE7</f>
        <v>0</v>
      </c>
      <c r="AF7" s="14">
        <f>'US-aircraft-psgr'!AF7</f>
        <v>0</v>
      </c>
      <c r="AG7" s="14"/>
    </row>
    <row r="8" spans="1:33">
      <c r="A8" s="1" t="s">
        <v>15</v>
      </c>
      <c r="B8" s="13">
        <f>B5*Calibration!D32</f>
        <v>1.2912715679290112E-3</v>
      </c>
      <c r="C8" s="13">
        <f>B8*(1+CAGR!$C$36)</f>
        <v>1.3050498226781974E-3</v>
      </c>
      <c r="D8" s="13">
        <f>C8*(1+CAGR!$C$36)</f>
        <v>1.3189750955362373E-3</v>
      </c>
      <c r="E8" s="13">
        <f>D8*(1+CAGR!$C$36)</f>
        <v>1.333048955230428E-3</v>
      </c>
      <c r="F8" s="13">
        <f>E8*(1+CAGR!$C$36)</f>
        <v>1.3472729872268572E-3</v>
      </c>
      <c r="G8" s="13">
        <f>F8*(1+CAGR!$C$36)</f>
        <v>1.3616487939090106E-3</v>
      </c>
      <c r="H8" s="13">
        <f>G8*(1+CAGR!$C$36)</f>
        <v>1.3761779947582869E-3</v>
      </c>
      <c r="I8" s="13">
        <f>H8*(1+CAGR!$C$36)</f>
        <v>1.3908622265364362E-3</v>
      </c>
      <c r="J8" s="13">
        <f>I8*(1+CAGR!$C$36)</f>
        <v>1.4057031434699474E-3</v>
      </c>
      <c r="K8" s="13">
        <f>J8*(1+CAGR!$C$36)</f>
        <v>1.4207024174364021E-3</v>
      </c>
      <c r="L8" s="13">
        <f>K8*(1+CAGR!$C$36)</f>
        <v>1.4358617381528167E-3</v>
      </c>
      <c r="M8" s="13">
        <f>L8*(1+CAGR!$C$36)</f>
        <v>1.4511828133659949E-3</v>
      </c>
      <c r="N8" s="13">
        <f>M8*(1+CAGR!$C$36)</f>
        <v>1.4666673690449104E-3</v>
      </c>
      <c r="O8" s="13">
        <f>N8*(1+CAGR!$C$36)</f>
        <v>1.4823171495751439E-3</v>
      </c>
      <c r="P8" s="13">
        <f>O8*(1+CAGR!$C$36)</f>
        <v>1.4981339179553927E-3</v>
      </c>
      <c r="Q8" s="13">
        <f>P8*(1+CAGR!$C$36)</f>
        <v>1.514119455996079E-3</v>
      </c>
      <c r="R8" s="13">
        <f>Q8*(1+CAGR!$C$36)</f>
        <v>1.5302755645200763E-3</v>
      </c>
      <c r="S8" s="13">
        <f>R8*(1+CAGR!$C$36)</f>
        <v>1.546604063565578E-3</v>
      </c>
      <c r="T8" s="13">
        <f>S8*(1+CAGR!$C$36)</f>
        <v>1.5631067925911306E-3</v>
      </c>
      <c r="U8" s="13">
        <f>T8*(1+CAGR!$C$36)</f>
        <v>1.5797856106828552E-3</v>
      </c>
      <c r="V8" s="13">
        <f>U8*(1+CAGR!$C$36)</f>
        <v>1.5966423967638786E-3</v>
      </c>
      <c r="W8" s="13">
        <f>V8*(1+CAGR!$C$36)</f>
        <v>1.6136790498060009E-3</v>
      </c>
      <c r="X8" s="13">
        <f>W8*(1+CAGR!$C$36)</f>
        <v>1.6308974890436208E-3</v>
      </c>
      <c r="Y8" s="13">
        <f>X8*(1+CAGR!$C$36)</f>
        <v>1.6482996541899431E-3</v>
      </c>
      <c r="Z8" s="13">
        <f>Y8*(1+CAGR!$C$36)</f>
        <v>1.665887505655494E-3</v>
      </c>
      <c r="AA8" s="13">
        <f>Z8*(1+CAGR!$C$36)</f>
        <v>1.6836630247689681E-3</v>
      </c>
      <c r="AB8" s="13">
        <f>AA8*(1+CAGR!$C$36)</f>
        <v>1.7016282140004308E-3</v>
      </c>
      <c r="AC8" s="13">
        <f>AB8*(1+CAGR!$C$36)</f>
        <v>1.7197850971869036E-3</v>
      </c>
      <c r="AD8" s="13">
        <f>AC8*(1+CAGR!$C$36)</f>
        <v>1.7381357197603557E-3</v>
      </c>
      <c r="AE8" s="13">
        <f>AD8*(1+CAGR!$C$36)</f>
        <v>1.7566821489781287E-3</v>
      </c>
      <c r="AF8" s="13">
        <f>AE8*(1+CAGR!$C$36)</f>
        <v>1.7754264741558199E-3</v>
      </c>
      <c r="AG8" s="14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5438-07F5-4CA8-B024-425F0232725E}">
  <sheetPr>
    <tabColor rgb="FF1F497D"/>
  </sheetPr>
  <dimension ref="A1:AG8"/>
  <sheetViews>
    <sheetView workbookViewId="0"/>
  </sheetViews>
  <sheetFormatPr defaultRowHeight="14.5"/>
  <cols>
    <col min="1" max="1" width="32.7265625" bestFit="1" customWidth="1"/>
    <col min="2" max="3" width="9" customWidth="1"/>
    <col min="4" max="33" width="9.269531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3">
        <f>B5*Calibration!$B$32</f>
        <v>4.5824684688625117E-4</v>
      </c>
      <c r="C2" s="13">
        <f>B2*(1+CAGR!$C$37)</f>
        <v>4.631364781235721E-4</v>
      </c>
      <c r="D2" s="13">
        <f>C2*(1+CAGR!$C$37)</f>
        <v>4.680782831920922E-4</v>
      </c>
      <c r="E2" s="13">
        <f>D2*(1+CAGR!$C$37)</f>
        <v>4.7307281880223191E-4</v>
      </c>
      <c r="F2" s="13">
        <f>E2*(1+CAGR!$C$37)</f>
        <v>4.7812064760467871E-4</v>
      </c>
      <c r="G2" s="13">
        <f>F2*(1+CAGR!$C$37)</f>
        <v>4.8322233825377173E-4</v>
      </c>
      <c r="H2" s="13">
        <f>G2*(1+CAGR!$C$37)</f>
        <v>4.8837846547156226E-4</v>
      </c>
      <c r="I2" s="13">
        <f>H2*(1+CAGR!$C$37)</f>
        <v>4.9358961011255825E-4</v>
      </c>
      <c r="J2" s="13">
        <f>I2*(1+CAGR!$C$37)</f>
        <v>4.9885635922915944E-4</v>
      </c>
      <c r="K2" s="13">
        <f>J2*(1+CAGR!$C$37)</f>
        <v>5.0417930613779046E-4</v>
      </c>
      <c r="L2" s="13">
        <f>K2*(1+CAGR!$C$37)</f>
        <v>5.0955905048574029E-4</v>
      </c>
      <c r="M2" s="13">
        <f>L2*(1+CAGR!$C$37)</f>
        <v>5.1499619831871409E-4</v>
      </c>
      <c r="N2" s="13">
        <f>M2*(1+CAGR!$C$37)</f>
        <v>5.2049136214910659E-4</v>
      </c>
      <c r="O2" s="13">
        <f>N2*(1+CAGR!$C$37)</f>
        <v>5.2604516102500317E-4</v>
      </c>
      <c r="P2" s="13">
        <f>O2*(1+CAGR!$C$37)</f>
        <v>5.3165822059991796E-4</v>
      </c>
      <c r="Q2" s="13">
        <f>P2*(1+CAGR!$C$37)</f>
        <v>5.3733117320327567E-4</v>
      </c>
      <c r="R2" s="13">
        <f>Q2*(1+CAGR!$C$37)</f>
        <v>5.4306465791164552E-4</v>
      </c>
      <c r="S2" s="13">
        <f>R2*(1+CAGR!$C$37)</f>
        <v>5.4885932062073543E-4</v>
      </c>
      <c r="T2" s="13">
        <f>S2*(1+CAGR!$C$37)</f>
        <v>5.5471581411815397E-4</v>
      </c>
      <c r="U2" s="13">
        <f>T2*(1+CAGR!$C$37)</f>
        <v>5.6063479815694935E-4</v>
      </c>
      <c r="V2" s="13">
        <f>U2*(1+CAGR!$C$37)</f>
        <v>5.6661693952993252E-4</v>
      </c>
      <c r="W2" s="13">
        <f>V2*(1+CAGR!$C$37)</f>
        <v>5.7266291214479366E-4</v>
      </c>
      <c r="X2" s="13">
        <f>W2*(1+CAGR!$C$37)</f>
        <v>5.7877339710002006E-4</v>
      </c>
      <c r="Y2" s="13">
        <f>X2*(1+CAGR!$C$37)</f>
        <v>5.8494908276162392E-4</v>
      </c>
      <c r="Z2" s="13">
        <f>Y2*(1+CAGR!$C$37)</f>
        <v>5.9119066484068935E-4</v>
      </c>
      <c r="AA2" s="13">
        <f>Z2*(1+CAGR!$C$37)</f>
        <v>5.9749884647174623E-4</v>
      </c>
      <c r="AB2" s="13">
        <f>AA2*(1+CAGR!$C$37)</f>
        <v>6.038743382919806E-4</v>
      </c>
      <c r="AC2" s="13">
        <f>AB2*(1+CAGR!$C$37)</f>
        <v>6.1031785852129039E-4</v>
      </c>
      <c r="AD2" s="13">
        <f>AC2*(1+CAGR!$C$37)</f>
        <v>6.1683013304319513E-4</v>
      </c>
      <c r="AE2" s="13">
        <f>AD2*(1+CAGR!$C$37)</f>
        <v>6.2341189548660917E-4</v>
      </c>
      <c r="AF2" s="13">
        <f>AE2*(1+CAGR!$C$37)</f>
        <v>6.3006388730848725E-4</v>
      </c>
      <c r="AG2" s="14"/>
    </row>
    <row r="3" spans="1:33">
      <c r="A3" s="1" t="s">
        <v>10</v>
      </c>
      <c r="B3" s="14">
        <f>'US-aircraft-frgt'!B3</f>
        <v>0</v>
      </c>
      <c r="C3" s="14">
        <f>'US-aircraft-frgt'!C3</f>
        <v>0</v>
      </c>
      <c r="D3" s="14">
        <f>'US-aircraft-frgt'!D3</f>
        <v>0</v>
      </c>
      <c r="E3" s="14">
        <f>'US-aircraft-frgt'!E3</f>
        <v>0</v>
      </c>
      <c r="F3" s="14">
        <f>'US-aircraft-frgt'!F3</f>
        <v>0</v>
      </c>
      <c r="G3" s="14">
        <f>'US-aircraft-frgt'!G3</f>
        <v>0</v>
      </c>
      <c r="H3" s="14">
        <f>'US-aircraft-frgt'!H3</f>
        <v>0</v>
      </c>
      <c r="I3" s="14">
        <f>'US-aircraft-frgt'!I3</f>
        <v>0</v>
      </c>
      <c r="J3" s="14">
        <f>'US-aircraft-frgt'!J3</f>
        <v>0</v>
      </c>
      <c r="K3" s="14">
        <f>'US-aircraft-frgt'!K3</f>
        <v>0</v>
      </c>
      <c r="L3" s="14">
        <f>'US-aircraft-frgt'!L3</f>
        <v>0</v>
      </c>
      <c r="M3" s="14">
        <f>'US-aircraft-frgt'!M3</f>
        <v>0</v>
      </c>
      <c r="N3" s="14">
        <f>'US-aircraft-frgt'!N3</f>
        <v>0</v>
      </c>
      <c r="O3" s="14">
        <f>'US-aircraft-frgt'!O3</f>
        <v>0</v>
      </c>
      <c r="P3" s="14">
        <f>'US-aircraft-frgt'!P3</f>
        <v>0</v>
      </c>
      <c r="Q3" s="14">
        <f>'US-aircraft-frgt'!Q3</f>
        <v>0</v>
      </c>
      <c r="R3" s="14">
        <f>'US-aircraft-frgt'!R3</f>
        <v>0</v>
      </c>
      <c r="S3" s="14">
        <f>'US-aircraft-frgt'!S3</f>
        <v>0</v>
      </c>
      <c r="T3" s="14">
        <f>'US-aircraft-frgt'!T3</f>
        <v>0</v>
      </c>
      <c r="U3" s="14">
        <f>'US-aircraft-frgt'!U3</f>
        <v>0</v>
      </c>
      <c r="V3" s="14">
        <f>'US-aircraft-frgt'!V3</f>
        <v>0</v>
      </c>
      <c r="W3" s="14">
        <f>'US-aircraft-frgt'!W3</f>
        <v>0</v>
      </c>
      <c r="X3" s="14">
        <f>'US-aircraft-frgt'!X3</f>
        <v>0</v>
      </c>
      <c r="Y3" s="14">
        <f>'US-aircraft-frgt'!Y3</f>
        <v>0</v>
      </c>
      <c r="Z3" s="14">
        <f>'US-aircraft-frgt'!Z3</f>
        <v>0</v>
      </c>
      <c r="AA3" s="14">
        <f>'US-aircraft-frgt'!AA3</f>
        <v>0</v>
      </c>
      <c r="AB3" s="14">
        <f>'US-aircraft-frgt'!AB3</f>
        <v>0</v>
      </c>
      <c r="AC3" s="14">
        <f>'US-aircraft-frgt'!AC3</f>
        <v>0</v>
      </c>
      <c r="AD3" s="14">
        <f>'US-aircraft-frgt'!AD3</f>
        <v>0</v>
      </c>
      <c r="AE3" s="14">
        <f>'US-aircraft-frgt'!AE3</f>
        <v>0</v>
      </c>
      <c r="AF3" s="14">
        <f>'US-aircraft-frgt'!AF3</f>
        <v>0</v>
      </c>
      <c r="AG3" s="14"/>
    </row>
    <row r="4" spans="1:33">
      <c r="A4" s="1" t="s">
        <v>11</v>
      </c>
      <c r="B4" s="14">
        <f>'US-aircraft-frgt'!B4</f>
        <v>0</v>
      </c>
      <c r="C4" s="14">
        <f>'US-aircraft-frgt'!C4</f>
        <v>0</v>
      </c>
      <c r="D4" s="14">
        <f>'US-aircraft-frgt'!D4</f>
        <v>0</v>
      </c>
      <c r="E4" s="14">
        <f>'US-aircraft-frgt'!E4</f>
        <v>0</v>
      </c>
      <c r="F4" s="14">
        <f>'US-aircraft-frgt'!F4</f>
        <v>0</v>
      </c>
      <c r="G4" s="14">
        <f>'US-aircraft-frgt'!G4</f>
        <v>0</v>
      </c>
      <c r="H4" s="14">
        <f>'US-aircraft-frgt'!H4</f>
        <v>0</v>
      </c>
      <c r="I4" s="14">
        <f>'US-aircraft-frgt'!I4</f>
        <v>0</v>
      </c>
      <c r="J4" s="14">
        <f>'US-aircraft-frgt'!J4</f>
        <v>0</v>
      </c>
      <c r="K4" s="14">
        <f>'US-aircraft-frgt'!K4</f>
        <v>0</v>
      </c>
      <c r="L4" s="14">
        <f>'US-aircraft-frgt'!L4</f>
        <v>0</v>
      </c>
      <c r="M4" s="14">
        <f>'US-aircraft-frgt'!M4</f>
        <v>0</v>
      </c>
      <c r="N4" s="14">
        <f>'US-aircraft-frgt'!N4</f>
        <v>0</v>
      </c>
      <c r="O4" s="14">
        <f>'US-aircraft-frgt'!O4</f>
        <v>0</v>
      </c>
      <c r="P4" s="14">
        <f>'US-aircraft-frgt'!P4</f>
        <v>0</v>
      </c>
      <c r="Q4" s="14">
        <f>'US-aircraft-frgt'!Q4</f>
        <v>0</v>
      </c>
      <c r="R4" s="14">
        <f>'US-aircraft-frgt'!R4</f>
        <v>0</v>
      </c>
      <c r="S4" s="14">
        <f>'US-aircraft-frgt'!S4</f>
        <v>0</v>
      </c>
      <c r="T4" s="14">
        <f>'US-aircraft-frgt'!T4</f>
        <v>0</v>
      </c>
      <c r="U4" s="14">
        <f>'US-aircraft-frgt'!U4</f>
        <v>0</v>
      </c>
      <c r="V4" s="14">
        <f>'US-aircraft-frgt'!V4</f>
        <v>0</v>
      </c>
      <c r="W4" s="14">
        <f>'US-aircraft-frgt'!W4</f>
        <v>0</v>
      </c>
      <c r="X4" s="14">
        <f>'US-aircraft-frgt'!X4</f>
        <v>0</v>
      </c>
      <c r="Y4" s="14">
        <f>'US-aircraft-frgt'!Y4</f>
        <v>0</v>
      </c>
      <c r="Z4" s="14">
        <f>'US-aircraft-frgt'!Z4</f>
        <v>0</v>
      </c>
      <c r="AA4" s="14">
        <f>'US-aircraft-frgt'!AA4</f>
        <v>0</v>
      </c>
      <c r="AB4" s="14">
        <f>'US-aircraft-frgt'!AB4</f>
        <v>0</v>
      </c>
      <c r="AC4" s="14">
        <f>'US-aircraft-frgt'!AC4</f>
        <v>0</v>
      </c>
      <c r="AD4" s="14">
        <f>'US-aircraft-frgt'!AD4</f>
        <v>0</v>
      </c>
      <c r="AE4" s="14">
        <f>'US-aircraft-frgt'!AE4</f>
        <v>0</v>
      </c>
      <c r="AF4" s="14">
        <f>'US-aircraft-frgt'!AF4</f>
        <v>0</v>
      </c>
      <c r="AG4" s="14"/>
    </row>
    <row r="5" spans="1:33">
      <c r="A5" s="1" t="s">
        <v>12</v>
      </c>
      <c r="B5" s="14">
        <f>'SYFAFE frgt'!E4*(1+CAGR!$C$40)</f>
        <v>1.4260166896036224E-4</v>
      </c>
      <c r="C5" s="14">
        <f>B5*(1+CAGR!$C$40)</f>
        <v>1.4412327151972642E-4</v>
      </c>
      <c r="D5" s="14">
        <f>C5*(1+CAGR!$C$40)</f>
        <v>1.4566111003457095E-4</v>
      </c>
      <c r="E5" s="14">
        <f>D5*(1+CAGR!$C$40)</f>
        <v>1.472153577474083E-4</v>
      </c>
      <c r="F5" s="14">
        <f>E5*(1+CAGR!$C$40)</f>
        <v>1.4878618974930045E-4</v>
      </c>
      <c r="G5" s="14">
        <f>F5*(1+CAGR!$C$40)</f>
        <v>1.5037378299958358E-4</v>
      </c>
      <c r="H5" s="14">
        <f>G5*(1+CAGR!$C$40)</f>
        <v>1.5197831634580297E-4</v>
      </c>
      <c r="I5" s="14">
        <f>H5*(1+CAGR!$C$40)</f>
        <v>1.5359997054386086E-4</v>
      </c>
      <c r="J5" s="14">
        <f>I5*(1+CAGR!$C$40)</f>
        <v>1.5523892827837914E-4</v>
      </c>
      <c r="K5" s="14">
        <f>J5*(1+CAGR!$C$40)</f>
        <v>1.5689537418327941E-4</v>
      </c>
      <c r="L5" s="14">
        <f>K5*(1+CAGR!$C$40)</f>
        <v>1.5856949486258253E-4</v>
      </c>
      <c r="M5" s="14">
        <f>L5*(1+CAGR!$C$40)</f>
        <v>1.6026147891143021E-4</v>
      </c>
      <c r="N5" s="14">
        <f>M5*(1+CAGR!$C$40)</f>
        <v>1.619715169373309E-4</v>
      </c>
      <c r="O5" s="14">
        <f>N5*(1+CAGR!$C$40)</f>
        <v>1.6369980158163227E-4</v>
      </c>
      <c r="P5" s="14">
        <f>O5*(1+CAGR!$C$40)</f>
        <v>1.6544652754122295E-4</v>
      </c>
      <c r="Q5" s="14">
        <f>P5*(1+CAGR!$C$40)</f>
        <v>1.6721189159046572E-4</v>
      </c>
      <c r="R5" s="14">
        <f>Q5*(1+CAGR!$C$40)</f>
        <v>1.6899609260336482E-4</v>
      </c>
      <c r="S5" s="14">
        <f>R5*(1+CAGR!$C$40)</f>
        <v>1.7079933157596971E-4</v>
      </c>
      <c r="T5" s="14">
        <f>S5*(1+CAGR!$C$40)</f>
        <v>1.7262181164901799E-4</v>
      </c>
      <c r="U5" s="14">
        <f>T5*(1+CAGR!$C$40)</f>
        <v>1.7446373813081981E-4</v>
      </c>
      <c r="V5" s="14">
        <f>U5*(1+CAGR!$C$40)</f>
        <v>1.7632531852038654E-4</v>
      </c>
      <c r="W5" s="14">
        <f>V5*(1+CAGR!$C$40)</f>
        <v>1.7820676253080625E-4</v>
      </c>
      <c r="X5" s="14">
        <f>W5*(1+CAGR!$C$40)</f>
        <v>1.8010828211286844E-4</v>
      </c>
      <c r="Y5" s="14">
        <f>X5*(1+CAGR!$C$40)</f>
        <v>1.8203009147894117E-4</v>
      </c>
      <c r="Z5" s="14">
        <f>Y5*(1+CAGR!$C$40)</f>
        <v>1.8397240712710264E-4</v>
      </c>
      <c r="AA5" s="14">
        <f>Z5*(1+CAGR!$C$40)</f>
        <v>1.8593544786553047E-4</v>
      </c>
      <c r="AB5" s="14">
        <f>AA5*(1+CAGR!$C$40)</f>
        <v>1.8791943483715111E-4</v>
      </c>
      <c r="AC5" s="14">
        <f>AB5*(1+CAGR!$C$40)</f>
        <v>1.8992459154455233E-4</v>
      </c>
      <c r="AD5" s="14">
        <f>AC5*(1+CAGR!$C$40)</f>
        <v>1.9195114387516156E-4</v>
      </c>
      <c r="AE5" s="14">
        <f>AD5*(1+CAGR!$C$40)</f>
        <v>1.9399932012669277E-4</v>
      </c>
      <c r="AF5" s="14">
        <f>AE5*(1+CAGR!$C$40)</f>
        <v>1.9606935103286496E-4</v>
      </c>
      <c r="AG5" s="14"/>
    </row>
    <row r="6" spans="1:33">
      <c r="A6" s="1" t="s">
        <v>13</v>
      </c>
      <c r="B6" s="14">
        <f>'US-aircraft-frgt'!B6</f>
        <v>0</v>
      </c>
      <c r="C6" s="14">
        <f>'US-aircraft-frgt'!C6</f>
        <v>0</v>
      </c>
      <c r="D6" s="14">
        <f>'US-aircraft-frgt'!D6</f>
        <v>0</v>
      </c>
      <c r="E6" s="14">
        <f>'US-aircraft-frgt'!E6</f>
        <v>0</v>
      </c>
      <c r="F6" s="14">
        <f>'US-aircraft-frgt'!F6</f>
        <v>0</v>
      </c>
      <c r="G6" s="14">
        <f>'US-aircraft-frgt'!G6</f>
        <v>0</v>
      </c>
      <c r="H6" s="14">
        <f>'US-aircraft-frgt'!H6</f>
        <v>0</v>
      </c>
      <c r="I6" s="14">
        <f>'US-aircraft-frgt'!I6</f>
        <v>0</v>
      </c>
      <c r="J6" s="14">
        <f>'US-aircraft-frgt'!J6</f>
        <v>0</v>
      </c>
      <c r="K6" s="14">
        <f>'US-aircraft-frgt'!K6</f>
        <v>0</v>
      </c>
      <c r="L6" s="14">
        <f>'US-aircraft-frgt'!L6</f>
        <v>0</v>
      </c>
      <c r="M6" s="14">
        <f>'US-aircraft-frgt'!M6</f>
        <v>0</v>
      </c>
      <c r="N6" s="14">
        <f>'US-aircraft-frgt'!N6</f>
        <v>0</v>
      </c>
      <c r="O6" s="14">
        <f>'US-aircraft-frgt'!O6</f>
        <v>0</v>
      </c>
      <c r="P6" s="14">
        <f>'US-aircraft-frgt'!P6</f>
        <v>0</v>
      </c>
      <c r="Q6" s="14">
        <f>'US-aircraft-frgt'!Q6</f>
        <v>0</v>
      </c>
      <c r="R6" s="14">
        <f>'US-aircraft-frgt'!R6</f>
        <v>0</v>
      </c>
      <c r="S6" s="14">
        <f>'US-aircraft-frgt'!S6</f>
        <v>0</v>
      </c>
      <c r="T6" s="14">
        <f>'US-aircraft-frgt'!T6</f>
        <v>0</v>
      </c>
      <c r="U6" s="14">
        <f>'US-aircraft-frgt'!U6</f>
        <v>0</v>
      </c>
      <c r="V6" s="14">
        <f>'US-aircraft-frgt'!V6</f>
        <v>0</v>
      </c>
      <c r="W6" s="14">
        <f>'US-aircraft-frgt'!W6</f>
        <v>0</v>
      </c>
      <c r="X6" s="14">
        <f>'US-aircraft-frgt'!X6</f>
        <v>0</v>
      </c>
      <c r="Y6" s="14">
        <f>'US-aircraft-frgt'!Y6</f>
        <v>0</v>
      </c>
      <c r="Z6" s="14">
        <f>'US-aircraft-frgt'!Z6</f>
        <v>0</v>
      </c>
      <c r="AA6" s="14">
        <f>'US-aircraft-frgt'!AA6</f>
        <v>0</v>
      </c>
      <c r="AB6" s="14">
        <f>'US-aircraft-frgt'!AB6</f>
        <v>0</v>
      </c>
      <c r="AC6" s="14">
        <f>'US-aircraft-frgt'!AC6</f>
        <v>0</v>
      </c>
      <c r="AD6" s="14">
        <f>'US-aircraft-frgt'!AD6</f>
        <v>0</v>
      </c>
      <c r="AE6" s="14">
        <f>'US-aircraft-frgt'!AE6</f>
        <v>0</v>
      </c>
      <c r="AF6" s="14">
        <f>'US-aircraft-frgt'!AF6</f>
        <v>0</v>
      </c>
      <c r="AG6" s="14"/>
    </row>
    <row r="7" spans="1:33">
      <c r="A7" s="1" t="s">
        <v>14</v>
      </c>
      <c r="B7" s="14">
        <f>'US-aircraft-frgt'!B7</f>
        <v>0</v>
      </c>
      <c r="C7" s="14">
        <f>'US-aircraft-frgt'!C7</f>
        <v>0</v>
      </c>
      <c r="D7" s="14">
        <f>'US-aircraft-frgt'!D7</f>
        <v>0</v>
      </c>
      <c r="E7" s="14">
        <f>'US-aircraft-frgt'!E7</f>
        <v>0</v>
      </c>
      <c r="F7" s="14">
        <f>'US-aircraft-frgt'!F7</f>
        <v>0</v>
      </c>
      <c r="G7" s="14">
        <f>'US-aircraft-frgt'!G7</f>
        <v>0</v>
      </c>
      <c r="H7" s="14">
        <f>'US-aircraft-frgt'!H7</f>
        <v>0</v>
      </c>
      <c r="I7" s="14">
        <f>'US-aircraft-frgt'!I7</f>
        <v>0</v>
      </c>
      <c r="J7" s="14">
        <f>'US-aircraft-frgt'!J7</f>
        <v>0</v>
      </c>
      <c r="K7" s="14">
        <f>'US-aircraft-frgt'!K7</f>
        <v>0</v>
      </c>
      <c r="L7" s="14">
        <f>'US-aircraft-frgt'!L7</f>
        <v>0</v>
      </c>
      <c r="M7" s="14">
        <f>'US-aircraft-frgt'!M7</f>
        <v>0</v>
      </c>
      <c r="N7" s="14">
        <f>'US-aircraft-frgt'!N7</f>
        <v>0</v>
      </c>
      <c r="O7" s="14">
        <f>'US-aircraft-frgt'!O7</f>
        <v>0</v>
      </c>
      <c r="P7" s="14">
        <f>'US-aircraft-frgt'!P7</f>
        <v>0</v>
      </c>
      <c r="Q7" s="14">
        <f>'US-aircraft-frgt'!Q7</f>
        <v>0</v>
      </c>
      <c r="R7" s="14">
        <f>'US-aircraft-frgt'!R7</f>
        <v>0</v>
      </c>
      <c r="S7" s="14">
        <f>'US-aircraft-frgt'!S7</f>
        <v>0</v>
      </c>
      <c r="T7" s="14">
        <f>'US-aircraft-frgt'!T7</f>
        <v>0</v>
      </c>
      <c r="U7" s="14">
        <f>'US-aircraft-frgt'!U7</f>
        <v>0</v>
      </c>
      <c r="V7" s="14">
        <f>'US-aircraft-frgt'!V7</f>
        <v>0</v>
      </c>
      <c r="W7" s="14">
        <f>'US-aircraft-frgt'!W7</f>
        <v>0</v>
      </c>
      <c r="X7" s="14">
        <f>'US-aircraft-frgt'!X7</f>
        <v>0</v>
      </c>
      <c r="Y7" s="14">
        <f>'US-aircraft-frgt'!Y7</f>
        <v>0</v>
      </c>
      <c r="Z7" s="14">
        <f>'US-aircraft-frgt'!Z7</f>
        <v>0</v>
      </c>
      <c r="AA7" s="14">
        <f>'US-aircraft-frgt'!AA7</f>
        <v>0</v>
      </c>
      <c r="AB7" s="14">
        <f>'US-aircraft-frgt'!AB7</f>
        <v>0</v>
      </c>
      <c r="AC7" s="14">
        <f>'US-aircraft-frgt'!AC7</f>
        <v>0</v>
      </c>
      <c r="AD7" s="14">
        <f>'US-aircraft-frgt'!AD7</f>
        <v>0</v>
      </c>
      <c r="AE7" s="14">
        <f>'US-aircraft-frgt'!AE7</f>
        <v>0</v>
      </c>
      <c r="AF7" s="14">
        <f>'US-aircraft-frgt'!AF7</f>
        <v>0</v>
      </c>
      <c r="AG7" s="14"/>
    </row>
    <row r="8" spans="1:33">
      <c r="A8" s="1" t="s">
        <v>15</v>
      </c>
      <c r="B8" s="13">
        <f>B5*Calibration!$D$32</f>
        <v>4.2780500688108664E-4</v>
      </c>
      <c r="C8" s="13">
        <f>B8*(1+CAGR!$C$43)</f>
        <v>4.3236981455917922E-4</v>
      </c>
      <c r="D8" s="13">
        <f>C8*(1+CAGR!$C$43)</f>
        <v>4.3698333010371281E-4</v>
      </c>
      <c r="E8" s="13">
        <f>D8*(1+CAGR!$C$43)</f>
        <v>4.4164607324222486E-4</v>
      </c>
      <c r="F8" s="13">
        <f>E8*(1+CAGR!$C$43)</f>
        <v>4.4635856924790136E-4</v>
      </c>
      <c r="G8" s="13">
        <f>F8*(1+CAGR!$C$43)</f>
        <v>4.5112134899875076E-4</v>
      </c>
      <c r="H8" s="13">
        <f>G8*(1+CAGR!$C$43)</f>
        <v>4.5593494903740895E-4</v>
      </c>
      <c r="I8" s="13">
        <f>H8*(1+CAGR!$C$43)</f>
        <v>4.6079991163158263E-4</v>
      </c>
      <c r="J8" s="13">
        <f>I8*(1+CAGR!$C$43)</f>
        <v>4.657167848351375E-4</v>
      </c>
      <c r="K8" s="13">
        <f>J8*(1+CAGR!$C$43)</f>
        <v>4.7068612254983828E-4</v>
      </c>
      <c r="L8" s="13">
        <f>K8*(1+CAGR!$C$43)</f>
        <v>4.7570848458774762E-4</v>
      </c>
      <c r="M8" s="13">
        <f>L8*(1+CAGR!$C$43)</f>
        <v>4.8078443673429071E-4</v>
      </c>
      <c r="N8" s="13">
        <f>M8*(1+CAGR!$C$43)</f>
        <v>4.859145508119928E-4</v>
      </c>
      <c r="O8" s="13">
        <f>N8*(1+CAGR!$C$43)</f>
        <v>4.9109940474489694E-4</v>
      </c>
      <c r="P8" s="13">
        <f>O8*(1+CAGR!$C$43)</f>
        <v>4.9633958262366897E-4</v>
      </c>
      <c r="Q8" s="13">
        <f>P8*(1+CAGR!$C$43)</f>
        <v>5.0163567477139724E-4</v>
      </c>
      <c r="R8" s="13">
        <f>Q8*(1+CAGR!$C$43)</f>
        <v>5.0698827781009447E-4</v>
      </c>
      <c r="S8" s="13">
        <f>R8*(1+CAGR!$C$43)</f>
        <v>5.1239799472790914E-4</v>
      </c>
      <c r="T8" s="13">
        <f>S8*(1+CAGR!$C$43)</f>
        <v>5.1786543494705402E-4</v>
      </c>
      <c r="U8" s="13">
        <f>T8*(1+CAGR!$C$43)</f>
        <v>5.2339121439245952E-4</v>
      </c>
      <c r="V8" s="13">
        <f>U8*(1+CAGR!$C$43)</f>
        <v>5.2897595556115971E-4</v>
      </c>
      <c r="W8" s="13">
        <f>V8*(1+CAGR!$C$43)</f>
        <v>5.3462028759241882E-4</v>
      </c>
      <c r="X8" s="13">
        <f>W8*(1+CAGR!$C$43)</f>
        <v>5.4032484633860544E-4</v>
      </c>
      <c r="Y8" s="13">
        <f>X8*(1+CAGR!$C$43)</f>
        <v>5.4609027443682358E-4</v>
      </c>
      <c r="Z8" s="13">
        <f>Y8*(1+CAGR!$C$43)</f>
        <v>5.51917221381308E-4</v>
      </c>
      <c r="AA8" s="13">
        <f>Z8*(1+CAGR!$C$43)</f>
        <v>5.5780634359659149E-4</v>
      </c>
      <c r="AB8" s="13">
        <f>AA8*(1+CAGR!$C$43)</f>
        <v>5.6375830451145341E-4</v>
      </c>
      <c r="AC8" s="13">
        <f>AB8*(1+CAGR!$C$43)</f>
        <v>5.6977377463365711E-4</v>
      </c>
      <c r="AD8" s="13">
        <f>AC8*(1+CAGR!$C$43)</f>
        <v>5.7585343162548479E-4</v>
      </c>
      <c r="AE8" s="13">
        <f>AD8*(1+CAGR!$C$43)</f>
        <v>5.8199796038007842E-4</v>
      </c>
      <c r="AF8" s="13">
        <f>AE8*(1+CAGR!$C$43)</f>
        <v>5.8820805309859508E-4</v>
      </c>
      <c r="AG8" s="14"/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DA6F-E696-40E1-A10D-288DB42265DE}">
  <sheetPr>
    <tabColor rgb="FF1F497D"/>
  </sheetPr>
  <dimension ref="A1:AG8"/>
  <sheetViews>
    <sheetView workbookViewId="0"/>
  </sheetViews>
  <sheetFormatPr defaultRowHeight="14.5"/>
  <cols>
    <col min="1" max="1" width="32.7265625" bestFit="1" customWidth="1"/>
    <col min="2" max="3" width="9" customWidth="1"/>
    <col min="4" max="33" width="9.26953125" bestFit="1" customWidth="1"/>
  </cols>
  <sheetData>
    <row r="1" spans="1:33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s="1" t="s">
        <v>9</v>
      </c>
      <c r="B2" s="14">
        <f>IFERROR(INDEX('SYFAFE psgr'!$B$5:$H$5,,MATCH($A2,'SYFAFE psgr'!$B$1:$H$1,0))*(1+INDEX(CAGR!$C$44:$C$50,MATCH($A2,CAGR!$B$44:$B$50,0))),0)</f>
        <v>1.6979845946014288E-2</v>
      </c>
      <c r="C2" s="14">
        <f>IFERROR(B2*(1+INDEX(CAGR!$C$44:$C$50,MATCH($A2,CAGR!$B$44:$B$50,0))),0)</f>
        <v>1.7087401639421677E-2</v>
      </c>
      <c r="D2" s="14">
        <f>IFERROR(C2*(1+INDEX(CAGR!$C$44:$C$50,MATCH($A2,CAGR!$B$44:$B$50,0))),0)</f>
        <v>1.7195638624474537E-2</v>
      </c>
      <c r="E2" s="14">
        <f>IFERROR(D2*(1+INDEX(CAGR!$C$44:$C$50,MATCH($A2,CAGR!$B$44:$B$50,0))),0)</f>
        <v>1.7304561216688774E-2</v>
      </c>
      <c r="F2" s="14">
        <f>IFERROR(E2*(1+INDEX(CAGR!$C$44:$C$50,MATCH($A2,CAGR!$B$44:$B$50,0))),0)</f>
        <v>1.7414173758916136E-2</v>
      </c>
      <c r="G2" s="14">
        <f>IFERROR(F2*(1+INDEX(CAGR!$C$44:$C$50,MATCH($A2,CAGR!$B$44:$B$50,0))),0)</f>
        <v>1.7524480621517364E-2</v>
      </c>
      <c r="H2" s="14">
        <f>IFERROR(G2*(1+INDEX(CAGR!$C$44:$C$50,MATCH($A2,CAGR!$B$44:$B$50,0))),0)</f>
        <v>1.7635486202536438E-2</v>
      </c>
      <c r="I2" s="14">
        <f>IFERROR(H2*(1+INDEX(CAGR!$C$44:$C$50,MATCH($A2,CAGR!$B$44:$B$50,0))),0)</f>
        <v>1.7747194927875933E-2</v>
      </c>
      <c r="J2" s="14">
        <f>IFERROR(I2*(1+INDEX(CAGR!$C$44:$C$50,MATCH($A2,CAGR!$B$44:$B$50,0))),0)</f>
        <v>1.7859611251473492E-2</v>
      </c>
      <c r="K2" s="14">
        <f>IFERROR(J2*(1+INDEX(CAGR!$C$44:$C$50,MATCH($A2,CAGR!$B$44:$B$50,0))),0)</f>
        <v>1.7972739655479394E-2</v>
      </c>
      <c r="L2" s="14">
        <f>IFERROR(K2*(1+INDEX(CAGR!$C$44:$C$50,MATCH($A2,CAGR!$B$44:$B$50,0))),0)</f>
        <v>1.8086584650435274E-2</v>
      </c>
      <c r="M2" s="14">
        <f>IFERROR(L2*(1+INDEX(CAGR!$C$44:$C$50,MATCH($A2,CAGR!$B$44:$B$50,0))),0)</f>
        <v>1.8201150775453957E-2</v>
      </c>
      <c r="N2" s="14">
        <f>IFERROR(M2*(1+INDEX(CAGR!$C$44:$C$50,MATCH($A2,CAGR!$B$44:$B$50,0))),0)</f>
        <v>1.8316442598400439E-2</v>
      </c>
      <c r="O2" s="14">
        <f>IFERROR(N2*(1+INDEX(CAGR!$C$44:$C$50,MATCH($A2,CAGR!$B$44:$B$50,0))),0)</f>
        <v>1.8432464716074012E-2</v>
      </c>
      <c r="P2" s="14">
        <f>IFERROR(O2*(1+INDEX(CAGR!$C$44:$C$50,MATCH($A2,CAGR!$B$44:$B$50,0))),0)</f>
        <v>1.8549221754391543E-2</v>
      </c>
      <c r="Q2" s="14">
        <f>IFERROR(P2*(1+INDEX(CAGR!$C$44:$C$50,MATCH($A2,CAGR!$B$44:$B$50,0))),0)</f>
        <v>1.8666718368571918E-2</v>
      </c>
      <c r="R2" s="14">
        <f>IFERROR(Q2*(1+INDEX(CAGR!$C$44:$C$50,MATCH($A2,CAGR!$B$44:$B$50,0))),0)</f>
        <v>1.8784959243321638E-2</v>
      </c>
      <c r="S2" s="14">
        <f>IFERROR(R2*(1+INDEX(CAGR!$C$44:$C$50,MATCH($A2,CAGR!$B$44:$B$50,0))),0)</f>
        <v>1.8903949093021618E-2</v>
      </c>
      <c r="T2" s="14">
        <f>IFERROR(S2*(1+INDEX(CAGR!$C$44:$C$50,MATCH($A2,CAGR!$B$44:$B$50,0))),0)</f>
        <v>1.9023692661915139E-2</v>
      </c>
      <c r="U2" s="14">
        <f>IFERROR(T2*(1+INDEX(CAGR!$C$44:$C$50,MATCH($A2,CAGR!$B$44:$B$50,0))),0)</f>
        <v>1.9144194724297021E-2</v>
      </c>
      <c r="V2" s="14">
        <f>IFERROR(U2*(1+INDEX(CAGR!$C$44:$C$50,MATCH($A2,CAGR!$B$44:$B$50,0))),0)</f>
        <v>1.9265460084703971E-2</v>
      </c>
      <c r="W2" s="14">
        <f>IFERROR(V2*(1+INDEX(CAGR!$C$44:$C$50,MATCH($A2,CAGR!$B$44:$B$50,0))),0)</f>
        <v>1.9387493578106138E-2</v>
      </c>
      <c r="X2" s="14">
        <f>IFERROR(W2*(1+INDEX(CAGR!$C$44:$C$50,MATCH($A2,CAGR!$B$44:$B$50,0))),0)</f>
        <v>1.9510300070099903E-2</v>
      </c>
      <c r="Y2" s="14">
        <f>IFERROR(X2*(1+INDEX(CAGR!$C$44:$C$50,MATCH($A2,CAGR!$B$44:$B$50,0))),0)</f>
        <v>1.9633884457101861E-2</v>
      </c>
      <c r="Z2" s="14">
        <f>IFERROR(Y2*(1+INDEX(CAGR!$C$44:$C$50,MATCH($A2,CAGR!$B$44:$B$50,0))),0)</f>
        <v>1.9758251666544057E-2</v>
      </c>
      <c r="AA2" s="14">
        <f>IFERROR(Z2*(1+INDEX(CAGR!$C$44:$C$50,MATCH($A2,CAGR!$B$44:$B$50,0))),0)</f>
        <v>1.9883406657070442E-2</v>
      </c>
      <c r="AB2" s="14">
        <f>IFERROR(AA2*(1+INDEX(CAGR!$C$44:$C$50,MATCH($A2,CAGR!$B$44:$B$50,0))),0)</f>
        <v>2.0009354418734578E-2</v>
      </c>
      <c r="AC2" s="14">
        <f>IFERROR(AB2*(1+INDEX(CAGR!$C$44:$C$50,MATCH($A2,CAGR!$B$44:$B$50,0))),0)</f>
        <v>2.0136099973198599E-2</v>
      </c>
      <c r="AD2" s="14">
        <f>IFERROR(AC2*(1+INDEX(CAGR!$C$44:$C$50,MATCH($A2,CAGR!$B$44:$B$50,0))),0)</f>
        <v>2.0263648373933428E-2</v>
      </c>
      <c r="AE2" s="14">
        <f>IFERROR(AD2*(1+INDEX(CAGR!$C$44:$C$50,MATCH($A2,CAGR!$B$44:$B$50,0))),0)</f>
        <v>2.0392004706420268E-2</v>
      </c>
      <c r="AF2" s="14">
        <f>IFERROR(AE2*(1+INDEX(CAGR!$C$44:$C$50,MATCH($A2,CAGR!$B$44:$B$50,0))),0)</f>
        <v>2.0521174088353362E-2</v>
      </c>
      <c r="AG2" s="14"/>
    </row>
    <row r="3" spans="1:33">
      <c r="A3" s="1" t="s">
        <v>10</v>
      </c>
      <c r="B3" s="14">
        <f>IFERROR(INDEX('SYFAFE psgr'!$B$5:$H$5,,MATCH($A3,'SYFAFE psgr'!$B$1:$H$1,0))*(1+INDEX(CAGR!$C$44:$C$50,MATCH($A3,CAGR!$B$44:$B$50,0))),0)</f>
        <v>1.273863689169918E-3</v>
      </c>
      <c r="C3" s="14">
        <f>IFERROR(B3*(1+INDEX(CAGR!$C$44:$C$50,MATCH($A3,CAGR!$B$44:$B$50,0))),0)</f>
        <v>1.2819327430842339E-3</v>
      </c>
      <c r="D3" s="14">
        <f>IFERROR(C3*(1+INDEX(CAGR!$C$44:$C$50,MATCH($A3,CAGR!$B$44:$B$50,0))),0)</f>
        <v>1.2900529089280488E-3</v>
      </c>
      <c r="E3" s="14">
        <f>IFERROR(D3*(1+INDEX(CAGR!$C$44:$C$50,MATCH($A3,CAGR!$B$44:$B$50,0))),0)</f>
        <v>1.2982245104604258E-3</v>
      </c>
      <c r="F3" s="14">
        <f>IFERROR(E3*(1+INDEX(CAGR!$C$44:$C$50,MATCH($A3,CAGR!$B$44:$B$50,0))),0)</f>
        <v>1.3064478734912204E-3</v>
      </c>
      <c r="G3" s="14">
        <f>IFERROR(F3*(1+INDEX(CAGR!$C$44:$C$50,MATCH($A3,CAGR!$B$44:$B$50,0))),0)</f>
        <v>1.31472332589407E-3</v>
      </c>
      <c r="H3" s="14">
        <f>IFERROR(G3*(1+INDEX(CAGR!$C$44:$C$50,MATCH($A3,CAGR!$B$44:$B$50,0))),0)</f>
        <v>1.323051197619467E-3</v>
      </c>
      <c r="I3" s="14">
        <f>IFERROR(H3*(1+INDEX(CAGR!$C$44:$C$50,MATCH($A3,CAGR!$B$44:$B$50,0))),0)</f>
        <v>1.3314318207079141E-3</v>
      </c>
      <c r="J3" s="14">
        <f>IFERROR(I3*(1+INDEX(CAGR!$C$44:$C$50,MATCH($A3,CAGR!$B$44:$B$50,0))),0)</f>
        <v>1.3398655293031631E-3</v>
      </c>
      <c r="K3" s="14">
        <f>IFERROR(J3*(1+INDEX(CAGR!$C$44:$C$50,MATCH($A3,CAGR!$B$44:$B$50,0))),0)</f>
        <v>1.3483526596655378E-3</v>
      </c>
      <c r="L3" s="14">
        <f>IFERROR(K3*(1+INDEX(CAGR!$C$44:$C$50,MATCH($A3,CAGR!$B$44:$B$50,0))),0)</f>
        <v>1.3568935501853407E-3</v>
      </c>
      <c r="M3" s="14">
        <f>IFERROR(L3*(1+INDEX(CAGR!$C$44:$C$50,MATCH($A3,CAGR!$B$44:$B$50,0))),0)</f>
        <v>1.3654885413963451E-3</v>
      </c>
      <c r="N3" s="14">
        <f>IFERROR(M3*(1+INDEX(CAGR!$C$44:$C$50,MATCH($A3,CAGR!$B$44:$B$50,0))),0)</f>
        <v>1.3741379759893723E-3</v>
      </c>
      <c r="O3" s="14">
        <f>IFERROR(N3*(1+INDEX(CAGR!$C$44:$C$50,MATCH($A3,CAGR!$B$44:$B$50,0))),0)</f>
        <v>1.3828421988259557E-3</v>
      </c>
      <c r="P3" s="14">
        <f>IFERROR(O3*(1+INDEX(CAGR!$C$44:$C$50,MATCH($A3,CAGR!$B$44:$B$50,0))),0)</f>
        <v>1.3916015569520898E-3</v>
      </c>
      <c r="Q3" s="14">
        <f>IFERROR(P3*(1+INDEX(CAGR!$C$44:$C$50,MATCH($A3,CAGR!$B$44:$B$50,0))),0)</f>
        <v>1.4004163996120681E-3</v>
      </c>
      <c r="R3" s="14">
        <f>IFERROR(Q3*(1+INDEX(CAGR!$C$44:$C$50,MATCH($A3,CAGR!$B$44:$B$50,0))),0)</f>
        <v>1.4092870782624074E-3</v>
      </c>
      <c r="S3" s="14">
        <f>IFERROR(R3*(1+INDEX(CAGR!$C$44:$C$50,MATCH($A3,CAGR!$B$44:$B$50,0))),0)</f>
        <v>1.4182139465858605E-3</v>
      </c>
      <c r="T3" s="14">
        <f>IFERROR(S3*(1+INDEX(CAGR!$C$44:$C$50,MATCH($A3,CAGR!$B$44:$B$50,0))),0)</f>
        <v>1.4271973605055185E-3</v>
      </c>
      <c r="U3" s="14">
        <f>IFERROR(T3*(1+INDEX(CAGR!$C$44:$C$50,MATCH($A3,CAGR!$B$44:$B$50,0))),0)</f>
        <v>1.4362376781990014E-3</v>
      </c>
      <c r="V3" s="14">
        <f>IFERROR(U3*(1+INDEX(CAGR!$C$44:$C$50,MATCH($A3,CAGR!$B$44:$B$50,0))),0)</f>
        <v>1.4453352601127394E-3</v>
      </c>
      <c r="W3" s="14">
        <f>IFERROR(V3*(1+INDEX(CAGR!$C$44:$C$50,MATCH($A3,CAGR!$B$44:$B$50,0))),0)</f>
        <v>1.4544904689763431E-3</v>
      </c>
      <c r="X3" s="14">
        <f>IFERROR(W3*(1+INDEX(CAGR!$C$44:$C$50,MATCH($A3,CAGR!$B$44:$B$50,0))),0)</f>
        <v>1.4637036698170677E-3</v>
      </c>
      <c r="Y3" s="14">
        <f>IFERROR(X3*(1+INDEX(CAGR!$C$44:$C$50,MATCH($A3,CAGR!$B$44:$B$50,0))),0)</f>
        <v>1.4729752299743654E-3</v>
      </c>
      <c r="Z3" s="14">
        <f>IFERROR(Y3*(1+INDEX(CAGR!$C$44:$C$50,MATCH($A3,CAGR!$B$44:$B$50,0))),0)</f>
        <v>1.4823055191145321E-3</v>
      </c>
      <c r="AA3" s="14">
        <f>IFERROR(Z3*(1+INDEX(CAGR!$C$44:$C$50,MATCH($A3,CAGR!$B$44:$B$50,0))),0)</f>
        <v>1.4916949092454472E-3</v>
      </c>
      <c r="AB3" s="14">
        <f>IFERROR(AA3*(1+INDEX(CAGR!$C$44:$C$50,MATCH($A3,CAGR!$B$44:$B$50,0))),0)</f>
        <v>1.5011437747314046E-3</v>
      </c>
      <c r="AC3" s="14">
        <f>IFERROR(AB3*(1+INDEX(CAGR!$C$44:$C$50,MATCH($A3,CAGR!$B$44:$B$50,0))),0)</f>
        <v>1.5106524923080397E-3</v>
      </c>
      <c r="AD3" s="14">
        <f>IFERROR(AC3*(1+INDEX(CAGR!$C$44:$C$50,MATCH($A3,CAGR!$B$44:$B$50,0))),0)</f>
        <v>1.5202214410973503E-3</v>
      </c>
      <c r="AE3" s="14">
        <f>IFERROR(AD3*(1+INDEX(CAGR!$C$44:$C$50,MATCH($A3,CAGR!$B$44:$B$50,0))),0)</f>
        <v>1.5298510026228122E-3</v>
      </c>
      <c r="AF3" s="14">
        <f>IFERROR(AE3*(1+INDEX(CAGR!$C$44:$C$50,MATCH($A3,CAGR!$B$44:$B$50,0))),0)</f>
        <v>1.5395415608245909E-3</v>
      </c>
      <c r="AG3" s="14"/>
    </row>
    <row r="4" spans="1:33">
      <c r="A4" s="1" t="s">
        <v>11</v>
      </c>
      <c r="B4" s="14">
        <f>IFERROR(INDEX('SYFAFE psgr'!$B$5:$H$5,,MATCH($A4,'SYFAFE psgr'!$B$1:$H$1,0))*(1+INDEX(CAGR!$C$44:$C$50,MATCH($A4,CAGR!$B$44:$B$50,0))),0)</f>
        <v>1.273863689169918E-3</v>
      </c>
      <c r="C4" s="14">
        <f>IFERROR(B4*(1+INDEX(CAGR!$C$44:$C$50,MATCH($A4,CAGR!$B$44:$B$50,0))),0)</f>
        <v>1.2819327430842339E-3</v>
      </c>
      <c r="D4" s="14">
        <f>IFERROR(C4*(1+INDEX(CAGR!$C$44:$C$50,MATCH($A4,CAGR!$B$44:$B$50,0))),0)</f>
        <v>1.2900529089280488E-3</v>
      </c>
      <c r="E4" s="14">
        <f>IFERROR(D4*(1+INDEX(CAGR!$C$44:$C$50,MATCH($A4,CAGR!$B$44:$B$50,0))),0)</f>
        <v>1.2982245104604258E-3</v>
      </c>
      <c r="F4" s="14">
        <f>IFERROR(E4*(1+INDEX(CAGR!$C$44:$C$50,MATCH($A4,CAGR!$B$44:$B$50,0))),0)</f>
        <v>1.3064478734912204E-3</v>
      </c>
      <c r="G4" s="14">
        <f>IFERROR(F4*(1+INDEX(CAGR!$C$44:$C$50,MATCH($A4,CAGR!$B$44:$B$50,0))),0)</f>
        <v>1.31472332589407E-3</v>
      </c>
      <c r="H4" s="14">
        <f>IFERROR(G4*(1+INDEX(CAGR!$C$44:$C$50,MATCH($A4,CAGR!$B$44:$B$50,0))),0)</f>
        <v>1.323051197619467E-3</v>
      </c>
      <c r="I4" s="14">
        <f>IFERROR(H4*(1+INDEX(CAGR!$C$44:$C$50,MATCH($A4,CAGR!$B$44:$B$50,0))),0)</f>
        <v>1.3314318207079141E-3</v>
      </c>
      <c r="J4" s="14">
        <f>IFERROR(I4*(1+INDEX(CAGR!$C$44:$C$50,MATCH($A4,CAGR!$B$44:$B$50,0))),0)</f>
        <v>1.3398655293031631E-3</v>
      </c>
      <c r="K4" s="14">
        <f>IFERROR(J4*(1+INDEX(CAGR!$C$44:$C$50,MATCH($A4,CAGR!$B$44:$B$50,0))),0)</f>
        <v>1.3483526596655378E-3</v>
      </c>
      <c r="L4" s="14">
        <f>IFERROR(K4*(1+INDEX(CAGR!$C$44:$C$50,MATCH($A4,CAGR!$B$44:$B$50,0))),0)</f>
        <v>1.3568935501853407E-3</v>
      </c>
      <c r="M4" s="14">
        <f>IFERROR(L4*(1+INDEX(CAGR!$C$44:$C$50,MATCH($A4,CAGR!$B$44:$B$50,0))),0)</f>
        <v>1.3654885413963451E-3</v>
      </c>
      <c r="N4" s="14">
        <f>IFERROR(M4*(1+INDEX(CAGR!$C$44:$C$50,MATCH($A4,CAGR!$B$44:$B$50,0))),0)</f>
        <v>1.3741379759893723E-3</v>
      </c>
      <c r="O4" s="14">
        <f>IFERROR(N4*(1+INDEX(CAGR!$C$44:$C$50,MATCH($A4,CAGR!$B$44:$B$50,0))),0)</f>
        <v>1.3828421988259557E-3</v>
      </c>
      <c r="P4" s="14">
        <f>IFERROR(O4*(1+INDEX(CAGR!$C$44:$C$50,MATCH($A4,CAGR!$B$44:$B$50,0))),0)</f>
        <v>1.3916015569520898E-3</v>
      </c>
      <c r="Q4" s="14">
        <f>IFERROR(P4*(1+INDEX(CAGR!$C$44:$C$50,MATCH($A4,CAGR!$B$44:$B$50,0))),0)</f>
        <v>1.4004163996120681E-3</v>
      </c>
      <c r="R4" s="14">
        <f>IFERROR(Q4*(1+INDEX(CAGR!$C$44:$C$50,MATCH($A4,CAGR!$B$44:$B$50,0))),0)</f>
        <v>1.4092870782624074E-3</v>
      </c>
      <c r="S4" s="14">
        <f>IFERROR(R4*(1+INDEX(CAGR!$C$44:$C$50,MATCH($A4,CAGR!$B$44:$B$50,0))),0)</f>
        <v>1.4182139465858605E-3</v>
      </c>
      <c r="T4" s="14">
        <f>IFERROR(S4*(1+INDEX(CAGR!$C$44:$C$50,MATCH($A4,CAGR!$B$44:$B$50,0))),0)</f>
        <v>1.4271973605055185E-3</v>
      </c>
      <c r="U4" s="14">
        <f>IFERROR(T4*(1+INDEX(CAGR!$C$44:$C$50,MATCH($A4,CAGR!$B$44:$B$50,0))),0)</f>
        <v>1.4362376781990014E-3</v>
      </c>
      <c r="V4" s="14">
        <f>IFERROR(U4*(1+INDEX(CAGR!$C$44:$C$50,MATCH($A4,CAGR!$B$44:$B$50,0))),0)</f>
        <v>1.4453352601127394E-3</v>
      </c>
      <c r="W4" s="14">
        <f>IFERROR(V4*(1+INDEX(CAGR!$C$44:$C$50,MATCH($A4,CAGR!$B$44:$B$50,0))),0)</f>
        <v>1.4544904689763431E-3</v>
      </c>
      <c r="X4" s="14">
        <f>IFERROR(W4*(1+INDEX(CAGR!$C$44:$C$50,MATCH($A4,CAGR!$B$44:$B$50,0))),0)</f>
        <v>1.4637036698170677E-3</v>
      </c>
      <c r="Y4" s="14">
        <f>IFERROR(X4*(1+INDEX(CAGR!$C$44:$C$50,MATCH($A4,CAGR!$B$44:$B$50,0))),0)</f>
        <v>1.4729752299743654E-3</v>
      </c>
      <c r="Z4" s="14">
        <f>IFERROR(Y4*(1+INDEX(CAGR!$C$44:$C$50,MATCH($A4,CAGR!$B$44:$B$50,0))),0)</f>
        <v>1.4823055191145321E-3</v>
      </c>
      <c r="AA4" s="14">
        <f>IFERROR(Z4*(1+INDEX(CAGR!$C$44:$C$50,MATCH($A4,CAGR!$B$44:$B$50,0))),0)</f>
        <v>1.4916949092454472E-3</v>
      </c>
      <c r="AB4" s="14">
        <f>IFERROR(AA4*(1+INDEX(CAGR!$C$44:$C$50,MATCH($A4,CAGR!$B$44:$B$50,0))),0)</f>
        <v>1.5011437747314046E-3</v>
      </c>
      <c r="AC4" s="14">
        <f>IFERROR(AB4*(1+INDEX(CAGR!$C$44:$C$50,MATCH($A4,CAGR!$B$44:$B$50,0))),0)</f>
        <v>1.5106524923080397E-3</v>
      </c>
      <c r="AD4" s="14">
        <f>IFERROR(AC4*(1+INDEX(CAGR!$C$44:$C$50,MATCH($A4,CAGR!$B$44:$B$50,0))),0)</f>
        <v>1.5202214410973503E-3</v>
      </c>
      <c r="AE4" s="14">
        <f>IFERROR(AD4*(1+INDEX(CAGR!$C$44:$C$50,MATCH($A4,CAGR!$B$44:$B$50,0))),0)</f>
        <v>1.5298510026228122E-3</v>
      </c>
      <c r="AF4" s="14">
        <f>IFERROR(AE4*(1+INDEX(CAGR!$C$44:$C$50,MATCH($A4,CAGR!$B$44:$B$50,0))),0)</f>
        <v>1.5395415608245909E-3</v>
      </c>
      <c r="AG4" s="14"/>
    </row>
    <row r="5" spans="1:33">
      <c r="A5" s="1" t="s">
        <v>12</v>
      </c>
      <c r="B5" s="14">
        <f>IFERROR(INDEX('SYFAFE psgr'!$B$5:$H$5,,MATCH($A5,'SYFAFE psgr'!$B$1:$H$1,0))*(1+INDEX(CAGR!$C$44:$C$50,MATCH($A5,CAGR!$B$44:$B$50,0))),0)</f>
        <v>1.273863689169918E-3</v>
      </c>
      <c r="C5" s="14">
        <f>IFERROR(B5*(1+INDEX(CAGR!$C$44:$C$50,MATCH($A5,CAGR!$B$44:$B$50,0))),0)</f>
        <v>1.2819327430842339E-3</v>
      </c>
      <c r="D5" s="14">
        <f>IFERROR(C5*(1+INDEX(CAGR!$C$44:$C$50,MATCH($A5,CAGR!$B$44:$B$50,0))),0)</f>
        <v>1.2900529089280488E-3</v>
      </c>
      <c r="E5" s="14">
        <f>IFERROR(D5*(1+INDEX(CAGR!$C$44:$C$50,MATCH($A5,CAGR!$B$44:$B$50,0))),0)</f>
        <v>1.2982245104604258E-3</v>
      </c>
      <c r="F5" s="14">
        <f>IFERROR(E5*(1+INDEX(CAGR!$C$44:$C$50,MATCH($A5,CAGR!$B$44:$B$50,0))),0)</f>
        <v>1.3064478734912204E-3</v>
      </c>
      <c r="G5" s="14">
        <f>IFERROR(F5*(1+INDEX(CAGR!$C$44:$C$50,MATCH($A5,CAGR!$B$44:$B$50,0))),0)</f>
        <v>1.31472332589407E-3</v>
      </c>
      <c r="H5" s="14">
        <f>IFERROR(G5*(1+INDEX(CAGR!$C$44:$C$50,MATCH($A5,CAGR!$B$44:$B$50,0))),0)</f>
        <v>1.323051197619467E-3</v>
      </c>
      <c r="I5" s="14">
        <f>IFERROR(H5*(1+INDEX(CAGR!$C$44:$C$50,MATCH($A5,CAGR!$B$44:$B$50,0))),0)</f>
        <v>1.3314318207079141E-3</v>
      </c>
      <c r="J5" s="14">
        <f>IFERROR(I5*(1+INDEX(CAGR!$C$44:$C$50,MATCH($A5,CAGR!$B$44:$B$50,0))),0)</f>
        <v>1.3398655293031631E-3</v>
      </c>
      <c r="K5" s="14">
        <f>IFERROR(J5*(1+INDEX(CAGR!$C$44:$C$50,MATCH($A5,CAGR!$B$44:$B$50,0))),0)</f>
        <v>1.3483526596655378E-3</v>
      </c>
      <c r="L5" s="14">
        <f>IFERROR(K5*(1+INDEX(CAGR!$C$44:$C$50,MATCH($A5,CAGR!$B$44:$B$50,0))),0)</f>
        <v>1.3568935501853407E-3</v>
      </c>
      <c r="M5" s="14">
        <f>IFERROR(L5*(1+INDEX(CAGR!$C$44:$C$50,MATCH($A5,CAGR!$B$44:$B$50,0))),0)</f>
        <v>1.3654885413963451E-3</v>
      </c>
      <c r="N5" s="14">
        <f>IFERROR(M5*(1+INDEX(CAGR!$C$44:$C$50,MATCH($A5,CAGR!$B$44:$B$50,0))),0)</f>
        <v>1.3741379759893723E-3</v>
      </c>
      <c r="O5" s="14">
        <f>IFERROR(N5*(1+INDEX(CAGR!$C$44:$C$50,MATCH($A5,CAGR!$B$44:$B$50,0))),0)</f>
        <v>1.3828421988259557E-3</v>
      </c>
      <c r="P5" s="14">
        <f>IFERROR(O5*(1+INDEX(CAGR!$C$44:$C$50,MATCH($A5,CAGR!$B$44:$B$50,0))),0)</f>
        <v>1.3916015569520898E-3</v>
      </c>
      <c r="Q5" s="14">
        <f>IFERROR(P5*(1+INDEX(CAGR!$C$44:$C$50,MATCH($A5,CAGR!$B$44:$B$50,0))),0)</f>
        <v>1.4004163996120681E-3</v>
      </c>
      <c r="R5" s="14">
        <f>IFERROR(Q5*(1+INDEX(CAGR!$C$44:$C$50,MATCH($A5,CAGR!$B$44:$B$50,0))),0)</f>
        <v>1.4092870782624074E-3</v>
      </c>
      <c r="S5" s="14">
        <f>IFERROR(R5*(1+INDEX(CAGR!$C$44:$C$50,MATCH($A5,CAGR!$B$44:$B$50,0))),0)</f>
        <v>1.4182139465858605E-3</v>
      </c>
      <c r="T5" s="14">
        <f>IFERROR(S5*(1+INDEX(CAGR!$C$44:$C$50,MATCH($A5,CAGR!$B$44:$B$50,0))),0)</f>
        <v>1.4271973605055185E-3</v>
      </c>
      <c r="U5" s="14">
        <f>IFERROR(T5*(1+INDEX(CAGR!$C$44:$C$50,MATCH($A5,CAGR!$B$44:$B$50,0))),0)</f>
        <v>1.4362376781990014E-3</v>
      </c>
      <c r="V5" s="14">
        <f>IFERROR(U5*(1+INDEX(CAGR!$C$44:$C$50,MATCH($A5,CAGR!$B$44:$B$50,0))),0)</f>
        <v>1.4453352601127394E-3</v>
      </c>
      <c r="W5" s="14">
        <f>IFERROR(V5*(1+INDEX(CAGR!$C$44:$C$50,MATCH($A5,CAGR!$B$44:$B$50,0))),0)</f>
        <v>1.4544904689763431E-3</v>
      </c>
      <c r="X5" s="14">
        <f>IFERROR(W5*(1+INDEX(CAGR!$C$44:$C$50,MATCH($A5,CAGR!$B$44:$B$50,0))),0)</f>
        <v>1.4637036698170677E-3</v>
      </c>
      <c r="Y5" s="14">
        <f>IFERROR(X5*(1+INDEX(CAGR!$C$44:$C$50,MATCH($A5,CAGR!$B$44:$B$50,0))),0)</f>
        <v>1.4729752299743654E-3</v>
      </c>
      <c r="Z5" s="14">
        <f>IFERROR(Y5*(1+INDEX(CAGR!$C$44:$C$50,MATCH($A5,CAGR!$B$44:$B$50,0))),0)</f>
        <v>1.4823055191145321E-3</v>
      </c>
      <c r="AA5" s="14">
        <f>IFERROR(Z5*(1+INDEX(CAGR!$C$44:$C$50,MATCH($A5,CAGR!$B$44:$B$50,0))),0)</f>
        <v>1.4916949092454472E-3</v>
      </c>
      <c r="AB5" s="14">
        <f>IFERROR(AA5*(1+INDEX(CAGR!$C$44:$C$50,MATCH($A5,CAGR!$B$44:$B$50,0))),0)</f>
        <v>1.5011437747314046E-3</v>
      </c>
      <c r="AC5" s="14">
        <f>IFERROR(AB5*(1+INDEX(CAGR!$C$44:$C$50,MATCH($A5,CAGR!$B$44:$B$50,0))),0)</f>
        <v>1.5106524923080397E-3</v>
      </c>
      <c r="AD5" s="14">
        <f>IFERROR(AC5*(1+INDEX(CAGR!$C$44:$C$50,MATCH($A5,CAGR!$B$44:$B$50,0))),0)</f>
        <v>1.5202214410973503E-3</v>
      </c>
      <c r="AE5" s="14">
        <f>IFERROR(AD5*(1+INDEX(CAGR!$C$44:$C$50,MATCH($A5,CAGR!$B$44:$B$50,0))),0)</f>
        <v>1.5298510026228122E-3</v>
      </c>
      <c r="AF5" s="14">
        <f>IFERROR(AE5*(1+INDEX(CAGR!$C$44:$C$50,MATCH($A5,CAGR!$B$44:$B$50,0))),0)</f>
        <v>1.5395415608245909E-3</v>
      </c>
      <c r="AG5" s="14"/>
    </row>
    <row r="6" spans="1:33">
      <c r="A6" s="1" t="s">
        <v>13</v>
      </c>
      <c r="B6" s="14">
        <f>IFERROR(INDEX('SYFAFE psgr'!$B$5:$H$5,,MATCH($A6,'SYFAFE psgr'!$B$1:$H$1,0))*(1+INDEX(CAGR!$C$44:$C$50,MATCH($A6,CAGR!$B$44:$B$50,0))),0)</f>
        <v>0</v>
      </c>
      <c r="C6" s="14">
        <f>IFERROR(B6*(1+INDEX(CAGR!$C$44:$C$50,MATCH($A6,CAGR!$B$44:$B$50,0))),0)</f>
        <v>0</v>
      </c>
      <c r="D6" s="14">
        <f>IFERROR(C6*(1+INDEX(CAGR!$C$44:$C$50,MATCH($A6,CAGR!$B$44:$B$50,0))),0)</f>
        <v>0</v>
      </c>
      <c r="E6" s="14">
        <f>IFERROR(D6*(1+INDEX(CAGR!$C$44:$C$50,MATCH($A6,CAGR!$B$44:$B$50,0))),0)</f>
        <v>0</v>
      </c>
      <c r="F6" s="14">
        <f>IFERROR(E6*(1+INDEX(CAGR!$C$44:$C$50,MATCH($A6,CAGR!$B$44:$B$50,0))),0)</f>
        <v>0</v>
      </c>
      <c r="G6" s="14">
        <f>IFERROR(F6*(1+INDEX(CAGR!$C$44:$C$50,MATCH($A6,CAGR!$B$44:$B$50,0))),0)</f>
        <v>0</v>
      </c>
      <c r="H6" s="14">
        <f>IFERROR(G6*(1+INDEX(CAGR!$C$44:$C$50,MATCH($A6,CAGR!$B$44:$B$50,0))),0)</f>
        <v>0</v>
      </c>
      <c r="I6" s="14">
        <f>IFERROR(H6*(1+INDEX(CAGR!$C$44:$C$50,MATCH($A6,CAGR!$B$44:$B$50,0))),0)</f>
        <v>0</v>
      </c>
      <c r="J6" s="14">
        <f>IFERROR(I6*(1+INDEX(CAGR!$C$44:$C$50,MATCH($A6,CAGR!$B$44:$B$50,0))),0)</f>
        <v>0</v>
      </c>
      <c r="K6" s="14">
        <f>IFERROR(J6*(1+INDEX(CAGR!$C$44:$C$50,MATCH($A6,CAGR!$B$44:$B$50,0))),0)</f>
        <v>0</v>
      </c>
      <c r="L6" s="14">
        <f>IFERROR(K6*(1+INDEX(CAGR!$C$44:$C$50,MATCH($A6,CAGR!$B$44:$B$50,0))),0)</f>
        <v>0</v>
      </c>
      <c r="M6" s="14">
        <f>IFERROR(L6*(1+INDEX(CAGR!$C$44:$C$50,MATCH($A6,CAGR!$B$44:$B$50,0))),0)</f>
        <v>0</v>
      </c>
      <c r="N6" s="14">
        <f>IFERROR(M6*(1+INDEX(CAGR!$C$44:$C$50,MATCH($A6,CAGR!$B$44:$B$50,0))),0)</f>
        <v>0</v>
      </c>
      <c r="O6" s="14">
        <f>IFERROR(N6*(1+INDEX(CAGR!$C$44:$C$50,MATCH($A6,CAGR!$B$44:$B$50,0))),0)</f>
        <v>0</v>
      </c>
      <c r="P6" s="14">
        <f>IFERROR(O6*(1+INDEX(CAGR!$C$44:$C$50,MATCH($A6,CAGR!$B$44:$B$50,0))),0)</f>
        <v>0</v>
      </c>
      <c r="Q6" s="14">
        <f>IFERROR(P6*(1+INDEX(CAGR!$C$44:$C$50,MATCH($A6,CAGR!$B$44:$B$50,0))),0)</f>
        <v>0</v>
      </c>
      <c r="R6" s="14">
        <f>IFERROR(Q6*(1+INDEX(CAGR!$C$44:$C$50,MATCH($A6,CAGR!$B$44:$B$50,0))),0)</f>
        <v>0</v>
      </c>
      <c r="S6" s="14">
        <f>IFERROR(R6*(1+INDEX(CAGR!$C$44:$C$50,MATCH($A6,CAGR!$B$44:$B$50,0))),0)</f>
        <v>0</v>
      </c>
      <c r="T6" s="14">
        <f>IFERROR(S6*(1+INDEX(CAGR!$C$44:$C$50,MATCH($A6,CAGR!$B$44:$B$50,0))),0)</f>
        <v>0</v>
      </c>
      <c r="U6" s="14">
        <f>IFERROR(T6*(1+INDEX(CAGR!$C$44:$C$50,MATCH($A6,CAGR!$B$44:$B$50,0))),0)</f>
        <v>0</v>
      </c>
      <c r="V6" s="14">
        <f>IFERROR(U6*(1+INDEX(CAGR!$C$44:$C$50,MATCH($A6,CAGR!$B$44:$B$50,0))),0)</f>
        <v>0</v>
      </c>
      <c r="W6" s="14">
        <f>IFERROR(V6*(1+INDEX(CAGR!$C$44:$C$50,MATCH($A6,CAGR!$B$44:$B$50,0))),0)</f>
        <v>0</v>
      </c>
      <c r="X6" s="14">
        <f>IFERROR(W6*(1+INDEX(CAGR!$C$44:$C$50,MATCH($A6,CAGR!$B$44:$B$50,0))),0)</f>
        <v>0</v>
      </c>
      <c r="Y6" s="14">
        <f>IFERROR(X6*(1+INDEX(CAGR!$C$44:$C$50,MATCH($A6,CAGR!$B$44:$B$50,0))),0)</f>
        <v>0</v>
      </c>
      <c r="Z6" s="14">
        <f>IFERROR(Y6*(1+INDEX(CAGR!$C$44:$C$50,MATCH($A6,CAGR!$B$44:$B$50,0))),0)</f>
        <v>0</v>
      </c>
      <c r="AA6" s="14">
        <f>IFERROR(Z6*(1+INDEX(CAGR!$C$44:$C$50,MATCH($A6,CAGR!$B$44:$B$50,0))),0)</f>
        <v>0</v>
      </c>
      <c r="AB6" s="14">
        <f>IFERROR(AA6*(1+INDEX(CAGR!$C$44:$C$50,MATCH($A6,CAGR!$B$44:$B$50,0))),0)</f>
        <v>0</v>
      </c>
      <c r="AC6" s="14">
        <f>IFERROR(AB6*(1+INDEX(CAGR!$C$44:$C$50,MATCH($A6,CAGR!$B$44:$B$50,0))),0)</f>
        <v>0</v>
      </c>
      <c r="AD6" s="14">
        <f>IFERROR(AC6*(1+INDEX(CAGR!$C$44:$C$50,MATCH($A6,CAGR!$B$44:$B$50,0))),0)</f>
        <v>0</v>
      </c>
      <c r="AE6" s="14">
        <f>IFERROR(AD6*(1+INDEX(CAGR!$C$44:$C$50,MATCH($A6,CAGR!$B$44:$B$50,0))),0)</f>
        <v>0</v>
      </c>
      <c r="AF6" s="14">
        <f>IFERROR(AE6*(1+INDEX(CAGR!$C$44:$C$50,MATCH($A6,CAGR!$B$44:$B$50,0))),0)</f>
        <v>0</v>
      </c>
      <c r="AG6" s="14"/>
    </row>
    <row r="7" spans="1:33">
      <c r="A7" s="1" t="s">
        <v>14</v>
      </c>
      <c r="B7" s="14">
        <f>IFERROR(INDEX('SYFAFE psgr'!$B$5:$H$5,,MATCH($A7,'SYFAFE psgr'!$B$1:$H$1,0))*(1+INDEX(CAGR!$C$44:$C$50,MATCH($A7,CAGR!$B$44:$B$50,0))),0)</f>
        <v>0</v>
      </c>
      <c r="C7" s="14">
        <f>IFERROR(B7*(1+INDEX(CAGR!$C$44:$C$50,MATCH($A7,CAGR!$B$44:$B$50,0))),0)</f>
        <v>0</v>
      </c>
      <c r="D7" s="14">
        <f>IFERROR(C7*(1+INDEX(CAGR!$C$44:$C$50,MATCH($A7,CAGR!$B$44:$B$50,0))),0)</f>
        <v>0</v>
      </c>
      <c r="E7" s="14">
        <f>IFERROR(D7*(1+INDEX(CAGR!$C$44:$C$50,MATCH($A7,CAGR!$B$44:$B$50,0))),0)</f>
        <v>0</v>
      </c>
      <c r="F7" s="14">
        <f>IFERROR(E7*(1+INDEX(CAGR!$C$44:$C$50,MATCH($A7,CAGR!$B$44:$B$50,0))),0)</f>
        <v>0</v>
      </c>
      <c r="G7" s="14">
        <f>IFERROR(F7*(1+INDEX(CAGR!$C$44:$C$50,MATCH($A7,CAGR!$B$44:$B$50,0))),0)</f>
        <v>0</v>
      </c>
      <c r="H7" s="14">
        <f>IFERROR(G7*(1+INDEX(CAGR!$C$44:$C$50,MATCH($A7,CAGR!$B$44:$B$50,0))),0)</f>
        <v>0</v>
      </c>
      <c r="I7" s="14">
        <f>IFERROR(H7*(1+INDEX(CAGR!$C$44:$C$50,MATCH($A7,CAGR!$B$44:$B$50,0))),0)</f>
        <v>0</v>
      </c>
      <c r="J7" s="14">
        <f>IFERROR(I7*(1+INDEX(CAGR!$C$44:$C$50,MATCH($A7,CAGR!$B$44:$B$50,0))),0)</f>
        <v>0</v>
      </c>
      <c r="K7" s="14">
        <f>IFERROR(J7*(1+INDEX(CAGR!$C$44:$C$50,MATCH($A7,CAGR!$B$44:$B$50,0))),0)</f>
        <v>0</v>
      </c>
      <c r="L7" s="14">
        <f>IFERROR(K7*(1+INDEX(CAGR!$C$44:$C$50,MATCH($A7,CAGR!$B$44:$B$50,0))),0)</f>
        <v>0</v>
      </c>
      <c r="M7" s="14">
        <f>IFERROR(L7*(1+INDEX(CAGR!$C$44:$C$50,MATCH($A7,CAGR!$B$44:$B$50,0))),0)</f>
        <v>0</v>
      </c>
      <c r="N7" s="14">
        <f>IFERROR(M7*(1+INDEX(CAGR!$C$44:$C$50,MATCH($A7,CAGR!$B$44:$B$50,0))),0)</f>
        <v>0</v>
      </c>
      <c r="O7" s="14">
        <f>IFERROR(N7*(1+INDEX(CAGR!$C$44:$C$50,MATCH($A7,CAGR!$B$44:$B$50,0))),0)</f>
        <v>0</v>
      </c>
      <c r="P7" s="14">
        <f>IFERROR(O7*(1+INDEX(CAGR!$C$44:$C$50,MATCH($A7,CAGR!$B$44:$B$50,0))),0)</f>
        <v>0</v>
      </c>
      <c r="Q7" s="14">
        <f>IFERROR(P7*(1+INDEX(CAGR!$C$44:$C$50,MATCH($A7,CAGR!$B$44:$B$50,0))),0)</f>
        <v>0</v>
      </c>
      <c r="R7" s="14">
        <f>IFERROR(Q7*(1+INDEX(CAGR!$C$44:$C$50,MATCH($A7,CAGR!$B$44:$B$50,0))),0)</f>
        <v>0</v>
      </c>
      <c r="S7" s="14">
        <f>IFERROR(R7*(1+INDEX(CAGR!$C$44:$C$50,MATCH($A7,CAGR!$B$44:$B$50,0))),0)</f>
        <v>0</v>
      </c>
      <c r="T7" s="14">
        <f>IFERROR(S7*(1+INDEX(CAGR!$C$44:$C$50,MATCH($A7,CAGR!$B$44:$B$50,0))),0)</f>
        <v>0</v>
      </c>
      <c r="U7" s="14">
        <f>IFERROR(T7*(1+INDEX(CAGR!$C$44:$C$50,MATCH($A7,CAGR!$B$44:$B$50,0))),0)</f>
        <v>0</v>
      </c>
      <c r="V7" s="14">
        <f>IFERROR(U7*(1+INDEX(CAGR!$C$44:$C$50,MATCH($A7,CAGR!$B$44:$B$50,0))),0)</f>
        <v>0</v>
      </c>
      <c r="W7" s="14">
        <f>IFERROR(V7*(1+INDEX(CAGR!$C$44:$C$50,MATCH($A7,CAGR!$B$44:$B$50,0))),0)</f>
        <v>0</v>
      </c>
      <c r="X7" s="14">
        <f>IFERROR(W7*(1+INDEX(CAGR!$C$44:$C$50,MATCH($A7,CAGR!$B$44:$B$50,0))),0)</f>
        <v>0</v>
      </c>
      <c r="Y7" s="14">
        <f>IFERROR(X7*(1+INDEX(CAGR!$C$44:$C$50,MATCH($A7,CAGR!$B$44:$B$50,0))),0)</f>
        <v>0</v>
      </c>
      <c r="Z7" s="14">
        <f>IFERROR(Y7*(1+INDEX(CAGR!$C$44:$C$50,MATCH($A7,CAGR!$B$44:$B$50,0))),0)</f>
        <v>0</v>
      </c>
      <c r="AA7" s="14">
        <f>IFERROR(Z7*(1+INDEX(CAGR!$C$44:$C$50,MATCH($A7,CAGR!$B$44:$B$50,0))),0)</f>
        <v>0</v>
      </c>
      <c r="AB7" s="14">
        <f>IFERROR(AA7*(1+INDEX(CAGR!$C$44:$C$50,MATCH($A7,CAGR!$B$44:$B$50,0))),0)</f>
        <v>0</v>
      </c>
      <c r="AC7" s="14">
        <f>IFERROR(AB7*(1+INDEX(CAGR!$C$44:$C$50,MATCH($A7,CAGR!$B$44:$B$50,0))),0)</f>
        <v>0</v>
      </c>
      <c r="AD7" s="14">
        <f>IFERROR(AC7*(1+INDEX(CAGR!$C$44:$C$50,MATCH($A7,CAGR!$B$44:$B$50,0))),0)</f>
        <v>0</v>
      </c>
      <c r="AE7" s="14">
        <f>IFERROR(AD7*(1+INDEX(CAGR!$C$44:$C$50,MATCH($A7,CAGR!$B$44:$B$50,0))),0)</f>
        <v>0</v>
      </c>
      <c r="AF7" s="14">
        <f>IFERROR(AE7*(1+INDEX(CAGR!$C$44:$C$50,MATCH($A7,CAGR!$B$44:$B$50,0))),0)</f>
        <v>0</v>
      </c>
      <c r="AG7" s="14"/>
    </row>
    <row r="8" spans="1:33">
      <c r="A8" s="1" t="s">
        <v>15</v>
      </c>
      <c r="B8" s="13">
        <f>B5*Calibration!$D$37</f>
        <v>3.8215910675097535E-3</v>
      </c>
      <c r="C8" s="13">
        <f>B8*(1+CAGR!$C$50)</f>
        <v>3.8457982292527011E-3</v>
      </c>
      <c r="D8" s="13">
        <f>C8*(1+CAGR!$C$50)</f>
        <v>3.8701587267841457E-3</v>
      </c>
      <c r="E8" s="13">
        <f>D8*(1+CAGR!$C$50)</f>
        <v>3.8946735313812771E-3</v>
      </c>
      <c r="F8" s="13">
        <f>E8*(1+CAGR!$C$50)</f>
        <v>3.9193436204736608E-3</v>
      </c>
      <c r="G8" s="13">
        <f>F8*(1+CAGR!$C$50)</f>
        <v>3.9441699776822095E-3</v>
      </c>
      <c r="H8" s="13">
        <f>G8*(1+CAGR!$C$50)</f>
        <v>3.9691535928584E-3</v>
      </c>
      <c r="I8" s="13">
        <f>H8*(1+CAGR!$C$50)</f>
        <v>3.9942954621237413E-3</v>
      </c>
      <c r="J8" s="13">
        <f>I8*(1+CAGR!$C$50)</f>
        <v>4.0195965879094879E-3</v>
      </c>
      <c r="K8" s="13">
        <f>J8*(1+CAGR!$C$50)</f>
        <v>4.0450579789966115E-3</v>
      </c>
      <c r="L8" s="13">
        <f>K8*(1+CAGR!$C$50)</f>
        <v>4.0706806505560198E-3</v>
      </c>
      <c r="M8" s="13">
        <f>L8*(1+CAGR!$C$50)</f>
        <v>4.0964656241890326E-3</v>
      </c>
      <c r="N8" s="13">
        <f>M8*(1+CAGR!$C$50)</f>
        <v>4.1224139279681148E-3</v>
      </c>
      <c r="O8" s="13">
        <f>N8*(1+CAGR!$C$50)</f>
        <v>4.148526596477865E-3</v>
      </c>
      <c r="P8" s="13">
        <f>O8*(1+CAGR!$C$50)</f>
        <v>4.1748046708562671E-3</v>
      </c>
      <c r="Q8" s="13">
        <f>P8*(1+CAGR!$C$50)</f>
        <v>4.2012491988362016E-3</v>
      </c>
      <c r="R8" s="13">
        <f>Q8*(1+CAGR!$C$50)</f>
        <v>4.2278612347872195E-3</v>
      </c>
      <c r="S8" s="13">
        <f>R8*(1+CAGR!$C$50)</f>
        <v>4.2546418397575786E-3</v>
      </c>
      <c r="T8" s="13">
        <f>S8*(1+CAGR!$C$50)</f>
        <v>4.2815920815165529E-3</v>
      </c>
      <c r="U8" s="13">
        <f>T8*(1+CAGR!$C$50)</f>
        <v>4.308713034597002E-3</v>
      </c>
      <c r="V8" s="13">
        <f>U8*(1+CAGR!$C$50)</f>
        <v>4.3360057803382155E-3</v>
      </c>
      <c r="W8" s="13">
        <f>V8*(1+CAGR!$C$50)</f>
        <v>4.3634714069290268E-3</v>
      </c>
      <c r="X8" s="13">
        <f>W8*(1+CAGR!$C$50)</f>
        <v>4.3911110094512007E-3</v>
      </c>
      <c r="Y8" s="13">
        <f>X8*(1+CAGR!$C$50)</f>
        <v>4.4189256899230932E-3</v>
      </c>
      <c r="Z8" s="13">
        <f>Y8*(1+CAGR!$C$50)</f>
        <v>4.4469165573435936E-3</v>
      </c>
      <c r="AA8" s="13">
        <f>Z8*(1+CAGR!$C$50)</f>
        <v>4.4750847277363389E-3</v>
      </c>
      <c r="AB8" s="13">
        <f>AA8*(1+CAGR!$C$50)</f>
        <v>4.503431324194211E-3</v>
      </c>
      <c r="AC8" s="13">
        <f>AB8*(1+CAGR!$C$50)</f>
        <v>4.531957476924117E-3</v>
      </c>
      <c r="AD8" s="13">
        <f>AC8*(1+CAGR!$C$50)</f>
        <v>4.5606643232920492E-3</v>
      </c>
      <c r="AE8" s="13">
        <f>AD8*(1+CAGR!$C$50)</f>
        <v>4.5895530078684348E-3</v>
      </c>
      <c r="AF8" s="13">
        <f>AE8*(1+CAGR!$C$50)</f>
        <v>4.6186246824737711E-3</v>
      </c>
      <c r="AG8" s="14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54C0-0C37-417F-BDAF-821D86C49073}">
  <sheetPr>
    <tabColor rgb="FF1F497D"/>
  </sheetPr>
  <dimension ref="A1:AF8"/>
  <sheetViews>
    <sheetView workbookViewId="0">
      <selection activeCell="B5" sqref="B5"/>
    </sheetView>
  </sheetViews>
  <sheetFormatPr defaultRowHeight="14.5"/>
  <cols>
    <col min="1" max="1" width="32.7265625" bestFit="1" customWidth="1"/>
    <col min="2" max="32" width="9.2695312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14">
        <f>IFERROR(INDEX('SYFAFE frgt'!$B$5:$H$5,,MATCH($A2,'SYFAFE frgt'!$B$1:$H$1,0))*(1+INDEX(CAGR!$C$51:$C$57,MATCH($A2,CAGR!$B$51:$B$57,0))),0)</f>
        <v>4.6792579938174442E-3</v>
      </c>
      <c r="C2" s="14">
        <f>IFERROR(B2*(1+INDEX(CAGR!$C$51:$C$57,MATCH($A2,CAGR!$B$44:$B$50,0))),0)</f>
        <v>4.6840199229097436E-3</v>
      </c>
      <c r="D2" s="14">
        <f>IFERROR(C2*(1+INDEX(CAGR!$C$51:$C$57,MATCH($A2,CAGR!$B$44:$B$50,0))),0)</f>
        <v>4.688786698062831E-3</v>
      </c>
      <c r="E2" s="14">
        <f>IFERROR(D2*(1+INDEX(CAGR!$C$51:$C$57,MATCH($A2,CAGR!$B$44:$B$50,0))),0)</f>
        <v>4.6935583242083854E-3</v>
      </c>
      <c r="F2" s="14">
        <f>IFERROR(E2*(1+INDEX(CAGR!$C$51:$C$57,MATCH($A2,CAGR!$B$44:$B$50,0))),0)</f>
        <v>4.6983348062831038E-3</v>
      </c>
      <c r="G2" s="14">
        <f>IFERROR(F2*(1+INDEX(CAGR!$C$51:$C$57,MATCH($A2,CAGR!$B$44:$B$50,0))),0)</f>
        <v>4.7031161492287086E-3</v>
      </c>
      <c r="H2" s="14">
        <f>IFERROR(G2*(1+INDEX(CAGR!$C$51:$C$57,MATCH($A2,CAGR!$B$44:$B$50,0))),0)</f>
        <v>4.7079023579919502E-3</v>
      </c>
      <c r="I2" s="14">
        <f>IFERROR(H2*(1+INDEX(CAGR!$C$51:$C$57,MATCH($A2,CAGR!$B$44:$B$50,0))),0)</f>
        <v>4.7126934375246133E-3</v>
      </c>
      <c r="J2" s="14">
        <f>IFERROR(I2*(1+INDEX(CAGR!$C$51:$C$57,MATCH($A2,CAGR!$B$44:$B$50,0))),0)</f>
        <v>4.7174893927835219E-3</v>
      </c>
      <c r="K2" s="14">
        <f>IFERROR(J2*(1+INDEX(CAGR!$C$51:$C$57,MATCH($A2,CAGR!$B$44:$B$50,0))),0)</f>
        <v>4.7222902287305446E-3</v>
      </c>
      <c r="L2" s="14">
        <f>IFERROR(K2*(1+INDEX(CAGR!$C$51:$C$57,MATCH($A2,CAGR!$B$44:$B$50,0))),0)</f>
        <v>4.7270959503325988E-3</v>
      </c>
      <c r="M2" s="14">
        <f>IFERROR(L2*(1+INDEX(CAGR!$C$51:$C$57,MATCH($A2,CAGR!$B$44:$B$50,0))),0)</f>
        <v>4.731906562561658E-3</v>
      </c>
      <c r="N2" s="14">
        <f>IFERROR(M2*(1+INDEX(CAGR!$C$51:$C$57,MATCH($A2,CAGR!$B$44:$B$50,0))),0)</f>
        <v>4.7367220703947539E-3</v>
      </c>
      <c r="O2" s="14">
        <f>IFERROR(N2*(1+INDEX(CAGR!$C$51:$C$57,MATCH($A2,CAGR!$B$44:$B$50,0))),0)</f>
        <v>4.7415424788139846E-3</v>
      </c>
      <c r="P2" s="14">
        <f>IFERROR(O2*(1+INDEX(CAGR!$C$51:$C$57,MATCH($A2,CAGR!$B$44:$B$50,0))),0)</f>
        <v>4.746367792806518E-3</v>
      </c>
      <c r="Q2" s="14">
        <f>IFERROR(P2*(1+INDEX(CAGR!$C$51:$C$57,MATCH($A2,CAGR!$B$44:$B$50,0))),0)</f>
        <v>4.7511980173645958E-3</v>
      </c>
      <c r="R2" s="14">
        <f>IFERROR(Q2*(1+INDEX(CAGR!$C$51:$C$57,MATCH($A2,CAGR!$B$44:$B$50,0))),0)</f>
        <v>4.7560331574855418E-3</v>
      </c>
      <c r="S2" s="14">
        <f>IFERROR(R2*(1+INDEX(CAGR!$C$51:$C$57,MATCH($A2,CAGR!$B$44:$B$50,0))),0)</f>
        <v>4.760873218171765E-3</v>
      </c>
      <c r="T2" s="14">
        <f>IFERROR(S2*(1+INDEX(CAGR!$C$51:$C$57,MATCH($A2,CAGR!$B$44:$B$50,0))),0)</f>
        <v>4.7657182044307652E-3</v>
      </c>
      <c r="U2" s="14">
        <f>IFERROR(T2*(1+INDEX(CAGR!$C$51:$C$57,MATCH($A2,CAGR!$B$44:$B$50,0))),0)</f>
        <v>4.7705681212751377E-3</v>
      </c>
      <c r="V2" s="14">
        <f>IFERROR(U2*(1+INDEX(CAGR!$C$51:$C$57,MATCH($A2,CAGR!$B$44:$B$50,0))),0)</f>
        <v>4.7754229737225797E-3</v>
      </c>
      <c r="W2" s="14">
        <f>IFERROR(V2*(1+INDEX(CAGR!$C$51:$C$57,MATCH($A2,CAGR!$B$44:$B$50,0))),0)</f>
        <v>4.7802827667958944E-3</v>
      </c>
      <c r="X2" s="14">
        <f>IFERROR(W2*(1+INDEX(CAGR!$C$51:$C$57,MATCH($A2,CAGR!$B$44:$B$50,0))),0)</f>
        <v>4.7851475055229959E-3</v>
      </c>
      <c r="Y2" s="14">
        <f>IFERROR(X2*(1+INDEX(CAGR!$C$51:$C$57,MATCH($A2,CAGR!$B$44:$B$50,0))),0)</f>
        <v>4.7900171949369161E-3</v>
      </c>
      <c r="Z2" s="14">
        <f>IFERROR(Y2*(1+INDEX(CAGR!$C$51:$C$57,MATCH($A2,CAGR!$B$44:$B$50,0))),0)</f>
        <v>4.7948918400758083E-3</v>
      </c>
      <c r="AA2" s="14">
        <f>IFERROR(Z2*(1+INDEX(CAGR!$C$51:$C$57,MATCH($A2,CAGR!$B$44:$B$50,0))),0)</f>
        <v>4.7997714459829532E-3</v>
      </c>
      <c r="AB2" s="14">
        <f>IFERROR(AA2*(1+INDEX(CAGR!$C$51:$C$57,MATCH($A2,CAGR!$B$44:$B$50,0))),0)</f>
        <v>4.804656017706764E-3</v>
      </c>
      <c r="AC2" s="14">
        <f>IFERROR(AB2*(1+INDEX(CAGR!$C$51:$C$57,MATCH($A2,CAGR!$B$44:$B$50,0))),0)</f>
        <v>4.8095455603007911E-3</v>
      </c>
      <c r="AD2" s="14">
        <f>IFERROR(AC2*(1+INDEX(CAGR!$C$51:$C$57,MATCH($A2,CAGR!$B$44:$B$50,0))),0)</f>
        <v>4.8144400788237276E-3</v>
      </c>
      <c r="AE2" s="14">
        <f>IFERROR(AD2*(1+INDEX(CAGR!$C$51:$C$57,MATCH($A2,CAGR!$B$44:$B$50,0))),0)</f>
        <v>4.8193395783394152E-3</v>
      </c>
      <c r="AF2" s="14">
        <f>IFERROR(AE2*(1+INDEX(CAGR!$C$51:$C$57,MATCH($A2,CAGR!$B$44:$B$50,0))),0)</f>
        <v>4.8242440639168485E-3</v>
      </c>
    </row>
    <row r="3" spans="1:32">
      <c r="A3" s="1" t="s">
        <v>10</v>
      </c>
      <c r="B3" s="14">
        <f>IFERROR(INDEX('SYFAFE frgt'!$B$5:$H$5,,MATCH($A3,'SYFAFE frgt'!$B$1:$H$1,0))*(1+INDEX(CAGR!$C$51:$C$57,MATCH($A3,CAGR!$B$51:$B$57,0))),0)</f>
        <v>1.4546562300683371E-3</v>
      </c>
      <c r="C3" s="14">
        <f>IFERROR(B3*(1+INDEX(CAGR!$C$51:$C$57,MATCH($A3,CAGR!$B$44:$B$50,0))),0)</f>
        <v>1.4546562300683371E-3</v>
      </c>
      <c r="D3" s="14">
        <f>IFERROR(C3*(1+INDEX(CAGR!$C$51:$C$57,MATCH($A3,CAGR!$B$44:$B$50,0))),0)</f>
        <v>1.4546562300683371E-3</v>
      </c>
      <c r="E3" s="14">
        <f>IFERROR(D3*(1+INDEX(CAGR!$C$51:$C$57,MATCH($A3,CAGR!$B$44:$B$50,0))),0)</f>
        <v>1.4546562300683371E-3</v>
      </c>
      <c r="F3" s="14">
        <f>IFERROR(E3*(1+INDEX(CAGR!$C$51:$C$57,MATCH($A3,CAGR!$B$44:$B$50,0))),0)</f>
        <v>1.4546562300683371E-3</v>
      </c>
      <c r="G3" s="14">
        <f>IFERROR(F3*(1+INDEX(CAGR!$C$51:$C$57,MATCH($A3,CAGR!$B$44:$B$50,0))),0)</f>
        <v>1.4546562300683371E-3</v>
      </c>
      <c r="H3" s="14">
        <f>IFERROR(G3*(1+INDEX(CAGR!$C$51:$C$57,MATCH($A3,CAGR!$B$44:$B$50,0))),0)</f>
        <v>1.4546562300683371E-3</v>
      </c>
      <c r="I3" s="14">
        <f>IFERROR(H3*(1+INDEX(CAGR!$C$51:$C$57,MATCH($A3,CAGR!$B$44:$B$50,0))),0)</f>
        <v>1.4546562300683371E-3</v>
      </c>
      <c r="J3" s="14">
        <f>IFERROR(I3*(1+INDEX(CAGR!$C$51:$C$57,MATCH($A3,CAGR!$B$44:$B$50,0))),0)</f>
        <v>1.4546562300683371E-3</v>
      </c>
      <c r="K3" s="14">
        <f>IFERROR(J3*(1+INDEX(CAGR!$C$51:$C$57,MATCH($A3,CAGR!$B$44:$B$50,0))),0)</f>
        <v>1.4546562300683371E-3</v>
      </c>
      <c r="L3" s="14">
        <f>IFERROR(K3*(1+INDEX(CAGR!$C$51:$C$57,MATCH($A3,CAGR!$B$44:$B$50,0))),0)</f>
        <v>1.4546562300683371E-3</v>
      </c>
      <c r="M3" s="14">
        <f>IFERROR(L3*(1+INDEX(CAGR!$C$51:$C$57,MATCH($A3,CAGR!$B$44:$B$50,0))),0)</f>
        <v>1.4546562300683371E-3</v>
      </c>
      <c r="N3" s="14">
        <f>IFERROR(M3*(1+INDEX(CAGR!$C$51:$C$57,MATCH($A3,CAGR!$B$44:$B$50,0))),0)</f>
        <v>1.4546562300683371E-3</v>
      </c>
      <c r="O3" s="14">
        <f>IFERROR(N3*(1+INDEX(CAGR!$C$51:$C$57,MATCH($A3,CAGR!$B$44:$B$50,0))),0)</f>
        <v>1.4546562300683371E-3</v>
      </c>
      <c r="P3" s="14">
        <f>IFERROR(O3*(1+INDEX(CAGR!$C$51:$C$57,MATCH($A3,CAGR!$B$44:$B$50,0))),0)</f>
        <v>1.4546562300683371E-3</v>
      </c>
      <c r="Q3" s="14">
        <f>IFERROR(P3*(1+INDEX(CAGR!$C$51:$C$57,MATCH($A3,CAGR!$B$44:$B$50,0))),0)</f>
        <v>1.4546562300683371E-3</v>
      </c>
      <c r="R3" s="14">
        <f>IFERROR(Q3*(1+INDEX(CAGR!$C$51:$C$57,MATCH($A3,CAGR!$B$44:$B$50,0))),0)</f>
        <v>1.4546562300683371E-3</v>
      </c>
      <c r="S3" s="14">
        <f>IFERROR(R3*(1+INDEX(CAGR!$C$51:$C$57,MATCH($A3,CAGR!$B$44:$B$50,0))),0)</f>
        <v>1.4546562300683371E-3</v>
      </c>
      <c r="T3" s="14">
        <f>IFERROR(S3*(1+INDEX(CAGR!$C$51:$C$57,MATCH($A3,CAGR!$B$44:$B$50,0))),0)</f>
        <v>1.4546562300683371E-3</v>
      </c>
      <c r="U3" s="14">
        <f>IFERROR(T3*(1+INDEX(CAGR!$C$51:$C$57,MATCH($A3,CAGR!$B$44:$B$50,0))),0)</f>
        <v>1.4546562300683371E-3</v>
      </c>
      <c r="V3" s="14">
        <f>IFERROR(U3*(1+INDEX(CAGR!$C$51:$C$57,MATCH($A3,CAGR!$B$44:$B$50,0))),0)</f>
        <v>1.4546562300683371E-3</v>
      </c>
      <c r="W3" s="14">
        <f>IFERROR(V3*(1+INDEX(CAGR!$C$51:$C$57,MATCH($A3,CAGR!$B$44:$B$50,0))),0)</f>
        <v>1.4546562300683371E-3</v>
      </c>
      <c r="X3" s="14">
        <f>IFERROR(W3*(1+INDEX(CAGR!$C$51:$C$57,MATCH($A3,CAGR!$B$44:$B$50,0))),0)</f>
        <v>1.4546562300683371E-3</v>
      </c>
      <c r="Y3" s="14">
        <f>IFERROR(X3*(1+INDEX(CAGR!$C$51:$C$57,MATCH($A3,CAGR!$B$44:$B$50,0))),0)</f>
        <v>1.4546562300683371E-3</v>
      </c>
      <c r="Z3" s="14">
        <f>IFERROR(Y3*(1+INDEX(CAGR!$C$51:$C$57,MATCH($A3,CAGR!$B$44:$B$50,0))),0)</f>
        <v>1.4546562300683371E-3</v>
      </c>
      <c r="AA3" s="14">
        <f>IFERROR(Z3*(1+INDEX(CAGR!$C$51:$C$57,MATCH($A3,CAGR!$B$44:$B$50,0))),0)</f>
        <v>1.4546562300683371E-3</v>
      </c>
      <c r="AB3" s="14">
        <f>IFERROR(AA3*(1+INDEX(CAGR!$C$51:$C$57,MATCH($A3,CAGR!$B$44:$B$50,0))),0)</f>
        <v>1.4546562300683371E-3</v>
      </c>
      <c r="AC3" s="14">
        <f>IFERROR(AB3*(1+INDEX(CAGR!$C$51:$C$57,MATCH($A3,CAGR!$B$44:$B$50,0))),0)</f>
        <v>1.4546562300683371E-3</v>
      </c>
      <c r="AD3" s="14">
        <f>IFERROR(AC3*(1+INDEX(CAGR!$C$51:$C$57,MATCH($A3,CAGR!$B$44:$B$50,0))),0)</f>
        <v>1.4546562300683371E-3</v>
      </c>
      <c r="AE3" s="14">
        <f>IFERROR(AD3*(1+INDEX(CAGR!$C$51:$C$57,MATCH($A3,CAGR!$B$44:$B$50,0))),0)</f>
        <v>1.4546562300683371E-3</v>
      </c>
      <c r="AF3" s="14">
        <f>IFERROR(AE3*(1+INDEX(CAGR!$C$51:$C$57,MATCH($A3,CAGR!$B$44:$B$50,0))),0)</f>
        <v>1.4546562300683371E-3</v>
      </c>
    </row>
    <row r="4" spans="1:32">
      <c r="A4" s="1" t="s">
        <v>11</v>
      </c>
      <c r="B4" s="14">
        <f>IFERROR(INDEX('SYFAFE frgt'!$B$5:$H$5,,MATCH($A4,'SYFAFE frgt'!$B$1:$H$1,0))*(1+INDEX(CAGR!$C$51:$C$57,MATCH($A4,CAGR!$B$51:$B$57,0))),0)</f>
        <v>1.4546562300683371E-3</v>
      </c>
      <c r="C4" s="14">
        <f>IFERROR(B4*(1+INDEX(CAGR!$C$51:$C$57,MATCH($A4,CAGR!$B$44:$B$50,0))),0)</f>
        <v>1.4546562300683371E-3</v>
      </c>
      <c r="D4" s="14">
        <f>IFERROR(C4*(1+INDEX(CAGR!$C$51:$C$57,MATCH($A4,CAGR!$B$44:$B$50,0))),0)</f>
        <v>1.4546562300683371E-3</v>
      </c>
      <c r="E4" s="14">
        <f>IFERROR(D4*(1+INDEX(CAGR!$C$51:$C$57,MATCH($A4,CAGR!$B$44:$B$50,0))),0)</f>
        <v>1.4546562300683371E-3</v>
      </c>
      <c r="F4" s="14">
        <f>IFERROR(E4*(1+INDEX(CAGR!$C$51:$C$57,MATCH($A4,CAGR!$B$44:$B$50,0))),0)</f>
        <v>1.4546562300683371E-3</v>
      </c>
      <c r="G4" s="14">
        <f>IFERROR(F4*(1+INDEX(CAGR!$C$51:$C$57,MATCH($A4,CAGR!$B$44:$B$50,0))),0)</f>
        <v>1.4546562300683371E-3</v>
      </c>
      <c r="H4" s="14">
        <f>IFERROR(G4*(1+INDEX(CAGR!$C$51:$C$57,MATCH($A4,CAGR!$B$44:$B$50,0))),0)</f>
        <v>1.4546562300683371E-3</v>
      </c>
      <c r="I4" s="14">
        <f>IFERROR(H4*(1+INDEX(CAGR!$C$51:$C$57,MATCH($A4,CAGR!$B$44:$B$50,0))),0)</f>
        <v>1.4546562300683371E-3</v>
      </c>
      <c r="J4" s="14">
        <f>IFERROR(I4*(1+INDEX(CAGR!$C$51:$C$57,MATCH($A4,CAGR!$B$44:$B$50,0))),0)</f>
        <v>1.4546562300683371E-3</v>
      </c>
      <c r="K4" s="14">
        <f>IFERROR(J4*(1+INDEX(CAGR!$C$51:$C$57,MATCH($A4,CAGR!$B$44:$B$50,0))),0)</f>
        <v>1.4546562300683371E-3</v>
      </c>
      <c r="L4" s="14">
        <f>IFERROR(K4*(1+INDEX(CAGR!$C$51:$C$57,MATCH($A4,CAGR!$B$44:$B$50,0))),0)</f>
        <v>1.4546562300683371E-3</v>
      </c>
      <c r="M4" s="14">
        <f>IFERROR(L4*(1+INDEX(CAGR!$C$51:$C$57,MATCH($A4,CAGR!$B$44:$B$50,0))),0)</f>
        <v>1.4546562300683371E-3</v>
      </c>
      <c r="N4" s="14">
        <f>IFERROR(M4*(1+INDEX(CAGR!$C$51:$C$57,MATCH($A4,CAGR!$B$44:$B$50,0))),0)</f>
        <v>1.4546562300683371E-3</v>
      </c>
      <c r="O4" s="14">
        <f>IFERROR(N4*(1+INDEX(CAGR!$C$51:$C$57,MATCH($A4,CAGR!$B$44:$B$50,0))),0)</f>
        <v>1.4546562300683371E-3</v>
      </c>
      <c r="P4" s="14">
        <f>IFERROR(O4*(1+INDEX(CAGR!$C$51:$C$57,MATCH($A4,CAGR!$B$44:$B$50,0))),0)</f>
        <v>1.4546562300683371E-3</v>
      </c>
      <c r="Q4" s="14">
        <f>IFERROR(P4*(1+INDEX(CAGR!$C$51:$C$57,MATCH($A4,CAGR!$B$44:$B$50,0))),0)</f>
        <v>1.4546562300683371E-3</v>
      </c>
      <c r="R4" s="14">
        <f>IFERROR(Q4*(1+INDEX(CAGR!$C$51:$C$57,MATCH($A4,CAGR!$B$44:$B$50,0))),0)</f>
        <v>1.4546562300683371E-3</v>
      </c>
      <c r="S4" s="14">
        <f>IFERROR(R4*(1+INDEX(CAGR!$C$51:$C$57,MATCH($A4,CAGR!$B$44:$B$50,0))),0)</f>
        <v>1.4546562300683371E-3</v>
      </c>
      <c r="T4" s="14">
        <f>IFERROR(S4*(1+INDEX(CAGR!$C$51:$C$57,MATCH($A4,CAGR!$B$44:$B$50,0))),0)</f>
        <v>1.4546562300683371E-3</v>
      </c>
      <c r="U4" s="14">
        <f>IFERROR(T4*(1+INDEX(CAGR!$C$51:$C$57,MATCH($A4,CAGR!$B$44:$B$50,0))),0)</f>
        <v>1.4546562300683371E-3</v>
      </c>
      <c r="V4" s="14">
        <f>IFERROR(U4*(1+INDEX(CAGR!$C$51:$C$57,MATCH($A4,CAGR!$B$44:$B$50,0))),0)</f>
        <v>1.4546562300683371E-3</v>
      </c>
      <c r="W4" s="14">
        <f>IFERROR(V4*(1+INDEX(CAGR!$C$51:$C$57,MATCH($A4,CAGR!$B$44:$B$50,0))),0)</f>
        <v>1.4546562300683371E-3</v>
      </c>
      <c r="X4" s="14">
        <f>IFERROR(W4*(1+INDEX(CAGR!$C$51:$C$57,MATCH($A4,CAGR!$B$44:$B$50,0))),0)</f>
        <v>1.4546562300683371E-3</v>
      </c>
      <c r="Y4" s="14">
        <f>IFERROR(X4*(1+INDEX(CAGR!$C$51:$C$57,MATCH($A4,CAGR!$B$44:$B$50,0))),0)</f>
        <v>1.4546562300683371E-3</v>
      </c>
      <c r="Z4" s="14">
        <f>IFERROR(Y4*(1+INDEX(CAGR!$C$51:$C$57,MATCH($A4,CAGR!$B$44:$B$50,0))),0)</f>
        <v>1.4546562300683371E-3</v>
      </c>
      <c r="AA4" s="14">
        <f>IFERROR(Z4*(1+INDEX(CAGR!$C$51:$C$57,MATCH($A4,CAGR!$B$44:$B$50,0))),0)</f>
        <v>1.4546562300683371E-3</v>
      </c>
      <c r="AB4" s="14">
        <f>IFERROR(AA4*(1+INDEX(CAGR!$C$51:$C$57,MATCH($A4,CAGR!$B$44:$B$50,0))),0)</f>
        <v>1.4546562300683371E-3</v>
      </c>
      <c r="AC4" s="14">
        <f>IFERROR(AB4*(1+INDEX(CAGR!$C$51:$C$57,MATCH($A4,CAGR!$B$44:$B$50,0))),0)</f>
        <v>1.4546562300683371E-3</v>
      </c>
      <c r="AD4" s="14">
        <f>IFERROR(AC4*(1+INDEX(CAGR!$C$51:$C$57,MATCH($A4,CAGR!$B$44:$B$50,0))),0)</f>
        <v>1.4546562300683371E-3</v>
      </c>
      <c r="AE4" s="14">
        <f>IFERROR(AD4*(1+INDEX(CAGR!$C$51:$C$57,MATCH($A4,CAGR!$B$44:$B$50,0))),0)</f>
        <v>1.4546562300683371E-3</v>
      </c>
      <c r="AF4" s="14">
        <f>IFERROR(AE4*(1+INDEX(CAGR!$C$51:$C$57,MATCH($A4,CAGR!$B$44:$B$50,0))),0)</f>
        <v>1.4546562300683371E-3</v>
      </c>
    </row>
    <row r="5" spans="1:32">
      <c r="A5" s="1" t="s">
        <v>12</v>
      </c>
      <c r="B5" s="14">
        <f>IFERROR(INDEX('SYFAFE frgt'!$B$5:$H$5,,MATCH($A5,'SYFAFE frgt'!$B$1:$H$1,0))*(1+INDEX(CAGR!$C$51:$C$57,MATCH($A5,CAGR!$B$51:$B$57,0))),0)</f>
        <v>1.4561365865330609E-3</v>
      </c>
      <c r="C5" s="14">
        <f>IFERROR(B5*(1+INDEX(CAGR!$C$51:$C$57,MATCH($A5,CAGR!$B$44:$B$50,0))),0)</f>
        <v>1.4576184495085445E-3</v>
      </c>
      <c r="D5" s="14">
        <f>IFERROR(C5*(1+INDEX(CAGR!$C$51:$C$57,MATCH($A5,CAGR!$B$44:$B$50,0))),0)</f>
        <v>1.4591018205279151E-3</v>
      </c>
      <c r="E5" s="14">
        <f>IFERROR(D5*(1+INDEX(CAGR!$C$51:$C$57,MATCH($A5,CAGR!$B$44:$B$50,0))),0)</f>
        <v>1.4605867011258603E-3</v>
      </c>
      <c r="F5" s="14">
        <f>IFERROR(E5*(1+INDEX(CAGR!$C$51:$C$57,MATCH($A5,CAGR!$B$44:$B$50,0))),0)</f>
        <v>1.4620730928386291E-3</v>
      </c>
      <c r="G5" s="14">
        <f>IFERROR(F5*(1+INDEX(CAGR!$C$51:$C$57,MATCH($A5,CAGR!$B$44:$B$50,0))),0)</f>
        <v>1.463560997204034E-3</v>
      </c>
      <c r="H5" s="14">
        <f>IFERROR(G5*(1+INDEX(CAGR!$C$51:$C$57,MATCH($A5,CAGR!$B$44:$B$50,0))),0)</f>
        <v>1.4650504157614527E-3</v>
      </c>
      <c r="I5" s="14">
        <f>IFERROR(H5*(1+INDEX(CAGR!$C$51:$C$57,MATCH($A5,CAGR!$B$44:$B$50,0))),0)</f>
        <v>1.4665413500518291E-3</v>
      </c>
      <c r="J5" s="14">
        <f>IFERROR(I5*(1+INDEX(CAGR!$C$51:$C$57,MATCH($A5,CAGR!$B$44:$B$50,0))),0)</f>
        <v>1.4680338016176755E-3</v>
      </c>
      <c r="K5" s="14">
        <f>IFERROR(J5*(1+INDEX(CAGR!$C$51:$C$57,MATCH($A5,CAGR!$B$44:$B$50,0))),0)</f>
        <v>1.4695277720030741E-3</v>
      </c>
      <c r="L5" s="14">
        <f>IFERROR(K5*(1+INDEX(CAGR!$C$51:$C$57,MATCH($A5,CAGR!$B$44:$B$50,0))),0)</f>
        <v>1.4710232627536781E-3</v>
      </c>
      <c r="M5" s="14">
        <f>IFERROR(L5*(1+INDEX(CAGR!$C$51:$C$57,MATCH($A5,CAGR!$B$44:$B$50,0))),0)</f>
        <v>1.4725202754167139E-3</v>
      </c>
      <c r="N5" s="14">
        <f>IFERROR(M5*(1+INDEX(CAGR!$C$51:$C$57,MATCH($A5,CAGR!$B$44:$B$50,0))),0)</f>
        <v>1.4740188115409825E-3</v>
      </c>
      <c r="O5" s="14">
        <f>IFERROR(N5*(1+INDEX(CAGR!$C$51:$C$57,MATCH($A5,CAGR!$B$44:$B$50,0))),0)</f>
        <v>1.475518872676861E-3</v>
      </c>
      <c r="P5" s="14">
        <f>IFERROR(O5*(1+INDEX(CAGR!$C$51:$C$57,MATCH($A5,CAGR!$B$44:$B$50,0))),0)</f>
        <v>1.4770204603763042E-3</v>
      </c>
      <c r="Q5" s="14">
        <f>IFERROR(P5*(1+INDEX(CAGR!$C$51:$C$57,MATCH($A5,CAGR!$B$44:$B$50,0))),0)</f>
        <v>1.4785235761928463E-3</v>
      </c>
      <c r="R5" s="14">
        <f>IFERROR(Q5*(1+INDEX(CAGR!$C$51:$C$57,MATCH($A5,CAGR!$B$44:$B$50,0))),0)</f>
        <v>1.4800282216816025E-3</v>
      </c>
      <c r="S5" s="14">
        <f>IFERROR(R5*(1+INDEX(CAGR!$C$51:$C$57,MATCH($A5,CAGR!$B$44:$B$50,0))),0)</f>
        <v>1.4815343983992707E-3</v>
      </c>
      <c r="T5" s="14">
        <f>IFERROR(S5*(1+INDEX(CAGR!$C$51:$C$57,MATCH($A5,CAGR!$B$44:$B$50,0))),0)</f>
        <v>1.4830421079041326E-3</v>
      </c>
      <c r="U5" s="14">
        <f>IFERROR(T5*(1+INDEX(CAGR!$C$51:$C$57,MATCH($A5,CAGR!$B$44:$B$50,0))),0)</f>
        <v>1.4845513517560563E-3</v>
      </c>
      <c r="V5" s="14">
        <f>IFERROR(U5*(1+INDEX(CAGR!$C$51:$C$57,MATCH($A5,CAGR!$B$44:$B$50,0))),0)</f>
        <v>1.4860621315164971E-3</v>
      </c>
      <c r="W5" s="14">
        <f>IFERROR(V5*(1+INDEX(CAGR!$C$51:$C$57,MATCH($A5,CAGR!$B$44:$B$50,0))),0)</f>
        <v>1.4875744487484993E-3</v>
      </c>
      <c r="X5" s="14">
        <f>IFERROR(W5*(1+INDEX(CAGR!$C$51:$C$57,MATCH($A5,CAGR!$B$44:$B$50,0))),0)</f>
        <v>1.4890883050166974E-3</v>
      </c>
      <c r="Y5" s="14">
        <f>IFERROR(X5*(1+INDEX(CAGR!$C$51:$C$57,MATCH($A5,CAGR!$B$44:$B$50,0))),0)</f>
        <v>1.4906037018873192E-3</v>
      </c>
      <c r="Z5" s="14">
        <f>IFERROR(Y5*(1+INDEX(CAGR!$C$51:$C$57,MATCH($A5,CAGR!$B$44:$B$50,0))),0)</f>
        <v>1.4921206409281853E-3</v>
      </c>
      <c r="AA5" s="14">
        <f>IFERROR(Z5*(1+INDEX(CAGR!$C$51:$C$57,MATCH($A5,CAGR!$B$44:$B$50,0))),0)</f>
        <v>1.4936391237087127E-3</v>
      </c>
      <c r="AB5" s="14">
        <f>IFERROR(AA5*(1+INDEX(CAGR!$C$51:$C$57,MATCH($A5,CAGR!$B$44:$B$50,0))),0)</f>
        <v>1.4951591517999151E-3</v>
      </c>
      <c r="AC5" s="14">
        <f>IFERROR(AB5*(1+INDEX(CAGR!$C$51:$C$57,MATCH($A5,CAGR!$B$44:$B$50,0))),0)</f>
        <v>1.496680726774405E-3</v>
      </c>
      <c r="AD5" s="14">
        <f>IFERROR(AC5*(1+INDEX(CAGR!$C$51:$C$57,MATCH($A5,CAGR!$B$44:$B$50,0))),0)</f>
        <v>1.4982038502063953E-3</v>
      </c>
      <c r="AE5" s="14">
        <f>IFERROR(AD5*(1+INDEX(CAGR!$C$51:$C$57,MATCH($A5,CAGR!$B$44:$B$50,0))),0)</f>
        <v>1.4997285236717011E-3</v>
      </c>
      <c r="AF5" s="14">
        <f>IFERROR(AE5*(1+INDEX(CAGR!$C$51:$C$57,MATCH($A5,CAGR!$B$44:$B$50,0))),0)</f>
        <v>1.5012547487477409E-3</v>
      </c>
    </row>
    <row r="6" spans="1:32">
      <c r="A6" s="1" t="s">
        <v>13</v>
      </c>
      <c r="B6" s="14">
        <f>IFERROR(INDEX('SYFAFE frgt'!$B$5:$H$5,,MATCH($A6,'SYFAFE frgt'!$B$1:$H$1,0))*(1+INDEX(CAGR!$C$51:$C$57,MATCH($A6,CAGR!$B$51:$B$57,0))),0)</f>
        <v>0</v>
      </c>
      <c r="C6" s="14">
        <f>IFERROR(B6*(1+INDEX(CAGR!$C$51:$C$57,MATCH($A6,CAGR!$B$44:$B$50,0))),0)</f>
        <v>0</v>
      </c>
      <c r="D6" s="14">
        <f>IFERROR(C6*(1+INDEX(CAGR!$C$51:$C$57,MATCH($A6,CAGR!$B$44:$B$50,0))),0)</f>
        <v>0</v>
      </c>
      <c r="E6" s="14">
        <f>IFERROR(D6*(1+INDEX(CAGR!$C$51:$C$57,MATCH($A6,CAGR!$B$44:$B$50,0))),0)</f>
        <v>0</v>
      </c>
      <c r="F6" s="14">
        <f>IFERROR(E6*(1+INDEX(CAGR!$C$51:$C$57,MATCH($A6,CAGR!$B$44:$B$50,0))),0)</f>
        <v>0</v>
      </c>
      <c r="G6" s="14">
        <f>IFERROR(F6*(1+INDEX(CAGR!$C$51:$C$57,MATCH($A6,CAGR!$B$44:$B$50,0))),0)</f>
        <v>0</v>
      </c>
      <c r="H6" s="14">
        <f>IFERROR(G6*(1+INDEX(CAGR!$C$51:$C$57,MATCH($A6,CAGR!$B$44:$B$50,0))),0)</f>
        <v>0</v>
      </c>
      <c r="I6" s="14">
        <f>IFERROR(H6*(1+INDEX(CAGR!$C$51:$C$57,MATCH($A6,CAGR!$B$44:$B$50,0))),0)</f>
        <v>0</v>
      </c>
      <c r="J6" s="14">
        <f>IFERROR(I6*(1+INDEX(CAGR!$C$51:$C$57,MATCH($A6,CAGR!$B$44:$B$50,0))),0)</f>
        <v>0</v>
      </c>
      <c r="K6" s="14">
        <f>IFERROR(J6*(1+INDEX(CAGR!$C$51:$C$57,MATCH($A6,CAGR!$B$44:$B$50,0))),0)</f>
        <v>0</v>
      </c>
      <c r="L6" s="14">
        <f>IFERROR(K6*(1+INDEX(CAGR!$C$51:$C$57,MATCH($A6,CAGR!$B$44:$B$50,0))),0)</f>
        <v>0</v>
      </c>
      <c r="M6" s="14">
        <f>IFERROR(L6*(1+INDEX(CAGR!$C$51:$C$57,MATCH($A6,CAGR!$B$44:$B$50,0))),0)</f>
        <v>0</v>
      </c>
      <c r="N6" s="14">
        <f>IFERROR(M6*(1+INDEX(CAGR!$C$51:$C$57,MATCH($A6,CAGR!$B$44:$B$50,0))),0)</f>
        <v>0</v>
      </c>
      <c r="O6" s="14">
        <f>IFERROR(N6*(1+INDEX(CAGR!$C$51:$C$57,MATCH($A6,CAGR!$B$44:$B$50,0))),0)</f>
        <v>0</v>
      </c>
      <c r="P6" s="14">
        <f>IFERROR(O6*(1+INDEX(CAGR!$C$51:$C$57,MATCH($A6,CAGR!$B$44:$B$50,0))),0)</f>
        <v>0</v>
      </c>
      <c r="Q6" s="14">
        <f>IFERROR(P6*(1+INDEX(CAGR!$C$51:$C$57,MATCH($A6,CAGR!$B$44:$B$50,0))),0)</f>
        <v>0</v>
      </c>
      <c r="R6" s="14">
        <f>IFERROR(Q6*(1+INDEX(CAGR!$C$51:$C$57,MATCH($A6,CAGR!$B$44:$B$50,0))),0)</f>
        <v>0</v>
      </c>
      <c r="S6" s="14">
        <f>IFERROR(R6*(1+INDEX(CAGR!$C$51:$C$57,MATCH($A6,CAGR!$B$44:$B$50,0))),0)</f>
        <v>0</v>
      </c>
      <c r="T6" s="14">
        <f>IFERROR(S6*(1+INDEX(CAGR!$C$51:$C$57,MATCH($A6,CAGR!$B$44:$B$50,0))),0)</f>
        <v>0</v>
      </c>
      <c r="U6" s="14">
        <f>IFERROR(T6*(1+INDEX(CAGR!$C$51:$C$57,MATCH($A6,CAGR!$B$44:$B$50,0))),0)</f>
        <v>0</v>
      </c>
      <c r="V6" s="14">
        <f>IFERROR(U6*(1+INDEX(CAGR!$C$51:$C$57,MATCH($A6,CAGR!$B$44:$B$50,0))),0)</f>
        <v>0</v>
      </c>
      <c r="W6" s="14">
        <f>IFERROR(V6*(1+INDEX(CAGR!$C$51:$C$57,MATCH($A6,CAGR!$B$44:$B$50,0))),0)</f>
        <v>0</v>
      </c>
      <c r="X6" s="14">
        <f>IFERROR(W6*(1+INDEX(CAGR!$C$51:$C$57,MATCH($A6,CAGR!$B$44:$B$50,0))),0)</f>
        <v>0</v>
      </c>
      <c r="Y6" s="14">
        <f>IFERROR(X6*(1+INDEX(CAGR!$C$51:$C$57,MATCH($A6,CAGR!$B$44:$B$50,0))),0)</f>
        <v>0</v>
      </c>
      <c r="Z6" s="14">
        <f>IFERROR(Y6*(1+INDEX(CAGR!$C$51:$C$57,MATCH($A6,CAGR!$B$44:$B$50,0))),0)</f>
        <v>0</v>
      </c>
      <c r="AA6" s="14">
        <f>IFERROR(Z6*(1+INDEX(CAGR!$C$51:$C$57,MATCH($A6,CAGR!$B$44:$B$50,0))),0)</f>
        <v>0</v>
      </c>
      <c r="AB6" s="14">
        <f>IFERROR(AA6*(1+INDEX(CAGR!$C$51:$C$57,MATCH($A6,CAGR!$B$44:$B$50,0))),0)</f>
        <v>0</v>
      </c>
      <c r="AC6" s="14">
        <f>IFERROR(AB6*(1+INDEX(CAGR!$C$51:$C$57,MATCH($A6,CAGR!$B$44:$B$50,0))),0)</f>
        <v>0</v>
      </c>
      <c r="AD6" s="14">
        <f>IFERROR(AC6*(1+INDEX(CAGR!$C$51:$C$57,MATCH($A6,CAGR!$B$44:$B$50,0))),0)</f>
        <v>0</v>
      </c>
      <c r="AE6" s="14">
        <f>IFERROR(AD6*(1+INDEX(CAGR!$C$51:$C$57,MATCH($A6,CAGR!$B$44:$B$50,0))),0)</f>
        <v>0</v>
      </c>
      <c r="AF6" s="14">
        <f>IFERROR(AE6*(1+INDEX(CAGR!$C$51:$C$57,MATCH($A6,CAGR!$B$44:$B$50,0))),0)</f>
        <v>0</v>
      </c>
    </row>
    <row r="7" spans="1:32">
      <c r="A7" s="1" t="s">
        <v>14</v>
      </c>
      <c r="B7" s="14">
        <f>IFERROR(INDEX('SYFAFE frgt'!$B$5:$H$5,,MATCH($A7,'SYFAFE frgt'!$B$1:$H$1,0))*(1+INDEX(CAGR!$C$51:$C$57,MATCH($A7,CAGR!$B$51:$B$57,0))),0)</f>
        <v>0</v>
      </c>
      <c r="C7" s="14">
        <f>IFERROR(B7*(1+INDEX(CAGR!$C$51:$C$57,MATCH($A7,CAGR!$B$44:$B$50,0))),0)</f>
        <v>0</v>
      </c>
      <c r="D7" s="14">
        <f>IFERROR(C7*(1+INDEX(CAGR!$C$51:$C$57,MATCH($A7,CAGR!$B$44:$B$50,0))),0)</f>
        <v>0</v>
      </c>
      <c r="E7" s="14">
        <f>IFERROR(D7*(1+INDEX(CAGR!$C$51:$C$57,MATCH($A7,CAGR!$B$44:$B$50,0))),0)</f>
        <v>0</v>
      </c>
      <c r="F7" s="14">
        <f>IFERROR(E7*(1+INDEX(CAGR!$C$51:$C$57,MATCH($A7,CAGR!$B$44:$B$50,0))),0)</f>
        <v>0</v>
      </c>
      <c r="G7" s="14">
        <f>IFERROR(F7*(1+INDEX(CAGR!$C$51:$C$57,MATCH($A7,CAGR!$B$44:$B$50,0))),0)</f>
        <v>0</v>
      </c>
      <c r="H7" s="14">
        <f>IFERROR(G7*(1+INDEX(CAGR!$C$51:$C$57,MATCH($A7,CAGR!$B$44:$B$50,0))),0)</f>
        <v>0</v>
      </c>
      <c r="I7" s="14">
        <f>IFERROR(H7*(1+INDEX(CAGR!$C$51:$C$57,MATCH($A7,CAGR!$B$44:$B$50,0))),0)</f>
        <v>0</v>
      </c>
      <c r="J7" s="14">
        <f>IFERROR(I7*(1+INDEX(CAGR!$C$51:$C$57,MATCH($A7,CAGR!$B$44:$B$50,0))),0)</f>
        <v>0</v>
      </c>
      <c r="K7" s="14">
        <f>IFERROR(J7*(1+INDEX(CAGR!$C$51:$C$57,MATCH($A7,CAGR!$B$44:$B$50,0))),0)</f>
        <v>0</v>
      </c>
      <c r="L7" s="14">
        <f>IFERROR(K7*(1+INDEX(CAGR!$C$51:$C$57,MATCH($A7,CAGR!$B$44:$B$50,0))),0)</f>
        <v>0</v>
      </c>
      <c r="M7" s="14">
        <f>IFERROR(L7*(1+INDEX(CAGR!$C$51:$C$57,MATCH($A7,CAGR!$B$44:$B$50,0))),0)</f>
        <v>0</v>
      </c>
      <c r="N7" s="14">
        <f>IFERROR(M7*(1+INDEX(CAGR!$C$51:$C$57,MATCH($A7,CAGR!$B$44:$B$50,0))),0)</f>
        <v>0</v>
      </c>
      <c r="O7" s="14">
        <f>IFERROR(N7*(1+INDEX(CAGR!$C$51:$C$57,MATCH($A7,CAGR!$B$44:$B$50,0))),0)</f>
        <v>0</v>
      </c>
      <c r="P7" s="14">
        <f>IFERROR(O7*(1+INDEX(CAGR!$C$51:$C$57,MATCH($A7,CAGR!$B$44:$B$50,0))),0)</f>
        <v>0</v>
      </c>
      <c r="Q7" s="14">
        <f>IFERROR(P7*(1+INDEX(CAGR!$C$51:$C$57,MATCH($A7,CAGR!$B$44:$B$50,0))),0)</f>
        <v>0</v>
      </c>
      <c r="R7" s="14">
        <f>IFERROR(Q7*(1+INDEX(CAGR!$C$51:$C$57,MATCH($A7,CAGR!$B$44:$B$50,0))),0)</f>
        <v>0</v>
      </c>
      <c r="S7" s="14">
        <f>IFERROR(R7*(1+INDEX(CAGR!$C$51:$C$57,MATCH($A7,CAGR!$B$44:$B$50,0))),0)</f>
        <v>0</v>
      </c>
      <c r="T7" s="14">
        <f>IFERROR(S7*(1+INDEX(CAGR!$C$51:$C$57,MATCH($A7,CAGR!$B$44:$B$50,0))),0)</f>
        <v>0</v>
      </c>
      <c r="U7" s="14">
        <f>IFERROR(T7*(1+INDEX(CAGR!$C$51:$C$57,MATCH($A7,CAGR!$B$44:$B$50,0))),0)</f>
        <v>0</v>
      </c>
      <c r="V7" s="14">
        <f>IFERROR(U7*(1+INDEX(CAGR!$C$51:$C$57,MATCH($A7,CAGR!$B$44:$B$50,0))),0)</f>
        <v>0</v>
      </c>
      <c r="W7" s="14">
        <f>IFERROR(V7*(1+INDEX(CAGR!$C$51:$C$57,MATCH($A7,CAGR!$B$44:$B$50,0))),0)</f>
        <v>0</v>
      </c>
      <c r="X7" s="14">
        <f>IFERROR(W7*(1+INDEX(CAGR!$C$51:$C$57,MATCH($A7,CAGR!$B$44:$B$50,0))),0)</f>
        <v>0</v>
      </c>
      <c r="Y7" s="14">
        <f>IFERROR(X7*(1+INDEX(CAGR!$C$51:$C$57,MATCH($A7,CAGR!$B$44:$B$50,0))),0)</f>
        <v>0</v>
      </c>
      <c r="Z7" s="14">
        <f>IFERROR(Y7*(1+INDEX(CAGR!$C$51:$C$57,MATCH($A7,CAGR!$B$44:$B$50,0))),0)</f>
        <v>0</v>
      </c>
      <c r="AA7" s="14">
        <f>IFERROR(Z7*(1+INDEX(CAGR!$C$51:$C$57,MATCH($A7,CAGR!$B$44:$B$50,0))),0)</f>
        <v>0</v>
      </c>
      <c r="AB7" s="14">
        <f>IFERROR(AA7*(1+INDEX(CAGR!$C$51:$C$57,MATCH($A7,CAGR!$B$44:$B$50,0))),0)</f>
        <v>0</v>
      </c>
      <c r="AC7" s="14">
        <f>IFERROR(AB7*(1+INDEX(CAGR!$C$51:$C$57,MATCH($A7,CAGR!$B$44:$B$50,0))),0)</f>
        <v>0</v>
      </c>
      <c r="AD7" s="14">
        <f>IFERROR(AC7*(1+INDEX(CAGR!$C$51:$C$57,MATCH($A7,CAGR!$B$44:$B$50,0))),0)</f>
        <v>0</v>
      </c>
      <c r="AE7" s="14">
        <f>IFERROR(AD7*(1+INDEX(CAGR!$C$51:$C$57,MATCH($A7,CAGR!$B$44:$B$50,0))),0)</f>
        <v>0</v>
      </c>
      <c r="AF7" s="14">
        <f>IFERROR(AE7*(1+INDEX(CAGR!$C$51:$C$57,MATCH($A7,CAGR!$B$44:$B$50,0))),0)</f>
        <v>0</v>
      </c>
    </row>
    <row r="8" spans="1:32">
      <c r="A8" s="1" t="s">
        <v>15</v>
      </c>
      <c r="B8" s="13">
        <f>B5*Calibration!$D$38</f>
        <v>4.3684097595991823E-3</v>
      </c>
      <c r="C8" s="13">
        <f>B8*(1+CAGR!$C$57)</f>
        <v>4.372855348525633E-3</v>
      </c>
      <c r="D8" s="13">
        <f>C8*(1+CAGR!$C$57)</f>
        <v>4.3773054615837449E-3</v>
      </c>
      <c r="E8" s="13">
        <f>D8*(1+CAGR!$C$57)</f>
        <v>4.3817601033775801E-3</v>
      </c>
      <c r="F8" s="13">
        <f>E8*(1+CAGR!$C$57)</f>
        <v>4.3862192785158868E-3</v>
      </c>
      <c r="G8" s="13">
        <f>F8*(1+CAGR!$C$57)</f>
        <v>4.3906829916121014E-3</v>
      </c>
      <c r="H8" s="13">
        <f>G8*(1+CAGR!$C$57)</f>
        <v>4.395151247284357E-3</v>
      </c>
      <c r="I8" s="13">
        <f>H8*(1+CAGR!$C$57)</f>
        <v>4.3996240501554861E-3</v>
      </c>
      <c r="J8" s="13">
        <f>I8*(1+CAGR!$C$57)</f>
        <v>4.4041014048530258E-3</v>
      </c>
      <c r="K8" s="13">
        <f>J8*(1+CAGR!$C$57)</f>
        <v>4.4085833160092212E-3</v>
      </c>
      <c r="L8" s="13">
        <f>K8*(1+CAGR!$C$57)</f>
        <v>4.4130697882610332E-3</v>
      </c>
      <c r="M8" s="13">
        <f>L8*(1+CAGR!$C$57)</f>
        <v>4.4175608262501404E-3</v>
      </c>
      <c r="N8" s="13">
        <f>M8*(1+CAGR!$C$57)</f>
        <v>4.4220564346229459E-3</v>
      </c>
      <c r="O8" s="13">
        <f>N8*(1+CAGR!$C$57)</f>
        <v>4.4265566180305815E-3</v>
      </c>
      <c r="P8" s="13">
        <f>O8*(1+CAGR!$C$57)</f>
        <v>4.4310613811289106E-3</v>
      </c>
      <c r="Q8" s="13">
        <f>P8*(1+CAGR!$C$57)</f>
        <v>4.4355707285785367E-3</v>
      </c>
      <c r="R8" s="13">
        <f>Q8*(1+CAGR!$C$57)</f>
        <v>4.4400846650448052E-3</v>
      </c>
      <c r="S8" s="13">
        <f>R8*(1+CAGR!$C$57)</f>
        <v>4.4446031951978094E-3</v>
      </c>
      <c r="T8" s="13">
        <f>S8*(1+CAGR!$C$57)</f>
        <v>4.4491263237123957E-3</v>
      </c>
      <c r="U8" s="13">
        <f>T8*(1+CAGR!$C$57)</f>
        <v>4.4536540552681672E-3</v>
      </c>
      <c r="V8" s="13">
        <f>U8*(1+CAGR!$C$57)</f>
        <v>4.4581863945494897E-3</v>
      </c>
      <c r="W8" s="13">
        <f>V8*(1+CAGR!$C$57)</f>
        <v>4.4627233462454959E-3</v>
      </c>
      <c r="X8" s="13">
        <f>W8*(1+CAGR!$C$57)</f>
        <v>4.4672649150500907E-3</v>
      </c>
      <c r="Y8" s="13">
        <f>X8*(1+CAGR!$C$57)</f>
        <v>4.4718111056619558E-3</v>
      </c>
      <c r="Z8" s="13">
        <f>Y8*(1+CAGR!$C$57)</f>
        <v>4.4763619227845544E-3</v>
      </c>
      <c r="AA8" s="13">
        <f>Z8*(1+CAGR!$C$57)</f>
        <v>4.4809173711261368E-3</v>
      </c>
      <c r="AB8" s="13">
        <f>AA8*(1+CAGR!$C$57)</f>
        <v>4.4854774553997438E-3</v>
      </c>
      <c r="AC8" s="13">
        <f>AB8*(1+CAGR!$C$57)</f>
        <v>4.4900421803232135E-3</v>
      </c>
      <c r="AD8" s="13">
        <f>AC8*(1+CAGR!$C$57)</f>
        <v>4.4946115506191847E-3</v>
      </c>
      <c r="AE8" s="13">
        <f>AD8*(1+CAGR!$C$57)</f>
        <v>4.4991855710151017E-3</v>
      </c>
      <c r="AF8" s="13">
        <f>AE8*(1+CAGR!$C$57)</f>
        <v>4.5037642462432215E-3</v>
      </c>
    </row>
  </sheetData>
  <phoneticPr fontId="1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9B2A-5EC5-464D-AF74-0A66B9AD00B7}">
  <sheetPr>
    <tabColor rgb="FF1F497D"/>
  </sheetPr>
  <dimension ref="A1:AF8"/>
  <sheetViews>
    <sheetView workbookViewId="0"/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13">
        <f>B5*Calibration!$B$43</f>
        <v>4.1217725374913241E-3</v>
      </c>
      <c r="C2" s="13">
        <f>B2*(1+CAGR!$C$58)</f>
        <v>4.1217725374913241E-3</v>
      </c>
      <c r="D2" s="13">
        <f>C2*(1+CAGR!$C$58)</f>
        <v>4.1217725374913241E-3</v>
      </c>
      <c r="E2" s="13">
        <f>D2*(1+CAGR!$C$58)</f>
        <v>4.1217725374913241E-3</v>
      </c>
      <c r="F2" s="13">
        <f>E2*(1+CAGR!$C$58)</f>
        <v>4.1217725374913241E-3</v>
      </c>
      <c r="G2" s="13">
        <f>F2*(1+CAGR!$C$58)</f>
        <v>4.1217725374913241E-3</v>
      </c>
      <c r="H2" s="13">
        <f>G2*(1+CAGR!$C$58)</f>
        <v>4.1217725374913241E-3</v>
      </c>
      <c r="I2" s="13">
        <f>H2*(1+CAGR!$C$58)</f>
        <v>4.1217725374913241E-3</v>
      </c>
      <c r="J2" s="13">
        <f>I2*(1+CAGR!$C$58)</f>
        <v>4.1217725374913241E-3</v>
      </c>
      <c r="K2" s="13">
        <f>J2*(1+CAGR!$C$58)</f>
        <v>4.1217725374913241E-3</v>
      </c>
      <c r="L2" s="13">
        <f>K2*(1+CAGR!$C$58)</f>
        <v>4.1217725374913241E-3</v>
      </c>
      <c r="M2" s="13">
        <f>L2*(1+CAGR!$C$58)</f>
        <v>4.1217725374913241E-3</v>
      </c>
      <c r="N2" s="13">
        <f>M2*(1+CAGR!$C$58)</f>
        <v>4.1217725374913241E-3</v>
      </c>
      <c r="O2" s="13">
        <f>N2*(1+CAGR!$C$58)</f>
        <v>4.1217725374913241E-3</v>
      </c>
      <c r="P2" s="13">
        <f>O2*(1+CAGR!$C$58)</f>
        <v>4.1217725374913241E-3</v>
      </c>
      <c r="Q2" s="13">
        <f>P2*(1+CAGR!$C$58)</f>
        <v>4.1217725374913241E-3</v>
      </c>
      <c r="R2" s="13">
        <f>Q2*(1+CAGR!$C$58)</f>
        <v>4.1217725374913241E-3</v>
      </c>
      <c r="S2" s="13">
        <f>R2*(1+CAGR!$C$58)</f>
        <v>4.1217725374913241E-3</v>
      </c>
      <c r="T2" s="13">
        <f>S2*(1+CAGR!$C$58)</f>
        <v>4.1217725374913241E-3</v>
      </c>
      <c r="U2" s="13">
        <f>T2*(1+CAGR!$C$58)</f>
        <v>4.1217725374913241E-3</v>
      </c>
      <c r="V2" s="13">
        <f>U2*(1+CAGR!$C$58)</f>
        <v>4.1217725374913241E-3</v>
      </c>
      <c r="W2" s="13">
        <f>V2*(1+CAGR!$C$58)</f>
        <v>4.1217725374913241E-3</v>
      </c>
      <c r="X2" s="13">
        <f>W2*(1+CAGR!$C$58)</f>
        <v>4.1217725374913241E-3</v>
      </c>
      <c r="Y2" s="13">
        <f>X2*(1+CAGR!$C$58)</f>
        <v>4.1217725374913241E-3</v>
      </c>
      <c r="Z2" s="13">
        <f>Y2*(1+CAGR!$C$58)</f>
        <v>4.1217725374913241E-3</v>
      </c>
      <c r="AA2" s="13">
        <f>Z2*(1+CAGR!$C$58)</f>
        <v>4.1217725374913241E-3</v>
      </c>
      <c r="AB2" s="13">
        <f>AA2*(1+CAGR!$C$58)</f>
        <v>4.1217725374913241E-3</v>
      </c>
      <c r="AC2" s="13">
        <f>AB2*(1+CAGR!$C$58)</f>
        <v>4.1217725374913241E-3</v>
      </c>
      <c r="AD2" s="13">
        <f>AC2*(1+CAGR!$C$58)</f>
        <v>4.1217725374913241E-3</v>
      </c>
      <c r="AE2" s="13">
        <f>AD2*(1+CAGR!$C$58)</f>
        <v>4.1217725374913241E-3</v>
      </c>
      <c r="AF2" s="13">
        <f>AE2*(1+CAGR!$C$58)</f>
        <v>4.1217725374913241E-3</v>
      </c>
    </row>
    <row r="3" spans="1:32">
      <c r="A3" s="1" t="s">
        <v>10</v>
      </c>
      <c r="B3">
        <f>IFERROR(INDEX('SYFAFE psgr'!$B$6:$H$6,,MATCH($A3,'SYFAFE psgr'!$B$1:$H$1,0))*(1+INDEX(CAGR!$C$58:$C$64,MATCH($A3,CAGR!$B$58:$B$64,0))),0)</f>
        <v>0</v>
      </c>
      <c r="C3">
        <f>IFERROR(INDEX('SYFAFE psgr'!$B$6:$H$6,,MATCH($A3,'SYFAFE psgr'!$B$1:$H$1,0))*(1+INDEX(CAGR!$C$58:$C$64,MATCH($A3,CAGR!$B$58:$B$64,0))),0)</f>
        <v>0</v>
      </c>
      <c r="D3">
        <f>IFERROR(INDEX('SYFAFE psgr'!$B$6:$H$6,,MATCH($A3,'SYFAFE psgr'!$B$1:$H$1,0))*(1+INDEX(CAGR!$C$58:$C$64,MATCH($A3,CAGR!$B$58:$B$64,0))),0)</f>
        <v>0</v>
      </c>
      <c r="E3">
        <f>IFERROR(INDEX('SYFAFE psgr'!$B$6:$H$6,,MATCH($A3,'SYFAFE psgr'!$B$1:$H$1,0))*(1+INDEX(CAGR!$C$58:$C$64,MATCH($A3,CAGR!$B$58:$B$64,0))),0)</f>
        <v>0</v>
      </c>
      <c r="F3">
        <f>IFERROR(INDEX('SYFAFE psgr'!$B$6:$H$6,,MATCH($A3,'SYFAFE psgr'!$B$1:$H$1,0))*(1+INDEX(CAGR!$C$58:$C$64,MATCH($A3,CAGR!$B$58:$B$64,0))),0)</f>
        <v>0</v>
      </c>
      <c r="G3">
        <f>IFERROR(INDEX('SYFAFE psgr'!$B$6:$H$6,,MATCH($A3,'SYFAFE psgr'!$B$1:$H$1,0))*(1+INDEX(CAGR!$C$58:$C$64,MATCH($A3,CAGR!$B$58:$B$64,0))),0)</f>
        <v>0</v>
      </c>
      <c r="H3">
        <f>IFERROR(INDEX('SYFAFE psgr'!$B$6:$H$6,,MATCH($A3,'SYFAFE psgr'!$B$1:$H$1,0))*(1+INDEX(CAGR!$C$58:$C$64,MATCH($A3,CAGR!$B$58:$B$64,0))),0)</f>
        <v>0</v>
      </c>
      <c r="I3">
        <f>IFERROR(INDEX('SYFAFE psgr'!$B$6:$H$6,,MATCH($A3,'SYFAFE psgr'!$B$1:$H$1,0))*(1+INDEX(CAGR!$C$58:$C$64,MATCH($A3,CAGR!$B$58:$B$64,0))),0)</f>
        <v>0</v>
      </c>
      <c r="J3">
        <f>IFERROR(INDEX('SYFAFE psgr'!$B$6:$H$6,,MATCH($A3,'SYFAFE psgr'!$B$1:$H$1,0))*(1+INDEX(CAGR!$C$58:$C$64,MATCH($A3,CAGR!$B$58:$B$64,0))),0)</f>
        <v>0</v>
      </c>
      <c r="K3">
        <f>IFERROR(INDEX('SYFAFE psgr'!$B$6:$H$6,,MATCH($A3,'SYFAFE psgr'!$B$1:$H$1,0))*(1+INDEX(CAGR!$C$58:$C$64,MATCH($A3,CAGR!$B$58:$B$64,0))),0)</f>
        <v>0</v>
      </c>
      <c r="L3">
        <f>IFERROR(INDEX('SYFAFE psgr'!$B$6:$H$6,,MATCH($A3,'SYFAFE psgr'!$B$1:$H$1,0))*(1+INDEX(CAGR!$C$58:$C$64,MATCH($A3,CAGR!$B$58:$B$64,0))),0)</f>
        <v>0</v>
      </c>
      <c r="M3">
        <f>IFERROR(INDEX('SYFAFE psgr'!$B$6:$H$6,,MATCH($A3,'SYFAFE psgr'!$B$1:$H$1,0))*(1+INDEX(CAGR!$C$58:$C$64,MATCH($A3,CAGR!$B$58:$B$64,0))),0)</f>
        <v>0</v>
      </c>
      <c r="N3">
        <f>IFERROR(INDEX('SYFAFE psgr'!$B$6:$H$6,,MATCH($A3,'SYFAFE psgr'!$B$1:$H$1,0))*(1+INDEX(CAGR!$C$58:$C$64,MATCH($A3,CAGR!$B$58:$B$64,0))),0)</f>
        <v>0</v>
      </c>
      <c r="O3">
        <f>IFERROR(INDEX('SYFAFE psgr'!$B$6:$H$6,,MATCH($A3,'SYFAFE psgr'!$B$1:$H$1,0))*(1+INDEX(CAGR!$C$58:$C$64,MATCH($A3,CAGR!$B$58:$B$64,0))),0)</f>
        <v>0</v>
      </c>
      <c r="P3">
        <f>IFERROR(INDEX('SYFAFE psgr'!$B$6:$H$6,,MATCH($A3,'SYFAFE psgr'!$B$1:$H$1,0))*(1+INDEX(CAGR!$C$58:$C$64,MATCH($A3,CAGR!$B$58:$B$64,0))),0)</f>
        <v>0</v>
      </c>
      <c r="Q3">
        <f>IFERROR(INDEX('SYFAFE psgr'!$B$6:$H$6,,MATCH($A3,'SYFAFE psgr'!$B$1:$H$1,0))*(1+INDEX(CAGR!$C$58:$C$64,MATCH($A3,CAGR!$B$58:$B$64,0))),0)</f>
        <v>0</v>
      </c>
      <c r="R3">
        <f>IFERROR(INDEX('SYFAFE psgr'!$B$6:$H$6,,MATCH($A3,'SYFAFE psgr'!$B$1:$H$1,0))*(1+INDEX(CAGR!$C$58:$C$64,MATCH($A3,CAGR!$B$58:$B$64,0))),0)</f>
        <v>0</v>
      </c>
      <c r="S3">
        <f>IFERROR(INDEX('SYFAFE psgr'!$B$6:$H$6,,MATCH($A3,'SYFAFE psgr'!$B$1:$H$1,0))*(1+INDEX(CAGR!$C$58:$C$64,MATCH($A3,CAGR!$B$58:$B$64,0))),0)</f>
        <v>0</v>
      </c>
      <c r="T3">
        <f>IFERROR(INDEX('SYFAFE psgr'!$B$6:$H$6,,MATCH($A3,'SYFAFE psgr'!$B$1:$H$1,0))*(1+INDEX(CAGR!$C$58:$C$64,MATCH($A3,CAGR!$B$58:$B$64,0))),0)</f>
        <v>0</v>
      </c>
      <c r="U3">
        <f>IFERROR(INDEX('SYFAFE psgr'!$B$6:$H$6,,MATCH($A3,'SYFAFE psgr'!$B$1:$H$1,0))*(1+INDEX(CAGR!$C$58:$C$64,MATCH($A3,CAGR!$B$58:$B$64,0))),0)</f>
        <v>0</v>
      </c>
      <c r="V3">
        <f>IFERROR(INDEX('SYFAFE psgr'!$B$6:$H$6,,MATCH($A3,'SYFAFE psgr'!$B$1:$H$1,0))*(1+INDEX(CAGR!$C$58:$C$64,MATCH($A3,CAGR!$B$58:$B$64,0))),0)</f>
        <v>0</v>
      </c>
      <c r="W3">
        <f>IFERROR(INDEX('SYFAFE psgr'!$B$6:$H$6,,MATCH($A3,'SYFAFE psgr'!$B$1:$H$1,0))*(1+INDEX(CAGR!$C$58:$C$64,MATCH($A3,CAGR!$B$58:$B$64,0))),0)</f>
        <v>0</v>
      </c>
      <c r="X3">
        <f>IFERROR(INDEX('SYFAFE psgr'!$B$6:$H$6,,MATCH($A3,'SYFAFE psgr'!$B$1:$H$1,0))*(1+INDEX(CAGR!$C$58:$C$64,MATCH($A3,CAGR!$B$58:$B$64,0))),0)</f>
        <v>0</v>
      </c>
      <c r="Y3">
        <f>IFERROR(INDEX('SYFAFE psgr'!$B$6:$H$6,,MATCH($A3,'SYFAFE psgr'!$B$1:$H$1,0))*(1+INDEX(CAGR!$C$58:$C$64,MATCH($A3,CAGR!$B$58:$B$64,0))),0)</f>
        <v>0</v>
      </c>
      <c r="Z3">
        <f>IFERROR(INDEX('SYFAFE psgr'!$B$6:$H$6,,MATCH($A3,'SYFAFE psgr'!$B$1:$H$1,0))*(1+INDEX(CAGR!$C$58:$C$64,MATCH($A3,CAGR!$B$58:$B$64,0))),0)</f>
        <v>0</v>
      </c>
      <c r="AA3">
        <f>IFERROR(INDEX('SYFAFE psgr'!$B$6:$H$6,,MATCH($A3,'SYFAFE psgr'!$B$1:$H$1,0))*(1+INDEX(CAGR!$C$58:$C$64,MATCH($A3,CAGR!$B$58:$B$64,0))),0)</f>
        <v>0</v>
      </c>
      <c r="AB3">
        <f>IFERROR(INDEX('SYFAFE psgr'!$B$6:$H$6,,MATCH($A3,'SYFAFE psgr'!$B$1:$H$1,0))*(1+INDEX(CAGR!$C$58:$C$64,MATCH($A3,CAGR!$B$58:$B$64,0))),0)</f>
        <v>0</v>
      </c>
      <c r="AC3">
        <f>IFERROR(INDEX('SYFAFE psgr'!$B$6:$H$6,,MATCH($A3,'SYFAFE psgr'!$B$1:$H$1,0))*(1+INDEX(CAGR!$C$58:$C$64,MATCH($A3,CAGR!$B$58:$B$64,0))),0)</f>
        <v>0</v>
      </c>
      <c r="AD3">
        <f>IFERROR(INDEX('SYFAFE psgr'!$B$6:$H$6,,MATCH($A3,'SYFAFE psgr'!$B$1:$H$1,0))*(1+INDEX(CAGR!$C$58:$C$64,MATCH($A3,CAGR!$B$58:$B$64,0))),0)</f>
        <v>0</v>
      </c>
      <c r="AE3">
        <f>IFERROR(INDEX('SYFAFE psgr'!$B$6:$H$6,,MATCH($A3,'SYFAFE psgr'!$B$1:$H$1,0))*(1+INDEX(CAGR!$C$58:$C$64,MATCH($A3,CAGR!$B$58:$B$64,0))),0)</f>
        <v>0</v>
      </c>
      <c r="AF3">
        <f>IFERROR(INDEX('SYFAFE psgr'!$B$6:$H$6,,MATCH($A3,'SYFAFE psgr'!$B$1:$H$1,0))*(1+INDEX(CAGR!$C$58:$C$64,MATCH($A3,CAGR!$B$58:$B$64,0))),0)</f>
        <v>0</v>
      </c>
    </row>
    <row r="4" spans="1:32">
      <c r="A4" s="1" t="s">
        <v>11</v>
      </c>
      <c r="B4">
        <f>IFERROR(INDEX('SYFAFE psgr'!$B$6:$H$6,,MATCH($A4,'SYFAFE psgr'!$B$1:$H$1,0))*(1+INDEX(CAGR!$C$58:$C$64,MATCH($A4,CAGR!$B$58:$B$64,0))),0)</f>
        <v>1.2826530829001732E-3</v>
      </c>
      <c r="C4">
        <f>IFERROR(INDEX('SYFAFE psgr'!$B$6:$H$6,,MATCH($A4,'SYFAFE psgr'!$B$1:$H$1,0))*(1+INDEX(CAGR!$C$58:$C$64,MATCH($A4,CAGR!$B$58:$B$64,0))),0)</f>
        <v>1.2826530829001732E-3</v>
      </c>
      <c r="D4">
        <f>IFERROR(INDEX('SYFAFE psgr'!$B$6:$H$6,,MATCH($A4,'SYFAFE psgr'!$B$1:$H$1,0))*(1+INDEX(CAGR!$C$58:$C$64,MATCH($A4,CAGR!$B$58:$B$64,0))),0)</f>
        <v>1.2826530829001732E-3</v>
      </c>
      <c r="E4">
        <f>IFERROR(INDEX('SYFAFE psgr'!$B$6:$H$6,,MATCH($A4,'SYFAFE psgr'!$B$1:$H$1,0))*(1+INDEX(CAGR!$C$58:$C$64,MATCH($A4,CAGR!$B$58:$B$64,0))),0)</f>
        <v>1.2826530829001732E-3</v>
      </c>
      <c r="F4">
        <f>IFERROR(INDEX('SYFAFE psgr'!$B$6:$H$6,,MATCH($A4,'SYFAFE psgr'!$B$1:$H$1,0))*(1+INDEX(CAGR!$C$58:$C$64,MATCH($A4,CAGR!$B$58:$B$64,0))),0)</f>
        <v>1.2826530829001732E-3</v>
      </c>
      <c r="G4">
        <f>IFERROR(INDEX('SYFAFE psgr'!$B$6:$H$6,,MATCH($A4,'SYFAFE psgr'!$B$1:$H$1,0))*(1+INDEX(CAGR!$C$58:$C$64,MATCH($A4,CAGR!$B$58:$B$64,0))),0)</f>
        <v>1.2826530829001732E-3</v>
      </c>
      <c r="H4">
        <f>IFERROR(INDEX('SYFAFE psgr'!$B$6:$H$6,,MATCH($A4,'SYFAFE psgr'!$B$1:$H$1,0))*(1+INDEX(CAGR!$C$58:$C$64,MATCH($A4,CAGR!$B$58:$B$64,0))),0)</f>
        <v>1.2826530829001732E-3</v>
      </c>
      <c r="I4">
        <f>IFERROR(INDEX('SYFAFE psgr'!$B$6:$H$6,,MATCH($A4,'SYFAFE psgr'!$B$1:$H$1,0))*(1+INDEX(CAGR!$C$58:$C$64,MATCH($A4,CAGR!$B$58:$B$64,0))),0)</f>
        <v>1.2826530829001732E-3</v>
      </c>
      <c r="J4">
        <f>IFERROR(INDEX('SYFAFE psgr'!$B$6:$H$6,,MATCH($A4,'SYFAFE psgr'!$B$1:$H$1,0))*(1+INDEX(CAGR!$C$58:$C$64,MATCH($A4,CAGR!$B$58:$B$64,0))),0)</f>
        <v>1.2826530829001732E-3</v>
      </c>
      <c r="K4">
        <f>IFERROR(INDEX('SYFAFE psgr'!$B$6:$H$6,,MATCH($A4,'SYFAFE psgr'!$B$1:$H$1,0))*(1+INDEX(CAGR!$C$58:$C$64,MATCH($A4,CAGR!$B$58:$B$64,0))),0)</f>
        <v>1.2826530829001732E-3</v>
      </c>
      <c r="L4">
        <f>IFERROR(INDEX('SYFAFE psgr'!$B$6:$H$6,,MATCH($A4,'SYFAFE psgr'!$B$1:$H$1,0))*(1+INDEX(CAGR!$C$58:$C$64,MATCH($A4,CAGR!$B$58:$B$64,0))),0)</f>
        <v>1.2826530829001732E-3</v>
      </c>
      <c r="M4">
        <f>IFERROR(INDEX('SYFAFE psgr'!$B$6:$H$6,,MATCH($A4,'SYFAFE psgr'!$B$1:$H$1,0))*(1+INDEX(CAGR!$C$58:$C$64,MATCH($A4,CAGR!$B$58:$B$64,0))),0)</f>
        <v>1.2826530829001732E-3</v>
      </c>
      <c r="N4">
        <f>IFERROR(INDEX('SYFAFE psgr'!$B$6:$H$6,,MATCH($A4,'SYFAFE psgr'!$B$1:$H$1,0))*(1+INDEX(CAGR!$C$58:$C$64,MATCH($A4,CAGR!$B$58:$B$64,0))),0)</f>
        <v>1.2826530829001732E-3</v>
      </c>
      <c r="O4">
        <f>IFERROR(INDEX('SYFAFE psgr'!$B$6:$H$6,,MATCH($A4,'SYFAFE psgr'!$B$1:$H$1,0))*(1+INDEX(CAGR!$C$58:$C$64,MATCH($A4,CAGR!$B$58:$B$64,0))),0)</f>
        <v>1.2826530829001732E-3</v>
      </c>
      <c r="P4">
        <f>IFERROR(INDEX('SYFAFE psgr'!$B$6:$H$6,,MATCH($A4,'SYFAFE psgr'!$B$1:$H$1,0))*(1+INDEX(CAGR!$C$58:$C$64,MATCH($A4,CAGR!$B$58:$B$64,0))),0)</f>
        <v>1.2826530829001732E-3</v>
      </c>
      <c r="Q4">
        <f>IFERROR(INDEX('SYFAFE psgr'!$B$6:$H$6,,MATCH($A4,'SYFAFE psgr'!$B$1:$H$1,0))*(1+INDEX(CAGR!$C$58:$C$64,MATCH($A4,CAGR!$B$58:$B$64,0))),0)</f>
        <v>1.2826530829001732E-3</v>
      </c>
      <c r="R4">
        <f>IFERROR(INDEX('SYFAFE psgr'!$B$6:$H$6,,MATCH($A4,'SYFAFE psgr'!$B$1:$H$1,0))*(1+INDEX(CAGR!$C$58:$C$64,MATCH($A4,CAGR!$B$58:$B$64,0))),0)</f>
        <v>1.2826530829001732E-3</v>
      </c>
      <c r="S4">
        <f>IFERROR(INDEX('SYFAFE psgr'!$B$6:$H$6,,MATCH($A4,'SYFAFE psgr'!$B$1:$H$1,0))*(1+INDEX(CAGR!$C$58:$C$64,MATCH($A4,CAGR!$B$58:$B$64,0))),0)</f>
        <v>1.2826530829001732E-3</v>
      </c>
      <c r="T4">
        <f>IFERROR(INDEX('SYFAFE psgr'!$B$6:$H$6,,MATCH($A4,'SYFAFE psgr'!$B$1:$H$1,0))*(1+INDEX(CAGR!$C$58:$C$64,MATCH($A4,CAGR!$B$58:$B$64,0))),0)</f>
        <v>1.2826530829001732E-3</v>
      </c>
      <c r="U4">
        <f>IFERROR(INDEX('SYFAFE psgr'!$B$6:$H$6,,MATCH($A4,'SYFAFE psgr'!$B$1:$H$1,0))*(1+INDEX(CAGR!$C$58:$C$64,MATCH($A4,CAGR!$B$58:$B$64,0))),0)</f>
        <v>1.2826530829001732E-3</v>
      </c>
      <c r="V4">
        <f>IFERROR(INDEX('SYFAFE psgr'!$B$6:$H$6,,MATCH($A4,'SYFAFE psgr'!$B$1:$H$1,0))*(1+INDEX(CAGR!$C$58:$C$64,MATCH($A4,CAGR!$B$58:$B$64,0))),0)</f>
        <v>1.2826530829001732E-3</v>
      </c>
      <c r="W4">
        <f>IFERROR(INDEX('SYFAFE psgr'!$B$6:$H$6,,MATCH($A4,'SYFAFE psgr'!$B$1:$H$1,0))*(1+INDEX(CAGR!$C$58:$C$64,MATCH($A4,CAGR!$B$58:$B$64,0))),0)</f>
        <v>1.2826530829001732E-3</v>
      </c>
      <c r="X4">
        <f>IFERROR(INDEX('SYFAFE psgr'!$B$6:$H$6,,MATCH($A4,'SYFAFE psgr'!$B$1:$H$1,0))*(1+INDEX(CAGR!$C$58:$C$64,MATCH($A4,CAGR!$B$58:$B$64,0))),0)</f>
        <v>1.2826530829001732E-3</v>
      </c>
      <c r="Y4">
        <f>IFERROR(INDEX('SYFAFE psgr'!$B$6:$H$6,,MATCH($A4,'SYFAFE psgr'!$B$1:$H$1,0))*(1+INDEX(CAGR!$C$58:$C$64,MATCH($A4,CAGR!$B$58:$B$64,0))),0)</f>
        <v>1.2826530829001732E-3</v>
      </c>
      <c r="Z4">
        <f>IFERROR(INDEX('SYFAFE psgr'!$B$6:$H$6,,MATCH($A4,'SYFAFE psgr'!$B$1:$H$1,0))*(1+INDEX(CAGR!$C$58:$C$64,MATCH($A4,CAGR!$B$58:$B$64,0))),0)</f>
        <v>1.2826530829001732E-3</v>
      </c>
      <c r="AA4">
        <f>IFERROR(INDEX('SYFAFE psgr'!$B$6:$H$6,,MATCH($A4,'SYFAFE psgr'!$B$1:$H$1,0))*(1+INDEX(CAGR!$C$58:$C$64,MATCH($A4,CAGR!$B$58:$B$64,0))),0)</f>
        <v>1.2826530829001732E-3</v>
      </c>
      <c r="AB4">
        <f>IFERROR(INDEX('SYFAFE psgr'!$B$6:$H$6,,MATCH($A4,'SYFAFE psgr'!$B$1:$H$1,0))*(1+INDEX(CAGR!$C$58:$C$64,MATCH($A4,CAGR!$B$58:$B$64,0))),0)</f>
        <v>1.2826530829001732E-3</v>
      </c>
      <c r="AC4">
        <f>IFERROR(INDEX('SYFAFE psgr'!$B$6:$H$6,,MATCH($A4,'SYFAFE psgr'!$B$1:$H$1,0))*(1+INDEX(CAGR!$C$58:$C$64,MATCH($A4,CAGR!$B$58:$B$64,0))),0)</f>
        <v>1.2826530829001732E-3</v>
      </c>
      <c r="AD4">
        <f>IFERROR(INDEX('SYFAFE psgr'!$B$6:$H$6,,MATCH($A4,'SYFAFE psgr'!$B$1:$H$1,0))*(1+INDEX(CAGR!$C$58:$C$64,MATCH($A4,CAGR!$B$58:$B$64,0))),0)</f>
        <v>1.2826530829001732E-3</v>
      </c>
      <c r="AE4">
        <f>IFERROR(INDEX('SYFAFE psgr'!$B$6:$H$6,,MATCH($A4,'SYFAFE psgr'!$B$1:$H$1,0))*(1+INDEX(CAGR!$C$58:$C$64,MATCH($A4,CAGR!$B$58:$B$64,0))),0)</f>
        <v>1.2826530829001732E-3</v>
      </c>
      <c r="AF4">
        <f>IFERROR(INDEX('SYFAFE psgr'!$B$6:$H$6,,MATCH($A4,'SYFAFE psgr'!$B$1:$H$1,0))*(1+INDEX(CAGR!$C$58:$C$64,MATCH($A4,CAGR!$B$58:$B$64,0))),0)</f>
        <v>1.2826530829001732E-3</v>
      </c>
    </row>
    <row r="5" spans="1:32">
      <c r="A5" s="1" t="s">
        <v>12</v>
      </c>
      <c r="B5" s="14">
        <f>IFERROR(INDEX('SYFAFE psgr'!$B$6:$H$6,,MATCH($A5,'SYFAFE psgr'!$B$1:$H$1,0))*(1+INDEX(CAGR!$C$58:$C$64,MATCH($A5,CAGR!$B$58:$B$64,0))),0)</f>
        <v>1.2826528909366407E-3</v>
      </c>
      <c r="C5" s="14">
        <f>IFERROR(INDEX('SYFAFE psgr'!$B$6:$H$6,,MATCH($A5,'SYFAFE psgr'!$B$1:$H$1,0))*(1+INDEX(CAGR!$C$58:$C$64,MATCH($A5,CAGR!$B$58:$B$64,0))),0)</f>
        <v>1.2826528909366407E-3</v>
      </c>
      <c r="D5" s="14">
        <f>IFERROR(INDEX('SYFAFE psgr'!$B$6:$H$6,,MATCH($A5,'SYFAFE psgr'!$B$1:$H$1,0))*(1+INDEX(CAGR!$C$58:$C$64,MATCH($A5,CAGR!$B$58:$B$64,0))),0)</f>
        <v>1.2826528909366407E-3</v>
      </c>
      <c r="E5" s="14">
        <f>IFERROR(INDEX('SYFAFE psgr'!$B$6:$H$6,,MATCH($A5,'SYFAFE psgr'!$B$1:$H$1,0))*(1+INDEX(CAGR!$C$58:$C$64,MATCH($A5,CAGR!$B$58:$B$64,0))),0)</f>
        <v>1.2826528909366407E-3</v>
      </c>
      <c r="F5" s="14">
        <f>IFERROR(INDEX('SYFAFE psgr'!$B$6:$H$6,,MATCH($A5,'SYFAFE psgr'!$B$1:$H$1,0))*(1+INDEX(CAGR!$C$58:$C$64,MATCH($A5,CAGR!$B$58:$B$64,0))),0)</f>
        <v>1.2826528909366407E-3</v>
      </c>
      <c r="G5" s="14">
        <f>IFERROR(INDEX('SYFAFE psgr'!$B$6:$H$6,,MATCH($A5,'SYFAFE psgr'!$B$1:$H$1,0))*(1+INDEX(CAGR!$C$58:$C$64,MATCH($A5,CAGR!$B$58:$B$64,0))),0)</f>
        <v>1.2826528909366407E-3</v>
      </c>
      <c r="H5" s="14">
        <f>IFERROR(INDEX('SYFAFE psgr'!$B$6:$H$6,,MATCH($A5,'SYFAFE psgr'!$B$1:$H$1,0))*(1+INDEX(CAGR!$C$58:$C$64,MATCH($A5,CAGR!$B$58:$B$64,0))),0)</f>
        <v>1.2826528909366407E-3</v>
      </c>
      <c r="I5" s="14">
        <f>IFERROR(INDEX('SYFAFE psgr'!$B$6:$H$6,,MATCH($A5,'SYFAFE psgr'!$B$1:$H$1,0))*(1+INDEX(CAGR!$C$58:$C$64,MATCH($A5,CAGR!$B$58:$B$64,0))),0)</f>
        <v>1.2826528909366407E-3</v>
      </c>
      <c r="J5" s="14">
        <f>IFERROR(INDEX('SYFAFE psgr'!$B$6:$H$6,,MATCH($A5,'SYFAFE psgr'!$B$1:$H$1,0))*(1+INDEX(CAGR!$C$58:$C$64,MATCH($A5,CAGR!$B$58:$B$64,0))),0)</f>
        <v>1.2826528909366407E-3</v>
      </c>
      <c r="K5" s="14">
        <f>IFERROR(INDEX('SYFAFE psgr'!$B$6:$H$6,,MATCH($A5,'SYFAFE psgr'!$B$1:$H$1,0))*(1+INDEX(CAGR!$C$58:$C$64,MATCH($A5,CAGR!$B$58:$B$64,0))),0)</f>
        <v>1.2826528909366407E-3</v>
      </c>
      <c r="L5" s="14">
        <f>IFERROR(INDEX('SYFAFE psgr'!$B$6:$H$6,,MATCH($A5,'SYFAFE psgr'!$B$1:$H$1,0))*(1+INDEX(CAGR!$C$58:$C$64,MATCH($A5,CAGR!$B$58:$B$64,0))),0)</f>
        <v>1.2826528909366407E-3</v>
      </c>
      <c r="M5" s="14">
        <f>IFERROR(INDEX('SYFAFE psgr'!$B$6:$H$6,,MATCH($A5,'SYFAFE psgr'!$B$1:$H$1,0))*(1+INDEX(CAGR!$C$58:$C$64,MATCH($A5,CAGR!$B$58:$B$64,0))),0)</f>
        <v>1.2826528909366407E-3</v>
      </c>
      <c r="N5" s="14">
        <f>IFERROR(INDEX('SYFAFE psgr'!$B$6:$H$6,,MATCH($A5,'SYFAFE psgr'!$B$1:$H$1,0))*(1+INDEX(CAGR!$C$58:$C$64,MATCH($A5,CAGR!$B$58:$B$64,0))),0)</f>
        <v>1.2826528909366407E-3</v>
      </c>
      <c r="O5" s="14">
        <f>IFERROR(INDEX('SYFAFE psgr'!$B$6:$H$6,,MATCH($A5,'SYFAFE psgr'!$B$1:$H$1,0))*(1+INDEX(CAGR!$C$58:$C$64,MATCH($A5,CAGR!$B$58:$B$64,0))),0)</f>
        <v>1.2826528909366407E-3</v>
      </c>
      <c r="P5" s="14">
        <f>IFERROR(INDEX('SYFAFE psgr'!$B$6:$H$6,,MATCH($A5,'SYFAFE psgr'!$B$1:$H$1,0))*(1+INDEX(CAGR!$C$58:$C$64,MATCH($A5,CAGR!$B$58:$B$64,0))),0)</f>
        <v>1.2826528909366407E-3</v>
      </c>
      <c r="Q5" s="14">
        <f>IFERROR(INDEX('SYFAFE psgr'!$B$6:$H$6,,MATCH($A5,'SYFAFE psgr'!$B$1:$H$1,0))*(1+INDEX(CAGR!$C$58:$C$64,MATCH($A5,CAGR!$B$58:$B$64,0))),0)</f>
        <v>1.2826528909366407E-3</v>
      </c>
      <c r="R5" s="14">
        <f>IFERROR(INDEX('SYFAFE psgr'!$B$6:$H$6,,MATCH($A5,'SYFAFE psgr'!$B$1:$H$1,0))*(1+INDEX(CAGR!$C$58:$C$64,MATCH($A5,CAGR!$B$58:$B$64,0))),0)</f>
        <v>1.2826528909366407E-3</v>
      </c>
      <c r="S5" s="14">
        <f>IFERROR(INDEX('SYFAFE psgr'!$B$6:$H$6,,MATCH($A5,'SYFAFE psgr'!$B$1:$H$1,0))*(1+INDEX(CAGR!$C$58:$C$64,MATCH($A5,CAGR!$B$58:$B$64,0))),0)</f>
        <v>1.2826528909366407E-3</v>
      </c>
      <c r="T5" s="14">
        <f>IFERROR(INDEX('SYFAFE psgr'!$B$6:$H$6,,MATCH($A5,'SYFAFE psgr'!$B$1:$H$1,0))*(1+INDEX(CAGR!$C$58:$C$64,MATCH($A5,CAGR!$B$58:$B$64,0))),0)</f>
        <v>1.2826528909366407E-3</v>
      </c>
      <c r="U5" s="14">
        <f>IFERROR(INDEX('SYFAFE psgr'!$B$6:$H$6,,MATCH($A5,'SYFAFE psgr'!$B$1:$H$1,0))*(1+INDEX(CAGR!$C$58:$C$64,MATCH($A5,CAGR!$B$58:$B$64,0))),0)</f>
        <v>1.2826528909366407E-3</v>
      </c>
      <c r="V5" s="14">
        <f>IFERROR(INDEX('SYFAFE psgr'!$B$6:$H$6,,MATCH($A5,'SYFAFE psgr'!$B$1:$H$1,0))*(1+INDEX(CAGR!$C$58:$C$64,MATCH($A5,CAGR!$B$58:$B$64,0))),0)</f>
        <v>1.2826528909366407E-3</v>
      </c>
      <c r="W5" s="14">
        <f>IFERROR(INDEX('SYFAFE psgr'!$B$6:$H$6,,MATCH($A5,'SYFAFE psgr'!$B$1:$H$1,0))*(1+INDEX(CAGR!$C$58:$C$64,MATCH($A5,CAGR!$B$58:$B$64,0))),0)</f>
        <v>1.2826528909366407E-3</v>
      </c>
      <c r="X5" s="14">
        <f>IFERROR(INDEX('SYFAFE psgr'!$B$6:$H$6,,MATCH($A5,'SYFAFE psgr'!$B$1:$H$1,0))*(1+INDEX(CAGR!$C$58:$C$64,MATCH($A5,CAGR!$B$58:$B$64,0))),0)</f>
        <v>1.2826528909366407E-3</v>
      </c>
      <c r="Y5" s="14">
        <f>IFERROR(INDEX('SYFAFE psgr'!$B$6:$H$6,,MATCH($A5,'SYFAFE psgr'!$B$1:$H$1,0))*(1+INDEX(CAGR!$C$58:$C$64,MATCH($A5,CAGR!$B$58:$B$64,0))),0)</f>
        <v>1.2826528909366407E-3</v>
      </c>
      <c r="Z5" s="14">
        <f>IFERROR(INDEX('SYFAFE psgr'!$B$6:$H$6,,MATCH($A5,'SYFAFE psgr'!$B$1:$H$1,0))*(1+INDEX(CAGR!$C$58:$C$64,MATCH($A5,CAGR!$B$58:$B$64,0))),0)</f>
        <v>1.2826528909366407E-3</v>
      </c>
      <c r="AA5" s="14">
        <f>IFERROR(INDEX('SYFAFE psgr'!$B$6:$H$6,,MATCH($A5,'SYFAFE psgr'!$B$1:$H$1,0))*(1+INDEX(CAGR!$C$58:$C$64,MATCH($A5,CAGR!$B$58:$B$64,0))),0)</f>
        <v>1.2826528909366407E-3</v>
      </c>
      <c r="AB5" s="14">
        <f>IFERROR(INDEX('SYFAFE psgr'!$B$6:$H$6,,MATCH($A5,'SYFAFE psgr'!$B$1:$H$1,0))*(1+INDEX(CAGR!$C$58:$C$64,MATCH($A5,CAGR!$B$58:$B$64,0))),0)</f>
        <v>1.2826528909366407E-3</v>
      </c>
      <c r="AC5" s="14">
        <f>IFERROR(INDEX('SYFAFE psgr'!$B$6:$H$6,,MATCH($A5,'SYFAFE psgr'!$B$1:$H$1,0))*(1+INDEX(CAGR!$C$58:$C$64,MATCH($A5,CAGR!$B$58:$B$64,0))),0)</f>
        <v>1.2826528909366407E-3</v>
      </c>
      <c r="AD5" s="14">
        <f>IFERROR(INDEX('SYFAFE psgr'!$B$6:$H$6,,MATCH($A5,'SYFAFE psgr'!$B$1:$H$1,0))*(1+INDEX(CAGR!$C$58:$C$64,MATCH($A5,CAGR!$B$58:$B$64,0))),0)</f>
        <v>1.2826528909366407E-3</v>
      </c>
      <c r="AE5" s="14">
        <f>IFERROR(INDEX('SYFAFE psgr'!$B$6:$H$6,,MATCH($A5,'SYFAFE psgr'!$B$1:$H$1,0))*(1+INDEX(CAGR!$C$58:$C$64,MATCH($A5,CAGR!$B$58:$B$64,0))),0)</f>
        <v>1.2826528909366407E-3</v>
      </c>
      <c r="AF5" s="14">
        <f>IFERROR(INDEX('SYFAFE psgr'!$B$6:$H$6,,MATCH($A5,'SYFAFE psgr'!$B$1:$H$1,0))*(1+INDEX(CAGR!$C$58:$C$64,MATCH($A5,CAGR!$B$58:$B$64,0))),0)</f>
        <v>1.2826528909366407E-3</v>
      </c>
    </row>
    <row r="6" spans="1:32">
      <c r="A6" s="1" t="s">
        <v>13</v>
      </c>
      <c r="B6">
        <f>IFERROR(INDEX('SYFAFE psgr'!$B$6:$H$6,,MATCH($A6,'SYFAFE psgr'!$B$1:$H$1,0))*(1+INDEX(CAGR!$C$58:$C$64,MATCH($A6,CAGR!$B$58:$B$64,0))),0)</f>
        <v>0</v>
      </c>
      <c r="C6">
        <f>IFERROR(INDEX('SYFAFE psgr'!$B$6:$H$6,,MATCH($A6,'SYFAFE psgr'!$B$1:$H$1,0))*(1+INDEX(CAGR!$C$58:$C$64,MATCH($A6,CAGR!$B$58:$B$64,0))),0)</f>
        <v>0</v>
      </c>
      <c r="D6">
        <f>IFERROR(INDEX('SYFAFE psgr'!$B$6:$H$6,,MATCH($A6,'SYFAFE psgr'!$B$1:$H$1,0))*(1+INDEX(CAGR!$C$58:$C$64,MATCH($A6,CAGR!$B$58:$B$64,0))),0)</f>
        <v>0</v>
      </c>
      <c r="E6">
        <f>IFERROR(INDEX('SYFAFE psgr'!$B$6:$H$6,,MATCH($A6,'SYFAFE psgr'!$B$1:$H$1,0))*(1+INDEX(CAGR!$C$58:$C$64,MATCH($A6,CAGR!$B$58:$B$64,0))),0)</f>
        <v>0</v>
      </c>
      <c r="F6">
        <f>IFERROR(INDEX('SYFAFE psgr'!$B$6:$H$6,,MATCH($A6,'SYFAFE psgr'!$B$1:$H$1,0))*(1+INDEX(CAGR!$C$58:$C$64,MATCH($A6,CAGR!$B$58:$B$64,0))),0)</f>
        <v>0</v>
      </c>
      <c r="G6">
        <f>IFERROR(INDEX('SYFAFE psgr'!$B$6:$H$6,,MATCH($A6,'SYFAFE psgr'!$B$1:$H$1,0))*(1+INDEX(CAGR!$C$58:$C$64,MATCH($A6,CAGR!$B$58:$B$64,0))),0)</f>
        <v>0</v>
      </c>
      <c r="H6">
        <f>IFERROR(INDEX('SYFAFE psgr'!$B$6:$H$6,,MATCH($A6,'SYFAFE psgr'!$B$1:$H$1,0))*(1+INDEX(CAGR!$C$58:$C$64,MATCH($A6,CAGR!$B$58:$B$64,0))),0)</f>
        <v>0</v>
      </c>
      <c r="I6">
        <f>IFERROR(INDEX('SYFAFE psgr'!$B$6:$H$6,,MATCH($A6,'SYFAFE psgr'!$B$1:$H$1,0))*(1+INDEX(CAGR!$C$58:$C$64,MATCH($A6,CAGR!$B$58:$B$64,0))),0)</f>
        <v>0</v>
      </c>
      <c r="J6">
        <f>IFERROR(INDEX('SYFAFE psgr'!$B$6:$H$6,,MATCH($A6,'SYFAFE psgr'!$B$1:$H$1,0))*(1+INDEX(CAGR!$C$58:$C$64,MATCH($A6,CAGR!$B$58:$B$64,0))),0)</f>
        <v>0</v>
      </c>
      <c r="K6">
        <f>IFERROR(INDEX('SYFAFE psgr'!$B$6:$H$6,,MATCH($A6,'SYFAFE psgr'!$B$1:$H$1,0))*(1+INDEX(CAGR!$C$58:$C$64,MATCH($A6,CAGR!$B$58:$B$64,0))),0)</f>
        <v>0</v>
      </c>
      <c r="L6">
        <f>IFERROR(INDEX('SYFAFE psgr'!$B$6:$H$6,,MATCH($A6,'SYFAFE psgr'!$B$1:$H$1,0))*(1+INDEX(CAGR!$C$58:$C$64,MATCH($A6,CAGR!$B$58:$B$64,0))),0)</f>
        <v>0</v>
      </c>
      <c r="M6">
        <f>IFERROR(INDEX('SYFAFE psgr'!$B$6:$H$6,,MATCH($A6,'SYFAFE psgr'!$B$1:$H$1,0))*(1+INDEX(CAGR!$C$58:$C$64,MATCH($A6,CAGR!$B$58:$B$64,0))),0)</f>
        <v>0</v>
      </c>
      <c r="N6">
        <f>IFERROR(INDEX('SYFAFE psgr'!$B$6:$H$6,,MATCH($A6,'SYFAFE psgr'!$B$1:$H$1,0))*(1+INDEX(CAGR!$C$58:$C$64,MATCH($A6,CAGR!$B$58:$B$64,0))),0)</f>
        <v>0</v>
      </c>
      <c r="O6">
        <f>IFERROR(INDEX('SYFAFE psgr'!$B$6:$H$6,,MATCH($A6,'SYFAFE psgr'!$B$1:$H$1,0))*(1+INDEX(CAGR!$C$58:$C$64,MATCH($A6,CAGR!$B$58:$B$64,0))),0)</f>
        <v>0</v>
      </c>
      <c r="P6">
        <f>IFERROR(INDEX('SYFAFE psgr'!$B$6:$H$6,,MATCH($A6,'SYFAFE psgr'!$B$1:$H$1,0))*(1+INDEX(CAGR!$C$58:$C$64,MATCH($A6,CAGR!$B$58:$B$64,0))),0)</f>
        <v>0</v>
      </c>
      <c r="Q6">
        <f>IFERROR(INDEX('SYFAFE psgr'!$B$6:$H$6,,MATCH($A6,'SYFAFE psgr'!$B$1:$H$1,0))*(1+INDEX(CAGR!$C$58:$C$64,MATCH($A6,CAGR!$B$58:$B$64,0))),0)</f>
        <v>0</v>
      </c>
      <c r="R6">
        <f>IFERROR(INDEX('SYFAFE psgr'!$B$6:$H$6,,MATCH($A6,'SYFAFE psgr'!$B$1:$H$1,0))*(1+INDEX(CAGR!$C$58:$C$64,MATCH($A6,CAGR!$B$58:$B$64,0))),0)</f>
        <v>0</v>
      </c>
      <c r="S6">
        <f>IFERROR(INDEX('SYFAFE psgr'!$B$6:$H$6,,MATCH($A6,'SYFAFE psgr'!$B$1:$H$1,0))*(1+INDEX(CAGR!$C$58:$C$64,MATCH($A6,CAGR!$B$58:$B$64,0))),0)</f>
        <v>0</v>
      </c>
      <c r="T6">
        <f>IFERROR(INDEX('SYFAFE psgr'!$B$6:$H$6,,MATCH($A6,'SYFAFE psgr'!$B$1:$H$1,0))*(1+INDEX(CAGR!$C$58:$C$64,MATCH($A6,CAGR!$B$58:$B$64,0))),0)</f>
        <v>0</v>
      </c>
      <c r="U6">
        <f>IFERROR(INDEX('SYFAFE psgr'!$B$6:$H$6,,MATCH($A6,'SYFAFE psgr'!$B$1:$H$1,0))*(1+INDEX(CAGR!$C$58:$C$64,MATCH($A6,CAGR!$B$58:$B$64,0))),0)</f>
        <v>0</v>
      </c>
      <c r="V6">
        <f>IFERROR(INDEX('SYFAFE psgr'!$B$6:$H$6,,MATCH($A6,'SYFAFE psgr'!$B$1:$H$1,0))*(1+INDEX(CAGR!$C$58:$C$64,MATCH($A6,CAGR!$B$58:$B$64,0))),0)</f>
        <v>0</v>
      </c>
      <c r="W6">
        <f>IFERROR(INDEX('SYFAFE psgr'!$B$6:$H$6,,MATCH($A6,'SYFAFE psgr'!$B$1:$H$1,0))*(1+INDEX(CAGR!$C$58:$C$64,MATCH($A6,CAGR!$B$58:$B$64,0))),0)</f>
        <v>0</v>
      </c>
      <c r="X6">
        <f>IFERROR(INDEX('SYFAFE psgr'!$B$6:$H$6,,MATCH($A6,'SYFAFE psgr'!$B$1:$H$1,0))*(1+INDEX(CAGR!$C$58:$C$64,MATCH($A6,CAGR!$B$58:$B$64,0))),0)</f>
        <v>0</v>
      </c>
      <c r="Y6">
        <f>IFERROR(INDEX('SYFAFE psgr'!$B$6:$H$6,,MATCH($A6,'SYFAFE psgr'!$B$1:$H$1,0))*(1+INDEX(CAGR!$C$58:$C$64,MATCH($A6,CAGR!$B$58:$B$64,0))),0)</f>
        <v>0</v>
      </c>
      <c r="Z6">
        <f>IFERROR(INDEX('SYFAFE psgr'!$B$6:$H$6,,MATCH($A6,'SYFAFE psgr'!$B$1:$H$1,0))*(1+INDEX(CAGR!$C$58:$C$64,MATCH($A6,CAGR!$B$58:$B$64,0))),0)</f>
        <v>0</v>
      </c>
      <c r="AA6">
        <f>IFERROR(INDEX('SYFAFE psgr'!$B$6:$H$6,,MATCH($A6,'SYFAFE psgr'!$B$1:$H$1,0))*(1+INDEX(CAGR!$C$58:$C$64,MATCH($A6,CAGR!$B$58:$B$64,0))),0)</f>
        <v>0</v>
      </c>
      <c r="AB6">
        <f>IFERROR(INDEX('SYFAFE psgr'!$B$6:$H$6,,MATCH($A6,'SYFAFE psgr'!$B$1:$H$1,0))*(1+INDEX(CAGR!$C$58:$C$64,MATCH($A6,CAGR!$B$58:$B$64,0))),0)</f>
        <v>0</v>
      </c>
      <c r="AC6">
        <f>IFERROR(INDEX('SYFAFE psgr'!$B$6:$H$6,,MATCH($A6,'SYFAFE psgr'!$B$1:$H$1,0))*(1+INDEX(CAGR!$C$58:$C$64,MATCH($A6,CAGR!$B$58:$B$64,0))),0)</f>
        <v>0</v>
      </c>
      <c r="AD6">
        <f>IFERROR(INDEX('SYFAFE psgr'!$B$6:$H$6,,MATCH($A6,'SYFAFE psgr'!$B$1:$H$1,0))*(1+INDEX(CAGR!$C$58:$C$64,MATCH($A6,CAGR!$B$58:$B$64,0))),0)</f>
        <v>0</v>
      </c>
      <c r="AE6">
        <f>IFERROR(INDEX('SYFAFE psgr'!$B$6:$H$6,,MATCH($A6,'SYFAFE psgr'!$B$1:$H$1,0))*(1+INDEX(CAGR!$C$58:$C$64,MATCH($A6,CAGR!$B$58:$B$64,0))),0)</f>
        <v>0</v>
      </c>
      <c r="AF6">
        <f>IFERROR(INDEX('SYFAFE psgr'!$B$6:$H$6,,MATCH($A6,'SYFAFE psgr'!$B$1:$H$1,0))*(1+INDEX(CAGR!$C$58:$C$64,MATCH($A6,CAGR!$B$58:$B$64,0))),0)</f>
        <v>0</v>
      </c>
    </row>
    <row r="7" spans="1:32">
      <c r="A7" s="1" t="s">
        <v>14</v>
      </c>
      <c r="B7">
        <f>IFERROR(INDEX('SYFAFE psgr'!$B$6:$H$6,,MATCH($A7,'SYFAFE psgr'!$B$1:$H$1,0))*(1+INDEX(CAGR!$C$58:$C$64,MATCH($A7,CAGR!$B$58:$B$64,0))),0)</f>
        <v>0</v>
      </c>
      <c r="C7">
        <f>IFERROR(INDEX('SYFAFE psgr'!$B$6:$H$6,,MATCH($A7,'SYFAFE psgr'!$B$1:$H$1,0))*(1+INDEX(CAGR!$C$58:$C$64,MATCH($A7,CAGR!$B$58:$B$64,0))),0)</f>
        <v>0</v>
      </c>
      <c r="D7">
        <f>IFERROR(INDEX('SYFAFE psgr'!$B$6:$H$6,,MATCH($A7,'SYFAFE psgr'!$B$1:$H$1,0))*(1+INDEX(CAGR!$C$58:$C$64,MATCH($A7,CAGR!$B$58:$B$64,0))),0)</f>
        <v>0</v>
      </c>
      <c r="E7">
        <f>IFERROR(INDEX('SYFAFE psgr'!$B$6:$H$6,,MATCH($A7,'SYFAFE psgr'!$B$1:$H$1,0))*(1+INDEX(CAGR!$C$58:$C$64,MATCH($A7,CAGR!$B$58:$B$64,0))),0)</f>
        <v>0</v>
      </c>
      <c r="F7">
        <f>IFERROR(INDEX('SYFAFE psgr'!$B$6:$H$6,,MATCH($A7,'SYFAFE psgr'!$B$1:$H$1,0))*(1+INDEX(CAGR!$C$58:$C$64,MATCH($A7,CAGR!$B$58:$B$64,0))),0)</f>
        <v>0</v>
      </c>
      <c r="G7">
        <f>IFERROR(INDEX('SYFAFE psgr'!$B$6:$H$6,,MATCH($A7,'SYFAFE psgr'!$B$1:$H$1,0))*(1+INDEX(CAGR!$C$58:$C$64,MATCH($A7,CAGR!$B$58:$B$64,0))),0)</f>
        <v>0</v>
      </c>
      <c r="H7">
        <f>IFERROR(INDEX('SYFAFE psgr'!$B$6:$H$6,,MATCH($A7,'SYFAFE psgr'!$B$1:$H$1,0))*(1+INDEX(CAGR!$C$58:$C$64,MATCH($A7,CAGR!$B$58:$B$64,0))),0)</f>
        <v>0</v>
      </c>
      <c r="I7">
        <f>IFERROR(INDEX('SYFAFE psgr'!$B$6:$H$6,,MATCH($A7,'SYFAFE psgr'!$B$1:$H$1,0))*(1+INDEX(CAGR!$C$58:$C$64,MATCH($A7,CAGR!$B$58:$B$64,0))),0)</f>
        <v>0</v>
      </c>
      <c r="J7">
        <f>IFERROR(INDEX('SYFAFE psgr'!$B$6:$H$6,,MATCH($A7,'SYFAFE psgr'!$B$1:$H$1,0))*(1+INDEX(CAGR!$C$58:$C$64,MATCH($A7,CAGR!$B$58:$B$64,0))),0)</f>
        <v>0</v>
      </c>
      <c r="K7">
        <f>IFERROR(INDEX('SYFAFE psgr'!$B$6:$H$6,,MATCH($A7,'SYFAFE psgr'!$B$1:$H$1,0))*(1+INDEX(CAGR!$C$58:$C$64,MATCH($A7,CAGR!$B$58:$B$64,0))),0)</f>
        <v>0</v>
      </c>
      <c r="L7">
        <f>IFERROR(INDEX('SYFAFE psgr'!$B$6:$H$6,,MATCH($A7,'SYFAFE psgr'!$B$1:$H$1,0))*(1+INDEX(CAGR!$C$58:$C$64,MATCH($A7,CAGR!$B$58:$B$64,0))),0)</f>
        <v>0</v>
      </c>
      <c r="M7">
        <f>IFERROR(INDEX('SYFAFE psgr'!$B$6:$H$6,,MATCH($A7,'SYFAFE psgr'!$B$1:$H$1,0))*(1+INDEX(CAGR!$C$58:$C$64,MATCH($A7,CAGR!$B$58:$B$64,0))),0)</f>
        <v>0</v>
      </c>
      <c r="N7">
        <f>IFERROR(INDEX('SYFAFE psgr'!$B$6:$H$6,,MATCH($A7,'SYFAFE psgr'!$B$1:$H$1,0))*(1+INDEX(CAGR!$C$58:$C$64,MATCH($A7,CAGR!$B$58:$B$64,0))),0)</f>
        <v>0</v>
      </c>
      <c r="O7">
        <f>IFERROR(INDEX('SYFAFE psgr'!$B$6:$H$6,,MATCH($A7,'SYFAFE psgr'!$B$1:$H$1,0))*(1+INDEX(CAGR!$C$58:$C$64,MATCH($A7,CAGR!$B$58:$B$64,0))),0)</f>
        <v>0</v>
      </c>
      <c r="P7">
        <f>IFERROR(INDEX('SYFAFE psgr'!$B$6:$H$6,,MATCH($A7,'SYFAFE psgr'!$B$1:$H$1,0))*(1+INDEX(CAGR!$C$58:$C$64,MATCH($A7,CAGR!$B$58:$B$64,0))),0)</f>
        <v>0</v>
      </c>
      <c r="Q7">
        <f>IFERROR(INDEX('SYFAFE psgr'!$B$6:$H$6,,MATCH($A7,'SYFAFE psgr'!$B$1:$H$1,0))*(1+INDEX(CAGR!$C$58:$C$64,MATCH($A7,CAGR!$B$58:$B$64,0))),0)</f>
        <v>0</v>
      </c>
      <c r="R7">
        <f>IFERROR(INDEX('SYFAFE psgr'!$B$6:$H$6,,MATCH($A7,'SYFAFE psgr'!$B$1:$H$1,0))*(1+INDEX(CAGR!$C$58:$C$64,MATCH($A7,CAGR!$B$58:$B$64,0))),0)</f>
        <v>0</v>
      </c>
      <c r="S7">
        <f>IFERROR(INDEX('SYFAFE psgr'!$B$6:$H$6,,MATCH($A7,'SYFAFE psgr'!$B$1:$H$1,0))*(1+INDEX(CAGR!$C$58:$C$64,MATCH($A7,CAGR!$B$58:$B$64,0))),0)</f>
        <v>0</v>
      </c>
      <c r="T7">
        <f>IFERROR(INDEX('SYFAFE psgr'!$B$6:$H$6,,MATCH($A7,'SYFAFE psgr'!$B$1:$H$1,0))*(1+INDEX(CAGR!$C$58:$C$64,MATCH($A7,CAGR!$B$58:$B$64,0))),0)</f>
        <v>0</v>
      </c>
      <c r="U7">
        <f>IFERROR(INDEX('SYFAFE psgr'!$B$6:$H$6,,MATCH($A7,'SYFAFE psgr'!$B$1:$H$1,0))*(1+INDEX(CAGR!$C$58:$C$64,MATCH($A7,CAGR!$B$58:$B$64,0))),0)</f>
        <v>0</v>
      </c>
      <c r="V7">
        <f>IFERROR(INDEX('SYFAFE psgr'!$B$6:$H$6,,MATCH($A7,'SYFAFE psgr'!$B$1:$H$1,0))*(1+INDEX(CAGR!$C$58:$C$64,MATCH($A7,CAGR!$B$58:$B$64,0))),0)</f>
        <v>0</v>
      </c>
      <c r="W7">
        <f>IFERROR(INDEX('SYFAFE psgr'!$B$6:$H$6,,MATCH($A7,'SYFAFE psgr'!$B$1:$H$1,0))*(1+INDEX(CAGR!$C$58:$C$64,MATCH($A7,CAGR!$B$58:$B$64,0))),0)</f>
        <v>0</v>
      </c>
      <c r="X7">
        <f>IFERROR(INDEX('SYFAFE psgr'!$B$6:$H$6,,MATCH($A7,'SYFAFE psgr'!$B$1:$H$1,0))*(1+INDEX(CAGR!$C$58:$C$64,MATCH($A7,CAGR!$B$58:$B$64,0))),0)</f>
        <v>0</v>
      </c>
      <c r="Y7">
        <f>IFERROR(INDEX('SYFAFE psgr'!$B$6:$H$6,,MATCH($A7,'SYFAFE psgr'!$B$1:$H$1,0))*(1+INDEX(CAGR!$C$58:$C$64,MATCH($A7,CAGR!$B$58:$B$64,0))),0)</f>
        <v>0</v>
      </c>
      <c r="Z7">
        <f>IFERROR(INDEX('SYFAFE psgr'!$B$6:$H$6,,MATCH($A7,'SYFAFE psgr'!$B$1:$H$1,0))*(1+INDEX(CAGR!$C$58:$C$64,MATCH($A7,CAGR!$B$58:$B$64,0))),0)</f>
        <v>0</v>
      </c>
      <c r="AA7">
        <f>IFERROR(INDEX('SYFAFE psgr'!$B$6:$H$6,,MATCH($A7,'SYFAFE psgr'!$B$1:$H$1,0))*(1+INDEX(CAGR!$C$58:$C$64,MATCH($A7,CAGR!$B$58:$B$64,0))),0)</f>
        <v>0</v>
      </c>
      <c r="AB7">
        <f>IFERROR(INDEX('SYFAFE psgr'!$B$6:$H$6,,MATCH($A7,'SYFAFE psgr'!$B$1:$H$1,0))*(1+INDEX(CAGR!$C$58:$C$64,MATCH($A7,CAGR!$B$58:$B$64,0))),0)</f>
        <v>0</v>
      </c>
      <c r="AC7">
        <f>IFERROR(INDEX('SYFAFE psgr'!$B$6:$H$6,,MATCH($A7,'SYFAFE psgr'!$B$1:$H$1,0))*(1+INDEX(CAGR!$C$58:$C$64,MATCH($A7,CAGR!$B$58:$B$64,0))),0)</f>
        <v>0</v>
      </c>
      <c r="AD7">
        <f>IFERROR(INDEX('SYFAFE psgr'!$B$6:$H$6,,MATCH($A7,'SYFAFE psgr'!$B$1:$H$1,0))*(1+INDEX(CAGR!$C$58:$C$64,MATCH($A7,CAGR!$B$58:$B$64,0))),0)</f>
        <v>0</v>
      </c>
      <c r="AE7">
        <f>IFERROR(INDEX('SYFAFE psgr'!$B$6:$H$6,,MATCH($A7,'SYFAFE psgr'!$B$1:$H$1,0))*(1+INDEX(CAGR!$C$58:$C$64,MATCH($A7,CAGR!$B$58:$B$64,0))),0)</f>
        <v>0</v>
      </c>
      <c r="AF7">
        <f>IFERROR(INDEX('SYFAFE psgr'!$B$6:$H$6,,MATCH($A7,'SYFAFE psgr'!$B$1:$H$1,0))*(1+INDEX(CAGR!$C$58:$C$64,MATCH($A7,CAGR!$B$58:$B$64,0))),0)</f>
        <v>0</v>
      </c>
    </row>
    <row r="8" spans="1:32">
      <c r="A8" s="1" t="s">
        <v>15</v>
      </c>
      <c r="B8" s="13">
        <f>B5*Calibration!D43</f>
        <v>3.8479586728099213E-3</v>
      </c>
      <c r="C8" s="13">
        <f>B8*(1+CAGR!$C$64)</f>
        <v>3.8479586728099213E-3</v>
      </c>
      <c r="D8" s="13">
        <f>C8*(1+CAGR!$C$64)</f>
        <v>3.8479586728099213E-3</v>
      </c>
      <c r="E8" s="13">
        <f>D8*(1+CAGR!$C$64)</f>
        <v>3.8479586728099213E-3</v>
      </c>
      <c r="F8" s="13">
        <f>E8*(1+CAGR!$C$64)</f>
        <v>3.8479586728099213E-3</v>
      </c>
      <c r="G8" s="13">
        <f>F8*(1+CAGR!$C$64)</f>
        <v>3.8479586728099213E-3</v>
      </c>
      <c r="H8" s="13">
        <f>G8*(1+CAGR!$C$64)</f>
        <v>3.8479586728099213E-3</v>
      </c>
      <c r="I8" s="13">
        <f>H8*(1+CAGR!$C$64)</f>
        <v>3.8479586728099213E-3</v>
      </c>
      <c r="J8" s="13">
        <f>I8*(1+CAGR!$C$64)</f>
        <v>3.8479586728099213E-3</v>
      </c>
      <c r="K8" s="13">
        <f>J8*(1+CAGR!$C$64)</f>
        <v>3.8479586728099213E-3</v>
      </c>
      <c r="L8" s="13">
        <f>K8*(1+CAGR!$C$64)</f>
        <v>3.8479586728099213E-3</v>
      </c>
      <c r="M8" s="13">
        <f>L8*(1+CAGR!$C$64)</f>
        <v>3.8479586728099213E-3</v>
      </c>
      <c r="N8" s="13">
        <f>M8*(1+CAGR!$C$64)</f>
        <v>3.8479586728099213E-3</v>
      </c>
      <c r="O8" s="13">
        <f>N8*(1+CAGR!$C$64)</f>
        <v>3.8479586728099213E-3</v>
      </c>
      <c r="P8" s="13">
        <f>O8*(1+CAGR!$C$64)</f>
        <v>3.8479586728099213E-3</v>
      </c>
      <c r="Q8" s="13">
        <f>P8*(1+CAGR!$C$64)</f>
        <v>3.8479586728099213E-3</v>
      </c>
      <c r="R8" s="13">
        <f>Q8*(1+CAGR!$C$64)</f>
        <v>3.8479586728099213E-3</v>
      </c>
      <c r="S8" s="13">
        <f>R8*(1+CAGR!$C$64)</f>
        <v>3.8479586728099213E-3</v>
      </c>
      <c r="T8" s="13">
        <f>S8*(1+CAGR!$C$64)</f>
        <v>3.8479586728099213E-3</v>
      </c>
      <c r="U8" s="13">
        <f>T8*(1+CAGR!$C$64)</f>
        <v>3.8479586728099213E-3</v>
      </c>
      <c r="V8" s="13">
        <f>U8*(1+CAGR!$C$64)</f>
        <v>3.8479586728099213E-3</v>
      </c>
      <c r="W8" s="13">
        <f>V8*(1+CAGR!$C$64)</f>
        <v>3.8479586728099213E-3</v>
      </c>
      <c r="X8" s="13">
        <f>W8*(1+CAGR!$C$64)</f>
        <v>3.8479586728099213E-3</v>
      </c>
      <c r="Y8" s="13">
        <f>X8*(1+CAGR!$C$64)</f>
        <v>3.8479586728099213E-3</v>
      </c>
      <c r="Z8" s="13">
        <f>Y8*(1+CAGR!$C$64)</f>
        <v>3.8479586728099213E-3</v>
      </c>
      <c r="AA8" s="13">
        <f>Z8*(1+CAGR!$C$64)</f>
        <v>3.8479586728099213E-3</v>
      </c>
      <c r="AB8" s="13">
        <f>AA8*(1+CAGR!$C$64)</f>
        <v>3.8479586728099213E-3</v>
      </c>
      <c r="AC8" s="13">
        <f>AB8*(1+CAGR!$C$64)</f>
        <v>3.8479586728099213E-3</v>
      </c>
      <c r="AD8" s="13">
        <f>AC8*(1+CAGR!$C$64)</f>
        <v>3.8479586728099213E-3</v>
      </c>
      <c r="AE8" s="13">
        <f>AD8*(1+CAGR!$C$64)</f>
        <v>3.8479586728099213E-3</v>
      </c>
      <c r="AF8" s="13">
        <f>AE8*(1+CAGR!$C$64)</f>
        <v>3.8479586728099213E-3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12DF-67C7-4533-9DF8-C884909DBE9D}">
  <sheetPr>
    <tabColor rgb="FF1F497D"/>
  </sheetPr>
  <dimension ref="A1:AF8"/>
  <sheetViews>
    <sheetView workbookViewId="0"/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13">
        <f>B5*Calibration!$B$44</f>
        <v>5.0145455515567608E-3</v>
      </c>
      <c r="C2" s="13">
        <f>B2*(1+CAGR!$C$65)</f>
        <v>5.0326457445856055E-3</v>
      </c>
      <c r="D2" s="13">
        <f>C2*(1+CAGR!$C$65)</f>
        <v>5.0508112709501066E-3</v>
      </c>
      <c r="E2" s="13">
        <f>D2*(1+CAGR!$C$65)</f>
        <v>5.0690423664734247E-3</v>
      </c>
      <c r="F2" s="13">
        <f>E2*(1+CAGR!$C$65)</f>
        <v>5.0873392678299351E-3</v>
      </c>
      <c r="G2" s="13">
        <f>F2*(1+CAGR!$C$65)</f>
        <v>5.1057022125482968E-3</v>
      </c>
      <c r="H2" s="13">
        <f>G2*(1+CAGR!$C$65)</f>
        <v>5.1241314390145388E-3</v>
      </c>
      <c r="I2" s="13">
        <f>H2*(1+CAGR!$C$65)</f>
        <v>5.1426271864751525E-3</v>
      </c>
      <c r="J2" s="13">
        <f>I2*(1+CAGR!$C$65)</f>
        <v>5.1611896950401982E-3</v>
      </c>
      <c r="K2" s="13">
        <f>J2*(1+CAGR!$C$65)</f>
        <v>5.1798192056864241E-3</v>
      </c>
      <c r="L2" s="13">
        <f>K2*(1+CAGR!$C$65)</f>
        <v>5.1985159602603928E-3</v>
      </c>
      <c r="M2" s="13">
        <f>L2*(1+CAGR!$C$65)</f>
        <v>5.2172802014816199E-3</v>
      </c>
      <c r="N2" s="13">
        <f>M2*(1+CAGR!$C$65)</f>
        <v>5.2361121729457283E-3</v>
      </c>
      <c r="O2" s="13">
        <f>N2*(1+CAGR!$C$65)</f>
        <v>5.255012119127607E-3</v>
      </c>
      <c r="P2" s="13">
        <f>O2*(1+CAGR!$C$65)</f>
        <v>5.2739802853845868E-3</v>
      </c>
      <c r="Q2" s="13">
        <f>P2*(1+CAGR!$C$65)</f>
        <v>5.2930169179596261E-3</v>
      </c>
      <c r="R2" s="13">
        <f>Q2*(1+CAGR!$C$65)</f>
        <v>5.3121222639845051E-3</v>
      </c>
      <c r="S2" s="13">
        <f>R2*(1+CAGR!$C$65)</f>
        <v>5.3312965714830372E-3</v>
      </c>
      <c r="T2" s="13">
        <f>S2*(1+CAGR!$C$65)</f>
        <v>5.3505400893742857E-3</v>
      </c>
      <c r="U2" s="13">
        <f>T2*(1+CAGR!$C$65)</f>
        <v>5.3698530674757975E-3</v>
      </c>
      <c r="V2" s="13">
        <f>U2*(1+CAGR!$C$65)</f>
        <v>5.389235756506845E-3</v>
      </c>
      <c r="W2" s="13">
        <f>V2*(1+CAGR!$C$65)</f>
        <v>5.408688408091682E-3</v>
      </c>
      <c r="X2" s="13">
        <f>W2*(1+CAGR!$C$65)</f>
        <v>5.4282112747628094E-3</v>
      </c>
      <c r="Y2" s="13">
        <f>X2*(1+CAGR!$C$65)</f>
        <v>5.4478046099642533E-3</v>
      </c>
      <c r="Z2" s="13">
        <f>Y2*(1+CAGR!$C$65)</f>
        <v>5.4674686680548559E-3</v>
      </c>
      <c r="AA2" s="13">
        <f>Z2*(1+CAGR!$C$65)</f>
        <v>5.4872037043115773E-3</v>
      </c>
      <c r="AB2" s="13">
        <f>AA2*(1+CAGR!$C$65)</f>
        <v>5.50700997493281E-3</v>
      </c>
      <c r="AC2" s="13">
        <f>AB2*(1+CAGR!$C$65)</f>
        <v>5.526887737041704E-3</v>
      </c>
      <c r="AD2" s="13">
        <f>AC2*(1+CAGR!$C$65)</f>
        <v>5.5468372486895054E-3</v>
      </c>
      <c r="AE2" s="13">
        <f>AD2*(1+CAGR!$C$65)</f>
        <v>5.5668587688589054E-3</v>
      </c>
      <c r="AF2" s="13">
        <f>AE2*(1+CAGR!$C$65)</f>
        <v>5.586952557467403E-3</v>
      </c>
    </row>
    <row r="3" spans="1:32">
      <c r="A3" s="1" t="s">
        <v>10</v>
      </c>
      <c r="B3">
        <f>IFERROR(INDEX('SYFAFE frgt'!$B$6:$H$6,,MATCH($A3,'SYFAFE frgt'!$B$1:$H$1,0))*(1+INDEX(CAGR!$C$65:$C$71,MATCH($A3,CAGR!$B$65:$B$71,0))),0)</f>
        <v>1.5548622646760399E-3</v>
      </c>
      <c r="C3">
        <f>IFERROR(INDEX('SYFAFE frgt'!$B$6:$H$6,,MATCH($A3,'SYFAFE frgt'!$B$1:$H$1,0))*(1+INDEX(CAGR!$C$51:$C$57,MATCH($A3,CAGR!$B$65:$B$71,0))),0)</f>
        <v>1.5548622646760399E-3</v>
      </c>
      <c r="D3">
        <f>IFERROR(INDEX('SYFAFE frgt'!$B$6:$H$6,,MATCH($A3,'SYFAFE frgt'!$B$1:$H$1,0))*(1+INDEX(CAGR!$C$51:$C$57,MATCH($A3,CAGR!$B$65:$B$71,0))),0)</f>
        <v>1.5548622646760399E-3</v>
      </c>
      <c r="E3">
        <f>IFERROR(INDEX('SYFAFE frgt'!$B$6:$H$6,,MATCH($A3,'SYFAFE frgt'!$B$1:$H$1,0))*(1+INDEX(CAGR!$C$51:$C$57,MATCH($A3,CAGR!$B$65:$B$71,0))),0)</f>
        <v>1.5548622646760399E-3</v>
      </c>
      <c r="F3">
        <f>IFERROR(INDEX('SYFAFE frgt'!$B$6:$H$6,,MATCH($A3,'SYFAFE frgt'!$B$1:$H$1,0))*(1+INDEX(CAGR!$C$51:$C$57,MATCH($A3,CAGR!$B$65:$B$71,0))),0)</f>
        <v>1.5548622646760399E-3</v>
      </c>
      <c r="G3">
        <f>IFERROR(INDEX('SYFAFE frgt'!$B$6:$H$6,,MATCH($A3,'SYFAFE frgt'!$B$1:$H$1,0))*(1+INDEX(CAGR!$C$51:$C$57,MATCH($A3,CAGR!$B$65:$B$71,0))),0)</f>
        <v>1.5548622646760399E-3</v>
      </c>
      <c r="H3">
        <f>IFERROR(INDEX('SYFAFE frgt'!$B$6:$H$6,,MATCH($A3,'SYFAFE frgt'!$B$1:$H$1,0))*(1+INDEX(CAGR!$C$51:$C$57,MATCH($A3,CAGR!$B$65:$B$71,0))),0)</f>
        <v>1.5548622646760399E-3</v>
      </c>
      <c r="I3">
        <f>IFERROR(INDEX('SYFAFE frgt'!$B$6:$H$6,,MATCH($A3,'SYFAFE frgt'!$B$1:$H$1,0))*(1+INDEX(CAGR!$C$51:$C$57,MATCH($A3,CAGR!$B$65:$B$71,0))),0)</f>
        <v>1.5548622646760399E-3</v>
      </c>
      <c r="J3">
        <f>IFERROR(INDEX('SYFAFE frgt'!$B$6:$H$6,,MATCH($A3,'SYFAFE frgt'!$B$1:$H$1,0))*(1+INDEX(CAGR!$C$51:$C$57,MATCH($A3,CAGR!$B$65:$B$71,0))),0)</f>
        <v>1.5548622646760399E-3</v>
      </c>
      <c r="K3">
        <f>IFERROR(INDEX('SYFAFE frgt'!$B$6:$H$6,,MATCH($A3,'SYFAFE frgt'!$B$1:$H$1,0))*(1+INDEX(CAGR!$C$51:$C$57,MATCH($A3,CAGR!$B$65:$B$71,0))),0)</f>
        <v>1.5548622646760399E-3</v>
      </c>
      <c r="L3">
        <f>IFERROR(INDEX('SYFAFE frgt'!$B$6:$H$6,,MATCH($A3,'SYFAFE frgt'!$B$1:$H$1,0))*(1+INDEX(CAGR!$C$51:$C$57,MATCH($A3,CAGR!$B$65:$B$71,0))),0)</f>
        <v>1.5548622646760399E-3</v>
      </c>
      <c r="M3">
        <f>IFERROR(INDEX('SYFAFE frgt'!$B$6:$H$6,,MATCH($A3,'SYFAFE frgt'!$B$1:$H$1,0))*(1+INDEX(CAGR!$C$51:$C$57,MATCH($A3,CAGR!$B$65:$B$71,0))),0)</f>
        <v>1.5548622646760399E-3</v>
      </c>
      <c r="N3">
        <f>IFERROR(INDEX('SYFAFE frgt'!$B$6:$H$6,,MATCH($A3,'SYFAFE frgt'!$B$1:$H$1,0))*(1+INDEX(CAGR!$C$51:$C$57,MATCH($A3,CAGR!$B$65:$B$71,0))),0)</f>
        <v>1.5548622646760399E-3</v>
      </c>
      <c r="O3">
        <f>IFERROR(INDEX('SYFAFE frgt'!$B$6:$H$6,,MATCH($A3,'SYFAFE frgt'!$B$1:$H$1,0))*(1+INDEX(CAGR!$C$51:$C$57,MATCH($A3,CAGR!$B$65:$B$71,0))),0)</f>
        <v>1.5548622646760399E-3</v>
      </c>
      <c r="P3">
        <f>IFERROR(INDEX('SYFAFE frgt'!$B$6:$H$6,,MATCH($A3,'SYFAFE frgt'!$B$1:$H$1,0))*(1+INDEX(CAGR!$C$51:$C$57,MATCH($A3,CAGR!$B$65:$B$71,0))),0)</f>
        <v>1.5548622646760399E-3</v>
      </c>
      <c r="Q3">
        <f>IFERROR(INDEX('SYFAFE frgt'!$B$6:$H$6,,MATCH($A3,'SYFAFE frgt'!$B$1:$H$1,0))*(1+INDEX(CAGR!$C$51:$C$57,MATCH($A3,CAGR!$B$65:$B$71,0))),0)</f>
        <v>1.5548622646760399E-3</v>
      </c>
      <c r="R3">
        <f>IFERROR(INDEX('SYFAFE frgt'!$B$6:$H$6,,MATCH($A3,'SYFAFE frgt'!$B$1:$H$1,0))*(1+INDEX(CAGR!$C$51:$C$57,MATCH($A3,CAGR!$B$65:$B$71,0))),0)</f>
        <v>1.5548622646760399E-3</v>
      </c>
      <c r="S3">
        <f>IFERROR(INDEX('SYFAFE frgt'!$B$6:$H$6,,MATCH($A3,'SYFAFE frgt'!$B$1:$H$1,0))*(1+INDEX(CAGR!$C$51:$C$57,MATCH($A3,CAGR!$B$65:$B$71,0))),0)</f>
        <v>1.5548622646760399E-3</v>
      </c>
      <c r="T3">
        <f>IFERROR(INDEX('SYFAFE frgt'!$B$6:$H$6,,MATCH($A3,'SYFAFE frgt'!$B$1:$H$1,0))*(1+INDEX(CAGR!$C$51:$C$57,MATCH($A3,CAGR!$B$65:$B$71,0))),0)</f>
        <v>1.5548622646760399E-3</v>
      </c>
      <c r="U3">
        <f>IFERROR(INDEX('SYFAFE frgt'!$B$6:$H$6,,MATCH($A3,'SYFAFE frgt'!$B$1:$H$1,0))*(1+INDEX(CAGR!$C$51:$C$57,MATCH($A3,CAGR!$B$65:$B$71,0))),0)</f>
        <v>1.5548622646760399E-3</v>
      </c>
      <c r="V3">
        <f>IFERROR(INDEX('SYFAFE frgt'!$B$6:$H$6,,MATCH($A3,'SYFAFE frgt'!$B$1:$H$1,0))*(1+INDEX(CAGR!$C$51:$C$57,MATCH($A3,CAGR!$B$65:$B$71,0))),0)</f>
        <v>1.5548622646760399E-3</v>
      </c>
      <c r="W3">
        <f>IFERROR(INDEX('SYFAFE frgt'!$B$6:$H$6,,MATCH($A3,'SYFAFE frgt'!$B$1:$H$1,0))*(1+INDEX(CAGR!$C$51:$C$57,MATCH($A3,CAGR!$B$65:$B$71,0))),0)</f>
        <v>1.5548622646760399E-3</v>
      </c>
      <c r="X3">
        <f>IFERROR(INDEX('SYFAFE frgt'!$B$6:$H$6,,MATCH($A3,'SYFAFE frgt'!$B$1:$H$1,0))*(1+INDEX(CAGR!$C$51:$C$57,MATCH($A3,CAGR!$B$65:$B$71,0))),0)</f>
        <v>1.5548622646760399E-3</v>
      </c>
      <c r="Y3">
        <f>IFERROR(INDEX('SYFAFE frgt'!$B$6:$H$6,,MATCH($A3,'SYFAFE frgt'!$B$1:$H$1,0))*(1+INDEX(CAGR!$C$51:$C$57,MATCH($A3,CAGR!$B$65:$B$71,0))),0)</f>
        <v>1.5548622646760399E-3</v>
      </c>
      <c r="Z3">
        <f>IFERROR(INDEX('SYFAFE frgt'!$B$6:$H$6,,MATCH($A3,'SYFAFE frgt'!$B$1:$H$1,0))*(1+INDEX(CAGR!$C$51:$C$57,MATCH($A3,CAGR!$B$65:$B$71,0))),0)</f>
        <v>1.5548622646760399E-3</v>
      </c>
      <c r="AA3">
        <f>IFERROR(INDEX('SYFAFE frgt'!$B$6:$H$6,,MATCH($A3,'SYFAFE frgt'!$B$1:$H$1,0))*(1+INDEX(CAGR!$C$51:$C$57,MATCH($A3,CAGR!$B$65:$B$71,0))),0)</f>
        <v>1.5548622646760399E-3</v>
      </c>
      <c r="AB3">
        <f>IFERROR(INDEX('SYFAFE frgt'!$B$6:$H$6,,MATCH($A3,'SYFAFE frgt'!$B$1:$H$1,0))*(1+INDEX(CAGR!$C$51:$C$57,MATCH($A3,CAGR!$B$65:$B$71,0))),0)</f>
        <v>1.5548622646760399E-3</v>
      </c>
      <c r="AC3">
        <f>IFERROR(INDEX('SYFAFE frgt'!$B$6:$H$6,,MATCH($A3,'SYFAFE frgt'!$B$1:$H$1,0))*(1+INDEX(CAGR!$C$51:$C$57,MATCH($A3,CAGR!$B$65:$B$71,0))),0)</f>
        <v>1.5548622646760399E-3</v>
      </c>
      <c r="AD3">
        <f>IFERROR(INDEX('SYFAFE frgt'!$B$6:$H$6,,MATCH($A3,'SYFAFE frgt'!$B$1:$H$1,0))*(1+INDEX(CAGR!$C$51:$C$57,MATCH($A3,CAGR!$B$65:$B$71,0))),0)</f>
        <v>1.5548622646760399E-3</v>
      </c>
      <c r="AE3">
        <f>IFERROR(INDEX('SYFAFE frgt'!$B$6:$H$6,,MATCH($A3,'SYFAFE frgt'!$B$1:$H$1,0))*(1+INDEX(CAGR!$C$51:$C$57,MATCH($A3,CAGR!$B$65:$B$71,0))),0)</f>
        <v>1.5548622646760399E-3</v>
      </c>
      <c r="AF3">
        <f>IFERROR(INDEX('SYFAFE frgt'!$B$6:$H$6,,MATCH($A3,'SYFAFE frgt'!$B$1:$H$1,0))*(1+INDEX(CAGR!$C$51:$C$57,MATCH($A3,CAGR!$B$65:$B$71,0))),0)</f>
        <v>1.5548622646760399E-3</v>
      </c>
    </row>
    <row r="4" spans="1:32">
      <c r="A4" s="1" t="s">
        <v>11</v>
      </c>
      <c r="B4" s="14">
        <f>IFERROR(INDEX('SYFAFE frgt'!$B$6:$H$6,,MATCH($A4,'SYFAFE frgt'!$B$1:$H$1,0))*(1+INDEX(CAGR!$C$65:$C$71,MATCH($A4,CAGR!$B$65:$B$71,0))),0)</f>
        <v>1.5548622646760399E-3</v>
      </c>
      <c r="C4" s="14">
        <f>IFERROR(B4*(1+INDEX(CAGR!$C$51:$C$57,MATCH($A4,CAGR!$B$65:$B$71,0))),0)</f>
        <v>1.5548622646760399E-3</v>
      </c>
      <c r="D4" s="14">
        <f>IFERROR(C4*(1+INDEX(CAGR!$C$51:$C$57,MATCH($A4,CAGR!$B$65:$B$71,0))),0)</f>
        <v>1.5548622646760399E-3</v>
      </c>
      <c r="E4" s="14">
        <f>IFERROR(D4*(1+INDEX(CAGR!$C$51:$C$57,MATCH($A4,CAGR!$B$65:$B$71,0))),0)</f>
        <v>1.5548622646760399E-3</v>
      </c>
      <c r="F4" s="14">
        <f>IFERROR(E4*(1+INDEX(CAGR!$C$51:$C$57,MATCH($A4,CAGR!$B$65:$B$71,0))),0)</f>
        <v>1.5548622646760399E-3</v>
      </c>
      <c r="G4" s="14">
        <f>IFERROR(F4*(1+INDEX(CAGR!$C$51:$C$57,MATCH($A4,CAGR!$B$65:$B$71,0))),0)</f>
        <v>1.5548622646760399E-3</v>
      </c>
      <c r="H4" s="14">
        <f>IFERROR(G4*(1+INDEX(CAGR!$C$51:$C$57,MATCH($A4,CAGR!$B$65:$B$71,0))),0)</f>
        <v>1.5548622646760399E-3</v>
      </c>
      <c r="I4" s="14">
        <f>IFERROR(H4*(1+INDEX(CAGR!$C$51:$C$57,MATCH($A4,CAGR!$B$65:$B$71,0))),0)</f>
        <v>1.5548622646760399E-3</v>
      </c>
      <c r="J4" s="14">
        <f>IFERROR(I4*(1+INDEX(CAGR!$C$51:$C$57,MATCH($A4,CAGR!$B$65:$B$71,0))),0)</f>
        <v>1.5548622646760399E-3</v>
      </c>
      <c r="K4" s="14">
        <f>IFERROR(J4*(1+INDEX(CAGR!$C$51:$C$57,MATCH($A4,CAGR!$B$65:$B$71,0))),0)</f>
        <v>1.5548622646760399E-3</v>
      </c>
      <c r="L4" s="14">
        <f>IFERROR(K4*(1+INDEX(CAGR!$C$51:$C$57,MATCH($A4,CAGR!$B$65:$B$71,0))),0)</f>
        <v>1.5548622646760399E-3</v>
      </c>
      <c r="M4" s="14">
        <f>IFERROR(L4*(1+INDEX(CAGR!$C$51:$C$57,MATCH($A4,CAGR!$B$65:$B$71,0))),0)</f>
        <v>1.5548622646760399E-3</v>
      </c>
      <c r="N4" s="14">
        <f>IFERROR(M4*(1+INDEX(CAGR!$C$51:$C$57,MATCH($A4,CAGR!$B$65:$B$71,0))),0)</f>
        <v>1.5548622646760399E-3</v>
      </c>
      <c r="O4" s="14">
        <f>IFERROR(N4*(1+INDEX(CAGR!$C$51:$C$57,MATCH($A4,CAGR!$B$65:$B$71,0))),0)</f>
        <v>1.5548622646760399E-3</v>
      </c>
      <c r="P4" s="14">
        <f>IFERROR(O4*(1+INDEX(CAGR!$C$51:$C$57,MATCH($A4,CAGR!$B$65:$B$71,0))),0)</f>
        <v>1.5548622646760399E-3</v>
      </c>
      <c r="Q4" s="14">
        <f>IFERROR(P4*(1+INDEX(CAGR!$C$51:$C$57,MATCH($A4,CAGR!$B$65:$B$71,0))),0)</f>
        <v>1.5548622646760399E-3</v>
      </c>
      <c r="R4" s="14">
        <f>IFERROR(Q4*(1+INDEX(CAGR!$C$51:$C$57,MATCH($A4,CAGR!$B$65:$B$71,0))),0)</f>
        <v>1.5548622646760399E-3</v>
      </c>
      <c r="S4" s="14">
        <f>IFERROR(R4*(1+INDEX(CAGR!$C$51:$C$57,MATCH($A4,CAGR!$B$65:$B$71,0))),0)</f>
        <v>1.5548622646760399E-3</v>
      </c>
      <c r="T4" s="14">
        <f>IFERROR(S4*(1+INDEX(CAGR!$C$51:$C$57,MATCH($A4,CAGR!$B$65:$B$71,0))),0)</f>
        <v>1.5548622646760399E-3</v>
      </c>
      <c r="U4" s="14">
        <f>IFERROR(T4*(1+INDEX(CAGR!$C$51:$C$57,MATCH($A4,CAGR!$B$65:$B$71,0))),0)</f>
        <v>1.5548622646760399E-3</v>
      </c>
      <c r="V4" s="14">
        <f>IFERROR(U4*(1+INDEX(CAGR!$C$51:$C$57,MATCH($A4,CAGR!$B$65:$B$71,0))),0)</f>
        <v>1.5548622646760399E-3</v>
      </c>
      <c r="W4" s="14">
        <f>IFERROR(V4*(1+INDEX(CAGR!$C$51:$C$57,MATCH($A4,CAGR!$B$65:$B$71,0))),0)</f>
        <v>1.5548622646760399E-3</v>
      </c>
      <c r="X4" s="14">
        <f>IFERROR(W4*(1+INDEX(CAGR!$C$51:$C$57,MATCH($A4,CAGR!$B$65:$B$71,0))),0)</f>
        <v>1.5548622646760399E-3</v>
      </c>
      <c r="Y4" s="14">
        <f>IFERROR(X4*(1+INDEX(CAGR!$C$51:$C$57,MATCH($A4,CAGR!$B$65:$B$71,0))),0)</f>
        <v>1.5548622646760399E-3</v>
      </c>
      <c r="Z4" s="14">
        <f>IFERROR(Y4*(1+INDEX(CAGR!$C$51:$C$57,MATCH($A4,CAGR!$B$65:$B$71,0))),0)</f>
        <v>1.5548622646760399E-3</v>
      </c>
      <c r="AA4" s="14">
        <f>IFERROR(Z4*(1+INDEX(CAGR!$C$51:$C$57,MATCH($A4,CAGR!$B$65:$B$71,0))),0)</f>
        <v>1.5548622646760399E-3</v>
      </c>
      <c r="AB4" s="14">
        <f>IFERROR(AA4*(1+INDEX(CAGR!$C$51:$C$57,MATCH($A4,CAGR!$B$65:$B$71,0))),0)</f>
        <v>1.5548622646760399E-3</v>
      </c>
      <c r="AC4" s="14">
        <f>IFERROR(AB4*(1+INDEX(CAGR!$C$51:$C$57,MATCH($A4,CAGR!$B$65:$B$71,0))),0)</f>
        <v>1.5548622646760399E-3</v>
      </c>
      <c r="AD4" s="14">
        <f>IFERROR(AC4*(1+INDEX(CAGR!$C$51:$C$57,MATCH($A4,CAGR!$B$65:$B$71,0))),0)</f>
        <v>1.5548622646760399E-3</v>
      </c>
      <c r="AE4" s="14">
        <f>IFERROR(AD4*(1+INDEX(CAGR!$C$51:$C$57,MATCH($A4,CAGR!$B$65:$B$71,0))),0)</f>
        <v>1.5548622646760399E-3</v>
      </c>
      <c r="AF4" s="14">
        <f>IFERROR(AE4*(1+INDEX(CAGR!$C$51:$C$57,MATCH($A4,CAGR!$B$65:$B$71,0))),0)</f>
        <v>1.5548622646760399E-3</v>
      </c>
    </row>
    <row r="5" spans="1:32">
      <c r="A5" s="1" t="s">
        <v>12</v>
      </c>
      <c r="B5" s="14">
        <f>IFERROR(INDEX('SYFAFE frgt'!$B$6:$H$6,,MATCH($A5,'SYFAFE frgt'!$B$1:$H$1,0))*(1+INDEX(CAGR!$C$65:$C$71,MATCH($A5,CAGR!$B$65:$B$71,0))),0)</f>
        <v>1.5604745992005844E-3</v>
      </c>
      <c r="C5" s="14">
        <f>IFERROR(B5*(1+INDEX(CAGR!$C$51:$C$57,MATCH($A5,CAGR!$B$65:$B$71,0))),0)</f>
        <v>1.5620626435874393E-3</v>
      </c>
      <c r="D5" s="14">
        <f>IFERROR(C5*(1+INDEX(CAGR!$C$51:$C$57,MATCH($A5,CAGR!$B$65:$B$71,0))),0)</f>
        <v>1.5636523040755599E-3</v>
      </c>
      <c r="E5" s="14">
        <f>IFERROR(D5*(1+INDEX(CAGR!$C$51:$C$57,MATCH($A5,CAGR!$B$65:$B$71,0))),0)</f>
        <v>1.5652435823095999E-3</v>
      </c>
      <c r="F5" s="14">
        <f>IFERROR(E5*(1+INDEX(CAGR!$C$51:$C$57,MATCH($A5,CAGR!$B$65:$B$71,0))),0)</f>
        <v>1.5668364799358867E-3</v>
      </c>
      <c r="G5" s="14">
        <f>IFERROR(F5*(1+INDEX(CAGR!$C$51:$C$57,MATCH($A5,CAGR!$B$65:$B$71,0))),0)</f>
        <v>1.5684309986024234E-3</v>
      </c>
      <c r="H5" s="14">
        <f>IFERROR(G5*(1+INDEX(CAGR!$C$51:$C$57,MATCH($A5,CAGR!$B$65:$B$71,0))),0)</f>
        <v>1.5700271399588901E-3</v>
      </c>
      <c r="I5" s="14">
        <f>IFERROR(H5*(1+INDEX(CAGR!$C$51:$C$57,MATCH($A5,CAGR!$B$65:$B$71,0))),0)</f>
        <v>1.5716249056566458E-3</v>
      </c>
      <c r="J5" s="14">
        <f>IFERROR(I5*(1+INDEX(CAGR!$C$51:$C$57,MATCH($A5,CAGR!$B$65:$B$71,0))),0)</f>
        <v>1.5732242973487299E-3</v>
      </c>
      <c r="K5" s="14">
        <f>IFERROR(J5*(1+INDEX(CAGR!$C$51:$C$57,MATCH($A5,CAGR!$B$65:$B$71,0))),0)</f>
        <v>1.574825316689864E-3</v>
      </c>
      <c r="L5" s="14">
        <f>IFERROR(K5*(1+INDEX(CAGR!$C$51:$C$57,MATCH($A5,CAGR!$B$65:$B$71,0))),0)</f>
        <v>1.5764279653364536E-3</v>
      </c>
      <c r="M5" s="14">
        <f>IFERROR(L5*(1+INDEX(CAGR!$C$51:$C$57,MATCH($A5,CAGR!$B$65:$B$71,0))),0)</f>
        <v>1.5780322449465904E-3</v>
      </c>
      <c r="N5" s="14">
        <f>IFERROR(M5*(1+INDEX(CAGR!$C$51:$C$57,MATCH($A5,CAGR!$B$65:$B$71,0))),0)</f>
        <v>1.5796381571800528E-3</v>
      </c>
      <c r="O5" s="14">
        <f>IFERROR(N5*(1+INDEX(CAGR!$C$51:$C$57,MATCH($A5,CAGR!$B$65:$B$71,0))),0)</f>
        <v>1.5812457036983088E-3</v>
      </c>
      <c r="P5" s="14">
        <f>IFERROR(O5*(1+INDEX(CAGR!$C$51:$C$57,MATCH($A5,CAGR!$B$65:$B$71,0))),0)</f>
        <v>1.5828548861645168E-3</v>
      </c>
      <c r="Q5" s="14">
        <f>IFERROR(P5*(1+INDEX(CAGR!$C$51:$C$57,MATCH($A5,CAGR!$B$65:$B$71,0))),0)</f>
        <v>1.5844657062435282E-3</v>
      </c>
      <c r="R5" s="14">
        <f>IFERROR(Q5*(1+INDEX(CAGR!$C$51:$C$57,MATCH($A5,CAGR!$B$65:$B$71,0))),0)</f>
        <v>1.5860781656018884E-3</v>
      </c>
      <c r="S5" s="14">
        <f>IFERROR(R5*(1+INDEX(CAGR!$C$51:$C$57,MATCH($A5,CAGR!$B$65:$B$71,0))),0)</f>
        <v>1.5876922659078386E-3</v>
      </c>
      <c r="T5" s="14">
        <f>IFERROR(S5*(1+INDEX(CAGR!$C$51:$C$57,MATCH($A5,CAGR!$B$65:$B$71,0))),0)</f>
        <v>1.5893080088313183E-3</v>
      </c>
      <c r="U5" s="14">
        <f>IFERROR(T5*(1+INDEX(CAGR!$C$51:$C$57,MATCH($A5,CAGR!$B$65:$B$71,0))),0)</f>
        <v>1.5909253960439658E-3</v>
      </c>
      <c r="V5" s="14">
        <f>IFERROR(U5*(1+INDEX(CAGR!$C$51:$C$57,MATCH($A5,CAGR!$B$65:$B$71,0))),0)</f>
        <v>1.592544429219121E-3</v>
      </c>
      <c r="W5" s="14">
        <f>IFERROR(V5*(1+INDEX(CAGR!$C$51:$C$57,MATCH($A5,CAGR!$B$65:$B$71,0))),0)</f>
        <v>1.5941651100318264E-3</v>
      </c>
      <c r="X5" s="14">
        <f>IFERROR(W5*(1+INDEX(CAGR!$C$51:$C$57,MATCH($A5,CAGR!$B$65:$B$71,0))),0)</f>
        <v>1.5957874401588293E-3</v>
      </c>
      <c r="Y5" s="14">
        <f>IFERROR(X5*(1+INDEX(CAGR!$C$51:$C$57,MATCH($A5,CAGR!$B$65:$B$71,0))),0)</f>
        <v>1.5974114212785836E-3</v>
      </c>
      <c r="Z5" s="14">
        <f>IFERROR(Y5*(1+INDEX(CAGR!$C$51:$C$57,MATCH($A5,CAGR!$B$65:$B$71,0))),0)</f>
        <v>1.5990370550712509E-3</v>
      </c>
      <c r="AA5" s="14">
        <f>IFERROR(Z5*(1+INDEX(CAGR!$C$51:$C$57,MATCH($A5,CAGR!$B$65:$B$71,0))),0)</f>
        <v>1.6006643432187029E-3</v>
      </c>
      <c r="AB5" s="14">
        <f>IFERROR(AA5*(1+INDEX(CAGR!$C$51:$C$57,MATCH($A5,CAGR!$B$65:$B$71,0))),0)</f>
        <v>1.6022932874045228E-3</v>
      </c>
      <c r="AC5" s="14">
        <f>IFERROR(AB5*(1+INDEX(CAGR!$C$51:$C$57,MATCH($A5,CAGR!$B$65:$B$71,0))),0)</f>
        <v>1.6039238893140071E-3</v>
      </c>
      <c r="AD5" s="14">
        <f>IFERROR(AC5*(1+INDEX(CAGR!$C$51:$C$57,MATCH($A5,CAGR!$B$65:$B$71,0))),0)</f>
        <v>1.6055561506341674E-3</v>
      </c>
      <c r="AE5" s="14">
        <f>IFERROR(AD5*(1+INDEX(CAGR!$C$51:$C$57,MATCH($A5,CAGR!$B$65:$B$71,0))),0)</f>
        <v>1.6071900730537322E-3</v>
      </c>
      <c r="AF5" s="14">
        <f>IFERROR(AE5*(1+INDEX(CAGR!$C$51:$C$57,MATCH($A5,CAGR!$B$65:$B$71,0))),0)</f>
        <v>1.6088256582631483E-3</v>
      </c>
    </row>
    <row r="6" spans="1:32">
      <c r="A6" s="1" t="s">
        <v>13</v>
      </c>
      <c r="B6">
        <f>IFERROR(INDEX('SYFAFE frgt'!$B$6:$H$6,,MATCH($A6,'SYFAFE frgt'!$B$1:$H$1,0))*(1+INDEX(CAGR!$C$65:$C$71,MATCH($A6,CAGR!$B$65:$B$71,0))),0)</f>
        <v>0</v>
      </c>
      <c r="C6">
        <f>IFERROR(INDEX('SYFAFE frgt'!$B$6:$H$6,,MATCH($A6,'SYFAFE frgt'!$B$1:$H$1,0))*(1+INDEX(CAGR!$C$51:$C$57,MATCH($A6,CAGR!$B$65:$B$71,0))),0)</f>
        <v>0</v>
      </c>
      <c r="D6">
        <f>IFERROR(INDEX('SYFAFE frgt'!$B$6:$H$6,,MATCH($A6,'SYFAFE frgt'!$B$1:$H$1,0))*(1+INDEX(CAGR!$C$51:$C$57,MATCH($A6,CAGR!$B$65:$B$71,0))),0)</f>
        <v>0</v>
      </c>
      <c r="E6">
        <f>IFERROR(INDEX('SYFAFE frgt'!$B$6:$H$6,,MATCH($A6,'SYFAFE frgt'!$B$1:$H$1,0))*(1+INDEX(CAGR!$C$51:$C$57,MATCH($A6,CAGR!$B$65:$B$71,0))),0)</f>
        <v>0</v>
      </c>
      <c r="F6">
        <f>IFERROR(INDEX('SYFAFE frgt'!$B$6:$H$6,,MATCH($A6,'SYFAFE frgt'!$B$1:$H$1,0))*(1+INDEX(CAGR!$C$51:$C$57,MATCH($A6,CAGR!$B$65:$B$71,0))),0)</f>
        <v>0</v>
      </c>
      <c r="G6">
        <f>IFERROR(INDEX('SYFAFE frgt'!$B$6:$H$6,,MATCH($A6,'SYFAFE frgt'!$B$1:$H$1,0))*(1+INDEX(CAGR!$C$51:$C$57,MATCH($A6,CAGR!$B$65:$B$71,0))),0)</f>
        <v>0</v>
      </c>
      <c r="H6">
        <f>IFERROR(INDEX('SYFAFE frgt'!$B$6:$H$6,,MATCH($A6,'SYFAFE frgt'!$B$1:$H$1,0))*(1+INDEX(CAGR!$C$51:$C$57,MATCH($A6,CAGR!$B$65:$B$71,0))),0)</f>
        <v>0</v>
      </c>
      <c r="I6">
        <f>IFERROR(INDEX('SYFAFE frgt'!$B$6:$H$6,,MATCH($A6,'SYFAFE frgt'!$B$1:$H$1,0))*(1+INDEX(CAGR!$C$51:$C$57,MATCH($A6,CAGR!$B$65:$B$71,0))),0)</f>
        <v>0</v>
      </c>
      <c r="J6">
        <f>IFERROR(INDEX('SYFAFE frgt'!$B$6:$H$6,,MATCH($A6,'SYFAFE frgt'!$B$1:$H$1,0))*(1+INDEX(CAGR!$C$51:$C$57,MATCH($A6,CAGR!$B$65:$B$71,0))),0)</f>
        <v>0</v>
      </c>
      <c r="K6">
        <f>IFERROR(INDEX('SYFAFE frgt'!$B$6:$H$6,,MATCH($A6,'SYFAFE frgt'!$B$1:$H$1,0))*(1+INDEX(CAGR!$C$51:$C$57,MATCH($A6,CAGR!$B$65:$B$71,0))),0)</f>
        <v>0</v>
      </c>
      <c r="L6">
        <f>IFERROR(INDEX('SYFAFE frgt'!$B$6:$H$6,,MATCH($A6,'SYFAFE frgt'!$B$1:$H$1,0))*(1+INDEX(CAGR!$C$51:$C$57,MATCH($A6,CAGR!$B$65:$B$71,0))),0)</f>
        <v>0</v>
      </c>
      <c r="M6">
        <f>IFERROR(INDEX('SYFAFE frgt'!$B$6:$H$6,,MATCH($A6,'SYFAFE frgt'!$B$1:$H$1,0))*(1+INDEX(CAGR!$C$51:$C$57,MATCH($A6,CAGR!$B$65:$B$71,0))),0)</f>
        <v>0</v>
      </c>
      <c r="N6">
        <f>IFERROR(INDEX('SYFAFE frgt'!$B$6:$H$6,,MATCH($A6,'SYFAFE frgt'!$B$1:$H$1,0))*(1+INDEX(CAGR!$C$51:$C$57,MATCH($A6,CAGR!$B$65:$B$71,0))),0)</f>
        <v>0</v>
      </c>
      <c r="O6">
        <f>IFERROR(INDEX('SYFAFE frgt'!$B$6:$H$6,,MATCH($A6,'SYFAFE frgt'!$B$1:$H$1,0))*(1+INDEX(CAGR!$C$51:$C$57,MATCH($A6,CAGR!$B$65:$B$71,0))),0)</f>
        <v>0</v>
      </c>
      <c r="P6">
        <f>IFERROR(INDEX('SYFAFE frgt'!$B$6:$H$6,,MATCH($A6,'SYFAFE frgt'!$B$1:$H$1,0))*(1+INDEX(CAGR!$C$51:$C$57,MATCH($A6,CAGR!$B$65:$B$71,0))),0)</f>
        <v>0</v>
      </c>
      <c r="Q6">
        <f>IFERROR(INDEX('SYFAFE frgt'!$B$6:$H$6,,MATCH($A6,'SYFAFE frgt'!$B$1:$H$1,0))*(1+INDEX(CAGR!$C$51:$C$57,MATCH($A6,CAGR!$B$65:$B$71,0))),0)</f>
        <v>0</v>
      </c>
      <c r="R6">
        <f>IFERROR(INDEX('SYFAFE frgt'!$B$6:$H$6,,MATCH($A6,'SYFAFE frgt'!$B$1:$H$1,0))*(1+INDEX(CAGR!$C$51:$C$57,MATCH($A6,CAGR!$B$65:$B$71,0))),0)</f>
        <v>0</v>
      </c>
      <c r="S6">
        <f>IFERROR(INDEX('SYFAFE frgt'!$B$6:$H$6,,MATCH($A6,'SYFAFE frgt'!$B$1:$H$1,0))*(1+INDEX(CAGR!$C$51:$C$57,MATCH($A6,CAGR!$B$65:$B$71,0))),0)</f>
        <v>0</v>
      </c>
      <c r="T6">
        <f>IFERROR(INDEX('SYFAFE frgt'!$B$6:$H$6,,MATCH($A6,'SYFAFE frgt'!$B$1:$H$1,0))*(1+INDEX(CAGR!$C$51:$C$57,MATCH($A6,CAGR!$B$65:$B$71,0))),0)</f>
        <v>0</v>
      </c>
      <c r="U6">
        <f>IFERROR(INDEX('SYFAFE frgt'!$B$6:$H$6,,MATCH($A6,'SYFAFE frgt'!$B$1:$H$1,0))*(1+INDEX(CAGR!$C$51:$C$57,MATCH($A6,CAGR!$B$65:$B$71,0))),0)</f>
        <v>0</v>
      </c>
      <c r="V6">
        <f>IFERROR(INDEX('SYFAFE frgt'!$B$6:$H$6,,MATCH($A6,'SYFAFE frgt'!$B$1:$H$1,0))*(1+INDEX(CAGR!$C$51:$C$57,MATCH($A6,CAGR!$B$65:$B$71,0))),0)</f>
        <v>0</v>
      </c>
      <c r="W6">
        <f>IFERROR(INDEX('SYFAFE frgt'!$B$6:$H$6,,MATCH($A6,'SYFAFE frgt'!$B$1:$H$1,0))*(1+INDEX(CAGR!$C$51:$C$57,MATCH($A6,CAGR!$B$65:$B$71,0))),0)</f>
        <v>0</v>
      </c>
      <c r="X6">
        <f>IFERROR(INDEX('SYFAFE frgt'!$B$6:$H$6,,MATCH($A6,'SYFAFE frgt'!$B$1:$H$1,0))*(1+INDEX(CAGR!$C$51:$C$57,MATCH($A6,CAGR!$B$65:$B$71,0))),0)</f>
        <v>0</v>
      </c>
      <c r="Y6">
        <f>IFERROR(INDEX('SYFAFE frgt'!$B$6:$H$6,,MATCH($A6,'SYFAFE frgt'!$B$1:$H$1,0))*(1+INDEX(CAGR!$C$51:$C$57,MATCH($A6,CAGR!$B$65:$B$71,0))),0)</f>
        <v>0</v>
      </c>
      <c r="Z6">
        <f>IFERROR(INDEX('SYFAFE frgt'!$B$6:$H$6,,MATCH($A6,'SYFAFE frgt'!$B$1:$H$1,0))*(1+INDEX(CAGR!$C$51:$C$57,MATCH($A6,CAGR!$B$65:$B$71,0))),0)</f>
        <v>0</v>
      </c>
      <c r="AA6">
        <f>IFERROR(INDEX('SYFAFE frgt'!$B$6:$H$6,,MATCH($A6,'SYFAFE frgt'!$B$1:$H$1,0))*(1+INDEX(CAGR!$C$51:$C$57,MATCH($A6,CAGR!$B$65:$B$71,0))),0)</f>
        <v>0</v>
      </c>
      <c r="AB6">
        <f>IFERROR(INDEX('SYFAFE frgt'!$B$6:$H$6,,MATCH($A6,'SYFAFE frgt'!$B$1:$H$1,0))*(1+INDEX(CAGR!$C$51:$C$57,MATCH($A6,CAGR!$B$65:$B$71,0))),0)</f>
        <v>0</v>
      </c>
      <c r="AC6">
        <f>IFERROR(INDEX('SYFAFE frgt'!$B$6:$H$6,,MATCH($A6,'SYFAFE frgt'!$B$1:$H$1,0))*(1+INDEX(CAGR!$C$51:$C$57,MATCH($A6,CAGR!$B$65:$B$71,0))),0)</f>
        <v>0</v>
      </c>
      <c r="AD6">
        <f>IFERROR(INDEX('SYFAFE frgt'!$B$6:$H$6,,MATCH($A6,'SYFAFE frgt'!$B$1:$H$1,0))*(1+INDEX(CAGR!$C$51:$C$57,MATCH($A6,CAGR!$B$65:$B$71,0))),0)</f>
        <v>0</v>
      </c>
      <c r="AE6">
        <f>IFERROR(INDEX('SYFAFE frgt'!$B$6:$H$6,,MATCH($A6,'SYFAFE frgt'!$B$1:$H$1,0))*(1+INDEX(CAGR!$C$51:$C$57,MATCH($A6,CAGR!$B$65:$B$71,0))),0)</f>
        <v>0</v>
      </c>
      <c r="AF6">
        <f>IFERROR(INDEX('SYFAFE frgt'!$B$6:$H$6,,MATCH($A6,'SYFAFE frgt'!$B$1:$H$1,0))*(1+INDEX(CAGR!$C$51:$C$57,MATCH($A6,CAGR!$B$65:$B$71,0))),0)</f>
        <v>0</v>
      </c>
    </row>
    <row r="7" spans="1:32">
      <c r="A7" s="1" t="s">
        <v>14</v>
      </c>
      <c r="B7">
        <f>IFERROR(INDEX('SYFAFE frgt'!$B$6:$H$6,,MATCH($A7,'SYFAFE frgt'!$B$1:$H$1,0))*(1+INDEX(CAGR!$C$65:$C$71,MATCH($A7,CAGR!$B$65:$B$71,0))),0)</f>
        <v>0</v>
      </c>
      <c r="C7">
        <f>IFERROR(INDEX('SYFAFE frgt'!$B$6:$H$6,,MATCH($A7,'SYFAFE frgt'!$B$1:$H$1,0))*(1+INDEX(CAGR!$C$51:$C$57,MATCH($A7,CAGR!$B$65:$B$71,0))),0)</f>
        <v>0</v>
      </c>
      <c r="D7">
        <f>IFERROR(INDEX('SYFAFE frgt'!$B$6:$H$6,,MATCH($A7,'SYFAFE frgt'!$B$1:$H$1,0))*(1+INDEX(CAGR!$C$51:$C$57,MATCH($A7,CAGR!$B$65:$B$71,0))),0)</f>
        <v>0</v>
      </c>
      <c r="E7">
        <f>IFERROR(INDEX('SYFAFE frgt'!$B$6:$H$6,,MATCH($A7,'SYFAFE frgt'!$B$1:$H$1,0))*(1+INDEX(CAGR!$C$51:$C$57,MATCH($A7,CAGR!$B$65:$B$71,0))),0)</f>
        <v>0</v>
      </c>
      <c r="F7">
        <f>IFERROR(INDEX('SYFAFE frgt'!$B$6:$H$6,,MATCH($A7,'SYFAFE frgt'!$B$1:$H$1,0))*(1+INDEX(CAGR!$C$51:$C$57,MATCH($A7,CAGR!$B$65:$B$71,0))),0)</f>
        <v>0</v>
      </c>
      <c r="G7">
        <f>IFERROR(INDEX('SYFAFE frgt'!$B$6:$H$6,,MATCH($A7,'SYFAFE frgt'!$B$1:$H$1,0))*(1+INDEX(CAGR!$C$51:$C$57,MATCH($A7,CAGR!$B$65:$B$71,0))),0)</f>
        <v>0</v>
      </c>
      <c r="H7">
        <f>IFERROR(INDEX('SYFAFE frgt'!$B$6:$H$6,,MATCH($A7,'SYFAFE frgt'!$B$1:$H$1,0))*(1+INDEX(CAGR!$C$51:$C$57,MATCH($A7,CAGR!$B$65:$B$71,0))),0)</f>
        <v>0</v>
      </c>
      <c r="I7">
        <f>IFERROR(INDEX('SYFAFE frgt'!$B$6:$H$6,,MATCH($A7,'SYFAFE frgt'!$B$1:$H$1,0))*(1+INDEX(CAGR!$C$51:$C$57,MATCH($A7,CAGR!$B$65:$B$71,0))),0)</f>
        <v>0</v>
      </c>
      <c r="J7">
        <f>IFERROR(INDEX('SYFAFE frgt'!$B$6:$H$6,,MATCH($A7,'SYFAFE frgt'!$B$1:$H$1,0))*(1+INDEX(CAGR!$C$51:$C$57,MATCH($A7,CAGR!$B$65:$B$71,0))),0)</f>
        <v>0</v>
      </c>
      <c r="K7">
        <f>IFERROR(INDEX('SYFAFE frgt'!$B$6:$H$6,,MATCH($A7,'SYFAFE frgt'!$B$1:$H$1,0))*(1+INDEX(CAGR!$C$51:$C$57,MATCH($A7,CAGR!$B$65:$B$71,0))),0)</f>
        <v>0</v>
      </c>
      <c r="L7">
        <f>IFERROR(INDEX('SYFAFE frgt'!$B$6:$H$6,,MATCH($A7,'SYFAFE frgt'!$B$1:$H$1,0))*(1+INDEX(CAGR!$C$51:$C$57,MATCH($A7,CAGR!$B$65:$B$71,0))),0)</f>
        <v>0</v>
      </c>
      <c r="M7">
        <f>IFERROR(INDEX('SYFAFE frgt'!$B$6:$H$6,,MATCH($A7,'SYFAFE frgt'!$B$1:$H$1,0))*(1+INDEX(CAGR!$C$51:$C$57,MATCH($A7,CAGR!$B$65:$B$71,0))),0)</f>
        <v>0</v>
      </c>
      <c r="N7">
        <f>IFERROR(INDEX('SYFAFE frgt'!$B$6:$H$6,,MATCH($A7,'SYFAFE frgt'!$B$1:$H$1,0))*(1+INDEX(CAGR!$C$51:$C$57,MATCH($A7,CAGR!$B$65:$B$71,0))),0)</f>
        <v>0</v>
      </c>
      <c r="O7">
        <f>IFERROR(INDEX('SYFAFE frgt'!$B$6:$H$6,,MATCH($A7,'SYFAFE frgt'!$B$1:$H$1,0))*(1+INDEX(CAGR!$C$51:$C$57,MATCH($A7,CAGR!$B$65:$B$71,0))),0)</f>
        <v>0</v>
      </c>
      <c r="P7">
        <f>IFERROR(INDEX('SYFAFE frgt'!$B$6:$H$6,,MATCH($A7,'SYFAFE frgt'!$B$1:$H$1,0))*(1+INDEX(CAGR!$C$51:$C$57,MATCH($A7,CAGR!$B$65:$B$71,0))),0)</f>
        <v>0</v>
      </c>
      <c r="Q7">
        <f>IFERROR(INDEX('SYFAFE frgt'!$B$6:$H$6,,MATCH($A7,'SYFAFE frgt'!$B$1:$H$1,0))*(1+INDEX(CAGR!$C$51:$C$57,MATCH($A7,CAGR!$B$65:$B$71,0))),0)</f>
        <v>0</v>
      </c>
      <c r="R7">
        <f>IFERROR(INDEX('SYFAFE frgt'!$B$6:$H$6,,MATCH($A7,'SYFAFE frgt'!$B$1:$H$1,0))*(1+INDEX(CAGR!$C$51:$C$57,MATCH($A7,CAGR!$B$65:$B$71,0))),0)</f>
        <v>0</v>
      </c>
      <c r="S7">
        <f>IFERROR(INDEX('SYFAFE frgt'!$B$6:$H$6,,MATCH($A7,'SYFAFE frgt'!$B$1:$H$1,0))*(1+INDEX(CAGR!$C$51:$C$57,MATCH($A7,CAGR!$B$65:$B$71,0))),0)</f>
        <v>0</v>
      </c>
      <c r="T7">
        <f>IFERROR(INDEX('SYFAFE frgt'!$B$6:$H$6,,MATCH($A7,'SYFAFE frgt'!$B$1:$H$1,0))*(1+INDEX(CAGR!$C$51:$C$57,MATCH($A7,CAGR!$B$65:$B$71,0))),0)</f>
        <v>0</v>
      </c>
      <c r="U7">
        <f>IFERROR(INDEX('SYFAFE frgt'!$B$6:$H$6,,MATCH($A7,'SYFAFE frgt'!$B$1:$H$1,0))*(1+INDEX(CAGR!$C$51:$C$57,MATCH($A7,CAGR!$B$65:$B$71,0))),0)</f>
        <v>0</v>
      </c>
      <c r="V7">
        <f>IFERROR(INDEX('SYFAFE frgt'!$B$6:$H$6,,MATCH($A7,'SYFAFE frgt'!$B$1:$H$1,0))*(1+INDEX(CAGR!$C$51:$C$57,MATCH($A7,CAGR!$B$65:$B$71,0))),0)</f>
        <v>0</v>
      </c>
      <c r="W7">
        <f>IFERROR(INDEX('SYFAFE frgt'!$B$6:$H$6,,MATCH($A7,'SYFAFE frgt'!$B$1:$H$1,0))*(1+INDEX(CAGR!$C$51:$C$57,MATCH($A7,CAGR!$B$65:$B$71,0))),0)</f>
        <v>0</v>
      </c>
      <c r="X7">
        <f>IFERROR(INDEX('SYFAFE frgt'!$B$6:$H$6,,MATCH($A7,'SYFAFE frgt'!$B$1:$H$1,0))*(1+INDEX(CAGR!$C$51:$C$57,MATCH($A7,CAGR!$B$65:$B$71,0))),0)</f>
        <v>0</v>
      </c>
      <c r="Y7">
        <f>IFERROR(INDEX('SYFAFE frgt'!$B$6:$H$6,,MATCH($A7,'SYFAFE frgt'!$B$1:$H$1,0))*(1+INDEX(CAGR!$C$51:$C$57,MATCH($A7,CAGR!$B$65:$B$71,0))),0)</f>
        <v>0</v>
      </c>
      <c r="Z7">
        <f>IFERROR(INDEX('SYFAFE frgt'!$B$6:$H$6,,MATCH($A7,'SYFAFE frgt'!$B$1:$H$1,0))*(1+INDEX(CAGR!$C$51:$C$57,MATCH($A7,CAGR!$B$65:$B$71,0))),0)</f>
        <v>0</v>
      </c>
      <c r="AA7">
        <f>IFERROR(INDEX('SYFAFE frgt'!$B$6:$H$6,,MATCH($A7,'SYFAFE frgt'!$B$1:$H$1,0))*(1+INDEX(CAGR!$C$51:$C$57,MATCH($A7,CAGR!$B$65:$B$71,0))),0)</f>
        <v>0</v>
      </c>
      <c r="AB7">
        <f>IFERROR(INDEX('SYFAFE frgt'!$B$6:$H$6,,MATCH($A7,'SYFAFE frgt'!$B$1:$H$1,0))*(1+INDEX(CAGR!$C$51:$C$57,MATCH($A7,CAGR!$B$65:$B$71,0))),0)</f>
        <v>0</v>
      </c>
      <c r="AC7">
        <f>IFERROR(INDEX('SYFAFE frgt'!$B$6:$H$6,,MATCH($A7,'SYFAFE frgt'!$B$1:$H$1,0))*(1+INDEX(CAGR!$C$51:$C$57,MATCH($A7,CAGR!$B$65:$B$71,0))),0)</f>
        <v>0</v>
      </c>
      <c r="AD7">
        <f>IFERROR(INDEX('SYFAFE frgt'!$B$6:$H$6,,MATCH($A7,'SYFAFE frgt'!$B$1:$H$1,0))*(1+INDEX(CAGR!$C$51:$C$57,MATCH($A7,CAGR!$B$65:$B$71,0))),0)</f>
        <v>0</v>
      </c>
      <c r="AE7">
        <f>IFERROR(INDEX('SYFAFE frgt'!$B$6:$H$6,,MATCH($A7,'SYFAFE frgt'!$B$1:$H$1,0))*(1+INDEX(CAGR!$C$51:$C$57,MATCH($A7,CAGR!$B$65:$B$71,0))),0)</f>
        <v>0</v>
      </c>
      <c r="AF7">
        <f>IFERROR(INDEX('SYFAFE frgt'!$B$6:$H$6,,MATCH($A7,'SYFAFE frgt'!$B$1:$H$1,0))*(1+INDEX(CAGR!$C$51:$C$57,MATCH($A7,CAGR!$B$65:$B$71,0))),0)</f>
        <v>0</v>
      </c>
    </row>
    <row r="8" spans="1:32">
      <c r="A8" s="1" t="s">
        <v>15</v>
      </c>
      <c r="B8" s="13">
        <f>B5*Calibration!$D$44</f>
        <v>4.6814237976017525E-3</v>
      </c>
      <c r="C8" s="13">
        <f>B8*(1+CAGR!$C$71)</f>
        <v>4.6983215749806248E-3</v>
      </c>
      <c r="D8" s="13">
        <f>C8*(1+CAGR!$C$71)</f>
        <v>4.715280345530099E-3</v>
      </c>
      <c r="E8" s="13">
        <f>D8*(1+CAGR!$C$71)</f>
        <v>4.7323003294073452E-3</v>
      </c>
      <c r="F8" s="13">
        <f>E8*(1+CAGR!$C$71)</f>
        <v>4.7493817475642002E-3</v>
      </c>
      <c r="G8" s="13">
        <f>F8*(1+CAGR!$C$71)</f>
        <v>4.7665248217500346E-3</v>
      </c>
      <c r="H8" s="13">
        <f>G8*(1+CAGR!$C$71)</f>
        <v>4.7837297745146317E-3</v>
      </c>
      <c r="I8" s="13">
        <f>H8*(1+CAGR!$C$71)</f>
        <v>4.8009968292110775E-3</v>
      </c>
      <c r="J8" s="13">
        <f>I8*(1+CAGR!$C$71)</f>
        <v>4.8183262099986577E-3</v>
      </c>
      <c r="K8" s="13">
        <f>J8*(1+CAGR!$C$71)</f>
        <v>4.8357181418457705E-3</v>
      </c>
      <c r="L8" s="13">
        <f>K8*(1+CAGR!$C$71)</f>
        <v>4.8531728505328466E-3</v>
      </c>
      <c r="M8" s="13">
        <f>L8*(1+CAGR!$C$71)</f>
        <v>4.8706905626552787E-3</v>
      </c>
      <c r="N8" s="13">
        <f>M8*(1+CAGR!$C$71)</f>
        <v>4.888271505626365E-3</v>
      </c>
      <c r="O8" s="13">
        <f>N8*(1+CAGR!$C$71)</f>
        <v>4.9059159076802602E-3</v>
      </c>
      <c r="P8" s="13">
        <f>O8*(1+CAGR!$C$71)</f>
        <v>4.9236239978749392E-3</v>
      </c>
      <c r="Q8" s="13">
        <f>P8*(1+CAGR!$C$71)</f>
        <v>4.9413960060951702E-3</v>
      </c>
      <c r="R8" s="13">
        <f>Q8*(1+CAGR!$C$71)</f>
        <v>4.9592321630554988E-3</v>
      </c>
      <c r="S8" s="13">
        <f>R8*(1+CAGR!$C$71)</f>
        <v>4.9771327003032446E-3</v>
      </c>
      <c r="T8" s="13">
        <f>S8*(1+CAGR!$C$71)</f>
        <v>4.9950978502215056E-3</v>
      </c>
      <c r="U8" s="13">
        <f>T8*(1+CAGR!$C$71)</f>
        <v>5.0131278460321749E-3</v>
      </c>
      <c r="V8" s="13">
        <f>U8*(1+CAGR!$C$71)</f>
        <v>5.0312229217989689E-3</v>
      </c>
      <c r="W8" s="13">
        <f>V8*(1+CAGR!$C$71)</f>
        <v>5.0493833124304671E-3</v>
      </c>
      <c r="X8" s="13">
        <f>W8*(1+CAGR!$C$71)</f>
        <v>5.0676092536831585E-3</v>
      </c>
      <c r="Y8" s="13">
        <f>X8*(1+CAGR!$C$71)</f>
        <v>5.0859009821645059E-3</v>
      </c>
      <c r="Z8" s="13">
        <f>Y8*(1+CAGR!$C$71)</f>
        <v>5.1042587353360156E-3</v>
      </c>
      <c r="AA8" s="13">
        <f>Z8*(1+CAGR!$C$71)</f>
        <v>5.1226827515163187E-3</v>
      </c>
      <c r="AB8" s="13">
        <f>AA8*(1+CAGR!$C$71)</f>
        <v>5.1411732698842683E-3</v>
      </c>
      <c r="AC8" s="13">
        <f>AB8*(1+CAGR!$C$71)</f>
        <v>5.1597305304820415E-3</v>
      </c>
      <c r="AD8" s="13">
        <f>AC8*(1+CAGR!$C$71)</f>
        <v>5.1783547742182577E-3</v>
      </c>
      <c r="AE8" s="13">
        <f>AD8*(1+CAGR!$C$71)</f>
        <v>5.1970462428711037E-3</v>
      </c>
      <c r="AF8" s="13">
        <f>AE8*(1+CAGR!$C$71)</f>
        <v>5.2158051790914747E-3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6ACD-ADD5-4C5E-8F52-5577E5CAE016}">
  <sheetPr>
    <tabColor rgb="FF1F497D"/>
  </sheetPr>
  <dimension ref="A1:AF8"/>
  <sheetViews>
    <sheetView workbookViewId="0"/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13">
        <f>'SYFAFE psgr'!B7</f>
        <v>5.0261148102940046E-3</v>
      </c>
      <c r="C2" s="13">
        <f>B2</f>
        <v>5.0261148102940046E-3</v>
      </c>
      <c r="D2" s="13">
        <f t="shared" ref="D2:AF8" si="0">C2</f>
        <v>5.0261148102940046E-3</v>
      </c>
      <c r="E2" s="13">
        <f t="shared" si="0"/>
        <v>5.0261148102940046E-3</v>
      </c>
      <c r="F2" s="13">
        <f t="shared" si="0"/>
        <v>5.0261148102940046E-3</v>
      </c>
      <c r="G2" s="13">
        <f t="shared" si="0"/>
        <v>5.0261148102940046E-3</v>
      </c>
      <c r="H2" s="13">
        <f t="shared" si="0"/>
        <v>5.0261148102940046E-3</v>
      </c>
      <c r="I2" s="13">
        <f t="shared" si="0"/>
        <v>5.0261148102940046E-3</v>
      </c>
      <c r="J2" s="13">
        <f t="shared" si="0"/>
        <v>5.0261148102940046E-3</v>
      </c>
      <c r="K2" s="13">
        <f t="shared" si="0"/>
        <v>5.0261148102940046E-3</v>
      </c>
      <c r="L2" s="13">
        <f t="shared" si="0"/>
        <v>5.0261148102940046E-3</v>
      </c>
      <c r="M2" s="13">
        <f t="shared" si="0"/>
        <v>5.0261148102940046E-3</v>
      </c>
      <c r="N2" s="13">
        <f t="shared" si="0"/>
        <v>5.0261148102940046E-3</v>
      </c>
      <c r="O2" s="13">
        <f t="shared" si="0"/>
        <v>5.0261148102940046E-3</v>
      </c>
      <c r="P2" s="13">
        <f t="shared" si="0"/>
        <v>5.0261148102940046E-3</v>
      </c>
      <c r="Q2" s="13">
        <f t="shared" si="0"/>
        <v>5.0261148102940046E-3</v>
      </c>
      <c r="R2" s="13">
        <f t="shared" si="0"/>
        <v>5.0261148102940046E-3</v>
      </c>
      <c r="S2" s="13">
        <f t="shared" si="0"/>
        <v>5.0261148102940046E-3</v>
      </c>
      <c r="T2" s="13">
        <f t="shared" si="0"/>
        <v>5.0261148102940046E-3</v>
      </c>
      <c r="U2" s="13">
        <f t="shared" si="0"/>
        <v>5.0261148102940046E-3</v>
      </c>
      <c r="V2" s="13">
        <f t="shared" si="0"/>
        <v>5.0261148102940046E-3</v>
      </c>
      <c r="W2" s="13">
        <f t="shared" si="0"/>
        <v>5.0261148102940046E-3</v>
      </c>
      <c r="X2" s="13">
        <f t="shared" si="0"/>
        <v>5.0261148102940046E-3</v>
      </c>
      <c r="Y2" s="13">
        <f t="shared" si="0"/>
        <v>5.0261148102940046E-3</v>
      </c>
      <c r="Z2" s="13">
        <f t="shared" si="0"/>
        <v>5.0261148102940046E-3</v>
      </c>
      <c r="AA2" s="13">
        <f t="shared" si="0"/>
        <v>5.0261148102940046E-3</v>
      </c>
      <c r="AB2" s="13">
        <f t="shared" si="0"/>
        <v>5.0261148102940046E-3</v>
      </c>
      <c r="AC2" s="13">
        <f t="shared" si="0"/>
        <v>5.0261148102940046E-3</v>
      </c>
      <c r="AD2" s="13">
        <f t="shared" si="0"/>
        <v>5.0261148102940046E-3</v>
      </c>
      <c r="AE2" s="13">
        <f t="shared" si="0"/>
        <v>5.0261148102940046E-3</v>
      </c>
      <c r="AF2" s="13">
        <f t="shared" si="0"/>
        <v>5.0261148102940046E-3</v>
      </c>
    </row>
    <row r="3" spans="1:32">
      <c r="A3" s="1" t="s">
        <v>10</v>
      </c>
      <c r="B3">
        <v>0</v>
      </c>
      <c r="C3" s="13">
        <f t="shared" ref="C3:R8" si="1">B3</f>
        <v>0</v>
      </c>
      <c r="D3" s="13">
        <f t="shared" si="1"/>
        <v>0</v>
      </c>
      <c r="E3" s="13">
        <f t="shared" si="1"/>
        <v>0</v>
      </c>
      <c r="F3" s="13">
        <f t="shared" si="1"/>
        <v>0</v>
      </c>
      <c r="G3" s="13">
        <f t="shared" si="1"/>
        <v>0</v>
      </c>
      <c r="H3" s="13">
        <f t="shared" si="1"/>
        <v>0</v>
      </c>
      <c r="I3" s="13">
        <f t="shared" si="1"/>
        <v>0</v>
      </c>
      <c r="J3" s="13">
        <f t="shared" si="1"/>
        <v>0</v>
      </c>
      <c r="K3" s="13">
        <f t="shared" si="1"/>
        <v>0</v>
      </c>
      <c r="L3" s="13">
        <f t="shared" si="1"/>
        <v>0</v>
      </c>
      <c r="M3" s="13">
        <f t="shared" si="1"/>
        <v>0</v>
      </c>
      <c r="N3" s="13">
        <f t="shared" si="1"/>
        <v>0</v>
      </c>
      <c r="O3" s="13">
        <f t="shared" si="1"/>
        <v>0</v>
      </c>
      <c r="P3" s="13">
        <f t="shared" si="1"/>
        <v>0</v>
      </c>
      <c r="Q3" s="13">
        <f t="shared" si="1"/>
        <v>0</v>
      </c>
      <c r="R3" s="13">
        <f t="shared" si="1"/>
        <v>0</v>
      </c>
      <c r="S3" s="13">
        <f t="shared" si="0"/>
        <v>0</v>
      </c>
      <c r="T3" s="13">
        <f t="shared" si="0"/>
        <v>0</v>
      </c>
      <c r="U3" s="13">
        <f t="shared" si="0"/>
        <v>0</v>
      </c>
      <c r="V3" s="13">
        <f t="shared" si="0"/>
        <v>0</v>
      </c>
      <c r="W3" s="13">
        <f t="shared" si="0"/>
        <v>0</v>
      </c>
      <c r="X3" s="13">
        <f t="shared" si="0"/>
        <v>0</v>
      </c>
      <c r="Y3" s="13">
        <f t="shared" si="0"/>
        <v>0</v>
      </c>
      <c r="Z3" s="13">
        <f t="shared" si="0"/>
        <v>0</v>
      </c>
      <c r="AA3" s="13">
        <f t="shared" si="0"/>
        <v>0</v>
      </c>
      <c r="AB3" s="13">
        <f t="shared" si="0"/>
        <v>0</v>
      </c>
      <c r="AC3" s="13">
        <f t="shared" si="0"/>
        <v>0</v>
      </c>
      <c r="AD3" s="13">
        <f t="shared" si="0"/>
        <v>0</v>
      </c>
      <c r="AE3" s="13">
        <f t="shared" si="0"/>
        <v>0</v>
      </c>
      <c r="AF3" s="13">
        <f t="shared" si="0"/>
        <v>0</v>
      </c>
    </row>
    <row r="4" spans="1:32">
      <c r="A4" s="1" t="s">
        <v>11</v>
      </c>
      <c r="B4" s="21">
        <f>'SYFAFE psgr'!D7</f>
        <v>1.578449279265886E-3</v>
      </c>
      <c r="C4" s="13">
        <f t="shared" si="1"/>
        <v>1.578449279265886E-3</v>
      </c>
      <c r="D4" s="13">
        <f t="shared" si="0"/>
        <v>1.578449279265886E-3</v>
      </c>
      <c r="E4" s="13">
        <f t="shared" si="0"/>
        <v>1.578449279265886E-3</v>
      </c>
      <c r="F4" s="13">
        <f t="shared" si="0"/>
        <v>1.578449279265886E-3</v>
      </c>
      <c r="G4" s="13">
        <f t="shared" si="0"/>
        <v>1.578449279265886E-3</v>
      </c>
      <c r="H4" s="13">
        <f t="shared" si="0"/>
        <v>1.578449279265886E-3</v>
      </c>
      <c r="I4" s="13">
        <f t="shared" si="0"/>
        <v>1.578449279265886E-3</v>
      </c>
      <c r="J4" s="13">
        <f t="shared" si="0"/>
        <v>1.578449279265886E-3</v>
      </c>
      <c r="K4" s="13">
        <f t="shared" si="0"/>
        <v>1.578449279265886E-3</v>
      </c>
      <c r="L4" s="13">
        <f t="shared" si="0"/>
        <v>1.578449279265886E-3</v>
      </c>
      <c r="M4" s="13">
        <f t="shared" si="0"/>
        <v>1.578449279265886E-3</v>
      </c>
      <c r="N4" s="13">
        <f t="shared" si="0"/>
        <v>1.578449279265886E-3</v>
      </c>
      <c r="O4" s="13">
        <f t="shared" si="0"/>
        <v>1.578449279265886E-3</v>
      </c>
      <c r="P4" s="13">
        <f t="shared" si="0"/>
        <v>1.578449279265886E-3</v>
      </c>
      <c r="Q4" s="13">
        <f t="shared" si="0"/>
        <v>1.578449279265886E-3</v>
      </c>
      <c r="R4" s="13">
        <f t="shared" si="0"/>
        <v>1.578449279265886E-3</v>
      </c>
      <c r="S4" s="13">
        <f t="shared" si="0"/>
        <v>1.578449279265886E-3</v>
      </c>
      <c r="T4" s="13">
        <f t="shared" si="0"/>
        <v>1.578449279265886E-3</v>
      </c>
      <c r="U4" s="13">
        <f t="shared" si="0"/>
        <v>1.578449279265886E-3</v>
      </c>
      <c r="V4" s="13">
        <f t="shared" si="0"/>
        <v>1.578449279265886E-3</v>
      </c>
      <c r="W4" s="13">
        <f t="shared" si="0"/>
        <v>1.578449279265886E-3</v>
      </c>
      <c r="X4" s="13">
        <f t="shared" si="0"/>
        <v>1.578449279265886E-3</v>
      </c>
      <c r="Y4" s="13">
        <f t="shared" si="0"/>
        <v>1.578449279265886E-3</v>
      </c>
      <c r="Z4" s="13">
        <f t="shared" si="0"/>
        <v>1.578449279265886E-3</v>
      </c>
      <c r="AA4" s="13">
        <f t="shared" si="0"/>
        <v>1.578449279265886E-3</v>
      </c>
      <c r="AB4" s="13">
        <f t="shared" si="0"/>
        <v>1.578449279265886E-3</v>
      </c>
      <c r="AC4" s="13">
        <f t="shared" si="0"/>
        <v>1.578449279265886E-3</v>
      </c>
      <c r="AD4" s="13">
        <f t="shared" si="0"/>
        <v>1.578449279265886E-3</v>
      </c>
      <c r="AE4" s="13">
        <f t="shared" si="0"/>
        <v>1.578449279265886E-3</v>
      </c>
      <c r="AF4" s="13">
        <f t="shared" si="0"/>
        <v>1.578449279265886E-3</v>
      </c>
    </row>
    <row r="5" spans="1:32">
      <c r="A5" s="1" t="s">
        <v>12</v>
      </c>
      <c r="B5">
        <v>0</v>
      </c>
      <c r="C5" s="13">
        <f t="shared" si="1"/>
        <v>0</v>
      </c>
      <c r="D5" s="13">
        <f t="shared" si="0"/>
        <v>0</v>
      </c>
      <c r="E5" s="13">
        <f t="shared" si="0"/>
        <v>0</v>
      </c>
      <c r="F5" s="13">
        <f t="shared" si="0"/>
        <v>0</v>
      </c>
      <c r="G5" s="13">
        <f t="shared" si="0"/>
        <v>0</v>
      </c>
      <c r="H5" s="13">
        <f t="shared" si="0"/>
        <v>0</v>
      </c>
      <c r="I5" s="13">
        <f t="shared" si="0"/>
        <v>0</v>
      </c>
      <c r="J5" s="13">
        <f t="shared" si="0"/>
        <v>0</v>
      </c>
      <c r="K5" s="13">
        <f t="shared" si="0"/>
        <v>0</v>
      </c>
      <c r="L5" s="13">
        <f t="shared" si="0"/>
        <v>0</v>
      </c>
      <c r="M5" s="13">
        <f t="shared" si="0"/>
        <v>0</v>
      </c>
      <c r="N5" s="13">
        <f t="shared" si="0"/>
        <v>0</v>
      </c>
      <c r="O5" s="13">
        <f t="shared" si="0"/>
        <v>0</v>
      </c>
      <c r="P5" s="13">
        <f t="shared" si="0"/>
        <v>0</v>
      </c>
      <c r="Q5" s="13">
        <f t="shared" si="0"/>
        <v>0</v>
      </c>
      <c r="R5" s="13">
        <f t="shared" si="0"/>
        <v>0</v>
      </c>
      <c r="S5" s="13">
        <f t="shared" si="0"/>
        <v>0</v>
      </c>
      <c r="T5" s="13">
        <f t="shared" si="0"/>
        <v>0</v>
      </c>
      <c r="U5" s="13">
        <f t="shared" si="0"/>
        <v>0</v>
      </c>
      <c r="V5" s="13">
        <f t="shared" si="0"/>
        <v>0</v>
      </c>
      <c r="W5" s="13">
        <f t="shared" si="0"/>
        <v>0</v>
      </c>
      <c r="X5" s="13">
        <f t="shared" si="0"/>
        <v>0</v>
      </c>
      <c r="Y5" s="13">
        <f t="shared" si="0"/>
        <v>0</v>
      </c>
      <c r="Z5" s="13">
        <f t="shared" si="0"/>
        <v>0</v>
      </c>
      <c r="AA5" s="13">
        <f t="shared" si="0"/>
        <v>0</v>
      </c>
      <c r="AB5" s="13">
        <f t="shared" si="0"/>
        <v>0</v>
      </c>
      <c r="AC5" s="13">
        <f t="shared" si="0"/>
        <v>0</v>
      </c>
      <c r="AD5" s="13">
        <f t="shared" si="0"/>
        <v>0</v>
      </c>
      <c r="AE5" s="13">
        <f t="shared" si="0"/>
        <v>0</v>
      </c>
      <c r="AF5" s="13">
        <f t="shared" si="0"/>
        <v>0</v>
      </c>
    </row>
    <row r="6" spans="1:32">
      <c r="A6" s="1" t="s">
        <v>13</v>
      </c>
      <c r="B6">
        <v>0</v>
      </c>
      <c r="C6" s="13">
        <f t="shared" si="1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3">
        <f t="shared" si="0"/>
        <v>0</v>
      </c>
      <c r="J6" s="13">
        <f t="shared" si="0"/>
        <v>0</v>
      </c>
      <c r="K6" s="13">
        <f t="shared" si="0"/>
        <v>0</v>
      </c>
      <c r="L6" s="13">
        <f t="shared" si="0"/>
        <v>0</v>
      </c>
      <c r="M6" s="13">
        <f t="shared" si="0"/>
        <v>0</v>
      </c>
      <c r="N6" s="13">
        <f t="shared" si="0"/>
        <v>0</v>
      </c>
      <c r="O6" s="13">
        <f t="shared" si="0"/>
        <v>0</v>
      </c>
      <c r="P6" s="13">
        <f t="shared" si="0"/>
        <v>0</v>
      </c>
      <c r="Q6" s="13">
        <f t="shared" si="0"/>
        <v>0</v>
      </c>
      <c r="R6" s="13">
        <f t="shared" si="0"/>
        <v>0</v>
      </c>
      <c r="S6" s="13">
        <f t="shared" si="0"/>
        <v>0</v>
      </c>
      <c r="T6" s="13">
        <f t="shared" si="0"/>
        <v>0</v>
      </c>
      <c r="U6" s="13">
        <f t="shared" si="0"/>
        <v>0</v>
      </c>
      <c r="V6" s="13">
        <f t="shared" si="0"/>
        <v>0</v>
      </c>
      <c r="W6" s="13">
        <f t="shared" si="0"/>
        <v>0</v>
      </c>
      <c r="X6" s="13">
        <f t="shared" si="0"/>
        <v>0</v>
      </c>
      <c r="Y6" s="13">
        <f t="shared" si="0"/>
        <v>0</v>
      </c>
      <c r="Z6" s="13">
        <f t="shared" si="0"/>
        <v>0</v>
      </c>
      <c r="AA6" s="13">
        <f t="shared" si="0"/>
        <v>0</v>
      </c>
      <c r="AB6" s="13">
        <f t="shared" si="0"/>
        <v>0</v>
      </c>
      <c r="AC6" s="13">
        <f t="shared" si="0"/>
        <v>0</v>
      </c>
      <c r="AD6" s="13">
        <f t="shared" si="0"/>
        <v>0</v>
      </c>
      <c r="AE6" s="13">
        <f t="shared" si="0"/>
        <v>0</v>
      </c>
      <c r="AF6" s="13">
        <f t="shared" si="0"/>
        <v>0</v>
      </c>
    </row>
    <row r="7" spans="1:32">
      <c r="A7" s="1" t="s">
        <v>14</v>
      </c>
      <c r="B7">
        <v>0</v>
      </c>
      <c r="C7" s="13">
        <f t="shared" si="1"/>
        <v>0</v>
      </c>
      <c r="D7" s="13">
        <f t="shared" si="0"/>
        <v>0</v>
      </c>
      <c r="E7" s="13">
        <f t="shared" si="0"/>
        <v>0</v>
      </c>
      <c r="F7" s="13">
        <f t="shared" si="0"/>
        <v>0</v>
      </c>
      <c r="G7" s="13">
        <f t="shared" si="0"/>
        <v>0</v>
      </c>
      <c r="H7" s="13">
        <f t="shared" si="0"/>
        <v>0</v>
      </c>
      <c r="I7" s="13">
        <f t="shared" si="0"/>
        <v>0</v>
      </c>
      <c r="J7" s="13">
        <f t="shared" si="0"/>
        <v>0</v>
      </c>
      <c r="K7" s="13">
        <f t="shared" si="0"/>
        <v>0</v>
      </c>
      <c r="L7" s="13">
        <f t="shared" si="0"/>
        <v>0</v>
      </c>
      <c r="M7" s="13">
        <f t="shared" si="0"/>
        <v>0</v>
      </c>
      <c r="N7" s="13">
        <f t="shared" si="0"/>
        <v>0</v>
      </c>
      <c r="O7" s="13">
        <f t="shared" si="0"/>
        <v>0</v>
      </c>
      <c r="P7" s="13">
        <f t="shared" si="0"/>
        <v>0</v>
      </c>
      <c r="Q7" s="13">
        <f t="shared" si="0"/>
        <v>0</v>
      </c>
      <c r="R7" s="13">
        <f t="shared" si="0"/>
        <v>0</v>
      </c>
      <c r="S7" s="13">
        <f t="shared" si="0"/>
        <v>0</v>
      </c>
      <c r="T7" s="13">
        <f t="shared" si="0"/>
        <v>0</v>
      </c>
      <c r="U7" s="13">
        <f t="shared" si="0"/>
        <v>0</v>
      </c>
      <c r="V7" s="13">
        <f t="shared" si="0"/>
        <v>0</v>
      </c>
      <c r="W7" s="13">
        <f t="shared" si="0"/>
        <v>0</v>
      </c>
      <c r="X7" s="13">
        <f t="shared" si="0"/>
        <v>0</v>
      </c>
      <c r="Y7" s="13">
        <f t="shared" si="0"/>
        <v>0</v>
      </c>
      <c r="Z7" s="13">
        <f t="shared" si="0"/>
        <v>0</v>
      </c>
      <c r="AA7" s="13">
        <f t="shared" si="0"/>
        <v>0</v>
      </c>
      <c r="AB7" s="13">
        <f t="shared" si="0"/>
        <v>0</v>
      </c>
      <c r="AC7" s="13">
        <f t="shared" si="0"/>
        <v>0</v>
      </c>
      <c r="AD7" s="13">
        <f t="shared" si="0"/>
        <v>0</v>
      </c>
      <c r="AE7" s="13">
        <f t="shared" si="0"/>
        <v>0</v>
      </c>
      <c r="AF7" s="13">
        <f t="shared" si="0"/>
        <v>0</v>
      </c>
    </row>
    <row r="8" spans="1:32">
      <c r="A8" s="1" t="s">
        <v>15</v>
      </c>
      <c r="B8">
        <f>'SYFAFE psgr'!H7</f>
        <v>4.7353478377976568E-3</v>
      </c>
      <c r="C8" s="13">
        <f t="shared" si="1"/>
        <v>4.7353478377976568E-3</v>
      </c>
      <c r="D8" s="13">
        <f t="shared" si="0"/>
        <v>4.7353478377976568E-3</v>
      </c>
      <c r="E8" s="13">
        <f t="shared" si="0"/>
        <v>4.7353478377976568E-3</v>
      </c>
      <c r="F8" s="13">
        <f t="shared" si="0"/>
        <v>4.7353478377976568E-3</v>
      </c>
      <c r="G8" s="13">
        <f t="shared" si="0"/>
        <v>4.7353478377976568E-3</v>
      </c>
      <c r="H8" s="13">
        <f t="shared" si="0"/>
        <v>4.7353478377976568E-3</v>
      </c>
      <c r="I8" s="13">
        <f t="shared" si="0"/>
        <v>4.7353478377976568E-3</v>
      </c>
      <c r="J8" s="13">
        <f t="shared" si="0"/>
        <v>4.7353478377976568E-3</v>
      </c>
      <c r="K8" s="13">
        <f t="shared" si="0"/>
        <v>4.7353478377976568E-3</v>
      </c>
      <c r="L8" s="13">
        <f t="shared" si="0"/>
        <v>4.7353478377976568E-3</v>
      </c>
      <c r="M8" s="13">
        <f t="shared" si="0"/>
        <v>4.7353478377976568E-3</v>
      </c>
      <c r="N8" s="13">
        <f t="shared" si="0"/>
        <v>4.7353478377976568E-3</v>
      </c>
      <c r="O8" s="13">
        <f t="shared" si="0"/>
        <v>4.7353478377976568E-3</v>
      </c>
      <c r="P8" s="13">
        <f t="shared" si="0"/>
        <v>4.7353478377976568E-3</v>
      </c>
      <c r="Q8" s="13">
        <f t="shared" si="0"/>
        <v>4.7353478377976568E-3</v>
      </c>
      <c r="R8" s="13">
        <f t="shared" si="0"/>
        <v>4.7353478377976568E-3</v>
      </c>
      <c r="S8" s="13">
        <f t="shared" si="0"/>
        <v>4.7353478377976568E-3</v>
      </c>
      <c r="T8" s="13">
        <f t="shared" si="0"/>
        <v>4.7353478377976568E-3</v>
      </c>
      <c r="U8" s="13">
        <f t="shared" si="0"/>
        <v>4.7353478377976568E-3</v>
      </c>
      <c r="V8" s="13">
        <f t="shared" si="0"/>
        <v>4.7353478377976568E-3</v>
      </c>
      <c r="W8" s="13">
        <f t="shared" si="0"/>
        <v>4.7353478377976568E-3</v>
      </c>
      <c r="X8" s="13">
        <f t="shared" si="0"/>
        <v>4.7353478377976568E-3</v>
      </c>
      <c r="Y8" s="13">
        <f t="shared" si="0"/>
        <v>4.7353478377976568E-3</v>
      </c>
      <c r="Z8" s="13">
        <f t="shared" si="0"/>
        <v>4.7353478377976568E-3</v>
      </c>
      <c r="AA8" s="13">
        <f t="shared" si="0"/>
        <v>4.7353478377976568E-3</v>
      </c>
      <c r="AB8" s="13">
        <f t="shared" si="0"/>
        <v>4.7353478377976568E-3</v>
      </c>
      <c r="AC8" s="13">
        <f t="shared" si="0"/>
        <v>4.7353478377976568E-3</v>
      </c>
      <c r="AD8" s="13">
        <f t="shared" si="0"/>
        <v>4.7353478377976568E-3</v>
      </c>
      <c r="AE8" s="13">
        <f t="shared" si="0"/>
        <v>4.7353478377976568E-3</v>
      </c>
      <c r="AF8" s="13">
        <f t="shared" si="0"/>
        <v>4.7353478377976568E-3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A9E5-F65D-4793-825C-485F0A205F8F}">
  <sheetPr>
    <tabColor rgb="FF1F497D"/>
  </sheetPr>
  <dimension ref="A1:AF8"/>
  <sheetViews>
    <sheetView workbookViewId="0"/>
  </sheetViews>
  <sheetFormatPr defaultRowHeight="14.5"/>
  <cols>
    <col min="1" max="1" width="32.7265625" bestFit="1" customWidth="1"/>
  </cols>
  <sheetData>
    <row r="1" spans="1:32">
      <c r="A1" s="5" t="s">
        <v>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9</v>
      </c>
      <c r="B2" s="13">
        <f>'SYFAFE frgt'!B7</f>
        <v>0</v>
      </c>
      <c r="C2" s="13">
        <f>B2</f>
        <v>0</v>
      </c>
      <c r="D2" s="13">
        <f t="shared" ref="D2:AF8" si="0">C2</f>
        <v>0</v>
      </c>
      <c r="E2" s="13">
        <f t="shared" si="0"/>
        <v>0</v>
      </c>
      <c r="F2" s="13">
        <f t="shared" si="0"/>
        <v>0</v>
      </c>
      <c r="G2" s="13">
        <f t="shared" si="0"/>
        <v>0</v>
      </c>
      <c r="H2" s="13">
        <f t="shared" si="0"/>
        <v>0</v>
      </c>
      <c r="I2" s="13">
        <f t="shared" si="0"/>
        <v>0</v>
      </c>
      <c r="J2" s="13">
        <f t="shared" si="0"/>
        <v>0</v>
      </c>
      <c r="K2" s="13">
        <f t="shared" si="0"/>
        <v>0</v>
      </c>
      <c r="L2" s="13">
        <f t="shared" si="0"/>
        <v>0</v>
      </c>
      <c r="M2" s="13">
        <f t="shared" si="0"/>
        <v>0</v>
      </c>
      <c r="N2" s="13">
        <f t="shared" si="0"/>
        <v>0</v>
      </c>
      <c r="O2" s="13">
        <f t="shared" si="0"/>
        <v>0</v>
      </c>
      <c r="P2" s="13">
        <f t="shared" si="0"/>
        <v>0</v>
      </c>
      <c r="Q2" s="13">
        <f t="shared" si="0"/>
        <v>0</v>
      </c>
      <c r="R2" s="13">
        <f t="shared" si="0"/>
        <v>0</v>
      </c>
      <c r="S2" s="13">
        <f t="shared" si="0"/>
        <v>0</v>
      </c>
      <c r="T2" s="13">
        <f t="shared" si="0"/>
        <v>0</v>
      </c>
      <c r="U2" s="13">
        <f t="shared" si="0"/>
        <v>0</v>
      </c>
      <c r="V2" s="13">
        <f t="shared" si="0"/>
        <v>0</v>
      </c>
      <c r="W2" s="13">
        <f t="shared" si="0"/>
        <v>0</v>
      </c>
      <c r="X2" s="13">
        <f t="shared" si="0"/>
        <v>0</v>
      </c>
      <c r="Y2" s="13">
        <f t="shared" si="0"/>
        <v>0</v>
      </c>
      <c r="Z2" s="13">
        <f t="shared" si="0"/>
        <v>0</v>
      </c>
      <c r="AA2" s="13">
        <f t="shared" si="0"/>
        <v>0</v>
      </c>
      <c r="AB2" s="13">
        <f t="shared" si="0"/>
        <v>0</v>
      </c>
      <c r="AC2" s="13">
        <f t="shared" si="0"/>
        <v>0</v>
      </c>
      <c r="AD2" s="13">
        <f t="shared" si="0"/>
        <v>0</v>
      </c>
      <c r="AE2" s="13">
        <f t="shared" si="0"/>
        <v>0</v>
      </c>
      <c r="AF2" s="13">
        <f t="shared" si="0"/>
        <v>0</v>
      </c>
    </row>
    <row r="3" spans="1:32">
      <c r="A3" s="1" t="s">
        <v>10</v>
      </c>
      <c r="B3" s="14">
        <f>'BNVFE-motorbikes-psgr'!B3</f>
        <v>0</v>
      </c>
      <c r="C3" s="14">
        <f t="shared" ref="C3:R8" si="1">B3</f>
        <v>0</v>
      </c>
      <c r="D3" s="14">
        <f t="shared" si="1"/>
        <v>0</v>
      </c>
      <c r="E3" s="14">
        <f t="shared" si="1"/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0"/>
        <v>0</v>
      </c>
      <c r="T3" s="14">
        <f t="shared" si="0"/>
        <v>0</v>
      </c>
      <c r="U3" s="14">
        <f t="shared" si="0"/>
        <v>0</v>
      </c>
      <c r="V3" s="14">
        <f t="shared" si="0"/>
        <v>0</v>
      </c>
      <c r="W3" s="14">
        <f t="shared" si="0"/>
        <v>0</v>
      </c>
      <c r="X3" s="14">
        <f t="shared" si="0"/>
        <v>0</v>
      </c>
      <c r="Y3" s="14">
        <f t="shared" si="0"/>
        <v>0</v>
      </c>
      <c r="Z3" s="14">
        <f t="shared" si="0"/>
        <v>0</v>
      </c>
      <c r="AA3" s="14">
        <f t="shared" si="0"/>
        <v>0</v>
      </c>
      <c r="AB3" s="14">
        <f t="shared" si="0"/>
        <v>0</v>
      </c>
      <c r="AC3" s="14">
        <f t="shared" si="0"/>
        <v>0</v>
      </c>
      <c r="AD3" s="14">
        <f t="shared" si="0"/>
        <v>0</v>
      </c>
      <c r="AE3" s="14">
        <f t="shared" si="0"/>
        <v>0</v>
      </c>
      <c r="AF3" s="14">
        <f t="shared" si="0"/>
        <v>0</v>
      </c>
    </row>
    <row r="4" spans="1:32">
      <c r="A4" s="1" t="s">
        <v>11</v>
      </c>
      <c r="B4" s="21">
        <f>'SYFAFE frgt'!D7</f>
        <v>5.983190553484204E-5</v>
      </c>
      <c r="C4" s="21">
        <f t="shared" si="1"/>
        <v>5.983190553484204E-5</v>
      </c>
      <c r="D4" s="21">
        <f t="shared" si="0"/>
        <v>5.983190553484204E-5</v>
      </c>
      <c r="E4" s="21">
        <f t="shared" si="0"/>
        <v>5.983190553484204E-5</v>
      </c>
      <c r="F4" s="21">
        <f t="shared" si="0"/>
        <v>5.983190553484204E-5</v>
      </c>
      <c r="G4" s="21">
        <f t="shared" si="0"/>
        <v>5.983190553484204E-5</v>
      </c>
      <c r="H4" s="21">
        <f t="shared" si="0"/>
        <v>5.983190553484204E-5</v>
      </c>
      <c r="I4" s="21">
        <f t="shared" si="0"/>
        <v>5.983190553484204E-5</v>
      </c>
      <c r="J4" s="21">
        <f t="shared" si="0"/>
        <v>5.983190553484204E-5</v>
      </c>
      <c r="K4" s="21">
        <f t="shared" si="0"/>
        <v>5.983190553484204E-5</v>
      </c>
      <c r="L4" s="21">
        <f t="shared" si="0"/>
        <v>5.983190553484204E-5</v>
      </c>
      <c r="M4" s="21">
        <f t="shared" si="0"/>
        <v>5.983190553484204E-5</v>
      </c>
      <c r="N4" s="21">
        <f t="shared" si="0"/>
        <v>5.983190553484204E-5</v>
      </c>
      <c r="O4" s="21">
        <f t="shared" si="0"/>
        <v>5.983190553484204E-5</v>
      </c>
      <c r="P4" s="21">
        <f t="shared" si="0"/>
        <v>5.983190553484204E-5</v>
      </c>
      <c r="Q4" s="21">
        <f t="shared" si="0"/>
        <v>5.983190553484204E-5</v>
      </c>
      <c r="R4" s="21">
        <f t="shared" si="0"/>
        <v>5.983190553484204E-5</v>
      </c>
      <c r="S4" s="21">
        <f t="shared" si="0"/>
        <v>5.983190553484204E-5</v>
      </c>
      <c r="T4" s="21">
        <f t="shared" si="0"/>
        <v>5.983190553484204E-5</v>
      </c>
      <c r="U4" s="21">
        <f t="shared" si="0"/>
        <v>5.983190553484204E-5</v>
      </c>
      <c r="V4" s="21">
        <f t="shared" si="0"/>
        <v>5.983190553484204E-5</v>
      </c>
      <c r="W4" s="21">
        <f t="shared" si="0"/>
        <v>5.983190553484204E-5</v>
      </c>
      <c r="X4" s="21">
        <f t="shared" si="0"/>
        <v>5.983190553484204E-5</v>
      </c>
      <c r="Y4" s="21">
        <f t="shared" si="0"/>
        <v>5.983190553484204E-5</v>
      </c>
      <c r="Z4" s="21">
        <f t="shared" si="0"/>
        <v>5.983190553484204E-5</v>
      </c>
      <c r="AA4" s="21">
        <f t="shared" si="0"/>
        <v>5.983190553484204E-5</v>
      </c>
      <c r="AB4" s="21">
        <f t="shared" si="0"/>
        <v>5.983190553484204E-5</v>
      </c>
      <c r="AC4" s="21">
        <f t="shared" si="0"/>
        <v>5.983190553484204E-5</v>
      </c>
      <c r="AD4" s="21">
        <f t="shared" si="0"/>
        <v>5.983190553484204E-5</v>
      </c>
      <c r="AE4" s="21">
        <f t="shared" si="0"/>
        <v>5.983190553484204E-5</v>
      </c>
      <c r="AF4" s="21">
        <f t="shared" si="0"/>
        <v>5.983190553484204E-5</v>
      </c>
    </row>
    <row r="5" spans="1:32">
      <c r="A5" s="1" t="s">
        <v>12</v>
      </c>
      <c r="B5" s="14">
        <f>'BNVFE-motorbikes-psgr'!B5</f>
        <v>0</v>
      </c>
      <c r="C5" s="14">
        <f t="shared" si="1"/>
        <v>0</v>
      </c>
      <c r="D5" s="14">
        <f t="shared" si="0"/>
        <v>0</v>
      </c>
      <c r="E5" s="14">
        <f t="shared" si="0"/>
        <v>0</v>
      </c>
      <c r="F5" s="14">
        <f t="shared" si="0"/>
        <v>0</v>
      </c>
      <c r="G5" s="14">
        <f t="shared" si="0"/>
        <v>0</v>
      </c>
      <c r="H5" s="14">
        <f t="shared" si="0"/>
        <v>0</v>
      </c>
      <c r="I5" s="14">
        <f t="shared" si="0"/>
        <v>0</v>
      </c>
      <c r="J5" s="14">
        <f t="shared" si="0"/>
        <v>0</v>
      </c>
      <c r="K5" s="14">
        <f t="shared" si="0"/>
        <v>0</v>
      </c>
      <c r="L5" s="14">
        <f t="shared" si="0"/>
        <v>0</v>
      </c>
      <c r="M5" s="14">
        <f t="shared" si="0"/>
        <v>0</v>
      </c>
      <c r="N5" s="14">
        <f t="shared" si="0"/>
        <v>0</v>
      </c>
      <c r="O5" s="14">
        <f t="shared" si="0"/>
        <v>0</v>
      </c>
      <c r="P5" s="14">
        <f t="shared" si="0"/>
        <v>0</v>
      </c>
      <c r="Q5" s="14">
        <f t="shared" si="0"/>
        <v>0</v>
      </c>
      <c r="R5" s="14">
        <f t="shared" si="0"/>
        <v>0</v>
      </c>
      <c r="S5" s="14">
        <f t="shared" si="0"/>
        <v>0</v>
      </c>
      <c r="T5" s="14">
        <f t="shared" si="0"/>
        <v>0</v>
      </c>
      <c r="U5" s="14">
        <f t="shared" si="0"/>
        <v>0</v>
      </c>
      <c r="V5" s="14">
        <f t="shared" si="0"/>
        <v>0</v>
      </c>
      <c r="W5" s="14">
        <f t="shared" si="0"/>
        <v>0</v>
      </c>
      <c r="X5" s="14">
        <f t="shared" si="0"/>
        <v>0</v>
      </c>
      <c r="Y5" s="14">
        <f t="shared" si="0"/>
        <v>0</v>
      </c>
      <c r="Z5" s="14">
        <f t="shared" si="0"/>
        <v>0</v>
      </c>
      <c r="AA5" s="14">
        <f t="shared" si="0"/>
        <v>0</v>
      </c>
      <c r="AB5" s="14">
        <f t="shared" si="0"/>
        <v>0</v>
      </c>
      <c r="AC5" s="14">
        <f t="shared" si="0"/>
        <v>0</v>
      </c>
      <c r="AD5" s="14">
        <f t="shared" si="0"/>
        <v>0</v>
      </c>
      <c r="AE5" s="14">
        <f t="shared" si="0"/>
        <v>0</v>
      </c>
      <c r="AF5" s="14">
        <f t="shared" si="0"/>
        <v>0</v>
      </c>
    </row>
    <row r="6" spans="1:32">
      <c r="A6" s="1" t="s">
        <v>13</v>
      </c>
      <c r="B6" s="14">
        <f>'BNVFE-motorbikes-psgr'!B6</f>
        <v>0</v>
      </c>
      <c r="C6" s="14">
        <f t="shared" si="1"/>
        <v>0</v>
      </c>
      <c r="D6" s="14">
        <f t="shared" si="0"/>
        <v>0</v>
      </c>
      <c r="E6" s="14">
        <f t="shared" si="0"/>
        <v>0</v>
      </c>
      <c r="F6" s="14">
        <f t="shared" si="0"/>
        <v>0</v>
      </c>
      <c r="G6" s="14">
        <f t="shared" si="0"/>
        <v>0</v>
      </c>
      <c r="H6" s="14">
        <f t="shared" si="0"/>
        <v>0</v>
      </c>
      <c r="I6" s="14">
        <f t="shared" si="0"/>
        <v>0</v>
      </c>
      <c r="J6" s="14">
        <f t="shared" si="0"/>
        <v>0</v>
      </c>
      <c r="K6" s="14">
        <f t="shared" si="0"/>
        <v>0</v>
      </c>
      <c r="L6" s="14">
        <f t="shared" si="0"/>
        <v>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0</v>
      </c>
      <c r="T6" s="14">
        <f t="shared" si="0"/>
        <v>0</v>
      </c>
      <c r="U6" s="14">
        <f t="shared" si="0"/>
        <v>0</v>
      </c>
      <c r="V6" s="14">
        <f t="shared" si="0"/>
        <v>0</v>
      </c>
      <c r="W6" s="14">
        <f t="shared" si="0"/>
        <v>0</v>
      </c>
      <c r="X6" s="14">
        <f t="shared" si="0"/>
        <v>0</v>
      </c>
      <c r="Y6" s="14">
        <f t="shared" si="0"/>
        <v>0</v>
      </c>
      <c r="Z6" s="14">
        <f t="shared" si="0"/>
        <v>0</v>
      </c>
      <c r="AA6" s="14">
        <f t="shared" si="0"/>
        <v>0</v>
      </c>
      <c r="AB6" s="14">
        <f t="shared" si="0"/>
        <v>0</v>
      </c>
      <c r="AC6" s="14">
        <f t="shared" si="0"/>
        <v>0</v>
      </c>
      <c r="AD6" s="14">
        <f t="shared" si="0"/>
        <v>0</v>
      </c>
      <c r="AE6" s="14">
        <f t="shared" si="0"/>
        <v>0</v>
      </c>
      <c r="AF6" s="14">
        <f t="shared" si="0"/>
        <v>0</v>
      </c>
    </row>
    <row r="7" spans="1:32">
      <c r="A7" s="1" t="s">
        <v>14</v>
      </c>
      <c r="B7" s="14">
        <f>'BNVFE-motorbikes-psgr'!B7</f>
        <v>0</v>
      </c>
      <c r="C7" s="14">
        <f t="shared" si="1"/>
        <v>0</v>
      </c>
      <c r="D7" s="14">
        <f t="shared" si="0"/>
        <v>0</v>
      </c>
      <c r="E7" s="14">
        <f t="shared" si="0"/>
        <v>0</v>
      </c>
      <c r="F7" s="14">
        <f t="shared" si="0"/>
        <v>0</v>
      </c>
      <c r="G7" s="14">
        <f t="shared" si="0"/>
        <v>0</v>
      </c>
      <c r="H7" s="14">
        <f t="shared" si="0"/>
        <v>0</v>
      </c>
      <c r="I7" s="14">
        <f t="shared" si="0"/>
        <v>0</v>
      </c>
      <c r="J7" s="14">
        <f t="shared" si="0"/>
        <v>0</v>
      </c>
      <c r="K7" s="14">
        <f t="shared" si="0"/>
        <v>0</v>
      </c>
      <c r="L7" s="14">
        <f t="shared" si="0"/>
        <v>0</v>
      </c>
      <c r="M7" s="14">
        <f t="shared" si="0"/>
        <v>0</v>
      </c>
      <c r="N7" s="14">
        <f t="shared" si="0"/>
        <v>0</v>
      </c>
      <c r="O7" s="14">
        <f t="shared" si="0"/>
        <v>0</v>
      </c>
      <c r="P7" s="14">
        <f t="shared" si="0"/>
        <v>0</v>
      </c>
      <c r="Q7" s="14">
        <f t="shared" si="0"/>
        <v>0</v>
      </c>
      <c r="R7" s="14">
        <f t="shared" si="0"/>
        <v>0</v>
      </c>
      <c r="S7" s="14">
        <f t="shared" si="0"/>
        <v>0</v>
      </c>
      <c r="T7" s="14">
        <f t="shared" si="0"/>
        <v>0</v>
      </c>
      <c r="U7" s="14">
        <f t="shared" si="0"/>
        <v>0</v>
      </c>
      <c r="V7" s="14">
        <f t="shared" si="0"/>
        <v>0</v>
      </c>
      <c r="W7" s="14">
        <f t="shared" si="0"/>
        <v>0</v>
      </c>
      <c r="X7" s="14">
        <f t="shared" si="0"/>
        <v>0</v>
      </c>
      <c r="Y7" s="14">
        <f t="shared" si="0"/>
        <v>0</v>
      </c>
      <c r="Z7" s="14">
        <f t="shared" si="0"/>
        <v>0</v>
      </c>
      <c r="AA7" s="14">
        <f t="shared" si="0"/>
        <v>0</v>
      </c>
      <c r="AB7" s="14">
        <f t="shared" si="0"/>
        <v>0</v>
      </c>
      <c r="AC7" s="14">
        <f t="shared" si="0"/>
        <v>0</v>
      </c>
      <c r="AD7" s="14">
        <f t="shared" si="0"/>
        <v>0</v>
      </c>
      <c r="AE7" s="14">
        <f t="shared" si="0"/>
        <v>0</v>
      </c>
      <c r="AF7" s="14">
        <f t="shared" si="0"/>
        <v>0</v>
      </c>
    </row>
    <row r="8" spans="1:32">
      <c r="A8" s="1" t="s">
        <v>15</v>
      </c>
      <c r="B8" s="14">
        <f>'SYFAFE frgt'!H7</f>
        <v>0</v>
      </c>
      <c r="C8" s="14">
        <f t="shared" si="1"/>
        <v>0</v>
      </c>
      <c r="D8" s="14">
        <f t="shared" si="0"/>
        <v>0</v>
      </c>
      <c r="E8" s="14">
        <f t="shared" si="0"/>
        <v>0</v>
      </c>
      <c r="F8" s="14">
        <f t="shared" si="0"/>
        <v>0</v>
      </c>
      <c r="G8" s="14">
        <f t="shared" si="0"/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</v>
      </c>
      <c r="P8" s="14">
        <f t="shared" si="0"/>
        <v>0</v>
      </c>
      <c r="Q8" s="14">
        <f t="shared" si="0"/>
        <v>0</v>
      </c>
      <c r="R8" s="14">
        <f t="shared" si="0"/>
        <v>0</v>
      </c>
      <c r="S8" s="14">
        <f t="shared" si="0"/>
        <v>0</v>
      </c>
      <c r="T8" s="14">
        <f t="shared" si="0"/>
        <v>0</v>
      </c>
      <c r="U8" s="14">
        <f t="shared" si="0"/>
        <v>0</v>
      </c>
      <c r="V8" s="14">
        <f t="shared" si="0"/>
        <v>0</v>
      </c>
      <c r="W8" s="14">
        <f t="shared" si="0"/>
        <v>0</v>
      </c>
      <c r="X8" s="14">
        <f t="shared" si="0"/>
        <v>0</v>
      </c>
      <c r="Y8" s="14">
        <f t="shared" si="0"/>
        <v>0</v>
      </c>
      <c r="Z8" s="14">
        <f t="shared" si="0"/>
        <v>0</v>
      </c>
      <c r="AA8" s="14">
        <f t="shared" si="0"/>
        <v>0</v>
      </c>
      <c r="AB8" s="14">
        <f t="shared" si="0"/>
        <v>0</v>
      </c>
      <c r="AC8" s="14">
        <f t="shared" si="0"/>
        <v>0</v>
      </c>
      <c r="AD8" s="14">
        <f t="shared" si="0"/>
        <v>0</v>
      </c>
      <c r="AE8" s="14">
        <f t="shared" si="0"/>
        <v>0</v>
      </c>
      <c r="AF8" s="14">
        <f t="shared" si="0"/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954CBA-CC49-4137-B897-2F07557F3495}">
  <ds:schemaRefs>
    <ds:schemaRef ds:uri="http://schemas.microsoft.com/office/infopath/2007/PartnerControls"/>
    <ds:schemaRef ds:uri="http://schemas.microsoft.com/office/2006/documentManagement/types"/>
    <ds:schemaRef ds:uri="40f4d404-d193-41dc-bb72-733c1e774208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3097742-8605-4D00-9519-07E7CAC067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E16404-9CDB-444B-B1EF-816DE1AF28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About</vt:lpstr>
      <vt:lpstr>SYFAFE psgr</vt:lpstr>
      <vt:lpstr>SYFAFE frgt</vt:lpstr>
      <vt:lpstr>US-LDVs-psgr</vt:lpstr>
      <vt:lpstr>US-LDVs-frgt</vt:lpstr>
      <vt:lpstr>US-HDVs-psgr</vt:lpstr>
      <vt:lpstr>US-HDVs-frgt</vt:lpstr>
      <vt:lpstr>US-aircraft-psgr</vt:lpstr>
      <vt:lpstr>US-aircraft-frgt</vt:lpstr>
      <vt:lpstr>US-rail-psgr</vt:lpstr>
      <vt:lpstr>US-rail-frgt</vt:lpstr>
      <vt:lpstr>US-ships-psgr</vt:lpstr>
      <vt:lpstr>US-ships-frgt</vt:lpstr>
      <vt:lpstr>US-motorbikes-psgr</vt:lpstr>
      <vt:lpstr>US-motorbikes-frgt</vt:lpstr>
      <vt:lpstr>Calibration</vt:lpstr>
      <vt:lpstr>CAGR</vt:lpstr>
      <vt:lpstr>SK_fuel econ</vt:lpstr>
      <vt:lpstr>Result&gt;&gt;</vt:lpstr>
      <vt:lpstr>BNVFE-LDVs-psgr</vt:lpstr>
      <vt:lpstr>BNVFE-LDVs-frgt</vt:lpstr>
      <vt:lpstr>BNVFE-HDVs-psgr</vt:lpstr>
      <vt:lpstr>BNVFE-HDVs-frgt</vt:lpstr>
      <vt:lpstr>BNVFE-aircraft-psgr</vt:lpstr>
      <vt:lpstr>BNVFE-aircraft-frgt</vt:lpstr>
      <vt:lpstr>BNVFE-rail-psgr</vt:lpstr>
      <vt:lpstr>BNVFE-rail-frgt</vt:lpstr>
      <vt:lpstr>BNVFE-ships-psgr</vt:lpstr>
      <vt:lpstr>BNVFE-ships-frgt</vt:lpstr>
      <vt:lpstr>BNVFE-motorbikes-psgr</vt:lpstr>
      <vt:lpstr>BNVFE-motorbikes-frgt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GyeHyunPark</dc:creator>
  <cp:keywords/>
  <dc:description/>
  <cp:lastModifiedBy>Mary Francis Swint</cp:lastModifiedBy>
  <cp:revision/>
  <dcterms:created xsi:type="dcterms:W3CDTF">2022-02-10T07:50:47Z</dcterms:created>
  <dcterms:modified xsi:type="dcterms:W3CDTF">2026-09-16T19:56:49Z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