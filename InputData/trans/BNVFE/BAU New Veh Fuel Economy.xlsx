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BNVFE\"/>
    </mc:Choice>
  </mc:AlternateContent>
  <xr:revisionPtr revIDLastSave="0" documentId="13_ncr:1_{D2BE2D7A-CB76-4484-8BD2-B88F54442BB2}" xr6:coauthVersionLast="47" xr6:coauthVersionMax="47" xr10:uidLastSave="{00000000-0000-0000-0000-000000000000}"/>
  <bookViews>
    <workbookView xWindow="31245" yWindow="3165" windowWidth="18165" windowHeight="12285" activeTab="2" xr2:uid="{9F7C64E4-EC04-4C16-8383-3C9CBB105721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externalReferences>
    <externalReference r:id="rId3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3" l="1"/>
  <c r="H5" i="3"/>
  <c r="G5" i="3"/>
  <c r="F5" i="3"/>
  <c r="E5" i="3"/>
  <c r="D5" i="3"/>
  <c r="C5" i="3"/>
  <c r="B5" i="3"/>
  <c r="H4" i="3"/>
  <c r="G4" i="3"/>
  <c r="F4" i="3"/>
  <c r="E4" i="3"/>
  <c r="D4" i="3"/>
  <c r="C4" i="3"/>
  <c r="B4" i="3"/>
  <c r="H3" i="3"/>
  <c r="G3" i="3"/>
  <c r="F3" i="3"/>
  <c r="E3" i="3"/>
  <c r="D3" i="3"/>
  <c r="C3" i="3"/>
  <c r="B3" i="3"/>
  <c r="H2" i="3"/>
  <c r="G2" i="3"/>
  <c r="F2" i="3"/>
  <c r="E2" i="3"/>
  <c r="D2" i="3"/>
  <c r="C2" i="3"/>
  <c r="B2" i="3"/>
  <c r="D7" i="2"/>
  <c r="H5" i="2"/>
  <c r="G5" i="2"/>
  <c r="F5" i="2"/>
  <c r="E5" i="2"/>
  <c r="D5" i="2"/>
  <c r="C5" i="2"/>
  <c r="B5" i="2"/>
  <c r="H4" i="2"/>
  <c r="G4" i="2"/>
  <c r="F4" i="2"/>
  <c r="E4" i="2"/>
  <c r="D4" i="2"/>
  <c r="C4" i="2"/>
  <c r="B4" i="2"/>
  <c r="H3" i="2"/>
  <c r="G3" i="2"/>
  <c r="F3" i="2"/>
  <c r="E3" i="2"/>
  <c r="D3" i="2"/>
  <c r="C3" i="2"/>
  <c r="B3" i="2"/>
  <c r="H2" i="2"/>
  <c r="G2" i="2"/>
  <c r="F2" i="2"/>
  <c r="E2" i="2"/>
  <c r="D2" i="2"/>
  <c r="C2" i="2"/>
  <c r="B2" i="2"/>
  <c r="C4" i="23"/>
  <c r="D4" i="23"/>
  <c r="E4" i="23"/>
  <c r="F4" i="23"/>
  <c r="G4" i="23"/>
  <c r="H4" i="23"/>
  <c r="I4" i="23"/>
  <c r="J4" i="23"/>
  <c r="K4" i="23"/>
  <c r="L4" i="23"/>
  <c r="M4" i="23"/>
  <c r="N4" i="23"/>
  <c r="O4" i="23"/>
  <c r="P4" i="23"/>
  <c r="Q4" i="23"/>
  <c r="R4" i="23"/>
  <c r="S4" i="23"/>
  <c r="T4" i="23"/>
  <c r="U4" i="23"/>
  <c r="V4" i="23"/>
  <c r="W4" i="23"/>
  <c r="X4" i="23"/>
  <c r="Y4" i="23"/>
  <c r="Z4" i="23"/>
  <c r="AA4" i="23"/>
  <c r="AB4" i="23"/>
  <c r="AC4" i="23"/>
  <c r="AD4" i="23"/>
  <c r="AE4" i="23"/>
  <c r="AF4" i="23"/>
  <c r="B4" i="23"/>
  <c r="E40" i="3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26" i="31"/>
  <c r="C24" i="31" l="1"/>
  <c r="C23" i="31"/>
  <c r="C16" i="31"/>
  <c r="C20" i="31" s="1"/>
  <c r="C15" i="31"/>
  <c r="C19" i="31" s="1"/>
  <c r="D5" i="25" l="1"/>
  <c r="E5" i="25"/>
  <c r="F5" i="25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C3" i="25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C5" i="25"/>
  <c r="C6" i="25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C7" i="25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8" i="25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D7" i="24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C3" i="24"/>
  <c r="C5" i="24"/>
  <c r="C6" i="24"/>
  <c r="C7" i="24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D21" i="4" s="1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E27" i="4" s="1"/>
  <c r="D25" i="4"/>
  <c r="D27" i="4" s="1"/>
  <c r="C25" i="4"/>
  <c r="B25" i="4"/>
  <c r="F24" i="4"/>
  <c r="E24" i="4"/>
  <c r="E26" i="4" s="1"/>
  <c r="D24" i="4"/>
  <c r="D26" i="4" s="1"/>
  <c r="C24" i="4"/>
  <c r="B24" i="4"/>
  <c r="C27" i="4" l="1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5" i="26"/>
  <c r="C5" i="26" s="1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5" i="29"/>
  <c r="C5" i="29" s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3" i="25"/>
  <c r="B5" i="25"/>
  <c r="B6" i="25"/>
  <c r="B7" i="25"/>
  <c r="B37" i="4" l="1"/>
  <c r="D43" i="4"/>
  <c r="D37" i="4"/>
  <c r="B38" i="4"/>
  <c r="D32" i="4"/>
  <c r="B32" i="4"/>
  <c r="B2" i="26" s="1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38" i="4"/>
  <c r="C44" i="4"/>
  <c r="D38" i="4"/>
  <c r="B44" i="4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C41" i="9"/>
  <c r="C42" i="9"/>
  <c r="C43" i="9"/>
  <c r="C37" i="9"/>
  <c r="C31" i="9"/>
  <c r="C32" i="9"/>
  <c r="C33" i="9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C5" i="9"/>
  <c r="C6" i="9"/>
  <c r="C7" i="9"/>
  <c r="C8" i="9"/>
  <c r="C2" i="9"/>
  <c r="C7" i="8" l="1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C5" i="12" l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<sst xmlns="http://schemas.openxmlformats.org/spreadsheetml/2006/main" count="433" uniqueCount="72">
  <si>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</si>
  <si>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</si>
  <si>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</si>
  <si>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</si>
  <si>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</si>
  <si>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</si>
  <si>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</si>
  <si>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Fuel Economy (passenger*miles/BTU)</t>
  </si>
  <si>
    <t>LDVs</t>
  </si>
  <si>
    <t>HDVs</t>
  </si>
  <si>
    <t>aircraft</t>
  </si>
  <si>
    <t>rail</t>
  </si>
  <si>
    <t>ships</t>
  </si>
  <si>
    <t>motorbikes</t>
  </si>
  <si>
    <t>Fuel Economy (freight ton*miles/BTU)</t>
  </si>
  <si>
    <t>freight</t>
    <phoneticPr fontId="1" type="noConversion"/>
  </si>
  <si>
    <t>passenger</t>
    <phoneticPr fontId="1" type="noConversion"/>
  </si>
  <si>
    <t>Fuel Economy (thing*miles/BTU)</t>
  </si>
  <si>
    <t>2020-2050 CAGR</t>
    <phoneticPr fontId="1" type="noConversion"/>
  </si>
  <si>
    <t>US-ships-psgr</t>
    <phoneticPr fontId="1" type="noConversion"/>
  </si>
  <si>
    <t>US-ships-frgt</t>
    <phoneticPr fontId="1" type="noConversion"/>
  </si>
  <si>
    <t>US-rail-psgr</t>
  </si>
  <si>
    <t>US-rail-frgt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</si>
  <si>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</si>
  <si>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</si>
  <si>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</si>
  <si>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</si>
  <si>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</si>
  <si>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</si>
  <si>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US-motorbikes-psgr</t>
    <phoneticPr fontId="1" type="noConversion"/>
  </si>
  <si>
    <t>US-motorbikes-frgt</t>
    <phoneticPr fontId="1" type="noConversion"/>
  </si>
  <si>
    <t>Notes</t>
    <phoneticPr fontId="1" type="noConversion"/>
  </si>
  <si>
    <t>Source</t>
    <phoneticPr fontId="1" type="noConversion"/>
  </si>
  <si>
    <t>https://www.cheric.org/PDF/PIC/PC24/PC24-4-0022.pdf</t>
    <phoneticPr fontId="1" type="noConversion"/>
  </si>
  <si>
    <t>2020년 실도로 연비 13.5km/kg, 2030년까지 15km/kg, 해당 비율을 2050까지 적용</t>
    <phoneticPr fontId="1" type="noConversion"/>
  </si>
  <si>
    <t>Since there are few fuel economy forecast data in Korea, CAGR was extracted and used from US data when estimating fuel economy.</t>
    <phoneticPr fontId="1" type="noConversion"/>
  </si>
  <si>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</si>
  <si>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</si>
  <si>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</si>
  <si>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psgr</t>
    <phoneticPr fontId="1" type="noConversion"/>
  </si>
  <si>
    <t>frgt</t>
    <phoneticPr fontId="1" type="noConversion"/>
  </si>
  <si>
    <t>diesel vehicle</t>
    <phoneticPr fontId="1" type="noConversion"/>
  </si>
  <si>
    <t>hydrogen vehicle</t>
    <phoneticPr fontId="1" type="noConversion"/>
  </si>
  <si>
    <t>x/disel vehicle</t>
    <phoneticPr fontId="1" type="noConversion"/>
  </si>
  <si>
    <t>battery electric vehicle</t>
    <phoneticPr fontId="1" type="noConversion"/>
  </si>
  <si>
    <t>US aircrat</t>
    <phoneticPr fontId="1" type="noConversion"/>
  </si>
  <si>
    <t>US rail</t>
    <phoneticPr fontId="1" type="noConversion"/>
  </si>
  <si>
    <t>US ships</t>
    <phoneticPr fontId="1" type="noConversion"/>
  </si>
  <si>
    <t>psgr - x/disel vehicle</t>
    <phoneticPr fontId="1" type="noConversion"/>
  </si>
  <si>
    <t>frgt - x/disel vehicle</t>
    <phoneticPr fontId="1" type="noConversion"/>
  </si>
  <si>
    <t>plugin hybrid vehicle</t>
    <phoneticPr fontId="1" type="noConversion"/>
  </si>
  <si>
    <t>US HDVs</t>
    <phoneticPr fontId="1" type="noConversion"/>
  </si>
  <si>
    <t>US LDVs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</si>
  <si>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</si>
  <si>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</si>
  <si>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</si>
  <si>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https://theicct.org/sites/default/files/publications/S.Korea%20FE%20GHG%20Policy%20Update_vFinal.pdf</t>
  </si>
  <si>
    <t>passenger vehicles fuel economy</t>
  </si>
  <si>
    <t>passenger vehicles</t>
  </si>
  <si>
    <t>light trucks</t>
  </si>
  <si>
    <t>km/L</t>
  </si>
  <si>
    <t>btus per liter gasoline</t>
  </si>
  <si>
    <t>Conversion factor</t>
  </si>
  <si>
    <t>km per mile</t>
  </si>
  <si>
    <t>Convert</t>
  </si>
  <si>
    <t>miles/L</t>
  </si>
  <si>
    <t>miles/btu</t>
  </si>
  <si>
    <t>thing*miles/btu</t>
  </si>
  <si>
    <t>AVLO-psgr-ldvs</t>
  </si>
  <si>
    <t>average</t>
  </si>
  <si>
    <t>US Fuel economy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</si>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</sst>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6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11" fontId="0" fillId="8" borderId="0" xfId="0" applyNumberFormat="1" applyFill="1">
      <alignment vertical="center"/>
    </xf>
    <xf numFmtId="0" fontId="0" fillId="10" borderId="0" xfId="0" applyFill="1">
      <alignment vertical="center"/>
    </xf>
    <xf numFmtId="11" fontId="0" fillId="11" borderId="0" xfId="0" applyNumberFormat="1" applyFill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SouthKorea%20EPS\InputData\trans\SYFAFE\Start%20Year%20Fleet%20Avg%20Fuel%20Economy.xlsx" TargetMode="External"/><Relationship Id="rId1" Type="http://schemas.openxmlformats.org/officeDocument/2006/relationships/externalLinkPath" Target="/Users/Rachel%20Goldstein/Desktop/EPS%20Models/SouthKorea%20EPS/InputData/trans/SYFAFE/Start%20Year%20Fleet%20Avg%20Fuel%20Econom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YVbT-passenger"/>
      <sheetName val="SYVbT-freight"/>
      <sheetName val="AVLo-passengers"/>
      <sheetName val="AVLo-freight"/>
      <sheetName val="BAADTbVT-Passenger"/>
      <sheetName val="BAADTbVT-Freight"/>
      <sheetName val="BCDTRTSY_Passenger"/>
      <sheetName val="BCDTRTSY_freight"/>
      <sheetName val="Total_CargoDistance"/>
      <sheetName val="Total_CargoDistance_annual"/>
      <sheetName val="Road"/>
      <sheetName val="Motobikes"/>
      <sheetName val="aircraft"/>
      <sheetName val="rail"/>
      <sheetName val="ships"/>
      <sheetName val="AEO 7"/>
      <sheetName val="SYFAFE-psgr"/>
      <sheetName val="SYFAFE-frg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2">
          <cell r="C42">
            <v>1.1227287272596604E-3</v>
          </cell>
          <cell r="D42">
            <v>2.3751513184579043E-4</v>
          </cell>
          <cell r="E42">
            <v>2.6596146694757815E-4</v>
          </cell>
          <cell r="F42">
            <v>2.470843755995841E-4</v>
          </cell>
          <cell r="G42">
            <v>2.4809496442741762E-4</v>
          </cell>
          <cell r="H42">
            <v>2.7366940335396973E-4</v>
          </cell>
          <cell r="I42">
            <v>4.8902506219341646E-4</v>
          </cell>
        </row>
        <row r="43">
          <cell r="C43">
            <v>1.1508828199598288E-2</v>
          </cell>
          <cell r="D43">
            <v>2.3902010608540082E-3</v>
          </cell>
          <cell r="E43">
            <v>2.7138685864419639E-3</v>
          </cell>
          <cell r="F43">
            <v>2.7150595465125793E-3</v>
          </cell>
          <cell r="G43">
            <v>2.5315589440131738E-3</v>
          </cell>
          <cell r="H43">
            <v>2.7540346298636689E-3</v>
          </cell>
          <cell r="I43">
            <v>4.9212368633330004E-3</v>
          </cell>
        </row>
        <row r="44">
          <cell r="C44">
            <v>6.5798820574477688E-4</v>
          </cell>
          <cell r="D44">
            <v>1.5847326557973324E-4</v>
          </cell>
          <cell r="E44">
            <v>1.0509496345551802E-4</v>
          </cell>
          <cell r="F44">
            <v>1.0380732234767244E-4</v>
          </cell>
          <cell r="G44">
            <v>0</v>
          </cell>
          <cell r="H44">
            <v>1.3340249848135008E-4</v>
          </cell>
          <cell r="I44">
            <v>0</v>
          </cell>
        </row>
        <row r="45">
          <cell r="C45">
            <v>6.2149365057914963E-2</v>
          </cell>
          <cell r="D45">
            <v>0</v>
          </cell>
          <cell r="E45">
            <v>9.9265992802289229E-3</v>
          </cell>
          <cell r="F45">
            <v>1.0558702581861411E-2</v>
          </cell>
          <cell r="G45">
            <v>0</v>
          </cell>
          <cell r="H45">
            <v>1.2426694100178716E-2</v>
          </cell>
          <cell r="I45">
            <v>0</v>
          </cell>
        </row>
      </sheetData>
      <sheetData sheetId="12">
        <row r="18">
          <cell r="D18">
            <v>7.0063905313000519E-5</v>
          </cell>
        </row>
        <row r="19">
          <cell r="D19">
            <v>7.0063905313000519E-5</v>
          </cell>
        </row>
      </sheetData>
      <sheetData sheetId="13">
        <row r="23">
          <cell r="C23">
            <v>0</v>
          </cell>
          <cell r="D23">
            <v>0</v>
          </cell>
          <cell r="E23">
            <v>0</v>
          </cell>
          <cell r="F23">
            <v>6.3999198108760673E-3</v>
          </cell>
          <cell r="G23">
            <v>0</v>
          </cell>
          <cell r="H23">
            <v>0</v>
          </cell>
          <cell r="I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2.992789097910166E-2</v>
          </cell>
          <cell r="G24">
            <v>0</v>
          </cell>
          <cell r="H24">
            <v>0</v>
          </cell>
          <cell r="I24">
            <v>0</v>
          </cell>
        </row>
      </sheetData>
      <sheetData sheetId="14">
        <row r="22">
          <cell r="C22">
            <v>7.8030705230531052E-4</v>
          </cell>
          <cell r="D22">
            <v>0</v>
          </cell>
          <cell r="E22">
            <v>0</v>
          </cell>
          <cell r="F22">
            <v>5.5294125429859176E-3</v>
          </cell>
          <cell r="G22">
            <v>0</v>
          </cell>
          <cell r="H22">
            <v>0</v>
          </cell>
          <cell r="I22">
            <v>0</v>
          </cell>
        </row>
        <row r="23">
          <cell r="C23">
            <v>1.0021251453207708E-3</v>
          </cell>
          <cell r="D23">
            <v>0</v>
          </cell>
          <cell r="E23">
            <v>0</v>
          </cell>
          <cell r="F23">
            <v>1.6108650602655154E-2</v>
          </cell>
          <cell r="G23">
            <v>0</v>
          </cell>
          <cell r="H23">
            <v>0</v>
          </cell>
          <cell r="I23">
            <v>0</v>
          </cell>
        </row>
      </sheetData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C31" sqref="C31"/>
    </sheetView>
  </sheetViews>
  <sheetFormatPr defaultRowHeight="14.4"/>
  <sheetData>
    <row r="1" spans="1:2">
      <c r="A1" s="22" t="s">
        <v>36</v>
      </c>
    </row>
    <row r="3" spans="1:2">
      <c r="A3" s="20" t="s">
        <v>37</v>
      </c>
      <c r="B3" t="s">
        <v>38</v>
      </c>
    </row>
    <row r="5" spans="1:2">
      <c r="A5" s="20" t="s">
        <v>31</v>
      </c>
    </row>
    <row r="6" spans="1:2">
      <c r="A6" t="s">
        <v>35</v>
      </c>
    </row>
    <row r="8" spans="1:2">
      <c r="A8" t="s">
        <v>53</v>
      </c>
    </row>
    <row r="9" spans="1:2">
      <c r="A9" s="19" t="s">
        <v>54</v>
      </c>
    </row>
    <row r="10" spans="1:2">
      <c r="A10" s="4" t="s">
        <v>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workbookViewId="0">
      <selection activeCell="B2" sqref="B2"/>
    </sheetView>
  </sheetViews>
  <sheetFormatPr defaultRowHeight="14.4"/>
  <cols>
    <col min="1" max="1" width="19.77734375" bestFit="1" customWidth="1"/>
    <col min="2" max="2" width="21.5546875" bestFit="1" customWidth="1"/>
    <col min="3" max="3" width="18.21875" bestFit="1" customWidth="1"/>
    <col min="4" max="4" width="15.55468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77734375" bestFit="1" customWidth="1"/>
  </cols>
  <sheetData>
    <row r="1" spans="1:8" ht="43.2">
      <c r="A1" s="2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 s="6">
        <f>[1]Road!C42</f>
        <v>1.1227287272596604E-3</v>
      </c>
      <c r="C2" s="6">
        <f>[1]Road!D42</f>
        <v>2.3751513184579043E-4</v>
      </c>
      <c r="D2" s="6">
        <f>[1]Road!E42</f>
        <v>2.6596146694757815E-4</v>
      </c>
      <c r="E2" s="6">
        <f>[1]Road!F42</f>
        <v>2.470843755995841E-4</v>
      </c>
      <c r="F2" s="6">
        <f>[1]Road!G42</f>
        <v>2.4809496442741762E-4</v>
      </c>
      <c r="G2" s="6">
        <f>[1]Road!H42</f>
        <v>2.7366940335396973E-4</v>
      </c>
      <c r="H2" s="6">
        <f>[1]Road!I42</f>
        <v>4.8902506219341646E-4</v>
      </c>
    </row>
    <row r="3" spans="1:8">
      <c r="A3" s="1" t="s">
        <v>9</v>
      </c>
      <c r="B3" s="6">
        <f>[1]Road!C43</f>
        <v>1.1508828199598288E-2</v>
      </c>
      <c r="C3" s="6">
        <f>[1]Road!D43</f>
        <v>2.3902010608540082E-3</v>
      </c>
      <c r="D3" s="6">
        <f>[1]Road!E43</f>
        <v>2.7138685864419639E-3</v>
      </c>
      <c r="E3" s="6">
        <f>[1]Road!F43</f>
        <v>2.7150595465125793E-3</v>
      </c>
      <c r="F3" s="6">
        <f>[1]Road!G43</f>
        <v>2.5315589440131738E-3</v>
      </c>
      <c r="G3" s="6">
        <f>[1]Road!H43</f>
        <v>2.7540346298636689E-3</v>
      </c>
      <c r="H3" s="6">
        <f>[1]Road!I43</f>
        <v>4.9212368633330004E-3</v>
      </c>
    </row>
    <row r="4" spans="1:8">
      <c r="A4" s="1" t="s">
        <v>10</v>
      </c>
      <c r="B4" s="6">
        <f>[1]aircraft!C23</f>
        <v>0</v>
      </c>
      <c r="C4" s="6">
        <f>[1]aircraft!D23</f>
        <v>0</v>
      </c>
      <c r="D4" s="6">
        <f>[1]aircraft!E23</f>
        <v>0</v>
      </c>
      <c r="E4" s="6">
        <f>[1]aircraft!F23</f>
        <v>6.3999198108760673E-3</v>
      </c>
      <c r="F4" s="6">
        <f>[1]aircraft!G23</f>
        <v>0</v>
      </c>
      <c r="G4" s="6">
        <f>[1]aircraft!H23</f>
        <v>0</v>
      </c>
      <c r="H4" s="6">
        <f>[1]aircraft!I23</f>
        <v>0</v>
      </c>
    </row>
    <row r="5" spans="1:8">
      <c r="A5" s="1" t="s">
        <v>11</v>
      </c>
      <c r="B5" s="6">
        <f>[1]rail!C22</f>
        <v>7.8030705230531052E-4</v>
      </c>
      <c r="C5" s="6">
        <f>[1]rail!D22</f>
        <v>0</v>
      </c>
      <c r="D5" s="6">
        <f>[1]rail!E22</f>
        <v>0</v>
      </c>
      <c r="E5" s="6">
        <f>[1]rail!F22</f>
        <v>5.5294125429859176E-3</v>
      </c>
      <c r="F5" s="6">
        <f>[1]rail!G22</f>
        <v>0</v>
      </c>
      <c r="G5" s="6">
        <f>[1]rail!H22</f>
        <v>0</v>
      </c>
      <c r="H5" s="6">
        <f>[1]rail!I22</f>
        <v>0</v>
      </c>
    </row>
    <row r="6" spans="1:8">
      <c r="A6" s="1" t="s">
        <v>12</v>
      </c>
      <c r="B6" s="6">
        <v>3.2293482418666772E-5</v>
      </c>
      <c r="C6" s="6">
        <v>0</v>
      </c>
      <c r="D6" s="6">
        <v>1.0049397002369564E-5</v>
      </c>
      <c r="E6" s="6">
        <v>1.0049397002369565E-5</v>
      </c>
      <c r="F6" s="6">
        <v>0</v>
      </c>
      <c r="G6" s="6">
        <v>0</v>
      </c>
      <c r="H6" s="6">
        <v>3.0148191007108693E-5</v>
      </c>
    </row>
    <row r="7" spans="1:8">
      <c r="A7" s="1" t="s">
        <v>13</v>
      </c>
      <c r="B7" s="6">
        <v>0</v>
      </c>
      <c r="C7" s="6">
        <v>0</v>
      </c>
      <c r="D7" s="6">
        <f>[1]Motobikes!D18</f>
        <v>7.0063905313000519E-5</v>
      </c>
      <c r="E7" s="6">
        <v>0</v>
      </c>
      <c r="F7" s="6">
        <v>0</v>
      </c>
      <c r="G7" s="6">
        <v>0</v>
      </c>
      <c r="H7" s="6">
        <v>0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H7"/>
  <sheetViews>
    <sheetView tabSelected="1" workbookViewId="0">
      <selection activeCell="H10" sqref="H10"/>
    </sheetView>
  </sheetViews>
  <sheetFormatPr defaultRowHeight="14.4"/>
  <cols>
    <col min="1" max="1" width="11.21875" bestFit="1" customWidth="1"/>
    <col min="2" max="2" width="21.5546875" bestFit="1" customWidth="1"/>
    <col min="3" max="3" width="18.21875" bestFit="1" customWidth="1"/>
    <col min="4" max="4" width="15.55468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77734375" bestFit="1" customWidth="1"/>
  </cols>
  <sheetData>
    <row r="1" spans="1:8" ht="72">
      <c r="A1" s="2" t="s">
        <v>14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 s="6">
        <f>[1]Road!C44</f>
        <v>6.5798820574477688E-4</v>
      </c>
      <c r="C2" s="6">
        <f>[1]Road!D44</f>
        <v>1.5847326557973324E-4</v>
      </c>
      <c r="D2" s="6">
        <f>[1]Road!E44</f>
        <v>1.0509496345551802E-4</v>
      </c>
      <c r="E2" s="6">
        <f>[1]Road!F44</f>
        <v>1.0380732234767244E-4</v>
      </c>
      <c r="F2" s="6">
        <f>[1]Road!G44</f>
        <v>0</v>
      </c>
      <c r="G2" s="6">
        <f>[1]Road!H44</f>
        <v>1.3340249848135008E-4</v>
      </c>
      <c r="H2" s="6">
        <f>[1]Road!I44</f>
        <v>0</v>
      </c>
    </row>
    <row r="3" spans="1:8">
      <c r="A3" s="1" t="s">
        <v>9</v>
      </c>
      <c r="B3" s="6">
        <f>[1]Road!C45</f>
        <v>6.2149365057914963E-2</v>
      </c>
      <c r="C3" s="6">
        <f>[1]Road!D45</f>
        <v>0</v>
      </c>
      <c r="D3" s="6">
        <f>[1]Road!E45</f>
        <v>9.9265992802289229E-3</v>
      </c>
      <c r="E3" s="6">
        <f>[1]Road!F45</f>
        <v>1.0558702581861411E-2</v>
      </c>
      <c r="F3" s="6">
        <f>[1]Road!G45</f>
        <v>0</v>
      </c>
      <c r="G3" s="6">
        <f>[1]Road!H45</f>
        <v>1.2426694100178716E-2</v>
      </c>
      <c r="H3" s="6">
        <f>[1]Road!I45</f>
        <v>0</v>
      </c>
    </row>
    <row r="4" spans="1:8">
      <c r="A4" s="1" t="s">
        <v>10</v>
      </c>
      <c r="B4" s="6">
        <f>[1]aircraft!C24</f>
        <v>0</v>
      </c>
      <c r="C4" s="6">
        <f>[1]aircraft!D24</f>
        <v>0</v>
      </c>
      <c r="D4" s="6">
        <f>[1]aircraft!E24</f>
        <v>0</v>
      </c>
      <c r="E4" s="6">
        <f>[1]aircraft!F24</f>
        <v>2.992789097910166E-2</v>
      </c>
      <c r="F4" s="6">
        <f>[1]aircraft!G24</f>
        <v>0</v>
      </c>
      <c r="G4" s="6">
        <f>[1]aircraft!H24</f>
        <v>0</v>
      </c>
      <c r="H4" s="6">
        <f>[1]aircraft!I24</f>
        <v>0</v>
      </c>
    </row>
    <row r="5" spans="1:8">
      <c r="A5" s="1" t="s">
        <v>11</v>
      </c>
      <c r="B5" s="6">
        <f>[1]rail!C23</f>
        <v>1.0021251453207708E-3</v>
      </c>
      <c r="C5" s="6">
        <f>[1]rail!D23</f>
        <v>0</v>
      </c>
      <c r="D5" s="6">
        <f>[1]rail!E23</f>
        <v>0</v>
      </c>
      <c r="E5" s="6">
        <f>[1]rail!F23</f>
        <v>1.6108650602655154E-2</v>
      </c>
      <c r="F5" s="6">
        <f>[1]rail!G23</f>
        <v>0</v>
      </c>
      <c r="G5" s="6">
        <f>[1]rail!H23</f>
        <v>0</v>
      </c>
      <c r="H5" s="6">
        <f>[1]rail!I23</f>
        <v>0</v>
      </c>
    </row>
    <row r="6" spans="1:8">
      <c r="A6" s="1" t="s">
        <v>12</v>
      </c>
      <c r="B6" s="6">
        <v>1.5467626362604087E-2</v>
      </c>
      <c r="C6" s="6">
        <v>4.813365E-3</v>
      </c>
      <c r="D6" s="6">
        <v>4.813365E-3</v>
      </c>
      <c r="E6" s="35">
        <v>4.813365E-3</v>
      </c>
      <c r="F6" s="6">
        <v>0</v>
      </c>
      <c r="G6" s="6">
        <v>0</v>
      </c>
      <c r="H6" s="6">
        <v>1.4440094999999998E-2</v>
      </c>
    </row>
    <row r="7" spans="1:8">
      <c r="A7" s="1" t="s">
        <v>13</v>
      </c>
      <c r="B7" s="6">
        <v>0</v>
      </c>
      <c r="C7" s="6">
        <v>0</v>
      </c>
      <c r="D7" s="6">
        <f>[1]Motobikes!D19</f>
        <v>7.0063905313000519E-5</v>
      </c>
      <c r="E7" s="6">
        <v>0</v>
      </c>
      <c r="F7" s="6">
        <v>0</v>
      </c>
      <c r="G7" s="6">
        <v>0</v>
      </c>
      <c r="H7" s="6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>
      <selection activeCell="B8" sqref="B8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2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3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4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5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6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2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3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4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5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6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2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3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4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5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6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2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3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4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5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6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>
      <selection activeCell="B5" sqref="B5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3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6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3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>
      <selection activeCell="B1" sqref="B1:AF1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3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>
      <selection activeCell="B2" sqref="B2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3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workbookViewId="0">
      <selection sqref="A1:A8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2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3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4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5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6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>
      <selection activeCell="B2" sqref="B2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3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2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3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4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5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6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4.4"/>
  <cols>
    <col min="1" max="1" width="32.77734375" bestFit="1" customWidth="1"/>
  </cols>
  <sheetData>
    <row r="1" spans="1:36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>
      <selection activeCell="A21" sqref="A21"/>
    </sheetView>
  </sheetViews>
  <sheetFormatPr defaultRowHeight="14.4"/>
  <cols>
    <col min="1" max="1" width="14.77734375" customWidth="1"/>
    <col min="2" max="2" width="21.5546875" bestFit="1" customWidth="1"/>
    <col min="3" max="3" width="18.21875" bestFit="1" customWidth="1"/>
    <col min="4" max="4" width="15.5546875" bestFit="1" customWidth="1"/>
    <col min="5" max="5" width="13.21875" bestFit="1" customWidth="1"/>
    <col min="6" max="6" width="20.44140625" bestFit="1" customWidth="1"/>
    <col min="7" max="7" width="11.44140625" bestFit="1" customWidth="1"/>
    <col min="8" max="8" width="16.77734375" bestFit="1" customWidth="1"/>
  </cols>
  <sheetData>
    <row r="1" spans="1:8">
      <c r="A1" t="s">
        <v>16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10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11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12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13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15</v>
      </c>
      <c r="B9" s="3" t="s">
        <v>0</v>
      </c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</row>
    <row r="10" spans="1:8">
      <c r="A10" s="1" t="s">
        <v>8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9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10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12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13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52</v>
      </c>
      <c r="B17" s="23" t="s">
        <v>41</v>
      </c>
      <c r="C17" s="24" t="s">
        <v>50</v>
      </c>
      <c r="D17" s="23" t="s">
        <v>42</v>
      </c>
    </row>
    <row r="18" spans="1:6">
      <c r="A18" s="1" t="s">
        <v>39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40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48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49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51</v>
      </c>
      <c r="B23" s="20" t="s">
        <v>44</v>
      </c>
      <c r="C23" s="20" t="s">
        <v>1</v>
      </c>
      <c r="D23" s="23" t="s">
        <v>41</v>
      </c>
      <c r="E23" s="24" t="s">
        <v>50</v>
      </c>
      <c r="F23" s="23" t="s">
        <v>42</v>
      </c>
    </row>
    <row r="24" spans="1:6">
      <c r="A24" s="1" t="s">
        <v>39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40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48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49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45</v>
      </c>
      <c r="B29" s="20" t="s">
        <v>44</v>
      </c>
      <c r="C29" s="23" t="s">
        <v>41</v>
      </c>
      <c r="D29" s="23" t="s">
        <v>42</v>
      </c>
    </row>
    <row r="30" spans="1:6">
      <c r="A30" s="1" t="s">
        <v>39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40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43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46</v>
      </c>
      <c r="B34" s="20" t="s">
        <v>44</v>
      </c>
      <c r="C34" s="23" t="s">
        <v>41</v>
      </c>
      <c r="D34" s="23" t="s">
        <v>42</v>
      </c>
    </row>
    <row r="35" spans="1:4">
      <c r="A35" s="1" t="s">
        <v>39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40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48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49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47</v>
      </c>
      <c r="B40" s="20" t="s">
        <v>44</v>
      </c>
      <c r="C40" s="23" t="s">
        <v>41</v>
      </c>
      <c r="D40" s="23" t="s">
        <v>42</v>
      </c>
    </row>
    <row r="41" spans="1:4">
      <c r="A41" s="1" t="s">
        <v>39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40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48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49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/>
  </sheetViews>
  <sheetFormatPr defaultRowHeight="14.4"/>
  <cols>
    <col min="1" max="1" width="17.21875" bestFit="1" customWidth="1"/>
    <col min="2" max="2" width="21.5546875" bestFit="1" customWidth="1"/>
    <col min="3" max="3" width="18" customWidth="1"/>
    <col min="5" max="5" width="46" customWidth="1"/>
  </cols>
  <sheetData>
    <row r="1" spans="1:6">
      <c r="C1" t="s">
        <v>18</v>
      </c>
      <c r="E1" t="s">
        <v>31</v>
      </c>
      <c r="F1" t="s">
        <v>32</v>
      </c>
    </row>
    <row r="2" spans="1:6">
      <c r="A2" s="9" t="s">
        <v>23</v>
      </c>
      <c r="B2" s="10" t="s">
        <v>0</v>
      </c>
      <c r="C2" s="9">
        <f>IFERROR(('US-LDVs-psgr'!AF2/'US-LDVs-psgr'!B2)^(1/COUNT('US-LDVs-psgr'!$B$1:$AF$1))-1,0)</f>
        <v>-1.5060810674758507E-3</v>
      </c>
    </row>
    <row r="3" spans="1:6">
      <c r="B3" s="1" t="s">
        <v>1</v>
      </c>
      <c r="C3">
        <f>IFERROR(('US-LDVs-psgr'!AF3/'US-LDVs-psgr'!B3)^(1/COUNT('US-LDVs-psgr'!$B$1:$AF$1))-1,0)</f>
        <v>2.5086794556596903E-3</v>
      </c>
    </row>
    <row r="4" spans="1:6">
      <c r="B4" s="1" t="s">
        <v>2</v>
      </c>
      <c r="C4">
        <f>IFERROR(('US-LDVs-psgr'!AF4/'US-LDVs-psgr'!B4)^(1/COUNT('US-LDVs-psgr'!$B$1:$AF$1))-1,0)</f>
        <v>2.9284465081031996E-3</v>
      </c>
    </row>
    <row r="5" spans="1:6">
      <c r="B5" s="1" t="s">
        <v>3</v>
      </c>
      <c r="C5">
        <f>IFERROR(('US-LDVs-psgr'!AF5/'US-LDVs-psgr'!B5)^(1/COUNT('US-LDVs-psgr'!$B$1:$AF$1))-1,0)</f>
        <v>8.8318936721920593E-4</v>
      </c>
    </row>
    <row r="6" spans="1:6">
      <c r="B6" s="1" t="s">
        <v>4</v>
      </c>
      <c r="C6">
        <f>IFERROR(('US-LDVs-psgr'!AF6/'US-LDVs-psgr'!B6)^(1/COUNT('US-LDVs-psgr'!$B$1:$AF$1))-1,0)</f>
        <v>3.2675944403379731E-3</v>
      </c>
    </row>
    <row r="7" spans="1:6">
      <c r="B7" s="1" t="s">
        <v>5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6</v>
      </c>
      <c r="C8" s="11">
        <f>IFERROR(('US-LDVs-psgr'!AF8/'US-LDVs-psgr'!B8)^(1/COUNT('US-LDVs-psgr'!$B$1:$AF$1))-1,0)</f>
        <v>-6.41977670003957E-4</v>
      </c>
    </row>
    <row r="9" spans="1:6">
      <c r="A9" s="9" t="s">
        <v>24</v>
      </c>
      <c r="B9" s="10" t="s">
        <v>0</v>
      </c>
      <c r="C9" s="9">
        <f>IFERROR(('US-LDVs-frgt'!AF2/'US-LDVs-frgt'!B2)^(1/COUNT('US-LDVs-frgt'!$B$1:$AF$1))-1,0)</f>
        <v>1.3090349440243898E-2</v>
      </c>
    </row>
    <row r="10" spans="1:6">
      <c r="B10" s="1" t="s">
        <v>1</v>
      </c>
      <c r="C10">
        <f>IFERROR(('US-LDVs-frgt'!AF3/'US-LDVs-frgt'!B3)^(1/COUNT('US-LDVs-frgt'!$B$1:$AF$1))-1,0)</f>
        <v>-2.5943994809526361E-3</v>
      </c>
    </row>
    <row r="11" spans="1:6">
      <c r="B11" s="1" t="s">
        <v>2</v>
      </c>
      <c r="C11">
        <f>IFERROR(('US-LDVs-frgt'!AF4/'US-LDVs-frgt'!B4)^(1/COUNT('US-LDVs-frgt'!$B$1:$AF$1))-1,0)</f>
        <v>-2.5943994809526361E-3</v>
      </c>
    </row>
    <row r="12" spans="1:6">
      <c r="B12" s="1" t="s">
        <v>3</v>
      </c>
      <c r="C12">
        <f>IFERROR(('US-LDVs-frgt'!AF5/'US-LDVs-frgt'!B5)^(1/COUNT('US-LDVs-frgt'!$B$1:$AF$1))-1,0)</f>
        <v>-2.5943994809526361E-3</v>
      </c>
    </row>
    <row r="13" spans="1:6">
      <c r="B13" s="1" t="s">
        <v>4</v>
      </c>
      <c r="C13">
        <f>IFERROR(('US-LDVs-frgt'!AF6/'US-LDVs-frgt'!B6)^(1/COUNT('US-LDVs-frgt'!$B$1:$AF$1))-1,0)</f>
        <v>7.4585286225954395E-3</v>
      </c>
    </row>
    <row r="14" spans="1:6">
      <c r="B14" s="1" t="s">
        <v>5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6</v>
      </c>
      <c r="C15" s="11">
        <f>IFERROR(('US-LDVs-frgt'!AF8/'US-LDVs-frgt'!B8)^(1/COUNT('US-LDVs-frgt'!$B$1:$AF$1))-1,0)</f>
        <v>-2.5943994809526361E-3</v>
      </c>
    </row>
    <row r="16" spans="1:6">
      <c r="A16" s="9" t="s">
        <v>25</v>
      </c>
      <c r="B16" s="10" t="s">
        <v>0</v>
      </c>
      <c r="C16" s="9">
        <f>IFERROR(('US-HDVs-psgr'!AF2/'US-HDVs-psgr'!B2)^(1/COUNT('US-HDVs-psgr'!$B$1:$AF$1))-1,0)</f>
        <v>1.5972361193876239E-2</v>
      </c>
    </row>
    <row r="17" spans="1:6">
      <c r="B17" s="1" t="s">
        <v>1</v>
      </c>
      <c r="C17">
        <f>IFERROR(('US-HDVs-psgr'!AF3/'US-HDVs-psgr'!B3)^(1/COUNT('US-HDVs-psgr'!$B$1:$AF$1))-1,0)</f>
        <v>7.3900263096151608E-3</v>
      </c>
    </row>
    <row r="18" spans="1:6">
      <c r="B18" s="1" t="s">
        <v>2</v>
      </c>
      <c r="C18">
        <f>IFERROR(('US-HDVs-psgr'!AF4/'US-HDVs-psgr'!B4)^(1/COUNT('US-HDVs-psgr'!$B$1:$AF$1))-1,0)</f>
        <v>7.3900263096151608E-3</v>
      </c>
    </row>
    <row r="19" spans="1:6">
      <c r="B19" s="1" t="s">
        <v>3</v>
      </c>
      <c r="C19">
        <f>IFERROR(('US-HDVs-psgr'!AF5/'US-HDVs-psgr'!B5)^(1/COUNT('US-HDVs-psgr'!$B$1:$AF$1))-1,0)</f>
        <v>7.3900263096151608E-3</v>
      </c>
    </row>
    <row r="20" spans="1:6">
      <c r="B20" s="1" t="s">
        <v>4</v>
      </c>
      <c r="C20">
        <f>IFERROR(('US-HDVs-psgr'!AF6/'US-HDVs-psgr'!B6)^(1/COUNT('US-HDVs-psgr'!$B$1:$AF$1))-1,0)</f>
        <v>7.3900263096151608E-3</v>
      </c>
    </row>
    <row r="21" spans="1:6">
      <c r="B21" s="1" t="s">
        <v>5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6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34</v>
      </c>
      <c r="F22" s="16" t="s">
        <v>33</v>
      </c>
    </row>
    <row r="23" spans="1:6">
      <c r="A23" s="9" t="s">
        <v>26</v>
      </c>
      <c r="B23" s="10" t="s">
        <v>0</v>
      </c>
      <c r="C23" s="9">
        <f>IFERROR(('US-HDVs-frgt'!AF2/'US-HDVs-frgt'!B2)^(1/COUNT('US-HDVs-frgt'!$B$1:$AF$1))-1,0)</f>
        <v>1.5972361193876239E-2</v>
      </c>
    </row>
    <row r="24" spans="1:6">
      <c r="B24" s="1" t="s">
        <v>1</v>
      </c>
      <c r="C24">
        <f>IFERROR(('US-HDVs-frgt'!AF3/'US-HDVs-frgt'!B3)^(1/COUNT('US-HDVs-frgt'!$B$1:$AF$1))-1,0)</f>
        <v>7.3900263096151608E-3</v>
      </c>
    </row>
    <row r="25" spans="1:6">
      <c r="B25" s="1" t="s">
        <v>2</v>
      </c>
      <c r="C25">
        <f>IFERROR(('US-HDVs-frgt'!AF4/'US-HDVs-frgt'!B4)^(1/COUNT('US-HDVs-frgt'!$B$1:$AF$1))-1,0)</f>
        <v>7.3900263096151608E-3</v>
      </c>
    </row>
    <row r="26" spans="1:6">
      <c r="B26" s="1" t="s">
        <v>3</v>
      </c>
      <c r="C26">
        <f>IFERROR(('US-HDVs-frgt'!AF5/'US-HDVs-frgt'!B5)^(1/COUNT('US-HDVs-frgt'!$B$1:$AF$1))-1,0)</f>
        <v>7.3900263096151608E-3</v>
      </c>
    </row>
    <row r="27" spans="1:6">
      <c r="B27" s="1" t="s">
        <v>4</v>
      </c>
      <c r="C27">
        <f>IFERROR(('US-HDVs-frgt'!AF6/'US-HDVs-frgt'!B6)^(1/COUNT('US-HDVs-frgt'!$B$1:$AF$1))-1,0)</f>
        <v>7.3900263096151608E-3</v>
      </c>
    </row>
    <row r="28" spans="1:6">
      <c r="B28" s="1" t="s">
        <v>5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6</v>
      </c>
      <c r="C29" s="11">
        <f>IFERROR(('US-HDVs-frgt'!AF8/'US-HDVs-frgt'!B8)^(1/COUNT('US-HDVs-frgt'!$B$1:$AF$1))-1,0)</f>
        <v>7.3900263096151608E-3</v>
      </c>
    </row>
    <row r="30" spans="1:6">
      <c r="A30" s="9" t="s">
        <v>27</v>
      </c>
      <c r="B30" s="10" t="s">
        <v>0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</v>
      </c>
      <c r="C31">
        <f>IFERROR(('US-aircraft-psgr'!AF3/'US-aircraft-psgr'!B3)^(1/COUNT('US-aircraft-psgr'!$B$1:$AF$1))-1,0)</f>
        <v>0</v>
      </c>
    </row>
    <row r="32" spans="1:6">
      <c r="B32" s="1" t="s">
        <v>2</v>
      </c>
      <c r="C32">
        <f>IFERROR(('US-aircraft-psgr'!AF4/'US-aircraft-psgr'!B4)^(1/COUNT('US-aircraft-psgr'!$B$1:$AF$1))-1,0)</f>
        <v>0</v>
      </c>
    </row>
    <row r="33" spans="1:3">
      <c r="B33" s="1" t="s">
        <v>3</v>
      </c>
      <c r="C33">
        <f>IFERROR(('US-aircraft-psgr'!AF5/'US-aircraft-psgr'!B5)^(1/COUNT('US-aircraft-psgr'!$B$1:$AF$1))-1,0)</f>
        <v>7.1085127875833987E-3</v>
      </c>
    </row>
    <row r="34" spans="1:3">
      <c r="B34" s="1" t="s">
        <v>4</v>
      </c>
      <c r="C34">
        <f>IFERROR(('US-aircraft-psgr'!AF6/'US-aircraft-psgr'!B6)^(1/COUNT('US-aircraft-psgr'!$B$1:$AF$1))-1,0)</f>
        <v>0</v>
      </c>
    </row>
    <row r="35" spans="1:3">
      <c r="B35" s="1" t="s">
        <v>5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6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28</v>
      </c>
      <c r="B37" s="10" t="s">
        <v>0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</v>
      </c>
      <c r="C38">
        <f>IFERROR(('US-aircraft-frgt'!AF3/'US-aircraft-frgt'!B3)^(1/COUNT('US-aircraft-frgt'!$B$1:$AF$1))-1,0)</f>
        <v>0</v>
      </c>
    </row>
    <row r="39" spans="1:3">
      <c r="B39" s="1" t="s">
        <v>2</v>
      </c>
      <c r="C39">
        <f>IFERROR(('US-aircraft-frgt'!AF4/'US-aircraft-frgt'!B4)^(1/COUNT('US-aircraft-frgt'!$B$1:$AF$1))-1,0)</f>
        <v>0</v>
      </c>
    </row>
    <row r="40" spans="1:3">
      <c r="B40" s="1" t="s">
        <v>3</v>
      </c>
      <c r="C40">
        <f>IFERROR(('US-aircraft-frgt'!AF5/'US-aircraft-frgt'!B5)^(1/COUNT('US-aircraft-frgt'!$B$1:$AF$1))-1,0)</f>
        <v>7.1085127875833987E-3</v>
      </c>
    </row>
    <row r="41" spans="1:3">
      <c r="B41" s="1" t="s">
        <v>4</v>
      </c>
      <c r="C41">
        <f>IFERROR(('US-aircraft-frgt'!AF6/'US-aircraft-frgt'!B6)^(1/COUNT('US-aircraft-frgt'!$B$1:$AF$1))-1,0)</f>
        <v>0</v>
      </c>
    </row>
    <row r="42" spans="1:3">
      <c r="B42" s="1" t="s">
        <v>5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6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21</v>
      </c>
      <c r="B44" s="10" t="s">
        <v>0</v>
      </c>
      <c r="C44" s="9">
        <f>IFERROR(('US-rail-psgr'!AF2/'US-rail-psgr'!B2)^(1/COUNT('US-rail-psgr'!$B$1:$AF$1))-1,0)</f>
        <v>-3.1790322538460813E-4</v>
      </c>
    </row>
    <row r="45" spans="1:3">
      <c r="B45" s="1" t="s">
        <v>1</v>
      </c>
      <c r="C45">
        <f>IFERROR(('US-rail-psgr'!AF3/'US-rail-psgr'!B3)^(1/COUNT('US-rail-psgr'!$B$1:$AF$1))-1,0)</f>
        <v>0</v>
      </c>
    </row>
    <row r="46" spans="1:3">
      <c r="B46" s="1" t="s">
        <v>2</v>
      </c>
      <c r="C46">
        <f>IFERROR(('US-rail-psgr'!AF4/'US-rail-psgr'!B4)^(1/COUNT('US-rail-psgr'!$B$1:$AF$1))-1,0)</f>
        <v>0</v>
      </c>
    </row>
    <row r="47" spans="1:3">
      <c r="B47" s="1" t="s">
        <v>3</v>
      </c>
      <c r="C47">
        <f>IFERROR(('US-rail-psgr'!AF5/'US-rail-psgr'!B5)^(1/COUNT('US-rail-psgr'!$B$1:$AF$1))-1,0)</f>
        <v>-3.1790322538449711E-4</v>
      </c>
    </row>
    <row r="48" spans="1:3">
      <c r="B48" s="1" t="s">
        <v>4</v>
      </c>
      <c r="C48">
        <f>IFERROR(('US-rail-psgr'!AF6/'US-rail-psgr'!B6)^(1/COUNT('US-rail-psgr'!$B$1:$AF$1))-1,0)</f>
        <v>0</v>
      </c>
    </row>
    <row r="49" spans="1:3">
      <c r="B49" s="1" t="s">
        <v>5</v>
      </c>
      <c r="C49">
        <f>IFERROR(('US-rail-psgr'!AF7/'US-rail-psgr'!B7)^(1/COUNT('US-rail-psgr'!$B$1:$AF$1))-1,0)</f>
        <v>0</v>
      </c>
    </row>
    <row r="50" spans="1:3">
      <c r="A50" s="11"/>
      <c r="B50" s="12" t="s">
        <v>6</v>
      </c>
      <c r="C50" s="11">
        <f>IFERROR(('US-rail-psgr'!AF8/'US-rail-psgr'!B8)^(1/COUNT('US-rail-psgr'!$B$1:$AF$1))-1,0)</f>
        <v>-3.1790322538449711E-4</v>
      </c>
    </row>
    <row r="51" spans="1:3">
      <c r="A51" s="9" t="s">
        <v>22</v>
      </c>
      <c r="B51" s="10" t="s">
        <v>0</v>
      </c>
      <c r="C51" s="9">
        <f>IFERROR(('US-rail-frgt'!AF2/'US-rail-frgt'!B2)^(1/COUNT('US-rail-frgt'!$B$1:$AF$1))-1,0)</f>
        <v>6.2761978399152873E-3</v>
      </c>
    </row>
    <row r="52" spans="1:3">
      <c r="B52" s="1" t="s">
        <v>1</v>
      </c>
      <c r="C52">
        <f>IFERROR(('US-rail-frgt'!AF3/'US-rail-frgt'!B3)^(1/COUNT('US-rail-frgt'!$B$1:$AF$1))-1,0)</f>
        <v>0</v>
      </c>
    </row>
    <row r="53" spans="1:3">
      <c r="B53" s="1" t="s">
        <v>2</v>
      </c>
      <c r="C53">
        <f>IFERROR(('US-rail-frgt'!AF4/'US-rail-frgt'!B4)^(1/COUNT('US-rail-frgt'!$B$1:$AF$1))-1,0)</f>
        <v>0</v>
      </c>
    </row>
    <row r="54" spans="1:3">
      <c r="B54" s="1" t="s">
        <v>3</v>
      </c>
      <c r="C54">
        <f>IFERROR(('US-rail-frgt'!AF5/'US-rail-frgt'!B5)^(1/COUNT('US-rail-frgt'!$B$1:$AF$1))-1,0)</f>
        <v>6.2761978399152873E-3</v>
      </c>
    </row>
    <row r="55" spans="1:3">
      <c r="B55" s="1" t="s">
        <v>4</v>
      </c>
      <c r="C55">
        <f>IFERROR(('US-rail-frgt'!AF6/'US-rail-frgt'!B6)^(1/COUNT('US-rail-frgt'!$B$1:$AF$1))-1,0)</f>
        <v>0</v>
      </c>
    </row>
    <row r="56" spans="1:3">
      <c r="B56" s="1" t="s">
        <v>5</v>
      </c>
      <c r="C56">
        <f>IFERROR(('US-rail-frgt'!AF7/'US-rail-frgt'!B7)^(1/COUNT('US-rail-frgt'!$B$1:$AF$1))-1,0)</f>
        <v>0</v>
      </c>
    </row>
    <row r="57" spans="1:3">
      <c r="A57" s="11"/>
      <c r="B57" s="12" t="s">
        <v>6</v>
      </c>
      <c r="C57" s="11">
        <f>IFERROR(('US-rail-frgt'!AF8/'US-rail-frgt'!B8)^(1/COUNT('US-rail-frgt'!$B$1:$AF$1))-1,0)</f>
        <v>6.2761978399152873E-3</v>
      </c>
    </row>
    <row r="58" spans="1:3">
      <c r="A58" s="9" t="s">
        <v>19</v>
      </c>
      <c r="B58" s="10" t="s">
        <v>0</v>
      </c>
      <c r="C58" s="9">
        <f>IFERROR(('US-ships-psgr'!AF2/'US-ships-psgr'!B2)^(1/COUNT('US-ships-psgr'!$B$1:$AF$1))-1,0)</f>
        <v>0</v>
      </c>
    </row>
    <row r="59" spans="1:3">
      <c r="B59" s="1" t="s">
        <v>1</v>
      </c>
      <c r="C59">
        <f>IFERROR(('US-ships-psgr'!AF3/'US-ships-psgr'!B3)^(1/COUNT('US-ships-psgr'!$B$1:$AF$1))-1,0)</f>
        <v>0</v>
      </c>
    </row>
    <row r="60" spans="1:3">
      <c r="B60" s="1" t="s">
        <v>2</v>
      </c>
      <c r="C60">
        <f>IFERROR(('US-ships-psgr'!AF4/'US-ships-psgr'!B4)^(1/COUNT('US-ships-psgr'!$B$1:$AF$1))-1,0)</f>
        <v>0</v>
      </c>
    </row>
    <row r="61" spans="1:3">
      <c r="B61" s="1" t="s">
        <v>3</v>
      </c>
      <c r="C61">
        <f>IFERROR(('US-ships-psgr'!AF5/'US-ships-psgr'!B5)^(1/COUNT('US-ships-psgr'!$B$1:$AF$1))-1,0)</f>
        <v>0</v>
      </c>
    </row>
    <row r="62" spans="1:3">
      <c r="B62" s="1" t="s">
        <v>4</v>
      </c>
      <c r="C62">
        <f>IFERROR(('US-ships-psgr'!AF6/'US-ships-psgr'!B6)^(1/COUNT('US-ships-psgr'!$B$1:$AF$1))-1,0)</f>
        <v>0</v>
      </c>
    </row>
    <row r="63" spans="1:3">
      <c r="B63" s="1" t="s">
        <v>5</v>
      </c>
      <c r="C63">
        <f>IFERROR(('US-ships-psgr'!AF7/'US-ships-psgr'!B7)^(1/COUNT('US-ships-psgr'!$B$1:$AF$1))-1,0)</f>
        <v>0</v>
      </c>
    </row>
    <row r="64" spans="1:3">
      <c r="A64" s="11"/>
      <c r="B64" s="12" t="s">
        <v>6</v>
      </c>
      <c r="C64" s="11">
        <f>IFERROR(('US-ships-psgr'!AF8/'US-ships-psgr'!B8)^(1/COUNT('US-ships-psgr'!$B$1:$AF$1))-1,0)</f>
        <v>0</v>
      </c>
    </row>
    <row r="65" spans="1:3">
      <c r="A65" s="9" t="s">
        <v>20</v>
      </c>
      <c r="B65" s="10" t="s">
        <v>0</v>
      </c>
      <c r="C65" s="9">
        <f>IFERROR(('US-ships-frgt'!AF2/'US-ships-frgt'!B2)^(1/COUNT('US-ships-frgt'!$B$1:$AF$1))-1,0)</f>
        <v>0</v>
      </c>
    </row>
    <row r="66" spans="1:3">
      <c r="B66" s="1" t="s">
        <v>1</v>
      </c>
      <c r="C66">
        <f>IFERROR(('US-ships-frgt'!AF3/'US-ships-frgt'!B3)^(1/COUNT('US-ships-frgt'!$B$1:$AF$1))-1,0)</f>
        <v>0</v>
      </c>
    </row>
    <row r="67" spans="1:3">
      <c r="B67" s="1" t="s">
        <v>2</v>
      </c>
      <c r="C67">
        <f>IFERROR(('US-ships-frgt'!AF4/'US-ships-frgt'!B4)^(1/COUNT('US-ships-frgt'!$B$1:$AF$1))-1,0)</f>
        <v>0</v>
      </c>
    </row>
    <row r="68" spans="1:3">
      <c r="B68" s="1" t="s">
        <v>3</v>
      </c>
      <c r="C68">
        <f>IFERROR(('US-ships-frgt'!AF5/'US-ships-frgt'!B5)^(1/COUNT('US-ships-frgt'!$B$1:$AF$1))-1,0)</f>
        <v>0</v>
      </c>
    </row>
    <row r="69" spans="1:3">
      <c r="B69" s="1" t="s">
        <v>4</v>
      </c>
      <c r="C69">
        <f>IFERROR(('US-ships-frgt'!AF6/'US-ships-frgt'!B6)^(1/COUNT('US-ships-frgt'!$B$1:$AF$1))-1,0)</f>
        <v>0</v>
      </c>
    </row>
    <row r="70" spans="1:3">
      <c r="B70" s="1" t="s">
        <v>5</v>
      </c>
      <c r="C70">
        <f>IFERROR(('US-ships-frgt'!AF7/'US-ships-frgt'!B7)^(1/COUNT('US-ships-frgt'!$B$1:$AF$1))-1,0)</f>
        <v>0</v>
      </c>
    </row>
    <row r="71" spans="1:3">
      <c r="A71" s="11"/>
      <c r="B71" s="12" t="s">
        <v>6</v>
      </c>
      <c r="C71" s="11">
        <f>IFERROR(('US-ships-frgt'!AF8/'US-ships-frgt'!B8)^(1/COUNT('US-ships-frgt'!$B$1:$AF$1))-1,0)</f>
        <v>0</v>
      </c>
    </row>
    <row r="72" spans="1:3">
      <c r="A72" s="9" t="s">
        <v>29</v>
      </c>
      <c r="B72" s="10" t="s">
        <v>0</v>
      </c>
      <c r="C72" s="9">
        <f>IFERROR(('US-motorbikes-psgr'!AF2/'US-motorbikes-psgr'!B2)^(1/COUNT('US-motorbikes-psgr'!$B$1:$AF$1))-1,0)</f>
        <v>0</v>
      </c>
    </row>
    <row r="73" spans="1:3">
      <c r="B73" s="1" t="s">
        <v>1</v>
      </c>
      <c r="C73">
        <f>IFERROR(('US-motorbikes-psgr'!AF3/'US-motorbikes-psgr'!B3)^(1/COUNT('US-motorbikes-psgr'!$B$1:$AF$1))-1,0)</f>
        <v>0</v>
      </c>
    </row>
    <row r="74" spans="1:3">
      <c r="B74" s="1" t="s">
        <v>2</v>
      </c>
      <c r="C74">
        <f>IFERROR(('US-motorbikes-psgr'!AF4/'US-motorbikes-psgr'!B4)^(1/COUNT('US-motorbikes-psgr'!$B$1:$AF$1))-1,0)</f>
        <v>0</v>
      </c>
    </row>
    <row r="75" spans="1:3">
      <c r="B75" s="1" t="s">
        <v>3</v>
      </c>
      <c r="C75">
        <f>IFERROR(('US-motorbikes-psgr'!AF5/'US-motorbikes-psgr'!B5)^(1/COUNT('US-motorbikes-psgr'!$B$1:$AF$1))-1,0)</f>
        <v>0</v>
      </c>
    </row>
    <row r="76" spans="1:3">
      <c r="B76" s="1" t="s">
        <v>4</v>
      </c>
      <c r="C76">
        <f>IFERROR(('US-motorbikes-psgr'!AF6/'US-motorbikes-psgr'!B6)^(1/COUNT('US-motorbikes-psgr'!$B$1:$AF$1))-1,0)</f>
        <v>0</v>
      </c>
    </row>
    <row r="77" spans="1:3">
      <c r="B77" s="1" t="s">
        <v>5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6</v>
      </c>
      <c r="C78" s="11">
        <f>IFERROR(('US-motorbikes-psgr'!AF8/'US-motorbikes-psgr'!B8)^(1/COUNT('US-motorbikes-psgr'!$B$1:$AF$1))-1,0)</f>
        <v>0</v>
      </c>
    </row>
    <row r="79" spans="1:3">
      <c r="A79" s="9" t="s">
        <v>30</v>
      </c>
      <c r="B79" s="10" t="s">
        <v>0</v>
      </c>
      <c r="C79" s="9">
        <f>IFERROR(('US-motorbikes-frgt'!AF2/'US-motorbikes-frgt'!B2)^(1/COUNT('US-motorbikes-frgt'!$B$1:$AF$1))-1,0)</f>
        <v>0</v>
      </c>
    </row>
    <row r="80" spans="1:3">
      <c r="B80" s="1" t="s">
        <v>1</v>
      </c>
      <c r="C80">
        <f>IFERROR(('US-motorbikes-frgt'!AF3/'US-motorbikes-frgt'!B3)^(1/COUNT('US-motorbikes-frgt'!$B$1:$AF$1))-1,0)</f>
        <v>0</v>
      </c>
    </row>
    <row r="81" spans="1:3">
      <c r="B81" s="1" t="s">
        <v>2</v>
      </c>
      <c r="C81">
        <f>IFERROR(('US-motorbikes-frgt'!AF4/'US-motorbikes-frgt'!B4)^(1/COUNT('US-motorbikes-frgt'!$B$1:$AF$1))-1,0)</f>
        <v>0</v>
      </c>
    </row>
    <row r="82" spans="1:3">
      <c r="B82" s="1" t="s">
        <v>3</v>
      </c>
      <c r="C82">
        <f>IFERROR(('US-motorbikes-frgt'!AF5/'US-motorbikes-frgt'!B5)^(1/COUNT('US-motorbikes-frgt'!$B$1:$AF$1))-1,0)</f>
        <v>0</v>
      </c>
    </row>
    <row r="83" spans="1:3">
      <c r="B83" s="1" t="s">
        <v>4</v>
      </c>
      <c r="C83">
        <f>IFERROR(('US-motorbikes-frgt'!AF6/'US-motorbikes-frgt'!B6)^(1/COUNT('US-motorbikes-frgt'!$B$1:$AF$1))-1,0)</f>
        <v>0</v>
      </c>
    </row>
    <row r="84" spans="1:3">
      <c r="B84" s="1" t="s">
        <v>5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6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>
      <selection activeCell="N13" sqref="N13"/>
    </sheetView>
  </sheetViews>
  <sheetFormatPr defaultRowHeight="14.4"/>
  <cols>
    <col min="1" max="1" width="10.77734375" bestFit="1" customWidth="1"/>
    <col min="2" max="2" width="18.21875" customWidth="1"/>
    <col min="3" max="3" width="11.109375" bestFit="1" customWidth="1"/>
  </cols>
  <sheetData>
    <row r="1" spans="1:4">
      <c r="A1" t="s">
        <v>56</v>
      </c>
    </row>
    <row r="2" spans="1:4">
      <c r="A2" s="25" t="s">
        <v>57</v>
      </c>
      <c r="B2" s="26"/>
      <c r="C2" s="26"/>
      <c r="D2" s="26"/>
    </row>
    <row r="3" spans="1:4">
      <c r="A3" s="22" t="s">
        <v>62</v>
      </c>
    </row>
    <row r="4" spans="1:4">
      <c r="A4" s="27">
        <v>32415.35</v>
      </c>
      <c r="B4" t="s">
        <v>61</v>
      </c>
    </row>
    <row r="5" spans="1:4">
      <c r="A5">
        <v>1.60934</v>
      </c>
      <c r="B5" t="s">
        <v>63</v>
      </c>
    </row>
    <row r="6" spans="1:4">
      <c r="A6">
        <v>1.4</v>
      </c>
      <c r="B6" t="s">
        <v>68</v>
      </c>
    </row>
    <row r="10" spans="1:4">
      <c r="C10" s="22">
        <v>2020</v>
      </c>
    </row>
    <row r="11" spans="1:4">
      <c r="B11" s="29" t="s">
        <v>58</v>
      </c>
      <c r="C11">
        <v>24.1</v>
      </c>
      <c r="D11" t="s">
        <v>60</v>
      </c>
    </row>
    <row r="12" spans="1:4">
      <c r="B12" s="29" t="s">
        <v>59</v>
      </c>
      <c r="C12">
        <v>14.1</v>
      </c>
      <c r="D12" t="s">
        <v>60</v>
      </c>
    </row>
    <row r="14" spans="1:4">
      <c r="A14" s="28" t="s">
        <v>64</v>
      </c>
      <c r="C14" s="22">
        <v>2020</v>
      </c>
    </row>
    <row r="15" spans="1:4">
      <c r="B15" s="29" t="s">
        <v>58</v>
      </c>
      <c r="C15" s="30">
        <f>C11/$A$5</f>
        <v>14.975082953260344</v>
      </c>
      <c r="D15" t="s">
        <v>65</v>
      </c>
    </row>
    <row r="16" spans="1:4">
      <c r="B16" s="29" t="s">
        <v>59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58</v>
      </c>
      <c r="C19" s="31">
        <f>C15/$A$4</f>
        <v>4.6197505050108497E-4</v>
      </c>
      <c r="D19" t="s">
        <v>66</v>
      </c>
    </row>
    <row r="20" spans="1:33">
      <c r="B20" s="29" t="s">
        <v>59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58</v>
      </c>
      <c r="C23" s="31">
        <f>C19*$A$6</f>
        <v>6.4676507070151896E-4</v>
      </c>
      <c r="D23" t="s">
        <v>67</v>
      </c>
    </row>
    <row r="24" spans="1:33">
      <c r="B24" s="29" t="s">
        <v>59</v>
      </c>
      <c r="C24" s="31">
        <f>C20*$A$6</f>
        <v>3.7839782144777654E-4</v>
      </c>
      <c r="D24" t="s">
        <v>67</v>
      </c>
    </row>
    <row r="25" spans="1:33" ht="15" thickBot="1"/>
    <row r="26" spans="1:33" ht="15" thickBot="1">
      <c r="B26" s="22" t="s">
        <v>69</v>
      </c>
      <c r="C26" s="32">
        <f>AVERAGE(C23:C24)</f>
        <v>5.1258144607464772E-4</v>
      </c>
      <c r="D26" t="s">
        <v>67</v>
      </c>
    </row>
    <row r="29" spans="1:33">
      <c r="A29" s="28" t="s">
        <v>70</v>
      </c>
      <c r="D29" s="14"/>
    </row>
    <row r="30" spans="1:33">
      <c r="B30" t="s">
        <v>17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0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4" t="s">
        <v>2</v>
      </c>
      <c r="C33" s="34">
        <v>4.010435677007162E-4</v>
      </c>
      <c r="D33" s="34">
        <v>4.1543936179917892E-4</v>
      </c>
      <c r="E33" s="34">
        <v>4.232456921304615E-4</v>
      </c>
      <c r="F33" s="34">
        <v>4.284224989356039E-4</v>
      </c>
      <c r="G33" s="34">
        <v>4.3223887309206766E-4</v>
      </c>
      <c r="H33" s="34">
        <v>4.3661930301858122E-4</v>
      </c>
      <c r="I33" s="34">
        <v>4.4073837767711228E-4</v>
      </c>
      <c r="J33" s="34">
        <v>4.4130433819121803E-4</v>
      </c>
      <c r="K33" s="34">
        <v>4.4139330713525239E-4</v>
      </c>
      <c r="L33" s="34">
        <v>4.4143859386227608E-4</v>
      </c>
      <c r="M33" s="34">
        <v>4.4252278985937798E-4</v>
      </c>
      <c r="N33" s="34">
        <v>4.4258101673758966E-4</v>
      </c>
      <c r="O33" s="34">
        <v>4.4262644410952699E-4</v>
      </c>
      <c r="P33" s="34">
        <v>4.4263525674443374E-4</v>
      </c>
      <c r="Q33" s="34">
        <v>4.428907913418545E-4</v>
      </c>
      <c r="R33" s="34">
        <v>4.4235185104972023E-4</v>
      </c>
      <c r="S33" s="34">
        <v>4.4180682000362565E-4</v>
      </c>
      <c r="T33" s="34">
        <v>4.415169210975881E-4</v>
      </c>
      <c r="U33" s="34">
        <v>4.4141525513386555E-4</v>
      </c>
      <c r="V33" s="34">
        <v>4.4094858868260617E-4</v>
      </c>
      <c r="W33" s="34">
        <v>4.406528424788466E-4</v>
      </c>
      <c r="X33" s="34">
        <v>4.4046477188487546E-4</v>
      </c>
      <c r="Y33" s="34">
        <v>4.4016736396697124E-4</v>
      </c>
      <c r="Z33" s="34">
        <v>4.3991921468742256E-4</v>
      </c>
      <c r="AA33" s="34">
        <v>4.3980677282836695E-4</v>
      </c>
      <c r="AB33" s="34">
        <v>4.3981133028276362E-4</v>
      </c>
      <c r="AC33" s="34">
        <v>4.3960459654073496E-4</v>
      </c>
      <c r="AD33" s="34">
        <v>4.3945697770705547E-4</v>
      </c>
      <c r="AE33" s="34">
        <v>4.3919624527100954E-4</v>
      </c>
      <c r="AF33" s="34">
        <v>4.3913823303573507E-4</v>
      </c>
      <c r="AG33" s="34">
        <v>4.3909651675542918E-4</v>
      </c>
    </row>
    <row r="34" spans="2:33">
      <c r="B34" t="s">
        <v>3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4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5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6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71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>
      <selection activeCell="K25" sqref="K25"/>
    </sheetView>
  </sheetViews>
  <sheetFormatPr defaultRowHeight="14.4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>
      <selection activeCell="B2" sqref="B2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psgr'!$B$2:$H$2,,MATCH($A2,'SYFAFE psgr'!$B$1:$H$1,0))*(1+INDEX(CAGR!$C$2:$C$8,MATCH($A2,CAGR!$B$2:$B$8,0))),0)</f>
        <v>1.1210378067796234E-3</v>
      </c>
      <c r="C2" s="14">
        <f>IFERROR(B2*(1+INDEX(CAGR!$C$2:$C$8,MATCH($A2,CAGR!$B$2:$B$8,0))),0)</f>
        <v>1.1193494329629081E-3</v>
      </c>
      <c r="D2" s="14">
        <f>IFERROR(C2*(1+INDEX(CAGR!$C$2:$C$8,MATCH($A2,CAGR!$B$2:$B$8,0))),0)</f>
        <v>1.1176636019740328E-3</v>
      </c>
      <c r="E2" s="14">
        <f>IFERROR(D2*(1+INDEX(CAGR!$C$2:$C$8,MATCH($A2,CAGR!$B$2:$B$8,0))),0)</f>
        <v>1.1159803099832929E-3</v>
      </c>
      <c r="F2" s="14">
        <f>IFERROR(E2*(1+INDEX(CAGR!$C$2:$C$8,MATCH($A2,CAGR!$B$2:$B$8,0))),0)</f>
        <v>1.1142995531667511E-3</v>
      </c>
      <c r="G2" s="14">
        <f>IFERROR(F2*(1+INDEX(CAGR!$C$2:$C$8,MATCH($A2,CAGR!$B$2:$B$8,0))),0)</f>
        <v>1.1126213277062298E-3</v>
      </c>
      <c r="H2" s="14">
        <f>IFERROR(G2*(1+INDEX(CAGR!$C$2:$C$8,MATCH($A2,CAGR!$B$2:$B$8,0))),0)</f>
        <v>1.1109456297893016E-3</v>
      </c>
      <c r="I2" s="14">
        <f>IFERROR(H2*(1+INDEX(CAGR!$C$2:$C$8,MATCH($A2,CAGR!$B$2:$B$8,0))),0)</f>
        <v>1.1092724556092809E-3</v>
      </c>
      <c r="J2" s="14">
        <f>IFERROR(I2*(1+INDEX(CAGR!$C$2:$C$8,MATCH($A2,CAGR!$B$2:$B$8,0))),0)</f>
        <v>1.1076018013652152E-3</v>
      </c>
      <c r="K2" s="14">
        <f>IFERROR(J2*(1+INDEX(CAGR!$C$2:$C$8,MATCH($A2,CAGR!$B$2:$B$8,0))),0)</f>
        <v>1.105933663261877E-3</v>
      </c>
      <c r="L2" s="14">
        <f>IFERROR(K2*(1+INDEX(CAGR!$C$2:$C$8,MATCH($A2,CAGR!$B$2:$B$8,0))),0)</f>
        <v>1.104268037509754E-3</v>
      </c>
      <c r="M2" s="14">
        <f>IFERROR(L2*(1+INDEX(CAGR!$C$2:$C$8,MATCH($A2,CAGR!$B$2:$B$8,0))),0)</f>
        <v>1.102604920325042E-3</v>
      </c>
      <c r="N2" s="14">
        <f>IFERROR(M2*(1+INDEX(CAGR!$C$2:$C$8,MATCH($A2,CAGR!$B$2:$B$8,0))),0)</f>
        <v>1.1009443079296347E-3</v>
      </c>
      <c r="O2" s="14">
        <f>IFERROR(N2*(1+INDEX(CAGR!$C$2:$C$8,MATCH($A2,CAGR!$B$2:$B$8,0))),0)</f>
        <v>1.0992861965511166E-3</v>
      </c>
      <c r="P2" s="14">
        <f>IFERROR(O2*(1+INDEX(CAGR!$C$2:$C$8,MATCH($A2,CAGR!$B$2:$B$8,0))),0)</f>
        <v>1.0976305824227535E-3</v>
      </c>
      <c r="Q2" s="14">
        <f>IFERROR(P2*(1+INDEX(CAGR!$C$2:$C$8,MATCH($A2,CAGR!$B$2:$B$8,0))),0)</f>
        <v>1.0959774617834842E-3</v>
      </c>
      <c r="R2" s="14">
        <f>IFERROR(Q2*(1+INDEX(CAGR!$C$2:$C$8,MATCH($A2,CAGR!$B$2:$B$8,0))),0)</f>
        <v>1.0943268308779119E-3</v>
      </c>
      <c r="S2" s="14">
        <f>IFERROR(R2*(1+INDEX(CAGR!$C$2:$C$8,MATCH($A2,CAGR!$B$2:$B$8,0))),0)</f>
        <v>1.0926786859562958E-3</v>
      </c>
      <c r="T2" s="14">
        <f>IFERROR(S2*(1+INDEX(CAGR!$C$2:$C$8,MATCH($A2,CAGR!$B$2:$B$8,0))),0)</f>
        <v>1.0910330232745426E-3</v>
      </c>
      <c r="U2" s="14">
        <f>IFERROR(T2*(1+INDEX(CAGR!$C$2:$C$8,MATCH($A2,CAGR!$B$2:$B$8,0))),0)</f>
        <v>1.0893898390941978E-3</v>
      </c>
      <c r="V2" s="14">
        <f>IFERROR(U2*(1+INDEX(CAGR!$C$2:$C$8,MATCH($A2,CAGR!$B$2:$B$8,0))),0)</f>
        <v>1.0877491296824376E-3</v>
      </c>
      <c r="W2" s="14">
        <f>IFERROR(V2*(1+INDEX(CAGR!$C$2:$C$8,MATCH($A2,CAGR!$B$2:$B$8,0))),0)</f>
        <v>1.0861108913120595E-3</v>
      </c>
      <c r="X2" s="14">
        <f>IFERROR(W2*(1+INDEX(CAGR!$C$2:$C$8,MATCH($A2,CAGR!$B$2:$B$8,0))),0)</f>
        <v>1.0844751202614751E-3</v>
      </c>
      <c r="Y2" s="14">
        <f>IFERROR(X2*(1+INDEX(CAGR!$C$2:$C$8,MATCH($A2,CAGR!$B$2:$B$8,0))),0)</f>
        <v>1.0828418128147007E-3</v>
      </c>
      <c r="Z2" s="14">
        <f>IFERROR(Y2*(1+INDEX(CAGR!$C$2:$C$8,MATCH($A2,CAGR!$B$2:$B$8,0))),0)</f>
        <v>1.0812109652613493E-3</v>
      </c>
      <c r="AA2" s="14">
        <f>IFERROR(Z2*(1+INDEX(CAGR!$C$2:$C$8,MATCH($A2,CAGR!$B$2:$B$8,0))),0)</f>
        <v>1.079582573896622E-3</v>
      </c>
      <c r="AB2" s="14">
        <f>IFERROR(AA2*(1+INDEX(CAGR!$C$2:$C$8,MATCH($A2,CAGR!$B$2:$B$8,0))),0)</f>
        <v>1.0779566350212994E-3</v>
      </c>
      <c r="AC2" s="14">
        <f>IFERROR(AB2*(1+INDEX(CAGR!$C$2:$C$8,MATCH($A2,CAGR!$B$2:$B$8,0))),0)</f>
        <v>1.0763331449417338E-3</v>
      </c>
      <c r="AD2" s="14">
        <f>IFERROR(AC2*(1+INDEX(CAGR!$C$2:$C$8,MATCH($A2,CAGR!$B$2:$B$8,0))),0)</f>
        <v>1.0747120999698404E-3</v>
      </c>
      <c r="AE2" s="14">
        <f>IFERROR(AD2*(1+INDEX(CAGR!$C$2:$C$8,MATCH($A2,CAGR!$B$2:$B$8,0))),0)</f>
        <v>1.0730934964230886E-3</v>
      </c>
      <c r="AF2" s="14">
        <f>IFERROR(AE2*(1+INDEX(CAGR!$C$2:$C$8,MATCH($A2,CAGR!$B$2:$B$8,0))),0)</f>
        <v>1.0714773306244943E-3</v>
      </c>
      <c r="AG2" s="14"/>
    </row>
    <row r="3" spans="1:33">
      <c r="A3" s="1" t="s">
        <v>1</v>
      </c>
      <c r="B3" s="14">
        <f>IFERROR(INDEX('SYFAFE psgr'!$B$2:$H$2,,MATCH($A3,'SYFAFE psgr'!$B$1:$H$1,0))*(1+INDEX(CAGR!$C$2:$C$8,MATCH($A3,CAGR!$B$2:$B$8,0))),0)</f>
        <v>2.3811098117746028E-4</v>
      </c>
      <c r="C3" s="14">
        <f>IFERROR(B3*(1+INDEX(CAGR!$C$2:$C$8,MATCH($A3,CAGR!$B$2:$B$8,0))),0)</f>
        <v>2.3870832530410716E-4</v>
      </c>
      <c r="D3" s="14">
        <f>IFERROR(C3*(1+INDEX(CAGR!$C$2:$C$8,MATCH($A3,CAGR!$B$2:$B$8,0))),0)</f>
        <v>2.3930716797569251E-4</v>
      </c>
      <c r="E3" s="14">
        <f>IFERROR(D3*(1+INDEX(CAGR!$C$2:$C$8,MATCH($A3,CAGR!$B$2:$B$8,0))),0)</f>
        <v>2.3990751295158524E-4</v>
      </c>
      <c r="F3" s="14">
        <f>IFERROR(E3*(1+INDEX(CAGR!$C$2:$C$8,MATCH($A3,CAGR!$B$2:$B$8,0))),0)</f>
        <v>2.4050936400058529E-4</v>
      </c>
      <c r="G3" s="14">
        <f>IFERROR(F3*(1+INDEX(CAGR!$C$2:$C$8,MATCH($A3,CAGR!$B$2:$B$8,0))),0)</f>
        <v>2.4111272490094732E-4</v>
      </c>
      <c r="H3" s="14">
        <f>IFERROR(G3*(1+INDEX(CAGR!$C$2:$C$8,MATCH($A3,CAGR!$B$2:$B$8,0))),0)</f>
        <v>2.4171759944040445E-4</v>
      </c>
      <c r="I3" s="14">
        <f>IFERROR(H3*(1+INDEX(CAGR!$C$2:$C$8,MATCH($A3,CAGR!$B$2:$B$8,0))),0)</f>
        <v>2.4232399141619197E-4</v>
      </c>
      <c r="J3" s="14">
        <f>IFERROR(I3*(1+INDEX(CAGR!$C$2:$C$8,MATCH($A3,CAGR!$B$2:$B$8,0))),0)</f>
        <v>2.4293190463507122E-4</v>
      </c>
      <c r="K3" s="14">
        <f>IFERROR(J3*(1+INDEX(CAGR!$C$2:$C$8,MATCH($A3,CAGR!$B$2:$B$8,0))),0)</f>
        <v>2.4354134291335351E-4</v>
      </c>
      <c r="L3" s="14">
        <f>IFERROR(K3*(1+INDEX(CAGR!$C$2:$C$8,MATCH($A3,CAGR!$B$2:$B$8,0))),0)</f>
        <v>2.4415231007692402E-4</v>
      </c>
      <c r="M3" s="14">
        <f>IFERROR(L3*(1+INDEX(CAGR!$C$2:$C$8,MATCH($A3,CAGR!$B$2:$B$8,0))),0)</f>
        <v>2.4476480996126588E-4</v>
      </c>
      <c r="N3" s="14">
        <f>IFERROR(M3*(1+INDEX(CAGR!$C$2:$C$8,MATCH($A3,CAGR!$B$2:$B$8,0))),0)</f>
        <v>2.4537884641148418E-4</v>
      </c>
      <c r="O3" s="14">
        <f>IFERROR(N3*(1+INDEX(CAGR!$C$2:$C$8,MATCH($A3,CAGR!$B$2:$B$8,0))),0)</f>
        <v>2.4599442328233012E-4</v>
      </c>
      <c r="P3" s="14">
        <f>IFERROR(O3*(1+INDEX(CAGR!$C$2:$C$8,MATCH($A3,CAGR!$B$2:$B$8,0))),0)</f>
        <v>2.4661154443822534E-4</v>
      </c>
      <c r="Q3" s="14">
        <f>IFERROR(P3*(1+INDEX(CAGR!$C$2:$C$8,MATCH($A3,CAGR!$B$2:$B$8,0))),0)</f>
        <v>2.4723021375328604E-4</v>
      </c>
      <c r="R3" s="14">
        <f>IFERROR(Q3*(1+INDEX(CAGR!$C$2:$C$8,MATCH($A3,CAGR!$B$2:$B$8,0))),0)</f>
        <v>2.4785043511134727E-4</v>
      </c>
      <c r="S3" s="14">
        <f>IFERROR(R3*(1+INDEX(CAGR!$C$2:$C$8,MATCH($A3,CAGR!$B$2:$B$8,0))),0)</f>
        <v>2.484722124059874E-4</v>
      </c>
      <c r="T3" s="14">
        <f>IFERROR(S3*(1+INDEX(CAGR!$C$2:$C$8,MATCH($A3,CAGR!$B$2:$B$8,0))),0)</f>
        <v>2.4909554954055262E-4</v>
      </c>
      <c r="U3" s="14">
        <f>IFERROR(T3*(1+INDEX(CAGR!$C$2:$C$8,MATCH($A3,CAGR!$B$2:$B$8,0))),0)</f>
        <v>2.4972045042818129E-4</v>
      </c>
      <c r="V3" s="14">
        <f>IFERROR(U3*(1+INDEX(CAGR!$C$2:$C$8,MATCH($A3,CAGR!$B$2:$B$8,0))),0)</f>
        <v>2.5034691899182852E-4</v>
      </c>
      <c r="W3" s="14">
        <f>IFERROR(V3*(1+INDEX(CAGR!$C$2:$C$8,MATCH($A3,CAGR!$B$2:$B$8,0))),0)</f>
        <v>2.5097495916429101E-4</v>
      </c>
      <c r="X3" s="14">
        <f>IFERROR(W3*(1+INDEX(CAGR!$C$2:$C$8,MATCH($A3,CAGR!$B$2:$B$8,0))),0)</f>
        <v>2.5160457488823153E-4</v>
      </c>
      <c r="Y3" s="14">
        <f>IFERROR(X3*(1+INDEX(CAGR!$C$2:$C$8,MATCH($A3,CAGR!$B$2:$B$8,0))),0)</f>
        <v>2.5223577011620362E-4</v>
      </c>
      <c r="Z3" s="14">
        <f>IFERROR(Y3*(1+INDEX(CAGR!$C$2:$C$8,MATCH($A3,CAGR!$B$2:$B$8,0))),0)</f>
        <v>2.5286854881067665E-4</v>
      </c>
      <c r="AA3" s="14">
        <f>IFERROR(Z3*(1+INDEX(CAGR!$C$2:$C$8,MATCH($A3,CAGR!$B$2:$B$8,0))),0)</f>
        <v>2.5350291494406047E-4</v>
      </c>
      <c r="AB3" s="14">
        <f>IFERROR(AA3*(1+INDEX(CAGR!$C$2:$C$8,MATCH($A3,CAGR!$B$2:$B$8,0))),0)</f>
        <v>2.5413887249873049E-4</v>
      </c>
      <c r="AC3" s="14">
        <f>IFERROR(AB3*(1+INDEX(CAGR!$C$2:$C$8,MATCH($A3,CAGR!$B$2:$B$8,0))),0)</f>
        <v>2.5477642546705255E-4</v>
      </c>
      <c r="AD3" s="14">
        <f>IFERROR(AC3*(1+INDEX(CAGR!$C$2:$C$8,MATCH($A3,CAGR!$B$2:$B$8,0))),0)</f>
        <v>2.5541557785140816E-4</v>
      </c>
      <c r="AE3" s="14">
        <f>IFERROR(AD3*(1+INDEX(CAGR!$C$2:$C$8,MATCH($A3,CAGR!$B$2:$B$8,0))),0)</f>
        <v>2.5605633366421941E-4</v>
      </c>
      <c r="AF3" s="14">
        <f>IFERROR(AE3*(1+INDEX(CAGR!$C$2:$C$8,MATCH($A3,CAGR!$B$2:$B$8,0))),0)</f>
        <v>2.566986969279744E-4</v>
      </c>
      <c r="AG3" s="14"/>
    </row>
    <row r="4" spans="1:33">
      <c r="A4" s="1" t="s">
        <v>2</v>
      </c>
      <c r="B4" s="33">
        <f>'SK_fuel econ'!$C$26*INDEX('SK_fuel econ'!$C$40:$AG$40,MATCH(B1,'SK_fuel econ'!$C$39:$AG$39,0))</f>
        <v>5.1258144607464772E-4</v>
      </c>
      <c r="C4" s="33">
        <f>'SK_fuel econ'!$C$26*INDEX('SK_fuel econ'!$C$40:$AG$40,MATCH(C1,'SK_fuel econ'!$C$39:$AG$39,0))</f>
        <v>5.309809855528363E-4</v>
      </c>
      <c r="D4" s="33">
        <f>'SK_fuel econ'!$C$26*INDEX('SK_fuel econ'!$C$40:$AG$40,MATCH(D1,'SK_fuel econ'!$C$39:$AG$39,0))</f>
        <v>5.4095840549423088E-4</v>
      </c>
      <c r="E4" s="33">
        <f>'SK_fuel econ'!$C$26*INDEX('SK_fuel econ'!$C$40:$AG$40,MATCH(E1,'SK_fuel econ'!$C$39:$AG$39,0))</f>
        <v>5.4757498117812074E-4</v>
      </c>
      <c r="F4" s="33">
        <f>'SK_fuel econ'!$C$26*INDEX('SK_fuel econ'!$C$40:$AG$40,MATCH(F1,'SK_fuel econ'!$C$39:$AG$39,0))</f>
        <v>5.5245276190178997E-4</v>
      </c>
      <c r="G4" s="33">
        <f>'SK_fuel econ'!$C$26*INDEX('SK_fuel econ'!$C$40:$AG$40,MATCH(G1,'SK_fuel econ'!$C$39:$AG$39,0))</f>
        <v>5.5805147308180968E-4</v>
      </c>
      <c r="H4" s="33">
        <f>'SK_fuel econ'!$C$26*INDEX('SK_fuel econ'!$C$40:$AG$40,MATCH(H1,'SK_fuel econ'!$C$39:$AG$39,0))</f>
        <v>5.6331614110045978E-4</v>
      </c>
      <c r="I4" s="33">
        <f>'SK_fuel econ'!$C$26*INDEX('SK_fuel econ'!$C$40:$AG$40,MATCH(I1,'SK_fuel econ'!$C$39:$AG$39,0))</f>
        <v>5.6403950604657944E-4</v>
      </c>
      <c r="J4" s="33">
        <f>'SK_fuel econ'!$C$26*INDEX('SK_fuel econ'!$C$40:$AG$40,MATCH(J1,'SK_fuel econ'!$C$39:$AG$39,0))</f>
        <v>5.6415321895375895E-4</v>
      </c>
      <c r="K4" s="33">
        <f>'SK_fuel econ'!$C$26*INDEX('SK_fuel econ'!$C$40:$AG$40,MATCH(K1,'SK_fuel econ'!$C$39:$AG$39,0))</f>
        <v>5.6421110078480011E-4</v>
      </c>
      <c r="L4" s="33">
        <f>'SK_fuel econ'!$C$26*INDEX('SK_fuel econ'!$C$40:$AG$40,MATCH(L1,'SK_fuel econ'!$C$39:$AG$39,0))</f>
        <v>5.6559683240296071E-4</v>
      </c>
      <c r="M4" s="33">
        <f>'SK_fuel econ'!$C$26*INDEX('SK_fuel econ'!$C$40:$AG$40,MATCH(M1,'SK_fuel econ'!$C$39:$AG$39,0))</f>
        <v>5.6567125328846519E-4</v>
      </c>
      <c r="N4" s="33">
        <f>'SK_fuel econ'!$C$26*INDEX('SK_fuel econ'!$C$40:$AG$40,MATCH(N1,'SK_fuel econ'!$C$39:$AG$39,0))</f>
        <v>5.657293148804576E-4</v>
      </c>
      <c r="O4" s="33">
        <f>'SK_fuel econ'!$C$26*INDEX('SK_fuel econ'!$C$40:$AG$40,MATCH(O1,'SK_fuel econ'!$C$39:$AG$39,0))</f>
        <v>5.6574057847750289E-4</v>
      </c>
      <c r="P4" s="33">
        <f>'SK_fuel econ'!$C$26*INDEX('SK_fuel econ'!$C$40:$AG$40,MATCH(P1,'SK_fuel econ'!$C$39:$AG$39,0))</f>
        <v>5.6606718212861998E-4</v>
      </c>
      <c r="Q4" s="33">
        <f>'SK_fuel econ'!$C$26*INDEX('SK_fuel econ'!$C$40:$AG$40,MATCH(Q1,'SK_fuel econ'!$C$39:$AG$39,0))</f>
        <v>5.6537835224444082E-4</v>
      </c>
      <c r="R4" s="33">
        <f>'SK_fuel econ'!$C$26*INDEX('SK_fuel econ'!$C$40:$AG$40,MATCH(R1,'SK_fuel econ'!$C$39:$AG$39,0))</f>
        <v>5.6468173765125717E-4</v>
      </c>
      <c r="S4" s="33">
        <f>'SK_fuel econ'!$C$26*INDEX('SK_fuel econ'!$C$40:$AG$40,MATCH(S1,'SK_fuel econ'!$C$39:$AG$39,0))</f>
        <v>5.6431121232074482E-4</v>
      </c>
      <c r="T4" s="33">
        <f>'SK_fuel econ'!$C$26*INDEX('SK_fuel econ'!$C$40:$AG$40,MATCH(T1,'SK_fuel econ'!$C$39:$AG$39,0))</f>
        <v>5.6418127111011707E-4</v>
      </c>
      <c r="U4" s="33">
        <f>'SK_fuel econ'!$C$26*INDEX('SK_fuel econ'!$C$40:$AG$40,MATCH(U1,'SK_fuel econ'!$C$39:$AG$39,0))</f>
        <v>5.6358481580279858E-4</v>
      </c>
      <c r="V4" s="33">
        <f>'SK_fuel econ'!$C$26*INDEX('SK_fuel econ'!$C$40:$AG$40,MATCH(V1,'SK_fuel econ'!$C$39:$AG$39,0))</f>
        <v>5.6320681692935122E-4</v>
      </c>
      <c r="W4" s="33">
        <f>'SK_fuel econ'!$C$26*INDEX('SK_fuel econ'!$C$40:$AG$40,MATCH(W1,'SK_fuel econ'!$C$39:$AG$39,0))</f>
        <v>5.6296644030998664E-4</v>
      </c>
      <c r="X4" s="33">
        <f>'SK_fuel econ'!$C$26*INDEX('SK_fuel econ'!$C$40:$AG$40,MATCH(X1,'SK_fuel econ'!$C$39:$AG$39,0))</f>
        <v>5.6258631756794287E-4</v>
      </c>
      <c r="Y4" s="33">
        <f>'SK_fuel econ'!$C$26*INDEX('SK_fuel econ'!$C$40:$AG$40,MATCH(Y1,'SK_fuel econ'!$C$39:$AG$39,0))</f>
        <v>5.6226915323269943E-4</v>
      </c>
      <c r="Z4" s="33">
        <f>'SK_fuel econ'!$C$26*INDEX('SK_fuel econ'!$C$40:$AG$40,MATCH(Z1,'SK_fuel econ'!$C$39:$AG$39,0))</f>
        <v>5.6212543914436618E-4</v>
      </c>
      <c r="AA4" s="33">
        <f>'SK_fuel econ'!$C$26*INDEX('SK_fuel econ'!$C$40:$AG$40,MATCH(AA1,'SK_fuel econ'!$C$39:$AG$39,0))</f>
        <v>5.6213126411390349E-4</v>
      </c>
      <c r="AB4" s="33">
        <f>'SK_fuel econ'!$C$26*INDEX('SK_fuel econ'!$C$40:$AG$40,MATCH(AB1,'SK_fuel econ'!$C$39:$AG$39,0))</f>
        <v>5.6186703376843506E-4</v>
      </c>
      <c r="AC4" s="33">
        <f>'SK_fuel econ'!$C$26*INDEX('SK_fuel econ'!$C$40:$AG$40,MATCH(AC1,'SK_fuel econ'!$C$39:$AG$39,0))</f>
        <v>5.6167835931675628E-4</v>
      </c>
      <c r="AD4" s="33">
        <f>'SK_fuel econ'!$C$26*INDEX('SK_fuel econ'!$C$40:$AG$40,MATCH(AD1,'SK_fuel econ'!$C$39:$AG$39,0))</f>
        <v>5.6134511220878435E-4</v>
      </c>
      <c r="AE4" s="33">
        <f>'SK_fuel econ'!$C$26*INDEX('SK_fuel econ'!$C$40:$AG$40,MATCH(AE1,'SK_fuel econ'!$C$39:$AG$39,0))</f>
        <v>5.6127096566251891E-4</v>
      </c>
      <c r="AF4" s="33">
        <f>'SK_fuel econ'!$C$26*INDEX('SK_fuel econ'!$C$40:$AG$40,MATCH(AF1,'SK_fuel econ'!$C$39:$AG$39,0))</f>
        <v>5.6121764728764344E-4</v>
      </c>
      <c r="AG4" s="14"/>
    </row>
    <row r="5" spans="1:33">
      <c r="A5" s="1" t="s">
        <v>3</v>
      </c>
      <c r="B5" s="14">
        <f>IFERROR(INDEX('SYFAFE psgr'!$B$2:$H$2,,MATCH($A5,'SYFAFE psgr'!$B$1:$H$1,0))*(1+INDEX(CAGR!$C$2:$C$8,MATCH($A5,CAGR!$B$2:$B$8,0))),0)</f>
        <v>2.4730259789291966E-4</v>
      </c>
      <c r="C5" s="14">
        <f>IFERROR(B5*(1+INDEX(CAGR!$C$2:$C$8,MATCH($A5,CAGR!$B$2:$B$8,0))),0)</f>
        <v>2.4752101291786437E-4</v>
      </c>
      <c r="D5" s="14">
        <f>IFERROR(C5*(1+INDEX(CAGR!$C$2:$C$8,MATCH($A5,CAGR!$B$2:$B$8,0))),0)</f>
        <v>2.4773962084463674E-4</v>
      </c>
      <c r="E5" s="14">
        <f>IFERROR(D5*(1+INDEX(CAGR!$C$2:$C$8,MATCH($A5,CAGR!$B$2:$B$8,0))),0)</f>
        <v>2.4795842184360562E-4</v>
      </c>
      <c r="F5" s="14">
        <f>IFERROR(E5*(1+INDEX(CAGR!$C$2:$C$8,MATCH($A5,CAGR!$B$2:$B$8,0))),0)</f>
        <v>2.4817741608529033E-4</v>
      </c>
      <c r="G5" s="14">
        <f>IFERROR(F5*(1+INDEX(CAGR!$C$2:$C$8,MATCH($A5,CAGR!$B$2:$B$8,0))),0)</f>
        <v>2.4839660374036078E-4</v>
      </c>
      <c r="H5" s="14">
        <f>IFERROR(G5*(1+INDEX(CAGR!$C$2:$C$8,MATCH($A5,CAGR!$B$2:$B$8,0))),0)</f>
        <v>2.4861598497963761E-4</v>
      </c>
      <c r="I5" s="14">
        <f>IFERROR(H5*(1+INDEX(CAGR!$C$2:$C$8,MATCH($A5,CAGR!$B$2:$B$8,0))),0)</f>
        <v>2.4883555997409236E-4</v>
      </c>
      <c r="J5" s="14">
        <f>IFERROR(I5*(1+INDEX(CAGR!$C$2:$C$8,MATCH($A5,CAGR!$B$2:$B$8,0))),0)</f>
        <v>2.4905532889484753E-4</v>
      </c>
      <c r="K5" s="14">
        <f>IFERROR(J5*(1+INDEX(CAGR!$C$2:$C$8,MATCH($A5,CAGR!$B$2:$B$8,0))),0)</f>
        <v>2.4927529191317676E-4</v>
      </c>
      <c r="L5" s="14">
        <f>IFERROR(K5*(1+INDEX(CAGR!$C$2:$C$8,MATCH($A5,CAGR!$B$2:$B$8,0))),0)</f>
        <v>2.4949544920050494E-4</v>
      </c>
      <c r="M5" s="14">
        <f>IFERROR(L5*(1+INDEX(CAGR!$C$2:$C$8,MATCH($A5,CAGR!$B$2:$B$8,0))),0)</f>
        <v>2.4971580092840841E-4</v>
      </c>
      <c r="N5" s="14">
        <f>IFERROR(M5*(1+INDEX(CAGR!$C$2:$C$8,MATCH($A5,CAGR!$B$2:$B$8,0))),0)</f>
        <v>2.4993634726861499E-4</v>
      </c>
      <c r="O5" s="14">
        <f>IFERROR(N5*(1+INDEX(CAGR!$C$2:$C$8,MATCH($A5,CAGR!$B$2:$B$8,0))),0)</f>
        <v>2.5015708839300422E-4</v>
      </c>
      <c r="P5" s="14">
        <f>IFERROR(O5*(1+INDEX(CAGR!$C$2:$C$8,MATCH($A5,CAGR!$B$2:$B$8,0))),0)</f>
        <v>2.5037802447360743E-4</v>
      </c>
      <c r="Q5" s="14">
        <f>IFERROR(P5*(1+INDEX(CAGR!$C$2:$C$8,MATCH($A5,CAGR!$B$2:$B$8,0))),0)</f>
        <v>2.5059915568260787E-4</v>
      </c>
      <c r="R5" s="14">
        <f>IFERROR(Q5*(1+INDEX(CAGR!$C$2:$C$8,MATCH($A5,CAGR!$B$2:$B$8,0))),0)</f>
        <v>2.5082048219234087E-4</v>
      </c>
      <c r="S5" s="14">
        <f>IFERROR(R5*(1+INDEX(CAGR!$C$2:$C$8,MATCH($A5,CAGR!$B$2:$B$8,0))),0)</f>
        <v>2.5104200417529394E-4</v>
      </c>
      <c r="T5" s="14">
        <f>IFERROR(S5*(1+INDEX(CAGR!$C$2:$C$8,MATCH($A5,CAGR!$B$2:$B$8,0))),0)</f>
        <v>2.5126372180410693E-4</v>
      </c>
      <c r="U5" s="14">
        <f>IFERROR(T5*(1+INDEX(CAGR!$C$2:$C$8,MATCH($A5,CAGR!$B$2:$B$8,0))),0)</f>
        <v>2.5148563525157223E-4</v>
      </c>
      <c r="V5" s="14">
        <f>IFERROR(U5*(1+INDEX(CAGR!$C$2:$C$8,MATCH($A5,CAGR!$B$2:$B$8,0))),0)</f>
        <v>2.5170774469063478E-4</v>
      </c>
      <c r="W5" s="14">
        <f>IFERROR(V5*(1+INDEX(CAGR!$C$2:$C$8,MATCH($A5,CAGR!$B$2:$B$8,0))),0)</f>
        <v>2.5193005029439228E-4</v>
      </c>
      <c r="X5" s="14">
        <f>IFERROR(W5*(1+INDEX(CAGR!$C$2:$C$8,MATCH($A5,CAGR!$B$2:$B$8,0))),0)</f>
        <v>2.5215255223609529E-4</v>
      </c>
      <c r="Y5" s="14">
        <f>IFERROR(X5*(1+INDEX(CAGR!$C$2:$C$8,MATCH($A5,CAGR!$B$2:$B$8,0))),0)</f>
        <v>2.5237525068914739E-4</v>
      </c>
      <c r="Z5" s="14">
        <f>IFERROR(Y5*(1+INDEX(CAGR!$C$2:$C$8,MATCH($A5,CAGR!$B$2:$B$8,0))),0)</f>
        <v>2.5259814582710531E-4</v>
      </c>
      <c r="AA5" s="14">
        <f>IFERROR(Z5*(1+INDEX(CAGR!$C$2:$C$8,MATCH($A5,CAGR!$B$2:$B$8,0))),0)</f>
        <v>2.5282123782367912E-4</v>
      </c>
      <c r="AB5" s="14">
        <f>IFERROR(AA5*(1+INDEX(CAGR!$C$2:$C$8,MATCH($A5,CAGR!$B$2:$B$8,0))),0)</f>
        <v>2.5304452685273219E-4</v>
      </c>
      <c r="AC5" s="14">
        <f>IFERROR(AB5*(1+INDEX(CAGR!$C$2:$C$8,MATCH($A5,CAGR!$B$2:$B$8,0))),0)</f>
        <v>2.5326801308828156E-4</v>
      </c>
      <c r="AD5" s="14">
        <f>IFERROR(AC5*(1+INDEX(CAGR!$C$2:$C$8,MATCH($A5,CAGR!$B$2:$B$8,0))),0)</f>
        <v>2.5349169670449786E-4</v>
      </c>
      <c r="AE5" s="14">
        <f>IFERROR(AD5*(1+INDEX(CAGR!$C$2:$C$8,MATCH($A5,CAGR!$B$2:$B$8,0))),0)</f>
        <v>2.5371557787570563E-4</v>
      </c>
      <c r="AF5" s="14">
        <f>IFERROR(AE5*(1+INDEX(CAGR!$C$2:$C$8,MATCH($A5,CAGR!$B$2:$B$8,0))),0)</f>
        <v>2.5393965677638334E-4</v>
      </c>
      <c r="AG5" s="14"/>
    </row>
    <row r="6" spans="1:33">
      <c r="A6" s="1" t="s">
        <v>4</v>
      </c>
      <c r="B6" s="14">
        <f>IFERROR(INDEX('SYFAFE psgr'!$B$2:$H$2,,MATCH($A6,'SYFAFE psgr'!$B$1:$H$1,0))*(1+INDEX(CAGR!$C$2:$C$8,MATCH($A6,CAGR!$B$2:$B$8,0))),0)</f>
        <v>2.4890563815385648E-4</v>
      </c>
      <c r="C6" s="14">
        <f>IFERROR(B6*(1+INDEX(CAGR!$C$2:$C$8,MATCH($A6,CAGR!$B$2:$B$8,0))),0)</f>
        <v>2.4971896083325677E-4</v>
      </c>
      <c r="D6" s="14">
        <f>IFERROR(C6*(1+INDEX(CAGR!$C$2:$C$8,MATCH($A6,CAGR!$B$2:$B$8,0))),0)</f>
        <v>2.5053494112132249E-4</v>
      </c>
      <c r="E6" s="14">
        <f>IFERROR(D6*(1+INDEX(CAGR!$C$2:$C$8,MATCH($A6,CAGR!$B$2:$B$8,0))),0)</f>
        <v>2.513535877020409E-4</v>
      </c>
      <c r="F6" s="14">
        <f>IFERROR(E6*(1+INDEX(CAGR!$C$2:$C$8,MATCH($A6,CAGR!$B$2:$B$8,0))),0)</f>
        <v>2.521749092877751E-4</v>
      </c>
      <c r="G6" s="14">
        <f>IFERROR(F6*(1+INDEX(CAGR!$C$2:$C$8,MATCH($A6,CAGR!$B$2:$B$8,0))),0)</f>
        <v>2.5299891461935653E-4</v>
      </c>
      <c r="H6" s="14">
        <f>IFERROR(G6*(1+INDEX(CAGR!$C$2:$C$8,MATCH($A6,CAGR!$B$2:$B$8,0))),0)</f>
        <v>2.5382561246617831E-4</v>
      </c>
      <c r="I6" s="14">
        <f>IFERROR(H6*(1+INDEX(CAGR!$C$2:$C$8,MATCH($A6,CAGR!$B$2:$B$8,0))),0)</f>
        <v>2.5465501162628816E-4</v>
      </c>
      <c r="J6" s="14">
        <f>IFERROR(I6*(1+INDEX(CAGR!$C$2:$C$8,MATCH($A6,CAGR!$B$2:$B$8,0))),0)</f>
        <v>2.5548712092648241E-4</v>
      </c>
      <c r="K6" s="14">
        <f>IFERROR(J6*(1+INDEX(CAGR!$C$2:$C$8,MATCH($A6,CAGR!$B$2:$B$8,0))),0)</f>
        <v>2.5632194922239974E-4</v>
      </c>
      <c r="L6" s="14">
        <f>IFERROR(K6*(1+INDEX(CAGR!$C$2:$C$8,MATCH($A6,CAGR!$B$2:$B$8,0))),0)</f>
        <v>2.5715950539861545E-4</v>
      </c>
      <c r="M6" s="14">
        <f>IFERROR(L6*(1+INDEX(CAGR!$C$2:$C$8,MATCH($A6,CAGR!$B$2:$B$8,0))),0)</f>
        <v>2.5799979836873605E-4</v>
      </c>
      <c r="N6" s="14">
        <f>IFERROR(M6*(1+INDEX(CAGR!$C$2:$C$8,MATCH($A6,CAGR!$B$2:$B$8,0))),0)</f>
        <v>2.5884283707549406E-4</v>
      </c>
      <c r="O6" s="14">
        <f>IFERROR(N6*(1+INDEX(CAGR!$C$2:$C$8,MATCH($A6,CAGR!$B$2:$B$8,0))),0)</f>
        <v>2.5968863049084323E-4</v>
      </c>
      <c r="P6" s="14">
        <f>IFERROR(O6*(1+INDEX(CAGR!$C$2:$C$8,MATCH($A6,CAGR!$B$2:$B$8,0))),0)</f>
        <v>2.6053718761605407E-4</v>
      </c>
      <c r="Q6" s="14">
        <f>IFERROR(P6*(1+INDEX(CAGR!$C$2:$C$8,MATCH($A6,CAGR!$B$2:$B$8,0))),0)</f>
        <v>2.6138851748180956E-4</v>
      </c>
      <c r="R6" s="14">
        <f>IFERROR(Q6*(1+INDEX(CAGR!$C$2:$C$8,MATCH($A6,CAGR!$B$2:$B$8,0))),0)</f>
        <v>2.6224262914830131E-4</v>
      </c>
      <c r="S6" s="14">
        <f>IFERROR(R6*(1+INDEX(CAGR!$C$2:$C$8,MATCH($A6,CAGR!$B$2:$B$8,0))),0)</f>
        <v>2.6309953170532591E-4</v>
      </c>
      <c r="T6" s="14">
        <f>IFERROR(S6*(1+INDEX(CAGR!$C$2:$C$8,MATCH($A6,CAGR!$B$2:$B$8,0))),0)</f>
        <v>2.6395923427238174E-4</v>
      </c>
      <c r="U6" s="14">
        <f>IFERROR(T6*(1+INDEX(CAGR!$C$2:$C$8,MATCH($A6,CAGR!$B$2:$B$8,0))),0)</f>
        <v>2.6482174599876606E-4</v>
      </c>
      <c r="V6" s="14">
        <f>IFERROR(U6*(1+INDEX(CAGR!$C$2:$C$8,MATCH($A6,CAGR!$B$2:$B$8,0))),0)</f>
        <v>2.656870760636722E-4</v>
      </c>
      <c r="W6" s="14">
        <f>IFERROR(V6*(1+INDEX(CAGR!$C$2:$C$8,MATCH($A6,CAGR!$B$2:$B$8,0))),0)</f>
        <v>2.6655523367628749E-4</v>
      </c>
      <c r="X6" s="14">
        <f>IFERROR(W6*(1+INDEX(CAGR!$C$2:$C$8,MATCH($A6,CAGR!$B$2:$B$8,0))),0)</f>
        <v>2.674262280758911E-4</v>
      </c>
      <c r="Y6" s="14">
        <f>IFERROR(X6*(1+INDEX(CAGR!$C$2:$C$8,MATCH($A6,CAGR!$B$2:$B$8,0))),0)</f>
        <v>2.6830006853195243E-4</v>
      </c>
      <c r="Z6" s="14">
        <f>IFERROR(Y6*(1+INDEX(CAGR!$C$2:$C$8,MATCH($A6,CAGR!$B$2:$B$8,0))),0)</f>
        <v>2.6917676434422971E-4</v>
      </c>
      <c r="AA6" s="14">
        <f>IFERROR(Z6*(1+INDEX(CAGR!$C$2:$C$8,MATCH($A6,CAGR!$B$2:$B$8,0))),0)</f>
        <v>2.7005632484286909E-4</v>
      </c>
      <c r="AB6" s="14">
        <f>IFERROR(AA6*(1+INDEX(CAGR!$C$2:$C$8,MATCH($A6,CAGR!$B$2:$B$8,0))),0)</f>
        <v>2.7093875938850377E-4</v>
      </c>
      <c r="AC6" s="14">
        <f>IFERROR(AB6*(1+INDEX(CAGR!$C$2:$C$8,MATCH($A6,CAGR!$B$2:$B$8,0))),0)</f>
        <v>2.7182407737235369E-4</v>
      </c>
      <c r="AD6" s="14">
        <f>IFERROR(AC6*(1+INDEX(CAGR!$C$2:$C$8,MATCH($A6,CAGR!$B$2:$B$8,0))),0)</f>
        <v>2.7271228821632558E-4</v>
      </c>
      <c r="AE6" s="14">
        <f>IFERROR(AD6*(1+INDEX(CAGR!$C$2:$C$8,MATCH($A6,CAGR!$B$2:$B$8,0))),0)</f>
        <v>2.7360340137311311E-4</v>
      </c>
      <c r="AF6" s="14">
        <f>IFERROR(AE6*(1+INDEX(CAGR!$C$2:$C$8,MATCH($A6,CAGR!$B$2:$B$8,0))),0)</f>
        <v>2.7449742632629746E-4</v>
      </c>
      <c r="AG6" s="14"/>
    </row>
    <row r="7" spans="1:33">
      <c r="A7" s="1" t="s">
        <v>5</v>
      </c>
      <c r="B7" s="14">
        <f>IFERROR(INDEX('SYFAFE psgr'!$B$2:$H$2,,MATCH($A7,'SYFAFE psgr'!$B$1:$H$1,0))*(1+INDEX(CAGR!$C$2:$C$8,MATCH($A7,CAGR!$B$2:$B$8,0))),0)</f>
        <v>2.7424983827510548E-4</v>
      </c>
      <c r="C7" s="14">
        <f>IFERROR(B7*(1+INDEX(CAGR!$C$2:$C$8,MATCH($A7,CAGR!$B$2:$B$8,0))),0)</f>
        <v>2.7483150426077952E-4</v>
      </c>
      <c r="D7" s="14">
        <f>IFERROR(C7*(1+INDEX(CAGR!$C$2:$C$8,MATCH($A7,CAGR!$B$2:$B$8,0))),0)</f>
        <v>2.7541440392199923E-4</v>
      </c>
      <c r="E7" s="14">
        <f>IFERROR(D7*(1+INDEX(CAGR!$C$2:$C$8,MATCH($A7,CAGR!$B$2:$B$8,0))),0)</f>
        <v>2.7599853987530983E-4</v>
      </c>
      <c r="F7" s="14">
        <f>IFERROR(E7*(1+INDEX(CAGR!$C$2:$C$8,MATCH($A7,CAGR!$B$2:$B$8,0))),0)</f>
        <v>2.7658391474280608E-4</v>
      </c>
      <c r="G7" s="14">
        <f>IFERROR(F7*(1+INDEX(CAGR!$C$2:$C$8,MATCH($A7,CAGR!$B$2:$B$8,0))),0)</f>
        <v>2.77170531152144E-4</v>
      </c>
      <c r="H7" s="14">
        <f>IFERROR(G7*(1+INDEX(CAGR!$C$2:$C$8,MATCH($A7,CAGR!$B$2:$B$8,0))),0)</f>
        <v>2.7775839173655272E-4</v>
      </c>
      <c r="I7" s="14">
        <f>IFERROR(H7*(1+INDEX(CAGR!$C$2:$C$8,MATCH($A7,CAGR!$B$2:$B$8,0))),0)</f>
        <v>2.7834749913484627E-4</v>
      </c>
      <c r="J7" s="14">
        <f>IFERROR(I7*(1+INDEX(CAGR!$C$2:$C$8,MATCH($A7,CAGR!$B$2:$B$8,0))),0)</f>
        <v>2.7893785599143538E-4</v>
      </c>
      <c r="K7" s="14">
        <f>IFERROR(J7*(1+INDEX(CAGR!$C$2:$C$8,MATCH($A7,CAGR!$B$2:$B$8,0))),0)</f>
        <v>2.7952946495633948E-4</v>
      </c>
      <c r="L7" s="14">
        <f>IFERROR(K7*(1+INDEX(CAGR!$C$2:$C$8,MATCH($A7,CAGR!$B$2:$B$8,0))),0)</f>
        <v>2.8012232868519847E-4</v>
      </c>
      <c r="M7" s="14">
        <f>IFERROR(L7*(1+INDEX(CAGR!$C$2:$C$8,MATCH($A7,CAGR!$B$2:$B$8,0))),0)</f>
        <v>2.8071644983928472E-4</v>
      </c>
      <c r="N7" s="14">
        <f>IFERROR(M7*(1+INDEX(CAGR!$C$2:$C$8,MATCH($A7,CAGR!$B$2:$B$8,0))),0)</f>
        <v>2.8131183108551499E-4</v>
      </c>
      <c r="O7" s="14">
        <f>IFERROR(N7*(1+INDEX(CAGR!$C$2:$C$8,MATCH($A7,CAGR!$B$2:$B$8,0))),0)</f>
        <v>2.8190847509646232E-4</v>
      </c>
      <c r="P7" s="14">
        <f>IFERROR(O7*(1+INDEX(CAGR!$C$2:$C$8,MATCH($A7,CAGR!$B$2:$B$8,0))),0)</f>
        <v>2.8250638455036819E-4</v>
      </c>
      <c r="Q7" s="14">
        <f>IFERROR(P7*(1+INDEX(CAGR!$C$2:$C$8,MATCH($A7,CAGR!$B$2:$B$8,0))),0)</f>
        <v>2.8310556213115442E-4</v>
      </c>
      <c r="R7" s="14">
        <f>IFERROR(Q7*(1+INDEX(CAGR!$C$2:$C$8,MATCH($A7,CAGR!$B$2:$B$8,0))),0)</f>
        <v>2.8370601052843527E-4</v>
      </c>
      <c r="S7" s="14">
        <f>IFERROR(R7*(1+INDEX(CAGR!$C$2:$C$8,MATCH($A7,CAGR!$B$2:$B$8,0))),0)</f>
        <v>2.8430773243752944E-4</v>
      </c>
      <c r="T7" s="14">
        <f>IFERROR(S7*(1+INDEX(CAGR!$C$2:$C$8,MATCH($A7,CAGR!$B$2:$B$8,0))),0)</f>
        <v>2.8491073055947227E-4</v>
      </c>
      <c r="U7" s="14">
        <f>IFERROR(T7*(1+INDEX(CAGR!$C$2:$C$8,MATCH($A7,CAGR!$B$2:$B$8,0))),0)</f>
        <v>2.8551500760102785E-4</v>
      </c>
      <c r="V7" s="14">
        <f>IFERROR(U7*(1+INDEX(CAGR!$C$2:$C$8,MATCH($A7,CAGR!$B$2:$B$8,0))),0)</f>
        <v>2.8612056627470113E-4</v>
      </c>
      <c r="W7" s="14">
        <f>IFERROR(V7*(1+INDEX(CAGR!$C$2:$C$8,MATCH($A7,CAGR!$B$2:$B$8,0))),0)</f>
        <v>2.8672740929875002E-4</v>
      </c>
      <c r="X7" s="14">
        <f>IFERROR(W7*(1+INDEX(CAGR!$C$2:$C$8,MATCH($A7,CAGR!$B$2:$B$8,0))),0)</f>
        <v>2.8733553939719775E-4</v>
      </c>
      <c r="Y7" s="14">
        <f>IFERROR(X7*(1+INDEX(CAGR!$C$2:$C$8,MATCH($A7,CAGR!$B$2:$B$8,0))),0)</f>
        <v>2.8794495929984501E-4</v>
      </c>
      <c r="Z7" s="14">
        <f>IFERROR(Y7*(1+INDEX(CAGR!$C$2:$C$8,MATCH($A7,CAGR!$B$2:$B$8,0))),0)</f>
        <v>2.8855567174228226E-4</v>
      </c>
      <c r="AA7" s="14">
        <f>IFERROR(Z7*(1+INDEX(CAGR!$C$2:$C$8,MATCH($A7,CAGR!$B$2:$B$8,0))),0)</f>
        <v>2.891676794659019E-4</v>
      </c>
      <c r="AB7" s="14">
        <f>IFERROR(AA7*(1+INDEX(CAGR!$C$2:$C$8,MATCH($A7,CAGR!$B$2:$B$8,0))),0)</f>
        <v>2.8978098521791068E-4</v>
      </c>
      <c r="AC7" s="14">
        <f>IFERROR(AB7*(1+INDEX(CAGR!$C$2:$C$8,MATCH($A7,CAGR!$B$2:$B$8,0))),0)</f>
        <v>2.9039559175134203E-4</v>
      </c>
      <c r="AD7" s="14">
        <f>IFERROR(AC7*(1+INDEX(CAGR!$C$2:$C$8,MATCH($A7,CAGR!$B$2:$B$8,0))),0)</f>
        <v>2.910115018250683E-4</v>
      </c>
      <c r="AE7" s="14">
        <f>IFERROR(AD7*(1+INDEX(CAGR!$C$2:$C$8,MATCH($A7,CAGR!$B$2:$B$8,0))),0)</f>
        <v>2.9162871820381326E-4</v>
      </c>
      <c r="AF7" s="14">
        <f>IFERROR(AE7*(1+INDEX(CAGR!$C$2:$C$8,MATCH($A7,CAGR!$B$2:$B$8,0))),0)</f>
        <v>2.9224724365816454E-4</v>
      </c>
      <c r="AG7" s="14"/>
    </row>
    <row r="8" spans="1:33">
      <c r="A8" s="1" t="s">
        <v>6</v>
      </c>
      <c r="B8" s="14">
        <f>IFERROR(INDEX('SYFAFE psgr'!$B$2:$H$2,,MATCH($A8,'SYFAFE psgr'!$B$1:$H$1,0))*(1+INDEX(CAGR!$C$2:$C$8,MATCH($A8,CAGR!$B$2:$B$8,0))),0)</f>
        <v>4.8871111902341598E-4</v>
      </c>
      <c r="C8" s="14">
        <f>IFERROR(B8*(1+INDEX(CAGR!$C$2:$C$8,MATCH($A8,CAGR!$B$2:$B$8,0))),0)</f>
        <v>4.8839737739792032E-4</v>
      </c>
      <c r="D8" s="14">
        <f>IFERROR(C8*(1+INDEX(CAGR!$C$2:$C$8,MATCH($A8,CAGR!$B$2:$B$8,0))),0)</f>
        <v>4.8808383718754238E-4</v>
      </c>
      <c r="E8" s="14">
        <f>IFERROR(D8*(1+INDEX(CAGR!$C$2:$C$8,MATCH($A8,CAGR!$B$2:$B$8,0))),0)</f>
        <v>4.8777049826297813E-4</v>
      </c>
      <c r="F8" s="14">
        <f>IFERROR(E8*(1+INDEX(CAGR!$C$2:$C$8,MATCH($A8,CAGR!$B$2:$B$8,0))),0)</f>
        <v>4.8745736049500657E-4</v>
      </c>
      <c r="G8" s="14">
        <f>IFERROR(F8*(1+INDEX(CAGR!$C$2:$C$8,MATCH($A8,CAGR!$B$2:$B$8,0))),0)</f>
        <v>4.8714442375448973E-4</v>
      </c>
      <c r="H8" s="14">
        <f>IFERROR(G8*(1+INDEX(CAGR!$C$2:$C$8,MATCH($A8,CAGR!$B$2:$B$8,0))),0)</f>
        <v>4.8683168791237243E-4</v>
      </c>
      <c r="I8" s="14">
        <f>IFERROR(H8*(1+INDEX(CAGR!$C$2:$C$8,MATCH($A8,CAGR!$B$2:$B$8,0))),0)</f>
        <v>4.8651915283968235E-4</v>
      </c>
      <c r="J8" s="14">
        <f>IFERROR(I8*(1+INDEX(CAGR!$C$2:$C$8,MATCH($A8,CAGR!$B$2:$B$8,0))),0)</f>
        <v>4.8620681840753005E-4</v>
      </c>
      <c r="K8" s="14">
        <f>IFERROR(J8*(1+INDEX(CAGR!$C$2:$C$8,MATCH($A8,CAGR!$B$2:$B$8,0))),0)</f>
        <v>4.8589468448710876E-4</v>
      </c>
      <c r="L8" s="14">
        <f>IFERROR(K8*(1+INDEX(CAGR!$C$2:$C$8,MATCH($A8,CAGR!$B$2:$B$8,0))),0)</f>
        <v>4.8558275094969444E-4</v>
      </c>
      <c r="M8" s="14">
        <f>IFERROR(L8*(1+INDEX(CAGR!$C$2:$C$8,MATCH($A8,CAGR!$B$2:$B$8,0))),0)</f>
        <v>4.8527101766664566E-4</v>
      </c>
      <c r="N8" s="14">
        <f>IFERROR(M8*(1+INDEX(CAGR!$C$2:$C$8,MATCH($A8,CAGR!$B$2:$B$8,0))),0)</f>
        <v>4.849594845094036E-4</v>
      </c>
      <c r="O8" s="14">
        <f>IFERROR(N8*(1+INDEX(CAGR!$C$2:$C$8,MATCH($A8,CAGR!$B$2:$B$8,0))),0)</f>
        <v>4.8464815134949193E-4</v>
      </c>
      <c r="P8" s="14">
        <f>IFERROR(O8*(1+INDEX(CAGR!$C$2:$C$8,MATCH($A8,CAGR!$B$2:$B$8,0))),0)</f>
        <v>4.8433701805851686E-4</v>
      </c>
      <c r="Q8" s="14">
        <f>IFERROR(P8*(1+INDEX(CAGR!$C$2:$C$8,MATCH($A8,CAGR!$B$2:$B$8,0))),0)</f>
        <v>4.8402608450816699E-4</v>
      </c>
      <c r="R8" s="14">
        <f>IFERROR(Q8*(1+INDEX(CAGR!$C$2:$C$8,MATCH($A8,CAGR!$B$2:$B$8,0))),0)</f>
        <v>4.8371535057021328E-4</v>
      </c>
      <c r="S8" s="14">
        <f>IFERROR(R8*(1+INDEX(CAGR!$C$2:$C$8,MATCH($A8,CAGR!$B$2:$B$8,0))),0)</f>
        <v>4.8340481611650906E-4</v>
      </c>
      <c r="T8" s="14">
        <f>IFERROR(S8*(1+INDEX(CAGR!$C$2:$C$8,MATCH($A8,CAGR!$B$2:$B$8,0))),0)</f>
        <v>4.8309448101898988E-4</v>
      </c>
      <c r="U8" s="14">
        <f>IFERROR(T8*(1+INDEX(CAGR!$C$2:$C$8,MATCH($A8,CAGR!$B$2:$B$8,0))),0)</f>
        <v>4.8278434514967354E-4</v>
      </c>
      <c r="V8" s="14">
        <f>IFERROR(U8*(1+INDEX(CAGR!$C$2:$C$8,MATCH($A8,CAGR!$B$2:$B$8,0))),0)</f>
        <v>4.8247440838065995E-4</v>
      </c>
      <c r="W8" s="14">
        <f>IFERROR(V8*(1+INDEX(CAGR!$C$2:$C$8,MATCH($A8,CAGR!$B$2:$B$8,0))),0)</f>
        <v>4.8216467058413118E-4</v>
      </c>
      <c r="X8" s="14">
        <f>IFERROR(W8*(1+INDEX(CAGR!$C$2:$C$8,MATCH($A8,CAGR!$B$2:$B$8,0))),0)</f>
        <v>4.8185513163235134E-4</v>
      </c>
      <c r="Y8" s="14">
        <f>IFERROR(X8*(1+INDEX(CAGR!$C$2:$C$8,MATCH($A8,CAGR!$B$2:$B$8,0))),0)</f>
        <v>4.8154579139766653E-4</v>
      </c>
      <c r="Z8" s="14">
        <f>IFERROR(Y8*(1+INDEX(CAGR!$C$2:$C$8,MATCH($A8,CAGR!$B$2:$B$8,0))),0)</f>
        <v>4.8123664975250485E-4</v>
      </c>
      <c r="AA8" s="14">
        <f>IFERROR(Z8*(1+INDEX(CAGR!$C$2:$C$8,MATCH($A8,CAGR!$B$2:$B$8,0))),0)</f>
        <v>4.8092770656937622E-4</v>
      </c>
      <c r="AB8" s="14">
        <f>IFERROR(AA8*(1+INDEX(CAGR!$C$2:$C$8,MATCH($A8,CAGR!$B$2:$B$8,0))),0)</f>
        <v>4.8061896172087247E-4</v>
      </c>
      <c r="AC8" s="14">
        <f>IFERROR(AB8*(1+INDEX(CAGR!$C$2:$C$8,MATCH($A8,CAGR!$B$2:$B$8,0))),0)</f>
        <v>4.8031041507966716E-4</v>
      </c>
      <c r="AD8" s="14">
        <f>IFERROR(AC8*(1+INDEX(CAGR!$C$2:$C$8,MATCH($A8,CAGR!$B$2:$B$8,0))),0)</f>
        <v>4.8000206651851567E-4</v>
      </c>
      <c r="AE8" s="14">
        <f>IFERROR(AD8*(1+INDEX(CAGR!$C$2:$C$8,MATCH($A8,CAGR!$B$2:$B$8,0))),0)</f>
        <v>4.7969391591025503E-4</v>
      </c>
      <c r="AF8" s="14">
        <f>IFERROR(AE8*(1+INDEX(CAGR!$C$2:$C$8,MATCH($A8,CAGR!$B$2:$B$8,0))),0)</f>
        <v>4.7938596312780389E-4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topLeftCell="I1" workbookViewId="0">
      <selection activeCell="B2" sqref="B2:AF8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frgt'!$B$2:$H$2,,MATCH($A2,'SYFAFE psgr'!$B$1:$H$1,0))*(1+INDEX(CAGR!$C$9:$C$15,MATCH($A2,CAGR!$B$9:$B$15,0))),0)</f>
        <v>6.6660150128553506E-4</v>
      </c>
      <c r="C2" s="14">
        <f>IFERROR(B2*(1+INDEX(CAGR!$C$9:$C$15,MATCH($A2,CAGR!$B$9:$B$15,0))),0)</f>
        <v>6.753275478747539E-4</v>
      </c>
      <c r="D2" s="14">
        <f>IFERROR(C2*(1+INDEX(CAGR!$C$9:$C$15,MATCH($A2,CAGR!$B$9:$B$15,0))),0)</f>
        <v>6.8416782146305747E-4</v>
      </c>
      <c r="E2" s="14">
        <f>IFERROR(D2*(1+INDEX(CAGR!$C$9:$C$15,MATCH($A2,CAGR!$B$9:$B$15,0))),0)</f>
        <v>6.9312381732177929E-4</v>
      </c>
      <c r="F2" s="14">
        <f>IFERROR(E2*(1+INDEX(CAGR!$C$9:$C$15,MATCH($A2,CAGR!$B$9:$B$15,0))),0)</f>
        <v>7.0219705029587716E-4</v>
      </c>
      <c r="G2" s="14">
        <f>IFERROR(F2*(1+INDEX(CAGR!$C$9:$C$15,MATCH($A2,CAGR!$B$9:$B$15,0))),0)</f>
        <v>7.1138905506015868E-4</v>
      </c>
      <c r="H2" s="14">
        <f>IFERROR(G2*(1+INDEX(CAGR!$C$9:$C$15,MATCH($A2,CAGR!$B$9:$B$15,0))),0)</f>
        <v>7.2070138637886111E-4</v>
      </c>
      <c r="I2" s="14">
        <f>IFERROR(H2*(1+INDEX(CAGR!$C$9:$C$15,MATCH($A2,CAGR!$B$9:$B$15,0))),0)</f>
        <v>7.3013561936862868E-4</v>
      </c>
      <c r="J2" s="14">
        <f>IFERROR(I2*(1+INDEX(CAGR!$C$9:$C$15,MATCH($A2,CAGR!$B$9:$B$15,0))),0)</f>
        <v>7.3969334976493298E-4</v>
      </c>
      <c r="K2" s="14">
        <f>IFERROR(J2*(1+INDEX(CAGR!$C$9:$C$15,MATCH($A2,CAGR!$B$9:$B$15,0))),0)</f>
        <v>7.4937619419198048E-4</v>
      </c>
      <c r="L2" s="14">
        <f>IFERROR(K2*(1+INDEX(CAGR!$C$9:$C$15,MATCH($A2,CAGR!$B$9:$B$15,0))),0)</f>
        <v>7.591857904361536E-4</v>
      </c>
      <c r="M2" s="14">
        <f>IFERROR(L2*(1+INDEX(CAGR!$C$9:$C$15,MATCH($A2,CAGR!$B$9:$B$15,0))),0)</f>
        <v>7.6912379772303067E-4</v>
      </c>
      <c r="N2" s="14">
        <f>IFERROR(M2*(1+INDEX(CAGR!$C$9:$C$15,MATCH($A2,CAGR!$B$9:$B$15,0))),0)</f>
        <v>7.7919189699803264E-4</v>
      </c>
      <c r="O2" s="14">
        <f>IFERROR(N2*(1+INDEX(CAGR!$C$9:$C$15,MATCH($A2,CAGR!$B$9:$B$15,0))),0)</f>
        <v>7.8939179121074337E-4</v>
      </c>
      <c r="P2" s="14">
        <f>IFERROR(O2*(1+INDEX(CAGR!$C$9:$C$15,MATCH($A2,CAGR!$B$9:$B$15,0))),0)</f>
        <v>7.9972520560295203E-4</v>
      </c>
      <c r="Q2" s="14">
        <f>IFERROR(P2*(1+INDEX(CAGR!$C$9:$C$15,MATCH($A2,CAGR!$B$9:$B$15,0))),0)</f>
        <v>8.1019388800046555E-4</v>
      </c>
      <c r="R2" s="14">
        <f>IFERROR(Q2*(1+INDEX(CAGR!$C$9:$C$15,MATCH($A2,CAGR!$B$9:$B$15,0))),0)</f>
        <v>8.2079960910874151E-4</v>
      </c>
      <c r="S2" s="14">
        <f>IFERROR(R2*(1+INDEX(CAGR!$C$9:$C$15,MATCH($A2,CAGR!$B$9:$B$15,0))),0)</f>
        <v>8.3154416281239056E-4</v>
      </c>
      <c r="T2" s="14">
        <f>IFERROR(S2*(1+INDEX(CAGR!$C$9:$C$15,MATCH($A2,CAGR!$B$9:$B$15,0))),0)</f>
        <v>8.4242936647859986E-4</v>
      </c>
      <c r="U2" s="14">
        <f>IFERROR(T2*(1+INDEX(CAGR!$C$9:$C$15,MATCH($A2,CAGR!$B$9:$B$15,0))),0)</f>
        <v>8.5345706126452802E-4</v>
      </c>
      <c r="V2" s="14">
        <f>IFERROR(U2*(1+INDEX(CAGR!$C$9:$C$15,MATCH($A2,CAGR!$B$9:$B$15,0))),0)</f>
        <v>8.6462911242872432E-4</v>
      </c>
      <c r="W2" s="14">
        <f>IFERROR(V2*(1+INDEX(CAGR!$C$9:$C$15,MATCH($A2,CAGR!$B$9:$B$15,0))),0)</f>
        <v>8.7594740964662421E-4</v>
      </c>
      <c r="X2" s="14">
        <f>IFERROR(W2*(1+INDEX(CAGR!$C$9:$C$15,MATCH($A2,CAGR!$B$9:$B$15,0))),0)</f>
        <v>8.87413867330175E-4</v>
      </c>
      <c r="Y2" s="14">
        <f>IFERROR(X2*(1+INDEX(CAGR!$C$9:$C$15,MATCH($A2,CAGR!$B$9:$B$15,0))),0)</f>
        <v>8.9903042495164526E-4</v>
      </c>
      <c r="Z2" s="14">
        <f>IFERROR(Y2*(1+INDEX(CAGR!$C$9:$C$15,MATCH($A2,CAGR!$B$9:$B$15,0))),0)</f>
        <v>9.1079904737167321E-4</v>
      </c>
      <c r="AA2" s="14">
        <f>IFERROR(Z2*(1+INDEX(CAGR!$C$9:$C$15,MATCH($A2,CAGR!$B$9:$B$15,0))),0)</f>
        <v>9.2272172517160965E-4</v>
      </c>
      <c r="AB2" s="14">
        <f>IFERROR(AA2*(1+INDEX(CAGR!$C$9:$C$15,MATCH($A2,CAGR!$B$9:$B$15,0))),0)</f>
        <v>9.3480047499021075E-4</v>
      </c>
      <c r="AC2" s="14">
        <f>IFERROR(AB2*(1+INDEX(CAGR!$C$9:$C$15,MATCH($A2,CAGR!$B$9:$B$15,0))),0)</f>
        <v>9.4703733986473853E-4</v>
      </c>
      <c r="AD2" s="14">
        <f>IFERROR(AC2*(1+INDEX(CAGR!$C$9:$C$15,MATCH($A2,CAGR!$B$9:$B$15,0))),0)</f>
        <v>9.5943438957652697E-4</v>
      </c>
      <c r="AE2" s="14">
        <f>IFERROR(AD2*(1+INDEX(CAGR!$C$9:$C$15,MATCH($A2,CAGR!$B$9:$B$15,0))),0)</f>
        <v>9.7199372100107079E-4</v>
      </c>
      <c r="AF2" s="14">
        <f>IFERROR(AE2*(1+INDEX(CAGR!$C$9:$C$15,MATCH($A2,CAGR!$B$9:$B$15,0))),0)</f>
        <v>9.8471745846269768E-4</v>
      </c>
      <c r="AG2" s="14"/>
    </row>
    <row r="3" spans="1:33">
      <c r="A3" s="1" t="s">
        <v>1</v>
      </c>
      <c r="B3" s="21">
        <f>IFERROR(INDEX('SYFAFE frgt'!$B$2:$H$2,,MATCH($A3,'SYFAFE psgr'!$B$1:$H$1,0))*(1+INDEX(CAGR!$C$9:$C$15,MATCH($A3,CAGR!$B$9:$B$15,0))),0)</f>
        <v>1.5806212262176831E-4</v>
      </c>
      <c r="C3" s="21">
        <f>IFERROR(B3*(1+INDEX(CAGR!$C$9:$C$15,MATCH($A3,CAGR!$B$9:$B$15,0))),0)</f>
        <v>1.5765204633288012E-4</v>
      </c>
      <c r="D3" s="21">
        <f>IFERROR(C3*(1+INDEX(CAGR!$C$9:$C$15,MATCH($A3,CAGR!$B$9:$B$15,0))),0)</f>
        <v>1.5724303394570296E-4</v>
      </c>
      <c r="E3" s="21">
        <f>IFERROR(D3*(1+INDEX(CAGR!$C$9:$C$15,MATCH($A3,CAGR!$B$9:$B$15,0))),0)</f>
        <v>1.5683508270005083E-4</v>
      </c>
      <c r="F3" s="21">
        <f>IFERROR(E3*(1+INDEX(CAGR!$C$9:$C$15,MATCH($A3,CAGR!$B$9:$B$15,0))),0)</f>
        <v>1.5642818984289866E-4</v>
      </c>
      <c r="G3" s="21">
        <f>IFERROR(F3*(1+INDEX(CAGR!$C$9:$C$15,MATCH($A3,CAGR!$B$9:$B$15,0))),0)</f>
        <v>1.5602235262836389E-4</v>
      </c>
      <c r="H3" s="21">
        <f>IFERROR(G3*(1+INDEX(CAGR!$C$9:$C$15,MATCH($A3,CAGR!$B$9:$B$15,0))),0)</f>
        <v>1.5561756831768784E-4</v>
      </c>
      <c r="I3" s="21">
        <f>IFERROR(H3*(1+INDEX(CAGR!$C$9:$C$15,MATCH($A3,CAGR!$B$9:$B$15,0))),0)</f>
        <v>1.5521383417921731E-4</v>
      </c>
      <c r="J3" s="21">
        <f>IFERROR(I3*(1+INDEX(CAGR!$C$9:$C$15,MATCH($A3,CAGR!$B$9:$B$15,0))),0)</f>
        <v>1.5481114748838609E-4</v>
      </c>
      <c r="K3" s="21">
        <f>IFERROR(J3*(1+INDEX(CAGR!$C$9:$C$15,MATCH($A3,CAGR!$B$9:$B$15,0))),0)</f>
        <v>1.5440950552769655E-4</v>
      </c>
      <c r="L3" s="21">
        <f>IFERROR(K3*(1+INDEX(CAGR!$C$9:$C$15,MATCH($A3,CAGR!$B$9:$B$15,0))),0)</f>
        <v>1.5400890558670132E-4</v>
      </c>
      <c r="M3" s="21">
        <f>IFERROR(L3*(1+INDEX(CAGR!$C$9:$C$15,MATCH($A3,CAGR!$B$9:$B$15,0))),0)</f>
        <v>1.5360934496198511E-4</v>
      </c>
      <c r="N3" s="21">
        <f>IFERROR(M3*(1+INDEX(CAGR!$C$9:$C$15,MATCH($A3,CAGR!$B$9:$B$15,0))),0)</f>
        <v>1.5321082095714626E-4</v>
      </c>
      <c r="O3" s="21">
        <f>IFERROR(N3*(1+INDEX(CAGR!$C$9:$C$15,MATCH($A3,CAGR!$B$9:$B$15,0))),0)</f>
        <v>1.5281333088277871E-4</v>
      </c>
      <c r="P3" s="21">
        <f>IFERROR(O3*(1+INDEX(CAGR!$C$9:$C$15,MATCH($A3,CAGR!$B$9:$B$15,0))),0)</f>
        <v>1.5241687205645379E-4</v>
      </c>
      <c r="Q3" s="21">
        <f>IFERROR(P3*(1+INDEX(CAGR!$C$9:$C$15,MATCH($A3,CAGR!$B$9:$B$15,0))),0)</f>
        <v>1.520214418027021E-4</v>
      </c>
      <c r="R3" s="21">
        <f>IFERROR(Q3*(1+INDEX(CAGR!$C$9:$C$15,MATCH($A3,CAGR!$B$9:$B$15,0))),0)</f>
        <v>1.516270374529955E-4</v>
      </c>
      <c r="S3" s="21">
        <f>IFERROR(R3*(1+INDEX(CAGR!$C$9:$C$15,MATCH($A3,CAGR!$B$9:$B$15,0))),0)</f>
        <v>1.5123365634572906E-4</v>
      </c>
      <c r="T3" s="21">
        <f>IFERROR(S3*(1+INDEX(CAGR!$C$9:$C$15,MATCH($A3,CAGR!$B$9:$B$15,0))),0)</f>
        <v>1.5084129582620313E-4</v>
      </c>
      <c r="U3" s="21">
        <f>IFERROR(T3*(1+INDEX(CAGR!$C$9:$C$15,MATCH($A3,CAGR!$B$9:$B$15,0))),0)</f>
        <v>1.5044995324660541E-4</v>
      </c>
      <c r="V3" s="21">
        <f>IFERROR(U3*(1+INDEX(CAGR!$C$9:$C$15,MATCH($A3,CAGR!$B$9:$B$15,0))),0)</f>
        <v>1.5005962596599306E-4</v>
      </c>
      <c r="W3" s="21">
        <f>IFERROR(V3*(1+INDEX(CAGR!$C$9:$C$15,MATCH($A3,CAGR!$B$9:$B$15,0))),0)</f>
        <v>1.4967031135027496E-4</v>
      </c>
      <c r="X3" s="21">
        <f>IFERROR(W3*(1+INDEX(CAGR!$C$9:$C$15,MATCH($A3,CAGR!$B$9:$B$15,0))),0)</f>
        <v>1.4928200677219379E-4</v>
      </c>
      <c r="Y3" s="21">
        <f>IFERROR(X3*(1+INDEX(CAGR!$C$9:$C$15,MATCH($A3,CAGR!$B$9:$B$15,0))),0)</f>
        <v>1.4889470961130844E-4</v>
      </c>
      <c r="Z3" s="21">
        <f>IFERROR(Y3*(1+INDEX(CAGR!$C$9:$C$15,MATCH($A3,CAGR!$B$9:$B$15,0))),0)</f>
        <v>1.4850841725397627E-4</v>
      </c>
      <c r="AA3" s="21">
        <f>IFERROR(Z3*(1+INDEX(CAGR!$C$9:$C$15,MATCH($A3,CAGR!$B$9:$B$15,0))),0)</f>
        <v>1.4812312709333545E-4</v>
      </c>
      <c r="AB3" s="21">
        <f>IFERROR(AA3*(1+INDEX(CAGR!$C$9:$C$15,MATCH($A3,CAGR!$B$9:$B$15,0))),0)</f>
        <v>1.4773883652928742E-4</v>
      </c>
      <c r="AC3" s="21">
        <f>IFERROR(AB3*(1+INDEX(CAGR!$C$9:$C$15,MATCH($A3,CAGR!$B$9:$B$15,0))),0)</f>
        <v>1.4735554296847929E-4</v>
      </c>
      <c r="AD3" s="21">
        <f>IFERROR(AC3*(1+INDEX(CAGR!$C$9:$C$15,MATCH($A3,CAGR!$B$9:$B$15,0))),0)</f>
        <v>1.4697324382428637E-4</v>
      </c>
      <c r="AE3" s="21">
        <f>IFERROR(AD3*(1+INDEX(CAGR!$C$9:$C$15,MATCH($A3,CAGR!$B$9:$B$15,0))),0)</f>
        <v>1.465919365167947E-4</v>
      </c>
      <c r="AF3" s="21">
        <f>IFERROR(AE3*(1+INDEX(CAGR!$C$9:$C$15,MATCH($A3,CAGR!$B$9:$B$15,0))),0)</f>
        <v>1.4621161847278369E-4</v>
      </c>
      <c r="AG3" s="14"/>
    </row>
    <row r="4" spans="1:33">
      <c r="A4" s="1" t="s">
        <v>2</v>
      </c>
      <c r="B4" s="14">
        <f>IFERROR(INDEX('SYFAFE frgt'!$B$2:$H$2,,MATCH($A4,'SYFAFE psgr'!$B$1:$H$1,0))*(1+INDEX(CAGR!$C$9:$C$15,MATCH($A4,CAGR!$B$9:$B$15,0))),0)</f>
        <v>1.048223051368783E-4</v>
      </c>
      <c r="C4" s="14">
        <f>IFERROR(B4*(1+INDEX(CAGR!$C$9:$C$15,MATCH($A4,CAGR!$B$9:$B$15,0))),0)</f>
        <v>1.0455035420283891E-4</v>
      </c>
      <c r="D4" s="14">
        <f>IFERROR(C4*(1+INDEX(CAGR!$C$9:$C$15,MATCH($A4,CAGR!$B$9:$B$15,0))),0)</f>
        <v>1.0427910881816166E-4</v>
      </c>
      <c r="E4" s="14">
        <f>IFERROR(D4*(1+INDEX(CAGR!$C$9:$C$15,MATCH($A4,CAGR!$B$9:$B$15,0))),0)</f>
        <v>1.0400856715236962E-4</v>
      </c>
      <c r="F4" s="14">
        <f>IFERROR(E4*(1+INDEX(CAGR!$C$9:$C$15,MATCH($A4,CAGR!$B$9:$B$15,0))),0)</f>
        <v>1.0373872737973488E-4</v>
      </c>
      <c r="G4" s="14">
        <f>IFERROR(F4*(1+INDEX(CAGR!$C$9:$C$15,MATCH($A4,CAGR!$B$9:$B$15,0))),0)</f>
        <v>1.0346958767926621E-4</v>
      </c>
      <c r="H4" s="14">
        <f>IFERROR(G4*(1+INDEX(CAGR!$C$9:$C$15,MATCH($A4,CAGR!$B$9:$B$15,0))),0)</f>
        <v>1.0320114623469673E-4</v>
      </c>
      <c r="I4" s="14">
        <f>IFERROR(H4*(1+INDEX(CAGR!$C$9:$C$15,MATCH($A4,CAGR!$B$9:$B$15,0))),0)</f>
        <v>1.0293340123447171E-4</v>
      </c>
      <c r="J4" s="14">
        <f>IFERROR(I4*(1+INDEX(CAGR!$C$9:$C$15,MATCH($A4,CAGR!$B$9:$B$15,0))),0)</f>
        <v>1.0266635087173631E-4</v>
      </c>
      <c r="K4" s="14">
        <f>IFERROR(J4*(1+INDEX(CAGR!$C$9:$C$15,MATCH($A4,CAGR!$B$9:$B$15,0))),0)</f>
        <v>1.0239999334432338E-4</v>
      </c>
      <c r="L4" s="14">
        <f>IFERROR(K4*(1+INDEX(CAGR!$C$9:$C$15,MATCH($A4,CAGR!$B$9:$B$15,0))),0)</f>
        <v>1.0213432685474131E-4</v>
      </c>
      <c r="M4" s="14">
        <f>IFERROR(L4*(1+INDEX(CAGR!$C$9:$C$15,MATCH($A4,CAGR!$B$9:$B$15,0))),0)</f>
        <v>1.0186934961016192E-4</v>
      </c>
      <c r="N4" s="14">
        <f>IFERROR(M4*(1+INDEX(CAGR!$C$9:$C$15,MATCH($A4,CAGR!$B$9:$B$15,0))),0)</f>
        <v>1.0160505982240833E-4</v>
      </c>
      <c r="O4" s="14">
        <f>IFERROR(N4*(1+INDEX(CAGR!$C$9:$C$15,MATCH($A4,CAGR!$B$9:$B$15,0))),0)</f>
        <v>1.013414557079429E-4</v>
      </c>
      <c r="P4" s="14">
        <f>IFERROR(O4*(1+INDEX(CAGR!$C$9:$C$15,MATCH($A4,CAGR!$B$9:$B$15,0))),0)</f>
        <v>1.0107853548785523E-4</v>
      </c>
      <c r="Q4" s="14">
        <f>IFERROR(P4*(1+INDEX(CAGR!$C$9:$C$15,MATCH($A4,CAGR!$B$9:$B$15,0))),0)</f>
        <v>1.0081629738785008E-4</v>
      </c>
      <c r="R4" s="14">
        <f>IFERROR(Q4*(1+INDEX(CAGR!$C$9:$C$15,MATCH($A4,CAGR!$B$9:$B$15,0))),0)</f>
        <v>1.0055473963823548E-4</v>
      </c>
      <c r="S4" s="14">
        <f>IFERROR(R4*(1+INDEX(CAGR!$C$9:$C$15,MATCH($A4,CAGR!$B$9:$B$15,0))),0)</f>
        <v>1.0029386047391071E-4</v>
      </c>
      <c r="T4" s="14">
        <f>IFERROR(S4*(1+INDEX(CAGR!$C$9:$C$15,MATCH($A4,CAGR!$B$9:$B$15,0))),0)</f>
        <v>1.0003365813435446E-4</v>
      </c>
      <c r="U4" s="14">
        <f>IFERROR(T4*(1+INDEX(CAGR!$C$9:$C$15,MATCH($A4,CAGR!$B$9:$B$15,0))),0)</f>
        <v>9.9774130863612898E-5</v>
      </c>
      <c r="V4" s="14">
        <f>IFERROR(U4*(1+INDEX(CAGR!$C$9:$C$15,MATCH($A4,CAGR!$B$9:$B$15,0))),0)</f>
        <v>9.9515276910287843E-5</v>
      </c>
      <c r="W4" s="14">
        <f>IFERROR(V4*(1+INDEX(CAGR!$C$9:$C$15,MATCH($A4,CAGR!$B$9:$B$15,0))),0)</f>
        <v>9.9257094527524929E-5</v>
      </c>
      <c r="X4" s="14">
        <f>IFERROR(W4*(1+INDEX(CAGR!$C$9:$C$15,MATCH($A4,CAGR!$B$9:$B$15,0))),0)</f>
        <v>9.8999581973001845E-5</v>
      </c>
      <c r="Y4" s="14">
        <f>IFERROR(X4*(1+INDEX(CAGR!$C$9:$C$15,MATCH($A4,CAGR!$B$9:$B$15,0))),0)</f>
        <v>9.8742737508916565E-5</v>
      </c>
      <c r="Z4" s="14">
        <f>IFERROR(Y4*(1+INDEX(CAGR!$C$9:$C$15,MATCH($A4,CAGR!$B$9:$B$15,0))),0)</f>
        <v>9.8486559401975593E-5</v>
      </c>
      <c r="AA4" s="14">
        <f>IFERROR(Z4*(1+INDEX(CAGR!$C$9:$C$15,MATCH($A4,CAGR!$B$9:$B$15,0))),0)</f>
        <v>9.82310459233823E-5</v>
      </c>
      <c r="AB4" s="14">
        <f>IFERROR(AA4*(1+INDEX(CAGR!$C$9:$C$15,MATCH($A4,CAGR!$B$9:$B$15,0))),0)</f>
        <v>9.7976195348825236E-5</v>
      </c>
      <c r="AC4" s="14">
        <f>IFERROR(AB4*(1+INDEX(CAGR!$C$9:$C$15,MATCH($A4,CAGR!$B$9:$B$15,0))),0)</f>
        <v>9.7722005958466533E-5</v>
      </c>
      <c r="AD4" s="14">
        <f>IFERROR(AC4*(1+INDEX(CAGR!$C$9:$C$15,MATCH($A4,CAGR!$B$9:$B$15,0))),0)</f>
        <v>9.7468476036930235E-5</v>
      </c>
      <c r="AE4" s="14">
        <f>IFERROR(AD4*(1+INDEX(CAGR!$C$9:$C$15,MATCH($A4,CAGR!$B$9:$B$15,0))),0)</f>
        <v>9.7215603873290778E-5</v>
      </c>
      <c r="AF4" s="14">
        <f>IFERROR(AE4*(1+INDEX(CAGR!$C$9:$C$15,MATCH($A4,CAGR!$B$9:$B$15,0))),0)</f>
        <v>9.6963387761061419E-5</v>
      </c>
      <c r="AG4" s="14"/>
    </row>
    <row r="5" spans="1:33">
      <c r="A5" s="1" t="s">
        <v>3</v>
      </c>
      <c r="B5" s="14">
        <f>IFERROR(INDEX('SYFAFE frgt'!$B$2:$H$2,,MATCH($A5,'SYFAFE psgr'!$B$1:$H$1,0))*(1+INDEX(CAGR!$C$9:$C$15,MATCH($A5,CAGR!$B$9:$B$15,0))),0)</f>
        <v>1.0353800468445456E-4</v>
      </c>
      <c r="C5" s="14">
        <f>IFERROR(B5*(1+INDEX(CAGR!$C$9:$C$15,MATCH($A5,CAGR!$B$9:$B$15,0))),0)</f>
        <v>1.0326938573884235E-4</v>
      </c>
      <c r="D5" s="14">
        <f>IFERROR(C5*(1+INDEX(CAGR!$C$9:$C$15,MATCH($A5,CAGR!$B$9:$B$15,0))),0)</f>
        <v>1.030014636980832E-4</v>
      </c>
      <c r="E5" s="14">
        <f>IFERROR(D5*(1+INDEX(CAGR!$C$9:$C$15,MATCH($A5,CAGR!$B$9:$B$15,0))),0)</f>
        <v>1.0273423675412753E-4</v>
      </c>
      <c r="F5" s="14">
        <f>IFERROR(E5*(1+INDEX(CAGR!$C$9:$C$15,MATCH($A5,CAGR!$B$9:$B$15,0))),0)</f>
        <v>1.0246770310361655E-4</v>
      </c>
      <c r="G5" s="14">
        <f>IFERROR(F5*(1+INDEX(CAGR!$C$9:$C$15,MATCH($A5,CAGR!$B$9:$B$15,0))),0)</f>
        <v>1.0220186094787012E-4</v>
      </c>
      <c r="H5" s="14">
        <f>IFERROR(G5*(1+INDEX(CAGR!$C$9:$C$15,MATCH($A5,CAGR!$B$9:$B$15,0))),0)</f>
        <v>1.0193670849287456E-4</v>
      </c>
      <c r="I5" s="14">
        <f>IFERROR(H5*(1+INDEX(CAGR!$C$9:$C$15,MATCH($A5,CAGR!$B$9:$B$15,0))),0)</f>
        <v>1.0167224394927063E-4</v>
      </c>
      <c r="J5" s="14">
        <f>IFERROR(I5*(1+INDEX(CAGR!$C$9:$C$15,MATCH($A5,CAGR!$B$9:$B$15,0))),0)</f>
        <v>1.0140846553234134E-4</v>
      </c>
      <c r="K5" s="14">
        <f>IFERROR(J5*(1+INDEX(CAGR!$C$9:$C$15,MATCH($A5,CAGR!$B$9:$B$15,0))),0)</f>
        <v>1.0114537146200003E-4</v>
      </c>
      <c r="L5" s="14">
        <f>IFERROR(K5*(1+INDEX(CAGR!$C$9:$C$15,MATCH($A5,CAGR!$B$9:$B$15,0))),0)</f>
        <v>1.0088295996277826E-4</v>
      </c>
      <c r="M5" s="14">
        <f>IFERROR(L5*(1+INDEX(CAGR!$C$9:$C$15,MATCH($A5,CAGR!$B$9:$B$15,0))),0)</f>
        <v>1.0062122926381386E-4</v>
      </c>
      <c r="N5" s="14">
        <f>IFERROR(M5*(1+INDEX(CAGR!$C$9:$C$15,MATCH($A5,CAGR!$B$9:$B$15,0))),0)</f>
        <v>1.00360177598839E-4</v>
      </c>
      <c r="O5" s="14">
        <f>IFERROR(N5*(1+INDEX(CAGR!$C$9:$C$15,MATCH($A5,CAGR!$B$9:$B$15,0))),0)</f>
        <v>1.0009980320616826E-4</v>
      </c>
      <c r="P5" s="14">
        <f>IFERROR(O5*(1+INDEX(CAGR!$C$9:$C$15,MATCH($A5,CAGR!$B$9:$B$15,0))),0)</f>
        <v>9.9840104328686714E-5</v>
      </c>
      <c r="Q5" s="14">
        <f>IFERROR(P5*(1+INDEX(CAGR!$C$9:$C$15,MATCH($A5,CAGR!$B$9:$B$15,0))),0)</f>
        <v>9.9581079213838106E-5</v>
      </c>
      <c r="R5" s="14">
        <f>IFERROR(Q5*(1+INDEX(CAGR!$C$9:$C$15,MATCH($A5,CAGR!$B$9:$B$15,0))),0)</f>
        <v>9.9322726113613025E-5</v>
      </c>
      <c r="S5" s="14">
        <f>IFERROR(R5*(1+INDEX(CAGR!$C$9:$C$15,MATCH($A5,CAGR!$B$9:$B$15,0))),0)</f>
        <v>9.9065043284537061E-5</v>
      </c>
      <c r="T5" s="14">
        <f>IFERROR(S5*(1+INDEX(CAGR!$C$9:$C$15,MATCH($A5,CAGR!$B$9:$B$15,0))),0)</f>
        <v>9.8808028987659109E-5</v>
      </c>
      <c r="U5" s="14">
        <f>IFERROR(T5*(1+INDEX(CAGR!$C$9:$C$15,MATCH($A5,CAGR!$B$9:$B$15,0))),0)</f>
        <v>9.8551681488539576E-5</v>
      </c>
      <c r="V5" s="14">
        <f>IFERROR(U5*(1+INDEX(CAGR!$C$9:$C$15,MATCH($A5,CAGR!$B$9:$B$15,0))),0)</f>
        <v>9.8295999057238705E-5</v>
      </c>
      <c r="W5" s="14">
        <f>IFERROR(V5*(1+INDEX(CAGR!$C$9:$C$15,MATCH($A5,CAGR!$B$9:$B$15,0))),0)</f>
        <v>9.8040979968304885E-5</v>
      </c>
      <c r="X5" s="14">
        <f>IFERROR(W5*(1+INDEX(CAGR!$C$9:$C$15,MATCH($A5,CAGR!$B$9:$B$15,0))),0)</f>
        <v>9.7786622500763029E-5</v>
      </c>
      <c r="Y5" s="14">
        <f>IFERROR(X5*(1+INDEX(CAGR!$C$9:$C$15,MATCH($A5,CAGR!$B$9:$B$15,0))),0)</f>
        <v>9.7532924938102943E-5</v>
      </c>
      <c r="Z5" s="14">
        <f>IFERROR(Y5*(1+INDEX(CAGR!$C$9:$C$15,MATCH($A5,CAGR!$B$9:$B$15,0))),0)</f>
        <v>9.7279885568267739E-5</v>
      </c>
      <c r="AA5" s="14">
        <f>IFERROR(Z5*(1+INDEX(CAGR!$C$9:$C$15,MATCH($A5,CAGR!$B$9:$B$15,0))),0)</f>
        <v>9.7027502683642288E-5</v>
      </c>
      <c r="AB5" s="14">
        <f>IFERROR(AA5*(1+INDEX(CAGR!$C$9:$C$15,MATCH($A5,CAGR!$B$9:$B$15,0))),0)</f>
        <v>9.6775774581041717E-5</v>
      </c>
      <c r="AC5" s="14">
        <f>IFERROR(AB5*(1+INDEX(CAGR!$C$9:$C$15,MATCH($A5,CAGR!$B$9:$B$15,0))),0)</f>
        <v>9.6524699561699868E-5</v>
      </c>
      <c r="AD5" s="14">
        <f>IFERROR(AC5*(1+INDEX(CAGR!$C$9:$C$15,MATCH($A5,CAGR!$B$9:$B$15,0))),0)</f>
        <v>9.6274275931257884E-5</v>
      </c>
      <c r="AE5" s="14">
        <f>IFERROR(AD5*(1+INDEX(CAGR!$C$9:$C$15,MATCH($A5,CAGR!$B$9:$B$15,0))),0)</f>
        <v>9.6024501999752735E-5</v>
      </c>
      <c r="AF5" s="14">
        <f>IFERROR(AE5*(1+INDEX(CAGR!$C$9:$C$15,MATCH($A5,CAGR!$B$9:$B$15,0))),0)</f>
        <v>9.5775376081605836E-5</v>
      </c>
      <c r="AG5" s="14"/>
    </row>
    <row r="6" spans="1:33">
      <c r="A6" s="1" t="s">
        <v>4</v>
      </c>
      <c r="B6" s="15">
        <f>B5*Calibration!$C$21</f>
        <v>1.5894731353058238E-4</v>
      </c>
      <c r="C6" s="15">
        <f>B6*(1+CAGR!$C$13)</f>
        <v>1.6013282661803488E-4</v>
      </c>
      <c r="D6" s="15">
        <f>C6*(1+CAGR!$C$13)</f>
        <v>1.6132718188878261E-4</v>
      </c>
      <c r="E6" s="15">
        <f>D6*(1+CAGR!$C$13)</f>
        <v>1.6253044529250274E-4</v>
      </c>
      <c r="F6" s="15">
        <f>E6*(1+CAGR!$C$13)</f>
        <v>1.6374268327076007E-4</v>
      </c>
      <c r="G6" s="15">
        <f>F6*(1+CAGR!$C$13)</f>
        <v>1.6496396276067561E-4</v>
      </c>
      <c r="H6" s="15">
        <f>G6*(1+CAGR!$C$13)</f>
        <v>1.6619435119862288E-4</v>
      </c>
      <c r="I6" s="15">
        <f>H6*(1+CAGR!$C$13)</f>
        <v>1.6743391652395149E-4</v>
      </c>
      <c r="J6" s="15">
        <f>I6*(1+CAGR!$C$13)</f>
        <v>1.6868272718273863E-4</v>
      </c>
      <c r="K6" s="15">
        <f>J6*(1+CAGR!$C$13)</f>
        <v>1.6994085213156856E-4</v>
      </c>
      <c r="L6" s="15">
        <f>K6*(1+CAGR!$C$13)</f>
        <v>1.7120836084134013E-4</v>
      </c>
      <c r="M6" s="15">
        <f>L6*(1+CAGR!$C$13)</f>
        <v>1.724853233011029E-4</v>
      </c>
      <c r="N6" s="15">
        <f>M6*(1+CAGR!$C$13)</f>
        <v>1.737718100219218E-4</v>
      </c>
      <c r="O6" s="15">
        <f>N6*(1+CAGR!$C$13)</f>
        <v>1.7506789204077051E-4</v>
      </c>
      <c r="P6" s="15">
        <f>O6*(1+CAGR!$C$13)</f>
        <v>1.7637364092445404E-4</v>
      </c>
      <c r="Q6" s="15">
        <f>P6*(1+CAGR!$C$13)</f>
        <v>1.7768912877356044E-4</v>
      </c>
      <c r="R6" s="15">
        <f>Q6*(1+CAGR!$C$13)</f>
        <v>1.7901442822644209E-4</v>
      </c>
      <c r="S6" s="15">
        <f>R6*(1+CAGR!$C$13)</f>
        <v>1.8034961246322657E-4</v>
      </c>
      <c r="T6" s="15">
        <f>S6*(1+CAGR!$C$13)</f>
        <v>1.8169475520985753E-4</v>
      </c>
      <c r="U6" s="15">
        <f>T6*(1+CAGR!$C$13)</f>
        <v>1.8304993074216573E-4</v>
      </c>
      <c r="V6" s="15">
        <f>U6*(1+CAGR!$C$13)</f>
        <v>1.8441521388997027E-4</v>
      </c>
      <c r="W6" s="15">
        <f>V6*(1+CAGR!$C$13)</f>
        <v>1.8579068004121068E-4</v>
      </c>
      <c r="X6" s="15">
        <f>W6*(1+CAGR!$C$13)</f>
        <v>1.871764051461095E-4</v>
      </c>
      <c r="Y6" s="15">
        <f>X6*(1+CAGR!$C$13)</f>
        <v>1.8857246572136628E-4</v>
      </c>
      <c r="Z6" s="15">
        <f>Y6*(1+CAGR!$C$13)</f>
        <v>1.8997893885438249E-4</v>
      </c>
      <c r="AA6" s="15">
        <f>Z6*(1+CAGR!$C$13)</f>
        <v>1.9139590220751821E-4</v>
      </c>
      <c r="AB6" s="15">
        <f>AA6*(1+CAGR!$C$13)</f>
        <v>1.9282343402238046E-4</v>
      </c>
      <c r="AC6" s="15">
        <f>AB6*(1+CAGR!$C$13)</f>
        <v>1.9426161312414354E-4</v>
      </c>
      <c r="AD6" s="15">
        <f>AC6*(1+CAGR!$C$13)</f>
        <v>1.9571051892590153E-4</v>
      </c>
      <c r="AE6" s="15">
        <f>AD6*(1+CAGR!$C$13)</f>
        <v>1.9717023143305337E-4</v>
      </c>
      <c r="AF6" s="15">
        <f>AE6*(1+CAGR!$C$13)</f>
        <v>1.9864083124772057E-4</v>
      </c>
      <c r="AG6" s="14"/>
    </row>
    <row r="7" spans="1:33">
      <c r="A7" s="1" t="s">
        <v>5</v>
      </c>
      <c r="B7" s="14">
        <f>IFERROR(INDEX('SYFAFE frgt'!$B$2:$H$2,,MATCH($A7,'SYFAFE psgr'!$B$1:$H$1,0))*(1+INDEX(CAGR!$C$9:$C$15,MATCH($A7,CAGR!$B$9:$B$15,0))),0)</f>
        <v>1.3305639910853227E-4</v>
      </c>
      <c r="C7" s="14">
        <f>IFERROR(B7*(1+INDEX(CAGR!$C$9:$C$15,MATCH($A7,CAGR!$B$9:$B$15,0))),0)</f>
        <v>1.3271119765574766E-4</v>
      </c>
      <c r="D7" s="14">
        <f>IFERROR(C7*(1+INDEX(CAGR!$C$9:$C$15,MATCH($A7,CAGR!$B$9:$B$15,0))),0)</f>
        <v>1.3236689179343299E-4</v>
      </c>
      <c r="E7" s="14">
        <f>IFERROR(D7*(1+INDEX(CAGR!$C$9:$C$15,MATCH($A7,CAGR!$B$9:$B$15,0))),0)</f>
        <v>1.3202347919806881E-4</v>
      </c>
      <c r="F7" s="14">
        <f>IFERROR(E7*(1+INDEX(CAGR!$C$9:$C$15,MATCH($A7,CAGR!$B$9:$B$15,0))),0)</f>
        <v>1.3168095755216377E-4</v>
      </c>
      <c r="G7" s="14">
        <f>IFERROR(F7*(1+INDEX(CAGR!$C$9:$C$15,MATCH($A7,CAGR!$B$9:$B$15,0))),0)</f>
        <v>1.313393245442391E-4</v>
      </c>
      <c r="H7" s="14">
        <f>IFERROR(G7*(1+INDEX(CAGR!$C$9:$C$15,MATCH($A7,CAGR!$B$9:$B$15,0))),0)</f>
        <v>1.3099857786881284E-4</v>
      </c>
      <c r="I7" s="14">
        <f>IFERROR(H7*(1+INDEX(CAGR!$C$9:$C$15,MATCH($A7,CAGR!$B$9:$B$15,0))),0)</f>
        <v>1.3065871522638446E-4</v>
      </c>
      <c r="J7" s="14">
        <f>IFERROR(I7*(1+INDEX(CAGR!$C$9:$C$15,MATCH($A7,CAGR!$B$9:$B$15,0))),0)</f>
        <v>1.3031973432341918E-4</v>
      </c>
      <c r="K7" s="14">
        <f>IFERROR(J7*(1+INDEX(CAGR!$C$9:$C$15,MATCH($A7,CAGR!$B$9:$B$15,0))),0)</f>
        <v>1.2998163287233263E-4</v>
      </c>
      <c r="L7" s="14">
        <f>IFERROR(K7*(1+INDEX(CAGR!$C$9:$C$15,MATCH($A7,CAGR!$B$9:$B$15,0))),0)</f>
        <v>1.2964440859147526E-4</v>
      </c>
      <c r="M7" s="14">
        <f>IFERROR(L7*(1+INDEX(CAGR!$C$9:$C$15,MATCH($A7,CAGR!$B$9:$B$15,0))),0)</f>
        <v>1.2930805920511712E-4</v>
      </c>
      <c r="N7" s="14">
        <f>IFERROR(M7*(1+INDEX(CAGR!$C$9:$C$15,MATCH($A7,CAGR!$B$9:$B$15,0))),0)</f>
        <v>1.2897258244343236E-4</v>
      </c>
      <c r="O7" s="14">
        <f>IFERROR(N7*(1+INDEX(CAGR!$C$9:$C$15,MATCH($A7,CAGR!$B$9:$B$15,0))),0)</f>
        <v>1.28637976042484E-4</v>
      </c>
      <c r="P7" s="14">
        <f>IFERROR(O7*(1+INDEX(CAGR!$C$9:$C$15,MATCH($A7,CAGR!$B$9:$B$15,0))),0)</f>
        <v>1.2830423774420858E-4</v>
      </c>
      <c r="Q7" s="14">
        <f>IFERROR(P7*(1+INDEX(CAGR!$C$9:$C$15,MATCH($A7,CAGR!$B$9:$B$15,0))),0)</f>
        <v>1.2797136529640098E-4</v>
      </c>
      <c r="R7" s="14">
        <f>IFERROR(Q7*(1+INDEX(CAGR!$C$9:$C$15,MATCH($A7,CAGR!$B$9:$B$15,0))),0)</f>
        <v>1.276393564526992E-4</v>
      </c>
      <c r="S7" s="14">
        <f>IFERROR(R7*(1+INDEX(CAGR!$C$9:$C$15,MATCH($A7,CAGR!$B$9:$B$15,0))),0)</f>
        <v>1.273082089725692E-4</v>
      </c>
      <c r="T7" s="14">
        <f>IFERROR(S7*(1+INDEX(CAGR!$C$9:$C$15,MATCH($A7,CAGR!$B$9:$B$15,0))),0)</f>
        <v>1.2697792062128975E-4</v>
      </c>
      <c r="U7" s="14">
        <f>IFERROR(T7*(1+INDEX(CAGR!$C$9:$C$15,MATCH($A7,CAGR!$B$9:$B$15,0))),0)</f>
        <v>1.2664848916993742E-4</v>
      </c>
      <c r="V7" s="14">
        <f>IFERROR(U7*(1+INDEX(CAGR!$C$9:$C$15,MATCH($A7,CAGR!$B$9:$B$15,0))),0)</f>
        <v>1.263199123953715E-4</v>
      </c>
      <c r="W7" s="14">
        <f>IFERROR(V7*(1+INDEX(CAGR!$C$9:$C$15,MATCH($A7,CAGR!$B$9:$B$15,0))),0)</f>
        <v>1.2599218808021897E-4</v>
      </c>
      <c r="X7" s="14">
        <f>IFERROR(W7*(1+INDEX(CAGR!$C$9:$C$15,MATCH($A7,CAGR!$B$9:$B$15,0))),0)</f>
        <v>1.2566531401285956E-4</v>
      </c>
      <c r="Y7" s="14">
        <f>IFERROR(X7*(1+INDEX(CAGR!$C$9:$C$15,MATCH($A7,CAGR!$B$9:$B$15,0))),0)</f>
        <v>1.2533928798741086E-4</v>
      </c>
      <c r="Z7" s="14">
        <f>IFERROR(Y7*(1+INDEX(CAGR!$C$9:$C$15,MATCH($A7,CAGR!$B$9:$B$15,0))),0)</f>
        <v>1.2501410780371334E-4</v>
      </c>
      <c r="AA7" s="14">
        <f>IFERROR(Z7*(1+INDEX(CAGR!$C$9:$C$15,MATCH($A7,CAGR!$B$9:$B$15,0))),0)</f>
        <v>1.2468977126731562E-4</v>
      </c>
      <c r="AB7" s="14">
        <f>IFERROR(AA7*(1+INDEX(CAGR!$C$9:$C$15,MATCH($A7,CAGR!$B$9:$B$15,0))),0)</f>
        <v>1.2436627618945959E-4</v>
      </c>
      <c r="AC7" s="14">
        <f>IFERROR(AB7*(1+INDEX(CAGR!$C$9:$C$15,MATCH($A7,CAGR!$B$9:$B$15,0))),0)</f>
        <v>1.2404362038706564E-4</v>
      </c>
      <c r="AD7" s="14">
        <f>IFERROR(AC7*(1+INDEX(CAGR!$C$9:$C$15,MATCH($A7,CAGR!$B$9:$B$15,0))),0)</f>
        <v>1.2372180168271796E-4</v>
      </c>
      <c r="AE7" s="14">
        <f>IFERROR(AD7*(1+INDEX(CAGR!$C$9:$C$15,MATCH($A7,CAGR!$B$9:$B$15,0))),0)</f>
        <v>1.2340081790464979E-4</v>
      </c>
      <c r="AF7" s="14">
        <f>IFERROR(AE7*(1+INDEX(CAGR!$C$9:$C$15,MATCH($A7,CAGR!$B$9:$B$15,0))),0)</f>
        <v>1.2308066688672883E-4</v>
      </c>
      <c r="AG7" s="14"/>
    </row>
    <row r="8" spans="1:33">
      <c r="A8" s="1" t="s">
        <v>6</v>
      </c>
      <c r="B8" s="13">
        <f>B5*Calibration!$D$21</f>
        <v>3.1061401405336363E-4</v>
      </c>
      <c r="C8" s="13">
        <f>B8*(1+CAGR!$C$15)</f>
        <v>3.0980815721652697E-4</v>
      </c>
      <c r="D8" s="13">
        <f>C8*(1+CAGR!$C$15)</f>
        <v>3.0900439109424953E-4</v>
      </c>
      <c r="E8" s="13">
        <f>D8*(1+CAGR!$C$15)</f>
        <v>3.0820271026238253E-4</v>
      </c>
      <c r="F8" s="13">
        <f>E8*(1+CAGR!$C$15)</f>
        <v>3.0740310931084964E-4</v>
      </c>
      <c r="G8" s="13">
        <f>F8*(1+CAGR!$C$15)</f>
        <v>3.0660558284361034E-4</v>
      </c>
      <c r="H8" s="13">
        <f>G8*(1+CAGR!$C$15)</f>
        <v>3.0581012547862369E-4</v>
      </c>
      <c r="I8" s="13">
        <f>H8*(1+CAGR!$C$15)</f>
        <v>3.0501673184781187E-4</v>
      </c>
      <c r="J8" s="13">
        <f>I8*(1+CAGR!$C$15)</f>
        <v>3.0422539659702403E-4</v>
      </c>
      <c r="K8" s="13">
        <f>J8*(1+CAGR!$C$15)</f>
        <v>3.034361143860001E-4</v>
      </c>
      <c r="L8" s="13">
        <f>K8*(1+CAGR!$C$15)</f>
        <v>3.0264887988833475E-4</v>
      </c>
      <c r="M8" s="13">
        <f>L8*(1+CAGR!$C$15)</f>
        <v>3.0186368779144156E-4</v>
      </c>
      <c r="N8" s="13">
        <f>M8*(1+CAGR!$C$15)</f>
        <v>3.0108053279651699E-4</v>
      </c>
      <c r="O8" s="13">
        <f>N8*(1+CAGR!$C$15)</f>
        <v>3.0029940961850477E-4</v>
      </c>
      <c r="P8" s="13">
        <f>O8*(1+CAGR!$C$15)</f>
        <v>2.9952031298606014E-4</v>
      </c>
      <c r="Q8" s="13">
        <f>P8*(1+CAGR!$C$15)</f>
        <v>2.9874323764151435E-4</v>
      </c>
      <c r="R8" s="13">
        <f>Q8*(1+CAGR!$C$15)</f>
        <v>2.9796817834083908E-4</v>
      </c>
      <c r="S8" s="13">
        <f>R8*(1+CAGR!$C$15)</f>
        <v>2.971951298536112E-4</v>
      </c>
      <c r="T8" s="13">
        <f>S8*(1+CAGR!$C$15)</f>
        <v>2.9642408696297734E-4</v>
      </c>
      <c r="U8" s="13">
        <f>T8*(1+CAGR!$C$15)</f>
        <v>2.9565504446561872E-4</v>
      </c>
      <c r="V8" s="13">
        <f>U8*(1+CAGR!$C$15)</f>
        <v>2.948879971717161E-4</v>
      </c>
      <c r="W8" s="13">
        <f>V8*(1+CAGR!$C$15)</f>
        <v>2.9412293990491465E-4</v>
      </c>
      <c r="X8" s="13">
        <f>W8*(1+CAGR!$C$15)</f>
        <v>2.9335986750228906E-4</v>
      </c>
      <c r="Y8" s="13">
        <f>X8*(1+CAGR!$C$15)</f>
        <v>2.9259877481430877E-4</v>
      </c>
      <c r="Z8" s="13">
        <f>Y8*(1+CAGR!$C$15)</f>
        <v>2.9183965670480318E-4</v>
      </c>
      <c r="AA8" s="13">
        <f>Z8*(1+CAGR!$C$15)</f>
        <v>2.9108250805092687E-4</v>
      </c>
      <c r="AB8" s="13">
        <f>AA8*(1+CAGR!$C$15)</f>
        <v>2.9032732374312514E-4</v>
      </c>
      <c r="AC8" s="13">
        <f>AB8*(1+CAGR!$C$15)</f>
        <v>2.895740986850996E-4</v>
      </c>
      <c r="AD8" s="13">
        <f>AC8*(1+CAGR!$C$15)</f>
        <v>2.8882282779377368E-4</v>
      </c>
      <c r="AE8" s="13">
        <f>AD8*(1+CAGR!$C$15)</f>
        <v>2.8807350599925825E-4</v>
      </c>
      <c r="AF8" s="13">
        <f>AE8*(1+CAGR!$C$15)</f>
        <v>2.8732612824481756E-4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>
      <selection activeCell="D6" sqref="D6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psgr'!$B$3:$H$3,,MATCH($A2,'SYFAFE psgr'!$B$1:$H$1,0))*(1+INDEX(CAGR!$C$16:$C$22,MATCH($A2,CAGR!$B$16:$B$22,0))),0)</f>
        <v>1.1692651360520541E-2</v>
      </c>
      <c r="C2" s="14">
        <f>IFERROR(B2*(1+INDEX(CAGR!$C$16:$C$22,MATCH($A2,CAGR!$B$16:$B$22,0))),0)</f>
        <v>1.1879410611364842E-2</v>
      </c>
      <c r="D2" s="14">
        <f>IFERROR(C2*(1+INDEX(CAGR!$C$16:$C$22,MATCH($A2,CAGR!$B$16:$B$22,0))),0)</f>
        <v>1.2069152848419928E-2</v>
      </c>
      <c r="E2" s="14">
        <f>IFERROR(D2*(1+INDEX(CAGR!$C$16:$C$22,MATCH($A2,CAGR!$B$16:$B$22,0))),0)</f>
        <v>1.2261925717018991E-2</v>
      </c>
      <c r="F2" s="14">
        <f>IFERROR(E2*(1+INDEX(CAGR!$C$16:$C$22,MATCH($A2,CAGR!$B$16:$B$22,0))),0)</f>
        <v>1.2457777623503698E-2</v>
      </c>
      <c r="G2" s="14">
        <f>IFERROR(F2*(1+INDEX(CAGR!$C$16:$C$22,MATCH($A2,CAGR!$B$16:$B$22,0))),0)</f>
        <v>1.2656757747379288E-2</v>
      </c>
      <c r="H2" s="14">
        <f>IFERROR(G2*(1+INDEX(CAGR!$C$16:$C$22,MATCH($A2,CAGR!$B$16:$B$22,0))),0)</f>
        <v>1.2858916053663821E-2</v>
      </c>
      <c r="I2" s="14">
        <f>IFERROR(H2*(1+INDEX(CAGR!$C$16:$C$22,MATCH($A2,CAGR!$B$16:$B$22,0))),0)</f>
        <v>1.3064303305434673E-2</v>
      </c>
      <c r="J2" s="14">
        <f>IFERROR(I2*(1+INDEX(CAGR!$C$16:$C$22,MATCH($A2,CAGR!$B$16:$B$22,0))),0)</f>
        <v>1.3272971076575428E-2</v>
      </c>
      <c r="K2" s="14">
        <f>IFERROR(J2*(1+INDEX(CAGR!$C$16:$C$22,MATCH($A2,CAGR!$B$16:$B$22,0))),0)</f>
        <v>1.3484971764726364E-2</v>
      </c>
      <c r="L2" s="14">
        <f>IFERROR(K2*(1+INDEX(CAGR!$C$16:$C$22,MATCH($A2,CAGR!$B$16:$B$22,0))),0)</f>
        <v>1.3700358604441796E-2</v>
      </c>
      <c r="M2" s="14">
        <f>IFERROR(L2*(1+INDEX(CAGR!$C$16:$C$22,MATCH($A2,CAGR!$B$16:$B$22,0))),0)</f>
        <v>1.3919185680557571E-2</v>
      </c>
      <c r="N2" s="14">
        <f>IFERROR(M2*(1+INDEX(CAGR!$C$16:$C$22,MATCH($A2,CAGR!$B$16:$B$22,0))),0)</f>
        <v>1.4141507941772066E-2</v>
      </c>
      <c r="O2" s="14">
        <f>IFERROR(N2*(1+INDEX(CAGR!$C$16:$C$22,MATCH($A2,CAGR!$B$16:$B$22,0))),0)</f>
        <v>1.4367381214444119E-2</v>
      </c>
      <c r="P2" s="14">
        <f>IFERROR(O2*(1+INDEX(CAGR!$C$16:$C$22,MATCH($A2,CAGR!$B$16:$B$22,0))),0)</f>
        <v>1.4596862216611333E-2</v>
      </c>
      <c r="Q2" s="14">
        <f>IFERROR(P2*(1+INDEX(CAGR!$C$16:$C$22,MATCH($A2,CAGR!$B$16:$B$22,0))),0)</f>
        <v>1.4830008572232295E-2</v>
      </c>
      <c r="R2" s="14">
        <f>IFERROR(Q2*(1+INDEX(CAGR!$C$16:$C$22,MATCH($A2,CAGR!$B$16:$B$22,0))),0)</f>
        <v>1.506687882565627E-2</v>
      </c>
      <c r="S2" s="14">
        <f>IFERROR(R2*(1+INDEX(CAGR!$C$16:$C$22,MATCH($A2,CAGR!$B$16:$B$22,0))),0)</f>
        <v>1.5307532456324017E-2</v>
      </c>
      <c r="T2" s="14">
        <f>IFERROR(S2*(1+INDEX(CAGR!$C$16:$C$22,MATCH($A2,CAGR!$B$16:$B$22,0))),0)</f>
        <v>1.5552029893703408E-2</v>
      </c>
      <c r="U2" s="14">
        <f>IFERROR(T2*(1+INDEX(CAGR!$C$16:$C$22,MATCH($A2,CAGR!$B$16:$B$22,0))),0)</f>
        <v>1.5800432532463601E-2</v>
      </c>
      <c r="V2" s="14">
        <f>IFERROR(U2*(1+INDEX(CAGR!$C$16:$C$22,MATCH($A2,CAGR!$B$16:$B$22,0))),0)</f>
        <v>1.6052802747891583E-2</v>
      </c>
      <c r="W2" s="14">
        <f>IFERROR(V2*(1+INDEX(CAGR!$C$16:$C$22,MATCH($A2,CAGR!$B$16:$B$22,0))),0)</f>
        <v>1.6309203911554958E-2</v>
      </c>
      <c r="X2" s="14">
        <f>IFERROR(W2*(1+INDEX(CAGR!$C$16:$C$22,MATCH($A2,CAGR!$B$16:$B$22,0))),0)</f>
        <v>1.6569700407214893E-2</v>
      </c>
      <c r="Y2" s="14">
        <f>IFERROR(X2*(1+INDEX(CAGR!$C$16:$C$22,MATCH($A2,CAGR!$B$16:$B$22,0))),0)</f>
        <v>1.6834357646993248E-2</v>
      </c>
      <c r="Z2" s="14">
        <f>IFERROR(Y2*(1+INDEX(CAGR!$C$16:$C$22,MATCH($A2,CAGR!$B$16:$B$22,0))),0)</f>
        <v>1.7103242087797916E-2</v>
      </c>
      <c r="AA2" s="14">
        <f>IFERROR(Z2*(1+INDEX(CAGR!$C$16:$C$22,MATCH($A2,CAGR!$B$16:$B$22,0))),0)</f>
        <v>1.7376421248010532E-2</v>
      </c>
      <c r="AB2" s="14">
        <f>IFERROR(AA2*(1+INDEX(CAGR!$C$16:$C$22,MATCH($A2,CAGR!$B$16:$B$22,0))),0)</f>
        <v>1.76539637244407E-2</v>
      </c>
      <c r="AC2" s="14">
        <f>IFERROR(AB2*(1+INDEX(CAGR!$C$16:$C$22,MATCH($A2,CAGR!$B$16:$B$22,0))),0)</f>
        <v>1.7935939209551055E-2</v>
      </c>
      <c r="AD2" s="14">
        <f>IFERROR(AC2*(1+INDEX(CAGR!$C$16:$C$22,MATCH($A2,CAGR!$B$16:$B$22,0))),0)</f>
        <v>1.8222418508957412E-2</v>
      </c>
      <c r="AE2" s="14">
        <f>IFERROR(AD2*(1+INDEX(CAGR!$C$16:$C$22,MATCH($A2,CAGR!$B$16:$B$22,0))),0)</f>
        <v>1.8513473559208456E-2</v>
      </c>
      <c r="AF2" s="14">
        <f>IFERROR(AE2*(1+INDEX(CAGR!$C$16:$C$22,MATCH($A2,CAGR!$B$16:$B$22,0))),0)</f>
        <v>1.8809177445849413E-2</v>
      </c>
      <c r="AG2" s="14"/>
    </row>
    <row r="3" spans="1:33">
      <c r="A3" s="1" t="s">
        <v>1</v>
      </c>
      <c r="B3" s="14">
        <f>IFERROR(INDEX('SYFAFE psgr'!$B$3:$H$3,,MATCH($A3,'SYFAFE psgr'!$B$1:$H$1,0))*(1+INDEX(CAGR!$C$16:$C$22,MATCH($A3,CAGR!$B$16:$B$22,0))),0)</f>
        <v>2.4078647095789893E-3</v>
      </c>
      <c r="C3" s="14">
        <f>IFERROR(B3*(1+INDEX(CAGR!$C$16:$C$22,MATCH($A3,CAGR!$B$16:$B$22,0))),0)</f>
        <v>2.425658893132772E-3</v>
      </c>
      <c r="D3" s="14">
        <f>IFERROR(C3*(1+INDEX(CAGR!$C$16:$C$22,MATCH($A3,CAGR!$B$16:$B$22,0))),0)</f>
        <v>2.443584576171175E-3</v>
      </c>
      <c r="E3" s="14">
        <f>IFERROR(D3*(1+INDEX(CAGR!$C$16:$C$22,MATCH($A3,CAGR!$B$16:$B$22,0))),0)</f>
        <v>2.4616427304788497E-3</v>
      </c>
      <c r="F3" s="14">
        <f>IFERROR(E3*(1+INDEX(CAGR!$C$16:$C$22,MATCH($A3,CAGR!$B$16:$B$22,0))),0)</f>
        <v>2.4798343350219613E-3</v>
      </c>
      <c r="G3" s="14">
        <f>IFERROR(F3*(1+INDEX(CAGR!$C$16:$C$22,MATCH($A3,CAGR!$B$16:$B$22,0))),0)</f>
        <v>2.4981603760012606E-3</v>
      </c>
      <c r="H3" s="14">
        <f>IFERROR(G3*(1+INDEX(CAGR!$C$16:$C$22,MATCH($A3,CAGR!$B$16:$B$22,0))),0)</f>
        <v>2.516621846905548E-3</v>
      </c>
      <c r="I3" s="14">
        <f>IFERROR(H3*(1+INDEX(CAGR!$C$16:$C$22,MATCH($A3,CAGR!$B$16:$B$22,0))),0)</f>
        <v>2.5352197485655325E-3</v>
      </c>
      <c r="J3" s="14">
        <f>IFERROR(I3*(1+INDEX(CAGR!$C$16:$C$22,MATCH($A3,CAGR!$B$16:$B$22,0))),0)</f>
        <v>2.5539550892080876E-3</v>
      </c>
      <c r="K3" s="14">
        <f>IFERROR(J3*(1+INDEX(CAGR!$C$16:$C$22,MATCH($A3,CAGR!$B$16:$B$22,0))),0)</f>
        <v>2.5728288845109108E-3</v>
      </c>
      <c r="L3" s="14">
        <f>IFERROR(K3*(1+INDEX(CAGR!$C$16:$C$22,MATCH($A3,CAGR!$B$16:$B$22,0))),0)</f>
        <v>2.5918421576575841E-3</v>
      </c>
      <c r="M3" s="14">
        <f>IFERROR(L3*(1+INDEX(CAGR!$C$16:$C$22,MATCH($A3,CAGR!$B$16:$B$22,0))),0)</f>
        <v>2.6109959393930435E-3</v>
      </c>
      <c r="N3" s="14">
        <f>IFERROR(M3*(1+INDEX(CAGR!$C$16:$C$22,MATCH($A3,CAGR!$B$16:$B$22,0))),0)</f>
        <v>2.6302912680794565E-3</v>
      </c>
      <c r="O3" s="14">
        <f>IFERROR(N3*(1+INDEX(CAGR!$C$16:$C$22,MATCH($A3,CAGR!$B$16:$B$22,0))),0)</f>
        <v>2.6497291897525149E-3</v>
      </c>
      <c r="P3" s="14">
        <f>IFERROR(O3*(1+INDEX(CAGR!$C$16:$C$22,MATCH($A3,CAGR!$B$16:$B$22,0))),0)</f>
        <v>2.6693107581781412E-3</v>
      </c>
      <c r="Q3" s="14">
        <f>IFERROR(P3*(1+INDEX(CAGR!$C$16:$C$22,MATCH($A3,CAGR!$B$16:$B$22,0))),0)</f>
        <v>2.6890370349096165E-3</v>
      </c>
      <c r="R3" s="14">
        <f>IFERROR(Q3*(1+INDEX(CAGR!$C$16:$C$22,MATCH($A3,CAGR!$B$16:$B$22,0))),0)</f>
        <v>2.7089090893451279E-3</v>
      </c>
      <c r="S3" s="14">
        <f>IFERROR(R3*(1+INDEX(CAGR!$C$16:$C$22,MATCH($A3,CAGR!$B$16:$B$22,0))),0)</f>
        <v>2.7289279987857441E-3</v>
      </c>
      <c r="T3" s="14">
        <f>IFERROR(S3*(1+INDEX(CAGR!$C$16:$C$22,MATCH($A3,CAGR!$B$16:$B$22,0))),0)</f>
        <v>2.7490948484938161E-3</v>
      </c>
      <c r="U3" s="14">
        <f>IFERROR(T3*(1+INDEX(CAGR!$C$16:$C$22,MATCH($A3,CAGR!$B$16:$B$22,0))),0)</f>
        <v>2.7694107317518127E-3</v>
      </c>
      <c r="V3" s="14">
        <f>IFERROR(U3*(1+INDEX(CAGR!$C$16:$C$22,MATCH($A3,CAGR!$B$16:$B$22,0))),0)</f>
        <v>2.7898767499215894E-3</v>
      </c>
      <c r="W3" s="14">
        <f>IFERROR(V3*(1+INDEX(CAGR!$C$16:$C$22,MATCH($A3,CAGR!$B$16:$B$22,0))),0)</f>
        <v>2.8104940125040934E-3</v>
      </c>
      <c r="X3" s="14">
        <f>IFERROR(W3*(1+INDEX(CAGR!$C$16:$C$22,MATCH($A3,CAGR!$B$16:$B$22,0))),0)</f>
        <v>2.8312636371995146E-3</v>
      </c>
      <c r="Y3" s="14">
        <f>IFERROR(X3*(1+INDEX(CAGR!$C$16:$C$22,MATCH($A3,CAGR!$B$16:$B$22,0))),0)</f>
        <v>2.8521867499678756E-3</v>
      </c>
      <c r="Z3" s="14">
        <f>IFERROR(Y3*(1+INDEX(CAGR!$C$16:$C$22,MATCH($A3,CAGR!$B$16:$B$22,0))),0)</f>
        <v>2.873264485090074E-3</v>
      </c>
      <c r="AA3" s="14">
        <f>IFERROR(Z3*(1+INDEX(CAGR!$C$16:$C$22,MATCH($A3,CAGR!$B$16:$B$22,0))),0)</f>
        <v>2.8944979852293723E-3</v>
      </c>
      <c r="AB3" s="14">
        <f>IFERROR(AA3*(1+INDEX(CAGR!$C$16:$C$22,MATCH($A3,CAGR!$B$16:$B$22,0))),0)</f>
        <v>2.9158884014933452E-3</v>
      </c>
      <c r="AC3" s="14">
        <f>IFERROR(AB3*(1+INDEX(CAGR!$C$16:$C$22,MATCH($A3,CAGR!$B$16:$B$22,0))),0)</f>
        <v>2.9374368934962829E-3</v>
      </c>
      <c r="AD3" s="14">
        <f>IFERROR(AC3*(1+INDEX(CAGR!$C$16:$C$22,MATCH($A3,CAGR!$B$16:$B$22,0))),0)</f>
        <v>2.9591446294220548E-3</v>
      </c>
      <c r="AE3" s="14">
        <f>IFERROR(AD3*(1+INDEX(CAGR!$C$16:$C$22,MATCH($A3,CAGR!$B$16:$B$22,0))),0)</f>
        <v>2.9810127860874403E-3</v>
      </c>
      <c r="AF3" s="14">
        <f>IFERROR(AE3*(1+INDEX(CAGR!$C$16:$C$22,MATCH($A3,CAGR!$B$16:$B$22,0))),0)</f>
        <v>3.0030425490059258E-3</v>
      </c>
      <c r="AG3" s="14"/>
    </row>
    <row r="4" spans="1:33">
      <c r="A4" s="1" t="s">
        <v>2</v>
      </c>
      <c r="B4" s="14">
        <f>IFERROR(INDEX('SYFAFE psgr'!$B$3:$H$3,,MATCH($A4,'SYFAFE psgr'!$B$1:$H$1,0))*(1+INDEX(CAGR!$C$16:$C$22,MATCH($A4,CAGR!$B$16:$B$22,0))),0)</f>
        <v>2.733924146696608E-3</v>
      </c>
      <c r="C4" s="14">
        <f>IFERROR(B4*(1+INDEX(CAGR!$C$16:$C$22,MATCH($A4,CAGR!$B$16:$B$22,0))),0)</f>
        <v>2.7541279180691883E-3</v>
      </c>
      <c r="D4" s="14">
        <f>IFERROR(C4*(1+INDEX(CAGR!$C$16:$C$22,MATCH($A4,CAGR!$B$16:$B$22,0))),0)</f>
        <v>2.7744809958437653E-3</v>
      </c>
      <c r="E4" s="14">
        <f>IFERROR(D4*(1+INDEX(CAGR!$C$16:$C$22,MATCH($A4,CAGR!$B$16:$B$22,0))),0)</f>
        <v>2.794984483398578E-3</v>
      </c>
      <c r="F4" s="14">
        <f>IFERROR(E4*(1+INDEX(CAGR!$C$16:$C$22,MATCH($A4,CAGR!$B$16:$B$22,0))),0)</f>
        <v>2.8156394922658596E-3</v>
      </c>
      <c r="G4" s="14">
        <f>IFERROR(F4*(1+INDEX(CAGR!$C$16:$C$22,MATCH($A4,CAGR!$B$16:$B$22,0))),0)</f>
        <v>2.836447142192096E-3</v>
      </c>
      <c r="H4" s="14">
        <f>IFERROR(G4*(1+INDEX(CAGR!$C$16:$C$22,MATCH($A4,CAGR!$B$16:$B$22,0))),0)</f>
        <v>2.8574085611987282E-3</v>
      </c>
      <c r="I4" s="14">
        <f>IFERROR(H4*(1+INDEX(CAGR!$C$16:$C$22,MATCH($A4,CAGR!$B$16:$B$22,0))),0)</f>
        <v>2.8785248856433064E-3</v>
      </c>
      <c r="J4" s="14">
        <f>IFERROR(I4*(1+INDEX(CAGR!$C$16:$C$22,MATCH($A4,CAGR!$B$16:$B$22,0))),0)</f>
        <v>2.8997972602810927E-3</v>
      </c>
      <c r="K4" s="14">
        <f>IFERROR(J4*(1+INDEX(CAGR!$C$16:$C$22,MATCH($A4,CAGR!$B$16:$B$22,0))),0)</f>
        <v>2.9212268383271198E-3</v>
      </c>
      <c r="L4" s="14">
        <f>IFERROR(K4*(1+INDEX(CAGR!$C$16:$C$22,MATCH($A4,CAGR!$B$16:$B$22,0))),0)</f>
        <v>2.9428147815187111E-3</v>
      </c>
      <c r="M4" s="14">
        <f>IFERROR(L4*(1+INDEX(CAGR!$C$16:$C$22,MATCH($A4,CAGR!$B$16:$B$22,0))),0)</f>
        <v>2.9645622601784587E-3</v>
      </c>
      <c r="N4" s="14">
        <f>IFERROR(M4*(1+INDEX(CAGR!$C$16:$C$22,MATCH($A4,CAGR!$B$16:$B$22,0))),0)</f>
        <v>2.9864704532776695E-3</v>
      </c>
      <c r="O4" s="14">
        <f>IFERROR(N4*(1+INDEX(CAGR!$C$16:$C$22,MATCH($A4,CAGR!$B$16:$B$22,0))),0)</f>
        <v>3.0085405485002796E-3</v>
      </c>
      <c r="P4" s="14">
        <f>IFERROR(O4*(1+INDEX(CAGR!$C$16:$C$22,MATCH($A4,CAGR!$B$16:$B$22,0))),0)</f>
        <v>3.0307737423072405E-3</v>
      </c>
      <c r="Q4" s="14">
        <f>IFERROR(P4*(1+INDEX(CAGR!$C$16:$C$22,MATCH($A4,CAGR!$B$16:$B$22,0))),0)</f>
        <v>3.053171240001382E-3</v>
      </c>
      <c r="R4" s="14">
        <f>IFERROR(Q4*(1+INDEX(CAGR!$C$16:$C$22,MATCH($A4,CAGR!$B$16:$B$22,0))),0)</f>
        <v>3.0757342557927525E-3</v>
      </c>
      <c r="S4" s="14">
        <f>IFERROR(R4*(1+INDEX(CAGR!$C$16:$C$22,MATCH($A4,CAGR!$B$16:$B$22,0))),0)</f>
        <v>3.0984640128644456E-3</v>
      </c>
      <c r="T4" s="14">
        <f>IFERROR(S4*(1+INDEX(CAGR!$C$16:$C$22,MATCH($A4,CAGR!$B$16:$B$22,0))),0)</f>
        <v>3.1213617434389098E-3</v>
      </c>
      <c r="U4" s="14">
        <f>IFERROR(T4*(1+INDEX(CAGR!$C$16:$C$22,MATCH($A4,CAGR!$B$16:$B$22,0))),0)</f>
        <v>3.1444286888447498E-3</v>
      </c>
      <c r="V4" s="14">
        <f>IFERROR(U4*(1+INDEX(CAGR!$C$16:$C$22,MATCH($A4,CAGR!$B$16:$B$22,0))),0)</f>
        <v>3.1676660995840211E-3</v>
      </c>
      <c r="W4" s="14">
        <f>IFERROR(V4*(1+INDEX(CAGR!$C$16:$C$22,MATCH($A4,CAGR!$B$16:$B$22,0))),0)</f>
        <v>3.1910752354000231E-3</v>
      </c>
      <c r="X4" s="14">
        <f>IFERROR(W4*(1+INDEX(CAGR!$C$16:$C$22,MATCH($A4,CAGR!$B$16:$B$22,0))),0)</f>
        <v>3.2146573653455907E-3</v>
      </c>
      <c r="Y4" s="14">
        <f>IFERROR(X4*(1+INDEX(CAGR!$C$16:$C$22,MATCH($A4,CAGR!$B$16:$B$22,0))),0)</f>
        <v>3.2384137678518926E-3</v>
      </c>
      <c r="Z4" s="14">
        <f>IFERROR(Y4*(1+INDEX(CAGR!$C$16:$C$22,MATCH($A4,CAGR!$B$16:$B$22,0))),0)</f>
        <v>3.2623457307977381E-3</v>
      </c>
      <c r="AA4" s="14">
        <f>IFERROR(Z4*(1+INDEX(CAGR!$C$16:$C$22,MATCH($A4,CAGR!$B$16:$B$22,0))),0)</f>
        <v>3.286454551579394E-3</v>
      </c>
      <c r="AB4" s="14">
        <f>IFERROR(AA4*(1+INDEX(CAGR!$C$16:$C$22,MATCH($A4,CAGR!$B$16:$B$22,0))),0)</f>
        <v>3.3107415371809203E-3</v>
      </c>
      <c r="AC4" s="14">
        <f>IFERROR(AB4*(1+INDEX(CAGR!$C$16:$C$22,MATCH($A4,CAGR!$B$16:$B$22,0))),0)</f>
        <v>3.3352080042450228E-3</v>
      </c>
      <c r="AD4" s="14">
        <f>IFERROR(AC4*(1+INDEX(CAGR!$C$16:$C$22,MATCH($A4,CAGR!$B$16:$B$22,0))),0)</f>
        <v>3.3598552791444325E-3</v>
      </c>
      <c r="AE4" s="14">
        <f>IFERROR(AD4*(1+INDEX(CAGR!$C$16:$C$22,MATCH($A4,CAGR!$B$16:$B$22,0))),0)</f>
        <v>3.3846846980538094E-3</v>
      </c>
      <c r="AF4" s="14">
        <f>IFERROR(AE4*(1+INDEX(CAGR!$C$16:$C$22,MATCH($A4,CAGR!$B$16:$B$22,0))),0)</f>
        <v>3.4096976070221788E-3</v>
      </c>
      <c r="AG4" s="14"/>
    </row>
    <row r="5" spans="1:33">
      <c r="A5" s="1" t="s">
        <v>3</v>
      </c>
      <c r="B5" s="14">
        <f>IFERROR(INDEX('SYFAFE psgr'!$B$3:$H$3,,MATCH($A5,'SYFAFE psgr'!$B$1:$H$1,0))*(1+INDEX(CAGR!$C$16:$C$22,MATCH($A5,CAGR!$B$16:$B$22,0))),0)</f>
        <v>2.7351239079934789E-3</v>
      </c>
      <c r="C5" s="14">
        <f>IFERROR(B5*(1+INDEX(CAGR!$C$16:$C$22,MATCH($A5,CAGR!$B$16:$B$22,0))),0)</f>
        <v>2.7553365456336083E-3</v>
      </c>
      <c r="D5" s="14">
        <f>IFERROR(C5*(1+INDEX(CAGR!$C$16:$C$22,MATCH($A5,CAGR!$B$16:$B$22,0))),0)</f>
        <v>2.7756985551976848E-3</v>
      </c>
      <c r="E5" s="14">
        <f>IFERROR(D5*(1+INDEX(CAGR!$C$16:$C$22,MATCH($A5,CAGR!$B$16:$B$22,0))),0)</f>
        <v>2.7962110405481562E-3</v>
      </c>
      <c r="F5" s="14">
        <f>IFERROR(E5*(1+INDEX(CAGR!$C$16:$C$22,MATCH($A5,CAGR!$B$16:$B$22,0))),0)</f>
        <v>2.8168751137050436E-3</v>
      </c>
      <c r="G5" s="14">
        <f>IFERROR(F5*(1+INDEX(CAGR!$C$16:$C$22,MATCH($A5,CAGR!$B$16:$B$22,0))),0)</f>
        <v>2.837691894906224E-3</v>
      </c>
      <c r="H5" s="14">
        <f>IFERROR(G5*(1+INDEX(CAGR!$C$16:$C$22,MATCH($A5,CAGR!$B$16:$B$22,0))),0)</f>
        <v>2.8586625126681628E-3</v>
      </c>
      <c r="I5" s="14">
        <f>IFERROR(H5*(1+INDEX(CAGR!$C$16:$C$22,MATCH($A5,CAGR!$B$16:$B$22,0))),0)</f>
        <v>2.879788103847091E-3</v>
      </c>
      <c r="J5" s="14">
        <f>IFERROR(I5*(1+INDEX(CAGR!$C$16:$C$22,MATCH($A5,CAGR!$B$16:$B$22,0))),0)</f>
        <v>2.9010698137006377E-3</v>
      </c>
      <c r="K5" s="14">
        <f>IFERROR(J5*(1+INDEX(CAGR!$C$16:$C$22,MATCH($A5,CAGR!$B$16:$B$22,0))),0)</f>
        <v>2.9225087959499157E-3</v>
      </c>
      <c r="L5" s="14">
        <f>IFERROR(K5*(1+INDEX(CAGR!$C$16:$C$22,MATCH($A5,CAGR!$B$16:$B$22,0))),0)</f>
        <v>2.9441062128420675E-3</v>
      </c>
      <c r="M5" s="14">
        <f>IFERROR(L5*(1+INDEX(CAGR!$C$16:$C$22,MATCH($A5,CAGR!$B$16:$B$22,0))),0)</f>
        <v>2.9658632352132716E-3</v>
      </c>
      <c r="N5" s="14">
        <f>IFERROR(M5*(1+INDEX(CAGR!$C$16:$C$22,MATCH($A5,CAGR!$B$16:$B$22,0))),0)</f>
        <v>2.9877810425522179E-3</v>
      </c>
      <c r="O5" s="14">
        <f>IFERROR(N5*(1+INDEX(CAGR!$C$16:$C$22,MATCH($A5,CAGR!$B$16:$B$22,0))),0)</f>
        <v>3.0098608230640484E-3</v>
      </c>
      <c r="P5" s="14">
        <f>IFERROR(O5*(1+INDEX(CAGR!$C$16:$C$22,MATCH($A5,CAGR!$B$16:$B$22,0))),0)</f>
        <v>3.0321037737347715E-3</v>
      </c>
      <c r="Q5" s="14">
        <f>IFERROR(P5*(1+INDEX(CAGR!$C$16:$C$22,MATCH($A5,CAGR!$B$16:$B$22,0))),0)</f>
        <v>3.0545111003961547E-3</v>
      </c>
      <c r="R5" s="14">
        <f>IFERROR(Q5*(1+INDEX(CAGR!$C$16:$C$22,MATCH($A5,CAGR!$B$16:$B$22,0))),0)</f>
        <v>3.077084017791094E-3</v>
      </c>
      <c r="S5" s="14">
        <f>IFERROR(R5*(1+INDEX(CAGR!$C$16:$C$22,MATCH($A5,CAGR!$B$16:$B$22,0))),0)</f>
        <v>3.0998237496394666E-3</v>
      </c>
      <c r="T5" s="14">
        <f>IFERROR(S5*(1+INDEX(CAGR!$C$16:$C$22,MATCH($A5,CAGR!$B$16:$B$22,0))),0)</f>
        <v>3.1227315287044722E-3</v>
      </c>
      <c r="U5" s="14">
        <f>IFERROR(T5*(1+INDEX(CAGR!$C$16:$C$22,MATCH($A5,CAGR!$B$16:$B$22,0))),0)</f>
        <v>3.1458085968594633E-3</v>
      </c>
      <c r="V5" s="14">
        <f>IFERROR(U5*(1+INDEX(CAGR!$C$16:$C$22,MATCH($A5,CAGR!$B$16:$B$22,0))),0)</f>
        <v>3.1690562051552682E-3</v>
      </c>
      <c r="W5" s="14">
        <f>IFERROR(V5*(1+INDEX(CAGR!$C$16:$C$22,MATCH($A5,CAGR!$B$16:$B$22,0))),0)</f>
        <v>3.1924756138880148E-3</v>
      </c>
      <c r="X5" s="14">
        <f>IFERROR(W5*(1+INDEX(CAGR!$C$16:$C$22,MATCH($A5,CAGR!$B$16:$B$22,0))),0)</f>
        <v>3.2160680926674521E-3</v>
      </c>
      <c r="Y5" s="14">
        <f>IFERROR(X5*(1+INDEX(CAGR!$C$16:$C$22,MATCH($A5,CAGR!$B$16:$B$22,0))),0)</f>
        <v>3.2398349204857783E-3</v>
      </c>
      <c r="Z5" s="14">
        <f>IFERROR(Y5*(1+INDEX(CAGR!$C$16:$C$22,MATCH($A5,CAGR!$B$16:$B$22,0))),0)</f>
        <v>3.2637773857869781E-3</v>
      </c>
      <c r="AA5" s="14">
        <f>IFERROR(Z5*(1+INDEX(CAGR!$C$16:$C$22,MATCH($A5,CAGR!$B$16:$B$22,0))),0)</f>
        <v>3.2878967865366711E-3</v>
      </c>
      <c r="AB5" s="14">
        <f>IFERROR(AA5*(1+INDEX(CAGR!$C$16:$C$22,MATCH($A5,CAGR!$B$16:$B$22,0))),0)</f>
        <v>3.3121944302924762E-3</v>
      </c>
      <c r="AC5" s="14">
        <f>IFERROR(AB5*(1+INDEX(CAGR!$C$16:$C$22,MATCH($A5,CAGR!$B$16:$B$22,0))),0)</f>
        <v>3.3366716342748985E-3</v>
      </c>
      <c r="AD5" s="14">
        <f>IFERROR(AC5*(1+INDEX(CAGR!$C$16:$C$22,MATCH($A5,CAGR!$B$16:$B$22,0))),0)</f>
        <v>3.3613297254387366E-3</v>
      </c>
      <c r="AE5" s="14">
        <f>IFERROR(AD5*(1+INDEX(CAGR!$C$16:$C$22,MATCH($A5,CAGR!$B$16:$B$22,0))),0)</f>
        <v>3.3861700405450204E-3</v>
      </c>
      <c r="AF5" s="14">
        <f>IFERROR(AE5*(1+INDEX(CAGR!$C$16:$C$22,MATCH($A5,CAGR!$B$16:$B$22,0))),0)</f>
        <v>3.4111939262334787E-3</v>
      </c>
      <c r="AG5" s="14"/>
    </row>
    <row r="6" spans="1:33">
      <c r="A6" s="1" t="s">
        <v>4</v>
      </c>
      <c r="B6" s="14">
        <f>IFERROR(INDEX('SYFAFE psgr'!$B$3:$H$3,,MATCH($A6,'SYFAFE psgr'!$B$1:$H$1,0))*(1+INDEX(CAGR!$C$16:$C$22,MATCH($A6,CAGR!$B$16:$B$22,0))),0)</f>
        <v>2.5502672312137727E-3</v>
      </c>
      <c r="C6" s="14">
        <f>IFERROR(B6*(1+INDEX(CAGR!$C$16:$C$22,MATCH($A6,CAGR!$B$16:$B$22,0))),0)</f>
        <v>2.5691137731489919E-3</v>
      </c>
      <c r="D6" s="14">
        <f>IFERROR(C6*(1+INDEX(CAGR!$C$16:$C$22,MATCH($A6,CAGR!$B$16:$B$22,0))),0)</f>
        <v>2.5880995915249574E-3</v>
      </c>
      <c r="E6" s="14">
        <f>IFERROR(D6*(1+INDEX(CAGR!$C$16:$C$22,MATCH($A6,CAGR!$B$16:$B$22,0))),0)</f>
        <v>2.6072257155982312E-3</v>
      </c>
      <c r="F6" s="14">
        <f>IFERROR(E6*(1+INDEX(CAGR!$C$16:$C$22,MATCH($A6,CAGR!$B$16:$B$22,0))),0)</f>
        <v>2.6264931822316071E-3</v>
      </c>
      <c r="G6" s="14">
        <f>IFERROR(F6*(1+INDEX(CAGR!$C$16:$C$22,MATCH($A6,CAGR!$B$16:$B$22,0))),0)</f>
        <v>2.6459030359503237E-3</v>
      </c>
      <c r="H6" s="14">
        <f>IFERROR(G6*(1+INDEX(CAGR!$C$16:$C$22,MATCH($A6,CAGR!$B$16:$B$22,0))),0)</f>
        <v>2.6654563289986873E-3</v>
      </c>
      <c r="I6" s="14">
        <f>IFERROR(H6*(1+INDEX(CAGR!$C$16:$C$22,MATCH($A6,CAGR!$B$16:$B$22,0))),0)</f>
        <v>2.685154121397118E-3</v>
      </c>
      <c r="J6" s="14">
        <f>IFERROR(I6*(1+INDEX(CAGR!$C$16:$C$22,MATCH($A6,CAGR!$B$16:$B$22,0))),0)</f>
        <v>2.7049974809996141E-3</v>
      </c>
      <c r="K6" s="14">
        <f>IFERROR(J6*(1+INDEX(CAGR!$C$16:$C$22,MATCH($A6,CAGR!$B$16:$B$22,0))),0)</f>
        <v>2.7249874835516439E-3</v>
      </c>
      <c r="L6" s="14">
        <f>IFERROR(K6*(1+INDEX(CAGR!$C$16:$C$22,MATCH($A6,CAGR!$B$16:$B$22,0))),0)</f>
        <v>2.7451252127484627E-3</v>
      </c>
      <c r="M6" s="14">
        <f>IFERROR(L6*(1+INDEX(CAGR!$C$16:$C$22,MATCH($A6,CAGR!$B$16:$B$22,0))),0)</f>
        <v>2.7654117602938619E-3</v>
      </c>
      <c r="N6" s="14">
        <f>IFERROR(M6*(1+INDEX(CAGR!$C$16:$C$22,MATCH($A6,CAGR!$B$16:$B$22,0))),0)</f>
        <v>2.7858482259593528E-3</v>
      </c>
      <c r="O6" s="14">
        <f>IFERROR(N6*(1+INDEX(CAGR!$C$16:$C$22,MATCH($A6,CAGR!$B$16:$B$22,0))),0)</f>
        <v>2.8064357176437872E-3</v>
      </c>
      <c r="P6" s="14">
        <f>IFERROR(O6*(1+INDEX(CAGR!$C$16:$C$22,MATCH($A6,CAGR!$B$16:$B$22,0))),0)</f>
        <v>2.8271753514334183E-3</v>
      </c>
      <c r="Q6" s="14">
        <f>IFERROR(P6*(1+INDEX(CAGR!$C$16:$C$22,MATCH($A6,CAGR!$B$16:$B$22,0))),0)</f>
        <v>2.8480682516624067E-3</v>
      </c>
      <c r="R6" s="14">
        <f>IFERROR(Q6*(1+INDEX(CAGR!$C$16:$C$22,MATCH($A6,CAGR!$B$16:$B$22,0))),0)</f>
        <v>2.8691155509737716E-3</v>
      </c>
      <c r="S6" s="14">
        <f>IFERROR(R6*(1+INDEX(CAGR!$C$16:$C$22,MATCH($A6,CAGR!$B$16:$B$22,0))),0)</f>
        <v>2.8903183903807939E-3</v>
      </c>
      <c r="T6" s="14">
        <f>IFERROR(S6*(1+INDEX(CAGR!$C$16:$C$22,MATCH($A6,CAGR!$B$16:$B$22,0))),0)</f>
        <v>2.9116779193288727E-3</v>
      </c>
      <c r="U6" s="14">
        <f>IFERROR(T6*(1+INDEX(CAGR!$C$16:$C$22,MATCH($A6,CAGR!$B$16:$B$22,0))),0)</f>
        <v>2.9331952957578388E-3</v>
      </c>
      <c r="V6" s="14">
        <f>IFERROR(U6*(1+INDEX(CAGR!$C$16:$C$22,MATCH($A6,CAGR!$B$16:$B$22,0))),0)</f>
        <v>2.9548716861647287E-3</v>
      </c>
      <c r="W6" s="14">
        <f>IFERROR(V6*(1+INDEX(CAGR!$C$16:$C$22,MATCH($A6,CAGR!$B$16:$B$22,0))),0)</f>
        <v>2.9767082656670229E-3</v>
      </c>
      <c r="X6" s="14">
        <f>IFERROR(W6*(1+INDEX(CAGR!$C$16:$C$22,MATCH($A6,CAGR!$B$16:$B$22,0))),0)</f>
        <v>2.9987062180663513E-3</v>
      </c>
      <c r="Y6" s="14">
        <f>IFERROR(X6*(1+INDEX(CAGR!$C$16:$C$22,MATCH($A6,CAGR!$B$16:$B$22,0))),0)</f>
        <v>3.0208667359126681E-3</v>
      </c>
      <c r="Z6" s="14">
        <f>IFERROR(Y6*(1+INDEX(CAGR!$C$16:$C$22,MATCH($A6,CAGR!$B$16:$B$22,0))),0)</f>
        <v>3.043191020568904E-3</v>
      </c>
      <c r="AA6" s="14">
        <f>IFERROR(Z6*(1+INDEX(CAGR!$C$16:$C$22,MATCH($A6,CAGR!$B$16:$B$22,0))),0)</f>
        <v>3.065680282276093E-3</v>
      </c>
      <c r="AB6" s="14">
        <f>IFERROR(AA6*(1+INDEX(CAGR!$C$16:$C$22,MATCH($A6,CAGR!$B$16:$B$22,0))),0)</f>
        <v>3.0883357402189818E-3</v>
      </c>
      <c r="AC6" s="14">
        <f>IFERROR(AB6*(1+INDEX(CAGR!$C$16:$C$22,MATCH($A6,CAGR!$B$16:$B$22,0))),0)</f>
        <v>3.1111586225921247E-3</v>
      </c>
      <c r="AD6" s="14">
        <f>IFERROR(AC6*(1+INDEX(CAGR!$C$16:$C$22,MATCH($A6,CAGR!$B$16:$B$22,0))),0)</f>
        <v>3.1341501666664667E-3</v>
      </c>
      <c r="AE6" s="14">
        <f>IFERROR(AD6*(1+INDEX(CAGR!$C$16:$C$22,MATCH($A6,CAGR!$B$16:$B$22,0))),0)</f>
        <v>3.1573116188564165E-3</v>
      </c>
      <c r="AF6" s="14">
        <f>IFERROR(AE6*(1+INDEX(CAGR!$C$16:$C$22,MATCH($A6,CAGR!$B$16:$B$22,0))),0)</f>
        <v>3.1806442347874189E-3</v>
      </c>
      <c r="AG6" s="14"/>
    </row>
    <row r="7" spans="1:33">
      <c r="A7" s="1" t="s">
        <v>5</v>
      </c>
      <c r="B7" s="14">
        <f>IFERROR(INDEX('SYFAFE psgr'!$B$3:$H$3,,MATCH($A7,'SYFAFE psgr'!$B$1:$H$1,0))*(1+INDEX(CAGR!$C$16:$C$22,MATCH($A7,CAGR!$B$16:$B$22,0))),0)</f>
        <v>2.7743870182359528E-3</v>
      </c>
      <c r="C7" s="14">
        <f>IFERROR(B7*(1+INDEX(CAGR!$C$16:$C$22,MATCH($A7,CAGR!$B$16:$B$22,0))),0)</f>
        <v>2.7948898112937714E-3</v>
      </c>
      <c r="D7" s="14">
        <f>IFERROR(C7*(1+INDEX(CAGR!$C$16:$C$22,MATCH($A7,CAGR!$B$16:$B$22,0))),0)</f>
        <v>2.8155441205317076E-3</v>
      </c>
      <c r="E7" s="14">
        <f>IFERROR(D7*(1+INDEX(CAGR!$C$16:$C$22,MATCH($A7,CAGR!$B$16:$B$22,0))),0)</f>
        <v>2.836351065658319E-3</v>
      </c>
      <c r="F7" s="14">
        <f>IFERROR(E7*(1+INDEX(CAGR!$C$16:$C$22,MATCH($A7,CAGR!$B$16:$B$22,0))),0)</f>
        <v>2.8573117746568391E-3</v>
      </c>
      <c r="G7" s="14">
        <f>IFERROR(F7*(1+INDEX(CAGR!$C$16:$C$22,MATCH($A7,CAGR!$B$16:$B$22,0))),0)</f>
        <v>2.8784273838463265E-3</v>
      </c>
      <c r="H7" s="14">
        <f>IFERROR(G7*(1+INDEX(CAGR!$C$16:$C$22,MATCH($A7,CAGR!$B$16:$B$22,0))),0)</f>
        <v>2.8996990379432674E-3</v>
      </c>
      <c r="I7" s="14">
        <f>IFERROR(H7*(1+INDEX(CAGR!$C$16:$C$22,MATCH($A7,CAGR!$B$16:$B$22,0))),0)</f>
        <v>2.921127890123634E-3</v>
      </c>
      <c r="J7" s="14">
        <f>IFERROR(I7*(1+INDEX(CAGR!$C$16:$C$22,MATCH($A7,CAGR!$B$16:$B$22,0))),0)</f>
        <v>2.9427151020853981E-3</v>
      </c>
      <c r="K7" s="14">
        <f>IFERROR(J7*(1+INDEX(CAGR!$C$16:$C$22,MATCH($A7,CAGR!$B$16:$B$22,0))),0)</f>
        <v>2.964461844111511E-3</v>
      </c>
      <c r="L7" s="14">
        <f>IFERROR(K7*(1+INDEX(CAGR!$C$16:$C$22,MATCH($A7,CAGR!$B$16:$B$22,0))),0)</f>
        <v>2.9863692951333453E-3</v>
      </c>
      <c r="M7" s="14">
        <f>IFERROR(L7*(1+INDEX(CAGR!$C$16:$C$22,MATCH($A7,CAGR!$B$16:$B$22,0))),0)</f>
        <v>3.0084386427946075E-3</v>
      </c>
      <c r="N7" s="14">
        <f>IFERROR(M7*(1+INDEX(CAGR!$C$16:$C$22,MATCH($A7,CAGR!$B$16:$B$22,0))),0)</f>
        <v>3.0306710835157225E-3</v>
      </c>
      <c r="O7" s="14">
        <f>IFERROR(N7*(1+INDEX(CAGR!$C$16:$C$22,MATCH($A7,CAGR!$B$16:$B$22,0))),0)</f>
        <v>3.0530678225586935E-3</v>
      </c>
      <c r="P7" s="14">
        <f>IFERROR(O7*(1+INDEX(CAGR!$C$16:$C$22,MATCH($A7,CAGR!$B$16:$B$22,0))),0)</f>
        <v>3.0756300740924416E-3</v>
      </c>
      <c r="Q7" s="14">
        <f>IFERROR(P7*(1+INDEX(CAGR!$C$16:$C$22,MATCH($A7,CAGR!$B$16:$B$22,0))),0)</f>
        <v>3.0983590612586286E-3</v>
      </c>
      <c r="R7" s="14">
        <f>IFERROR(Q7*(1+INDEX(CAGR!$C$16:$C$22,MATCH($A7,CAGR!$B$16:$B$22,0))),0)</f>
        <v>3.1212560162379643E-3</v>
      </c>
      <c r="S7" s="14">
        <f>IFERROR(R7*(1+INDEX(CAGR!$C$16:$C$22,MATCH($A7,CAGR!$B$16:$B$22,0))),0)</f>
        <v>3.1443221803170076E-3</v>
      </c>
      <c r="T7" s="14">
        <f>IFERROR(S7*(1+INDEX(CAGR!$C$16:$C$22,MATCH($A7,CAGR!$B$16:$B$22,0))),0)</f>
        <v>3.1675588039554569E-3</v>
      </c>
      <c r="U7" s="14">
        <f>IFERROR(T7*(1+INDEX(CAGR!$C$16:$C$22,MATCH($A7,CAGR!$B$16:$B$22,0))),0)</f>
        <v>3.1909671468539407E-3</v>
      </c>
      <c r="V7" s="14">
        <f>IFERROR(U7*(1+INDEX(CAGR!$C$16:$C$22,MATCH($A7,CAGR!$B$16:$B$22,0))),0)</f>
        <v>3.214548478022309E-3</v>
      </c>
      <c r="W7" s="14">
        <f>IFERROR(V7*(1+INDEX(CAGR!$C$16:$C$22,MATCH($A7,CAGR!$B$16:$B$22,0))),0)</f>
        <v>3.2383040758484274E-3</v>
      </c>
      <c r="X7" s="14">
        <f>IFERROR(W7*(1+INDEX(CAGR!$C$16:$C$22,MATCH($A7,CAGR!$B$16:$B$22,0))),0)</f>
        <v>3.2622352281674811E-3</v>
      </c>
      <c r="Y7" s="14">
        <f>IFERROR(X7*(1+INDEX(CAGR!$C$16:$C$22,MATCH($A7,CAGR!$B$16:$B$22,0))),0)</f>
        <v>3.286343232331792E-3</v>
      </c>
      <c r="Z7" s="14">
        <f>IFERROR(Y7*(1+INDEX(CAGR!$C$16:$C$22,MATCH($A7,CAGR!$B$16:$B$22,0))),0)</f>
        <v>3.3106293952811497E-3</v>
      </c>
      <c r="AA7" s="14">
        <f>IFERROR(Z7*(1+INDEX(CAGR!$C$16:$C$22,MATCH($A7,CAGR!$B$16:$B$22,0))),0)</f>
        <v>3.3350950336136628E-3</v>
      </c>
      <c r="AB7" s="14">
        <f>IFERROR(AA7*(1+INDEX(CAGR!$C$16:$C$22,MATCH($A7,CAGR!$B$16:$B$22,0))),0)</f>
        <v>3.3597414736571346E-3</v>
      </c>
      <c r="AC7" s="14">
        <f>IFERROR(AB7*(1+INDEX(CAGR!$C$16:$C$22,MATCH($A7,CAGR!$B$16:$B$22,0))),0)</f>
        <v>3.3845700515409659E-3</v>
      </c>
      <c r="AD7" s="14">
        <f>IFERROR(AC7*(1+INDEX(CAGR!$C$16:$C$22,MATCH($A7,CAGR!$B$16:$B$22,0))),0)</f>
        <v>3.4095821132685894E-3</v>
      </c>
      <c r="AE7" s="14">
        <f>IFERROR(AD7*(1+INDEX(CAGR!$C$16:$C$22,MATCH($A7,CAGR!$B$16:$B$22,0))),0)</f>
        <v>3.4347790147904373E-3</v>
      </c>
      <c r="AF7" s="14">
        <f>IFERROR(AE7*(1+INDEX(CAGR!$C$16:$C$22,MATCH($A7,CAGR!$B$16:$B$22,0))),0)</f>
        <v>3.4601621220774529E-3</v>
      </c>
      <c r="AG7" s="14"/>
    </row>
    <row r="8" spans="1:33">
      <c r="A8" s="1" t="s">
        <v>6</v>
      </c>
      <c r="B8" s="18">
        <f>'SYFAFE psgr'!H3</f>
        <v>4.9212368633330004E-3</v>
      </c>
      <c r="C8" s="18">
        <f>B8*(1+CAGR!$D$22)</f>
        <v>4.9733613798018895E-3</v>
      </c>
      <c r="D8" s="18">
        <f>C8*(1+CAGR!$D$22)</f>
        <v>5.0260379861808086E-3</v>
      </c>
      <c r="E8" s="18">
        <f>D8*(1+CAGR!$D$22)</f>
        <v>5.0792725300687269E-3</v>
      </c>
      <c r="F8" s="18">
        <f>E8*(1+CAGR!$D$22)</f>
        <v>5.1330709210009274E-3</v>
      </c>
      <c r="G8" s="18">
        <f>F8*(1+CAGR!$D$22)</f>
        <v>5.1874391311050186E-3</v>
      </c>
      <c r="H8" s="18">
        <f>G8*(1+CAGR!$D$22)</f>
        <v>5.2423831957639005E-3</v>
      </c>
      <c r="I8" s="18">
        <f>H8*(1+CAGR!$D$22)</f>
        <v>5.2979092142857471E-3</v>
      </c>
      <c r="J8" s="18">
        <f>I8*(1+CAGR!$D$22)</f>
        <v>5.3540233505810862E-3</v>
      </c>
      <c r="K8" s="18">
        <f>J8*(1+CAGR!$D$22)</f>
        <v>5.4107318338470533E-3</v>
      </c>
      <c r="L8" s="18">
        <f>K8*(1+CAGR!$D$22)</f>
        <v>5.4680409592588897E-3</v>
      </c>
      <c r="M8" s="18">
        <f>L8*(1+CAGR!$D$22)</f>
        <v>5.5259570886687665E-3</v>
      </c>
      <c r="N8" s="18">
        <f>M8*(1+CAGR!$D$22)</f>
        <v>5.58448665131201E-3</v>
      </c>
      <c r="O8" s="18">
        <f>N8*(1+CAGR!$D$22)</f>
        <v>5.643636144520809E-3</v>
      </c>
      <c r="P8" s="18">
        <f>O8*(1+CAGR!$D$22)</f>
        <v>5.7034121344454762E-3</v>
      </c>
      <c r="Q8" s="18">
        <f>P8*(1+CAGR!$D$22)</f>
        <v>5.7638212567833556E-3</v>
      </c>
      <c r="R8" s="18">
        <f>Q8*(1+CAGR!$D$22)</f>
        <v>5.8248702175154468E-3</v>
      </c>
      <c r="S8" s="18">
        <f>R8*(1+CAGR!$D$22)</f>
        <v>5.8865657936508324E-3</v>
      </c>
      <c r="T8" s="18">
        <f>S8*(1+CAGR!$D$22)</f>
        <v>5.948914833978987E-3</v>
      </c>
      <c r="U8" s="18">
        <f>T8*(1+CAGR!$D$22)</f>
        <v>6.0119242598300621E-3</v>
      </c>
      <c r="V8" s="18">
        <f>U8*(1+CAGR!$D$22)</f>
        <v>6.0756010658432136E-3</v>
      </c>
      <c r="W8" s="18">
        <f>V8*(1+CAGR!$D$22)</f>
        <v>6.1399523207430768E-3</v>
      </c>
      <c r="X8" s="18">
        <f>W8*(1+CAGR!$D$22)</f>
        <v>6.2049851681244585E-3</v>
      </c>
      <c r="Y8" s="18">
        <f>X8*(1+CAGR!$D$22)</f>
        <v>6.270706827245346E-3</v>
      </c>
      <c r="Z8" s="18">
        <f>Y8*(1+CAGR!$D$22)</f>
        <v>6.337124593828309E-3</v>
      </c>
      <c r="AA8" s="18">
        <f>Z8*(1+CAGR!$D$22)</f>
        <v>6.404245840870397E-3</v>
      </c>
      <c r="AB8" s="18">
        <f>AA8*(1+CAGR!$D$22)</f>
        <v>6.4720780194616094E-3</v>
      </c>
      <c r="AC8" s="18">
        <f>AB8*(1+CAGR!$D$22)</f>
        <v>6.5406286596120375E-3</v>
      </c>
      <c r="AD8" s="18">
        <f>AC8*(1+CAGR!$D$22)</f>
        <v>6.6099053710877657E-3</v>
      </c>
      <c r="AE8" s="18">
        <f>AD8*(1+CAGR!$D$22)</f>
        <v>6.6799158442556262E-3</v>
      </c>
      <c r="AF8" s="18">
        <f>AE8*(1+CAGR!$D$22)</f>
        <v>6.7506678509369061E-3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>
      <selection activeCell="C8" sqref="C8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1">
        <f>IFERROR(INDEX('SYFAFE frgt'!$B$3:$H$3,,MATCH($A2,'SYFAFE frgt'!$B$1:$H$1,0))*(1+INDEX(CAGR!$C$23:$C$29,MATCH($A2,CAGR!$B$23:$B$29,0))),0)</f>
        <v>6.3142037164590048E-2</v>
      </c>
      <c r="C2" s="21">
        <f>IFERROR(B2*(1+INDEX(CAGR!$C$23:$C$29,MATCH($A2,CAGR!$B$23:$B$29,0))),0)</f>
        <v>6.415056458870004E-2</v>
      </c>
      <c r="D2" s="21">
        <f>IFERROR(C2*(1+INDEX(CAGR!$C$23:$C$29,MATCH($A2,CAGR!$B$23:$B$29,0))),0)</f>
        <v>6.5175200577101841E-2</v>
      </c>
      <c r="E2" s="21">
        <f>IFERROR(D2*(1+INDEX(CAGR!$C$23:$C$29,MATCH($A2,CAGR!$B$23:$B$29,0))),0)</f>
        <v>6.6216202421602643E-2</v>
      </c>
      <c r="F2" s="21">
        <f>IFERROR(E2*(1+INDEX(CAGR!$C$23:$C$29,MATCH($A2,CAGR!$B$23:$B$29,0))),0)</f>
        <v>6.7273831523567307E-2</v>
      </c>
      <c r="G2" s="21">
        <f>IFERROR(F2*(1+INDEX(CAGR!$C$23:$C$29,MATCH($A2,CAGR!$B$23:$B$29,0))),0)</f>
        <v>6.8348353459557698E-2</v>
      </c>
      <c r="H2" s="21">
        <f>IFERROR(G2*(1+INDEX(CAGR!$C$23:$C$29,MATCH($A2,CAGR!$B$23:$B$29,0))),0)</f>
        <v>6.9440038048020472E-2</v>
      </c>
      <c r="I2" s="21">
        <f>IFERROR(H2*(1+INDEX(CAGR!$C$23:$C$29,MATCH($A2,CAGR!$B$23:$B$29,0))),0)</f>
        <v>7.0549159417039958E-2</v>
      </c>
      <c r="J2" s="21">
        <f>IFERROR(I2*(1+INDEX(CAGR!$C$23:$C$29,MATCH($A2,CAGR!$B$23:$B$29,0))),0)</f>
        <v>7.1675996073173279E-2</v>
      </c>
      <c r="K2" s="21">
        <f>IFERROR(J2*(1+INDEX(CAGR!$C$23:$C$29,MATCH($A2,CAGR!$B$23:$B$29,0))),0)</f>
        <v>7.2820830971384851E-2</v>
      </c>
      <c r="L2" s="21">
        <f>IFERROR(K2*(1+INDEX(CAGR!$C$23:$C$29,MATCH($A2,CAGR!$B$23:$B$29,0))),0)</f>
        <v>7.3983951586098023E-2</v>
      </c>
      <c r="M2" s="21">
        <f>IFERROR(L2*(1+INDEX(CAGR!$C$23:$C$29,MATCH($A2,CAGR!$B$23:$B$29,0))),0)</f>
        <v>7.5165649983381433E-2</v>
      </c>
      <c r="N2" s="21">
        <f>IFERROR(M2*(1+INDEX(CAGR!$C$23:$C$29,MATCH($A2,CAGR!$B$23:$B$29,0))),0)</f>
        <v>7.6366222894288474E-2</v>
      </c>
      <c r="O2" s="21">
        <f>IFERROR(N2*(1+INDEX(CAGR!$C$23:$C$29,MATCH($A2,CAGR!$B$23:$B$29,0))),0)</f>
        <v>7.7585971789368116E-2</v>
      </c>
      <c r="P2" s="21">
        <f>IFERROR(O2*(1+INDEX(CAGR!$C$23:$C$29,MATCH($A2,CAGR!$B$23:$B$29,0))),0)</f>
        <v>7.8825202954365792E-2</v>
      </c>
      <c r="Q2" s="21">
        <f>IFERROR(P2*(1+INDEX(CAGR!$C$23:$C$29,MATCH($A2,CAGR!$B$23:$B$29,0))),0)</f>
        <v>8.0084227567133529E-2</v>
      </c>
      <c r="R2" s="21">
        <f>IFERROR(Q2*(1+INDEX(CAGR!$C$23:$C$29,MATCH($A2,CAGR!$B$23:$B$29,0))),0)</f>
        <v>8.1363361775768361E-2</v>
      </c>
      <c r="S2" s="21">
        <f>IFERROR(R2*(1+INDEX(CAGR!$C$23:$C$29,MATCH($A2,CAGR!$B$23:$B$29,0))),0)</f>
        <v>8.2662926777998955E-2</v>
      </c>
      <c r="T2" s="21">
        <f>IFERROR(S2*(1+INDEX(CAGR!$C$23:$C$29,MATCH($A2,CAGR!$B$23:$B$29,0))),0)</f>
        <v>8.3983248901840099E-2</v>
      </c>
      <c r="U2" s="21">
        <f>IFERROR(T2*(1+INDEX(CAGR!$C$23:$C$29,MATCH($A2,CAGR!$B$23:$B$29,0))),0)</f>
        <v>8.5324659687535498E-2</v>
      </c>
      <c r="V2" s="21">
        <f>IFERROR(U2*(1+INDEX(CAGR!$C$23:$C$29,MATCH($A2,CAGR!$B$23:$B$29,0))),0)</f>
        <v>8.6687495970809381E-2</v>
      </c>
      <c r="W2" s="21">
        <f>IFERROR(V2*(1+INDEX(CAGR!$C$23:$C$29,MATCH($A2,CAGR!$B$23:$B$29,0))),0)</f>
        <v>8.8072099967447845E-2</v>
      </c>
      <c r="X2" s="21">
        <f>IFERROR(W2*(1+INDEX(CAGR!$C$23:$C$29,MATCH($A2,CAGR!$B$23:$B$29,0))),0)</f>
        <v>8.9478819359231104E-2</v>
      </c>
      <c r="Y2" s="21">
        <f>IFERROR(X2*(1+INDEX(CAGR!$C$23:$C$29,MATCH($A2,CAGR!$B$23:$B$29,0))),0)</f>
        <v>9.0908007381238345E-2</v>
      </c>
      <c r="Z2" s="21">
        <f>IFERROR(Y2*(1+INDEX(CAGR!$C$23:$C$29,MATCH($A2,CAGR!$B$23:$B$29,0))),0)</f>
        <v>9.2360022910547054E-2</v>
      </c>
      <c r="AA2" s="21">
        <f>IFERROR(Z2*(1+INDEX(CAGR!$C$23:$C$29,MATCH($A2,CAGR!$B$23:$B$29,0))),0)</f>
        <v>9.3835230556349E-2</v>
      </c>
      <c r="AB2" s="21">
        <f>IFERROR(AA2*(1+INDEX(CAGR!$C$23:$C$29,MATCH($A2,CAGR!$B$23:$B$29,0))),0)</f>
        <v>9.5334000751505665E-2</v>
      </c>
      <c r="AC2" s="21">
        <f>IFERROR(AB2*(1+INDEX(CAGR!$C$23:$C$29,MATCH($A2,CAGR!$B$23:$B$29,0))),0)</f>
        <v>9.6856709845565978E-2</v>
      </c>
      <c r="AD2" s="21">
        <f>IFERROR(AC2*(1+INDEX(CAGR!$C$23:$C$29,MATCH($A2,CAGR!$B$23:$B$29,0))),0)</f>
        <v>9.8403740199269826E-2</v>
      </c>
      <c r="AE2" s="21">
        <f>IFERROR(AD2*(1+INDEX(CAGR!$C$23:$C$29,MATCH($A2,CAGR!$B$23:$B$29,0))),0)</f>
        <v>9.9975480280560927E-2</v>
      </c>
      <c r="AF2" s="21">
        <f>IFERROR(AE2*(1+INDEX(CAGR!$C$23:$C$29,MATCH($A2,CAGR!$B$23:$B$29,0))),0)</f>
        <v>0.10157232476213329</v>
      </c>
      <c r="AG2" s="14"/>
    </row>
    <row r="3" spans="1:33">
      <c r="A3" s="1" t="s">
        <v>1</v>
      </c>
      <c r="B3" s="13">
        <f>B5*Calibration!$C$27</f>
        <v>7.2870071134607615E-3</v>
      </c>
      <c r="C3" s="13">
        <f>B3*(1+CAGR!$C$24)</f>
        <v>7.3408582877475892E-3</v>
      </c>
      <c r="D3" s="13">
        <f>C3*(1+CAGR!$C$24)</f>
        <v>7.3951074236292E-3</v>
      </c>
      <c r="E3" s="13">
        <f>D3*(1+CAGR!$C$24)</f>
        <v>7.4497574620522502E-3</v>
      </c>
      <c r="F3" s="13">
        <f>E3*(1+CAGR!$C$24)</f>
        <v>7.5048113656970682E-3</v>
      </c>
      <c r="G3" s="13">
        <f>F3*(1+CAGR!$C$24)</f>
        <v>7.5602721191382685E-3</v>
      </c>
      <c r="H3" s="13">
        <f>G3*(1+CAGR!$C$24)</f>
        <v>7.6161427290065507E-3</v>
      </c>
      <c r="I3" s="13">
        <f>H3*(1+CAGR!$C$24)</f>
        <v>7.6724262241516933E-3</v>
      </c>
      <c r="J3" s="13">
        <f>I3*(1+CAGR!$C$24)</f>
        <v>7.729125655806756E-3</v>
      </c>
      <c r="K3" s="13">
        <f>J3*(1+CAGR!$C$24)</f>
        <v>7.7862440977534897E-3</v>
      </c>
      <c r="L3" s="13">
        <f>K3*(1+CAGR!$C$24)</f>
        <v>7.8437846464889729E-3</v>
      </c>
      <c r="M3" s="13">
        <f>L3*(1+CAGR!$C$24)</f>
        <v>7.9017504213934817E-3</v>
      </c>
      <c r="N3" s="13">
        <f>M3*(1+CAGR!$C$24)</f>
        <v>7.960144564899593E-3</v>
      </c>
      <c r="O3" s="13">
        <f>N3*(1+CAGR!$C$24)</f>
        <v>8.0189702426625414E-3</v>
      </c>
      <c r="P3" s="13">
        <f>O3*(1+CAGR!$C$24)</f>
        <v>8.0782306437318391E-3</v>
      </c>
      <c r="Q3" s="13">
        <f>P3*(1+CAGR!$C$24)</f>
        <v>8.1379289807241573E-3</v>
      </c>
      <c r="R3" s="13">
        <f>Q3*(1+CAGR!$C$24)</f>
        <v>8.1980684899974881E-3</v>
      </c>
      <c r="S3" s="13">
        <f>R3*(1+CAGR!$C$24)</f>
        <v>8.2586524318265971E-3</v>
      </c>
      <c r="T3" s="13">
        <f>S3*(1+CAGR!$C$24)</f>
        <v>8.3196840905797632E-3</v>
      </c>
      <c r="U3" s="13">
        <f>T3*(1+CAGR!$C$24)</f>
        <v>8.3811667748968349E-3</v>
      </c>
      <c r="V3" s="13">
        <f>U3*(1+CAGR!$C$24)</f>
        <v>8.4431038178685944E-3</v>
      </c>
      <c r="W3" s="13">
        <f>V3*(1+CAGR!$C$24)</f>
        <v>8.5054985772174563E-3</v>
      </c>
      <c r="X3" s="13">
        <f>W3*(1+CAGR!$C$24)</f>
        <v>8.5683544354794878E-3</v>
      </c>
      <c r="Y3" s="13">
        <f>X3*(1+CAGR!$C$24)</f>
        <v>8.6316748001877882E-3</v>
      </c>
      <c r="Z3" s="13">
        <f>Y3*(1+CAGR!$C$24)</f>
        <v>8.6954631040572182E-3</v>
      </c>
      <c r="AA3" s="13">
        <f>Z3*(1+CAGR!$C$24)</f>
        <v>8.7597228051704886E-3</v>
      </c>
      <c r="AB3" s="13">
        <f>AA3*(1+CAGR!$C$24)</f>
        <v>8.8244573871656337E-3</v>
      </c>
      <c r="AC3" s="13">
        <f>AB3*(1+CAGR!$C$24)</f>
        <v>8.8896703594248654E-3</v>
      </c>
      <c r="AD3" s="13">
        <f>AC3*(1+CAGR!$C$24)</f>
        <v>8.9553652572648204E-3</v>
      </c>
      <c r="AE3" s="13">
        <f>AD3*(1+CAGR!$C$24)</f>
        <v>9.021545642128221E-3</v>
      </c>
      <c r="AF3" s="13">
        <f>AE3*(1+CAGR!$C$24)</f>
        <v>9.088215101776943E-3</v>
      </c>
      <c r="AG3" s="14"/>
    </row>
    <row r="4" spans="1:33">
      <c r="A4" s="1" t="s">
        <v>2</v>
      </c>
      <c r="B4" s="14">
        <f>IFERROR(INDEX('SYFAFE frgt'!$B$3:$H$3,,MATCH($A4,'SYFAFE frgt'!$B$1:$H$1,0))*(1+INDEX(CAGR!$C$23:$C$29,MATCH($A4,CAGR!$B$23:$B$29,0))),0)</f>
        <v>9.9999571100748211E-3</v>
      </c>
      <c r="C4" s="14">
        <f>IFERROR(B4*(1+INDEX(CAGR!$C$23:$C$29,MATCH($A4,CAGR!$B$23:$B$29,0))),0)</f>
        <v>1.0073857056213296E-2</v>
      </c>
      <c r="D4" s="14">
        <f>IFERROR(C4*(1+INDEX(CAGR!$C$23:$C$29,MATCH($A4,CAGR!$B$23:$B$29,0))),0)</f>
        <v>1.0148303124898015E-2</v>
      </c>
      <c r="E4" s="14">
        <f>IFERROR(D4*(1+INDEX(CAGR!$C$23:$C$29,MATCH($A4,CAGR!$B$23:$B$29,0))),0)</f>
        <v>1.022329935198896E-2</v>
      </c>
      <c r="F4" s="14">
        <f>IFERROR(E4*(1+INDEX(CAGR!$C$23:$C$29,MATCH($A4,CAGR!$B$23:$B$29,0))),0)</f>
        <v>1.029884980317123E-2</v>
      </c>
      <c r="G4" s="14">
        <f>IFERROR(F4*(1+INDEX(CAGR!$C$23:$C$29,MATCH($A4,CAGR!$B$23:$B$29,0))),0)</f>
        <v>1.037495857417544E-2</v>
      </c>
      <c r="H4" s="14">
        <f>IFERROR(G4*(1+INDEX(CAGR!$C$23:$C$29,MATCH($A4,CAGR!$B$23:$B$29,0))),0)</f>
        <v>1.0451629790999764E-2</v>
      </c>
      <c r="I4" s="14">
        <f>IFERROR(H4*(1+INDEX(CAGR!$C$23:$C$29,MATCH($A4,CAGR!$B$23:$B$29,0))),0)</f>
        <v>1.0528867610133611E-2</v>
      </c>
      <c r="J4" s="14">
        <f>IFERROR(I4*(1+INDEX(CAGR!$C$23:$C$29,MATCH($A4,CAGR!$B$23:$B$29,0))),0)</f>
        <v>1.0606676218782954E-2</v>
      </c>
      <c r="K4" s="14">
        <f>IFERROR(J4*(1+INDEX(CAGR!$C$23:$C$29,MATCH($A4,CAGR!$B$23:$B$29,0))),0)</f>
        <v>1.068505983509733E-2</v>
      </c>
      <c r="L4" s="14">
        <f>IFERROR(K4*(1+INDEX(CAGR!$C$23:$C$29,MATCH($A4,CAGR!$B$23:$B$29,0))),0)</f>
        <v>1.0764022708398512E-2</v>
      </c>
      <c r="M4" s="14">
        <f>IFERROR(L4*(1+INDEX(CAGR!$C$23:$C$29,MATCH($A4,CAGR!$B$23:$B$29,0))),0)</f>
        <v>1.0843569119410871E-2</v>
      </c>
      <c r="N4" s="14">
        <f>IFERROR(M4*(1+INDEX(CAGR!$C$23:$C$29,MATCH($A4,CAGR!$B$23:$B$29,0))),0)</f>
        <v>1.0923703380493447E-2</v>
      </c>
      <c r="O4" s="14">
        <f>IFERROR(N4*(1+INDEX(CAGR!$C$23:$C$29,MATCH($A4,CAGR!$B$23:$B$29,0))),0)</f>
        <v>1.1004429835873726E-2</v>
      </c>
      <c r="P4" s="14">
        <f>IFERROR(O4*(1+INDEX(CAGR!$C$23:$C$29,MATCH($A4,CAGR!$B$23:$B$29,0))),0)</f>
        <v>1.1085752861883147E-2</v>
      </c>
      <c r="Q4" s="14">
        <f>IFERROR(P4*(1+INDEX(CAGR!$C$23:$C$29,MATCH($A4,CAGR!$B$23:$B$29,0))),0)</f>
        <v>1.1167676867194356E-2</v>
      </c>
      <c r="R4" s="14">
        <f>IFERROR(Q4*(1+INDEX(CAGR!$C$23:$C$29,MATCH($A4,CAGR!$B$23:$B$29,0))),0)</f>
        <v>1.1250206293060203E-2</v>
      </c>
      <c r="S4" s="14">
        <f>IFERROR(R4*(1+INDEX(CAGR!$C$23:$C$29,MATCH($A4,CAGR!$B$23:$B$29,0))),0)</f>
        <v>1.1333345613554516E-2</v>
      </c>
      <c r="T4" s="14">
        <f>IFERROR(S4*(1+INDEX(CAGR!$C$23:$C$29,MATCH($A4,CAGR!$B$23:$B$29,0))),0)</f>
        <v>1.1417099335814645E-2</v>
      </c>
      <c r="U4" s="14">
        <f>IFERROR(T4*(1+INDEX(CAGR!$C$23:$C$29,MATCH($A4,CAGR!$B$23:$B$29,0))),0)</f>
        <v>1.1501472000285805E-2</v>
      </c>
      <c r="V4" s="14">
        <f>IFERROR(U4*(1+INDEX(CAGR!$C$23:$C$29,MATCH($A4,CAGR!$B$23:$B$29,0))),0)</f>
        <v>1.1586468180967219E-2</v>
      </c>
      <c r="W4" s="14">
        <f>IFERROR(V4*(1+INDEX(CAGR!$C$23:$C$29,MATCH($A4,CAGR!$B$23:$B$29,0))),0)</f>
        <v>1.1672092485660085E-2</v>
      </c>
      <c r="X4" s="14">
        <f>IFERROR(W4*(1+INDEX(CAGR!$C$23:$C$29,MATCH($A4,CAGR!$B$23:$B$29,0))),0)</f>
        <v>1.1758349556217376E-2</v>
      </c>
      <c r="Y4" s="14">
        <f>IFERROR(X4*(1+INDEX(CAGR!$C$23:$C$29,MATCH($A4,CAGR!$B$23:$B$29,0))),0)</f>
        <v>1.1845244068795474E-2</v>
      </c>
      <c r="Z4" s="14">
        <f>IFERROR(Y4*(1+INDEX(CAGR!$C$23:$C$29,MATCH($A4,CAGR!$B$23:$B$29,0))),0)</f>
        <v>1.1932780734107685E-2</v>
      </c>
      <c r="AA4" s="14">
        <f>IFERROR(Z4*(1+INDEX(CAGR!$C$23:$C$29,MATCH($A4,CAGR!$B$23:$B$29,0))),0)</f>
        <v>1.2020964297679609E-2</v>
      </c>
      <c r="AB4" s="14">
        <f>IFERROR(AA4*(1+INDEX(CAGR!$C$23:$C$29,MATCH($A4,CAGR!$B$23:$B$29,0))),0)</f>
        <v>1.2109799540106405E-2</v>
      </c>
      <c r="AC4" s="14">
        <f>IFERROR(AB4*(1+INDEX(CAGR!$C$23:$C$29,MATCH($A4,CAGR!$B$23:$B$29,0))),0)</f>
        <v>1.2199291277311957E-2</v>
      </c>
      <c r="AD4" s="14">
        <f>IFERROR(AC4*(1+INDEX(CAGR!$C$23:$C$29,MATCH($A4,CAGR!$B$23:$B$29,0))),0)</f>
        <v>1.2289444360809951E-2</v>
      </c>
      <c r="AE4" s="14">
        <f>IFERROR(AD4*(1+INDEX(CAGR!$C$23:$C$29,MATCH($A4,CAGR!$B$23:$B$29,0))),0)</f>
        <v>1.2380263677966888E-2</v>
      </c>
      <c r="AF4" s="14">
        <f>IFERROR(AE4*(1+INDEX(CAGR!$C$23:$C$29,MATCH($A4,CAGR!$B$23:$B$29,0))),0)</f>
        <v>1.2471754152267036E-2</v>
      </c>
      <c r="AG4" s="14"/>
    </row>
    <row r="5" spans="1:33">
      <c r="A5" s="1" t="s">
        <v>3</v>
      </c>
      <c r="B5" s="14">
        <f>IFERROR(INDEX('SYFAFE frgt'!$B$3:$H$3,,MATCH($A5,'SYFAFE frgt'!$B$1:$H$1,0))*(1+INDEX(CAGR!$C$23:$C$29,MATCH($A5,CAGR!$B$23:$B$29,0))),0)</f>
        <v>1.0636731671736769E-2</v>
      </c>
      <c r="C5" s="14">
        <f>IFERROR(B5*(1+INDEX(CAGR!$C$23:$C$29,MATCH($A5,CAGR!$B$23:$B$29,0))),0)</f>
        <v>1.0715337398639221E-2</v>
      </c>
      <c r="D5" s="14">
        <f>IFERROR(C5*(1+INDEX(CAGR!$C$23:$C$29,MATCH($A5,CAGR!$B$23:$B$29,0))),0)</f>
        <v>1.0794524023931568E-2</v>
      </c>
      <c r="E5" s="14">
        <f>IFERROR(D5*(1+INDEX(CAGR!$C$23:$C$29,MATCH($A5,CAGR!$B$23:$B$29,0))),0)</f>
        <v>1.0874295840468196E-2</v>
      </c>
      <c r="F5" s="14">
        <f>IFERROR(E5*(1+INDEX(CAGR!$C$23:$C$29,MATCH($A5,CAGR!$B$23:$B$29,0))),0)</f>
        <v>1.0954657172827795E-2</v>
      </c>
      <c r="G5" s="14">
        <f>IFERROR(F5*(1+INDEX(CAGR!$C$23:$C$29,MATCH($A5,CAGR!$B$23:$B$29,0))),0)</f>
        <v>1.1035612377547807E-2</v>
      </c>
      <c r="H5" s="14">
        <f>IFERROR(G5*(1+INDEX(CAGR!$C$23:$C$29,MATCH($A5,CAGR!$B$23:$B$29,0))),0)</f>
        <v>1.11171658433606E-2</v>
      </c>
      <c r="I5" s="14">
        <f>IFERROR(H5*(1+INDEX(CAGR!$C$23:$C$29,MATCH($A5,CAGR!$B$23:$B$29,0))),0)</f>
        <v>1.119932199143139E-2</v>
      </c>
      <c r="J5" s="14">
        <f>IFERROR(I5*(1+INDEX(CAGR!$C$23:$C$29,MATCH($A5,CAGR!$B$23:$B$29,0))),0)</f>
        <v>1.128208527559792E-2</v>
      </c>
      <c r="K5" s="14">
        <f>IFERROR(J5*(1+INDEX(CAGR!$C$23:$C$29,MATCH($A5,CAGR!$B$23:$B$29,0))),0)</f>
        <v>1.1365460182611911E-2</v>
      </c>
      <c r="L5" s="14">
        <f>IFERROR(K5*(1+INDEX(CAGR!$C$23:$C$29,MATCH($A5,CAGR!$B$23:$B$29,0))),0)</f>
        <v>1.1449451232382297E-2</v>
      </c>
      <c r="M5" s="14">
        <f>IFERROR(L5*(1+INDEX(CAGR!$C$23:$C$29,MATCH($A5,CAGR!$B$23:$B$29,0))),0)</f>
        <v>1.1534062978220258E-2</v>
      </c>
      <c r="N5" s="14">
        <f>IFERROR(M5*(1+INDEX(CAGR!$C$23:$C$29,MATCH($A5,CAGR!$B$23:$B$29,0))),0)</f>
        <v>1.1619300007086063E-2</v>
      </c>
      <c r="O5" s="14">
        <f>IFERROR(N5*(1+INDEX(CAGR!$C$23:$C$29,MATCH($A5,CAGR!$B$23:$B$29,0))),0)</f>
        <v>1.1705166939837742E-2</v>
      </c>
      <c r="P5" s="14">
        <f>IFERROR(O5*(1+INDEX(CAGR!$C$23:$C$29,MATCH($A5,CAGR!$B$23:$B$29,0))),0)</f>
        <v>1.179166843148158E-2</v>
      </c>
      <c r="Q5" s="14">
        <f>IFERROR(P5*(1+INDEX(CAGR!$C$23:$C$29,MATCH($A5,CAGR!$B$23:$B$29,0))),0)</f>
        <v>1.1878809171424486E-2</v>
      </c>
      <c r="R5" s="14">
        <f>IFERROR(Q5*(1+INDEX(CAGR!$C$23:$C$29,MATCH($A5,CAGR!$B$23:$B$29,0))),0)</f>
        <v>1.1966593883728211E-2</v>
      </c>
      <c r="S5" s="14">
        <f>IFERROR(R5*(1+INDEX(CAGR!$C$23:$C$29,MATCH($A5,CAGR!$B$23:$B$29,0))),0)</f>
        <v>1.2055027327365443E-2</v>
      </c>
      <c r="T5" s="14">
        <f>IFERROR(S5*(1+INDEX(CAGR!$C$23:$C$29,MATCH($A5,CAGR!$B$23:$B$29,0))),0)</f>
        <v>1.2144114296477803E-2</v>
      </c>
      <c r="U5" s="14">
        <f>IFERROR(T5*(1+INDEX(CAGR!$C$23:$C$29,MATCH($A5,CAGR!$B$23:$B$29,0))),0)</f>
        <v>1.2233859620635747E-2</v>
      </c>
      <c r="V5" s="14">
        <f>IFERROR(U5*(1+INDEX(CAGR!$C$23:$C$29,MATCH($A5,CAGR!$B$23:$B$29,0))),0)</f>
        <v>1.2324268165100384E-2</v>
      </c>
      <c r="W5" s="14">
        <f>IFERROR(V5*(1+INDEX(CAGR!$C$23:$C$29,MATCH($A5,CAGR!$B$23:$B$29,0))),0)</f>
        <v>1.2415344831087229E-2</v>
      </c>
      <c r="X5" s="14">
        <f>IFERROR(W5*(1+INDEX(CAGR!$C$23:$C$29,MATCH($A5,CAGR!$B$23:$B$29,0))),0)</f>
        <v>1.2507094556031908E-2</v>
      </c>
      <c r="Y5" s="14">
        <f>IFERROR(X5*(1+INDEX(CAGR!$C$23:$C$29,MATCH($A5,CAGR!$B$23:$B$29,0))),0)</f>
        <v>1.2599522313857829E-2</v>
      </c>
      <c r="Z5" s="14">
        <f>IFERROR(Y5*(1+INDEX(CAGR!$C$23:$C$29,MATCH($A5,CAGR!$B$23:$B$29,0))),0)</f>
        <v>1.2692633115245822E-2</v>
      </c>
      <c r="AA5" s="14">
        <f>IFERROR(Z5*(1+INDEX(CAGR!$C$23:$C$29,MATCH($A5,CAGR!$B$23:$B$29,0))),0)</f>
        <v>1.2786432007905781E-2</v>
      </c>
      <c r="AB5" s="14">
        <f>IFERROR(AA5*(1+INDEX(CAGR!$C$23:$C$29,MATCH($A5,CAGR!$B$23:$B$29,0))),0)</f>
        <v>1.2880924076850309E-2</v>
      </c>
      <c r="AC5" s="14">
        <f>IFERROR(AB5*(1+INDEX(CAGR!$C$23:$C$29,MATCH($A5,CAGR!$B$23:$B$29,0))),0)</f>
        <v>1.2976114444670388E-2</v>
      </c>
      <c r="AD5" s="14">
        <f>IFERROR(AC5*(1+INDEX(CAGR!$C$23:$C$29,MATCH($A5,CAGR!$B$23:$B$29,0))),0)</f>
        <v>1.3072008271813079E-2</v>
      </c>
      <c r="AE5" s="14">
        <f>IFERROR(AD5*(1+INDEX(CAGR!$C$23:$C$29,MATCH($A5,CAGR!$B$23:$B$29,0))),0)</f>
        <v>1.3168610756861284E-2</v>
      </c>
      <c r="AF5" s="14">
        <f>IFERROR(AE5*(1+INDEX(CAGR!$C$23:$C$29,MATCH($A5,CAGR!$B$23:$B$29,0))),0)</f>
        <v>1.3265927136815571E-2</v>
      </c>
      <c r="AG5" s="14"/>
    </row>
    <row r="6" spans="1:33">
      <c r="A6" s="1" t="s">
        <v>4</v>
      </c>
      <c r="B6" s="13">
        <f>B5*Calibration!$E$26</f>
        <v>2.3586006368547578E-2</v>
      </c>
      <c r="C6" s="13">
        <f>B6*(1+CAGR!$C$27)</f>
        <v>2.3760307576149896E-2</v>
      </c>
      <c r="D6" s="13">
        <f>C6*(1+CAGR!$C$27)</f>
        <v>2.3935896874262192E-2</v>
      </c>
      <c r="E6" s="13">
        <f>D6*(1+CAGR!$C$27)</f>
        <v>2.4112783781907225E-2</v>
      </c>
      <c r="F6" s="13">
        <f>E6*(1+CAGR!$C$27)</f>
        <v>2.429097788845358E-2</v>
      </c>
      <c r="G6" s="13">
        <f>F6*(1+CAGR!$C$27)</f>
        <v>2.4470488854135532E-2</v>
      </c>
      <c r="H6" s="13">
        <f>G6*(1+CAGR!$C$27)</f>
        <v>2.4651326410576737E-2</v>
      </c>
      <c r="I6" s="13">
        <f>H6*(1+CAGR!$C$27)</f>
        <v>2.483350036131781E-2</v>
      </c>
      <c r="J6" s="13">
        <f>I6*(1+CAGR!$C$27)</f>
        <v>2.5017020582347786E-2</v>
      </c>
      <c r="K6" s="13">
        <f>J6*(1+CAGR!$C$27)</f>
        <v>2.520189702263952E-2</v>
      </c>
      <c r="L6" s="13">
        <f>K6*(1+CAGR!$C$27)</f>
        <v>2.5388139704689037E-2</v>
      </c>
      <c r="M6" s="13">
        <f>L6*(1+CAGR!$C$27)</f>
        <v>2.5575758725058875E-2</v>
      </c>
      <c r="N6" s="13">
        <f>M6*(1+CAGR!$C$27)</f>
        <v>2.576476425492543E-2</v>
      </c>
      <c r="O6" s="13">
        <f>N6*(1+CAGR!$C$27)</f>
        <v>2.5955166540630362E-2</v>
      </c>
      <c r="P6" s="13">
        <f>O6*(1+CAGR!$C$27)</f>
        <v>2.6146975904236064E-2</v>
      </c>
      <c r="Q6" s="13">
        <f>P6*(1+CAGR!$C$27)</f>
        <v>2.6340202744085241E-2</v>
      </c>
      <c r="R6" s="13">
        <f>Q6*(1+CAGR!$C$27)</f>
        <v>2.653485753536463E-2</v>
      </c>
      <c r="S6" s="13">
        <f>R6*(1+CAGR!$C$27)</f>
        <v>2.6730950830672864E-2</v>
      </c>
      <c r="T6" s="13">
        <f>S6*(1+CAGR!$C$27)</f>
        <v>2.6928493260592566E-2</v>
      </c>
      <c r="U6" s="13">
        <f>T6*(1+CAGR!$C$27)</f>
        <v>2.7127495534266639E-2</v>
      </c>
      <c r="V6" s="13">
        <f>U6*(1+CAGR!$C$27)</f>
        <v>2.7327968439978839E-2</v>
      </c>
      <c r="W6" s="13">
        <f>V6*(1+CAGR!$C$27)</f>
        <v>2.7529922845738616E-2</v>
      </c>
      <c r="X6" s="13">
        <f>W6*(1+CAGR!$C$27)</f>
        <v>2.7733369699870301E-2</v>
      </c>
      <c r="Y6" s="13">
        <f>X6*(1+CAGR!$C$27)</f>
        <v>2.7938320031606626E-2</v>
      </c>
      <c r="Z6" s="13">
        <f>Y6*(1+CAGR!$C$27)</f>
        <v>2.8144784951686649E-2</v>
      </c>
      <c r="AA6" s="13">
        <f>Z6*(1+CAGR!$C$27)</f>
        <v>2.8352775652958073E-2</v>
      </c>
      <c r="AB6" s="13">
        <f>AA6*(1+CAGR!$C$27)</f>
        <v>2.856230341098405E-2</v>
      </c>
      <c r="AC6" s="13">
        <f>AB6*(1+CAGR!$C$27)</f>
        <v>2.8773379584654434E-2</v>
      </c>
      <c r="AD6" s="13">
        <f>AC6*(1+CAGR!$C$27)</f>
        <v>2.8986015616801575E-2</v>
      </c>
      <c r="AE6" s="13">
        <f>AD6*(1+CAGR!$C$27)</f>
        <v>2.9200223034820654E-2</v>
      </c>
      <c r="AF6" s="13">
        <f>AE6*(1+CAGR!$C$27)</f>
        <v>2.9416013451294611E-2</v>
      </c>
      <c r="AG6" s="14"/>
    </row>
    <row r="7" spans="1:33">
      <c r="A7" s="1" t="s">
        <v>5</v>
      </c>
      <c r="B7" s="14">
        <f>IFERROR(INDEX('SYFAFE frgt'!$B$3:$H$3,,MATCH($A7,'SYFAFE frgt'!$B$1:$H$1,0))*(1+INDEX(CAGR!$C$23:$C$29,MATCH($A7,CAGR!$B$23:$B$29,0))),0)</f>
        <v>1.2518527696520577E-2</v>
      </c>
      <c r="C7" s="14">
        <f>IFERROR(B7*(1+INDEX(CAGR!$C$23:$C$29,MATCH($A7,CAGR!$B$23:$B$29,0))),0)</f>
        <v>1.261103994555551E-2</v>
      </c>
      <c r="D7" s="14">
        <f>IFERROR(C7*(1+INDEX(CAGR!$C$23:$C$29,MATCH($A7,CAGR!$B$23:$B$29,0))),0)</f>
        <v>1.2704235862544773E-2</v>
      </c>
      <c r="E7" s="14">
        <f>IFERROR(D7*(1+INDEX(CAGR!$C$23:$C$29,MATCH($A7,CAGR!$B$23:$B$29,0))),0)</f>
        <v>1.2798120499812535E-2</v>
      </c>
      <c r="F7" s="14">
        <f>IFERROR(E7*(1+INDEX(CAGR!$C$23:$C$29,MATCH($A7,CAGR!$B$23:$B$29,0))),0)</f>
        <v>1.2892698947019774E-2</v>
      </c>
      <c r="G7" s="14">
        <f>IFERROR(F7*(1+INDEX(CAGR!$C$23:$C$29,MATCH($A7,CAGR!$B$23:$B$29,0))),0)</f>
        <v>1.2987976331440198E-2</v>
      </c>
      <c r="H7" s="14">
        <f>IFERROR(G7*(1+INDEX(CAGR!$C$23:$C$29,MATCH($A7,CAGR!$B$23:$B$29,0))),0)</f>
        <v>1.30839578182382E-2</v>
      </c>
      <c r="I7" s="14">
        <f>IFERROR(H7*(1+INDEX(CAGR!$C$23:$C$29,MATCH($A7,CAGR!$B$23:$B$29,0))),0)</f>
        <v>1.3180648610748875E-2</v>
      </c>
      <c r="J7" s="14">
        <f>IFERROR(I7*(1+INDEX(CAGR!$C$23:$C$29,MATCH($A7,CAGR!$B$23:$B$29,0))),0)</f>
        <v>1.3278053950760102E-2</v>
      </c>
      <c r="K7" s="14">
        <f>IFERROR(J7*(1+INDEX(CAGR!$C$23:$C$29,MATCH($A7,CAGR!$B$23:$B$29,0))),0)</f>
        <v>1.3376179118796709E-2</v>
      </c>
      <c r="L7" s="14">
        <f>IFERROR(K7*(1+INDEX(CAGR!$C$23:$C$29,MATCH($A7,CAGR!$B$23:$B$29,0))),0)</f>
        <v>1.3475029434406741E-2</v>
      </c>
      <c r="M7" s="14">
        <f>IFERROR(L7*(1+INDEX(CAGR!$C$23:$C$29,MATCH($A7,CAGR!$B$23:$B$29,0))),0)</f>
        <v>1.3574610256449845E-2</v>
      </c>
      <c r="N7" s="14">
        <f>IFERROR(M7*(1+INDEX(CAGR!$C$23:$C$29,MATCH($A7,CAGR!$B$23:$B$29,0))),0)</f>
        <v>1.3674926983387781E-2</v>
      </c>
      <c r="O7" s="14">
        <f>IFERROR(N7*(1+INDEX(CAGR!$C$23:$C$29,MATCH($A7,CAGR!$B$23:$B$29,0))),0)</f>
        <v>1.3775985053577083E-2</v>
      </c>
      <c r="P7" s="14">
        <f>IFERROR(O7*(1+INDEX(CAGR!$C$23:$C$29,MATCH($A7,CAGR!$B$23:$B$29,0))),0)</f>
        <v>1.3877789945563882E-2</v>
      </c>
      <c r="Q7" s="14">
        <f>IFERROR(P7*(1+INDEX(CAGR!$C$23:$C$29,MATCH($A7,CAGR!$B$23:$B$29,0))),0)</f>
        <v>1.3980347178380911E-2</v>
      </c>
      <c r="R7" s="14">
        <f>IFERROR(Q7*(1+INDEX(CAGR!$C$23:$C$29,MATCH($A7,CAGR!$B$23:$B$29,0))),0)</f>
        <v>1.40836623118467E-2</v>
      </c>
      <c r="S7" s="14">
        <f>IFERROR(R7*(1+INDEX(CAGR!$C$23:$C$29,MATCH($A7,CAGR!$B$23:$B$29,0))),0)</f>
        <v>1.4187740946866983E-2</v>
      </c>
      <c r="T7" s="14">
        <f>IFERROR(S7*(1+INDEX(CAGR!$C$23:$C$29,MATCH($A7,CAGR!$B$23:$B$29,0))),0)</f>
        <v>1.4292588725738334E-2</v>
      </c>
      <c r="U7" s="14">
        <f>IFERROR(T7*(1+INDEX(CAGR!$C$23:$C$29,MATCH($A7,CAGR!$B$23:$B$29,0))),0)</f>
        <v>1.439821133245405E-2</v>
      </c>
      <c r="V7" s="14">
        <f>IFERROR(U7*(1+INDEX(CAGR!$C$23:$C$29,MATCH($A7,CAGR!$B$23:$B$29,0))),0)</f>
        <v>1.4504614493012285E-2</v>
      </c>
      <c r="W7" s="14">
        <f>IFERROR(V7*(1+INDEX(CAGR!$C$23:$C$29,MATCH($A7,CAGR!$B$23:$B$29,0))),0)</f>
        <v>1.4611803975726471E-2</v>
      </c>
      <c r="X7" s="14">
        <f>IFERROR(W7*(1+INDEX(CAGR!$C$23:$C$29,MATCH($A7,CAGR!$B$23:$B$29,0))),0)</f>
        <v>1.4719785591538029E-2</v>
      </c>
      <c r="Y7" s="14">
        <f>IFERROR(X7*(1+INDEX(CAGR!$C$23:$C$29,MATCH($A7,CAGR!$B$23:$B$29,0))),0)</f>
        <v>1.482856519433139E-2</v>
      </c>
      <c r="Z7" s="14">
        <f>IFERROR(Y7*(1+INDEX(CAGR!$C$23:$C$29,MATCH($A7,CAGR!$B$23:$B$29,0))),0)</f>
        <v>1.4938148681251342E-2</v>
      </c>
      <c r="AA7" s="14">
        <f>IFERROR(Z7*(1+INDEX(CAGR!$C$23:$C$29,MATCH($A7,CAGR!$B$23:$B$29,0))),0)</f>
        <v>1.5048541993022732E-2</v>
      </c>
      <c r="AB7" s="14">
        <f>IFERROR(AA7*(1+INDEX(CAGR!$C$23:$C$29,MATCH($A7,CAGR!$B$23:$B$29,0))),0)</f>
        <v>1.5159751114272519E-2</v>
      </c>
      <c r="AC7" s="14">
        <f>IFERROR(AB7*(1+INDEX(CAGR!$C$23:$C$29,MATCH($A7,CAGR!$B$23:$B$29,0))),0)</f>
        <v>1.527178207385421E-2</v>
      </c>
      <c r="AD7" s="14">
        <f>IFERROR(AC7*(1+INDEX(CAGR!$C$23:$C$29,MATCH($A7,CAGR!$B$23:$B$29,0))),0)</f>
        <v>1.5384640945174702E-2</v>
      </c>
      <c r="AE7" s="14">
        <f>IFERROR(AD7*(1+INDEX(CAGR!$C$23:$C$29,MATCH($A7,CAGR!$B$23:$B$29,0))),0)</f>
        <v>1.5498333846523526E-2</v>
      </c>
      <c r="AF7" s="14">
        <f>IFERROR(AE7*(1+INDEX(CAGR!$C$23:$C$29,MATCH($A7,CAGR!$B$23:$B$29,0))),0)</f>
        <v>1.5612866941404534E-2</v>
      </c>
      <c r="AG7" s="14"/>
    </row>
    <row r="8" spans="1:33">
      <c r="A8" s="1" t="s">
        <v>6</v>
      </c>
      <c r="B8" s="13">
        <f>B5*Calibration!$F$27</f>
        <v>4.2481520860393585E-2</v>
      </c>
      <c r="C8" s="13">
        <f>B8*(1+CAGR!$C$29)</f>
        <v>4.279546041722436E-2</v>
      </c>
      <c r="D8" s="13">
        <f>C8*(1+CAGR!$C$29)</f>
        <v>4.3111719995639744E-2</v>
      </c>
      <c r="E8" s="13">
        <f>D8*(1+CAGR!$C$29)</f>
        <v>4.3430316740660287E-2</v>
      </c>
      <c r="F8" s="13">
        <f>E8*(1+CAGR!$C$29)</f>
        <v>4.3751267924008685E-2</v>
      </c>
      <c r="G8" s="13">
        <f>F8*(1+CAGR!$C$29)</f>
        <v>4.4074590945046128E-2</v>
      </c>
      <c r="H8" s="13">
        <f>G8*(1+CAGR!$C$29)</f>
        <v>4.4400303331715546E-2</v>
      </c>
      <c r="I8" s="13">
        <f>H8*(1+CAGR!$C$29)</f>
        <v>4.4728422741491816E-2</v>
      </c>
      <c r="J8" s="13">
        <f>I8*(1+CAGR!$C$29)</f>
        <v>4.5058966962339027E-2</v>
      </c>
      <c r="K8" s="13">
        <f>J8*(1+CAGR!$C$29)</f>
        <v>4.5391953913674794E-2</v>
      </c>
      <c r="L8" s="13">
        <f>K8*(1+CAGR!$C$29)</f>
        <v>4.5727401647341688E-2</v>
      </c>
      <c r="M8" s="13">
        <f>L8*(1+CAGR!$C$29)</f>
        <v>4.6065328348585885E-2</v>
      </c>
      <c r="N8" s="13">
        <f>M8*(1+CAGR!$C$29)</f>
        <v>4.6405752337042999E-2</v>
      </c>
      <c r="O8" s="13">
        <f>N8*(1+CAGR!$C$29)</f>
        <v>4.6748692067731232E-2</v>
      </c>
      <c r="P8" s="13">
        <f>O8*(1+CAGR!$C$29)</f>
        <v>4.7094166132051862E-2</v>
      </c>
      <c r="Q8" s="13">
        <f>P8*(1+CAGR!$C$29)</f>
        <v>4.7442193258797116E-2</v>
      </c>
      <c r="R8" s="13">
        <f>Q8*(1+CAGR!$C$29)</f>
        <v>4.7792792315165471E-2</v>
      </c>
      <c r="S8" s="13">
        <f>R8*(1+CAGR!$C$29)</f>
        <v>4.8145982307784517E-2</v>
      </c>
      <c r="T8" s="13">
        <f>S8*(1+CAGR!$C$29)</f>
        <v>4.850178238374131E-2</v>
      </c>
      <c r="U8" s="13">
        <f>T8*(1+CAGR!$C$29)</f>
        <v>4.8860211831620384E-2</v>
      </c>
      <c r="V8" s="13">
        <f>U8*(1+CAGR!$C$29)</f>
        <v>4.9221290082549427E-2</v>
      </c>
      <c r="W8" s="13">
        <f>V8*(1+CAGR!$C$29)</f>
        <v>4.9585036711252667E-2</v>
      </c>
      <c r="X8" s="13">
        <f>W8*(1+CAGR!$C$29)</f>
        <v>4.9951471437112059E-2</v>
      </c>
      <c r="Y8" s="13">
        <f>X8*(1+CAGR!$C$29)</f>
        <v>5.0320614125236307E-2</v>
      </c>
      <c r="Z8" s="13">
        <f>Y8*(1+CAGR!$C$29)</f>
        <v>5.0692484787537795E-2</v>
      </c>
      <c r="AA8" s="13">
        <f>Z8*(1+CAGR!$C$29)</f>
        <v>5.1067103583817462E-2</v>
      </c>
      <c r="AB8" s="13">
        <f>AA8*(1+CAGR!$C$29)</f>
        <v>5.1444490822857715E-2</v>
      </c>
      <c r="AC8" s="13">
        <f>AB8*(1+CAGR!$C$29)</f>
        <v>5.1824666963523391E-2</v>
      </c>
      <c r="AD8" s="13">
        <f>AC8*(1+CAGR!$C$29)</f>
        <v>5.2207652615870875E-2</v>
      </c>
      <c r="AE8" s="13">
        <f>AD8*(1+CAGR!$C$29)</f>
        <v>5.2593468542265411E-2</v>
      </c>
      <c r="AF8" s="13">
        <f>AE8*(1+CAGR!$C$29)</f>
        <v>5.2982135658506672E-2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>
      <selection activeCell="B2" sqref="B2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3">
        <f>B5*Calibration!B32</f>
        <v>2.0712173544908473E-2</v>
      </c>
      <c r="C2" s="13">
        <f>B2*(1+CAGR!$C$30)</f>
        <v>2.0859406295411102E-2</v>
      </c>
      <c r="D2" s="13">
        <f>C2*(1+CAGR!$C$30)</f>
        <v>2.1007685651803429E-2</v>
      </c>
      <c r="E2" s="13">
        <f>D2*(1+CAGR!$C$30)</f>
        <v>2.1157019053896806E-2</v>
      </c>
      <c r="F2" s="13">
        <f>E2*(1+CAGR!$C$30)</f>
        <v>2.1307413994388576E-2</v>
      </c>
      <c r="G2" s="13">
        <f>F2*(1+CAGR!$C$30)</f>
        <v>2.1458878019238022E-2</v>
      </c>
      <c r="H2" s="13">
        <f>G2*(1+CAGR!$C$30)</f>
        <v>2.1611418728044968E-2</v>
      </c>
      <c r="I2" s="13">
        <f>H2*(1+CAGR!$C$30)</f>
        <v>2.1765043774431097E-2</v>
      </c>
      <c r="J2" s="13">
        <f>I2*(1+CAGR!$C$30)</f>
        <v>2.1919760866423953E-2</v>
      </c>
      <c r="K2" s="13">
        <f>J2*(1+CAGR!$C$30)</f>
        <v>2.2075577766843699E-2</v>
      </c>
      <c r="L2" s="13">
        <f>K2*(1+CAGR!$C$30)</f>
        <v>2.2232502293692599E-2</v>
      </c>
      <c r="M2" s="13">
        <f>L2*(1+CAGR!$C$30)</f>
        <v>2.2390542320547289E-2</v>
      </c>
      <c r="N2" s="13">
        <f>M2*(1+CAGR!$C$30)</f>
        <v>2.2549705776953827E-2</v>
      </c>
      <c r="O2" s="13">
        <f>N2*(1+CAGR!$C$30)</f>
        <v>2.2710000648825546E-2</v>
      </c>
      <c r="P2" s="13">
        <f>O2*(1+CAGR!$C$30)</f>
        <v>2.2871434978843749E-2</v>
      </c>
      <c r="Q2" s="13">
        <f>P2*(1+CAGR!$C$30)</f>
        <v>2.303401686686124E-2</v>
      </c>
      <c r="R2" s="13">
        <f>Q2*(1+CAGR!$C$30)</f>
        <v>2.3197754470308734E-2</v>
      </c>
      <c r="S2" s="13">
        <f>R2*(1+CAGR!$C$30)</f>
        <v>2.3362656004604142E-2</v>
      </c>
      <c r="T2" s="13">
        <f>S2*(1+CAGR!$C$30)</f>
        <v>2.3528729743564784E-2</v>
      </c>
      <c r="U2" s="13">
        <f>T2*(1+CAGR!$C$30)</f>
        <v>2.3695984019822508E-2</v>
      </c>
      <c r="V2" s="13">
        <f>U2*(1+CAGR!$C$30)</f>
        <v>2.3864427225241788E-2</v>
      </c>
      <c r="W2" s="13">
        <f>V2*(1+CAGR!$C$30)</f>
        <v>2.4034067811340772E-2</v>
      </c>
      <c r="X2" s="13">
        <f>W2*(1+CAGR!$C$30)</f>
        <v>2.4204914289715333E-2</v>
      </c>
      <c r="Y2" s="13">
        <f>X2*(1+CAGR!$C$30)</f>
        <v>2.4376975232466135E-2</v>
      </c>
      <c r="Z2" s="13">
        <f>Y2*(1+CAGR!$C$30)</f>
        <v>2.4550259272628723E-2</v>
      </c>
      <c r="AA2" s="13">
        <f>Z2*(1+CAGR!$C$30)</f>
        <v>2.4724775104606692E-2</v>
      </c>
      <c r="AB2" s="13">
        <f>AA2*(1+CAGR!$C$30)</f>
        <v>2.4900531484607913E-2</v>
      </c>
      <c r="AC2" s="13">
        <f>AB2*(1+CAGR!$C$30)</f>
        <v>2.5077537231083871E-2</v>
      </c>
      <c r="AD2" s="13">
        <f>AC2*(1+CAGR!$C$30)</f>
        <v>2.5255801225172129E-2</v>
      </c>
      <c r="AE2" s="13">
        <f>AD2*(1+CAGR!$C$30)</f>
        <v>2.5435332411141931E-2</v>
      </c>
      <c r="AF2" s="13">
        <f>AE2*(1+CAGR!$C$30)</f>
        <v>2.5616139796842966E-2</v>
      </c>
      <c r="AG2" s="14"/>
    </row>
    <row r="3" spans="1:33">
      <c r="A3" s="1" t="s">
        <v>1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2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3</v>
      </c>
      <c r="B5" s="14">
        <f>'SYFAFE psgr'!E4*(1+CAGR!$C$33)</f>
        <v>6.4454137226911878E-3</v>
      </c>
      <c r="C5" s="14">
        <f>B5*(1+CAGR!$C$33)</f>
        <v>6.4912310285602038E-3</v>
      </c>
      <c r="D5" s="14">
        <f>C5*(1+CAGR!$C$33)</f>
        <v>6.537374027333882E-3</v>
      </c>
      <c r="E5" s="14">
        <f>D5*(1+CAGR!$C$33)</f>
        <v>6.5838450342044002E-3</v>
      </c>
      <c r="F5" s="14">
        <f>E5*(1+CAGR!$C$33)</f>
        <v>6.6306463808215093E-3</v>
      </c>
      <c r="G5" s="14">
        <f>F5*(1+CAGR!$C$33)</f>
        <v>6.6777804154095222E-3</v>
      </c>
      <c r="H5" s="14">
        <f>G5*(1+CAGR!$C$33)</f>
        <v>6.7252495028851346E-3</v>
      </c>
      <c r="I5" s="14">
        <f>H5*(1+CAGR!$C$33)</f>
        <v>6.7730560249760824E-3</v>
      </c>
      <c r="J5" s="14">
        <f>I5*(1+CAGR!$C$33)</f>
        <v>6.8212023803406437E-3</v>
      </c>
      <c r="K5" s="14">
        <f>J5*(1+CAGR!$C$33)</f>
        <v>6.8696909846879895E-3</v>
      </c>
      <c r="L5" s="14">
        <f>K5*(1+CAGR!$C$33)</f>
        <v>6.9185242708993903E-3</v>
      </c>
      <c r="M5" s="14">
        <f>L5*(1+CAGR!$C$33)</f>
        <v>6.9677046891502845E-3</v>
      </c>
      <c r="N5" s="14">
        <f>M5*(1+CAGR!$C$33)</f>
        <v>7.0172347070332139E-3</v>
      </c>
      <c r="O5" s="14">
        <f>N5*(1+CAGR!$C$33)</f>
        <v>7.0671168096816334E-3</v>
      </c>
      <c r="P5" s="14">
        <f>O5*(1+CAGR!$C$33)</f>
        <v>7.1173534998946013E-3</v>
      </c>
      <c r="Q5" s="14">
        <f>P5*(1+CAGR!$C$33)</f>
        <v>7.1679472982623532E-3</v>
      </c>
      <c r="R5" s="14">
        <f>Q5*(1+CAGR!$C$33)</f>
        <v>7.2189007432927749E-3</v>
      </c>
      <c r="S5" s="14">
        <f>R5*(1+CAGR!$C$33)</f>
        <v>7.270216391538767E-3</v>
      </c>
      <c r="T5" s="14">
        <f>S5*(1+CAGR!$C$33)</f>
        <v>7.3218968177265189E-3</v>
      </c>
      <c r="U5" s="14">
        <f>T5*(1+CAGR!$C$33)</f>
        <v>7.3739446148846938E-3</v>
      </c>
      <c r="V5" s="14">
        <f>U5*(1+CAGR!$C$33)</f>
        <v>7.4263623944745335E-3</v>
      </c>
      <c r="W5" s="14">
        <f>V5*(1+CAGR!$C$33)</f>
        <v>7.4791527865208842E-3</v>
      </c>
      <c r="X5" s="14">
        <f>W5*(1+CAGR!$C$33)</f>
        <v>7.5323184397441583E-3</v>
      </c>
      <c r="Y5" s="14">
        <f>X5*(1+CAGR!$C$33)</f>
        <v>7.5858620216932302E-3</v>
      </c>
      <c r="Z5" s="14">
        <f>Y5*(1+CAGR!$C$33)</f>
        <v>7.6397862188792801E-3</v>
      </c>
      <c r="AA5" s="14">
        <f>Z5*(1+CAGR!$C$33)</f>
        <v>7.6940937369105872E-3</v>
      </c>
      <c r="AB5" s="14">
        <f>AA5*(1+CAGR!$C$33)</f>
        <v>7.7487873006282819E-3</v>
      </c>
      <c r="AC5" s="14">
        <f>AB5*(1+CAGR!$C$33)</f>
        <v>7.8038696542430622E-3</v>
      </c>
      <c r="AD5" s="14">
        <f>AC5*(1+CAGR!$C$33)</f>
        <v>7.8593435614728833E-3</v>
      </c>
      <c r="AE5" s="14">
        <f>AD5*(1+CAGR!$C$33)</f>
        <v>7.915211805681624E-3</v>
      </c>
      <c r="AF5" s="14">
        <f>AE5*(1+CAGR!$C$33)</f>
        <v>7.9714771900187432E-3</v>
      </c>
      <c r="AG5" s="14"/>
    </row>
    <row r="6" spans="1:33">
      <c r="A6" s="1" t="s">
        <v>4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5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6</v>
      </c>
      <c r="B8" s="13">
        <f>B5*Calibration!D32</f>
        <v>1.9336241168073559E-2</v>
      </c>
      <c r="C8" s="13">
        <f>B8*(1+CAGR!$C$36)</f>
        <v>1.9473693085680605E-2</v>
      </c>
      <c r="D8" s="13">
        <f>C8*(1+CAGR!$C$36)</f>
        <v>1.9612122082001641E-2</v>
      </c>
      <c r="E8" s="13">
        <f>D8*(1+CAGR!$C$36)</f>
        <v>1.9751535102613196E-2</v>
      </c>
      <c r="F8" s="13">
        <f>E8*(1+CAGR!$C$36)</f>
        <v>1.9891939142464524E-2</v>
      </c>
      <c r="G8" s="13">
        <f>F8*(1+CAGR!$C$36)</f>
        <v>2.0033341246228565E-2</v>
      </c>
      <c r="H8" s="13">
        <f>G8*(1+CAGR!$C$36)</f>
        <v>2.0175748508655403E-2</v>
      </c>
      <c r="I8" s="13">
        <f>H8*(1+CAGR!$C$36)</f>
        <v>2.0319168074928246E-2</v>
      </c>
      <c r="J8" s="13">
        <f>I8*(1+CAGR!$C$36)</f>
        <v>2.0463607141021928E-2</v>
      </c>
      <c r="K8" s="13">
        <f>J8*(1+CAGR!$C$36)</f>
        <v>2.0609072954063966E-2</v>
      </c>
      <c r="L8" s="13">
        <f>K8*(1+CAGR!$C$36)</f>
        <v>2.0755572812698169E-2</v>
      </c>
      <c r="M8" s="13">
        <f>L8*(1+CAGR!$C$36)</f>
        <v>2.0903114067450851E-2</v>
      </c>
      <c r="N8" s="13">
        <f>M8*(1+CAGR!$C$36)</f>
        <v>2.1051704121099638E-2</v>
      </c>
      <c r="O8" s="13">
        <f>N8*(1+CAGR!$C$36)</f>
        <v>2.1201350429044898E-2</v>
      </c>
      <c r="P8" s="13">
        <f>O8*(1+CAGR!$C$36)</f>
        <v>2.13520604996838E-2</v>
      </c>
      <c r="Q8" s="13">
        <f>P8*(1+CAGR!$C$36)</f>
        <v>2.1503841894787056E-2</v>
      </c>
      <c r="R8" s="13">
        <f>Q8*(1+CAGR!$C$36)</f>
        <v>2.1656702229878321E-2</v>
      </c>
      <c r="S8" s="13">
        <f>R8*(1+CAGR!$C$36)</f>
        <v>2.1810649174616299E-2</v>
      </c>
      <c r="T8" s="13">
        <f>S8*(1+CAGR!$C$36)</f>
        <v>2.1965690453179552E-2</v>
      </c>
      <c r="U8" s="13">
        <f>T8*(1+CAGR!$C$36)</f>
        <v>2.2121833844654076E-2</v>
      </c>
      <c r="V8" s="13">
        <f>U8*(1+CAGR!$C$36)</f>
        <v>2.2279087183423595E-2</v>
      </c>
      <c r="W8" s="13">
        <f>V8*(1+CAGR!$C$36)</f>
        <v>2.2437458359562647E-2</v>
      </c>
      <c r="X8" s="13">
        <f>W8*(1+CAGR!$C$36)</f>
        <v>2.2596955319232469E-2</v>
      </c>
      <c r="Y8" s="13">
        <f>X8*(1+CAGR!$C$36)</f>
        <v>2.2757586065079684E-2</v>
      </c>
      <c r="Z8" s="13">
        <f>Y8*(1+CAGR!$C$36)</f>
        <v>2.2919358656637832E-2</v>
      </c>
      <c r="AA8" s="13">
        <f>Z8*(1+CAGR!$C$36)</f>
        <v>2.3082281210731751E-2</v>
      </c>
      <c r="AB8" s="13">
        <f>AA8*(1+CAGR!$C$36)</f>
        <v>2.3246361901884834E-2</v>
      </c>
      <c r="AC8" s="13">
        <f>AB8*(1+CAGR!$C$36)</f>
        <v>2.3411608962729175E-2</v>
      </c>
      <c r="AD8" s="13">
        <f>AC8*(1+CAGR!$C$36)</f>
        <v>2.3578030684418636E-2</v>
      </c>
      <c r="AE8" s="13">
        <f>AD8*(1+CAGR!$C$36)</f>
        <v>2.3745635417044861E-2</v>
      </c>
      <c r="AF8" s="13">
        <f>AE8*(1+CAGR!$C$36)</f>
        <v>2.3914431570056217E-2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3">
        <f>B5*Calibration!$B$32</f>
        <v>9.6856162281727373E-2</v>
      </c>
      <c r="C2" s="13">
        <f>B2*(1+CAGR!$C$37)</f>
        <v>9.7544665549863283E-2</v>
      </c>
      <c r="D2" s="13">
        <f>C2*(1+CAGR!$C$37)</f>
        <v>9.8238063052285038E-2</v>
      </c>
      <c r="E2" s="13">
        <f>D2*(1+CAGR!$C$37)</f>
        <v>9.8936389579719633E-2</v>
      </c>
      <c r="F2" s="13">
        <f>E2*(1+CAGR!$C$37)</f>
        <v>9.96396801702044E-2</v>
      </c>
      <c r="G2" s="13">
        <f>F2*(1+CAGR!$C$37)</f>
        <v>0.10034797011084502</v>
      </c>
      <c r="H2" s="13">
        <f>G2*(1+CAGR!$C$37)</f>
        <v>0.101061294939586</v>
      </c>
      <c r="I2" s="13">
        <f>H2*(1+CAGR!$C$37)</f>
        <v>0.10177969044699378</v>
      </c>
      <c r="J2" s="13">
        <f>I2*(1+CAGR!$C$37)</f>
        <v>0.10250319267805251</v>
      </c>
      <c r="K2" s="13">
        <f>J2*(1+CAGR!$C$37)</f>
        <v>0.10323183793397257</v>
      </c>
      <c r="L2" s="13">
        <f>K2*(1+CAGR!$C$37)</f>
        <v>0.10396566277401195</v>
      </c>
      <c r="M2" s="13">
        <f>L2*(1+CAGR!$C$37)</f>
        <v>0.10470470401731059</v>
      </c>
      <c r="N2" s="13">
        <f>M2*(1+CAGR!$C$37)</f>
        <v>0.10544899874473777</v>
      </c>
      <c r="O2" s="13">
        <f>N2*(1+CAGR!$C$37)</f>
        <v>0.1061985843007526</v>
      </c>
      <c r="P2" s="13">
        <f>O2*(1+CAGR!$C$37)</f>
        <v>0.10695349829527775</v>
      </c>
      <c r="Q2" s="13">
        <f>P2*(1+CAGR!$C$37)</f>
        <v>0.10771377860558652</v>
      </c>
      <c r="R2" s="13">
        <f>Q2*(1+CAGR!$C$37)</f>
        <v>0.10847946337820326</v>
      </c>
      <c r="S2" s="13">
        <f>R2*(1+CAGR!$C$37)</f>
        <v>0.1092505910308174</v>
      </c>
      <c r="T2" s="13">
        <f>S2*(1+CAGR!$C$37)</f>
        <v>0.11002720025421101</v>
      </c>
      <c r="U2" s="13">
        <f>T2*(1+CAGR!$C$37)</f>
        <v>0.11080933001420007</v>
      </c>
      <c r="V2" s="13">
        <f>U2*(1+CAGR!$C$37)</f>
        <v>0.11159701955358955</v>
      </c>
      <c r="W2" s="13">
        <f>V2*(1+CAGR!$C$37)</f>
        <v>0.11239030839414244</v>
      </c>
      <c r="X2" s="13">
        <f>W2*(1+CAGR!$C$37)</f>
        <v>0.11318923633856263</v>
      </c>
      <c r="Y2" s="13">
        <f>X2*(1+CAGR!$C$37)</f>
        <v>0.11399384347249211</v>
      </c>
      <c r="Z2" s="13">
        <f>Y2*(1+CAGR!$C$37)</f>
        <v>0.1148041701665221</v>
      </c>
      <c r="AA2" s="13">
        <f>Z2*(1+CAGR!$C$37)</f>
        <v>0.11562025707821873</v>
      </c>
      <c r="AB2" s="13">
        <f>AA2*(1+CAGR!$C$37)</f>
        <v>0.11644214515416293</v>
      </c>
      <c r="AC2" s="13">
        <f>AB2*(1+CAGR!$C$37)</f>
        <v>0.11726987563200494</v>
      </c>
      <c r="AD2" s="13">
        <f>AC2*(1+CAGR!$C$37)</f>
        <v>0.11810349004253337</v>
      </c>
      <c r="AE2" s="13">
        <f>AD2*(1+CAGR!$C$37)</f>
        <v>0.11894303021175895</v>
      </c>
      <c r="AF2" s="13">
        <f>AE2*(1+CAGR!$C$37)</f>
        <v>0.11978853826301315</v>
      </c>
      <c r="AG2" s="14"/>
    </row>
    <row r="3" spans="1:33">
      <c r="A3" s="1" t="s">
        <v>1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2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3</v>
      </c>
      <c r="B5" s="14">
        <f>'SYFAFE frgt'!E4*(1+CAGR!$C$40)</f>
        <v>3.0140633774832004E-2</v>
      </c>
      <c r="C5" s="14">
        <f>B5*(1+CAGR!$C$40)</f>
        <v>3.0354888855446266E-2</v>
      </c>
      <c r="D5" s="14">
        <f>C5*(1+CAGR!$C$40)</f>
        <v>3.0570666971040879E-2</v>
      </c>
      <c r="E5" s="14">
        <f>D5*(1+CAGR!$C$40)</f>
        <v>3.0787978948129478E-2</v>
      </c>
      <c r="F5" s="14">
        <f>E5*(1+CAGR!$C$40)</f>
        <v>3.1006835690186106E-2</v>
      </c>
      <c r="G5" s="14">
        <f>F5*(1+CAGR!$C$40)</f>
        <v>3.122724817819229E-2</v>
      </c>
      <c r="H5" s="14">
        <f>G5*(1+CAGR!$C$40)</f>
        <v>3.1449227471188008E-2</v>
      </c>
      <c r="I5" s="14">
        <f>H5*(1+CAGR!$C$40)</f>
        <v>3.1672784706826565E-2</v>
      </c>
      <c r="J5" s="14">
        <f>I5*(1+CAGR!$C$40)</f>
        <v>3.1897931101933417E-2</v>
      </c>
      <c r="K5" s="14">
        <f>J5*(1+CAGR!$C$40)</f>
        <v>3.2124677953068968E-2</v>
      </c>
      <c r="L5" s="14">
        <f>K5*(1+CAGR!$C$40)</f>
        <v>3.2353036637095357E-2</v>
      </c>
      <c r="M5" s="14">
        <f>L5*(1+CAGR!$C$40)</f>
        <v>3.2583018611747304E-2</v>
      </c>
      <c r="N5" s="14">
        <f>M5*(1+CAGR!$C$40)</f>
        <v>3.281463541620698E-2</v>
      </c>
      <c r="O5" s="14">
        <f>N5*(1+CAGR!$C$40)</f>
        <v>3.3047898671682972E-2</v>
      </c>
      <c r="P5" s="14">
        <f>O5*(1+CAGR!$C$40)</f>
        <v>3.3282820081993389E-2</v>
      </c>
      <c r="Q5" s="14">
        <f>P5*(1+CAGR!$C$40)</f>
        <v>3.3519411434153074E-2</v>
      </c>
      <c r="R5" s="14">
        <f>Q5*(1+CAGR!$C$40)</f>
        <v>3.375768459896502E-2</v>
      </c>
      <c r="S5" s="14">
        <f>R5*(1+CAGR!$C$40)</f>
        <v>3.399765153161597E-2</v>
      </c>
      <c r="T5" s="14">
        <f>S5*(1+CAGR!$C$40)</f>
        <v>3.4239324272276266E-2</v>
      </c>
      <c r="U5" s="14">
        <f>T5*(1+CAGR!$C$40)</f>
        <v>3.4482714946703956E-2</v>
      </c>
      <c r="V5" s="14">
        <f>U5*(1+CAGR!$C$40)</f>
        <v>3.4727835766853198E-2</v>
      </c>
      <c r="W5" s="14">
        <f>V5*(1+CAGR!$C$40)</f>
        <v>3.4974699031486971E-2</v>
      </c>
      <c r="X5" s="14">
        <f>W5*(1+CAGR!$C$40)</f>
        <v>3.5223317126794176E-2</v>
      </c>
      <c r="Y5" s="14">
        <f>X5*(1+CAGR!$C$40)</f>
        <v>3.5473702527011097E-2</v>
      </c>
      <c r="Z5" s="14">
        <f>Y5*(1+CAGR!$C$40)</f>
        <v>3.5725867795047286E-2</v>
      </c>
      <c r="AA5" s="14">
        <f>Z5*(1+CAGR!$C$40)</f>
        <v>3.5979825583115896E-2</v>
      </c>
      <c r="AB5" s="14">
        <f>AA5*(1+CAGR!$C$40)</f>
        <v>3.6235588633368496E-2</v>
      </c>
      <c r="AC5" s="14">
        <f>AB5*(1+CAGR!$C$40)</f>
        <v>3.6493169778534409E-2</v>
      </c>
      <c r="AD5" s="14">
        <f>AC5*(1+CAGR!$C$40)</f>
        <v>3.6752581942564574E-2</v>
      </c>
      <c r="AE5" s="14">
        <f>AD5*(1+CAGR!$C$40)</f>
        <v>3.7013838141280002E-2</v>
      </c>
      <c r="AF5" s="14">
        <f>AE5*(1+CAGR!$C$40)</f>
        <v>3.7276951483024831E-2</v>
      </c>
      <c r="AG5" s="14"/>
    </row>
    <row r="6" spans="1:33">
      <c r="A6" s="1" t="s">
        <v>4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5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6</v>
      </c>
      <c r="B8" s="13">
        <f>B5*Calibration!$D$32</f>
        <v>9.0421901324495998E-2</v>
      </c>
      <c r="C8" s="13">
        <f>B8*(1+CAGR!$C$43)</f>
        <v>9.1064666566338784E-2</v>
      </c>
      <c r="D8" s="13">
        <f>C8*(1+CAGR!$C$43)</f>
        <v>9.1712000913122621E-2</v>
      </c>
      <c r="E8" s="13">
        <f>D8*(1+CAGR!$C$43)</f>
        <v>9.2363936844388414E-2</v>
      </c>
      <c r="F8" s="13">
        <f>E8*(1+CAGR!$C$43)</f>
        <v>9.3020507070558298E-2</v>
      </c>
      <c r="G8" s="13">
        <f>F8*(1+CAGR!$C$43)</f>
        <v>9.3681744534576852E-2</v>
      </c>
      <c r="H8" s="13">
        <f>G8*(1+CAGR!$C$43)</f>
        <v>9.4347682413564019E-2</v>
      </c>
      <c r="I8" s="13">
        <f>H8*(1+CAGR!$C$43)</f>
        <v>9.5018354120479695E-2</v>
      </c>
      <c r="J8" s="13">
        <f>I8*(1+CAGR!$C$43)</f>
        <v>9.5693793305800259E-2</v>
      </c>
      <c r="K8" s="13">
        <f>J8*(1+CAGR!$C$43)</f>
        <v>9.6374033859206898E-2</v>
      </c>
      <c r="L8" s="13">
        <f>K8*(1+CAGR!$C$43)</f>
        <v>9.7059109911286065E-2</v>
      </c>
      <c r="M8" s="13">
        <f>L8*(1+CAGR!$C$43)</f>
        <v>9.7749055835241905E-2</v>
      </c>
      <c r="N8" s="13">
        <f>M8*(1+CAGR!$C$43)</f>
        <v>9.8443906248620927E-2</v>
      </c>
      <c r="O8" s="13">
        <f>N8*(1+CAGR!$C$43)</f>
        <v>9.914369601504891E-2</v>
      </c>
      <c r="P8" s="13">
        <f>O8*(1+CAGR!$C$43)</f>
        <v>9.9848460245980167E-2</v>
      </c>
      <c r="Q8" s="13">
        <f>P8*(1+CAGR!$C$43)</f>
        <v>0.10055823430245923</v>
      </c>
      <c r="R8" s="13">
        <f>Q8*(1+CAGR!$C$43)</f>
        <v>0.10127305379689508</v>
      </c>
      <c r="S8" s="13">
        <f>R8*(1+CAGR!$C$43)</f>
        <v>0.10199295459484793</v>
      </c>
      <c r="T8" s="13">
        <f>S8*(1+CAGR!$C$43)</f>
        <v>0.10271797281682882</v>
      </c>
      <c r="U8" s="13">
        <f>T8*(1+CAGR!$C$43)</f>
        <v>0.10344814484011189</v>
      </c>
      <c r="V8" s="13">
        <f>U8*(1+CAGR!$C$43)</f>
        <v>0.1041835073005596</v>
      </c>
      <c r="W8" s="13">
        <f>V8*(1+CAGR!$C$43)</f>
        <v>0.10492409709446092</v>
      </c>
      <c r="X8" s="13">
        <f>W8*(1+CAGR!$C$43)</f>
        <v>0.10566995138038254</v>
      </c>
      <c r="Y8" s="13">
        <f>X8*(1+CAGR!$C$43)</f>
        <v>0.10642110758103331</v>
      </c>
      <c r="Z8" s="13">
        <f>Y8*(1+CAGR!$C$43)</f>
        <v>0.10717760338514187</v>
      </c>
      <c r="AA8" s="13">
        <f>Z8*(1+CAGR!$C$43)</f>
        <v>0.1079394767493477</v>
      </c>
      <c r="AB8" s="13">
        <f>AA8*(1+CAGR!$C$43)</f>
        <v>0.1087067659001055</v>
      </c>
      <c r="AC8" s="13">
        <f>AB8*(1+CAGR!$C$43)</f>
        <v>0.10947950933560324</v>
      </c>
      <c r="AD8" s="13">
        <f>AC8*(1+CAGR!$C$43)</f>
        <v>0.11025774582769374</v>
      </c>
      <c r="AE8" s="13">
        <f>AD8*(1+CAGR!$C$43)</f>
        <v>0.11104151442384001</v>
      </c>
      <c r="AF8" s="13">
        <f>AE8*(1+CAGR!$C$43)</f>
        <v>0.11183085444907451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>
      <selection activeCell="B36" sqref="B36"/>
    </sheetView>
  </sheetViews>
  <sheetFormatPr defaultRowHeight="14.4"/>
  <cols>
    <col min="1" max="1" width="32.77734375" bestFit="1" customWidth="1"/>
    <col min="2" max="3" width="9" customWidth="1"/>
    <col min="4" max="33" width="9.21875" bestFit="1" customWidth="1"/>
  </cols>
  <sheetData>
    <row r="1" spans="1:33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14">
        <f>IFERROR(INDEX('SYFAFE psgr'!$B$5:$H$5,,MATCH($A2,'SYFAFE psgr'!$B$1:$H$1,0))*(1+INDEX(CAGR!$C$44:$C$50,MATCH($A2,CAGR!$B$44:$B$50,0))),0)</f>
        <v>7.8005899017659234E-4</v>
      </c>
      <c r="C2" s="14">
        <f>IFERROR(B2*(1+INDEX(CAGR!$C$44:$C$50,MATCH($A2,CAGR!$B$44:$B$50,0))),0)</f>
        <v>7.7981100690762491E-4</v>
      </c>
      <c r="D2" s="14">
        <f>IFERROR(C2*(1+INDEX(CAGR!$C$44:$C$50,MATCH($A2,CAGR!$B$44:$B$50,0))),0)</f>
        <v>7.7956310247333856E-4</v>
      </c>
      <c r="E2" s="14">
        <f>IFERROR(D2*(1+INDEX(CAGR!$C$44:$C$50,MATCH($A2,CAGR!$B$44:$B$50,0))),0)</f>
        <v>7.7931527684867142E-4</v>
      </c>
      <c r="F2" s="14">
        <f>IFERROR(E2*(1+INDEX(CAGR!$C$44:$C$50,MATCH($A2,CAGR!$B$44:$B$50,0))),0)</f>
        <v>7.7906753000856973E-4</v>
      </c>
      <c r="G2" s="14">
        <f>IFERROR(F2*(1+INDEX(CAGR!$C$44:$C$50,MATCH($A2,CAGR!$B$44:$B$50,0))),0)</f>
        <v>7.7881986192798757E-4</v>
      </c>
      <c r="H2" s="14">
        <f>IFERROR(G2*(1+INDEX(CAGR!$C$44:$C$50,MATCH($A2,CAGR!$B$44:$B$50,0))),0)</f>
        <v>7.7857227258188702E-4</v>
      </c>
      <c r="I2" s="14">
        <f>IFERROR(H2*(1+INDEX(CAGR!$C$44:$C$50,MATCH($A2,CAGR!$B$44:$B$50,0))),0)</f>
        <v>7.7832476194523818E-4</v>
      </c>
      <c r="J2" s="14">
        <f>IFERROR(I2*(1+INDEX(CAGR!$C$44:$C$50,MATCH($A2,CAGR!$B$44:$B$50,0))),0)</f>
        <v>7.7807732999301909E-4</v>
      </c>
      <c r="K2" s="14">
        <f>IFERROR(J2*(1+INDEX(CAGR!$C$44:$C$50,MATCH($A2,CAGR!$B$44:$B$50,0))),0)</f>
        <v>7.7782997670021567E-4</v>
      </c>
      <c r="L2" s="14">
        <f>IFERROR(K2*(1+INDEX(CAGR!$C$44:$C$50,MATCH($A2,CAGR!$B$44:$B$50,0))),0)</f>
        <v>7.7758270204182189E-4</v>
      </c>
      <c r="M2" s="14">
        <f>IFERROR(L2*(1+INDEX(CAGR!$C$44:$C$50,MATCH($A2,CAGR!$B$44:$B$50,0))),0)</f>
        <v>7.7733550599283952E-4</v>
      </c>
      <c r="N2" s="14">
        <f>IFERROR(M2*(1+INDEX(CAGR!$C$44:$C$50,MATCH($A2,CAGR!$B$44:$B$50,0))),0)</f>
        <v>7.7708838852827845E-4</v>
      </c>
      <c r="O2" s="14">
        <f>IFERROR(N2*(1+INDEX(CAGR!$C$44:$C$50,MATCH($A2,CAGR!$B$44:$B$50,0))),0)</f>
        <v>7.7684134962315639E-4</v>
      </c>
      <c r="P2" s="14">
        <f>IFERROR(O2*(1+INDEX(CAGR!$C$44:$C$50,MATCH($A2,CAGR!$B$44:$B$50,0))),0)</f>
        <v>7.7659438925249907E-4</v>
      </c>
      <c r="Q2" s="14">
        <f>IFERROR(P2*(1+INDEX(CAGR!$C$44:$C$50,MATCH($A2,CAGR!$B$44:$B$50,0))),0)</f>
        <v>7.7634750739134014E-4</v>
      </c>
      <c r="R2" s="14">
        <f>IFERROR(Q2*(1+INDEX(CAGR!$C$44:$C$50,MATCH($A2,CAGR!$B$44:$B$50,0))),0)</f>
        <v>7.7610070401472114E-4</v>
      </c>
      <c r="S2" s="14">
        <f>IFERROR(R2*(1+INDEX(CAGR!$C$44:$C$50,MATCH($A2,CAGR!$B$44:$B$50,0))),0)</f>
        <v>7.7585397909769155E-4</v>
      </c>
      <c r="T2" s="14">
        <f>IFERROR(S2*(1+INDEX(CAGR!$C$44:$C$50,MATCH($A2,CAGR!$B$44:$B$50,0))),0)</f>
        <v>7.7560733261530887E-4</v>
      </c>
      <c r="U2" s="14">
        <f>IFERROR(T2*(1+INDEX(CAGR!$C$44:$C$50,MATCH($A2,CAGR!$B$44:$B$50,0))),0)</f>
        <v>7.7536076454263851E-4</v>
      </c>
      <c r="V2" s="14">
        <f>IFERROR(U2*(1+INDEX(CAGR!$C$44:$C$50,MATCH($A2,CAGR!$B$44:$B$50,0))),0)</f>
        <v>7.7511427485475368E-4</v>
      </c>
      <c r="W2" s="14">
        <f>IFERROR(V2*(1+INDEX(CAGR!$C$44:$C$50,MATCH($A2,CAGR!$B$44:$B$50,0))),0)</f>
        <v>7.7486786352673573E-4</v>
      </c>
      <c r="X2" s="14">
        <f>IFERROR(W2*(1+INDEX(CAGR!$C$44:$C$50,MATCH($A2,CAGR!$B$44:$B$50,0))),0)</f>
        <v>7.7462153053367371E-4</v>
      </c>
      <c r="Y2" s="14">
        <f>IFERROR(X2*(1+INDEX(CAGR!$C$44:$C$50,MATCH($A2,CAGR!$B$44:$B$50,0))),0)</f>
        <v>7.7437527585066468E-4</v>
      </c>
      <c r="Z2" s="14">
        <f>IFERROR(Y2*(1+INDEX(CAGR!$C$44:$C$50,MATCH($A2,CAGR!$B$44:$B$50,0))),0)</f>
        <v>7.7412909945281363E-4</v>
      </c>
      <c r="AA2" s="14">
        <f>IFERROR(Z2*(1+INDEX(CAGR!$C$44:$C$50,MATCH($A2,CAGR!$B$44:$B$50,0))),0)</f>
        <v>7.7388300131523346E-4</v>
      </c>
      <c r="AB2" s="14">
        <f>IFERROR(AA2*(1+INDEX(CAGR!$C$44:$C$50,MATCH($A2,CAGR!$B$44:$B$50,0))),0)</f>
        <v>7.7363698141304498E-4</v>
      </c>
      <c r="AC2" s="14">
        <f>IFERROR(AB2*(1+INDEX(CAGR!$C$44:$C$50,MATCH($A2,CAGR!$B$44:$B$50,0))),0)</f>
        <v>7.7339103972137691E-4</v>
      </c>
      <c r="AD2" s="14">
        <f>IFERROR(AC2*(1+INDEX(CAGR!$C$44:$C$50,MATCH($A2,CAGR!$B$44:$B$50,0))),0)</f>
        <v>7.7314517621536591E-4</v>
      </c>
      <c r="AE2" s="14">
        <f>IFERROR(AD2*(1+INDEX(CAGR!$C$44:$C$50,MATCH($A2,CAGR!$B$44:$B$50,0))),0)</f>
        <v>7.7289939087015651E-4</v>
      </c>
      <c r="AF2" s="14">
        <f>IFERROR(AE2*(1+INDEX(CAGR!$C$44:$C$50,MATCH($A2,CAGR!$B$44:$B$50,0))),0)</f>
        <v>7.726536836609011E-4</v>
      </c>
      <c r="AG2" s="14"/>
    </row>
    <row r="3" spans="1:33">
      <c r="A3" s="1" t="s">
        <v>1</v>
      </c>
      <c r="B3" s="14">
        <f>IFERROR(INDEX('SYFAFE psgr'!$B$5:$H$5,,MATCH($A3,'SYFAFE psgr'!$B$1:$H$1,0))*(1+INDEX(CAGR!$C$44:$C$50,MATCH($A3,CAGR!$B$44:$B$50,0))),0)</f>
        <v>0</v>
      </c>
      <c r="C3" s="14">
        <f>IFERROR(B3*(1+INDEX(CAGR!$C$44:$C$50,MATCH($A3,CAGR!$B$44:$B$50,0))),0)</f>
        <v>0</v>
      </c>
      <c r="D3" s="14">
        <f>IFERROR(C3*(1+INDEX(CAGR!$C$44:$C$50,MATCH($A3,CAGR!$B$44:$B$50,0))),0)</f>
        <v>0</v>
      </c>
      <c r="E3" s="14">
        <f>IFERROR(D3*(1+INDEX(CAGR!$C$44:$C$50,MATCH($A3,CAGR!$B$44:$B$50,0))),0)</f>
        <v>0</v>
      </c>
      <c r="F3" s="14">
        <f>IFERROR(E3*(1+INDEX(CAGR!$C$44:$C$50,MATCH($A3,CAGR!$B$44:$B$50,0))),0)</f>
        <v>0</v>
      </c>
      <c r="G3" s="14">
        <f>IFERROR(F3*(1+INDEX(CAGR!$C$44:$C$50,MATCH($A3,CAGR!$B$44:$B$50,0))),0)</f>
        <v>0</v>
      </c>
      <c r="H3" s="14">
        <f>IFERROR(G3*(1+INDEX(CAGR!$C$44:$C$50,MATCH($A3,CAGR!$B$44:$B$50,0))),0)</f>
        <v>0</v>
      </c>
      <c r="I3" s="14">
        <f>IFERROR(H3*(1+INDEX(CAGR!$C$44:$C$50,MATCH($A3,CAGR!$B$44:$B$50,0))),0)</f>
        <v>0</v>
      </c>
      <c r="J3" s="14">
        <f>IFERROR(I3*(1+INDEX(CAGR!$C$44:$C$50,MATCH($A3,CAGR!$B$44:$B$50,0))),0)</f>
        <v>0</v>
      </c>
      <c r="K3" s="14">
        <f>IFERROR(J3*(1+INDEX(CAGR!$C$44:$C$50,MATCH($A3,CAGR!$B$44:$B$50,0))),0)</f>
        <v>0</v>
      </c>
      <c r="L3" s="14">
        <f>IFERROR(K3*(1+INDEX(CAGR!$C$44:$C$50,MATCH($A3,CAGR!$B$44:$B$50,0))),0)</f>
        <v>0</v>
      </c>
      <c r="M3" s="14">
        <f>IFERROR(L3*(1+INDEX(CAGR!$C$44:$C$50,MATCH($A3,CAGR!$B$44:$B$50,0))),0)</f>
        <v>0</v>
      </c>
      <c r="N3" s="14">
        <f>IFERROR(M3*(1+INDEX(CAGR!$C$44:$C$50,MATCH($A3,CAGR!$B$44:$B$50,0))),0)</f>
        <v>0</v>
      </c>
      <c r="O3" s="14">
        <f>IFERROR(N3*(1+INDEX(CAGR!$C$44:$C$50,MATCH($A3,CAGR!$B$44:$B$50,0))),0)</f>
        <v>0</v>
      </c>
      <c r="P3" s="14">
        <f>IFERROR(O3*(1+INDEX(CAGR!$C$44:$C$50,MATCH($A3,CAGR!$B$44:$B$50,0))),0)</f>
        <v>0</v>
      </c>
      <c r="Q3" s="14">
        <f>IFERROR(P3*(1+INDEX(CAGR!$C$44:$C$50,MATCH($A3,CAGR!$B$44:$B$50,0))),0)</f>
        <v>0</v>
      </c>
      <c r="R3" s="14">
        <f>IFERROR(Q3*(1+INDEX(CAGR!$C$44:$C$50,MATCH($A3,CAGR!$B$44:$B$50,0))),0)</f>
        <v>0</v>
      </c>
      <c r="S3" s="14">
        <f>IFERROR(R3*(1+INDEX(CAGR!$C$44:$C$50,MATCH($A3,CAGR!$B$44:$B$50,0))),0)</f>
        <v>0</v>
      </c>
      <c r="T3" s="14">
        <f>IFERROR(S3*(1+INDEX(CAGR!$C$44:$C$50,MATCH($A3,CAGR!$B$44:$B$50,0))),0)</f>
        <v>0</v>
      </c>
      <c r="U3" s="14">
        <f>IFERROR(T3*(1+INDEX(CAGR!$C$44:$C$50,MATCH($A3,CAGR!$B$44:$B$50,0))),0)</f>
        <v>0</v>
      </c>
      <c r="V3" s="14">
        <f>IFERROR(U3*(1+INDEX(CAGR!$C$44:$C$50,MATCH($A3,CAGR!$B$44:$B$50,0))),0)</f>
        <v>0</v>
      </c>
      <c r="W3" s="14">
        <f>IFERROR(V3*(1+INDEX(CAGR!$C$44:$C$50,MATCH($A3,CAGR!$B$44:$B$50,0))),0)</f>
        <v>0</v>
      </c>
      <c r="X3" s="14">
        <f>IFERROR(W3*(1+INDEX(CAGR!$C$44:$C$50,MATCH($A3,CAGR!$B$44:$B$50,0))),0)</f>
        <v>0</v>
      </c>
      <c r="Y3" s="14">
        <f>IFERROR(X3*(1+INDEX(CAGR!$C$44:$C$50,MATCH($A3,CAGR!$B$44:$B$50,0))),0)</f>
        <v>0</v>
      </c>
      <c r="Z3" s="14">
        <f>IFERROR(Y3*(1+INDEX(CAGR!$C$44:$C$50,MATCH($A3,CAGR!$B$44:$B$50,0))),0)</f>
        <v>0</v>
      </c>
      <c r="AA3" s="14">
        <f>IFERROR(Z3*(1+INDEX(CAGR!$C$44:$C$50,MATCH($A3,CAGR!$B$44:$B$50,0))),0)</f>
        <v>0</v>
      </c>
      <c r="AB3" s="14">
        <f>IFERROR(AA3*(1+INDEX(CAGR!$C$44:$C$50,MATCH($A3,CAGR!$B$44:$B$50,0))),0)</f>
        <v>0</v>
      </c>
      <c r="AC3" s="14">
        <f>IFERROR(AB3*(1+INDEX(CAGR!$C$44:$C$50,MATCH($A3,CAGR!$B$44:$B$50,0))),0)</f>
        <v>0</v>
      </c>
      <c r="AD3" s="14">
        <f>IFERROR(AC3*(1+INDEX(CAGR!$C$44:$C$50,MATCH($A3,CAGR!$B$44:$B$50,0))),0)</f>
        <v>0</v>
      </c>
      <c r="AE3" s="14">
        <f>IFERROR(AD3*(1+INDEX(CAGR!$C$44:$C$50,MATCH($A3,CAGR!$B$44:$B$50,0))),0)</f>
        <v>0</v>
      </c>
      <c r="AF3" s="14">
        <f>IFERROR(AE3*(1+INDEX(CAGR!$C$44:$C$50,MATCH($A3,CAGR!$B$44:$B$50,0))),0)</f>
        <v>0</v>
      </c>
      <c r="AG3" s="14"/>
    </row>
    <row r="4" spans="1:33">
      <c r="A4" s="1" t="s">
        <v>2</v>
      </c>
      <c r="B4" s="14">
        <f>IFERROR(INDEX('SYFAFE psgr'!$B$5:$H$5,,MATCH($A4,'SYFAFE psgr'!$B$1:$H$1,0))*(1+INDEX(CAGR!$C$44:$C$50,MATCH($A4,CAGR!$B$44:$B$50,0))),0)</f>
        <v>0</v>
      </c>
      <c r="C4" s="14">
        <f>IFERROR(B4*(1+INDEX(CAGR!$C$44:$C$50,MATCH($A4,CAGR!$B$44:$B$50,0))),0)</f>
        <v>0</v>
      </c>
      <c r="D4" s="14">
        <f>IFERROR(C4*(1+INDEX(CAGR!$C$44:$C$50,MATCH($A4,CAGR!$B$44:$B$50,0))),0)</f>
        <v>0</v>
      </c>
      <c r="E4" s="14">
        <f>IFERROR(D4*(1+INDEX(CAGR!$C$44:$C$50,MATCH($A4,CAGR!$B$44:$B$50,0))),0)</f>
        <v>0</v>
      </c>
      <c r="F4" s="14">
        <f>IFERROR(E4*(1+INDEX(CAGR!$C$44:$C$50,MATCH($A4,CAGR!$B$44:$B$50,0))),0)</f>
        <v>0</v>
      </c>
      <c r="G4" s="14">
        <f>IFERROR(F4*(1+INDEX(CAGR!$C$44:$C$50,MATCH($A4,CAGR!$B$44:$B$50,0))),0)</f>
        <v>0</v>
      </c>
      <c r="H4" s="14">
        <f>IFERROR(G4*(1+INDEX(CAGR!$C$44:$C$50,MATCH($A4,CAGR!$B$44:$B$50,0))),0)</f>
        <v>0</v>
      </c>
      <c r="I4" s="14">
        <f>IFERROR(H4*(1+INDEX(CAGR!$C$44:$C$50,MATCH($A4,CAGR!$B$44:$B$50,0))),0)</f>
        <v>0</v>
      </c>
      <c r="J4" s="14">
        <f>IFERROR(I4*(1+INDEX(CAGR!$C$44:$C$50,MATCH($A4,CAGR!$B$44:$B$50,0))),0)</f>
        <v>0</v>
      </c>
      <c r="K4" s="14">
        <f>IFERROR(J4*(1+INDEX(CAGR!$C$44:$C$50,MATCH($A4,CAGR!$B$44:$B$50,0))),0)</f>
        <v>0</v>
      </c>
      <c r="L4" s="14">
        <f>IFERROR(K4*(1+INDEX(CAGR!$C$44:$C$50,MATCH($A4,CAGR!$B$44:$B$50,0))),0)</f>
        <v>0</v>
      </c>
      <c r="M4" s="14">
        <f>IFERROR(L4*(1+INDEX(CAGR!$C$44:$C$50,MATCH($A4,CAGR!$B$44:$B$50,0))),0)</f>
        <v>0</v>
      </c>
      <c r="N4" s="14">
        <f>IFERROR(M4*(1+INDEX(CAGR!$C$44:$C$50,MATCH($A4,CAGR!$B$44:$B$50,0))),0)</f>
        <v>0</v>
      </c>
      <c r="O4" s="14">
        <f>IFERROR(N4*(1+INDEX(CAGR!$C$44:$C$50,MATCH($A4,CAGR!$B$44:$B$50,0))),0)</f>
        <v>0</v>
      </c>
      <c r="P4" s="14">
        <f>IFERROR(O4*(1+INDEX(CAGR!$C$44:$C$50,MATCH($A4,CAGR!$B$44:$B$50,0))),0)</f>
        <v>0</v>
      </c>
      <c r="Q4" s="14">
        <f>IFERROR(P4*(1+INDEX(CAGR!$C$44:$C$50,MATCH($A4,CAGR!$B$44:$B$50,0))),0)</f>
        <v>0</v>
      </c>
      <c r="R4" s="14">
        <f>IFERROR(Q4*(1+INDEX(CAGR!$C$44:$C$50,MATCH($A4,CAGR!$B$44:$B$50,0))),0)</f>
        <v>0</v>
      </c>
      <c r="S4" s="14">
        <f>IFERROR(R4*(1+INDEX(CAGR!$C$44:$C$50,MATCH($A4,CAGR!$B$44:$B$50,0))),0)</f>
        <v>0</v>
      </c>
      <c r="T4" s="14">
        <f>IFERROR(S4*(1+INDEX(CAGR!$C$44:$C$50,MATCH($A4,CAGR!$B$44:$B$50,0))),0)</f>
        <v>0</v>
      </c>
      <c r="U4" s="14">
        <f>IFERROR(T4*(1+INDEX(CAGR!$C$44:$C$50,MATCH($A4,CAGR!$B$44:$B$50,0))),0)</f>
        <v>0</v>
      </c>
      <c r="V4" s="14">
        <f>IFERROR(U4*(1+INDEX(CAGR!$C$44:$C$50,MATCH($A4,CAGR!$B$44:$B$50,0))),0)</f>
        <v>0</v>
      </c>
      <c r="W4" s="14">
        <f>IFERROR(V4*(1+INDEX(CAGR!$C$44:$C$50,MATCH($A4,CAGR!$B$44:$B$50,0))),0)</f>
        <v>0</v>
      </c>
      <c r="X4" s="14">
        <f>IFERROR(W4*(1+INDEX(CAGR!$C$44:$C$50,MATCH($A4,CAGR!$B$44:$B$50,0))),0)</f>
        <v>0</v>
      </c>
      <c r="Y4" s="14">
        <f>IFERROR(X4*(1+INDEX(CAGR!$C$44:$C$50,MATCH($A4,CAGR!$B$44:$B$50,0))),0)</f>
        <v>0</v>
      </c>
      <c r="Z4" s="14">
        <f>IFERROR(Y4*(1+INDEX(CAGR!$C$44:$C$50,MATCH($A4,CAGR!$B$44:$B$50,0))),0)</f>
        <v>0</v>
      </c>
      <c r="AA4" s="14">
        <f>IFERROR(Z4*(1+INDEX(CAGR!$C$44:$C$50,MATCH($A4,CAGR!$B$44:$B$50,0))),0)</f>
        <v>0</v>
      </c>
      <c r="AB4" s="14">
        <f>IFERROR(AA4*(1+INDEX(CAGR!$C$44:$C$50,MATCH($A4,CAGR!$B$44:$B$50,0))),0)</f>
        <v>0</v>
      </c>
      <c r="AC4" s="14">
        <f>IFERROR(AB4*(1+INDEX(CAGR!$C$44:$C$50,MATCH($A4,CAGR!$B$44:$B$50,0))),0)</f>
        <v>0</v>
      </c>
      <c r="AD4" s="14">
        <f>IFERROR(AC4*(1+INDEX(CAGR!$C$44:$C$50,MATCH($A4,CAGR!$B$44:$B$50,0))),0)</f>
        <v>0</v>
      </c>
      <c r="AE4" s="14">
        <f>IFERROR(AD4*(1+INDEX(CAGR!$C$44:$C$50,MATCH($A4,CAGR!$B$44:$B$50,0))),0)</f>
        <v>0</v>
      </c>
      <c r="AF4" s="14">
        <f>IFERROR(AE4*(1+INDEX(CAGR!$C$44:$C$50,MATCH($A4,CAGR!$B$44:$B$50,0))),0)</f>
        <v>0</v>
      </c>
      <c r="AG4" s="14"/>
    </row>
    <row r="5" spans="1:33">
      <c r="A5" s="1" t="s">
        <v>3</v>
      </c>
      <c r="B5" s="14">
        <f>IFERROR(INDEX('SYFAFE psgr'!$B$5:$H$5,,MATCH($A5,'SYFAFE psgr'!$B$1:$H$1,0))*(1+INDEX(CAGR!$C$44:$C$50,MATCH($A5,CAGR!$B$44:$B$50,0))),0)</f>
        <v>5.5276547249040213E-3</v>
      </c>
      <c r="C5" s="14">
        <f>IFERROR(B5*(1+INDEX(CAGR!$C$44:$C$50,MATCH($A5,CAGR!$B$44:$B$50,0))),0)</f>
        <v>5.5258974656381627E-3</v>
      </c>
      <c r="D5" s="14">
        <f>IFERROR(C5*(1+INDEX(CAGR!$C$44:$C$50,MATCH($A5,CAGR!$B$44:$B$50,0))),0)</f>
        <v>5.5241407650106922E-3</v>
      </c>
      <c r="E5" s="14">
        <f>IFERROR(D5*(1+INDEX(CAGR!$C$44:$C$50,MATCH($A5,CAGR!$B$44:$B$50,0))),0)</f>
        <v>5.5223846228440177E-3</v>
      </c>
      <c r="F5" s="14">
        <f>IFERROR(E5*(1+INDEX(CAGR!$C$44:$C$50,MATCH($A5,CAGR!$B$44:$B$50,0))),0)</f>
        <v>5.5206290389606021E-3</v>
      </c>
      <c r="G5" s="14">
        <f>IFERROR(F5*(1+INDEX(CAGR!$C$44:$C$50,MATCH($A5,CAGR!$B$44:$B$50,0))),0)</f>
        <v>5.5188740131829651E-3</v>
      </c>
      <c r="H5" s="14">
        <f>IFERROR(G5*(1+INDEX(CAGR!$C$44:$C$50,MATCH($A5,CAGR!$B$44:$B$50,0))),0)</f>
        <v>5.5171195453336836E-3</v>
      </c>
      <c r="I5" s="14">
        <f>IFERROR(H5*(1+INDEX(CAGR!$C$44:$C$50,MATCH($A5,CAGR!$B$44:$B$50,0))),0)</f>
        <v>5.5153656352353898E-3</v>
      </c>
      <c r="J5" s="14">
        <f>IFERROR(I5*(1+INDEX(CAGR!$C$44:$C$50,MATCH($A5,CAGR!$B$44:$B$50,0))),0)</f>
        <v>5.5136122827107734E-3</v>
      </c>
      <c r="K5" s="14">
        <f>IFERROR(J5*(1+INDEX(CAGR!$C$44:$C$50,MATCH($A5,CAGR!$B$44:$B$50,0))),0)</f>
        <v>5.5118594875825802E-3</v>
      </c>
      <c r="L5" s="14">
        <f>IFERROR(K5*(1+INDEX(CAGR!$C$44:$C$50,MATCH($A5,CAGR!$B$44:$B$50,0))),0)</f>
        <v>5.5101072496736118E-3</v>
      </c>
      <c r="M5" s="14">
        <f>IFERROR(L5*(1+INDEX(CAGR!$C$44:$C$50,MATCH($A5,CAGR!$B$44:$B$50,0))),0)</f>
        <v>5.508355568806726E-3</v>
      </c>
      <c r="N5" s="14">
        <f>IFERROR(M5*(1+INDEX(CAGR!$C$44:$C$50,MATCH($A5,CAGR!$B$44:$B$50,0))),0)</f>
        <v>5.5066044448048379E-3</v>
      </c>
      <c r="O5" s="14">
        <f>IFERROR(N5*(1+INDEX(CAGR!$C$44:$C$50,MATCH($A5,CAGR!$B$44:$B$50,0))),0)</f>
        <v>5.5048538774909181E-3</v>
      </c>
      <c r="P5" s="14">
        <f>IFERROR(O5*(1+INDEX(CAGR!$C$44:$C$50,MATCH($A5,CAGR!$B$44:$B$50,0))),0)</f>
        <v>5.5031038666879936E-3</v>
      </c>
      <c r="Q5" s="14">
        <f>IFERROR(P5*(1+INDEX(CAGR!$C$44:$C$50,MATCH($A5,CAGR!$B$44:$B$50,0))),0)</f>
        <v>5.5013544122191477E-3</v>
      </c>
      <c r="R5" s="14">
        <f>IFERROR(Q5*(1+INDEX(CAGR!$C$44:$C$50,MATCH($A5,CAGR!$B$44:$B$50,0))),0)</f>
        <v>5.4996055139075201E-3</v>
      </c>
      <c r="S5" s="14">
        <f>IFERROR(R5*(1+INDEX(CAGR!$C$44:$C$50,MATCH($A5,CAGR!$B$44:$B$50,0))),0)</f>
        <v>5.4978571715763062E-3</v>
      </c>
      <c r="T5" s="14">
        <f>IFERROR(S5*(1+INDEX(CAGR!$C$44:$C$50,MATCH($A5,CAGR!$B$44:$B$50,0))),0)</f>
        <v>5.4961093850487584E-3</v>
      </c>
      <c r="U5" s="14">
        <f>IFERROR(T5*(1+INDEX(CAGR!$C$44:$C$50,MATCH($A5,CAGR!$B$44:$B$50,0))),0)</f>
        <v>5.4943621541481856E-3</v>
      </c>
      <c r="V5" s="14">
        <f>IFERROR(U5*(1+INDEX(CAGR!$C$44:$C$50,MATCH($A5,CAGR!$B$44:$B$50,0))),0)</f>
        <v>5.4926154786979512E-3</v>
      </c>
      <c r="W5" s="14">
        <f>IFERROR(V5*(1+INDEX(CAGR!$C$44:$C$50,MATCH($A5,CAGR!$B$44:$B$50,0))),0)</f>
        <v>5.4908693585214762E-3</v>
      </c>
      <c r="X5" s="14">
        <f>IFERROR(W5*(1+INDEX(CAGR!$C$44:$C$50,MATCH($A5,CAGR!$B$44:$B$50,0))),0)</f>
        <v>5.4891237934422375E-3</v>
      </c>
      <c r="Y5" s="14">
        <f>IFERROR(X5*(1+INDEX(CAGR!$C$44:$C$50,MATCH($A5,CAGR!$B$44:$B$50,0))),0)</f>
        <v>5.4873787832837671E-3</v>
      </c>
      <c r="Z5" s="14">
        <f>IFERROR(Y5*(1+INDEX(CAGR!$C$44:$C$50,MATCH($A5,CAGR!$B$44:$B$50,0))),0)</f>
        <v>5.4856343278696547E-3</v>
      </c>
      <c r="AA5" s="14">
        <f>IFERROR(Z5*(1+INDEX(CAGR!$C$44:$C$50,MATCH($A5,CAGR!$B$44:$B$50,0))),0)</f>
        <v>5.4838904270235449E-3</v>
      </c>
      <c r="AB5" s="14">
        <f>IFERROR(AA5*(1+INDEX(CAGR!$C$44:$C$50,MATCH($A5,CAGR!$B$44:$B$50,0))),0)</f>
        <v>5.4821470805691387E-3</v>
      </c>
      <c r="AC5" s="14">
        <f>IFERROR(AB5*(1+INDEX(CAGR!$C$44:$C$50,MATCH($A5,CAGR!$B$44:$B$50,0))),0)</f>
        <v>5.4804042883301934E-3</v>
      </c>
      <c r="AD5" s="14">
        <f>IFERROR(AC5*(1+INDEX(CAGR!$C$44:$C$50,MATCH($A5,CAGR!$B$44:$B$50,0))),0)</f>
        <v>5.4786620501305226E-3</v>
      </c>
      <c r="AE5" s="14">
        <f>IFERROR(AD5*(1+INDEX(CAGR!$C$44:$C$50,MATCH($A5,CAGR!$B$44:$B$50,0))),0)</f>
        <v>5.4769203657939946E-3</v>
      </c>
      <c r="AF5" s="14">
        <f>IFERROR(AE5*(1+INDEX(CAGR!$C$44:$C$50,MATCH($A5,CAGR!$B$44:$B$50,0))),0)</f>
        <v>5.4751792351445351E-3</v>
      </c>
      <c r="AG5" s="14"/>
    </row>
    <row r="6" spans="1:33">
      <c r="A6" s="1" t="s">
        <v>4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5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6</v>
      </c>
      <c r="B8" s="13">
        <f>B5*Calibration!$D$37</f>
        <v>1.6582964174712059E-2</v>
      </c>
      <c r="C8" s="13">
        <f>B8*(1+CAGR!$C$50)</f>
        <v>1.6577692396914482E-2</v>
      </c>
      <c r="D8" s="13">
        <f>C8*(1+CAGR!$C$50)</f>
        <v>1.6572422295032072E-2</v>
      </c>
      <c r="E8" s="13">
        <f>D8*(1+CAGR!$C$50)</f>
        <v>1.6567153868532046E-2</v>
      </c>
      <c r="F8" s="13">
        <f>E8*(1+CAGR!$C$50)</f>
        <v>1.6561887116881797E-2</v>
      </c>
      <c r="G8" s="13">
        <f>F8*(1+CAGR!$C$50)</f>
        <v>1.6556622039548885E-2</v>
      </c>
      <c r="H8" s="13">
        <f>G8*(1+CAGR!$C$50)</f>
        <v>1.6551358636001039E-2</v>
      </c>
      <c r="I8" s="13">
        <f>H8*(1+CAGR!$C$50)</f>
        <v>1.6546096905706159E-2</v>
      </c>
      <c r="J8" s="13">
        <f>I8*(1+CAGR!$C$50)</f>
        <v>1.6540836848132311E-2</v>
      </c>
      <c r="K8" s="13">
        <f>J8*(1+CAGR!$C$50)</f>
        <v>1.6535578462747731E-2</v>
      </c>
      <c r="L8" s="13">
        <f>K8*(1+CAGR!$C$50)</f>
        <v>1.6530321749020825E-2</v>
      </c>
      <c r="M8" s="13">
        <f>L8*(1+CAGR!$C$50)</f>
        <v>1.6525066706420167E-2</v>
      </c>
      <c r="N8" s="13">
        <f>M8*(1+CAGR!$C$50)</f>
        <v>1.6519813334414501E-2</v>
      </c>
      <c r="O8" s="13">
        <f>N8*(1+CAGR!$C$50)</f>
        <v>1.6514561632472741E-2</v>
      </c>
      <c r="P8" s="13">
        <f>O8*(1+CAGR!$C$50)</f>
        <v>1.6509311600063966E-2</v>
      </c>
      <c r="Q8" s="13">
        <f>P8*(1+CAGR!$C$50)</f>
        <v>1.6504063236657429E-2</v>
      </c>
      <c r="R8" s="13">
        <f>Q8*(1+CAGR!$C$50)</f>
        <v>1.6498816541722545E-2</v>
      </c>
      <c r="S8" s="13">
        <f>R8*(1+CAGR!$C$50)</f>
        <v>1.6493571514728904E-2</v>
      </c>
      <c r="T8" s="13">
        <f>S8*(1+CAGR!$C$50)</f>
        <v>1.648832815514626E-2</v>
      </c>
      <c r="U8" s="13">
        <f>T8*(1+CAGR!$C$50)</f>
        <v>1.6483086462444542E-2</v>
      </c>
      <c r="V8" s="13">
        <f>U8*(1+CAGR!$C$50)</f>
        <v>1.6477846436093839E-2</v>
      </c>
      <c r="W8" s="13">
        <f>V8*(1+CAGR!$C$50)</f>
        <v>1.6472608075564416E-2</v>
      </c>
      <c r="X8" s="13">
        <f>W8*(1+CAGR!$C$50)</f>
        <v>1.6467371380326699E-2</v>
      </c>
      <c r="Y8" s="13">
        <f>X8*(1+CAGR!$C$50)</f>
        <v>1.6462136349851289E-2</v>
      </c>
      <c r="Z8" s="13">
        <f>Y8*(1+CAGR!$C$50)</f>
        <v>1.6456902983608954E-2</v>
      </c>
      <c r="AA8" s="13">
        <f>Z8*(1+CAGR!$C$50)</f>
        <v>1.6451671281070626E-2</v>
      </c>
      <c r="AB8" s="13">
        <f>AA8*(1+CAGR!$C$50)</f>
        <v>1.6446441241707407E-2</v>
      </c>
      <c r="AC8" s="13">
        <f>AB8*(1+CAGR!$C$50)</f>
        <v>1.6441212864990572E-2</v>
      </c>
      <c r="AD8" s="13">
        <f>AC8*(1+CAGR!$C$50)</f>
        <v>1.643598615039156E-2</v>
      </c>
      <c r="AE8" s="13">
        <f>AD8*(1+CAGR!$C$50)</f>
        <v>1.6430761097381976E-2</v>
      </c>
      <c r="AF8" s="13">
        <f>AE8*(1+CAGR!$C$50)</f>
        <v>1.6425537705433597E-2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C32" sqref="C32"/>
    </sheetView>
  </sheetViews>
  <sheetFormatPr defaultRowHeight="14.4"/>
  <cols>
    <col min="1" max="1" width="32.77734375" bestFit="1" customWidth="1"/>
    <col min="2" max="32" width="9.218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4">
        <f>IFERROR(INDEX('SYFAFE frgt'!$B$5:$H$5,,MATCH($A2,'SYFAFE frgt'!$B$1:$H$1,0))*(1+INDEX(CAGR!$C$51:$C$57,MATCH($A2,CAGR!$B$51:$B$57,0))),0)</f>
        <v>1.0084146809931577E-3</v>
      </c>
      <c r="C2" s="14">
        <f>IFERROR(B2*(1+INDEX(CAGR!$C$51:$C$57,MATCH($A2,CAGR!$B$44:$B$50,0))),0)</f>
        <v>1.0147436910357458E-3</v>
      </c>
      <c r="D2" s="14">
        <f>IFERROR(C2*(1+INDEX(CAGR!$C$51:$C$57,MATCH($A2,CAGR!$B$44:$B$50,0))),0)</f>
        <v>1.021112423197492E-3</v>
      </c>
      <c r="E2" s="14">
        <f>IFERROR(D2*(1+INDEX(CAGR!$C$51:$C$57,MATCH($A2,CAGR!$B$44:$B$50,0))),0)</f>
        <v>1.0275211267822748E-3</v>
      </c>
      <c r="F2" s="14">
        <f>IFERROR(E2*(1+INDEX(CAGR!$C$51:$C$57,MATCH($A2,CAGR!$B$44:$B$50,0))),0)</f>
        <v>1.033970052658653E-3</v>
      </c>
      <c r="G2" s="14">
        <f>IFERROR(F2*(1+INDEX(CAGR!$C$51:$C$57,MATCH($A2,CAGR!$B$44:$B$50,0))),0)</f>
        <v>1.0404594532696864E-3</v>
      </c>
      <c r="H2" s="14">
        <f>IFERROR(G2*(1+INDEX(CAGR!$C$51:$C$57,MATCH($A2,CAGR!$B$44:$B$50,0))),0)</f>
        <v>1.0469895826428171E-3</v>
      </c>
      <c r="I2" s="14">
        <f>IFERROR(H2*(1+INDEX(CAGR!$C$51:$C$57,MATCH($A2,CAGR!$B$44:$B$50,0))),0)</f>
        <v>1.0535606963998137E-3</v>
      </c>
      <c r="J2" s="14">
        <f>IFERROR(I2*(1+INDEX(CAGR!$C$51:$C$57,MATCH($A2,CAGR!$B$44:$B$50,0))),0)</f>
        <v>1.0601730517667779E-3</v>
      </c>
      <c r="K2" s="14">
        <f>IFERROR(J2*(1+INDEX(CAGR!$C$51:$C$57,MATCH($A2,CAGR!$B$44:$B$50,0))),0)</f>
        <v>1.066826907584213E-3</v>
      </c>
      <c r="L2" s="14">
        <f>IFERROR(K2*(1+INDEX(CAGR!$C$51:$C$57,MATCH($A2,CAGR!$B$44:$B$50,0))),0)</f>
        <v>1.0735225243171565E-3</v>
      </c>
      <c r="M2" s="14">
        <f>IFERROR(L2*(1+INDEX(CAGR!$C$51:$C$57,MATCH($A2,CAGR!$B$44:$B$50,0))),0)</f>
        <v>1.0802601640653763E-3</v>
      </c>
      <c r="N2" s="14">
        <f>IFERROR(M2*(1+INDEX(CAGR!$C$51:$C$57,MATCH($A2,CAGR!$B$44:$B$50,0))),0)</f>
        <v>1.08704009057363E-3</v>
      </c>
      <c r="O2" s="14">
        <f>IFERROR(N2*(1+INDEX(CAGR!$C$51:$C$57,MATCH($A2,CAGR!$B$44:$B$50,0))),0)</f>
        <v>1.0938625692419896E-3</v>
      </c>
      <c r="P2" s="14">
        <f>IFERROR(O2*(1+INDEX(CAGR!$C$51:$C$57,MATCH($A2,CAGR!$B$44:$B$50,0))),0)</f>
        <v>1.1007278671362304E-3</v>
      </c>
      <c r="Q2" s="14">
        <f>IFERROR(P2*(1+INDEX(CAGR!$C$51:$C$57,MATCH($A2,CAGR!$B$44:$B$50,0))),0)</f>
        <v>1.1076362529982852E-3</v>
      </c>
      <c r="R2" s="14">
        <f>IFERROR(Q2*(1+INDEX(CAGR!$C$51:$C$57,MATCH($A2,CAGR!$B$44:$B$50,0))),0)</f>
        <v>1.114587997256765E-3</v>
      </c>
      <c r="S2" s="14">
        <f>IFERROR(R2*(1+INDEX(CAGR!$C$51:$C$57,MATCH($A2,CAGR!$B$44:$B$50,0))),0)</f>
        <v>1.1215833720375433E-3</v>
      </c>
      <c r="T2" s="14">
        <f>IFERROR(S2*(1+INDEX(CAGR!$C$51:$C$57,MATCH($A2,CAGR!$B$44:$B$50,0))),0)</f>
        <v>1.1286226511744103E-3</v>
      </c>
      <c r="U2" s="14">
        <f>IFERROR(T2*(1+INDEX(CAGR!$C$51:$C$57,MATCH($A2,CAGR!$B$44:$B$50,0))),0)</f>
        <v>1.1357061102197905E-3</v>
      </c>
      <c r="V2" s="14">
        <f>IFERROR(U2*(1+INDEX(CAGR!$C$51:$C$57,MATCH($A2,CAGR!$B$44:$B$50,0))),0)</f>
        <v>1.1428340264555306E-3</v>
      </c>
      <c r="W2" s="14">
        <f>IFERROR(V2*(1+INDEX(CAGR!$C$51:$C$57,MATCH($A2,CAGR!$B$44:$B$50,0))),0)</f>
        <v>1.1500066789037525E-3</v>
      </c>
      <c r="X2" s="14">
        <f>IFERROR(W2*(1+INDEX(CAGR!$C$51:$C$57,MATCH($A2,CAGR!$B$44:$B$50,0))),0)</f>
        <v>1.1572243483377765E-3</v>
      </c>
      <c r="Y2" s="14">
        <f>IFERROR(X2*(1+INDEX(CAGR!$C$51:$C$57,MATCH($A2,CAGR!$B$44:$B$50,0))),0)</f>
        <v>1.1644873172931113E-3</v>
      </c>
      <c r="Z2" s="14">
        <f>IFERROR(Y2*(1+INDEX(CAGR!$C$51:$C$57,MATCH($A2,CAGR!$B$44:$B$50,0))),0)</f>
        <v>1.1717958700785151E-3</v>
      </c>
      <c r="AA2" s="14">
        <f>IFERROR(Z2*(1+INDEX(CAGR!$C$51:$C$57,MATCH($A2,CAGR!$B$44:$B$50,0))),0)</f>
        <v>1.1791502927871234E-3</v>
      </c>
      <c r="AB2" s="14">
        <f>IFERROR(AA2*(1+INDEX(CAGR!$C$51:$C$57,MATCH($A2,CAGR!$B$44:$B$50,0))),0)</f>
        <v>1.1865508733076495E-3</v>
      </c>
      <c r="AC2" s="14">
        <f>IFERROR(AB2*(1+INDEX(CAGR!$C$51:$C$57,MATCH($A2,CAGR!$B$44:$B$50,0))),0)</f>
        <v>1.1939979013356526E-3</v>
      </c>
      <c r="AD2" s="14">
        <f>IFERROR(AC2*(1+INDEX(CAGR!$C$51:$C$57,MATCH($A2,CAGR!$B$44:$B$50,0))),0)</f>
        <v>1.2014916683848788E-3</v>
      </c>
      <c r="AE2" s="14">
        <f>IFERROR(AD2*(1+INDEX(CAGR!$C$51:$C$57,MATCH($A2,CAGR!$B$44:$B$50,0))),0)</f>
        <v>1.2090324677986721E-3</v>
      </c>
      <c r="AF2" s="14">
        <f>IFERROR(AE2*(1+INDEX(CAGR!$C$51:$C$57,MATCH($A2,CAGR!$B$44:$B$50,0))),0)</f>
        <v>1.2166205947614576E-3</v>
      </c>
    </row>
    <row r="3" spans="1:32">
      <c r="A3" s="1" t="s">
        <v>1</v>
      </c>
      <c r="B3" s="14">
        <f>IFERROR(INDEX('SYFAFE frgt'!$B$5:$H$5,,MATCH($A3,'SYFAFE frgt'!$B$1:$H$1,0))*(1+INDEX(CAGR!$C$51:$C$57,MATCH($A3,CAGR!$B$51:$B$57,0))),0)</f>
        <v>0</v>
      </c>
      <c r="C3" s="14">
        <f>IFERROR(B3*(1+INDEX(CAGR!$C$51:$C$57,MATCH($A3,CAGR!$B$44:$B$50,0))),0)</f>
        <v>0</v>
      </c>
      <c r="D3" s="14">
        <f>IFERROR(C3*(1+INDEX(CAGR!$C$51:$C$57,MATCH($A3,CAGR!$B$44:$B$50,0))),0)</f>
        <v>0</v>
      </c>
      <c r="E3" s="14">
        <f>IFERROR(D3*(1+INDEX(CAGR!$C$51:$C$57,MATCH($A3,CAGR!$B$44:$B$50,0))),0)</f>
        <v>0</v>
      </c>
      <c r="F3" s="14">
        <f>IFERROR(E3*(1+INDEX(CAGR!$C$51:$C$57,MATCH($A3,CAGR!$B$44:$B$50,0))),0)</f>
        <v>0</v>
      </c>
      <c r="G3" s="14">
        <f>IFERROR(F3*(1+INDEX(CAGR!$C$51:$C$57,MATCH($A3,CAGR!$B$44:$B$50,0))),0)</f>
        <v>0</v>
      </c>
      <c r="H3" s="14">
        <f>IFERROR(G3*(1+INDEX(CAGR!$C$51:$C$57,MATCH($A3,CAGR!$B$44:$B$50,0))),0)</f>
        <v>0</v>
      </c>
      <c r="I3" s="14">
        <f>IFERROR(H3*(1+INDEX(CAGR!$C$51:$C$57,MATCH($A3,CAGR!$B$44:$B$50,0))),0)</f>
        <v>0</v>
      </c>
      <c r="J3" s="14">
        <f>IFERROR(I3*(1+INDEX(CAGR!$C$51:$C$57,MATCH($A3,CAGR!$B$44:$B$50,0))),0)</f>
        <v>0</v>
      </c>
      <c r="K3" s="14">
        <f>IFERROR(J3*(1+INDEX(CAGR!$C$51:$C$57,MATCH($A3,CAGR!$B$44:$B$50,0))),0)</f>
        <v>0</v>
      </c>
      <c r="L3" s="14">
        <f>IFERROR(K3*(1+INDEX(CAGR!$C$51:$C$57,MATCH($A3,CAGR!$B$44:$B$50,0))),0)</f>
        <v>0</v>
      </c>
      <c r="M3" s="14">
        <f>IFERROR(L3*(1+INDEX(CAGR!$C$51:$C$57,MATCH($A3,CAGR!$B$44:$B$50,0))),0)</f>
        <v>0</v>
      </c>
      <c r="N3" s="14">
        <f>IFERROR(M3*(1+INDEX(CAGR!$C$51:$C$57,MATCH($A3,CAGR!$B$44:$B$50,0))),0)</f>
        <v>0</v>
      </c>
      <c r="O3" s="14">
        <f>IFERROR(N3*(1+INDEX(CAGR!$C$51:$C$57,MATCH($A3,CAGR!$B$44:$B$50,0))),0)</f>
        <v>0</v>
      </c>
      <c r="P3" s="14">
        <f>IFERROR(O3*(1+INDEX(CAGR!$C$51:$C$57,MATCH($A3,CAGR!$B$44:$B$50,0))),0)</f>
        <v>0</v>
      </c>
      <c r="Q3" s="14">
        <f>IFERROR(P3*(1+INDEX(CAGR!$C$51:$C$57,MATCH($A3,CAGR!$B$44:$B$50,0))),0)</f>
        <v>0</v>
      </c>
      <c r="R3" s="14">
        <f>IFERROR(Q3*(1+INDEX(CAGR!$C$51:$C$57,MATCH($A3,CAGR!$B$44:$B$50,0))),0)</f>
        <v>0</v>
      </c>
      <c r="S3" s="14">
        <f>IFERROR(R3*(1+INDEX(CAGR!$C$51:$C$57,MATCH($A3,CAGR!$B$44:$B$50,0))),0)</f>
        <v>0</v>
      </c>
      <c r="T3" s="14">
        <f>IFERROR(S3*(1+INDEX(CAGR!$C$51:$C$57,MATCH($A3,CAGR!$B$44:$B$50,0))),0)</f>
        <v>0</v>
      </c>
      <c r="U3" s="14">
        <f>IFERROR(T3*(1+INDEX(CAGR!$C$51:$C$57,MATCH($A3,CAGR!$B$44:$B$50,0))),0)</f>
        <v>0</v>
      </c>
      <c r="V3" s="14">
        <f>IFERROR(U3*(1+INDEX(CAGR!$C$51:$C$57,MATCH($A3,CAGR!$B$44:$B$50,0))),0)</f>
        <v>0</v>
      </c>
      <c r="W3" s="14">
        <f>IFERROR(V3*(1+INDEX(CAGR!$C$51:$C$57,MATCH($A3,CAGR!$B$44:$B$50,0))),0)</f>
        <v>0</v>
      </c>
      <c r="X3" s="14">
        <f>IFERROR(W3*(1+INDEX(CAGR!$C$51:$C$57,MATCH($A3,CAGR!$B$44:$B$50,0))),0)</f>
        <v>0</v>
      </c>
      <c r="Y3" s="14">
        <f>IFERROR(X3*(1+INDEX(CAGR!$C$51:$C$57,MATCH($A3,CAGR!$B$44:$B$50,0))),0)</f>
        <v>0</v>
      </c>
      <c r="Z3" s="14">
        <f>IFERROR(Y3*(1+INDEX(CAGR!$C$51:$C$57,MATCH($A3,CAGR!$B$44:$B$50,0))),0)</f>
        <v>0</v>
      </c>
      <c r="AA3" s="14">
        <f>IFERROR(Z3*(1+INDEX(CAGR!$C$51:$C$57,MATCH($A3,CAGR!$B$44:$B$50,0))),0)</f>
        <v>0</v>
      </c>
      <c r="AB3" s="14">
        <f>IFERROR(AA3*(1+INDEX(CAGR!$C$51:$C$57,MATCH($A3,CAGR!$B$44:$B$50,0))),0)</f>
        <v>0</v>
      </c>
      <c r="AC3" s="14">
        <f>IFERROR(AB3*(1+INDEX(CAGR!$C$51:$C$57,MATCH($A3,CAGR!$B$44:$B$50,0))),0)</f>
        <v>0</v>
      </c>
      <c r="AD3" s="14">
        <f>IFERROR(AC3*(1+INDEX(CAGR!$C$51:$C$57,MATCH($A3,CAGR!$B$44:$B$50,0))),0)</f>
        <v>0</v>
      </c>
      <c r="AE3" s="14">
        <f>IFERROR(AD3*(1+INDEX(CAGR!$C$51:$C$57,MATCH($A3,CAGR!$B$44:$B$50,0))),0)</f>
        <v>0</v>
      </c>
      <c r="AF3" s="14">
        <f>IFERROR(AE3*(1+INDEX(CAGR!$C$51:$C$57,MATCH($A3,CAGR!$B$44:$B$50,0))),0)</f>
        <v>0</v>
      </c>
    </row>
    <row r="4" spans="1:32">
      <c r="A4" s="1" t="s">
        <v>2</v>
      </c>
      <c r="B4" s="14">
        <f>IFERROR(INDEX('SYFAFE frgt'!$B$5:$H$5,,MATCH($A4,'SYFAFE frgt'!$B$1:$H$1,0))*(1+INDEX(CAGR!$C$51:$C$57,MATCH($A4,CAGR!$B$51:$B$57,0))),0)</f>
        <v>0</v>
      </c>
      <c r="C4" s="14">
        <f>IFERROR(B4*(1+INDEX(CAGR!$C$51:$C$57,MATCH($A4,CAGR!$B$44:$B$50,0))),0)</f>
        <v>0</v>
      </c>
      <c r="D4" s="14">
        <f>IFERROR(C4*(1+INDEX(CAGR!$C$51:$C$57,MATCH($A4,CAGR!$B$44:$B$50,0))),0)</f>
        <v>0</v>
      </c>
      <c r="E4" s="14">
        <f>IFERROR(D4*(1+INDEX(CAGR!$C$51:$C$57,MATCH($A4,CAGR!$B$44:$B$50,0))),0)</f>
        <v>0</v>
      </c>
      <c r="F4" s="14">
        <f>IFERROR(E4*(1+INDEX(CAGR!$C$51:$C$57,MATCH($A4,CAGR!$B$44:$B$50,0))),0)</f>
        <v>0</v>
      </c>
      <c r="G4" s="14">
        <f>IFERROR(F4*(1+INDEX(CAGR!$C$51:$C$57,MATCH($A4,CAGR!$B$44:$B$50,0))),0)</f>
        <v>0</v>
      </c>
      <c r="H4" s="14">
        <f>IFERROR(G4*(1+INDEX(CAGR!$C$51:$C$57,MATCH($A4,CAGR!$B$44:$B$50,0))),0)</f>
        <v>0</v>
      </c>
      <c r="I4" s="14">
        <f>IFERROR(H4*(1+INDEX(CAGR!$C$51:$C$57,MATCH($A4,CAGR!$B$44:$B$50,0))),0)</f>
        <v>0</v>
      </c>
      <c r="J4" s="14">
        <f>IFERROR(I4*(1+INDEX(CAGR!$C$51:$C$57,MATCH($A4,CAGR!$B$44:$B$50,0))),0)</f>
        <v>0</v>
      </c>
      <c r="K4" s="14">
        <f>IFERROR(J4*(1+INDEX(CAGR!$C$51:$C$57,MATCH($A4,CAGR!$B$44:$B$50,0))),0)</f>
        <v>0</v>
      </c>
      <c r="L4" s="14">
        <f>IFERROR(K4*(1+INDEX(CAGR!$C$51:$C$57,MATCH($A4,CAGR!$B$44:$B$50,0))),0)</f>
        <v>0</v>
      </c>
      <c r="M4" s="14">
        <f>IFERROR(L4*(1+INDEX(CAGR!$C$51:$C$57,MATCH($A4,CAGR!$B$44:$B$50,0))),0)</f>
        <v>0</v>
      </c>
      <c r="N4" s="14">
        <f>IFERROR(M4*(1+INDEX(CAGR!$C$51:$C$57,MATCH($A4,CAGR!$B$44:$B$50,0))),0)</f>
        <v>0</v>
      </c>
      <c r="O4" s="14">
        <f>IFERROR(N4*(1+INDEX(CAGR!$C$51:$C$57,MATCH($A4,CAGR!$B$44:$B$50,0))),0)</f>
        <v>0</v>
      </c>
      <c r="P4" s="14">
        <f>IFERROR(O4*(1+INDEX(CAGR!$C$51:$C$57,MATCH($A4,CAGR!$B$44:$B$50,0))),0)</f>
        <v>0</v>
      </c>
      <c r="Q4" s="14">
        <f>IFERROR(P4*(1+INDEX(CAGR!$C$51:$C$57,MATCH($A4,CAGR!$B$44:$B$50,0))),0)</f>
        <v>0</v>
      </c>
      <c r="R4" s="14">
        <f>IFERROR(Q4*(1+INDEX(CAGR!$C$51:$C$57,MATCH($A4,CAGR!$B$44:$B$50,0))),0)</f>
        <v>0</v>
      </c>
      <c r="S4" s="14">
        <f>IFERROR(R4*(1+INDEX(CAGR!$C$51:$C$57,MATCH($A4,CAGR!$B$44:$B$50,0))),0)</f>
        <v>0</v>
      </c>
      <c r="T4" s="14">
        <f>IFERROR(S4*(1+INDEX(CAGR!$C$51:$C$57,MATCH($A4,CAGR!$B$44:$B$50,0))),0)</f>
        <v>0</v>
      </c>
      <c r="U4" s="14">
        <f>IFERROR(T4*(1+INDEX(CAGR!$C$51:$C$57,MATCH($A4,CAGR!$B$44:$B$50,0))),0)</f>
        <v>0</v>
      </c>
      <c r="V4" s="14">
        <f>IFERROR(U4*(1+INDEX(CAGR!$C$51:$C$57,MATCH($A4,CAGR!$B$44:$B$50,0))),0)</f>
        <v>0</v>
      </c>
      <c r="W4" s="14">
        <f>IFERROR(V4*(1+INDEX(CAGR!$C$51:$C$57,MATCH($A4,CAGR!$B$44:$B$50,0))),0)</f>
        <v>0</v>
      </c>
      <c r="X4" s="14">
        <f>IFERROR(W4*(1+INDEX(CAGR!$C$51:$C$57,MATCH($A4,CAGR!$B$44:$B$50,0))),0)</f>
        <v>0</v>
      </c>
      <c r="Y4" s="14">
        <f>IFERROR(X4*(1+INDEX(CAGR!$C$51:$C$57,MATCH($A4,CAGR!$B$44:$B$50,0))),0)</f>
        <v>0</v>
      </c>
      <c r="Z4" s="14">
        <f>IFERROR(Y4*(1+INDEX(CAGR!$C$51:$C$57,MATCH($A4,CAGR!$B$44:$B$50,0))),0)</f>
        <v>0</v>
      </c>
      <c r="AA4" s="14">
        <f>IFERROR(Z4*(1+INDEX(CAGR!$C$51:$C$57,MATCH($A4,CAGR!$B$44:$B$50,0))),0)</f>
        <v>0</v>
      </c>
      <c r="AB4" s="14">
        <f>IFERROR(AA4*(1+INDEX(CAGR!$C$51:$C$57,MATCH($A4,CAGR!$B$44:$B$50,0))),0)</f>
        <v>0</v>
      </c>
      <c r="AC4" s="14">
        <f>IFERROR(AB4*(1+INDEX(CAGR!$C$51:$C$57,MATCH($A4,CAGR!$B$44:$B$50,0))),0)</f>
        <v>0</v>
      </c>
      <c r="AD4" s="14">
        <f>IFERROR(AC4*(1+INDEX(CAGR!$C$51:$C$57,MATCH($A4,CAGR!$B$44:$B$50,0))),0)</f>
        <v>0</v>
      </c>
      <c r="AE4" s="14">
        <f>IFERROR(AD4*(1+INDEX(CAGR!$C$51:$C$57,MATCH($A4,CAGR!$B$44:$B$50,0))),0)</f>
        <v>0</v>
      </c>
      <c r="AF4" s="14">
        <f>IFERROR(AE4*(1+INDEX(CAGR!$C$51:$C$57,MATCH($A4,CAGR!$B$44:$B$50,0))),0)</f>
        <v>0</v>
      </c>
    </row>
    <row r="5" spans="1:32">
      <c r="A5" s="1" t="s">
        <v>3</v>
      </c>
      <c r="B5" s="14">
        <f>IFERROR(INDEX('SYFAFE frgt'!$B$5:$H$5,,MATCH($A5,'SYFAFE frgt'!$B$1:$H$1,0))*(1+INDEX(CAGR!$C$51:$C$57,MATCH($A5,CAGR!$B$51:$B$57,0))),0)</f>
        <v>1.6209751680771489E-2</v>
      </c>
      <c r="C5" s="14">
        <f>IFERROR(B5*(1+INDEX(CAGR!$C$51:$C$57,MATCH($A5,CAGR!$B$44:$B$50,0))),0)</f>
        <v>1.631148728925591E-2</v>
      </c>
      <c r="D5" s="14">
        <f>IFERROR(C5*(1+INDEX(CAGR!$C$51:$C$57,MATCH($A5,CAGR!$B$44:$B$50,0))),0)</f>
        <v>1.6413861410546543E-2</v>
      </c>
      <c r="E5" s="14">
        <f>IFERROR(D5*(1+INDEX(CAGR!$C$51:$C$57,MATCH($A5,CAGR!$B$44:$B$50,0))),0)</f>
        <v>1.6516878052076085E-2</v>
      </c>
      <c r="F5" s="14">
        <f>IFERROR(E5*(1+INDEX(CAGR!$C$51:$C$57,MATCH($A5,CAGR!$B$44:$B$50,0))),0)</f>
        <v>1.6620541246428668E-2</v>
      </c>
      <c r="G5" s="14">
        <f>IFERROR(F5*(1+INDEX(CAGR!$C$51:$C$57,MATCH($A5,CAGR!$B$44:$B$50,0))),0)</f>
        <v>1.6724855051497726E-2</v>
      </c>
      <c r="H5" s="14">
        <f>IFERROR(G5*(1+INDEX(CAGR!$C$51:$C$57,MATCH($A5,CAGR!$B$44:$B$50,0))),0)</f>
        <v>1.6829823550644833E-2</v>
      </c>
      <c r="I5" s="14">
        <f>IFERROR(H5*(1+INDEX(CAGR!$C$51:$C$57,MATCH($A5,CAGR!$B$44:$B$50,0))),0)</f>
        <v>1.6935450852859545E-2</v>
      </c>
      <c r="J5" s="14">
        <f>IFERROR(I5*(1+INDEX(CAGR!$C$51:$C$57,MATCH($A5,CAGR!$B$44:$B$50,0))),0)</f>
        <v>1.7041741092920254E-2</v>
      </c>
      <c r="K5" s="14">
        <f>IFERROR(J5*(1+INDEX(CAGR!$C$51:$C$57,MATCH($A5,CAGR!$B$44:$B$50,0))),0)</f>
        <v>1.7148698431556034E-2</v>
      </c>
      <c r="L5" s="14">
        <f>IFERROR(K5*(1+INDEX(CAGR!$C$51:$C$57,MATCH($A5,CAGR!$B$44:$B$50,0))),0)</f>
        <v>1.7256327055609526E-2</v>
      </c>
      <c r="M5" s="14">
        <f>IFERROR(L5*(1+INDEX(CAGR!$C$51:$C$57,MATCH($A5,CAGR!$B$44:$B$50,0))),0)</f>
        <v>1.7364631178200814E-2</v>
      </c>
      <c r="N5" s="14">
        <f>IFERROR(M5*(1+INDEX(CAGR!$C$51:$C$57,MATCH($A5,CAGR!$B$44:$B$50,0))),0)</f>
        <v>1.7473615038892363E-2</v>
      </c>
      <c r="O5" s="14">
        <f>IFERROR(N5*(1+INDEX(CAGR!$C$51:$C$57,MATCH($A5,CAGR!$B$44:$B$50,0))),0)</f>
        <v>1.7583282903854969E-2</v>
      </c>
      <c r="P5" s="14">
        <f>IFERROR(O5*(1+INDEX(CAGR!$C$51:$C$57,MATCH($A5,CAGR!$B$44:$B$50,0))),0)</f>
        <v>1.7693639066034762E-2</v>
      </c>
      <c r="Q5" s="14">
        <f>IFERROR(P5*(1+INDEX(CAGR!$C$51:$C$57,MATCH($A5,CAGR!$B$44:$B$50,0))),0)</f>
        <v>1.780468784532125E-2</v>
      </c>
      <c r="R5" s="14">
        <f>IFERROR(Q5*(1+INDEX(CAGR!$C$51:$C$57,MATCH($A5,CAGR!$B$44:$B$50,0))),0)</f>
        <v>1.7916433588716422E-2</v>
      </c>
      <c r="S5" s="14">
        <f>IFERROR(R5*(1+INDEX(CAGR!$C$51:$C$57,MATCH($A5,CAGR!$B$44:$B$50,0))),0)</f>
        <v>1.8028880670504909E-2</v>
      </c>
      <c r="T5" s="14">
        <f>IFERROR(S5*(1+INDEX(CAGR!$C$51:$C$57,MATCH($A5,CAGR!$B$44:$B$50,0))),0)</f>
        <v>1.8142033492425224E-2</v>
      </c>
      <c r="U5" s="14">
        <f>IFERROR(T5*(1+INDEX(CAGR!$C$51:$C$57,MATCH($A5,CAGR!$B$44:$B$50,0))),0)</f>
        <v>1.8255896483842054E-2</v>
      </c>
      <c r="V5" s="14">
        <f>IFERROR(U5*(1+INDEX(CAGR!$C$51:$C$57,MATCH($A5,CAGR!$B$44:$B$50,0))),0)</f>
        <v>1.8370474101919661E-2</v>
      </c>
      <c r="W5" s="14">
        <f>IFERROR(V5*(1+INDEX(CAGR!$C$51:$C$57,MATCH($A5,CAGR!$B$44:$B$50,0))),0)</f>
        <v>1.8485770831796349E-2</v>
      </c>
      <c r="X5" s="14">
        <f>IFERROR(W5*(1+INDEX(CAGR!$C$51:$C$57,MATCH($A5,CAGR!$B$44:$B$50,0))),0)</f>
        <v>1.8601791186760037E-2</v>
      </c>
      <c r="Y5" s="14">
        <f>IFERROR(X5*(1+INDEX(CAGR!$C$51:$C$57,MATCH($A5,CAGR!$B$44:$B$50,0))),0)</f>
        <v>1.8718539708424936E-2</v>
      </c>
      <c r="Z5" s="14">
        <f>IFERROR(Y5*(1+INDEX(CAGR!$C$51:$C$57,MATCH($A5,CAGR!$B$44:$B$50,0))),0)</f>
        <v>1.8836020966909322E-2</v>
      </c>
      <c r="AA5" s="14">
        <f>IFERROR(Z5*(1+INDEX(CAGR!$C$51:$C$57,MATCH($A5,CAGR!$B$44:$B$50,0))),0)</f>
        <v>1.8954239561014437E-2</v>
      </c>
      <c r="AB5" s="14">
        <f>IFERROR(AA5*(1+INDEX(CAGR!$C$51:$C$57,MATCH($A5,CAGR!$B$44:$B$50,0))),0)</f>
        <v>1.9073200118404514E-2</v>
      </c>
      <c r="AC5" s="14">
        <f>IFERROR(AB5*(1+INDEX(CAGR!$C$51:$C$57,MATCH($A5,CAGR!$B$44:$B$50,0))),0)</f>
        <v>1.9192907295787917E-2</v>
      </c>
      <c r="AD5" s="14">
        <f>IFERROR(AC5*(1+INDEX(CAGR!$C$51:$C$57,MATCH($A5,CAGR!$B$44:$B$50,0))),0)</f>
        <v>1.9313365779099437E-2</v>
      </c>
      <c r="AE5" s="14">
        <f>IFERROR(AD5*(1+INDEX(CAGR!$C$51:$C$57,MATCH($A5,CAGR!$B$44:$B$50,0))),0)</f>
        <v>1.9434580283683715E-2</v>
      </c>
      <c r="AF5" s="14">
        <f>IFERROR(AE5*(1+INDEX(CAGR!$C$51:$C$57,MATCH($A5,CAGR!$B$44:$B$50,0))),0)</f>
        <v>1.955655555447983E-2</v>
      </c>
    </row>
    <row r="6" spans="1:32">
      <c r="A6" s="1" t="s">
        <v>4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5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6</v>
      </c>
      <c r="B8" s="13">
        <f>B5*Calibration!$D$38</f>
        <v>4.8629255042314461E-2</v>
      </c>
      <c r="C8" s="13">
        <f>B8*(1+CAGR!$C$57)</f>
        <v>4.8934461867767724E-2</v>
      </c>
      <c r="D8" s="13">
        <f>C8*(1+CAGR!$C$57)</f>
        <v>4.9241584231639622E-2</v>
      </c>
      <c r="E8" s="13">
        <f>D8*(1+CAGR!$C$57)</f>
        <v>4.9550634156228249E-2</v>
      </c>
      <c r="F8" s="13">
        <f>E8*(1+CAGR!$C$57)</f>
        <v>4.9861623739286001E-2</v>
      </c>
      <c r="G8" s="13">
        <f>F8*(1+CAGR!$C$57)</f>
        <v>5.0174565154493179E-2</v>
      </c>
      <c r="H8" s="13">
        <f>G8*(1+CAGR!$C$57)</f>
        <v>5.0489470651934501E-2</v>
      </c>
      <c r="I8" s="13">
        <f>H8*(1+CAGR!$C$57)</f>
        <v>5.0806352558578641E-2</v>
      </c>
      <c r="J8" s="13">
        <f>I8*(1+CAGR!$C$57)</f>
        <v>5.1125223278760769E-2</v>
      </c>
      <c r="K8" s="13">
        <f>J8*(1+CAGR!$C$57)</f>
        <v>5.1446095294668114E-2</v>
      </c>
      <c r="L8" s="13">
        <f>K8*(1+CAGR!$C$57)</f>
        <v>5.1768981166828584E-2</v>
      </c>
      <c r="M8" s="13">
        <f>L8*(1+CAGR!$C$57)</f>
        <v>5.2093893534602448E-2</v>
      </c>
      <c r="N8" s="13">
        <f>M8*(1+CAGR!$C$57)</f>
        <v>5.2420845116677099E-2</v>
      </c>
      <c r="O8" s="13">
        <f>N8*(1+CAGR!$C$57)</f>
        <v>5.274984871156492E-2</v>
      </c>
      <c r="P8" s="13">
        <f>O8*(1+CAGR!$C$57)</f>
        <v>5.3080917198104302E-2</v>
      </c>
      <c r="Q8" s="13">
        <f>P8*(1+CAGR!$C$57)</f>
        <v>5.3414063535963764E-2</v>
      </c>
      <c r="R8" s="13">
        <f>Q8*(1+CAGR!$C$57)</f>
        <v>5.3749300766149276E-2</v>
      </c>
      <c r="S8" s="13">
        <f>R8*(1+CAGR!$C$57)</f>
        <v>5.4086642011514738E-2</v>
      </c>
      <c r="T8" s="13">
        <f>S8*(1+CAGR!$C$57)</f>
        <v>5.4426100477275675E-2</v>
      </c>
      <c r="U8" s="13">
        <f>T8*(1+CAGR!$C$57)</f>
        <v>5.4767689451526165E-2</v>
      </c>
      <c r="V8" s="13">
        <f>U8*(1+CAGR!$C$57)</f>
        <v>5.5111422305758988E-2</v>
      </c>
      <c r="W8" s="13">
        <f>V8*(1+CAGR!$C$57)</f>
        <v>5.5457312495389051E-2</v>
      </c>
      <c r="X8" s="13">
        <f>W8*(1+CAGR!$C$57)</f>
        <v>5.5805373560280119E-2</v>
      </c>
      <c r="Y8" s="13">
        <f>X8*(1+CAGR!$C$57)</f>
        <v>5.6155619125274815E-2</v>
      </c>
      <c r="Z8" s="13">
        <f>Y8*(1+CAGR!$C$57)</f>
        <v>5.6508062900727969E-2</v>
      </c>
      <c r="AA8" s="13">
        <f>Z8*(1+CAGR!$C$57)</f>
        <v>5.6862718683043316E-2</v>
      </c>
      <c r="AB8" s="13">
        <f>AA8*(1+CAGR!$C$57)</f>
        <v>5.7219600355213542E-2</v>
      </c>
      <c r="AC8" s="13">
        <f>AB8*(1+CAGR!$C$57)</f>
        <v>5.7578721887363751E-2</v>
      </c>
      <c r="AD8" s="13">
        <f>AC8*(1+CAGR!$C$57)</f>
        <v>5.7940097337298303E-2</v>
      </c>
      <c r="AE8" s="13">
        <f>AD8*(1+CAGR!$C$57)</f>
        <v>5.8303740851051139E-2</v>
      </c>
      <c r="AF8" s="13">
        <f>AE8*(1+CAGR!$C$57)</f>
        <v>5.8669666663439486E-2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B5*Calibration!$B$43</f>
        <v>3.2293482418666772E-5</v>
      </c>
      <c r="C2" s="13">
        <f>B2*(1+CAGR!$C$58)</f>
        <v>3.2293482418666772E-5</v>
      </c>
      <c r="D2" s="13">
        <f>C2*(1+CAGR!$C$58)</f>
        <v>3.2293482418666772E-5</v>
      </c>
      <c r="E2" s="13">
        <f>D2*(1+CAGR!$C$58)</f>
        <v>3.2293482418666772E-5</v>
      </c>
      <c r="F2" s="13">
        <f>E2*(1+CAGR!$C$58)</f>
        <v>3.2293482418666772E-5</v>
      </c>
      <c r="G2" s="13">
        <f>F2*(1+CAGR!$C$58)</f>
        <v>3.2293482418666772E-5</v>
      </c>
      <c r="H2" s="13">
        <f>G2*(1+CAGR!$C$58)</f>
        <v>3.2293482418666772E-5</v>
      </c>
      <c r="I2" s="13">
        <f>H2*(1+CAGR!$C$58)</f>
        <v>3.2293482418666772E-5</v>
      </c>
      <c r="J2" s="13">
        <f>I2*(1+CAGR!$C$58)</f>
        <v>3.2293482418666772E-5</v>
      </c>
      <c r="K2" s="13">
        <f>J2*(1+CAGR!$C$58)</f>
        <v>3.2293482418666772E-5</v>
      </c>
      <c r="L2" s="13">
        <f>K2*(1+CAGR!$C$58)</f>
        <v>3.2293482418666772E-5</v>
      </c>
      <c r="M2" s="13">
        <f>L2*(1+CAGR!$C$58)</f>
        <v>3.2293482418666772E-5</v>
      </c>
      <c r="N2" s="13">
        <f>M2*(1+CAGR!$C$58)</f>
        <v>3.2293482418666772E-5</v>
      </c>
      <c r="O2" s="13">
        <f>N2*(1+CAGR!$C$58)</f>
        <v>3.2293482418666772E-5</v>
      </c>
      <c r="P2" s="13">
        <f>O2*(1+CAGR!$C$58)</f>
        <v>3.2293482418666772E-5</v>
      </c>
      <c r="Q2" s="13">
        <f>P2*(1+CAGR!$C$58)</f>
        <v>3.2293482418666772E-5</v>
      </c>
      <c r="R2" s="13">
        <f>Q2*(1+CAGR!$C$58)</f>
        <v>3.2293482418666772E-5</v>
      </c>
      <c r="S2" s="13">
        <f>R2*(1+CAGR!$C$58)</f>
        <v>3.2293482418666772E-5</v>
      </c>
      <c r="T2" s="13">
        <f>S2*(1+CAGR!$C$58)</f>
        <v>3.2293482418666772E-5</v>
      </c>
      <c r="U2" s="13">
        <f>T2*(1+CAGR!$C$58)</f>
        <v>3.2293482418666772E-5</v>
      </c>
      <c r="V2" s="13">
        <f>U2*(1+CAGR!$C$58)</f>
        <v>3.2293482418666772E-5</v>
      </c>
      <c r="W2" s="13">
        <f>V2*(1+CAGR!$C$58)</f>
        <v>3.2293482418666772E-5</v>
      </c>
      <c r="X2" s="13">
        <f>W2*(1+CAGR!$C$58)</f>
        <v>3.2293482418666772E-5</v>
      </c>
      <c r="Y2" s="13">
        <f>X2*(1+CAGR!$C$58)</f>
        <v>3.2293482418666772E-5</v>
      </c>
      <c r="Z2" s="13">
        <f>Y2*(1+CAGR!$C$58)</f>
        <v>3.2293482418666772E-5</v>
      </c>
      <c r="AA2" s="13">
        <f>Z2*(1+CAGR!$C$58)</f>
        <v>3.2293482418666772E-5</v>
      </c>
      <c r="AB2" s="13">
        <f>AA2*(1+CAGR!$C$58)</f>
        <v>3.2293482418666772E-5</v>
      </c>
      <c r="AC2" s="13">
        <f>AB2*(1+CAGR!$C$58)</f>
        <v>3.2293482418666772E-5</v>
      </c>
      <c r="AD2" s="13">
        <f>AC2*(1+CAGR!$C$58)</f>
        <v>3.2293482418666772E-5</v>
      </c>
      <c r="AE2" s="13">
        <f>AD2*(1+CAGR!$C$58)</f>
        <v>3.2293482418666772E-5</v>
      </c>
      <c r="AF2" s="13">
        <f>AE2*(1+CAGR!$C$58)</f>
        <v>3.2293482418666772E-5</v>
      </c>
    </row>
    <row r="3" spans="1:32">
      <c r="A3" s="1" t="s">
        <v>1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2</v>
      </c>
      <c r="B4">
        <f>IFERROR(INDEX('SYFAFE psgr'!$B$6:$H$6,,MATCH($A4,'SYFAFE psgr'!$B$1:$H$1,0))*(1+INDEX(CAGR!$C$58:$C$64,MATCH($A4,CAGR!$B$58:$B$64,0))),0)</f>
        <v>1.0049397002369564E-5</v>
      </c>
      <c r="C4">
        <f>IFERROR(INDEX('SYFAFE psgr'!$B$6:$H$6,,MATCH($A4,'SYFAFE psgr'!$B$1:$H$1,0))*(1+INDEX(CAGR!$C$58:$C$64,MATCH($A4,CAGR!$B$58:$B$64,0))),0)</f>
        <v>1.0049397002369564E-5</v>
      </c>
      <c r="D4">
        <f>IFERROR(INDEX('SYFAFE psgr'!$B$6:$H$6,,MATCH($A4,'SYFAFE psgr'!$B$1:$H$1,0))*(1+INDEX(CAGR!$C$58:$C$64,MATCH($A4,CAGR!$B$58:$B$64,0))),0)</f>
        <v>1.0049397002369564E-5</v>
      </c>
      <c r="E4">
        <f>IFERROR(INDEX('SYFAFE psgr'!$B$6:$H$6,,MATCH($A4,'SYFAFE psgr'!$B$1:$H$1,0))*(1+INDEX(CAGR!$C$58:$C$64,MATCH($A4,CAGR!$B$58:$B$64,0))),0)</f>
        <v>1.0049397002369564E-5</v>
      </c>
      <c r="F4">
        <f>IFERROR(INDEX('SYFAFE psgr'!$B$6:$H$6,,MATCH($A4,'SYFAFE psgr'!$B$1:$H$1,0))*(1+INDEX(CAGR!$C$58:$C$64,MATCH($A4,CAGR!$B$58:$B$64,0))),0)</f>
        <v>1.0049397002369564E-5</v>
      </c>
      <c r="G4">
        <f>IFERROR(INDEX('SYFAFE psgr'!$B$6:$H$6,,MATCH($A4,'SYFAFE psgr'!$B$1:$H$1,0))*(1+INDEX(CAGR!$C$58:$C$64,MATCH($A4,CAGR!$B$58:$B$64,0))),0)</f>
        <v>1.0049397002369564E-5</v>
      </c>
      <c r="H4">
        <f>IFERROR(INDEX('SYFAFE psgr'!$B$6:$H$6,,MATCH($A4,'SYFAFE psgr'!$B$1:$H$1,0))*(1+INDEX(CAGR!$C$58:$C$64,MATCH($A4,CAGR!$B$58:$B$64,0))),0)</f>
        <v>1.0049397002369564E-5</v>
      </c>
      <c r="I4">
        <f>IFERROR(INDEX('SYFAFE psgr'!$B$6:$H$6,,MATCH($A4,'SYFAFE psgr'!$B$1:$H$1,0))*(1+INDEX(CAGR!$C$58:$C$64,MATCH($A4,CAGR!$B$58:$B$64,0))),0)</f>
        <v>1.0049397002369564E-5</v>
      </c>
      <c r="J4">
        <f>IFERROR(INDEX('SYFAFE psgr'!$B$6:$H$6,,MATCH($A4,'SYFAFE psgr'!$B$1:$H$1,0))*(1+INDEX(CAGR!$C$58:$C$64,MATCH($A4,CAGR!$B$58:$B$64,0))),0)</f>
        <v>1.0049397002369564E-5</v>
      </c>
      <c r="K4">
        <f>IFERROR(INDEX('SYFAFE psgr'!$B$6:$H$6,,MATCH($A4,'SYFAFE psgr'!$B$1:$H$1,0))*(1+INDEX(CAGR!$C$58:$C$64,MATCH($A4,CAGR!$B$58:$B$64,0))),0)</f>
        <v>1.0049397002369564E-5</v>
      </c>
      <c r="L4">
        <f>IFERROR(INDEX('SYFAFE psgr'!$B$6:$H$6,,MATCH($A4,'SYFAFE psgr'!$B$1:$H$1,0))*(1+INDEX(CAGR!$C$58:$C$64,MATCH($A4,CAGR!$B$58:$B$64,0))),0)</f>
        <v>1.0049397002369564E-5</v>
      </c>
      <c r="M4">
        <f>IFERROR(INDEX('SYFAFE psgr'!$B$6:$H$6,,MATCH($A4,'SYFAFE psgr'!$B$1:$H$1,0))*(1+INDEX(CAGR!$C$58:$C$64,MATCH($A4,CAGR!$B$58:$B$64,0))),0)</f>
        <v>1.0049397002369564E-5</v>
      </c>
      <c r="N4">
        <f>IFERROR(INDEX('SYFAFE psgr'!$B$6:$H$6,,MATCH($A4,'SYFAFE psgr'!$B$1:$H$1,0))*(1+INDEX(CAGR!$C$58:$C$64,MATCH($A4,CAGR!$B$58:$B$64,0))),0)</f>
        <v>1.0049397002369564E-5</v>
      </c>
      <c r="O4">
        <f>IFERROR(INDEX('SYFAFE psgr'!$B$6:$H$6,,MATCH($A4,'SYFAFE psgr'!$B$1:$H$1,0))*(1+INDEX(CAGR!$C$58:$C$64,MATCH($A4,CAGR!$B$58:$B$64,0))),0)</f>
        <v>1.0049397002369564E-5</v>
      </c>
      <c r="P4">
        <f>IFERROR(INDEX('SYFAFE psgr'!$B$6:$H$6,,MATCH($A4,'SYFAFE psgr'!$B$1:$H$1,0))*(1+INDEX(CAGR!$C$58:$C$64,MATCH($A4,CAGR!$B$58:$B$64,0))),0)</f>
        <v>1.0049397002369564E-5</v>
      </c>
      <c r="Q4">
        <f>IFERROR(INDEX('SYFAFE psgr'!$B$6:$H$6,,MATCH($A4,'SYFAFE psgr'!$B$1:$H$1,0))*(1+INDEX(CAGR!$C$58:$C$64,MATCH($A4,CAGR!$B$58:$B$64,0))),0)</f>
        <v>1.0049397002369564E-5</v>
      </c>
      <c r="R4">
        <f>IFERROR(INDEX('SYFAFE psgr'!$B$6:$H$6,,MATCH($A4,'SYFAFE psgr'!$B$1:$H$1,0))*(1+INDEX(CAGR!$C$58:$C$64,MATCH($A4,CAGR!$B$58:$B$64,0))),0)</f>
        <v>1.0049397002369564E-5</v>
      </c>
      <c r="S4">
        <f>IFERROR(INDEX('SYFAFE psgr'!$B$6:$H$6,,MATCH($A4,'SYFAFE psgr'!$B$1:$H$1,0))*(1+INDEX(CAGR!$C$58:$C$64,MATCH($A4,CAGR!$B$58:$B$64,0))),0)</f>
        <v>1.0049397002369564E-5</v>
      </c>
      <c r="T4">
        <f>IFERROR(INDEX('SYFAFE psgr'!$B$6:$H$6,,MATCH($A4,'SYFAFE psgr'!$B$1:$H$1,0))*(1+INDEX(CAGR!$C$58:$C$64,MATCH($A4,CAGR!$B$58:$B$64,0))),0)</f>
        <v>1.0049397002369564E-5</v>
      </c>
      <c r="U4">
        <f>IFERROR(INDEX('SYFAFE psgr'!$B$6:$H$6,,MATCH($A4,'SYFAFE psgr'!$B$1:$H$1,0))*(1+INDEX(CAGR!$C$58:$C$64,MATCH($A4,CAGR!$B$58:$B$64,0))),0)</f>
        <v>1.0049397002369564E-5</v>
      </c>
      <c r="V4">
        <f>IFERROR(INDEX('SYFAFE psgr'!$B$6:$H$6,,MATCH($A4,'SYFAFE psgr'!$B$1:$H$1,0))*(1+INDEX(CAGR!$C$58:$C$64,MATCH($A4,CAGR!$B$58:$B$64,0))),0)</f>
        <v>1.0049397002369564E-5</v>
      </c>
      <c r="W4">
        <f>IFERROR(INDEX('SYFAFE psgr'!$B$6:$H$6,,MATCH($A4,'SYFAFE psgr'!$B$1:$H$1,0))*(1+INDEX(CAGR!$C$58:$C$64,MATCH($A4,CAGR!$B$58:$B$64,0))),0)</f>
        <v>1.0049397002369564E-5</v>
      </c>
      <c r="X4">
        <f>IFERROR(INDEX('SYFAFE psgr'!$B$6:$H$6,,MATCH($A4,'SYFAFE psgr'!$B$1:$H$1,0))*(1+INDEX(CAGR!$C$58:$C$64,MATCH($A4,CAGR!$B$58:$B$64,0))),0)</f>
        <v>1.0049397002369564E-5</v>
      </c>
      <c r="Y4">
        <f>IFERROR(INDEX('SYFAFE psgr'!$B$6:$H$6,,MATCH($A4,'SYFAFE psgr'!$B$1:$H$1,0))*(1+INDEX(CAGR!$C$58:$C$64,MATCH($A4,CAGR!$B$58:$B$64,0))),0)</f>
        <v>1.0049397002369564E-5</v>
      </c>
      <c r="Z4">
        <f>IFERROR(INDEX('SYFAFE psgr'!$B$6:$H$6,,MATCH($A4,'SYFAFE psgr'!$B$1:$H$1,0))*(1+INDEX(CAGR!$C$58:$C$64,MATCH($A4,CAGR!$B$58:$B$64,0))),0)</f>
        <v>1.0049397002369564E-5</v>
      </c>
      <c r="AA4">
        <f>IFERROR(INDEX('SYFAFE psgr'!$B$6:$H$6,,MATCH($A4,'SYFAFE psgr'!$B$1:$H$1,0))*(1+INDEX(CAGR!$C$58:$C$64,MATCH($A4,CAGR!$B$58:$B$64,0))),0)</f>
        <v>1.0049397002369564E-5</v>
      </c>
      <c r="AB4">
        <f>IFERROR(INDEX('SYFAFE psgr'!$B$6:$H$6,,MATCH($A4,'SYFAFE psgr'!$B$1:$H$1,0))*(1+INDEX(CAGR!$C$58:$C$64,MATCH($A4,CAGR!$B$58:$B$64,0))),0)</f>
        <v>1.0049397002369564E-5</v>
      </c>
      <c r="AC4">
        <f>IFERROR(INDEX('SYFAFE psgr'!$B$6:$H$6,,MATCH($A4,'SYFAFE psgr'!$B$1:$H$1,0))*(1+INDEX(CAGR!$C$58:$C$64,MATCH($A4,CAGR!$B$58:$B$64,0))),0)</f>
        <v>1.0049397002369564E-5</v>
      </c>
      <c r="AD4">
        <f>IFERROR(INDEX('SYFAFE psgr'!$B$6:$H$6,,MATCH($A4,'SYFAFE psgr'!$B$1:$H$1,0))*(1+INDEX(CAGR!$C$58:$C$64,MATCH($A4,CAGR!$B$58:$B$64,0))),0)</f>
        <v>1.0049397002369564E-5</v>
      </c>
      <c r="AE4">
        <f>IFERROR(INDEX('SYFAFE psgr'!$B$6:$H$6,,MATCH($A4,'SYFAFE psgr'!$B$1:$H$1,0))*(1+INDEX(CAGR!$C$58:$C$64,MATCH($A4,CAGR!$B$58:$B$64,0))),0)</f>
        <v>1.0049397002369564E-5</v>
      </c>
      <c r="AF4">
        <f>IFERROR(INDEX('SYFAFE psgr'!$B$6:$H$6,,MATCH($A4,'SYFAFE psgr'!$B$1:$H$1,0))*(1+INDEX(CAGR!$C$58:$C$64,MATCH($A4,CAGR!$B$58:$B$64,0))),0)</f>
        <v>1.0049397002369564E-5</v>
      </c>
    </row>
    <row r="5" spans="1:32">
      <c r="A5" s="1" t="s">
        <v>3</v>
      </c>
      <c r="B5" s="14">
        <f>IFERROR(INDEX('SYFAFE psgr'!$B$6:$H$6,,MATCH($A5,'SYFAFE psgr'!$B$1:$H$1,0))*(1+INDEX(CAGR!$C$58:$C$64,MATCH($A5,CAGR!$B$58:$B$64,0))),0)</f>
        <v>1.0049397002369565E-5</v>
      </c>
      <c r="C5" s="14">
        <f>IFERROR(INDEX('SYFAFE psgr'!$B$6:$H$6,,MATCH($A5,'SYFAFE psgr'!$B$1:$H$1,0))*(1+INDEX(CAGR!$C$58:$C$64,MATCH($A5,CAGR!$B$58:$B$64,0))),0)</f>
        <v>1.0049397002369565E-5</v>
      </c>
      <c r="D5" s="14">
        <f>IFERROR(INDEX('SYFAFE psgr'!$B$6:$H$6,,MATCH($A5,'SYFAFE psgr'!$B$1:$H$1,0))*(1+INDEX(CAGR!$C$58:$C$64,MATCH($A5,CAGR!$B$58:$B$64,0))),0)</f>
        <v>1.0049397002369565E-5</v>
      </c>
      <c r="E5" s="14">
        <f>IFERROR(INDEX('SYFAFE psgr'!$B$6:$H$6,,MATCH($A5,'SYFAFE psgr'!$B$1:$H$1,0))*(1+INDEX(CAGR!$C$58:$C$64,MATCH($A5,CAGR!$B$58:$B$64,0))),0)</f>
        <v>1.0049397002369565E-5</v>
      </c>
      <c r="F5" s="14">
        <f>IFERROR(INDEX('SYFAFE psgr'!$B$6:$H$6,,MATCH($A5,'SYFAFE psgr'!$B$1:$H$1,0))*(1+INDEX(CAGR!$C$58:$C$64,MATCH($A5,CAGR!$B$58:$B$64,0))),0)</f>
        <v>1.0049397002369565E-5</v>
      </c>
      <c r="G5" s="14">
        <f>IFERROR(INDEX('SYFAFE psgr'!$B$6:$H$6,,MATCH($A5,'SYFAFE psgr'!$B$1:$H$1,0))*(1+INDEX(CAGR!$C$58:$C$64,MATCH($A5,CAGR!$B$58:$B$64,0))),0)</f>
        <v>1.0049397002369565E-5</v>
      </c>
      <c r="H5" s="14">
        <f>IFERROR(INDEX('SYFAFE psgr'!$B$6:$H$6,,MATCH($A5,'SYFAFE psgr'!$B$1:$H$1,0))*(1+INDEX(CAGR!$C$58:$C$64,MATCH($A5,CAGR!$B$58:$B$64,0))),0)</f>
        <v>1.0049397002369565E-5</v>
      </c>
      <c r="I5" s="14">
        <f>IFERROR(INDEX('SYFAFE psgr'!$B$6:$H$6,,MATCH($A5,'SYFAFE psgr'!$B$1:$H$1,0))*(1+INDEX(CAGR!$C$58:$C$64,MATCH($A5,CAGR!$B$58:$B$64,0))),0)</f>
        <v>1.0049397002369565E-5</v>
      </c>
      <c r="J5" s="14">
        <f>IFERROR(INDEX('SYFAFE psgr'!$B$6:$H$6,,MATCH($A5,'SYFAFE psgr'!$B$1:$H$1,0))*(1+INDEX(CAGR!$C$58:$C$64,MATCH($A5,CAGR!$B$58:$B$64,0))),0)</f>
        <v>1.0049397002369565E-5</v>
      </c>
      <c r="K5" s="14">
        <f>IFERROR(INDEX('SYFAFE psgr'!$B$6:$H$6,,MATCH($A5,'SYFAFE psgr'!$B$1:$H$1,0))*(1+INDEX(CAGR!$C$58:$C$64,MATCH($A5,CAGR!$B$58:$B$64,0))),0)</f>
        <v>1.0049397002369565E-5</v>
      </c>
      <c r="L5" s="14">
        <f>IFERROR(INDEX('SYFAFE psgr'!$B$6:$H$6,,MATCH($A5,'SYFAFE psgr'!$B$1:$H$1,0))*(1+INDEX(CAGR!$C$58:$C$64,MATCH($A5,CAGR!$B$58:$B$64,0))),0)</f>
        <v>1.0049397002369565E-5</v>
      </c>
      <c r="M5" s="14">
        <f>IFERROR(INDEX('SYFAFE psgr'!$B$6:$H$6,,MATCH($A5,'SYFAFE psgr'!$B$1:$H$1,0))*(1+INDEX(CAGR!$C$58:$C$64,MATCH($A5,CAGR!$B$58:$B$64,0))),0)</f>
        <v>1.0049397002369565E-5</v>
      </c>
      <c r="N5" s="14">
        <f>IFERROR(INDEX('SYFAFE psgr'!$B$6:$H$6,,MATCH($A5,'SYFAFE psgr'!$B$1:$H$1,0))*(1+INDEX(CAGR!$C$58:$C$64,MATCH($A5,CAGR!$B$58:$B$64,0))),0)</f>
        <v>1.0049397002369565E-5</v>
      </c>
      <c r="O5" s="14">
        <f>IFERROR(INDEX('SYFAFE psgr'!$B$6:$H$6,,MATCH($A5,'SYFAFE psgr'!$B$1:$H$1,0))*(1+INDEX(CAGR!$C$58:$C$64,MATCH($A5,CAGR!$B$58:$B$64,0))),0)</f>
        <v>1.0049397002369565E-5</v>
      </c>
      <c r="P5" s="14">
        <f>IFERROR(INDEX('SYFAFE psgr'!$B$6:$H$6,,MATCH($A5,'SYFAFE psgr'!$B$1:$H$1,0))*(1+INDEX(CAGR!$C$58:$C$64,MATCH($A5,CAGR!$B$58:$B$64,0))),0)</f>
        <v>1.0049397002369565E-5</v>
      </c>
      <c r="Q5" s="14">
        <f>IFERROR(INDEX('SYFAFE psgr'!$B$6:$H$6,,MATCH($A5,'SYFAFE psgr'!$B$1:$H$1,0))*(1+INDEX(CAGR!$C$58:$C$64,MATCH($A5,CAGR!$B$58:$B$64,0))),0)</f>
        <v>1.0049397002369565E-5</v>
      </c>
      <c r="R5" s="14">
        <f>IFERROR(INDEX('SYFAFE psgr'!$B$6:$H$6,,MATCH($A5,'SYFAFE psgr'!$B$1:$H$1,0))*(1+INDEX(CAGR!$C$58:$C$64,MATCH($A5,CAGR!$B$58:$B$64,0))),0)</f>
        <v>1.0049397002369565E-5</v>
      </c>
      <c r="S5" s="14">
        <f>IFERROR(INDEX('SYFAFE psgr'!$B$6:$H$6,,MATCH($A5,'SYFAFE psgr'!$B$1:$H$1,0))*(1+INDEX(CAGR!$C$58:$C$64,MATCH($A5,CAGR!$B$58:$B$64,0))),0)</f>
        <v>1.0049397002369565E-5</v>
      </c>
      <c r="T5" s="14">
        <f>IFERROR(INDEX('SYFAFE psgr'!$B$6:$H$6,,MATCH($A5,'SYFAFE psgr'!$B$1:$H$1,0))*(1+INDEX(CAGR!$C$58:$C$64,MATCH($A5,CAGR!$B$58:$B$64,0))),0)</f>
        <v>1.0049397002369565E-5</v>
      </c>
      <c r="U5" s="14">
        <f>IFERROR(INDEX('SYFAFE psgr'!$B$6:$H$6,,MATCH($A5,'SYFAFE psgr'!$B$1:$H$1,0))*(1+INDEX(CAGR!$C$58:$C$64,MATCH($A5,CAGR!$B$58:$B$64,0))),0)</f>
        <v>1.0049397002369565E-5</v>
      </c>
      <c r="V5" s="14">
        <f>IFERROR(INDEX('SYFAFE psgr'!$B$6:$H$6,,MATCH($A5,'SYFAFE psgr'!$B$1:$H$1,0))*(1+INDEX(CAGR!$C$58:$C$64,MATCH($A5,CAGR!$B$58:$B$64,0))),0)</f>
        <v>1.0049397002369565E-5</v>
      </c>
      <c r="W5" s="14">
        <f>IFERROR(INDEX('SYFAFE psgr'!$B$6:$H$6,,MATCH($A5,'SYFAFE psgr'!$B$1:$H$1,0))*(1+INDEX(CAGR!$C$58:$C$64,MATCH($A5,CAGR!$B$58:$B$64,0))),0)</f>
        <v>1.0049397002369565E-5</v>
      </c>
      <c r="X5" s="14">
        <f>IFERROR(INDEX('SYFAFE psgr'!$B$6:$H$6,,MATCH($A5,'SYFAFE psgr'!$B$1:$H$1,0))*(1+INDEX(CAGR!$C$58:$C$64,MATCH($A5,CAGR!$B$58:$B$64,0))),0)</f>
        <v>1.0049397002369565E-5</v>
      </c>
      <c r="Y5" s="14">
        <f>IFERROR(INDEX('SYFAFE psgr'!$B$6:$H$6,,MATCH($A5,'SYFAFE psgr'!$B$1:$H$1,0))*(1+INDEX(CAGR!$C$58:$C$64,MATCH($A5,CAGR!$B$58:$B$64,0))),0)</f>
        <v>1.0049397002369565E-5</v>
      </c>
      <c r="Z5" s="14">
        <f>IFERROR(INDEX('SYFAFE psgr'!$B$6:$H$6,,MATCH($A5,'SYFAFE psgr'!$B$1:$H$1,0))*(1+INDEX(CAGR!$C$58:$C$64,MATCH($A5,CAGR!$B$58:$B$64,0))),0)</f>
        <v>1.0049397002369565E-5</v>
      </c>
      <c r="AA5" s="14">
        <f>IFERROR(INDEX('SYFAFE psgr'!$B$6:$H$6,,MATCH($A5,'SYFAFE psgr'!$B$1:$H$1,0))*(1+INDEX(CAGR!$C$58:$C$64,MATCH($A5,CAGR!$B$58:$B$64,0))),0)</f>
        <v>1.0049397002369565E-5</v>
      </c>
      <c r="AB5" s="14">
        <f>IFERROR(INDEX('SYFAFE psgr'!$B$6:$H$6,,MATCH($A5,'SYFAFE psgr'!$B$1:$H$1,0))*(1+INDEX(CAGR!$C$58:$C$64,MATCH($A5,CAGR!$B$58:$B$64,0))),0)</f>
        <v>1.0049397002369565E-5</v>
      </c>
      <c r="AC5" s="14">
        <f>IFERROR(INDEX('SYFAFE psgr'!$B$6:$H$6,,MATCH($A5,'SYFAFE psgr'!$B$1:$H$1,0))*(1+INDEX(CAGR!$C$58:$C$64,MATCH($A5,CAGR!$B$58:$B$64,0))),0)</f>
        <v>1.0049397002369565E-5</v>
      </c>
      <c r="AD5" s="14">
        <f>IFERROR(INDEX('SYFAFE psgr'!$B$6:$H$6,,MATCH($A5,'SYFAFE psgr'!$B$1:$H$1,0))*(1+INDEX(CAGR!$C$58:$C$64,MATCH($A5,CAGR!$B$58:$B$64,0))),0)</f>
        <v>1.0049397002369565E-5</v>
      </c>
      <c r="AE5" s="14">
        <f>IFERROR(INDEX('SYFAFE psgr'!$B$6:$H$6,,MATCH($A5,'SYFAFE psgr'!$B$1:$H$1,0))*(1+INDEX(CAGR!$C$58:$C$64,MATCH($A5,CAGR!$B$58:$B$64,0))),0)</f>
        <v>1.0049397002369565E-5</v>
      </c>
      <c r="AF5" s="14">
        <f>IFERROR(INDEX('SYFAFE psgr'!$B$6:$H$6,,MATCH($A5,'SYFAFE psgr'!$B$1:$H$1,0))*(1+INDEX(CAGR!$C$58:$C$64,MATCH($A5,CAGR!$B$58:$B$64,0))),0)</f>
        <v>1.0049397002369565E-5</v>
      </c>
    </row>
    <row r="6" spans="1:32">
      <c r="A6" s="1" t="s">
        <v>4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5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6</v>
      </c>
      <c r="B8" s="13">
        <f>B5*Calibration!D43</f>
        <v>3.0148191007108693E-5</v>
      </c>
      <c r="C8" s="13">
        <f>B8*(1+CAGR!$C$64)</f>
        <v>3.0148191007108693E-5</v>
      </c>
      <c r="D8" s="13">
        <f>C8*(1+CAGR!$C$64)</f>
        <v>3.0148191007108693E-5</v>
      </c>
      <c r="E8" s="13">
        <f>D8*(1+CAGR!$C$64)</f>
        <v>3.0148191007108693E-5</v>
      </c>
      <c r="F8" s="13">
        <f>E8*(1+CAGR!$C$64)</f>
        <v>3.0148191007108693E-5</v>
      </c>
      <c r="G8" s="13">
        <f>F8*(1+CAGR!$C$64)</f>
        <v>3.0148191007108693E-5</v>
      </c>
      <c r="H8" s="13">
        <f>G8*(1+CAGR!$C$64)</f>
        <v>3.0148191007108693E-5</v>
      </c>
      <c r="I8" s="13">
        <f>H8*(1+CAGR!$C$64)</f>
        <v>3.0148191007108693E-5</v>
      </c>
      <c r="J8" s="13">
        <f>I8*(1+CAGR!$C$64)</f>
        <v>3.0148191007108693E-5</v>
      </c>
      <c r="K8" s="13">
        <f>J8*(1+CAGR!$C$64)</f>
        <v>3.0148191007108693E-5</v>
      </c>
      <c r="L8" s="13">
        <f>K8*(1+CAGR!$C$64)</f>
        <v>3.0148191007108693E-5</v>
      </c>
      <c r="M8" s="13">
        <f>L8*(1+CAGR!$C$64)</f>
        <v>3.0148191007108693E-5</v>
      </c>
      <c r="N8" s="13">
        <f>M8*(1+CAGR!$C$64)</f>
        <v>3.0148191007108693E-5</v>
      </c>
      <c r="O8" s="13">
        <f>N8*(1+CAGR!$C$64)</f>
        <v>3.0148191007108693E-5</v>
      </c>
      <c r="P8" s="13">
        <f>O8*(1+CAGR!$C$64)</f>
        <v>3.0148191007108693E-5</v>
      </c>
      <c r="Q8" s="13">
        <f>P8*(1+CAGR!$C$64)</f>
        <v>3.0148191007108693E-5</v>
      </c>
      <c r="R8" s="13">
        <f>Q8*(1+CAGR!$C$64)</f>
        <v>3.0148191007108693E-5</v>
      </c>
      <c r="S8" s="13">
        <f>R8*(1+CAGR!$C$64)</f>
        <v>3.0148191007108693E-5</v>
      </c>
      <c r="T8" s="13">
        <f>S8*(1+CAGR!$C$64)</f>
        <v>3.0148191007108693E-5</v>
      </c>
      <c r="U8" s="13">
        <f>T8*(1+CAGR!$C$64)</f>
        <v>3.0148191007108693E-5</v>
      </c>
      <c r="V8" s="13">
        <f>U8*(1+CAGR!$C$64)</f>
        <v>3.0148191007108693E-5</v>
      </c>
      <c r="W8" s="13">
        <f>V8*(1+CAGR!$C$64)</f>
        <v>3.0148191007108693E-5</v>
      </c>
      <c r="X8" s="13">
        <f>W8*(1+CAGR!$C$64)</f>
        <v>3.0148191007108693E-5</v>
      </c>
      <c r="Y8" s="13">
        <f>X8*(1+CAGR!$C$64)</f>
        <v>3.0148191007108693E-5</v>
      </c>
      <c r="Z8" s="13">
        <f>Y8*(1+CAGR!$C$64)</f>
        <v>3.0148191007108693E-5</v>
      </c>
      <c r="AA8" s="13">
        <f>Z8*(1+CAGR!$C$64)</f>
        <v>3.0148191007108693E-5</v>
      </c>
      <c r="AB8" s="13">
        <f>AA8*(1+CAGR!$C$64)</f>
        <v>3.0148191007108693E-5</v>
      </c>
      <c r="AC8" s="13">
        <f>AB8*(1+CAGR!$C$64)</f>
        <v>3.0148191007108693E-5</v>
      </c>
      <c r="AD8" s="13">
        <f>AC8*(1+CAGR!$C$64)</f>
        <v>3.0148191007108693E-5</v>
      </c>
      <c r="AE8" s="13">
        <f>AD8*(1+CAGR!$C$64)</f>
        <v>3.0148191007108693E-5</v>
      </c>
      <c r="AF8" s="13">
        <f>AE8*(1+CAGR!$C$64)</f>
        <v>3.0148191007108693E-5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>
      <selection activeCell="L32" sqref="L32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B5*Calibration!$B$44</f>
        <v>1.5467626362604087E-2</v>
      </c>
      <c r="C2" s="13">
        <f>B2*(1+CAGR!$C$65)</f>
        <v>1.5467626362604087E-2</v>
      </c>
      <c r="D2" s="13">
        <f>C2*(1+CAGR!$C$65)</f>
        <v>1.5467626362604087E-2</v>
      </c>
      <c r="E2" s="13">
        <f>D2*(1+CAGR!$C$65)</f>
        <v>1.5467626362604087E-2</v>
      </c>
      <c r="F2" s="13">
        <f>E2*(1+CAGR!$C$65)</f>
        <v>1.5467626362604087E-2</v>
      </c>
      <c r="G2" s="13">
        <f>F2*(1+CAGR!$C$65)</f>
        <v>1.5467626362604087E-2</v>
      </c>
      <c r="H2" s="13">
        <f>G2*(1+CAGR!$C$65)</f>
        <v>1.5467626362604087E-2</v>
      </c>
      <c r="I2" s="13">
        <f>H2*(1+CAGR!$C$65)</f>
        <v>1.5467626362604087E-2</v>
      </c>
      <c r="J2" s="13">
        <f>I2*(1+CAGR!$C$65)</f>
        <v>1.5467626362604087E-2</v>
      </c>
      <c r="K2" s="13">
        <f>J2*(1+CAGR!$C$65)</f>
        <v>1.5467626362604087E-2</v>
      </c>
      <c r="L2" s="13">
        <f>K2*(1+CAGR!$C$65)</f>
        <v>1.5467626362604087E-2</v>
      </c>
      <c r="M2" s="13">
        <f>L2*(1+CAGR!$C$65)</f>
        <v>1.5467626362604087E-2</v>
      </c>
      <c r="N2" s="13">
        <f>M2*(1+CAGR!$C$65)</f>
        <v>1.5467626362604087E-2</v>
      </c>
      <c r="O2" s="13">
        <f>N2*(1+CAGR!$C$65)</f>
        <v>1.5467626362604087E-2</v>
      </c>
      <c r="P2" s="13">
        <f>O2*(1+CAGR!$C$65)</f>
        <v>1.5467626362604087E-2</v>
      </c>
      <c r="Q2" s="13">
        <f>P2*(1+CAGR!$C$65)</f>
        <v>1.5467626362604087E-2</v>
      </c>
      <c r="R2" s="13">
        <f>Q2*(1+CAGR!$C$65)</f>
        <v>1.5467626362604087E-2</v>
      </c>
      <c r="S2" s="13">
        <f>R2*(1+CAGR!$C$65)</f>
        <v>1.5467626362604087E-2</v>
      </c>
      <c r="T2" s="13">
        <f>S2*(1+CAGR!$C$65)</f>
        <v>1.5467626362604087E-2</v>
      </c>
      <c r="U2" s="13">
        <f>T2*(1+CAGR!$C$65)</f>
        <v>1.5467626362604087E-2</v>
      </c>
      <c r="V2" s="13">
        <f>U2*(1+CAGR!$C$65)</f>
        <v>1.5467626362604087E-2</v>
      </c>
      <c r="W2" s="13">
        <f>V2*(1+CAGR!$C$65)</f>
        <v>1.5467626362604087E-2</v>
      </c>
      <c r="X2" s="13">
        <f>W2*(1+CAGR!$C$65)</f>
        <v>1.5467626362604087E-2</v>
      </c>
      <c r="Y2" s="13">
        <f>X2*(1+CAGR!$C$65)</f>
        <v>1.5467626362604087E-2</v>
      </c>
      <c r="Z2" s="13">
        <f>Y2*(1+CAGR!$C$65)</f>
        <v>1.5467626362604087E-2</v>
      </c>
      <c r="AA2" s="13">
        <f>Z2*(1+CAGR!$C$65)</f>
        <v>1.5467626362604087E-2</v>
      </c>
      <c r="AB2" s="13">
        <f>AA2*(1+CAGR!$C$65)</f>
        <v>1.5467626362604087E-2</v>
      </c>
      <c r="AC2" s="13">
        <f>AB2*(1+CAGR!$C$65)</f>
        <v>1.5467626362604087E-2</v>
      </c>
      <c r="AD2" s="13">
        <f>AC2*(1+CAGR!$C$65)</f>
        <v>1.5467626362604087E-2</v>
      </c>
      <c r="AE2" s="13">
        <f>AD2*(1+CAGR!$C$65)</f>
        <v>1.5467626362604087E-2</v>
      </c>
      <c r="AF2" s="13">
        <f>AE2*(1+CAGR!$C$65)</f>
        <v>1.5467626362604087E-2</v>
      </c>
    </row>
    <row r="3" spans="1:32">
      <c r="A3" s="1" t="s">
        <v>1</v>
      </c>
      <c r="B3">
        <f>IFERROR(INDEX('SYFAFE frgt'!$B$6:$H$6,,MATCH($A3,'SYFAFE frgt'!$B$1:$H$1,0))*(1+INDEX(CAGR!$C$65:$C$71,MATCH($A3,CAGR!$B$65:$B$71,0))),0)</f>
        <v>4.813365E-3</v>
      </c>
      <c r="C3">
        <f>IFERROR(INDEX('SYFAFE frgt'!$B$6:$H$6,,MATCH($A3,'SYFAFE frgt'!$B$1:$H$1,0))*(1+INDEX(CAGR!$C$51:$C$57,MATCH($A3,CAGR!$B$65:$B$71,0))),0)</f>
        <v>4.813365E-3</v>
      </c>
      <c r="D3">
        <f>IFERROR(INDEX('SYFAFE frgt'!$B$6:$H$6,,MATCH($A3,'SYFAFE frgt'!$B$1:$H$1,0))*(1+INDEX(CAGR!$C$51:$C$57,MATCH($A3,CAGR!$B$65:$B$71,0))),0)</f>
        <v>4.813365E-3</v>
      </c>
      <c r="E3">
        <f>IFERROR(INDEX('SYFAFE frgt'!$B$6:$H$6,,MATCH($A3,'SYFAFE frgt'!$B$1:$H$1,0))*(1+INDEX(CAGR!$C$51:$C$57,MATCH($A3,CAGR!$B$65:$B$71,0))),0)</f>
        <v>4.813365E-3</v>
      </c>
      <c r="F3">
        <f>IFERROR(INDEX('SYFAFE frgt'!$B$6:$H$6,,MATCH($A3,'SYFAFE frgt'!$B$1:$H$1,0))*(1+INDEX(CAGR!$C$51:$C$57,MATCH($A3,CAGR!$B$65:$B$71,0))),0)</f>
        <v>4.813365E-3</v>
      </c>
      <c r="G3">
        <f>IFERROR(INDEX('SYFAFE frgt'!$B$6:$H$6,,MATCH($A3,'SYFAFE frgt'!$B$1:$H$1,0))*(1+INDEX(CAGR!$C$51:$C$57,MATCH($A3,CAGR!$B$65:$B$71,0))),0)</f>
        <v>4.813365E-3</v>
      </c>
      <c r="H3">
        <f>IFERROR(INDEX('SYFAFE frgt'!$B$6:$H$6,,MATCH($A3,'SYFAFE frgt'!$B$1:$H$1,0))*(1+INDEX(CAGR!$C$51:$C$57,MATCH($A3,CAGR!$B$65:$B$71,0))),0)</f>
        <v>4.813365E-3</v>
      </c>
      <c r="I3">
        <f>IFERROR(INDEX('SYFAFE frgt'!$B$6:$H$6,,MATCH($A3,'SYFAFE frgt'!$B$1:$H$1,0))*(1+INDEX(CAGR!$C$51:$C$57,MATCH($A3,CAGR!$B$65:$B$71,0))),0)</f>
        <v>4.813365E-3</v>
      </c>
      <c r="J3">
        <f>IFERROR(INDEX('SYFAFE frgt'!$B$6:$H$6,,MATCH($A3,'SYFAFE frgt'!$B$1:$H$1,0))*(1+INDEX(CAGR!$C$51:$C$57,MATCH($A3,CAGR!$B$65:$B$71,0))),0)</f>
        <v>4.813365E-3</v>
      </c>
      <c r="K3">
        <f>IFERROR(INDEX('SYFAFE frgt'!$B$6:$H$6,,MATCH($A3,'SYFAFE frgt'!$B$1:$H$1,0))*(1+INDEX(CAGR!$C$51:$C$57,MATCH($A3,CAGR!$B$65:$B$71,0))),0)</f>
        <v>4.813365E-3</v>
      </c>
      <c r="L3">
        <f>IFERROR(INDEX('SYFAFE frgt'!$B$6:$H$6,,MATCH($A3,'SYFAFE frgt'!$B$1:$H$1,0))*(1+INDEX(CAGR!$C$51:$C$57,MATCH($A3,CAGR!$B$65:$B$71,0))),0)</f>
        <v>4.813365E-3</v>
      </c>
      <c r="M3">
        <f>IFERROR(INDEX('SYFAFE frgt'!$B$6:$H$6,,MATCH($A3,'SYFAFE frgt'!$B$1:$H$1,0))*(1+INDEX(CAGR!$C$51:$C$57,MATCH($A3,CAGR!$B$65:$B$71,0))),0)</f>
        <v>4.813365E-3</v>
      </c>
      <c r="N3">
        <f>IFERROR(INDEX('SYFAFE frgt'!$B$6:$H$6,,MATCH($A3,'SYFAFE frgt'!$B$1:$H$1,0))*(1+INDEX(CAGR!$C$51:$C$57,MATCH($A3,CAGR!$B$65:$B$71,0))),0)</f>
        <v>4.813365E-3</v>
      </c>
      <c r="O3">
        <f>IFERROR(INDEX('SYFAFE frgt'!$B$6:$H$6,,MATCH($A3,'SYFAFE frgt'!$B$1:$H$1,0))*(1+INDEX(CAGR!$C$51:$C$57,MATCH($A3,CAGR!$B$65:$B$71,0))),0)</f>
        <v>4.813365E-3</v>
      </c>
      <c r="P3">
        <f>IFERROR(INDEX('SYFAFE frgt'!$B$6:$H$6,,MATCH($A3,'SYFAFE frgt'!$B$1:$H$1,0))*(1+INDEX(CAGR!$C$51:$C$57,MATCH($A3,CAGR!$B$65:$B$71,0))),0)</f>
        <v>4.813365E-3</v>
      </c>
      <c r="Q3">
        <f>IFERROR(INDEX('SYFAFE frgt'!$B$6:$H$6,,MATCH($A3,'SYFAFE frgt'!$B$1:$H$1,0))*(1+INDEX(CAGR!$C$51:$C$57,MATCH($A3,CAGR!$B$65:$B$71,0))),0)</f>
        <v>4.813365E-3</v>
      </c>
      <c r="R3">
        <f>IFERROR(INDEX('SYFAFE frgt'!$B$6:$H$6,,MATCH($A3,'SYFAFE frgt'!$B$1:$H$1,0))*(1+INDEX(CAGR!$C$51:$C$57,MATCH($A3,CAGR!$B$65:$B$71,0))),0)</f>
        <v>4.813365E-3</v>
      </c>
      <c r="S3">
        <f>IFERROR(INDEX('SYFAFE frgt'!$B$6:$H$6,,MATCH($A3,'SYFAFE frgt'!$B$1:$H$1,0))*(1+INDEX(CAGR!$C$51:$C$57,MATCH($A3,CAGR!$B$65:$B$71,0))),0)</f>
        <v>4.813365E-3</v>
      </c>
      <c r="T3">
        <f>IFERROR(INDEX('SYFAFE frgt'!$B$6:$H$6,,MATCH($A3,'SYFAFE frgt'!$B$1:$H$1,0))*(1+INDEX(CAGR!$C$51:$C$57,MATCH($A3,CAGR!$B$65:$B$71,0))),0)</f>
        <v>4.813365E-3</v>
      </c>
      <c r="U3">
        <f>IFERROR(INDEX('SYFAFE frgt'!$B$6:$H$6,,MATCH($A3,'SYFAFE frgt'!$B$1:$H$1,0))*(1+INDEX(CAGR!$C$51:$C$57,MATCH($A3,CAGR!$B$65:$B$71,0))),0)</f>
        <v>4.813365E-3</v>
      </c>
      <c r="V3">
        <f>IFERROR(INDEX('SYFAFE frgt'!$B$6:$H$6,,MATCH($A3,'SYFAFE frgt'!$B$1:$H$1,0))*(1+INDEX(CAGR!$C$51:$C$57,MATCH($A3,CAGR!$B$65:$B$71,0))),0)</f>
        <v>4.813365E-3</v>
      </c>
      <c r="W3">
        <f>IFERROR(INDEX('SYFAFE frgt'!$B$6:$H$6,,MATCH($A3,'SYFAFE frgt'!$B$1:$H$1,0))*(1+INDEX(CAGR!$C$51:$C$57,MATCH($A3,CAGR!$B$65:$B$71,0))),0)</f>
        <v>4.813365E-3</v>
      </c>
      <c r="X3">
        <f>IFERROR(INDEX('SYFAFE frgt'!$B$6:$H$6,,MATCH($A3,'SYFAFE frgt'!$B$1:$H$1,0))*(1+INDEX(CAGR!$C$51:$C$57,MATCH($A3,CAGR!$B$65:$B$71,0))),0)</f>
        <v>4.813365E-3</v>
      </c>
      <c r="Y3">
        <f>IFERROR(INDEX('SYFAFE frgt'!$B$6:$H$6,,MATCH($A3,'SYFAFE frgt'!$B$1:$H$1,0))*(1+INDEX(CAGR!$C$51:$C$57,MATCH($A3,CAGR!$B$65:$B$71,0))),0)</f>
        <v>4.813365E-3</v>
      </c>
      <c r="Z3">
        <f>IFERROR(INDEX('SYFAFE frgt'!$B$6:$H$6,,MATCH($A3,'SYFAFE frgt'!$B$1:$H$1,0))*(1+INDEX(CAGR!$C$51:$C$57,MATCH($A3,CAGR!$B$65:$B$71,0))),0)</f>
        <v>4.813365E-3</v>
      </c>
      <c r="AA3">
        <f>IFERROR(INDEX('SYFAFE frgt'!$B$6:$H$6,,MATCH($A3,'SYFAFE frgt'!$B$1:$H$1,0))*(1+INDEX(CAGR!$C$51:$C$57,MATCH($A3,CAGR!$B$65:$B$71,0))),0)</f>
        <v>4.813365E-3</v>
      </c>
      <c r="AB3">
        <f>IFERROR(INDEX('SYFAFE frgt'!$B$6:$H$6,,MATCH($A3,'SYFAFE frgt'!$B$1:$H$1,0))*(1+INDEX(CAGR!$C$51:$C$57,MATCH($A3,CAGR!$B$65:$B$71,0))),0)</f>
        <v>4.813365E-3</v>
      </c>
      <c r="AC3">
        <f>IFERROR(INDEX('SYFAFE frgt'!$B$6:$H$6,,MATCH($A3,'SYFAFE frgt'!$B$1:$H$1,0))*(1+INDEX(CAGR!$C$51:$C$57,MATCH($A3,CAGR!$B$65:$B$71,0))),0)</f>
        <v>4.813365E-3</v>
      </c>
      <c r="AD3">
        <f>IFERROR(INDEX('SYFAFE frgt'!$B$6:$H$6,,MATCH($A3,'SYFAFE frgt'!$B$1:$H$1,0))*(1+INDEX(CAGR!$C$51:$C$57,MATCH($A3,CAGR!$B$65:$B$71,0))),0)</f>
        <v>4.813365E-3</v>
      </c>
      <c r="AE3">
        <f>IFERROR(INDEX('SYFAFE frgt'!$B$6:$H$6,,MATCH($A3,'SYFAFE frgt'!$B$1:$H$1,0))*(1+INDEX(CAGR!$C$51:$C$57,MATCH($A3,CAGR!$B$65:$B$71,0))),0)</f>
        <v>4.813365E-3</v>
      </c>
      <c r="AF3">
        <f>IFERROR(INDEX('SYFAFE frgt'!$B$6:$H$6,,MATCH($A3,'SYFAFE frgt'!$B$1:$H$1,0))*(1+INDEX(CAGR!$C$51:$C$57,MATCH($A3,CAGR!$B$65:$B$71,0))),0)</f>
        <v>4.813365E-3</v>
      </c>
    </row>
    <row r="4" spans="1:32">
      <c r="A4" s="1" t="s">
        <v>2</v>
      </c>
      <c r="B4" s="14">
        <f>IFERROR(INDEX('SYFAFE frgt'!$B$6:$H$6,,MATCH($A4,'SYFAFE frgt'!$B$1:$H$1,0))*(1+INDEX(CAGR!$C$65:$C$71,MATCH($A4,CAGR!$B$65:$B$71,0))),0)</f>
        <v>4.813365E-3</v>
      </c>
      <c r="C4" s="14">
        <f>IFERROR(B4*(1+INDEX(CAGR!$C$51:$C$57,MATCH($A4,CAGR!$B$65:$B$71,0))),0)</f>
        <v>4.813365E-3</v>
      </c>
      <c r="D4" s="14">
        <f>IFERROR(C4*(1+INDEX(CAGR!$C$51:$C$57,MATCH($A4,CAGR!$B$65:$B$71,0))),0)</f>
        <v>4.813365E-3</v>
      </c>
      <c r="E4" s="14">
        <f>IFERROR(D4*(1+INDEX(CAGR!$C$51:$C$57,MATCH($A4,CAGR!$B$65:$B$71,0))),0)</f>
        <v>4.813365E-3</v>
      </c>
      <c r="F4" s="14">
        <f>IFERROR(E4*(1+INDEX(CAGR!$C$51:$C$57,MATCH($A4,CAGR!$B$65:$B$71,0))),0)</f>
        <v>4.813365E-3</v>
      </c>
      <c r="G4" s="14">
        <f>IFERROR(F4*(1+INDEX(CAGR!$C$51:$C$57,MATCH($A4,CAGR!$B$65:$B$71,0))),0)</f>
        <v>4.813365E-3</v>
      </c>
      <c r="H4" s="14">
        <f>IFERROR(G4*(1+INDEX(CAGR!$C$51:$C$57,MATCH($A4,CAGR!$B$65:$B$71,0))),0)</f>
        <v>4.813365E-3</v>
      </c>
      <c r="I4" s="14">
        <f>IFERROR(H4*(1+INDEX(CAGR!$C$51:$C$57,MATCH($A4,CAGR!$B$65:$B$71,0))),0)</f>
        <v>4.813365E-3</v>
      </c>
      <c r="J4" s="14">
        <f>IFERROR(I4*(1+INDEX(CAGR!$C$51:$C$57,MATCH($A4,CAGR!$B$65:$B$71,0))),0)</f>
        <v>4.813365E-3</v>
      </c>
      <c r="K4" s="14">
        <f>IFERROR(J4*(1+INDEX(CAGR!$C$51:$C$57,MATCH($A4,CAGR!$B$65:$B$71,0))),0)</f>
        <v>4.813365E-3</v>
      </c>
      <c r="L4" s="14">
        <f>IFERROR(K4*(1+INDEX(CAGR!$C$51:$C$57,MATCH($A4,CAGR!$B$65:$B$71,0))),0)</f>
        <v>4.813365E-3</v>
      </c>
      <c r="M4" s="14">
        <f>IFERROR(L4*(1+INDEX(CAGR!$C$51:$C$57,MATCH($A4,CAGR!$B$65:$B$71,0))),0)</f>
        <v>4.813365E-3</v>
      </c>
      <c r="N4" s="14">
        <f>IFERROR(M4*(1+INDEX(CAGR!$C$51:$C$57,MATCH($A4,CAGR!$B$65:$B$71,0))),0)</f>
        <v>4.813365E-3</v>
      </c>
      <c r="O4" s="14">
        <f>IFERROR(N4*(1+INDEX(CAGR!$C$51:$C$57,MATCH($A4,CAGR!$B$65:$B$71,0))),0)</f>
        <v>4.813365E-3</v>
      </c>
      <c r="P4" s="14">
        <f>IFERROR(O4*(1+INDEX(CAGR!$C$51:$C$57,MATCH($A4,CAGR!$B$65:$B$71,0))),0)</f>
        <v>4.813365E-3</v>
      </c>
      <c r="Q4" s="14">
        <f>IFERROR(P4*(1+INDEX(CAGR!$C$51:$C$57,MATCH($A4,CAGR!$B$65:$B$71,0))),0)</f>
        <v>4.813365E-3</v>
      </c>
      <c r="R4" s="14">
        <f>IFERROR(Q4*(1+INDEX(CAGR!$C$51:$C$57,MATCH($A4,CAGR!$B$65:$B$71,0))),0)</f>
        <v>4.813365E-3</v>
      </c>
      <c r="S4" s="14">
        <f>IFERROR(R4*(1+INDEX(CAGR!$C$51:$C$57,MATCH($A4,CAGR!$B$65:$B$71,0))),0)</f>
        <v>4.813365E-3</v>
      </c>
      <c r="T4" s="14">
        <f>IFERROR(S4*(1+INDEX(CAGR!$C$51:$C$57,MATCH($A4,CAGR!$B$65:$B$71,0))),0)</f>
        <v>4.813365E-3</v>
      </c>
      <c r="U4" s="14">
        <f>IFERROR(T4*(1+INDEX(CAGR!$C$51:$C$57,MATCH($A4,CAGR!$B$65:$B$71,0))),0)</f>
        <v>4.813365E-3</v>
      </c>
      <c r="V4" s="14">
        <f>IFERROR(U4*(1+INDEX(CAGR!$C$51:$C$57,MATCH($A4,CAGR!$B$65:$B$71,0))),0)</f>
        <v>4.813365E-3</v>
      </c>
      <c r="W4" s="14">
        <f>IFERROR(V4*(1+INDEX(CAGR!$C$51:$C$57,MATCH($A4,CAGR!$B$65:$B$71,0))),0)</f>
        <v>4.813365E-3</v>
      </c>
      <c r="X4" s="14">
        <f>IFERROR(W4*(1+INDEX(CAGR!$C$51:$C$57,MATCH($A4,CAGR!$B$65:$B$71,0))),0)</f>
        <v>4.813365E-3</v>
      </c>
      <c r="Y4" s="14">
        <f>IFERROR(X4*(1+INDEX(CAGR!$C$51:$C$57,MATCH($A4,CAGR!$B$65:$B$71,0))),0)</f>
        <v>4.813365E-3</v>
      </c>
      <c r="Z4" s="14">
        <f>IFERROR(Y4*(1+INDEX(CAGR!$C$51:$C$57,MATCH($A4,CAGR!$B$65:$B$71,0))),0)</f>
        <v>4.813365E-3</v>
      </c>
      <c r="AA4" s="14">
        <f>IFERROR(Z4*(1+INDEX(CAGR!$C$51:$C$57,MATCH($A4,CAGR!$B$65:$B$71,0))),0)</f>
        <v>4.813365E-3</v>
      </c>
      <c r="AB4" s="14">
        <f>IFERROR(AA4*(1+INDEX(CAGR!$C$51:$C$57,MATCH($A4,CAGR!$B$65:$B$71,0))),0)</f>
        <v>4.813365E-3</v>
      </c>
      <c r="AC4" s="14">
        <f>IFERROR(AB4*(1+INDEX(CAGR!$C$51:$C$57,MATCH($A4,CAGR!$B$65:$B$71,0))),0)</f>
        <v>4.813365E-3</v>
      </c>
      <c r="AD4" s="14">
        <f>IFERROR(AC4*(1+INDEX(CAGR!$C$51:$C$57,MATCH($A4,CAGR!$B$65:$B$71,0))),0)</f>
        <v>4.813365E-3</v>
      </c>
      <c r="AE4" s="14">
        <f>IFERROR(AD4*(1+INDEX(CAGR!$C$51:$C$57,MATCH($A4,CAGR!$B$65:$B$71,0))),0)</f>
        <v>4.813365E-3</v>
      </c>
      <c r="AF4" s="14">
        <f>IFERROR(AE4*(1+INDEX(CAGR!$C$51:$C$57,MATCH($A4,CAGR!$B$65:$B$71,0))),0)</f>
        <v>4.813365E-3</v>
      </c>
    </row>
    <row r="5" spans="1:32">
      <c r="A5" s="1" t="s">
        <v>3</v>
      </c>
      <c r="B5" s="14">
        <f>IFERROR(INDEX('SYFAFE frgt'!$B$6:$H$6,,MATCH($A5,'SYFAFE frgt'!$B$1:$H$1,0))*(1+INDEX(CAGR!$C$65:$C$71,MATCH($A5,CAGR!$B$65:$B$71,0))),0)</f>
        <v>4.813365E-3</v>
      </c>
      <c r="C5" s="14">
        <f>IFERROR(B5*(1+INDEX(CAGR!$C$51:$C$57,MATCH($A5,CAGR!$B$65:$B$71,0))),0)</f>
        <v>4.8435746310157238E-3</v>
      </c>
      <c r="D5" s="14">
        <f>IFERROR(C5*(1+INDEX(CAGR!$C$51:$C$57,MATCH($A5,CAGR!$B$65:$B$71,0))),0)</f>
        <v>4.8739738636523729E-3</v>
      </c>
      <c r="E5" s="14">
        <f>IFERROR(D5*(1+INDEX(CAGR!$C$51:$C$57,MATCH($A5,CAGR!$B$65:$B$71,0))),0)</f>
        <v>4.9045638878872314E-3</v>
      </c>
      <c r="F5" s="14">
        <f>IFERROR(E5*(1+INDEX(CAGR!$C$51:$C$57,MATCH($A5,CAGR!$B$65:$B$71,0))),0)</f>
        <v>4.9353459011661155E-3</v>
      </c>
      <c r="G5" s="14">
        <f>IFERROR(F5*(1+INDEX(CAGR!$C$51:$C$57,MATCH($A5,CAGR!$B$65:$B$71,0))),0)</f>
        <v>4.9663211084502489E-3</v>
      </c>
      <c r="H5" s="14">
        <f>IFERROR(G5*(1+INDEX(CAGR!$C$51:$C$57,MATCH($A5,CAGR!$B$65:$B$71,0))),0)</f>
        <v>4.9974907222634299E-3</v>
      </c>
      <c r="I5" s="14">
        <f>IFERROR(H5*(1+INDEX(CAGR!$C$51:$C$57,MATCH($A5,CAGR!$B$65:$B$71,0))),0)</f>
        <v>5.0288559627394962E-3</v>
      </c>
      <c r="J5" s="14">
        <f>IFERROR(I5*(1+INDEX(CAGR!$C$51:$C$57,MATCH($A5,CAGR!$B$65:$B$71,0))),0)</f>
        <v>5.0604180576700871E-3</v>
      </c>
      <c r="K5" s="14">
        <f>IFERROR(J5*(1+INDEX(CAGR!$C$51:$C$57,MATCH($A5,CAGR!$B$65:$B$71,0))),0)</f>
        <v>5.0921782425527046E-3</v>
      </c>
      <c r="L5" s="14">
        <f>IFERROR(K5*(1+INDEX(CAGR!$C$51:$C$57,MATCH($A5,CAGR!$B$65:$B$71,0))),0)</f>
        <v>5.1241377606390777E-3</v>
      </c>
      <c r="M5" s="14">
        <f>IFERROR(L5*(1+INDEX(CAGR!$C$51:$C$57,MATCH($A5,CAGR!$B$65:$B$71,0))),0)</f>
        <v>5.1562978629838292E-3</v>
      </c>
      <c r="N5" s="14">
        <f>IFERROR(M5*(1+INDEX(CAGR!$C$51:$C$57,MATCH($A5,CAGR!$B$65:$B$71,0))),0)</f>
        <v>5.1886598084934484E-3</v>
      </c>
      <c r="O5" s="14">
        <f>IFERROR(N5*(1+INDEX(CAGR!$C$51:$C$57,MATCH($A5,CAGR!$B$65:$B$71,0))),0)</f>
        <v>5.2212248639755699E-3</v>
      </c>
      <c r="P5" s="14">
        <f>IFERROR(O5*(1+INDEX(CAGR!$C$51:$C$57,MATCH($A5,CAGR!$B$65:$B$71,0))),0)</f>
        <v>5.2539943041885655E-3</v>
      </c>
      <c r="Q5" s="14">
        <f>IFERROR(P5*(1+INDEX(CAGR!$C$51:$C$57,MATCH($A5,CAGR!$B$65:$B$71,0))),0)</f>
        <v>5.286969411891441E-3</v>
      </c>
      <c r="R5" s="14">
        <f>IFERROR(Q5*(1+INDEX(CAGR!$C$51:$C$57,MATCH($A5,CAGR!$B$65:$B$71,0))),0)</f>
        <v>5.320151477894052E-3</v>
      </c>
      <c r="S5" s="14">
        <f>IFERROR(R5*(1+INDEX(CAGR!$C$51:$C$57,MATCH($A5,CAGR!$B$65:$B$71,0))),0)</f>
        <v>5.3535418011076323E-3</v>
      </c>
      <c r="T5" s="14">
        <f>IFERROR(S5*(1+INDEX(CAGR!$C$51:$C$57,MATCH($A5,CAGR!$B$65:$B$71,0))),0)</f>
        <v>5.3871416885956404E-3</v>
      </c>
      <c r="U5" s="14">
        <f>IFERROR(T5*(1+INDEX(CAGR!$C$51:$C$57,MATCH($A5,CAGR!$B$65:$B$71,0))),0)</f>
        <v>5.4209524556249221E-3</v>
      </c>
      <c r="V5" s="14">
        <f>IFERROR(U5*(1+INDEX(CAGR!$C$51:$C$57,MATCH($A5,CAGR!$B$65:$B$71,0))),0)</f>
        <v>5.4549754257171984E-3</v>
      </c>
      <c r="W5" s="14">
        <f>IFERROR(V5*(1+INDEX(CAGR!$C$51:$C$57,MATCH($A5,CAGR!$B$65:$B$71,0))),0)</f>
        <v>5.4892119307008757E-3</v>
      </c>
      <c r="X5" s="14">
        <f>IFERROR(W5*(1+INDEX(CAGR!$C$51:$C$57,MATCH($A5,CAGR!$B$65:$B$71,0))),0)</f>
        <v>5.523663310763178E-3</v>
      </c>
      <c r="Y5" s="14">
        <f>IFERROR(X5*(1+INDEX(CAGR!$C$51:$C$57,MATCH($A5,CAGR!$B$65:$B$71,0))),0)</f>
        <v>5.5583309145026093E-3</v>
      </c>
      <c r="Z5" s="14">
        <f>IFERROR(Y5*(1+INDEX(CAGR!$C$51:$C$57,MATCH($A5,CAGR!$B$65:$B$71,0))),0)</f>
        <v>5.5932160989817445E-3</v>
      </c>
      <c r="AA5" s="14">
        <f>IFERROR(Z5*(1+INDEX(CAGR!$C$51:$C$57,MATCH($A5,CAGR!$B$65:$B$71,0))),0)</f>
        <v>5.6283202297803528E-3</v>
      </c>
      <c r="AB5" s="14">
        <f>IFERROR(AA5*(1+INDEX(CAGR!$C$51:$C$57,MATCH($A5,CAGR!$B$65:$B$71,0))),0)</f>
        <v>5.6636446810488517E-3</v>
      </c>
      <c r="AC5" s="14">
        <f>IFERROR(AB5*(1+INDEX(CAGR!$C$51:$C$57,MATCH($A5,CAGR!$B$65:$B$71,0))),0)</f>
        <v>5.6991908355620985E-3</v>
      </c>
      <c r="AD5" s="14">
        <f>IFERROR(AC5*(1+INDEX(CAGR!$C$51:$C$57,MATCH($A5,CAGR!$B$65:$B$71,0))),0)</f>
        <v>5.734960084773518E-3</v>
      </c>
      <c r="AE5" s="14">
        <f>IFERROR(AD5*(1+INDEX(CAGR!$C$51:$C$57,MATCH($A5,CAGR!$B$65:$B$71,0))),0)</f>
        <v>5.7709538288695742E-3</v>
      </c>
      <c r="AF5" s="14">
        <f>IFERROR(AE5*(1+INDEX(CAGR!$C$51:$C$57,MATCH($A5,CAGR!$B$65:$B$71,0))),0)</f>
        <v>5.807173476824576E-3</v>
      </c>
    </row>
    <row r="6" spans="1:32">
      <c r="A6" s="1" t="s">
        <v>4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5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6</v>
      </c>
      <c r="B8" s="13">
        <f>B5*Calibration!$D$44</f>
        <v>1.4440094999999998E-2</v>
      </c>
      <c r="C8" s="13">
        <f>B8*(1+CAGR!$C$71)</f>
        <v>1.4440094999999998E-2</v>
      </c>
      <c r="D8" s="13">
        <f>C8*(1+CAGR!$C$71)</f>
        <v>1.4440094999999998E-2</v>
      </c>
      <c r="E8" s="13">
        <f>D8*(1+CAGR!$C$71)</f>
        <v>1.4440094999999998E-2</v>
      </c>
      <c r="F8" s="13">
        <f>E8*(1+CAGR!$C$71)</f>
        <v>1.4440094999999998E-2</v>
      </c>
      <c r="G8" s="13">
        <f>F8*(1+CAGR!$C$71)</f>
        <v>1.4440094999999998E-2</v>
      </c>
      <c r="H8" s="13">
        <f>G8*(1+CAGR!$C$71)</f>
        <v>1.4440094999999998E-2</v>
      </c>
      <c r="I8" s="13">
        <f>H8*(1+CAGR!$C$71)</f>
        <v>1.4440094999999998E-2</v>
      </c>
      <c r="J8" s="13">
        <f>I8*(1+CAGR!$C$71)</f>
        <v>1.4440094999999998E-2</v>
      </c>
      <c r="K8" s="13">
        <f>J8*(1+CAGR!$C$71)</f>
        <v>1.4440094999999998E-2</v>
      </c>
      <c r="L8" s="13">
        <f>K8*(1+CAGR!$C$71)</f>
        <v>1.4440094999999998E-2</v>
      </c>
      <c r="M8" s="13">
        <f>L8*(1+CAGR!$C$71)</f>
        <v>1.4440094999999998E-2</v>
      </c>
      <c r="N8" s="13">
        <f>M8*(1+CAGR!$C$71)</f>
        <v>1.4440094999999998E-2</v>
      </c>
      <c r="O8" s="13">
        <f>N8*(1+CAGR!$C$71)</f>
        <v>1.4440094999999998E-2</v>
      </c>
      <c r="P8" s="13">
        <f>O8*(1+CAGR!$C$71)</f>
        <v>1.4440094999999998E-2</v>
      </c>
      <c r="Q8" s="13">
        <f>P8*(1+CAGR!$C$71)</f>
        <v>1.4440094999999998E-2</v>
      </c>
      <c r="R8" s="13">
        <f>Q8*(1+CAGR!$C$71)</f>
        <v>1.4440094999999998E-2</v>
      </c>
      <c r="S8" s="13">
        <f>R8*(1+CAGR!$C$71)</f>
        <v>1.4440094999999998E-2</v>
      </c>
      <c r="T8" s="13">
        <f>S8*(1+CAGR!$C$71)</f>
        <v>1.4440094999999998E-2</v>
      </c>
      <c r="U8" s="13">
        <f>T8*(1+CAGR!$C$71)</f>
        <v>1.4440094999999998E-2</v>
      </c>
      <c r="V8" s="13">
        <f>U8*(1+CAGR!$C$71)</f>
        <v>1.4440094999999998E-2</v>
      </c>
      <c r="W8" s="13">
        <f>V8*(1+CAGR!$C$71)</f>
        <v>1.4440094999999998E-2</v>
      </c>
      <c r="X8" s="13">
        <f>W8*(1+CAGR!$C$71)</f>
        <v>1.4440094999999998E-2</v>
      </c>
      <c r="Y8" s="13">
        <f>X8*(1+CAGR!$C$71)</f>
        <v>1.4440094999999998E-2</v>
      </c>
      <c r="Z8" s="13">
        <f>Y8*(1+CAGR!$C$71)</f>
        <v>1.4440094999999998E-2</v>
      </c>
      <c r="AA8" s="13">
        <f>Z8*(1+CAGR!$C$71)</f>
        <v>1.4440094999999998E-2</v>
      </c>
      <c r="AB8" s="13">
        <f>AA8*(1+CAGR!$C$71)</f>
        <v>1.4440094999999998E-2</v>
      </c>
      <c r="AC8" s="13">
        <f>AB8*(1+CAGR!$C$71)</f>
        <v>1.4440094999999998E-2</v>
      </c>
      <c r="AD8" s="13">
        <f>AC8*(1+CAGR!$C$71)</f>
        <v>1.4440094999999998E-2</v>
      </c>
      <c r="AE8" s="13">
        <f>AD8*(1+CAGR!$C$71)</f>
        <v>1.4440094999999998E-2</v>
      </c>
      <c r="AF8" s="13">
        <f>AE8*(1+CAGR!$C$71)</f>
        <v>1.4440094999999998E-2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topLeftCell="E1" workbookViewId="0">
      <selection activeCell="AD15" sqref="AD15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'SYFAFE psgr'!B7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2</v>
      </c>
      <c r="B4" s="21">
        <f>'SYFAFE psgr'!D7</f>
        <v>7.0063905313000519E-5</v>
      </c>
      <c r="C4" s="13">
        <f t="shared" si="1"/>
        <v>7.0063905313000519E-5</v>
      </c>
      <c r="D4" s="13">
        <f t="shared" si="0"/>
        <v>7.0063905313000519E-5</v>
      </c>
      <c r="E4" s="13">
        <f t="shared" si="0"/>
        <v>7.0063905313000519E-5</v>
      </c>
      <c r="F4" s="13">
        <f t="shared" si="0"/>
        <v>7.0063905313000519E-5</v>
      </c>
      <c r="G4" s="13">
        <f t="shared" si="0"/>
        <v>7.0063905313000519E-5</v>
      </c>
      <c r="H4" s="13">
        <f t="shared" si="0"/>
        <v>7.0063905313000519E-5</v>
      </c>
      <c r="I4" s="13">
        <f t="shared" si="0"/>
        <v>7.0063905313000519E-5</v>
      </c>
      <c r="J4" s="13">
        <f t="shared" si="0"/>
        <v>7.0063905313000519E-5</v>
      </c>
      <c r="K4" s="13">
        <f t="shared" si="0"/>
        <v>7.0063905313000519E-5</v>
      </c>
      <c r="L4" s="13">
        <f t="shared" si="0"/>
        <v>7.0063905313000519E-5</v>
      </c>
      <c r="M4" s="13">
        <f t="shared" si="0"/>
        <v>7.0063905313000519E-5</v>
      </c>
      <c r="N4" s="13">
        <f t="shared" si="0"/>
        <v>7.0063905313000519E-5</v>
      </c>
      <c r="O4" s="13">
        <f t="shared" si="0"/>
        <v>7.0063905313000519E-5</v>
      </c>
      <c r="P4" s="13">
        <f t="shared" si="0"/>
        <v>7.0063905313000519E-5</v>
      </c>
      <c r="Q4" s="13">
        <f t="shared" si="0"/>
        <v>7.0063905313000519E-5</v>
      </c>
      <c r="R4" s="13">
        <f t="shared" si="0"/>
        <v>7.0063905313000519E-5</v>
      </c>
      <c r="S4" s="13">
        <f t="shared" si="0"/>
        <v>7.0063905313000519E-5</v>
      </c>
      <c r="T4" s="13">
        <f t="shared" si="0"/>
        <v>7.0063905313000519E-5</v>
      </c>
      <c r="U4" s="13">
        <f t="shared" si="0"/>
        <v>7.0063905313000519E-5</v>
      </c>
      <c r="V4" s="13">
        <f t="shared" si="0"/>
        <v>7.0063905313000519E-5</v>
      </c>
      <c r="W4" s="13">
        <f t="shared" si="0"/>
        <v>7.0063905313000519E-5</v>
      </c>
      <c r="X4" s="13">
        <f t="shared" si="0"/>
        <v>7.0063905313000519E-5</v>
      </c>
      <c r="Y4" s="13">
        <f t="shared" si="0"/>
        <v>7.0063905313000519E-5</v>
      </c>
      <c r="Z4" s="13">
        <f t="shared" si="0"/>
        <v>7.0063905313000519E-5</v>
      </c>
      <c r="AA4" s="13">
        <f t="shared" si="0"/>
        <v>7.0063905313000519E-5</v>
      </c>
      <c r="AB4" s="13">
        <f t="shared" si="0"/>
        <v>7.0063905313000519E-5</v>
      </c>
      <c r="AC4" s="13">
        <f t="shared" si="0"/>
        <v>7.0063905313000519E-5</v>
      </c>
      <c r="AD4" s="13">
        <f t="shared" si="0"/>
        <v>7.0063905313000519E-5</v>
      </c>
      <c r="AE4" s="13">
        <f t="shared" si="0"/>
        <v>7.0063905313000519E-5</v>
      </c>
      <c r="AF4" s="13">
        <f t="shared" si="0"/>
        <v>7.0063905313000519E-5</v>
      </c>
    </row>
    <row r="5" spans="1:32">
      <c r="A5" s="1" t="s">
        <v>3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4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5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6</v>
      </c>
      <c r="B8">
        <f>'SYFAFE psgr'!H7</f>
        <v>0</v>
      </c>
      <c r="C8" s="13">
        <f t="shared" si="1"/>
        <v>0</v>
      </c>
      <c r="D8" s="13">
        <f t="shared" si="0"/>
        <v>0</v>
      </c>
      <c r="E8" s="13">
        <f t="shared" si="0"/>
        <v>0</v>
      </c>
      <c r="F8" s="13">
        <f t="shared" si="0"/>
        <v>0</v>
      </c>
      <c r="G8" s="13">
        <f t="shared" si="0"/>
        <v>0</v>
      </c>
      <c r="H8" s="13">
        <f t="shared" si="0"/>
        <v>0</v>
      </c>
      <c r="I8" s="13">
        <f t="shared" si="0"/>
        <v>0</v>
      </c>
      <c r="J8" s="13">
        <f t="shared" si="0"/>
        <v>0</v>
      </c>
      <c r="K8" s="13">
        <f t="shared" si="0"/>
        <v>0</v>
      </c>
      <c r="L8" s="13">
        <f t="shared" si="0"/>
        <v>0</v>
      </c>
      <c r="M8" s="13">
        <f t="shared" si="0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13">
        <f t="shared" si="0"/>
        <v>0</v>
      </c>
      <c r="R8" s="13">
        <f t="shared" si="0"/>
        <v>0</v>
      </c>
      <c r="S8" s="13">
        <f t="shared" si="0"/>
        <v>0</v>
      </c>
      <c r="T8" s="13">
        <f t="shared" si="0"/>
        <v>0</v>
      </c>
      <c r="U8" s="13">
        <f t="shared" si="0"/>
        <v>0</v>
      </c>
      <c r="V8" s="13">
        <f t="shared" si="0"/>
        <v>0</v>
      </c>
      <c r="W8" s="13">
        <f t="shared" si="0"/>
        <v>0</v>
      </c>
      <c r="X8" s="13">
        <f t="shared" si="0"/>
        <v>0</v>
      </c>
      <c r="Y8" s="13">
        <f t="shared" si="0"/>
        <v>0</v>
      </c>
      <c r="Z8" s="13">
        <f t="shared" si="0"/>
        <v>0</v>
      </c>
      <c r="AA8" s="13">
        <f t="shared" si="0"/>
        <v>0</v>
      </c>
      <c r="AB8" s="13">
        <f t="shared" si="0"/>
        <v>0</v>
      </c>
      <c r="AC8" s="13">
        <f t="shared" si="0"/>
        <v>0</v>
      </c>
      <c r="AD8" s="13">
        <f t="shared" si="0"/>
        <v>0</v>
      </c>
      <c r="AE8" s="13">
        <f t="shared" si="0"/>
        <v>0</v>
      </c>
      <c r="AF8" s="13">
        <f t="shared" si="0"/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>
      <selection activeCell="T18" sqref="T18"/>
    </sheetView>
  </sheetViews>
  <sheetFormatPr defaultRowHeight="14.4"/>
  <cols>
    <col min="1" max="1" width="32.77734375" bestFit="1" customWidth="1"/>
  </cols>
  <sheetData>
    <row r="1" spans="1:32">
      <c r="A1" s="5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2</v>
      </c>
      <c r="B4" s="21">
        <f>'SYFAFE frgt'!D7</f>
        <v>7.0063905313000519E-5</v>
      </c>
      <c r="C4" s="21">
        <f t="shared" si="1"/>
        <v>7.0063905313000519E-5</v>
      </c>
      <c r="D4" s="21">
        <f t="shared" si="0"/>
        <v>7.0063905313000519E-5</v>
      </c>
      <c r="E4" s="21">
        <f t="shared" si="0"/>
        <v>7.0063905313000519E-5</v>
      </c>
      <c r="F4" s="21">
        <f t="shared" si="0"/>
        <v>7.0063905313000519E-5</v>
      </c>
      <c r="G4" s="21">
        <f t="shared" si="0"/>
        <v>7.0063905313000519E-5</v>
      </c>
      <c r="H4" s="21">
        <f t="shared" si="0"/>
        <v>7.0063905313000519E-5</v>
      </c>
      <c r="I4" s="21">
        <f t="shared" si="0"/>
        <v>7.0063905313000519E-5</v>
      </c>
      <c r="J4" s="21">
        <f t="shared" si="0"/>
        <v>7.0063905313000519E-5</v>
      </c>
      <c r="K4" s="21">
        <f t="shared" si="0"/>
        <v>7.0063905313000519E-5</v>
      </c>
      <c r="L4" s="21">
        <f t="shared" si="0"/>
        <v>7.0063905313000519E-5</v>
      </c>
      <c r="M4" s="21">
        <f t="shared" si="0"/>
        <v>7.0063905313000519E-5</v>
      </c>
      <c r="N4" s="21">
        <f t="shared" si="0"/>
        <v>7.0063905313000519E-5</v>
      </c>
      <c r="O4" s="21">
        <f t="shared" si="0"/>
        <v>7.0063905313000519E-5</v>
      </c>
      <c r="P4" s="21">
        <f t="shared" si="0"/>
        <v>7.0063905313000519E-5</v>
      </c>
      <c r="Q4" s="21">
        <f t="shared" si="0"/>
        <v>7.0063905313000519E-5</v>
      </c>
      <c r="R4" s="21">
        <f t="shared" si="0"/>
        <v>7.0063905313000519E-5</v>
      </c>
      <c r="S4" s="21">
        <f t="shared" si="0"/>
        <v>7.0063905313000519E-5</v>
      </c>
      <c r="T4" s="21">
        <f t="shared" si="0"/>
        <v>7.0063905313000519E-5</v>
      </c>
      <c r="U4" s="21">
        <f t="shared" si="0"/>
        <v>7.0063905313000519E-5</v>
      </c>
      <c r="V4" s="21">
        <f t="shared" si="0"/>
        <v>7.0063905313000519E-5</v>
      </c>
      <c r="W4" s="21">
        <f t="shared" si="0"/>
        <v>7.0063905313000519E-5</v>
      </c>
      <c r="X4" s="21">
        <f t="shared" si="0"/>
        <v>7.0063905313000519E-5</v>
      </c>
      <c r="Y4" s="21">
        <f t="shared" si="0"/>
        <v>7.0063905313000519E-5</v>
      </c>
      <c r="Z4" s="21">
        <f t="shared" si="0"/>
        <v>7.0063905313000519E-5</v>
      </c>
      <c r="AA4" s="21">
        <f t="shared" si="0"/>
        <v>7.0063905313000519E-5</v>
      </c>
      <c r="AB4" s="21">
        <f t="shared" si="0"/>
        <v>7.0063905313000519E-5</v>
      </c>
      <c r="AC4" s="21">
        <f t="shared" si="0"/>
        <v>7.0063905313000519E-5</v>
      </c>
      <c r="AD4" s="21">
        <f t="shared" si="0"/>
        <v>7.0063905313000519E-5</v>
      </c>
      <c r="AE4" s="21">
        <f t="shared" si="0"/>
        <v>7.0063905313000519E-5</v>
      </c>
      <c r="AF4" s="21">
        <f t="shared" si="0"/>
        <v>7.0063905313000519E-5</v>
      </c>
    </row>
    <row r="5" spans="1:32">
      <c r="A5" s="1" t="s">
        <v>3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4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5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6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954CBA-CC49-4137-B897-2F07557F349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GyeHyunPark</dc:creator>
  <cp:lastModifiedBy>Rachel Goldstein</cp:lastModifiedBy>
  <dcterms:created xsi:type="dcterms:W3CDTF">2022-02-10T07:50:47Z</dcterms:created>
  <dcterms:modified xsi:type="dcterms:W3CDTF">2025-05-05T14:20:36Z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