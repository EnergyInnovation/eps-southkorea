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trans\BNoEVC\"/>
    </mc:Choice>
  </mc:AlternateContent>
  <xr:revisionPtr revIDLastSave="0" documentId="13_ncr:1_{4D0524C9-C55C-44A0-A0DC-E688A10E4A4F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About" sheetId="1" r:id="rId1"/>
    <sheet name="202412년_지역별 전기차 충전기 구축현황(누적)" sheetId="8" r:id="rId2"/>
    <sheet name="Calculations" sheetId="4" r:id="rId3"/>
    <sheet name="BNoEVC" sheetId="3" r:id="rId4"/>
  </sheets>
  <definedNames>
    <definedName name="income">Calculations!#REF!</definedName>
    <definedName name="Range_EV">Calculations!#REF!</definedName>
    <definedName name="range_ICE">Calculations!#REF!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B2" i="3"/>
  <c r="H12" i="4"/>
  <c r="I12" i="4"/>
  <c r="J12" i="4"/>
  <c r="K12" i="4"/>
  <c r="L12" i="4"/>
  <c r="U12" i="4"/>
  <c r="V12" i="4"/>
  <c r="W12" i="4"/>
  <c r="X12" i="4"/>
  <c r="Y12" i="4"/>
  <c r="Z12" i="4"/>
  <c r="AA12" i="4"/>
  <c r="AB12" i="4"/>
  <c r="AC12" i="4"/>
  <c r="AD12" i="4"/>
  <c r="F12" i="4"/>
  <c r="E12" i="4"/>
  <c r="D12" i="4"/>
  <c r="C12" i="4"/>
  <c r="B12" i="4"/>
  <c r="M12" i="4" s="1"/>
  <c r="P12" i="4" l="1"/>
  <c r="T12" i="4"/>
  <c r="S12" i="4"/>
  <c r="R12" i="4"/>
  <c r="Q12" i="4"/>
  <c r="G12" i="4"/>
  <c r="O12" i="4"/>
  <c r="AF12" i="4"/>
  <c r="N12" i="4"/>
  <c r="AE12" i="4"/>
</calcChain>
</file>

<file path=xl/sharedStrings.xml><?xml version="1.0" encoding="utf-8"?>
<sst xmlns="http://schemas.openxmlformats.org/spreadsheetml/2006/main" count="107" uniqueCount="52">
  <si>
    <t>Source:</t>
  </si>
  <si>
    <t>Notes</t>
  </si>
  <si>
    <t>2019 to 2012 USD</t>
  </si>
  <si>
    <t>Number of EVSE Ports</t>
  </si>
  <si>
    <t>Currency Conversion</t>
  </si>
  <si>
    <t>Assumed Number of EVSE ports</t>
  </si>
  <si>
    <t>Number of chargers</t>
  </si>
  <si>
    <t>BAU EV Chargers</t>
  </si>
  <si>
    <t>2022 to 2012 USD</t>
  </si>
  <si>
    <t>2021 to 2012 USD</t>
  </si>
  <si>
    <t>BNoEVC BAU Number of EV Chargers</t>
  </si>
  <si>
    <t>https://chargeinfo.ksga.org/front/statistics/charger</t>
    <phoneticPr fontId="6" type="noConversion"/>
  </si>
  <si>
    <t>전기차 충전기 구축현황</t>
    <phoneticPr fontId="6" type="noConversion"/>
  </si>
  <si>
    <t>Charge Info</t>
    <phoneticPr fontId="6" type="noConversion"/>
  </si>
  <si>
    <t>년월</t>
    <phoneticPr fontId="7" type="noConversion"/>
  </si>
  <si>
    <t>충전속도</t>
    <phoneticPr fontId="7" type="noConversion"/>
  </si>
  <si>
    <t>서울</t>
    <phoneticPr fontId="7" type="noConversion"/>
  </si>
  <si>
    <t>경기</t>
    <phoneticPr fontId="7" type="noConversion"/>
  </si>
  <si>
    <t>인천</t>
    <phoneticPr fontId="7" type="noConversion"/>
  </si>
  <si>
    <t>경상</t>
    <phoneticPr fontId="7" type="noConversion"/>
  </si>
  <si>
    <t>전라</t>
    <phoneticPr fontId="7" type="noConversion"/>
  </si>
  <si>
    <t>충청</t>
    <phoneticPr fontId="7" type="noConversion"/>
  </si>
  <si>
    <t>강원</t>
    <phoneticPr fontId="7" type="noConversion"/>
  </si>
  <si>
    <t>제주</t>
    <phoneticPr fontId="7" type="noConversion"/>
  </si>
  <si>
    <t>합계</t>
    <phoneticPr fontId="7" type="noConversion"/>
  </si>
  <si>
    <t>2024-12</t>
  </si>
  <si>
    <t>완속</t>
  </si>
  <si>
    <t>급속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</si>
  <si>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</si>
  <si>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</si>
  <si>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</si>
  <si>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</si>
  <si>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</si>
  <si>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</si>
  <si>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</si>
  <si>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</si>
  <si>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</si>
  <si>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</si>
  <si>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</si>
  <si>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</si>
  <si>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2023-06</t>
  </si>
  <si>
    <t>2022-12</t>
  </si>
  <si>
    <t>2022-06</t>
  </si>
  <si>
    <t>2021-12</t>
  </si>
  <si>
    <t>2021-06</t>
  </si>
  <si>
    <t>2020-12</t>
  </si>
  <si>
    <t>연도</t>
    <phoneticPr fontId="6" type="noConversion"/>
  </si>
  <si>
    <t xml:space="preserve">전기가 충전기 </t>
    <phoneticPr fontId="6" type="noConversion"/>
  </si>
  <si>
    <t>2030*</t>
    <phoneticPr fontId="6" type="noConversion"/>
  </si>
  <si>
    <t>* 전기차 충전기 보급 목표</t>
    <phoneticPr fontId="6" type="noConversion"/>
  </si>
  <si>
    <t>지역별 전기차 충전기 구축현황(누적)</t>
    <phoneticPr fontId="9" type="noConversion"/>
  </si>
  <si>
    <t>Using data on EV charger deployment in South Korea from 2020 to 2024, we projected the deployment from 2025 to 2050.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</si>
</sst>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_-* #,##0_р_._-;\-* #,##0_р_._-;_-* &quot;-&quot;_р_._-;_-@_-"/>
    <numFmt numFmtId="181" formatCode="0.00_);\(0.00\)"/>
  </numFmts>
  <fonts count="11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  <charset val="204"/>
    </font>
    <font>
      <b/>
      <sz val="2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  <xf numFmtId="180" fontId="7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/>
    <xf numFmtId="0" fontId="5" fillId="0" borderId="0" xfId="2" applyFont="1" applyAlignment="1">
      <alignment horizontal="right"/>
    </xf>
    <xf numFmtId="0" fontId="4" fillId="0" borderId="0" xfId="2" applyFont="1"/>
    <xf numFmtId="0" fontId="8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181" fontId="10" fillId="0" borderId="1" xfId="4" applyNumberFormat="1" applyFont="1" applyBorder="1" applyAlignment="1">
      <alignment horizontal="center" vertical="center"/>
    </xf>
    <xf numFmtId="0" fontId="7" fillId="0" borderId="1" xfId="3" applyBorder="1" applyAlignment="1">
      <alignment horizontal="center" vertical="center"/>
    </xf>
    <xf numFmtId="181" fontId="0" fillId="0" borderId="0" xfId="4" applyNumberFormat="1" applyFont="1" applyAlignment="1">
      <alignment horizontal="center" vertical="center"/>
    </xf>
    <xf numFmtId="0" fontId="7" fillId="0" borderId="1" xfId="3" applyNumberFormat="1" applyBorder="1" applyAlignment="1">
      <alignment horizontal="center" vertical="center"/>
    </xf>
  </cellXfs>
  <cellStyles count="5">
    <cellStyle name="Normal 3 2" xfId="2" xr:uid="{3F0B3957-5839-491A-BB84-14323CF38870}"/>
    <cellStyle name="쉼표 [0] 2" xfId="4" xr:uid="{ADF53934-01A2-4D18-AFDD-4273AFB69E92}"/>
    <cellStyle name="표준" xfId="0" builtinId="0"/>
    <cellStyle name="표준 2" xfId="3" xr:uid="{5372D113-FA35-487D-A68D-32E568451BA1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rgeinfo.ksga.org/front/statistics/charg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48" sqref="B48"/>
    </sheetView>
  </sheetViews>
  <sheetFormatPr defaultRowHeight="16.5" x14ac:dyDescent="0.3"/>
  <cols>
    <col min="1" max="1" width="16.625" customWidth="1"/>
    <col min="2" max="2" width="31.875" customWidth="1"/>
  </cols>
  <sheetData>
    <row r="1" spans="1:2" x14ac:dyDescent="0.3">
      <c r="A1" s="1" t="s">
        <v>10</v>
      </c>
    </row>
    <row r="3" spans="1:2" x14ac:dyDescent="0.3">
      <c r="A3" s="1" t="s">
        <v>0</v>
      </c>
      <c r="B3" s="4" t="s">
        <v>3</v>
      </c>
    </row>
    <row r="4" spans="1:2" x14ac:dyDescent="0.3">
      <c r="B4" t="s">
        <v>13</v>
      </c>
    </row>
    <row r="5" spans="1:2" x14ac:dyDescent="0.3">
      <c r="B5" s="5">
        <v>2025</v>
      </c>
    </row>
    <row r="6" spans="1:2" x14ac:dyDescent="0.3">
      <c r="B6" t="s">
        <v>12</v>
      </c>
    </row>
    <row r="7" spans="1:2" x14ac:dyDescent="0.3">
      <c r="B7" s="6" t="s">
        <v>11</v>
      </c>
    </row>
    <row r="11" spans="1:2" x14ac:dyDescent="0.3">
      <c r="A11" s="1" t="s">
        <v>1</v>
      </c>
    </row>
    <row r="12" spans="1:2" x14ac:dyDescent="0.3">
      <c r="A12" t="s">
        <v>4</v>
      </c>
      <c r="B12">
        <v>0.89805481563188172</v>
      </c>
    </row>
    <row r="13" spans="1:2" x14ac:dyDescent="0.3">
      <c r="A13" t="s">
        <v>2</v>
      </c>
      <c r="B13">
        <v>0.84730412960844359</v>
      </c>
    </row>
    <row r="14" spans="1:2" x14ac:dyDescent="0.3">
      <c r="A14" t="s">
        <v>9</v>
      </c>
      <c r="B14" s="8">
        <v>0.78500000000000003</v>
      </c>
    </row>
    <row r="15" spans="1:2" x14ac:dyDescent="0.3">
      <c r="A15" s="7" t="s">
        <v>8</v>
      </c>
      <c r="B15" s="8"/>
    </row>
    <row r="16" spans="1:2" x14ac:dyDescent="0.3">
      <c r="A16" s="9"/>
    </row>
    <row r="17" spans="1:1" x14ac:dyDescent="0.3">
      <c r="A17" t="s">
        <v>51</v>
      </c>
    </row>
  </sheetData>
  <phoneticPr fontId="6" type="noConversion"/>
  <hyperlinks>
    <hyperlink ref="B7" r:id="rId1" xr:uid="{A9FE6E4E-96E0-4A7F-ADF1-120D3A96C7C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F794-C2BC-40C2-8266-B7F75219926D}">
  <dimension ref="A1:K42"/>
  <sheetViews>
    <sheetView workbookViewId="0">
      <selection activeCell="A3" sqref="A3"/>
    </sheetView>
  </sheetViews>
  <sheetFormatPr defaultRowHeight="16.5" x14ac:dyDescent="0.3"/>
  <cols>
    <col min="1" max="1" width="18.875" style="11" bestFit="1" customWidth="1"/>
    <col min="2" max="3" width="18.875" style="11" customWidth="1"/>
    <col min="4" max="8" width="18.875" style="11" bestFit="1" customWidth="1"/>
    <col min="9" max="10" width="18.875" style="15" bestFit="1" customWidth="1"/>
    <col min="11" max="11" width="18.875" style="11" bestFit="1" customWidth="1"/>
    <col min="12" max="256" width="9" style="11"/>
    <col min="257" max="257" width="18.875" style="11" bestFit="1" customWidth="1"/>
    <col min="258" max="259" width="18.875" style="11" customWidth="1"/>
    <col min="260" max="267" width="18.875" style="11" bestFit="1" customWidth="1"/>
    <col min="268" max="512" width="9" style="11"/>
    <col min="513" max="513" width="18.875" style="11" bestFit="1" customWidth="1"/>
    <col min="514" max="515" width="18.875" style="11" customWidth="1"/>
    <col min="516" max="523" width="18.875" style="11" bestFit="1" customWidth="1"/>
    <col min="524" max="768" width="9" style="11"/>
    <col min="769" max="769" width="18.875" style="11" bestFit="1" customWidth="1"/>
    <col min="770" max="771" width="18.875" style="11" customWidth="1"/>
    <col min="772" max="779" width="18.875" style="11" bestFit="1" customWidth="1"/>
    <col min="780" max="1024" width="9" style="11"/>
    <col min="1025" max="1025" width="18.875" style="11" bestFit="1" customWidth="1"/>
    <col min="1026" max="1027" width="18.875" style="11" customWidth="1"/>
    <col min="1028" max="1035" width="18.875" style="11" bestFit="1" customWidth="1"/>
    <col min="1036" max="1280" width="9" style="11"/>
    <col min="1281" max="1281" width="18.875" style="11" bestFit="1" customWidth="1"/>
    <col min="1282" max="1283" width="18.875" style="11" customWidth="1"/>
    <col min="1284" max="1291" width="18.875" style="11" bestFit="1" customWidth="1"/>
    <col min="1292" max="1536" width="9" style="11"/>
    <col min="1537" max="1537" width="18.875" style="11" bestFit="1" customWidth="1"/>
    <col min="1538" max="1539" width="18.875" style="11" customWidth="1"/>
    <col min="1540" max="1547" width="18.875" style="11" bestFit="1" customWidth="1"/>
    <col min="1548" max="1792" width="9" style="11"/>
    <col min="1793" max="1793" width="18.875" style="11" bestFit="1" customWidth="1"/>
    <col min="1794" max="1795" width="18.875" style="11" customWidth="1"/>
    <col min="1796" max="1803" width="18.875" style="11" bestFit="1" customWidth="1"/>
    <col min="1804" max="2048" width="9" style="11"/>
    <col min="2049" max="2049" width="18.875" style="11" bestFit="1" customWidth="1"/>
    <col min="2050" max="2051" width="18.875" style="11" customWidth="1"/>
    <col min="2052" max="2059" width="18.875" style="11" bestFit="1" customWidth="1"/>
    <col min="2060" max="2304" width="9" style="11"/>
    <col min="2305" max="2305" width="18.875" style="11" bestFit="1" customWidth="1"/>
    <col min="2306" max="2307" width="18.875" style="11" customWidth="1"/>
    <col min="2308" max="2315" width="18.875" style="11" bestFit="1" customWidth="1"/>
    <col min="2316" max="2560" width="9" style="11"/>
    <col min="2561" max="2561" width="18.875" style="11" bestFit="1" customWidth="1"/>
    <col min="2562" max="2563" width="18.875" style="11" customWidth="1"/>
    <col min="2564" max="2571" width="18.875" style="11" bestFit="1" customWidth="1"/>
    <col min="2572" max="2816" width="9" style="11"/>
    <col min="2817" max="2817" width="18.875" style="11" bestFit="1" customWidth="1"/>
    <col min="2818" max="2819" width="18.875" style="11" customWidth="1"/>
    <col min="2820" max="2827" width="18.875" style="11" bestFit="1" customWidth="1"/>
    <col min="2828" max="3072" width="9" style="11"/>
    <col min="3073" max="3073" width="18.875" style="11" bestFit="1" customWidth="1"/>
    <col min="3074" max="3075" width="18.875" style="11" customWidth="1"/>
    <col min="3076" max="3083" width="18.875" style="11" bestFit="1" customWidth="1"/>
    <col min="3084" max="3328" width="9" style="11"/>
    <col min="3329" max="3329" width="18.875" style="11" bestFit="1" customWidth="1"/>
    <col min="3330" max="3331" width="18.875" style="11" customWidth="1"/>
    <col min="3332" max="3339" width="18.875" style="11" bestFit="1" customWidth="1"/>
    <col min="3340" max="3584" width="9" style="11"/>
    <col min="3585" max="3585" width="18.875" style="11" bestFit="1" customWidth="1"/>
    <col min="3586" max="3587" width="18.875" style="11" customWidth="1"/>
    <col min="3588" max="3595" width="18.875" style="11" bestFit="1" customWidth="1"/>
    <col min="3596" max="3840" width="9" style="11"/>
    <col min="3841" max="3841" width="18.875" style="11" bestFit="1" customWidth="1"/>
    <col min="3842" max="3843" width="18.875" style="11" customWidth="1"/>
    <col min="3844" max="3851" width="18.875" style="11" bestFit="1" customWidth="1"/>
    <col min="3852" max="4096" width="9" style="11"/>
    <col min="4097" max="4097" width="18.875" style="11" bestFit="1" customWidth="1"/>
    <col min="4098" max="4099" width="18.875" style="11" customWidth="1"/>
    <col min="4100" max="4107" width="18.875" style="11" bestFit="1" customWidth="1"/>
    <col min="4108" max="4352" width="9" style="11"/>
    <col min="4353" max="4353" width="18.875" style="11" bestFit="1" customWidth="1"/>
    <col min="4354" max="4355" width="18.875" style="11" customWidth="1"/>
    <col min="4356" max="4363" width="18.875" style="11" bestFit="1" customWidth="1"/>
    <col min="4364" max="4608" width="9" style="11"/>
    <col min="4609" max="4609" width="18.875" style="11" bestFit="1" customWidth="1"/>
    <col min="4610" max="4611" width="18.875" style="11" customWidth="1"/>
    <col min="4612" max="4619" width="18.875" style="11" bestFit="1" customWidth="1"/>
    <col min="4620" max="4864" width="9" style="11"/>
    <col min="4865" max="4865" width="18.875" style="11" bestFit="1" customWidth="1"/>
    <col min="4866" max="4867" width="18.875" style="11" customWidth="1"/>
    <col min="4868" max="4875" width="18.875" style="11" bestFit="1" customWidth="1"/>
    <col min="4876" max="5120" width="9" style="11"/>
    <col min="5121" max="5121" width="18.875" style="11" bestFit="1" customWidth="1"/>
    <col min="5122" max="5123" width="18.875" style="11" customWidth="1"/>
    <col min="5124" max="5131" width="18.875" style="11" bestFit="1" customWidth="1"/>
    <col min="5132" max="5376" width="9" style="11"/>
    <col min="5377" max="5377" width="18.875" style="11" bestFit="1" customWidth="1"/>
    <col min="5378" max="5379" width="18.875" style="11" customWidth="1"/>
    <col min="5380" max="5387" width="18.875" style="11" bestFit="1" customWidth="1"/>
    <col min="5388" max="5632" width="9" style="11"/>
    <col min="5633" max="5633" width="18.875" style="11" bestFit="1" customWidth="1"/>
    <col min="5634" max="5635" width="18.875" style="11" customWidth="1"/>
    <col min="5636" max="5643" width="18.875" style="11" bestFit="1" customWidth="1"/>
    <col min="5644" max="5888" width="9" style="11"/>
    <col min="5889" max="5889" width="18.875" style="11" bestFit="1" customWidth="1"/>
    <col min="5890" max="5891" width="18.875" style="11" customWidth="1"/>
    <col min="5892" max="5899" width="18.875" style="11" bestFit="1" customWidth="1"/>
    <col min="5900" max="6144" width="9" style="11"/>
    <col min="6145" max="6145" width="18.875" style="11" bestFit="1" customWidth="1"/>
    <col min="6146" max="6147" width="18.875" style="11" customWidth="1"/>
    <col min="6148" max="6155" width="18.875" style="11" bestFit="1" customWidth="1"/>
    <col min="6156" max="6400" width="9" style="11"/>
    <col min="6401" max="6401" width="18.875" style="11" bestFit="1" customWidth="1"/>
    <col min="6402" max="6403" width="18.875" style="11" customWidth="1"/>
    <col min="6404" max="6411" width="18.875" style="11" bestFit="1" customWidth="1"/>
    <col min="6412" max="6656" width="9" style="11"/>
    <col min="6657" max="6657" width="18.875" style="11" bestFit="1" customWidth="1"/>
    <col min="6658" max="6659" width="18.875" style="11" customWidth="1"/>
    <col min="6660" max="6667" width="18.875" style="11" bestFit="1" customWidth="1"/>
    <col min="6668" max="6912" width="9" style="11"/>
    <col min="6913" max="6913" width="18.875" style="11" bestFit="1" customWidth="1"/>
    <col min="6914" max="6915" width="18.875" style="11" customWidth="1"/>
    <col min="6916" max="6923" width="18.875" style="11" bestFit="1" customWidth="1"/>
    <col min="6924" max="7168" width="9" style="11"/>
    <col min="7169" max="7169" width="18.875" style="11" bestFit="1" customWidth="1"/>
    <col min="7170" max="7171" width="18.875" style="11" customWidth="1"/>
    <col min="7172" max="7179" width="18.875" style="11" bestFit="1" customWidth="1"/>
    <col min="7180" max="7424" width="9" style="11"/>
    <col min="7425" max="7425" width="18.875" style="11" bestFit="1" customWidth="1"/>
    <col min="7426" max="7427" width="18.875" style="11" customWidth="1"/>
    <col min="7428" max="7435" width="18.875" style="11" bestFit="1" customWidth="1"/>
    <col min="7436" max="7680" width="9" style="11"/>
    <col min="7681" max="7681" width="18.875" style="11" bestFit="1" customWidth="1"/>
    <col min="7682" max="7683" width="18.875" style="11" customWidth="1"/>
    <col min="7684" max="7691" width="18.875" style="11" bestFit="1" customWidth="1"/>
    <col min="7692" max="7936" width="9" style="11"/>
    <col min="7937" max="7937" width="18.875" style="11" bestFit="1" customWidth="1"/>
    <col min="7938" max="7939" width="18.875" style="11" customWidth="1"/>
    <col min="7940" max="7947" width="18.875" style="11" bestFit="1" customWidth="1"/>
    <col min="7948" max="8192" width="9" style="11"/>
    <col min="8193" max="8193" width="18.875" style="11" bestFit="1" customWidth="1"/>
    <col min="8194" max="8195" width="18.875" style="11" customWidth="1"/>
    <col min="8196" max="8203" width="18.875" style="11" bestFit="1" customWidth="1"/>
    <col min="8204" max="8448" width="9" style="11"/>
    <col min="8449" max="8449" width="18.875" style="11" bestFit="1" customWidth="1"/>
    <col min="8450" max="8451" width="18.875" style="11" customWidth="1"/>
    <col min="8452" max="8459" width="18.875" style="11" bestFit="1" customWidth="1"/>
    <col min="8460" max="8704" width="9" style="11"/>
    <col min="8705" max="8705" width="18.875" style="11" bestFit="1" customWidth="1"/>
    <col min="8706" max="8707" width="18.875" style="11" customWidth="1"/>
    <col min="8708" max="8715" width="18.875" style="11" bestFit="1" customWidth="1"/>
    <col min="8716" max="8960" width="9" style="11"/>
    <col min="8961" max="8961" width="18.875" style="11" bestFit="1" customWidth="1"/>
    <col min="8962" max="8963" width="18.875" style="11" customWidth="1"/>
    <col min="8964" max="8971" width="18.875" style="11" bestFit="1" customWidth="1"/>
    <col min="8972" max="9216" width="9" style="11"/>
    <col min="9217" max="9217" width="18.875" style="11" bestFit="1" customWidth="1"/>
    <col min="9218" max="9219" width="18.875" style="11" customWidth="1"/>
    <col min="9220" max="9227" width="18.875" style="11" bestFit="1" customWidth="1"/>
    <col min="9228" max="9472" width="9" style="11"/>
    <col min="9473" max="9473" width="18.875" style="11" bestFit="1" customWidth="1"/>
    <col min="9474" max="9475" width="18.875" style="11" customWidth="1"/>
    <col min="9476" max="9483" width="18.875" style="11" bestFit="1" customWidth="1"/>
    <col min="9484" max="9728" width="9" style="11"/>
    <col min="9729" max="9729" width="18.875" style="11" bestFit="1" customWidth="1"/>
    <col min="9730" max="9731" width="18.875" style="11" customWidth="1"/>
    <col min="9732" max="9739" width="18.875" style="11" bestFit="1" customWidth="1"/>
    <col min="9740" max="9984" width="9" style="11"/>
    <col min="9985" max="9985" width="18.875" style="11" bestFit="1" customWidth="1"/>
    <col min="9986" max="9987" width="18.875" style="11" customWidth="1"/>
    <col min="9988" max="9995" width="18.875" style="11" bestFit="1" customWidth="1"/>
    <col min="9996" max="10240" width="9" style="11"/>
    <col min="10241" max="10241" width="18.875" style="11" bestFit="1" customWidth="1"/>
    <col min="10242" max="10243" width="18.875" style="11" customWidth="1"/>
    <col min="10244" max="10251" width="18.875" style="11" bestFit="1" customWidth="1"/>
    <col min="10252" max="10496" width="9" style="11"/>
    <col min="10497" max="10497" width="18.875" style="11" bestFit="1" customWidth="1"/>
    <col min="10498" max="10499" width="18.875" style="11" customWidth="1"/>
    <col min="10500" max="10507" width="18.875" style="11" bestFit="1" customWidth="1"/>
    <col min="10508" max="10752" width="9" style="11"/>
    <col min="10753" max="10753" width="18.875" style="11" bestFit="1" customWidth="1"/>
    <col min="10754" max="10755" width="18.875" style="11" customWidth="1"/>
    <col min="10756" max="10763" width="18.875" style="11" bestFit="1" customWidth="1"/>
    <col min="10764" max="11008" width="9" style="11"/>
    <col min="11009" max="11009" width="18.875" style="11" bestFit="1" customWidth="1"/>
    <col min="11010" max="11011" width="18.875" style="11" customWidth="1"/>
    <col min="11012" max="11019" width="18.875" style="11" bestFit="1" customWidth="1"/>
    <col min="11020" max="11264" width="9" style="11"/>
    <col min="11265" max="11265" width="18.875" style="11" bestFit="1" customWidth="1"/>
    <col min="11266" max="11267" width="18.875" style="11" customWidth="1"/>
    <col min="11268" max="11275" width="18.875" style="11" bestFit="1" customWidth="1"/>
    <col min="11276" max="11520" width="9" style="11"/>
    <col min="11521" max="11521" width="18.875" style="11" bestFit="1" customWidth="1"/>
    <col min="11522" max="11523" width="18.875" style="11" customWidth="1"/>
    <col min="11524" max="11531" width="18.875" style="11" bestFit="1" customWidth="1"/>
    <col min="11532" max="11776" width="9" style="11"/>
    <col min="11777" max="11777" width="18.875" style="11" bestFit="1" customWidth="1"/>
    <col min="11778" max="11779" width="18.875" style="11" customWidth="1"/>
    <col min="11780" max="11787" width="18.875" style="11" bestFit="1" customWidth="1"/>
    <col min="11788" max="12032" width="9" style="11"/>
    <col min="12033" max="12033" width="18.875" style="11" bestFit="1" customWidth="1"/>
    <col min="12034" max="12035" width="18.875" style="11" customWidth="1"/>
    <col min="12036" max="12043" width="18.875" style="11" bestFit="1" customWidth="1"/>
    <col min="12044" max="12288" width="9" style="11"/>
    <col min="12289" max="12289" width="18.875" style="11" bestFit="1" customWidth="1"/>
    <col min="12290" max="12291" width="18.875" style="11" customWidth="1"/>
    <col min="12292" max="12299" width="18.875" style="11" bestFit="1" customWidth="1"/>
    <col min="12300" max="12544" width="9" style="11"/>
    <col min="12545" max="12545" width="18.875" style="11" bestFit="1" customWidth="1"/>
    <col min="12546" max="12547" width="18.875" style="11" customWidth="1"/>
    <col min="12548" max="12555" width="18.875" style="11" bestFit="1" customWidth="1"/>
    <col min="12556" max="12800" width="9" style="11"/>
    <col min="12801" max="12801" width="18.875" style="11" bestFit="1" customWidth="1"/>
    <col min="12802" max="12803" width="18.875" style="11" customWidth="1"/>
    <col min="12804" max="12811" width="18.875" style="11" bestFit="1" customWidth="1"/>
    <col min="12812" max="13056" width="9" style="11"/>
    <col min="13057" max="13057" width="18.875" style="11" bestFit="1" customWidth="1"/>
    <col min="13058" max="13059" width="18.875" style="11" customWidth="1"/>
    <col min="13060" max="13067" width="18.875" style="11" bestFit="1" customWidth="1"/>
    <col min="13068" max="13312" width="9" style="11"/>
    <col min="13313" max="13313" width="18.875" style="11" bestFit="1" customWidth="1"/>
    <col min="13314" max="13315" width="18.875" style="11" customWidth="1"/>
    <col min="13316" max="13323" width="18.875" style="11" bestFit="1" customWidth="1"/>
    <col min="13324" max="13568" width="9" style="11"/>
    <col min="13569" max="13569" width="18.875" style="11" bestFit="1" customWidth="1"/>
    <col min="13570" max="13571" width="18.875" style="11" customWidth="1"/>
    <col min="13572" max="13579" width="18.875" style="11" bestFit="1" customWidth="1"/>
    <col min="13580" max="13824" width="9" style="11"/>
    <col min="13825" max="13825" width="18.875" style="11" bestFit="1" customWidth="1"/>
    <col min="13826" max="13827" width="18.875" style="11" customWidth="1"/>
    <col min="13828" max="13835" width="18.875" style="11" bestFit="1" customWidth="1"/>
    <col min="13836" max="14080" width="9" style="11"/>
    <col min="14081" max="14081" width="18.875" style="11" bestFit="1" customWidth="1"/>
    <col min="14082" max="14083" width="18.875" style="11" customWidth="1"/>
    <col min="14084" max="14091" width="18.875" style="11" bestFit="1" customWidth="1"/>
    <col min="14092" max="14336" width="9" style="11"/>
    <col min="14337" max="14337" width="18.875" style="11" bestFit="1" customWidth="1"/>
    <col min="14338" max="14339" width="18.875" style="11" customWidth="1"/>
    <col min="14340" max="14347" width="18.875" style="11" bestFit="1" customWidth="1"/>
    <col min="14348" max="14592" width="9" style="11"/>
    <col min="14593" max="14593" width="18.875" style="11" bestFit="1" customWidth="1"/>
    <col min="14594" max="14595" width="18.875" style="11" customWidth="1"/>
    <col min="14596" max="14603" width="18.875" style="11" bestFit="1" customWidth="1"/>
    <col min="14604" max="14848" width="9" style="11"/>
    <col min="14849" max="14849" width="18.875" style="11" bestFit="1" customWidth="1"/>
    <col min="14850" max="14851" width="18.875" style="11" customWidth="1"/>
    <col min="14852" max="14859" width="18.875" style="11" bestFit="1" customWidth="1"/>
    <col min="14860" max="15104" width="9" style="11"/>
    <col min="15105" max="15105" width="18.875" style="11" bestFit="1" customWidth="1"/>
    <col min="15106" max="15107" width="18.875" style="11" customWidth="1"/>
    <col min="15108" max="15115" width="18.875" style="11" bestFit="1" customWidth="1"/>
    <col min="15116" max="15360" width="9" style="11"/>
    <col min="15361" max="15361" width="18.875" style="11" bestFit="1" customWidth="1"/>
    <col min="15362" max="15363" width="18.875" style="11" customWidth="1"/>
    <col min="15364" max="15371" width="18.875" style="11" bestFit="1" customWidth="1"/>
    <col min="15372" max="15616" width="9" style="11"/>
    <col min="15617" max="15617" width="18.875" style="11" bestFit="1" customWidth="1"/>
    <col min="15618" max="15619" width="18.875" style="11" customWidth="1"/>
    <col min="15620" max="15627" width="18.875" style="11" bestFit="1" customWidth="1"/>
    <col min="15628" max="15872" width="9" style="11"/>
    <col min="15873" max="15873" width="18.875" style="11" bestFit="1" customWidth="1"/>
    <col min="15874" max="15875" width="18.875" style="11" customWidth="1"/>
    <col min="15876" max="15883" width="18.875" style="11" bestFit="1" customWidth="1"/>
    <col min="15884" max="16128" width="9" style="11"/>
    <col min="16129" max="16129" width="18.875" style="11" bestFit="1" customWidth="1"/>
    <col min="16130" max="16131" width="18.875" style="11" customWidth="1"/>
    <col min="16132" max="16139" width="18.875" style="11" bestFit="1" customWidth="1"/>
    <col min="16140" max="16384" width="9" style="11"/>
  </cols>
  <sheetData>
    <row r="1" spans="1:11" ht="12.75" customHeight="1" x14ac:dyDescent="0.3">
      <c r="A1" s="10" t="s">
        <v>50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2.7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4" spans="1:11" ht="14.25" x14ac:dyDescent="0.3">
      <c r="A4" s="12" t="s">
        <v>14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3" t="s">
        <v>22</v>
      </c>
      <c r="J4" s="13" t="s">
        <v>23</v>
      </c>
      <c r="K4" s="13" t="s">
        <v>24</v>
      </c>
    </row>
    <row r="5" spans="1:11" ht="12.75" x14ac:dyDescent="0.3">
      <c r="A5" s="14" t="s">
        <v>25</v>
      </c>
      <c r="B5" s="14" t="s">
        <v>26</v>
      </c>
      <c r="C5" s="16">
        <v>56070</v>
      </c>
      <c r="D5" s="16">
        <v>20513</v>
      </c>
      <c r="E5" s="16">
        <v>102272</v>
      </c>
      <c r="F5" s="16">
        <v>11481</v>
      </c>
      <c r="G5" s="16">
        <v>41015</v>
      </c>
      <c r="H5" s="16">
        <v>32713</v>
      </c>
      <c r="I5" s="16">
        <v>79228</v>
      </c>
      <c r="J5" s="16">
        <v>6264</v>
      </c>
      <c r="K5" s="16">
        <v>349556</v>
      </c>
    </row>
    <row r="6" spans="1:11" ht="12.6" customHeight="1" x14ac:dyDescent="0.3">
      <c r="A6" s="14" t="s">
        <v>25</v>
      </c>
      <c r="B6" s="14" t="s">
        <v>27</v>
      </c>
      <c r="C6" s="16">
        <v>4545</v>
      </c>
      <c r="D6" s="16">
        <v>1836</v>
      </c>
      <c r="E6" s="16">
        <v>10112</v>
      </c>
      <c r="F6" s="16">
        <v>2337</v>
      </c>
      <c r="G6" s="16">
        <v>6232</v>
      </c>
      <c r="H6" s="16">
        <v>5872</v>
      </c>
      <c r="I6" s="16">
        <v>11345</v>
      </c>
      <c r="J6" s="16">
        <v>2297</v>
      </c>
      <c r="K6" s="16">
        <v>44576</v>
      </c>
    </row>
    <row r="7" spans="1:11" ht="12.6" customHeight="1" x14ac:dyDescent="0.3">
      <c r="A7" s="14" t="s">
        <v>28</v>
      </c>
      <c r="B7" s="14" t="s">
        <v>26</v>
      </c>
      <c r="C7" s="16">
        <v>55617</v>
      </c>
      <c r="D7" s="16">
        <v>20003</v>
      </c>
      <c r="E7" s="16">
        <v>99689</v>
      </c>
      <c r="F7" s="16">
        <v>11237</v>
      </c>
      <c r="G7" s="16">
        <v>39615</v>
      </c>
      <c r="H7" s="16">
        <v>32179</v>
      </c>
      <c r="I7" s="16">
        <v>76708</v>
      </c>
      <c r="J7" s="16">
        <v>6258</v>
      </c>
      <c r="K7" s="16">
        <v>341306</v>
      </c>
    </row>
    <row r="8" spans="1:11" ht="12.6" customHeight="1" x14ac:dyDescent="0.3">
      <c r="A8" s="14" t="s">
        <v>28</v>
      </c>
      <c r="B8" s="14" t="s">
        <v>27</v>
      </c>
      <c r="C8" s="16">
        <v>4584</v>
      </c>
      <c r="D8" s="16">
        <v>1792</v>
      </c>
      <c r="E8" s="16">
        <v>9778</v>
      </c>
      <c r="F8" s="16">
        <v>2281</v>
      </c>
      <c r="G8" s="16">
        <v>6020</v>
      </c>
      <c r="H8" s="16">
        <v>5732</v>
      </c>
      <c r="I8" s="16">
        <v>11120</v>
      </c>
      <c r="J8" s="16">
        <v>2261</v>
      </c>
      <c r="K8" s="16">
        <v>43568</v>
      </c>
    </row>
    <row r="9" spans="1:11" ht="12.6" customHeight="1" x14ac:dyDescent="0.3">
      <c r="A9" s="14" t="s">
        <v>29</v>
      </c>
      <c r="B9" s="14" t="s">
        <v>26</v>
      </c>
      <c r="C9" s="16">
        <v>55028</v>
      </c>
      <c r="D9" s="16">
        <v>19293</v>
      </c>
      <c r="E9" s="16">
        <v>97333</v>
      </c>
      <c r="F9" s="16">
        <v>11012</v>
      </c>
      <c r="G9" s="16">
        <v>38786</v>
      </c>
      <c r="H9" s="16">
        <v>31371</v>
      </c>
      <c r="I9" s="16">
        <v>75307</v>
      </c>
      <c r="J9" s="16">
        <v>6255</v>
      </c>
      <c r="K9" s="16">
        <v>334385</v>
      </c>
    </row>
    <row r="10" spans="1:11" ht="12.6" customHeight="1" x14ac:dyDescent="0.3">
      <c r="A10" s="14" t="s">
        <v>29</v>
      </c>
      <c r="B10" s="14" t="s">
        <v>27</v>
      </c>
      <c r="C10" s="16">
        <v>4496</v>
      </c>
      <c r="D10" s="16">
        <v>1768</v>
      </c>
      <c r="E10" s="16">
        <v>9634</v>
      </c>
      <c r="F10" s="16">
        <v>2291</v>
      </c>
      <c r="G10" s="16">
        <v>5998</v>
      </c>
      <c r="H10" s="16">
        <v>5695</v>
      </c>
      <c r="I10" s="16">
        <v>11030</v>
      </c>
      <c r="J10" s="16">
        <v>2234</v>
      </c>
      <c r="K10" s="16">
        <v>43146</v>
      </c>
    </row>
    <row r="11" spans="1:11" ht="12.6" customHeight="1" x14ac:dyDescent="0.3">
      <c r="A11" s="14" t="s">
        <v>30</v>
      </c>
      <c r="B11" s="14" t="s">
        <v>26</v>
      </c>
      <c r="C11" s="16">
        <v>54014</v>
      </c>
      <c r="D11" s="16">
        <v>18757</v>
      </c>
      <c r="E11" s="16">
        <v>94429</v>
      </c>
      <c r="F11" s="16">
        <v>10835</v>
      </c>
      <c r="G11" s="16">
        <v>38069</v>
      </c>
      <c r="H11" s="16">
        <v>30598</v>
      </c>
      <c r="I11" s="16">
        <v>73968</v>
      </c>
      <c r="J11" s="16">
        <v>6133</v>
      </c>
      <c r="K11" s="16">
        <v>326803</v>
      </c>
    </row>
    <row r="12" spans="1:11" ht="12.6" customHeight="1" x14ac:dyDescent="0.3">
      <c r="A12" s="14" t="s">
        <v>30</v>
      </c>
      <c r="B12" s="14" t="s">
        <v>27</v>
      </c>
      <c r="C12" s="16">
        <v>4770</v>
      </c>
      <c r="D12" s="16">
        <v>1745</v>
      </c>
      <c r="E12" s="16">
        <v>9803</v>
      </c>
      <c r="F12" s="16">
        <v>2274</v>
      </c>
      <c r="G12" s="16">
        <v>5866</v>
      </c>
      <c r="H12" s="16">
        <v>5636</v>
      </c>
      <c r="I12" s="16">
        <v>10902</v>
      </c>
      <c r="J12" s="16">
        <v>2228</v>
      </c>
      <c r="K12" s="16">
        <v>43224</v>
      </c>
    </row>
    <row r="13" spans="1:11" ht="12.6" customHeight="1" x14ac:dyDescent="0.3">
      <c r="A13" s="14" t="s">
        <v>31</v>
      </c>
      <c r="B13" s="14" t="s">
        <v>26</v>
      </c>
      <c r="C13" s="16">
        <v>53431</v>
      </c>
      <c r="D13" s="16">
        <v>18472</v>
      </c>
      <c r="E13" s="16">
        <v>92350</v>
      </c>
      <c r="F13" s="16">
        <v>10709</v>
      </c>
      <c r="G13" s="16">
        <v>37755</v>
      </c>
      <c r="H13" s="16">
        <v>29932</v>
      </c>
      <c r="I13" s="16">
        <v>73288</v>
      </c>
      <c r="J13" s="16">
        <v>5930</v>
      </c>
      <c r="K13" s="16">
        <v>321867</v>
      </c>
    </row>
    <row r="14" spans="1:11" ht="12.6" customHeight="1" x14ac:dyDescent="0.3">
      <c r="A14" s="14" t="s">
        <v>31</v>
      </c>
      <c r="B14" s="14" t="s">
        <v>27</v>
      </c>
      <c r="C14" s="16">
        <v>4751</v>
      </c>
      <c r="D14" s="16">
        <v>1724</v>
      </c>
      <c r="E14" s="16">
        <v>9682</v>
      </c>
      <c r="F14" s="16">
        <v>2258</v>
      </c>
      <c r="G14" s="16">
        <v>5812</v>
      </c>
      <c r="H14" s="16">
        <v>5575</v>
      </c>
      <c r="I14" s="16">
        <v>10858</v>
      </c>
      <c r="J14" s="16">
        <v>2222</v>
      </c>
      <c r="K14" s="16">
        <v>42882</v>
      </c>
    </row>
    <row r="15" spans="1:11" ht="12.6" customHeight="1" x14ac:dyDescent="0.3">
      <c r="A15" s="14" t="s">
        <v>32</v>
      </c>
      <c r="B15" s="14" t="s">
        <v>26</v>
      </c>
      <c r="C15" s="16">
        <v>52694</v>
      </c>
      <c r="D15" s="16">
        <v>17968</v>
      </c>
      <c r="E15" s="16">
        <v>90194</v>
      </c>
      <c r="F15" s="16">
        <v>10535</v>
      </c>
      <c r="G15" s="16">
        <v>37103</v>
      </c>
      <c r="H15" s="16">
        <v>29064</v>
      </c>
      <c r="I15" s="16">
        <v>71805</v>
      </c>
      <c r="J15" s="16">
        <v>5850</v>
      </c>
      <c r="K15" s="16">
        <v>315213</v>
      </c>
    </row>
    <row r="16" spans="1:11" ht="12.6" customHeight="1" x14ac:dyDescent="0.3">
      <c r="A16" s="14" t="s">
        <v>32</v>
      </c>
      <c r="B16" s="14" t="s">
        <v>27</v>
      </c>
      <c r="C16" s="16">
        <v>4706</v>
      </c>
      <c r="D16" s="16">
        <v>1680</v>
      </c>
      <c r="E16" s="16">
        <v>9480</v>
      </c>
      <c r="F16" s="16">
        <v>2243</v>
      </c>
      <c r="G16" s="16">
        <v>5710</v>
      </c>
      <c r="H16" s="16">
        <v>5418</v>
      </c>
      <c r="I16" s="16">
        <v>10539</v>
      </c>
      <c r="J16" s="16">
        <v>2178</v>
      </c>
      <c r="K16" s="16">
        <v>41954</v>
      </c>
    </row>
    <row r="17" spans="1:11" ht="12.6" customHeight="1" x14ac:dyDescent="0.3">
      <c r="A17" s="14" t="s">
        <v>33</v>
      </c>
      <c r="B17" s="14" t="s">
        <v>26</v>
      </c>
      <c r="C17" s="16">
        <v>52099</v>
      </c>
      <c r="D17" s="16">
        <v>17852</v>
      </c>
      <c r="E17" s="16">
        <v>88933</v>
      </c>
      <c r="F17" s="16">
        <v>10306</v>
      </c>
      <c r="G17" s="16">
        <v>36595</v>
      </c>
      <c r="H17" s="16">
        <v>28560</v>
      </c>
      <c r="I17" s="16">
        <v>70422</v>
      </c>
      <c r="J17" s="16">
        <v>5808</v>
      </c>
      <c r="K17" s="16">
        <v>310575</v>
      </c>
    </row>
    <row r="18" spans="1:11" ht="12.6" customHeight="1" x14ac:dyDescent="0.3">
      <c r="A18" s="14" t="s">
        <v>33</v>
      </c>
      <c r="B18" s="14" t="s">
        <v>27</v>
      </c>
      <c r="C18" s="16">
        <v>4656</v>
      </c>
      <c r="D18" s="16">
        <v>1617</v>
      </c>
      <c r="E18" s="16">
        <v>9235</v>
      </c>
      <c r="F18" s="16">
        <v>2171</v>
      </c>
      <c r="G18" s="16">
        <v>5544</v>
      </c>
      <c r="H18" s="16">
        <v>5312</v>
      </c>
      <c r="I18" s="16">
        <v>10220</v>
      </c>
      <c r="J18" s="16">
        <v>2206</v>
      </c>
      <c r="K18" s="16">
        <v>40961</v>
      </c>
    </row>
    <row r="19" spans="1:11" ht="12.6" customHeight="1" x14ac:dyDescent="0.3">
      <c r="A19" s="14" t="s">
        <v>34</v>
      </c>
      <c r="B19" s="14" t="s">
        <v>26</v>
      </c>
      <c r="C19" s="16">
        <v>51328</v>
      </c>
      <c r="D19" s="16">
        <v>17471</v>
      </c>
      <c r="E19" s="16">
        <v>86561</v>
      </c>
      <c r="F19" s="16">
        <v>10126</v>
      </c>
      <c r="G19" s="16">
        <v>36037</v>
      </c>
      <c r="H19" s="16">
        <v>28009</v>
      </c>
      <c r="I19" s="16">
        <v>69000</v>
      </c>
      <c r="J19" s="16">
        <v>5824</v>
      </c>
      <c r="K19" s="16">
        <v>304356</v>
      </c>
    </row>
    <row r="20" spans="1:11" ht="12.6" customHeight="1" x14ac:dyDescent="0.3">
      <c r="A20" s="14" t="s">
        <v>34</v>
      </c>
      <c r="B20" s="14" t="s">
        <v>27</v>
      </c>
      <c r="C20" s="16">
        <v>4626</v>
      </c>
      <c r="D20" s="16">
        <v>1561</v>
      </c>
      <c r="E20" s="16">
        <v>9028</v>
      </c>
      <c r="F20" s="16">
        <v>2158</v>
      </c>
      <c r="G20" s="16">
        <v>5441</v>
      </c>
      <c r="H20" s="16">
        <v>5149</v>
      </c>
      <c r="I20" s="16">
        <v>10022</v>
      </c>
      <c r="J20" s="16">
        <v>2192</v>
      </c>
      <c r="K20" s="16">
        <v>40177</v>
      </c>
    </row>
    <row r="21" spans="1:11" ht="12.6" customHeight="1" x14ac:dyDescent="0.3">
      <c r="A21" s="14" t="s">
        <v>35</v>
      </c>
      <c r="B21" s="14" t="s">
        <v>26</v>
      </c>
      <c r="C21" s="16">
        <v>50587</v>
      </c>
      <c r="D21" s="16">
        <v>17278</v>
      </c>
      <c r="E21" s="16">
        <v>84208</v>
      </c>
      <c r="F21" s="16">
        <v>9895</v>
      </c>
      <c r="G21" s="16">
        <v>35038</v>
      </c>
      <c r="H21" s="16">
        <v>27198</v>
      </c>
      <c r="I21" s="16">
        <v>67425</v>
      </c>
      <c r="J21" s="16">
        <v>5851</v>
      </c>
      <c r="K21" s="16">
        <v>297480</v>
      </c>
    </row>
    <row r="22" spans="1:11" ht="12.6" customHeight="1" x14ac:dyDescent="0.3">
      <c r="A22" s="14" t="s">
        <v>35</v>
      </c>
      <c r="B22" s="14" t="s">
        <v>27</v>
      </c>
      <c r="C22" s="16">
        <v>4463</v>
      </c>
      <c r="D22" s="16">
        <v>1446</v>
      </c>
      <c r="E22" s="16">
        <v>8352</v>
      </c>
      <c r="F22" s="16">
        <v>2102</v>
      </c>
      <c r="G22" s="16">
        <v>5159</v>
      </c>
      <c r="H22" s="16">
        <v>4962</v>
      </c>
      <c r="I22" s="16">
        <v>9748</v>
      </c>
      <c r="J22" s="16">
        <v>2173</v>
      </c>
      <c r="K22" s="16">
        <v>38405</v>
      </c>
    </row>
    <row r="23" spans="1:11" ht="12.6" customHeight="1" x14ac:dyDescent="0.3">
      <c r="A23" s="14" t="s">
        <v>36</v>
      </c>
      <c r="B23" s="14" t="s">
        <v>26</v>
      </c>
      <c r="C23" s="16">
        <v>48911</v>
      </c>
      <c r="D23" s="16">
        <v>16379</v>
      </c>
      <c r="E23" s="16">
        <v>80391</v>
      </c>
      <c r="F23" s="16">
        <v>9635</v>
      </c>
      <c r="G23" s="16">
        <v>33932</v>
      </c>
      <c r="H23" s="16">
        <v>25946</v>
      </c>
      <c r="I23" s="16">
        <v>64904</v>
      </c>
      <c r="J23" s="16">
        <v>5776</v>
      </c>
      <c r="K23" s="16">
        <v>285874</v>
      </c>
    </row>
    <row r="24" spans="1:11" ht="12.6" customHeight="1" x14ac:dyDescent="0.3">
      <c r="A24" s="14" t="s">
        <v>36</v>
      </c>
      <c r="B24" s="14" t="s">
        <v>27</v>
      </c>
      <c r="C24" s="16">
        <v>4302</v>
      </c>
      <c r="D24" s="16">
        <v>1421</v>
      </c>
      <c r="E24" s="16">
        <v>8070</v>
      </c>
      <c r="F24" s="16">
        <v>2065</v>
      </c>
      <c r="G24" s="16">
        <v>5003</v>
      </c>
      <c r="H24" s="16">
        <v>4839</v>
      </c>
      <c r="I24" s="16">
        <v>9543</v>
      </c>
      <c r="J24" s="16">
        <v>2137</v>
      </c>
      <c r="K24" s="16">
        <v>37380</v>
      </c>
    </row>
    <row r="25" spans="1:11" ht="12.6" customHeight="1" x14ac:dyDescent="0.3">
      <c r="A25" s="14" t="s">
        <v>37</v>
      </c>
      <c r="B25" s="14" t="s">
        <v>26</v>
      </c>
      <c r="C25" s="16">
        <v>47124</v>
      </c>
      <c r="D25" s="16">
        <v>15290</v>
      </c>
      <c r="E25" s="16">
        <v>76963</v>
      </c>
      <c r="F25" s="16">
        <v>9193</v>
      </c>
      <c r="G25" s="16">
        <v>32765</v>
      </c>
      <c r="H25" s="16">
        <v>24823</v>
      </c>
      <c r="I25" s="16">
        <v>63287</v>
      </c>
      <c r="J25" s="16">
        <v>5659</v>
      </c>
      <c r="K25" s="16">
        <v>275104</v>
      </c>
    </row>
    <row r="26" spans="1:11" ht="12.6" customHeight="1" x14ac:dyDescent="0.3">
      <c r="A26" s="14" t="s">
        <v>37</v>
      </c>
      <c r="B26" s="14" t="s">
        <v>27</v>
      </c>
      <c r="C26" s="16">
        <v>4268</v>
      </c>
      <c r="D26" s="16">
        <v>1391</v>
      </c>
      <c r="E26" s="16">
        <v>7949</v>
      </c>
      <c r="F26" s="16">
        <v>2034</v>
      </c>
      <c r="G26" s="16">
        <v>4839</v>
      </c>
      <c r="H26" s="16">
        <v>4546</v>
      </c>
      <c r="I26" s="16">
        <v>9294</v>
      </c>
      <c r="J26" s="16">
        <v>2097</v>
      </c>
      <c r="K26" s="16">
        <v>36418</v>
      </c>
    </row>
    <row r="27" spans="1:11" ht="12.6" customHeight="1" x14ac:dyDescent="0.3">
      <c r="A27" s="14" t="s">
        <v>38</v>
      </c>
      <c r="B27" s="14" t="s">
        <v>26</v>
      </c>
      <c r="C27" s="16">
        <v>46005</v>
      </c>
      <c r="D27" s="16">
        <v>14935</v>
      </c>
      <c r="E27" s="16">
        <v>75043</v>
      </c>
      <c r="F27" s="16">
        <v>8950</v>
      </c>
      <c r="G27" s="16">
        <v>31525</v>
      </c>
      <c r="H27" s="16">
        <v>24103</v>
      </c>
      <c r="I27" s="16">
        <v>61936</v>
      </c>
      <c r="J27" s="16">
        <v>5614</v>
      </c>
      <c r="K27" s="16">
        <v>268111</v>
      </c>
    </row>
    <row r="28" spans="1:11" ht="12.6" customHeight="1" x14ac:dyDescent="0.3">
      <c r="A28" s="14" t="s">
        <v>38</v>
      </c>
      <c r="B28" s="14" t="s">
        <v>27</v>
      </c>
      <c r="C28" s="16">
        <v>4147</v>
      </c>
      <c r="D28" s="16">
        <v>1334</v>
      </c>
      <c r="E28" s="16">
        <v>7647</v>
      </c>
      <c r="F28" s="16">
        <v>1995</v>
      </c>
      <c r="G28" s="16">
        <v>4649</v>
      </c>
      <c r="H28" s="16">
        <v>4409</v>
      </c>
      <c r="I28" s="16">
        <v>9034</v>
      </c>
      <c r="J28" s="16">
        <v>2076</v>
      </c>
      <c r="K28" s="16">
        <v>35291</v>
      </c>
    </row>
    <row r="29" spans="1:11" ht="12.6" customHeight="1" x14ac:dyDescent="0.3">
      <c r="A29" s="14" t="s">
        <v>39</v>
      </c>
      <c r="B29" s="14" t="s">
        <v>26</v>
      </c>
      <c r="C29" s="16">
        <v>44480</v>
      </c>
      <c r="D29" s="16">
        <v>14202</v>
      </c>
      <c r="E29" s="16">
        <v>69930</v>
      </c>
      <c r="F29" s="16">
        <v>8555</v>
      </c>
      <c r="G29" s="16">
        <v>29634</v>
      </c>
      <c r="H29" s="16">
        <v>22824</v>
      </c>
      <c r="I29" s="16">
        <v>58658</v>
      </c>
      <c r="J29" s="16">
        <v>5463</v>
      </c>
      <c r="K29" s="16">
        <v>253746</v>
      </c>
    </row>
    <row r="30" spans="1:11" ht="12.6" customHeight="1" x14ac:dyDescent="0.3">
      <c r="A30" s="14" t="s">
        <v>39</v>
      </c>
      <c r="B30" s="14" t="s">
        <v>27</v>
      </c>
      <c r="C30" s="16">
        <v>4079</v>
      </c>
      <c r="D30" s="16">
        <v>1287</v>
      </c>
      <c r="E30" s="16">
        <v>7434</v>
      </c>
      <c r="F30" s="16">
        <v>1960</v>
      </c>
      <c r="G30" s="16">
        <v>4566</v>
      </c>
      <c r="H30" s="16">
        <v>4220</v>
      </c>
      <c r="I30" s="16">
        <v>8788</v>
      </c>
      <c r="J30" s="16">
        <v>2068</v>
      </c>
      <c r="K30" s="16">
        <v>34402</v>
      </c>
    </row>
    <row r="31" spans="1:11" ht="12.6" customHeight="1" x14ac:dyDescent="0.3">
      <c r="A31" s="14" t="s">
        <v>40</v>
      </c>
      <c r="B31" s="14" t="s">
        <v>26</v>
      </c>
      <c r="C31" s="16">
        <v>31880</v>
      </c>
      <c r="D31" s="16">
        <v>8559</v>
      </c>
      <c r="E31" s="16">
        <v>46938</v>
      </c>
      <c r="F31" s="16">
        <v>5245</v>
      </c>
      <c r="G31" s="16">
        <v>19814</v>
      </c>
      <c r="H31" s="16">
        <v>15176</v>
      </c>
      <c r="I31" s="16">
        <v>40920</v>
      </c>
      <c r="J31" s="16">
        <v>4059</v>
      </c>
      <c r="K31" s="16">
        <v>172591</v>
      </c>
    </row>
    <row r="32" spans="1:11" ht="12.6" customHeight="1" x14ac:dyDescent="0.3">
      <c r="A32" s="14" t="s">
        <v>40</v>
      </c>
      <c r="B32" s="14" t="s">
        <v>27</v>
      </c>
      <c r="C32" s="16">
        <v>2211</v>
      </c>
      <c r="D32" s="16">
        <v>819</v>
      </c>
      <c r="E32" s="16">
        <v>3649</v>
      </c>
      <c r="F32" s="16">
        <v>1179</v>
      </c>
      <c r="G32" s="16">
        <v>2793</v>
      </c>
      <c r="H32" s="16">
        <v>2694</v>
      </c>
      <c r="I32" s="16">
        <v>5162</v>
      </c>
      <c r="J32" s="16">
        <v>1850</v>
      </c>
      <c r="K32" s="16">
        <v>20357</v>
      </c>
    </row>
    <row r="33" spans="1:11" ht="12.6" customHeight="1" x14ac:dyDescent="0.3">
      <c r="A33" s="14" t="s">
        <v>41</v>
      </c>
      <c r="B33" s="14" t="s">
        <v>26</v>
      </c>
      <c r="C33" s="16">
        <v>31880</v>
      </c>
      <c r="D33" s="16">
        <v>8559</v>
      </c>
      <c r="E33" s="16">
        <v>46938</v>
      </c>
      <c r="F33" s="16">
        <v>5245</v>
      </c>
      <c r="G33" s="16">
        <v>19814</v>
      </c>
      <c r="H33" s="16">
        <v>15176</v>
      </c>
      <c r="I33" s="16">
        <v>40920</v>
      </c>
      <c r="J33" s="16">
        <v>4059</v>
      </c>
      <c r="K33" s="16">
        <v>172591</v>
      </c>
    </row>
    <row r="34" spans="1:11" ht="12.6" customHeight="1" x14ac:dyDescent="0.3">
      <c r="A34" s="14" t="s">
        <v>41</v>
      </c>
      <c r="B34" s="14" t="s">
        <v>27</v>
      </c>
      <c r="C34" s="16">
        <v>2211</v>
      </c>
      <c r="D34" s="16">
        <v>819</v>
      </c>
      <c r="E34" s="16">
        <v>3649</v>
      </c>
      <c r="F34" s="16">
        <v>1179</v>
      </c>
      <c r="G34" s="16">
        <v>2793</v>
      </c>
      <c r="H34" s="16">
        <v>2694</v>
      </c>
      <c r="I34" s="16">
        <v>5162</v>
      </c>
      <c r="J34" s="16">
        <v>1850</v>
      </c>
      <c r="K34" s="16">
        <v>20357</v>
      </c>
    </row>
    <row r="35" spans="1:11" ht="12.6" customHeight="1" x14ac:dyDescent="0.3">
      <c r="A35" s="14" t="s">
        <v>42</v>
      </c>
      <c r="B35" s="14" t="s">
        <v>26</v>
      </c>
      <c r="C35" s="16">
        <v>20585</v>
      </c>
      <c r="D35" s="16">
        <v>4460</v>
      </c>
      <c r="E35" s="16">
        <v>27577</v>
      </c>
      <c r="F35" s="16">
        <v>3015</v>
      </c>
      <c r="G35" s="16">
        <v>11415</v>
      </c>
      <c r="H35" s="16">
        <v>9988</v>
      </c>
      <c r="I35" s="16">
        <v>25500</v>
      </c>
      <c r="J35" s="16">
        <v>3648</v>
      </c>
      <c r="K35" s="16">
        <v>106188</v>
      </c>
    </row>
    <row r="36" spans="1:11" ht="12.6" customHeight="1" x14ac:dyDescent="0.3">
      <c r="A36" s="14" t="s">
        <v>42</v>
      </c>
      <c r="B36" s="14" t="s">
        <v>27</v>
      </c>
      <c r="C36" s="16">
        <v>1805</v>
      </c>
      <c r="D36" s="16">
        <v>614</v>
      </c>
      <c r="E36" s="16">
        <v>2981</v>
      </c>
      <c r="F36" s="16">
        <v>957</v>
      </c>
      <c r="G36" s="16">
        <v>2320</v>
      </c>
      <c r="H36" s="16">
        <v>2232</v>
      </c>
      <c r="I36" s="16">
        <v>4318</v>
      </c>
      <c r="J36" s="16">
        <v>1598</v>
      </c>
      <c r="K36" s="16">
        <v>16825</v>
      </c>
    </row>
    <row r="37" spans="1:11" ht="12.6" customHeight="1" x14ac:dyDescent="0.3">
      <c r="A37" s="14" t="s">
        <v>43</v>
      </c>
      <c r="B37" s="14" t="s">
        <v>26</v>
      </c>
      <c r="C37" s="16">
        <v>13236</v>
      </c>
      <c r="D37" s="16">
        <v>3326</v>
      </c>
      <c r="E37" s="16">
        <v>20211</v>
      </c>
      <c r="F37" s="16">
        <v>2295</v>
      </c>
      <c r="G37" s="16">
        <v>8678</v>
      </c>
      <c r="H37" s="16">
        <v>7819</v>
      </c>
      <c r="I37" s="16">
        <v>19977</v>
      </c>
      <c r="J37" s="16">
        <v>3526</v>
      </c>
      <c r="K37" s="16">
        <v>79068</v>
      </c>
    </row>
    <row r="38" spans="1:11" ht="12.6" customHeight="1" x14ac:dyDescent="0.3">
      <c r="A38" s="14" t="s">
        <v>43</v>
      </c>
      <c r="B38" s="14" t="s">
        <v>27</v>
      </c>
      <c r="C38" s="16">
        <v>1621</v>
      </c>
      <c r="D38" s="16">
        <v>523</v>
      </c>
      <c r="E38" s="16">
        <v>2681</v>
      </c>
      <c r="F38" s="16">
        <v>869</v>
      </c>
      <c r="G38" s="16">
        <v>1972</v>
      </c>
      <c r="H38" s="16">
        <v>2061</v>
      </c>
      <c r="I38" s="16">
        <v>3829</v>
      </c>
      <c r="J38" s="16">
        <v>1417</v>
      </c>
      <c r="K38" s="16">
        <v>14973</v>
      </c>
    </row>
    <row r="39" spans="1:11" ht="12.6" customHeight="1" x14ac:dyDescent="0.3">
      <c r="A39" s="14" t="s">
        <v>44</v>
      </c>
      <c r="B39" s="14" t="s">
        <v>26</v>
      </c>
      <c r="C39" s="16">
        <v>8534</v>
      </c>
      <c r="D39" s="16">
        <v>2285</v>
      </c>
      <c r="E39" s="16">
        <v>16087</v>
      </c>
      <c r="F39" s="16">
        <v>1898</v>
      </c>
      <c r="G39" s="16">
        <v>7330</v>
      </c>
      <c r="H39" s="16">
        <v>6633</v>
      </c>
      <c r="I39" s="16">
        <v>16619</v>
      </c>
      <c r="J39" s="16">
        <v>3366</v>
      </c>
      <c r="K39" s="16">
        <v>62752</v>
      </c>
    </row>
    <row r="40" spans="1:11" ht="12.6" customHeight="1" x14ac:dyDescent="0.3">
      <c r="A40" s="14" t="s">
        <v>44</v>
      </c>
      <c r="B40" s="14" t="s">
        <v>27</v>
      </c>
      <c r="C40" s="16">
        <v>1388</v>
      </c>
      <c r="D40" s="16">
        <v>425</v>
      </c>
      <c r="E40" s="16">
        <v>2369</v>
      </c>
      <c r="F40" s="16">
        <v>822</v>
      </c>
      <c r="G40" s="16">
        <v>1686</v>
      </c>
      <c r="H40" s="16">
        <v>1788</v>
      </c>
      <c r="I40" s="16">
        <v>3328</v>
      </c>
      <c r="J40" s="16">
        <v>1320</v>
      </c>
      <c r="K40" s="16">
        <v>13126</v>
      </c>
    </row>
    <row r="41" spans="1:11" ht="12.6" customHeight="1" x14ac:dyDescent="0.3">
      <c r="A41" s="14" t="s">
        <v>45</v>
      </c>
      <c r="B41" s="14" t="s">
        <v>26</v>
      </c>
      <c r="C41" s="16">
        <v>3268</v>
      </c>
      <c r="D41" s="16">
        <v>915</v>
      </c>
      <c r="E41" s="16">
        <v>6220</v>
      </c>
      <c r="F41" s="16">
        <v>1039</v>
      </c>
      <c r="G41" s="16">
        <v>3498</v>
      </c>
      <c r="H41" s="16">
        <v>3716</v>
      </c>
      <c r="I41" s="16">
        <v>5657</v>
      </c>
      <c r="J41" s="16">
        <v>2374</v>
      </c>
      <c r="K41" s="16">
        <v>26687</v>
      </c>
    </row>
    <row r="42" spans="1:11" ht="12.6" customHeight="1" x14ac:dyDescent="0.3">
      <c r="A42" s="14" t="s">
        <v>45</v>
      </c>
      <c r="B42" s="14" t="s">
        <v>27</v>
      </c>
      <c r="C42" s="16">
        <v>763</v>
      </c>
      <c r="D42" s="16">
        <v>232</v>
      </c>
      <c r="E42" s="16">
        <v>1377</v>
      </c>
      <c r="F42" s="16">
        <v>595</v>
      </c>
      <c r="G42" s="16">
        <v>980</v>
      </c>
      <c r="H42" s="16">
        <v>1120</v>
      </c>
      <c r="I42" s="16">
        <v>2027</v>
      </c>
      <c r="J42" s="16">
        <v>933</v>
      </c>
      <c r="K42" s="16">
        <v>8027</v>
      </c>
    </row>
  </sheetData>
  <mergeCells count="1">
    <mergeCell ref="A1:J2"/>
  </mergeCells>
  <phoneticPr fontId="6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AF12"/>
  <sheetViews>
    <sheetView workbookViewId="0">
      <selection activeCell="A11" sqref="A11"/>
    </sheetView>
  </sheetViews>
  <sheetFormatPr defaultRowHeight="16.5" x14ac:dyDescent="0.3"/>
  <cols>
    <col min="1" max="1" width="30.75" bestFit="1" customWidth="1"/>
    <col min="2" max="2" width="26.375" customWidth="1"/>
    <col min="3" max="4" width="12" bestFit="1" customWidth="1"/>
  </cols>
  <sheetData>
    <row r="1" spans="1:32" x14ac:dyDescent="0.3">
      <c r="A1" t="s">
        <v>49</v>
      </c>
      <c r="B1">
        <v>1230000</v>
      </c>
    </row>
    <row r="3" spans="1:32" x14ac:dyDescent="0.3">
      <c r="A3" t="s">
        <v>46</v>
      </c>
      <c r="B3" t="s">
        <v>47</v>
      </c>
    </row>
    <row r="4" spans="1:32" x14ac:dyDescent="0.3">
      <c r="A4">
        <v>2020</v>
      </c>
      <c r="B4">
        <v>34714</v>
      </c>
    </row>
    <row r="5" spans="1:32" x14ac:dyDescent="0.3">
      <c r="A5">
        <v>2021</v>
      </c>
      <c r="B5">
        <v>94041</v>
      </c>
    </row>
    <row r="6" spans="1:32" x14ac:dyDescent="0.3">
      <c r="A6">
        <v>2022</v>
      </c>
      <c r="B6">
        <v>192948</v>
      </c>
    </row>
    <row r="7" spans="1:32" x14ac:dyDescent="0.3">
      <c r="A7">
        <v>2023</v>
      </c>
      <c r="B7">
        <v>288148</v>
      </c>
    </row>
    <row r="8" spans="1:32" x14ac:dyDescent="0.3">
      <c r="A8">
        <v>2024</v>
      </c>
      <c r="B8">
        <v>394132</v>
      </c>
    </row>
    <row r="9" spans="1:32" x14ac:dyDescent="0.3">
      <c r="A9" t="s">
        <v>48</v>
      </c>
      <c r="B9">
        <v>1230000</v>
      </c>
    </row>
    <row r="11" spans="1:32" x14ac:dyDescent="0.3">
      <c r="B11">
        <v>2020</v>
      </c>
      <c r="C11">
        <v>2021</v>
      </c>
      <c r="D11">
        <v>2022</v>
      </c>
      <c r="E11">
        <v>2023</v>
      </c>
      <c r="F11">
        <v>2024</v>
      </c>
      <c r="G11">
        <v>2025</v>
      </c>
      <c r="H11">
        <v>2026</v>
      </c>
      <c r="I11">
        <v>2027</v>
      </c>
      <c r="J11">
        <v>2028</v>
      </c>
      <c r="K11">
        <v>2029</v>
      </c>
      <c r="L11">
        <v>2030</v>
      </c>
      <c r="M11">
        <v>2031</v>
      </c>
      <c r="N11">
        <v>2032</v>
      </c>
      <c r="O11">
        <v>2033</v>
      </c>
      <c r="P11">
        <v>2034</v>
      </c>
      <c r="Q11">
        <v>2035</v>
      </c>
      <c r="R11">
        <v>2036</v>
      </c>
      <c r="S11">
        <v>2037</v>
      </c>
      <c r="T11">
        <v>2038</v>
      </c>
      <c r="U11">
        <v>2039</v>
      </c>
      <c r="V11">
        <v>2040</v>
      </c>
      <c r="W11">
        <v>2041</v>
      </c>
      <c r="X11">
        <v>2042</v>
      </c>
      <c r="Y11">
        <v>2043</v>
      </c>
      <c r="Z11">
        <v>2044</v>
      </c>
      <c r="AA11">
        <v>2045</v>
      </c>
      <c r="AB11">
        <v>2046</v>
      </c>
      <c r="AC11">
        <v>2047</v>
      </c>
      <c r="AD11">
        <v>2048</v>
      </c>
      <c r="AE11">
        <v>2049</v>
      </c>
      <c r="AF11">
        <v>2050</v>
      </c>
    </row>
    <row r="12" spans="1:32" x14ac:dyDescent="0.3">
      <c r="A12" t="s">
        <v>5</v>
      </c>
      <c r="B12">
        <f>B4</f>
        <v>34714</v>
      </c>
      <c r="C12">
        <f>B5</f>
        <v>94041</v>
      </c>
      <c r="D12">
        <f>B6</f>
        <v>192948</v>
      </c>
      <c r="E12">
        <f>B7</f>
        <v>288148</v>
      </c>
      <c r="F12">
        <f>B8</f>
        <v>394132</v>
      </c>
      <c r="G12">
        <f>_xlfn.FORECAST.LINEAR(G11,$B$12:$F$12,$B$11:$F$11)</f>
        <v>474679.5</v>
      </c>
      <c r="H12">
        <f t="shared" ref="H12:AF12" si="0">_xlfn.FORECAST.LINEAR(H11,$B$12:$F$12,$B$11:$F$11)</f>
        <v>565973.80000001192</v>
      </c>
      <c r="I12">
        <f t="shared" si="0"/>
        <v>657268.09999999404</v>
      </c>
      <c r="J12">
        <f t="shared" si="0"/>
        <v>748562.40000000596</v>
      </c>
      <c r="K12">
        <f t="shared" si="0"/>
        <v>839856.70000001788</v>
      </c>
      <c r="L12">
        <f t="shared" si="0"/>
        <v>931151</v>
      </c>
      <c r="M12">
        <f t="shared" si="0"/>
        <v>1022445.3000000119</v>
      </c>
      <c r="N12">
        <f t="shared" si="0"/>
        <v>1113739.599999994</v>
      </c>
      <c r="O12">
        <f t="shared" si="0"/>
        <v>1205033.900000006</v>
      </c>
      <c r="P12">
        <f t="shared" si="0"/>
        <v>1296328.2000000179</v>
      </c>
      <c r="Q12">
        <f t="shared" si="0"/>
        <v>1387622.5</v>
      </c>
      <c r="R12">
        <f t="shared" si="0"/>
        <v>1478916.8000000119</v>
      </c>
      <c r="S12">
        <f t="shared" si="0"/>
        <v>1570211.099999994</v>
      </c>
      <c r="T12">
        <f t="shared" si="0"/>
        <v>1661505.400000006</v>
      </c>
      <c r="U12">
        <f t="shared" si="0"/>
        <v>1752799.7000000179</v>
      </c>
      <c r="V12">
        <f t="shared" si="0"/>
        <v>1844094</v>
      </c>
      <c r="W12">
        <f t="shared" si="0"/>
        <v>1935388.3000000119</v>
      </c>
      <c r="X12">
        <f t="shared" si="0"/>
        <v>2026682.599999994</v>
      </c>
      <c r="Y12">
        <f t="shared" si="0"/>
        <v>2117976.900000006</v>
      </c>
      <c r="Z12">
        <f t="shared" si="0"/>
        <v>2209271.2000000179</v>
      </c>
      <c r="AA12">
        <f t="shared" si="0"/>
        <v>2300565.5</v>
      </c>
      <c r="AB12">
        <f t="shared" si="0"/>
        <v>2391859.8000000119</v>
      </c>
      <c r="AC12">
        <f t="shared" si="0"/>
        <v>2483154.099999994</v>
      </c>
      <c r="AD12">
        <f t="shared" si="0"/>
        <v>2574448.400000006</v>
      </c>
      <c r="AE12">
        <f t="shared" si="0"/>
        <v>2665742.7000000179</v>
      </c>
      <c r="AF12">
        <f t="shared" si="0"/>
        <v>2757037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workbookViewId="0">
      <selection activeCell="A3" sqref="A3"/>
    </sheetView>
  </sheetViews>
  <sheetFormatPr defaultRowHeight="16.5" x14ac:dyDescent="0.3"/>
  <cols>
    <col min="1" max="1" width="21" customWidth="1"/>
  </cols>
  <sheetData>
    <row r="1" spans="1:32" x14ac:dyDescent="0.3">
      <c r="A1" t="s">
        <v>6</v>
      </c>
      <c r="B1">
        <v>2021</v>
      </c>
      <c r="C1" s="3">
        <v>2022</v>
      </c>
      <c r="D1">
        <v>2023</v>
      </c>
      <c r="E1" s="3">
        <v>2024</v>
      </c>
      <c r="F1">
        <v>2025</v>
      </c>
      <c r="G1" s="3">
        <v>2026</v>
      </c>
      <c r="H1">
        <v>2027</v>
      </c>
      <c r="I1" s="3">
        <v>2028</v>
      </c>
      <c r="J1">
        <v>2029</v>
      </c>
      <c r="K1" s="3">
        <v>2030</v>
      </c>
      <c r="L1">
        <v>2031</v>
      </c>
      <c r="M1" s="3">
        <v>2032</v>
      </c>
      <c r="N1">
        <v>2033</v>
      </c>
      <c r="O1" s="3">
        <v>2034</v>
      </c>
      <c r="P1">
        <v>2035</v>
      </c>
      <c r="Q1" s="3">
        <v>2036</v>
      </c>
      <c r="R1">
        <v>2037</v>
      </c>
      <c r="S1" s="3">
        <v>2038</v>
      </c>
      <c r="T1">
        <v>2039</v>
      </c>
      <c r="U1" s="3">
        <v>2040</v>
      </c>
      <c r="V1">
        <v>2041</v>
      </c>
      <c r="W1" s="3">
        <v>2042</v>
      </c>
      <c r="X1">
        <v>2043</v>
      </c>
      <c r="Y1" s="3">
        <v>2044</v>
      </c>
      <c r="Z1">
        <v>2045</v>
      </c>
      <c r="AA1" s="3">
        <v>2046</v>
      </c>
      <c r="AB1">
        <v>2047</v>
      </c>
      <c r="AC1" s="3">
        <v>2048</v>
      </c>
      <c r="AD1">
        <v>2049</v>
      </c>
      <c r="AE1" s="3">
        <v>2050</v>
      </c>
    </row>
    <row r="2" spans="1:32" x14ac:dyDescent="0.3">
      <c r="A2" s="1" t="s">
        <v>7</v>
      </c>
      <c r="B2" s="2">
        <f>Calculations!C12</f>
        <v>94041</v>
      </c>
      <c r="C2" s="2">
        <f>Calculations!D12</f>
        <v>192948</v>
      </c>
      <c r="D2" s="2">
        <f>Calculations!E12</f>
        <v>288148</v>
      </c>
      <c r="E2" s="2">
        <f>Calculations!F12</f>
        <v>394132</v>
      </c>
      <c r="F2" s="2">
        <f>Calculations!G12</f>
        <v>474679.5</v>
      </c>
      <c r="G2" s="2">
        <f>Calculations!H12</f>
        <v>565973.80000001192</v>
      </c>
      <c r="H2" s="2">
        <f>Calculations!I12</f>
        <v>657268.09999999404</v>
      </c>
      <c r="I2" s="2">
        <f>Calculations!J12</f>
        <v>748562.40000000596</v>
      </c>
      <c r="J2" s="2">
        <f>Calculations!K12</f>
        <v>839856.70000001788</v>
      </c>
      <c r="K2" s="2">
        <f>Calculations!L12</f>
        <v>931151</v>
      </c>
      <c r="L2" s="2">
        <f>Calculations!M12</f>
        <v>1022445.3000000119</v>
      </c>
      <c r="M2" s="2">
        <f>Calculations!N12</f>
        <v>1113739.599999994</v>
      </c>
      <c r="N2" s="2">
        <f>Calculations!O12</f>
        <v>1205033.900000006</v>
      </c>
      <c r="O2" s="2">
        <f>Calculations!P12</f>
        <v>1296328.2000000179</v>
      </c>
      <c r="P2" s="2">
        <f>Calculations!Q12</f>
        <v>1387622.5</v>
      </c>
      <c r="Q2" s="2">
        <f>Calculations!R12</f>
        <v>1478916.8000000119</v>
      </c>
      <c r="R2" s="2">
        <f>Calculations!S12</f>
        <v>1570211.099999994</v>
      </c>
      <c r="S2" s="2">
        <f>Calculations!T12</f>
        <v>1661505.400000006</v>
      </c>
      <c r="T2" s="2">
        <f>Calculations!U12</f>
        <v>1752799.7000000179</v>
      </c>
      <c r="U2" s="2">
        <f>Calculations!V12</f>
        <v>1844094</v>
      </c>
      <c r="V2" s="2">
        <f>Calculations!W12</f>
        <v>1935388.3000000119</v>
      </c>
      <c r="W2" s="2">
        <f>Calculations!X12</f>
        <v>2026682.599999994</v>
      </c>
      <c r="X2" s="2">
        <f>Calculations!Y12</f>
        <v>2117976.900000006</v>
      </c>
      <c r="Y2" s="2">
        <f>Calculations!Z12</f>
        <v>2209271.2000000179</v>
      </c>
      <c r="Z2" s="2">
        <f>Calculations!AA12</f>
        <v>2300565.5</v>
      </c>
      <c r="AA2" s="2">
        <f>Calculations!AB12</f>
        <v>2391859.8000000119</v>
      </c>
      <c r="AB2" s="2">
        <f>Calculations!AC12</f>
        <v>2483154.099999994</v>
      </c>
      <c r="AC2" s="2">
        <f>Calculations!AD12</f>
        <v>2574448.400000006</v>
      </c>
      <c r="AD2" s="2">
        <f>Calculations!AE12</f>
        <v>2665742.7000000179</v>
      </c>
      <c r="AE2" s="2">
        <f>Calculations!AF12</f>
        <v>2757037</v>
      </c>
      <c r="AF2" s="2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AFBB2-D481-44A2-B69D-0DE552074768}"/>
</file>

<file path=customXml/itemProps2.xml><?xml version="1.0" encoding="utf-8"?>
<ds:datastoreItem xmlns:ds="http://schemas.openxmlformats.org/officeDocument/2006/customXml" ds:itemID="{0904182C-E0CF-45B8-B115-641E581DE7E4}"/>
</file>

<file path=customXml/itemProps3.xml><?xml version="1.0" encoding="utf-8"?>
<ds:datastoreItem xmlns:ds="http://schemas.openxmlformats.org/officeDocument/2006/customXml" ds:itemID="{22D4335A-D41C-4B72-AC59-4586AA3B4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202412년_지역별 전기차 충전기 구축현황(누적)</vt:lpstr>
      <vt:lpstr>Calculations</vt:lpstr>
      <vt:lpstr>BNoEVC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2019-06-04T20:20:37Z</dcterms:created>
  <dcterms:modified xsi:type="dcterms:W3CDTF">2025-02-26T06:07:04Z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