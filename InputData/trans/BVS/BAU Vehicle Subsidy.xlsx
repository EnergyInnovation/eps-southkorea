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trans\BVS\"/>
    </mc:Choice>
  </mc:AlternateContent>
  <xr:revisionPtr revIDLastSave="0" documentId="13_ncr:1_{8B30BB3E-5F1B-424B-A5B7-389E64FDCCD8}" xr6:coauthVersionLast="47" xr6:coauthVersionMax="47" xr10:uidLastSave="{00000000-0000-0000-0000-000000000000}"/>
  <bookViews>
    <workbookView xWindow="-110" yWindow="-110" windowWidth="25820" windowHeight="15500" tabRatio="843" firstSheet="7" activeTab="16" xr2:uid="{00000000-000D-0000-FFFF-FFFF00000000}"/>
  </bookViews>
  <sheets>
    <sheet name="About" sheetId="1" r:id="rId1"/>
    <sheet name="Passenger Vehicle Calculations" sheetId="114" r:id="rId2"/>
    <sheet name="승합차 및 화물차" sheetId="118" r:id="rId3"/>
    <sheet name="psgr" sheetId="17" r:id="rId4"/>
    <sheet name="BVS-psgr-LDVs" sheetId="2" r:id="rId5"/>
    <sheet name="BVS-psgr-HDVs" sheetId="101" r:id="rId6"/>
    <sheet name="BVS-psgr-aircraft" sheetId="105" r:id="rId7"/>
    <sheet name="BVS-psgr-rail" sheetId="104" r:id="rId8"/>
    <sheet name="BVS-psgr-ships" sheetId="103" r:id="rId9"/>
    <sheet name="BVS-psgr-motorbikes" sheetId="102" r:id="rId10"/>
    <sheet name="frgt" sheetId="106" r:id="rId11"/>
    <sheet name="BVS-frgt-LDVs" sheetId="107" r:id="rId12"/>
    <sheet name="BVS-frgt-HDVs" sheetId="108" r:id="rId13"/>
    <sheet name="BVS-frgt-aircraft" sheetId="109" r:id="rId14"/>
    <sheet name="BVS-frgt-rail" sheetId="110" r:id="rId15"/>
    <sheet name="BVS-frgt-ships" sheetId="111" r:id="rId16"/>
    <sheet name="BVS-frgt-motorbikes" sheetId="11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08" l="1"/>
  <c r="D2" i="108"/>
  <c r="E2" i="108"/>
  <c r="F2" i="108"/>
  <c r="G2" i="108"/>
  <c r="H2" i="108"/>
  <c r="I2" i="108"/>
  <c r="J2" i="108"/>
  <c r="K2" i="108"/>
  <c r="L2" i="108"/>
  <c r="M2" i="108"/>
  <c r="N2" i="108"/>
  <c r="O2" i="108"/>
  <c r="P2" i="108"/>
  <c r="Q2" i="108"/>
  <c r="R2" i="108"/>
  <c r="S2" i="108"/>
  <c r="T2" i="108"/>
  <c r="U2" i="108"/>
  <c r="V2" i="108"/>
  <c r="W2" i="108"/>
  <c r="X2" i="108"/>
  <c r="Y2" i="108"/>
  <c r="Z2" i="108"/>
  <c r="AA2" i="108"/>
  <c r="AB2" i="108"/>
  <c r="AC2" i="108"/>
  <c r="AD2" i="108"/>
  <c r="AE2" i="108"/>
  <c r="B2" i="108"/>
  <c r="C2" i="107"/>
  <c r="D2" i="107"/>
  <c r="E2" i="107"/>
  <c r="F2" i="107"/>
  <c r="G2" i="107"/>
  <c r="H2" i="107"/>
  <c r="I2" i="107"/>
  <c r="J2" i="107"/>
  <c r="K2" i="107"/>
  <c r="L2" i="107"/>
  <c r="M2" i="107"/>
  <c r="N2" i="107"/>
  <c r="O2" i="107"/>
  <c r="P2" i="107"/>
  <c r="Q2" i="107"/>
  <c r="R2" i="107"/>
  <c r="S2" i="107"/>
  <c r="T2" i="107"/>
  <c r="U2" i="107"/>
  <c r="V2" i="107"/>
  <c r="W2" i="107"/>
  <c r="X2" i="107"/>
  <c r="Y2" i="107"/>
  <c r="Z2" i="107"/>
  <c r="AA2" i="107"/>
  <c r="AB2" i="107"/>
  <c r="AC2" i="107"/>
  <c r="AD2" i="107"/>
  <c r="AE2" i="107"/>
  <c r="B2" i="107"/>
  <c r="C8" i="101"/>
  <c r="D8" i="101"/>
  <c r="E8" i="101"/>
  <c r="F8" i="101"/>
  <c r="G8" i="101"/>
  <c r="H8" i="101"/>
  <c r="I8" i="101"/>
  <c r="J8" i="101"/>
  <c r="K8" i="101"/>
  <c r="L8" i="101"/>
  <c r="M8" i="101"/>
  <c r="N8" i="101"/>
  <c r="O8" i="101"/>
  <c r="P8" i="101"/>
  <c r="Q8" i="101"/>
  <c r="R8" i="101"/>
  <c r="S8" i="101"/>
  <c r="T8" i="101"/>
  <c r="U8" i="101"/>
  <c r="V8" i="101"/>
  <c r="W8" i="101"/>
  <c r="X8" i="101"/>
  <c r="Y8" i="101"/>
  <c r="Z8" i="101"/>
  <c r="AA8" i="101"/>
  <c r="AB8" i="101"/>
  <c r="AC8" i="101"/>
  <c r="AD8" i="101"/>
  <c r="AE8" i="101"/>
  <c r="C2" i="101"/>
  <c r="D2" i="101"/>
  <c r="E2" i="101"/>
  <c r="F2" i="101"/>
  <c r="G2" i="101"/>
  <c r="H2" i="101"/>
  <c r="I2" i="101"/>
  <c r="J2" i="101"/>
  <c r="K2" i="101"/>
  <c r="L2" i="101"/>
  <c r="M2" i="101"/>
  <c r="N2" i="101"/>
  <c r="O2" i="101"/>
  <c r="P2" i="101"/>
  <c r="Q2" i="101"/>
  <c r="R2" i="101"/>
  <c r="S2" i="101"/>
  <c r="T2" i="101"/>
  <c r="U2" i="101"/>
  <c r="V2" i="101"/>
  <c r="W2" i="101"/>
  <c r="X2" i="101"/>
  <c r="Y2" i="101"/>
  <c r="Z2" i="101"/>
  <c r="AA2" i="101"/>
  <c r="AB2" i="101"/>
  <c r="AC2" i="101"/>
  <c r="AD2" i="101"/>
  <c r="AE2" i="101"/>
  <c r="B8" i="101"/>
  <c r="B2" i="101"/>
  <c r="I15" i="118"/>
  <c r="J15" i="118"/>
  <c r="K15" i="118"/>
  <c r="L15" i="118"/>
  <c r="M15" i="118"/>
  <c r="N15" i="118"/>
  <c r="O15" i="118"/>
  <c r="P15" i="118"/>
  <c r="Q15" i="118"/>
  <c r="R15" i="118"/>
  <c r="S15" i="118"/>
  <c r="T15" i="118"/>
  <c r="U15" i="118"/>
  <c r="V15" i="118"/>
  <c r="W15" i="118"/>
  <c r="X15" i="118"/>
  <c r="Y15" i="118"/>
  <c r="Z15" i="118"/>
  <c r="AA15" i="118"/>
  <c r="AB15" i="118"/>
  <c r="AC15" i="118"/>
  <c r="AD15" i="118"/>
  <c r="AE15" i="118"/>
  <c r="AF15" i="118"/>
  <c r="I16" i="118"/>
  <c r="J16" i="118"/>
  <c r="K16" i="118"/>
  <c r="L16" i="118"/>
  <c r="M16" i="118"/>
  <c r="N16" i="118"/>
  <c r="O16" i="118"/>
  <c r="P16" i="118"/>
  <c r="Q16" i="118"/>
  <c r="R16" i="118"/>
  <c r="S16" i="118"/>
  <c r="T16" i="118"/>
  <c r="U16" i="118"/>
  <c r="V16" i="118"/>
  <c r="W16" i="118"/>
  <c r="X16" i="118"/>
  <c r="Y16" i="118"/>
  <c r="Z16" i="118"/>
  <c r="AA16" i="118"/>
  <c r="AB16" i="118"/>
  <c r="AC16" i="118"/>
  <c r="AD16" i="118"/>
  <c r="AE16" i="118"/>
  <c r="AF16" i="118"/>
  <c r="I17" i="118"/>
  <c r="J17" i="118"/>
  <c r="K17" i="118"/>
  <c r="L17" i="118"/>
  <c r="M17" i="118"/>
  <c r="N17" i="118"/>
  <c r="O17" i="118"/>
  <c r="P17" i="118"/>
  <c r="Q17" i="118"/>
  <c r="R17" i="118"/>
  <c r="S17" i="118"/>
  <c r="T17" i="118"/>
  <c r="U17" i="118"/>
  <c r="V17" i="118"/>
  <c r="W17" i="118"/>
  <c r="X17" i="118"/>
  <c r="Y17" i="118"/>
  <c r="Z17" i="118"/>
  <c r="AA17" i="118"/>
  <c r="AB17" i="118"/>
  <c r="AC17" i="118"/>
  <c r="AD17" i="118"/>
  <c r="AE17" i="118"/>
  <c r="AF17" i="118"/>
  <c r="I18" i="118"/>
  <c r="J18" i="118"/>
  <c r="K18" i="118"/>
  <c r="L18" i="118"/>
  <c r="M18" i="118"/>
  <c r="N18" i="118"/>
  <c r="O18" i="118"/>
  <c r="P18" i="118"/>
  <c r="Q18" i="118"/>
  <c r="R18" i="118"/>
  <c r="S18" i="118"/>
  <c r="T18" i="118"/>
  <c r="U18" i="118"/>
  <c r="V18" i="118"/>
  <c r="W18" i="118"/>
  <c r="X18" i="118"/>
  <c r="Y18" i="118"/>
  <c r="Z18" i="118"/>
  <c r="AA18" i="118"/>
  <c r="AB18" i="118"/>
  <c r="AC18" i="118"/>
  <c r="AD18" i="118"/>
  <c r="AE18" i="118"/>
  <c r="AF18" i="118"/>
  <c r="H16" i="118"/>
  <c r="H17" i="118"/>
  <c r="H18" i="118"/>
  <c r="H15" i="118"/>
  <c r="G15" i="118"/>
  <c r="D15" i="118"/>
  <c r="E15" i="118"/>
  <c r="F15" i="118"/>
  <c r="D16" i="118"/>
  <c r="E16" i="118"/>
  <c r="F16" i="118"/>
  <c r="G16" i="118"/>
  <c r="D17" i="118"/>
  <c r="E17" i="118"/>
  <c r="F17" i="118"/>
  <c r="G17" i="118"/>
  <c r="D18" i="118"/>
  <c r="E18" i="118"/>
  <c r="F18" i="118"/>
  <c r="G18" i="118"/>
  <c r="C16" i="118"/>
  <c r="C17" i="118"/>
  <c r="C18" i="118"/>
  <c r="C15" i="118"/>
  <c r="B15" i="114"/>
  <c r="I17" i="114"/>
  <c r="J17" i="114"/>
  <c r="K17" i="114"/>
  <c r="L17" i="114"/>
  <c r="M17" i="114"/>
  <c r="N17" i="114"/>
  <c r="N8" i="2" s="1"/>
  <c r="O17" i="114"/>
  <c r="O8" i="2" s="1"/>
  <c r="P17" i="114"/>
  <c r="P8" i="2" s="1"/>
  <c r="Q17" i="114"/>
  <c r="Q8" i="2" s="1"/>
  <c r="R17" i="114"/>
  <c r="R8" i="2" s="1"/>
  <c r="S17" i="114"/>
  <c r="S8" i="2" s="1"/>
  <c r="T17" i="114"/>
  <c r="T8" i="2" s="1"/>
  <c r="U17" i="114"/>
  <c r="U8" i="2" s="1"/>
  <c r="X17" i="114"/>
  <c r="X8" i="2" s="1"/>
  <c r="Y17" i="114"/>
  <c r="Y8" i="2" s="1"/>
  <c r="AA17" i="114"/>
  <c r="AB17" i="114"/>
  <c r="AC17" i="114"/>
  <c r="AD17" i="114"/>
  <c r="AE17" i="114"/>
  <c r="H15" i="114"/>
  <c r="I15" i="114"/>
  <c r="J15" i="114"/>
  <c r="L15" i="114"/>
  <c r="N15" i="114"/>
  <c r="N2" i="2" s="1"/>
  <c r="O15" i="114"/>
  <c r="O2" i="2" s="1"/>
  <c r="W15" i="114"/>
  <c r="W2" i="2" s="1"/>
  <c r="Y15" i="114"/>
  <c r="Y2" i="2" s="1"/>
  <c r="C8" i="2"/>
  <c r="D8" i="2"/>
  <c r="E8" i="2"/>
  <c r="F8" i="2"/>
  <c r="I8" i="2"/>
  <c r="J8" i="2"/>
  <c r="K8" i="2"/>
  <c r="L8" i="2"/>
  <c r="M8" i="2"/>
  <c r="AA8" i="2"/>
  <c r="AB8" i="2"/>
  <c r="AC8" i="2"/>
  <c r="AD8" i="2"/>
  <c r="AE8" i="2"/>
  <c r="C15" i="114"/>
  <c r="D15" i="114"/>
  <c r="E15" i="114"/>
  <c r="F15" i="114"/>
  <c r="P15" i="114" s="1"/>
  <c r="P2" i="2" s="1"/>
  <c r="C16" i="114"/>
  <c r="D16" i="114"/>
  <c r="E16" i="114"/>
  <c r="F16" i="114"/>
  <c r="G16" i="114"/>
  <c r="H16" i="114"/>
  <c r="I16" i="114"/>
  <c r="J16" i="114"/>
  <c r="K16" i="114"/>
  <c r="L16" i="114"/>
  <c r="M16" i="114"/>
  <c r="N16" i="114"/>
  <c r="O16" i="114"/>
  <c r="P16" i="114"/>
  <c r="Q16" i="114"/>
  <c r="R16" i="114"/>
  <c r="S16" i="114"/>
  <c r="T16" i="114"/>
  <c r="U16" i="114"/>
  <c r="V16" i="114"/>
  <c r="W16" i="114"/>
  <c r="X16" i="114"/>
  <c r="Y16" i="114"/>
  <c r="Z16" i="114"/>
  <c r="AA16" i="114"/>
  <c r="AB16" i="114"/>
  <c r="AC16" i="114"/>
  <c r="AD16" i="114"/>
  <c r="AE16" i="114"/>
  <c r="C17" i="114"/>
  <c r="D17" i="114"/>
  <c r="E17" i="114"/>
  <c r="F17" i="114"/>
  <c r="V17" i="114" s="1"/>
  <c r="V8" i="2" s="1"/>
  <c r="B16" i="114"/>
  <c r="B17" i="114"/>
  <c r="B8" i="2" s="1"/>
  <c r="Z17" i="114" l="1"/>
  <c r="Z8" i="2" s="1"/>
  <c r="H17" i="114"/>
  <c r="H8" i="2" s="1"/>
  <c r="W17" i="114"/>
  <c r="W8" i="2" s="1"/>
  <c r="G17" i="114"/>
  <c r="G8" i="2" s="1"/>
  <c r="M15" i="114"/>
  <c r="K15" i="114"/>
  <c r="X15" i="114"/>
  <c r="X2" i="2" s="1"/>
  <c r="V15" i="114"/>
  <c r="V2" i="2" s="1"/>
  <c r="U15" i="114"/>
  <c r="U2" i="2" s="1"/>
  <c r="T15" i="114"/>
  <c r="T2" i="2" s="1"/>
  <c r="G15" i="114"/>
  <c r="AD15" i="114"/>
  <c r="AD2" i="2" s="1"/>
  <c r="AB15" i="114"/>
  <c r="AB2" i="2" s="1"/>
  <c r="S15" i="114"/>
  <c r="S2" i="2" s="1"/>
  <c r="R15" i="114"/>
  <c r="R2" i="2" s="1"/>
  <c r="AE15" i="114"/>
  <c r="AE2" i="2" s="1"/>
  <c r="AC15" i="114"/>
  <c r="AC2" i="2" s="1"/>
  <c r="AA15" i="114"/>
  <c r="AA2" i="2" s="1"/>
  <c r="Z15" i="114"/>
  <c r="Z2" i="2" s="1"/>
  <c r="Q15" i="114"/>
  <c r="Q2" i="2" s="1"/>
  <c r="B2" i="2" l="1"/>
  <c r="F6" i="2" l="1"/>
  <c r="B6" i="2"/>
  <c r="F2" i="2" l="1"/>
  <c r="S6" i="2"/>
  <c r="G6" i="2"/>
  <c r="J6" i="2"/>
  <c r="AA6" i="2"/>
  <c r="N6" i="2"/>
  <c r="O6" i="2"/>
  <c r="L6" i="2"/>
  <c r="AC6" i="2"/>
  <c r="L2" i="2"/>
  <c r="K6" i="2"/>
  <c r="AB6" i="2"/>
  <c r="I6" i="2"/>
  <c r="J2" i="2"/>
  <c r="M2" i="2"/>
  <c r="R6" i="2"/>
  <c r="I2" i="2"/>
  <c r="V6" i="2"/>
  <c r="W6" i="2"/>
  <c r="Z6" i="2"/>
  <c r="M6" i="2"/>
  <c r="AD6" i="2"/>
  <c r="AE6" i="2"/>
  <c r="H6" i="2"/>
  <c r="H2" i="2"/>
  <c r="U6" i="2"/>
  <c r="P6" i="2"/>
  <c r="G2" i="2"/>
  <c r="T6" i="2"/>
  <c r="K2" i="2"/>
  <c r="X6" i="2"/>
  <c r="Y6" i="2"/>
  <c r="Q6" i="2"/>
  <c r="D6" i="2"/>
  <c r="D2" i="2"/>
  <c r="C6" i="2"/>
  <c r="C2" i="2"/>
  <c r="E6" i="2"/>
  <c r="E2" i="2"/>
</calcChain>
</file>

<file path=xl/sharedStrings.xml><?xml version="1.0" encoding="utf-8"?>
<sst xmlns="http://schemas.openxmlformats.org/spreadsheetml/2006/main" count="142" uniqueCount="39">
  <si>
    <t>Sources: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</si>
  <si>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</si>
  <si>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</si>
  <si>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</si>
  <si>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</si>
  <si>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</si>
  <si>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</si>
  <si>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</si>
  <si>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Subsidy (2012 USD)</t>
  </si>
  <si>
    <t>BVS BAU Vehicle Subsidy</t>
  </si>
  <si>
    <t>Total Tax Credit (2012$)</t>
  </si>
  <si>
    <t>battery electric vehicles</t>
  </si>
  <si>
    <t>plugin hybrid vehicles</t>
  </si>
  <si>
    <t>2025년 전기자동차 보급사업 보조금 업무처리지침(25.1.15)</t>
    <phoneticPr fontId="8" type="noConversion"/>
  </si>
  <si>
    <t>연도별 전기차 혜택</t>
    <phoneticPr fontId="8" type="noConversion"/>
  </si>
  <si>
    <t>생활법령정보</t>
    <phoneticPr fontId="8" type="noConversion"/>
  </si>
  <si>
    <t>전기차 보조금 정보</t>
    <phoneticPr fontId="8" type="noConversion"/>
  </si>
  <si>
    <t>2024 원/달려 환률</t>
    <phoneticPr fontId="8" type="noConversion"/>
  </si>
  <si>
    <t>2024 to 2012 $</t>
    <phoneticPr fontId="8" type="noConversion"/>
  </si>
  <si>
    <t>https://www.exchange-rates.org/ko/exchange-rate-history/usd-krw-2024</t>
  </si>
  <si>
    <t>2024년도 평균치</t>
    <phoneticPr fontId="8" type="noConversion"/>
  </si>
  <si>
    <t>※ 하이브리드자동차에 대한 구매보조금제도는 2021년 1월 1일 폐지되었습니다. 다만, 세금 감면 혜택은 유지됩니다. 하이브리드자동차에 대한 세금 감면에 대한 자세한 내용은 이 사이트 『환경친화적 자동차』: &lt;하이브리드자동차 – 하이브리드 자동차 구입 – 하이브리드자동차 세금감면&gt; 에서 확인할 수 있습니다.</t>
  </si>
  <si>
    <t>* 2026년 부터는 2025년도와 동일한 값을 넣음</t>
    <phoneticPr fontId="8" type="noConversion"/>
  </si>
  <si>
    <t>https://www.amazoncar.co.kr/single/reservation?type=electric_car</t>
    <phoneticPr fontId="8" type="noConversion"/>
  </si>
  <si>
    <t>https://easylaw.go.kr/CSP/CnpClsMain.laf?csmSeq=1404&amp;ccfNo=1&amp;cciNo=1&amp;cnpClsNo=1</t>
    <phoneticPr fontId="8" type="noConversion"/>
  </si>
  <si>
    <t>battery electric vehicles</t>
    <phoneticPr fontId="8" type="noConversion"/>
  </si>
  <si>
    <t>* 기준: 국고+지자체(서울) 최대값</t>
    <phoneticPr fontId="8" type="noConversion"/>
  </si>
  <si>
    <t>EV Subsidy Amount (단위: 만원)</t>
    <phoneticPr fontId="8" type="noConversion"/>
  </si>
  <si>
    <t>https://ev.or.kr/nportal/buySupprt/initSubsidyPaymentCheckAction.do</t>
  </si>
  <si>
    <t>무공해차 통합누리집</t>
    <phoneticPr fontId="8" type="noConversion"/>
  </si>
  <si>
    <t>Psgr-HDVs</t>
    <phoneticPr fontId="8" type="noConversion"/>
  </si>
  <si>
    <t>frgt-LDVs</t>
    <phoneticPr fontId="8" type="noConversion"/>
  </si>
  <si>
    <t>frgt-HDVS</t>
    <phoneticPr fontId="8" type="noConversion"/>
  </si>
  <si>
    <t>단위: 만원</t>
    <phoneticPr fontId="8" type="noConversion"/>
  </si>
  <si>
    <t>전기- 대형 승객용 차량</t>
    <phoneticPr fontId="8" type="noConversion"/>
  </si>
  <si>
    <t>수소 - 승합</t>
    <phoneticPr fontId="8" type="noConversion"/>
  </si>
  <si>
    <t xml:space="preserve">전기차 차동별 보조금(국비+지방비(서울) 최대금액) </t>
    <phoneticPr fontId="8" type="noConversion"/>
  </si>
  <si>
    <t>경형 화물차</t>
    <phoneticPr fontId="8" type="noConversion"/>
  </si>
  <si>
    <t>소형 화물차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</si>
</sst>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$&quot;#,##0_);[Red]\(&quot;$&quot;#,##0\)"/>
    <numFmt numFmtId="177" formatCode="_(&quot;$&quot;* #,##0.00_);_(&quot;$&quot;* \(#,##0.00\);_(&quot;$&quot;* &quot;-&quot;??_);_(@_)"/>
    <numFmt numFmtId="178" formatCode="0.0%"/>
  </numFmts>
  <fonts count="1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3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 applyFont="0" applyFill="0" applyBorder="0" applyAlignment="0" applyProtection="0"/>
    <xf numFmtId="0" fontId="7" fillId="0" borderId="0"/>
    <xf numFmtId="177" fontId="7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 applyFill="1"/>
    <xf numFmtId="176" fontId="0" fillId="0" borderId="0" xfId="0" applyNumberFormat="1"/>
    <xf numFmtId="9" fontId="0" fillId="0" borderId="0" xfId="30" applyFont="1"/>
    <xf numFmtId="178" fontId="0" fillId="0" borderId="0" xfId="0" applyNumberFormat="1"/>
    <xf numFmtId="178" fontId="0" fillId="0" borderId="0" xfId="30" applyNumberFormat="1" applyFont="1"/>
    <xf numFmtId="0" fontId="1" fillId="2" borderId="0" xfId="0" applyFont="1" applyFill="1"/>
    <xf numFmtId="0" fontId="9" fillId="0" borderId="0" xfId="8" applyFont="1"/>
    <xf numFmtId="0" fontId="10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/>
    <xf numFmtId="0" fontId="12" fillId="0" borderId="0" xfId="8" applyFont="1" applyAlignment="1">
      <alignment wrapText="1"/>
    </xf>
    <xf numFmtId="0" fontId="0" fillId="0" borderId="0" xfId="0" quotePrefix="1"/>
    <xf numFmtId="0" fontId="5" fillId="0" borderId="0" xfId="8" applyAlignment="1">
      <alignment horizontal="left"/>
    </xf>
    <xf numFmtId="1" fontId="0" fillId="0" borderId="0" xfId="0" applyNumberFormat="1"/>
  </cellXfs>
  <cellStyles count="33">
    <cellStyle name="Body: normal cell" xfId="4" xr:uid="{00000000-0005-0000-0000-000000000000}"/>
    <cellStyle name="Body: normal cell 2" xfId="24" xr:uid="{18BAE46B-2E2B-4189-9E60-EEC8494BA028}"/>
    <cellStyle name="Body: normal cell 3" xfId="17" xr:uid="{46606A30-9DB6-4D96-9D39-18DB8C25C045}"/>
    <cellStyle name="Body: normal cell 4" xfId="9" xr:uid="{23D7D41B-0FA5-4B15-8ACE-D94C027772C4}"/>
    <cellStyle name="Currency 2" xfId="32" xr:uid="{C53AF8AC-2A66-4CBB-880E-1554F67B4888}"/>
    <cellStyle name="Font: Calibri, 9pt regular" xfId="6" xr:uid="{00000000-0005-0000-0000-000001000000}"/>
    <cellStyle name="Font: Calibri, 9pt regular 2" xfId="25" xr:uid="{97A6AFB7-D07D-4277-A8A5-6AA031407B07}"/>
    <cellStyle name="Font: Calibri, 9pt regular 3" xfId="18" xr:uid="{0009694E-C95B-4F43-83D7-2529DBC1B2D2}"/>
    <cellStyle name="Font: Calibri, 9pt regular 4" xfId="10" xr:uid="{4997676D-DE0F-4BF4-98C6-34E7B74441C2}"/>
    <cellStyle name="Footnotes: top row" xfId="2" xr:uid="{00000000-0005-0000-0000-000002000000}"/>
    <cellStyle name="Footnotes: top row 2" xfId="26" xr:uid="{97AB559D-7086-41BA-8641-AC105062AF6A}"/>
    <cellStyle name="Footnotes: top row 3" xfId="19" xr:uid="{D97984EB-4776-4DB2-9C83-81983F1B6E98}"/>
    <cellStyle name="Footnotes: top row 4" xfId="11" xr:uid="{F3BA1A2C-AD77-4812-ACFA-6C7A7B962945}"/>
    <cellStyle name="Header: bottom row" xfId="5" xr:uid="{00000000-0005-0000-0000-000003000000}"/>
    <cellStyle name="Header: bottom row 2" xfId="27" xr:uid="{1D7C7530-C012-4975-BABC-640C7522786E}"/>
    <cellStyle name="Header: bottom row 3" xfId="20" xr:uid="{D4A074B3-C733-4663-AFD1-0229ED226851}"/>
    <cellStyle name="Header: bottom row 4" xfId="12" xr:uid="{040BC27B-CB03-4FDE-8B80-4B13E048F2D8}"/>
    <cellStyle name="Normal 2" xfId="1" xr:uid="{00000000-0005-0000-0000-000006000000}"/>
    <cellStyle name="Normal 3" xfId="23" xr:uid="{F75C00A9-4AB0-4B9A-85F1-1BA242EDAF83}"/>
    <cellStyle name="Normal 4" xfId="16" xr:uid="{D654EA3C-A2C4-4D73-9768-00B5086DE48E}"/>
    <cellStyle name="Normal 5" xfId="15" xr:uid="{0C79D543-A7BB-495E-ADE9-28C4F0835F44}"/>
    <cellStyle name="Normal 6" xfId="31" xr:uid="{0E9D232A-CBEC-4F0A-BBF4-253233F3584B}"/>
    <cellStyle name="Parent row" xfId="3" xr:uid="{00000000-0005-0000-0000-000007000000}"/>
    <cellStyle name="Parent row 2" xfId="28" xr:uid="{1C336998-EB49-46ED-B880-BDD7385C1A9F}"/>
    <cellStyle name="Parent row 3" xfId="21" xr:uid="{E39AA093-46A1-425E-9FAB-5E5D22915C9B}"/>
    <cellStyle name="Parent row 4" xfId="13" xr:uid="{766EEC84-3128-426E-8720-CF77BEFFA340}"/>
    <cellStyle name="Table title" xfId="7" xr:uid="{00000000-0005-0000-0000-000008000000}"/>
    <cellStyle name="Table title 2" xfId="29" xr:uid="{75C5CFB8-5852-4F3E-A011-ECC9372E7F45}"/>
    <cellStyle name="Table title 3" xfId="22" xr:uid="{D3D003D1-845D-4DC8-878D-F5771072DB44}"/>
    <cellStyle name="Table title 4" xfId="14" xr:uid="{09C4790A-A5AC-4A4C-A2DC-60844BB56B28}"/>
    <cellStyle name="백분율" xfId="30" builtinId="5"/>
    <cellStyle name="표준" xfId="0" builtinId="0"/>
    <cellStyle name="하이퍼링크" xfId="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asylaw.go.kr/CSP/CnpClsMain.laf?csmSeq=1404&amp;ccfNo=1&amp;cciNo=1&amp;cnpClsNo=1" TargetMode="External"/><Relationship Id="rId1" Type="http://schemas.openxmlformats.org/officeDocument/2006/relationships/hyperlink" Target="https://www.amazoncar.co.kr/single/reservation?type=electric_c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asylaw.go.kr/CSP/CnpClsMain.laf?popMenu=ov&amp;csmSeq=1404&amp;ccfNo=3&amp;cciNo=1&amp;cnpClsNo=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5"/>
  <sheetViews>
    <sheetView workbookViewId="0">
      <selection activeCell="G25" sqref="G25"/>
    </sheetView>
  </sheetViews>
  <sheetFormatPr defaultRowHeight="17"/>
  <cols>
    <col min="2" max="2" width="69.25" customWidth="1"/>
  </cols>
  <sheetData>
    <row r="1" spans="1:3">
      <c r="A1" s="1" t="s">
        <v>9</v>
      </c>
    </row>
    <row r="3" spans="1:3">
      <c r="A3" s="1" t="s">
        <v>0</v>
      </c>
      <c r="B3" s="9" t="s">
        <v>16</v>
      </c>
      <c r="C3" s="15"/>
    </row>
    <row r="4" spans="1:3">
      <c r="B4" t="s">
        <v>13</v>
      </c>
    </row>
    <row r="5" spans="1:3">
      <c r="B5" s="3">
        <v>2025</v>
      </c>
    </row>
    <row r="6" spans="1:3">
      <c r="B6" s="3"/>
    </row>
    <row r="7" spans="1:3">
      <c r="B7" t="s">
        <v>29</v>
      </c>
    </row>
    <row r="8" spans="1:3">
      <c r="B8" t="s">
        <v>28</v>
      </c>
    </row>
    <row r="9" spans="1:3">
      <c r="B9" s="3"/>
    </row>
    <row r="10" spans="1:3">
      <c r="B10" s="3" t="s">
        <v>15</v>
      </c>
    </row>
    <row r="11" spans="1:3">
      <c r="B11" s="16" t="s">
        <v>24</v>
      </c>
    </row>
    <row r="12" spans="1:3">
      <c r="B12" s="3"/>
    </row>
    <row r="13" spans="1:3">
      <c r="B13" s="10" t="s">
        <v>14</v>
      </c>
    </row>
    <row r="14" spans="1:3">
      <c r="B14" s="4" t="s">
        <v>23</v>
      </c>
    </row>
    <row r="15" spans="1:3">
      <c r="B15" s="4"/>
    </row>
    <row r="16" spans="1:3">
      <c r="B16" s="3"/>
    </row>
    <row r="18" spans="2:2">
      <c r="B18" s="4"/>
    </row>
    <row r="30" spans="2:2">
      <c r="B30" s="3"/>
    </row>
    <row r="32" spans="2:2">
      <c r="B32" s="4"/>
    </row>
    <row r="35" spans="1:1">
      <c r="A35" s="1"/>
    </row>
  </sheetData>
  <phoneticPr fontId="8" type="noConversion"/>
  <hyperlinks>
    <hyperlink ref="B14" r:id="rId1" xr:uid="{4581867B-9054-4731-B6D7-80BFD47F8B2E}"/>
    <hyperlink ref="B11" r:id="rId2" xr:uid="{04F4B6B1-A408-49DF-9E50-1A2A047456D6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3CC6-8591-4A07-9E4B-1DE39D29E87F}">
  <sheetPr codeName="Sheet2"/>
  <dimension ref="A1:AE28"/>
  <sheetViews>
    <sheetView zoomScaleNormal="100" workbookViewId="0">
      <selection activeCell="B16" sqref="B16"/>
    </sheetView>
  </sheetViews>
  <sheetFormatPr defaultColWidth="8.75" defaultRowHeight="17"/>
  <cols>
    <col min="1" max="1" width="45.5" customWidth="1"/>
    <col min="2" max="2" width="15.75" customWidth="1"/>
    <col min="3" max="3" width="19.08203125" customWidth="1"/>
  </cols>
  <sheetData>
    <row r="1" spans="1:31">
      <c r="A1" s="1" t="s">
        <v>27</v>
      </c>
    </row>
    <row r="2" spans="1:31">
      <c r="A2" t="s">
        <v>26</v>
      </c>
    </row>
    <row r="3" spans="1:31"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>
      <c r="A4" s="5" t="s">
        <v>25</v>
      </c>
      <c r="B4">
        <v>1000</v>
      </c>
      <c r="C4">
        <v>900</v>
      </c>
      <c r="D4">
        <v>860</v>
      </c>
      <c r="E4">
        <v>800</v>
      </c>
      <c r="F4">
        <v>640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7</v>
      </c>
      <c r="B6">
        <v>2250</v>
      </c>
      <c r="C6">
        <v>3250</v>
      </c>
      <c r="D6">
        <v>3250</v>
      </c>
      <c r="E6">
        <v>3250</v>
      </c>
      <c r="F6">
        <v>2950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5"/>
    </row>
    <row r="8" spans="1:31">
      <c r="A8" s="5"/>
    </row>
    <row r="9" spans="1:31">
      <c r="A9" s="5" t="s">
        <v>17</v>
      </c>
      <c r="B9">
        <v>1363.18</v>
      </c>
      <c r="C9" t="s">
        <v>20</v>
      </c>
      <c r="D9" t="s">
        <v>19</v>
      </c>
    </row>
    <row r="10" spans="1:31">
      <c r="A10" s="5" t="s">
        <v>18</v>
      </c>
      <c r="B10">
        <v>0.73191600598044548</v>
      </c>
    </row>
    <row r="11" spans="1:31">
      <c r="A11" s="5"/>
    </row>
    <row r="12" spans="1:31">
      <c r="A12" s="5"/>
    </row>
    <row r="13" spans="1:31">
      <c r="A13" s="5" t="s">
        <v>10</v>
      </c>
    </row>
    <row r="14" spans="1:31">
      <c r="B14">
        <v>2021</v>
      </c>
      <c r="C14">
        <v>2022</v>
      </c>
      <c r="D14">
        <v>2023</v>
      </c>
      <c r="E14">
        <v>2024</v>
      </c>
      <c r="F14">
        <v>2025</v>
      </c>
      <c r="G14">
        <v>2026</v>
      </c>
      <c r="H14">
        <v>2027</v>
      </c>
      <c r="I14">
        <v>2028</v>
      </c>
      <c r="J14">
        <v>2029</v>
      </c>
      <c r="K14">
        <v>2030</v>
      </c>
      <c r="L14">
        <v>2031</v>
      </c>
      <c r="M14">
        <v>2032</v>
      </c>
      <c r="N14">
        <v>2033</v>
      </c>
      <c r="O14">
        <v>2034</v>
      </c>
      <c r="P14">
        <v>2035</v>
      </c>
      <c r="Q14">
        <v>2036</v>
      </c>
      <c r="R14">
        <v>2037</v>
      </c>
      <c r="S14">
        <v>2038</v>
      </c>
      <c r="T14">
        <v>2039</v>
      </c>
      <c r="U14">
        <v>2040</v>
      </c>
      <c r="V14">
        <v>2041</v>
      </c>
      <c r="W14">
        <v>2042</v>
      </c>
      <c r="X14">
        <v>2043</v>
      </c>
      <c r="Y14">
        <v>2044</v>
      </c>
      <c r="Z14">
        <v>2045</v>
      </c>
      <c r="AA14">
        <v>2046</v>
      </c>
      <c r="AB14">
        <v>2047</v>
      </c>
      <c r="AC14">
        <v>2048</v>
      </c>
      <c r="AD14">
        <v>2049</v>
      </c>
      <c r="AE14">
        <v>2050</v>
      </c>
    </row>
    <row r="15" spans="1:31">
      <c r="A15" s="5" t="s">
        <v>11</v>
      </c>
      <c r="B15" s="5">
        <f>B4*10000/$B$9*$B$10</f>
        <v>5369.1809297410864</v>
      </c>
      <c r="C15" s="5">
        <f t="shared" ref="C15:AE17" si="0">C4*10000/$B$9*$B$10</f>
        <v>4832.2628367669777</v>
      </c>
      <c r="D15" s="5">
        <f t="shared" si="0"/>
        <v>4617.4955995773344</v>
      </c>
      <c r="E15" s="5">
        <f t="shared" si="0"/>
        <v>4295.3447437928689</v>
      </c>
      <c r="F15" s="5">
        <f t="shared" si="0"/>
        <v>3436.2757950342957</v>
      </c>
      <c r="G15" s="5">
        <f>$F$15</f>
        <v>3436.2757950342957</v>
      </c>
      <c r="H15" s="5">
        <f t="shared" ref="H15:AE15" si="1">$F$15</f>
        <v>3436.2757950342957</v>
      </c>
      <c r="I15" s="5">
        <f t="shared" si="1"/>
        <v>3436.2757950342957</v>
      </c>
      <c r="J15" s="5">
        <f t="shared" si="1"/>
        <v>3436.2757950342957</v>
      </c>
      <c r="K15" s="5">
        <f t="shared" si="1"/>
        <v>3436.2757950342957</v>
      </c>
      <c r="L15" s="5">
        <f t="shared" si="1"/>
        <v>3436.2757950342957</v>
      </c>
      <c r="M15" s="5">
        <f t="shared" si="1"/>
        <v>3436.2757950342957</v>
      </c>
      <c r="N15" s="5">
        <f t="shared" si="1"/>
        <v>3436.2757950342957</v>
      </c>
      <c r="O15" s="5">
        <f t="shared" si="1"/>
        <v>3436.2757950342957</v>
      </c>
      <c r="P15" s="5">
        <f t="shared" si="1"/>
        <v>3436.2757950342957</v>
      </c>
      <c r="Q15" s="5">
        <f t="shared" si="1"/>
        <v>3436.2757950342957</v>
      </c>
      <c r="R15" s="5">
        <f t="shared" si="1"/>
        <v>3436.2757950342957</v>
      </c>
      <c r="S15" s="5">
        <f t="shared" si="1"/>
        <v>3436.2757950342957</v>
      </c>
      <c r="T15" s="5">
        <f t="shared" si="1"/>
        <v>3436.2757950342957</v>
      </c>
      <c r="U15" s="5">
        <f t="shared" si="1"/>
        <v>3436.2757950342957</v>
      </c>
      <c r="V15" s="5">
        <f t="shared" si="1"/>
        <v>3436.2757950342957</v>
      </c>
      <c r="W15" s="5">
        <f t="shared" si="1"/>
        <v>3436.2757950342957</v>
      </c>
      <c r="X15" s="5">
        <f t="shared" si="1"/>
        <v>3436.2757950342957</v>
      </c>
      <c r="Y15" s="5">
        <f t="shared" si="1"/>
        <v>3436.2757950342957</v>
      </c>
      <c r="Z15" s="5">
        <f t="shared" si="1"/>
        <v>3436.2757950342957</v>
      </c>
      <c r="AA15" s="5">
        <f t="shared" si="1"/>
        <v>3436.2757950342957</v>
      </c>
      <c r="AB15" s="5">
        <f t="shared" si="1"/>
        <v>3436.2757950342957</v>
      </c>
      <c r="AC15" s="5">
        <f t="shared" si="1"/>
        <v>3436.2757950342957</v>
      </c>
      <c r="AD15" s="5">
        <f t="shared" si="1"/>
        <v>3436.2757950342957</v>
      </c>
      <c r="AE15" s="5">
        <f t="shared" si="1"/>
        <v>3436.2757950342957</v>
      </c>
    </row>
    <row r="16" spans="1:31">
      <c r="A16" s="5" t="s">
        <v>12</v>
      </c>
      <c r="B16" s="5">
        <f t="shared" ref="B16:Q17" si="2">B5*10000/$B$9*$B$10</f>
        <v>0</v>
      </c>
      <c r="C16" s="5">
        <f t="shared" si="2"/>
        <v>0</v>
      </c>
      <c r="D16" s="5">
        <f t="shared" si="2"/>
        <v>0</v>
      </c>
      <c r="E16" s="5">
        <f t="shared" si="2"/>
        <v>0</v>
      </c>
      <c r="F16" s="5">
        <f t="shared" si="2"/>
        <v>0</v>
      </c>
      <c r="G16" s="5">
        <f t="shared" si="2"/>
        <v>0</v>
      </c>
      <c r="H16" s="5">
        <f t="shared" si="2"/>
        <v>0</v>
      </c>
      <c r="I16" s="5">
        <f t="shared" si="2"/>
        <v>0</v>
      </c>
      <c r="J16" s="5">
        <f t="shared" si="2"/>
        <v>0</v>
      </c>
      <c r="K16" s="5">
        <f t="shared" si="2"/>
        <v>0</v>
      </c>
      <c r="L16" s="5">
        <f t="shared" si="2"/>
        <v>0</v>
      </c>
      <c r="M16" s="5">
        <f t="shared" si="2"/>
        <v>0</v>
      </c>
      <c r="N16" s="5">
        <f t="shared" si="2"/>
        <v>0</v>
      </c>
      <c r="O16" s="5">
        <f t="shared" si="2"/>
        <v>0</v>
      </c>
      <c r="P16" s="5">
        <f t="shared" si="2"/>
        <v>0</v>
      </c>
      <c r="Q16" s="5">
        <f t="shared" si="2"/>
        <v>0</v>
      </c>
      <c r="R16" s="5">
        <f t="shared" si="0"/>
        <v>0</v>
      </c>
      <c r="S16" s="5">
        <f t="shared" si="0"/>
        <v>0</v>
      </c>
      <c r="T16" s="5">
        <f t="shared" si="0"/>
        <v>0</v>
      </c>
      <c r="U16" s="5">
        <f t="shared" si="0"/>
        <v>0</v>
      </c>
      <c r="V16" s="5">
        <f t="shared" si="0"/>
        <v>0</v>
      </c>
      <c r="W16" s="5">
        <f t="shared" si="0"/>
        <v>0</v>
      </c>
      <c r="X16" s="5">
        <f t="shared" si="0"/>
        <v>0</v>
      </c>
      <c r="Y16" s="5">
        <f t="shared" si="0"/>
        <v>0</v>
      </c>
      <c r="Z16" s="5">
        <f t="shared" si="0"/>
        <v>0</v>
      </c>
      <c r="AA16" s="5">
        <f t="shared" si="0"/>
        <v>0</v>
      </c>
      <c r="AB16" s="5">
        <f t="shared" si="0"/>
        <v>0</v>
      </c>
      <c r="AC16" s="5">
        <f t="shared" si="0"/>
        <v>0</v>
      </c>
      <c r="AD16" s="5">
        <f t="shared" si="0"/>
        <v>0</v>
      </c>
      <c r="AE16" s="5">
        <f t="shared" si="0"/>
        <v>0</v>
      </c>
    </row>
    <row r="17" spans="1:31">
      <c r="A17" t="s">
        <v>7</v>
      </c>
      <c r="B17" s="5">
        <f t="shared" si="2"/>
        <v>12080.657091917445</v>
      </c>
      <c r="C17" s="5">
        <f t="shared" si="0"/>
        <v>17449.838021658532</v>
      </c>
      <c r="D17" s="5">
        <f t="shared" si="0"/>
        <v>17449.838021658532</v>
      </c>
      <c r="E17" s="5">
        <f t="shared" si="0"/>
        <v>17449.838021658532</v>
      </c>
      <c r="F17" s="5">
        <f t="shared" si="0"/>
        <v>15839.083742736204</v>
      </c>
      <c r="G17" s="5">
        <f>$F$17</f>
        <v>15839.083742736204</v>
      </c>
      <c r="H17" s="5">
        <f t="shared" ref="H17:AE17" si="3">$F$17</f>
        <v>15839.083742736204</v>
      </c>
      <c r="I17" s="5">
        <f t="shared" si="3"/>
        <v>15839.083742736204</v>
      </c>
      <c r="J17" s="5">
        <f t="shared" si="3"/>
        <v>15839.083742736204</v>
      </c>
      <c r="K17" s="5">
        <f t="shared" si="3"/>
        <v>15839.083742736204</v>
      </c>
      <c r="L17" s="5">
        <f t="shared" si="3"/>
        <v>15839.083742736204</v>
      </c>
      <c r="M17" s="5">
        <f t="shared" si="3"/>
        <v>15839.083742736204</v>
      </c>
      <c r="N17" s="5">
        <f t="shared" si="3"/>
        <v>15839.083742736204</v>
      </c>
      <c r="O17" s="5">
        <f t="shared" si="3"/>
        <v>15839.083742736204</v>
      </c>
      <c r="P17" s="5">
        <f t="shared" si="3"/>
        <v>15839.083742736204</v>
      </c>
      <c r="Q17" s="5">
        <f t="shared" si="3"/>
        <v>15839.083742736204</v>
      </c>
      <c r="R17" s="5">
        <f t="shared" si="3"/>
        <v>15839.083742736204</v>
      </c>
      <c r="S17" s="5">
        <f t="shared" si="3"/>
        <v>15839.083742736204</v>
      </c>
      <c r="T17" s="5">
        <f t="shared" si="3"/>
        <v>15839.083742736204</v>
      </c>
      <c r="U17" s="5">
        <f t="shared" si="3"/>
        <v>15839.083742736204</v>
      </c>
      <c r="V17" s="5">
        <f t="shared" si="3"/>
        <v>15839.083742736204</v>
      </c>
      <c r="W17" s="5">
        <f t="shared" si="3"/>
        <v>15839.083742736204</v>
      </c>
      <c r="X17" s="5">
        <f t="shared" si="3"/>
        <v>15839.083742736204</v>
      </c>
      <c r="Y17" s="5">
        <f t="shared" si="3"/>
        <v>15839.083742736204</v>
      </c>
      <c r="Z17" s="5">
        <f t="shared" si="3"/>
        <v>15839.083742736204</v>
      </c>
      <c r="AA17" s="5">
        <f t="shared" si="3"/>
        <v>15839.083742736204</v>
      </c>
      <c r="AB17" s="5">
        <f t="shared" si="3"/>
        <v>15839.083742736204</v>
      </c>
      <c r="AC17" s="5">
        <f t="shared" si="3"/>
        <v>15839.083742736204</v>
      </c>
      <c r="AD17" s="5">
        <f t="shared" si="3"/>
        <v>15839.083742736204</v>
      </c>
      <c r="AE17" s="5">
        <f t="shared" si="3"/>
        <v>15839.083742736204</v>
      </c>
    </row>
    <row r="18" spans="1:31">
      <c r="G18" t="s">
        <v>22</v>
      </c>
    </row>
    <row r="21" spans="1:31" ht="102">
      <c r="A21" s="14" t="s">
        <v>21</v>
      </c>
    </row>
    <row r="28" spans="1:31">
      <c r="B28" s="7"/>
      <c r="C28" s="8"/>
      <c r="D28" s="8"/>
      <c r="E28" s="8"/>
      <c r="F28" s="8"/>
      <c r="G28" s="8"/>
      <c r="H28" s="8"/>
      <c r="I28" s="8"/>
      <c r="J28" s="8"/>
      <c r="K28" s="8"/>
      <c r="L28" s="6"/>
    </row>
  </sheetData>
  <phoneticPr fontId="8" type="noConversion"/>
  <hyperlinks>
    <hyperlink ref="A21" r:id="rId1" tooltip="새창으로 열림" display="https://www.easylaw.go.kr/CSP/CnpClsMain.laf?popMenu=ov&amp;csmSeq=1404&amp;ccfNo=3&amp;cciNo=1&amp;cnpClsNo=2" xr:uid="{F3E7EE48-83EE-42B1-BAA8-2FE4244699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62BA-2B52-48EA-8513-8E5B1006C831}">
  <sheetPr codeName="Sheet3"/>
  <dimension ref="A1:AF18"/>
  <sheetViews>
    <sheetView workbookViewId="0">
      <selection activeCell="K28" sqref="K28"/>
    </sheetView>
  </sheetViews>
  <sheetFormatPr defaultRowHeight="17"/>
  <cols>
    <col min="1" max="1" width="11.75" customWidth="1"/>
    <col min="2" max="2" width="15" customWidth="1"/>
  </cols>
  <sheetData>
    <row r="1" spans="1:32">
      <c r="A1" t="s">
        <v>36</v>
      </c>
    </row>
    <row r="2" spans="1:32">
      <c r="A2" t="s">
        <v>33</v>
      </c>
    </row>
    <row r="3" spans="1:32">
      <c r="C3">
        <v>2021</v>
      </c>
      <c r="D3">
        <v>2022</v>
      </c>
      <c r="E3">
        <v>2023</v>
      </c>
      <c r="F3">
        <v>2024</v>
      </c>
      <c r="G3">
        <v>2025</v>
      </c>
    </row>
    <row r="4" spans="1:32">
      <c r="A4" t="s">
        <v>30</v>
      </c>
      <c r="B4" t="s">
        <v>34</v>
      </c>
      <c r="C4">
        <v>33560</v>
      </c>
      <c r="D4">
        <v>29386</v>
      </c>
      <c r="E4">
        <v>11900</v>
      </c>
      <c r="F4">
        <v>17000</v>
      </c>
      <c r="G4">
        <v>19812</v>
      </c>
    </row>
    <row r="5" spans="1:32">
      <c r="B5" t="s">
        <v>35</v>
      </c>
      <c r="C5">
        <v>15000</v>
      </c>
      <c r="D5">
        <v>30000</v>
      </c>
      <c r="E5">
        <v>35000</v>
      </c>
      <c r="F5">
        <v>35000</v>
      </c>
      <c r="G5">
        <v>35000</v>
      </c>
    </row>
    <row r="6" spans="1:32">
      <c r="A6" t="s">
        <v>31</v>
      </c>
      <c r="B6" t="s">
        <v>37</v>
      </c>
      <c r="C6">
        <v>1650</v>
      </c>
      <c r="D6">
        <v>1500</v>
      </c>
      <c r="E6">
        <v>1260</v>
      </c>
      <c r="F6">
        <v>1153</v>
      </c>
      <c r="G6">
        <v>767</v>
      </c>
    </row>
    <row r="7" spans="1:32">
      <c r="A7" t="s">
        <v>32</v>
      </c>
      <c r="B7" t="s">
        <v>38</v>
      </c>
      <c r="C7">
        <v>3150</v>
      </c>
      <c r="D7">
        <v>2628</v>
      </c>
      <c r="E7">
        <v>1946</v>
      </c>
      <c r="F7">
        <v>2022</v>
      </c>
      <c r="G7">
        <v>1990</v>
      </c>
    </row>
    <row r="10" spans="1:32">
      <c r="A10" s="5" t="s">
        <v>17</v>
      </c>
      <c r="B10">
        <v>1363.18</v>
      </c>
      <c r="C10" t="s">
        <v>20</v>
      </c>
      <c r="D10" t="s">
        <v>19</v>
      </c>
    </row>
    <row r="11" spans="1:32">
      <c r="A11" s="5" t="s">
        <v>18</v>
      </c>
      <c r="B11">
        <v>0.73191600598044548</v>
      </c>
    </row>
    <row r="13" spans="1:32">
      <c r="A13" s="5" t="s">
        <v>10</v>
      </c>
    </row>
    <row r="14" spans="1:32">
      <c r="A14" s="5"/>
      <c r="C14">
        <v>2021</v>
      </c>
      <c r="D14">
        <v>2022</v>
      </c>
      <c r="E14">
        <v>2023</v>
      </c>
      <c r="F14">
        <v>2024</v>
      </c>
      <c r="G14">
        <v>2025</v>
      </c>
      <c r="H14">
        <v>2026</v>
      </c>
      <c r="I14">
        <v>2027</v>
      </c>
      <c r="J14">
        <v>2028</v>
      </c>
      <c r="K14">
        <v>2029</v>
      </c>
      <c r="L14">
        <v>2030</v>
      </c>
      <c r="M14">
        <v>2031</v>
      </c>
      <c r="N14">
        <v>2032</v>
      </c>
      <c r="O14">
        <v>2033</v>
      </c>
      <c r="P14">
        <v>2034</v>
      </c>
      <c r="Q14">
        <v>2035</v>
      </c>
      <c r="R14">
        <v>2036</v>
      </c>
      <c r="S14">
        <v>2037</v>
      </c>
      <c r="T14">
        <v>2038</v>
      </c>
      <c r="U14">
        <v>2039</v>
      </c>
      <c r="V14">
        <v>2040</v>
      </c>
      <c r="W14">
        <v>2041</v>
      </c>
      <c r="X14">
        <v>2042</v>
      </c>
      <c r="Y14">
        <v>2043</v>
      </c>
      <c r="Z14">
        <v>2044</v>
      </c>
      <c r="AA14">
        <v>2045</v>
      </c>
      <c r="AB14">
        <v>2046</v>
      </c>
      <c r="AC14">
        <v>2047</v>
      </c>
      <c r="AD14">
        <v>2048</v>
      </c>
      <c r="AE14">
        <v>2049</v>
      </c>
      <c r="AF14">
        <v>2050</v>
      </c>
    </row>
    <row r="15" spans="1:32">
      <c r="A15" t="s">
        <v>30</v>
      </c>
      <c r="B15" t="s">
        <v>34</v>
      </c>
      <c r="C15" s="17">
        <f>10000*C4/$B$10*$B$11</f>
        <v>180189.71200211087</v>
      </c>
      <c r="D15" s="17">
        <f t="shared" ref="D15:F15" si="0">10000*D4/$B$10*$B$11</f>
        <v>157778.75080137159</v>
      </c>
      <c r="E15" s="17">
        <f t="shared" si="0"/>
        <v>63893.253063918928</v>
      </c>
      <c r="F15" s="17">
        <f t="shared" si="0"/>
        <v>91276.075805598477</v>
      </c>
      <c r="G15" s="17">
        <f>10000*G4/$B$10*$B$11</f>
        <v>106374.21258003041</v>
      </c>
      <c r="H15" s="17">
        <f>$G15</f>
        <v>106374.21258003041</v>
      </c>
      <c r="I15" s="17">
        <f t="shared" ref="I15:AF18" si="1">$G15</f>
        <v>106374.21258003041</v>
      </c>
      <c r="J15" s="17">
        <f t="shared" si="1"/>
        <v>106374.21258003041</v>
      </c>
      <c r="K15" s="17">
        <f t="shared" si="1"/>
        <v>106374.21258003041</v>
      </c>
      <c r="L15" s="17">
        <f t="shared" si="1"/>
        <v>106374.21258003041</v>
      </c>
      <c r="M15" s="17">
        <f t="shared" si="1"/>
        <v>106374.21258003041</v>
      </c>
      <c r="N15" s="17">
        <f t="shared" si="1"/>
        <v>106374.21258003041</v>
      </c>
      <c r="O15" s="17">
        <f t="shared" si="1"/>
        <v>106374.21258003041</v>
      </c>
      <c r="P15" s="17">
        <f t="shared" si="1"/>
        <v>106374.21258003041</v>
      </c>
      <c r="Q15" s="17">
        <f t="shared" si="1"/>
        <v>106374.21258003041</v>
      </c>
      <c r="R15" s="17">
        <f t="shared" si="1"/>
        <v>106374.21258003041</v>
      </c>
      <c r="S15" s="17">
        <f t="shared" si="1"/>
        <v>106374.21258003041</v>
      </c>
      <c r="T15" s="17">
        <f t="shared" si="1"/>
        <v>106374.21258003041</v>
      </c>
      <c r="U15" s="17">
        <f t="shared" si="1"/>
        <v>106374.21258003041</v>
      </c>
      <c r="V15" s="17">
        <f t="shared" si="1"/>
        <v>106374.21258003041</v>
      </c>
      <c r="W15" s="17">
        <f t="shared" si="1"/>
        <v>106374.21258003041</v>
      </c>
      <c r="X15" s="17">
        <f t="shared" si="1"/>
        <v>106374.21258003041</v>
      </c>
      <c r="Y15" s="17">
        <f t="shared" si="1"/>
        <v>106374.21258003041</v>
      </c>
      <c r="Z15" s="17">
        <f t="shared" si="1"/>
        <v>106374.21258003041</v>
      </c>
      <c r="AA15" s="17">
        <f t="shared" si="1"/>
        <v>106374.21258003041</v>
      </c>
      <c r="AB15" s="17">
        <f t="shared" si="1"/>
        <v>106374.21258003041</v>
      </c>
      <c r="AC15" s="17">
        <f t="shared" si="1"/>
        <v>106374.21258003041</v>
      </c>
      <c r="AD15" s="17">
        <f t="shared" si="1"/>
        <v>106374.21258003041</v>
      </c>
      <c r="AE15" s="17">
        <f t="shared" si="1"/>
        <v>106374.21258003041</v>
      </c>
      <c r="AF15" s="17">
        <f t="shared" si="1"/>
        <v>106374.21258003041</v>
      </c>
    </row>
    <row r="16" spans="1:32">
      <c r="B16" t="s">
        <v>35</v>
      </c>
      <c r="C16" s="17">
        <f t="shared" ref="C16:G18" si="2">10000*C5/$B$10*$B$11</f>
        <v>80537.713946116302</v>
      </c>
      <c r="D16" s="17">
        <f t="shared" si="2"/>
        <v>161075.4278922326</v>
      </c>
      <c r="E16" s="17">
        <f t="shared" si="2"/>
        <v>187921.33254093802</v>
      </c>
      <c r="F16" s="17">
        <f t="shared" si="2"/>
        <v>187921.33254093802</v>
      </c>
      <c r="G16" s="17">
        <f t="shared" si="2"/>
        <v>187921.33254093802</v>
      </c>
      <c r="H16" s="17">
        <f t="shared" ref="H16:W18" si="3">$G16</f>
        <v>187921.33254093802</v>
      </c>
      <c r="I16" s="17">
        <f t="shared" si="3"/>
        <v>187921.33254093802</v>
      </c>
      <c r="J16" s="17">
        <f t="shared" si="3"/>
        <v>187921.33254093802</v>
      </c>
      <c r="K16" s="17">
        <f t="shared" si="3"/>
        <v>187921.33254093802</v>
      </c>
      <c r="L16" s="17">
        <f t="shared" si="3"/>
        <v>187921.33254093802</v>
      </c>
      <c r="M16" s="17">
        <f t="shared" si="3"/>
        <v>187921.33254093802</v>
      </c>
      <c r="N16" s="17">
        <f t="shared" si="3"/>
        <v>187921.33254093802</v>
      </c>
      <c r="O16" s="17">
        <f t="shared" si="3"/>
        <v>187921.33254093802</v>
      </c>
      <c r="P16" s="17">
        <f t="shared" si="3"/>
        <v>187921.33254093802</v>
      </c>
      <c r="Q16" s="17">
        <f t="shared" si="3"/>
        <v>187921.33254093802</v>
      </c>
      <c r="R16" s="17">
        <f t="shared" si="3"/>
        <v>187921.33254093802</v>
      </c>
      <c r="S16" s="17">
        <f t="shared" si="3"/>
        <v>187921.33254093802</v>
      </c>
      <c r="T16" s="17">
        <f t="shared" si="3"/>
        <v>187921.33254093802</v>
      </c>
      <c r="U16" s="17">
        <f t="shared" si="3"/>
        <v>187921.33254093802</v>
      </c>
      <c r="V16" s="17">
        <f t="shared" si="3"/>
        <v>187921.33254093802</v>
      </c>
      <c r="W16" s="17">
        <f t="shared" si="3"/>
        <v>187921.33254093802</v>
      </c>
      <c r="X16" s="17">
        <f t="shared" si="1"/>
        <v>187921.33254093802</v>
      </c>
      <c r="Y16" s="17">
        <f t="shared" si="1"/>
        <v>187921.33254093802</v>
      </c>
      <c r="Z16" s="17">
        <f t="shared" si="1"/>
        <v>187921.33254093802</v>
      </c>
      <c r="AA16" s="17">
        <f t="shared" si="1"/>
        <v>187921.33254093802</v>
      </c>
      <c r="AB16" s="17">
        <f t="shared" si="1"/>
        <v>187921.33254093802</v>
      </c>
      <c r="AC16" s="17">
        <f t="shared" si="1"/>
        <v>187921.33254093802</v>
      </c>
      <c r="AD16" s="17">
        <f t="shared" si="1"/>
        <v>187921.33254093802</v>
      </c>
      <c r="AE16" s="17">
        <f t="shared" si="1"/>
        <v>187921.33254093802</v>
      </c>
      <c r="AF16" s="17">
        <f t="shared" si="1"/>
        <v>187921.33254093802</v>
      </c>
    </row>
    <row r="17" spans="1:32">
      <c r="A17" t="s">
        <v>31</v>
      </c>
      <c r="B17" t="s">
        <v>37</v>
      </c>
      <c r="C17" s="17">
        <f t="shared" si="2"/>
        <v>8859.1485340727922</v>
      </c>
      <c r="D17" s="17">
        <f t="shared" si="2"/>
        <v>8053.7713946116301</v>
      </c>
      <c r="E17" s="17">
        <f t="shared" si="2"/>
        <v>6765.1679714737684</v>
      </c>
      <c r="F17" s="17">
        <f t="shared" si="2"/>
        <v>6190.6656119914733</v>
      </c>
      <c r="G17" s="17">
        <f t="shared" si="2"/>
        <v>4118.1617731114129</v>
      </c>
      <c r="H17" s="17">
        <f t="shared" si="3"/>
        <v>4118.1617731114129</v>
      </c>
      <c r="I17" s="17">
        <f t="shared" si="1"/>
        <v>4118.1617731114129</v>
      </c>
      <c r="J17" s="17">
        <f t="shared" si="1"/>
        <v>4118.1617731114129</v>
      </c>
      <c r="K17" s="17">
        <f t="shared" si="1"/>
        <v>4118.1617731114129</v>
      </c>
      <c r="L17" s="17">
        <f t="shared" si="1"/>
        <v>4118.1617731114129</v>
      </c>
      <c r="M17" s="17">
        <f t="shared" si="1"/>
        <v>4118.1617731114129</v>
      </c>
      <c r="N17" s="17">
        <f t="shared" si="1"/>
        <v>4118.1617731114129</v>
      </c>
      <c r="O17" s="17">
        <f t="shared" si="1"/>
        <v>4118.1617731114129</v>
      </c>
      <c r="P17" s="17">
        <f t="shared" si="1"/>
        <v>4118.1617731114129</v>
      </c>
      <c r="Q17" s="17">
        <f t="shared" si="1"/>
        <v>4118.1617731114129</v>
      </c>
      <c r="R17" s="17">
        <f t="shared" si="1"/>
        <v>4118.1617731114129</v>
      </c>
      <c r="S17" s="17">
        <f t="shared" si="1"/>
        <v>4118.1617731114129</v>
      </c>
      <c r="T17" s="17">
        <f t="shared" si="1"/>
        <v>4118.1617731114129</v>
      </c>
      <c r="U17" s="17">
        <f t="shared" si="1"/>
        <v>4118.1617731114129</v>
      </c>
      <c r="V17" s="17">
        <f t="shared" si="1"/>
        <v>4118.1617731114129</v>
      </c>
      <c r="W17" s="17">
        <f t="shared" si="1"/>
        <v>4118.1617731114129</v>
      </c>
      <c r="X17" s="17">
        <f t="shared" si="1"/>
        <v>4118.1617731114129</v>
      </c>
      <c r="Y17" s="17">
        <f t="shared" si="1"/>
        <v>4118.1617731114129</v>
      </c>
      <c r="Z17" s="17">
        <f t="shared" si="1"/>
        <v>4118.1617731114129</v>
      </c>
      <c r="AA17" s="17">
        <f t="shared" si="1"/>
        <v>4118.1617731114129</v>
      </c>
      <c r="AB17" s="17">
        <f t="shared" si="1"/>
        <v>4118.1617731114129</v>
      </c>
      <c r="AC17" s="17">
        <f t="shared" si="1"/>
        <v>4118.1617731114129</v>
      </c>
      <c r="AD17" s="17">
        <f t="shared" si="1"/>
        <v>4118.1617731114129</v>
      </c>
      <c r="AE17" s="17">
        <f t="shared" si="1"/>
        <v>4118.1617731114129</v>
      </c>
      <c r="AF17" s="17">
        <f t="shared" si="1"/>
        <v>4118.1617731114129</v>
      </c>
    </row>
    <row r="18" spans="1:32">
      <c r="A18" t="s">
        <v>32</v>
      </c>
      <c r="B18" t="s">
        <v>38</v>
      </c>
      <c r="C18" s="17">
        <f t="shared" si="2"/>
        <v>16912.919928684423</v>
      </c>
      <c r="D18" s="17">
        <f t="shared" si="2"/>
        <v>14110.207483359576</v>
      </c>
      <c r="E18" s="17">
        <f t="shared" si="2"/>
        <v>10448.426089276154</v>
      </c>
      <c r="F18" s="17">
        <f t="shared" si="2"/>
        <v>10856.483839936476</v>
      </c>
      <c r="G18" s="17">
        <f t="shared" si="2"/>
        <v>10684.670050184763</v>
      </c>
      <c r="H18" s="17">
        <f t="shared" si="3"/>
        <v>10684.670050184763</v>
      </c>
      <c r="I18" s="17">
        <f t="shared" si="1"/>
        <v>10684.670050184763</v>
      </c>
      <c r="J18" s="17">
        <f t="shared" si="1"/>
        <v>10684.670050184763</v>
      </c>
      <c r="K18" s="17">
        <f t="shared" si="1"/>
        <v>10684.670050184763</v>
      </c>
      <c r="L18" s="17">
        <f t="shared" si="1"/>
        <v>10684.670050184763</v>
      </c>
      <c r="M18" s="17">
        <f t="shared" si="1"/>
        <v>10684.670050184763</v>
      </c>
      <c r="N18" s="17">
        <f t="shared" si="1"/>
        <v>10684.670050184763</v>
      </c>
      <c r="O18" s="17">
        <f t="shared" si="1"/>
        <v>10684.670050184763</v>
      </c>
      <c r="P18" s="17">
        <f t="shared" si="1"/>
        <v>10684.670050184763</v>
      </c>
      <c r="Q18" s="17">
        <f t="shared" si="1"/>
        <v>10684.670050184763</v>
      </c>
      <c r="R18" s="17">
        <f t="shared" si="1"/>
        <v>10684.670050184763</v>
      </c>
      <c r="S18" s="17">
        <f t="shared" si="1"/>
        <v>10684.670050184763</v>
      </c>
      <c r="T18" s="17">
        <f t="shared" si="1"/>
        <v>10684.670050184763</v>
      </c>
      <c r="U18" s="17">
        <f t="shared" si="1"/>
        <v>10684.670050184763</v>
      </c>
      <c r="V18" s="17">
        <f t="shared" si="1"/>
        <v>10684.670050184763</v>
      </c>
      <c r="W18" s="17">
        <f t="shared" si="1"/>
        <v>10684.670050184763</v>
      </c>
      <c r="X18" s="17">
        <f t="shared" si="1"/>
        <v>10684.670050184763</v>
      </c>
      <c r="Y18" s="17">
        <f t="shared" si="1"/>
        <v>10684.670050184763</v>
      </c>
      <c r="Z18" s="17">
        <f t="shared" si="1"/>
        <v>10684.670050184763</v>
      </c>
      <c r="AA18" s="17">
        <f t="shared" si="1"/>
        <v>10684.670050184763</v>
      </c>
      <c r="AB18" s="17">
        <f t="shared" si="1"/>
        <v>10684.670050184763</v>
      </c>
      <c r="AC18" s="17">
        <f t="shared" si="1"/>
        <v>10684.670050184763</v>
      </c>
      <c r="AD18" s="17">
        <f t="shared" si="1"/>
        <v>10684.670050184763</v>
      </c>
      <c r="AE18" s="17">
        <f t="shared" si="1"/>
        <v>10684.670050184763</v>
      </c>
      <c r="AF18" s="17">
        <f t="shared" si="1"/>
        <v>10684.670050184763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FF0000"/>
  </sheetPr>
  <dimension ref="A1"/>
  <sheetViews>
    <sheetView workbookViewId="0">
      <selection activeCell="E25" sqref="E25"/>
    </sheetView>
  </sheetViews>
  <sheetFormatPr defaultRowHeight="17"/>
  <sheetData/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theme="3"/>
  </sheetPr>
  <dimension ref="A1:AE8"/>
  <sheetViews>
    <sheetView workbookViewId="0">
      <selection activeCell="L23" sqref="L23"/>
    </sheetView>
  </sheetViews>
  <sheetFormatPr defaultRowHeight="17"/>
  <cols>
    <col min="1" max="1" width="25.08203125" customWidth="1"/>
    <col min="2" max="2" width="14.58203125" customWidth="1"/>
  </cols>
  <sheetData>
    <row r="1" spans="1:31">
      <c r="A1" s="11" t="s">
        <v>8</v>
      </c>
      <c r="B1" s="12">
        <v>2021</v>
      </c>
      <c r="C1" s="12">
        <v>2022</v>
      </c>
      <c r="D1" s="12">
        <v>2023</v>
      </c>
      <c r="E1" s="12">
        <v>2024</v>
      </c>
      <c r="F1" s="12">
        <v>2025</v>
      </c>
      <c r="G1" s="12">
        <v>2026</v>
      </c>
      <c r="H1" s="12">
        <v>2027</v>
      </c>
      <c r="I1" s="12">
        <v>2028</v>
      </c>
      <c r="J1" s="12">
        <v>2029</v>
      </c>
      <c r="K1" s="12">
        <v>2030</v>
      </c>
      <c r="L1" s="12">
        <v>2031</v>
      </c>
      <c r="M1" s="12">
        <v>2032</v>
      </c>
      <c r="N1" s="12">
        <v>2033</v>
      </c>
      <c r="O1" s="12">
        <v>2034</v>
      </c>
      <c r="P1" s="12">
        <v>2035</v>
      </c>
      <c r="Q1" s="12">
        <v>2036</v>
      </c>
      <c r="R1" s="12">
        <v>2037</v>
      </c>
      <c r="S1" s="12">
        <v>2038</v>
      </c>
      <c r="T1" s="12">
        <v>2039</v>
      </c>
      <c r="U1" s="12">
        <v>2040</v>
      </c>
      <c r="V1" s="12">
        <v>2041</v>
      </c>
      <c r="W1" s="12">
        <v>2042</v>
      </c>
      <c r="X1" s="12">
        <v>2043</v>
      </c>
      <c r="Y1" s="12">
        <v>2044</v>
      </c>
      <c r="Z1" s="12">
        <v>2045</v>
      </c>
      <c r="AA1" s="12">
        <v>2046</v>
      </c>
      <c r="AB1" s="12">
        <v>2047</v>
      </c>
      <c r="AC1" s="12">
        <v>2048</v>
      </c>
      <c r="AD1" s="12">
        <v>2049</v>
      </c>
      <c r="AE1" s="12">
        <v>2050</v>
      </c>
    </row>
    <row r="2" spans="1:31">
      <c r="A2" s="12" t="s">
        <v>1</v>
      </c>
      <c r="B2" s="13">
        <f>'Passenger Vehicle Calculations'!B15</f>
        <v>5369.1809297410864</v>
      </c>
      <c r="C2" s="13">
        <f>'Passenger Vehicle Calculations'!C15</f>
        <v>4832.2628367669777</v>
      </c>
      <c r="D2" s="13">
        <f>'Passenger Vehicle Calculations'!D15</f>
        <v>4617.4955995773344</v>
      </c>
      <c r="E2" s="13">
        <f>'Passenger Vehicle Calculations'!E15</f>
        <v>4295.3447437928689</v>
      </c>
      <c r="F2" s="13">
        <f>'Passenger Vehicle Calculations'!F15</f>
        <v>3436.2757950342957</v>
      </c>
      <c r="G2" s="13">
        <f>'Passenger Vehicle Calculations'!G15</f>
        <v>3436.2757950342957</v>
      </c>
      <c r="H2" s="13">
        <f>'Passenger Vehicle Calculations'!H15</f>
        <v>3436.2757950342957</v>
      </c>
      <c r="I2" s="13">
        <f>'Passenger Vehicle Calculations'!I15</f>
        <v>3436.2757950342957</v>
      </c>
      <c r="J2" s="13">
        <f>'Passenger Vehicle Calculations'!J15</f>
        <v>3436.2757950342957</v>
      </c>
      <c r="K2" s="13">
        <f>'Passenger Vehicle Calculations'!K15</f>
        <v>3436.2757950342957</v>
      </c>
      <c r="L2" s="13">
        <f>'Passenger Vehicle Calculations'!L15</f>
        <v>3436.2757950342957</v>
      </c>
      <c r="M2" s="13">
        <f>'Passenger Vehicle Calculations'!M15</f>
        <v>3436.2757950342957</v>
      </c>
      <c r="N2" s="13">
        <f>'Passenger Vehicle Calculations'!N15</f>
        <v>3436.2757950342957</v>
      </c>
      <c r="O2" s="13">
        <f>'Passenger Vehicle Calculations'!O15</f>
        <v>3436.2757950342957</v>
      </c>
      <c r="P2" s="13">
        <f>'Passenger Vehicle Calculations'!P15</f>
        <v>3436.2757950342957</v>
      </c>
      <c r="Q2" s="13">
        <f>'Passenger Vehicle Calculations'!Q15</f>
        <v>3436.2757950342957</v>
      </c>
      <c r="R2" s="13">
        <f>'Passenger Vehicle Calculations'!R15</f>
        <v>3436.2757950342957</v>
      </c>
      <c r="S2" s="13">
        <f>'Passenger Vehicle Calculations'!S15</f>
        <v>3436.2757950342957</v>
      </c>
      <c r="T2" s="13">
        <f>'Passenger Vehicle Calculations'!T15</f>
        <v>3436.2757950342957</v>
      </c>
      <c r="U2" s="13">
        <f>'Passenger Vehicle Calculations'!U15</f>
        <v>3436.2757950342957</v>
      </c>
      <c r="V2" s="13">
        <f>'Passenger Vehicle Calculations'!V15</f>
        <v>3436.2757950342957</v>
      </c>
      <c r="W2" s="13">
        <f>'Passenger Vehicle Calculations'!W15</f>
        <v>3436.2757950342957</v>
      </c>
      <c r="X2" s="13">
        <f>'Passenger Vehicle Calculations'!X15</f>
        <v>3436.2757950342957</v>
      </c>
      <c r="Y2" s="13">
        <f>'Passenger Vehicle Calculations'!Y15</f>
        <v>3436.2757950342957</v>
      </c>
      <c r="Z2" s="13">
        <f>'Passenger Vehicle Calculations'!Z15</f>
        <v>3436.2757950342957</v>
      </c>
      <c r="AA2" s="13">
        <f>'Passenger Vehicle Calculations'!AA15</f>
        <v>3436.2757950342957</v>
      </c>
      <c r="AB2" s="13">
        <f>'Passenger Vehicle Calculations'!AB15</f>
        <v>3436.2757950342957</v>
      </c>
      <c r="AC2" s="13">
        <f>'Passenger Vehicle Calculations'!AC15</f>
        <v>3436.2757950342957</v>
      </c>
      <c r="AD2" s="13">
        <f>'Passenger Vehicle Calculations'!AD15</f>
        <v>3436.2757950342957</v>
      </c>
      <c r="AE2" s="13">
        <f>'Passenger Vehicle Calculations'!AE15</f>
        <v>3436.2757950342957</v>
      </c>
    </row>
    <row r="3" spans="1:31">
      <c r="A3" s="12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</row>
    <row r="4" spans="1:31">
      <c r="A4" s="12" t="s">
        <v>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</row>
    <row r="5" spans="1:31">
      <c r="A5" s="12" t="s">
        <v>4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</row>
    <row r="6" spans="1:31">
      <c r="A6" s="12" t="s">
        <v>5</v>
      </c>
      <c r="B6" s="13">
        <f>'Passenger Vehicle Calculations'!B16</f>
        <v>0</v>
      </c>
      <c r="C6" s="13">
        <f>'Passenger Vehicle Calculations'!C16</f>
        <v>0</v>
      </c>
      <c r="D6" s="13">
        <f>'Passenger Vehicle Calculations'!D16</f>
        <v>0</v>
      </c>
      <c r="E6" s="13">
        <f>'Passenger Vehicle Calculations'!E16</f>
        <v>0</v>
      </c>
      <c r="F6" s="13">
        <f>'Passenger Vehicle Calculations'!F16</f>
        <v>0</v>
      </c>
      <c r="G6" s="13">
        <f>'Passenger Vehicle Calculations'!G16</f>
        <v>0</v>
      </c>
      <c r="H6" s="13">
        <f>'Passenger Vehicle Calculations'!H16</f>
        <v>0</v>
      </c>
      <c r="I6" s="13">
        <f>'Passenger Vehicle Calculations'!I16</f>
        <v>0</v>
      </c>
      <c r="J6" s="13">
        <f>'Passenger Vehicle Calculations'!J16</f>
        <v>0</v>
      </c>
      <c r="K6" s="13">
        <f>'Passenger Vehicle Calculations'!K16</f>
        <v>0</v>
      </c>
      <c r="L6" s="13">
        <f>'Passenger Vehicle Calculations'!L16</f>
        <v>0</v>
      </c>
      <c r="M6" s="13">
        <f>'Passenger Vehicle Calculations'!M16</f>
        <v>0</v>
      </c>
      <c r="N6" s="13">
        <f>'Passenger Vehicle Calculations'!N16</f>
        <v>0</v>
      </c>
      <c r="O6" s="13">
        <f>'Passenger Vehicle Calculations'!O16</f>
        <v>0</v>
      </c>
      <c r="P6" s="13">
        <f>'Passenger Vehicle Calculations'!P16</f>
        <v>0</v>
      </c>
      <c r="Q6" s="13">
        <f>'Passenger Vehicle Calculations'!Q16</f>
        <v>0</v>
      </c>
      <c r="R6" s="13">
        <f>'Passenger Vehicle Calculations'!R16</f>
        <v>0</v>
      </c>
      <c r="S6" s="13">
        <f>'Passenger Vehicle Calculations'!S16</f>
        <v>0</v>
      </c>
      <c r="T6" s="13">
        <f>'Passenger Vehicle Calculations'!T16</f>
        <v>0</v>
      </c>
      <c r="U6" s="13">
        <f>'Passenger Vehicle Calculations'!U16</f>
        <v>0</v>
      </c>
      <c r="V6" s="13">
        <f>'Passenger Vehicle Calculations'!V16</f>
        <v>0</v>
      </c>
      <c r="W6" s="13">
        <f>'Passenger Vehicle Calculations'!W16</f>
        <v>0</v>
      </c>
      <c r="X6" s="13">
        <f>'Passenger Vehicle Calculations'!X16</f>
        <v>0</v>
      </c>
      <c r="Y6" s="13">
        <f>'Passenger Vehicle Calculations'!Y16</f>
        <v>0</v>
      </c>
      <c r="Z6" s="13">
        <f>'Passenger Vehicle Calculations'!Z16</f>
        <v>0</v>
      </c>
      <c r="AA6" s="13">
        <f>'Passenger Vehicle Calculations'!AA16</f>
        <v>0</v>
      </c>
      <c r="AB6" s="13">
        <f>'Passenger Vehicle Calculations'!AB16</f>
        <v>0</v>
      </c>
      <c r="AC6" s="13">
        <f>'Passenger Vehicle Calculations'!AC16</f>
        <v>0</v>
      </c>
      <c r="AD6" s="13">
        <f>'Passenger Vehicle Calculations'!AD16</f>
        <v>0</v>
      </c>
      <c r="AE6" s="13">
        <f>'Passenger Vehicle Calculations'!AE16</f>
        <v>0</v>
      </c>
    </row>
    <row r="7" spans="1:31">
      <c r="A7" s="12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</row>
    <row r="8" spans="1:31">
      <c r="A8" s="12" t="s">
        <v>7</v>
      </c>
      <c r="B8" s="13">
        <f>'Passenger Vehicle Calculations'!B17</f>
        <v>12080.657091917445</v>
      </c>
      <c r="C8" s="13">
        <f>'Passenger Vehicle Calculations'!C17</f>
        <v>17449.838021658532</v>
      </c>
      <c r="D8" s="13">
        <f>'Passenger Vehicle Calculations'!D17</f>
        <v>17449.838021658532</v>
      </c>
      <c r="E8" s="13">
        <f>'Passenger Vehicle Calculations'!E17</f>
        <v>17449.838021658532</v>
      </c>
      <c r="F8" s="13">
        <f>'Passenger Vehicle Calculations'!F17</f>
        <v>15839.083742736204</v>
      </c>
      <c r="G8" s="13">
        <f>'Passenger Vehicle Calculations'!G17</f>
        <v>15839.083742736204</v>
      </c>
      <c r="H8" s="13">
        <f>'Passenger Vehicle Calculations'!H17</f>
        <v>15839.083742736204</v>
      </c>
      <c r="I8" s="13">
        <f>'Passenger Vehicle Calculations'!I17</f>
        <v>15839.083742736204</v>
      </c>
      <c r="J8" s="13">
        <f>'Passenger Vehicle Calculations'!J17</f>
        <v>15839.083742736204</v>
      </c>
      <c r="K8" s="13">
        <f>'Passenger Vehicle Calculations'!K17</f>
        <v>15839.083742736204</v>
      </c>
      <c r="L8" s="13">
        <f>'Passenger Vehicle Calculations'!L17</f>
        <v>15839.083742736204</v>
      </c>
      <c r="M8" s="13">
        <f>'Passenger Vehicle Calculations'!M17</f>
        <v>15839.083742736204</v>
      </c>
      <c r="N8" s="13">
        <f>'Passenger Vehicle Calculations'!N17</f>
        <v>15839.083742736204</v>
      </c>
      <c r="O8" s="13">
        <f>'Passenger Vehicle Calculations'!O17</f>
        <v>15839.083742736204</v>
      </c>
      <c r="P8" s="13">
        <f>'Passenger Vehicle Calculations'!P17</f>
        <v>15839.083742736204</v>
      </c>
      <c r="Q8" s="13">
        <f>'Passenger Vehicle Calculations'!Q17</f>
        <v>15839.083742736204</v>
      </c>
      <c r="R8" s="13">
        <f>'Passenger Vehicle Calculations'!R17</f>
        <v>15839.083742736204</v>
      </c>
      <c r="S8" s="13">
        <f>'Passenger Vehicle Calculations'!S17</f>
        <v>15839.083742736204</v>
      </c>
      <c r="T8" s="13">
        <f>'Passenger Vehicle Calculations'!T17</f>
        <v>15839.083742736204</v>
      </c>
      <c r="U8" s="13">
        <f>'Passenger Vehicle Calculations'!U17</f>
        <v>15839.083742736204</v>
      </c>
      <c r="V8" s="13">
        <f>'Passenger Vehicle Calculations'!V17</f>
        <v>15839.083742736204</v>
      </c>
      <c r="W8" s="13">
        <f>'Passenger Vehicle Calculations'!W17</f>
        <v>15839.083742736204</v>
      </c>
      <c r="X8" s="13">
        <f>'Passenger Vehicle Calculations'!X17</f>
        <v>15839.083742736204</v>
      </c>
      <c r="Y8" s="13">
        <f>'Passenger Vehicle Calculations'!Y17</f>
        <v>15839.083742736204</v>
      </c>
      <c r="Z8" s="13">
        <f>'Passenger Vehicle Calculations'!Z17</f>
        <v>15839.083742736204</v>
      </c>
      <c r="AA8" s="13">
        <f>'Passenger Vehicle Calculations'!AA17</f>
        <v>15839.083742736204</v>
      </c>
      <c r="AB8" s="13">
        <f>'Passenger Vehicle Calculations'!AB17</f>
        <v>15839.083742736204</v>
      </c>
      <c r="AC8" s="13">
        <f>'Passenger Vehicle Calculations'!AC17</f>
        <v>15839.083742736204</v>
      </c>
      <c r="AD8" s="13">
        <f>'Passenger Vehicle Calculations'!AD17</f>
        <v>15839.083742736204</v>
      </c>
      <c r="AE8" s="13">
        <f>'Passenger Vehicle Calculations'!AE17</f>
        <v>15839.083742736204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4DDE-5D7D-440E-9F2D-C8BE7EE78DD9}">
  <sheetPr codeName="Sheet6">
    <tabColor theme="3"/>
  </sheetPr>
  <dimension ref="A1:AE8"/>
  <sheetViews>
    <sheetView workbookViewId="0">
      <selection activeCell="J22" sqref="J22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 s="17">
        <f>'승합차 및 화물차'!C15</f>
        <v>180189.71200211087</v>
      </c>
      <c r="C2" s="17">
        <f>'승합차 및 화물차'!D15</f>
        <v>157778.75080137159</v>
      </c>
      <c r="D2" s="17">
        <f>'승합차 및 화물차'!E15</f>
        <v>63893.253063918928</v>
      </c>
      <c r="E2" s="17">
        <f>'승합차 및 화물차'!F15</f>
        <v>91276.075805598477</v>
      </c>
      <c r="F2" s="17">
        <f>'승합차 및 화물차'!G15</f>
        <v>106374.21258003041</v>
      </c>
      <c r="G2" s="17">
        <f>'승합차 및 화물차'!H15</f>
        <v>106374.21258003041</v>
      </c>
      <c r="H2" s="17">
        <f>'승합차 및 화물차'!I15</f>
        <v>106374.21258003041</v>
      </c>
      <c r="I2" s="17">
        <f>'승합차 및 화물차'!J15</f>
        <v>106374.21258003041</v>
      </c>
      <c r="J2" s="17">
        <f>'승합차 및 화물차'!K15</f>
        <v>106374.21258003041</v>
      </c>
      <c r="K2" s="17">
        <f>'승합차 및 화물차'!L15</f>
        <v>106374.21258003041</v>
      </c>
      <c r="L2" s="17">
        <f>'승합차 및 화물차'!M15</f>
        <v>106374.21258003041</v>
      </c>
      <c r="M2" s="17">
        <f>'승합차 및 화물차'!N15</f>
        <v>106374.21258003041</v>
      </c>
      <c r="N2" s="17">
        <f>'승합차 및 화물차'!O15</f>
        <v>106374.21258003041</v>
      </c>
      <c r="O2" s="17">
        <f>'승합차 및 화물차'!P15</f>
        <v>106374.21258003041</v>
      </c>
      <c r="P2" s="17">
        <f>'승합차 및 화물차'!Q15</f>
        <v>106374.21258003041</v>
      </c>
      <c r="Q2" s="17">
        <f>'승합차 및 화물차'!R15</f>
        <v>106374.21258003041</v>
      </c>
      <c r="R2" s="17">
        <f>'승합차 및 화물차'!S15</f>
        <v>106374.21258003041</v>
      </c>
      <c r="S2" s="17">
        <f>'승합차 및 화물차'!T15</f>
        <v>106374.21258003041</v>
      </c>
      <c r="T2" s="17">
        <f>'승합차 및 화물차'!U15</f>
        <v>106374.21258003041</v>
      </c>
      <c r="U2" s="17">
        <f>'승합차 및 화물차'!V15</f>
        <v>106374.21258003041</v>
      </c>
      <c r="V2" s="17">
        <f>'승합차 및 화물차'!W15</f>
        <v>106374.21258003041</v>
      </c>
      <c r="W2" s="17">
        <f>'승합차 및 화물차'!X15</f>
        <v>106374.21258003041</v>
      </c>
      <c r="X2" s="17">
        <f>'승합차 및 화물차'!Y15</f>
        <v>106374.21258003041</v>
      </c>
      <c r="Y2" s="17">
        <f>'승합차 및 화물차'!Z15</f>
        <v>106374.21258003041</v>
      </c>
      <c r="Z2" s="17">
        <f>'승합차 및 화물차'!AA15</f>
        <v>106374.21258003041</v>
      </c>
      <c r="AA2" s="17">
        <f>'승합차 및 화물차'!AB15</f>
        <v>106374.21258003041</v>
      </c>
      <c r="AB2" s="17">
        <f>'승합차 및 화물차'!AC15</f>
        <v>106374.21258003041</v>
      </c>
      <c r="AC2" s="17">
        <f>'승합차 및 화물차'!AD15</f>
        <v>106374.21258003041</v>
      </c>
      <c r="AD2" s="17">
        <f>'승합차 및 화물차'!AE15</f>
        <v>106374.21258003041</v>
      </c>
      <c r="AE2" s="17">
        <f>'승합차 및 화물차'!AF15</f>
        <v>106374.21258003041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 s="17">
        <f>'승합차 및 화물차'!C16</f>
        <v>80537.713946116302</v>
      </c>
      <c r="C8" s="17">
        <f>'승합차 및 화물차'!D16</f>
        <v>161075.4278922326</v>
      </c>
      <c r="D8" s="17">
        <f>'승합차 및 화물차'!E16</f>
        <v>187921.33254093802</v>
      </c>
      <c r="E8" s="17">
        <f>'승합차 및 화물차'!F16</f>
        <v>187921.33254093802</v>
      </c>
      <c r="F8" s="17">
        <f>'승합차 및 화물차'!G16</f>
        <v>187921.33254093802</v>
      </c>
      <c r="G8" s="17">
        <f>'승합차 및 화물차'!H16</f>
        <v>187921.33254093802</v>
      </c>
      <c r="H8" s="17">
        <f>'승합차 및 화물차'!I16</f>
        <v>187921.33254093802</v>
      </c>
      <c r="I8" s="17">
        <f>'승합차 및 화물차'!J16</f>
        <v>187921.33254093802</v>
      </c>
      <c r="J8" s="17">
        <f>'승합차 및 화물차'!K16</f>
        <v>187921.33254093802</v>
      </c>
      <c r="K8" s="17">
        <f>'승합차 및 화물차'!L16</f>
        <v>187921.33254093802</v>
      </c>
      <c r="L8" s="17">
        <f>'승합차 및 화물차'!M16</f>
        <v>187921.33254093802</v>
      </c>
      <c r="M8" s="17">
        <f>'승합차 및 화물차'!N16</f>
        <v>187921.33254093802</v>
      </c>
      <c r="N8" s="17">
        <f>'승합차 및 화물차'!O16</f>
        <v>187921.33254093802</v>
      </c>
      <c r="O8" s="17">
        <f>'승합차 및 화물차'!P16</f>
        <v>187921.33254093802</v>
      </c>
      <c r="P8" s="17">
        <f>'승합차 및 화물차'!Q16</f>
        <v>187921.33254093802</v>
      </c>
      <c r="Q8" s="17">
        <f>'승합차 및 화물차'!R16</f>
        <v>187921.33254093802</v>
      </c>
      <c r="R8" s="17">
        <f>'승합차 및 화물차'!S16</f>
        <v>187921.33254093802</v>
      </c>
      <c r="S8" s="17">
        <f>'승합차 및 화물차'!T16</f>
        <v>187921.33254093802</v>
      </c>
      <c r="T8" s="17">
        <f>'승합차 및 화물차'!U16</f>
        <v>187921.33254093802</v>
      </c>
      <c r="U8" s="17">
        <f>'승합차 및 화물차'!V16</f>
        <v>187921.33254093802</v>
      </c>
      <c r="V8" s="17">
        <f>'승합차 및 화물차'!W16</f>
        <v>187921.33254093802</v>
      </c>
      <c r="W8" s="17">
        <f>'승합차 및 화물차'!X16</f>
        <v>187921.33254093802</v>
      </c>
      <c r="X8" s="17">
        <f>'승합차 및 화물차'!Y16</f>
        <v>187921.33254093802</v>
      </c>
      <c r="Y8" s="17">
        <f>'승합차 및 화물차'!Z16</f>
        <v>187921.33254093802</v>
      </c>
      <c r="Z8" s="17">
        <f>'승합차 및 화물차'!AA16</f>
        <v>187921.33254093802</v>
      </c>
      <c r="AA8" s="17">
        <f>'승합차 및 화물차'!AB16</f>
        <v>187921.33254093802</v>
      </c>
      <c r="AB8" s="17">
        <f>'승합차 및 화물차'!AC16</f>
        <v>187921.33254093802</v>
      </c>
      <c r="AC8" s="17">
        <f>'승합차 및 화물차'!AD16</f>
        <v>187921.33254093802</v>
      </c>
      <c r="AD8" s="17">
        <f>'승합차 및 화물차'!AE16</f>
        <v>187921.33254093802</v>
      </c>
      <c r="AE8" s="17">
        <f>'승합차 및 화물차'!AF16</f>
        <v>187921.33254093802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41F6-596C-4C6D-91F8-CA5AA118CF11}">
  <sheetPr codeName="Sheet7">
    <tabColor theme="3"/>
  </sheetPr>
  <dimension ref="A1:AE8"/>
  <sheetViews>
    <sheetView workbookViewId="0">
      <selection activeCell="B32" sqref="B32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4405-868B-4452-B9AC-D6B63E4037BA}">
  <sheetPr codeName="Sheet8">
    <tabColor theme="3"/>
  </sheetPr>
  <dimension ref="A1:AE8"/>
  <sheetViews>
    <sheetView workbookViewId="0">
      <selection activeCell="A33" sqref="A33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7FBF-8038-4912-A5A6-BE7241A5CAB0}">
  <sheetPr codeName="Sheet9">
    <tabColor theme="3"/>
  </sheetPr>
  <dimension ref="A1:AE8"/>
  <sheetViews>
    <sheetView workbookViewId="0">
      <selection activeCell="B32" sqref="B32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C6BF-BE7A-4625-8CB5-34C673B46C4E}">
  <sheetPr codeName="Sheet10">
    <tabColor theme="3"/>
  </sheetPr>
  <dimension ref="A1:AE8"/>
  <sheetViews>
    <sheetView workbookViewId="0">
      <selection activeCell="M36" sqref="M36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76DC-F6C0-456E-8DA9-4BF43DDF1E10}">
  <sheetPr codeName="Sheet11">
    <tabColor rgb="FFFF0000"/>
  </sheetPr>
  <dimension ref="A1"/>
  <sheetViews>
    <sheetView workbookViewId="0">
      <selection activeCell="N30" sqref="N30"/>
    </sheetView>
  </sheetViews>
  <sheetFormatPr defaultRowHeight="17"/>
  <sheetData/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78D3-75FC-40E7-B55E-E0DE8CD249DB}">
  <sheetPr codeName="Sheet12">
    <tabColor theme="3"/>
  </sheetPr>
  <dimension ref="A1:AG8"/>
  <sheetViews>
    <sheetView workbookViewId="0">
      <selection activeCell="AF2" sqref="AF2:AG2"/>
    </sheetView>
  </sheetViews>
  <sheetFormatPr defaultRowHeight="17"/>
  <cols>
    <col min="1" max="1" width="25.08203125" customWidth="1"/>
  </cols>
  <sheetData>
    <row r="1" spans="1:33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3">
      <c r="A2" t="s">
        <v>1</v>
      </c>
      <c r="B2" s="17">
        <f>'승합차 및 화물차'!C17</f>
        <v>8859.1485340727922</v>
      </c>
      <c r="C2" s="17">
        <f>'승합차 및 화물차'!D17</f>
        <v>8053.7713946116301</v>
      </c>
      <c r="D2" s="17">
        <f>'승합차 및 화물차'!E17</f>
        <v>6765.1679714737684</v>
      </c>
      <c r="E2" s="17">
        <f>'승합차 및 화물차'!F17</f>
        <v>6190.6656119914733</v>
      </c>
      <c r="F2" s="17">
        <f>'승합차 및 화물차'!G17</f>
        <v>4118.1617731114129</v>
      </c>
      <c r="G2" s="17">
        <f>'승합차 및 화물차'!H17</f>
        <v>4118.1617731114129</v>
      </c>
      <c r="H2" s="17">
        <f>'승합차 및 화물차'!I17</f>
        <v>4118.1617731114129</v>
      </c>
      <c r="I2" s="17">
        <f>'승합차 및 화물차'!J17</f>
        <v>4118.1617731114129</v>
      </c>
      <c r="J2" s="17">
        <f>'승합차 및 화물차'!K17</f>
        <v>4118.1617731114129</v>
      </c>
      <c r="K2" s="17">
        <f>'승합차 및 화물차'!L17</f>
        <v>4118.1617731114129</v>
      </c>
      <c r="L2" s="17">
        <f>'승합차 및 화물차'!M17</f>
        <v>4118.1617731114129</v>
      </c>
      <c r="M2" s="17">
        <f>'승합차 및 화물차'!N17</f>
        <v>4118.1617731114129</v>
      </c>
      <c r="N2" s="17">
        <f>'승합차 및 화물차'!O17</f>
        <v>4118.1617731114129</v>
      </c>
      <c r="O2" s="17">
        <f>'승합차 및 화물차'!P17</f>
        <v>4118.1617731114129</v>
      </c>
      <c r="P2" s="17">
        <f>'승합차 및 화물차'!Q17</f>
        <v>4118.1617731114129</v>
      </c>
      <c r="Q2" s="17">
        <f>'승합차 및 화물차'!R17</f>
        <v>4118.1617731114129</v>
      </c>
      <c r="R2" s="17">
        <f>'승합차 및 화물차'!S17</f>
        <v>4118.1617731114129</v>
      </c>
      <c r="S2" s="17">
        <f>'승합차 및 화물차'!T17</f>
        <v>4118.1617731114129</v>
      </c>
      <c r="T2" s="17">
        <f>'승합차 및 화물차'!U17</f>
        <v>4118.1617731114129</v>
      </c>
      <c r="U2" s="17">
        <f>'승합차 및 화물차'!V17</f>
        <v>4118.1617731114129</v>
      </c>
      <c r="V2" s="17">
        <f>'승합차 및 화물차'!W17</f>
        <v>4118.1617731114129</v>
      </c>
      <c r="W2" s="17">
        <f>'승합차 및 화물차'!X17</f>
        <v>4118.1617731114129</v>
      </c>
      <c r="X2" s="17">
        <f>'승합차 및 화물차'!Y17</f>
        <v>4118.1617731114129</v>
      </c>
      <c r="Y2" s="17">
        <f>'승합차 및 화물차'!Z17</f>
        <v>4118.1617731114129</v>
      </c>
      <c r="Z2" s="17">
        <f>'승합차 및 화물차'!AA17</f>
        <v>4118.1617731114129</v>
      </c>
      <c r="AA2" s="17">
        <f>'승합차 및 화물차'!AB17</f>
        <v>4118.1617731114129</v>
      </c>
      <c r="AB2" s="17">
        <f>'승합차 및 화물차'!AC17</f>
        <v>4118.1617731114129</v>
      </c>
      <c r="AC2" s="17">
        <f>'승합차 및 화물차'!AD17</f>
        <v>4118.1617731114129</v>
      </c>
      <c r="AD2" s="17">
        <f>'승합차 및 화물차'!AE17</f>
        <v>4118.1617731114129</v>
      </c>
      <c r="AE2" s="17">
        <f>'승합차 및 화물차'!AF17</f>
        <v>4118.1617731114129</v>
      </c>
      <c r="AF2" s="17"/>
      <c r="AG2" s="17"/>
    </row>
    <row r="3" spans="1:3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39E4-90E8-4DFC-ABC4-1799BB0C313F}">
  <sheetPr codeName="Sheet13">
    <tabColor theme="3"/>
  </sheetPr>
  <dimension ref="A1:AE8"/>
  <sheetViews>
    <sheetView workbookViewId="0">
      <selection activeCell="Z23" sqref="Z23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 s="17">
        <f>'승합차 및 화물차'!C18</f>
        <v>16912.919928684423</v>
      </c>
      <c r="C2" s="17">
        <f>'승합차 및 화물차'!D18</f>
        <v>14110.207483359576</v>
      </c>
      <c r="D2" s="17">
        <f>'승합차 및 화물차'!E18</f>
        <v>10448.426089276154</v>
      </c>
      <c r="E2" s="17">
        <f>'승합차 및 화물차'!F18</f>
        <v>10856.483839936476</v>
      </c>
      <c r="F2" s="17">
        <f>'승합차 및 화물차'!G18</f>
        <v>10684.670050184763</v>
      </c>
      <c r="G2" s="17">
        <f>'승합차 및 화물차'!H18</f>
        <v>10684.670050184763</v>
      </c>
      <c r="H2" s="17">
        <f>'승합차 및 화물차'!I18</f>
        <v>10684.670050184763</v>
      </c>
      <c r="I2" s="17">
        <f>'승합차 및 화물차'!J18</f>
        <v>10684.670050184763</v>
      </c>
      <c r="J2" s="17">
        <f>'승합차 및 화물차'!K18</f>
        <v>10684.670050184763</v>
      </c>
      <c r="K2" s="17">
        <f>'승합차 및 화물차'!L18</f>
        <v>10684.670050184763</v>
      </c>
      <c r="L2" s="17">
        <f>'승합차 및 화물차'!M18</f>
        <v>10684.670050184763</v>
      </c>
      <c r="M2" s="17">
        <f>'승합차 및 화물차'!N18</f>
        <v>10684.670050184763</v>
      </c>
      <c r="N2" s="17">
        <f>'승합차 및 화물차'!O18</f>
        <v>10684.670050184763</v>
      </c>
      <c r="O2" s="17">
        <f>'승합차 및 화물차'!P18</f>
        <v>10684.670050184763</v>
      </c>
      <c r="P2" s="17">
        <f>'승합차 및 화물차'!Q18</f>
        <v>10684.670050184763</v>
      </c>
      <c r="Q2" s="17">
        <f>'승합차 및 화물차'!R18</f>
        <v>10684.670050184763</v>
      </c>
      <c r="R2" s="17">
        <f>'승합차 및 화물차'!S18</f>
        <v>10684.670050184763</v>
      </c>
      <c r="S2" s="17">
        <f>'승합차 및 화물차'!T18</f>
        <v>10684.670050184763</v>
      </c>
      <c r="T2" s="17">
        <f>'승합차 및 화물차'!U18</f>
        <v>10684.670050184763</v>
      </c>
      <c r="U2" s="17">
        <f>'승합차 및 화물차'!V18</f>
        <v>10684.670050184763</v>
      </c>
      <c r="V2" s="17">
        <f>'승합차 및 화물차'!W18</f>
        <v>10684.670050184763</v>
      </c>
      <c r="W2" s="17">
        <f>'승합차 및 화물차'!X18</f>
        <v>10684.670050184763</v>
      </c>
      <c r="X2" s="17">
        <f>'승합차 및 화물차'!Y18</f>
        <v>10684.670050184763</v>
      </c>
      <c r="Y2" s="17">
        <f>'승합차 및 화물차'!Z18</f>
        <v>10684.670050184763</v>
      </c>
      <c r="Z2" s="17">
        <f>'승합차 및 화물차'!AA18</f>
        <v>10684.670050184763</v>
      </c>
      <c r="AA2" s="17">
        <f>'승합차 및 화물차'!AB18</f>
        <v>10684.670050184763</v>
      </c>
      <c r="AB2" s="17">
        <f>'승합차 및 화물차'!AC18</f>
        <v>10684.670050184763</v>
      </c>
      <c r="AC2" s="17">
        <f>'승합차 및 화물차'!AD18</f>
        <v>10684.670050184763</v>
      </c>
      <c r="AD2" s="17">
        <f>'승합차 및 화물차'!AE18</f>
        <v>10684.670050184763</v>
      </c>
      <c r="AE2" s="17">
        <f>'승합차 및 화물차'!AF18</f>
        <v>10684.670050184763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E315-3F6B-4E92-87B5-9C3C1B4F85DA}">
  <sheetPr codeName="Sheet14">
    <tabColor theme="3"/>
  </sheetPr>
  <dimension ref="A1:AE8"/>
  <sheetViews>
    <sheetView workbookViewId="0">
      <selection activeCell="B32" sqref="B32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62EB-7B15-406D-A4C2-A4FF0C772B4A}">
  <sheetPr codeName="Sheet15">
    <tabColor theme="3"/>
  </sheetPr>
  <dimension ref="A1:AE8"/>
  <sheetViews>
    <sheetView workbookViewId="0">
      <selection activeCell="B32" sqref="B32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35A4-EB4E-4E1F-85F1-DB244E55CC6B}">
  <sheetPr codeName="Sheet16">
    <tabColor theme="3"/>
  </sheetPr>
  <dimension ref="A1:AE8"/>
  <sheetViews>
    <sheetView workbookViewId="0">
      <selection activeCell="B32" sqref="B32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53C0-8CAC-4671-B512-864662BE4DD4}">
  <sheetPr codeName="Sheet17">
    <tabColor theme="3"/>
  </sheetPr>
  <dimension ref="A1:AE8"/>
  <sheetViews>
    <sheetView tabSelected="1" workbookViewId="0">
      <selection activeCell="H32" sqref="H32"/>
    </sheetView>
  </sheetViews>
  <sheetFormatPr defaultRowHeight="17"/>
  <cols>
    <col min="1" max="1" width="25.08203125" customWidth="1"/>
  </cols>
  <sheetData>
    <row r="1" spans="1:31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06AC8A-D68E-4783-830B-F8A6C3E09A8C}"/>
</file>

<file path=customXml/itemProps2.xml><?xml version="1.0" encoding="utf-8"?>
<ds:datastoreItem xmlns:ds="http://schemas.openxmlformats.org/officeDocument/2006/customXml" ds:itemID="{27F23C23-7C9C-4450-A9B4-C8130737FEF9}"/>
</file>

<file path=customXml/itemProps3.xml><?xml version="1.0" encoding="utf-8"?>
<ds:datastoreItem xmlns:ds="http://schemas.openxmlformats.org/officeDocument/2006/customXml" ds:itemID="{A2860DEC-23A4-46FB-AC4F-A35AB80E4B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About</vt:lpstr>
      <vt:lpstr>Passenger Vehicle Calculations</vt:lpstr>
      <vt:lpstr>승합차 및 화물차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2017-06-23T20:50:52Z</dcterms:created>
  <dcterms:modified xsi:type="dcterms:W3CDTF">2025-03-08T14:04:15Z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