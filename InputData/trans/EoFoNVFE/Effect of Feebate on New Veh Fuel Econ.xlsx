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G:\내 드라이브\2026\01.EPS\01.EI\01.메일_업무협의\260122_메일회신\"/>
    </mc:Choice>
  </mc:AlternateContent>
  <xr:revisionPtr revIDLastSave="0" documentId="8_{F46A1401-A5F5-46B1-A3E9-F68876C4205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bout" sheetId="1" r:id="rId1"/>
    <sheet name="Data" sheetId="2" r:id="rId2"/>
    <sheet name="EoFoNVFE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2" l="1"/>
  <c r="B7" i="2" s="1"/>
  <c r="B11" i="2" s="1"/>
  <c r="B2" i="3" s="1"/>
</calcChain>
</file>

<file path=xl/sharedStrings.xml><?xml version="1.0" encoding="utf-8"?>
<sst xmlns="http://schemas.openxmlformats.org/spreadsheetml/2006/main" count="42" uniqueCount="40">
  <si>
    <t>EoFoNVFE Effect of Feebate on New Veh Fuel Economy</t>
  </si>
  <si>
    <t>Source:</t>
  </si>
  <si>
    <t>Feebates, rebates and gas-guzzler taxes: a study of incentives for increased fuel economy.</t>
  </si>
  <si>
    <t>Energy Policy, 33(6), 757-775.</t>
  </si>
  <si>
    <t>http://cta.ornl.gov/cta/Publications/Reports/FeebateEnergyPolicy_FINAL.pdf</t>
  </si>
  <si>
    <t>Greene, D. L., Patterson, P. D., Singh, M., &amp; Li, J.</t>
  </si>
  <si>
    <t>Feebate Amount</t>
  </si>
  <si>
    <t>per Unit</t>
  </si>
  <si>
    <t>Resulting Increase in Fuel Econ</t>
  </si>
  <si>
    <t>percent</t>
  </si>
  <si>
    <t>Quantity</t>
  </si>
  <si>
    <t>Value</t>
  </si>
  <si>
    <t>Unit</t>
  </si>
  <si>
    <t>Feebate Rate</t>
  </si>
  <si>
    <t>hundredth gal/mile (0.01 gal/mile)</t>
  </si>
  <si>
    <t>Page 761, Section 3, Paragrah 1 and Page 771, Section A.2, Paragraph 2</t>
  </si>
  <si>
    <t>New Vehicle Fuel Econ</t>
  </si>
  <si>
    <t>Note:</t>
  </si>
  <si>
    <t>See "cpi.xlsx" in the InputData folder for source information.</t>
  </si>
  <si>
    <t>We adjust 2000 dollars to 2012 dollars using the following conversion factor:</t>
  </si>
  <si>
    <t>The source specifies that it uses 2000 $, for example, Page 762, Table 1A.</t>
  </si>
  <si>
    <t>2000$</t>
  </si>
  <si>
    <t>perc increase in fuel econ / 2000$</t>
  </si>
  <si>
    <t>perc increase in fuel econ / 2012$</t>
  </si>
  <si>
    <t>Since the feebate is natively expressed in unusual units (dollars per (hundredth gallon per mile)), we</t>
  </si>
  <si>
    <t>cause the lever in the EPS to represent the fraction of the best practice feebate rate, to improve</t>
  </si>
  <si>
    <t>Currency Year</t>
  </si>
  <si>
    <t>Best Practice Feebate Rate</t>
  </si>
  <si>
    <t>2012$ / (hundredth gal/mile)</t>
  </si>
  <si>
    <t>Feebate at Full Policy Implementation</t>
  </si>
  <si>
    <t>perc increase in fuel econ at full policy implementation</t>
  </si>
  <si>
    <t>Effect of Feebate on Fuel Economy</t>
  </si>
  <si>
    <t>Best Practices for Feebate Program Design and Implementation</t>
  </si>
  <si>
    <t>http://www.theicct.org/sites/default/files/publications/ICCT_feebates_may2010.pdf</t>
  </si>
  <si>
    <t>Table 2</t>
  </si>
  <si>
    <t>John German and Dan Meszler, ICCT</t>
  </si>
  <si>
    <t>This rate is from Germany.</t>
  </si>
  <si>
    <t>Notes</t>
  </si>
  <si>
    <t>Effect of Feebate (dimensionless)</t>
  </si>
  <si>
    <t>model usability for users. As Korea does not currently implement a feebate policy, the same data set is applied.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</si>
</sst>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맑은 고딕"/>
      <family val="2"/>
      <scheme val="minor"/>
    </font>
    <font>
      <b/>
      <sz val="11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b/>
      <sz val="12"/>
      <color theme="4"/>
      <name val="맑은 고딕"/>
      <family val="2"/>
      <scheme val="minor"/>
    </font>
    <font>
      <sz val="9"/>
      <color theme="1"/>
      <name val="맑은 고딕"/>
      <family val="2"/>
      <scheme val="minor"/>
    </font>
    <font>
      <b/>
      <sz val="9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</borders>
  <cellStyleXfs count="8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Protection="0">
      <alignment horizontal="left"/>
    </xf>
    <xf numFmtId="0" fontId="4" fillId="0" borderId="0" applyNumberFormat="0" applyFill="0" applyBorder="0" applyAlignment="0" applyProtection="0"/>
    <xf numFmtId="0" fontId="5" fillId="0" borderId="1" applyNumberFormat="0" applyProtection="0">
      <alignment wrapText="1"/>
    </xf>
    <xf numFmtId="0" fontId="4" fillId="0" borderId="2" applyNumberFormat="0" applyFont="0" applyProtection="0">
      <alignment wrapText="1"/>
    </xf>
    <xf numFmtId="0" fontId="5" fillId="0" borderId="3" applyNumberFormat="0" applyProtection="0">
      <alignment wrapText="1"/>
    </xf>
    <xf numFmtId="0" fontId="4" fillId="0" borderId="4" applyNumberFormat="0" applyProtection="0">
      <alignment vertical="top" wrapText="1"/>
    </xf>
  </cellStyleXfs>
  <cellXfs count="9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left"/>
    </xf>
    <xf numFmtId="0" fontId="2" fillId="0" borderId="0" xfId="1" applyAlignment="1">
      <alignment horizontal="left"/>
    </xf>
    <xf numFmtId="0" fontId="0" fillId="0" borderId="0" xfId="0" applyAlignment="1">
      <alignment horizontal="right" wrapText="1"/>
    </xf>
  </cellXfs>
  <cellStyles count="8">
    <cellStyle name="Body: normal cell" xfId="5" xr:uid="{00000000-0005-0000-0000-000000000000}"/>
    <cellStyle name="Font: Calibri, 9pt regular" xfId="3" xr:uid="{00000000-0005-0000-0000-000001000000}"/>
    <cellStyle name="Footnotes: top row" xfId="7" xr:uid="{00000000-0005-0000-0000-000002000000}"/>
    <cellStyle name="Header: bottom row" xfId="4" xr:uid="{00000000-0005-0000-0000-000003000000}"/>
    <cellStyle name="Parent row" xfId="6" xr:uid="{00000000-0005-0000-0000-000006000000}"/>
    <cellStyle name="Table title" xfId="2" xr:uid="{00000000-0005-0000-0000-000007000000}"/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cta.ornl.gov/cta/Publications/Reports/FeebateEnergyPolicy_FINAL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7"/>
  <sheetViews>
    <sheetView tabSelected="1" workbookViewId="0">
      <selection activeCell="E20" sqref="E20"/>
    </sheetView>
  </sheetViews>
  <sheetFormatPr defaultRowHeight="16.5" x14ac:dyDescent="0.3"/>
  <cols>
    <col min="2" max="2" width="84.625" style="2" customWidth="1"/>
  </cols>
  <sheetData>
    <row r="1" spans="1:2" x14ac:dyDescent="0.3">
      <c r="A1" s="1" t="s">
        <v>0</v>
      </c>
    </row>
    <row r="3" spans="1:2" x14ac:dyDescent="0.3">
      <c r="A3" s="1" t="s">
        <v>1</v>
      </c>
      <c r="B3" s="6" t="s">
        <v>31</v>
      </c>
    </row>
    <row r="4" spans="1:2" x14ac:dyDescent="0.3">
      <c r="B4" s="2" t="s">
        <v>5</v>
      </c>
    </row>
    <row r="5" spans="1:2" x14ac:dyDescent="0.3">
      <c r="A5" s="1"/>
      <c r="B5" s="2">
        <v>2005</v>
      </c>
    </row>
    <row r="6" spans="1:2" x14ac:dyDescent="0.3">
      <c r="B6" s="2" t="s">
        <v>2</v>
      </c>
    </row>
    <row r="7" spans="1:2" x14ac:dyDescent="0.3">
      <c r="B7" s="2" t="s">
        <v>3</v>
      </c>
    </row>
    <row r="8" spans="1:2" x14ac:dyDescent="0.3">
      <c r="B8" s="7" t="s">
        <v>4</v>
      </c>
    </row>
    <row r="9" spans="1:2" x14ac:dyDescent="0.3">
      <c r="B9" s="2" t="s">
        <v>15</v>
      </c>
    </row>
    <row r="11" spans="1:2" x14ac:dyDescent="0.3">
      <c r="B11" s="6" t="s">
        <v>27</v>
      </c>
    </row>
    <row r="12" spans="1:2" x14ac:dyDescent="0.3">
      <c r="B12" s="2" t="s">
        <v>35</v>
      </c>
    </row>
    <row r="13" spans="1:2" x14ac:dyDescent="0.3">
      <c r="B13" s="2">
        <v>2010</v>
      </c>
    </row>
    <row r="14" spans="1:2" x14ac:dyDescent="0.3">
      <c r="B14" s="2" t="s">
        <v>32</v>
      </c>
    </row>
    <row r="15" spans="1:2" x14ac:dyDescent="0.3">
      <c r="B15" s="2" t="s">
        <v>33</v>
      </c>
    </row>
    <row r="16" spans="1:2" x14ac:dyDescent="0.3">
      <c r="B16" s="2" t="s">
        <v>34</v>
      </c>
    </row>
    <row r="18" spans="1:1" x14ac:dyDescent="0.3">
      <c r="A18" s="1" t="s">
        <v>17</v>
      </c>
    </row>
    <row r="19" spans="1:1" x14ac:dyDescent="0.3">
      <c r="A19" t="s">
        <v>24</v>
      </c>
    </row>
    <row r="20" spans="1:1" x14ac:dyDescent="0.3">
      <c r="A20" t="s">
        <v>25</v>
      </c>
    </row>
    <row r="21" spans="1:1" x14ac:dyDescent="0.3">
      <c r="A21" t="s">
        <v>39</v>
      </c>
    </row>
    <row r="23" spans="1:1" x14ac:dyDescent="0.3">
      <c r="A23" s="1" t="s">
        <v>26</v>
      </c>
    </row>
    <row r="24" spans="1:1" x14ac:dyDescent="0.3">
      <c r="A24" t="s">
        <v>20</v>
      </c>
    </row>
    <row r="25" spans="1:1" x14ac:dyDescent="0.3">
      <c r="A25" t="s">
        <v>19</v>
      </c>
    </row>
    <row r="26" spans="1:1" x14ac:dyDescent="0.3">
      <c r="A26">
        <v>1.335</v>
      </c>
    </row>
    <row r="27" spans="1:1" x14ac:dyDescent="0.3">
      <c r="A27" t="s">
        <v>18</v>
      </c>
    </row>
  </sheetData>
  <phoneticPr fontId="6" type="noConversion"/>
  <hyperlinks>
    <hyperlink ref="B8" r:id="rId1" xr:uid="{00000000-0004-0000-0000-000000000000}"/>
  </hyperlinks>
  <pageMargins left="0.7" right="0.7" top="0.75" bottom="0.75" header="0.3" footer="0.3"/>
  <pageSetup orientation="portrait" horizontalDpi="1200" verticalDpi="120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1"/>
  <sheetViews>
    <sheetView workbookViewId="0"/>
  </sheetViews>
  <sheetFormatPr defaultRowHeight="16.5" x14ac:dyDescent="0.3"/>
  <cols>
    <col min="1" max="1" width="38.75" customWidth="1"/>
    <col min="3" max="3" width="53.875" customWidth="1"/>
    <col min="4" max="4" width="32.25" customWidth="1"/>
  </cols>
  <sheetData>
    <row r="1" spans="1:4" x14ac:dyDescent="0.3">
      <c r="A1" s="4" t="s">
        <v>10</v>
      </c>
      <c r="B1" s="5" t="s">
        <v>11</v>
      </c>
      <c r="C1" s="4" t="s">
        <v>12</v>
      </c>
      <c r="D1" s="4" t="s">
        <v>37</v>
      </c>
    </row>
    <row r="2" spans="1:4" x14ac:dyDescent="0.3">
      <c r="A2" t="s">
        <v>6</v>
      </c>
      <c r="B2" s="3">
        <v>500</v>
      </c>
      <c r="C2" t="s">
        <v>21</v>
      </c>
    </row>
    <row r="3" spans="1:4" x14ac:dyDescent="0.3">
      <c r="A3" t="s">
        <v>7</v>
      </c>
      <c r="B3" s="3">
        <v>1</v>
      </c>
      <c r="C3" t="s">
        <v>14</v>
      </c>
    </row>
    <row r="4" spans="1:4" x14ac:dyDescent="0.3">
      <c r="A4" t="s">
        <v>8</v>
      </c>
      <c r="B4" s="3">
        <v>0.16</v>
      </c>
      <c r="C4" t="s">
        <v>9</v>
      </c>
    </row>
    <row r="6" spans="1:4" x14ac:dyDescent="0.3">
      <c r="A6" t="s">
        <v>13</v>
      </c>
      <c r="B6">
        <f>B4/B2</f>
        <v>3.2000000000000003E-4</v>
      </c>
      <c r="C6" t="s">
        <v>22</v>
      </c>
    </row>
    <row r="7" spans="1:4" ht="15" x14ac:dyDescent="0.3">
      <c r="A7" t="s">
        <v>13</v>
      </c>
      <c r="B7">
        <f>B6/About!A26</f>
        <v>2.3970037453183523E-4</v>
      </c>
      <c r="C7" t="s">
        <v>23</v>
      </c>
    </row>
    <row r="9" spans="1:4" x14ac:dyDescent="0.3">
      <c r="A9" t="s">
        <v>27</v>
      </c>
      <c r="B9">
        <v>2000</v>
      </c>
      <c r="C9" t="s">
        <v>28</v>
      </c>
      <c r="D9" t="s">
        <v>36</v>
      </c>
    </row>
    <row r="11" spans="1:4" x14ac:dyDescent="0.3">
      <c r="A11" t="s">
        <v>29</v>
      </c>
      <c r="B11">
        <f>B7*B9</f>
        <v>0.47940074906367047</v>
      </c>
      <c r="C11" t="s">
        <v>30</v>
      </c>
    </row>
  </sheetData>
  <phoneticPr fontId="6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"/>
  <sheetViews>
    <sheetView workbookViewId="0">
      <selection activeCell="B1" sqref="B1"/>
    </sheetView>
  </sheetViews>
  <sheetFormatPr defaultRowHeight="16.5" x14ac:dyDescent="0.3"/>
  <cols>
    <col min="1" max="1" width="25.25" customWidth="1"/>
    <col min="2" max="2" width="17.625" customWidth="1"/>
  </cols>
  <sheetData>
    <row r="1" spans="1:2" ht="33" x14ac:dyDescent="0.3">
      <c r="B1" s="8" t="s">
        <v>38</v>
      </c>
    </row>
    <row r="2" spans="1:2" x14ac:dyDescent="0.3">
      <c r="A2" t="s">
        <v>16</v>
      </c>
      <c r="B2">
        <f>Data!B11</f>
        <v>0.47940074906367047</v>
      </c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About</vt:lpstr>
      <vt:lpstr>Data</vt:lpstr>
      <vt:lpstr>EoFoNVFE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공용계정2</cp:lastModifiedBy>
  <dcterms:created xsi:type="dcterms:W3CDTF">2015-06-16T18:10:47Z</dcterms:created>
  <dcterms:modified xsi:type="dcterms:W3CDTF">2026-01-22T07:36:57Z</dcterms:modified>
</cp:coreProperties>
</file>