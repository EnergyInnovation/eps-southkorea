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er\Dropbox\kjh\2026\01.EPS\01.EI\01.메일\260106_메일회신\회신파일\"/>
    </mc:Choice>
  </mc:AlternateContent>
  <xr:revisionPtr revIDLastSave="0" documentId="13_ncr:1_{81A1FCD5-4A69-4B41-9480-95DE174550B8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About" sheetId="1" r:id="rId1"/>
    <sheet name="DV_total" sheetId="15" r:id="rId2"/>
    <sheet name="DV_gov" sheetId="16" r:id="rId3"/>
    <sheet name="DV_indst" sheetId="18" r:id="rId4"/>
    <sheet name="DV_consumer" sheetId="17" r:id="rId5"/>
    <sheet name="DV_Cal" sheetId="14" r:id="rId6"/>
    <sheet name="Aircraft" sheetId="19" r:id="rId7"/>
    <sheet name="Motorbikes" sheetId="20" r:id="rId8"/>
    <sheet name="FoVObE-passengers" sheetId="11" r:id="rId9"/>
    <sheet name="FoVObE-freight" sheetId="12" r:id="rId10"/>
  </sheets>
  <definedNames>
    <definedName name="outputfrac_bio">#REF!</definedName>
    <definedName name="outputfrac_coal">#REF!</definedName>
    <definedName name="outputfrac_elec">#REF!</definedName>
    <definedName name="outputfrac_ngps">#REF!</definedName>
    <definedName name="outputfrac_nonenergy">#REF!</definedName>
    <definedName name="outputfrac_othe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4" l="1"/>
  <c r="I4" i="14"/>
  <c r="H5" i="14"/>
  <c r="H4" i="14"/>
  <c r="G5" i="14"/>
  <c r="G4" i="14"/>
  <c r="F5" i="14"/>
  <c r="F4" i="14"/>
  <c r="D5" i="20" l="1"/>
  <c r="E5" i="20"/>
  <c r="F5" i="20"/>
  <c r="G5" i="20"/>
  <c r="H5" i="20"/>
  <c r="U4" i="20" s="1"/>
  <c r="I5" i="20"/>
  <c r="J5" i="20"/>
  <c r="K5" i="20"/>
  <c r="L5" i="20"/>
  <c r="M5" i="20"/>
  <c r="U6" i="20" s="1"/>
  <c r="N5" i="20"/>
  <c r="O5" i="20"/>
  <c r="P5" i="20"/>
  <c r="Q5" i="20"/>
  <c r="C5" i="20"/>
  <c r="U8" i="20" s="1"/>
  <c r="V4" i="20" l="1"/>
  <c r="B7" i="11" s="1"/>
  <c r="V5" i="20"/>
  <c r="C7" i="11" s="1"/>
  <c r="V8" i="20"/>
  <c r="V7" i="20"/>
  <c r="V6" i="20"/>
  <c r="D7" i="11" s="1"/>
  <c r="K6" i="19" l="1"/>
  <c r="K4" i="19"/>
  <c r="G67" i="19"/>
  <c r="F67" i="19"/>
  <c r="G59" i="19"/>
  <c r="G60" i="19" s="1"/>
  <c r="F59" i="19"/>
  <c r="F41" i="19"/>
  <c r="F37" i="19"/>
  <c r="F34" i="19"/>
  <c r="F29" i="19"/>
  <c r="F25" i="19"/>
  <c r="F16" i="19"/>
  <c r="K10" i="19" s="1"/>
  <c r="F12" i="19"/>
  <c r="I7" i="14"/>
  <c r="H7" i="14"/>
  <c r="G7" i="14"/>
  <c r="G6" i="14"/>
  <c r="H6" i="14"/>
  <c r="I6" i="14"/>
  <c r="F7" i="14"/>
  <c r="F6" i="14"/>
  <c r="G68" i="19" l="1"/>
  <c r="K5" i="19"/>
  <c r="K8" i="19" s="1"/>
  <c r="L5" i="19" s="1"/>
  <c r="C4" i="11" s="1"/>
  <c r="K13" i="19"/>
  <c r="C21" i="14"/>
  <c r="B3" i="12" s="1"/>
  <c r="C23" i="14"/>
  <c r="D3" i="12" s="1"/>
  <c r="C22" i="14"/>
  <c r="C3" i="12" s="1"/>
  <c r="C5" i="14"/>
  <c r="D2" i="11" s="1"/>
  <c r="C9" i="14"/>
  <c r="B3" i="11" s="1"/>
  <c r="C10" i="14"/>
  <c r="C3" i="11" s="1"/>
  <c r="C11" i="14"/>
  <c r="D3" i="11" s="1"/>
  <c r="C17" i="14"/>
  <c r="D2" i="12" s="1"/>
  <c r="C16" i="14"/>
  <c r="C2" i="12" s="1"/>
  <c r="C15" i="14"/>
  <c r="B2" i="12" s="1"/>
  <c r="F50" i="19"/>
  <c r="F60" i="19" s="1"/>
  <c r="F68" i="19" s="1"/>
  <c r="I68" i="19" s="1"/>
  <c r="I72" i="19" s="1"/>
  <c r="C4" i="14"/>
  <c r="C2" i="11" s="1"/>
  <c r="C3" i="14"/>
  <c r="B2" i="11" s="1"/>
  <c r="L6" i="19" l="1"/>
  <c r="D4" i="11" s="1"/>
  <c r="L7" i="19"/>
  <c r="K14" i="19"/>
  <c r="L4" i="19"/>
  <c r="B4" i="11" s="1"/>
  <c r="L11" i="19"/>
  <c r="D4" i="12" s="1"/>
  <c r="L9" i="19"/>
  <c r="B4" i="12" s="1"/>
  <c r="L12" i="19"/>
  <c r="L10" i="19"/>
  <c r="C4" i="12" s="1"/>
</calcChain>
</file>

<file path=xl/sharedStrings.xml><?xml version="1.0" encoding="utf-8"?>
<sst xmlns="http://schemas.openxmlformats.org/spreadsheetml/2006/main" count="1226" uniqueCount="601">
  <si>
    <t>Source:</t>
  </si>
  <si>
    <t>FoVObE Fraction of Vehicles Owned by Entity</t>
  </si>
  <si>
    <t>LDVs</t>
  </si>
  <si>
    <t>HDVs</t>
  </si>
  <si>
    <t>aircraft</t>
  </si>
  <si>
    <t>rail</t>
  </si>
  <si>
    <t>ships</t>
  </si>
  <si>
    <t>motorbikes</t>
  </si>
  <si>
    <t>government</t>
  </si>
  <si>
    <t>foreign entities</t>
  </si>
  <si>
    <t>labor and consumers</t>
  </si>
  <si>
    <t>Fraction Owned by Entity (dimensionless)</t>
  </si>
  <si>
    <t>domestic industries</t>
  </si>
  <si>
    <t>passenger LDVs</t>
    <phoneticPr fontId="9" type="noConversion"/>
  </si>
  <si>
    <t>passenger HDVs</t>
    <phoneticPr fontId="9" type="noConversion"/>
  </si>
  <si>
    <t>freight LDVs</t>
    <phoneticPr fontId="9" type="noConversion"/>
  </si>
  <si>
    <t>freight HDVs</t>
    <phoneticPr fontId="9" type="noConversion"/>
  </si>
  <si>
    <t>Note</t>
    <phoneticPr fontId="9" type="noConversion"/>
  </si>
  <si>
    <t>passenger</t>
    <phoneticPr fontId="9" type="noConversion"/>
  </si>
  <si>
    <t>freight</t>
    <phoneticPr fontId="9" type="noConversion"/>
  </si>
  <si>
    <t>소형</t>
    <phoneticPr fontId="9" type="noConversion"/>
  </si>
  <si>
    <t>&lt; 자동차 등록현황(총 계) &gt;</t>
    <phoneticPr fontId="16" type="noConversion"/>
  </si>
  <si>
    <t>차 종 별</t>
  </si>
  <si>
    <t>서울</t>
  </si>
  <si>
    <t>부산</t>
  </si>
  <si>
    <t>대구</t>
  </si>
  <si>
    <t>인천</t>
  </si>
  <si>
    <t>광주</t>
  </si>
  <si>
    <t>대전</t>
  </si>
  <si>
    <t>울산</t>
  </si>
  <si>
    <t>세종</t>
    <phoneticPr fontId="19" type="noConversion"/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</si>
  <si>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</si>
  <si>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</si>
  <si>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</si>
  <si>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</si>
  <si>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</si>
  <si>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</si>
  <si>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</si>
  <si>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</si>
  <si>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</si>
  <si>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합계</t>
  </si>
  <si>
    <t>총계</t>
  </si>
  <si>
    <t>승용차합계</t>
  </si>
  <si>
    <t>승용일반형 계</t>
  </si>
  <si>
    <t>승용일반형 국산 소계</t>
  </si>
  <si>
    <t>승용일반형 국산 800CC미만</t>
  </si>
  <si>
    <t>승용일반형 국산 1000CC미만</t>
  </si>
  <si>
    <t>승용일반형 국산 1500CC미만</t>
  </si>
  <si>
    <t>승용일반형 국산 2000CC미만</t>
  </si>
  <si>
    <t>승용일반형 국산 2500CC미만</t>
  </si>
  <si>
    <t>승용일반형 국산 3000CC미만</t>
  </si>
  <si>
    <t>승용일반형 국산 3500CC미만</t>
  </si>
  <si>
    <t>승용일반형 국산 4000CC미만</t>
  </si>
  <si>
    <t>승용일반형 국산 4500CC미만</t>
  </si>
  <si>
    <t>승용일반형 국산 5000CC미만</t>
  </si>
  <si>
    <t>승용일반형 국산 5000CC이상</t>
  </si>
  <si>
    <t>승용일반형 국산 저속전기</t>
  </si>
  <si>
    <t>승용일반형 국산 전기</t>
  </si>
  <si>
    <t>승용일반형 외산 소계</t>
  </si>
  <si>
    <t>승용일반형 외산 800CC미만</t>
  </si>
  <si>
    <t>승용일반형 외산 1000CC미만</t>
  </si>
  <si>
    <t>승용일반형 외산 1500CC미만</t>
  </si>
  <si>
    <t>승용일반형 외산 2000CC미만</t>
  </si>
  <si>
    <t>승용일반형 외산 2500CC미만</t>
  </si>
  <si>
    <t>승용일반형 외산 3000CC미만</t>
  </si>
  <si>
    <t>승용일반형 외산 3500CC미만</t>
  </si>
  <si>
    <t>승용일반형 외산 4000CC미만</t>
  </si>
  <si>
    <t>승용일반형 외산 4500CC미만</t>
  </si>
  <si>
    <t>승용일반형 외산 5000CC미만</t>
  </si>
  <si>
    <t>승용일반형 외산 5000CC이상</t>
  </si>
  <si>
    <t>승용일반형 외산 저속전기</t>
  </si>
  <si>
    <t>승용일반형 외산 전기</t>
  </si>
  <si>
    <t>승용겸 화물 계</t>
  </si>
  <si>
    <t>승용겸 화물 1500CC미만</t>
  </si>
  <si>
    <t>승용겸 화물 2000CC미만</t>
  </si>
  <si>
    <t>승용겸 화물 2500CC미만</t>
  </si>
  <si>
    <t>승용겸 화물 3000CC미만</t>
  </si>
  <si>
    <t>승용겸 화물 3500CC미만</t>
  </si>
  <si>
    <t>승용겸 화물 3500CC이상</t>
  </si>
  <si>
    <t>승용겸 화물 저속전기</t>
  </si>
  <si>
    <t>승용겸 화물 전기</t>
  </si>
  <si>
    <t>승용다목적형 계</t>
  </si>
  <si>
    <t>승용다목적형 1500CC미만</t>
  </si>
  <si>
    <t>승용다목적형 2000CC미만</t>
  </si>
  <si>
    <t>승용다목적형 2500CC미만</t>
  </si>
  <si>
    <t>승용다목적형 3000CC미만</t>
  </si>
  <si>
    <t>승용다목적형 3500CC미만</t>
  </si>
  <si>
    <t>승용다목적형 3500CC이상</t>
  </si>
  <si>
    <t>승용다목적형 저속전기</t>
  </si>
  <si>
    <t>승용다목적형 전기</t>
  </si>
  <si>
    <t>승용기타형 계</t>
  </si>
  <si>
    <t>승용기타형 1500CC미만</t>
  </si>
  <si>
    <t>승용기타형 2000CC미만</t>
  </si>
  <si>
    <t>승용기타형 2500CC미만</t>
  </si>
  <si>
    <t>승용기타형 3000CC미만</t>
  </si>
  <si>
    <t>승용기타형 3500CC미만</t>
  </si>
  <si>
    <t>승용기타형 3500CC이상</t>
  </si>
  <si>
    <t>승용기타형 저속전기</t>
  </si>
  <si>
    <t>승용기타형 전기</t>
  </si>
  <si>
    <t>승합차 합계</t>
  </si>
  <si>
    <t>승합일반형 계</t>
  </si>
  <si>
    <t>시내버스</t>
  </si>
  <si>
    <t>시외버스</t>
  </si>
  <si>
    <t>전세버스</t>
  </si>
  <si>
    <t>고속버스</t>
  </si>
  <si>
    <t>농어촌버스</t>
  </si>
  <si>
    <t>마을버스</t>
  </si>
  <si>
    <t>승합일반기타형 계</t>
  </si>
  <si>
    <t>승합일반 15인 이하</t>
  </si>
  <si>
    <t>승합일반 25인 이하</t>
  </si>
  <si>
    <t>승합일반 35인 이하</t>
  </si>
  <si>
    <t>승합일반 50인 이하</t>
  </si>
  <si>
    <t>승합일반 51인 이상</t>
  </si>
  <si>
    <t>승합특수형 계</t>
  </si>
  <si>
    <t>구급차</t>
  </si>
  <si>
    <t>장의차</t>
  </si>
  <si>
    <t>헌혈, 채혈차</t>
  </si>
  <si>
    <t>방송, 보도용차</t>
  </si>
  <si>
    <t>승합피견인형</t>
  </si>
  <si>
    <t>승합특수형 기타</t>
  </si>
  <si>
    <t>화물자동차 합계</t>
  </si>
  <si>
    <t>화물일반형 계</t>
  </si>
  <si>
    <t>화물 픽업형</t>
  </si>
  <si>
    <t>화물카고형 계</t>
  </si>
  <si>
    <t>화물카고형 1톤 이하</t>
  </si>
  <si>
    <t>화물카고형 3톤 이하</t>
  </si>
  <si>
    <t>화물카고형 5톤 미만</t>
  </si>
  <si>
    <t>화물카고형 8톤 미만</t>
  </si>
  <si>
    <t>화물카고형 10톤 미만</t>
  </si>
  <si>
    <t>화물카고형 12톤 미만</t>
  </si>
  <si>
    <t>화물카고형 12톤 이상</t>
  </si>
  <si>
    <t>화물덤프형 계</t>
  </si>
  <si>
    <t>화물덤프형 1톤 이하</t>
  </si>
  <si>
    <t>화물덤프형 5톤 미만</t>
  </si>
  <si>
    <t>화물덤프형 12톤 미만</t>
  </si>
  <si>
    <t>화물덤프형 12톤 이상</t>
  </si>
  <si>
    <t>화물 밴형 계</t>
  </si>
  <si>
    <t>화물밴형 1톤 이하</t>
  </si>
  <si>
    <t>화물밴형 5톤 미만</t>
  </si>
  <si>
    <t>화물밴형 5톤 이상</t>
  </si>
  <si>
    <t>화물특수용도형 계</t>
  </si>
  <si>
    <t>화물특수용도형(청소자)</t>
  </si>
  <si>
    <t>화물특수용도형(노면청소차)</t>
  </si>
  <si>
    <t>화물특수용도형(살수차)</t>
  </si>
  <si>
    <t>화물특수용도형(소방차)</t>
  </si>
  <si>
    <t>화물특수용도형(냉장,냉동차)</t>
  </si>
  <si>
    <t>화물특수용도형(곡물,사료운반)</t>
  </si>
  <si>
    <t>유조차 소계</t>
  </si>
  <si>
    <t>유조차(항공유)</t>
  </si>
  <si>
    <t>유조차(휘발유)</t>
  </si>
  <si>
    <t>유조차(등유, 경유)</t>
  </si>
  <si>
    <t>유조차(방카C유)</t>
  </si>
  <si>
    <t>유조차(기타)</t>
  </si>
  <si>
    <t>탱크로리 소계</t>
  </si>
  <si>
    <t>탱크로리(식수, 음료)</t>
  </si>
  <si>
    <t>탱크로리(압축가스)</t>
  </si>
  <si>
    <t>탱크로리(화공약품)</t>
  </si>
  <si>
    <t>탱크로리(기타)</t>
  </si>
  <si>
    <t>피견인차 소계</t>
  </si>
  <si>
    <t>피견인차(적재함형)</t>
  </si>
  <si>
    <t>피견인차(저상형)</t>
  </si>
  <si>
    <t>피견인차(평판형)</t>
  </si>
  <si>
    <t>피견인차(콘테이너샤시)</t>
  </si>
  <si>
    <t>피견인차(기타)</t>
  </si>
  <si>
    <t>화물특수용도형(기타)</t>
  </si>
  <si>
    <t>특수자동차 합계</t>
  </si>
  <si>
    <t>구난차 계</t>
  </si>
  <si>
    <t>구난차 5톤 이하</t>
  </si>
  <si>
    <t>구난차 10톤 미만</t>
  </si>
  <si>
    <t>구난차 10톤 이상</t>
  </si>
  <si>
    <t>견인차 계</t>
  </si>
  <si>
    <t>견인차 5톤 이하</t>
  </si>
  <si>
    <t>견인차 10톤 미만</t>
  </si>
  <si>
    <t>견인차 10톤 이상</t>
  </si>
  <si>
    <t>특수작업형 계</t>
  </si>
  <si>
    <t>특수작업형(고소작업차)</t>
  </si>
  <si>
    <t>특수작업형(고가사다리소방차)</t>
  </si>
  <si>
    <t>특수작업형(오가크레인)</t>
  </si>
  <si>
    <t>특수작업형(피견인형)</t>
  </si>
  <si>
    <t>특수작업형(기타)</t>
  </si>
  <si>
    <t>government</t>
    <phoneticPr fontId="9" type="noConversion"/>
  </si>
  <si>
    <t>domestic industries</t>
    <phoneticPr fontId="9" type="noConversion"/>
  </si>
  <si>
    <t>&lt; 자동차 등록현황(관 용) &gt;</t>
    <phoneticPr fontId="16" type="noConversion"/>
  </si>
  <si>
    <t>&lt; 자동차 등록현황(자 가 용) &gt;</t>
    <phoneticPr fontId="16" type="noConversion"/>
  </si>
  <si>
    <t>&lt; 자동차 등록현황(영 업 용) &gt;</t>
  </si>
  <si>
    <t>government: 관용</t>
    <phoneticPr fontId="9" type="noConversion"/>
  </si>
  <si>
    <t>domestic industries: 영업용</t>
    <phoneticPr fontId="9" type="noConversion"/>
  </si>
  <si>
    <t>labor and consumers: 자가용</t>
    <phoneticPr fontId="9" type="noConversion"/>
  </si>
  <si>
    <t>Total</t>
    <phoneticPr fontId="9" type="noConversion"/>
  </si>
  <si>
    <t>labor and consumers</t>
    <phoneticPr fontId="9" type="noConversion"/>
  </si>
  <si>
    <t>http://stat.molit.go.kr/portal/cate/statFileView.do?hRsId=58&amp;hFormId=5</t>
    <phoneticPr fontId="9" type="noConversion"/>
  </si>
  <si>
    <t>Sheet 5,6,7,8</t>
    <phoneticPr fontId="9" type="noConversion"/>
  </si>
  <si>
    <t>https://www.airportal.go.kr/e-book/ecatalog5.jsp?Dir=38&amp;catimage=&amp;start=&amp;cate=&amp;callmode=normal&amp;eclang=ko</t>
    <phoneticPr fontId="9" type="noConversion"/>
  </si>
  <si>
    <t>Page 83-85</t>
    <phoneticPr fontId="9" type="noConversion"/>
  </si>
  <si>
    <t>항공사</t>
    <phoneticPr fontId="9" type="noConversion"/>
  </si>
  <si>
    <t>용도</t>
    <phoneticPr fontId="9" type="noConversion"/>
  </si>
  <si>
    <t>기종</t>
    <phoneticPr fontId="9" type="noConversion"/>
  </si>
  <si>
    <t>비행기(수)</t>
    <phoneticPr fontId="9" type="noConversion"/>
  </si>
  <si>
    <t>회전익(수)</t>
    <phoneticPr fontId="9" type="noConversion"/>
  </si>
  <si>
    <t>여객기</t>
    <phoneticPr fontId="9" type="noConversion"/>
  </si>
  <si>
    <t>국내, 국제</t>
    <phoneticPr fontId="9" type="noConversion"/>
  </si>
  <si>
    <t>대한항공</t>
    <phoneticPr fontId="9" type="noConversion"/>
  </si>
  <si>
    <t>B747-400</t>
    <phoneticPr fontId="9" type="noConversion"/>
  </si>
  <si>
    <t>화물기</t>
    <phoneticPr fontId="9" type="noConversion"/>
  </si>
  <si>
    <t>B747-8</t>
    <phoneticPr fontId="9" type="noConversion"/>
  </si>
  <si>
    <t>합계</t>
    <phoneticPr fontId="9" type="noConversion"/>
  </si>
  <si>
    <t>B777-200/300/300ER</t>
    <phoneticPr fontId="9" type="noConversion"/>
  </si>
  <si>
    <t>B787-9</t>
    <phoneticPr fontId="9" type="noConversion"/>
  </si>
  <si>
    <t>B737-800/900/900ER</t>
    <phoneticPr fontId="9" type="noConversion"/>
  </si>
  <si>
    <t>A330-200/300</t>
    <phoneticPr fontId="9" type="noConversion"/>
  </si>
  <si>
    <t>A380-800</t>
    <phoneticPr fontId="9" type="noConversion"/>
  </si>
  <si>
    <t>BD-500-1A11</t>
    <phoneticPr fontId="9" type="noConversion"/>
  </si>
  <si>
    <t>소계</t>
    <phoneticPr fontId="9" type="noConversion"/>
  </si>
  <si>
    <t>B747-400F</t>
    <phoneticPr fontId="9" type="noConversion"/>
  </si>
  <si>
    <t>B747-8F</t>
    <phoneticPr fontId="9" type="noConversion"/>
  </si>
  <si>
    <t>B777F</t>
    <phoneticPr fontId="9" type="noConversion"/>
  </si>
  <si>
    <t>아시아나항공</t>
    <phoneticPr fontId="9" type="noConversion"/>
  </si>
  <si>
    <t>B777-200</t>
    <phoneticPr fontId="9" type="noConversion"/>
  </si>
  <si>
    <t>B767-300</t>
    <phoneticPr fontId="9" type="noConversion"/>
  </si>
  <si>
    <t>A321-100/200</t>
    <phoneticPr fontId="9" type="noConversion"/>
  </si>
  <si>
    <t>A330-300</t>
    <phoneticPr fontId="9" type="noConversion"/>
  </si>
  <si>
    <t>A320-200</t>
    <phoneticPr fontId="9" type="noConversion"/>
  </si>
  <si>
    <t>A350-900</t>
    <phoneticPr fontId="9" type="noConversion"/>
  </si>
  <si>
    <t>B767-300F</t>
    <phoneticPr fontId="9" type="noConversion"/>
  </si>
  <si>
    <t>제주항공</t>
    <phoneticPr fontId="9" type="noConversion"/>
  </si>
  <si>
    <t>B737-800</t>
    <phoneticPr fontId="9" type="noConversion"/>
  </si>
  <si>
    <t>진에어</t>
    <phoneticPr fontId="9" type="noConversion"/>
  </si>
  <si>
    <t>에어부산</t>
    <phoneticPr fontId="9" type="noConversion"/>
  </si>
  <si>
    <t>A321-200</t>
    <phoneticPr fontId="9" type="noConversion"/>
  </si>
  <si>
    <t>이스타항공</t>
    <phoneticPr fontId="9" type="noConversion"/>
  </si>
  <si>
    <t>B737-8</t>
    <phoneticPr fontId="9" type="noConversion"/>
  </si>
  <si>
    <t>B737-900ER</t>
    <phoneticPr fontId="9" type="noConversion"/>
  </si>
  <si>
    <t>티웨이항공</t>
    <phoneticPr fontId="9" type="noConversion"/>
  </si>
  <si>
    <t>에어서울</t>
    <phoneticPr fontId="9" type="noConversion"/>
  </si>
  <si>
    <t>에어인천</t>
    <phoneticPr fontId="9" type="noConversion"/>
  </si>
  <si>
    <t>B737-400F</t>
    <phoneticPr fontId="9" type="noConversion"/>
  </si>
  <si>
    <t>플라이강원</t>
    <phoneticPr fontId="9" type="noConversion"/>
  </si>
  <si>
    <t>코리아익스프레스</t>
    <phoneticPr fontId="9" type="noConversion"/>
  </si>
  <si>
    <t>써니항공</t>
    <phoneticPr fontId="9" type="noConversion"/>
  </si>
  <si>
    <t>에어포항</t>
    <phoneticPr fontId="9" type="noConversion"/>
  </si>
  <si>
    <t>스타항공우주</t>
    <phoneticPr fontId="9" type="noConversion"/>
  </si>
  <si>
    <t>헬리코리아</t>
    <phoneticPr fontId="9" type="noConversion"/>
  </si>
  <si>
    <t>에어필립</t>
    <phoneticPr fontId="9" type="noConversion"/>
  </si>
  <si>
    <t>하이에어</t>
    <phoneticPr fontId="9" type="noConversion"/>
  </si>
  <si>
    <t>운송용소계</t>
    <phoneticPr fontId="9" type="noConversion"/>
  </si>
  <si>
    <t>사용사업</t>
    <phoneticPr fontId="9" type="noConversion"/>
  </si>
  <si>
    <t>홍익항공 등 59개사</t>
    <phoneticPr fontId="9" type="noConversion"/>
  </si>
  <si>
    <t>교육기관</t>
    <phoneticPr fontId="9" type="noConversion"/>
  </si>
  <si>
    <t>보도기관</t>
    <phoneticPr fontId="9" type="noConversion"/>
  </si>
  <si>
    <t>정부기관(국토교통부)</t>
    <phoneticPr fontId="9" type="noConversion"/>
  </si>
  <si>
    <t>국가기관(소방/산림)</t>
    <phoneticPr fontId="9" type="noConversion"/>
  </si>
  <si>
    <t>기타(LG전자 등 18개사)</t>
    <phoneticPr fontId="9" type="noConversion"/>
  </si>
  <si>
    <t>총계</t>
    <phoneticPr fontId="9" type="noConversion"/>
  </si>
  <si>
    <t>구분</t>
    <phoneticPr fontId="9" type="noConversion"/>
  </si>
  <si>
    <t>비즈니스(비행기)</t>
    <phoneticPr fontId="9" type="noConversion"/>
  </si>
  <si>
    <t>소형항공</t>
    <phoneticPr fontId="9" type="noConversion"/>
  </si>
  <si>
    <t>자가용</t>
    <phoneticPr fontId="9" type="noConversion"/>
  </si>
  <si>
    <t>비사업</t>
    <phoneticPr fontId="9" type="noConversion"/>
  </si>
  <si>
    <t>활공기, 비행선은 연료를 소모하지 않는다고 가정하고 제외</t>
    <phoneticPr fontId="9" type="noConversion"/>
  </si>
  <si>
    <t>gov: 비사업(기타 제외)</t>
    <phoneticPr fontId="9" type="noConversion"/>
  </si>
  <si>
    <t>consumer: 표2 합계</t>
    <phoneticPr fontId="9" type="noConversion"/>
  </si>
  <si>
    <t>indst: 국내, 국제, 소형(운송용사업)&amp; 사용사업&amp; 기타</t>
    <phoneticPr fontId="9" type="noConversion"/>
  </si>
  <si>
    <t>total</t>
    <phoneticPr fontId="9" type="noConversion"/>
  </si>
  <si>
    <t>foreign entities</t>
    <phoneticPr fontId="9" type="noConversion"/>
  </si>
  <si>
    <t>count</t>
    <phoneticPr fontId="9" type="noConversion"/>
  </si>
  <si>
    <t>unitless</t>
    <phoneticPr fontId="9" type="noConversion"/>
  </si>
  <si>
    <t>sum</t>
    <phoneticPr fontId="9" type="noConversion"/>
  </si>
  <si>
    <t>class</t>
    <phoneticPr fontId="9" type="noConversion"/>
  </si>
  <si>
    <t>&lt;</t>
  </si>
  <si>
    <t>이륜차</t>
    <phoneticPr fontId="19" type="noConversion"/>
  </si>
  <si>
    <t>통계표</t>
  </si>
  <si>
    <t>&gt;</t>
  </si>
  <si>
    <t>통계년월:</t>
    <phoneticPr fontId="19" type="noConversion"/>
  </si>
  <si>
    <t>시도</t>
    <phoneticPr fontId="16" type="noConversion"/>
  </si>
  <si>
    <t>시군구</t>
    <phoneticPr fontId="16" type="noConversion"/>
  </si>
  <si>
    <t>계</t>
    <phoneticPr fontId="16" type="noConversion"/>
  </si>
  <si>
    <t>관용</t>
    <phoneticPr fontId="19" type="noConversion"/>
  </si>
  <si>
    <t>자가용</t>
    <phoneticPr fontId="19" type="noConversion"/>
  </si>
  <si>
    <t>소계</t>
    <phoneticPr fontId="19" type="noConversion"/>
  </si>
  <si>
    <t>경형</t>
    <phoneticPr fontId="19" type="noConversion"/>
  </si>
  <si>
    <t>소형</t>
    <phoneticPr fontId="19" type="noConversion"/>
  </si>
  <si>
    <t>중형</t>
    <phoneticPr fontId="19" type="noConversion"/>
  </si>
  <si>
    <t>대형</t>
    <phoneticPr fontId="19" type="noConversion"/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</si>
  <si>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</si>
  <si>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</si>
  <si>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</si>
  <si>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</si>
  <si>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</si>
  <si>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</si>
  <si>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</si>
  <si>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</si>
  <si>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</si>
  <si>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</si>
  <si>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</si>
  <si>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</si>
  <si>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</si>
  <si>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</si>
  <si>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</si>
  <si>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</si>
  <si>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</si>
  <si>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</si>
  <si>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</si>
  <si>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</si>
  <si>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</si>
  <si>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</si>
  <si>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</si>
  <si>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</si>
  <si>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</si>
  <si>
    <t>서울기타</t>
  </si>
  <si>
    <t>계</t>
  </si>
  <si>
    <t>금정구</t>
  </si>
  <si>
    <t>기장군</t>
  </si>
  <si>
    <t>남구</t>
  </si>
  <si>
    <t>동구</t>
  </si>
  <si>
    <t>동래구</t>
  </si>
  <si>
    <t>부산진구</t>
  </si>
  <si>
    <t>북구</t>
  </si>
  <si>
    <t>사상구</t>
  </si>
  <si>
    <t>사하구</t>
  </si>
  <si>
    <t>서구</t>
  </si>
  <si>
    <t>수영구</t>
  </si>
  <si>
    <t>연제구</t>
  </si>
  <si>
    <t>영도구</t>
  </si>
  <si>
    <t>해운대구</t>
  </si>
  <si>
    <t>부산기타</t>
  </si>
  <si>
    <t>달서구</t>
  </si>
  <si>
    <t>달성군</t>
  </si>
  <si>
    <t>수성구</t>
  </si>
  <si>
    <t>대구기타</t>
  </si>
  <si>
    <t>강화군</t>
  </si>
  <si>
    <t>계양구</t>
  </si>
  <si>
    <t>남동구</t>
  </si>
  <si>
    <t>미추홀구</t>
  </si>
  <si>
    <t>부평구</t>
  </si>
  <si>
    <t>연수구</t>
  </si>
  <si>
    <t>옹진군</t>
  </si>
  <si>
    <t>인천기타</t>
  </si>
  <si>
    <t>광산구</t>
  </si>
  <si>
    <t>광주기타</t>
  </si>
  <si>
    <t>대덕구</t>
  </si>
  <si>
    <t>유성구</t>
  </si>
  <si>
    <t>대전기타</t>
  </si>
  <si>
    <t>울주군</t>
  </si>
  <si>
    <t>울산기타</t>
  </si>
  <si>
    <t>세종</t>
  </si>
  <si>
    <t>세종특별자치시</t>
  </si>
  <si>
    <t>세종기타</t>
  </si>
  <si>
    <t>가평군</t>
  </si>
  <si>
    <t>고양시</t>
  </si>
  <si>
    <t>고양시 덕양구</t>
  </si>
  <si>
    <t>고양시 일산구</t>
  </si>
  <si>
    <t>고양시 일산동구</t>
  </si>
  <si>
    <t>고양시 일산서구</t>
  </si>
  <si>
    <t>과천시</t>
  </si>
  <si>
    <t>광명시</t>
  </si>
  <si>
    <t>광주시</t>
  </si>
  <si>
    <t>구리시</t>
  </si>
  <si>
    <t>군포시</t>
  </si>
  <si>
    <t>김포군</t>
  </si>
  <si>
    <t>김포시</t>
  </si>
  <si>
    <t>남양주시</t>
  </si>
  <si>
    <t>동두천시</t>
  </si>
  <si>
    <t>부천시</t>
  </si>
  <si>
    <t>부천시 소사구</t>
  </si>
  <si>
    <t>부천시 오정구</t>
  </si>
  <si>
    <t>부천시 원미구</t>
  </si>
  <si>
    <t>성남시 분당구</t>
  </si>
  <si>
    <t>성남시 수정구</t>
  </si>
  <si>
    <t>성남시 중원구</t>
  </si>
  <si>
    <t>송탄시</t>
  </si>
  <si>
    <t>수원시 권선구</t>
  </si>
  <si>
    <t>수원시 영통구</t>
  </si>
  <si>
    <t>수원시 장안구</t>
  </si>
  <si>
    <t>수원시 팔달구</t>
  </si>
  <si>
    <t>시흥시</t>
  </si>
  <si>
    <t>안산시</t>
  </si>
  <si>
    <t>안산시 단원구</t>
  </si>
  <si>
    <t>안산시 상록구</t>
  </si>
  <si>
    <t>안성군</t>
  </si>
  <si>
    <t>안성시</t>
  </si>
  <si>
    <t>안양시</t>
  </si>
  <si>
    <t>안양시 동안구</t>
  </si>
  <si>
    <t>안양시 만안구</t>
  </si>
  <si>
    <t>양주군</t>
  </si>
  <si>
    <t>양주시</t>
  </si>
  <si>
    <t>양평군</t>
  </si>
  <si>
    <t>여주군</t>
  </si>
  <si>
    <t>여주시</t>
  </si>
  <si>
    <t>연천군</t>
  </si>
  <si>
    <t>오산시</t>
  </si>
  <si>
    <t>용인군</t>
  </si>
  <si>
    <t>용인시</t>
  </si>
  <si>
    <t>용인시 기흥구</t>
  </si>
  <si>
    <t>용인시 수지구</t>
  </si>
  <si>
    <t>용인시 처인구</t>
  </si>
  <si>
    <t>의왕시</t>
  </si>
  <si>
    <t>의정부시</t>
  </si>
  <si>
    <t>이천시</t>
  </si>
  <si>
    <t>파주시</t>
  </si>
  <si>
    <t>평택군</t>
  </si>
  <si>
    <t>평택시</t>
  </si>
  <si>
    <t>포천군</t>
  </si>
  <si>
    <t>포천시</t>
  </si>
  <si>
    <t>하남시</t>
  </si>
  <si>
    <t>화성군</t>
  </si>
  <si>
    <t>화성시</t>
  </si>
  <si>
    <t>경기기타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</si>
  <si>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</si>
  <si>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</si>
  <si>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</si>
  <si>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</si>
  <si>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</si>
  <si>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</si>
  <si>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</si>
  <si>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</si>
  <si>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</si>
  <si>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</si>
  <si>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</si>
  <si>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</si>
  <si>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</si>
  <si>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</si>
  <si>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</si>
  <si>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</si>
  <si>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</si>
  <si>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</si>
  <si>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강원기타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</si>
  <si>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</si>
  <si>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</si>
  <si>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</si>
  <si>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</si>
  <si>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</si>
  <si>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</si>
  <si>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</si>
  <si>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</si>
  <si>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</si>
  <si>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청원군</t>
  </si>
  <si>
    <t>청주시 상당구</t>
  </si>
  <si>
    <t>청주시 서원구</t>
  </si>
  <si>
    <t>청주시 청원구</t>
  </si>
  <si>
    <t>청주시 흥덕구</t>
  </si>
  <si>
    <t>충주시</t>
  </si>
  <si>
    <t>충북기타</t>
  </si>
  <si>
    <t>계룡시</t>
  </si>
  <si>
    <t>공주시</t>
  </si>
  <si>
    <t>금산군</t>
  </si>
  <si>
    <t>논산군</t>
  </si>
  <si>
    <t>논산시</t>
  </si>
  <si>
    <t>당진군</t>
  </si>
  <si>
    <t>당진시</t>
  </si>
  <si>
    <t>보령시</t>
  </si>
  <si>
    <t>부여군</t>
  </si>
  <si>
    <t>서산군</t>
  </si>
  <si>
    <t>서산시</t>
  </si>
  <si>
    <t>서천군</t>
  </si>
  <si>
    <t>아산시</t>
  </si>
  <si>
    <t>연기군</t>
  </si>
  <si>
    <t>예산군</t>
  </si>
  <si>
    <t>천안시</t>
  </si>
  <si>
    <t>천안시 동남구</t>
  </si>
  <si>
    <t>천안시 서북구</t>
  </si>
  <si>
    <t>청양군</t>
  </si>
  <si>
    <t>태안군</t>
  </si>
  <si>
    <t>홍성군</t>
  </si>
  <si>
    <t>충남기타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</si>
  <si>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</si>
  <si>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</si>
  <si>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</si>
  <si>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</si>
  <si>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</si>
  <si>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</si>
  <si>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</si>
  <si>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</si>
  <si>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</si>
  <si>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</si>
  <si>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</si>
  <si>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 덕진구</t>
  </si>
  <si>
    <t>전주시 완산구</t>
  </si>
  <si>
    <t>정읍시</t>
  </si>
  <si>
    <t>진안군</t>
  </si>
  <si>
    <t>전북기타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</si>
  <si>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</si>
  <si>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</si>
  <si>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</si>
  <si>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</si>
  <si>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</si>
  <si>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</si>
  <si>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</si>
  <si>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</si>
  <si>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</si>
  <si>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</si>
  <si>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</si>
  <si>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</si>
  <si>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</si>
  <si>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</si>
  <si>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</si>
  <si>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</si>
  <si>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</si>
  <si>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</si>
  <si>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</si>
  <si>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</si>
  <si>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</si>
  <si>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</si>
  <si>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전남기타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</si>
  <si>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</si>
  <si>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</si>
  <si>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</si>
  <si>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</si>
  <si>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</si>
  <si>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</si>
  <si>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</si>
  <si>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</si>
  <si>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</si>
  <si>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</si>
  <si>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안동군</t>
  </si>
  <si>
    <t>안동시</t>
  </si>
  <si>
    <t>영덕군</t>
  </si>
  <si>
    <t>영양군</t>
  </si>
  <si>
    <t>영일군</t>
  </si>
  <si>
    <t>영주시</t>
  </si>
  <si>
    <t>영천군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</si>
  <si>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</si>
  <si>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</si>
  <si>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</si>
  <si>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</si>
  <si>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</si>
  <si>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</si>
  <si>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</si>
  <si>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</si>
  <si>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 남구</t>
  </si>
  <si>
    <t>포항시 북구</t>
  </si>
  <si>
    <t>경북기타</t>
  </si>
  <si>
    <t>거제군</t>
  </si>
  <si>
    <t>거제시</t>
  </si>
  <si>
    <t>거창군</t>
  </si>
  <si>
    <t>김해시</t>
  </si>
  <si>
    <t>남해군</t>
  </si>
  <si>
    <t>마산시</t>
  </si>
  <si>
    <t>밀양군</t>
  </si>
  <si>
    <t>밀양시</t>
  </si>
  <si>
    <t>사천군</t>
  </si>
  <si>
    <t>사천시</t>
  </si>
  <si>
    <t>산청군</t>
  </si>
  <si>
    <t>양산시</t>
  </si>
  <si>
    <t>의령군</t>
  </si>
  <si>
    <t>진주시</t>
  </si>
  <si>
    <t>창녕군</t>
  </si>
  <si>
    <t>창원시</t>
  </si>
  <si>
    <t>창원시 마산합포구</t>
  </si>
  <si>
    <t>창원시 마산회원구</t>
  </si>
  <si>
    <t>창원시 성산구</t>
  </si>
  <si>
    <t>창원시 의창구</t>
  </si>
  <si>
    <t>창원시 진해구</t>
  </si>
  <si>
    <t>통영시</t>
  </si>
  <si>
    <t>하동군</t>
  </si>
  <si>
    <t>함안군</t>
  </si>
  <si>
    <t>함양군</t>
  </si>
  <si>
    <t>합천군</t>
  </si>
  <si>
    <t>경남기타</t>
  </si>
  <si>
    <t>서귀포시</t>
  </si>
  <si>
    <t>제주시</t>
  </si>
  <si>
    <t>제주기타</t>
  </si>
  <si>
    <t>result</t>
    <phoneticPr fontId="9" type="noConversion"/>
  </si>
  <si>
    <t>result</t>
    <phoneticPr fontId="9" type="noConversion"/>
  </si>
  <si>
    <t>http://www.alio.go.kr/popReportTerm.do?apbaId=C1044&amp;reportFormRootNo=31701</t>
    <phoneticPr fontId="9" type="noConversion"/>
  </si>
  <si>
    <t>Ship(assumption)</t>
    <phoneticPr fontId="9" type="noConversion"/>
  </si>
  <si>
    <t>Notes</t>
    <phoneticPr fontId="9" type="noConversion"/>
  </si>
  <si>
    <t>표2</t>
    <phoneticPr fontId="9" type="noConversion"/>
  </si>
  <si>
    <t>DV</t>
    <phoneticPr fontId="9" type="noConversion"/>
  </si>
  <si>
    <t>Aircraft</t>
    <phoneticPr fontId="9" type="noConversion"/>
  </si>
  <si>
    <t>Rail</t>
    <phoneticPr fontId="9" type="noConversion"/>
  </si>
  <si>
    <t>SR's capital and shareholder status</t>
    <phoneticPr fontId="9" type="noConversion"/>
  </si>
  <si>
    <t>Vehicle registration by type</t>
    <phoneticPr fontId="9" type="noConversion"/>
  </si>
  <si>
    <t>Ministry of Land, Infrastructure and Transport</t>
    <phoneticPr fontId="9" type="noConversion"/>
  </si>
  <si>
    <t>Korea Civil Aviation Association</t>
    <phoneticPr fontId="9" type="noConversion"/>
  </si>
  <si>
    <t>Aircraft by owner and by type</t>
    <phoneticPr fontId="9" type="noConversion"/>
  </si>
  <si>
    <t>Pocket aviation status 2020</t>
    <phoneticPr fontId="9" type="noConversion"/>
  </si>
  <si>
    <t>SR Corporation</t>
    <phoneticPr fontId="9" type="noConversion"/>
  </si>
  <si>
    <t>IR</t>
    <phoneticPr fontId="9" type="noConversion"/>
  </si>
  <si>
    <t>Sheet 1.통계표_시도, 2.통계표_시군구 (Sheet1. Statistics by city, 2. Statistics by city, county)</t>
    <phoneticPr fontId="9" type="noConversion"/>
  </si>
  <si>
    <t>Followed trans-SYVbT for LDVand HDV classification</t>
    <phoneticPr fontId="9" type="noConversion"/>
  </si>
  <si>
    <t>Detailed on Aircraft</t>
    <phoneticPr fontId="9" type="noConversion"/>
  </si>
  <si>
    <t>Excluding fishing boats</t>
    <phoneticPr fontId="9" type="noConversion"/>
  </si>
  <si>
    <t>There is a system called national essential ships in which the state directly operates ships in case of war or emergency, but these ships are owned by private companies.</t>
    <phoneticPr fontId="9" type="noConversion"/>
  </si>
  <si>
    <t>All ships are for domestic industry.</t>
    <phoneticPr fontId="9" type="noConversion"/>
  </si>
  <si>
    <t>As the largest shareholder of SR (SRT operating company which owned 100 units) is Korea Railroad Corporation (41% stake), it is assumed to be state-owned.</t>
    <phoneticPr fontId="9" type="noConversion"/>
  </si>
  <si>
    <t>Therefore all railroad companies are governmet owned corporations.</t>
    <phoneticPr fontId="9" type="noConversion"/>
  </si>
  <si>
    <t>motorcycle registrations</t>
  </si>
  <si>
    <t>Notes</t>
    <phoneticPr fontId="9" type="noConversion"/>
  </si>
  <si>
    <t>배달용 오토바이의 경우 모두 labor and customers로 설정했다.</t>
    <phoneticPr fontId="9" type="noConversion"/>
  </si>
  <si>
    <t>군위군</t>
    <phoneticPr fontId="9" type="noConversion"/>
  </si>
  <si>
    <t>220년 12월 자동차 등록자료 통계</t>
    <phoneticPr fontId="9" type="noConversion"/>
  </si>
  <si>
    <t>조회년월: 2020.12</t>
  </si>
  <si>
    <t>특수용도형 계</t>
    <phoneticPr fontId="19" type="noConversion"/>
  </si>
  <si>
    <t>특수용도형(고소작업차)</t>
    <phoneticPr fontId="19" type="noConversion"/>
  </si>
  <si>
    <t>특수용도형(고가사다리소방차)</t>
    <phoneticPr fontId="19" type="noConversion"/>
  </si>
  <si>
    <t>특수용도형(오가크레인)</t>
    <phoneticPr fontId="19" type="noConversion"/>
  </si>
  <si>
    <t>특수용도형(피견인형)</t>
    <phoneticPr fontId="19" type="noConversion"/>
  </si>
  <si>
    <t>특수용도형(기타)</t>
    <phoneticPr fontId="19" type="noConversion"/>
  </si>
  <si>
    <t>조회년월: 2020.12</t>
    <phoneticPr fontId="9" type="noConversion"/>
  </si>
  <si>
    <t>2020.12</t>
    <phoneticPr fontId="19" type="noConversion"/>
  </si>
  <si>
    <t>motorcycle registration on December 2020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</si>
</sst>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 "/>
  </numFmts>
  <fonts count="8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  <font>
      <b/>
      <sz val="14"/>
      <name val="Arial"/>
      <family val="2"/>
    </font>
    <font>
      <b/>
      <sz val="14"/>
      <name val="Helv"/>
    </font>
    <font>
      <b/>
      <sz val="10"/>
      <name val="Helv"/>
    </font>
    <font>
      <sz val="8"/>
      <name val="Helv"/>
    </font>
    <font>
      <u/>
      <sz val="11"/>
      <color theme="10"/>
      <name val="맑은 고딕"/>
      <family val="2"/>
      <scheme val="minor"/>
    </font>
    <font>
      <i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202122"/>
      <name val="Arial"/>
      <family val="3"/>
      <charset val="129"/>
    </font>
    <font>
      <sz val="11"/>
      <color rgb="FF202122"/>
      <name val="Arial"/>
      <family val="2"/>
    </font>
    <font>
      <sz val="10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굴림"/>
      <family val="3"/>
      <charset val="129"/>
    </font>
    <font>
      <sz val="8"/>
      <name val="맑은 고딕"/>
      <family val="3"/>
      <charset val="129"/>
    </font>
    <font>
      <sz val="10"/>
      <name val="굴림"/>
      <family val="3"/>
      <charset val="129"/>
    </font>
    <font>
      <sz val="11"/>
      <name val="맑은 고딕"/>
      <family val="2"/>
      <scheme val="minor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1"/>
      <name val="굴림체"/>
      <family val="2"/>
      <charset val="129"/>
    </font>
    <font>
      <sz val="11"/>
      <color indexed="8"/>
      <name val="맑은 고딕"/>
      <family val="3"/>
      <charset val="129"/>
    </font>
    <font>
      <sz val="10"/>
      <name val="Arial"/>
      <family val="2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sz val="11"/>
      <color rgb="FF9C6500"/>
      <name val="맑은 고딕"/>
      <family val="2"/>
      <charset val="129"/>
      <scheme val="minor"/>
    </font>
    <font>
      <b/>
      <sz val="15"/>
      <color theme="3"/>
      <name val="굴림체"/>
      <family val="2"/>
      <charset val="129"/>
    </font>
    <font>
      <b/>
      <sz val="13"/>
      <color theme="3"/>
      <name val="굴림체"/>
      <family val="2"/>
      <charset val="129"/>
    </font>
    <font>
      <b/>
      <sz val="11"/>
      <color theme="3"/>
      <name val="굴림체"/>
      <family val="2"/>
      <charset val="129"/>
    </font>
    <font>
      <sz val="11"/>
      <color rgb="FF006100"/>
      <name val="굴림체"/>
      <family val="2"/>
      <charset val="129"/>
    </font>
    <font>
      <sz val="11"/>
      <color rgb="FF9C0006"/>
      <name val="굴림체"/>
      <family val="2"/>
      <charset val="129"/>
    </font>
    <font>
      <sz val="11"/>
      <color rgb="FF9C6500"/>
      <name val="굴림체"/>
      <family val="2"/>
      <charset val="129"/>
    </font>
    <font>
      <sz val="11"/>
      <color rgb="FF3F3F76"/>
      <name val="굴림체"/>
      <family val="2"/>
      <charset val="129"/>
    </font>
    <font>
      <b/>
      <sz val="11"/>
      <color rgb="FF3F3F3F"/>
      <name val="굴림체"/>
      <family val="2"/>
      <charset val="129"/>
    </font>
    <font>
      <b/>
      <sz val="11"/>
      <color rgb="FFFA7D00"/>
      <name val="굴림체"/>
      <family val="2"/>
      <charset val="129"/>
    </font>
    <font>
      <sz val="11"/>
      <color rgb="FFFA7D00"/>
      <name val="굴림체"/>
      <family val="2"/>
      <charset val="129"/>
    </font>
    <font>
      <b/>
      <sz val="11"/>
      <color theme="0"/>
      <name val="굴림체"/>
      <family val="2"/>
      <charset val="129"/>
    </font>
    <font>
      <sz val="11"/>
      <color rgb="FFFF0000"/>
      <name val="굴림체"/>
      <family val="2"/>
      <charset val="129"/>
    </font>
    <font>
      <i/>
      <sz val="11"/>
      <color rgb="FF7F7F7F"/>
      <name val="굴림체"/>
      <family val="2"/>
      <charset val="129"/>
    </font>
    <font>
      <b/>
      <sz val="11"/>
      <color theme="1"/>
      <name val="굴림체"/>
      <family val="2"/>
      <charset val="129"/>
    </font>
    <font>
      <sz val="11"/>
      <color theme="0"/>
      <name val="굴림체"/>
      <family val="2"/>
      <charset val="129"/>
    </font>
    <font>
      <sz val="10"/>
      <color rgb="FFFF0000"/>
      <name val="맑은 고딕"/>
      <family val="3"/>
      <charset val="129"/>
    </font>
    <font>
      <sz val="10"/>
      <color rgb="FFFF0000"/>
      <name val="굴림"/>
      <family val="3"/>
      <charset val="129"/>
    </font>
    <font>
      <sz val="9"/>
      <color rgb="FFFF0000"/>
      <name val="돋움"/>
      <family val="3"/>
      <charset val="129"/>
    </font>
    <font>
      <sz val="11"/>
      <color rgb="FFFF0000"/>
      <name val="맑은 고딕"/>
      <family val="2"/>
      <scheme val="minor"/>
    </font>
    <font>
      <sz val="10"/>
      <color rgb="FFFF0000"/>
      <name val="돋움"/>
      <family val="3"/>
      <charset val="129"/>
    </font>
    <font>
      <sz val="10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</font>
    <font>
      <b/>
      <sz val="10"/>
      <color rgb="FFFF0000"/>
      <name val="굴림"/>
      <family val="3"/>
      <charset val="129"/>
    </font>
    <font>
      <b/>
      <sz val="10"/>
      <color indexed="8"/>
      <name val="맑은 고딕"/>
      <family val="3"/>
      <charset val="129"/>
    </font>
  </fonts>
  <fills count="4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650">
    <xf numFmtId="0" fontId="0" fillId="0" borderId="0"/>
    <xf numFmtId="0" fontId="3" fillId="0" borderId="0" applyNumberFormat="0" applyFill="0" applyBorder="0" applyProtection="0"/>
    <xf numFmtId="0" fontId="4" fillId="0" borderId="0">
      <alignment horizontal="left" vertical="top"/>
    </xf>
    <xf numFmtId="0" fontId="5" fillId="0" borderId="2">
      <alignment horizontal="left"/>
    </xf>
    <xf numFmtId="3" fontId="6" fillId="0" borderId="2">
      <alignment horizontal="right" vertical="center"/>
    </xf>
    <xf numFmtId="0" fontId="7" fillId="0" borderId="0" applyNumberFormat="0" applyFill="0" applyBorder="0" applyAlignment="0" applyProtection="0"/>
    <xf numFmtId="0" fontId="6" fillId="0" borderId="0">
      <alignment horizontal="left"/>
    </xf>
    <xf numFmtId="41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25" fillId="0" borderId="0"/>
    <xf numFmtId="0" fontId="25" fillId="0" borderId="0">
      <alignment vertical="center"/>
    </xf>
    <xf numFmtId="0" fontId="12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0" fontId="51" fillId="14" borderId="15" applyNumberFormat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12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60" fillId="0" borderId="0" applyNumberFormat="0" applyFill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33" fillId="12" borderId="12" applyNumberFormat="0" applyAlignment="0" applyProtection="0">
      <alignment vertical="center"/>
    </xf>
    <xf numFmtId="0" fontId="34" fillId="13" borderId="13" applyNumberFormat="0" applyAlignment="0" applyProtection="0">
      <alignment vertical="center"/>
    </xf>
    <xf numFmtId="0" fontId="35" fillId="13" borderId="12" applyNumberFormat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7" fillId="14" borderId="15" applyNumberForma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" fillId="15" borderId="16" applyNumberFormat="0" applyFon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41" fillId="39" borderId="0" applyNumberFormat="0" applyBorder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1" fillId="15" borderId="16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" fillId="0" borderId="0">
      <alignment vertical="center"/>
    </xf>
    <xf numFmtId="0" fontId="1" fillId="15" borderId="16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2" fillId="0" borderId="9" applyNumberFormat="0" applyFill="0" applyAlignment="0" applyProtection="0">
      <alignment vertical="center"/>
    </xf>
    <xf numFmtId="0" fontId="63" fillId="0" borderId="10" applyNumberFormat="0" applyFill="0" applyAlignment="0" applyProtection="0">
      <alignment vertical="center"/>
    </xf>
    <xf numFmtId="0" fontId="64" fillId="0" borderId="11" applyNumberFormat="0" applyFill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8" fillId="12" borderId="12" applyNumberFormat="0" applyAlignment="0" applyProtection="0">
      <alignment vertical="center"/>
    </xf>
    <xf numFmtId="0" fontId="69" fillId="13" borderId="13" applyNumberFormat="0" applyAlignment="0" applyProtection="0">
      <alignment vertical="center"/>
    </xf>
    <xf numFmtId="0" fontId="70" fillId="13" borderId="12" applyNumberFormat="0" applyAlignment="0" applyProtection="0">
      <alignment vertical="center"/>
    </xf>
    <xf numFmtId="0" fontId="71" fillId="0" borderId="14" applyNumberFormat="0" applyFill="0" applyAlignment="0" applyProtection="0">
      <alignment vertical="center"/>
    </xf>
    <xf numFmtId="0" fontId="72" fillId="14" borderId="15" applyNumberForma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42" fillId="15" borderId="16" applyNumberFormat="0" applyFont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76" fillId="35" borderId="0" applyNumberFormat="0" applyBorder="0" applyAlignment="0" applyProtection="0">
      <alignment vertical="center"/>
    </xf>
    <xf numFmtId="0" fontId="76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18" fillId="0" borderId="0"/>
    <xf numFmtId="0" fontId="42" fillId="0" borderId="0">
      <alignment vertical="center"/>
    </xf>
    <xf numFmtId="0" fontId="42" fillId="15" borderId="16" applyNumberFormat="0" applyFont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16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16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44" fillId="0" borderId="0"/>
    <xf numFmtId="0" fontId="1" fillId="0" borderId="0">
      <alignment vertical="center"/>
    </xf>
    <xf numFmtId="0" fontId="1" fillId="15" borderId="16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16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2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14" borderId="15" applyNumberFormat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1" fillId="15" borderId="16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16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" fillId="0" borderId="0">
      <alignment vertical="center"/>
    </xf>
    <xf numFmtId="0" fontId="1" fillId="15" borderId="16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15" borderId="16" applyNumberFormat="0" applyFont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15" borderId="16" applyNumberFormat="0" applyFont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16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16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16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13" borderId="12" applyNumberFormat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3" fillId="15" borderId="16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14" borderId="15" applyNumberFormat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53" fillId="12" borderId="12" applyNumberFormat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6" fillId="0" borderId="10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9" fillId="13" borderId="13" applyNumberFormat="0" applyAlignment="0" applyProtection="0">
      <alignment vertical="center"/>
    </xf>
    <xf numFmtId="0" fontId="1" fillId="15" borderId="16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16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" fillId="0" borderId="0">
      <alignment vertical="center"/>
    </xf>
    <xf numFmtId="0" fontId="1" fillId="15" borderId="16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15" borderId="16" applyNumberFormat="0" applyFont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15" borderId="16" applyNumberFormat="0" applyFont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16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16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16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16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" fillId="15" borderId="16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16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" fillId="0" borderId="0">
      <alignment vertical="center"/>
    </xf>
    <xf numFmtId="0" fontId="1" fillId="15" borderId="16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15" borderId="16" applyNumberFormat="0" applyFont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15" borderId="16" applyNumberFormat="0" applyFont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16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16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16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  <xf numFmtId="0" fontId="12" fillId="15" borderId="16" applyNumberFormat="0" applyFont="0" applyAlignment="0" applyProtection="0">
      <alignment vertical="center"/>
    </xf>
  </cellStyleXfs>
  <cellXfs count="118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2" fillId="0" borderId="0" xfId="0" applyFont="1" applyAlignment="1">
      <alignment horizontal="right" wrapText="1"/>
    </xf>
    <xf numFmtId="0" fontId="8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right" vertical="center"/>
    </xf>
    <xf numFmtId="176" fontId="0" fillId="0" borderId="0" xfId="7" applyNumberFormat="1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right"/>
    </xf>
    <xf numFmtId="9" fontId="0" fillId="0" borderId="0" xfId="8" applyFont="1" applyAlignment="1"/>
    <xf numFmtId="0" fontId="2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13" fillId="0" borderId="0" xfId="0" applyFont="1"/>
    <xf numFmtId="9" fontId="0" fillId="0" borderId="0" xfId="8" applyFont="1" applyAlignment="1">
      <alignment horizontal="center"/>
    </xf>
    <xf numFmtId="0" fontId="14" fillId="0" borderId="0" xfId="0" applyFont="1"/>
    <xf numFmtId="0" fontId="15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7" fillId="0" borderId="0" xfId="0" quotePrefix="1" applyFont="1" applyAlignment="1">
      <alignment vertical="center"/>
    </xf>
    <xf numFmtId="0" fontId="18" fillId="4" borderId="1" xfId="0" applyFont="1" applyFill="1" applyBorder="1" applyAlignment="1">
      <alignment vertical="center"/>
    </xf>
    <xf numFmtId="0" fontId="18" fillId="4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vertical="center"/>
    </xf>
    <xf numFmtId="0" fontId="18" fillId="0" borderId="0" xfId="0" applyFont="1" applyAlignment="1">
      <alignment vertical="center"/>
    </xf>
    <xf numFmtId="41" fontId="18" fillId="0" borderId="0" xfId="7" applyFont="1">
      <alignment vertical="center"/>
    </xf>
    <xf numFmtId="49" fontId="20" fillId="0" borderId="0" xfId="0" applyNumberFormat="1" applyFont="1" applyAlignment="1" applyProtection="1">
      <alignment horizontal="left"/>
      <protection locked="0"/>
    </xf>
    <xf numFmtId="10" fontId="0" fillId="0" borderId="0" xfId="7" applyNumberFormat="1" applyFont="1" applyAlignment="1">
      <alignment vertical="center"/>
    </xf>
    <xf numFmtId="0" fontId="0" fillId="0" borderId="0" xfId="0" applyAlignment="1">
      <alignment horizontal="left" vertical="center"/>
    </xf>
    <xf numFmtId="0" fontId="21" fillId="0" borderId="0" xfId="5" applyFont="1" applyAlignment="1">
      <alignment horizontal="left" vertical="center"/>
    </xf>
    <xf numFmtId="0" fontId="7" fillId="0" borderId="0" xfId="5" applyAlignment="1">
      <alignment horizontal="left" vertical="center"/>
    </xf>
    <xf numFmtId="0" fontId="11" fillId="0" borderId="0" xfId="0" applyFont="1"/>
    <xf numFmtId="0" fontId="23" fillId="0" borderId="1" xfId="0" applyFont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2" fillId="0" borderId="1" xfId="0" applyFont="1" applyBorder="1" applyAlignment="1">
      <alignment vertical="center"/>
    </xf>
    <xf numFmtId="0" fontId="22" fillId="0" borderId="1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3" borderId="0" xfId="0" applyFont="1" applyFill="1" applyAlignment="1">
      <alignment vertical="center"/>
    </xf>
    <xf numFmtId="0" fontId="22" fillId="2" borderId="0" xfId="0" applyFont="1" applyFill="1" applyAlignment="1">
      <alignment vertical="center"/>
    </xf>
    <xf numFmtId="0" fontId="22" fillId="6" borderId="0" xfId="0" applyFont="1" applyFill="1" applyAlignment="1">
      <alignment vertical="center"/>
    </xf>
    <xf numFmtId="0" fontId="23" fillId="0" borderId="1" xfId="0" applyFont="1" applyBorder="1" applyAlignment="1">
      <alignment horizontal="left" vertical="center"/>
    </xf>
    <xf numFmtId="10" fontId="22" fillId="0" borderId="1" xfId="0" applyNumberFormat="1" applyFont="1" applyBorder="1" applyAlignment="1">
      <alignment vertical="center"/>
    </xf>
    <xf numFmtId="0" fontId="24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wrapText="1"/>
    </xf>
    <xf numFmtId="0" fontId="23" fillId="0" borderId="1" xfId="0" applyFont="1" applyBorder="1" applyAlignment="1">
      <alignment vertical="center"/>
    </xf>
    <xf numFmtId="10" fontId="23" fillId="0" borderId="1" xfId="0" applyNumberFormat="1" applyFont="1" applyBorder="1" applyAlignment="1">
      <alignment vertical="center"/>
    </xf>
    <xf numFmtId="0" fontId="26" fillId="0" borderId="0" xfId="9" applyFont="1" applyAlignment="1">
      <alignment vertical="center"/>
    </xf>
    <xf numFmtId="0" fontId="26" fillId="0" borderId="0" xfId="10" applyFont="1">
      <alignment vertical="center"/>
    </xf>
    <xf numFmtId="0" fontId="26" fillId="7" borderId="1" xfId="10" applyFont="1" applyFill="1" applyBorder="1" applyAlignment="1">
      <alignment horizontal="center" vertical="center"/>
    </xf>
    <xf numFmtId="0" fontId="26" fillId="0" borderId="1" xfId="10" applyFont="1" applyBorder="1">
      <alignment vertical="center"/>
    </xf>
    <xf numFmtId="0" fontId="24" fillId="0" borderId="0" xfId="0" applyFont="1" applyAlignment="1">
      <alignment horizontal="center" vertical="center"/>
    </xf>
    <xf numFmtId="0" fontId="27" fillId="0" borderId="0" xfId="9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76" fontId="0" fillId="0" borderId="1" xfId="7" applyNumberFormat="1" applyFont="1" applyBorder="1" applyAlignment="1">
      <alignment vertical="center"/>
    </xf>
    <xf numFmtId="0" fontId="12" fillId="0" borderId="0" xfId="0" applyFont="1"/>
    <xf numFmtId="0" fontId="11" fillId="8" borderId="0" xfId="0" applyFont="1" applyFill="1"/>
    <xf numFmtId="0" fontId="0" fillId="8" borderId="0" xfId="0" applyFill="1"/>
    <xf numFmtId="0" fontId="11" fillId="8" borderId="0" xfId="0" applyFont="1" applyFill="1" applyAlignment="1">
      <alignment horizontal="left" vertical="center"/>
    </xf>
    <xf numFmtId="0" fontId="22" fillId="0" borderId="3" xfId="0" applyFont="1" applyBorder="1" applyAlignment="1">
      <alignment horizontal="center" vertical="center"/>
    </xf>
    <xf numFmtId="0" fontId="22" fillId="6" borderId="4" xfId="0" applyFont="1" applyFill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6" xfId="0" applyFont="1" applyBorder="1" applyAlignment="1">
      <alignment vertical="center"/>
    </xf>
    <xf numFmtId="0" fontId="22" fillId="0" borderId="7" xfId="0" applyFont="1" applyBorder="1" applyAlignment="1">
      <alignment vertical="center"/>
    </xf>
    <xf numFmtId="0" fontId="22" fillId="0" borderId="8" xfId="0" applyFont="1" applyBorder="1" applyAlignment="1">
      <alignment vertical="center"/>
    </xf>
    <xf numFmtId="0" fontId="27" fillId="0" borderId="0" xfId="10" applyFont="1">
      <alignment vertical="center"/>
    </xf>
    <xf numFmtId="0" fontId="80" fillId="0" borderId="0" xfId="0" applyFont="1" applyAlignment="1">
      <alignment horizontal="left" vertical="center"/>
    </xf>
    <xf numFmtId="41" fontId="79" fillId="0" borderId="1" xfId="7" applyFont="1" applyFill="1" applyBorder="1" applyAlignment="1">
      <alignment vertical="center"/>
    </xf>
    <xf numFmtId="41" fontId="78" fillId="0" borderId="1" xfId="2867" applyFont="1" applyBorder="1">
      <alignment vertical="center"/>
    </xf>
    <xf numFmtId="0" fontId="81" fillId="0" borderId="0" xfId="0" applyFont="1" applyAlignment="1">
      <alignment vertical="center"/>
    </xf>
    <xf numFmtId="0" fontId="77" fillId="0" borderId="0" xfId="0" applyFont="1" applyAlignment="1">
      <alignment vertical="center"/>
    </xf>
    <xf numFmtId="49" fontId="81" fillId="0" borderId="0" xfId="0" applyNumberFormat="1" applyFont="1" applyAlignment="1">
      <alignment horizontal="left"/>
    </xf>
    <xf numFmtId="0" fontId="77" fillId="0" borderId="0" xfId="0" quotePrefix="1" applyFont="1" applyAlignment="1">
      <alignment vertical="center"/>
    </xf>
    <xf numFmtId="0" fontId="77" fillId="4" borderId="1" xfId="0" applyFont="1" applyFill="1" applyBorder="1" applyAlignment="1">
      <alignment vertical="center"/>
    </xf>
    <xf numFmtId="0" fontId="78" fillId="4" borderId="1" xfId="0" applyFont="1" applyFill="1" applyBorder="1" applyAlignment="1">
      <alignment vertical="center"/>
    </xf>
    <xf numFmtId="0" fontId="78" fillId="4" borderId="1" xfId="0" applyFont="1" applyFill="1" applyBorder="1" applyAlignment="1">
      <alignment horizontal="center" vertical="center"/>
    </xf>
    <xf numFmtId="0" fontId="78" fillId="5" borderId="1" xfId="0" applyFont="1" applyFill="1" applyBorder="1" applyAlignment="1">
      <alignment horizontal="center" vertical="center"/>
    </xf>
    <xf numFmtId="0" fontId="77" fillId="0" borderId="1" xfId="0" applyFont="1" applyBorder="1" applyAlignment="1">
      <alignment vertical="center"/>
    </xf>
    <xf numFmtId="0" fontId="78" fillId="0" borderId="1" xfId="0" applyFont="1" applyBorder="1" applyAlignment="1">
      <alignment vertical="center"/>
    </xf>
    <xf numFmtId="0" fontId="78" fillId="0" borderId="0" xfId="0" applyFont="1" applyAlignment="1">
      <alignment vertical="center"/>
    </xf>
    <xf numFmtId="49" fontId="78" fillId="0" borderId="0" xfId="0" applyNumberFormat="1" applyFont="1" applyAlignment="1">
      <alignment horizontal="left"/>
    </xf>
    <xf numFmtId="0" fontId="78" fillId="0" borderId="0" xfId="0" quotePrefix="1" applyFont="1" applyAlignment="1">
      <alignment vertical="center"/>
    </xf>
    <xf numFmtId="0" fontId="79" fillId="0" borderId="1" xfId="10" applyFont="1" applyBorder="1">
      <alignment vertical="center"/>
    </xf>
    <xf numFmtId="0" fontId="82" fillId="0" borderId="0" xfId="9" quotePrefix="1" applyFont="1" applyAlignment="1">
      <alignment horizontal="left" vertical="center"/>
    </xf>
    <xf numFmtId="0" fontId="80" fillId="0" borderId="0" xfId="5" applyFont="1" applyAlignment="1">
      <alignment horizontal="left" vertical="center"/>
    </xf>
    <xf numFmtId="0" fontId="23" fillId="0" borderId="1" xfId="0" applyFont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26" fillId="0" borderId="1" xfId="10" applyFont="1" applyBorder="1" applyAlignment="1">
      <alignment horizontal="center" vertical="center"/>
    </xf>
    <xf numFmtId="0" fontId="26" fillId="7" borderId="1" xfId="10" applyFont="1" applyFill="1" applyBorder="1" applyAlignment="1">
      <alignment horizontal="center" vertical="center"/>
    </xf>
    <xf numFmtId="0" fontId="26" fillId="0" borderId="18" xfId="10" applyFont="1" applyBorder="1" applyAlignment="1">
      <alignment horizontal="center" vertical="center"/>
    </xf>
    <xf numFmtId="0" fontId="26" fillId="0" borderId="20" xfId="10" applyFont="1" applyBorder="1" applyAlignment="1">
      <alignment horizontal="center" vertical="center"/>
    </xf>
    <xf numFmtId="0" fontId="26" fillId="0" borderId="19" xfId="10" applyFont="1" applyBorder="1" applyAlignment="1">
      <alignment horizontal="center" vertical="center"/>
    </xf>
    <xf numFmtId="0" fontId="77" fillId="2" borderId="1" xfId="0" applyFont="1" applyFill="1" applyBorder="1" applyAlignment="1">
      <alignment vertical="center"/>
    </xf>
    <xf numFmtId="0" fontId="78" fillId="2" borderId="1" xfId="0" applyFont="1" applyFill="1" applyBorder="1" applyAlignment="1">
      <alignment vertical="center"/>
    </xf>
    <xf numFmtId="41" fontId="78" fillId="2" borderId="1" xfId="2867" applyFont="1" applyFill="1" applyBorder="1">
      <alignment vertical="center"/>
    </xf>
    <xf numFmtId="0" fontId="17" fillId="2" borderId="0" xfId="0" applyFont="1" applyFill="1" applyAlignment="1">
      <alignment vertical="center"/>
    </xf>
    <xf numFmtId="0" fontId="77" fillId="40" borderId="1" xfId="0" applyFont="1" applyFill="1" applyBorder="1" applyAlignment="1">
      <alignment vertical="center"/>
    </xf>
    <xf numFmtId="0" fontId="78" fillId="40" borderId="1" xfId="0" applyFont="1" applyFill="1" applyBorder="1" applyAlignment="1">
      <alignment vertical="center"/>
    </xf>
    <xf numFmtId="41" fontId="78" fillId="40" borderId="1" xfId="2867" applyFont="1" applyFill="1" applyBorder="1">
      <alignment vertical="center"/>
    </xf>
    <xf numFmtId="0" fontId="17" fillId="40" borderId="0" xfId="0" applyFont="1" applyFill="1" applyAlignment="1">
      <alignment vertical="center"/>
    </xf>
    <xf numFmtId="0" fontId="83" fillId="2" borderId="1" xfId="0" applyFont="1" applyFill="1" applyBorder="1" applyAlignment="1">
      <alignment vertical="center"/>
    </xf>
    <xf numFmtId="0" fontId="84" fillId="2" borderId="1" xfId="0" applyFont="1" applyFill="1" applyBorder="1" applyAlignment="1">
      <alignment vertical="center"/>
    </xf>
    <xf numFmtId="41" fontId="84" fillId="2" borderId="1" xfId="2867" applyFont="1" applyFill="1" applyBorder="1">
      <alignment vertical="center"/>
    </xf>
    <xf numFmtId="0" fontId="85" fillId="2" borderId="0" xfId="0" applyFont="1" applyFill="1" applyAlignment="1">
      <alignment vertical="center"/>
    </xf>
    <xf numFmtId="0" fontId="83" fillId="40" borderId="1" xfId="0" applyFont="1" applyFill="1" applyBorder="1" applyAlignment="1">
      <alignment vertical="center"/>
    </xf>
    <xf numFmtId="0" fontId="84" fillId="40" borderId="1" xfId="0" applyFont="1" applyFill="1" applyBorder="1" applyAlignment="1">
      <alignment vertical="center"/>
    </xf>
    <xf numFmtId="41" fontId="84" fillId="40" borderId="1" xfId="2867" applyFont="1" applyFill="1" applyBorder="1">
      <alignment vertical="center"/>
    </xf>
    <xf numFmtId="0" fontId="85" fillId="40" borderId="0" xfId="0" applyFont="1" applyFill="1" applyAlignment="1">
      <alignment vertical="center"/>
    </xf>
    <xf numFmtId="0" fontId="18" fillId="2" borderId="0" xfId="0" applyFont="1" applyFill="1" applyAlignment="1">
      <alignment vertical="center"/>
    </xf>
    <xf numFmtId="0" fontId="18" fillId="40" borderId="0" xfId="0" applyFont="1" applyFill="1" applyAlignment="1">
      <alignment vertical="center"/>
    </xf>
  </cellXfs>
  <cellStyles count="4650">
    <cellStyle name="20% - 강조색1 10" xfId="13" xr:uid="{FE9A1C73-C537-403C-878E-B7224B25D86B}"/>
    <cellStyle name="20% - 강조색1 10 2" xfId="14" xr:uid="{BBFA203E-22A6-44CB-9BCB-E0597836F337}"/>
    <cellStyle name="20% - 강조색1 11" xfId="15" xr:uid="{A8BA3F04-8EC4-4039-BC66-37CB3F36A2BA}"/>
    <cellStyle name="20% - 강조색1 11 2" xfId="16" xr:uid="{D407861B-616D-4F5A-AE5D-1DC809E6547D}"/>
    <cellStyle name="20% - 강조색1 12" xfId="17" xr:uid="{34496B5B-DF91-4D64-BC63-370566358A78}"/>
    <cellStyle name="20% - 강조색1 12 2" xfId="18" xr:uid="{7985A2DE-B23A-469A-B087-C8B1C1451BD8}"/>
    <cellStyle name="20% - 강조색1 13" xfId="19" xr:uid="{F3B50275-C88F-4C5D-B613-C34E23B8050D}"/>
    <cellStyle name="20% - 강조색1 13 2" xfId="20" xr:uid="{FE1247DB-50B4-4FB3-BF26-A7F73AB677DA}"/>
    <cellStyle name="20% - 강조색1 14" xfId="21" xr:uid="{F19E1F5F-3C8E-4E2D-BA4F-2C50DDE91915}"/>
    <cellStyle name="20% - 강조색1 14 2" xfId="22" xr:uid="{269B50CE-F411-490B-89B0-4BA7592D3089}"/>
    <cellStyle name="20% - 강조색1 15" xfId="23" xr:uid="{6A44405A-FCCF-4F21-8CA8-AE67BF542224}"/>
    <cellStyle name="20% - 강조색1 15 2" xfId="24" xr:uid="{2D0DF312-7153-4A42-BB40-F30C90536714}"/>
    <cellStyle name="20% - 강조색1 16" xfId="25" xr:uid="{2D937683-3827-4CF4-8C18-6485F36D6EA9}"/>
    <cellStyle name="20% - 강조색1 16 2" xfId="26" xr:uid="{595CE9DF-64AC-42C1-9FB1-930B467B2734}"/>
    <cellStyle name="20% - 강조색1 17" xfId="27" xr:uid="{F1167EBF-C028-4932-AE42-0F4C6E8A61C0}"/>
    <cellStyle name="20% - 강조색1 17 2" xfId="28" xr:uid="{DEA9A994-B568-45D7-B2A4-7A2FC5ADB41A}"/>
    <cellStyle name="20% - 강조색1 18" xfId="29" xr:uid="{F44CDF5E-CF6A-419F-8273-5038E8C59480}"/>
    <cellStyle name="20% - 강조색1 18 2" xfId="30" xr:uid="{B059DE6B-FD9B-442A-BEA5-FA1FFC127C9A}"/>
    <cellStyle name="20% - 강조색1 19" xfId="31" xr:uid="{30255AC7-CF1A-47A4-AB31-F74D045764EA}"/>
    <cellStyle name="20% - 강조색1 19 2" xfId="32" xr:uid="{55CCF875-9B39-441D-867F-F69A0D847D41}"/>
    <cellStyle name="20% - 강조색1 2" xfId="33" xr:uid="{4DBCB7D9-5DF3-4052-AA70-60077927913C}"/>
    <cellStyle name="20% - 강조색1 2 2" xfId="34" xr:uid="{DD8721CD-B31D-4B06-8DF4-0328192C323C}"/>
    <cellStyle name="20% - 강조색1 20" xfId="35" xr:uid="{188EBB6A-D014-490A-AAC4-0A9B4DAF61A1}"/>
    <cellStyle name="20% - 강조색1 20 2" xfId="36" xr:uid="{C836252C-4F54-43E2-8AFA-2C4A122782DE}"/>
    <cellStyle name="20% - 강조색1 21" xfId="37" xr:uid="{FDF87DE0-3D69-4ED4-BF64-F30F361B82B8}"/>
    <cellStyle name="20% - 강조색1 21 2" xfId="38" xr:uid="{C145F4D9-FCA5-437D-BC6F-D9E58CD25A3C}"/>
    <cellStyle name="20% - 강조색1 22" xfId="39" xr:uid="{5CD1328E-E9AE-4356-BAE2-EA3521C98051}"/>
    <cellStyle name="20% - 강조색1 22 2" xfId="40" xr:uid="{3CFCA4C5-8DEE-46FB-AA76-08F2787C81E3}"/>
    <cellStyle name="20% - 강조색1 23" xfId="41" xr:uid="{7A5C3E95-127C-4E12-9E3B-0CB1964E7E57}"/>
    <cellStyle name="20% - 강조색1 23 2" xfId="42" xr:uid="{2F5EBFC8-B6B6-4EC9-BDBB-8CDAAAB47F3F}"/>
    <cellStyle name="20% - 강조색1 24" xfId="43" xr:uid="{A57587D7-431C-4A74-B49B-3EF0979CE347}"/>
    <cellStyle name="20% - 강조색1 24 2" xfId="44" xr:uid="{82A3CD9F-22CD-4B0B-954D-7387C5B73380}"/>
    <cellStyle name="20% - 강조색1 25" xfId="45" xr:uid="{624DD061-A06D-4AD3-A2E3-8A8C25F1A261}"/>
    <cellStyle name="20% - 강조색1 25 2" xfId="46" xr:uid="{A5C3C7B3-E1E0-4E4E-BF34-2571D9D9568F}"/>
    <cellStyle name="20% - 강조색1 26" xfId="47" xr:uid="{186C6AD4-DC62-45FB-9888-27196E144E33}"/>
    <cellStyle name="20% - 강조색1 26 2" xfId="48" xr:uid="{029AAA8C-C43D-4491-A6BF-0A348AC6D7A8}"/>
    <cellStyle name="20% - 강조색1 27" xfId="49" xr:uid="{8C0E4118-8BA0-4010-B1FF-EBD154C6E502}"/>
    <cellStyle name="20% - 강조색1 27 2" xfId="50" xr:uid="{4A3119C6-16D2-4564-8864-B6B7AF8EE977}"/>
    <cellStyle name="20% - 강조색1 28" xfId="51" xr:uid="{3353F7DF-9204-4855-9DDB-4BF7EC614979}"/>
    <cellStyle name="20% - 강조색1 28 2" xfId="52" xr:uid="{5FA3067E-6B3C-44C8-ADA6-6064B4D4D5F5}"/>
    <cellStyle name="20% - 강조색1 29" xfId="53" xr:uid="{FE62A131-97C4-4F0D-BC14-1ABB5257699A}"/>
    <cellStyle name="20% - 강조색1 29 2" xfId="54" xr:uid="{1004489D-32A0-489D-81A1-3F1BED3818EA}"/>
    <cellStyle name="20% - 강조색1 3" xfId="55" xr:uid="{8B450E90-9941-4123-95FF-41C4C9B76344}"/>
    <cellStyle name="20% - 강조색1 3 2" xfId="56" xr:uid="{9EB67137-4CE7-4BDD-9797-E640974B2098}"/>
    <cellStyle name="20% - 강조색1 30" xfId="57" xr:uid="{21F4FF35-A531-4F3E-98A7-5F3C6E6DAEA0}"/>
    <cellStyle name="20% - 강조색1 30 2" xfId="58" xr:uid="{76B373DF-C07B-4002-BEE6-C24D27B24428}"/>
    <cellStyle name="20% - 강조색1 31" xfId="59" xr:uid="{988C1052-777D-46B7-BB36-D3E672DFC5FE}"/>
    <cellStyle name="20% - 강조색1 31 2" xfId="60" xr:uid="{406C3AF1-CED7-4989-A88F-64886A9FF9F7}"/>
    <cellStyle name="20% - 강조색1 32" xfId="61" xr:uid="{658539C8-CEF8-4D0F-9DE6-CC2B69BBFBEE}"/>
    <cellStyle name="20% - 강조색1 32 2" xfId="62" xr:uid="{7C2ACFA2-CCB5-4949-9EA2-593B465C351E}"/>
    <cellStyle name="20% - 강조색1 33" xfId="63" xr:uid="{213254CE-7FBC-4F9A-B140-C86693546A39}"/>
    <cellStyle name="20% - 강조색1 33 2" xfId="64" xr:uid="{C932D50B-B5BD-4A4F-898C-87AADFC80A3A}"/>
    <cellStyle name="20% - 강조색1 34" xfId="65" xr:uid="{A74BA8E6-93D9-496A-9A78-796FD151C14A}"/>
    <cellStyle name="20% - 강조색1 34 2" xfId="66" xr:uid="{90F555DE-A52C-467D-BEB2-B8B3219152E0}"/>
    <cellStyle name="20% - 강조색1 35" xfId="67" xr:uid="{7EF20E59-D416-4086-B92D-1DE5A07C9C65}"/>
    <cellStyle name="20% - 강조색1 35 2" xfId="68" xr:uid="{B18ADB01-59E1-466F-9D3A-7B5239C1B7DD}"/>
    <cellStyle name="20% - 강조색1 36" xfId="69" xr:uid="{F7B6B699-593B-4973-AD81-6986A9FBD570}"/>
    <cellStyle name="20% - 강조색1 36 2" xfId="70" xr:uid="{2147D1C1-A260-46ED-9F38-E75575CFDEA0}"/>
    <cellStyle name="20% - 강조색1 37" xfId="71" xr:uid="{22835C78-14E1-4B06-A197-C6902B662550}"/>
    <cellStyle name="20% - 강조색1 37 2" xfId="72" xr:uid="{370DEC8C-0684-4285-B080-73F69D0AD55F}"/>
    <cellStyle name="20% - 강조색1 38" xfId="73" xr:uid="{2AE05C71-5EBD-4503-93A8-D150CFD212DA}"/>
    <cellStyle name="20% - 강조색1 38 2" xfId="74" xr:uid="{1407F17F-C00E-4F16-B848-7C7E64E08EE2}"/>
    <cellStyle name="20% - 강조색1 39" xfId="75" xr:uid="{E3819AE8-0C43-46A8-B65A-5CAABC8CC81A}"/>
    <cellStyle name="20% - 강조색1 39 2" xfId="76" xr:uid="{14F673D6-56E0-44E1-8FDD-4C1C0B0B72EE}"/>
    <cellStyle name="20% - 강조색1 4" xfId="77" xr:uid="{57953E3D-248C-48E9-A285-8EBB25C56797}"/>
    <cellStyle name="20% - 강조색1 4 2" xfId="78" xr:uid="{9886B019-CDCA-47DB-ACA1-A13E0FCC413C}"/>
    <cellStyle name="20% - 강조색1 40" xfId="79" xr:uid="{315193EB-EF8C-4361-AD21-EAB6752FE349}"/>
    <cellStyle name="20% - 강조색1 40 2" xfId="80" xr:uid="{FF1BA683-9979-45DA-B04B-2E2BEABC4D72}"/>
    <cellStyle name="20% - 강조색1 41" xfId="81" xr:uid="{A6C6F614-C316-4232-93C8-CD3480011632}"/>
    <cellStyle name="20% - 강조색1 41 2" xfId="82" xr:uid="{A81FA1F2-5C40-416A-837C-1322513C06A7}"/>
    <cellStyle name="20% - 강조색1 42" xfId="83" xr:uid="{659944FA-B81A-4B34-9986-55BA34C1D4E1}"/>
    <cellStyle name="20% - 강조색1 42 2" xfId="84" xr:uid="{08501DBD-73A8-4098-A736-F804BA8F9910}"/>
    <cellStyle name="20% - 강조색1 43" xfId="85" xr:uid="{E92142DB-C6EF-4817-BE31-92284922B7F5}"/>
    <cellStyle name="20% - 강조색1 43 2" xfId="86" xr:uid="{4B1EC1C2-827F-42DA-9B2B-4D8483F7EACD}"/>
    <cellStyle name="20% - 강조색1 44" xfId="87" xr:uid="{4598E3FE-4A55-4E75-9B8C-53929E661F73}"/>
    <cellStyle name="20% - 강조색1 45" xfId="88" xr:uid="{4180C8A6-E60B-4632-A4CE-D483EF3094AB}"/>
    <cellStyle name="20% - 강조색1 46" xfId="89" xr:uid="{35A4E824-AF04-471E-A1A5-66FB86120646}"/>
    <cellStyle name="20% - 강조색1 47" xfId="90" xr:uid="{4A17C99D-227F-457C-BB6C-1EC5F2470506}"/>
    <cellStyle name="20% - 강조색1 48" xfId="91" xr:uid="{C9A62936-944F-44E3-A292-368F82F0B5BA}"/>
    <cellStyle name="20% - 강조색1 49" xfId="92" xr:uid="{54935054-A547-43FB-94C2-00E2F4AE715C}"/>
    <cellStyle name="20% - 강조색1 5" xfId="93" xr:uid="{1422DCEC-9A96-4A5F-99D0-83E39521B9AB}"/>
    <cellStyle name="20% - 강조색1 5 2" xfId="94" xr:uid="{76F29469-AB83-469A-81CB-EB7DDB1270A8}"/>
    <cellStyle name="20% - 강조색1 50" xfId="95" xr:uid="{DFDD1400-3EC5-424D-AA25-352B107018BD}"/>
    <cellStyle name="20% - 강조색1 51" xfId="3815" xr:uid="{D57E930A-21F0-4AF3-AD11-18F02AAB6656}"/>
    <cellStyle name="20% - 강조색1 51 2" xfId="3930" xr:uid="{445E4BA8-83F2-4F72-A746-6E884BB1320F}"/>
    <cellStyle name="20% - 강조색1 51 2 2" xfId="4134" xr:uid="{F110C25A-FCA1-4D57-AB48-F6130325C147}"/>
    <cellStyle name="20% - 강조색1 51 2 2 2" xfId="4438" xr:uid="{1785D66F-D788-4A0D-B8EC-424C91A615F7}"/>
    <cellStyle name="20% - 강조색1 51 2 3" xfId="4306" xr:uid="{34921CAF-78B3-4602-A297-C33B5A000D53}"/>
    <cellStyle name="20% - 강조색1 51 3" xfId="4121" xr:uid="{4EF2D218-8282-40FF-9E90-73C133A7D8D6}"/>
    <cellStyle name="20% - 강조색1 51 3 2" xfId="4425" xr:uid="{4D9C2BF2-1A7D-430A-A157-13ADAA9AB4C8}"/>
    <cellStyle name="20% - 강조색1 51 4" xfId="4293" xr:uid="{680FCC43-4EE5-43AC-84DA-D2577CB8E27C}"/>
    <cellStyle name="20% - 강조색1 52" xfId="3947" xr:uid="{684A9DE4-571C-4C5D-994C-114E1B34DCBD}"/>
    <cellStyle name="20% - 강조색1 52 2" xfId="4151" xr:uid="{6E238F44-A547-4422-BCF6-DFC8B0A3ACD5}"/>
    <cellStyle name="20% - 강조색1 52 2 2" xfId="4455" xr:uid="{B5300DAA-1BDF-4317-A7CF-559EE6168229}"/>
    <cellStyle name="20% - 강조색1 52 3" xfId="4323" xr:uid="{317B44E8-0635-4FB9-9685-8609D3F20AD0}"/>
    <cellStyle name="20% - 강조색1 53" xfId="3979" xr:uid="{716CD708-2708-41F6-B956-83CD9DBD2761}"/>
    <cellStyle name="20% - 강조색1 53 2" xfId="4167" xr:uid="{83CEB01B-357A-438F-8235-FF6B90AD076A}"/>
    <cellStyle name="20% - 강조색1 53 2 2" xfId="4471" xr:uid="{F596483F-A16A-437C-84F0-BDD6847C38B3}"/>
    <cellStyle name="20% - 강조색1 53 3" xfId="4339" xr:uid="{532275EC-C0AB-48D6-A805-2768A324C424}"/>
    <cellStyle name="20% - 강조색1 54" xfId="4005" xr:uid="{02BA0EA4-C01B-446F-B7F6-FCC6DDA751C9}"/>
    <cellStyle name="20% - 강조색1 54 2" xfId="4181" xr:uid="{97F041D7-D44C-4552-919C-97E42867AA08}"/>
    <cellStyle name="20% - 강조색1 54 2 2" xfId="4485" xr:uid="{69C4ED06-E994-4114-9481-5945463784E2}"/>
    <cellStyle name="20% - 강조색1 54 3" xfId="4353" xr:uid="{A6839715-9FBC-48E4-8A86-30B1E467D46C}"/>
    <cellStyle name="20% - 강조색1 55" xfId="4019" xr:uid="{AAAA8853-AC80-4F03-9885-BBB42D443E2B}"/>
    <cellStyle name="20% - 강조색1 55 2" xfId="4195" xr:uid="{47A305E3-01B1-4B0A-8B27-A8C32CFAD997}"/>
    <cellStyle name="20% - 강조색1 55 2 2" xfId="4499" xr:uid="{CF166CE7-A25F-45D6-8EE6-279AC9D11F41}"/>
    <cellStyle name="20% - 강조색1 55 3" xfId="4367" xr:uid="{556AAB16-9F70-44E7-9A2D-B864782952CF}"/>
    <cellStyle name="20% - 강조색1 56" xfId="4033" xr:uid="{42A4FD90-7A81-47EA-B2E6-BBEDB651E9AA}"/>
    <cellStyle name="20% - 강조색1 56 2" xfId="4209" xr:uid="{35F9546C-2C9C-48C6-B89F-DB7D3EA0409B}"/>
    <cellStyle name="20% - 강조색1 56 2 2" xfId="4513" xr:uid="{BA75CAA8-3685-4017-83E1-DBCE2C05C653}"/>
    <cellStyle name="20% - 강조색1 56 3" xfId="4381" xr:uid="{624C2E80-96E8-4F8F-A6F4-D373008CCD0D}"/>
    <cellStyle name="20% - 강조색1 57" xfId="4048" xr:uid="{BF1FCFDA-087F-48D5-9658-BD1380097ACA}"/>
    <cellStyle name="20% - 강조색1 57 2" xfId="4223" xr:uid="{7306B312-3B7F-47DA-8BC5-06F891C295FA}"/>
    <cellStyle name="20% - 강조색1 57 2 2" xfId="4527" xr:uid="{C518CEFD-99E2-485B-9A26-76E0284528F1}"/>
    <cellStyle name="20% - 강조색1 57 3" xfId="4395" xr:uid="{CFA7E455-252B-4780-BC60-BF034EADB61A}"/>
    <cellStyle name="20% - 강조색1 58" xfId="4062" xr:uid="{FB3BDA0E-EB10-4462-9FB0-957E49F131A1}"/>
    <cellStyle name="20% - 강조색1 58 2" xfId="4409" xr:uid="{43BF4CF6-6F39-495B-9171-83CD49E3347C}"/>
    <cellStyle name="20% - 강조색1 59" xfId="4078" xr:uid="{7DED80DF-9DF5-4330-A448-10E4C9772E0B}"/>
    <cellStyle name="20% - 강조색1 6" xfId="96" xr:uid="{DBFD205D-CBF1-4F58-B87E-FEE17F1FC337}"/>
    <cellStyle name="20% - 강조색1 6 2" xfId="97" xr:uid="{EF7B7DB5-C586-4FD9-A918-C064F36A585A}"/>
    <cellStyle name="20% - 강조색1 60" xfId="4250" xr:uid="{9BA8AB3D-6B3B-46FF-9E2D-4D6AF253B502}"/>
    <cellStyle name="20% - 강조색1 61" xfId="12" xr:uid="{7D9CED08-5968-48B6-8BC6-2844A0D917F0}"/>
    <cellStyle name="20% - 강조색1 7" xfId="98" xr:uid="{00B46FB7-BB8D-439B-9807-5EF6AA0E7206}"/>
    <cellStyle name="20% - 강조색1 7 2" xfId="99" xr:uid="{B4FC4334-7FA0-49C9-A830-C02374459B26}"/>
    <cellStyle name="20% - 강조색1 8" xfId="100" xr:uid="{CEE7E340-2858-4C3A-BB42-BDEAF57F93C4}"/>
    <cellStyle name="20% - 강조색1 8 2" xfId="101" xr:uid="{CF265C69-A20C-4850-81F0-1F38A84E0DA0}"/>
    <cellStyle name="20% - 강조색1 9" xfId="102" xr:uid="{280247FD-1E84-47A4-A15C-E50BAAD3313F}"/>
    <cellStyle name="20% - 강조색1 9 2" xfId="103" xr:uid="{1FEC442B-FA8C-4525-8D69-706ED7C76B68}"/>
    <cellStyle name="20% - 강조색2 10" xfId="105" xr:uid="{4F302E98-27A6-4550-8CFF-0A0E442CFF83}"/>
    <cellStyle name="20% - 강조색2 10 2" xfId="106" xr:uid="{4F5AB644-5FF6-4BC5-9962-AB6A5A4DD034}"/>
    <cellStyle name="20% - 강조색2 11" xfId="107" xr:uid="{4AACC2E8-9FE5-4564-A842-45E39537AD7D}"/>
    <cellStyle name="20% - 강조색2 11 2" xfId="108" xr:uid="{203329CB-E0E6-42D3-8531-C70D2F7653B6}"/>
    <cellStyle name="20% - 강조색2 12" xfId="109" xr:uid="{B4AFB7E8-97DE-4806-A9ED-D9E668AF0E97}"/>
    <cellStyle name="20% - 강조색2 12 2" xfId="110" xr:uid="{0B8A7128-0BF8-4488-A1BE-62CB9E62C7FF}"/>
    <cellStyle name="20% - 강조색2 13" xfId="111" xr:uid="{206B97FD-574D-4D9A-A3D0-61BFD6E5327C}"/>
    <cellStyle name="20% - 강조색2 13 2" xfId="112" xr:uid="{6DD624B0-5062-41C5-A433-86BD7E54F461}"/>
    <cellStyle name="20% - 강조색2 14" xfId="113" xr:uid="{B01EBF37-4543-4201-BCA5-1713FAA6C996}"/>
    <cellStyle name="20% - 강조색2 14 2" xfId="114" xr:uid="{891365B6-B897-4F5A-AE52-2AF59F79500C}"/>
    <cellStyle name="20% - 강조색2 15" xfId="115" xr:uid="{8DDC6099-1A8D-42C9-AA56-757052BC5006}"/>
    <cellStyle name="20% - 강조색2 15 2" xfId="116" xr:uid="{523AB9F2-E185-4407-B869-5AEE66AD1F7C}"/>
    <cellStyle name="20% - 강조색2 16" xfId="117" xr:uid="{F937404A-41F8-41CF-934B-DF02932EA293}"/>
    <cellStyle name="20% - 강조색2 16 2" xfId="118" xr:uid="{8491451D-640D-4894-8828-6D77BD40C461}"/>
    <cellStyle name="20% - 강조색2 17" xfId="119" xr:uid="{633E8C3E-1671-4F4A-9EC6-D4DB7CC1D087}"/>
    <cellStyle name="20% - 강조색2 17 2" xfId="120" xr:uid="{463F8EB6-95E0-42B7-AA5C-4F127FBEF9A3}"/>
    <cellStyle name="20% - 강조색2 18" xfId="121" xr:uid="{DBE180A2-B868-4B71-9174-2DC7F1AA6688}"/>
    <cellStyle name="20% - 강조색2 18 2" xfId="122" xr:uid="{9EBA159F-E8A5-46FB-AFB1-E9FCFB0891B0}"/>
    <cellStyle name="20% - 강조색2 19" xfId="123" xr:uid="{19F2EB96-7382-4724-B4EE-58C144F682E7}"/>
    <cellStyle name="20% - 강조색2 19 2" xfId="124" xr:uid="{9DAD327F-A99F-4178-881E-71CC3F0AE63A}"/>
    <cellStyle name="20% - 강조색2 2" xfId="125" xr:uid="{B38E30B2-886D-4B59-957F-633A2D87D666}"/>
    <cellStyle name="20% - 강조색2 2 2" xfId="126" xr:uid="{266EA11A-8FCD-417A-B084-F7D333D3A3A2}"/>
    <cellStyle name="20% - 강조색2 20" xfId="127" xr:uid="{63D72D86-347F-4AD3-9420-7D47A8A80443}"/>
    <cellStyle name="20% - 강조색2 20 2" xfId="128" xr:uid="{A53D8708-F844-4E6E-A247-CE4B6483599E}"/>
    <cellStyle name="20% - 강조색2 21" xfId="129" xr:uid="{0B425BE7-5309-40E6-B387-9E4CEEFBB5E1}"/>
    <cellStyle name="20% - 강조색2 21 2" xfId="130" xr:uid="{C8DFC526-33FF-4EC6-B183-DA1CD458D73A}"/>
    <cellStyle name="20% - 강조색2 22" xfId="131" xr:uid="{E52AFCF8-8C97-4455-A759-601EA9E0CFEE}"/>
    <cellStyle name="20% - 강조색2 22 2" xfId="132" xr:uid="{C94BB87C-7878-4D35-AB85-A71DD0D4D857}"/>
    <cellStyle name="20% - 강조색2 23" xfId="133" xr:uid="{F8265093-62A0-43BA-9718-61EDFBF3D18C}"/>
    <cellStyle name="20% - 강조색2 23 2" xfId="134" xr:uid="{E1789D3E-F7F1-4904-8517-7B271A78E1E2}"/>
    <cellStyle name="20% - 강조색2 24" xfId="135" xr:uid="{8EC851E6-9403-4FA1-B559-55E59794CD84}"/>
    <cellStyle name="20% - 강조색2 24 2" xfId="136" xr:uid="{5AF7A6FD-1B7D-462F-A0B4-C5B7B032CA72}"/>
    <cellStyle name="20% - 강조색2 25" xfId="137" xr:uid="{5279A232-AE77-49CA-8102-B2FC350C70D2}"/>
    <cellStyle name="20% - 강조색2 25 2" xfId="138" xr:uid="{7A5914FF-FE00-45FA-9847-3D01069C2B2E}"/>
    <cellStyle name="20% - 강조색2 26" xfId="139" xr:uid="{2F80E863-CA8D-4079-935F-4AC40F20E311}"/>
    <cellStyle name="20% - 강조색2 26 2" xfId="140" xr:uid="{2331E70E-6AF9-4DD1-A2CF-4808BADF4D30}"/>
    <cellStyle name="20% - 강조색2 27" xfId="141" xr:uid="{0C5D9E65-DAD1-4399-A358-8B23ABB46556}"/>
    <cellStyle name="20% - 강조색2 27 2" xfId="142" xr:uid="{61387460-9CEF-4FA5-867C-7E089BEA23B5}"/>
    <cellStyle name="20% - 강조색2 28" xfId="143" xr:uid="{5D818070-B70E-46AE-BF95-56A3A2B29900}"/>
    <cellStyle name="20% - 강조색2 28 2" xfId="144" xr:uid="{732124DB-B93C-4DA3-B139-5DBD91B34133}"/>
    <cellStyle name="20% - 강조색2 29" xfId="145" xr:uid="{A8615ED3-E2FD-4FA7-A12B-23323BBDB1B3}"/>
    <cellStyle name="20% - 강조색2 29 2" xfId="146" xr:uid="{18F55603-E017-40F7-85C4-6303E3BDB076}"/>
    <cellStyle name="20% - 강조색2 3" xfId="147" xr:uid="{C7725EA3-C7EC-4DE6-B923-844A018B6902}"/>
    <cellStyle name="20% - 강조색2 3 2" xfId="148" xr:uid="{88351A5F-797D-4C92-9C37-EC54FEC42A4D}"/>
    <cellStyle name="20% - 강조색2 30" xfId="149" xr:uid="{881EDAB2-5FBF-493B-8D91-DE6D157648B5}"/>
    <cellStyle name="20% - 강조색2 30 2" xfId="150" xr:uid="{505159C8-23A0-473A-B50A-160C24D177B2}"/>
    <cellStyle name="20% - 강조색2 31" xfId="151" xr:uid="{A5EE0A02-0048-4495-A813-C79DB823ABA6}"/>
    <cellStyle name="20% - 강조색2 31 2" xfId="152" xr:uid="{D4B42E40-8308-4577-B0EE-AA53894E469C}"/>
    <cellStyle name="20% - 강조색2 32" xfId="153" xr:uid="{723BB3D1-E334-44EF-977F-76B80B4B9E58}"/>
    <cellStyle name="20% - 강조색2 32 2" xfId="154" xr:uid="{8A6A146F-1056-4A48-88E0-F3E7C73A9D23}"/>
    <cellStyle name="20% - 강조색2 33" xfId="155" xr:uid="{05D2BE5D-7B4C-4230-BB47-496AC479197F}"/>
    <cellStyle name="20% - 강조색2 33 2" xfId="156" xr:uid="{917FBFC7-E7A4-430B-89FB-824E028A8AE4}"/>
    <cellStyle name="20% - 강조색2 34" xfId="157" xr:uid="{A556CD2F-B4F2-47D3-AC0C-4253FE780D91}"/>
    <cellStyle name="20% - 강조색2 34 2" xfId="158" xr:uid="{9307EB70-B7F0-4133-BB2B-6D5CC1608DED}"/>
    <cellStyle name="20% - 강조색2 35" xfId="159" xr:uid="{015DAB4D-5143-420C-BB53-5FD3EF55BC0F}"/>
    <cellStyle name="20% - 강조색2 35 2" xfId="160" xr:uid="{02A1BC70-599E-46C7-AB2C-50D5179D663B}"/>
    <cellStyle name="20% - 강조색2 36" xfId="161" xr:uid="{0AAF47C1-83E9-4CA6-96C3-72AB399F1E2F}"/>
    <cellStyle name="20% - 강조색2 36 2" xfId="162" xr:uid="{5CF7E3BC-34CF-4BD1-8671-3259AFCD0211}"/>
    <cellStyle name="20% - 강조색2 37" xfId="163" xr:uid="{C36AC783-8960-44C0-970F-3B39AE183C9F}"/>
    <cellStyle name="20% - 강조색2 37 2" xfId="164" xr:uid="{9FC819E9-A142-47FE-BA17-D0D4470FEF06}"/>
    <cellStyle name="20% - 강조색2 38" xfId="165" xr:uid="{8F83A3A4-0C4F-4A62-BDD7-0DA90C28910D}"/>
    <cellStyle name="20% - 강조색2 38 2" xfId="166" xr:uid="{6412FC50-E897-42CB-A628-E8FD8739C436}"/>
    <cellStyle name="20% - 강조색2 39" xfId="167" xr:uid="{D2FFC693-BC3C-4D4E-824F-54C39301C142}"/>
    <cellStyle name="20% - 강조색2 39 2" xfId="168" xr:uid="{010B0156-21B1-49A2-855B-CD43E82C93DA}"/>
    <cellStyle name="20% - 강조색2 4" xfId="169" xr:uid="{38A8A61F-826F-487D-83D0-22B1C1002711}"/>
    <cellStyle name="20% - 강조색2 4 2" xfId="170" xr:uid="{5F519DF7-1734-4FB5-97C7-71A836D689B0}"/>
    <cellStyle name="20% - 강조색2 40" xfId="171" xr:uid="{3844C379-231B-448F-B109-8D7C6B23C2B6}"/>
    <cellStyle name="20% - 강조색2 40 2" xfId="172" xr:uid="{5D0A966E-13F4-4A60-A421-14675FE33192}"/>
    <cellStyle name="20% - 강조색2 41" xfId="173" xr:uid="{E47CF008-C7B4-493C-865C-F771015E15E6}"/>
    <cellStyle name="20% - 강조색2 41 2" xfId="174" xr:uid="{8CBB4F86-66BA-405A-B5A1-8537EF9761AB}"/>
    <cellStyle name="20% - 강조색2 42" xfId="175" xr:uid="{AACE07D6-45BC-47F4-82D6-D1F7D6D9F6F1}"/>
    <cellStyle name="20% - 강조색2 42 2" xfId="176" xr:uid="{23B45212-0CAD-4DA0-9EF0-E837E0C7C632}"/>
    <cellStyle name="20% - 강조색2 43" xfId="177" xr:uid="{9B0136C8-C015-417C-93A7-F766DA5883F6}"/>
    <cellStyle name="20% - 강조색2 43 2" xfId="178" xr:uid="{A966B2D3-6A09-46EC-ADA0-3251FEE46998}"/>
    <cellStyle name="20% - 강조색2 44" xfId="179" xr:uid="{02AC7B37-82D3-4CE9-A7C6-83A28EE2DDEC}"/>
    <cellStyle name="20% - 강조색2 45" xfId="180" xr:uid="{A495AEA5-4925-4E1C-AAF3-E435A6FC52FF}"/>
    <cellStyle name="20% - 강조색2 46" xfId="181" xr:uid="{2AF47441-FD9C-4333-A652-BB7F61DD5760}"/>
    <cellStyle name="20% - 강조색2 47" xfId="182" xr:uid="{57E14069-5D59-4274-A914-425E3820771E}"/>
    <cellStyle name="20% - 강조색2 48" xfId="183" xr:uid="{246052D4-0386-44B7-A611-887A74BF1EB1}"/>
    <cellStyle name="20% - 강조색2 49" xfId="184" xr:uid="{6DBD9718-6950-49DB-8061-DACFCC7A74E4}"/>
    <cellStyle name="20% - 강조색2 5" xfId="185" xr:uid="{8CD20C3B-3B58-414F-A84E-6405EBB6FF09}"/>
    <cellStyle name="20% - 강조색2 5 2" xfId="186" xr:uid="{F554FE36-E8AC-4DF2-9EC1-851E3BE2AE1B}"/>
    <cellStyle name="20% - 강조색2 50" xfId="187" xr:uid="{37FF7199-9726-41E1-B4AE-1359132F9D11}"/>
    <cellStyle name="20% - 강조색2 51" xfId="3819" xr:uid="{E0DFF04E-2C81-4665-96BF-A97629526F5A}"/>
    <cellStyle name="20% - 강조색2 51 2" xfId="3932" xr:uid="{27C4284B-4918-425D-80AC-2850D145390B}"/>
    <cellStyle name="20% - 강조색2 51 2 2" xfId="4136" xr:uid="{C0F0BAEE-4C42-406A-944C-C276B031BEF6}"/>
    <cellStyle name="20% - 강조색2 51 2 2 2" xfId="4440" xr:uid="{D54D33B1-B762-4E8F-92CB-5255DFCB377A}"/>
    <cellStyle name="20% - 강조색2 51 2 3" xfId="4308" xr:uid="{3940FF12-43F3-4B51-A55F-5C6AAC02A8A9}"/>
    <cellStyle name="20% - 강조색2 51 3" xfId="4123" xr:uid="{32BEFB42-625D-4200-B7F9-EF064E7E4CC0}"/>
    <cellStyle name="20% - 강조색2 51 3 2" xfId="4427" xr:uid="{B8BC49FE-9560-4D9F-BCE2-94F170A58707}"/>
    <cellStyle name="20% - 강조색2 51 4" xfId="4295" xr:uid="{6B6E7FA0-9549-4289-AAD3-EDE688DCF7E5}"/>
    <cellStyle name="20% - 강조색2 52" xfId="3949" xr:uid="{1A1C1403-C555-41FA-BDA2-E1C4704D6729}"/>
    <cellStyle name="20% - 강조색2 52 2" xfId="4153" xr:uid="{CF31C9DE-C12D-41AC-8332-02E330CC63B2}"/>
    <cellStyle name="20% - 강조색2 52 2 2" xfId="4457" xr:uid="{F8903604-B7D5-471C-840D-7067A980191A}"/>
    <cellStyle name="20% - 강조색2 52 3" xfId="4325" xr:uid="{776E54A6-CF18-4D93-90BD-6E53A7DBC955}"/>
    <cellStyle name="20% - 강조색2 53" xfId="3983" xr:uid="{ABDDD072-2914-41FA-BD10-0C2B9EBA7973}"/>
    <cellStyle name="20% - 강조색2 53 2" xfId="4169" xr:uid="{7242A2D4-C42A-48B7-B20D-8DC80D48532E}"/>
    <cellStyle name="20% - 강조색2 53 2 2" xfId="4473" xr:uid="{3D21D375-9C30-4CC7-94D3-04F7963C3B39}"/>
    <cellStyle name="20% - 강조색2 53 3" xfId="4341" xr:uid="{28C6A887-8717-45DA-A5C1-8DE91DCB9D3B}"/>
    <cellStyle name="20% - 강조색2 54" xfId="4007" xr:uid="{A953A399-82B0-40C2-AFE8-39DAED186D2F}"/>
    <cellStyle name="20% - 강조색2 54 2" xfId="4183" xr:uid="{9441492C-6CD3-4136-8DA3-B2E5842CF360}"/>
    <cellStyle name="20% - 강조색2 54 2 2" xfId="4487" xr:uid="{849ECEFE-584A-44D6-B593-23BC646BD686}"/>
    <cellStyle name="20% - 강조색2 54 3" xfId="4355" xr:uid="{0C205611-4719-48F0-8446-5A331278B5DC}"/>
    <cellStyle name="20% - 강조색2 55" xfId="4021" xr:uid="{8AAA0A42-0FAA-49C9-AA52-1E9A88101E13}"/>
    <cellStyle name="20% - 강조색2 55 2" xfId="4197" xr:uid="{87110C47-3EF5-4CE7-9D2E-7C481C0A3F21}"/>
    <cellStyle name="20% - 강조색2 55 2 2" xfId="4501" xr:uid="{7B9EA856-FF14-4442-B861-D795C84C136E}"/>
    <cellStyle name="20% - 강조색2 55 3" xfId="4369" xr:uid="{107C9F1F-5F0D-4047-9B1B-23AABA132969}"/>
    <cellStyle name="20% - 강조색2 56" xfId="4035" xr:uid="{84B167DC-9564-4B76-BDD4-C75705893EE3}"/>
    <cellStyle name="20% - 강조색2 56 2" xfId="4211" xr:uid="{7B03C958-527A-4814-9D06-9768BD350666}"/>
    <cellStyle name="20% - 강조색2 56 2 2" xfId="4515" xr:uid="{1EC05435-F841-40A4-86CB-B37F2EC9638F}"/>
    <cellStyle name="20% - 강조색2 56 3" xfId="4383" xr:uid="{375B70D1-65C6-481A-9BFE-FCAEBC60593E}"/>
    <cellStyle name="20% - 강조색2 57" xfId="4050" xr:uid="{F3E36216-FD5F-40A5-BA0D-DBE520EFD59C}"/>
    <cellStyle name="20% - 강조색2 57 2" xfId="4225" xr:uid="{75107B0C-CAEB-4D90-B54E-D5248CA6EFE7}"/>
    <cellStyle name="20% - 강조색2 57 2 2" xfId="4529" xr:uid="{4FCAEF73-0551-40E5-9713-A43AB6F10D39}"/>
    <cellStyle name="20% - 강조색2 57 3" xfId="4397" xr:uid="{A6B9BFD3-3254-4F9D-8576-C332F537345D}"/>
    <cellStyle name="20% - 강조색2 58" xfId="4064" xr:uid="{A18F69ED-5778-4A81-AF74-A83E0E2337B5}"/>
    <cellStyle name="20% - 강조색2 58 2" xfId="4411" xr:uid="{A315F776-39C2-47EC-9A24-9160B6C8F264}"/>
    <cellStyle name="20% - 강조색2 59" xfId="4079" xr:uid="{F8937DB0-E262-470B-8733-18E4A8C3C3BF}"/>
    <cellStyle name="20% - 강조색2 6" xfId="188" xr:uid="{83F21CE9-25E4-4DF3-BF50-C27A82F8726A}"/>
    <cellStyle name="20% - 강조색2 6 2" xfId="189" xr:uid="{4409F619-64B3-40E7-BD35-DA73D2AE988B}"/>
    <cellStyle name="20% - 강조색2 60" xfId="4251" xr:uid="{83D17C44-16BD-43B9-B416-4B798DEA32F2}"/>
    <cellStyle name="20% - 강조색2 61" xfId="104" xr:uid="{A5928AFB-6AE2-46C2-AE0F-94E018EFD9E4}"/>
    <cellStyle name="20% - 강조색2 7" xfId="190" xr:uid="{1FC56E0A-A542-4BA7-9F84-755FC758700B}"/>
    <cellStyle name="20% - 강조색2 7 2" xfId="191" xr:uid="{E8C2021C-E6C8-40F8-ADC2-B297BB5ED0A9}"/>
    <cellStyle name="20% - 강조색2 8" xfId="192" xr:uid="{7FDDC4E3-966B-482C-B5BC-01EE62269D6E}"/>
    <cellStyle name="20% - 강조색2 8 2" xfId="193" xr:uid="{1B9C37F0-819D-4B18-8192-04759ABE141E}"/>
    <cellStyle name="20% - 강조색2 9" xfId="194" xr:uid="{35D3C574-D9F1-4AE7-BFFA-CCAD606DE9FF}"/>
    <cellStyle name="20% - 강조색2 9 2" xfId="195" xr:uid="{8BFDBB50-CFA5-4872-B13D-F238D5893978}"/>
    <cellStyle name="20% - 강조색3 10" xfId="197" xr:uid="{36BF3A17-A0A3-47D0-9FDC-3882F0BDD2F2}"/>
    <cellStyle name="20% - 강조색3 10 2" xfId="198" xr:uid="{CAE65565-4488-4FA8-885D-07C38875D9B7}"/>
    <cellStyle name="20% - 강조색3 11" xfId="199" xr:uid="{57E6319C-E3CC-403F-9FF6-753521DC5496}"/>
    <cellStyle name="20% - 강조색3 11 2" xfId="200" xr:uid="{54A43137-E614-4511-9BC7-5BBF7668F010}"/>
    <cellStyle name="20% - 강조색3 12" xfId="201" xr:uid="{B081EB6A-D42B-4B6A-89A2-615C76323FAB}"/>
    <cellStyle name="20% - 강조색3 12 2" xfId="202" xr:uid="{A2FCE3EB-CDE0-4C9E-8216-9D2E156B7F65}"/>
    <cellStyle name="20% - 강조색3 13" xfId="203" xr:uid="{26D7C453-AC49-4521-B4F1-3F81E1E0BF4D}"/>
    <cellStyle name="20% - 강조색3 13 2" xfId="204" xr:uid="{1DBF2DEF-E9B8-41CB-B53A-98079135844B}"/>
    <cellStyle name="20% - 강조색3 14" xfId="205" xr:uid="{B5A85893-B79B-437C-A32E-E02818A7765B}"/>
    <cellStyle name="20% - 강조색3 14 2" xfId="206" xr:uid="{688F5B54-2C68-4944-B2FA-92C5C7249EFE}"/>
    <cellStyle name="20% - 강조색3 15" xfId="207" xr:uid="{619C77CD-AF0F-4B50-A3E8-F16D15B38983}"/>
    <cellStyle name="20% - 강조색3 15 2" xfId="208" xr:uid="{3D7545E3-2011-4B36-9616-E8C3FB7239AC}"/>
    <cellStyle name="20% - 강조색3 16" xfId="209" xr:uid="{6F6B3576-9409-4C75-9858-7819F83C3DC9}"/>
    <cellStyle name="20% - 강조색3 16 2" xfId="210" xr:uid="{F7298831-6DC5-4547-AF34-5475E92F3FE7}"/>
    <cellStyle name="20% - 강조색3 17" xfId="211" xr:uid="{31A7A0CA-8A86-42C5-893F-BBED9D3BB316}"/>
    <cellStyle name="20% - 강조색3 17 2" xfId="212" xr:uid="{7C6CA7A9-EFBD-4E75-B8E0-D6B4E65C089F}"/>
    <cellStyle name="20% - 강조색3 18" xfId="213" xr:uid="{945B872C-E67C-434F-B0A2-0386AE83D6BE}"/>
    <cellStyle name="20% - 강조색3 18 2" xfId="214" xr:uid="{60A689AC-4D79-450D-848F-0E252695881E}"/>
    <cellStyle name="20% - 강조색3 19" xfId="215" xr:uid="{646668A6-8579-4606-BAEC-245EACFCF9CD}"/>
    <cellStyle name="20% - 강조색3 19 2" xfId="216" xr:uid="{B2F85CBF-357D-41B8-BE4A-63D624E98114}"/>
    <cellStyle name="20% - 강조색3 2" xfId="217" xr:uid="{B956F5BD-E86C-414E-A223-22319386F7F4}"/>
    <cellStyle name="20% - 강조색3 2 2" xfId="218" xr:uid="{0D9B5886-AD10-4425-887E-A81DF9809139}"/>
    <cellStyle name="20% - 강조색3 20" xfId="219" xr:uid="{F833B341-E6FF-41BA-B2AE-C71509257BAF}"/>
    <cellStyle name="20% - 강조색3 20 2" xfId="220" xr:uid="{C88182BF-7A82-4CFA-9AD8-9BF19E0C54BB}"/>
    <cellStyle name="20% - 강조색3 21" xfId="221" xr:uid="{D79888DC-7CAE-409C-AF4C-03C609C21D7F}"/>
    <cellStyle name="20% - 강조색3 21 2" xfId="222" xr:uid="{6E642DD2-DCCA-427B-AB4F-24D5611D3A04}"/>
    <cellStyle name="20% - 강조색3 22" xfId="223" xr:uid="{21700484-5637-402C-8C05-2BB3C03E2146}"/>
    <cellStyle name="20% - 강조색3 22 2" xfId="224" xr:uid="{395D8D72-FE20-4EF8-9970-C8D7BE86577E}"/>
    <cellStyle name="20% - 강조색3 23" xfId="225" xr:uid="{5A732D55-F10A-40BB-BF10-15B9FF32E7CB}"/>
    <cellStyle name="20% - 강조색3 23 2" xfId="226" xr:uid="{39DC980F-A5AD-4CF1-8962-82EBC5F0BE82}"/>
    <cellStyle name="20% - 강조색3 24" xfId="227" xr:uid="{2DACED8F-DB1C-484C-9194-B7BABC8BD27D}"/>
    <cellStyle name="20% - 강조색3 24 2" xfId="228" xr:uid="{C636FCF9-6392-4F89-AD24-D18C36E7FF47}"/>
    <cellStyle name="20% - 강조색3 25" xfId="229" xr:uid="{F306A9DA-9978-4675-85C5-7B704F123F68}"/>
    <cellStyle name="20% - 강조색3 25 2" xfId="230" xr:uid="{B358CAE9-8CA5-4057-A4F2-1C55483C71BA}"/>
    <cellStyle name="20% - 강조색3 26" xfId="231" xr:uid="{D93040C3-F5FD-4144-87AB-32172F260ABF}"/>
    <cellStyle name="20% - 강조색3 26 2" xfId="232" xr:uid="{E7DEB806-1D0C-4782-BB94-4F309D3AF7B5}"/>
    <cellStyle name="20% - 강조색3 27" xfId="233" xr:uid="{DEFE0F74-91D4-4B1A-BEAC-4FAAC866034D}"/>
    <cellStyle name="20% - 강조색3 27 2" xfId="234" xr:uid="{B8008B27-389B-42C4-AEAC-C708CA7E38B3}"/>
    <cellStyle name="20% - 강조색3 28" xfId="235" xr:uid="{64F4AF7C-07F0-4D7C-B221-D3FA0BC4B02E}"/>
    <cellStyle name="20% - 강조색3 28 2" xfId="236" xr:uid="{2AD1605C-6A7A-4517-B8E2-F2549DF4DA06}"/>
    <cellStyle name="20% - 강조색3 29" xfId="237" xr:uid="{993F13B1-7ECA-4972-BB1F-0BCC05C103EE}"/>
    <cellStyle name="20% - 강조색3 29 2" xfId="238" xr:uid="{CEC144AA-8E3F-433A-A439-07F1A884B9DF}"/>
    <cellStyle name="20% - 강조색3 3" xfId="239" xr:uid="{6A9AEA9A-D00B-4218-9435-35D61D031DAC}"/>
    <cellStyle name="20% - 강조색3 3 2" xfId="240" xr:uid="{0B477A14-3C08-4674-B26D-27A92C060B68}"/>
    <cellStyle name="20% - 강조색3 30" xfId="241" xr:uid="{66B2C2C5-9AD6-4B0A-87AB-423B14975059}"/>
    <cellStyle name="20% - 강조색3 30 2" xfId="242" xr:uid="{057C8863-48E8-4FB9-A71A-AECA03F36BBE}"/>
    <cellStyle name="20% - 강조색3 31" xfId="243" xr:uid="{A76A063A-9A04-4D50-9E1E-6519FE8BCACC}"/>
    <cellStyle name="20% - 강조색3 31 2" xfId="244" xr:uid="{759FC05F-91C5-4B03-B217-DC746306E81C}"/>
    <cellStyle name="20% - 강조색3 32" xfId="245" xr:uid="{49CF6187-5C30-4A4B-843F-886C4E1A18BE}"/>
    <cellStyle name="20% - 강조색3 32 2" xfId="246" xr:uid="{B1EF0B0F-9D61-48A2-89AF-8AB9C776910B}"/>
    <cellStyle name="20% - 강조색3 33" xfId="247" xr:uid="{E83FBA86-BA26-4409-B4AC-D92265090B36}"/>
    <cellStyle name="20% - 강조색3 33 2" xfId="248" xr:uid="{54C7DDB5-E106-451D-A09D-A738A4C98A26}"/>
    <cellStyle name="20% - 강조색3 34" xfId="249" xr:uid="{9482FC10-F4FF-4247-8FE5-828101EDFF7B}"/>
    <cellStyle name="20% - 강조색3 34 2" xfId="250" xr:uid="{51034F34-E2FA-4D60-981E-1A6EB8A6295B}"/>
    <cellStyle name="20% - 강조색3 35" xfId="251" xr:uid="{318AEA21-0993-40BE-AD0A-CB639B0B5849}"/>
    <cellStyle name="20% - 강조색3 35 2" xfId="252" xr:uid="{EABB3998-EDB7-45AC-8465-2F91083844C5}"/>
    <cellStyle name="20% - 강조색3 36" xfId="253" xr:uid="{3BF4BFE1-A71C-465E-97F7-6053FBCC30E6}"/>
    <cellStyle name="20% - 강조색3 36 2" xfId="254" xr:uid="{F4DC9542-46A7-4195-A869-5AD1B2EA4326}"/>
    <cellStyle name="20% - 강조색3 37" xfId="255" xr:uid="{7D6554CA-9574-4460-8EB0-FB14367B5589}"/>
    <cellStyle name="20% - 강조색3 37 2" xfId="256" xr:uid="{F54E0F04-FD27-49AD-A853-E30342E55959}"/>
    <cellStyle name="20% - 강조색3 38" xfId="257" xr:uid="{9EF53559-8707-4F5F-AB74-30F5CFA70CB5}"/>
    <cellStyle name="20% - 강조색3 38 2" xfId="258" xr:uid="{284E84A6-508D-4FC7-A6CA-ABB7AC0CD924}"/>
    <cellStyle name="20% - 강조색3 39" xfId="259" xr:uid="{E1B5BCF3-235E-44A9-8BF1-58571E3239B7}"/>
    <cellStyle name="20% - 강조색3 39 2" xfId="260" xr:uid="{0C17D785-6E58-4FCB-968E-8EB90406F311}"/>
    <cellStyle name="20% - 강조색3 4" xfId="261" xr:uid="{8911094E-5B2B-402B-A674-032BE87F9486}"/>
    <cellStyle name="20% - 강조색3 4 2" xfId="262" xr:uid="{70581E13-2040-4AA4-AB8F-E006DF5D9643}"/>
    <cellStyle name="20% - 강조색3 40" xfId="263" xr:uid="{12FB7A5D-94A2-4771-A158-7E96B8C94ACB}"/>
    <cellStyle name="20% - 강조색3 40 2" xfId="264" xr:uid="{107103F8-96AD-4601-9DB0-66D2DB770707}"/>
    <cellStyle name="20% - 강조색3 41" xfId="265" xr:uid="{54D6B4A4-FBD6-4DA6-B843-930F80D7AB2E}"/>
    <cellStyle name="20% - 강조색3 41 2" xfId="266" xr:uid="{C7037712-28B5-40CC-834F-7AAAE95C0162}"/>
    <cellStyle name="20% - 강조색3 42" xfId="267" xr:uid="{CE970447-7CFC-48E4-B2B4-FDF8B048B774}"/>
    <cellStyle name="20% - 강조색3 42 2" xfId="268" xr:uid="{27A91B94-DFD3-479C-9190-C371A5681C64}"/>
    <cellStyle name="20% - 강조색3 43" xfId="269" xr:uid="{06D3C5E1-D511-4D44-81E9-B45873CA0ADD}"/>
    <cellStyle name="20% - 강조색3 43 2" xfId="270" xr:uid="{0BCCEEB4-C9D5-4359-859D-FC18227C854A}"/>
    <cellStyle name="20% - 강조색3 44" xfId="271" xr:uid="{4EF26483-D335-4C15-9240-3E410BBA627D}"/>
    <cellStyle name="20% - 강조색3 45" xfId="272" xr:uid="{DE26811D-6B64-4B71-A658-77C78E4544AE}"/>
    <cellStyle name="20% - 강조색3 46" xfId="273" xr:uid="{2E7B2BAC-0342-40CF-BCB4-76E1B124586E}"/>
    <cellStyle name="20% - 강조색3 47" xfId="274" xr:uid="{A338F339-2954-45A1-A866-948D1C418800}"/>
    <cellStyle name="20% - 강조색3 48" xfId="275" xr:uid="{B7E9ECBF-1830-4DA4-93C6-8BADB236527F}"/>
    <cellStyle name="20% - 강조색3 49" xfId="276" xr:uid="{528083A7-EACD-4B9B-B7BE-7249FBA0F8EC}"/>
    <cellStyle name="20% - 강조색3 5" xfId="277" xr:uid="{4ED2F47E-84BF-47D1-8962-A861C5E58C79}"/>
    <cellStyle name="20% - 강조색3 5 2" xfId="278" xr:uid="{F4C406E9-2949-4180-85F3-E584E1851017}"/>
    <cellStyle name="20% - 강조색3 50" xfId="279" xr:uid="{C295A157-565C-4BED-8F09-04DE279DAE77}"/>
    <cellStyle name="20% - 강조색3 51" xfId="3823" xr:uid="{EB68330A-7C46-4A0C-BAD0-5B9615E77F28}"/>
    <cellStyle name="20% - 강조색3 51 2" xfId="3934" xr:uid="{AA73DD76-E6AA-4A91-9860-A8ED76FE5526}"/>
    <cellStyle name="20% - 강조색3 51 2 2" xfId="4138" xr:uid="{0137A6CE-DD06-4D55-B40C-5E2BE1ADB1EA}"/>
    <cellStyle name="20% - 강조색3 51 2 2 2" xfId="4442" xr:uid="{D59E7345-6ABB-47E0-BF50-5A4EBC54B5AC}"/>
    <cellStyle name="20% - 강조색3 51 2 3" xfId="4310" xr:uid="{C51139E1-F2F6-4278-9B8D-795DD525202D}"/>
    <cellStyle name="20% - 강조색3 51 3" xfId="4125" xr:uid="{5124EAE6-0AC9-4731-852D-B9E141D9BE0D}"/>
    <cellStyle name="20% - 강조색3 51 3 2" xfId="4429" xr:uid="{0DB36E04-2BDB-4D22-8710-430A353D1F45}"/>
    <cellStyle name="20% - 강조색3 51 4" xfId="4297" xr:uid="{D26D2A11-568A-4C64-AEC5-4A07E37134AE}"/>
    <cellStyle name="20% - 강조색3 52" xfId="3951" xr:uid="{332D48E9-E18A-46A3-9301-B1556C75C705}"/>
    <cellStyle name="20% - 강조색3 52 2" xfId="4155" xr:uid="{F6EBEACA-0BE1-4EB7-9711-5CFBDE803ACC}"/>
    <cellStyle name="20% - 강조색3 52 2 2" xfId="4459" xr:uid="{30CEC8F0-01F7-4D06-B660-D9F32C5B376B}"/>
    <cellStyle name="20% - 강조색3 52 3" xfId="4327" xr:uid="{9CE7B49B-1F4C-4E2E-99FB-E49D822442BC}"/>
    <cellStyle name="20% - 강조색3 53" xfId="3987" xr:uid="{6A3D9EEC-3FCD-4175-A610-CB53E8236237}"/>
    <cellStyle name="20% - 강조색3 53 2" xfId="4171" xr:uid="{D7879717-389C-407E-81CF-53552A13CFC9}"/>
    <cellStyle name="20% - 강조색3 53 2 2" xfId="4475" xr:uid="{F7DB116A-D236-417B-B9C5-B84402C8890B}"/>
    <cellStyle name="20% - 강조색3 53 3" xfId="4343" xr:uid="{3303844F-62E6-4B9F-AEB2-EE60B9D5E499}"/>
    <cellStyle name="20% - 강조색3 54" xfId="4009" xr:uid="{B342A523-9D9D-4B33-B329-CB067FAA9682}"/>
    <cellStyle name="20% - 강조색3 54 2" xfId="4185" xr:uid="{FF4EBC8B-8D79-4FD3-B5F7-01DAE7A467C6}"/>
    <cellStyle name="20% - 강조색3 54 2 2" xfId="4489" xr:uid="{EB5A71D5-DF28-491D-ABA2-C3E6F1D509D0}"/>
    <cellStyle name="20% - 강조색3 54 3" xfId="4357" xr:uid="{19A71A3D-760C-4120-A648-FC499B70C079}"/>
    <cellStyle name="20% - 강조색3 55" xfId="4023" xr:uid="{608CC190-4958-4185-89EB-7A87E604DD8F}"/>
    <cellStyle name="20% - 강조색3 55 2" xfId="4199" xr:uid="{5565EBC0-3AAF-47FC-B2C9-39A123B32D47}"/>
    <cellStyle name="20% - 강조색3 55 2 2" xfId="4503" xr:uid="{B8CCDBF6-8D32-496F-8AF2-F42248F53A7F}"/>
    <cellStyle name="20% - 강조색3 55 3" xfId="4371" xr:uid="{963AA0D6-27E1-4B0D-BACC-938F1B53DF3A}"/>
    <cellStyle name="20% - 강조색3 56" xfId="4037" xr:uid="{61B91045-F6F9-415F-B048-990BC5A78D77}"/>
    <cellStyle name="20% - 강조색3 56 2" xfId="4213" xr:uid="{8C9796F4-195D-423F-AA97-62F3D87D3BA5}"/>
    <cellStyle name="20% - 강조색3 56 2 2" xfId="4517" xr:uid="{BD5EBE07-5C90-405F-AF44-EA0C507E0A02}"/>
    <cellStyle name="20% - 강조색3 56 3" xfId="4385" xr:uid="{CB9724D8-7C5C-4E94-A51E-D761C28E4612}"/>
    <cellStyle name="20% - 강조색3 57" xfId="4052" xr:uid="{CDA74663-663F-4739-AB89-5EAEB914803B}"/>
    <cellStyle name="20% - 강조색3 57 2" xfId="4227" xr:uid="{FF256246-28ED-4379-A856-846A18F267F9}"/>
    <cellStyle name="20% - 강조색3 57 2 2" xfId="4531" xr:uid="{8F88EBD1-4775-42E1-A9D8-5C8A882D6063}"/>
    <cellStyle name="20% - 강조색3 57 3" xfId="4399" xr:uid="{6F6F553F-8DE1-4E3C-B9CF-D76AB4AFD804}"/>
    <cellStyle name="20% - 강조색3 58" xfId="4066" xr:uid="{0CEFD9C4-E90F-4332-B8E6-82E2E5C954B8}"/>
    <cellStyle name="20% - 강조색3 58 2" xfId="4413" xr:uid="{48C3D6BE-6414-4B94-9173-F810939401F4}"/>
    <cellStyle name="20% - 강조색3 59" xfId="4080" xr:uid="{D0345D75-2BC8-49EA-A0CF-495BDD680C11}"/>
    <cellStyle name="20% - 강조색3 6" xfId="280" xr:uid="{A20425C1-15C2-4429-8C64-355F575E9A15}"/>
    <cellStyle name="20% - 강조색3 6 2" xfId="281" xr:uid="{E12F8067-4F9C-4D13-A692-30CF8E407A35}"/>
    <cellStyle name="20% - 강조색3 60" xfId="4252" xr:uid="{E46D71B9-F633-4AF8-BCEB-79FB5B0A4576}"/>
    <cellStyle name="20% - 강조색3 61" xfId="196" xr:uid="{C7A00144-7F24-4648-91A9-6EDBC77AFC63}"/>
    <cellStyle name="20% - 강조색3 7" xfId="282" xr:uid="{D604502A-942E-44AE-A869-2F4EE47293E9}"/>
    <cellStyle name="20% - 강조색3 7 2" xfId="283" xr:uid="{0F2D34DE-8105-429A-8475-7CB610A96499}"/>
    <cellStyle name="20% - 강조색3 8" xfId="284" xr:uid="{3D187613-D0C4-46DE-B5B3-72E52838788A}"/>
    <cellStyle name="20% - 강조색3 8 2" xfId="285" xr:uid="{029CEB2B-80C1-431E-ABBB-51671B52E775}"/>
    <cellStyle name="20% - 강조색3 9" xfId="286" xr:uid="{13C05BDE-33D2-4AB6-A3B5-3E399CB2E599}"/>
    <cellStyle name="20% - 강조색3 9 2" xfId="287" xr:uid="{F8E97883-28FD-484E-A99A-EBE4B0657B43}"/>
    <cellStyle name="20% - 강조색4 10" xfId="289" xr:uid="{E49CECA7-093E-433E-9ADE-A32CD10EA3E8}"/>
    <cellStyle name="20% - 강조색4 10 2" xfId="290" xr:uid="{BEEE547D-F384-473F-986D-179ED3A98615}"/>
    <cellStyle name="20% - 강조색4 11" xfId="291" xr:uid="{A7AA964E-61CE-4B38-B10E-CB234A13EDD3}"/>
    <cellStyle name="20% - 강조색4 11 2" xfId="292" xr:uid="{51BD1FB0-24BA-4A2B-BFD3-9ABC337FB9B0}"/>
    <cellStyle name="20% - 강조색4 12" xfId="293" xr:uid="{308CE171-9C50-45E7-8450-37231B915AC5}"/>
    <cellStyle name="20% - 강조색4 12 2" xfId="294" xr:uid="{D564F2FF-390C-4492-AFCB-FDF70C415D98}"/>
    <cellStyle name="20% - 강조색4 13" xfId="295" xr:uid="{D00C70E5-1598-4456-97EF-AD5287DBCD5F}"/>
    <cellStyle name="20% - 강조색4 13 2" xfId="296" xr:uid="{7599975A-E9BE-49D1-84FB-02496D830BB5}"/>
    <cellStyle name="20% - 강조색4 14" xfId="297" xr:uid="{4F9B3C37-BDF4-4857-9940-91C4BDE1B42E}"/>
    <cellStyle name="20% - 강조색4 14 2" xfId="298" xr:uid="{EEFE2FCD-1409-48FD-827D-C9FF7BA89EA0}"/>
    <cellStyle name="20% - 강조색4 15" xfId="299" xr:uid="{F461F841-740C-4D9E-95CC-8E04E9EED0B2}"/>
    <cellStyle name="20% - 강조색4 15 2" xfId="300" xr:uid="{6D3B258A-3DF5-40F0-AFD3-49A1036050CB}"/>
    <cellStyle name="20% - 강조색4 16" xfId="301" xr:uid="{45362070-1C86-4EB7-AE8C-C66FABA0AB5D}"/>
    <cellStyle name="20% - 강조색4 16 2" xfId="302" xr:uid="{94D4E211-F628-4664-9A6A-801FFF11DFEB}"/>
    <cellStyle name="20% - 강조색4 17" xfId="303" xr:uid="{B8A818AB-8A19-4CD6-99A9-8B8083A51B33}"/>
    <cellStyle name="20% - 강조색4 17 2" xfId="304" xr:uid="{A5E4BF87-06D4-4B23-920E-E42A82DDBEBB}"/>
    <cellStyle name="20% - 강조색4 18" xfId="305" xr:uid="{ED16CF14-EBF2-4F0F-91D7-4BBB4FC27A64}"/>
    <cellStyle name="20% - 강조색4 18 2" xfId="306" xr:uid="{1A4CF794-2EFB-4C73-AADE-56777A78D7CB}"/>
    <cellStyle name="20% - 강조색4 19" xfId="307" xr:uid="{5B7C39BD-9D08-4247-805A-B71D4238676B}"/>
    <cellStyle name="20% - 강조색4 19 2" xfId="308" xr:uid="{0DEF728D-D32B-4127-84C2-040106F7CEBB}"/>
    <cellStyle name="20% - 강조색4 2" xfId="309" xr:uid="{5F933152-252F-4451-818E-E6FCFFE6B51D}"/>
    <cellStyle name="20% - 강조색4 2 2" xfId="310" xr:uid="{4D321D24-65A3-4955-B2B3-94976B047352}"/>
    <cellStyle name="20% - 강조색4 20" xfId="311" xr:uid="{B3DBFACA-1F0B-40BB-9705-AADD9F987349}"/>
    <cellStyle name="20% - 강조색4 20 2" xfId="312" xr:uid="{869A0267-F2A3-413D-832C-8A19F9FCEADA}"/>
    <cellStyle name="20% - 강조색4 21" xfId="313" xr:uid="{3915611F-F4AF-4CDB-8885-2BEF7C585F6B}"/>
    <cellStyle name="20% - 강조색4 21 2" xfId="314" xr:uid="{0173FD4A-60F6-43C6-89E6-6672322FE9B0}"/>
    <cellStyle name="20% - 강조색4 22" xfId="315" xr:uid="{43887E08-D633-48A4-A7D7-BFD0C11C2F26}"/>
    <cellStyle name="20% - 강조색4 22 2" xfId="316" xr:uid="{BB65BB21-2F4D-4F8D-8776-B34C6C0D0A8E}"/>
    <cellStyle name="20% - 강조색4 23" xfId="317" xr:uid="{FAF9EF58-C461-4FE8-BD15-F0D28AC48D71}"/>
    <cellStyle name="20% - 강조색4 23 2" xfId="318" xr:uid="{28D4FB5A-DCCA-4D20-AA6F-68E15F061F9A}"/>
    <cellStyle name="20% - 강조색4 24" xfId="319" xr:uid="{2A793658-98FD-4BF2-9ABB-34ACEC88CB85}"/>
    <cellStyle name="20% - 강조색4 24 2" xfId="320" xr:uid="{FD1697A8-9F67-4AF8-AE00-36530595AD57}"/>
    <cellStyle name="20% - 강조색4 25" xfId="321" xr:uid="{653C0B37-A73D-4F46-89D6-E52E8BE49276}"/>
    <cellStyle name="20% - 강조색4 25 2" xfId="322" xr:uid="{7885B8F7-8C0A-4A9B-A8C6-79D53613D898}"/>
    <cellStyle name="20% - 강조색4 26" xfId="323" xr:uid="{659F9CAC-568D-4C7A-9570-11F2738F6429}"/>
    <cellStyle name="20% - 강조색4 26 2" xfId="324" xr:uid="{B259A683-939D-4574-A7F0-1097200AF284}"/>
    <cellStyle name="20% - 강조색4 27" xfId="325" xr:uid="{486EF335-AAF8-43FA-8DA9-3C7C9E76E58B}"/>
    <cellStyle name="20% - 강조색4 27 2" xfId="326" xr:uid="{E8CE80BB-C0EF-41E0-94F9-5C92BE5D5370}"/>
    <cellStyle name="20% - 강조색4 28" xfId="327" xr:uid="{53913764-8BB9-487D-A6F6-C0D759CA1AD8}"/>
    <cellStyle name="20% - 강조색4 28 2" xfId="328" xr:uid="{D2DEF729-385A-4A3C-B977-5D59875CC0D7}"/>
    <cellStyle name="20% - 강조색4 29" xfId="329" xr:uid="{100B3383-383D-474C-B0F0-7E4095E8CDD5}"/>
    <cellStyle name="20% - 강조색4 29 2" xfId="330" xr:uid="{0D9D6A15-D084-4528-AB0A-95F29F544F0B}"/>
    <cellStyle name="20% - 강조색4 3" xfId="331" xr:uid="{52B5F134-3160-4760-8F34-604C3EACD7B6}"/>
    <cellStyle name="20% - 강조색4 3 2" xfId="332" xr:uid="{CC338302-0DED-4F9A-9F1A-07E880F7613C}"/>
    <cellStyle name="20% - 강조색4 30" xfId="333" xr:uid="{D8366A3B-1CE8-4359-BCB2-0C7144EABEC2}"/>
    <cellStyle name="20% - 강조색4 30 2" xfId="334" xr:uid="{B11EB8BD-D032-4DEB-9C59-F7E244CBCD25}"/>
    <cellStyle name="20% - 강조색4 31" xfId="335" xr:uid="{6CCA8CE6-CE9E-4149-8821-F277D6B29A37}"/>
    <cellStyle name="20% - 강조색4 31 2" xfId="336" xr:uid="{03422146-421C-402F-8889-8B10172BD274}"/>
    <cellStyle name="20% - 강조색4 32" xfId="337" xr:uid="{BD5483A4-0A15-463A-ACC5-4545EBAA71D8}"/>
    <cellStyle name="20% - 강조색4 32 2" xfId="338" xr:uid="{BADB3789-C26A-410A-845B-9B0DE9896920}"/>
    <cellStyle name="20% - 강조색4 33" xfId="339" xr:uid="{200826FE-31B2-4B5C-9811-5D126A7566A9}"/>
    <cellStyle name="20% - 강조색4 33 2" xfId="340" xr:uid="{7D282CD9-CDE4-41A9-B9C9-983D3DADD3D5}"/>
    <cellStyle name="20% - 강조색4 34" xfId="341" xr:uid="{90AB5D19-47B7-4E03-B261-707227D522BE}"/>
    <cellStyle name="20% - 강조색4 34 2" xfId="342" xr:uid="{547D7C24-49CD-4621-9B34-D7390C9F4EAD}"/>
    <cellStyle name="20% - 강조색4 35" xfId="343" xr:uid="{D5571857-5C4F-4F7D-890C-17D3E6066829}"/>
    <cellStyle name="20% - 강조색4 35 2" xfId="344" xr:uid="{7B2A78CB-BE00-47E4-9DAB-1244EC5E7E5F}"/>
    <cellStyle name="20% - 강조색4 36" xfId="345" xr:uid="{96D4E7E0-0482-4B4D-9BBF-C4F2B9A066AD}"/>
    <cellStyle name="20% - 강조색4 36 2" xfId="346" xr:uid="{5A71761E-CA83-4C2E-A583-F8A9232D1168}"/>
    <cellStyle name="20% - 강조색4 37" xfId="347" xr:uid="{AFABB6C3-7C9D-4FF4-A04B-EE7B66C45537}"/>
    <cellStyle name="20% - 강조색4 37 2" xfId="348" xr:uid="{E92CB185-1E99-4B92-BD8C-B65DA5CC5454}"/>
    <cellStyle name="20% - 강조색4 38" xfId="349" xr:uid="{32070228-F414-44D7-95CD-34EF85876F6C}"/>
    <cellStyle name="20% - 강조색4 38 2" xfId="350" xr:uid="{D4B61B63-9A8C-47C0-B89F-84B0EED4C1E5}"/>
    <cellStyle name="20% - 강조색4 39" xfId="351" xr:uid="{7F05F015-8E60-43CA-AA79-1B01521392E1}"/>
    <cellStyle name="20% - 강조색4 39 2" xfId="352" xr:uid="{BDAECC8A-C1CC-4578-BA49-318ECE06846E}"/>
    <cellStyle name="20% - 강조색4 4" xfId="353" xr:uid="{BED6405E-B106-496B-BE4B-BA2F1E259E04}"/>
    <cellStyle name="20% - 강조색4 4 2" xfId="354" xr:uid="{60692BE7-1133-4EB6-863D-2BC2948D4B1D}"/>
    <cellStyle name="20% - 강조색4 40" xfId="355" xr:uid="{F1746BEB-FBB0-4AF0-BF9E-E655BCC28E87}"/>
    <cellStyle name="20% - 강조색4 40 2" xfId="356" xr:uid="{29A3F4FD-E3EA-4D2F-913C-B62DB0CF055D}"/>
    <cellStyle name="20% - 강조색4 41" xfId="357" xr:uid="{EBAFD6AD-CB48-4D6C-AF62-04F95CF82D80}"/>
    <cellStyle name="20% - 강조색4 41 2" xfId="358" xr:uid="{711F261C-4276-4B9C-83A5-A2B03CE27C1B}"/>
    <cellStyle name="20% - 강조색4 42" xfId="359" xr:uid="{3E6DEF7C-4EFE-4997-94BA-9CB2BE3DEF32}"/>
    <cellStyle name="20% - 강조색4 42 2" xfId="360" xr:uid="{5A044F4E-17C9-43B8-AADF-1129655E2D8B}"/>
    <cellStyle name="20% - 강조색4 43" xfId="361" xr:uid="{CD71DF71-B269-48D2-A6AB-102A118BAE97}"/>
    <cellStyle name="20% - 강조색4 43 2" xfId="362" xr:uid="{8755CF71-D452-41D8-BEC1-5E0277A33ED5}"/>
    <cellStyle name="20% - 강조색4 44" xfId="363" xr:uid="{50A5ADCA-6A18-4FA1-A8F5-8E58F8156E04}"/>
    <cellStyle name="20% - 강조색4 45" xfId="364" xr:uid="{571A7798-6C3D-45FC-92B7-7EC6D6FB7E2C}"/>
    <cellStyle name="20% - 강조색4 46" xfId="365" xr:uid="{63699BE4-A4DE-49CD-BFE3-614CDCEAE37D}"/>
    <cellStyle name="20% - 강조색4 47" xfId="366" xr:uid="{9F9EAA9F-1156-4858-A198-7D67C86361D3}"/>
    <cellStyle name="20% - 강조색4 48" xfId="367" xr:uid="{119887D7-C8D7-42CE-80A8-661B4978E63B}"/>
    <cellStyle name="20% - 강조색4 49" xfId="368" xr:uid="{711B9CDF-3943-4E15-84C1-9B18178BF9FC}"/>
    <cellStyle name="20% - 강조색4 5" xfId="369" xr:uid="{B0A1BE2F-1D2D-4450-B578-B511A629F648}"/>
    <cellStyle name="20% - 강조색4 5 2" xfId="370" xr:uid="{2B2E05CE-0BC5-4F49-A47B-638FBCEF1146}"/>
    <cellStyle name="20% - 강조색4 50" xfId="371" xr:uid="{849EB42D-14A0-407E-8D9F-AE9F631B2604}"/>
    <cellStyle name="20% - 강조색4 51" xfId="3827" xr:uid="{4F231D23-D5F0-406C-99F3-4AAF4772D485}"/>
    <cellStyle name="20% - 강조색4 51 2" xfId="3936" xr:uid="{CC96B665-04C1-4DC7-91FF-023AE391C628}"/>
    <cellStyle name="20% - 강조색4 51 2 2" xfId="4140" xr:uid="{75B8699E-C85B-4817-9C95-3B1654E0E4EF}"/>
    <cellStyle name="20% - 강조색4 51 2 2 2" xfId="4444" xr:uid="{8EA26023-1B0D-4490-885F-7832AD2477CE}"/>
    <cellStyle name="20% - 강조색4 51 2 3" xfId="4312" xr:uid="{FD36A9C3-ACDE-4369-BD45-217A143EA860}"/>
    <cellStyle name="20% - 강조색4 51 3" xfId="4127" xr:uid="{840833AB-4B52-4E9A-B620-2860E32C0C85}"/>
    <cellStyle name="20% - 강조색4 51 3 2" xfId="4431" xr:uid="{CF9210EE-6818-4E42-974C-707B2D361EF9}"/>
    <cellStyle name="20% - 강조색4 51 4" xfId="4299" xr:uid="{E6C3DFE1-75A4-4C69-AB22-538A5D8C2D2E}"/>
    <cellStyle name="20% - 강조색4 52" xfId="3953" xr:uid="{D58B1221-5776-4739-8FFF-9244A0526506}"/>
    <cellStyle name="20% - 강조색4 52 2" xfId="4157" xr:uid="{2F53C9FF-8B08-4AD0-BA6F-0EC64EA34202}"/>
    <cellStyle name="20% - 강조색4 52 2 2" xfId="4461" xr:uid="{98847740-03D4-48DA-A16E-81A2BE25B2EC}"/>
    <cellStyle name="20% - 강조색4 52 3" xfId="4329" xr:uid="{49A499AB-96A1-4EDF-B408-37F1C7EBE0FF}"/>
    <cellStyle name="20% - 강조색4 53" xfId="3991" xr:uid="{A0ACE8CA-15AE-4B93-8A53-45754F7DEC18}"/>
    <cellStyle name="20% - 강조색4 53 2" xfId="4173" xr:uid="{13727E57-0841-4CAA-BED3-14A05B2529E5}"/>
    <cellStyle name="20% - 강조색4 53 2 2" xfId="4477" xr:uid="{E674873E-D4DF-4196-94A6-00268F06563C}"/>
    <cellStyle name="20% - 강조색4 53 3" xfId="4345" xr:uid="{C06AA07C-3258-4B9C-912C-12B7686C454A}"/>
    <cellStyle name="20% - 강조색4 54" xfId="4011" xr:uid="{742AE773-D712-4AC6-854C-6E239F0167C4}"/>
    <cellStyle name="20% - 강조색4 54 2" xfId="4187" xr:uid="{DC10CFA5-82C8-45DF-A7BA-02E0C1EDACA0}"/>
    <cellStyle name="20% - 강조색4 54 2 2" xfId="4491" xr:uid="{F6EEEB99-5BD1-48E8-9512-FBB2EBE101C3}"/>
    <cellStyle name="20% - 강조색4 54 3" xfId="4359" xr:uid="{33FB0C05-E698-462E-8286-7A357AE83BBD}"/>
    <cellStyle name="20% - 강조색4 55" xfId="4025" xr:uid="{031D317D-D71E-451B-AB84-F47EC18B4893}"/>
    <cellStyle name="20% - 강조색4 55 2" xfId="4201" xr:uid="{653766E0-AE9E-4902-9390-32B062E1908A}"/>
    <cellStyle name="20% - 강조색4 55 2 2" xfId="4505" xr:uid="{F9847643-BA08-4D6A-BEBE-94183A1B24FA}"/>
    <cellStyle name="20% - 강조색4 55 3" xfId="4373" xr:uid="{924CC9C4-71C0-411E-A457-8012631826E6}"/>
    <cellStyle name="20% - 강조색4 56" xfId="4039" xr:uid="{59B6022E-5B9D-48C8-8272-C6CC55A800B2}"/>
    <cellStyle name="20% - 강조색4 56 2" xfId="4215" xr:uid="{8FB7B97A-16B1-43FA-94EB-42D17BF75AB7}"/>
    <cellStyle name="20% - 강조색4 56 2 2" xfId="4519" xr:uid="{3C6FB69D-4997-43DA-B7D6-E00992EF66F5}"/>
    <cellStyle name="20% - 강조색4 56 3" xfId="4387" xr:uid="{217A4983-DBF2-42A9-A1A6-046FA68C6BC1}"/>
    <cellStyle name="20% - 강조색4 57" xfId="4054" xr:uid="{112B5ABA-58D0-44C7-9966-6C0C33D0FD86}"/>
    <cellStyle name="20% - 강조색4 57 2" xfId="4229" xr:uid="{D0A09DD3-BE21-4284-B43D-CE2A4790424E}"/>
    <cellStyle name="20% - 강조색4 57 2 2" xfId="4533" xr:uid="{EFDDACE7-55F7-44D7-84EC-2BA70341CABF}"/>
    <cellStyle name="20% - 강조색4 57 3" xfId="4401" xr:uid="{046FCFAA-C9BB-4565-9A51-BDBD13B245FD}"/>
    <cellStyle name="20% - 강조색4 58" xfId="4068" xr:uid="{1B28B99F-4CC3-4409-9063-2EFED4824D06}"/>
    <cellStyle name="20% - 강조색4 58 2" xfId="4415" xr:uid="{5C8B7CF7-09B0-4909-8D1D-A24451673D95}"/>
    <cellStyle name="20% - 강조색4 59" xfId="4081" xr:uid="{6FB62E7D-E7BD-4055-A27D-EC0F342F1DCA}"/>
    <cellStyle name="20% - 강조색4 6" xfId="372" xr:uid="{9B438CFC-B288-4E20-AD64-ADCF8062D91E}"/>
    <cellStyle name="20% - 강조색4 6 2" xfId="373" xr:uid="{53338427-0A4E-4AAC-825A-DEAFF138C034}"/>
    <cellStyle name="20% - 강조색4 60" xfId="4253" xr:uid="{10D722AD-3033-49E7-9D9E-7759F4E4F023}"/>
    <cellStyle name="20% - 강조색4 61" xfId="288" xr:uid="{B3F7736E-82B3-4BA7-9A58-E85356A738FC}"/>
    <cellStyle name="20% - 강조색4 7" xfId="374" xr:uid="{3276FA60-00E5-44E3-BCC6-563535B786C2}"/>
    <cellStyle name="20% - 강조색4 7 2" xfId="375" xr:uid="{17E449EF-D92C-40D6-BC11-A6A0B34A2E76}"/>
    <cellStyle name="20% - 강조색4 8" xfId="376" xr:uid="{0F90EC12-A147-4B3C-9838-3BD251203FD5}"/>
    <cellStyle name="20% - 강조색4 8 2" xfId="377" xr:uid="{0FE0AC25-860C-4B43-B28C-EB3EB5599410}"/>
    <cellStyle name="20% - 강조색4 9" xfId="378" xr:uid="{CAA72298-1EAE-4FCF-910D-27BBCC4CFFB9}"/>
    <cellStyle name="20% - 강조색4 9 2" xfId="379" xr:uid="{85450D78-DC67-49D4-8F94-E6135FB2F584}"/>
    <cellStyle name="20% - 강조색5 10" xfId="381" xr:uid="{910AEE0F-0B70-49B5-B9A3-D0E35424610B}"/>
    <cellStyle name="20% - 강조색5 10 2" xfId="382" xr:uid="{155587AC-C773-46C9-97D4-217C533D06FA}"/>
    <cellStyle name="20% - 강조색5 11" xfId="383" xr:uid="{FE9D767F-CA51-458D-A786-D8F654B25EFA}"/>
    <cellStyle name="20% - 강조색5 11 2" xfId="384" xr:uid="{713A78AA-5F04-4C74-963B-ED5DA8BFB1F6}"/>
    <cellStyle name="20% - 강조색5 12" xfId="385" xr:uid="{A4294170-2E20-4310-8F3E-DE7F6FEEE92F}"/>
    <cellStyle name="20% - 강조색5 12 2" xfId="386" xr:uid="{A63AEDCE-C100-49F0-BC1A-3D38042766F5}"/>
    <cellStyle name="20% - 강조색5 13" xfId="387" xr:uid="{98BC7638-430D-43A1-AE91-61B9F47BF3B7}"/>
    <cellStyle name="20% - 강조색5 13 2" xfId="388" xr:uid="{E904BF06-77E5-4976-A2CD-57C9C57946BE}"/>
    <cellStyle name="20% - 강조색5 14" xfId="389" xr:uid="{DD4CC9B1-4559-40F9-9EF4-77401F1F8CEA}"/>
    <cellStyle name="20% - 강조색5 14 2" xfId="390" xr:uid="{75D7CC44-C6C4-4888-B86D-A1E496350170}"/>
    <cellStyle name="20% - 강조색5 15" xfId="391" xr:uid="{766C9920-2386-43F7-9980-161E3740EA41}"/>
    <cellStyle name="20% - 강조색5 15 2" xfId="392" xr:uid="{7FFA579D-7FF8-42D1-824A-7A9E7C4205BA}"/>
    <cellStyle name="20% - 강조색5 16" xfId="393" xr:uid="{0DE43EDA-7146-4235-908C-CEFFE4CA7E7A}"/>
    <cellStyle name="20% - 강조색5 16 2" xfId="394" xr:uid="{9FD4B38B-092E-4503-BD69-1E15BDF2E08F}"/>
    <cellStyle name="20% - 강조색5 17" xfId="395" xr:uid="{63C6AA27-F54B-4AA1-9D41-195A04C7B1D9}"/>
    <cellStyle name="20% - 강조색5 17 2" xfId="396" xr:uid="{93726D64-A6AC-47EC-9F75-95403720BFA0}"/>
    <cellStyle name="20% - 강조색5 18" xfId="397" xr:uid="{03C0B488-8FF5-4ABD-A760-D20DB2005B0C}"/>
    <cellStyle name="20% - 강조색5 18 2" xfId="398" xr:uid="{1652CCEA-D790-43A0-9029-A153290E6B39}"/>
    <cellStyle name="20% - 강조색5 19" xfId="399" xr:uid="{0815B960-ACCC-4B89-BB16-CFC81C7CB2BB}"/>
    <cellStyle name="20% - 강조색5 19 2" xfId="400" xr:uid="{8C55FB18-0EE9-489A-9DC8-AE96DD57E01E}"/>
    <cellStyle name="20% - 강조색5 2" xfId="401" xr:uid="{10BF816D-640B-4790-87F4-C509FF4E0DDF}"/>
    <cellStyle name="20% - 강조색5 2 2" xfId="402" xr:uid="{88DF7C9C-1646-46C0-A796-87F5F2726134}"/>
    <cellStyle name="20% - 강조색5 20" xfId="403" xr:uid="{6E8419A3-70C0-480E-AADB-72C09AB7C1D4}"/>
    <cellStyle name="20% - 강조색5 20 2" xfId="404" xr:uid="{82EAB103-441F-440A-BFEB-6256E87E262C}"/>
    <cellStyle name="20% - 강조색5 21" xfId="405" xr:uid="{C13A8C4B-C064-43CC-B66C-410BD5A98FE1}"/>
    <cellStyle name="20% - 강조색5 21 2" xfId="406" xr:uid="{292FB3B0-A3FC-4830-9E92-75E26BC6F25B}"/>
    <cellStyle name="20% - 강조색5 22" xfId="407" xr:uid="{264D903F-E7F5-4593-B78B-13FEE7A07037}"/>
    <cellStyle name="20% - 강조색5 22 2" xfId="408" xr:uid="{3C555328-0E96-4506-8F00-C26CC7E66849}"/>
    <cellStyle name="20% - 강조색5 23" xfId="409" xr:uid="{D6E22DCA-E633-4F19-B294-A02707AA459D}"/>
    <cellStyle name="20% - 강조색5 23 2" xfId="410" xr:uid="{00A3DED4-174A-4A73-8FA5-8B3D6A411AAF}"/>
    <cellStyle name="20% - 강조색5 24" xfId="411" xr:uid="{B4BCEEEB-1482-4499-8A68-388749AE613B}"/>
    <cellStyle name="20% - 강조색5 24 2" xfId="412" xr:uid="{F2102C64-DB6E-43CD-8EB4-8479051EE8D9}"/>
    <cellStyle name="20% - 강조색5 25" xfId="413" xr:uid="{D937EAAD-85B6-4744-8517-FA2E078D213E}"/>
    <cellStyle name="20% - 강조색5 25 2" xfId="414" xr:uid="{25B03922-6D94-444D-BE04-E0A6CBCF785B}"/>
    <cellStyle name="20% - 강조색5 26" xfId="415" xr:uid="{2B0AE0F9-BEF3-4540-BFDE-19DF2DF6E696}"/>
    <cellStyle name="20% - 강조색5 26 2" xfId="416" xr:uid="{0801FC40-D264-48D0-BC3A-C7A9BEEE2C82}"/>
    <cellStyle name="20% - 강조색5 27" xfId="417" xr:uid="{4F764E9F-9143-4358-A83F-1214BBA11113}"/>
    <cellStyle name="20% - 강조색5 27 2" xfId="418" xr:uid="{4F015126-9069-49FA-82C9-7B3EC93CF970}"/>
    <cellStyle name="20% - 강조색5 28" xfId="419" xr:uid="{9A6FD744-81D9-49DC-A8EC-6BDD3117142B}"/>
    <cellStyle name="20% - 강조색5 28 2" xfId="420" xr:uid="{437E2809-1195-450C-B760-E7A5B83DAEE4}"/>
    <cellStyle name="20% - 강조색5 29" xfId="421" xr:uid="{4A59320E-3014-49C6-AF7C-86AF7946BB61}"/>
    <cellStyle name="20% - 강조색5 29 2" xfId="422" xr:uid="{A7B884D3-7CDA-492A-A7E7-005810F43EEB}"/>
    <cellStyle name="20% - 강조색5 3" xfId="423" xr:uid="{C2616721-1EFC-46A9-BE41-2FFB3EECB3EE}"/>
    <cellStyle name="20% - 강조색5 3 2" xfId="424" xr:uid="{AED5EFB1-B244-43F8-83C9-666900D56C2C}"/>
    <cellStyle name="20% - 강조색5 30" xfId="425" xr:uid="{1B4693D5-8D29-494E-B569-1C0F8E7112A2}"/>
    <cellStyle name="20% - 강조색5 30 2" xfId="426" xr:uid="{9703EBF4-3EE1-4967-BCFC-C2F2C740DA9C}"/>
    <cellStyle name="20% - 강조색5 31" xfId="427" xr:uid="{4F9106EE-B8D4-4FDE-AF59-56AE490B8996}"/>
    <cellStyle name="20% - 강조색5 31 2" xfId="428" xr:uid="{0811DAEB-4E54-4611-90C9-1E3842D21AA8}"/>
    <cellStyle name="20% - 강조색5 32" xfId="429" xr:uid="{2CFBE119-3E17-4D7B-956E-6EF98F1F5D6C}"/>
    <cellStyle name="20% - 강조색5 32 2" xfId="430" xr:uid="{2C51C69D-0DAA-432D-950F-6AECB4A24A37}"/>
    <cellStyle name="20% - 강조색5 33" xfId="431" xr:uid="{1EA143E7-86F6-4485-ACE8-4385ABE80614}"/>
    <cellStyle name="20% - 강조색5 33 2" xfId="432" xr:uid="{2C4FAD0B-D357-41BC-AD3B-12D68652C2EE}"/>
    <cellStyle name="20% - 강조색5 34" xfId="433" xr:uid="{D176FFF1-FDC6-467A-821A-B7DF27F16BE5}"/>
    <cellStyle name="20% - 강조색5 34 2" xfId="434" xr:uid="{E6740CC2-AC37-4D7B-BAB6-40CB72D4F85F}"/>
    <cellStyle name="20% - 강조색5 35" xfId="435" xr:uid="{DAF723C9-B95D-4BF4-9B9B-189B375DFE24}"/>
    <cellStyle name="20% - 강조색5 35 2" xfId="436" xr:uid="{2DF9DCBC-4F0F-4565-9C9D-F89F51EB0CCD}"/>
    <cellStyle name="20% - 강조색5 36" xfId="437" xr:uid="{98520461-6A70-46D5-9306-B30B44AE090A}"/>
    <cellStyle name="20% - 강조색5 36 2" xfId="438" xr:uid="{DDCBA4A6-1617-4CF8-A720-712948AC38FF}"/>
    <cellStyle name="20% - 강조색5 37" xfId="439" xr:uid="{F084710B-E696-451C-8196-672C7B715A47}"/>
    <cellStyle name="20% - 강조색5 37 2" xfId="440" xr:uid="{4E997934-F968-4511-B0FA-656C9E46CD03}"/>
    <cellStyle name="20% - 강조색5 38" xfId="441" xr:uid="{03398515-20A8-4217-A7BE-DA17898C355C}"/>
    <cellStyle name="20% - 강조색5 38 2" xfId="442" xr:uid="{67553E78-27B0-4658-AAFF-BC9D8A848397}"/>
    <cellStyle name="20% - 강조색5 39" xfId="443" xr:uid="{8DC02057-D40B-477A-84BE-883F194E7306}"/>
    <cellStyle name="20% - 강조색5 39 2" xfId="444" xr:uid="{45479FC1-C5A0-4DE7-83FC-81752165411B}"/>
    <cellStyle name="20% - 강조색5 4" xfId="445" xr:uid="{AD038612-3F5C-481D-89F2-088C5CAD0D4D}"/>
    <cellStyle name="20% - 강조색5 4 2" xfId="446" xr:uid="{61B85D46-19BC-46BE-AD80-67E9D694B957}"/>
    <cellStyle name="20% - 강조색5 40" xfId="447" xr:uid="{BFDAC27A-0516-48A5-BF9D-64F1B39A7B7F}"/>
    <cellStyle name="20% - 강조색5 40 2" xfId="448" xr:uid="{48DA7629-4E11-480E-B182-C4F4D603DA14}"/>
    <cellStyle name="20% - 강조색5 41" xfId="449" xr:uid="{90335B70-F35E-45B2-AEF3-B0CD92CFB6D9}"/>
    <cellStyle name="20% - 강조색5 41 2" xfId="450" xr:uid="{F79C4ECD-A8DA-44C7-B8EC-536B78A63E3B}"/>
    <cellStyle name="20% - 강조색5 42" xfId="451" xr:uid="{E319C356-74D3-4BBE-AD9E-73D9B7C5DA35}"/>
    <cellStyle name="20% - 강조색5 42 2" xfId="452" xr:uid="{E88D4656-B3C1-45F0-A9B7-A14958F4F7ED}"/>
    <cellStyle name="20% - 강조색5 43" xfId="453" xr:uid="{BBD9CCD0-8D4B-42F9-86F9-084528A6CBD9}"/>
    <cellStyle name="20% - 강조색5 43 2" xfId="454" xr:uid="{29EF1FC9-DE50-4208-8E87-28AC18B2BED7}"/>
    <cellStyle name="20% - 강조색5 44" xfId="455" xr:uid="{2E7EB223-83ED-40A3-ACAB-48F45166427C}"/>
    <cellStyle name="20% - 강조색5 45" xfId="456" xr:uid="{46055CD8-3CD9-4421-97C7-44F0EDD547A2}"/>
    <cellStyle name="20% - 강조색5 46" xfId="457" xr:uid="{D9DCD903-CF59-4BBB-AFC9-BCE4D4150CF6}"/>
    <cellStyle name="20% - 강조색5 47" xfId="458" xr:uid="{D65BDE78-3A10-4D6C-AB9E-217340D5C5DA}"/>
    <cellStyle name="20% - 강조색5 48" xfId="459" xr:uid="{02C73815-7368-492E-8FA6-719BD61AFB6A}"/>
    <cellStyle name="20% - 강조색5 49" xfId="460" xr:uid="{A051C17C-83FF-41AE-8C0E-FE819892BE3E}"/>
    <cellStyle name="20% - 강조색5 5" xfId="461" xr:uid="{898EE8D6-1CD8-491A-9850-8E33B205D996}"/>
    <cellStyle name="20% - 강조색5 5 2" xfId="462" xr:uid="{0F22221A-1CC1-431F-8CC0-4355F35D121C}"/>
    <cellStyle name="20% - 강조색5 50" xfId="463" xr:uid="{F779D964-EBEC-4E17-8B6B-B39386DB8556}"/>
    <cellStyle name="20% - 강조색5 51" xfId="3831" xr:uid="{AFF91153-3E22-4517-AC4A-7B3FC1CD641E}"/>
    <cellStyle name="20% - 강조색5 51 2" xfId="3938" xr:uid="{884EF0AF-09E3-4AC6-9A9D-E31A83741193}"/>
    <cellStyle name="20% - 강조색5 51 2 2" xfId="4142" xr:uid="{DAB8C4A3-C893-4447-B647-A62F7726C7BA}"/>
    <cellStyle name="20% - 강조색5 51 2 2 2" xfId="4446" xr:uid="{E5E15E79-F5D1-4881-B251-3D03C0C4F35D}"/>
    <cellStyle name="20% - 강조색5 51 2 3" xfId="4314" xr:uid="{0A534B05-A819-425B-B581-6D1E27F6FA9F}"/>
    <cellStyle name="20% - 강조색5 51 3" xfId="4129" xr:uid="{EF6A9F9D-D9E4-4CC5-B9EA-5960B8EC0BAC}"/>
    <cellStyle name="20% - 강조색5 51 3 2" xfId="4433" xr:uid="{4520808A-BD70-4D53-A342-73FA5F4E0018}"/>
    <cellStyle name="20% - 강조색5 51 4" xfId="4301" xr:uid="{5D5CA34B-8423-4B57-AB3F-B33F2B1C72AE}"/>
    <cellStyle name="20% - 강조색5 52" xfId="3955" xr:uid="{6234DB26-360C-4258-97B6-3D3152E676AC}"/>
    <cellStyle name="20% - 강조색5 52 2" xfId="4159" xr:uid="{EEE7C01D-A87B-4989-BE44-3B9C90EE321A}"/>
    <cellStyle name="20% - 강조색5 52 2 2" xfId="4463" xr:uid="{0CF4BBC0-AC2E-48D1-9391-842886ABEEC0}"/>
    <cellStyle name="20% - 강조색5 52 3" xfId="4331" xr:uid="{08A3C574-D721-46FE-944B-9570DFC37AF3}"/>
    <cellStyle name="20% - 강조색5 53" xfId="3995" xr:uid="{5F7A232D-471C-498D-BA68-9335C85D1D9B}"/>
    <cellStyle name="20% - 강조색5 53 2" xfId="4175" xr:uid="{C8BA2F97-52A8-4359-8F7A-3B8E4728D7B3}"/>
    <cellStyle name="20% - 강조색5 53 2 2" xfId="4479" xr:uid="{88021639-4AC9-4DAF-837C-09A6569D46FC}"/>
    <cellStyle name="20% - 강조색5 53 3" xfId="4347" xr:uid="{E2DC96C3-CBDD-4DE4-AC7A-C2575D3F1C1E}"/>
    <cellStyle name="20% - 강조색5 54" xfId="4013" xr:uid="{11268214-8091-4040-BB2A-057685B9EECC}"/>
    <cellStyle name="20% - 강조색5 54 2" xfId="4189" xr:uid="{CBA282F4-DEC9-49C0-BA88-6A7CB81FE1EB}"/>
    <cellStyle name="20% - 강조색5 54 2 2" xfId="4493" xr:uid="{54A8291E-FC98-45AD-92EA-B3BEF1FCBBF6}"/>
    <cellStyle name="20% - 강조색5 54 3" xfId="4361" xr:uid="{C73DE98D-5E46-40B8-999A-9BE7CAD27D16}"/>
    <cellStyle name="20% - 강조색5 55" xfId="4027" xr:uid="{B32FBEF9-9CCC-4402-890B-A01147C54C89}"/>
    <cellStyle name="20% - 강조색5 55 2" xfId="4203" xr:uid="{D0F1C872-657A-4C81-81D4-891A8C00146F}"/>
    <cellStyle name="20% - 강조색5 55 2 2" xfId="4507" xr:uid="{ED1D4AA8-18EA-493D-9E06-972356B47D9A}"/>
    <cellStyle name="20% - 강조색5 55 3" xfId="4375" xr:uid="{0C48A3A8-0F9F-463D-B8B7-2B7E61CA8A94}"/>
    <cellStyle name="20% - 강조색5 56" xfId="4041" xr:uid="{16F012AF-AC3B-4A02-9FFD-98E74DD9105D}"/>
    <cellStyle name="20% - 강조색5 56 2" xfId="4217" xr:uid="{45896373-72D3-46D7-B75A-5BE0B1F4962B}"/>
    <cellStyle name="20% - 강조색5 56 2 2" xfId="4521" xr:uid="{9B77FB39-BADB-4506-8214-CFF1AEAE94BD}"/>
    <cellStyle name="20% - 강조색5 56 3" xfId="4389" xr:uid="{546F060B-FABE-43D0-808C-1BAEAD643E79}"/>
    <cellStyle name="20% - 강조색5 57" xfId="4056" xr:uid="{DBD9B91E-0B66-4333-B862-C51B0F63B8D5}"/>
    <cellStyle name="20% - 강조색5 57 2" xfId="4231" xr:uid="{9ECDB0F7-FF0F-49F9-B9A4-138CA8C0C3F6}"/>
    <cellStyle name="20% - 강조색5 57 2 2" xfId="4535" xr:uid="{C76B3C02-498D-4F54-B131-EB8BB04CFA72}"/>
    <cellStyle name="20% - 강조색5 57 3" xfId="4403" xr:uid="{A62DB5BF-BFFC-497E-8133-C3B26325322E}"/>
    <cellStyle name="20% - 강조색5 58" xfId="4070" xr:uid="{4F253A96-5C9A-4636-AA84-E64D9BE76D90}"/>
    <cellStyle name="20% - 강조색5 58 2" xfId="4417" xr:uid="{4D7E35C5-F0ED-4F06-A3DB-96E7C5C54D4B}"/>
    <cellStyle name="20% - 강조색5 59" xfId="4082" xr:uid="{18F7B169-D9CC-4C96-A481-F8E0E12AB38A}"/>
    <cellStyle name="20% - 강조색5 6" xfId="464" xr:uid="{3E6D5EFB-D7E6-473B-A1D8-0B451341C7B6}"/>
    <cellStyle name="20% - 강조색5 6 2" xfId="465" xr:uid="{7F159A59-A2BB-473C-A0F7-6D6C8B723B67}"/>
    <cellStyle name="20% - 강조색5 60" xfId="4254" xr:uid="{C4EEFF54-6D9C-4E4A-9C56-717F46370F66}"/>
    <cellStyle name="20% - 강조색5 61" xfId="380" xr:uid="{541EEF51-3F5C-4D85-B62E-4D5EE9ADF656}"/>
    <cellStyle name="20% - 강조색5 7" xfId="466" xr:uid="{8647A645-DA4E-4A2C-8553-A2D66DC64CFD}"/>
    <cellStyle name="20% - 강조색5 7 2" xfId="467" xr:uid="{56CE2ED9-F3E1-481F-A757-D28B8F845EC3}"/>
    <cellStyle name="20% - 강조색5 8" xfId="468" xr:uid="{BC34916B-95B2-4056-91E6-6D506CA6B88F}"/>
    <cellStyle name="20% - 강조색5 8 2" xfId="469" xr:uid="{5E51EABD-E6F4-439C-822C-52B5115CB5F0}"/>
    <cellStyle name="20% - 강조색5 9" xfId="470" xr:uid="{CCE3E707-6E7E-4D00-837D-9845F7A08E2F}"/>
    <cellStyle name="20% - 강조색5 9 2" xfId="471" xr:uid="{769D0EAC-D430-43CD-B053-08AB03F94285}"/>
    <cellStyle name="20% - 강조색6 10" xfId="473" xr:uid="{F5F22B34-CE12-4756-85AE-8AC8F60722DE}"/>
    <cellStyle name="20% - 강조색6 10 2" xfId="474" xr:uid="{9C6DFFD5-CE7A-4618-8A39-9F829B756FF3}"/>
    <cellStyle name="20% - 강조색6 11" xfId="475" xr:uid="{5A61A85B-303C-4E72-8C69-6CC7D8B12038}"/>
    <cellStyle name="20% - 강조색6 11 2" xfId="476" xr:uid="{E76DB1E6-5CE0-4E4F-8C58-B0553FB06584}"/>
    <cellStyle name="20% - 강조색6 12" xfId="477" xr:uid="{37A71E90-8A35-4B7F-AF6E-9DE9619B0C2E}"/>
    <cellStyle name="20% - 강조색6 12 2" xfId="478" xr:uid="{3F979E53-394A-44AA-A8D3-ADE705D72F3D}"/>
    <cellStyle name="20% - 강조색6 13" xfId="479" xr:uid="{62E2CF18-E6BD-4C4F-89CD-DA9571DFADFE}"/>
    <cellStyle name="20% - 강조색6 13 2" xfId="480" xr:uid="{7869DCAA-8FA5-4FAF-BDFA-BE74222600E1}"/>
    <cellStyle name="20% - 강조색6 14" xfId="481" xr:uid="{4FF956FE-DA7D-46D5-B9E9-8ECF665D07A3}"/>
    <cellStyle name="20% - 강조색6 14 2" xfId="482" xr:uid="{BC7088CA-1993-4628-92A6-41F04E8E6F24}"/>
    <cellStyle name="20% - 강조색6 15" xfId="483" xr:uid="{CD4B4DA4-675D-40D4-A1F9-552848F44B01}"/>
    <cellStyle name="20% - 강조색6 15 2" xfId="484" xr:uid="{E28468B3-C6E7-4B1F-88E0-647E3EAAB483}"/>
    <cellStyle name="20% - 강조색6 16" xfId="485" xr:uid="{F5BEFB56-2D93-4758-9CF0-060B1199239E}"/>
    <cellStyle name="20% - 강조색6 16 2" xfId="486" xr:uid="{226BE42C-9D04-49EE-925B-A3A255ABE52F}"/>
    <cellStyle name="20% - 강조색6 17" xfId="487" xr:uid="{AEEECA74-B003-475E-AB4B-746CFF85D681}"/>
    <cellStyle name="20% - 강조색6 17 2" xfId="488" xr:uid="{29E39A63-95E7-4543-AB3C-42653E534FC7}"/>
    <cellStyle name="20% - 강조색6 18" xfId="489" xr:uid="{55715E1E-C391-46D7-B48C-98531CAECC3C}"/>
    <cellStyle name="20% - 강조색6 18 2" xfId="490" xr:uid="{9EEDC957-19A9-44C3-AEC9-AD85E4C7F82C}"/>
    <cellStyle name="20% - 강조색6 19" xfId="491" xr:uid="{4E8F0939-4A26-4C4C-99AE-D6D0C73DD4E9}"/>
    <cellStyle name="20% - 강조색6 19 2" xfId="492" xr:uid="{BF74FE9E-B281-4886-8502-D0E971C04628}"/>
    <cellStyle name="20% - 강조색6 2" xfId="493" xr:uid="{AB77E34B-BB01-4AFF-8486-CDA9742968DD}"/>
    <cellStyle name="20% - 강조색6 2 2" xfId="494" xr:uid="{934D83F5-9746-431C-911D-35AD877C6B23}"/>
    <cellStyle name="20% - 강조색6 20" xfId="495" xr:uid="{B5DA1DFA-63EB-4FF0-A58C-824A0B3F1FDE}"/>
    <cellStyle name="20% - 강조색6 20 2" xfId="496" xr:uid="{52BA12F3-9474-4CEA-95DC-978317A7F05C}"/>
    <cellStyle name="20% - 강조색6 21" xfId="497" xr:uid="{A0D248DC-F6DB-4DEC-967D-0E798D860B87}"/>
    <cellStyle name="20% - 강조색6 21 2" xfId="498" xr:uid="{6EAB7374-8182-47EF-8C42-4B6799F02682}"/>
    <cellStyle name="20% - 강조색6 22" xfId="499" xr:uid="{4BA4D97B-AFA5-4032-87C7-A8A6E9B566E0}"/>
    <cellStyle name="20% - 강조색6 22 2" xfId="500" xr:uid="{72F4DDDC-6462-4EDD-BCDD-6E70A7F6BA11}"/>
    <cellStyle name="20% - 강조색6 23" xfId="501" xr:uid="{EDABA70B-38C9-465F-AE3A-2214EB514645}"/>
    <cellStyle name="20% - 강조색6 23 2" xfId="502" xr:uid="{D5A04506-9639-4238-BF96-539A49E9C4AC}"/>
    <cellStyle name="20% - 강조색6 24" xfId="503" xr:uid="{53E288C2-4468-43EA-8925-0F33F248105B}"/>
    <cellStyle name="20% - 강조색6 24 2" xfId="504" xr:uid="{13C487D7-FB44-49E9-B78D-3AE950403271}"/>
    <cellStyle name="20% - 강조색6 25" xfId="505" xr:uid="{8C430F94-FFD3-456D-95FE-16A4B01FF6E7}"/>
    <cellStyle name="20% - 강조색6 25 2" xfId="506" xr:uid="{42982B72-4536-472D-8FFD-34671E95B2A6}"/>
    <cellStyle name="20% - 강조색6 26" xfId="507" xr:uid="{C368F7D9-8750-4ED3-B050-687E92B4AA6E}"/>
    <cellStyle name="20% - 강조색6 26 2" xfId="508" xr:uid="{31DE05BF-05DC-4B20-AFBB-A7A1382FACB0}"/>
    <cellStyle name="20% - 강조색6 27" xfId="509" xr:uid="{1759B53A-B6D5-46F2-84A8-46285442222F}"/>
    <cellStyle name="20% - 강조색6 27 2" xfId="510" xr:uid="{4B53A75A-7B8F-4824-B80D-7ADB416A7DC8}"/>
    <cellStyle name="20% - 강조색6 28" xfId="511" xr:uid="{AE423917-C00D-49FC-A2C6-5DE8F0B6EDAB}"/>
    <cellStyle name="20% - 강조색6 28 2" xfId="512" xr:uid="{8C8DEEA6-A905-41EA-8231-A7CA1D27921A}"/>
    <cellStyle name="20% - 강조색6 29" xfId="513" xr:uid="{06B0A571-E497-4B85-836F-5B8E5337C3F0}"/>
    <cellStyle name="20% - 강조색6 29 2" xfId="514" xr:uid="{370AA2BA-99FF-4953-8D52-662D5AADF919}"/>
    <cellStyle name="20% - 강조색6 3" xfId="515" xr:uid="{63BFB221-E0CB-4B94-8CA8-000A12B2AB12}"/>
    <cellStyle name="20% - 강조색6 3 2" xfId="516" xr:uid="{C12BF597-D64A-42AC-8CE9-48AB20306089}"/>
    <cellStyle name="20% - 강조색6 30" xfId="517" xr:uid="{5BE1D345-3BC2-464F-BA4C-8728F599EA6B}"/>
    <cellStyle name="20% - 강조색6 30 2" xfId="518" xr:uid="{8B481251-E936-4009-B904-10EE4CAA5FAD}"/>
    <cellStyle name="20% - 강조색6 31" xfId="519" xr:uid="{257513AB-2A47-43A6-96EE-647172D95DC2}"/>
    <cellStyle name="20% - 강조색6 31 2" xfId="520" xr:uid="{8303E494-9A37-47F6-9625-A65F1EF83094}"/>
    <cellStyle name="20% - 강조색6 32" xfId="521" xr:uid="{178891B5-29F3-48FE-9EAE-981CABC70FA1}"/>
    <cellStyle name="20% - 강조색6 32 2" xfId="522" xr:uid="{866C4860-C49C-4918-9D82-05A30DB1D7F0}"/>
    <cellStyle name="20% - 강조색6 33" xfId="523" xr:uid="{E68F9F71-8C70-4418-90F4-7DA129E3D97C}"/>
    <cellStyle name="20% - 강조색6 33 2" xfId="524" xr:uid="{16FAC233-F9FA-48F1-B833-05740885D1E2}"/>
    <cellStyle name="20% - 강조색6 34" xfId="525" xr:uid="{66A6F0B4-CF31-48FC-A50B-7D6EA9CAAF7B}"/>
    <cellStyle name="20% - 강조색6 34 2" xfId="526" xr:uid="{234A1518-9467-4BA1-88B3-C4531DAE03A2}"/>
    <cellStyle name="20% - 강조색6 35" xfId="527" xr:uid="{17AF80A7-EDDE-41F8-A25D-195316C28822}"/>
    <cellStyle name="20% - 강조색6 35 2" xfId="528" xr:uid="{41C773D4-6DA6-4E56-818A-AC0561F8F7E9}"/>
    <cellStyle name="20% - 강조색6 36" xfId="529" xr:uid="{629297A3-61F3-42AE-91DD-473AC39285BA}"/>
    <cellStyle name="20% - 강조색6 36 2" xfId="530" xr:uid="{F6761D6B-2875-4528-A2F7-43640F7A0129}"/>
    <cellStyle name="20% - 강조색6 37" xfId="531" xr:uid="{A725F3B5-6A5F-4465-8EC7-969978932B49}"/>
    <cellStyle name="20% - 강조색6 37 2" xfId="532" xr:uid="{43D1AC99-FAFC-44E0-869F-A51A0975C2F2}"/>
    <cellStyle name="20% - 강조색6 38" xfId="533" xr:uid="{4B3B1808-761A-4AF3-881C-0A19022D69C4}"/>
    <cellStyle name="20% - 강조색6 38 2" xfId="534" xr:uid="{456B0A57-F37A-48E3-AE20-278B38AADCB6}"/>
    <cellStyle name="20% - 강조색6 39" xfId="535" xr:uid="{8AE35C57-7BA0-4AFA-B405-0F1EA7201EF1}"/>
    <cellStyle name="20% - 강조색6 39 2" xfId="536" xr:uid="{CA252178-9906-4222-B46F-12EC7907C8EE}"/>
    <cellStyle name="20% - 강조색6 4" xfId="537" xr:uid="{6E737840-A766-40C1-A565-7F5F8542FF44}"/>
    <cellStyle name="20% - 강조색6 4 2" xfId="538" xr:uid="{21BD9D04-865D-402B-8730-50C666AAD5E6}"/>
    <cellStyle name="20% - 강조색6 40" xfId="539" xr:uid="{FC4F17BE-6BC0-4B07-B2DE-5AE5E0FD9379}"/>
    <cellStyle name="20% - 강조색6 40 2" xfId="540" xr:uid="{CE8F52D7-1B4D-4537-A39E-8B59FD9341FA}"/>
    <cellStyle name="20% - 강조색6 41" xfId="541" xr:uid="{EFE59590-9ED9-4D95-9847-FF0205E8B199}"/>
    <cellStyle name="20% - 강조색6 41 2" xfId="542" xr:uid="{8031C544-0BA9-4F6B-BA56-1405A60C8E96}"/>
    <cellStyle name="20% - 강조색6 42" xfId="543" xr:uid="{F124BFB5-37A5-4692-A0C4-30D378E15CE2}"/>
    <cellStyle name="20% - 강조색6 42 2" xfId="544" xr:uid="{71ABBBBD-2719-4983-B7CB-AEA15F69CA1D}"/>
    <cellStyle name="20% - 강조색6 43" xfId="545" xr:uid="{6F03FF54-B4D0-4D53-B72B-29391FDA8EAA}"/>
    <cellStyle name="20% - 강조색6 43 2" xfId="546" xr:uid="{D7613ED1-6607-492E-B4CB-85BB1138D31F}"/>
    <cellStyle name="20% - 강조색6 44" xfId="547" xr:uid="{58F419FB-585B-48D9-B989-7AD8E3F08FA5}"/>
    <cellStyle name="20% - 강조색6 45" xfId="548" xr:uid="{A42130FC-9FE5-4922-8EAA-15C7D1C307CB}"/>
    <cellStyle name="20% - 강조색6 46" xfId="549" xr:uid="{A975D5B0-1E51-4E89-9B10-77E7932AAB4A}"/>
    <cellStyle name="20% - 강조색6 47" xfId="550" xr:uid="{6EFA311F-EC06-4686-A511-AFEBB078D9EF}"/>
    <cellStyle name="20% - 강조색6 48" xfId="551" xr:uid="{4B210D7D-2A9D-42CF-BB93-54652053458C}"/>
    <cellStyle name="20% - 강조색6 49" xfId="552" xr:uid="{DBD9B446-B8B8-42F8-94CF-12A1632BCACD}"/>
    <cellStyle name="20% - 강조색6 5" xfId="553" xr:uid="{AA7FC77A-4B96-4AEE-9343-36E547799459}"/>
    <cellStyle name="20% - 강조색6 5 2" xfId="554" xr:uid="{2A5333CD-4883-4129-BE24-21D14A3DA1D0}"/>
    <cellStyle name="20% - 강조색6 50" xfId="555" xr:uid="{EBFC889E-0445-4C8F-BA55-3AC115C9F25A}"/>
    <cellStyle name="20% - 강조색6 51" xfId="3835" xr:uid="{31CB15E7-D9C2-4F39-AF33-76E442118A51}"/>
    <cellStyle name="20% - 강조색6 51 2" xfId="3940" xr:uid="{F239D7E7-D9DC-4690-9435-1266828EB0E5}"/>
    <cellStyle name="20% - 강조색6 51 2 2" xfId="4144" xr:uid="{A4C891CA-D812-4C0C-9926-DA863F2A5E37}"/>
    <cellStyle name="20% - 강조색6 51 2 2 2" xfId="4448" xr:uid="{08727106-5573-442A-9401-CC2E72CB784A}"/>
    <cellStyle name="20% - 강조색6 51 2 3" xfId="4316" xr:uid="{13A52E63-868B-49F8-BA68-9D3E4D0D6C3C}"/>
    <cellStyle name="20% - 강조색6 51 3" xfId="4131" xr:uid="{5DF98031-46CA-4E01-ABCF-7C2F3ABC88E0}"/>
    <cellStyle name="20% - 강조색6 51 3 2" xfId="4435" xr:uid="{9FDADD9F-56A3-4876-90FF-7858CCC92A35}"/>
    <cellStyle name="20% - 강조색6 51 4" xfId="4303" xr:uid="{D7BF9191-E6A7-4802-9EDD-D5799E5E34A3}"/>
    <cellStyle name="20% - 강조색6 52" xfId="3957" xr:uid="{324C701E-DB21-4E6E-BC2E-60B4459E31A5}"/>
    <cellStyle name="20% - 강조색6 52 2" xfId="4161" xr:uid="{39EF15CB-1FD6-4220-8E35-A80E5EA77263}"/>
    <cellStyle name="20% - 강조색6 52 2 2" xfId="4465" xr:uid="{18BAE29E-7824-4104-ABB0-F24E61EA5546}"/>
    <cellStyle name="20% - 강조색6 52 3" xfId="4333" xr:uid="{6840AA73-C120-4AD1-A2D9-92A6E58F20C6}"/>
    <cellStyle name="20% - 강조색6 53" xfId="3999" xr:uid="{6F1EA5A4-3FE7-49AB-A10B-586DB682CC5F}"/>
    <cellStyle name="20% - 강조색6 53 2" xfId="4177" xr:uid="{BEF2C43A-A36C-4664-9742-2ED385933D8F}"/>
    <cellStyle name="20% - 강조색6 53 2 2" xfId="4481" xr:uid="{2391FF85-A0BC-454D-9F2A-46C5A1C0FAF8}"/>
    <cellStyle name="20% - 강조색6 53 3" xfId="4349" xr:uid="{AE3EF9E1-CF36-491A-A1A7-B8F0E35E1A15}"/>
    <cellStyle name="20% - 강조색6 54" xfId="4015" xr:uid="{759BCA55-BAE6-4821-98E5-CC12320E4D4E}"/>
    <cellStyle name="20% - 강조색6 54 2" xfId="4191" xr:uid="{311D06B8-D884-4964-AD1D-57B3101D8DC6}"/>
    <cellStyle name="20% - 강조색6 54 2 2" xfId="4495" xr:uid="{ADE33272-FBF5-4742-A213-E64341212A29}"/>
    <cellStyle name="20% - 강조색6 54 3" xfId="4363" xr:uid="{678B3FFE-20C5-4D71-9430-740602AC3418}"/>
    <cellStyle name="20% - 강조색6 55" xfId="4029" xr:uid="{56DA11C0-1E1E-4B84-B927-2DD08355313C}"/>
    <cellStyle name="20% - 강조색6 55 2" xfId="4205" xr:uid="{E2F8D9D0-E334-425C-92F9-F2BA450480A3}"/>
    <cellStyle name="20% - 강조색6 55 2 2" xfId="4509" xr:uid="{630C8561-80FD-482D-97A5-CACDEB528B4B}"/>
    <cellStyle name="20% - 강조색6 55 3" xfId="4377" xr:uid="{91334B43-D884-4F32-B6CA-F277D8005672}"/>
    <cellStyle name="20% - 강조색6 56" xfId="4043" xr:uid="{E5D7BB49-A506-40AB-94E6-F0C62A34B20F}"/>
    <cellStyle name="20% - 강조색6 56 2" xfId="4219" xr:uid="{BE0788CA-632B-41D9-A90E-6D8DD54CA53F}"/>
    <cellStyle name="20% - 강조색6 56 2 2" xfId="4523" xr:uid="{A008ECE5-A6D2-4C06-8448-B16E13B3EB92}"/>
    <cellStyle name="20% - 강조색6 56 3" xfId="4391" xr:uid="{35F2C051-7C22-4F43-ACAF-CB17DB5F50B2}"/>
    <cellStyle name="20% - 강조색6 57" xfId="4058" xr:uid="{852D29E2-3CBC-4A61-ACA1-6917813C8821}"/>
    <cellStyle name="20% - 강조색6 57 2" xfId="4233" xr:uid="{F54C29C1-6AE8-441E-9E86-03C04849E818}"/>
    <cellStyle name="20% - 강조색6 57 2 2" xfId="4537" xr:uid="{8435805F-F635-422C-A4C5-2EC5FAE44E4B}"/>
    <cellStyle name="20% - 강조색6 57 3" xfId="4405" xr:uid="{4D750781-8740-42D5-B6D9-813FDC740BE5}"/>
    <cellStyle name="20% - 강조색6 58" xfId="4072" xr:uid="{65497834-9F83-4E4C-9313-68C4841CC478}"/>
    <cellStyle name="20% - 강조색6 58 2" xfId="4419" xr:uid="{72855E93-0553-4890-B707-FDE38AA77800}"/>
    <cellStyle name="20% - 강조색6 59" xfId="4083" xr:uid="{FF77AA48-E4D7-4170-8442-7C93E1DB0BA5}"/>
    <cellStyle name="20% - 강조색6 6" xfId="556" xr:uid="{D402ECA4-6E2F-4BF6-A217-0E10FC7E2A91}"/>
    <cellStyle name="20% - 강조색6 6 2" xfId="557" xr:uid="{6ED1EF75-620D-4B15-BACA-1322B5D40776}"/>
    <cellStyle name="20% - 강조색6 60" xfId="4255" xr:uid="{2AB8A36A-63FF-4A84-AE9E-979D32584406}"/>
    <cellStyle name="20% - 강조색6 61" xfId="472" xr:uid="{5855EF2D-6456-4078-991D-97F73F47AF43}"/>
    <cellStyle name="20% - 강조색6 7" xfId="558" xr:uid="{2528B15E-116B-4FCD-A0DB-34F89DF44073}"/>
    <cellStyle name="20% - 강조색6 7 2" xfId="559" xr:uid="{643A1A93-4EAA-4F1B-B635-73377B6E1459}"/>
    <cellStyle name="20% - 강조색6 8" xfId="560" xr:uid="{E8EA3148-BA74-4BA9-95BE-91138E959B49}"/>
    <cellStyle name="20% - 강조색6 8 2" xfId="561" xr:uid="{39471C2F-3D2A-463F-9430-1242943ED7DF}"/>
    <cellStyle name="20% - 강조색6 9" xfId="562" xr:uid="{27F0898C-F3CF-4CCF-83C4-CBE3BCD71258}"/>
    <cellStyle name="20% - 강조색6 9 2" xfId="563" xr:uid="{E5067B7F-06E5-4E6C-99ED-E295C25868DD}"/>
    <cellStyle name="40% - 강조색1 10" xfId="565" xr:uid="{8A88C820-BE8B-4261-9DB5-5B1150FF3403}"/>
    <cellStyle name="40% - 강조색1 10 2" xfId="566" xr:uid="{0F28A752-0A23-4A27-A890-665564C541C3}"/>
    <cellStyle name="40% - 강조색1 11" xfId="567" xr:uid="{DD882CB6-4BE8-42B3-B851-019329FCA0EF}"/>
    <cellStyle name="40% - 강조색1 11 2" xfId="568" xr:uid="{F5AAE0B2-3455-4C5A-81A9-BA33AFD6BA39}"/>
    <cellStyle name="40% - 강조색1 12" xfId="569" xr:uid="{10600078-DFE3-4A40-A273-ABBBEC9A4B4B}"/>
    <cellStyle name="40% - 강조색1 12 2" xfId="570" xr:uid="{0A224DE3-6054-4496-BBC9-12F52E05C4C1}"/>
    <cellStyle name="40% - 강조색1 13" xfId="571" xr:uid="{9E6E8BD3-EDD0-46CD-910B-F9A5039A18A7}"/>
    <cellStyle name="40% - 강조색1 13 2" xfId="572" xr:uid="{974092AF-8F48-433F-9B8F-B358F4901F10}"/>
    <cellStyle name="40% - 강조색1 14" xfId="573" xr:uid="{4515CBE3-71E7-40FD-8CA3-2A07C8B04ED9}"/>
    <cellStyle name="40% - 강조색1 14 2" xfId="574" xr:uid="{79127FC4-319D-4393-8FD7-DE0673EB9EC4}"/>
    <cellStyle name="40% - 강조색1 15" xfId="575" xr:uid="{C607042C-677F-48BE-8479-1F3FC9428F6F}"/>
    <cellStyle name="40% - 강조색1 15 2" xfId="576" xr:uid="{5F5F06A8-06F7-402B-A638-16895FDF0CC7}"/>
    <cellStyle name="40% - 강조색1 16" xfId="577" xr:uid="{96BA7EA4-D77D-4A18-9F1D-56A89F357D95}"/>
    <cellStyle name="40% - 강조색1 16 2" xfId="578" xr:uid="{0E201CB5-D420-45D0-B51F-CFC144DA9F43}"/>
    <cellStyle name="40% - 강조색1 17" xfId="579" xr:uid="{C17B7E7D-7001-4B70-854D-BBBBEB11817C}"/>
    <cellStyle name="40% - 강조색1 17 2" xfId="580" xr:uid="{991769C7-B414-4189-A2F4-FD44E52968B8}"/>
    <cellStyle name="40% - 강조색1 18" xfId="581" xr:uid="{80817226-1FFB-4B74-BA89-872AAACCE849}"/>
    <cellStyle name="40% - 강조색1 18 2" xfId="582" xr:uid="{FD3F1ADB-4BBE-4F8D-AD32-7F82A7E85AC6}"/>
    <cellStyle name="40% - 강조색1 19" xfId="583" xr:uid="{A635B642-C7D0-4809-904A-3ED73463A056}"/>
    <cellStyle name="40% - 강조색1 19 2" xfId="584" xr:uid="{40A1D790-9112-4280-B5D6-A67030ED4FC5}"/>
    <cellStyle name="40% - 강조색1 2" xfId="585" xr:uid="{18ADC217-1862-4252-857A-C961870D3F7B}"/>
    <cellStyle name="40% - 강조색1 2 2" xfId="586" xr:uid="{59B2BCFA-416E-4CFC-BA82-A6C660F1E4FD}"/>
    <cellStyle name="40% - 강조색1 20" xfId="587" xr:uid="{F6829F9F-E10B-4734-9002-3F2793367768}"/>
    <cellStyle name="40% - 강조색1 20 2" xfId="588" xr:uid="{54DF4252-FAE2-4310-8E80-9EFFEB3D83CD}"/>
    <cellStyle name="40% - 강조색1 21" xfId="589" xr:uid="{155C1935-EA13-49AB-8AA7-66686C63FF83}"/>
    <cellStyle name="40% - 강조색1 21 2" xfId="590" xr:uid="{A1F8FC0A-F465-4E2A-A38D-7649E3A11CE9}"/>
    <cellStyle name="40% - 강조색1 22" xfId="591" xr:uid="{03C2C8BB-1DAC-42C5-A9CF-519C28828348}"/>
    <cellStyle name="40% - 강조색1 22 2" xfId="592" xr:uid="{5D1571B2-D8DA-4949-A3DC-9C385B9DBBB2}"/>
    <cellStyle name="40% - 강조색1 23" xfId="593" xr:uid="{9066BEA1-3272-42DD-86CB-BB2848726228}"/>
    <cellStyle name="40% - 강조색1 23 2" xfId="594" xr:uid="{9964A2D8-B9BE-491A-B449-ACB9A0699856}"/>
    <cellStyle name="40% - 강조색1 24" xfId="595" xr:uid="{FD909DBE-2D6E-4423-BA83-4B9A7B2E7805}"/>
    <cellStyle name="40% - 강조색1 24 2" xfId="596" xr:uid="{23052CE7-D5BB-4ED5-B21D-0E9E88C17E9D}"/>
    <cellStyle name="40% - 강조색1 25" xfId="597" xr:uid="{2F926F7A-9942-4637-AFFB-47CBBC4C2E3E}"/>
    <cellStyle name="40% - 강조색1 25 2" xfId="598" xr:uid="{C571244D-A346-46AA-A7F1-73DECFA3A0D4}"/>
    <cellStyle name="40% - 강조색1 26" xfId="599" xr:uid="{E66D5649-244C-4819-A817-E0A5E950CC00}"/>
    <cellStyle name="40% - 강조색1 26 2" xfId="600" xr:uid="{31BCE90B-7D97-4735-9BCA-F697D97FDE07}"/>
    <cellStyle name="40% - 강조색1 27" xfId="601" xr:uid="{1A970EA7-03A2-4E24-B8D3-06464B6DC5F7}"/>
    <cellStyle name="40% - 강조색1 27 2" xfId="602" xr:uid="{A2AA6616-553B-4DB7-B452-F3CB95C35479}"/>
    <cellStyle name="40% - 강조색1 28" xfId="603" xr:uid="{57F7FA89-1D7D-4E0B-BE8D-FF8D67FA117E}"/>
    <cellStyle name="40% - 강조색1 28 2" xfId="604" xr:uid="{68D12CA2-A89C-44AA-BA66-243748B23CF8}"/>
    <cellStyle name="40% - 강조색1 29" xfId="605" xr:uid="{8ADA0ABD-B49E-4DAB-8A56-E228936A4CD7}"/>
    <cellStyle name="40% - 강조색1 29 2" xfId="606" xr:uid="{C6B71C14-2101-4D85-A0AE-A54780F541D5}"/>
    <cellStyle name="40% - 강조색1 3" xfId="607" xr:uid="{9A692A4F-67A3-42DF-B432-8559173C64EB}"/>
    <cellStyle name="40% - 강조색1 3 2" xfId="608" xr:uid="{FCD2B7CD-87FA-4D0B-8F6F-274F5E0C87C3}"/>
    <cellStyle name="40% - 강조색1 30" xfId="609" xr:uid="{C2DB6808-F59F-45C2-A5EC-0D0972D36196}"/>
    <cellStyle name="40% - 강조색1 30 2" xfId="610" xr:uid="{D7A0376F-6A80-472F-9E34-BA431BC859A4}"/>
    <cellStyle name="40% - 강조색1 31" xfId="611" xr:uid="{A81CDCE1-3CCF-4BC0-9EC5-5407BB9C0E5C}"/>
    <cellStyle name="40% - 강조색1 31 2" xfId="612" xr:uid="{13F794EF-F5C0-4CF6-80D1-A07D2E40C14D}"/>
    <cellStyle name="40% - 강조색1 32" xfId="613" xr:uid="{3E877BE3-94D6-453C-B74E-EDDDDD911441}"/>
    <cellStyle name="40% - 강조색1 32 2" xfId="614" xr:uid="{37FDD295-D5EA-41FA-A174-6BF6C42EE964}"/>
    <cellStyle name="40% - 강조색1 33" xfId="615" xr:uid="{D5F96D6F-1E10-4714-819A-F108E001BB1E}"/>
    <cellStyle name="40% - 강조색1 33 2" xfId="616" xr:uid="{08790C7E-E392-4267-B914-1F1139243AD6}"/>
    <cellStyle name="40% - 강조색1 34" xfId="617" xr:uid="{FE9E0DBC-114B-447B-BD16-AD40BFC50B14}"/>
    <cellStyle name="40% - 강조색1 34 2" xfId="618" xr:uid="{CCA8D2E5-D40F-4A1A-86A2-62A92C40F413}"/>
    <cellStyle name="40% - 강조색1 35" xfId="619" xr:uid="{223819FA-A769-46F8-AF10-78EF9ABF6E23}"/>
    <cellStyle name="40% - 강조색1 35 2" xfId="620" xr:uid="{99DCCAF6-3210-4218-95B4-0E8BD7722D4D}"/>
    <cellStyle name="40% - 강조색1 36" xfId="621" xr:uid="{B0DA0166-B1FC-4B6D-81EA-9A3977B08BA3}"/>
    <cellStyle name="40% - 강조색1 36 2" xfId="622" xr:uid="{F0E834EB-88C0-43B3-AF1F-21854ED36933}"/>
    <cellStyle name="40% - 강조색1 37" xfId="623" xr:uid="{6D19603F-2DDC-4339-8418-8ACD869393EF}"/>
    <cellStyle name="40% - 강조색1 37 2" xfId="624" xr:uid="{D1CDD316-1FDA-407F-99CB-41CB72B55187}"/>
    <cellStyle name="40% - 강조색1 38" xfId="625" xr:uid="{652F4D3E-D79B-430B-AEF1-3E8C2B8153B9}"/>
    <cellStyle name="40% - 강조색1 38 2" xfId="626" xr:uid="{95644A4F-64F2-490A-9146-2A52BB0BCEDE}"/>
    <cellStyle name="40% - 강조색1 39" xfId="627" xr:uid="{254D8907-1AF0-4383-8D3A-ADF0A90C9373}"/>
    <cellStyle name="40% - 강조색1 39 2" xfId="628" xr:uid="{AF314A84-BCE1-4510-865B-C430CE781D6D}"/>
    <cellStyle name="40% - 강조색1 4" xfId="629" xr:uid="{69BF19A4-89AE-408E-A305-7ACD1D3CD528}"/>
    <cellStyle name="40% - 강조색1 4 2" xfId="630" xr:uid="{11F10E76-5D4E-424C-9CE7-C75C2898F501}"/>
    <cellStyle name="40% - 강조색1 40" xfId="631" xr:uid="{997A46AB-F66C-46D4-8DA3-812FA1DAE511}"/>
    <cellStyle name="40% - 강조색1 40 2" xfId="632" xr:uid="{65AC8775-F0CF-4F57-918C-8F068C4AF10A}"/>
    <cellStyle name="40% - 강조색1 41" xfId="633" xr:uid="{5030FF0C-A2D7-442D-9805-C151A6DA4000}"/>
    <cellStyle name="40% - 강조색1 41 2" xfId="634" xr:uid="{03A2FD4C-0C2F-4D9F-B4A7-450D8F0E0EB4}"/>
    <cellStyle name="40% - 강조색1 42" xfId="635" xr:uid="{C0F0554E-2223-48F5-99C5-CAAA6774614D}"/>
    <cellStyle name="40% - 강조색1 42 2" xfId="636" xr:uid="{17E5C8BF-331A-40BB-806A-E138BA87C9DF}"/>
    <cellStyle name="40% - 강조색1 43" xfId="637" xr:uid="{B7962302-8409-472F-B2EC-25D74457E7D9}"/>
    <cellStyle name="40% - 강조색1 43 2" xfId="638" xr:uid="{96D33762-57F0-482E-ADEF-E1B548C4A4D5}"/>
    <cellStyle name="40% - 강조색1 44" xfId="639" xr:uid="{59659162-0254-45C4-9AF6-73191B914A7A}"/>
    <cellStyle name="40% - 강조색1 45" xfId="640" xr:uid="{13A045E8-5F6D-4682-A387-BA7CA8F43589}"/>
    <cellStyle name="40% - 강조색1 46" xfId="641" xr:uid="{E4879EA6-AB31-4192-8A91-5B80EDDD4F67}"/>
    <cellStyle name="40% - 강조색1 47" xfId="642" xr:uid="{9F3EC32D-F15F-42BA-A883-903823BFC52D}"/>
    <cellStyle name="40% - 강조색1 48" xfId="643" xr:uid="{379E1E36-5E4B-4F44-A0FA-AA5D002D8696}"/>
    <cellStyle name="40% - 강조색1 49" xfId="644" xr:uid="{2EF3D8A4-992B-461E-A54D-0C015A5ACCB9}"/>
    <cellStyle name="40% - 강조색1 5" xfId="645" xr:uid="{5D24621C-8AC0-4C3E-894C-0E8D0273AE8E}"/>
    <cellStyle name="40% - 강조색1 5 2" xfId="646" xr:uid="{83846A6D-93F3-487F-82C7-AABCDC541138}"/>
    <cellStyle name="40% - 강조색1 50" xfId="647" xr:uid="{DF8AF372-DB9D-40BB-8E41-9571936A0E3D}"/>
    <cellStyle name="40% - 강조색1 51" xfId="3816" xr:uid="{C792A4EC-D281-4988-8537-0DBAB6AD1C0A}"/>
    <cellStyle name="40% - 강조색1 51 2" xfId="3931" xr:uid="{4EA54A00-AC89-4466-97AB-35821FBA5EF8}"/>
    <cellStyle name="40% - 강조색1 51 2 2" xfId="4135" xr:uid="{2AE1F5B4-C508-4CCA-B4BB-28591AE87F56}"/>
    <cellStyle name="40% - 강조색1 51 2 2 2" xfId="4439" xr:uid="{0A500031-72FE-4FC2-9D68-07DF84A2F36A}"/>
    <cellStyle name="40% - 강조색1 51 2 3" xfId="4307" xr:uid="{5FB7A0D1-87D4-4821-A772-DE3B1812045B}"/>
    <cellStyle name="40% - 강조색1 51 3" xfId="4122" xr:uid="{908AA854-7AE1-4538-B097-7C2911E216D2}"/>
    <cellStyle name="40% - 강조색1 51 3 2" xfId="4426" xr:uid="{B7AB9B0F-4E5C-4CBB-B9A2-03C508F63F02}"/>
    <cellStyle name="40% - 강조색1 51 4" xfId="4294" xr:uid="{BB1E0A1D-BDFC-4400-8D9C-DCB78FC321B1}"/>
    <cellStyle name="40% - 강조색1 52" xfId="3948" xr:uid="{4A9ABBE5-AB6C-41E2-A10C-11785E54304C}"/>
    <cellStyle name="40% - 강조색1 52 2" xfId="4152" xr:uid="{3D797D77-36C7-46A3-B818-8CCD47359A7F}"/>
    <cellStyle name="40% - 강조색1 52 2 2" xfId="4456" xr:uid="{C2856527-8A68-4F89-B2D0-1BB7600523E0}"/>
    <cellStyle name="40% - 강조색1 52 3" xfId="4324" xr:uid="{BD169E73-231D-4301-8973-E8F3F1A94D77}"/>
    <cellStyle name="40% - 강조색1 53" xfId="3980" xr:uid="{3F5F473B-F5FB-4C07-8750-5F0E28FBF860}"/>
    <cellStyle name="40% - 강조색1 53 2" xfId="4168" xr:uid="{FDB5F75E-D205-4939-A1C4-2DAB8ADAB4A4}"/>
    <cellStyle name="40% - 강조색1 53 2 2" xfId="4472" xr:uid="{23B67BD7-7EB6-4EBB-A731-CE62927450AA}"/>
    <cellStyle name="40% - 강조색1 53 3" xfId="4340" xr:uid="{B463731D-675C-45DA-95F0-8CB2791FDE22}"/>
    <cellStyle name="40% - 강조색1 54" xfId="4006" xr:uid="{E49D5B79-4240-448C-99A4-B87EE08079D0}"/>
    <cellStyle name="40% - 강조색1 54 2" xfId="4182" xr:uid="{CCD89133-C006-4E6F-8D27-13549855AA78}"/>
    <cellStyle name="40% - 강조색1 54 2 2" xfId="4486" xr:uid="{9855A19B-35B7-4C4A-937E-081559AC9A56}"/>
    <cellStyle name="40% - 강조색1 54 3" xfId="4354" xr:uid="{FD07D6B1-296A-4694-AE74-121A7826A9F2}"/>
    <cellStyle name="40% - 강조색1 55" xfId="4020" xr:uid="{F171ABA1-B7E6-4750-9E05-75D2DC44DE3A}"/>
    <cellStyle name="40% - 강조색1 55 2" xfId="4196" xr:uid="{2DD981E2-2999-4CD5-B27A-1A2A34CDC08B}"/>
    <cellStyle name="40% - 강조색1 55 2 2" xfId="4500" xr:uid="{E689D857-DD75-425D-9A7A-29537BABD744}"/>
    <cellStyle name="40% - 강조색1 55 3" xfId="4368" xr:uid="{8BF48E79-7906-4FB9-A336-7302A99E1B8E}"/>
    <cellStyle name="40% - 강조색1 56" xfId="4034" xr:uid="{A72A2E03-5160-461D-A47E-7A5A5B75965A}"/>
    <cellStyle name="40% - 강조색1 56 2" xfId="4210" xr:uid="{F70C7EC9-1B74-49DB-9B59-893B52940648}"/>
    <cellStyle name="40% - 강조색1 56 2 2" xfId="4514" xr:uid="{9C4D21F8-D787-4EF9-9BED-641615760E40}"/>
    <cellStyle name="40% - 강조색1 56 3" xfId="4382" xr:uid="{845D7E53-D085-45A6-896E-1E89533FBDBA}"/>
    <cellStyle name="40% - 강조색1 57" xfId="4049" xr:uid="{A59D1B2D-46C5-46D3-90FF-4692F8036FFA}"/>
    <cellStyle name="40% - 강조색1 57 2" xfId="4224" xr:uid="{BBA7D1B0-59B7-4E1E-93D1-CC9BB270B983}"/>
    <cellStyle name="40% - 강조색1 57 2 2" xfId="4528" xr:uid="{0A86C58B-A8F5-49CD-BCBD-BE30410AEE9F}"/>
    <cellStyle name="40% - 강조색1 57 3" xfId="4396" xr:uid="{EAC64E31-1DA8-443B-A8D1-8278FAC601EC}"/>
    <cellStyle name="40% - 강조색1 58" xfId="4063" xr:uid="{6DC89D0C-A3A5-47BC-83E1-990241841A83}"/>
    <cellStyle name="40% - 강조색1 58 2" xfId="4410" xr:uid="{5796D74E-36FD-415F-9FA5-FBF2223EBC93}"/>
    <cellStyle name="40% - 강조색1 59" xfId="4084" xr:uid="{079E9A0B-5CF8-4B2D-AD4C-9975506957BB}"/>
    <cellStyle name="40% - 강조색1 6" xfId="648" xr:uid="{86CCAA06-5998-4ACE-847B-8A5AE3197EF7}"/>
    <cellStyle name="40% - 강조색1 6 2" xfId="649" xr:uid="{F2690914-B1BD-4C62-BEFE-AB776ADA4A0D}"/>
    <cellStyle name="40% - 강조색1 60" xfId="4256" xr:uid="{973F9E3E-F32F-4117-9590-18971236B3CC}"/>
    <cellStyle name="40% - 강조색1 61" xfId="564" xr:uid="{761FD33A-A611-478A-A062-F18A399F9E2F}"/>
    <cellStyle name="40% - 강조색1 7" xfId="650" xr:uid="{7AE0EABE-AA8B-430B-AF47-C6A82F5DF1FD}"/>
    <cellStyle name="40% - 강조색1 7 2" xfId="651" xr:uid="{B494F5CE-C989-4653-B9AB-FA87BC82847A}"/>
    <cellStyle name="40% - 강조색1 8" xfId="652" xr:uid="{79B91C4C-B154-429B-853F-9C14C382B4BA}"/>
    <cellStyle name="40% - 강조색1 8 2" xfId="653" xr:uid="{F8079A2C-CE3E-4D30-8959-B1D781476AB9}"/>
    <cellStyle name="40% - 강조색1 9" xfId="654" xr:uid="{B5D31F6F-DC3D-411A-AB6E-96680CDF6AF8}"/>
    <cellStyle name="40% - 강조색1 9 2" xfId="655" xr:uid="{45663945-3EA0-4A2A-99D7-A9DB6E59E846}"/>
    <cellStyle name="40% - 강조색2 10" xfId="657" xr:uid="{E1BCEA60-7433-4ED8-8CF8-DF46D1F6BDF0}"/>
    <cellStyle name="40% - 강조색2 10 2" xfId="658" xr:uid="{FB3588F9-359A-4249-BF77-33ABB810314D}"/>
    <cellStyle name="40% - 강조색2 11" xfId="659" xr:uid="{B221650A-46F3-402D-AD33-1C84E4452851}"/>
    <cellStyle name="40% - 강조색2 11 2" xfId="660" xr:uid="{041CB985-9E64-4E71-A552-710158E56191}"/>
    <cellStyle name="40% - 강조색2 12" xfId="661" xr:uid="{21EF0AD0-6DC0-4BF5-AE89-4A9A138BD9AC}"/>
    <cellStyle name="40% - 강조색2 12 2" xfId="662" xr:uid="{9B6C30A3-A68C-4F61-ADA8-89E69D9B0317}"/>
    <cellStyle name="40% - 강조색2 13" xfId="663" xr:uid="{F7BAE540-139A-412A-ADF4-FFFF02395749}"/>
    <cellStyle name="40% - 강조색2 13 2" xfId="664" xr:uid="{84AAE8DC-7727-40FB-A28F-3F6A7F8A55AA}"/>
    <cellStyle name="40% - 강조색2 14" xfId="665" xr:uid="{C074DABA-0156-4D7C-9031-2B96EB15EC13}"/>
    <cellStyle name="40% - 강조색2 14 2" xfId="666" xr:uid="{D71200AD-75C1-4FF5-983D-1FAD0120E6DE}"/>
    <cellStyle name="40% - 강조색2 15" xfId="667" xr:uid="{F648A2E6-8152-42C6-AD84-D8AEDCAB23BC}"/>
    <cellStyle name="40% - 강조색2 15 2" xfId="668" xr:uid="{A021E975-95FE-4F57-BE15-B29D3145CCA9}"/>
    <cellStyle name="40% - 강조색2 16" xfId="669" xr:uid="{1F0A9487-2EF6-46C3-AD01-DE3DB236E6E4}"/>
    <cellStyle name="40% - 강조색2 16 2" xfId="670" xr:uid="{1858CC92-3509-40CC-9A1D-FD9ECD91F685}"/>
    <cellStyle name="40% - 강조색2 17" xfId="671" xr:uid="{95524EA2-6C82-403A-9C5E-46CDD280CAB3}"/>
    <cellStyle name="40% - 강조색2 17 2" xfId="672" xr:uid="{20131B09-0A70-42E5-AA3E-C3727ECFF81E}"/>
    <cellStyle name="40% - 강조색2 18" xfId="673" xr:uid="{21DDF036-0D77-4238-BD77-C07FEAC45DBC}"/>
    <cellStyle name="40% - 강조색2 18 2" xfId="674" xr:uid="{A5B590DF-0643-418C-933C-D3201A37ED66}"/>
    <cellStyle name="40% - 강조색2 19" xfId="675" xr:uid="{B7B50FBA-6BD3-44FB-B0D5-3EC048EDB7A8}"/>
    <cellStyle name="40% - 강조색2 19 2" xfId="676" xr:uid="{810CC8B7-55C6-4413-A40B-7F342F2DC5FA}"/>
    <cellStyle name="40% - 강조색2 2" xfId="677" xr:uid="{EF18CAC9-943C-4F77-A0C9-44482E85E191}"/>
    <cellStyle name="40% - 강조색2 2 2" xfId="678" xr:uid="{C1E9126D-0AFE-45BE-A01C-4C6FB0CE8B4C}"/>
    <cellStyle name="40% - 강조색2 20" xfId="679" xr:uid="{BAB8DF44-8950-4B24-B75D-B0BE615003B3}"/>
    <cellStyle name="40% - 강조색2 20 2" xfId="680" xr:uid="{60D8DB86-30BD-42ED-8883-604D9A504A6E}"/>
    <cellStyle name="40% - 강조색2 21" xfId="681" xr:uid="{D29D094E-EDC9-4721-A5C7-54DA91C0E0DB}"/>
    <cellStyle name="40% - 강조색2 21 2" xfId="682" xr:uid="{799C46B5-B869-4C26-A105-2D65CABC1907}"/>
    <cellStyle name="40% - 강조색2 22" xfId="683" xr:uid="{A663969C-D227-42B4-91DA-63F6F2D497B0}"/>
    <cellStyle name="40% - 강조색2 22 2" xfId="684" xr:uid="{AD29547C-BDAC-424C-B05B-1806AFFD4BE5}"/>
    <cellStyle name="40% - 강조색2 23" xfId="685" xr:uid="{17C86BEB-EAAA-436C-B94A-E19C5EDDC0A2}"/>
    <cellStyle name="40% - 강조색2 23 2" xfId="686" xr:uid="{26D8FCA0-9ECC-4D22-B1C1-5F2D8BE4D89F}"/>
    <cellStyle name="40% - 강조색2 24" xfId="687" xr:uid="{8754E38D-940D-4FCD-89EF-19AEDD5DDA3D}"/>
    <cellStyle name="40% - 강조색2 24 2" xfId="688" xr:uid="{2A391CA6-C53D-493E-95C4-9D4147130F6D}"/>
    <cellStyle name="40% - 강조색2 25" xfId="689" xr:uid="{7DA91684-4D35-4959-8A46-CD88F0EFDB8A}"/>
    <cellStyle name="40% - 강조색2 25 2" xfId="690" xr:uid="{39D74175-19D3-4BA1-BA06-128527090CF3}"/>
    <cellStyle name="40% - 강조색2 26" xfId="691" xr:uid="{DA8183BE-2818-4A15-BB51-5BD9D0C3194B}"/>
    <cellStyle name="40% - 강조색2 26 2" xfId="692" xr:uid="{2ED6BD69-9C3C-4CFD-B281-32D641177B74}"/>
    <cellStyle name="40% - 강조색2 27" xfId="693" xr:uid="{C58496E1-B78C-4742-A1C0-0E2E83F1D25B}"/>
    <cellStyle name="40% - 강조색2 27 2" xfId="694" xr:uid="{27828C4E-84E8-403C-956C-9D5A94FEFD76}"/>
    <cellStyle name="40% - 강조색2 28" xfId="695" xr:uid="{91A8E6A7-6F0E-4884-A786-E6AD82882551}"/>
    <cellStyle name="40% - 강조색2 28 2" xfId="696" xr:uid="{2CD2E9B2-9AFD-40CF-AA6C-EEB41209AA4D}"/>
    <cellStyle name="40% - 강조색2 29" xfId="697" xr:uid="{F5503F85-1ACE-4EFD-9C24-04FB7CBEFAAC}"/>
    <cellStyle name="40% - 강조색2 29 2" xfId="698" xr:uid="{FC3F5605-2B67-47E7-8896-8C2DB33635A0}"/>
    <cellStyle name="40% - 강조색2 3" xfId="699" xr:uid="{C50CCFD8-09BE-495B-A26F-50121484529E}"/>
    <cellStyle name="40% - 강조색2 3 2" xfId="700" xr:uid="{5EC52CB2-6CAA-471F-B2FA-C380EB7CB971}"/>
    <cellStyle name="40% - 강조색2 30" xfId="701" xr:uid="{264627FA-D289-469A-AF22-0C2698DB5B06}"/>
    <cellStyle name="40% - 강조색2 30 2" xfId="702" xr:uid="{D9F57983-8D2A-4C3F-BA43-6C73D421A4BD}"/>
    <cellStyle name="40% - 강조색2 31" xfId="703" xr:uid="{8DEEA550-D0EF-4EED-B4F6-70A16E014E03}"/>
    <cellStyle name="40% - 강조색2 31 2" xfId="704" xr:uid="{F8563D58-FD97-465F-87B2-E1507E5CCBB0}"/>
    <cellStyle name="40% - 강조색2 32" xfId="705" xr:uid="{4AF0ADA7-1A00-4410-A700-34248EE70ABD}"/>
    <cellStyle name="40% - 강조색2 32 2" xfId="706" xr:uid="{1265B0E8-3461-41F6-8A76-93A35F252699}"/>
    <cellStyle name="40% - 강조색2 33" xfId="707" xr:uid="{C957AA78-0A84-4029-B78C-839C7B8C40FA}"/>
    <cellStyle name="40% - 강조색2 33 2" xfId="708" xr:uid="{A0928E9F-9A10-486E-A2C0-04D5E1DD95B7}"/>
    <cellStyle name="40% - 강조색2 34" xfId="709" xr:uid="{B1F057B4-9586-4BE9-8A94-969B0DCA4C1F}"/>
    <cellStyle name="40% - 강조색2 34 2" xfId="710" xr:uid="{1BC934B4-7B46-4AEF-BB02-E03C8A19FCCD}"/>
    <cellStyle name="40% - 강조색2 35" xfId="711" xr:uid="{EEBD0BE8-0D3E-47F0-B2BF-275F5B9E0730}"/>
    <cellStyle name="40% - 강조색2 35 2" xfId="712" xr:uid="{2103C0E2-EB55-4783-8BE2-E79E44F0984D}"/>
    <cellStyle name="40% - 강조색2 36" xfId="713" xr:uid="{542AFB29-9824-465C-A5C2-321194A7AA47}"/>
    <cellStyle name="40% - 강조색2 36 2" xfId="714" xr:uid="{9C5905BF-50C0-4C1D-A00E-46B4CEC488AB}"/>
    <cellStyle name="40% - 강조색2 37" xfId="715" xr:uid="{5877754D-EAFB-4692-9AD9-8630E3263DF8}"/>
    <cellStyle name="40% - 강조색2 37 2" xfId="716" xr:uid="{521D41D0-3F62-4953-B4B6-C0C487C374C1}"/>
    <cellStyle name="40% - 강조색2 38" xfId="717" xr:uid="{69D1A241-04A8-4CD1-9F4A-3055798CC777}"/>
    <cellStyle name="40% - 강조색2 38 2" xfId="718" xr:uid="{5185E669-EA29-4444-A4CF-D18ECEDE091F}"/>
    <cellStyle name="40% - 강조색2 39" xfId="719" xr:uid="{4E987587-3DA8-4851-A5A4-83BEAEE3383A}"/>
    <cellStyle name="40% - 강조색2 39 2" xfId="720" xr:uid="{43DC17F4-3B7F-47D8-9865-F3434ED08174}"/>
    <cellStyle name="40% - 강조색2 4" xfId="721" xr:uid="{F522CE26-32D2-4E08-A1A0-705E3AE1E035}"/>
    <cellStyle name="40% - 강조색2 4 2" xfId="722" xr:uid="{F54DDD5E-835C-4E9A-BC07-B5FF825B3681}"/>
    <cellStyle name="40% - 강조색2 40" xfId="723" xr:uid="{2344723A-A82A-4E13-A5CE-5C37F889226F}"/>
    <cellStyle name="40% - 강조색2 40 2" xfId="724" xr:uid="{8AF0F5A1-412C-47EC-8DB1-ED663C10F634}"/>
    <cellStyle name="40% - 강조색2 41" xfId="725" xr:uid="{64693BFC-703E-4945-8935-85C44F038EA5}"/>
    <cellStyle name="40% - 강조색2 41 2" xfId="726" xr:uid="{88B946B2-7432-4652-BECB-FAC2ECA7F43C}"/>
    <cellStyle name="40% - 강조색2 42" xfId="727" xr:uid="{8ACFCF1D-7D8D-483B-AC15-9D872D1194D0}"/>
    <cellStyle name="40% - 강조색2 42 2" xfId="728" xr:uid="{109853FB-2919-4096-88B9-060CB5B23D60}"/>
    <cellStyle name="40% - 강조색2 43" xfId="729" xr:uid="{43AECBE0-E07F-40C0-85A2-5F692FCDBAFD}"/>
    <cellStyle name="40% - 강조색2 43 2" xfId="730" xr:uid="{16266301-43DD-4738-8E6A-69402798162E}"/>
    <cellStyle name="40% - 강조색2 44" xfId="731" xr:uid="{4FE37C6B-6785-46E5-9909-997B03786284}"/>
    <cellStyle name="40% - 강조색2 45" xfId="732" xr:uid="{115EFC07-561E-49CD-A930-133E7F4461A7}"/>
    <cellStyle name="40% - 강조색2 46" xfId="733" xr:uid="{DFB596FA-4CE9-4DF2-8284-806C3DF0679D}"/>
    <cellStyle name="40% - 강조색2 47" xfId="734" xr:uid="{901102AD-6757-4AC2-9791-72F8E116BD5E}"/>
    <cellStyle name="40% - 강조색2 48" xfId="735" xr:uid="{CFB442B6-6FAA-4BB8-B542-F64FB12C64B1}"/>
    <cellStyle name="40% - 강조색2 49" xfId="736" xr:uid="{289376EB-A604-4662-9A06-0FB2183FA3E4}"/>
    <cellStyle name="40% - 강조색2 5" xfId="737" xr:uid="{355EC606-0FCA-4905-AD22-CE135BD06F1F}"/>
    <cellStyle name="40% - 강조색2 5 2" xfId="738" xr:uid="{C57C83A5-DE3B-4514-9695-77FB5264CF0F}"/>
    <cellStyle name="40% - 강조색2 50" xfId="739" xr:uid="{D34A6FA8-3C08-43D4-8E1D-EC97D85694E4}"/>
    <cellStyle name="40% - 강조색2 51" xfId="3820" xr:uid="{8DB99B9F-7AD3-4B5D-9D66-810B70ACA08E}"/>
    <cellStyle name="40% - 강조색2 51 2" xfId="3933" xr:uid="{E2694691-A63F-4A95-90B6-E01A2563FCCD}"/>
    <cellStyle name="40% - 강조색2 51 2 2" xfId="4137" xr:uid="{B4BBC712-DB6A-4D6F-BAA0-C19CEE92D76A}"/>
    <cellStyle name="40% - 강조색2 51 2 2 2" xfId="4441" xr:uid="{C3209552-F917-4525-9883-E758DD9F25E0}"/>
    <cellStyle name="40% - 강조색2 51 2 3" xfId="4309" xr:uid="{BEB602E1-DE97-4000-9414-EC7A5F6E3F90}"/>
    <cellStyle name="40% - 강조색2 51 3" xfId="4124" xr:uid="{CFB0EB71-A7C5-4DF8-80CD-8407BF6179A5}"/>
    <cellStyle name="40% - 강조색2 51 3 2" xfId="4428" xr:uid="{B0358B6B-0877-4DF5-B4C4-0018C1BA6EAC}"/>
    <cellStyle name="40% - 강조색2 51 4" xfId="4296" xr:uid="{BDD476A3-AB54-41C9-A4EB-9A74879BDFB3}"/>
    <cellStyle name="40% - 강조색2 52" xfId="3950" xr:uid="{6BAA15CB-D4F3-4256-9E35-A2194227381E}"/>
    <cellStyle name="40% - 강조색2 52 2" xfId="4154" xr:uid="{B962A6C4-DB52-4ABD-BAE0-A90B6847FA95}"/>
    <cellStyle name="40% - 강조색2 52 2 2" xfId="4458" xr:uid="{877BC9FD-FC97-407C-9A92-734BF2739727}"/>
    <cellStyle name="40% - 강조색2 52 3" xfId="4326" xr:uid="{BB319EAC-6CAF-4982-8D55-C2A2323263E4}"/>
    <cellStyle name="40% - 강조색2 53" xfId="3984" xr:uid="{A6106639-77C8-4A30-80C7-584AE8085D9F}"/>
    <cellStyle name="40% - 강조색2 53 2" xfId="4170" xr:uid="{9FF048D4-93F6-4E68-A3FF-305CAC14179D}"/>
    <cellStyle name="40% - 강조색2 53 2 2" xfId="4474" xr:uid="{77D8F17B-7978-4672-A6C8-96C9B0A81471}"/>
    <cellStyle name="40% - 강조색2 53 3" xfId="4342" xr:uid="{2BEBC491-FF85-4913-922D-C23BAFBE416D}"/>
    <cellStyle name="40% - 강조색2 54" xfId="4008" xr:uid="{C921A659-7023-4B83-A169-1B00A141B0C5}"/>
    <cellStyle name="40% - 강조색2 54 2" xfId="4184" xr:uid="{C2993E52-98E1-461F-A61B-87CFAD868859}"/>
    <cellStyle name="40% - 강조색2 54 2 2" xfId="4488" xr:uid="{DAD86638-6993-4C90-96F4-D344ACBFB1D9}"/>
    <cellStyle name="40% - 강조색2 54 3" xfId="4356" xr:uid="{7A022A2F-9F40-4658-9912-CAA77D1A786A}"/>
    <cellStyle name="40% - 강조색2 55" xfId="4022" xr:uid="{593F97D6-10BE-4658-805B-777DEDB17312}"/>
    <cellStyle name="40% - 강조색2 55 2" xfId="4198" xr:uid="{4B8F7B22-05AF-4ECD-B3E0-D51FEDF4591C}"/>
    <cellStyle name="40% - 강조색2 55 2 2" xfId="4502" xr:uid="{3A3B5EDD-16B7-4649-9150-26E7D3D26731}"/>
    <cellStyle name="40% - 강조색2 55 3" xfId="4370" xr:uid="{64ACB552-C6BB-4777-9026-684B6E6561AF}"/>
    <cellStyle name="40% - 강조색2 56" xfId="4036" xr:uid="{18AB999E-0A17-455B-95EC-88C61F67B087}"/>
    <cellStyle name="40% - 강조색2 56 2" xfId="4212" xr:uid="{905ECCD6-E9FE-4480-81BE-D94BF855C76B}"/>
    <cellStyle name="40% - 강조색2 56 2 2" xfId="4516" xr:uid="{480D4795-4DAB-431D-B8FA-F55798894468}"/>
    <cellStyle name="40% - 강조색2 56 3" xfId="4384" xr:uid="{D2FD91DC-5587-4C0B-8466-680B745F7BD0}"/>
    <cellStyle name="40% - 강조색2 57" xfId="4051" xr:uid="{D1A21B49-1469-405E-8F6D-D3C05AA28193}"/>
    <cellStyle name="40% - 강조색2 57 2" xfId="4226" xr:uid="{8E7B7B57-E609-4F93-8D0E-7A056BC10F2F}"/>
    <cellStyle name="40% - 강조색2 57 2 2" xfId="4530" xr:uid="{2D7ADA69-C6DA-49F6-A9AB-D6F579AE4850}"/>
    <cellStyle name="40% - 강조색2 57 3" xfId="4398" xr:uid="{5C9DBA73-0E90-4FF4-8989-2CBBD27A09C6}"/>
    <cellStyle name="40% - 강조색2 58" xfId="4065" xr:uid="{1E43D448-342D-43A7-A6EE-EE70D1FCDB96}"/>
    <cellStyle name="40% - 강조색2 58 2" xfId="4412" xr:uid="{F3BA4A56-5E86-4AFC-AFF1-6B63F5D25804}"/>
    <cellStyle name="40% - 강조색2 59" xfId="4085" xr:uid="{4CCF56F7-429C-409E-9B39-5F51E45209CD}"/>
    <cellStyle name="40% - 강조색2 6" xfId="740" xr:uid="{25744B8A-06C5-49A5-8EFE-399F263CBE27}"/>
    <cellStyle name="40% - 강조색2 6 2" xfId="741" xr:uid="{BC85CC39-38E8-42EC-B275-E1B098CB3164}"/>
    <cellStyle name="40% - 강조색2 60" xfId="4257" xr:uid="{50F786E0-A7A9-461F-8A23-5F5F51590E7D}"/>
    <cellStyle name="40% - 강조색2 61" xfId="656" xr:uid="{C402D51E-1856-4ECF-9F4A-30FFD309A75B}"/>
    <cellStyle name="40% - 강조색2 7" xfId="742" xr:uid="{C20DBC3F-386B-450B-9359-42A25CA694EC}"/>
    <cellStyle name="40% - 강조색2 7 2" xfId="743" xr:uid="{BB25F60A-271D-4CA1-B7DC-72965CA8057F}"/>
    <cellStyle name="40% - 강조색2 8" xfId="744" xr:uid="{A523052F-D1C0-4FFC-B933-1405E994E9DF}"/>
    <cellStyle name="40% - 강조색2 8 2" xfId="745" xr:uid="{BB70BE76-E411-49C4-B818-87DA135716D4}"/>
    <cellStyle name="40% - 강조색2 9" xfId="746" xr:uid="{B84072F1-D8FE-49A8-B55E-0EFE90C4D68B}"/>
    <cellStyle name="40% - 강조색2 9 2" xfId="747" xr:uid="{8D5A84F9-25C0-4588-9CB6-86CE99F6CA95}"/>
    <cellStyle name="40% - 강조색3 10" xfId="749" xr:uid="{460D5D74-5E19-439A-88EA-831339596538}"/>
    <cellStyle name="40% - 강조색3 10 2" xfId="750" xr:uid="{7187B4EF-0B56-4515-A368-1C8C8AA4EDCB}"/>
    <cellStyle name="40% - 강조색3 11" xfId="751" xr:uid="{6849FD09-CAC5-469E-86C2-0085A3815575}"/>
    <cellStyle name="40% - 강조색3 11 2" xfId="752" xr:uid="{A682D9FB-FE3A-42B2-9805-3DD7373FF58E}"/>
    <cellStyle name="40% - 강조색3 12" xfId="753" xr:uid="{75855326-3187-4D18-B442-34B5784B71E7}"/>
    <cellStyle name="40% - 강조색3 12 2" xfId="754" xr:uid="{C56B7F3B-524D-4CCB-B4FC-0CF08D6562EE}"/>
    <cellStyle name="40% - 강조색3 13" xfId="755" xr:uid="{FE8CEE5D-1474-4E4B-AEA0-6AC2E4D560AB}"/>
    <cellStyle name="40% - 강조색3 13 2" xfId="756" xr:uid="{A6F9F68C-9BB8-4201-935E-32E4A31357A0}"/>
    <cellStyle name="40% - 강조색3 14" xfId="757" xr:uid="{4D84E19A-B592-4D06-94A6-9E7D37B4E05B}"/>
    <cellStyle name="40% - 강조색3 14 2" xfId="758" xr:uid="{2BE67D12-8CB8-484A-B6A8-0BEC44793433}"/>
    <cellStyle name="40% - 강조색3 15" xfId="759" xr:uid="{5EFDC9D4-ACFA-4414-B557-020782CCCAB8}"/>
    <cellStyle name="40% - 강조색3 15 2" xfId="760" xr:uid="{13C4F27E-AE8A-49C2-A70F-42F21E0FB109}"/>
    <cellStyle name="40% - 강조색3 16" xfId="761" xr:uid="{198C5F36-5F69-4264-9F76-09F88D8163E8}"/>
    <cellStyle name="40% - 강조색3 16 2" xfId="762" xr:uid="{043C0FA0-8161-4D18-A95D-F80165D7AC2A}"/>
    <cellStyle name="40% - 강조색3 17" xfId="763" xr:uid="{EFA1C9C9-CC91-40C4-8B61-1261F8E79D93}"/>
    <cellStyle name="40% - 강조색3 17 2" xfId="764" xr:uid="{02A6B5F9-7C93-49D2-B98A-2846E37E2D0A}"/>
    <cellStyle name="40% - 강조색3 18" xfId="765" xr:uid="{107EDC39-14F7-4960-9A9C-43D6E3345130}"/>
    <cellStyle name="40% - 강조색3 18 2" xfId="766" xr:uid="{22C94BD3-6057-490E-BCB1-2E1450E13EED}"/>
    <cellStyle name="40% - 강조색3 19" xfId="767" xr:uid="{D3AE7FE0-6A9B-42D7-A0F6-8F76A89688B8}"/>
    <cellStyle name="40% - 강조색3 19 2" xfId="768" xr:uid="{1B9DF677-615C-4DAD-9783-6599D85D7ED9}"/>
    <cellStyle name="40% - 강조색3 2" xfId="769" xr:uid="{2C5CB59E-6C3F-41DE-B7CA-382AAF642306}"/>
    <cellStyle name="40% - 강조색3 2 2" xfId="770" xr:uid="{69C357BA-E2A1-4106-A1DF-5D2B1551EF45}"/>
    <cellStyle name="40% - 강조색3 20" xfId="771" xr:uid="{5246E5F4-B23A-4B56-B40A-EBD22843DE49}"/>
    <cellStyle name="40% - 강조색3 20 2" xfId="772" xr:uid="{F44C00C5-03B8-4AAE-8359-5D77EE77FDCB}"/>
    <cellStyle name="40% - 강조색3 21" xfId="773" xr:uid="{2B65CDF5-B3D5-4282-91ED-07EED63FF742}"/>
    <cellStyle name="40% - 강조색3 21 2" xfId="774" xr:uid="{CBA48B8F-1139-4447-B753-C630E1A75940}"/>
    <cellStyle name="40% - 강조색3 22" xfId="775" xr:uid="{450A36AE-B529-45A1-9FB8-E0398483105B}"/>
    <cellStyle name="40% - 강조색3 22 2" xfId="776" xr:uid="{9C384C2B-F420-4A58-8453-78719079DA04}"/>
    <cellStyle name="40% - 강조색3 23" xfId="777" xr:uid="{FF88DBE7-2095-47CE-9CBC-03D69521671E}"/>
    <cellStyle name="40% - 강조색3 23 2" xfId="778" xr:uid="{2998F7ED-2B7C-403E-A0F0-05A457571E51}"/>
    <cellStyle name="40% - 강조색3 24" xfId="779" xr:uid="{96903A68-0FA0-4787-81E3-47C7EFE8A98B}"/>
    <cellStyle name="40% - 강조색3 24 2" xfId="780" xr:uid="{CCC3161C-28DD-4FBF-9FD3-4749F0343ABB}"/>
    <cellStyle name="40% - 강조색3 25" xfId="781" xr:uid="{3A13A848-C6F4-48FB-9DBB-F8F06938C5CF}"/>
    <cellStyle name="40% - 강조색3 25 2" xfId="782" xr:uid="{559008F1-65BC-4014-92AE-0E6B55EBCAD6}"/>
    <cellStyle name="40% - 강조색3 26" xfId="783" xr:uid="{980B289D-FE85-407E-AC14-8CB852089827}"/>
    <cellStyle name="40% - 강조색3 26 2" xfId="784" xr:uid="{567ABBEB-7443-4EB7-A859-634D9BEB4E06}"/>
    <cellStyle name="40% - 강조색3 27" xfId="785" xr:uid="{0459FBCF-945C-4C2B-A2EB-7FBA0A455C91}"/>
    <cellStyle name="40% - 강조색3 27 2" xfId="786" xr:uid="{0AF20DAE-BF6A-4B8B-98DC-6CF3AAE9B8BB}"/>
    <cellStyle name="40% - 강조색3 28" xfId="787" xr:uid="{F54CF17A-3044-481F-9A0B-E0E9CFEE711B}"/>
    <cellStyle name="40% - 강조색3 28 2" xfId="788" xr:uid="{4D63B79F-C86C-4DC2-9238-FC208C54F978}"/>
    <cellStyle name="40% - 강조색3 29" xfId="789" xr:uid="{3ABD0E95-30A1-4AEA-BB20-26917EEF2344}"/>
    <cellStyle name="40% - 강조색3 29 2" xfId="790" xr:uid="{43BC25F8-6549-4ACF-819D-BA8024BDA7C7}"/>
    <cellStyle name="40% - 강조색3 3" xfId="791" xr:uid="{06BBCB91-9FFA-4F36-AF81-8DF095492A93}"/>
    <cellStyle name="40% - 강조색3 3 2" xfId="792" xr:uid="{BA02841C-5535-44DE-A7D4-8F22BCB704B8}"/>
    <cellStyle name="40% - 강조색3 30" xfId="793" xr:uid="{B105D2B4-DC57-403E-96FB-A386A6137288}"/>
    <cellStyle name="40% - 강조색3 30 2" xfId="794" xr:uid="{8F9EF5DA-9FAB-446C-802C-87783FCC5FE0}"/>
    <cellStyle name="40% - 강조색3 31" xfId="795" xr:uid="{8A36B63F-B7F0-40D7-9EC8-832C9A980681}"/>
    <cellStyle name="40% - 강조색3 31 2" xfId="796" xr:uid="{59F59A00-FD1B-4550-8B3E-C443B5D5CF9E}"/>
    <cellStyle name="40% - 강조색3 32" xfId="797" xr:uid="{E2FC8FB5-7848-4CEE-9C35-68F10F6FE4C8}"/>
    <cellStyle name="40% - 강조색3 32 2" xfId="798" xr:uid="{393D00B6-2E83-4162-9FBA-B587F9DD35C0}"/>
    <cellStyle name="40% - 강조색3 33" xfId="799" xr:uid="{5D261757-FDE2-4C6D-B5C0-F66B13E576FB}"/>
    <cellStyle name="40% - 강조색3 33 2" xfId="800" xr:uid="{72576F08-C6F7-4DB0-A2D4-9DE95509EFAF}"/>
    <cellStyle name="40% - 강조색3 34" xfId="801" xr:uid="{A08DA852-F0EB-44F0-9611-EE1147F61BF1}"/>
    <cellStyle name="40% - 강조색3 34 2" xfId="802" xr:uid="{E99140EB-FB02-4944-9975-EB7609B321F6}"/>
    <cellStyle name="40% - 강조색3 35" xfId="803" xr:uid="{1BA8B45B-98A8-4832-A23A-AE202E4F1DE2}"/>
    <cellStyle name="40% - 강조색3 35 2" xfId="804" xr:uid="{BE1A16B7-3306-4B50-8473-665C8F4FA172}"/>
    <cellStyle name="40% - 강조색3 36" xfId="805" xr:uid="{05E4D1AB-6939-479C-BD9C-E0D14CF0B163}"/>
    <cellStyle name="40% - 강조색3 36 2" xfId="806" xr:uid="{0B668123-27AE-4736-8159-C3D9DBAB790D}"/>
    <cellStyle name="40% - 강조색3 37" xfId="807" xr:uid="{B3D2F031-2ED1-4D60-A3EE-0DF05E1C238D}"/>
    <cellStyle name="40% - 강조색3 37 2" xfId="808" xr:uid="{E032B59E-0075-4C20-8BEC-4F1C8027FEB6}"/>
    <cellStyle name="40% - 강조색3 38" xfId="809" xr:uid="{79FBC658-D3A2-473B-BB9E-FD969722E6F2}"/>
    <cellStyle name="40% - 강조색3 38 2" xfId="810" xr:uid="{A81D7918-8EE8-4B96-9E75-02AB15A0A97E}"/>
    <cellStyle name="40% - 강조색3 39" xfId="811" xr:uid="{04D84AB8-BEC3-435B-AFE4-05732D02BF78}"/>
    <cellStyle name="40% - 강조색3 39 2" xfId="812" xr:uid="{65AF88A9-5D22-4C33-912D-4A23C4761A91}"/>
    <cellStyle name="40% - 강조색3 4" xfId="813" xr:uid="{5CFA208C-5324-4FFA-8BEA-8376C7CEFBFD}"/>
    <cellStyle name="40% - 강조색3 4 2" xfId="814" xr:uid="{7A67ED86-8405-4345-99C2-BE72B6C921BD}"/>
    <cellStyle name="40% - 강조색3 40" xfId="815" xr:uid="{5204B47E-E4E2-4606-9F9A-97DEC312F453}"/>
    <cellStyle name="40% - 강조색3 40 2" xfId="816" xr:uid="{62A980A8-04ED-44A2-A572-2D28BC6DE82B}"/>
    <cellStyle name="40% - 강조색3 41" xfId="817" xr:uid="{B09D8C7B-9E2D-40AD-8609-F9E6B2D566CF}"/>
    <cellStyle name="40% - 강조색3 41 2" xfId="818" xr:uid="{30C124B3-C4BC-4CBE-9609-7B47078C2317}"/>
    <cellStyle name="40% - 강조색3 42" xfId="819" xr:uid="{31D3F8E6-6016-4CD7-B2FE-51366277903B}"/>
    <cellStyle name="40% - 강조색3 42 2" xfId="820" xr:uid="{C61D91BF-2CE4-4B13-8A62-314822D8A5D5}"/>
    <cellStyle name="40% - 강조색3 43" xfId="821" xr:uid="{2F0AF233-5F7F-4074-AEF3-2327DD52B262}"/>
    <cellStyle name="40% - 강조색3 43 2" xfId="822" xr:uid="{11644276-A61D-47A7-BD5B-8C4DF78AAF07}"/>
    <cellStyle name="40% - 강조색3 44" xfId="823" xr:uid="{7C02980C-88D8-4457-92C5-92F199A59347}"/>
    <cellStyle name="40% - 강조색3 45" xfId="824" xr:uid="{3EA9BFA5-8FE0-4BA9-986E-DFD943765B16}"/>
    <cellStyle name="40% - 강조색3 46" xfId="825" xr:uid="{0F73AB0B-49FF-4EA7-9CA6-21B56B4457D3}"/>
    <cellStyle name="40% - 강조색3 47" xfId="826" xr:uid="{1757D30F-E06E-4D08-8404-84BDF0EBD7DF}"/>
    <cellStyle name="40% - 강조색3 48" xfId="827" xr:uid="{6B38C164-3197-46AC-8147-C29CC79C1B0E}"/>
    <cellStyle name="40% - 강조색3 49" xfId="828" xr:uid="{82F7C405-2618-4E38-A45E-8EE2ACE7D195}"/>
    <cellStyle name="40% - 강조색3 5" xfId="829" xr:uid="{8ADA4AE3-E234-4425-A6E5-35EF2D868669}"/>
    <cellStyle name="40% - 강조색3 5 2" xfId="830" xr:uid="{939D4709-B047-4DE0-9BF5-B587A094D551}"/>
    <cellStyle name="40% - 강조색3 50" xfId="831" xr:uid="{FF1D0B37-5BCC-4647-B117-D06D12A89F6A}"/>
    <cellStyle name="40% - 강조색3 51" xfId="3824" xr:uid="{397863F2-AFE3-4B1B-94AD-DE29C118AF79}"/>
    <cellStyle name="40% - 강조색3 51 2" xfId="3935" xr:uid="{2343E1A4-7854-4762-AD31-36AD0454CCD3}"/>
    <cellStyle name="40% - 강조색3 51 2 2" xfId="4139" xr:uid="{0D26BEA8-D833-4F57-AE47-1A11CFF352DC}"/>
    <cellStyle name="40% - 강조색3 51 2 2 2" xfId="4443" xr:uid="{1AD79966-298F-4F85-88DE-5419BEA51E10}"/>
    <cellStyle name="40% - 강조색3 51 2 3" xfId="4311" xr:uid="{A91A04A6-303A-47BA-B087-004BA0B9E7DA}"/>
    <cellStyle name="40% - 강조색3 51 3" xfId="4126" xr:uid="{F5545D24-4B62-4D8C-BC84-3035D84ECB85}"/>
    <cellStyle name="40% - 강조색3 51 3 2" xfId="4430" xr:uid="{B8F15532-0618-4438-9073-BEC9886A5A8C}"/>
    <cellStyle name="40% - 강조색3 51 4" xfId="4298" xr:uid="{F448A012-611F-43C6-9C71-0A4287496996}"/>
    <cellStyle name="40% - 강조색3 52" xfId="3952" xr:uid="{140D723E-756E-4F7B-A928-DCDA90A56467}"/>
    <cellStyle name="40% - 강조색3 52 2" xfId="4156" xr:uid="{20A8F0CF-049E-46AC-B8D9-5FAD9D114B97}"/>
    <cellStyle name="40% - 강조색3 52 2 2" xfId="4460" xr:uid="{AD2F7749-4BAC-4193-8319-F73BC89B54D4}"/>
    <cellStyle name="40% - 강조색3 52 3" xfId="4328" xr:uid="{5E24C889-660B-4BC6-8B27-DB8C8A75B0BD}"/>
    <cellStyle name="40% - 강조색3 53" xfId="3988" xr:uid="{F98E2A4D-B98C-493B-A890-5201E120B096}"/>
    <cellStyle name="40% - 강조색3 53 2" xfId="4172" xr:uid="{77D3E71F-DA96-4F85-8677-C10FCC7544AC}"/>
    <cellStyle name="40% - 강조색3 53 2 2" xfId="4476" xr:uid="{357662CE-3FB4-4D64-A00A-D1A13BC748BA}"/>
    <cellStyle name="40% - 강조색3 53 3" xfId="4344" xr:uid="{B87F7200-E8B0-42DF-9BD9-C38DA76160D7}"/>
    <cellStyle name="40% - 강조색3 54" xfId="4010" xr:uid="{5AD03211-2EFA-499E-9366-0A64E9E554C3}"/>
    <cellStyle name="40% - 강조색3 54 2" xfId="4186" xr:uid="{BFB9DB97-C8FD-40F0-9427-D4038498EB19}"/>
    <cellStyle name="40% - 강조색3 54 2 2" xfId="4490" xr:uid="{5EF106BE-9C19-43E1-825C-FE930E684324}"/>
    <cellStyle name="40% - 강조색3 54 3" xfId="4358" xr:uid="{CC777256-B711-4D4F-BC74-DB7DA28CBED1}"/>
    <cellStyle name="40% - 강조색3 55" xfId="4024" xr:uid="{00908517-E284-42EC-A68C-0026B22A9C28}"/>
    <cellStyle name="40% - 강조색3 55 2" xfId="4200" xr:uid="{146F7EA1-7DEE-4BE1-8F14-4EE9F7D3E34A}"/>
    <cellStyle name="40% - 강조색3 55 2 2" xfId="4504" xr:uid="{1285F5DF-AF4B-4038-83DA-18922E3676B6}"/>
    <cellStyle name="40% - 강조색3 55 3" xfId="4372" xr:uid="{11667F39-AD58-4ECA-9FA7-5FBF9EC19956}"/>
    <cellStyle name="40% - 강조색3 56" xfId="4038" xr:uid="{32172E13-D562-42C0-AEC2-66F2001B8994}"/>
    <cellStyle name="40% - 강조색3 56 2" xfId="4214" xr:uid="{6E4BDB1B-8539-42A4-8465-77D9B04265A3}"/>
    <cellStyle name="40% - 강조색3 56 2 2" xfId="4518" xr:uid="{016E6E1C-B23A-4AED-AB7A-0EFE68F71359}"/>
    <cellStyle name="40% - 강조색3 56 3" xfId="4386" xr:uid="{128F2664-BFC9-41B3-92C3-B77CD5C61253}"/>
    <cellStyle name="40% - 강조색3 57" xfId="4053" xr:uid="{54BC566C-33D3-4884-9ABE-43E9A2BDFCC2}"/>
    <cellStyle name="40% - 강조색3 57 2" xfId="4228" xr:uid="{2CDEF28B-0389-4BDD-AE4F-18F04D370D31}"/>
    <cellStyle name="40% - 강조색3 57 2 2" xfId="4532" xr:uid="{E2604B8E-D7C9-463C-AB42-C377A713B02C}"/>
    <cellStyle name="40% - 강조색3 57 3" xfId="4400" xr:uid="{4F69EE69-E9F6-486F-B10D-727F6EF2EF94}"/>
    <cellStyle name="40% - 강조색3 58" xfId="4067" xr:uid="{25B5F767-F4E5-4210-ABC4-A9CC0F71A988}"/>
    <cellStyle name="40% - 강조색3 58 2" xfId="4414" xr:uid="{88B1F07F-F95E-420D-A356-3D795879E301}"/>
    <cellStyle name="40% - 강조색3 59" xfId="4086" xr:uid="{0EED464E-70B0-45F5-84E5-41B8EDF18479}"/>
    <cellStyle name="40% - 강조색3 6" xfId="832" xr:uid="{722B995B-3CD6-4179-BE27-0D78C3015D5E}"/>
    <cellStyle name="40% - 강조색3 6 2" xfId="833" xr:uid="{BC03A7A6-9141-4F1E-8034-F606E374A00B}"/>
    <cellStyle name="40% - 강조색3 60" xfId="4258" xr:uid="{D9CF337F-66F1-494E-836F-FB6DBC298F6F}"/>
    <cellStyle name="40% - 강조색3 61" xfId="748" xr:uid="{16EEFAFA-95B6-490A-A7B2-A7DF0D75C8A2}"/>
    <cellStyle name="40% - 강조색3 7" xfId="834" xr:uid="{436B6FA5-CAEA-49CA-B89D-C7B5C48CD379}"/>
    <cellStyle name="40% - 강조색3 7 2" xfId="835" xr:uid="{860B5559-173B-4E65-8390-B5A5607C8CE8}"/>
    <cellStyle name="40% - 강조색3 8" xfId="836" xr:uid="{FAF257FF-0F76-4C0A-8D41-2B2A9FA1746B}"/>
    <cellStyle name="40% - 강조색3 8 2" xfId="837" xr:uid="{AF6B8BDC-9A5B-4B26-9CCD-66983C68AF3B}"/>
    <cellStyle name="40% - 강조색3 9" xfId="838" xr:uid="{D72CC4E6-4689-4916-A890-2D940E2659B6}"/>
    <cellStyle name="40% - 강조색3 9 2" xfId="839" xr:uid="{D7616194-252F-4435-96C5-01B384677917}"/>
    <cellStyle name="40% - 강조색4 10" xfId="841" xr:uid="{E3C8FB80-6164-418F-87F8-C9F1BCD46620}"/>
    <cellStyle name="40% - 강조색4 10 2" xfId="842" xr:uid="{84F7D978-78B7-4F0A-AEE6-E925ECF3178E}"/>
    <cellStyle name="40% - 강조색4 11" xfId="843" xr:uid="{DEA7BF57-B5CC-4F2C-B9DB-4D1F149D5991}"/>
    <cellStyle name="40% - 강조색4 11 2" xfId="844" xr:uid="{82D829AC-CFA4-4313-BEC7-FFDD76AF287A}"/>
    <cellStyle name="40% - 강조색4 12" xfId="845" xr:uid="{32E8617E-B64A-488F-B289-31EBF998ECE8}"/>
    <cellStyle name="40% - 강조색4 12 2" xfId="846" xr:uid="{70824F71-F9AB-431B-9624-01192152EF5A}"/>
    <cellStyle name="40% - 강조색4 13" xfId="847" xr:uid="{20ED5F86-0FD8-48D3-989E-C0AE32452D60}"/>
    <cellStyle name="40% - 강조색4 13 2" xfId="848" xr:uid="{54CA3791-A285-464E-837E-F176D55BAC3F}"/>
    <cellStyle name="40% - 강조색4 14" xfId="849" xr:uid="{31442D84-35FA-4D87-AD99-083B8BDBA862}"/>
    <cellStyle name="40% - 강조색4 14 2" xfId="850" xr:uid="{98F11EAE-3E9C-4589-9B4C-AEFA9405CAC8}"/>
    <cellStyle name="40% - 강조색4 15" xfId="851" xr:uid="{9D0DCC3C-944F-4AB5-966C-5ACC6D09DE7A}"/>
    <cellStyle name="40% - 강조색4 15 2" xfId="852" xr:uid="{F323A26A-8625-43DB-A671-0973EFCA0DF0}"/>
    <cellStyle name="40% - 강조색4 16" xfId="853" xr:uid="{0F1A1044-3A9C-4FD3-AF4D-2023DF4F438B}"/>
    <cellStyle name="40% - 강조색4 16 2" xfId="854" xr:uid="{6E98E3CC-AA26-4EE6-A052-EFDC79EB2970}"/>
    <cellStyle name="40% - 강조색4 17" xfId="855" xr:uid="{314D0102-0D43-41C2-9B63-A795DCC9E857}"/>
    <cellStyle name="40% - 강조색4 17 2" xfId="856" xr:uid="{2114D16E-76E8-4F0E-946B-5460848F12BC}"/>
    <cellStyle name="40% - 강조색4 18" xfId="857" xr:uid="{DE77FE94-572E-4BAA-AFC8-841EFA48B905}"/>
    <cellStyle name="40% - 강조색4 18 2" xfId="858" xr:uid="{4E42EC26-3337-4CB1-9D39-3489039E3033}"/>
    <cellStyle name="40% - 강조색4 19" xfId="859" xr:uid="{6E137514-BC7C-473D-9636-3B1A6A21DA62}"/>
    <cellStyle name="40% - 강조색4 19 2" xfId="860" xr:uid="{48804A27-2FF5-4701-A7B5-D1D0D42461DD}"/>
    <cellStyle name="40% - 강조색4 2" xfId="861" xr:uid="{0F35EAD1-9DAE-46C5-8A75-9E07053AAB73}"/>
    <cellStyle name="40% - 강조색4 2 2" xfId="862" xr:uid="{7DD04CB5-134C-44AA-A2D4-C89E4DBA3D2B}"/>
    <cellStyle name="40% - 강조색4 20" xfId="863" xr:uid="{CA3D6698-9E9B-4952-9B23-EBF125BD6AF3}"/>
    <cellStyle name="40% - 강조색4 20 2" xfId="864" xr:uid="{434903AB-1A9C-4F77-A960-0660D39EB49B}"/>
    <cellStyle name="40% - 강조색4 21" xfId="865" xr:uid="{39D4A1AB-598A-4614-B5BE-AD3B12F4BC29}"/>
    <cellStyle name="40% - 강조색4 21 2" xfId="866" xr:uid="{16A53DFD-ED82-415A-A465-BDB772E7F0DE}"/>
    <cellStyle name="40% - 강조색4 22" xfId="867" xr:uid="{D26936A8-9C91-4415-A7AF-6B3115DF85B4}"/>
    <cellStyle name="40% - 강조색4 22 2" xfId="868" xr:uid="{0988AF56-276A-4A53-BF13-22EDC90FAEC4}"/>
    <cellStyle name="40% - 강조색4 23" xfId="869" xr:uid="{4C4E49E0-5F71-4CDC-93BC-4BB704251AF5}"/>
    <cellStyle name="40% - 강조색4 23 2" xfId="870" xr:uid="{ED631C21-1F8D-47BD-B7F2-F49187AF57D8}"/>
    <cellStyle name="40% - 강조색4 24" xfId="871" xr:uid="{0959CBCD-B1E6-489C-9907-712040783597}"/>
    <cellStyle name="40% - 강조색4 24 2" xfId="872" xr:uid="{FAA4D799-58DA-45A6-B82D-521AF1A4BBB7}"/>
    <cellStyle name="40% - 강조색4 25" xfId="873" xr:uid="{D6D7764C-15A6-410E-912D-ACF586B233CA}"/>
    <cellStyle name="40% - 강조색4 25 2" xfId="874" xr:uid="{5DDDA7DE-A6C5-4319-911B-3F7681634D5D}"/>
    <cellStyle name="40% - 강조색4 26" xfId="875" xr:uid="{17FAA6A2-48BE-490E-B7A8-6AB0461FF657}"/>
    <cellStyle name="40% - 강조색4 26 2" xfId="876" xr:uid="{9D3A1597-C9D5-4576-B135-ECA0889DC52A}"/>
    <cellStyle name="40% - 강조색4 27" xfId="877" xr:uid="{B28DC424-D9CC-46DF-AF56-C10F9045882D}"/>
    <cellStyle name="40% - 강조색4 27 2" xfId="878" xr:uid="{E941ADAA-57DF-48CA-890C-8FAA19C42947}"/>
    <cellStyle name="40% - 강조색4 28" xfId="879" xr:uid="{48D246CA-2A94-4E32-A86B-9323C8159D0D}"/>
    <cellStyle name="40% - 강조색4 28 2" xfId="880" xr:uid="{AADE0FAE-BB26-4BFD-8C87-F3E23E178CC0}"/>
    <cellStyle name="40% - 강조색4 29" xfId="881" xr:uid="{556E2A7A-37E6-4B0E-AD5A-8A2BE9CD7977}"/>
    <cellStyle name="40% - 강조색4 29 2" xfId="882" xr:uid="{895EA40E-6148-4686-9F7C-670C4A425D51}"/>
    <cellStyle name="40% - 강조색4 3" xfId="883" xr:uid="{0D7ED648-DB56-45CE-8C76-5BBCD928E1E7}"/>
    <cellStyle name="40% - 강조색4 3 2" xfId="884" xr:uid="{70DD7936-4A9A-4F81-BA69-096A53821E28}"/>
    <cellStyle name="40% - 강조색4 30" xfId="885" xr:uid="{6554D574-35FD-48B3-81B1-4FD086F7BC98}"/>
    <cellStyle name="40% - 강조색4 30 2" xfId="886" xr:uid="{99850BE3-F993-4E39-BE30-0626E21AC4C2}"/>
    <cellStyle name="40% - 강조색4 31" xfId="887" xr:uid="{7827422D-93E7-4EE4-A9D9-E01DD3CAF49E}"/>
    <cellStyle name="40% - 강조색4 31 2" xfId="888" xr:uid="{D9542699-FC16-40F7-8532-98BFA98A9720}"/>
    <cellStyle name="40% - 강조색4 32" xfId="889" xr:uid="{FC399605-0D57-4643-A9C3-EE34B987E6B4}"/>
    <cellStyle name="40% - 강조색4 32 2" xfId="890" xr:uid="{F136028D-7018-416B-A4EF-837772539EF7}"/>
    <cellStyle name="40% - 강조색4 33" xfId="891" xr:uid="{4E2861C1-0724-4947-8BA1-7426AA1E3059}"/>
    <cellStyle name="40% - 강조색4 33 2" xfId="892" xr:uid="{FF9F15A4-D424-4CA2-8CBA-E3306A279306}"/>
    <cellStyle name="40% - 강조색4 34" xfId="893" xr:uid="{7DA7EDE7-63D2-420F-AD09-E9F71A1D4DDA}"/>
    <cellStyle name="40% - 강조색4 34 2" xfId="894" xr:uid="{C8339E3E-A52D-46D3-AEA2-B32689B21C63}"/>
    <cellStyle name="40% - 강조색4 35" xfId="895" xr:uid="{BDF42044-5367-4152-97A7-10CC85EC13D8}"/>
    <cellStyle name="40% - 강조색4 35 2" xfId="896" xr:uid="{A76D55C3-A64B-4815-BD98-9D3F744B7C83}"/>
    <cellStyle name="40% - 강조색4 36" xfId="897" xr:uid="{0D80D9CF-7ADD-4094-8334-4E3F25117242}"/>
    <cellStyle name="40% - 강조색4 36 2" xfId="898" xr:uid="{660B321D-EFBA-46D4-B16A-61B14311273A}"/>
    <cellStyle name="40% - 강조색4 37" xfId="899" xr:uid="{6C2DFFD5-9372-4148-91D5-88A954742368}"/>
    <cellStyle name="40% - 강조색4 37 2" xfId="900" xr:uid="{177798C1-050A-4145-8B2C-E739ADCCA4DB}"/>
    <cellStyle name="40% - 강조색4 38" xfId="901" xr:uid="{CDBCF8CA-6EB7-43E8-8903-70A4C51A6100}"/>
    <cellStyle name="40% - 강조색4 38 2" xfId="902" xr:uid="{06FF1A40-C608-41D7-B815-EF7317D592AE}"/>
    <cellStyle name="40% - 강조색4 39" xfId="903" xr:uid="{B61F0042-CC38-420E-BC9C-3D43CCC3AF8F}"/>
    <cellStyle name="40% - 강조색4 39 2" xfId="904" xr:uid="{8602836E-A9AE-43F9-9F39-7EAD08D5BF8E}"/>
    <cellStyle name="40% - 강조색4 4" xfId="905" xr:uid="{3CCA1306-D7E2-4703-B0AE-BA9DCDB707DB}"/>
    <cellStyle name="40% - 강조색4 4 2" xfId="906" xr:uid="{8C41B4FC-749A-4709-9BC2-9D05F2C68C30}"/>
    <cellStyle name="40% - 강조색4 40" xfId="907" xr:uid="{B993F61E-CC73-442F-B5AA-40A57D293509}"/>
    <cellStyle name="40% - 강조색4 40 2" xfId="908" xr:uid="{554BC6B3-8EBE-4557-9EF3-D87C4BAE32AF}"/>
    <cellStyle name="40% - 강조색4 41" xfId="909" xr:uid="{B7D69142-B7C9-4CBD-97A1-BC8892CA359F}"/>
    <cellStyle name="40% - 강조색4 41 2" xfId="910" xr:uid="{77D9F833-2F70-41D2-AE10-4550939AB112}"/>
    <cellStyle name="40% - 강조색4 42" xfId="911" xr:uid="{5680788C-30E6-4FF5-8741-FCA5F3C571FD}"/>
    <cellStyle name="40% - 강조색4 42 2" xfId="912" xr:uid="{08230682-0A14-44E5-B5D7-63403A779313}"/>
    <cellStyle name="40% - 강조색4 43" xfId="913" xr:uid="{57F0C130-6BD6-4F1C-8589-5125AB841787}"/>
    <cellStyle name="40% - 강조색4 43 2" xfId="914" xr:uid="{4D1F071A-0155-4A4F-BFCC-51A0A8FD6391}"/>
    <cellStyle name="40% - 강조색4 44" xfId="915" xr:uid="{67F8E554-4009-4D14-B10A-036363EE4867}"/>
    <cellStyle name="40% - 강조색4 45" xfId="916" xr:uid="{5902A8B8-BD0E-42B5-8358-412C6A398057}"/>
    <cellStyle name="40% - 강조색4 46" xfId="917" xr:uid="{466F66C3-C124-41BD-AF58-2A4C14B0587C}"/>
    <cellStyle name="40% - 강조색4 47" xfId="918" xr:uid="{485F701E-7DAE-4A8A-90CE-306AABD55A20}"/>
    <cellStyle name="40% - 강조색4 48" xfId="919" xr:uid="{CFEB005B-4E91-4ECF-977D-14A9A3111464}"/>
    <cellStyle name="40% - 강조색4 49" xfId="920" xr:uid="{F8EACB36-9913-4643-B56A-DBFD442970B0}"/>
    <cellStyle name="40% - 강조색4 5" xfId="921" xr:uid="{A168045D-6B8D-4B0F-91AA-BFB8011380BC}"/>
    <cellStyle name="40% - 강조색4 5 2" xfId="922" xr:uid="{16F20BE0-3E3E-4D74-B16B-0D9179C7FE6A}"/>
    <cellStyle name="40% - 강조색4 50" xfId="923" xr:uid="{111AC061-A974-4EF6-9953-313142E0B304}"/>
    <cellStyle name="40% - 강조색4 51" xfId="3828" xr:uid="{C1AAA803-CD1C-4893-8FF8-8D41DFA8BD37}"/>
    <cellStyle name="40% - 강조색4 51 2" xfId="3937" xr:uid="{07D6AFA8-9946-48A4-972C-7F3089418FED}"/>
    <cellStyle name="40% - 강조색4 51 2 2" xfId="4141" xr:uid="{A90DF1FC-6BB1-411D-9DD7-D6F42CD7142F}"/>
    <cellStyle name="40% - 강조색4 51 2 2 2" xfId="4445" xr:uid="{8108FBAB-499D-44D3-892B-0A7BB76329AD}"/>
    <cellStyle name="40% - 강조색4 51 2 3" xfId="4313" xr:uid="{6BB817BA-E9F3-4039-A09D-D907F4C495C6}"/>
    <cellStyle name="40% - 강조색4 51 3" xfId="4128" xr:uid="{0C2FEC70-69B9-4FDC-8488-7FFF7488739B}"/>
    <cellStyle name="40% - 강조색4 51 3 2" xfId="4432" xr:uid="{533D0652-E211-4CE3-8FB7-5D165D076AEB}"/>
    <cellStyle name="40% - 강조색4 51 4" xfId="4300" xr:uid="{B0B60E93-A5E4-40D6-998C-3F6C39F8A439}"/>
    <cellStyle name="40% - 강조색4 52" xfId="3954" xr:uid="{5A6F2644-2045-4E89-97AA-807A559EFD7B}"/>
    <cellStyle name="40% - 강조색4 52 2" xfId="4158" xr:uid="{C72374E4-8E1B-4D0D-BEA9-0261BEB477B7}"/>
    <cellStyle name="40% - 강조색4 52 2 2" xfId="4462" xr:uid="{69C86795-A505-45D6-89DF-61D8CF48CA66}"/>
    <cellStyle name="40% - 강조색4 52 3" xfId="4330" xr:uid="{ACB23416-CEFE-4009-8FA8-AAB1897A72FB}"/>
    <cellStyle name="40% - 강조색4 53" xfId="3992" xr:uid="{F882E65A-64B0-4DE5-AB31-085CDBF1CB67}"/>
    <cellStyle name="40% - 강조색4 53 2" xfId="4174" xr:uid="{D4CA958A-F6E0-48F6-8413-B46C11C59CB7}"/>
    <cellStyle name="40% - 강조색4 53 2 2" xfId="4478" xr:uid="{6B8C0A9E-67E6-42C6-BB2E-D7D3BB119B55}"/>
    <cellStyle name="40% - 강조색4 53 3" xfId="4346" xr:uid="{98043083-055F-416B-8BEB-C15D505CF5AD}"/>
    <cellStyle name="40% - 강조색4 54" xfId="4012" xr:uid="{E180377D-8BBC-4A6D-8BAF-0BCB738411D7}"/>
    <cellStyle name="40% - 강조색4 54 2" xfId="4188" xr:uid="{85CBDD70-9950-49E5-A38F-B7AB715470E0}"/>
    <cellStyle name="40% - 강조색4 54 2 2" xfId="4492" xr:uid="{E8ADA96B-8A8C-41AC-8E19-2815D3E61B69}"/>
    <cellStyle name="40% - 강조색4 54 3" xfId="4360" xr:uid="{C95CF103-A64A-4ADE-8D4E-C00D7B0A0178}"/>
    <cellStyle name="40% - 강조색4 55" xfId="4026" xr:uid="{7EB5769D-C09E-4329-B76D-89D457CE8E41}"/>
    <cellStyle name="40% - 강조색4 55 2" xfId="4202" xr:uid="{AB87D390-1AD1-4481-88CC-6EEE3AB8B90E}"/>
    <cellStyle name="40% - 강조색4 55 2 2" xfId="4506" xr:uid="{3B58FD34-8AEF-4068-9A4E-ACAD5366AE79}"/>
    <cellStyle name="40% - 강조색4 55 3" xfId="4374" xr:uid="{27500424-61FD-488E-AF66-B18712CF16B0}"/>
    <cellStyle name="40% - 강조색4 56" xfId="4040" xr:uid="{C7B8FA4C-2166-4772-B129-F6C89AED16C6}"/>
    <cellStyle name="40% - 강조색4 56 2" xfId="4216" xr:uid="{2C7620F1-5B73-4874-B554-DC827660EDC5}"/>
    <cellStyle name="40% - 강조색4 56 2 2" xfId="4520" xr:uid="{30BDFAA3-614A-4B57-91E4-FA4FC24991F8}"/>
    <cellStyle name="40% - 강조색4 56 3" xfId="4388" xr:uid="{CF34280D-DC24-410F-8805-D0596A8EDCE4}"/>
    <cellStyle name="40% - 강조색4 57" xfId="4055" xr:uid="{28AEAE58-F840-4EFE-946E-832A607053F0}"/>
    <cellStyle name="40% - 강조색4 57 2" xfId="4230" xr:uid="{543D455E-30CD-4CAB-B498-0F1A7ACB69DC}"/>
    <cellStyle name="40% - 강조색4 57 2 2" xfId="4534" xr:uid="{E6CCD7FA-33A8-424F-B8C1-860CB44483D3}"/>
    <cellStyle name="40% - 강조색4 57 3" xfId="4402" xr:uid="{D793CA31-4FC9-4380-8E1F-818F3751368B}"/>
    <cellStyle name="40% - 강조색4 58" xfId="4069" xr:uid="{C2B6A01A-9229-49C6-A1B9-558860D56D77}"/>
    <cellStyle name="40% - 강조색4 58 2" xfId="4416" xr:uid="{270A1C77-C2DF-4834-9FD3-3817BF45A83D}"/>
    <cellStyle name="40% - 강조색4 59" xfId="4087" xr:uid="{F58206D3-CC48-4ABA-BD5B-131946FC3FF6}"/>
    <cellStyle name="40% - 강조색4 6" xfId="924" xr:uid="{F686873C-C6CB-4C6C-8023-F7984B16990B}"/>
    <cellStyle name="40% - 강조색4 6 2" xfId="925" xr:uid="{8042B3E7-2B82-4B8D-98A0-A20FEA262919}"/>
    <cellStyle name="40% - 강조색4 60" xfId="4259" xr:uid="{74D430D2-3709-45C0-9EF5-40D80BF5FDD6}"/>
    <cellStyle name="40% - 강조색4 61" xfId="840" xr:uid="{CB65EDF1-DFD1-41E2-9586-0E2F99408DC8}"/>
    <cellStyle name="40% - 강조색4 7" xfId="926" xr:uid="{8E734EC6-2312-49F7-8A78-5FAEE8E2635E}"/>
    <cellStyle name="40% - 강조색4 7 2" xfId="927" xr:uid="{947122F1-72ED-482B-9898-32E424C8B8EC}"/>
    <cellStyle name="40% - 강조색4 8" xfId="928" xr:uid="{B0214116-2964-4926-971B-89BD5CE9A865}"/>
    <cellStyle name="40% - 강조색4 8 2" xfId="929" xr:uid="{9128DD6E-C88F-4B15-83F6-FED4EFD74E86}"/>
    <cellStyle name="40% - 강조색4 9" xfId="930" xr:uid="{D9FD34EA-39D0-4547-8521-E6E5F6F95B8E}"/>
    <cellStyle name="40% - 강조색4 9 2" xfId="931" xr:uid="{4727B25E-0533-4C3F-85D0-C76F0D3A84E2}"/>
    <cellStyle name="40% - 강조색5 10" xfId="933" xr:uid="{36D6ADBC-5AC6-44D4-BC5A-D3C74D09F851}"/>
    <cellStyle name="40% - 강조색5 10 2" xfId="934" xr:uid="{240C1B63-D3CF-4A4D-92BD-001FCF22B5E5}"/>
    <cellStyle name="40% - 강조색5 11" xfId="935" xr:uid="{B13CFEB0-B11C-4A83-B03F-45049CB13629}"/>
    <cellStyle name="40% - 강조색5 11 2" xfId="936" xr:uid="{89653275-E130-48A3-A845-1B6734B56F45}"/>
    <cellStyle name="40% - 강조색5 12" xfId="937" xr:uid="{A6BF2217-962D-4ACD-9FAF-4250ED6D8866}"/>
    <cellStyle name="40% - 강조색5 12 2" xfId="938" xr:uid="{F4FD04F1-CED9-43DF-AD89-69F5E6043168}"/>
    <cellStyle name="40% - 강조색5 13" xfId="939" xr:uid="{EFD43232-C9C8-4D34-979F-A98E93EEC978}"/>
    <cellStyle name="40% - 강조색5 13 2" xfId="940" xr:uid="{564CA808-D1AC-4F8A-AE24-9E09813A9679}"/>
    <cellStyle name="40% - 강조색5 14" xfId="941" xr:uid="{93A891AB-C969-4668-A1E0-3F2D39C3F8F6}"/>
    <cellStyle name="40% - 강조색5 14 2" xfId="942" xr:uid="{72B69F4A-F138-493C-9E21-5ADA9A2D08F9}"/>
    <cellStyle name="40% - 강조색5 15" xfId="943" xr:uid="{EFBF2F08-F4E7-4770-AA21-A8D9CA07FF89}"/>
    <cellStyle name="40% - 강조색5 15 2" xfId="944" xr:uid="{15B919B4-6234-4FFD-979B-20CD1FED8F01}"/>
    <cellStyle name="40% - 강조색5 16" xfId="945" xr:uid="{3D58CA5E-5B35-43E6-A9C0-DA442FE78EAE}"/>
    <cellStyle name="40% - 강조색5 16 2" xfId="946" xr:uid="{D54AB875-C8C3-4916-B387-C762791C8794}"/>
    <cellStyle name="40% - 강조색5 17" xfId="947" xr:uid="{D3E8C488-D4DB-4DDB-A2A4-040B5ECFB60B}"/>
    <cellStyle name="40% - 강조색5 17 2" xfId="948" xr:uid="{A40F5293-C8BB-4C69-87DC-464FEACAB2BD}"/>
    <cellStyle name="40% - 강조색5 18" xfId="949" xr:uid="{E47EE665-3FE1-4731-8201-CB2582228D4E}"/>
    <cellStyle name="40% - 강조색5 18 2" xfId="950" xr:uid="{8BB31D89-117D-4114-B9B3-120E60A5664C}"/>
    <cellStyle name="40% - 강조색5 19" xfId="951" xr:uid="{D2A7726A-F15D-4C11-8B65-506DB7832F6B}"/>
    <cellStyle name="40% - 강조색5 19 2" xfId="952" xr:uid="{D7FBD2E9-1189-4F52-BBBF-E3F1A9AB5C35}"/>
    <cellStyle name="40% - 강조색5 2" xfId="953" xr:uid="{AF3610C2-AD98-40B6-9B28-E0279A0C6728}"/>
    <cellStyle name="40% - 강조색5 2 2" xfId="954" xr:uid="{1666C73A-0BB7-49D5-9206-6C2FE71AEFC9}"/>
    <cellStyle name="40% - 강조색5 20" xfId="955" xr:uid="{09D435F0-632D-4C70-B732-88D31D9D3BA5}"/>
    <cellStyle name="40% - 강조색5 20 2" xfId="956" xr:uid="{70CE998B-A4DA-4E53-AC8C-A99D22024476}"/>
    <cellStyle name="40% - 강조색5 21" xfId="957" xr:uid="{58B84056-F582-4319-B8C3-E308CB9EE422}"/>
    <cellStyle name="40% - 강조색5 21 2" xfId="958" xr:uid="{2A43998B-24DF-45E2-8158-6F4AB15FE1D7}"/>
    <cellStyle name="40% - 강조색5 22" xfId="959" xr:uid="{9E9FD3EA-32F2-47F5-B192-F0C41DD59CC2}"/>
    <cellStyle name="40% - 강조색5 22 2" xfId="960" xr:uid="{4F98A08A-9168-404A-B721-86BA95874E1A}"/>
    <cellStyle name="40% - 강조색5 23" xfId="961" xr:uid="{CD3CAEE8-F868-4AFC-984E-70C002008294}"/>
    <cellStyle name="40% - 강조색5 23 2" xfId="962" xr:uid="{8BACC93B-1654-473A-AF6C-70BD13B7CFE3}"/>
    <cellStyle name="40% - 강조색5 24" xfId="963" xr:uid="{4E0D3BA2-B64E-4C4F-8632-F802E2FCB2B6}"/>
    <cellStyle name="40% - 강조색5 24 2" xfId="964" xr:uid="{1D9E1B82-2B65-4469-8544-1B3F89719C31}"/>
    <cellStyle name="40% - 강조색5 25" xfId="965" xr:uid="{97204F0A-A67C-4121-A741-1EC35746A434}"/>
    <cellStyle name="40% - 강조색5 25 2" xfId="966" xr:uid="{DCC1042F-0CBB-462E-AB84-0D8274A72B00}"/>
    <cellStyle name="40% - 강조색5 26" xfId="967" xr:uid="{E35F523E-EFB4-4F88-AE05-BDBD53C242B7}"/>
    <cellStyle name="40% - 강조색5 26 2" xfId="968" xr:uid="{1F8BC8A9-5DD3-4B9B-B4C1-9C0D3EF920E5}"/>
    <cellStyle name="40% - 강조색5 27" xfId="969" xr:uid="{789D6C69-6997-41B3-A98D-482F50BE94AF}"/>
    <cellStyle name="40% - 강조색5 27 2" xfId="970" xr:uid="{5CEFDF11-E4F4-4FDC-9EB2-248AC32690EA}"/>
    <cellStyle name="40% - 강조색5 28" xfId="971" xr:uid="{2F5DB186-ABC6-4084-AEFB-A68E99EAA83B}"/>
    <cellStyle name="40% - 강조색5 28 2" xfId="972" xr:uid="{77AF0409-B0AB-45AE-886F-B3CFCC2A93BF}"/>
    <cellStyle name="40% - 강조색5 29" xfId="973" xr:uid="{A71395D3-6F78-4237-BF82-A9798A617BAD}"/>
    <cellStyle name="40% - 강조색5 29 2" xfId="974" xr:uid="{C836AF08-65C9-4CF6-A33A-EB869125211A}"/>
    <cellStyle name="40% - 강조색5 3" xfId="975" xr:uid="{860A2644-E9B2-4311-98D9-2E262294D69E}"/>
    <cellStyle name="40% - 강조색5 3 2" xfId="976" xr:uid="{6D5067D0-2E01-4B00-97EF-52BE05B52688}"/>
    <cellStyle name="40% - 강조색5 30" xfId="977" xr:uid="{6E36D073-CA67-45C2-89EC-73F3ED83871F}"/>
    <cellStyle name="40% - 강조색5 30 2" xfId="978" xr:uid="{98621245-556C-434A-94E6-4E64F4FABAF5}"/>
    <cellStyle name="40% - 강조색5 31" xfId="979" xr:uid="{1B2A5AE2-5786-4465-8E1C-DD7C8C24544B}"/>
    <cellStyle name="40% - 강조색5 31 2" xfId="980" xr:uid="{2A8985D7-2B6C-4A4A-B458-116418B15C98}"/>
    <cellStyle name="40% - 강조색5 32" xfId="981" xr:uid="{AE31DEC8-B3C2-4543-8BFD-7505632A9D69}"/>
    <cellStyle name="40% - 강조색5 32 2" xfId="982" xr:uid="{D1B7E2F9-4F08-4BB6-B08C-DA3496653176}"/>
    <cellStyle name="40% - 강조색5 33" xfId="983" xr:uid="{B8D879F6-7298-4DFB-A996-91069D970838}"/>
    <cellStyle name="40% - 강조색5 33 2" xfId="984" xr:uid="{CC97BC6E-A57E-4717-AF30-832CA8974EEA}"/>
    <cellStyle name="40% - 강조색5 34" xfId="985" xr:uid="{D5523A73-E5D4-4A7C-8491-EE18161D8B84}"/>
    <cellStyle name="40% - 강조색5 34 2" xfId="986" xr:uid="{C6DE7F54-A0E0-495E-9685-CC99A3868944}"/>
    <cellStyle name="40% - 강조색5 35" xfId="987" xr:uid="{6C62B88E-33E8-4598-B541-06F64BD2C1E1}"/>
    <cellStyle name="40% - 강조색5 35 2" xfId="988" xr:uid="{2EDECFE6-BD4C-4342-BABC-C0C264D475D8}"/>
    <cellStyle name="40% - 강조색5 36" xfId="989" xr:uid="{9F425FE0-7599-42E4-8D7B-69BBB6C02667}"/>
    <cellStyle name="40% - 강조색5 36 2" xfId="990" xr:uid="{A3CD3865-9ACC-4864-8ACF-5BB3933155A2}"/>
    <cellStyle name="40% - 강조색5 37" xfId="991" xr:uid="{95E1F6B3-457E-4505-9025-2A264B3C8085}"/>
    <cellStyle name="40% - 강조색5 37 2" xfId="992" xr:uid="{B7E3B95F-3744-4371-ABF9-A724942A64DC}"/>
    <cellStyle name="40% - 강조색5 38" xfId="993" xr:uid="{D04C037E-9372-4628-9536-228DDF649DE5}"/>
    <cellStyle name="40% - 강조색5 38 2" xfId="994" xr:uid="{9AE33B96-C9B2-4EE8-B5BB-EC663A0A6B74}"/>
    <cellStyle name="40% - 강조색5 39" xfId="995" xr:uid="{032C8564-3950-4CC1-A5F9-9CBF49FC9C65}"/>
    <cellStyle name="40% - 강조색5 39 2" xfId="996" xr:uid="{9A86CD05-9AFA-423B-805A-6B4CCC9F0963}"/>
    <cellStyle name="40% - 강조색5 4" xfId="997" xr:uid="{DDB26A19-8AD3-4D4D-BD32-8F3916E75ADF}"/>
    <cellStyle name="40% - 강조색5 4 2" xfId="998" xr:uid="{07F39914-E912-468D-B17E-7036A6CE2397}"/>
    <cellStyle name="40% - 강조색5 40" xfId="999" xr:uid="{22FA414D-DC12-463E-93AF-215E6552D6E7}"/>
    <cellStyle name="40% - 강조색5 40 2" xfId="1000" xr:uid="{9813806E-3E08-4D3A-AC63-9790D5F2ADA5}"/>
    <cellStyle name="40% - 강조색5 41" xfId="1001" xr:uid="{3E002E1B-3502-408D-B5E1-BD8B1B4B11A6}"/>
    <cellStyle name="40% - 강조색5 41 2" xfId="1002" xr:uid="{2E7312A0-6AFD-4694-83CE-93E349462E17}"/>
    <cellStyle name="40% - 강조색5 42" xfId="1003" xr:uid="{0B62047F-B8AE-4CDB-9839-A3DF0E1F3D66}"/>
    <cellStyle name="40% - 강조색5 42 2" xfId="1004" xr:uid="{97D60C94-3ABD-4BDF-A97E-0776E62EF9E5}"/>
    <cellStyle name="40% - 강조색5 43" xfId="1005" xr:uid="{38AAB473-52E4-4F7F-A975-93D1400E4A8D}"/>
    <cellStyle name="40% - 강조색5 43 2" xfId="1006" xr:uid="{361275EB-AAD9-4D19-9967-BD226C34A57C}"/>
    <cellStyle name="40% - 강조색5 44" xfId="1007" xr:uid="{6AF9452C-81AD-4C50-8DA6-967734FCAC01}"/>
    <cellStyle name="40% - 강조색5 45" xfId="1008" xr:uid="{D506D0E9-3084-4657-AFAA-550D112D7724}"/>
    <cellStyle name="40% - 강조색5 46" xfId="1009" xr:uid="{CD715DDC-B6D7-47DF-B6B9-71D635188B4A}"/>
    <cellStyle name="40% - 강조색5 47" xfId="1010" xr:uid="{2657337F-5FFB-4E1F-BDC2-DB9615AAC657}"/>
    <cellStyle name="40% - 강조색5 48" xfId="1011" xr:uid="{3EEEF063-5D62-46DA-8BE7-9979C6ECBDA9}"/>
    <cellStyle name="40% - 강조색5 49" xfId="1012" xr:uid="{60E33134-0E10-4A8E-A86F-8BA4A79DFDD0}"/>
    <cellStyle name="40% - 강조색5 5" xfId="1013" xr:uid="{20B316BB-3D82-494D-A0B2-EC2E5EA95F5A}"/>
    <cellStyle name="40% - 강조색5 5 2" xfId="1014" xr:uid="{23266443-DF5F-4971-B0A0-BDBA20016712}"/>
    <cellStyle name="40% - 강조색5 50" xfId="1015" xr:uid="{3D625CA6-9984-4BCF-AC3E-3D1008A8B40D}"/>
    <cellStyle name="40% - 강조색5 51" xfId="3832" xr:uid="{352D41BF-4F7A-43F0-AD65-C406E0C6D59D}"/>
    <cellStyle name="40% - 강조색5 51 2" xfId="3939" xr:uid="{337DB05C-0244-4AAD-9360-7C8DF4DB4621}"/>
    <cellStyle name="40% - 강조색5 51 2 2" xfId="4143" xr:uid="{0BCA9557-17AB-4A87-8DC4-9F5FF4D6B8EA}"/>
    <cellStyle name="40% - 강조색5 51 2 2 2" xfId="4447" xr:uid="{30D27085-FD59-40CD-949F-FCD49B21A0B3}"/>
    <cellStyle name="40% - 강조색5 51 2 3" xfId="4315" xr:uid="{F4132EC6-E796-455B-A3A9-E55E33F47C9E}"/>
    <cellStyle name="40% - 강조색5 51 3" xfId="4130" xr:uid="{783E78FA-B5F2-4861-9B14-6F47D503164C}"/>
    <cellStyle name="40% - 강조색5 51 3 2" xfId="4434" xr:uid="{7D55490E-93EC-4A27-8B57-8D9F381BF2A2}"/>
    <cellStyle name="40% - 강조색5 51 4" xfId="4302" xr:uid="{8E33A931-BE76-4B68-B0D1-057A9B2AAE50}"/>
    <cellStyle name="40% - 강조색5 52" xfId="3956" xr:uid="{680038E2-A763-4B42-8838-A3E5440EEADB}"/>
    <cellStyle name="40% - 강조색5 52 2" xfId="4160" xr:uid="{31008D87-D909-4F89-9A4B-FCE1F6F3FFA5}"/>
    <cellStyle name="40% - 강조색5 52 2 2" xfId="4464" xr:uid="{73CBB339-328D-4544-B083-AC4B40A3AA3D}"/>
    <cellStyle name="40% - 강조색5 52 3" xfId="4332" xr:uid="{863AC8EC-FE02-4EC9-AE4F-52336C8C14A0}"/>
    <cellStyle name="40% - 강조색5 53" xfId="3996" xr:uid="{E1130FF5-5F03-4342-B683-28A60D51154F}"/>
    <cellStyle name="40% - 강조색5 53 2" xfId="4176" xr:uid="{2CE94EA1-5841-45A6-8A8C-3F1770F17027}"/>
    <cellStyle name="40% - 강조색5 53 2 2" xfId="4480" xr:uid="{F60831A4-17A2-43DF-ADBD-031374B3BF4C}"/>
    <cellStyle name="40% - 강조색5 53 3" xfId="4348" xr:uid="{79CDAB1F-B9C1-4C09-A199-B3CDB3FC0A09}"/>
    <cellStyle name="40% - 강조색5 54" xfId="4014" xr:uid="{0DF6C794-D185-4B9B-8D58-A70D3FB41580}"/>
    <cellStyle name="40% - 강조색5 54 2" xfId="4190" xr:uid="{23EAD901-68C4-416E-9B07-8BD8CCD1FF8E}"/>
    <cellStyle name="40% - 강조색5 54 2 2" xfId="4494" xr:uid="{CCDC2C6F-D2B0-4519-8D3C-82445BB55EAC}"/>
    <cellStyle name="40% - 강조색5 54 3" xfId="4362" xr:uid="{71585742-CAAE-456D-AE3F-4ECE28778846}"/>
    <cellStyle name="40% - 강조색5 55" xfId="4028" xr:uid="{FA53088E-EB5F-401B-B508-8F0A2F008D5B}"/>
    <cellStyle name="40% - 강조색5 55 2" xfId="4204" xr:uid="{CC5BBE74-AC41-42FE-B8C8-973B45D098D1}"/>
    <cellStyle name="40% - 강조색5 55 2 2" xfId="4508" xr:uid="{BCE59A03-EAB5-4B4E-ACEA-F2C2B4AEFBF9}"/>
    <cellStyle name="40% - 강조색5 55 3" xfId="4376" xr:uid="{2C66C777-5D7A-4C26-A9A5-5FCCCFDC9A13}"/>
    <cellStyle name="40% - 강조색5 56" xfId="4042" xr:uid="{FFCAE284-00B6-4A7B-A73A-9F8776A86527}"/>
    <cellStyle name="40% - 강조색5 56 2" xfId="4218" xr:uid="{83D3C28E-EEAB-4457-BC33-BAA3B3CEAAB6}"/>
    <cellStyle name="40% - 강조색5 56 2 2" xfId="4522" xr:uid="{BC20B18F-A77C-4816-9744-9B3F47291440}"/>
    <cellStyle name="40% - 강조색5 56 3" xfId="4390" xr:uid="{819D1AC1-B524-4610-A4F4-CD6027DC0119}"/>
    <cellStyle name="40% - 강조색5 57" xfId="4057" xr:uid="{BB11846F-7603-4806-9D10-C102E13E3498}"/>
    <cellStyle name="40% - 강조색5 57 2" xfId="4232" xr:uid="{DB821A3C-C4E3-48F6-BBC8-029EF6391FEB}"/>
    <cellStyle name="40% - 강조색5 57 2 2" xfId="4536" xr:uid="{BAFA8EDF-1207-434D-AC45-758E1BB46297}"/>
    <cellStyle name="40% - 강조색5 57 3" xfId="4404" xr:uid="{68B9015E-E66E-4393-9B31-7DDA23EB457B}"/>
    <cellStyle name="40% - 강조색5 58" xfId="4071" xr:uid="{11A5F256-35CB-4396-87BD-B82A90BC9636}"/>
    <cellStyle name="40% - 강조색5 58 2" xfId="4418" xr:uid="{7D39C532-7A81-4DEC-A567-4CCE50D676EC}"/>
    <cellStyle name="40% - 강조색5 59" xfId="4088" xr:uid="{FB4F317F-C507-4D1C-8339-0B2CA5FEFAA1}"/>
    <cellStyle name="40% - 강조색5 6" xfId="1016" xr:uid="{2CB59244-EFB0-4AF3-835B-1AE0AA708E3C}"/>
    <cellStyle name="40% - 강조색5 6 2" xfId="1017" xr:uid="{4723B4AA-4516-4E34-8E0F-44A507F46540}"/>
    <cellStyle name="40% - 강조색5 60" xfId="4260" xr:uid="{46CEB192-59B7-4060-BE0C-8A9E452ED8EB}"/>
    <cellStyle name="40% - 강조색5 61" xfId="932" xr:uid="{08BE5374-5DB5-4E3C-BB49-65F61325F659}"/>
    <cellStyle name="40% - 강조색5 7" xfId="1018" xr:uid="{874ECDFC-246E-49F1-8C1C-7E80DF073113}"/>
    <cellStyle name="40% - 강조색5 7 2" xfId="1019" xr:uid="{4B9000D6-4784-49DF-9112-B98056156ADE}"/>
    <cellStyle name="40% - 강조색5 8" xfId="1020" xr:uid="{42D8F3F2-AFED-4458-AD8C-9712D5E2CDB7}"/>
    <cellStyle name="40% - 강조색5 8 2" xfId="1021" xr:uid="{766119AA-5838-4E64-8FF3-6362746DABDE}"/>
    <cellStyle name="40% - 강조색5 9" xfId="1022" xr:uid="{080686D7-DCE7-43FA-A12A-8FD88C8D0F68}"/>
    <cellStyle name="40% - 강조색5 9 2" xfId="1023" xr:uid="{7C0BEA1F-7BAA-46C0-B48F-C9F9AB7EED53}"/>
    <cellStyle name="40% - 강조색6 10" xfId="1025" xr:uid="{0983FE62-EA5F-4F71-9CE7-A7CA93584F4F}"/>
    <cellStyle name="40% - 강조색6 10 2" xfId="1026" xr:uid="{5CEF81B4-9C88-4191-ADA3-BA099263E6E2}"/>
    <cellStyle name="40% - 강조색6 11" xfId="1027" xr:uid="{2901ED02-34D2-4EC5-90D3-90C1153773E7}"/>
    <cellStyle name="40% - 강조색6 11 2" xfId="1028" xr:uid="{FB71605D-DDEF-4B33-AA09-BF87715E401D}"/>
    <cellStyle name="40% - 강조색6 12" xfId="1029" xr:uid="{54C786DD-4F25-4525-9AD3-8A3E896B7BAB}"/>
    <cellStyle name="40% - 강조색6 12 2" xfId="1030" xr:uid="{547E5A14-A94F-46CF-8A88-AA1916B77922}"/>
    <cellStyle name="40% - 강조색6 13" xfId="1031" xr:uid="{644B37A8-E530-4BCB-98A6-B108C149F561}"/>
    <cellStyle name="40% - 강조색6 13 2" xfId="1032" xr:uid="{3731AD4E-C027-4CDC-8E6C-2818FDE4E776}"/>
    <cellStyle name="40% - 강조색6 14" xfId="1033" xr:uid="{07450738-0780-4348-A65D-B50DEE98F65B}"/>
    <cellStyle name="40% - 강조색6 14 2" xfId="1034" xr:uid="{609220B1-2850-4EEF-BA8E-C92AAE220574}"/>
    <cellStyle name="40% - 강조색6 15" xfId="1035" xr:uid="{9CF3AE30-E74E-4FB3-8664-E909B19929F1}"/>
    <cellStyle name="40% - 강조색6 15 2" xfId="1036" xr:uid="{B8D66A96-FB0F-4EA0-9550-1249A4A2EF61}"/>
    <cellStyle name="40% - 강조색6 16" xfId="1037" xr:uid="{11D9DA1F-5515-41B1-B267-AFCD45356403}"/>
    <cellStyle name="40% - 강조색6 16 2" xfId="1038" xr:uid="{4859B891-0FFD-4413-BBAC-5C2F242FF5D0}"/>
    <cellStyle name="40% - 강조색6 17" xfId="1039" xr:uid="{156B37B6-046F-48DB-90C5-CD31DA9366C0}"/>
    <cellStyle name="40% - 강조색6 17 2" xfId="1040" xr:uid="{882904D1-115C-4771-971D-549813EBC721}"/>
    <cellStyle name="40% - 강조색6 18" xfId="1041" xr:uid="{40A132E8-0520-41ED-A36A-CFBF7D86FFBA}"/>
    <cellStyle name="40% - 강조색6 18 2" xfId="1042" xr:uid="{239CD329-DC69-406B-954B-22D24395D9E5}"/>
    <cellStyle name="40% - 강조색6 19" xfId="1043" xr:uid="{1DCB1E7E-9382-40B0-B872-80B3220C34B8}"/>
    <cellStyle name="40% - 강조색6 19 2" xfId="1044" xr:uid="{4646CA63-4DF8-49B5-981B-D5A698FAC363}"/>
    <cellStyle name="40% - 강조색6 2" xfId="1045" xr:uid="{0D0B10CB-94AE-4561-9402-F9BA5628740F}"/>
    <cellStyle name="40% - 강조색6 2 2" xfId="1046" xr:uid="{4DEBDEF3-DF54-4277-B23E-D792DD2F21E3}"/>
    <cellStyle name="40% - 강조색6 20" xfId="1047" xr:uid="{6FED8941-DA32-4AA7-B4B7-8F48589F6C07}"/>
    <cellStyle name="40% - 강조색6 20 2" xfId="1048" xr:uid="{41A40E58-B79A-4E73-9B99-A93C2C34E498}"/>
    <cellStyle name="40% - 강조색6 21" xfId="1049" xr:uid="{BCE85C7D-EA99-4D1A-A052-CC1E60C74F33}"/>
    <cellStyle name="40% - 강조색6 21 2" xfId="1050" xr:uid="{EA1DADA2-70CE-46EC-81DB-6E73E6507A55}"/>
    <cellStyle name="40% - 강조색6 22" xfId="1051" xr:uid="{2B133240-848B-40C4-8CDC-36978A05479B}"/>
    <cellStyle name="40% - 강조색6 22 2" xfId="1052" xr:uid="{532CCFB3-3A87-4F70-BC03-4154728E97D2}"/>
    <cellStyle name="40% - 강조색6 23" xfId="1053" xr:uid="{A17A798D-65FE-4FA9-857F-554BA7A6D745}"/>
    <cellStyle name="40% - 강조색6 23 2" xfId="1054" xr:uid="{3B4B6AB0-B260-4FC9-90B1-92F4AB393629}"/>
    <cellStyle name="40% - 강조색6 24" xfId="1055" xr:uid="{0246C9BA-A8E1-49A6-83B5-F3D9F5E50D4B}"/>
    <cellStyle name="40% - 강조색6 24 2" xfId="1056" xr:uid="{33B6B108-E5FA-4309-90AE-A81F4A1A31B7}"/>
    <cellStyle name="40% - 강조색6 25" xfId="1057" xr:uid="{D5AD35B2-9483-4BF2-807E-2EF332BF252B}"/>
    <cellStyle name="40% - 강조색6 25 2" xfId="1058" xr:uid="{1CAB1AF0-49B6-4969-B0F7-82025A172C77}"/>
    <cellStyle name="40% - 강조색6 26" xfId="1059" xr:uid="{E84B5B7D-5C25-4DC6-A801-4EB4F394CD80}"/>
    <cellStyle name="40% - 강조색6 26 2" xfId="1060" xr:uid="{16B39A43-E9F6-47B0-8CEC-BF4E57B30547}"/>
    <cellStyle name="40% - 강조색6 27" xfId="1061" xr:uid="{50C59DB7-FFF3-4DE4-A1F7-9F9C2FE00EC2}"/>
    <cellStyle name="40% - 강조색6 27 2" xfId="1062" xr:uid="{C8942B62-25CE-4070-95ED-65F12E9552A1}"/>
    <cellStyle name="40% - 강조색6 28" xfId="1063" xr:uid="{F542B2AE-5456-4DAB-A922-5C9309B8DA17}"/>
    <cellStyle name="40% - 강조색6 28 2" xfId="1064" xr:uid="{9B8D09A0-A775-4CBF-B165-DCFE5DE2970B}"/>
    <cellStyle name="40% - 강조색6 29" xfId="1065" xr:uid="{E14C30ED-4907-4276-9B48-D30D3D32D542}"/>
    <cellStyle name="40% - 강조색6 29 2" xfId="1066" xr:uid="{5A7FED87-D71F-426A-91F5-9222297A98F0}"/>
    <cellStyle name="40% - 강조색6 3" xfId="1067" xr:uid="{2B57E467-58AD-46C4-98BF-CE6FB229A03B}"/>
    <cellStyle name="40% - 강조색6 3 2" xfId="1068" xr:uid="{ABE2592E-64DF-4EBB-B2E4-EA59AB751BC5}"/>
    <cellStyle name="40% - 강조색6 30" xfId="1069" xr:uid="{E60A8950-55A4-41E6-8F8E-904AEB5D9802}"/>
    <cellStyle name="40% - 강조색6 30 2" xfId="1070" xr:uid="{08D5035B-AD88-4FD6-9739-13E8B36FDA4E}"/>
    <cellStyle name="40% - 강조색6 31" xfId="1071" xr:uid="{FEE0AAB8-A2C4-4483-9BC5-60EE484D582A}"/>
    <cellStyle name="40% - 강조색6 31 2" xfId="1072" xr:uid="{9B598121-7EC4-4DB2-BA43-5CC03F524B2D}"/>
    <cellStyle name="40% - 강조색6 32" xfId="1073" xr:uid="{A84E7DA6-DD69-4D55-8968-21E9C19A43EB}"/>
    <cellStyle name="40% - 강조색6 32 2" xfId="1074" xr:uid="{1A20BB3D-EFA6-46DF-86F8-CDC5B2BAD27B}"/>
    <cellStyle name="40% - 강조색6 33" xfId="1075" xr:uid="{14D0BCBC-CF86-41E7-838B-2E1E49896135}"/>
    <cellStyle name="40% - 강조색6 33 2" xfId="1076" xr:uid="{BFAF9316-D108-4715-8FE9-AA17CC1DFCFD}"/>
    <cellStyle name="40% - 강조색6 34" xfId="1077" xr:uid="{AF2449B9-B8FA-4008-ADCC-63C9DC25CC87}"/>
    <cellStyle name="40% - 강조색6 34 2" xfId="1078" xr:uid="{FDD22F92-C102-42A8-9821-89A1E68024F0}"/>
    <cellStyle name="40% - 강조색6 35" xfId="1079" xr:uid="{E4A15590-64F4-4C17-A8CC-607D9B173C96}"/>
    <cellStyle name="40% - 강조색6 35 2" xfId="1080" xr:uid="{6855E1D9-FEFF-4E73-A4A8-D3FC707B0632}"/>
    <cellStyle name="40% - 강조색6 36" xfId="1081" xr:uid="{0942C892-9DD8-4667-BB10-AA753C9FD0AD}"/>
    <cellStyle name="40% - 강조색6 36 2" xfId="1082" xr:uid="{7C9B2DC0-47FC-4420-8E23-76CD1F36352A}"/>
    <cellStyle name="40% - 강조색6 37" xfId="1083" xr:uid="{54D08B08-2D70-49DD-AFDC-AB9AA33C926D}"/>
    <cellStyle name="40% - 강조색6 37 2" xfId="1084" xr:uid="{DD959F0B-FFEC-4691-AD47-D11EFB68C997}"/>
    <cellStyle name="40% - 강조색6 38" xfId="1085" xr:uid="{F920D40E-0431-41F7-A6C9-C288BF69175A}"/>
    <cellStyle name="40% - 강조색6 38 2" xfId="1086" xr:uid="{34F38DC7-AD5F-470E-A2E3-4ACB7EC6DEC5}"/>
    <cellStyle name="40% - 강조색6 39" xfId="1087" xr:uid="{C8113ECD-BD90-4617-AC57-3BEA9B65094C}"/>
    <cellStyle name="40% - 강조색6 39 2" xfId="1088" xr:uid="{50EF6029-EAF2-4352-9A72-C07EEC5CB27B}"/>
    <cellStyle name="40% - 강조색6 4" xfId="1089" xr:uid="{DF81119D-80F9-4C9B-BC29-DD8F9BA3B6F7}"/>
    <cellStyle name="40% - 강조색6 4 2" xfId="1090" xr:uid="{D210DA1C-F9AF-44A4-BE1D-0336FE03678D}"/>
    <cellStyle name="40% - 강조색6 40" xfId="1091" xr:uid="{41A89E40-A030-44A3-8C17-D33B37862EA8}"/>
    <cellStyle name="40% - 강조색6 40 2" xfId="1092" xr:uid="{278DF69E-7A8F-4FE7-9081-D9BED0DF1DE1}"/>
    <cellStyle name="40% - 강조색6 41" xfId="1093" xr:uid="{8D40CFE5-28B5-45FB-813B-9BEA7DB68982}"/>
    <cellStyle name="40% - 강조색6 41 2" xfId="1094" xr:uid="{A1B10F11-7C18-44D8-B0B8-9FB2D0EEC63C}"/>
    <cellStyle name="40% - 강조색6 42" xfId="1095" xr:uid="{60C21A68-31FB-45F1-9139-C28E91555F12}"/>
    <cellStyle name="40% - 강조색6 42 2" xfId="1096" xr:uid="{43E1F632-F6A8-49D6-AB32-8593B78F3003}"/>
    <cellStyle name="40% - 강조색6 43" xfId="1097" xr:uid="{76E80947-CBFE-45A2-8C87-904F3B132A0E}"/>
    <cellStyle name="40% - 강조색6 43 2" xfId="1098" xr:uid="{1DF05316-C40A-417A-AADB-05F61E1D108D}"/>
    <cellStyle name="40% - 강조색6 44" xfId="1099" xr:uid="{2C5946A1-0BA3-4858-9226-D56EB7ABB6DA}"/>
    <cellStyle name="40% - 강조색6 45" xfId="1100" xr:uid="{FEAC2860-13C4-4A55-9637-158FEDA4634E}"/>
    <cellStyle name="40% - 강조색6 46" xfId="1101" xr:uid="{764C2D4F-4DA4-4646-8FBF-557A9EC8DEE0}"/>
    <cellStyle name="40% - 강조색6 47" xfId="1102" xr:uid="{02D40A3A-0E15-45E8-BD3B-3A560B0FFAB8}"/>
    <cellStyle name="40% - 강조색6 48" xfId="1103" xr:uid="{650F2EAE-B5A4-443C-9AA0-79A2BC65B6B8}"/>
    <cellStyle name="40% - 강조색6 49" xfId="1104" xr:uid="{6BFBE5F0-93F1-462A-AEED-8BACCA1A7AE6}"/>
    <cellStyle name="40% - 강조색6 5" xfId="1105" xr:uid="{2B249591-F3A8-4301-B799-CEFC1259CC9D}"/>
    <cellStyle name="40% - 강조색6 5 2" xfId="1106" xr:uid="{3D9CEA79-CEAF-4520-A4A8-2A4C3E970177}"/>
    <cellStyle name="40% - 강조색6 50" xfId="1107" xr:uid="{EFC6F111-58B7-451E-AEFC-8ECDFE4D74E5}"/>
    <cellStyle name="40% - 강조색6 51" xfId="3836" xr:uid="{A545B5AC-C149-49D6-AF34-33DADCCAF40B}"/>
    <cellStyle name="40% - 강조색6 51 2" xfId="3941" xr:uid="{7756E40D-EC57-485F-A45F-E2BDA8F18EF6}"/>
    <cellStyle name="40% - 강조색6 51 2 2" xfId="4145" xr:uid="{777E97D4-9081-4D80-A4EC-987EB6FDCFE7}"/>
    <cellStyle name="40% - 강조색6 51 2 2 2" xfId="4449" xr:uid="{84BA4754-DCA5-4D4B-BAEF-A31ABE2CCAFB}"/>
    <cellStyle name="40% - 강조색6 51 2 3" xfId="4317" xr:uid="{49618EE0-B3B9-418A-B885-C5AD2710FFBF}"/>
    <cellStyle name="40% - 강조색6 51 3" xfId="4132" xr:uid="{268DA096-E494-4542-A431-14A64CE99355}"/>
    <cellStyle name="40% - 강조색6 51 3 2" xfId="4436" xr:uid="{B36035BE-DECC-4F11-8EFB-36BAC7067139}"/>
    <cellStyle name="40% - 강조색6 51 4" xfId="4304" xr:uid="{A3E6D948-242A-45E3-AE84-30BC059CF9C6}"/>
    <cellStyle name="40% - 강조색6 52" xfId="3958" xr:uid="{8F159177-C9ED-4B45-8DF7-75FC481A0A9D}"/>
    <cellStyle name="40% - 강조색6 52 2" xfId="4162" xr:uid="{114CE869-5680-450B-A19B-CB1CD5139E48}"/>
    <cellStyle name="40% - 강조색6 52 2 2" xfId="4466" xr:uid="{E84A3CCD-416C-4DA3-80D3-BC6ACC65DF9D}"/>
    <cellStyle name="40% - 강조색6 52 3" xfId="4334" xr:uid="{680D22A0-940A-4324-9A5F-2A9FFEB6CB98}"/>
    <cellStyle name="40% - 강조색6 53" xfId="4000" xr:uid="{070C5480-F1E3-44E9-8FB6-A385691FE362}"/>
    <cellStyle name="40% - 강조색6 53 2" xfId="4178" xr:uid="{D279C4B0-B6CC-466C-9FBE-08DE12BB266C}"/>
    <cellStyle name="40% - 강조색6 53 2 2" xfId="4482" xr:uid="{588D5937-17CA-4234-897F-5078DDBB2FE5}"/>
    <cellStyle name="40% - 강조색6 53 3" xfId="4350" xr:uid="{A55ACE55-6DB3-4A01-B723-F0DCCBDE94E4}"/>
    <cellStyle name="40% - 강조색6 54" xfId="4016" xr:uid="{3EB95E23-4329-45AF-96ED-8B43F68B6575}"/>
    <cellStyle name="40% - 강조색6 54 2" xfId="4192" xr:uid="{226A0125-36B4-4E93-85E6-15DED05A37F1}"/>
    <cellStyle name="40% - 강조색6 54 2 2" xfId="4496" xr:uid="{5834360B-79C8-4E86-88CF-5EFFB1B7D488}"/>
    <cellStyle name="40% - 강조색6 54 3" xfId="4364" xr:uid="{960F979D-43AF-4DE5-A06E-62546D89BD3A}"/>
    <cellStyle name="40% - 강조색6 55" xfId="4030" xr:uid="{C6FF267C-59F2-4687-9EBF-1C0DCD214235}"/>
    <cellStyle name="40% - 강조색6 55 2" xfId="4206" xr:uid="{E2903E81-0F49-49DA-83F6-35A35171FFBB}"/>
    <cellStyle name="40% - 강조색6 55 2 2" xfId="4510" xr:uid="{E90F535F-8971-4F39-A875-21FEE40B781C}"/>
    <cellStyle name="40% - 강조색6 55 3" xfId="4378" xr:uid="{E99A5F6F-3209-4190-BA22-9C5DDF1BA095}"/>
    <cellStyle name="40% - 강조색6 56" xfId="4044" xr:uid="{BDB26DE8-8EAE-420C-AE22-4F55150B5FBA}"/>
    <cellStyle name="40% - 강조색6 56 2" xfId="4220" xr:uid="{C213AE8D-0886-48CF-80FC-0E63EC09DDAC}"/>
    <cellStyle name="40% - 강조색6 56 2 2" xfId="4524" xr:uid="{A9D796F8-2063-4550-B48B-6535DD7B1037}"/>
    <cellStyle name="40% - 강조색6 56 3" xfId="4392" xr:uid="{395B6393-C323-403D-9DEF-90EC8FB74DFC}"/>
    <cellStyle name="40% - 강조색6 57" xfId="4059" xr:uid="{B538F27E-64B6-4290-B6DB-B3A1583838A3}"/>
    <cellStyle name="40% - 강조색6 57 2" xfId="4234" xr:uid="{04FB64AE-5266-4953-B15A-A0F95D4AA070}"/>
    <cellStyle name="40% - 강조색6 57 2 2" xfId="4538" xr:uid="{E730230F-CF5E-4A2E-87B6-9A2A132E3FFC}"/>
    <cellStyle name="40% - 강조색6 57 3" xfId="4406" xr:uid="{7796E7AC-E269-436E-A4F8-E84E86A26888}"/>
    <cellStyle name="40% - 강조색6 58" xfId="4073" xr:uid="{C70FC191-3AEC-4DB4-8C21-B3BEB009B5AB}"/>
    <cellStyle name="40% - 강조색6 58 2" xfId="4420" xr:uid="{6425C172-5B73-457E-A54A-1161B850D7A4}"/>
    <cellStyle name="40% - 강조색6 59" xfId="4089" xr:uid="{6B0DEE76-8743-42C8-9E73-60E00CEF5747}"/>
    <cellStyle name="40% - 강조색6 6" xfId="1108" xr:uid="{87F0CC7B-A77D-4C81-B295-5548DEC13CC6}"/>
    <cellStyle name="40% - 강조색6 6 2" xfId="1109" xr:uid="{7869EF69-123C-483C-932F-938797FB1DA3}"/>
    <cellStyle name="40% - 강조색6 60" xfId="4261" xr:uid="{E9D18383-CB64-45B5-B207-D684EB015CFF}"/>
    <cellStyle name="40% - 강조색6 61" xfId="1024" xr:uid="{A8CDC0BF-4669-4F15-9497-A58C4A5445E0}"/>
    <cellStyle name="40% - 강조색6 7" xfId="1110" xr:uid="{589BB642-266C-4779-A4E3-8220451C532F}"/>
    <cellStyle name="40% - 강조색6 7 2" xfId="1111" xr:uid="{198F913D-005B-48C9-BCC7-A4BEC9B9A415}"/>
    <cellStyle name="40% - 강조색6 8" xfId="1112" xr:uid="{1A44B0AD-A7A8-4AA3-B660-34695A1986A2}"/>
    <cellStyle name="40% - 강조색6 8 2" xfId="1113" xr:uid="{0DE3B81C-6E69-4FD8-8085-DB0DAF2B3506}"/>
    <cellStyle name="40% - 강조색6 9" xfId="1114" xr:uid="{276C9C17-8EB1-4B47-ABF8-5C92CA638626}"/>
    <cellStyle name="40% - 강조색6 9 2" xfId="1115" xr:uid="{7E0EBADD-AB9F-4747-81AC-7B1F275D7265}"/>
    <cellStyle name="60% - 강조색1 10" xfId="1117" xr:uid="{2ECA0EC6-B24F-4289-AF73-C56982E346FD}"/>
    <cellStyle name="60% - 강조색1 10 2" xfId="1118" xr:uid="{BCA32CBA-C876-4CC3-B0AA-93F7EFC47C5E}"/>
    <cellStyle name="60% - 강조색1 11" xfId="1119" xr:uid="{53EDE8DE-F0F4-41D8-95BD-082F2E455895}"/>
    <cellStyle name="60% - 강조색1 11 2" xfId="1120" xr:uid="{BD0C5A8E-E8D5-4BBB-9A7D-6588F461E0A8}"/>
    <cellStyle name="60% - 강조색1 12" xfId="1121" xr:uid="{F7C3E3D6-709B-45FE-AE28-8A34D72B2C2A}"/>
    <cellStyle name="60% - 강조색1 12 2" xfId="1122" xr:uid="{87F6FBC7-D56C-43DF-8333-59FF1B010025}"/>
    <cellStyle name="60% - 강조색1 13" xfId="1123" xr:uid="{AE8280F3-0851-4018-BD9A-074FD65C3C84}"/>
    <cellStyle name="60% - 강조색1 13 2" xfId="1124" xr:uid="{6FC18080-28CC-4E3F-90BD-7FCF28A15619}"/>
    <cellStyle name="60% - 강조색1 14" xfId="1125" xr:uid="{0F070364-4609-4E3A-98D3-7DA47C175949}"/>
    <cellStyle name="60% - 강조색1 14 2" xfId="1126" xr:uid="{EFC68A93-A696-4C3E-B64C-918BED1D0CF7}"/>
    <cellStyle name="60% - 강조색1 15" xfId="1127" xr:uid="{C1715ECA-304B-4CA2-931C-C43F6A6CC381}"/>
    <cellStyle name="60% - 강조색1 15 2" xfId="1128" xr:uid="{F9357DDD-6200-4E0E-80D8-D2A0E8DE9B3F}"/>
    <cellStyle name="60% - 강조색1 16" xfId="1129" xr:uid="{4A34EAA1-E717-451C-BC07-135EC3966681}"/>
    <cellStyle name="60% - 강조색1 16 2" xfId="1130" xr:uid="{AD4D3062-3BC5-4BAF-82DB-A48C2B3CCFF4}"/>
    <cellStyle name="60% - 강조색1 17" xfId="1131" xr:uid="{B1562076-5C39-46B5-91EC-2A5620F39F85}"/>
    <cellStyle name="60% - 강조색1 17 2" xfId="1132" xr:uid="{CCEDBE7F-E470-4028-98BB-35470C25D443}"/>
    <cellStyle name="60% - 강조색1 18" xfId="1133" xr:uid="{7D60759C-0DEC-491E-9F36-1D1A4B2E9AC5}"/>
    <cellStyle name="60% - 강조색1 18 2" xfId="1134" xr:uid="{85E4474E-672D-42E0-9206-8A8D1423293F}"/>
    <cellStyle name="60% - 강조색1 19" xfId="1135" xr:uid="{D843FEB0-4988-419A-92DB-5972E0FFD504}"/>
    <cellStyle name="60% - 강조색1 19 2" xfId="1136" xr:uid="{40009BC0-C45E-42E5-B1DA-1B990DE0DB66}"/>
    <cellStyle name="60% - 강조색1 2" xfId="1137" xr:uid="{21320432-A1F4-42C9-98CD-0ED1B8FED2ED}"/>
    <cellStyle name="60% - 강조색1 2 2" xfId="1138" xr:uid="{822C60A4-ED1F-4C07-B152-4CC4923029DD}"/>
    <cellStyle name="60% - 강조색1 20" xfId="1139" xr:uid="{936ED548-187B-4923-AF9E-DBB9E9778756}"/>
    <cellStyle name="60% - 강조색1 20 2" xfId="1140" xr:uid="{1FF5CCF3-CDFD-4751-B804-9D42B8D5E308}"/>
    <cellStyle name="60% - 강조색1 21" xfId="1141" xr:uid="{7D48B13C-D1DA-440C-B0C1-5BAA1F1C4C2C}"/>
    <cellStyle name="60% - 강조색1 21 2" xfId="1142" xr:uid="{CE6545C6-6144-4F0C-AA57-308F9B735CFB}"/>
    <cellStyle name="60% - 강조색1 22" xfId="1143" xr:uid="{B2E89D50-6E14-4E26-B320-6D3234F5F16A}"/>
    <cellStyle name="60% - 강조색1 22 2" xfId="1144" xr:uid="{86A3242F-D89E-40EF-B3A4-3346722AE3B2}"/>
    <cellStyle name="60% - 강조색1 23" xfId="1145" xr:uid="{866E9AC1-A086-481A-90FF-7073F3C09979}"/>
    <cellStyle name="60% - 강조색1 23 2" xfId="1146" xr:uid="{A87D21DE-2D35-4218-9433-9D6F4A3DE1AE}"/>
    <cellStyle name="60% - 강조색1 24" xfId="1147" xr:uid="{85EC8752-5D18-4B16-8550-BC156E079063}"/>
    <cellStyle name="60% - 강조색1 24 2" xfId="1148" xr:uid="{FC77CBEB-44E6-4A93-ABDD-DD344EC05F61}"/>
    <cellStyle name="60% - 강조색1 25" xfId="1149" xr:uid="{15FD812E-F51E-4E78-AE84-16D22A982A74}"/>
    <cellStyle name="60% - 강조색1 25 2" xfId="1150" xr:uid="{2FD9FB10-C580-4CDE-B9CB-0C9C5F15D2D7}"/>
    <cellStyle name="60% - 강조색1 26" xfId="1151" xr:uid="{8AEF212E-7278-4A64-B7A7-0ED935DB61FA}"/>
    <cellStyle name="60% - 강조색1 26 2" xfId="1152" xr:uid="{F7CBFE28-FABB-4976-95BC-D178B62CE2AF}"/>
    <cellStyle name="60% - 강조색1 27" xfId="1153" xr:uid="{1A31F55B-7A74-4FEB-942A-7D7C99158302}"/>
    <cellStyle name="60% - 강조색1 27 2" xfId="1154" xr:uid="{88491E4D-6BA4-4532-AA3B-28663E520129}"/>
    <cellStyle name="60% - 강조색1 28" xfId="1155" xr:uid="{7FAAB436-8DE7-4872-9A4B-A72E1CC976AD}"/>
    <cellStyle name="60% - 강조색1 28 2" xfId="1156" xr:uid="{43DEB5D1-8BA7-4249-8854-BD57D812B244}"/>
    <cellStyle name="60% - 강조색1 29" xfId="1157" xr:uid="{4DF4BF79-A8B8-47B6-A981-8FCAF7ED4A48}"/>
    <cellStyle name="60% - 강조색1 29 2" xfId="1158" xr:uid="{A31686D5-4486-4AE7-B1F4-64BF0D8CB2AA}"/>
    <cellStyle name="60% - 강조색1 3" xfId="1159" xr:uid="{991D8F1B-E420-4260-98EA-889C12452CB2}"/>
    <cellStyle name="60% - 강조색1 3 2" xfId="1160" xr:uid="{570A3E89-7269-4897-A874-2B59C849E0B7}"/>
    <cellStyle name="60% - 강조색1 30" xfId="1161" xr:uid="{A0B85C24-57B8-4968-A507-CACF2F2593C0}"/>
    <cellStyle name="60% - 강조색1 30 2" xfId="1162" xr:uid="{A5559214-D0BA-478C-9C07-313D4368349E}"/>
    <cellStyle name="60% - 강조색1 31" xfId="1163" xr:uid="{D406CCFE-5C5D-4598-99ED-ABFA0C0AA465}"/>
    <cellStyle name="60% - 강조색1 31 2" xfId="1164" xr:uid="{656141F0-196F-4B23-A99E-80859D95C446}"/>
    <cellStyle name="60% - 강조색1 32" xfId="1165" xr:uid="{46B026F0-72D8-4168-8309-AD15D58DDCDC}"/>
    <cellStyle name="60% - 강조색1 32 2" xfId="1166" xr:uid="{F19BD583-0A21-4943-8F09-017564B3E658}"/>
    <cellStyle name="60% - 강조색1 33" xfId="1167" xr:uid="{F2DD7DF0-8872-4A53-8D9A-9C85DD0D19AF}"/>
    <cellStyle name="60% - 강조색1 33 2" xfId="1168" xr:uid="{A0F2B445-9B79-4833-8371-E50829DF1196}"/>
    <cellStyle name="60% - 강조색1 34" xfId="1169" xr:uid="{659E7D9C-4842-45A7-A0C5-14F5030D2FF1}"/>
    <cellStyle name="60% - 강조색1 34 2" xfId="1170" xr:uid="{903364DC-6F84-47AE-85AA-BB2CB984A304}"/>
    <cellStyle name="60% - 강조색1 35" xfId="1171" xr:uid="{FFC504D4-75D8-4EE8-A01E-5F82D8F06DA6}"/>
    <cellStyle name="60% - 강조색1 35 2" xfId="1172" xr:uid="{6061152A-65EA-49F1-8F9B-279C833E2A52}"/>
    <cellStyle name="60% - 강조색1 36" xfId="1173" xr:uid="{09DB6E1E-0596-48E3-B546-69A0F8B1E9B3}"/>
    <cellStyle name="60% - 강조색1 36 2" xfId="1174" xr:uid="{6A56FB08-AFBA-4248-ADC1-5FC92223D852}"/>
    <cellStyle name="60% - 강조색1 37" xfId="1175" xr:uid="{F101F1D1-1B99-407F-A1CB-E0307B8EBFFC}"/>
    <cellStyle name="60% - 강조색1 37 2" xfId="1176" xr:uid="{1B4C2187-E09F-42C9-991E-C91C3E56C315}"/>
    <cellStyle name="60% - 강조색1 38" xfId="1177" xr:uid="{EE7624F6-E9DC-40D8-A65F-5274FDDC27BE}"/>
    <cellStyle name="60% - 강조색1 38 2" xfId="1178" xr:uid="{0AD37FF6-911A-4C70-8043-4A26F3181600}"/>
    <cellStyle name="60% - 강조색1 39" xfId="1179" xr:uid="{6C390B71-7BF9-4961-B65F-FEDDAFE9930A}"/>
    <cellStyle name="60% - 강조색1 39 2" xfId="1180" xr:uid="{D09B7FF0-F766-4E08-9FC6-01376565ECBD}"/>
    <cellStyle name="60% - 강조색1 4" xfId="1181" xr:uid="{C39B7B44-FA2F-4F6D-8A4A-F0A23ED80087}"/>
    <cellStyle name="60% - 강조색1 4 2" xfId="1182" xr:uid="{3290BED3-E2D1-46B7-99C0-06B82FDDC485}"/>
    <cellStyle name="60% - 강조색1 40" xfId="1183" xr:uid="{898C2E4D-C938-45C4-B685-F097402AEF68}"/>
    <cellStyle name="60% - 강조색1 40 2" xfId="1184" xr:uid="{ACFFBD4A-9C25-42B8-BBFA-9DFD98BA757A}"/>
    <cellStyle name="60% - 강조색1 41" xfId="1185" xr:uid="{028E63DD-247C-49F8-BC78-C1223AF2B9AB}"/>
    <cellStyle name="60% - 강조색1 41 2" xfId="1186" xr:uid="{1669B046-C853-46D2-8EFC-F31E5C770B0A}"/>
    <cellStyle name="60% - 강조색1 42" xfId="1187" xr:uid="{1EEDBAAA-5E2A-4365-B591-79EE3B1A6DA4}"/>
    <cellStyle name="60% - 강조색1 42 2" xfId="1188" xr:uid="{DF995A60-3FCE-4520-9DE1-7232604F7540}"/>
    <cellStyle name="60% - 강조색1 43" xfId="1189" xr:uid="{F57B42EA-F5CE-4126-A9F2-C48D43CAA56D}"/>
    <cellStyle name="60% - 강조색1 43 2" xfId="1190" xr:uid="{5200EADE-119A-47AC-80D5-C41CFDA86CC6}"/>
    <cellStyle name="60% - 강조색1 44" xfId="1191" xr:uid="{D6578B3A-761D-4B04-851F-B816977A026E}"/>
    <cellStyle name="60% - 강조색1 45" xfId="1192" xr:uid="{DFA3A3D3-4949-47BF-BCC1-CDE93C55CBA9}"/>
    <cellStyle name="60% - 강조색1 46" xfId="1193" xr:uid="{3121E23A-B0DE-4EB4-8FD1-D6D57BE67CD7}"/>
    <cellStyle name="60% - 강조색1 47" xfId="1194" xr:uid="{ED87380A-FC41-4CBA-9BED-0AB732455FAC}"/>
    <cellStyle name="60% - 강조색1 48" xfId="1195" xr:uid="{685C73C5-5D6C-4B10-9897-84693ED09799}"/>
    <cellStyle name="60% - 강조색1 49" xfId="1196" xr:uid="{9A38E2E8-79D8-457C-99BA-C0D63C109B3A}"/>
    <cellStyle name="60% - 강조색1 5" xfId="1197" xr:uid="{2082C003-52E3-48DF-BBB8-F13E350B644F}"/>
    <cellStyle name="60% - 강조색1 5 2" xfId="1198" xr:uid="{DCFF1EEC-2EDE-45AD-A409-FD61FCC43F53}"/>
    <cellStyle name="60% - 강조색1 50" xfId="1199" xr:uid="{F75EC860-53F4-4162-9C22-733F133F79ED}"/>
    <cellStyle name="60% - 강조색1 51" xfId="3817" xr:uid="{016DB7AF-D9C0-4425-AD29-0CA6506424B2}"/>
    <cellStyle name="60% - 강조색1 52" xfId="3981" xr:uid="{4267FCB7-95EC-4B83-9666-6D1AD16ACC30}"/>
    <cellStyle name="60% - 강조색1 53" xfId="4090" xr:uid="{60C05325-AF80-4364-8E70-971CFF049745}"/>
    <cellStyle name="60% - 강조색1 54" xfId="4262" xr:uid="{0B7805DC-36CE-4FB0-8168-96BEF6CC8DD3}"/>
    <cellStyle name="60% - 강조색1 55" xfId="1116" xr:uid="{9B82F403-FA8B-4B5D-A1C2-1974C90B367A}"/>
    <cellStyle name="60% - 강조색1 6" xfId="1200" xr:uid="{AC31CAE3-9781-481D-BE74-9326913D45E4}"/>
    <cellStyle name="60% - 강조색1 6 2" xfId="1201" xr:uid="{61E308B7-4FF9-4030-8D89-9363C4A4481E}"/>
    <cellStyle name="60% - 강조색1 7" xfId="1202" xr:uid="{EA7807AC-DBF7-4B76-A66C-7F699E253640}"/>
    <cellStyle name="60% - 강조색1 7 2" xfId="1203" xr:uid="{B5F67352-22ED-4A46-B22B-0C24479525F8}"/>
    <cellStyle name="60% - 강조색1 8" xfId="1204" xr:uid="{01951406-5F03-4C06-A0ED-B2AA9D1715F9}"/>
    <cellStyle name="60% - 강조색1 8 2" xfId="1205" xr:uid="{F215B22D-535B-45C7-B189-50642C4A7467}"/>
    <cellStyle name="60% - 강조색1 9" xfId="1206" xr:uid="{62A1D673-D779-4887-AAAA-EAAC9D31FC8C}"/>
    <cellStyle name="60% - 강조색1 9 2" xfId="1207" xr:uid="{F399D83C-01D9-428A-9E8B-9E221208AD9E}"/>
    <cellStyle name="60% - 강조색2 10" xfId="1209" xr:uid="{C4A83D71-5C95-46EA-80FA-2E3DE07ABAD8}"/>
    <cellStyle name="60% - 강조색2 10 2" xfId="1210" xr:uid="{F27316F3-6BB5-4754-A178-CAA00DA6D1E2}"/>
    <cellStyle name="60% - 강조색2 11" xfId="1211" xr:uid="{BE255322-FA46-4639-8070-D071BF7D2C1C}"/>
    <cellStyle name="60% - 강조색2 11 2" xfId="1212" xr:uid="{217F0889-6C7B-4AF3-8414-E9E559D77E43}"/>
    <cellStyle name="60% - 강조색2 12" xfId="1213" xr:uid="{39C3C7D3-AD2D-43EB-B787-929ECC5DE05E}"/>
    <cellStyle name="60% - 강조색2 12 2" xfId="1214" xr:uid="{D40FC741-887C-4160-ABD7-4DECCA5F1E33}"/>
    <cellStyle name="60% - 강조색2 13" xfId="1215" xr:uid="{C428A203-9688-48B5-AF7C-BDC923A0D7A0}"/>
    <cellStyle name="60% - 강조색2 13 2" xfId="1216" xr:uid="{E5B5A374-0374-4B88-999B-EE4273AB87A2}"/>
    <cellStyle name="60% - 강조색2 14" xfId="1217" xr:uid="{C934CB67-EF80-4CDC-AEC6-BDB220BB88A4}"/>
    <cellStyle name="60% - 강조색2 14 2" xfId="1218" xr:uid="{C3FB2746-58DB-46B0-9323-BFB61473CCA4}"/>
    <cellStyle name="60% - 강조색2 15" xfId="1219" xr:uid="{C9122F8D-BA5F-4903-9FE7-7F91A68671B7}"/>
    <cellStyle name="60% - 강조색2 15 2" xfId="1220" xr:uid="{7564B01E-3F0A-46E6-BB65-5F674A608F13}"/>
    <cellStyle name="60% - 강조색2 16" xfId="1221" xr:uid="{C5814D28-E088-4B1E-A923-7989E2798E7B}"/>
    <cellStyle name="60% - 강조색2 16 2" xfId="1222" xr:uid="{A513FC50-A548-41B4-B141-203539145D97}"/>
    <cellStyle name="60% - 강조색2 17" xfId="1223" xr:uid="{5E38B986-3024-487D-BAE7-54482D70CE52}"/>
    <cellStyle name="60% - 강조색2 17 2" xfId="1224" xr:uid="{CE588CC0-1579-4A4A-90E0-6844C1B607F2}"/>
    <cellStyle name="60% - 강조색2 18" xfId="1225" xr:uid="{D7AF0EC8-AB2D-4D0B-9855-D526390926CC}"/>
    <cellStyle name="60% - 강조색2 18 2" xfId="1226" xr:uid="{B0B4983E-62EC-4CB8-8062-F1CADAC9486E}"/>
    <cellStyle name="60% - 강조색2 19" xfId="1227" xr:uid="{6F27260C-3CA9-4D54-9DCB-184D3568353C}"/>
    <cellStyle name="60% - 강조색2 19 2" xfId="1228" xr:uid="{77161747-BEFE-4062-8148-ADC0325CB5BE}"/>
    <cellStyle name="60% - 강조색2 2" xfId="1229" xr:uid="{835185E9-28C4-43A7-82C3-0E7111D631D5}"/>
    <cellStyle name="60% - 강조색2 2 2" xfId="1230" xr:uid="{67E2D653-600C-4F3C-8B18-339CF3239489}"/>
    <cellStyle name="60% - 강조색2 20" xfId="1231" xr:uid="{418A4D0A-7869-41BC-831D-19A67A563D31}"/>
    <cellStyle name="60% - 강조색2 20 2" xfId="1232" xr:uid="{B33AAF2D-098F-41CC-80DF-793C6A5ECCAA}"/>
    <cellStyle name="60% - 강조색2 21" xfId="1233" xr:uid="{962AB10F-DDA2-4E06-9E58-D4739EC26C5E}"/>
    <cellStyle name="60% - 강조색2 21 2" xfId="1234" xr:uid="{051714DC-DD52-4CF1-8EC9-DA1D8BA9B35F}"/>
    <cellStyle name="60% - 강조색2 22" xfId="1235" xr:uid="{05D317AD-42E4-494F-8E7D-C6D1E8274EEB}"/>
    <cellStyle name="60% - 강조색2 22 2" xfId="1236" xr:uid="{B0922B57-16DA-41B1-AB73-177D6B75CBAC}"/>
    <cellStyle name="60% - 강조색2 23" xfId="1237" xr:uid="{3464B90F-58FA-44BE-B7A2-020B06DEC833}"/>
    <cellStyle name="60% - 강조색2 23 2" xfId="1238" xr:uid="{04FA59E0-3D68-41D2-9476-D3FE5B01C7BD}"/>
    <cellStyle name="60% - 강조색2 24" xfId="1239" xr:uid="{33878349-6380-4EFB-9F23-3D4C3D3F824B}"/>
    <cellStyle name="60% - 강조색2 24 2" xfId="1240" xr:uid="{1B5A36E7-6B3F-4F52-BA64-F039932D1DCA}"/>
    <cellStyle name="60% - 강조색2 25" xfId="1241" xr:uid="{5729EE85-08CA-455E-A53C-D83819EF5F5B}"/>
    <cellStyle name="60% - 강조색2 25 2" xfId="1242" xr:uid="{9783FE39-5FAA-4960-81B9-A04BBBAB5AB1}"/>
    <cellStyle name="60% - 강조색2 26" xfId="1243" xr:uid="{F5D0AF8E-4C3A-4F94-8E18-78ABA18EEE0A}"/>
    <cellStyle name="60% - 강조색2 26 2" xfId="1244" xr:uid="{2A9E78B4-22AF-42AA-8A13-2C68852814A1}"/>
    <cellStyle name="60% - 강조색2 27" xfId="1245" xr:uid="{220FEE69-AEDB-4541-8269-22EC45FA3E2A}"/>
    <cellStyle name="60% - 강조색2 27 2" xfId="1246" xr:uid="{84E92462-9E3B-4F05-88FD-35C3AEA3221F}"/>
    <cellStyle name="60% - 강조색2 28" xfId="1247" xr:uid="{457DB45D-A49C-478D-AEF2-D1870FF4E599}"/>
    <cellStyle name="60% - 강조색2 28 2" xfId="1248" xr:uid="{2B5E453E-0472-45E1-90C1-37489393DE88}"/>
    <cellStyle name="60% - 강조색2 29" xfId="1249" xr:uid="{E000D7CE-A243-49E4-981D-CBC758430587}"/>
    <cellStyle name="60% - 강조색2 29 2" xfId="1250" xr:uid="{55F908FB-1598-4D44-96E6-C2A739DEBE2A}"/>
    <cellStyle name="60% - 강조색2 3" xfId="1251" xr:uid="{1195CDC0-BB48-4BA0-82DD-6F49710B8612}"/>
    <cellStyle name="60% - 강조색2 3 2" xfId="1252" xr:uid="{3A79AB1D-9581-46B0-97AC-BF4DB0C54C9D}"/>
    <cellStyle name="60% - 강조색2 30" xfId="1253" xr:uid="{D326AA65-12F4-4DD2-9A46-CDAD6CBDC04F}"/>
    <cellStyle name="60% - 강조색2 30 2" xfId="1254" xr:uid="{4C1BF561-01DB-47B7-86C9-7FFC8A47A34B}"/>
    <cellStyle name="60% - 강조색2 31" xfId="1255" xr:uid="{A4366CD4-40F5-4F66-9D8C-0700B6C94156}"/>
    <cellStyle name="60% - 강조색2 31 2" xfId="1256" xr:uid="{25F8AA0E-018A-4D21-B847-3DFAD94D0DB7}"/>
    <cellStyle name="60% - 강조색2 32" xfId="1257" xr:uid="{75315703-FCE7-42FA-8A46-D6E82CD01D0E}"/>
    <cellStyle name="60% - 강조색2 32 2" xfId="1258" xr:uid="{DB4A10F9-C8FA-488F-919D-F7D0B71B7CCE}"/>
    <cellStyle name="60% - 강조색2 33" xfId="1259" xr:uid="{692C3650-A71E-4EAD-A752-5FF726E7C701}"/>
    <cellStyle name="60% - 강조색2 33 2" xfId="1260" xr:uid="{83989FB0-8661-4762-868E-B2C12DE331EE}"/>
    <cellStyle name="60% - 강조색2 34" xfId="1261" xr:uid="{2D23340C-01B0-42AC-955D-8DD7BA1EE95C}"/>
    <cellStyle name="60% - 강조색2 34 2" xfId="1262" xr:uid="{150CEF4E-0C40-42AC-B50C-BCBD8E1B0B27}"/>
    <cellStyle name="60% - 강조색2 35" xfId="1263" xr:uid="{B6FCE777-DD40-4DF6-B523-ED61CDAB59A7}"/>
    <cellStyle name="60% - 강조색2 35 2" xfId="1264" xr:uid="{61B2AF1C-EA6A-4D7C-9A28-C260821D35F2}"/>
    <cellStyle name="60% - 강조색2 36" xfId="1265" xr:uid="{FAD6EE56-9DD0-4430-AE0F-1DFD286907F7}"/>
    <cellStyle name="60% - 강조색2 36 2" xfId="1266" xr:uid="{CBFE72D3-3775-499D-AB80-7C1F63C7D52F}"/>
    <cellStyle name="60% - 강조색2 37" xfId="1267" xr:uid="{0403CF74-DA58-41AF-BA33-BA795503FB60}"/>
    <cellStyle name="60% - 강조색2 37 2" xfId="1268" xr:uid="{432F5E95-1C2A-4FB5-8616-2C33AEA7D957}"/>
    <cellStyle name="60% - 강조색2 38" xfId="1269" xr:uid="{D4B3D46B-D4D0-455F-891C-05320A36ADC8}"/>
    <cellStyle name="60% - 강조색2 38 2" xfId="1270" xr:uid="{A6E902C8-D3C6-470A-9B1C-7864A3A2F93C}"/>
    <cellStyle name="60% - 강조색2 39" xfId="1271" xr:uid="{3478CE18-C87B-4D23-B3CC-111BEEE96661}"/>
    <cellStyle name="60% - 강조색2 39 2" xfId="1272" xr:uid="{E429EDEF-43E5-433D-B9E8-BDE843F0402A}"/>
    <cellStyle name="60% - 강조색2 4" xfId="1273" xr:uid="{B47FA3D8-1705-48EB-B85B-47F8E7EC0F34}"/>
    <cellStyle name="60% - 강조색2 4 2" xfId="1274" xr:uid="{23221281-4C9F-4127-9FDA-46143DB67062}"/>
    <cellStyle name="60% - 강조색2 40" xfId="1275" xr:uid="{987D0630-FECD-4BF2-87FE-639F9FD6D82F}"/>
    <cellStyle name="60% - 강조색2 40 2" xfId="1276" xr:uid="{7FA15DE3-5CC1-4D0D-8C58-895DB28E7B3F}"/>
    <cellStyle name="60% - 강조색2 41" xfId="1277" xr:uid="{BFE00E03-448B-46AA-B2DC-2DEAD2574232}"/>
    <cellStyle name="60% - 강조색2 41 2" xfId="1278" xr:uid="{5603817E-4C36-40FA-9D55-DE8AC4876200}"/>
    <cellStyle name="60% - 강조색2 42" xfId="1279" xr:uid="{47CC106A-0931-470E-81E2-EBA417A8281D}"/>
    <cellStyle name="60% - 강조색2 42 2" xfId="1280" xr:uid="{30958D76-C132-46E4-BD81-D1904901AADF}"/>
    <cellStyle name="60% - 강조색2 43" xfId="1281" xr:uid="{599AA691-7E30-435E-8F9D-49890A6CFAFB}"/>
    <cellStyle name="60% - 강조색2 43 2" xfId="1282" xr:uid="{B39B0709-0CAD-4ACE-BFA3-0D1E311724EB}"/>
    <cellStyle name="60% - 강조색2 44" xfId="1283" xr:uid="{C5F4D24B-C67C-4AD7-AD8D-C463CD537919}"/>
    <cellStyle name="60% - 강조색2 45" xfId="1284" xr:uid="{6EC4561C-9070-48C5-AA25-8B92B82641DC}"/>
    <cellStyle name="60% - 강조색2 46" xfId="1285" xr:uid="{968FA311-16E3-43BF-9B19-C3C716331EEC}"/>
    <cellStyle name="60% - 강조색2 47" xfId="1286" xr:uid="{7BACBFFD-5BFC-4D56-92BD-0CC3087AC76D}"/>
    <cellStyle name="60% - 강조색2 48" xfId="1287" xr:uid="{A0BA6D46-9FF3-4F8D-9881-29DBA414BFBD}"/>
    <cellStyle name="60% - 강조색2 49" xfId="1288" xr:uid="{F566C6E6-5FAD-4DC2-AE03-8763D94FFF58}"/>
    <cellStyle name="60% - 강조색2 5" xfId="1289" xr:uid="{6AEB07AC-80D5-4F4B-BACA-4C9D5D32834D}"/>
    <cellStyle name="60% - 강조색2 5 2" xfId="1290" xr:uid="{4E8A9B74-1627-44DE-AA4D-C50990DF784C}"/>
    <cellStyle name="60% - 강조색2 50" xfId="1291" xr:uid="{F66961E3-7876-4E34-B930-8229BDB47982}"/>
    <cellStyle name="60% - 강조색2 51" xfId="3821" xr:uid="{D6135E8E-84F8-4A7D-B6C8-560F02B1172B}"/>
    <cellStyle name="60% - 강조색2 52" xfId="3985" xr:uid="{3D9CB9C9-47FB-47CA-8253-93E2EBFAD509}"/>
    <cellStyle name="60% - 강조색2 53" xfId="4091" xr:uid="{04BCBC95-3389-4144-87AA-0D4C3E896108}"/>
    <cellStyle name="60% - 강조색2 54" xfId="4263" xr:uid="{2E1E4109-940B-4AE9-BD58-FD1E6CFFA645}"/>
    <cellStyle name="60% - 강조색2 55" xfId="1208" xr:uid="{C90F73A0-DE5B-4AE6-8B07-3763E86FF458}"/>
    <cellStyle name="60% - 강조색2 6" xfId="1292" xr:uid="{6CFC38B6-A7BD-481B-B1A0-16ED3CACFE30}"/>
    <cellStyle name="60% - 강조색2 6 2" xfId="1293" xr:uid="{5AF4B108-74A7-4B18-A817-B5B6BFED0399}"/>
    <cellStyle name="60% - 강조색2 7" xfId="1294" xr:uid="{6D31E9FF-55DC-4860-A1A2-A26C7B23BD06}"/>
    <cellStyle name="60% - 강조색2 7 2" xfId="1295" xr:uid="{96126B30-A745-4A0F-A82A-7CB5D6F46F5D}"/>
    <cellStyle name="60% - 강조색2 8" xfId="1296" xr:uid="{123A7910-104F-4605-96D9-7563BF28077F}"/>
    <cellStyle name="60% - 강조색2 8 2" xfId="1297" xr:uid="{887B47B6-56EE-4E21-8650-824595D48717}"/>
    <cellStyle name="60% - 강조색2 9" xfId="1298" xr:uid="{863622D2-088D-44FD-983C-06743F2461BD}"/>
    <cellStyle name="60% - 강조색2 9 2" xfId="1299" xr:uid="{2F985000-CA00-4F29-B909-810DE2AB8784}"/>
    <cellStyle name="60% - 강조색3 10" xfId="1301" xr:uid="{041B15A8-EC67-45E4-AEE7-185D4695A1F1}"/>
    <cellStyle name="60% - 강조색3 10 2" xfId="1302" xr:uid="{6007006B-D4DD-4F7D-8298-6D450578E5AF}"/>
    <cellStyle name="60% - 강조색3 11" xfId="1303" xr:uid="{72CE83A3-9C99-4767-B41F-5511322EAB16}"/>
    <cellStyle name="60% - 강조색3 11 2" xfId="1304" xr:uid="{285E4CC2-B6F2-4CC3-B524-AF9D9A26F1D9}"/>
    <cellStyle name="60% - 강조색3 12" xfId="1305" xr:uid="{4DEEBEA3-8BBA-482D-9634-F943B6D423B7}"/>
    <cellStyle name="60% - 강조색3 12 2" xfId="1306" xr:uid="{71B0CC3F-1DF3-4D70-BC61-AAFB4FF7FB45}"/>
    <cellStyle name="60% - 강조색3 13" xfId="1307" xr:uid="{21F3182C-AA31-428F-8911-8B495F2543E6}"/>
    <cellStyle name="60% - 강조색3 13 2" xfId="1308" xr:uid="{28A751EA-B81F-45B4-AF11-CF3C91BCAAA3}"/>
    <cellStyle name="60% - 강조색3 14" xfId="1309" xr:uid="{4D95059F-B6A1-4205-82E9-56FE743D82A8}"/>
    <cellStyle name="60% - 강조색3 14 2" xfId="1310" xr:uid="{D0F2891D-0FE0-420B-86E8-BFB73C7053E5}"/>
    <cellStyle name="60% - 강조색3 15" xfId="1311" xr:uid="{6582857A-FC7F-4439-8D4F-8B42EB251ADD}"/>
    <cellStyle name="60% - 강조색3 15 2" xfId="1312" xr:uid="{07DAC4CD-DB24-4489-9BEE-5B13C82FEA0B}"/>
    <cellStyle name="60% - 강조색3 16" xfId="1313" xr:uid="{8FE98A11-B25E-48AE-8489-D1CC95883E05}"/>
    <cellStyle name="60% - 강조색3 16 2" xfId="1314" xr:uid="{739D64A8-3F5D-42FE-ADF1-E5AD23F58779}"/>
    <cellStyle name="60% - 강조색3 17" xfId="1315" xr:uid="{967EE6C0-FCDE-4ADF-9D86-39D0CFEF2C9F}"/>
    <cellStyle name="60% - 강조색3 17 2" xfId="1316" xr:uid="{F65E4EEC-6D4A-4253-B73D-339697C647D3}"/>
    <cellStyle name="60% - 강조색3 18" xfId="1317" xr:uid="{58ED579E-64C3-4C05-8278-E444BE2DBADB}"/>
    <cellStyle name="60% - 강조색3 18 2" xfId="1318" xr:uid="{7736219F-1639-4AE9-92A9-E39626EBBE5D}"/>
    <cellStyle name="60% - 강조색3 19" xfId="1319" xr:uid="{DA62AB72-A942-4900-BEB8-1E3EEE23595E}"/>
    <cellStyle name="60% - 강조색3 19 2" xfId="1320" xr:uid="{C7D83ED2-A74E-422C-B6D4-3A65AFD0B54F}"/>
    <cellStyle name="60% - 강조색3 2" xfId="1321" xr:uid="{9C245C10-272D-4CC9-9B63-81FF3B2E1F40}"/>
    <cellStyle name="60% - 강조색3 2 2" xfId="1322" xr:uid="{277A2B77-8DB9-4387-93D9-D6D83D7A8F98}"/>
    <cellStyle name="60% - 강조색3 20" xfId="1323" xr:uid="{71CF624D-1574-4962-8FE6-9ED5173A3B62}"/>
    <cellStyle name="60% - 강조색3 20 2" xfId="1324" xr:uid="{A48D836B-A648-41A2-8DD4-1193AB5EFB78}"/>
    <cellStyle name="60% - 강조색3 21" xfId="1325" xr:uid="{8D1F4CA8-9C79-4F29-A19C-9762848C7F3C}"/>
    <cellStyle name="60% - 강조색3 21 2" xfId="1326" xr:uid="{FAE46FE1-529C-4492-BF7A-D46CDA23AE9D}"/>
    <cellStyle name="60% - 강조색3 22" xfId="1327" xr:uid="{F8E6FFA9-4F87-45CF-9421-D6782EA66E6F}"/>
    <cellStyle name="60% - 강조색3 22 2" xfId="1328" xr:uid="{ADDF3DAD-9A2A-4E58-A0F0-48744A05845A}"/>
    <cellStyle name="60% - 강조색3 23" xfId="1329" xr:uid="{EBD5D03F-B0F1-4253-B734-9F7DBAE9553D}"/>
    <cellStyle name="60% - 강조색3 23 2" xfId="1330" xr:uid="{9E0BB651-BDD2-4CE8-8768-129C4CE4196A}"/>
    <cellStyle name="60% - 강조색3 24" xfId="1331" xr:uid="{32DF25C2-7892-4776-BF31-0619485994FF}"/>
    <cellStyle name="60% - 강조색3 24 2" xfId="1332" xr:uid="{10BF688E-9CE4-477F-85DC-C6F8D2B982BE}"/>
    <cellStyle name="60% - 강조색3 25" xfId="1333" xr:uid="{978F472B-A4ED-4A33-B787-1DDA91FB9A79}"/>
    <cellStyle name="60% - 강조색3 25 2" xfId="1334" xr:uid="{4DF29549-17C8-44B0-B5F1-5C6064921919}"/>
    <cellStyle name="60% - 강조색3 26" xfId="1335" xr:uid="{C1121130-0E58-4DC6-9F59-0BB94BB971C0}"/>
    <cellStyle name="60% - 강조색3 26 2" xfId="1336" xr:uid="{7A62890B-603B-465D-802F-BCBAFC173FD4}"/>
    <cellStyle name="60% - 강조색3 27" xfId="1337" xr:uid="{E3F172E9-0923-47DE-BE45-166E0002203D}"/>
    <cellStyle name="60% - 강조색3 27 2" xfId="1338" xr:uid="{CB961952-28FB-4EEC-8933-9CA942BC4CBE}"/>
    <cellStyle name="60% - 강조색3 28" xfId="1339" xr:uid="{25168AB5-0190-4F0A-9C85-060B93A58047}"/>
    <cellStyle name="60% - 강조색3 28 2" xfId="1340" xr:uid="{01FF2294-1E4C-4E4F-ACDA-9306403E4FAD}"/>
    <cellStyle name="60% - 강조색3 29" xfId="1341" xr:uid="{FEB160AF-FE25-41B1-BE56-DCCD60C6BCE4}"/>
    <cellStyle name="60% - 강조색3 29 2" xfId="1342" xr:uid="{339E6783-5F0F-442F-AF13-793BD81CF565}"/>
    <cellStyle name="60% - 강조색3 3" xfId="1343" xr:uid="{C89BC7C1-44BF-4851-B814-E0B37290AE1E}"/>
    <cellStyle name="60% - 강조색3 3 2" xfId="1344" xr:uid="{010C75F7-F750-488A-84AF-04454E0A748A}"/>
    <cellStyle name="60% - 강조색3 30" xfId="1345" xr:uid="{DB559E44-D308-4BD1-A885-8881AEC86033}"/>
    <cellStyle name="60% - 강조색3 30 2" xfId="1346" xr:uid="{74B12305-6D77-4DC5-A11B-A4DEF91B56C4}"/>
    <cellStyle name="60% - 강조색3 31" xfId="1347" xr:uid="{FA69BF84-FF79-42BB-B028-4C78102DC877}"/>
    <cellStyle name="60% - 강조색3 31 2" xfId="1348" xr:uid="{C3EA1AF2-18EC-4844-B3DF-A7406EA790A7}"/>
    <cellStyle name="60% - 강조색3 32" xfId="1349" xr:uid="{1EF7C09F-9788-4A84-A93F-58E0E154080F}"/>
    <cellStyle name="60% - 강조색3 32 2" xfId="1350" xr:uid="{D40AAD74-FABA-4B07-B6D6-293879E0A5F8}"/>
    <cellStyle name="60% - 강조색3 33" xfId="1351" xr:uid="{1CD3B9F1-B4CC-4140-8B23-156A38D11369}"/>
    <cellStyle name="60% - 강조색3 33 2" xfId="1352" xr:uid="{D940FB78-22CC-42DD-9540-DDAFA08E93F3}"/>
    <cellStyle name="60% - 강조색3 34" xfId="1353" xr:uid="{43DAD07B-1A21-4BCF-9332-36451D509AF6}"/>
    <cellStyle name="60% - 강조색3 34 2" xfId="1354" xr:uid="{1D2E6B93-6DA6-4C65-8CB0-0AA21B4258B1}"/>
    <cellStyle name="60% - 강조색3 35" xfId="1355" xr:uid="{2DF49EAF-9E55-43A1-9ABF-55468F0CE9F4}"/>
    <cellStyle name="60% - 강조색3 35 2" xfId="1356" xr:uid="{CB17699F-7710-43EC-9485-4BCA53CB1024}"/>
    <cellStyle name="60% - 강조색3 36" xfId="1357" xr:uid="{3263FA38-E482-42C3-8793-BC8FD2D664CE}"/>
    <cellStyle name="60% - 강조색3 36 2" xfId="1358" xr:uid="{EB938673-24B1-431C-B4F3-F6443D63BD67}"/>
    <cellStyle name="60% - 강조색3 37" xfId="1359" xr:uid="{90B3F3EE-5CE2-4DF6-A243-02263E4B826A}"/>
    <cellStyle name="60% - 강조색3 37 2" xfId="1360" xr:uid="{906E6A07-E792-4086-97C2-CB16C51081AE}"/>
    <cellStyle name="60% - 강조색3 38" xfId="1361" xr:uid="{BD50C1DC-C113-4123-99AD-5FCCF80C2D1C}"/>
    <cellStyle name="60% - 강조색3 38 2" xfId="1362" xr:uid="{AD3D2E7C-296D-4740-8B6C-B43175E5AF17}"/>
    <cellStyle name="60% - 강조색3 39" xfId="1363" xr:uid="{130C5E43-C434-4D98-BF20-0205364DC968}"/>
    <cellStyle name="60% - 강조색3 39 2" xfId="1364" xr:uid="{345022CE-1445-45AE-8EE6-1F76E950CCA8}"/>
    <cellStyle name="60% - 강조색3 4" xfId="1365" xr:uid="{DE4A3C51-C8D6-482A-AFD9-8723B74A9CD0}"/>
    <cellStyle name="60% - 강조색3 4 2" xfId="1366" xr:uid="{0029E5C9-A6BC-428B-B415-9D08FE60C122}"/>
    <cellStyle name="60% - 강조색3 40" xfId="1367" xr:uid="{AB20D4FC-B02C-4583-A3EF-B8626AFD2B41}"/>
    <cellStyle name="60% - 강조색3 40 2" xfId="1368" xr:uid="{2BE4A1FA-AE20-48D6-BEC9-A461A8B87155}"/>
    <cellStyle name="60% - 강조색3 41" xfId="1369" xr:uid="{8932CDC6-FAA0-47B8-98FF-0893151885F4}"/>
    <cellStyle name="60% - 강조색3 41 2" xfId="1370" xr:uid="{11C2EC8E-94D2-4EBC-A56C-01FBAF6E08B1}"/>
    <cellStyle name="60% - 강조색3 42" xfId="1371" xr:uid="{F04FE62A-DEA4-4926-85C9-50FD7B6CF38B}"/>
    <cellStyle name="60% - 강조색3 42 2" xfId="1372" xr:uid="{ED3BB408-E270-46B7-822B-5ADFB3CA57A9}"/>
    <cellStyle name="60% - 강조색3 43" xfId="1373" xr:uid="{7C5E1BE2-E717-4C5C-961B-1A564F12EEC3}"/>
    <cellStyle name="60% - 강조색3 43 2" xfId="1374" xr:uid="{96220E4A-3D5C-442B-AC76-452869F1B9BA}"/>
    <cellStyle name="60% - 강조색3 44" xfId="1375" xr:uid="{A52B6EEE-8639-4EAB-B14E-242FCBA5315D}"/>
    <cellStyle name="60% - 강조색3 45" xfId="1376" xr:uid="{8E501E4D-846A-45F3-8AE5-A93C4ACB6A11}"/>
    <cellStyle name="60% - 강조색3 46" xfId="1377" xr:uid="{058D84AE-0F00-4CD4-B5B7-E6D4ADD265E3}"/>
    <cellStyle name="60% - 강조색3 47" xfId="1378" xr:uid="{17AC1B43-7936-41A5-AAE9-7486C4AD189D}"/>
    <cellStyle name="60% - 강조색3 48" xfId="1379" xr:uid="{5BB3A1F9-2292-495A-BD0A-5093F7C91243}"/>
    <cellStyle name="60% - 강조색3 49" xfId="1380" xr:uid="{7468D05F-6CAE-4FFB-98C5-4F9EC11B9447}"/>
    <cellStyle name="60% - 강조색3 5" xfId="1381" xr:uid="{9079BE0F-B4E7-48BD-BA1B-0421168F297C}"/>
    <cellStyle name="60% - 강조색3 5 2" xfId="1382" xr:uid="{FCE4916A-10F0-4224-BFDD-98D7F634AF37}"/>
    <cellStyle name="60% - 강조색3 50" xfId="1383" xr:uid="{99914B5C-E17A-48F2-9BAC-ED8FE7DCCA7A}"/>
    <cellStyle name="60% - 강조색3 51" xfId="3825" xr:uid="{BE9CFF82-AEF0-4000-B944-75961661947D}"/>
    <cellStyle name="60% - 강조색3 52" xfId="3989" xr:uid="{E0931339-29BF-45CE-990B-6475611EE992}"/>
    <cellStyle name="60% - 강조색3 53" xfId="4092" xr:uid="{CCFC0076-ED91-43DF-B213-574BF2E88051}"/>
    <cellStyle name="60% - 강조색3 54" xfId="4264" xr:uid="{CD566C99-CF26-4C59-8DEB-E09860EA41A2}"/>
    <cellStyle name="60% - 강조색3 55" xfId="1300" xr:uid="{6477A41E-87F5-496C-9360-231DA207C7FB}"/>
    <cellStyle name="60% - 강조색3 6" xfId="1384" xr:uid="{384ED948-C706-4CB5-87D4-B1FFE2DEC32C}"/>
    <cellStyle name="60% - 강조색3 6 2" xfId="1385" xr:uid="{58E3A44D-9527-4238-BB90-7256CD23CB56}"/>
    <cellStyle name="60% - 강조색3 7" xfId="1386" xr:uid="{A38DF5D4-220D-40B7-9E5D-7C0603FD5A20}"/>
    <cellStyle name="60% - 강조색3 7 2" xfId="1387" xr:uid="{45F98CAB-9468-4C6B-9A1E-4557BD5BA5EF}"/>
    <cellStyle name="60% - 강조색3 8" xfId="1388" xr:uid="{2F338BC9-1EBC-4822-A0EA-9B1C9C221DBB}"/>
    <cellStyle name="60% - 강조색3 8 2" xfId="1389" xr:uid="{99D4C107-1521-4D33-AF7E-7377690B735D}"/>
    <cellStyle name="60% - 강조색3 9" xfId="1390" xr:uid="{3F1162F5-C599-464B-852E-1D0545540AD1}"/>
    <cellStyle name="60% - 강조색3 9 2" xfId="1391" xr:uid="{6FCD0195-4135-4E85-B728-26E5774D68E2}"/>
    <cellStyle name="60% - 강조색4 10" xfId="1393" xr:uid="{4E6760A7-E3AE-427F-AC7A-A09EFAAF4243}"/>
    <cellStyle name="60% - 강조색4 10 2" xfId="1394" xr:uid="{15A7080C-5899-4855-9232-2FD063FCEE7E}"/>
    <cellStyle name="60% - 강조색4 11" xfId="1395" xr:uid="{FA63BB44-0763-4F72-AB54-BC1A8D466CC9}"/>
    <cellStyle name="60% - 강조색4 11 2" xfId="1396" xr:uid="{FA5C1C89-5AFE-4EAB-A07A-5D1FB0B041CA}"/>
    <cellStyle name="60% - 강조색4 12" xfId="1397" xr:uid="{94F94526-D4A7-4C5A-9931-1D34E8E3C7EC}"/>
    <cellStyle name="60% - 강조색4 12 2" xfId="1398" xr:uid="{71862427-8B80-49B7-97DD-2D4DD2C42D13}"/>
    <cellStyle name="60% - 강조색4 13" xfId="1399" xr:uid="{5F6894F5-F1F2-47F4-AF8F-28D3D237D2CA}"/>
    <cellStyle name="60% - 강조색4 13 2" xfId="1400" xr:uid="{68D1172B-7708-4F7B-9817-8B3AFA042723}"/>
    <cellStyle name="60% - 강조색4 14" xfId="1401" xr:uid="{994A89B1-2D99-42F5-AD4A-CA95B975710B}"/>
    <cellStyle name="60% - 강조색4 14 2" xfId="1402" xr:uid="{3E28A5ED-872F-43DE-B018-97342BAB159A}"/>
    <cellStyle name="60% - 강조색4 15" xfId="1403" xr:uid="{60D9C151-A41B-4E2B-BA51-BC5CDD085627}"/>
    <cellStyle name="60% - 강조색4 15 2" xfId="1404" xr:uid="{C9767F4E-D088-4CBD-BF06-92B2F364ABF2}"/>
    <cellStyle name="60% - 강조색4 16" xfId="1405" xr:uid="{432C8FD3-590A-4F6C-B5FA-E44B0F4608A9}"/>
    <cellStyle name="60% - 강조색4 16 2" xfId="1406" xr:uid="{CF53BA5F-8677-4326-8320-D6AB942F9425}"/>
    <cellStyle name="60% - 강조색4 17" xfId="1407" xr:uid="{0666053D-B965-48BF-B0CA-0407519CAB5C}"/>
    <cellStyle name="60% - 강조색4 17 2" xfId="1408" xr:uid="{D7B0E634-FDE6-4A52-BC39-4EF3B3ABF949}"/>
    <cellStyle name="60% - 강조색4 18" xfId="1409" xr:uid="{92B9A464-FB48-486B-A637-EEE6374F651F}"/>
    <cellStyle name="60% - 강조색4 18 2" xfId="1410" xr:uid="{561F4CBA-B6CF-4A7D-92C1-413953F667A1}"/>
    <cellStyle name="60% - 강조색4 19" xfId="1411" xr:uid="{984D90E0-4902-4170-ACBB-DE44571B8CAD}"/>
    <cellStyle name="60% - 강조색4 19 2" xfId="1412" xr:uid="{1D4E9486-4E27-44DC-8CB7-BE63F0332A9A}"/>
    <cellStyle name="60% - 강조색4 2" xfId="1413" xr:uid="{5819997B-583B-43B1-A6FB-DCD00CD29B25}"/>
    <cellStyle name="60% - 강조색4 2 2" xfId="1414" xr:uid="{2040BC3E-A6A7-48EE-BC4F-0EC62A316F36}"/>
    <cellStyle name="60% - 강조색4 20" xfId="1415" xr:uid="{DEDD8BAE-EC6F-4E53-A450-F47E48F9B091}"/>
    <cellStyle name="60% - 강조색4 20 2" xfId="1416" xr:uid="{6156961E-E336-4F6D-801B-6682F71EC18D}"/>
    <cellStyle name="60% - 강조색4 21" xfId="1417" xr:uid="{15FEAA5B-6E46-4876-A4D4-45E3F70D1C5E}"/>
    <cellStyle name="60% - 강조색4 21 2" xfId="1418" xr:uid="{423931DB-85A9-4080-93F4-48454C767689}"/>
    <cellStyle name="60% - 강조색4 22" xfId="1419" xr:uid="{366262D5-5976-4E33-8F5B-E9BFF7CE1DC1}"/>
    <cellStyle name="60% - 강조색4 22 2" xfId="1420" xr:uid="{BA589152-83EB-4CCA-BF10-B9E357BD71D3}"/>
    <cellStyle name="60% - 강조색4 23" xfId="1421" xr:uid="{1988E959-0455-4F4A-9B0C-2DCF502335E5}"/>
    <cellStyle name="60% - 강조색4 23 2" xfId="1422" xr:uid="{7AF11A90-3C57-46B2-9C92-F4D174A3FDEA}"/>
    <cellStyle name="60% - 강조색4 24" xfId="1423" xr:uid="{B3D4437F-4100-4AE7-908E-24BDAD08826A}"/>
    <cellStyle name="60% - 강조색4 24 2" xfId="1424" xr:uid="{B0752891-BE59-42A3-A9E5-2EF74CF8B7E2}"/>
    <cellStyle name="60% - 강조색4 25" xfId="1425" xr:uid="{C4034CF5-4098-4757-9350-B8EB5FF16E14}"/>
    <cellStyle name="60% - 강조색4 25 2" xfId="1426" xr:uid="{789B1E1B-1983-498D-B8E1-3F34725CCC21}"/>
    <cellStyle name="60% - 강조색4 26" xfId="1427" xr:uid="{4C603325-7715-4E75-AD00-051D4F2B0BB4}"/>
    <cellStyle name="60% - 강조색4 26 2" xfId="1428" xr:uid="{2904734C-46A6-4D75-9767-64EF156A20A5}"/>
    <cellStyle name="60% - 강조색4 27" xfId="1429" xr:uid="{EF9F5A91-3BEF-48F3-9DD2-94CA95CDEBCD}"/>
    <cellStyle name="60% - 강조색4 27 2" xfId="1430" xr:uid="{9E8B9F83-ADA4-4D0B-B7FD-0C121D97FFEF}"/>
    <cellStyle name="60% - 강조색4 28" xfId="1431" xr:uid="{6E396966-0E22-43B9-8E3F-BEDF4EE63A28}"/>
    <cellStyle name="60% - 강조색4 28 2" xfId="1432" xr:uid="{99F99CF9-DAFE-4AD0-935D-FD84FE673E70}"/>
    <cellStyle name="60% - 강조색4 29" xfId="1433" xr:uid="{20B070FF-5341-469B-A8DB-F0712C9B520C}"/>
    <cellStyle name="60% - 강조색4 29 2" xfId="1434" xr:uid="{54B6F102-C074-4600-9FC0-8FD361E0DCAA}"/>
    <cellStyle name="60% - 강조색4 3" xfId="1435" xr:uid="{2D8D37C9-2C1E-4DEE-A355-B810E9DE19E8}"/>
    <cellStyle name="60% - 강조색4 3 2" xfId="1436" xr:uid="{B78CCD46-EA73-4336-AE01-27013B293D11}"/>
    <cellStyle name="60% - 강조색4 30" xfId="1437" xr:uid="{A9336028-7585-4698-A92D-F90A4760F508}"/>
    <cellStyle name="60% - 강조색4 30 2" xfId="1438" xr:uid="{58B5B2CA-D470-4F88-961B-DFD99F7D7B06}"/>
    <cellStyle name="60% - 강조색4 31" xfId="1439" xr:uid="{37D208F6-82EA-40E0-9AF7-1039CFB823F3}"/>
    <cellStyle name="60% - 강조색4 31 2" xfId="1440" xr:uid="{1160320D-85F3-4491-AA8C-A05CB95B6138}"/>
    <cellStyle name="60% - 강조색4 32" xfId="1441" xr:uid="{6F7F8C0E-5066-431C-945F-5A013C952684}"/>
    <cellStyle name="60% - 강조색4 32 2" xfId="1442" xr:uid="{D2F31291-122C-490E-8C44-061A3E476324}"/>
    <cellStyle name="60% - 강조색4 33" xfId="1443" xr:uid="{813D19D7-6DA0-4DB3-A2B7-6BA45B178531}"/>
    <cellStyle name="60% - 강조색4 33 2" xfId="1444" xr:uid="{49B2B4A5-3F00-49A5-87B8-8975E83595C3}"/>
    <cellStyle name="60% - 강조색4 34" xfId="1445" xr:uid="{2A75EB51-957E-4F6A-97D0-3DC7FF9A08E8}"/>
    <cellStyle name="60% - 강조색4 34 2" xfId="1446" xr:uid="{7D9C6CBA-9A96-439B-87B3-4E30B1B397DF}"/>
    <cellStyle name="60% - 강조색4 35" xfId="1447" xr:uid="{EF16287E-1365-45F3-9314-7A17A61EA0AE}"/>
    <cellStyle name="60% - 강조색4 35 2" xfId="1448" xr:uid="{216D8C17-3DD4-41E4-97DD-4079FF2511A8}"/>
    <cellStyle name="60% - 강조색4 36" xfId="1449" xr:uid="{D37FE0EA-78E6-436B-8F29-EAE854C3F1B7}"/>
    <cellStyle name="60% - 강조색4 36 2" xfId="1450" xr:uid="{BA8CB95F-394A-4456-BF3D-230962D83249}"/>
    <cellStyle name="60% - 강조색4 37" xfId="1451" xr:uid="{D4D07E98-DB81-436D-B3A2-A7C0FCC35904}"/>
    <cellStyle name="60% - 강조색4 37 2" xfId="1452" xr:uid="{5F594DCC-7106-4ADF-BCE1-1AE4F841C838}"/>
    <cellStyle name="60% - 강조색4 38" xfId="1453" xr:uid="{B7B268F8-BFAB-471C-9539-F5294EB623AE}"/>
    <cellStyle name="60% - 강조색4 38 2" xfId="1454" xr:uid="{932ABDCE-8AFF-4C08-A9DD-3D02D30EAAF9}"/>
    <cellStyle name="60% - 강조색4 39" xfId="1455" xr:uid="{C34B57B4-DF4C-4442-B8F4-EEE768125A97}"/>
    <cellStyle name="60% - 강조색4 39 2" xfId="1456" xr:uid="{BA8B3B6F-967B-4A1D-81D0-19246D8A9F6A}"/>
    <cellStyle name="60% - 강조색4 4" xfId="1457" xr:uid="{5A891DBE-492F-4027-B4FC-AEC5C13EB07B}"/>
    <cellStyle name="60% - 강조색4 4 2" xfId="1458" xr:uid="{F8268DD2-9165-4C13-B6CB-6EA42252591F}"/>
    <cellStyle name="60% - 강조색4 40" xfId="1459" xr:uid="{F97D0C5F-C16C-4AEA-905E-2B62AA2E9F7A}"/>
    <cellStyle name="60% - 강조색4 40 2" xfId="1460" xr:uid="{4E00F7E3-F0FF-4A16-A9FD-262424828298}"/>
    <cellStyle name="60% - 강조색4 41" xfId="1461" xr:uid="{2CC69577-0FC5-44C4-A6BC-182367C90C11}"/>
    <cellStyle name="60% - 강조색4 41 2" xfId="1462" xr:uid="{C08F9DEA-5E0C-4827-89DF-9154887F4F90}"/>
    <cellStyle name="60% - 강조색4 42" xfId="1463" xr:uid="{1AF9B43E-5741-44BD-A426-83E1F64AE6C1}"/>
    <cellStyle name="60% - 강조색4 42 2" xfId="1464" xr:uid="{BC209977-ED7C-491E-9DD3-217960E94EE7}"/>
    <cellStyle name="60% - 강조색4 43" xfId="1465" xr:uid="{878CCFD2-2278-47EA-9C39-52ADDB574235}"/>
    <cellStyle name="60% - 강조색4 43 2" xfId="1466" xr:uid="{4234C16B-5DF6-49D5-BBE5-E6EA158EA6BE}"/>
    <cellStyle name="60% - 강조색4 44" xfId="1467" xr:uid="{E8C197A4-43C0-4400-AA44-F12296EDD499}"/>
    <cellStyle name="60% - 강조색4 45" xfId="1468" xr:uid="{C04C397E-9507-4578-82ED-0DAB2C0DD673}"/>
    <cellStyle name="60% - 강조색4 46" xfId="1469" xr:uid="{70611732-5A90-4DE2-BE0E-9B228AA9A4A1}"/>
    <cellStyle name="60% - 강조색4 47" xfId="1470" xr:uid="{7A87CC6C-AFA6-4866-8019-C1D9EBA3BEB2}"/>
    <cellStyle name="60% - 강조색4 48" xfId="1471" xr:uid="{773226B3-FB44-4285-BE42-68B4BCEAEB05}"/>
    <cellStyle name="60% - 강조색4 49" xfId="1472" xr:uid="{A456BA4D-DD4B-4AC0-A643-D339115644CC}"/>
    <cellStyle name="60% - 강조색4 5" xfId="1473" xr:uid="{0F49B8B7-323A-438B-9870-8F684F11C4D2}"/>
    <cellStyle name="60% - 강조색4 5 2" xfId="1474" xr:uid="{EF0BC8CD-9AD1-4FB9-8D23-FAA339571A52}"/>
    <cellStyle name="60% - 강조색4 50" xfId="1475" xr:uid="{ACC656D9-2AF7-474E-BEE0-A887A3EE34E8}"/>
    <cellStyle name="60% - 강조색4 51" xfId="3829" xr:uid="{384D59E2-C82B-471D-A9E9-153B4BE48D1D}"/>
    <cellStyle name="60% - 강조색4 52" xfId="3993" xr:uid="{45F8363A-C57C-47AD-BC5D-7A525F18640A}"/>
    <cellStyle name="60% - 강조색4 53" xfId="4093" xr:uid="{DC17BEEB-2971-45AD-AD46-60739AF7243A}"/>
    <cellStyle name="60% - 강조색4 54" xfId="4265" xr:uid="{86520ABE-8192-47BC-9E06-17DE03AA3226}"/>
    <cellStyle name="60% - 강조색4 55" xfId="1392" xr:uid="{665DD885-53F0-4A3A-A0BA-56746BAAA7F0}"/>
    <cellStyle name="60% - 강조색4 6" xfId="1476" xr:uid="{EBABFE30-9881-43DB-B615-7113C0CA4B9F}"/>
    <cellStyle name="60% - 강조색4 6 2" xfId="1477" xr:uid="{F2D1D11F-4350-4CD7-A1FE-069862426F52}"/>
    <cellStyle name="60% - 강조색4 7" xfId="1478" xr:uid="{68B1D75E-A261-4828-96CD-D62049AC322B}"/>
    <cellStyle name="60% - 강조색4 7 2" xfId="1479" xr:uid="{DFEAFA6B-DCD5-48E1-8707-7093247A4153}"/>
    <cellStyle name="60% - 강조색4 8" xfId="1480" xr:uid="{F1ED3E74-FBDE-4B0C-B9DE-606E2A003F17}"/>
    <cellStyle name="60% - 강조색4 8 2" xfId="1481" xr:uid="{92FDEB4C-E4A4-455C-8226-1C4C500FEE1B}"/>
    <cellStyle name="60% - 강조색4 9" xfId="1482" xr:uid="{4EABE7CE-B8CF-4FD2-B313-82883332ACF6}"/>
    <cellStyle name="60% - 강조색4 9 2" xfId="1483" xr:uid="{63BC6E7B-F3BA-498A-992A-A904B8EDD588}"/>
    <cellStyle name="60% - 강조색5 10" xfId="1485" xr:uid="{F2239218-0AF5-4136-9D14-5C69BA645593}"/>
    <cellStyle name="60% - 강조색5 10 2" xfId="1486" xr:uid="{8FF480A6-9DF7-4723-A1AD-140F68CCF214}"/>
    <cellStyle name="60% - 강조색5 11" xfId="1487" xr:uid="{B33B191A-9DB7-405D-867A-C1EF33649535}"/>
    <cellStyle name="60% - 강조색5 11 2" xfId="1488" xr:uid="{1D5BF1C7-8CE5-4316-8127-00F515F7B961}"/>
    <cellStyle name="60% - 강조색5 12" xfId="1489" xr:uid="{A931B468-03E9-454E-BBF3-2E6461F11D28}"/>
    <cellStyle name="60% - 강조색5 12 2" xfId="1490" xr:uid="{82D847FE-DC9D-46BC-955A-F4C968A6C2D0}"/>
    <cellStyle name="60% - 강조색5 13" xfId="1491" xr:uid="{CA4942D2-3DC7-4A11-93C9-7DB361E20ED8}"/>
    <cellStyle name="60% - 강조색5 13 2" xfId="1492" xr:uid="{7C3462E2-C698-4458-B556-62ED62DA4114}"/>
    <cellStyle name="60% - 강조색5 14" xfId="1493" xr:uid="{B8A1F77D-2832-4C08-B51A-FA91032B6DE8}"/>
    <cellStyle name="60% - 강조색5 14 2" xfId="1494" xr:uid="{B100D3F7-4B99-4B58-8F13-9C84C360F96F}"/>
    <cellStyle name="60% - 강조색5 15" xfId="1495" xr:uid="{60892530-1137-4EBB-8C0D-39270548B860}"/>
    <cellStyle name="60% - 강조색5 15 2" xfId="1496" xr:uid="{01D4F12E-79AF-4540-885D-305DA4E6728E}"/>
    <cellStyle name="60% - 강조색5 16" xfId="1497" xr:uid="{1848604E-33E5-4BBD-A402-A5FA76902B22}"/>
    <cellStyle name="60% - 강조색5 16 2" xfId="1498" xr:uid="{83CB31B6-3212-4FF7-A591-551BDDE36E21}"/>
    <cellStyle name="60% - 강조색5 17" xfId="1499" xr:uid="{D5470EA4-DCA9-4017-A9D3-C52BD3C772A9}"/>
    <cellStyle name="60% - 강조색5 17 2" xfId="1500" xr:uid="{B7A64CB5-E284-4387-A11E-1B8FC885C730}"/>
    <cellStyle name="60% - 강조색5 18" xfId="1501" xr:uid="{4B393001-AC4D-42F6-8C14-E6A12ABC8E40}"/>
    <cellStyle name="60% - 강조색5 18 2" xfId="1502" xr:uid="{7C74DFFF-B994-46EB-A213-4B54DD883AF5}"/>
    <cellStyle name="60% - 강조색5 19" xfId="1503" xr:uid="{0065766A-BA5D-4A4B-8BD9-D844769D6059}"/>
    <cellStyle name="60% - 강조색5 19 2" xfId="1504" xr:uid="{4CACB5F0-E6A0-4431-A578-DEC2A21BA47C}"/>
    <cellStyle name="60% - 강조색5 2" xfId="1505" xr:uid="{8128C0AD-E0A8-47FA-B7C7-644A36F05FB2}"/>
    <cellStyle name="60% - 강조색5 2 2" xfId="1506" xr:uid="{9FDCE0B5-8A5C-4FB2-8B31-3D533F48DA2C}"/>
    <cellStyle name="60% - 강조색5 20" xfId="1507" xr:uid="{7EC264F1-4560-4BEB-890B-2D7389056558}"/>
    <cellStyle name="60% - 강조색5 20 2" xfId="1508" xr:uid="{69F8301B-13F0-4A39-A87A-E988884AB17F}"/>
    <cellStyle name="60% - 강조색5 21" xfId="1509" xr:uid="{57E9F4CA-7E1A-40C8-B767-1DF4C066A6AC}"/>
    <cellStyle name="60% - 강조색5 21 2" xfId="1510" xr:uid="{827D6BBD-A13C-4286-92F2-311E90BBBCE8}"/>
    <cellStyle name="60% - 강조색5 22" xfId="1511" xr:uid="{CFA8D05A-7DDB-4C38-AE61-963C90AB2902}"/>
    <cellStyle name="60% - 강조색5 22 2" xfId="1512" xr:uid="{EB622933-1395-4549-9EF5-81D14D37E78C}"/>
    <cellStyle name="60% - 강조색5 23" xfId="1513" xr:uid="{EE2F7C03-78F0-4B71-8B10-D3DD46C39F88}"/>
    <cellStyle name="60% - 강조색5 23 2" xfId="1514" xr:uid="{2F62D790-326E-4094-BE1D-5EB613AAA79D}"/>
    <cellStyle name="60% - 강조색5 24" xfId="1515" xr:uid="{EC0B74FA-DF7B-4DD7-BB54-9359CAB69264}"/>
    <cellStyle name="60% - 강조색5 24 2" xfId="1516" xr:uid="{1B3E478B-6DAC-47E9-B96E-DBAB554138CC}"/>
    <cellStyle name="60% - 강조색5 25" xfId="1517" xr:uid="{13D2D4D7-981B-443B-ACE6-8A715CCE471A}"/>
    <cellStyle name="60% - 강조색5 25 2" xfId="1518" xr:uid="{0A1DD054-3CAF-4E29-89B5-1BB3A1649092}"/>
    <cellStyle name="60% - 강조색5 26" xfId="1519" xr:uid="{00858623-2C9C-4727-A1F6-79A332DC5600}"/>
    <cellStyle name="60% - 강조색5 26 2" xfId="1520" xr:uid="{DCAB76FE-1881-4AB6-AD2D-43B3A93A43DE}"/>
    <cellStyle name="60% - 강조색5 27" xfId="1521" xr:uid="{5DBD0D41-058A-404E-85D2-FC826E1DC55D}"/>
    <cellStyle name="60% - 강조색5 27 2" xfId="1522" xr:uid="{1D687B41-E9C5-48C0-866A-B571C09B0700}"/>
    <cellStyle name="60% - 강조색5 28" xfId="1523" xr:uid="{CDFEAB16-0E57-4806-B19C-CCCE2898C3BC}"/>
    <cellStyle name="60% - 강조색5 28 2" xfId="1524" xr:uid="{F2DF3332-DB1F-49E3-9D93-081CEE138A49}"/>
    <cellStyle name="60% - 강조색5 29" xfId="1525" xr:uid="{6CCAB2B7-64D6-4071-A021-EE8150919862}"/>
    <cellStyle name="60% - 강조색5 29 2" xfId="1526" xr:uid="{1A9139E8-5AEE-482A-A7CA-CB576579DD85}"/>
    <cellStyle name="60% - 강조색5 3" xfId="1527" xr:uid="{19E8CCD3-37F0-4D02-ABCE-9955ED5E5DA7}"/>
    <cellStyle name="60% - 강조색5 3 2" xfId="1528" xr:uid="{82B035C2-EA5D-4DF0-8640-BE365CBE0B7E}"/>
    <cellStyle name="60% - 강조색5 30" xfId="1529" xr:uid="{1BD844F5-82F3-4DD9-B9FE-41B9DD5EDCC4}"/>
    <cellStyle name="60% - 강조색5 30 2" xfId="1530" xr:uid="{893D1507-88CF-498C-9E14-3C9ACBFF6CA1}"/>
    <cellStyle name="60% - 강조색5 31" xfId="1531" xr:uid="{7A4E4431-337A-41ED-A1BC-59F4CB29D4AD}"/>
    <cellStyle name="60% - 강조색5 31 2" xfId="1532" xr:uid="{0340BF1A-6BA9-49C3-BE5A-B5872B3D5495}"/>
    <cellStyle name="60% - 강조색5 32" xfId="1533" xr:uid="{D8EC77AA-AA6D-4EF7-BAE0-DDB934245978}"/>
    <cellStyle name="60% - 강조색5 32 2" xfId="1534" xr:uid="{5F6B96CB-3682-4F5F-A694-E3AC825483BE}"/>
    <cellStyle name="60% - 강조색5 33" xfId="1535" xr:uid="{19F13D42-651D-4C40-8CB4-0D1D98CD2B74}"/>
    <cellStyle name="60% - 강조색5 33 2" xfId="1536" xr:uid="{B7D5E33A-CB33-47B3-BC7C-19779AE72C01}"/>
    <cellStyle name="60% - 강조색5 34" xfId="1537" xr:uid="{E2D0308C-F6C9-44D7-B55B-AF4E5C4E8A3E}"/>
    <cellStyle name="60% - 강조색5 34 2" xfId="1538" xr:uid="{4C0566A6-A3DE-4CC4-8C69-D2C06AD4970C}"/>
    <cellStyle name="60% - 강조색5 35" xfId="1539" xr:uid="{91907D56-3893-43C0-B459-BD3F58EF7C62}"/>
    <cellStyle name="60% - 강조색5 35 2" xfId="1540" xr:uid="{16D5F12C-603F-4DDD-8637-9323DA6DC4D3}"/>
    <cellStyle name="60% - 강조색5 36" xfId="1541" xr:uid="{E048EBF7-4FFB-40DA-A6C1-3369773FCAB6}"/>
    <cellStyle name="60% - 강조색5 36 2" xfId="1542" xr:uid="{4F5FFAE6-4677-4BC9-AB08-5F4A6178C1B8}"/>
    <cellStyle name="60% - 강조색5 37" xfId="1543" xr:uid="{F47E530D-B17E-4A20-B1E1-ECD26C94BD95}"/>
    <cellStyle name="60% - 강조색5 37 2" xfId="1544" xr:uid="{23DF3F14-D34A-45E8-A15B-68EBC2CC4CE6}"/>
    <cellStyle name="60% - 강조색5 38" xfId="1545" xr:uid="{A72EAA15-6973-40AA-8114-39891E5CC09A}"/>
    <cellStyle name="60% - 강조색5 38 2" xfId="1546" xr:uid="{CC1A0D38-E96D-4926-ADE1-D00F47061C53}"/>
    <cellStyle name="60% - 강조색5 39" xfId="1547" xr:uid="{F466AC08-E806-47A3-846A-6DD432B7DA3E}"/>
    <cellStyle name="60% - 강조색5 39 2" xfId="1548" xr:uid="{A21CFBDB-50BA-4B61-816F-A3941A6D852A}"/>
    <cellStyle name="60% - 강조색5 4" xfId="1549" xr:uid="{B93E9699-715B-4AF0-98CA-C6CCD27C0FA6}"/>
    <cellStyle name="60% - 강조색5 4 2" xfId="1550" xr:uid="{BF742681-A53A-4A37-8263-84B2C7455600}"/>
    <cellStyle name="60% - 강조색5 40" xfId="1551" xr:uid="{F3F38E26-093C-47EE-A25A-BDD6BD626F57}"/>
    <cellStyle name="60% - 강조색5 40 2" xfId="1552" xr:uid="{ABD8CD30-6D62-43BC-B8F2-DDDD48194D33}"/>
    <cellStyle name="60% - 강조색5 41" xfId="1553" xr:uid="{A0DD1FB3-AF26-4DFA-80A2-AB0F13937C8A}"/>
    <cellStyle name="60% - 강조색5 41 2" xfId="1554" xr:uid="{DF2FC4CC-008B-45A7-B8B3-44B3E75C31C9}"/>
    <cellStyle name="60% - 강조색5 42" xfId="1555" xr:uid="{E161470A-22A9-447D-B2A6-F1CDB83C993A}"/>
    <cellStyle name="60% - 강조색5 42 2" xfId="1556" xr:uid="{68B797A2-AA12-424C-AD4A-17A1EFB09CB6}"/>
    <cellStyle name="60% - 강조색5 43" xfId="1557" xr:uid="{0749D7E6-8E56-4A3A-A0E0-2F43DE9CE67A}"/>
    <cellStyle name="60% - 강조색5 43 2" xfId="1558" xr:uid="{88DAE47B-8D88-4B9C-9E43-1BC1DE23499B}"/>
    <cellStyle name="60% - 강조색5 44" xfId="1559" xr:uid="{6B66F0C5-FE31-4CB1-AC00-6B402B003C6F}"/>
    <cellStyle name="60% - 강조색5 45" xfId="1560" xr:uid="{48B9FD04-E29E-41B2-B451-DD9E828477B5}"/>
    <cellStyle name="60% - 강조색5 46" xfId="1561" xr:uid="{A78DAC93-A054-4EF9-9A27-9648E71408F9}"/>
    <cellStyle name="60% - 강조색5 47" xfId="1562" xr:uid="{B30E2E44-1D4C-4206-B1D5-938D53C937C1}"/>
    <cellStyle name="60% - 강조색5 48" xfId="1563" xr:uid="{568D301F-36DC-4347-99D6-EC3344A15A62}"/>
    <cellStyle name="60% - 강조색5 49" xfId="1564" xr:uid="{9BD6477A-2511-4FC1-8169-078F5513428B}"/>
    <cellStyle name="60% - 강조색5 5" xfId="1565" xr:uid="{B7B17242-4F93-46F5-AAB0-2CE0BAEAD44E}"/>
    <cellStyle name="60% - 강조색5 5 2" xfId="1566" xr:uid="{181AA0F5-AD7F-4F0A-B26C-44AA8DCBB8E0}"/>
    <cellStyle name="60% - 강조색5 50" xfId="1567" xr:uid="{6347F2A4-1B0F-4ADB-B3E3-16F3A0C66B8C}"/>
    <cellStyle name="60% - 강조색5 51" xfId="3833" xr:uid="{E3648308-A775-4728-85B7-178D7267EA6E}"/>
    <cellStyle name="60% - 강조색5 52" xfId="3997" xr:uid="{93E4FAE7-E014-413D-BDAF-645D94ADCFB6}"/>
    <cellStyle name="60% - 강조색5 53" xfId="4094" xr:uid="{BC4D2B14-7C8B-4EA3-A0FD-22710F1B9139}"/>
    <cellStyle name="60% - 강조색5 54" xfId="4266" xr:uid="{6353591C-798D-41E2-92B9-332943711FBB}"/>
    <cellStyle name="60% - 강조색5 55" xfId="1484" xr:uid="{21357CA6-3CE8-4565-9694-4872987DE2F1}"/>
    <cellStyle name="60% - 강조색5 6" xfId="1568" xr:uid="{B81CC756-E40E-499F-8D6A-70FBC64B0D74}"/>
    <cellStyle name="60% - 강조색5 6 2" xfId="1569" xr:uid="{4FC91E0F-5D72-4211-B8CD-3967BFD6A451}"/>
    <cellStyle name="60% - 강조색5 7" xfId="1570" xr:uid="{4BD46A96-7F86-4A80-B3C7-151318D002A5}"/>
    <cellStyle name="60% - 강조색5 7 2" xfId="1571" xr:uid="{3C69F7E7-D960-4868-AEB0-222C8E7A3211}"/>
    <cellStyle name="60% - 강조색5 8" xfId="1572" xr:uid="{9EC5C99F-FF40-4030-A375-A67049C68493}"/>
    <cellStyle name="60% - 강조색5 8 2" xfId="1573" xr:uid="{F4446BE5-B1CD-4A5E-B218-7F74F3A2597D}"/>
    <cellStyle name="60% - 강조색5 9" xfId="1574" xr:uid="{70FE94DE-DCDD-4C11-8C95-B23924146F63}"/>
    <cellStyle name="60% - 강조색5 9 2" xfId="1575" xr:uid="{E1FF85C3-FE1A-4CE2-9F78-56C2F41A5C22}"/>
    <cellStyle name="60% - 강조색6 10" xfId="1577" xr:uid="{1B18D245-15E4-48D8-BAA2-991565F63CD8}"/>
    <cellStyle name="60% - 강조색6 10 2" xfId="1578" xr:uid="{CDB5DBA5-0663-494A-B452-A20356B6540B}"/>
    <cellStyle name="60% - 강조색6 11" xfId="1579" xr:uid="{B56222A7-2824-49DA-B889-9FE80CE97A80}"/>
    <cellStyle name="60% - 강조색6 11 2" xfId="1580" xr:uid="{DE20FB6C-A789-42AD-8E2B-20E65F520662}"/>
    <cellStyle name="60% - 강조색6 12" xfId="1581" xr:uid="{2D9D95C7-BBD1-4A1A-9BBF-6C8B5A020433}"/>
    <cellStyle name="60% - 강조색6 12 2" xfId="1582" xr:uid="{9C615FE7-50A9-4C14-A640-D852A0A3AAD3}"/>
    <cellStyle name="60% - 강조색6 13" xfId="1583" xr:uid="{84D976CC-2684-4B35-B5B7-16F7F7ADEEF3}"/>
    <cellStyle name="60% - 강조색6 13 2" xfId="1584" xr:uid="{971D792E-DED0-4133-A5A8-FAF737C62B51}"/>
    <cellStyle name="60% - 강조색6 14" xfId="1585" xr:uid="{501C64CF-5E3C-4C49-9DC5-849E3099403E}"/>
    <cellStyle name="60% - 강조색6 14 2" xfId="1586" xr:uid="{AC80D223-1A13-4B69-80B1-6585691D15A9}"/>
    <cellStyle name="60% - 강조색6 15" xfId="1587" xr:uid="{7A8DCF52-9FBA-40AE-BFAF-E25F88B7C983}"/>
    <cellStyle name="60% - 강조색6 15 2" xfId="1588" xr:uid="{14593DC6-559B-4C52-A221-4AF50998DF49}"/>
    <cellStyle name="60% - 강조색6 16" xfId="1589" xr:uid="{9FA8C625-8429-4A6C-B87F-DD62BD3C0F52}"/>
    <cellStyle name="60% - 강조색6 16 2" xfId="1590" xr:uid="{72A6E547-9F64-4BA2-8A67-459704B924AE}"/>
    <cellStyle name="60% - 강조색6 17" xfId="1591" xr:uid="{E124605C-169B-4D2C-A8E1-48D934C2AFB1}"/>
    <cellStyle name="60% - 강조색6 17 2" xfId="1592" xr:uid="{B933D7BA-2DBA-4C81-95EA-CDAF2BBF8F5E}"/>
    <cellStyle name="60% - 강조색6 18" xfId="1593" xr:uid="{46CCAE0C-99AB-4849-8D5A-8928E29AEEE7}"/>
    <cellStyle name="60% - 강조색6 18 2" xfId="1594" xr:uid="{4DEE96E8-28DB-4C8C-96FA-D5B93B2A1A6B}"/>
    <cellStyle name="60% - 강조색6 19" xfId="1595" xr:uid="{1818875C-1DE8-4187-A986-250FECF4D890}"/>
    <cellStyle name="60% - 강조색6 19 2" xfId="1596" xr:uid="{CD4BF8FB-1098-4FBC-85FA-711CA6FD0F54}"/>
    <cellStyle name="60% - 강조색6 2" xfId="1597" xr:uid="{F59A5D75-2C06-4A53-AC58-6D31FDEE1652}"/>
    <cellStyle name="60% - 강조색6 2 2" xfId="1598" xr:uid="{0E9D45A2-0D2C-47C3-903F-8527C6968B2F}"/>
    <cellStyle name="60% - 강조색6 20" xfId="1599" xr:uid="{F4BE6E3A-98C1-430E-8CD2-14C0048E4070}"/>
    <cellStyle name="60% - 강조색6 20 2" xfId="1600" xr:uid="{530532A8-92F7-487A-8080-6E1EF7A407E6}"/>
    <cellStyle name="60% - 강조색6 21" xfId="1601" xr:uid="{BBA71F79-0C45-4D82-A2EC-55D1F4040286}"/>
    <cellStyle name="60% - 강조색6 21 2" xfId="1602" xr:uid="{3FA6E0DF-3395-4048-A6AA-43510667669D}"/>
    <cellStyle name="60% - 강조색6 22" xfId="1603" xr:uid="{19228F23-DBF7-46A9-9B36-9099B913BB78}"/>
    <cellStyle name="60% - 강조색6 22 2" xfId="1604" xr:uid="{40958BA4-0826-40B9-AC97-A771FAF2E243}"/>
    <cellStyle name="60% - 강조색6 23" xfId="1605" xr:uid="{800C2648-40B5-4194-B8EE-26180D28688C}"/>
    <cellStyle name="60% - 강조색6 23 2" xfId="1606" xr:uid="{29B22D5A-4627-4E3E-B2B8-57116B6B3711}"/>
    <cellStyle name="60% - 강조색6 24" xfId="1607" xr:uid="{DE10A0CA-DA27-4C96-8EFE-B07608E05005}"/>
    <cellStyle name="60% - 강조색6 24 2" xfId="1608" xr:uid="{B7637D58-F36B-484B-9D18-DA9EDE62D674}"/>
    <cellStyle name="60% - 강조색6 25" xfId="1609" xr:uid="{521560D7-0849-4532-A5DE-71FF1858A3F8}"/>
    <cellStyle name="60% - 강조색6 25 2" xfId="1610" xr:uid="{3AFA0B92-430F-4F18-A139-9A381694D11D}"/>
    <cellStyle name="60% - 강조색6 26" xfId="1611" xr:uid="{1EE1243E-5FD1-4CE0-8054-EC75BC3873C1}"/>
    <cellStyle name="60% - 강조색6 26 2" xfId="1612" xr:uid="{47A41DE6-FE75-4E96-BFFA-F1113505ED34}"/>
    <cellStyle name="60% - 강조색6 27" xfId="1613" xr:uid="{A25B2AAE-7C8F-4F1B-8307-EB448B0CAE10}"/>
    <cellStyle name="60% - 강조색6 27 2" xfId="1614" xr:uid="{D460EA6F-6083-4959-815F-605F0816C7DE}"/>
    <cellStyle name="60% - 강조색6 28" xfId="1615" xr:uid="{CAE34D51-C92E-467B-9E75-2CA23F168F3F}"/>
    <cellStyle name="60% - 강조색6 28 2" xfId="1616" xr:uid="{DA47D1E7-234D-4108-8986-53C52FAE1AA4}"/>
    <cellStyle name="60% - 강조색6 29" xfId="1617" xr:uid="{E7BEBA93-BD8E-4641-AD15-78ED8074FF27}"/>
    <cellStyle name="60% - 강조색6 29 2" xfId="1618" xr:uid="{476B5BC9-FA76-488F-A47A-F35AE84BDAA7}"/>
    <cellStyle name="60% - 강조색6 3" xfId="1619" xr:uid="{5A405CE6-8CEB-4CED-ACAE-9F5D4DA59617}"/>
    <cellStyle name="60% - 강조색6 3 2" xfId="1620" xr:uid="{1C0EBC17-771D-44D7-86F4-55172CDC02F1}"/>
    <cellStyle name="60% - 강조색6 30" xfId="1621" xr:uid="{67C8A9D0-17AB-47CC-B3A1-4715222DEFF0}"/>
    <cellStyle name="60% - 강조색6 30 2" xfId="1622" xr:uid="{DB034D36-8478-4BB1-8F47-253A22D7BB90}"/>
    <cellStyle name="60% - 강조색6 31" xfId="1623" xr:uid="{2DFCC938-6555-4FBD-A26F-2582CBF4392C}"/>
    <cellStyle name="60% - 강조색6 31 2" xfId="1624" xr:uid="{DD305ADC-9D97-4D81-ADB7-3E7F6E28938E}"/>
    <cellStyle name="60% - 강조색6 32" xfId="1625" xr:uid="{5FAE4F3F-8DFA-4FFC-AF33-3DE51223FC69}"/>
    <cellStyle name="60% - 강조색6 32 2" xfId="1626" xr:uid="{633F2428-2986-49B0-B588-104E903B5980}"/>
    <cellStyle name="60% - 강조색6 33" xfId="1627" xr:uid="{EF0C8A57-179D-4692-9FA0-59DFD7A7069C}"/>
    <cellStyle name="60% - 강조색6 33 2" xfId="1628" xr:uid="{D68CD4A1-A589-40BD-8FD6-2D549E61C521}"/>
    <cellStyle name="60% - 강조색6 34" xfId="1629" xr:uid="{65BBB3A5-5AC9-4714-8405-D9F6533E0C66}"/>
    <cellStyle name="60% - 강조색6 34 2" xfId="1630" xr:uid="{126A17F2-19EC-4405-BE63-6860F6B6D1C8}"/>
    <cellStyle name="60% - 강조색6 35" xfId="1631" xr:uid="{9AFDBB46-B1BE-47CF-8843-4B45E65E86C0}"/>
    <cellStyle name="60% - 강조색6 35 2" xfId="1632" xr:uid="{6695EF80-6152-4BA2-95FC-D847E1595C84}"/>
    <cellStyle name="60% - 강조색6 36" xfId="1633" xr:uid="{3797E081-0302-4F53-BD9A-89D1BF920D20}"/>
    <cellStyle name="60% - 강조색6 36 2" xfId="1634" xr:uid="{A85D68C3-1E38-4262-87C5-58670BC111CD}"/>
    <cellStyle name="60% - 강조색6 37" xfId="1635" xr:uid="{7661FD24-C5C2-435F-A678-C8F2F697435D}"/>
    <cellStyle name="60% - 강조색6 37 2" xfId="1636" xr:uid="{12EBDD2E-7115-47BA-A933-128B807B613C}"/>
    <cellStyle name="60% - 강조색6 38" xfId="1637" xr:uid="{B9D1EF38-0611-4BB6-9C21-7BC460363660}"/>
    <cellStyle name="60% - 강조색6 38 2" xfId="1638" xr:uid="{780531EB-2CEF-4ED0-A057-7D86A52A4BF1}"/>
    <cellStyle name="60% - 강조색6 39" xfId="1639" xr:uid="{E7C5906A-DAE9-4FAE-8439-DB6024EB17B7}"/>
    <cellStyle name="60% - 강조색6 39 2" xfId="1640" xr:uid="{C03339D9-F691-427B-BDB7-41341FBA5904}"/>
    <cellStyle name="60% - 강조색6 4" xfId="1641" xr:uid="{B8AAA99D-F407-4969-B344-C801A85E7A00}"/>
    <cellStyle name="60% - 강조색6 4 2" xfId="1642" xr:uid="{085DAF49-CF13-4D9F-8E10-807D865626F0}"/>
    <cellStyle name="60% - 강조색6 40" xfId="1643" xr:uid="{2015B738-7BC6-481A-A093-0679447A2F29}"/>
    <cellStyle name="60% - 강조색6 40 2" xfId="1644" xr:uid="{4ACEDF34-A7CD-4516-843E-F95611654164}"/>
    <cellStyle name="60% - 강조색6 41" xfId="1645" xr:uid="{D4D4A4DA-EB0B-486D-9536-02028EFBC8BD}"/>
    <cellStyle name="60% - 강조색6 41 2" xfId="1646" xr:uid="{CD083857-285A-4D90-A784-2B25C7DAE3F4}"/>
    <cellStyle name="60% - 강조색6 42" xfId="1647" xr:uid="{B109003D-392D-43FD-BA96-F0EA8543C574}"/>
    <cellStyle name="60% - 강조색6 42 2" xfId="1648" xr:uid="{05919E83-D298-42AA-9C3B-CC1814E22277}"/>
    <cellStyle name="60% - 강조색6 43" xfId="1649" xr:uid="{127D88DE-16D8-45C2-B59C-B55D3EEA429D}"/>
    <cellStyle name="60% - 강조색6 43 2" xfId="1650" xr:uid="{81CACB62-A80C-4414-B9C1-3CFB86748C89}"/>
    <cellStyle name="60% - 강조색6 44" xfId="1651" xr:uid="{496213EE-E2A2-4CA9-9983-9706FFB1D4B9}"/>
    <cellStyle name="60% - 강조색6 45" xfId="1652" xr:uid="{62AA1297-2453-415E-A822-A2511EDCE866}"/>
    <cellStyle name="60% - 강조색6 46" xfId="1653" xr:uid="{91297614-D3DA-4B5C-9BA9-67A39BC06BD0}"/>
    <cellStyle name="60% - 강조색6 47" xfId="1654" xr:uid="{01BA416F-834E-4A04-B6FD-F91818676401}"/>
    <cellStyle name="60% - 강조색6 48" xfId="1655" xr:uid="{64A99CAF-273E-43E5-B024-B308241B5CCD}"/>
    <cellStyle name="60% - 강조색6 49" xfId="1656" xr:uid="{90E0BA2B-804B-41D8-B92A-5512BF28980C}"/>
    <cellStyle name="60% - 강조색6 5" xfId="1657" xr:uid="{C6B15277-4C3C-41BA-AF34-77BDBA6EAAEB}"/>
    <cellStyle name="60% - 강조색6 5 2" xfId="1658" xr:uid="{A384C274-089A-48FA-8E51-D5D621FAC0D0}"/>
    <cellStyle name="60% - 강조색6 50" xfId="1659" xr:uid="{B84975F1-5E3E-4443-95B2-066999B7443A}"/>
    <cellStyle name="60% - 강조색6 51" xfId="3837" xr:uid="{BD82D1B3-BEA7-48B9-AAD1-CB456A52FA38}"/>
    <cellStyle name="60% - 강조색6 52" xfId="4001" xr:uid="{C511339C-DDDB-4A9F-972C-90B17259915A}"/>
    <cellStyle name="60% - 강조색6 53" xfId="4095" xr:uid="{152BBEB7-369B-43AC-B1C6-D0745D85CDD4}"/>
    <cellStyle name="60% - 강조색6 54" xfId="4267" xr:uid="{83155E9B-17FF-4F2C-99ED-56C49E6A12A8}"/>
    <cellStyle name="60% - 강조색6 55" xfId="1576" xr:uid="{3F884346-96F9-4651-8E8B-1B7F2AFEA0FC}"/>
    <cellStyle name="60% - 강조색6 6" xfId="1660" xr:uid="{BBF75B95-C846-408B-B482-44A85FE14336}"/>
    <cellStyle name="60% - 강조색6 6 2" xfId="1661" xr:uid="{8E0481A4-A783-4467-B0F2-71CA39343BD6}"/>
    <cellStyle name="60% - 강조색6 7" xfId="1662" xr:uid="{9E6B085E-501C-4CD2-A94F-4C95F96EFAD8}"/>
    <cellStyle name="60% - 강조색6 7 2" xfId="1663" xr:uid="{A27720ED-33D1-41E4-85E6-9558D9ABBD2A}"/>
    <cellStyle name="60% - 강조색6 8" xfId="1664" xr:uid="{9AEF9E60-B026-4C56-806C-236843BD283D}"/>
    <cellStyle name="60% - 강조색6 8 2" xfId="1665" xr:uid="{87D5D261-8777-4E70-A7C2-51AA9C9F3877}"/>
    <cellStyle name="60% - 강조색6 9" xfId="1666" xr:uid="{2F0E72ED-1AE6-4F08-A7CE-46B9BCB1F3C0}"/>
    <cellStyle name="60% - 강조색6 9 2" xfId="1667" xr:uid="{0F11CE62-3E84-4D45-B5C0-4F37484FD096}"/>
    <cellStyle name="Data_Sheet1 (2)_1" xfId="4" xr:uid="{00000000-0005-0000-0000-000000000000}"/>
    <cellStyle name="Hed Side" xfId="3" xr:uid="{00000000-0005-0000-0000-000001000000}"/>
    <cellStyle name="Source Text" xfId="6" xr:uid="{00000000-0005-0000-0000-000005000000}"/>
    <cellStyle name="Table Title" xfId="1" xr:uid="{00000000-0005-0000-0000-000006000000}"/>
    <cellStyle name="Title-1" xfId="2" xr:uid="{00000000-0005-0000-0000-000007000000}"/>
    <cellStyle name="강조색1 10" xfId="1669" xr:uid="{D57302D1-4C1C-47F4-8656-F609DA077454}"/>
    <cellStyle name="강조색1 10 2" xfId="1670" xr:uid="{D2E606B2-7F32-48F5-BD93-2ABEC323B671}"/>
    <cellStyle name="강조색1 11" xfId="1671" xr:uid="{8E2D298E-9EA9-4DD8-B014-7A73B119BB71}"/>
    <cellStyle name="강조색1 11 2" xfId="1672" xr:uid="{F7181587-CE5F-4928-9E75-7082DE63EBD1}"/>
    <cellStyle name="강조색1 12" xfId="1673" xr:uid="{2CDA225D-E2C9-45BF-89D6-873F52892ADF}"/>
    <cellStyle name="강조색1 12 2" xfId="1674" xr:uid="{17BB36BD-E7B4-4A08-B142-6F95AD9864F5}"/>
    <cellStyle name="강조색1 13" xfId="1675" xr:uid="{65852958-4872-44C1-8F3B-DEDF9737B95F}"/>
    <cellStyle name="강조색1 13 2" xfId="1676" xr:uid="{06C19799-C302-401C-B1E2-616E63F2B7D9}"/>
    <cellStyle name="강조색1 14" xfId="1677" xr:uid="{AAADCE3D-1BFF-44E4-9E95-82CE0D6985AC}"/>
    <cellStyle name="강조색1 14 2" xfId="1678" xr:uid="{9C1175C1-3227-4EB1-9200-DD0A3AEF54B8}"/>
    <cellStyle name="강조색1 15" xfId="1679" xr:uid="{E7A744D3-1DA9-4ECC-94F0-D804022998FA}"/>
    <cellStyle name="강조색1 15 2" xfId="1680" xr:uid="{7130211B-BDEF-4A77-9ADA-94683ECE50AF}"/>
    <cellStyle name="강조색1 16" xfId="1681" xr:uid="{0F249ECD-EB4E-40C1-8658-EFC7D2DC5C2E}"/>
    <cellStyle name="강조색1 16 2" xfId="1682" xr:uid="{6AF94E40-3E3D-48D0-9841-6707BB38D31D}"/>
    <cellStyle name="강조색1 17" xfId="1683" xr:uid="{083D04EA-C687-46DE-A3D3-7FEBEE23D327}"/>
    <cellStyle name="강조색1 17 2" xfId="1684" xr:uid="{4B8A3D0A-6586-44DE-85A2-29ED0D1A021D}"/>
    <cellStyle name="강조색1 18" xfId="1685" xr:uid="{EDEDDE0C-8407-479E-B7C2-8B057C5346B7}"/>
    <cellStyle name="강조색1 18 2" xfId="1686" xr:uid="{7D27F55D-0670-45F2-9F3B-5EC60047388C}"/>
    <cellStyle name="강조색1 19" xfId="1687" xr:uid="{B88DC22A-1F03-45E2-9B02-44CFDDBAA24A}"/>
    <cellStyle name="강조색1 19 2" xfId="1688" xr:uid="{30E91CD1-F95D-41BA-8065-ADD020AFDFDE}"/>
    <cellStyle name="강조색1 2" xfId="1689" xr:uid="{B8CAF986-2A79-4857-99A4-EED6F40CF608}"/>
    <cellStyle name="강조색1 2 2" xfId="1690" xr:uid="{F2B23C09-5464-4A82-904B-C08145D89C52}"/>
    <cellStyle name="강조색1 20" xfId="1691" xr:uid="{4A400771-43A3-4F9E-A415-9D00739DDC86}"/>
    <cellStyle name="강조색1 20 2" xfId="1692" xr:uid="{DEB683D2-EB60-4557-BC74-5F23E916EB30}"/>
    <cellStyle name="강조색1 21" xfId="1693" xr:uid="{0DB65C8A-260C-4400-95B6-1A67D8D87BFB}"/>
    <cellStyle name="강조색1 21 2" xfId="1694" xr:uid="{466DB8EB-EBDF-4C4B-8D97-C33C98C8B590}"/>
    <cellStyle name="강조색1 22" xfId="1695" xr:uid="{32E5948E-9034-4677-98EE-FCF87C72310B}"/>
    <cellStyle name="강조색1 22 2" xfId="1696" xr:uid="{C0BA51EA-67D6-49C7-B6DB-432ECA3EAB49}"/>
    <cellStyle name="강조색1 23" xfId="1697" xr:uid="{B9970E46-12EE-43ED-92B5-809E778EE886}"/>
    <cellStyle name="강조색1 23 2" xfId="1698" xr:uid="{A6807DF6-531B-457B-84D4-8BB7534BDB55}"/>
    <cellStyle name="강조색1 24" xfId="1699" xr:uid="{7FE24FF7-E529-4942-9E34-3CF7069F07AC}"/>
    <cellStyle name="강조색1 24 2" xfId="1700" xr:uid="{A93213EE-E870-4443-A1ED-9775176F1AA9}"/>
    <cellStyle name="강조색1 25" xfId="1701" xr:uid="{7EC430CD-0528-4E0D-9C2D-458ABFAEEC34}"/>
    <cellStyle name="강조색1 25 2" xfId="1702" xr:uid="{8169CCD5-F49C-497C-A47B-341A18C87D94}"/>
    <cellStyle name="강조색1 26" xfId="1703" xr:uid="{7E3BF0FD-D4E0-4851-962E-F09F72D938DF}"/>
    <cellStyle name="강조색1 26 2" xfId="1704" xr:uid="{DABC00CF-520F-4546-9370-3D4CFE519D33}"/>
    <cellStyle name="강조색1 27" xfId="1705" xr:uid="{C4F1B600-C815-4D54-9BF6-AF96B736DED5}"/>
    <cellStyle name="강조색1 27 2" xfId="1706" xr:uid="{9927678C-4E37-4F4F-AD1A-7E2170401E16}"/>
    <cellStyle name="강조색1 28" xfId="1707" xr:uid="{F051C916-C3DE-4970-98CC-059EE9CD26FC}"/>
    <cellStyle name="강조색1 28 2" xfId="1708" xr:uid="{7A3609B5-228A-4A30-B1DE-F4090B3715C2}"/>
    <cellStyle name="강조색1 29" xfId="1709" xr:uid="{976A5C35-624E-4263-BB4E-5F83EB4F0D3B}"/>
    <cellStyle name="강조색1 29 2" xfId="1710" xr:uid="{ACFB3B10-D2DE-40D4-8B52-200F247ED4B3}"/>
    <cellStyle name="강조색1 3" xfId="1711" xr:uid="{A92B30C9-6BB8-41AA-92F7-49A31DBFC980}"/>
    <cellStyle name="강조색1 3 2" xfId="1712" xr:uid="{5D934B04-1E9B-49B2-8D56-B419635791C7}"/>
    <cellStyle name="강조색1 30" xfId="1713" xr:uid="{1994A9E4-F013-4750-A7CD-D4C3B7CA4A6C}"/>
    <cellStyle name="강조색1 30 2" xfId="1714" xr:uid="{7CD845B2-B4E2-4283-8BF5-65AEC82F0C40}"/>
    <cellStyle name="강조색1 31" xfId="1715" xr:uid="{4F9C92A2-5F3F-434A-8414-C2A70FFEC963}"/>
    <cellStyle name="강조색1 31 2" xfId="1716" xr:uid="{953719A0-8D31-4525-9C6F-561208C2F116}"/>
    <cellStyle name="강조색1 32" xfId="1717" xr:uid="{3CC351F5-18F6-4F77-98EA-50D72CEE3080}"/>
    <cellStyle name="강조색1 32 2" xfId="1718" xr:uid="{EF064988-F7F1-4474-BDF6-0C87FF708A58}"/>
    <cellStyle name="강조색1 33" xfId="1719" xr:uid="{F118BDB1-84E5-4371-A245-BD983385DF9D}"/>
    <cellStyle name="강조색1 33 2" xfId="1720" xr:uid="{916F02F8-D04E-48CD-9EBA-CA0746281944}"/>
    <cellStyle name="강조색1 34" xfId="1721" xr:uid="{DA65E94D-A1FD-48F6-9E9F-22A8AC4E61DA}"/>
    <cellStyle name="강조색1 34 2" xfId="1722" xr:uid="{BA5CDC93-1CE3-48FA-B944-044792358E13}"/>
    <cellStyle name="강조색1 35" xfId="1723" xr:uid="{A54E5152-2D8C-443C-B2E2-7EBB4A79F381}"/>
    <cellStyle name="강조색1 35 2" xfId="1724" xr:uid="{59CBD256-8B1F-41F4-936D-D7B1847921E2}"/>
    <cellStyle name="강조색1 36" xfId="1725" xr:uid="{22D9D751-71AD-4179-95CA-6C1DCCCB2F90}"/>
    <cellStyle name="강조색1 36 2" xfId="1726" xr:uid="{4CC4DFAB-FB90-4AD7-BEAA-5159F7A43C07}"/>
    <cellStyle name="강조색1 37" xfId="1727" xr:uid="{0540DA9D-B67E-492D-9EF1-22232BD8356E}"/>
    <cellStyle name="강조색1 37 2" xfId="1728" xr:uid="{A5CB7D8A-90CA-481A-866C-B1B5DB095417}"/>
    <cellStyle name="강조색1 38" xfId="1729" xr:uid="{3AAC898A-F029-4765-B71A-5E2878071795}"/>
    <cellStyle name="강조색1 38 2" xfId="1730" xr:uid="{DC27AC5B-3215-4D8B-B650-71E29ACDE51F}"/>
    <cellStyle name="강조색1 39" xfId="1731" xr:uid="{BA1EC286-BB1F-4FF6-A972-A1EE83DCF671}"/>
    <cellStyle name="강조색1 39 2" xfId="1732" xr:uid="{58B60F57-7D4D-48E9-9F53-E6230B2EA68C}"/>
    <cellStyle name="강조색1 4" xfId="1733" xr:uid="{45989813-6ABC-48F8-B44C-2DEA5B039DB8}"/>
    <cellStyle name="강조색1 4 2" xfId="1734" xr:uid="{3AC87049-3E1A-494D-97FA-6B0DC04A91DE}"/>
    <cellStyle name="강조색1 40" xfId="1735" xr:uid="{52C620A9-ED2F-4EEA-918D-742481257CF1}"/>
    <cellStyle name="강조색1 40 2" xfId="1736" xr:uid="{61DC6CCD-DF99-474E-8FBA-60614FEFF95F}"/>
    <cellStyle name="강조색1 41" xfId="1737" xr:uid="{29D00448-E898-41EC-8BCB-10E052AB81D3}"/>
    <cellStyle name="강조색1 41 2" xfId="1738" xr:uid="{48E19B94-19F3-4701-9E44-66543774E9C0}"/>
    <cellStyle name="강조색1 42" xfId="1739" xr:uid="{B68427E9-6FE3-4243-9EF9-03614669F66B}"/>
    <cellStyle name="강조색1 42 2" xfId="1740" xr:uid="{D2B25355-7288-44B8-A5A2-D6DF03401089}"/>
    <cellStyle name="강조색1 43" xfId="1741" xr:uid="{1656068A-7B55-43B1-B237-DC106567B243}"/>
    <cellStyle name="강조색1 43 2" xfId="1742" xr:uid="{F872D3A3-C429-452C-8F7C-165564A1C6C7}"/>
    <cellStyle name="강조색1 44" xfId="1743" xr:uid="{2B3877F0-184E-439D-A67E-7F804064C48B}"/>
    <cellStyle name="강조색1 45" xfId="1744" xr:uid="{3CBDCE6D-3BF5-4589-BC45-C995A065242C}"/>
    <cellStyle name="강조색1 46" xfId="1745" xr:uid="{F0EC6457-4FA3-40D0-9619-A24BC5A6D480}"/>
    <cellStyle name="강조색1 47" xfId="1746" xr:uid="{32DCCE50-6534-47A4-8B53-43265FDE72C0}"/>
    <cellStyle name="강조색1 48" xfId="1747" xr:uid="{5052A22F-7B66-483F-96CA-F91220A899F9}"/>
    <cellStyle name="강조색1 49" xfId="1748" xr:uid="{8E78D8EF-7D19-41B6-9F05-46CA73C28820}"/>
    <cellStyle name="강조색1 5" xfId="1749" xr:uid="{C28B73BF-6E61-47A8-B672-B6704A786CB4}"/>
    <cellStyle name="강조색1 5 2" xfId="1750" xr:uid="{161B0BA8-5FF3-4F8C-AED0-22BB8FCBD428}"/>
    <cellStyle name="강조색1 50" xfId="1751" xr:uid="{AAD0B7D7-99D8-4FC1-96CA-B3E490E7F052}"/>
    <cellStyle name="강조색1 51" xfId="3814" xr:uid="{67D08101-EF5E-4549-BFC7-23BEB11F29E6}"/>
    <cellStyle name="강조색1 52" xfId="3978" xr:uid="{3A8DDC77-40F1-4B42-BD27-19409757E11B}"/>
    <cellStyle name="강조색1 53" xfId="4096" xr:uid="{A4D571BC-66C8-4500-9434-56702462F4D3}"/>
    <cellStyle name="강조색1 54" xfId="4268" xr:uid="{095AC13E-00E6-4BEC-A081-2C7BB3367AD3}"/>
    <cellStyle name="강조색1 55" xfId="1668" xr:uid="{BC4A3121-7F84-4094-A5F5-C0CEB4ED2D42}"/>
    <cellStyle name="강조색1 6" xfId="1752" xr:uid="{26BBC540-06A0-4E02-BC4C-F14560D66755}"/>
    <cellStyle name="강조색1 6 2" xfId="1753" xr:uid="{4971529D-66D6-42E6-BE84-E940AC8B8718}"/>
    <cellStyle name="강조색1 7" xfId="1754" xr:uid="{0D910622-4E94-4344-9B4F-B072E28A3E9D}"/>
    <cellStyle name="강조색1 7 2" xfId="1755" xr:uid="{F00C77D8-3BD4-4509-B8C2-C537AD881450}"/>
    <cellStyle name="강조색1 8" xfId="1756" xr:uid="{BFD4BA57-D03B-4281-9346-1D2D85044427}"/>
    <cellStyle name="강조색1 8 2" xfId="1757" xr:uid="{E294F6FE-0E8C-46C3-9856-23CD6D1DB57B}"/>
    <cellStyle name="강조색1 9" xfId="1758" xr:uid="{9F50963F-44C6-4243-8C37-8BD31FCE6B96}"/>
    <cellStyle name="강조색1 9 2" xfId="1759" xr:uid="{A161531F-262A-41A1-820F-85A1A388D533}"/>
    <cellStyle name="강조색2 10" xfId="1761" xr:uid="{4051AF08-89F0-4A70-AFFF-7C367C11BD17}"/>
    <cellStyle name="강조색2 10 2" xfId="1762" xr:uid="{E84DB2A5-5781-4D72-84F4-17C5283C7C80}"/>
    <cellStyle name="강조색2 11" xfId="1763" xr:uid="{2DB642C0-BCF4-445C-B03B-E366E4AA214F}"/>
    <cellStyle name="강조색2 11 2" xfId="1764" xr:uid="{F43E507C-8E34-4B27-ADA3-10568A877BBC}"/>
    <cellStyle name="강조색2 12" xfId="1765" xr:uid="{A16C01CF-ACFD-4F62-8DD9-DC6404C247D2}"/>
    <cellStyle name="강조색2 12 2" xfId="1766" xr:uid="{E476015F-B502-4CCC-83DF-DC73EFEC65A9}"/>
    <cellStyle name="강조색2 13" xfId="1767" xr:uid="{341D99B3-CFF6-4252-9B5A-57F5FB3A299C}"/>
    <cellStyle name="강조색2 13 2" xfId="1768" xr:uid="{CB3CD0AD-F710-4027-85F8-7A6A0B47DE37}"/>
    <cellStyle name="강조색2 14" xfId="1769" xr:uid="{C5B8471B-632C-44E1-A317-5AE5E8C0AF99}"/>
    <cellStyle name="강조색2 14 2" xfId="1770" xr:uid="{ED4D01B9-3128-4131-84F0-88E4CD5EB558}"/>
    <cellStyle name="강조색2 15" xfId="1771" xr:uid="{46F7333F-A072-4C11-BFEC-6D49F5DDEABA}"/>
    <cellStyle name="강조색2 15 2" xfId="1772" xr:uid="{99DD86B1-322C-4DEB-975A-D49AB12CCD98}"/>
    <cellStyle name="강조색2 16" xfId="1773" xr:uid="{33085ECA-2E3E-4D76-9408-4974BD72D321}"/>
    <cellStyle name="강조색2 16 2" xfId="1774" xr:uid="{0A4C23E6-CF16-4D67-B34B-62A132465B76}"/>
    <cellStyle name="강조색2 17" xfId="1775" xr:uid="{3830B975-B237-4DF4-9C5A-680CB3CD2F39}"/>
    <cellStyle name="강조색2 17 2" xfId="1776" xr:uid="{09F52268-6B3B-402D-B67E-FF8177100E5B}"/>
    <cellStyle name="강조색2 18" xfId="1777" xr:uid="{60FE80F7-1F21-4728-BA19-7FA7F8F288A2}"/>
    <cellStyle name="강조색2 18 2" xfId="1778" xr:uid="{734A13BD-817F-40AF-AE00-B5D15BF440EE}"/>
    <cellStyle name="강조색2 19" xfId="1779" xr:uid="{3F8924A8-0C64-4D87-8868-DCA9324C0E0A}"/>
    <cellStyle name="강조색2 19 2" xfId="1780" xr:uid="{3799833C-0FCF-4C5F-8773-C088BC4EB17F}"/>
    <cellStyle name="강조색2 2" xfId="1781" xr:uid="{34379137-1C1A-4D76-A323-76AF68185B2F}"/>
    <cellStyle name="강조색2 2 2" xfId="1782" xr:uid="{4A07E496-29FA-4A6C-A690-D5AC90563E96}"/>
    <cellStyle name="강조색2 20" xfId="1783" xr:uid="{CA99D674-AA5B-4F4F-A799-57C108519081}"/>
    <cellStyle name="강조색2 20 2" xfId="1784" xr:uid="{94EBF142-8244-4A21-B396-7053E1477DC8}"/>
    <cellStyle name="강조색2 21" xfId="1785" xr:uid="{45700F10-7B15-4066-AE10-4158CCA1A9B8}"/>
    <cellStyle name="강조색2 21 2" xfId="1786" xr:uid="{10EC4E8F-7823-41A6-8288-AC9AA7585167}"/>
    <cellStyle name="강조색2 22" xfId="1787" xr:uid="{74A012AF-FD32-4424-B2E3-A9F9B548F5C5}"/>
    <cellStyle name="강조색2 22 2" xfId="1788" xr:uid="{9CF398C4-A07E-4CAD-AAF5-035677F463E5}"/>
    <cellStyle name="강조색2 23" xfId="1789" xr:uid="{071C1093-5046-42ED-A310-C95106C50F3C}"/>
    <cellStyle name="강조색2 23 2" xfId="1790" xr:uid="{AAD4DBD4-E2A0-4D67-99C2-D0E819F0C987}"/>
    <cellStyle name="강조색2 24" xfId="1791" xr:uid="{D5422DEE-44C4-4385-BCEC-5033F7B252F6}"/>
    <cellStyle name="강조색2 24 2" xfId="1792" xr:uid="{4D122C5C-B2BC-44B4-BACF-31723C3A0A5F}"/>
    <cellStyle name="강조색2 25" xfId="1793" xr:uid="{0EAB8086-A502-482B-A2A5-ED4B823769B1}"/>
    <cellStyle name="강조색2 25 2" xfId="1794" xr:uid="{09C7D3C7-5143-4FDF-A4B0-600D9707B17D}"/>
    <cellStyle name="강조색2 26" xfId="1795" xr:uid="{13649C5A-A4D9-42D4-9F97-C611F0333341}"/>
    <cellStyle name="강조색2 26 2" xfId="1796" xr:uid="{C3C43370-4505-4AC3-8176-B14F4B1DEBB7}"/>
    <cellStyle name="강조색2 27" xfId="1797" xr:uid="{A647C616-CA3E-43A7-ABB5-820DF8709981}"/>
    <cellStyle name="강조색2 27 2" xfId="1798" xr:uid="{2B6FD3F9-E390-4B52-BF36-61CB691314A8}"/>
    <cellStyle name="강조색2 28" xfId="1799" xr:uid="{6966D19E-76B1-441E-B0F7-BFAFFEFFAB43}"/>
    <cellStyle name="강조색2 28 2" xfId="1800" xr:uid="{68714A36-F6E8-45F2-B897-4403F5386FC9}"/>
    <cellStyle name="강조색2 29" xfId="1801" xr:uid="{EE2E808B-AA4A-473F-A7C1-F3DDC55EE062}"/>
    <cellStyle name="강조색2 29 2" xfId="1802" xr:uid="{DEF100D5-A8BF-44F2-92B8-963FCA532C8D}"/>
    <cellStyle name="강조색2 3" xfId="1803" xr:uid="{0CB91D2C-973C-4DEB-BC4E-71DFD89C8A7F}"/>
    <cellStyle name="강조색2 3 2" xfId="1804" xr:uid="{89432DE3-409B-462F-94C9-CCFAADC7CAE5}"/>
    <cellStyle name="강조색2 30" xfId="1805" xr:uid="{2FE4D41F-B159-4217-89C4-328D40A3067A}"/>
    <cellStyle name="강조색2 30 2" xfId="1806" xr:uid="{0B32B8FD-D8A4-426D-BB2A-4A697B9540F4}"/>
    <cellStyle name="강조색2 31" xfId="1807" xr:uid="{C48CB12C-3C89-405A-8F66-0E4C44B3AE48}"/>
    <cellStyle name="강조색2 31 2" xfId="1808" xr:uid="{CA89EAC5-BB4E-4CD8-BA78-A7CFC3B7DA3A}"/>
    <cellStyle name="강조색2 32" xfId="1809" xr:uid="{BAA5FB23-ABB1-4CAB-BD9A-90D738063589}"/>
    <cellStyle name="강조색2 32 2" xfId="1810" xr:uid="{BB9A6A8E-2615-44E6-A99A-4D84E66E976D}"/>
    <cellStyle name="강조색2 33" xfId="1811" xr:uid="{539A7F0B-EF84-4D25-9B23-1A1087B74C55}"/>
    <cellStyle name="강조색2 33 2" xfId="1812" xr:uid="{28B897E7-5EF2-432A-8D47-F25B2F4C8AF2}"/>
    <cellStyle name="강조색2 34" xfId="1813" xr:uid="{0A4641DF-F7A7-4018-86CE-F7A6C0BA0BEB}"/>
    <cellStyle name="강조색2 34 2" xfId="1814" xr:uid="{5BF0C711-8EBF-4C5E-BA54-87341687B93D}"/>
    <cellStyle name="강조색2 35" xfId="1815" xr:uid="{5AF76E23-F8B0-44F9-9F8D-9DA76ECD296D}"/>
    <cellStyle name="강조색2 35 2" xfId="1816" xr:uid="{03EEE964-C065-4AF0-BED0-9EA15B820B29}"/>
    <cellStyle name="강조색2 36" xfId="1817" xr:uid="{52025847-8F0B-48FF-A70A-5E9434064621}"/>
    <cellStyle name="강조색2 36 2" xfId="1818" xr:uid="{860C7EEE-EC97-4510-9594-0376D8CE60F9}"/>
    <cellStyle name="강조색2 37" xfId="1819" xr:uid="{A1DF1303-A3A8-47C7-9B57-ECE8FB1DCBEA}"/>
    <cellStyle name="강조색2 37 2" xfId="1820" xr:uid="{9AFD34FD-2DF5-4497-A794-77C8C75DA12A}"/>
    <cellStyle name="강조색2 38" xfId="1821" xr:uid="{037B2258-E587-41EC-B8CD-88AA48B2C6F0}"/>
    <cellStyle name="강조색2 38 2" xfId="1822" xr:uid="{198A68E9-2A8E-40F5-9EA2-DAEBE48FB284}"/>
    <cellStyle name="강조색2 39" xfId="1823" xr:uid="{8992B3F1-E9A4-4943-A2F5-E5C559A06345}"/>
    <cellStyle name="강조색2 39 2" xfId="1824" xr:uid="{C6877361-CB3C-420A-BB58-79529C7869ED}"/>
    <cellStyle name="강조색2 4" xfId="1825" xr:uid="{1458AB04-4215-4B48-8D74-D391CC23A14A}"/>
    <cellStyle name="강조색2 4 2" xfId="1826" xr:uid="{152BB5B0-30CF-4297-B950-56F3398F902A}"/>
    <cellStyle name="강조색2 40" xfId="1827" xr:uid="{0FD6E00B-D352-4985-972A-D3E9694AF87F}"/>
    <cellStyle name="강조색2 40 2" xfId="1828" xr:uid="{52422692-6230-4D7C-BA2D-6274EAB46EB8}"/>
    <cellStyle name="강조색2 41" xfId="1829" xr:uid="{9B0EF50D-ED8C-4078-8F67-69F3AD427FF1}"/>
    <cellStyle name="강조색2 41 2" xfId="1830" xr:uid="{84122008-1D02-47D8-B0D0-9E471E853DFD}"/>
    <cellStyle name="강조색2 42" xfId="1831" xr:uid="{0BF496F0-B2E9-491D-AFD2-17C08E89D843}"/>
    <cellStyle name="강조색2 42 2" xfId="1832" xr:uid="{231B5B0C-0888-4BB7-A52A-AE4F12CD882D}"/>
    <cellStyle name="강조색2 43" xfId="1833" xr:uid="{848FFEE3-3C2F-4401-87B5-9B81DDC64856}"/>
    <cellStyle name="강조색2 43 2" xfId="1834" xr:uid="{F559F3D5-1B95-4481-8CC6-0F0E0C68524A}"/>
    <cellStyle name="강조색2 44" xfId="1835" xr:uid="{55767CED-2272-4A71-BC9E-6C5840959D1E}"/>
    <cellStyle name="강조색2 45" xfId="1836" xr:uid="{397FF921-E540-45DA-9D5B-591FB899D6AD}"/>
    <cellStyle name="강조색2 46" xfId="1837" xr:uid="{C442AABA-2A6C-44C4-B642-FA6AA596F044}"/>
    <cellStyle name="강조색2 47" xfId="1838" xr:uid="{14D670A9-FE5A-4B3B-AC4E-EED8E553F893}"/>
    <cellStyle name="강조색2 48" xfId="1839" xr:uid="{72CE0E94-033A-46A1-AAA6-73F508CBAC15}"/>
    <cellStyle name="강조색2 49" xfId="1840" xr:uid="{1B2331C8-D30A-4ED7-B481-EED32AFD4D19}"/>
    <cellStyle name="강조색2 5" xfId="1841" xr:uid="{CE3A5DFF-211B-4C9A-A8B4-31B248D9107C}"/>
    <cellStyle name="강조색2 5 2" xfId="1842" xr:uid="{8683DF05-B396-4DC3-9F10-7704E642FE7C}"/>
    <cellStyle name="강조색2 50" xfId="1843" xr:uid="{CF819A58-234F-491E-A725-9EE5113D8E42}"/>
    <cellStyle name="강조색2 51" xfId="3818" xr:uid="{5ADA0B61-D912-4B27-AE5A-A66563B978AD}"/>
    <cellStyle name="강조색2 52" xfId="3982" xr:uid="{AA290AB1-8A30-4F46-B970-F965F8138148}"/>
    <cellStyle name="강조색2 53" xfId="4097" xr:uid="{3BF2B2C7-EED7-4E57-B03B-5F3CC8DA0440}"/>
    <cellStyle name="강조색2 54" xfId="4269" xr:uid="{6196FACA-C629-4D65-BA84-F506C01A0D80}"/>
    <cellStyle name="강조색2 55" xfId="1760" xr:uid="{9AABCA85-22D9-42E8-9C41-ED397D6BF098}"/>
    <cellStyle name="강조색2 6" xfId="1844" xr:uid="{A8944CBC-8437-483D-9CFE-D03E99EC55C2}"/>
    <cellStyle name="강조색2 6 2" xfId="1845" xr:uid="{55E4A6FB-83F6-483C-AB4D-D63B31ACECE2}"/>
    <cellStyle name="강조색2 7" xfId="1846" xr:uid="{4CBF6CF7-A32D-4A66-8B48-9C058581A88C}"/>
    <cellStyle name="강조색2 7 2" xfId="1847" xr:uid="{B5318717-8783-4E1C-9AC1-C4246737FF6D}"/>
    <cellStyle name="강조색2 8" xfId="1848" xr:uid="{269481A6-C0B8-4798-A437-2632437B806D}"/>
    <cellStyle name="강조색2 8 2" xfId="1849" xr:uid="{94AA92CE-52AE-4010-9E7E-CA212D93228A}"/>
    <cellStyle name="강조색2 9" xfId="1850" xr:uid="{83E57118-2600-4CF5-B048-66CCF7E153C8}"/>
    <cellStyle name="강조색2 9 2" xfId="1851" xr:uid="{8CE55C0A-0ED1-4ABD-8399-D3A608704169}"/>
    <cellStyle name="강조색3 10" xfId="1853" xr:uid="{C0443299-46FA-47DE-8A36-45CCB13A6298}"/>
    <cellStyle name="강조색3 10 2" xfId="1854" xr:uid="{D9BD374E-BBB1-4C59-A8A3-6EA15F5EA7A6}"/>
    <cellStyle name="강조색3 11" xfId="1855" xr:uid="{3018EDA9-EAC6-4971-AE91-5792A52D6A27}"/>
    <cellStyle name="강조색3 11 2" xfId="1856" xr:uid="{BF533365-2A14-4B47-9DF2-6DC5D6E0E342}"/>
    <cellStyle name="강조색3 12" xfId="1857" xr:uid="{0D52BBE6-5C30-4D20-8E32-1512424F6F3E}"/>
    <cellStyle name="강조색3 12 2" xfId="1858" xr:uid="{D8F26401-A929-4EDB-B324-C0E83D72944C}"/>
    <cellStyle name="강조색3 13" xfId="1859" xr:uid="{23293591-84F8-4C66-89AF-EA1A650BB6B8}"/>
    <cellStyle name="강조색3 13 2" xfId="1860" xr:uid="{A8C434ED-60A0-48A0-A5E1-D4F07EB9A2D7}"/>
    <cellStyle name="강조색3 14" xfId="1861" xr:uid="{39A3331B-B844-4D51-ACE9-E17B6EEAD501}"/>
    <cellStyle name="강조색3 14 2" xfId="1862" xr:uid="{DA2D6F4E-02C4-4AD7-92DE-95CD048214E0}"/>
    <cellStyle name="강조색3 15" xfId="1863" xr:uid="{9A55F7E2-892D-4AA0-90F9-CD7BEBDD3016}"/>
    <cellStyle name="강조색3 15 2" xfId="1864" xr:uid="{E21948A8-0979-45EC-9199-15C5926139C6}"/>
    <cellStyle name="강조색3 16" xfId="1865" xr:uid="{16DB4550-40E4-4C2F-9365-025934E69443}"/>
    <cellStyle name="강조색3 16 2" xfId="1866" xr:uid="{5600B86E-63C4-489C-A884-F3B83B91D83C}"/>
    <cellStyle name="강조색3 17" xfId="1867" xr:uid="{ED132F49-E2AF-45BC-A9F7-D939A8BE224D}"/>
    <cellStyle name="강조색3 17 2" xfId="1868" xr:uid="{738D7146-FDC0-49B5-B766-F7FE5C921457}"/>
    <cellStyle name="강조색3 18" xfId="1869" xr:uid="{B0B37984-D150-4E73-AF61-9D80881E245C}"/>
    <cellStyle name="강조색3 18 2" xfId="1870" xr:uid="{86C70151-55C2-40B1-A03F-145B532A4E64}"/>
    <cellStyle name="강조색3 19" xfId="1871" xr:uid="{D7A04354-D731-4966-99B1-6FFEAEEA4023}"/>
    <cellStyle name="강조색3 19 2" xfId="1872" xr:uid="{3C72FE85-BF6E-40A1-B728-DADF23ADD55A}"/>
    <cellStyle name="강조색3 2" xfId="1873" xr:uid="{03222570-BA25-4E7D-8B8D-18E2BA727A2F}"/>
    <cellStyle name="강조색3 2 2" xfId="1874" xr:uid="{EC6A80BD-472C-422F-88E1-892251543899}"/>
    <cellStyle name="강조색3 20" xfId="1875" xr:uid="{18F55F07-CDCC-4E9B-8E2C-68AB1B38B8BF}"/>
    <cellStyle name="강조색3 20 2" xfId="1876" xr:uid="{74186747-1037-4CB9-89F1-FC8BD464B770}"/>
    <cellStyle name="강조색3 21" xfId="1877" xr:uid="{EA99E4FF-B037-40F6-9A5D-2485444FBC48}"/>
    <cellStyle name="강조색3 21 2" xfId="1878" xr:uid="{9F6C48DF-EE42-4398-807F-7834B28A73E1}"/>
    <cellStyle name="강조색3 22" xfId="1879" xr:uid="{6322560D-1FD0-40A5-B954-39517BC1E599}"/>
    <cellStyle name="강조색3 22 2" xfId="1880" xr:uid="{E509EC43-97F3-4A10-9849-24BC97035E8F}"/>
    <cellStyle name="강조색3 23" xfId="1881" xr:uid="{DCD34D2E-DA74-47BA-AB8F-F793D3751D6F}"/>
    <cellStyle name="강조색3 23 2" xfId="1882" xr:uid="{4A0C56CF-47E8-4656-8FA9-DDC45D2D8A61}"/>
    <cellStyle name="강조색3 24" xfId="1883" xr:uid="{A9E55A63-D579-40D9-98BD-7287CD7C169D}"/>
    <cellStyle name="강조색3 24 2" xfId="1884" xr:uid="{18C5D074-4495-4618-BB14-779B3BD2B369}"/>
    <cellStyle name="강조색3 25" xfId="1885" xr:uid="{CDBF31BE-5880-4F64-BD21-BE8D37AA9273}"/>
    <cellStyle name="강조색3 25 2" xfId="1886" xr:uid="{FD7058D1-8744-4625-AE2F-E9E390DDCCEC}"/>
    <cellStyle name="강조색3 26" xfId="1887" xr:uid="{354A75D8-828A-4C52-8A5D-BA65AEB0FC9C}"/>
    <cellStyle name="강조색3 26 2" xfId="1888" xr:uid="{D62B7FD2-080C-4CFF-B39B-D93F166C3CF9}"/>
    <cellStyle name="강조색3 27" xfId="1889" xr:uid="{E0A5FE98-3E4A-4411-BFDB-4B7280817830}"/>
    <cellStyle name="강조색3 27 2" xfId="1890" xr:uid="{1F564536-DE0C-422C-A07F-6AB6B665FAF8}"/>
    <cellStyle name="강조색3 28" xfId="1891" xr:uid="{4471B550-1AF1-48D1-9F6A-8ADED42B5E53}"/>
    <cellStyle name="강조색3 28 2" xfId="1892" xr:uid="{AFC444FA-3F6E-4BF2-802C-9986A3704432}"/>
    <cellStyle name="강조색3 29" xfId="1893" xr:uid="{936FC280-9A5E-4CA6-BA72-F0061B8A8BCE}"/>
    <cellStyle name="강조색3 29 2" xfId="1894" xr:uid="{99BA23DE-A95E-4243-8638-F846BDDA50DF}"/>
    <cellStyle name="강조색3 3" xfId="1895" xr:uid="{F6AF27A9-D618-48C3-B118-479E365B2C3B}"/>
    <cellStyle name="강조색3 3 2" xfId="1896" xr:uid="{96000497-E4C2-4BCF-BBF1-ED7D8E0A04C4}"/>
    <cellStyle name="강조색3 30" xfId="1897" xr:uid="{1D8F6B1B-CAA3-4327-8409-708BEE2815A8}"/>
    <cellStyle name="강조색3 30 2" xfId="1898" xr:uid="{18D086C6-2CFF-47C9-95BF-F1FFA2517FF7}"/>
    <cellStyle name="강조색3 31" xfId="1899" xr:uid="{0730C16A-499B-48BB-818E-CC50CC2169A5}"/>
    <cellStyle name="강조색3 31 2" xfId="1900" xr:uid="{F7B38E87-FBD1-4A67-818C-DEF24B420B47}"/>
    <cellStyle name="강조색3 32" xfId="1901" xr:uid="{D2646D27-CADF-496D-9F45-33E3CB1BB248}"/>
    <cellStyle name="강조색3 32 2" xfId="1902" xr:uid="{AB683801-ABBC-4FD4-9447-56BBCCC6B320}"/>
    <cellStyle name="강조색3 33" xfId="1903" xr:uid="{7525FD91-DC28-4B2D-A7FA-4696FB260C0B}"/>
    <cellStyle name="강조색3 33 2" xfId="1904" xr:uid="{3ADCF273-0A32-49FE-891A-28FE73EC6DE4}"/>
    <cellStyle name="강조색3 34" xfId="1905" xr:uid="{E4023920-954A-4567-826C-9B9573A0541C}"/>
    <cellStyle name="강조색3 34 2" xfId="1906" xr:uid="{EBB2FBCD-0DDD-415A-9D19-7C354F5B3235}"/>
    <cellStyle name="강조색3 35" xfId="1907" xr:uid="{DE64DA00-74B3-4968-AF57-AD89CD5840CC}"/>
    <cellStyle name="강조색3 35 2" xfId="1908" xr:uid="{CBD77EB5-8838-4BC6-AC68-105ECB2E4CF5}"/>
    <cellStyle name="강조색3 36" xfId="1909" xr:uid="{98708033-A05A-4D9E-8E0D-BE298D12721E}"/>
    <cellStyle name="강조색3 36 2" xfId="1910" xr:uid="{CED27FAB-001C-4293-90F4-B7BBC67CA88F}"/>
    <cellStyle name="강조색3 37" xfId="1911" xr:uid="{C9236553-C192-48AE-9C60-6AAC2721D514}"/>
    <cellStyle name="강조색3 37 2" xfId="1912" xr:uid="{E5219822-FA95-4DCA-AC64-46634CEFB239}"/>
    <cellStyle name="강조색3 38" xfId="1913" xr:uid="{F19241CF-74CF-48A9-88BA-E517942D4CC1}"/>
    <cellStyle name="강조색3 38 2" xfId="1914" xr:uid="{94BC8BC7-745B-4AAD-83F1-6CA684AD891A}"/>
    <cellStyle name="강조색3 39" xfId="1915" xr:uid="{870B21EC-588E-4AD3-A620-2BA98DFBE0B8}"/>
    <cellStyle name="강조색3 39 2" xfId="1916" xr:uid="{DEA78B8A-9E0F-4FCA-90EF-F275DE8AEFCB}"/>
    <cellStyle name="강조색3 4" xfId="1917" xr:uid="{9A2C3E7D-91FA-4C79-833B-F362DD6F9498}"/>
    <cellStyle name="강조색3 4 2" xfId="1918" xr:uid="{A1C22629-B5BC-4522-B397-8B092C69F545}"/>
    <cellStyle name="강조색3 40" xfId="1919" xr:uid="{1FF712B2-AABF-4796-B6B0-F1E65EF04792}"/>
    <cellStyle name="강조색3 40 2" xfId="1920" xr:uid="{3C7A43F6-A430-497B-9404-5C6CC8100921}"/>
    <cellStyle name="강조색3 41" xfId="1921" xr:uid="{EE12234D-6D89-4FEC-A319-D980F03A2211}"/>
    <cellStyle name="강조색3 41 2" xfId="1922" xr:uid="{1989EA23-6977-4C99-8B08-BA669F037047}"/>
    <cellStyle name="강조색3 42" xfId="1923" xr:uid="{63911693-267E-4D94-BDF2-D7CCD2FA60A1}"/>
    <cellStyle name="강조색3 42 2" xfId="1924" xr:uid="{8B253DCE-61FF-4D2C-AA47-BA4E2E348179}"/>
    <cellStyle name="강조색3 43" xfId="1925" xr:uid="{367A23BF-F703-4B7B-86FA-B562906D6FC4}"/>
    <cellStyle name="강조색3 43 2" xfId="1926" xr:uid="{D4039EEA-C13D-4896-888D-1CC42BACE0B0}"/>
    <cellStyle name="강조색3 44" xfId="1927" xr:uid="{59AFE4C1-691B-4638-A05C-41E562F599B2}"/>
    <cellStyle name="강조색3 45" xfId="1928" xr:uid="{D7937D2B-EE56-407E-8747-60FDBF7685E5}"/>
    <cellStyle name="강조색3 46" xfId="1929" xr:uid="{8A54B9EB-0430-47A5-93B1-60A85B5145F5}"/>
    <cellStyle name="강조색3 47" xfId="1930" xr:uid="{EE88C2FD-B142-42DF-AA40-D064185D1AF7}"/>
    <cellStyle name="강조색3 48" xfId="1931" xr:uid="{EE3E61B8-FBF1-4EC1-A988-96946639F4C4}"/>
    <cellStyle name="강조색3 49" xfId="1932" xr:uid="{725E8DFD-C472-41CF-B286-8391505015BE}"/>
    <cellStyle name="강조색3 5" xfId="1933" xr:uid="{3A84026B-6979-44D4-A0F2-415AB2E05AF4}"/>
    <cellStyle name="강조색3 5 2" xfId="1934" xr:uid="{78E6C7C4-4609-4B26-B8E1-F6F31D197D38}"/>
    <cellStyle name="강조색3 50" xfId="1935" xr:uid="{7258862B-3B37-495F-9E74-96EA82B0A605}"/>
    <cellStyle name="강조색3 51" xfId="3822" xr:uid="{52C969F5-00DA-491A-A231-F03EF88F67EC}"/>
    <cellStyle name="강조색3 52" xfId="3986" xr:uid="{8A654124-EFCF-403D-88C1-E3B71965853D}"/>
    <cellStyle name="강조색3 53" xfId="4098" xr:uid="{C6C3CE9E-8AC7-4A26-80FF-F28932598E74}"/>
    <cellStyle name="강조색3 54" xfId="4270" xr:uid="{B4E7F237-DEB9-4744-8E43-CC6E6CDB9453}"/>
    <cellStyle name="강조색3 55" xfId="1852" xr:uid="{D66081CE-D654-4710-8D3E-AACE091ECB3F}"/>
    <cellStyle name="강조색3 6" xfId="1936" xr:uid="{541992B7-F54E-4DDC-A0D1-924AFAE6752D}"/>
    <cellStyle name="강조색3 6 2" xfId="1937" xr:uid="{EE259316-C6CC-4980-8EED-5D3613192E0F}"/>
    <cellStyle name="강조색3 7" xfId="1938" xr:uid="{EDFE22A5-F559-430F-B089-3B285207EF51}"/>
    <cellStyle name="강조색3 7 2" xfId="1939" xr:uid="{DDF3880B-FF00-4AA7-80F1-A0974F9EFA29}"/>
    <cellStyle name="강조색3 8" xfId="1940" xr:uid="{6B63105E-D454-48FC-A329-1F3ACE4C4DF3}"/>
    <cellStyle name="강조색3 8 2" xfId="1941" xr:uid="{D29014FB-8212-4236-AE8A-6E2CBC6DA77D}"/>
    <cellStyle name="강조색3 9" xfId="1942" xr:uid="{60B853E8-1EB5-42E5-9A3A-A627690CC98C}"/>
    <cellStyle name="강조색3 9 2" xfId="1943" xr:uid="{2550B45B-BB12-41F8-AA9A-901BE6B94F87}"/>
    <cellStyle name="강조색4 10" xfId="1945" xr:uid="{0B8A7329-4777-460D-A1F1-312961ABEC47}"/>
    <cellStyle name="강조색4 10 2" xfId="1946" xr:uid="{9A7948B2-181F-4276-85A3-0EE11762CFEB}"/>
    <cellStyle name="강조색4 11" xfId="1947" xr:uid="{1BE882B2-C4BE-40DF-A0C2-09733094F58C}"/>
    <cellStyle name="강조색4 11 2" xfId="1948" xr:uid="{CFC8BCA1-4A50-4190-A79E-80CC5D5C5C0D}"/>
    <cellStyle name="강조색4 12" xfId="1949" xr:uid="{E5200D6F-6999-4AA3-AD60-1E6B66F63D6B}"/>
    <cellStyle name="강조색4 12 2" xfId="1950" xr:uid="{6449F21E-D8F0-4526-B54D-A6AAC4BEA886}"/>
    <cellStyle name="강조색4 13" xfId="1951" xr:uid="{5BD3B540-D8A0-4B92-9CC7-85983742CE4D}"/>
    <cellStyle name="강조색4 13 2" xfId="1952" xr:uid="{826241FB-C397-4370-9BFF-988F709D134A}"/>
    <cellStyle name="강조색4 14" xfId="1953" xr:uid="{15DB0DBB-8B8B-4EB3-AE9F-04E748CCA57A}"/>
    <cellStyle name="강조색4 14 2" xfId="1954" xr:uid="{91AED7B4-7D0E-4CC6-86BC-C182282A8A11}"/>
    <cellStyle name="강조색4 15" xfId="1955" xr:uid="{136B00E4-1819-432A-A36E-0EED75F26B3B}"/>
    <cellStyle name="강조색4 15 2" xfId="1956" xr:uid="{BF76BE46-A68D-4858-86B0-C0C887BF0501}"/>
    <cellStyle name="강조색4 16" xfId="1957" xr:uid="{B59D679B-C88D-41BD-A64E-D2FB6D5F49C9}"/>
    <cellStyle name="강조색4 16 2" xfId="1958" xr:uid="{13FEA44D-1EF7-4F95-B144-7CF94587E2A3}"/>
    <cellStyle name="강조색4 17" xfId="1959" xr:uid="{35FD435F-EAF5-472D-8F5A-57C355189392}"/>
    <cellStyle name="강조색4 17 2" xfId="1960" xr:uid="{196358E2-F442-4C94-A771-8D6D62E7CF2E}"/>
    <cellStyle name="강조색4 18" xfId="1961" xr:uid="{C619D3C5-4787-47BA-AAA4-DFD62D2B4452}"/>
    <cellStyle name="강조색4 18 2" xfId="1962" xr:uid="{7F29CCDB-1EB4-4E5A-9539-53913A7906CB}"/>
    <cellStyle name="강조색4 19" xfId="1963" xr:uid="{1195610E-D173-4F8A-97BE-0286F4028FD3}"/>
    <cellStyle name="강조색4 19 2" xfId="1964" xr:uid="{F68A21EE-BD9D-43D1-80A9-F1D035AD8F7C}"/>
    <cellStyle name="강조색4 2" xfId="1965" xr:uid="{8AA86AF7-6E72-4843-A7CB-2F376E46E665}"/>
    <cellStyle name="강조색4 2 2" xfId="1966" xr:uid="{9203A8D5-B487-493C-A2AB-B4F41499E07C}"/>
    <cellStyle name="강조색4 20" xfId="1967" xr:uid="{356D3318-A5A4-4C57-A2CC-73366AAA8251}"/>
    <cellStyle name="강조색4 20 2" xfId="1968" xr:uid="{4E7FFC17-F85C-49E8-A89F-6A6B0C6838F9}"/>
    <cellStyle name="강조색4 21" xfId="1969" xr:uid="{17D8161A-703F-4BA8-97A8-3F1F2CDBE9F4}"/>
    <cellStyle name="강조색4 21 2" xfId="1970" xr:uid="{42A4CE65-3664-496B-A036-C822B23CD912}"/>
    <cellStyle name="강조색4 22" xfId="1971" xr:uid="{51BE9B13-843E-4526-B949-DACF9E7DB69F}"/>
    <cellStyle name="강조색4 22 2" xfId="1972" xr:uid="{BA88EF74-B2DA-41BD-8178-3C7C02B8EE02}"/>
    <cellStyle name="강조색4 23" xfId="1973" xr:uid="{993D21DB-AC03-452C-8344-AAE5CAF2AD7C}"/>
    <cellStyle name="강조색4 23 2" xfId="1974" xr:uid="{30568D34-8636-4713-B934-32E9F319D43D}"/>
    <cellStyle name="강조색4 24" xfId="1975" xr:uid="{0271D17D-C2ED-444C-AD52-8D590CA3050F}"/>
    <cellStyle name="강조색4 24 2" xfId="1976" xr:uid="{770466BD-6C60-444E-BEB4-7B5A94A71670}"/>
    <cellStyle name="강조색4 25" xfId="1977" xr:uid="{4604DCB0-96FF-41B9-98D3-4EB45C305753}"/>
    <cellStyle name="강조색4 25 2" xfId="1978" xr:uid="{9ED96704-FE3A-4061-B78A-1FEDD0453F22}"/>
    <cellStyle name="강조색4 26" xfId="1979" xr:uid="{EAB52C65-4EDC-4ABF-B629-34F3B2FDBF73}"/>
    <cellStyle name="강조색4 26 2" xfId="1980" xr:uid="{3FDD8CFE-0E27-4DA4-A617-8E0F7EF6E6C6}"/>
    <cellStyle name="강조색4 27" xfId="1981" xr:uid="{A673D6AB-2C3C-4B8C-9AD7-D29FE0476AE0}"/>
    <cellStyle name="강조색4 27 2" xfId="1982" xr:uid="{B174825E-BF08-4F8E-B3EE-CEA75263107B}"/>
    <cellStyle name="강조색4 28" xfId="1983" xr:uid="{80A630CE-EE13-4013-802D-78B1C9F085CC}"/>
    <cellStyle name="강조색4 28 2" xfId="1984" xr:uid="{94C4DC82-0C4E-4EF2-87A9-650D5A9D70AD}"/>
    <cellStyle name="강조색4 29" xfId="1985" xr:uid="{96F92E9F-D446-4729-A12E-717C6B99B42D}"/>
    <cellStyle name="강조색4 29 2" xfId="1986" xr:uid="{E649B995-427D-4C60-9C39-400F3BB5B2B2}"/>
    <cellStyle name="강조색4 3" xfId="1987" xr:uid="{804C1875-641C-46BA-AA59-FC4F907C80CD}"/>
    <cellStyle name="강조색4 3 2" xfId="1988" xr:uid="{56A1F899-086D-4120-B350-D89CB6C62724}"/>
    <cellStyle name="강조색4 30" xfId="1989" xr:uid="{B3118CDC-3F09-4479-A00D-A6A8EF36D7BA}"/>
    <cellStyle name="강조색4 30 2" xfId="1990" xr:uid="{AD21004F-9234-411D-B1E0-59BE3DC1E731}"/>
    <cellStyle name="강조색4 31" xfId="1991" xr:uid="{4586E9DB-4023-4FB2-9D21-AB5BF6A28934}"/>
    <cellStyle name="강조색4 31 2" xfId="1992" xr:uid="{166C1884-5615-49B5-9D96-864BC6B24221}"/>
    <cellStyle name="강조색4 32" xfId="1993" xr:uid="{872A2124-8F53-4082-BDC2-ADD301B8D7CC}"/>
    <cellStyle name="강조색4 32 2" xfId="1994" xr:uid="{8FD3F793-9DF7-4463-85F6-8505600E0C02}"/>
    <cellStyle name="강조색4 33" xfId="1995" xr:uid="{5C925C7A-DC36-4B96-9DA0-3318E40D37C2}"/>
    <cellStyle name="강조색4 33 2" xfId="1996" xr:uid="{AFC6C286-A5DE-45A4-AD2B-D441DE25BBBA}"/>
    <cellStyle name="강조색4 34" xfId="1997" xr:uid="{59E6B1A2-D81E-4F9F-85F7-5CD2C4DCFF84}"/>
    <cellStyle name="강조색4 34 2" xfId="1998" xr:uid="{95B74215-89FD-4DF9-8855-9C0BE57EB7F2}"/>
    <cellStyle name="강조색4 35" xfId="1999" xr:uid="{53888CD7-A67C-481B-9FEA-CA05EB0B2FA3}"/>
    <cellStyle name="강조색4 35 2" xfId="2000" xr:uid="{3D467583-B96D-446D-82F6-D339ABA11DD9}"/>
    <cellStyle name="강조색4 36" xfId="2001" xr:uid="{6918AA13-8F13-45AE-AB6D-B182533B4ECC}"/>
    <cellStyle name="강조색4 36 2" xfId="2002" xr:uid="{ABAF7CAA-720C-4A72-AE66-3C2778B82B6E}"/>
    <cellStyle name="강조색4 37" xfId="2003" xr:uid="{771C9224-5DDA-4284-9F9F-B8C979840D70}"/>
    <cellStyle name="강조색4 37 2" xfId="2004" xr:uid="{64D07033-DF3D-4A3F-89FF-FCFF3A6251A7}"/>
    <cellStyle name="강조색4 38" xfId="2005" xr:uid="{1377D230-9D6B-473C-8FA4-F887A66BD67F}"/>
    <cellStyle name="강조색4 38 2" xfId="2006" xr:uid="{A1CC8442-65F2-44BA-80E7-C668F51F0A35}"/>
    <cellStyle name="강조색4 39" xfId="2007" xr:uid="{ABE9F2DF-7E84-452E-B33B-21518A35982E}"/>
    <cellStyle name="강조색4 39 2" xfId="2008" xr:uid="{0A51B586-5024-4790-B24D-BC8304F7CB43}"/>
    <cellStyle name="강조색4 4" xfId="2009" xr:uid="{D2531FCF-8B9E-4287-B2FC-ECFB282C8F50}"/>
    <cellStyle name="강조색4 4 2" xfId="2010" xr:uid="{1710E50F-A0AE-4C64-9E81-022436EFBCF6}"/>
    <cellStyle name="강조색4 40" xfId="2011" xr:uid="{D9CAB644-48EB-4692-B588-BEAAEAD5AB4D}"/>
    <cellStyle name="강조색4 40 2" xfId="2012" xr:uid="{794B0AEF-FAC2-4CD5-B578-8525036568D8}"/>
    <cellStyle name="강조색4 41" xfId="2013" xr:uid="{C405C25C-4AFB-4837-B43D-1E3C8FBF3CAA}"/>
    <cellStyle name="강조색4 41 2" xfId="2014" xr:uid="{6FDB3926-9413-4A48-898E-466BE1973079}"/>
    <cellStyle name="강조색4 42" xfId="2015" xr:uid="{8B6B8786-C1EE-4FF5-8BDA-746849BA646C}"/>
    <cellStyle name="강조색4 42 2" xfId="2016" xr:uid="{80F674CD-291A-4930-AAE2-1538F2443AA3}"/>
    <cellStyle name="강조색4 43" xfId="2017" xr:uid="{E425CAC6-537D-4ED6-ACA8-BB7B77253C21}"/>
    <cellStyle name="강조색4 43 2" xfId="2018" xr:uid="{E4F354BD-12E2-4192-8490-9B953E52944B}"/>
    <cellStyle name="강조색4 44" xfId="2019" xr:uid="{624EDBBB-A27A-4EC7-BCA5-B91A28CE3315}"/>
    <cellStyle name="강조색4 45" xfId="2020" xr:uid="{B0F175EE-BBEF-4644-BB42-DF63C7A30DE9}"/>
    <cellStyle name="강조색4 46" xfId="2021" xr:uid="{D930291A-61C2-41CD-8FBD-9960437BEC26}"/>
    <cellStyle name="강조색4 47" xfId="2022" xr:uid="{8B3A3729-A348-4F0C-9679-7B64C9C387E8}"/>
    <cellStyle name="강조색4 48" xfId="2023" xr:uid="{3E38986F-A9A2-4EDE-9DEB-2F63F5C31646}"/>
    <cellStyle name="강조색4 49" xfId="2024" xr:uid="{F6B36E18-8BB8-481A-8D03-E03F3D31F560}"/>
    <cellStyle name="강조색4 5" xfId="2025" xr:uid="{69A8586F-F9D3-4F61-89D5-59E03CB787CA}"/>
    <cellStyle name="강조색4 5 2" xfId="2026" xr:uid="{3FF4785D-E4E5-4137-8BBE-D66AEAB5F697}"/>
    <cellStyle name="강조색4 50" xfId="2027" xr:uid="{2AF180AE-603E-477B-9551-601E6F1C14C6}"/>
    <cellStyle name="강조색4 51" xfId="3826" xr:uid="{9637902A-333A-4226-8D0A-8A55D373983C}"/>
    <cellStyle name="강조색4 52" xfId="3990" xr:uid="{AA698CA8-37E1-4976-B40B-E3417B0D3E3A}"/>
    <cellStyle name="강조색4 53" xfId="4099" xr:uid="{D1063CAA-5826-4B5A-9767-8613C326DB7F}"/>
    <cellStyle name="강조색4 54" xfId="4271" xr:uid="{A28D3A4E-AEA1-496F-9EA2-68D1A95A6D26}"/>
    <cellStyle name="강조색4 55" xfId="1944" xr:uid="{766B5EBC-2037-4A54-A9EF-1E7DAF3CFC7F}"/>
    <cellStyle name="강조색4 6" xfId="2028" xr:uid="{5CD5A4B2-8916-4B89-A5F4-860020FBE5C1}"/>
    <cellStyle name="강조색4 6 2" xfId="2029" xr:uid="{563D5443-FACF-48F2-98D6-B4A9BF845B10}"/>
    <cellStyle name="강조색4 7" xfId="2030" xr:uid="{9F346BAE-DD99-4F50-BF89-0BBDB816263F}"/>
    <cellStyle name="강조색4 7 2" xfId="2031" xr:uid="{2EAF893B-BE21-40F2-BB69-71488EE2BFAB}"/>
    <cellStyle name="강조색4 8" xfId="2032" xr:uid="{AB3898AE-4FBA-457F-B81A-75508F62B89D}"/>
    <cellStyle name="강조색4 8 2" xfId="2033" xr:uid="{86642AD8-B365-48D7-AA25-5F37D6A45187}"/>
    <cellStyle name="강조색4 9" xfId="2034" xr:uid="{92EBBB4C-0299-4A4A-B880-F00411049C4D}"/>
    <cellStyle name="강조색4 9 2" xfId="2035" xr:uid="{DF21666F-B5EB-4349-8864-B8AA2FE147C7}"/>
    <cellStyle name="강조색5 10" xfId="2037" xr:uid="{F3A75D6D-A508-47C3-B703-B97526B36C8B}"/>
    <cellStyle name="강조색5 10 2" xfId="2038" xr:uid="{BB8FA26D-366F-437E-92E1-CFF03824589F}"/>
    <cellStyle name="강조색5 11" xfId="2039" xr:uid="{E964FA9F-ECC2-4E5E-937A-2986A701A19D}"/>
    <cellStyle name="강조색5 11 2" xfId="2040" xr:uid="{4B88B89C-CF42-4147-8601-C0EED777B249}"/>
    <cellStyle name="강조색5 12" xfId="2041" xr:uid="{B6DDC2B5-1189-419A-A4C6-D222BD00EC3D}"/>
    <cellStyle name="강조색5 12 2" xfId="2042" xr:uid="{0D09443F-5A8D-4B19-88F9-60B6B3D0DEFE}"/>
    <cellStyle name="강조색5 13" xfId="2043" xr:uid="{7992D1CA-F975-42B5-8A0A-E87EF70CF878}"/>
    <cellStyle name="강조색5 13 2" xfId="2044" xr:uid="{E90782F7-89C8-4F65-B206-753504B929C7}"/>
    <cellStyle name="강조색5 14" xfId="2045" xr:uid="{02A6284F-A6E6-4616-BCF1-CC96B6E87A8D}"/>
    <cellStyle name="강조색5 14 2" xfId="2046" xr:uid="{8E8B6B57-D314-407C-BB9B-F72D01C5D209}"/>
    <cellStyle name="강조색5 15" xfId="2047" xr:uid="{2192F6E9-0C53-4E38-9057-C9B21597E121}"/>
    <cellStyle name="강조색5 15 2" xfId="2048" xr:uid="{03F4174D-AAD8-433F-A922-86DD2FA21F67}"/>
    <cellStyle name="강조색5 16" xfId="2049" xr:uid="{BD4AF7C9-8EA6-4D86-9CB6-876DC76B9954}"/>
    <cellStyle name="강조색5 16 2" xfId="2050" xr:uid="{85E3A00C-B170-4335-9424-61061C279E49}"/>
    <cellStyle name="강조색5 17" xfId="2051" xr:uid="{1CBA4FA4-BBE8-4D4A-9825-60F05974A5E1}"/>
    <cellStyle name="강조색5 17 2" xfId="2052" xr:uid="{7CA2F5D0-29E8-4BE0-ACB1-04DF4B4D6249}"/>
    <cellStyle name="강조색5 18" xfId="2053" xr:uid="{52AFBEA8-BD25-4022-AE86-214D9B19246A}"/>
    <cellStyle name="강조색5 18 2" xfId="2054" xr:uid="{C30F6FF6-2953-4B22-B62A-BF3DE3690F7D}"/>
    <cellStyle name="강조색5 19" xfId="2055" xr:uid="{A66FC65C-8ADF-40E3-9990-16FC5AAB14B6}"/>
    <cellStyle name="강조색5 19 2" xfId="2056" xr:uid="{B85AE347-44AB-4BA7-8814-F60971FCF1C3}"/>
    <cellStyle name="강조색5 2" xfId="2057" xr:uid="{B05D7F87-589D-46EF-AC83-126EB3C84B80}"/>
    <cellStyle name="강조색5 2 2" xfId="2058" xr:uid="{BE99B0CA-AEC8-4BD3-8BC0-0A4F394AA62F}"/>
    <cellStyle name="강조색5 20" xfId="2059" xr:uid="{7F87BA5B-A7F6-465E-AC0A-2138289D6FF3}"/>
    <cellStyle name="강조색5 20 2" xfId="2060" xr:uid="{7FAF9D57-1304-47B0-81ED-E515347F7425}"/>
    <cellStyle name="강조색5 21" xfId="2061" xr:uid="{9B3C0653-0E9D-409F-BB3F-2BC6C893BE61}"/>
    <cellStyle name="강조색5 21 2" xfId="2062" xr:uid="{1E6C5071-CF57-42BD-8D98-3BD90D27B375}"/>
    <cellStyle name="강조색5 22" xfId="2063" xr:uid="{E3169F4F-8721-47C6-AE5E-134D458D6966}"/>
    <cellStyle name="강조색5 22 2" xfId="2064" xr:uid="{65181DE3-9C40-4BB1-B439-B5A0C300B6B1}"/>
    <cellStyle name="강조색5 23" xfId="2065" xr:uid="{5CE2ECD6-039A-49B1-AE01-E9C20F85AD21}"/>
    <cellStyle name="강조색5 23 2" xfId="2066" xr:uid="{5816D8F2-E5C5-4BF4-B832-D932BA94D07B}"/>
    <cellStyle name="강조색5 24" xfId="2067" xr:uid="{5D50E134-57FE-4400-8958-854DF09C9F6C}"/>
    <cellStyle name="강조색5 24 2" xfId="2068" xr:uid="{A4337378-E456-436D-95BE-DA652D9D6E6C}"/>
    <cellStyle name="강조색5 25" xfId="2069" xr:uid="{2C5A9453-9D57-4408-B9B5-948F09F6A946}"/>
    <cellStyle name="강조색5 25 2" xfId="2070" xr:uid="{4C37B08A-C564-488D-A7E7-DAD55F660FBC}"/>
    <cellStyle name="강조색5 26" xfId="2071" xr:uid="{FD057891-AC5A-47FF-83E2-6E390B59A475}"/>
    <cellStyle name="강조색5 26 2" xfId="2072" xr:uid="{38E92976-4C64-4E44-8396-235EA5E2A197}"/>
    <cellStyle name="강조색5 27" xfId="2073" xr:uid="{94F4A37A-BFD2-4D4A-9A13-34284B9990CC}"/>
    <cellStyle name="강조색5 27 2" xfId="2074" xr:uid="{D236514F-01A6-4CF3-96A9-68282D61A7ED}"/>
    <cellStyle name="강조색5 28" xfId="2075" xr:uid="{9D1A9983-683D-4E8A-BD6D-B6FE9922F9A5}"/>
    <cellStyle name="강조색5 28 2" xfId="2076" xr:uid="{BC288C30-9710-4190-A865-D858E472074E}"/>
    <cellStyle name="강조색5 29" xfId="2077" xr:uid="{5DB011CB-1C18-49C3-A5C7-92984D202BB4}"/>
    <cellStyle name="강조색5 29 2" xfId="2078" xr:uid="{535D2E1F-4F09-450C-A33C-CA069C127812}"/>
    <cellStyle name="강조색5 3" xfId="2079" xr:uid="{33DFB407-FBE5-4242-AC8B-85B24BBF9A70}"/>
    <cellStyle name="강조색5 3 2" xfId="2080" xr:uid="{484B7C13-4293-4308-9C81-1DE73054311F}"/>
    <cellStyle name="강조색5 30" xfId="2081" xr:uid="{0D8A1B27-6B78-4B00-A2FA-C6F28F660E48}"/>
    <cellStyle name="강조색5 30 2" xfId="2082" xr:uid="{5DECABA1-D632-40C7-BE09-924AB1048BC7}"/>
    <cellStyle name="강조색5 31" xfId="2083" xr:uid="{7F7CD2F8-78CB-4D02-8020-E66B4EC8A39A}"/>
    <cellStyle name="강조색5 31 2" xfId="2084" xr:uid="{0A5BB9FD-6D62-40FA-8176-937BC6DBA4CA}"/>
    <cellStyle name="강조색5 32" xfId="2085" xr:uid="{8452DFC1-5E70-4E58-8BCE-30C566C1266C}"/>
    <cellStyle name="강조색5 32 2" xfId="2086" xr:uid="{7A4D0C14-8A59-4C80-83B2-B5C14C598E58}"/>
    <cellStyle name="강조색5 33" xfId="2087" xr:uid="{590D23A1-372D-4E76-9297-24EC57E7AA55}"/>
    <cellStyle name="강조색5 33 2" xfId="2088" xr:uid="{9DC3B95D-80A3-45F5-89D7-7776455D5BE6}"/>
    <cellStyle name="강조색5 34" xfId="2089" xr:uid="{DBDAA63E-B3A7-4443-A09D-A73A1736AEF9}"/>
    <cellStyle name="강조색5 34 2" xfId="2090" xr:uid="{5075743E-798B-4126-A764-DCCCEFAAC657}"/>
    <cellStyle name="강조색5 35" xfId="2091" xr:uid="{1DB04DFE-9A3F-4A15-9153-062B1B1F3E02}"/>
    <cellStyle name="강조색5 35 2" xfId="2092" xr:uid="{F1FA88A4-89CD-4CC7-B2DB-48786832284C}"/>
    <cellStyle name="강조색5 36" xfId="2093" xr:uid="{2E23A260-8D4F-4B20-B979-60C0845E0F10}"/>
    <cellStyle name="강조색5 36 2" xfId="2094" xr:uid="{8CA1FAA2-DD0C-4E0A-B16F-BC2795207850}"/>
    <cellStyle name="강조색5 37" xfId="2095" xr:uid="{233EB4FC-459A-495D-9F95-0FA654EE40AD}"/>
    <cellStyle name="강조색5 37 2" xfId="2096" xr:uid="{59DE8B67-B327-4A9F-8FD4-A31A212B3B56}"/>
    <cellStyle name="강조색5 38" xfId="2097" xr:uid="{CB670A3D-A278-4A52-BD35-544484B7A39B}"/>
    <cellStyle name="강조색5 38 2" xfId="2098" xr:uid="{F6F865D6-DCAF-4A47-8E97-35F43D0ED79A}"/>
    <cellStyle name="강조색5 39" xfId="2099" xr:uid="{B0586290-5854-47C7-8EC5-FCBCDC1B1F21}"/>
    <cellStyle name="강조색5 39 2" xfId="2100" xr:uid="{040C69AE-CC3E-431A-A170-E1DCB3AA30BE}"/>
    <cellStyle name="강조색5 4" xfId="2101" xr:uid="{B465D7E5-50CA-4377-BEE0-86BAF36C4349}"/>
    <cellStyle name="강조색5 4 2" xfId="2102" xr:uid="{EB1CE971-297E-4E13-A801-9CF986B27FA7}"/>
    <cellStyle name="강조색5 40" xfId="2103" xr:uid="{E5835CC7-F852-4819-87FB-26A86C017A95}"/>
    <cellStyle name="강조색5 40 2" xfId="2104" xr:uid="{7214F3F5-3A8D-43F2-9295-54ADCE6B74B9}"/>
    <cellStyle name="강조색5 41" xfId="2105" xr:uid="{043CFC29-A7F1-4C9B-8295-5F2D1B77BC1A}"/>
    <cellStyle name="강조색5 41 2" xfId="2106" xr:uid="{68B1984F-F2E1-47C9-A4F7-3098D43D8CFB}"/>
    <cellStyle name="강조색5 42" xfId="2107" xr:uid="{DCC00F0B-323E-4AEF-AB8D-0BB8682BBEC6}"/>
    <cellStyle name="강조색5 42 2" xfId="2108" xr:uid="{5478DA45-6B75-436E-99F0-376E2F1DC4CC}"/>
    <cellStyle name="강조색5 43" xfId="2109" xr:uid="{99671F7C-21B6-4E67-B061-D951885E57DF}"/>
    <cellStyle name="강조색5 43 2" xfId="2110" xr:uid="{54C58784-9C64-48E1-A4BF-33A018458B67}"/>
    <cellStyle name="강조색5 44" xfId="2111" xr:uid="{D4E498AB-2BF1-41E5-9CF7-90A40901EDB9}"/>
    <cellStyle name="강조색5 45" xfId="2112" xr:uid="{1AAA1682-AB9C-4489-850C-C6EEAFB6FB51}"/>
    <cellStyle name="강조색5 46" xfId="2113" xr:uid="{7B77484F-1240-4528-B104-6E82B44F5B7B}"/>
    <cellStyle name="강조색5 47" xfId="2114" xr:uid="{9E900688-2F2E-4C6B-A660-A10C9CCA6DD0}"/>
    <cellStyle name="강조색5 48" xfId="2115" xr:uid="{7D902A6E-DE63-4F78-BF58-51464966158F}"/>
    <cellStyle name="강조색5 49" xfId="2116" xr:uid="{A1368BDF-DDE7-45E0-8577-2B4DAA4FD7B1}"/>
    <cellStyle name="강조색5 5" xfId="2117" xr:uid="{B1C05B30-E11E-48D6-BD68-44BC37E95A2F}"/>
    <cellStyle name="강조색5 5 2" xfId="2118" xr:uid="{9792742C-9D8A-473A-8135-440EF5516EF4}"/>
    <cellStyle name="강조색5 50" xfId="2119" xr:uid="{1ECC8118-0B8D-4024-8C75-7194897D6973}"/>
    <cellStyle name="강조색5 51" xfId="3830" xr:uid="{C6116125-B01E-46E4-8398-3984BAF65203}"/>
    <cellStyle name="강조색5 52" xfId="3994" xr:uid="{73971382-DA87-4FB7-9183-28C996F09A0D}"/>
    <cellStyle name="강조색5 53" xfId="4100" xr:uid="{6DBB4FB6-E564-4B29-8AA4-6B38C4B6E2E6}"/>
    <cellStyle name="강조색5 54" xfId="4272" xr:uid="{0E1DA9D9-0B2C-41A9-80EE-D6B7493C638C}"/>
    <cellStyle name="강조색5 55" xfId="2036" xr:uid="{F5978D26-80E0-43F1-9148-C9CE5DE6EA8A}"/>
    <cellStyle name="강조색5 6" xfId="2120" xr:uid="{BAA0B9F8-5140-438A-9CE2-B10EB7B13993}"/>
    <cellStyle name="강조색5 6 2" xfId="2121" xr:uid="{9C3C805A-D938-49B9-A889-B06D4335A5E3}"/>
    <cellStyle name="강조색5 7" xfId="2122" xr:uid="{9EAE392F-AC5A-4F27-BCAB-A28DD1BB6F74}"/>
    <cellStyle name="강조색5 7 2" xfId="2123" xr:uid="{68FA9AA8-C8EE-4638-BD94-4916B1EE3BF0}"/>
    <cellStyle name="강조색5 8" xfId="2124" xr:uid="{3AD3D84E-F1DD-4385-BCC3-FA82640DF4D1}"/>
    <cellStyle name="강조색5 8 2" xfId="2125" xr:uid="{4DEBCC38-BA94-48FA-AFE9-179F5C753B9F}"/>
    <cellStyle name="강조색5 9" xfId="2126" xr:uid="{A227D2CE-563F-49E8-9833-6A5DC91259BE}"/>
    <cellStyle name="강조색5 9 2" xfId="2127" xr:uid="{1E18E5FB-225B-40EE-8CF7-9090A3D83756}"/>
    <cellStyle name="강조색6 10" xfId="2129" xr:uid="{2470B222-5B3B-448E-932F-5A403972798C}"/>
    <cellStyle name="강조색6 10 2" xfId="2130" xr:uid="{EF929641-3950-49C3-BD70-7B1A8D126D3F}"/>
    <cellStyle name="강조색6 11" xfId="2131" xr:uid="{547E5780-6B1A-4D8C-A9C6-8DA340CE4D13}"/>
    <cellStyle name="강조색6 11 2" xfId="2132" xr:uid="{EDF8408D-DD8F-42D9-863E-FD77B9932FD4}"/>
    <cellStyle name="강조색6 12" xfId="2133" xr:uid="{29FE058D-5C5D-4EEF-ACDD-EF230ED850D0}"/>
    <cellStyle name="강조색6 12 2" xfId="2134" xr:uid="{E2EC6531-A4C9-40BD-8329-C12F24794825}"/>
    <cellStyle name="강조색6 13" xfId="2135" xr:uid="{8947FF1B-F306-4DC2-8F35-A6F78E1E7207}"/>
    <cellStyle name="강조색6 13 2" xfId="2136" xr:uid="{8166E329-50C9-4B73-A04F-ABCADA3CE6D9}"/>
    <cellStyle name="강조색6 14" xfId="2137" xr:uid="{C9C61EC3-DB93-4B73-9A57-8649B42D6F30}"/>
    <cellStyle name="강조색6 14 2" xfId="2138" xr:uid="{1E737636-AA17-46EC-96CE-050202579684}"/>
    <cellStyle name="강조색6 15" xfId="2139" xr:uid="{7BCE3370-D14D-463D-B65A-5667E74B5BA9}"/>
    <cellStyle name="강조색6 15 2" xfId="2140" xr:uid="{D735785D-F59E-40A0-B26A-AD3F2DF43EFB}"/>
    <cellStyle name="강조색6 16" xfId="2141" xr:uid="{7E625D83-0C33-46B0-942C-12DBB90F00EE}"/>
    <cellStyle name="강조색6 16 2" xfId="2142" xr:uid="{05451685-0843-4569-B14B-57956480AE39}"/>
    <cellStyle name="강조색6 17" xfId="2143" xr:uid="{2E60FA31-1D9C-49A0-84AD-4431E87C890C}"/>
    <cellStyle name="강조색6 17 2" xfId="2144" xr:uid="{76BDB468-AAB2-4507-866F-D362D555561B}"/>
    <cellStyle name="강조색6 18" xfId="2145" xr:uid="{C06D9C6F-61F9-4ECA-B3B5-43778B5E1712}"/>
    <cellStyle name="강조색6 18 2" xfId="2146" xr:uid="{421EF341-9263-4A39-8872-518892B3A4D0}"/>
    <cellStyle name="강조색6 19" xfId="2147" xr:uid="{6F8D4BC2-1F34-4F7A-AD3A-AA06FB980E8F}"/>
    <cellStyle name="강조색6 19 2" xfId="2148" xr:uid="{4E2B5714-9114-4B0B-8811-E5860A324C37}"/>
    <cellStyle name="강조색6 2" xfId="2149" xr:uid="{1328975D-43D0-454B-9F7A-6B795375F2AB}"/>
    <cellStyle name="강조색6 2 2" xfId="2150" xr:uid="{428EFA52-A9B7-4B22-8F24-AA9D5B7CEA5A}"/>
    <cellStyle name="강조색6 20" xfId="2151" xr:uid="{AC81B472-47C9-48B7-986F-8CB4BE048F03}"/>
    <cellStyle name="강조색6 20 2" xfId="2152" xr:uid="{240097DA-E020-4FF0-9244-7CFD87F6932E}"/>
    <cellStyle name="강조색6 21" xfId="2153" xr:uid="{EDC16BE6-3CD6-46A0-A3EB-74C6B5206371}"/>
    <cellStyle name="강조색6 21 2" xfId="2154" xr:uid="{73C2058A-0097-471C-A7B0-9AAF7734B700}"/>
    <cellStyle name="강조색6 22" xfId="2155" xr:uid="{50FAA8EF-197F-4F00-AFDC-EDC749C3AE78}"/>
    <cellStyle name="강조색6 22 2" xfId="2156" xr:uid="{C3EEA98C-8491-4E10-ADFB-C0C4898FEF46}"/>
    <cellStyle name="강조색6 23" xfId="2157" xr:uid="{4891E6D3-7B42-4F66-A1A5-65B2074A5AA1}"/>
    <cellStyle name="강조색6 23 2" xfId="2158" xr:uid="{EC78A838-16DC-4660-A95B-D8109AB8C3B4}"/>
    <cellStyle name="강조색6 24" xfId="2159" xr:uid="{71A9E94F-BBCB-427A-8FBF-3F68D583AC98}"/>
    <cellStyle name="강조색6 24 2" xfId="2160" xr:uid="{E3472CFA-FD91-4A5A-8622-A9E4FA909AAB}"/>
    <cellStyle name="강조색6 25" xfId="2161" xr:uid="{9CC84E35-6D9A-4DB2-8757-12A407B45726}"/>
    <cellStyle name="강조색6 25 2" xfId="2162" xr:uid="{9443972D-4363-41D9-9754-2D46F1A6DF25}"/>
    <cellStyle name="강조색6 26" xfId="2163" xr:uid="{0BB15944-7066-49F7-9E1D-51CD22086BA0}"/>
    <cellStyle name="강조색6 26 2" xfId="2164" xr:uid="{B4C06D86-5296-4B6A-9C46-9B2A0D99FAF7}"/>
    <cellStyle name="강조색6 27" xfId="2165" xr:uid="{E663D547-BF09-4548-8168-A7F4CED18EC7}"/>
    <cellStyle name="강조색6 27 2" xfId="2166" xr:uid="{BB1C7FCE-5726-43C3-ADA8-E6F15E56C39D}"/>
    <cellStyle name="강조색6 28" xfId="2167" xr:uid="{032CE291-F956-4036-AC1C-087017349588}"/>
    <cellStyle name="강조색6 28 2" xfId="2168" xr:uid="{FA4BE57D-33A4-4104-B078-0659D25B677C}"/>
    <cellStyle name="강조색6 29" xfId="2169" xr:uid="{49C56598-02FD-4959-A76B-72EC51926FAA}"/>
    <cellStyle name="강조색6 29 2" xfId="2170" xr:uid="{99F6D219-B638-4DE9-9DFD-529BEAAA2B2F}"/>
    <cellStyle name="강조색6 3" xfId="2171" xr:uid="{3903C76B-7320-472D-B5DD-669A55DACCBA}"/>
    <cellStyle name="강조색6 3 2" xfId="2172" xr:uid="{C727F9CA-8D13-4208-B163-B9CD76A5C0DB}"/>
    <cellStyle name="강조색6 30" xfId="2173" xr:uid="{BCD70486-078C-4996-A610-B047ABE09531}"/>
    <cellStyle name="강조색6 30 2" xfId="2174" xr:uid="{015F5E82-1676-4E27-89AC-08095E5467F0}"/>
    <cellStyle name="강조색6 31" xfId="2175" xr:uid="{1DD09C3C-00A6-44C3-B75B-FC78AD6BC05C}"/>
    <cellStyle name="강조색6 31 2" xfId="2176" xr:uid="{3751ED24-63B6-4394-A00A-1B92BC98B27C}"/>
    <cellStyle name="강조색6 32" xfId="2177" xr:uid="{B753588C-627E-4E3E-B5DE-CCFDA833A425}"/>
    <cellStyle name="강조색6 32 2" xfId="2178" xr:uid="{6BC64570-463A-44C1-91E1-8DF8F33D6CAF}"/>
    <cellStyle name="강조색6 33" xfId="2179" xr:uid="{B83E4F1D-C5C1-4A5B-A1BA-B4BC9D12C47D}"/>
    <cellStyle name="강조색6 33 2" xfId="2180" xr:uid="{EC2EF688-C53C-49A5-AE5A-8493E6D407DC}"/>
    <cellStyle name="강조색6 34" xfId="2181" xr:uid="{CF6E83AE-4ECB-46D0-B54C-9F40D121234A}"/>
    <cellStyle name="강조색6 34 2" xfId="2182" xr:uid="{19791FCC-4065-40F7-80C8-0719063C8E12}"/>
    <cellStyle name="강조색6 35" xfId="2183" xr:uid="{170F9D21-7BCA-4B5A-8B47-40299C74ACFD}"/>
    <cellStyle name="강조색6 35 2" xfId="2184" xr:uid="{52A31C1E-97D6-48E5-B89B-688DF968F5A6}"/>
    <cellStyle name="강조색6 36" xfId="2185" xr:uid="{128FB6FC-82AF-4E9A-A800-6D4204DC19C8}"/>
    <cellStyle name="강조색6 36 2" xfId="2186" xr:uid="{0D80EDBF-C61C-4AE0-8C06-827941657984}"/>
    <cellStyle name="강조색6 37" xfId="2187" xr:uid="{9339DEB3-BB4C-4D42-805E-6E51B6DFC841}"/>
    <cellStyle name="강조색6 37 2" xfId="2188" xr:uid="{C2A45DB4-1E0D-430B-A19E-EC7F8F2DD9C0}"/>
    <cellStyle name="강조색6 38" xfId="2189" xr:uid="{19F6B818-FB18-416C-8FA5-6C47E26A828D}"/>
    <cellStyle name="강조색6 38 2" xfId="2190" xr:uid="{6C0EDEE9-86E7-4EEB-B41C-EA00B4A545CA}"/>
    <cellStyle name="강조색6 39" xfId="2191" xr:uid="{A8599E9D-62ED-468B-A11F-660791E186C5}"/>
    <cellStyle name="강조색6 39 2" xfId="2192" xr:uid="{29DEF521-03F2-4E2B-83DB-23357566D18B}"/>
    <cellStyle name="강조색6 4" xfId="2193" xr:uid="{EA29B82C-5A5C-415A-8D3E-F286781B0E73}"/>
    <cellStyle name="강조색6 4 2" xfId="2194" xr:uid="{9595F8BC-5FA1-4D28-8AAE-69DD47A1B49C}"/>
    <cellStyle name="강조색6 40" xfId="2195" xr:uid="{3FA0D4FA-28C2-41EF-B9D8-4DDC457D1426}"/>
    <cellStyle name="강조색6 40 2" xfId="2196" xr:uid="{8E6F2B05-A4C7-4947-80F7-87D13E6C7E99}"/>
    <cellStyle name="강조색6 41" xfId="2197" xr:uid="{9A5DC2B6-CDDB-4AEB-8002-66DCB0CFF80A}"/>
    <cellStyle name="강조색6 41 2" xfId="2198" xr:uid="{713F6CF9-93E4-4D7A-BBD9-41754E1B3C9D}"/>
    <cellStyle name="강조색6 42" xfId="2199" xr:uid="{34BF4090-D332-437E-BB70-78F9D3C239B8}"/>
    <cellStyle name="강조색6 42 2" xfId="2200" xr:uid="{2F6D537F-B6E4-49AE-8229-4D878872E14F}"/>
    <cellStyle name="강조색6 43" xfId="2201" xr:uid="{F218FB28-79DE-41F8-839A-9310C0BB789B}"/>
    <cellStyle name="강조색6 43 2" xfId="2202" xr:uid="{9A5824C7-D1E4-4D13-BE5B-3AD47E83FD12}"/>
    <cellStyle name="강조색6 44" xfId="2203" xr:uid="{41AACDD4-0798-483B-AFA6-917328D5C7F7}"/>
    <cellStyle name="강조색6 45" xfId="2204" xr:uid="{0CA4F378-1BAE-495B-84D1-411310820DDC}"/>
    <cellStyle name="강조색6 46" xfId="2205" xr:uid="{58271953-DF85-47B2-8E4B-47E6A53070B0}"/>
    <cellStyle name="강조색6 47" xfId="2206" xr:uid="{BD6C018B-AE59-49C4-B34B-EF22DD437144}"/>
    <cellStyle name="강조색6 48" xfId="2207" xr:uid="{A284CB60-BCC9-466F-B742-F119F83AC44F}"/>
    <cellStyle name="강조색6 49" xfId="2208" xr:uid="{202C62EF-84C2-4F3B-8A9F-1AF5414F9EC7}"/>
    <cellStyle name="강조색6 5" xfId="2209" xr:uid="{1BE37669-900F-4AF0-8948-C81562B89DEF}"/>
    <cellStyle name="강조색6 5 2" xfId="2210" xr:uid="{28066428-D98C-4B91-85D1-0756A6274556}"/>
    <cellStyle name="강조색6 50" xfId="2211" xr:uid="{EE9C3DB6-3A78-4532-8B36-D4ECBCB09E9D}"/>
    <cellStyle name="강조색6 51" xfId="3834" xr:uid="{B8B4B63A-F5C6-4878-8831-B374ACC336C0}"/>
    <cellStyle name="강조색6 52" xfId="3998" xr:uid="{67D8753E-07EF-485D-8CF1-014C843B2284}"/>
    <cellStyle name="강조색6 53" xfId="4101" xr:uid="{2F714616-D700-49F6-84F0-819E3B48DA77}"/>
    <cellStyle name="강조색6 54" xfId="4273" xr:uid="{95039203-177C-4E83-AC2C-8263A8B9CECF}"/>
    <cellStyle name="강조색6 55" xfId="2128" xr:uid="{73A8BAF6-60CA-42BA-B1B2-AF9F8B8750FF}"/>
    <cellStyle name="강조색6 6" xfId="2212" xr:uid="{AE09A1CC-1BA1-439A-8B9E-E3AD445D648C}"/>
    <cellStyle name="강조색6 6 2" xfId="2213" xr:uid="{83C2911D-6B5F-40ED-8F57-75313F36B703}"/>
    <cellStyle name="강조색6 7" xfId="2214" xr:uid="{BF55BB0E-3AA4-449B-965D-F5ACE05C6D8A}"/>
    <cellStyle name="강조색6 7 2" xfId="2215" xr:uid="{CA7BCA82-9532-46B1-8EE7-55A190EC43B4}"/>
    <cellStyle name="강조색6 8" xfId="2216" xr:uid="{38A5C0D3-EB47-4A92-A4C3-719AF6EFA80F}"/>
    <cellStyle name="강조색6 8 2" xfId="2217" xr:uid="{E5F21E9C-8497-40A8-91E1-9FA1C030C6AC}"/>
    <cellStyle name="강조색6 9" xfId="2218" xr:uid="{74579661-A728-48FB-90BF-32AAA2763CCB}"/>
    <cellStyle name="강조색6 9 2" xfId="2219" xr:uid="{0C90BE50-3DD7-4872-905D-0C2D38125548}"/>
    <cellStyle name="경고문 10" xfId="2221" xr:uid="{A8F2C83A-DF50-4BA7-A03C-208A27CF1EA1}"/>
    <cellStyle name="경고문 10 2" xfId="2222" xr:uid="{F65562F7-D276-459F-BCED-7D19661ABD2F}"/>
    <cellStyle name="경고문 11" xfId="2223" xr:uid="{B5A072DB-F8D2-473C-A66A-6A883853F50D}"/>
    <cellStyle name="경고문 11 2" xfId="2224" xr:uid="{818877CF-C4D7-43E7-A115-72B156BC3DF1}"/>
    <cellStyle name="경고문 12" xfId="2225" xr:uid="{C1EC6EAC-6258-4CEC-9A5E-0392E96D2579}"/>
    <cellStyle name="경고문 12 2" xfId="2226" xr:uid="{120D909C-37C3-494B-B0C2-7C0EB4D04ED1}"/>
    <cellStyle name="경고문 13" xfId="2227" xr:uid="{9D3A697B-E7DC-4DBE-BA90-91F5F79AE0DB}"/>
    <cellStyle name="경고문 13 2" xfId="2228" xr:uid="{DD50BF7A-61BA-4B66-9795-4E69FB022004}"/>
    <cellStyle name="경고문 14" xfId="2229" xr:uid="{5F7EDE75-A366-423A-8022-466523EA60B6}"/>
    <cellStyle name="경고문 14 2" xfId="2230" xr:uid="{4ED770B2-F27C-4C3C-B6FC-E3CA67D8B16C}"/>
    <cellStyle name="경고문 15" xfId="2231" xr:uid="{C8CE6209-2696-4160-9A43-77E23AFE4FD1}"/>
    <cellStyle name="경고문 15 2" xfId="2232" xr:uid="{0A8AB855-082A-4922-A611-EA4FCED88563}"/>
    <cellStyle name="경고문 16" xfId="2233" xr:uid="{46D50E1A-8413-4A83-90A9-3A6482C3CF9D}"/>
    <cellStyle name="경고문 16 2" xfId="2234" xr:uid="{3D42D8E3-485C-4F19-B39B-A642B8F05B88}"/>
    <cellStyle name="경고문 17" xfId="2235" xr:uid="{85F1F721-3F70-4C89-83A0-033A1283CC74}"/>
    <cellStyle name="경고문 17 2" xfId="2236" xr:uid="{13767917-7E9C-486A-BF3E-56E25A328069}"/>
    <cellStyle name="경고문 18" xfId="2237" xr:uid="{16ECE11D-DFD3-4EA7-958C-2ECDEBCCAE49}"/>
    <cellStyle name="경고문 18 2" xfId="2238" xr:uid="{82A873ED-7FA8-43EB-A29C-58D4F8EC3244}"/>
    <cellStyle name="경고문 19" xfId="2239" xr:uid="{F92DD6CB-8769-4913-A5FC-E07B917276FB}"/>
    <cellStyle name="경고문 19 2" xfId="2240" xr:uid="{AEE95BAF-BA88-4CEC-B91A-8B3D8F5B7E61}"/>
    <cellStyle name="경고문 2" xfId="2241" xr:uid="{062E08D3-3CCA-4947-9DA8-9675E830F642}"/>
    <cellStyle name="경고문 2 2" xfId="2242" xr:uid="{566CA71D-3E9F-4E9B-8D8C-B88FE0C3107F}"/>
    <cellStyle name="경고문 20" xfId="2243" xr:uid="{9F8C114B-256B-42DC-B485-C3B63CFB6EDF}"/>
    <cellStyle name="경고문 20 2" xfId="2244" xr:uid="{49699D3F-7D52-4CD0-BD26-CC5B9BD5DE62}"/>
    <cellStyle name="경고문 21" xfId="2245" xr:uid="{EBCB3D67-BA87-4C32-AE0F-5FA05F514AF8}"/>
    <cellStyle name="경고문 21 2" xfId="2246" xr:uid="{67814449-D59A-4EF6-A4AA-5543A5545C84}"/>
    <cellStyle name="경고문 22" xfId="2247" xr:uid="{4BA15D16-7557-4550-839A-738423AAC259}"/>
    <cellStyle name="경고문 22 2" xfId="2248" xr:uid="{182B8079-B4EA-4B48-950C-96A38B6BD38A}"/>
    <cellStyle name="경고문 23" xfId="2249" xr:uid="{E0E1CF68-1A39-4F44-9AB9-79F67165A28D}"/>
    <cellStyle name="경고문 23 2" xfId="2250" xr:uid="{20427704-0EF2-406A-B593-AA7C46970909}"/>
    <cellStyle name="경고문 24" xfId="2251" xr:uid="{6C968DE4-43BB-4BBC-90A5-BE8811A2E349}"/>
    <cellStyle name="경고문 24 2" xfId="2252" xr:uid="{23472E50-F066-4305-A25E-249CE81347A1}"/>
    <cellStyle name="경고문 25" xfId="2253" xr:uid="{9CFF47A4-1BD9-4397-B06D-6C741DB80E38}"/>
    <cellStyle name="경고문 25 2" xfId="2254" xr:uid="{FF561C34-30E2-4993-BA03-C767066812AD}"/>
    <cellStyle name="경고문 26" xfId="2255" xr:uid="{4810DE61-EE8E-45D4-8E8A-96F3D3C1B5A8}"/>
    <cellStyle name="경고문 26 2" xfId="2256" xr:uid="{F2032687-C6C4-447F-A2CF-73168CFA0BE0}"/>
    <cellStyle name="경고문 27" xfId="2257" xr:uid="{EA1BC7AF-15B6-4907-8212-8209A544380D}"/>
    <cellStyle name="경고문 27 2" xfId="2258" xr:uid="{B979FEA3-2F4F-4FD3-B4F3-F919FC38FAF0}"/>
    <cellStyle name="경고문 28" xfId="2259" xr:uid="{3B0F3333-C441-45F1-A26F-8E108FB33EC9}"/>
    <cellStyle name="경고문 28 2" xfId="2260" xr:uid="{9264DFB4-1FF0-402D-BA5A-FC1C5C173A2B}"/>
    <cellStyle name="경고문 29" xfId="2261" xr:uid="{5AB87A5D-65A1-42FE-82FE-434CC4586A67}"/>
    <cellStyle name="경고문 29 2" xfId="2262" xr:uid="{5AB6CB7F-A278-4D46-B999-C7445898D0D4}"/>
    <cellStyle name="경고문 3" xfId="2263" xr:uid="{4878AC00-AEA8-4780-B461-528A3D565692}"/>
    <cellStyle name="경고문 3 2" xfId="2264" xr:uid="{DAD8563D-F45D-401A-8731-FB5F1009372A}"/>
    <cellStyle name="경고문 30" xfId="2265" xr:uid="{C118C874-28F7-458F-9D3F-54267D520DF1}"/>
    <cellStyle name="경고문 30 2" xfId="2266" xr:uid="{18E83B4F-A76B-46B9-97E5-F27EC2F3A227}"/>
    <cellStyle name="경고문 31" xfId="2267" xr:uid="{5B2107C4-D7A5-4263-AD7D-B518DEEBFECC}"/>
    <cellStyle name="경고문 31 2" xfId="2268" xr:uid="{82FDD3C1-A8C2-484D-B007-8EDA0843E386}"/>
    <cellStyle name="경고문 32" xfId="2269" xr:uid="{A431F652-0064-4FFE-989C-B70F088C4B93}"/>
    <cellStyle name="경고문 32 2" xfId="2270" xr:uid="{94108205-060F-4442-AD39-325CE366958D}"/>
    <cellStyle name="경고문 33" xfId="2271" xr:uid="{BE9A00C5-E6E8-4062-955D-064844793E8C}"/>
    <cellStyle name="경고문 33 2" xfId="2272" xr:uid="{434198F0-35E2-4687-B4EF-8744A20A88A2}"/>
    <cellStyle name="경고문 34" xfId="2273" xr:uid="{162F5A14-7C6F-4443-9422-2F4FC9B211F4}"/>
    <cellStyle name="경고문 34 2" xfId="2274" xr:uid="{8A7BB2B4-FFAA-4337-88E8-1B1EA11F651E}"/>
    <cellStyle name="경고문 35" xfId="2275" xr:uid="{413094C7-F709-41AB-ACA7-C14DA5731016}"/>
    <cellStyle name="경고문 35 2" xfId="2276" xr:uid="{955F0D7D-DDB6-4084-8179-54107033234F}"/>
    <cellStyle name="경고문 36" xfId="2277" xr:uid="{13A5B89C-3C81-43D3-9061-37C469CB4B32}"/>
    <cellStyle name="경고문 36 2" xfId="2278" xr:uid="{D2E853FC-732D-4940-835A-D3A173F45B9F}"/>
    <cellStyle name="경고문 37" xfId="2279" xr:uid="{0928AF36-5C8B-444F-9B8B-0AC0DC971D04}"/>
    <cellStyle name="경고문 37 2" xfId="2280" xr:uid="{28EAE145-3312-435C-8F0D-842E29E39A33}"/>
    <cellStyle name="경고문 38" xfId="2281" xr:uid="{879076AF-6DCB-4B35-A1E7-27507EC65A3B}"/>
    <cellStyle name="경고문 38 2" xfId="2282" xr:uid="{BC524147-EF2C-41E3-B61B-C6C9E9E3920E}"/>
    <cellStyle name="경고문 39" xfId="2283" xr:uid="{EC9819BB-93AA-46A9-9603-A328411D2400}"/>
    <cellStyle name="경고문 39 2" xfId="2284" xr:uid="{D55FCA75-9199-41D4-BA5F-F16181AC1EB3}"/>
    <cellStyle name="경고문 4" xfId="2285" xr:uid="{B669E14D-B0F9-495D-98D0-B0B1DC19EC84}"/>
    <cellStyle name="경고문 4 2" xfId="2286" xr:uid="{E0600D0C-4DCB-42CB-9448-571FE66D0D19}"/>
    <cellStyle name="경고문 40" xfId="2287" xr:uid="{69F50935-BB6E-4A2F-A8A1-15DF456A6067}"/>
    <cellStyle name="경고문 40 2" xfId="2288" xr:uid="{DBFFF327-CF77-4FF8-A20C-C329A9017A96}"/>
    <cellStyle name="경고문 41" xfId="2289" xr:uid="{A5F993AA-C4DA-4286-BB95-BBA150D05A87}"/>
    <cellStyle name="경고문 41 2" xfId="2290" xr:uid="{F4228C9F-2231-4FAF-BFB9-64F1FC2F2A62}"/>
    <cellStyle name="경고문 42" xfId="2291" xr:uid="{287D9BF4-979E-44A3-BC0E-7269C47C9313}"/>
    <cellStyle name="경고문 42 2" xfId="2292" xr:uid="{D6925BC2-5B60-42C4-BCBC-E7249831BEE0}"/>
    <cellStyle name="경고문 43" xfId="2293" xr:uid="{BDC62098-BA1E-481A-80D6-C767ABDA5A91}"/>
    <cellStyle name="경고문 43 2" xfId="2294" xr:uid="{2F9C2893-5251-4604-836D-1CB258F4EB65}"/>
    <cellStyle name="경고문 44" xfId="2295" xr:uid="{7679156B-4DE9-4CB7-BBFC-685A67572AA5}"/>
    <cellStyle name="경고문 45" xfId="2296" xr:uid="{3F7D8C72-2199-4970-8C53-32D4E553FEC5}"/>
    <cellStyle name="경고문 46" xfId="2297" xr:uid="{66C586A4-192A-41DC-9272-DE524FA1B7D1}"/>
    <cellStyle name="경고문 47" xfId="2298" xr:uid="{48D96A9A-B2B5-4650-A3E5-BE39AB6A6444}"/>
    <cellStyle name="경고문 48" xfId="2299" xr:uid="{9864B3E6-E985-41D3-9DC4-2CBC2894B751}"/>
    <cellStyle name="경고문 49" xfId="2300" xr:uid="{9C9BFF34-5211-4C62-9683-15666F6F0DAD}"/>
    <cellStyle name="경고문 5" xfId="2301" xr:uid="{502EE362-BD42-4766-9A27-B5A8A51F64B0}"/>
    <cellStyle name="경고문 5 2" xfId="2302" xr:uid="{F5488B22-12C8-42A5-9C01-FE207A1D6D43}"/>
    <cellStyle name="경고문 50" xfId="2303" xr:uid="{A5C1C5AC-74F7-493E-AD55-612B9E809D59}"/>
    <cellStyle name="경고문 51" xfId="3810" xr:uid="{8E045D7E-BB21-47C3-B823-A34B96A110C0}"/>
    <cellStyle name="경고문 52" xfId="3974" xr:uid="{0F82C6B8-C2A0-4189-A803-19ED33021FD8}"/>
    <cellStyle name="경고문 53" xfId="4102" xr:uid="{617C14DC-2568-4482-9A7A-823148426DF9}"/>
    <cellStyle name="경고문 54" xfId="4274" xr:uid="{0067CFEE-FC21-4D9D-8319-65DCEC77B6F7}"/>
    <cellStyle name="경고문 55" xfId="2220" xr:uid="{0C638224-CF6F-47DC-A0BB-9A8EFD79A090}"/>
    <cellStyle name="경고문 6" xfId="2304" xr:uid="{1BD83E5D-77B6-48E2-8F2A-7FD4235B90F2}"/>
    <cellStyle name="경고문 6 2" xfId="2305" xr:uid="{6810BB2F-4FA2-4322-AC67-BCFF61816DD6}"/>
    <cellStyle name="경고문 7" xfId="2306" xr:uid="{A8ABA5F5-82E9-42A4-B6BE-66688BC6F348}"/>
    <cellStyle name="경고문 7 2" xfId="2307" xr:uid="{AC4EA9E1-CFBF-479B-A780-EBADE327D424}"/>
    <cellStyle name="경고문 8" xfId="2308" xr:uid="{F59CBF5F-190B-4C60-A2ED-4B418F19FA24}"/>
    <cellStyle name="경고문 8 2" xfId="2309" xr:uid="{9E74B5CA-D083-4D29-B86F-4F26721FEA30}"/>
    <cellStyle name="경고문 9" xfId="2310" xr:uid="{4867CA03-AD1D-4530-A7DC-B6EBAAA4AAD9}"/>
    <cellStyle name="경고문 9 2" xfId="2311" xr:uid="{35435ED7-6EE6-4F38-A4BE-E0F79CF2A1A4}"/>
    <cellStyle name="계산 10" xfId="2313" xr:uid="{AFB9D705-3AC9-413F-920D-5EA392DFD899}"/>
    <cellStyle name="계산 10 2" xfId="2314" xr:uid="{F8ABC072-94C3-4F83-9ECC-11B2C2A2FCE3}"/>
    <cellStyle name="계산 11" xfId="2315" xr:uid="{C9FD959F-5837-40F6-9B8E-6B99A3679E2D}"/>
    <cellStyle name="계산 11 2" xfId="2316" xr:uid="{2720DED2-2025-44A3-8544-FE199A68BEF0}"/>
    <cellStyle name="계산 12" xfId="2317" xr:uid="{404F0D83-A480-4C55-91C0-66D4D6BA4DE3}"/>
    <cellStyle name="계산 12 2" xfId="2318" xr:uid="{02B3A7F4-F53D-4331-8C9F-DA7CBBFAACD3}"/>
    <cellStyle name="계산 13" xfId="2319" xr:uid="{5A1E87D4-66CB-4276-A390-EF41EF2E6F23}"/>
    <cellStyle name="계산 13 2" xfId="2320" xr:uid="{A2D3C352-78DE-41F5-9186-8D2EC48724E7}"/>
    <cellStyle name="계산 14" xfId="2321" xr:uid="{551C6A90-4013-49E4-B3E9-FFD8AB7DE82D}"/>
    <cellStyle name="계산 14 2" xfId="2322" xr:uid="{76495614-0675-4670-9B12-C23A0ABA60D0}"/>
    <cellStyle name="계산 15" xfId="2323" xr:uid="{3E5227BA-8078-4054-B521-219451483243}"/>
    <cellStyle name="계산 15 2" xfId="2324" xr:uid="{CC5D3E02-C3FE-4462-AEFD-A0A5B1DF2712}"/>
    <cellStyle name="계산 16" xfId="2325" xr:uid="{1226A641-5FD7-43A2-B931-6536147E195F}"/>
    <cellStyle name="계산 16 2" xfId="2326" xr:uid="{3608B2DA-D777-483A-B82B-142AD604E0BC}"/>
    <cellStyle name="계산 17" xfId="2327" xr:uid="{E1B89EB8-52E6-449A-A612-BAD1563F2EF2}"/>
    <cellStyle name="계산 17 2" xfId="2328" xr:uid="{9939B729-FB85-472B-BF28-742607387B02}"/>
    <cellStyle name="계산 18" xfId="2329" xr:uid="{02602CC6-8E2E-467B-93EA-3949C9631F12}"/>
    <cellStyle name="계산 18 2" xfId="2330" xr:uid="{8AEA8AA0-6D95-4313-A9C2-55945BDB617B}"/>
    <cellStyle name="계산 19" xfId="2331" xr:uid="{7BAAD6D5-0D37-4A2A-B463-7A25DF479697}"/>
    <cellStyle name="계산 19 2" xfId="2332" xr:uid="{B3CA3F47-99E7-4086-B947-478ABFE69157}"/>
    <cellStyle name="계산 2" xfId="2333" xr:uid="{7D6F0225-2764-4B47-ACBB-8A0D170F50E1}"/>
    <cellStyle name="계산 2 2" xfId="2334" xr:uid="{E46B1442-ACEF-4CC4-9D03-597076108A2D}"/>
    <cellStyle name="계산 20" xfId="2335" xr:uid="{70B3E367-6AD3-4D31-AD49-D9C4C88CDF90}"/>
    <cellStyle name="계산 20 2" xfId="2336" xr:uid="{C2B39751-CD80-43BD-8919-EA9A03500547}"/>
    <cellStyle name="계산 21" xfId="2337" xr:uid="{8E507D19-25F8-4394-A0A3-3D99A3BFD54D}"/>
    <cellStyle name="계산 21 2" xfId="2338" xr:uid="{F64D21BC-8617-4C23-9C3B-5A9608CBF953}"/>
    <cellStyle name="계산 22" xfId="2339" xr:uid="{AC9A7A83-1C05-48AF-8331-F4466595F160}"/>
    <cellStyle name="계산 22 2" xfId="2340" xr:uid="{7CC5CD9F-9522-41BC-98FC-121E48145046}"/>
    <cellStyle name="계산 23" xfId="2341" xr:uid="{95BDCB22-A7EB-476A-A499-B6B49DA689C3}"/>
    <cellStyle name="계산 23 2" xfId="2342" xr:uid="{288BE708-8043-4B60-8827-B380F3695899}"/>
    <cellStyle name="계산 24" xfId="2343" xr:uid="{C2518CE7-01D3-478C-A91F-B13A8618FD11}"/>
    <cellStyle name="계산 24 2" xfId="2344" xr:uid="{3EFEE15A-E6F1-4BE0-B785-E33F146455EB}"/>
    <cellStyle name="계산 25" xfId="2345" xr:uid="{177295BC-1A60-44E9-8001-CFAC741C288F}"/>
    <cellStyle name="계산 25 2" xfId="2346" xr:uid="{853F7820-B36E-434B-826E-EBFAC27953A4}"/>
    <cellStyle name="계산 26" xfId="2347" xr:uid="{E5293697-E390-444D-B93A-5C2E15044746}"/>
    <cellStyle name="계산 26 2" xfId="2348" xr:uid="{F6E0662C-884B-4AD9-8360-E8AB098437CA}"/>
    <cellStyle name="계산 27" xfId="2349" xr:uid="{A9F51C0F-D879-47EA-ADC5-3A7ECACAF036}"/>
    <cellStyle name="계산 27 2" xfId="2350" xr:uid="{598AFFAA-964F-4147-9447-0F5C898A9FF8}"/>
    <cellStyle name="계산 28" xfId="2351" xr:uid="{39830C00-E9E1-431E-AD45-D20A12FF1285}"/>
    <cellStyle name="계산 28 2" xfId="2352" xr:uid="{5AD99865-B77C-4416-80F4-3ED55CE1DF10}"/>
    <cellStyle name="계산 29" xfId="2353" xr:uid="{1D0D22D9-2B48-4F0C-B310-BBB801879223}"/>
    <cellStyle name="계산 29 2" xfId="2354" xr:uid="{FFA568E2-EEA1-4B27-A697-0E06EDC74117}"/>
    <cellStyle name="계산 3" xfId="2355" xr:uid="{132B1F1C-0D81-491E-B010-D12AE9CE0A06}"/>
    <cellStyle name="계산 3 2" xfId="2356" xr:uid="{7C64631A-B2C5-47B1-A522-3B90B545ACEF}"/>
    <cellStyle name="계산 30" xfId="2357" xr:uid="{DE0EA95B-06AA-482E-AD77-18C5CFABC74F}"/>
    <cellStyle name="계산 30 2" xfId="2358" xr:uid="{A116FE10-A97C-4736-9F71-EA5C207AA1B3}"/>
    <cellStyle name="계산 31" xfId="2359" xr:uid="{C3BAA37E-36ED-4AC6-866A-04785B5B1ED2}"/>
    <cellStyle name="계산 31 2" xfId="2360" xr:uid="{48BAED49-AD61-4978-B288-249B8688C9F8}"/>
    <cellStyle name="계산 32" xfId="2361" xr:uid="{470D5A5D-36E9-4648-886E-E095FC288FD8}"/>
    <cellStyle name="계산 32 2" xfId="2362" xr:uid="{ED7D3608-0AD3-4B75-A95E-F00C5D4C6D4B}"/>
    <cellStyle name="계산 33" xfId="2363" xr:uid="{371E012C-CED4-41FC-8215-657254E0132A}"/>
    <cellStyle name="계산 33 2" xfId="2364" xr:uid="{6A1C033D-B900-47EA-A907-CAB065DBFAC0}"/>
    <cellStyle name="계산 34" xfId="2365" xr:uid="{0F63026E-F781-4D50-867F-B55975FD20CE}"/>
    <cellStyle name="계산 34 2" xfId="2366" xr:uid="{DE3130F8-6D6F-41F4-AB76-89318AFC9407}"/>
    <cellStyle name="계산 35" xfId="2367" xr:uid="{E5728CDF-EB92-412C-8912-F508E7601C70}"/>
    <cellStyle name="계산 35 2" xfId="2368" xr:uid="{B30BEF85-171D-4A7E-BEA7-BF2B09A7891B}"/>
    <cellStyle name="계산 36" xfId="2369" xr:uid="{6550134D-37CB-444B-9CC6-17640D819995}"/>
    <cellStyle name="계산 36 2" xfId="2370" xr:uid="{32D6EF2B-6154-4904-9BF5-3AD7C56A4E53}"/>
    <cellStyle name="계산 37" xfId="2371" xr:uid="{2406D1AE-C786-475E-AF27-61D7FB143F96}"/>
    <cellStyle name="계산 37 2" xfId="2372" xr:uid="{C80025F6-566F-493A-8026-431A4C138476}"/>
    <cellStyle name="계산 38" xfId="2373" xr:uid="{20979DE0-9951-48B3-8F27-91C289314FFF}"/>
    <cellStyle name="계산 38 2" xfId="2374" xr:uid="{D002102C-2EA5-4766-A0CF-002F1372366D}"/>
    <cellStyle name="계산 39" xfId="2375" xr:uid="{66ADD273-D5A4-4CFE-880B-2FA8EE57CC0C}"/>
    <cellStyle name="계산 39 2" xfId="2376" xr:uid="{4499C942-1803-4614-A2D3-67B1355470AF}"/>
    <cellStyle name="계산 4" xfId="2377" xr:uid="{EA5CFCAD-98B3-4A6C-BA58-6DE8A08B870A}"/>
    <cellStyle name="계산 4 2" xfId="2378" xr:uid="{1E01DEA1-C635-4DB7-B375-96EBFA1E46E9}"/>
    <cellStyle name="계산 40" xfId="2379" xr:uid="{A24CAB6F-B072-496A-A968-426D8394FD39}"/>
    <cellStyle name="계산 40 2" xfId="2380" xr:uid="{B08D0AE4-22C0-4840-B38E-020601DE7903}"/>
    <cellStyle name="계산 41" xfId="2381" xr:uid="{A1548726-78F4-41AE-BE8C-C3E5897C8760}"/>
    <cellStyle name="계산 41 2" xfId="2382" xr:uid="{00BB54B8-A30D-4722-93D7-D79E013DD4A9}"/>
    <cellStyle name="계산 42" xfId="2383" xr:uid="{9229A8DA-754D-4C3E-AE02-F12BACD1FDCF}"/>
    <cellStyle name="계산 42 2" xfId="2384" xr:uid="{5A226B4F-4A44-4781-B615-96D14A6DDE3D}"/>
    <cellStyle name="계산 43" xfId="2385" xr:uid="{B87678FC-019B-4DD2-A47F-2FAAD34B9386}"/>
    <cellStyle name="계산 43 2" xfId="2386" xr:uid="{FC3378D0-6F7A-49B8-B6EE-149DBCCC2485}"/>
    <cellStyle name="계산 44" xfId="2387" xr:uid="{97EA6D08-35CA-4B77-A7F8-3680B65A5DCB}"/>
    <cellStyle name="계산 45" xfId="2388" xr:uid="{2CCC736F-DEF2-4EF5-8AE1-0B4F38793487}"/>
    <cellStyle name="계산 46" xfId="2389" xr:uid="{C7308D91-9469-49A5-BE8B-6B884C332A0F}"/>
    <cellStyle name="계산 47" xfId="2390" xr:uid="{FD23C8E3-9770-4329-AD98-96F0E116F8B7}"/>
    <cellStyle name="계산 48" xfId="2391" xr:uid="{A05C6F93-6591-46D8-82DB-F713D65A7CF4}"/>
    <cellStyle name="계산 49" xfId="2392" xr:uid="{C0B987A5-E64B-4996-AF99-48B8F5C9DEF7}"/>
    <cellStyle name="계산 5" xfId="2393" xr:uid="{F3EB5E51-6ABE-4B71-B67D-93604EFF550A}"/>
    <cellStyle name="계산 5 2" xfId="2394" xr:uid="{C59C0949-3EAD-46FA-88F6-10969E758405}"/>
    <cellStyle name="계산 50" xfId="2395" xr:uid="{E3EAD874-CDF3-4EFC-BE3D-18026483B742}"/>
    <cellStyle name="계산 51" xfId="3807" xr:uid="{7F7A3567-9CC4-4063-A58A-8CF7BBC802AD}"/>
    <cellStyle name="계산 52" xfId="3971" xr:uid="{D3D58EB6-FC63-4052-A9D7-92464A202DDC}"/>
    <cellStyle name="계산 53" xfId="4103" xr:uid="{DD481AB8-3F5C-474F-95B3-DA538251D12A}"/>
    <cellStyle name="계산 54" xfId="4275" xr:uid="{499BD260-EE52-40CE-B781-8E43585D7350}"/>
    <cellStyle name="계산 55" xfId="2312" xr:uid="{FB7FAF12-CA38-48CD-9370-81E2D652CC3E}"/>
    <cellStyle name="계산 6" xfId="2396" xr:uid="{74E2B74A-A297-44CC-BB1F-5DE221A24A62}"/>
    <cellStyle name="계산 6 2" xfId="2397" xr:uid="{81E5F2B6-1EE0-4D12-868A-E6D9DD2470CF}"/>
    <cellStyle name="계산 7" xfId="2398" xr:uid="{5B147F04-54A2-498F-91C9-947992554BFC}"/>
    <cellStyle name="계산 7 2" xfId="2399" xr:uid="{852882F6-5BDF-438D-8A17-32D69F54F5C6}"/>
    <cellStyle name="계산 8" xfId="2400" xr:uid="{C2DB9154-9697-48AB-B97F-403922D7B934}"/>
    <cellStyle name="계산 8 2" xfId="2401" xr:uid="{C2BD0828-0FE9-4A58-967C-86E19C9F9D49}"/>
    <cellStyle name="계산 9" xfId="2402" xr:uid="{37C125CA-DEF5-4E4D-AD12-15253D61E141}"/>
    <cellStyle name="계산 9 2" xfId="2403" xr:uid="{70481230-A0AE-479C-A46D-16E7E5A8E2DD}"/>
    <cellStyle name="나쁨 10" xfId="2405" xr:uid="{7FD87254-D4F7-4641-9D08-66BE0EF890DB}"/>
    <cellStyle name="나쁨 10 2" xfId="2406" xr:uid="{24C22341-D705-4F70-B8B7-607C122B5787}"/>
    <cellStyle name="나쁨 11" xfId="2407" xr:uid="{2A315EFF-6147-497E-B5BD-00699082DCB2}"/>
    <cellStyle name="나쁨 11 2" xfId="2408" xr:uid="{1BB7F838-6EF6-439E-AA08-1D842C20E3FC}"/>
    <cellStyle name="나쁨 12" xfId="2409" xr:uid="{C31FAA7D-F75A-4539-8ACC-3B5994C84EC4}"/>
    <cellStyle name="나쁨 12 2" xfId="2410" xr:uid="{2B25AF67-D3D6-4FE4-AE43-7D5277E47B15}"/>
    <cellStyle name="나쁨 13" xfId="2411" xr:uid="{FCABABDA-5BB7-45BF-925D-8DD990AB47DD}"/>
    <cellStyle name="나쁨 13 2" xfId="2412" xr:uid="{9619EEEC-9872-481D-9824-C17F3BB6A525}"/>
    <cellStyle name="나쁨 14" xfId="2413" xr:uid="{608731E9-41B8-49BD-9DED-D54BBE60C979}"/>
    <cellStyle name="나쁨 14 2" xfId="2414" xr:uid="{5F59380C-0A45-48C7-9C45-51DD182C64E4}"/>
    <cellStyle name="나쁨 15" xfId="2415" xr:uid="{3563974A-2F85-4E00-87B9-0F0A9C862314}"/>
    <cellStyle name="나쁨 15 2" xfId="2416" xr:uid="{CAC6D2E5-83EF-4C4D-B115-794541BEB93F}"/>
    <cellStyle name="나쁨 16" xfId="2417" xr:uid="{D2C7F848-67A1-443B-B0E6-EC0BE05E69EA}"/>
    <cellStyle name="나쁨 16 2" xfId="2418" xr:uid="{D3A50AF5-5AEC-4995-BC14-5084D582A3D8}"/>
    <cellStyle name="나쁨 17" xfId="2419" xr:uid="{608003EA-BE48-4F4A-9A0D-162FF974C364}"/>
    <cellStyle name="나쁨 17 2" xfId="2420" xr:uid="{56FD2807-6D7F-49C4-BAF2-95FC0CD2688C}"/>
    <cellStyle name="나쁨 18" xfId="2421" xr:uid="{4057072D-F8C3-440A-A05E-8CB4697E1337}"/>
    <cellStyle name="나쁨 18 2" xfId="2422" xr:uid="{99CE5B1E-6228-4680-AF7C-43A90E9D0729}"/>
    <cellStyle name="나쁨 19" xfId="2423" xr:uid="{EE6F79BD-4EEF-4B82-8EE8-F04F2050211E}"/>
    <cellStyle name="나쁨 19 2" xfId="2424" xr:uid="{5138B5A0-55F7-4146-8E0F-EC7F35805A88}"/>
    <cellStyle name="나쁨 2" xfId="2425" xr:uid="{EC464215-AE3B-4E12-98E4-2B037FF9BA65}"/>
    <cellStyle name="나쁨 2 2" xfId="2426" xr:uid="{3800ECE9-A0BE-4072-BA5B-9AFBA4FF53A4}"/>
    <cellStyle name="나쁨 20" xfId="2427" xr:uid="{6DCECD33-89E6-4DD4-8BE0-748DB625BEF9}"/>
    <cellStyle name="나쁨 20 2" xfId="2428" xr:uid="{71339CE9-F969-4E2A-9A5D-972959F50A8A}"/>
    <cellStyle name="나쁨 21" xfId="2429" xr:uid="{1B79B535-41C6-4E1B-BA93-F44188CD6CB1}"/>
    <cellStyle name="나쁨 21 2" xfId="2430" xr:uid="{9DAE6C1D-C39D-4A17-905D-60DB311D0FD6}"/>
    <cellStyle name="나쁨 22" xfId="2431" xr:uid="{51924BF7-AD93-4039-BF0F-31A4F33DDA91}"/>
    <cellStyle name="나쁨 22 2" xfId="2432" xr:uid="{8BE1E509-8A56-463E-B199-E546EF8E8AD9}"/>
    <cellStyle name="나쁨 23" xfId="2433" xr:uid="{AD0E2ED0-0971-4514-8BD9-BBED30FADB78}"/>
    <cellStyle name="나쁨 23 2" xfId="2434" xr:uid="{351300F6-4E16-4130-A9A3-670885463819}"/>
    <cellStyle name="나쁨 24" xfId="2435" xr:uid="{2986A8BD-FC58-4FF7-BE37-856D801083B5}"/>
    <cellStyle name="나쁨 24 2" xfId="2436" xr:uid="{DE840B60-5F07-47FA-B0A5-17BD220D7D69}"/>
    <cellStyle name="나쁨 25" xfId="2437" xr:uid="{EDDB9F08-0D6F-414D-AA59-34C326C120A4}"/>
    <cellStyle name="나쁨 25 2" xfId="2438" xr:uid="{475C3E71-CD87-4080-8C62-E5CD7D4502FA}"/>
    <cellStyle name="나쁨 26" xfId="2439" xr:uid="{199B7376-C549-41B9-89BA-C05330BC1337}"/>
    <cellStyle name="나쁨 26 2" xfId="2440" xr:uid="{0ADD5EEB-3209-4B3E-A16B-CA8276EE08C6}"/>
    <cellStyle name="나쁨 27" xfId="2441" xr:uid="{9FCEB71B-FDF7-4098-9354-D119D8C080F2}"/>
    <cellStyle name="나쁨 27 2" xfId="2442" xr:uid="{3240CBDF-F12C-489D-A984-F36792483440}"/>
    <cellStyle name="나쁨 28" xfId="2443" xr:uid="{BA4FF42C-4041-4828-941E-E23C58B2C7AB}"/>
    <cellStyle name="나쁨 28 2" xfId="2444" xr:uid="{2F6E929D-557E-4576-A09A-06BADEC81CC5}"/>
    <cellStyle name="나쁨 29" xfId="2445" xr:uid="{881BBE4F-2BB5-4A7A-B3AD-C1F696B24B7D}"/>
    <cellStyle name="나쁨 29 2" xfId="2446" xr:uid="{27AF9A59-A890-450C-844F-793EF9A6D4A4}"/>
    <cellStyle name="나쁨 3" xfId="2447" xr:uid="{AFC9C52C-116B-474A-9BFA-A46AE3782CDB}"/>
    <cellStyle name="나쁨 3 2" xfId="2448" xr:uid="{FBDEBDE5-464E-483C-9CC9-0BE1CFDC37D2}"/>
    <cellStyle name="나쁨 30" xfId="2449" xr:uid="{B5507623-EC61-4DC6-9655-93DF69BAA308}"/>
    <cellStyle name="나쁨 30 2" xfId="2450" xr:uid="{00B477B5-9404-404D-ABD2-43A55BB77C9B}"/>
    <cellStyle name="나쁨 31" xfId="2451" xr:uid="{3CE5A89D-2D97-46FF-BE2A-B96422EFC3AE}"/>
    <cellStyle name="나쁨 31 2" xfId="2452" xr:uid="{150D350B-6D17-4A15-8467-029DD1317AFF}"/>
    <cellStyle name="나쁨 32" xfId="2453" xr:uid="{D58314BA-1281-4D29-8B73-0FE66D02EE29}"/>
    <cellStyle name="나쁨 32 2" xfId="2454" xr:uid="{D05FFE51-003A-49A1-BD5F-49C18F95B48B}"/>
    <cellStyle name="나쁨 33" xfId="2455" xr:uid="{F8A0FECF-15F7-46C9-AD3B-AF40B826DF4C}"/>
    <cellStyle name="나쁨 33 2" xfId="2456" xr:uid="{421BB55D-55D3-457D-B364-66BD7E421666}"/>
    <cellStyle name="나쁨 34" xfId="2457" xr:uid="{0119CD62-FC68-45D0-A370-DD2F099F7586}"/>
    <cellStyle name="나쁨 34 2" xfId="2458" xr:uid="{53327556-4B1B-4EEA-9229-E9F6CE8E3E8A}"/>
    <cellStyle name="나쁨 35" xfId="2459" xr:uid="{01364627-1B14-4866-A65E-DCB6CD2C6484}"/>
    <cellStyle name="나쁨 35 2" xfId="2460" xr:uid="{1BAE822D-19C4-4B7A-80C2-DE1EA75CB3E1}"/>
    <cellStyle name="나쁨 36" xfId="2461" xr:uid="{0A1B4252-68B6-4E22-9A5C-CFDF1C2E5FE5}"/>
    <cellStyle name="나쁨 36 2" xfId="2462" xr:uid="{A889D3C0-C5D8-44CB-B7E7-9CF02E0A6EC0}"/>
    <cellStyle name="나쁨 37" xfId="2463" xr:uid="{54908592-F6A6-4305-AF72-192E9CD466F1}"/>
    <cellStyle name="나쁨 37 2" xfId="2464" xr:uid="{BA97260B-85B1-43A9-BCCA-72DDD3735375}"/>
    <cellStyle name="나쁨 38" xfId="2465" xr:uid="{BA453A36-E154-4FC1-AFC2-D426FB4B427A}"/>
    <cellStyle name="나쁨 38 2" xfId="2466" xr:uid="{A33C9272-05B5-43BD-A100-C9792EC45DB0}"/>
    <cellStyle name="나쁨 39" xfId="2467" xr:uid="{6256D54C-5DFD-4877-947B-8DCC3A76334A}"/>
    <cellStyle name="나쁨 39 2" xfId="2468" xr:uid="{D8480E16-2D65-4FFC-A70A-4811D96FF4BF}"/>
    <cellStyle name="나쁨 4" xfId="2469" xr:uid="{C9501759-4B96-4F33-8805-07FD34BF69AB}"/>
    <cellStyle name="나쁨 4 2" xfId="2470" xr:uid="{6E4932FE-6F9E-4BD5-96A8-7E621C90AD63}"/>
    <cellStyle name="나쁨 40" xfId="2471" xr:uid="{DFF26652-9F7C-4CF2-8CDA-D152623306E5}"/>
    <cellStyle name="나쁨 40 2" xfId="2472" xr:uid="{FD1B56DF-CD17-4041-8ECA-B56335673CC5}"/>
    <cellStyle name="나쁨 41" xfId="2473" xr:uid="{A7FE6A7E-9987-44DE-96F5-5965305B6EE2}"/>
    <cellStyle name="나쁨 41 2" xfId="2474" xr:uid="{48CFA8AD-9F40-4E9F-A778-9BA1F5428630}"/>
    <cellStyle name="나쁨 42" xfId="2475" xr:uid="{4EB70C45-2109-4610-B1F2-F60A03FDA4ED}"/>
    <cellStyle name="나쁨 42 2" xfId="2476" xr:uid="{D06397B3-9876-494E-952A-E6E85790276E}"/>
    <cellStyle name="나쁨 43" xfId="2477" xr:uid="{462EE934-88D2-4413-82FE-C59783C3A657}"/>
    <cellStyle name="나쁨 43 2" xfId="2478" xr:uid="{F6D2EB62-5923-45E2-8B67-D2364320662A}"/>
    <cellStyle name="나쁨 44" xfId="2479" xr:uid="{F8FF6227-F010-4B09-BAAA-23E02C15F444}"/>
    <cellStyle name="나쁨 45" xfId="2480" xr:uid="{E5FF0E50-C21B-437D-83D1-27B57B40C4C2}"/>
    <cellStyle name="나쁨 46" xfId="2481" xr:uid="{9DE304C0-4790-4316-9C4A-83BF8D36C646}"/>
    <cellStyle name="나쁨 47" xfId="2482" xr:uid="{D83A0D82-4BEF-44D1-A304-7A35E52499FF}"/>
    <cellStyle name="나쁨 48" xfId="2483" xr:uid="{AA0134FB-B19C-448B-92B2-DAFE8FE96E53}"/>
    <cellStyle name="나쁨 49" xfId="2484" xr:uid="{916E870D-6040-494F-8A43-9938F37D4C2F}"/>
    <cellStyle name="나쁨 5" xfId="2485" xr:uid="{C12D2735-6605-4BB3-8C54-CFAA1A47D641}"/>
    <cellStyle name="나쁨 5 2" xfId="2486" xr:uid="{6161E6BC-D1D8-4094-B952-8F0FC6E21E07}"/>
    <cellStyle name="나쁨 50" xfId="2487" xr:uid="{3962AFBB-A031-4812-A1D5-96B779EA8F67}"/>
    <cellStyle name="나쁨 51" xfId="3803" xr:uid="{6F9507E8-CC76-447A-8CE2-D817F53F5DB0}"/>
    <cellStyle name="나쁨 52" xfId="3967" xr:uid="{B144B494-2E72-40AD-84E3-017B0A9AFE84}"/>
    <cellStyle name="나쁨 53" xfId="4104" xr:uid="{7E5BBF9C-E689-45E8-91D9-435B10F20F42}"/>
    <cellStyle name="나쁨 54" xfId="4276" xr:uid="{0673CB4E-1A4B-4733-80E0-F5485BAB5F78}"/>
    <cellStyle name="나쁨 55" xfId="2404" xr:uid="{329F6737-59B4-4B3D-B492-75A8DDFCE326}"/>
    <cellStyle name="나쁨 6" xfId="2488" xr:uid="{5081C3ED-19B0-46E3-9339-FF0E02C1B7C7}"/>
    <cellStyle name="나쁨 6 2" xfId="2489" xr:uid="{E7685E23-70A2-4CC8-9594-C9E15A75BE17}"/>
    <cellStyle name="나쁨 7" xfId="2490" xr:uid="{4600404F-F6ED-4E66-B1BC-3D01F84FEE18}"/>
    <cellStyle name="나쁨 7 2" xfId="2491" xr:uid="{CD100DC8-B91F-4D44-85CE-A95592CA75CA}"/>
    <cellStyle name="나쁨 8" xfId="2492" xr:uid="{9F93B7CA-3596-4E13-84F0-716799087709}"/>
    <cellStyle name="나쁨 8 2" xfId="2493" xr:uid="{27BFA592-9DAA-4E61-89CB-EBD7C4E208D4}"/>
    <cellStyle name="나쁨 9" xfId="2494" xr:uid="{7F914CC4-DB71-44B1-A4C1-8CDE8A8FC537}"/>
    <cellStyle name="나쁨 9 2" xfId="2495" xr:uid="{9BA95E83-650B-42AA-BC63-15D5DCE0F4AC}"/>
    <cellStyle name="메모 10" xfId="2497" xr:uid="{CEF47B89-E050-413F-B13B-44C488AFDB1A}"/>
    <cellStyle name="메모 10 2" xfId="2498" xr:uid="{04F52D6B-16E7-4FF2-BBE7-9A5DCA17993A}"/>
    <cellStyle name="메모 10 2 2" xfId="3839" xr:uid="{75352960-14B9-482C-BA74-E964502FC439}"/>
    <cellStyle name="메모 10 2 3" xfId="4640" xr:uid="{D4953B68-BC8C-4FD3-84C3-E7B53F8B55BF}"/>
    <cellStyle name="메모 10 3" xfId="3838" xr:uid="{12BFA8CA-7362-44EE-A3E4-014C21A94BA9}"/>
    <cellStyle name="메모 10 4" xfId="4641" xr:uid="{48496239-4EC3-4FC2-8693-B169C4494266}"/>
    <cellStyle name="메모 11" xfId="2499" xr:uid="{F9F6F124-9424-42B8-91A7-537601D601D2}"/>
    <cellStyle name="메모 11 2" xfId="2500" xr:uid="{446B88C1-390F-4CC6-80EF-DF3C7AB4A6D8}"/>
    <cellStyle name="메모 11 2 2" xfId="3841" xr:uid="{242CDA0D-C38C-4EF0-BF12-38EB6A1657E3}"/>
    <cellStyle name="메모 11 2 3" xfId="4638" xr:uid="{283158F4-365D-4F2F-9C04-48BBA65F0499}"/>
    <cellStyle name="메모 11 3" xfId="3840" xr:uid="{C786F7F0-1CB0-4115-B03E-5985996319E8}"/>
    <cellStyle name="메모 11 4" xfId="4639" xr:uid="{85D17225-D904-4579-BEA4-D1FF98B87FBC}"/>
    <cellStyle name="메모 12" xfId="2501" xr:uid="{1C8F7865-B9F1-494A-9485-145878321E8B}"/>
    <cellStyle name="메모 12 2" xfId="2502" xr:uid="{2C7903DE-11A5-49B1-BBC7-E9EC651C533F}"/>
    <cellStyle name="메모 12 2 2" xfId="3843" xr:uid="{D305EB05-079A-4E2C-95E8-A1E10DE7A4FB}"/>
    <cellStyle name="메모 12 2 3" xfId="4647" xr:uid="{7FA5CAFF-D525-451B-A78C-60FDD67C3A79}"/>
    <cellStyle name="메모 12 3" xfId="3842" xr:uid="{6A4B985C-E01C-448E-8612-1878D281B030}"/>
    <cellStyle name="메모 12 4" xfId="4648" xr:uid="{69B618C9-E427-4038-90AE-294D46FAE0C0}"/>
    <cellStyle name="메모 13" xfId="2503" xr:uid="{92419906-22F3-4E6E-AD1B-41F499448965}"/>
    <cellStyle name="메모 13 2" xfId="2504" xr:uid="{48042D64-42F1-4F5D-8EAD-8CFCE7F15676}"/>
    <cellStyle name="메모 13 2 2" xfId="3845" xr:uid="{F3829E30-DA01-41B7-9995-3DEA0FD8198F}"/>
    <cellStyle name="메모 13 2 3" xfId="4645" xr:uid="{1F72C820-CA32-4E5D-AD1C-AB9DC091F31A}"/>
    <cellStyle name="메모 13 3" xfId="3844" xr:uid="{270C9D95-0B09-4642-A335-359807B5B511}"/>
    <cellStyle name="메모 13 4" xfId="4646" xr:uid="{795EEC63-AF74-4D08-8FDE-D4BB471054DE}"/>
    <cellStyle name="메모 14" xfId="2505" xr:uid="{F70DD67F-B5EA-4701-81B5-2C752DE7C13A}"/>
    <cellStyle name="메모 14 2" xfId="2506" xr:uid="{853AD5B3-F68B-4FD0-B0D9-EA9FC8B54277}"/>
    <cellStyle name="메모 14 2 2" xfId="3847" xr:uid="{EFF8D4A1-672A-4A47-8733-331C26641C9F}"/>
    <cellStyle name="메모 14 2 3" xfId="4636" xr:uid="{3172DBB0-114C-4044-8F69-48B032C3316A}"/>
    <cellStyle name="메모 14 3" xfId="3846" xr:uid="{2EC65272-C99B-4296-B428-1AAA57661BCA}"/>
    <cellStyle name="메모 14 4" xfId="4637" xr:uid="{67828192-A9B8-4C96-A650-BAB5562778E1}"/>
    <cellStyle name="메모 15" xfId="2507" xr:uid="{59636A23-A3C3-4965-BC0F-95B52A29BE7C}"/>
    <cellStyle name="메모 15 2" xfId="2508" xr:uid="{4974354F-08A1-4865-95DF-6702E1A4C837}"/>
    <cellStyle name="메모 15 2 2" xfId="3849" xr:uid="{A572F1F1-4477-4AA8-837E-8FC82FAB15F1}"/>
    <cellStyle name="메모 15 2 3" xfId="4634" xr:uid="{034655FC-1BC9-46A8-806D-C0CDF3802923}"/>
    <cellStyle name="메모 15 3" xfId="3848" xr:uid="{75FF5762-C5C5-41A5-B80D-8377BA878FB0}"/>
    <cellStyle name="메모 15 4" xfId="4635" xr:uid="{5D11B8C8-212F-4B18-94D1-415D8859FB44}"/>
    <cellStyle name="메모 16" xfId="2509" xr:uid="{613191F6-FB0D-4033-854E-7E425E348AA8}"/>
    <cellStyle name="메모 16 2" xfId="2510" xr:uid="{B76B2FB0-D0F0-49DD-8588-EA3A194B46C2}"/>
    <cellStyle name="메모 16 2 2" xfId="3851" xr:uid="{2C947A3D-2AB6-43FB-B571-F6FA69C0C50C}"/>
    <cellStyle name="메모 16 2 3" xfId="4632" xr:uid="{2EB70B9E-6066-44F8-9D37-4EA841D4788F}"/>
    <cellStyle name="메모 16 3" xfId="3850" xr:uid="{94E19CC7-E32A-4AC6-B2F1-C5B629DC416D}"/>
    <cellStyle name="메모 16 4" xfId="4633" xr:uid="{D3201FC1-2C51-4CD2-A1CE-D439C0C7D953}"/>
    <cellStyle name="메모 17" xfId="2511" xr:uid="{AAD9E07D-0A30-44D7-B56C-B35FF21F6DD4}"/>
    <cellStyle name="메모 17 2" xfId="2512" xr:uid="{A590CED5-B841-4931-8098-1460E164B0FB}"/>
    <cellStyle name="메모 17 2 2" xfId="3853" xr:uid="{A1F6A1D4-598A-467E-8817-7EAD8DF5F81A}"/>
    <cellStyle name="메모 17 2 3" xfId="4630" xr:uid="{FC077FFC-38ED-4B2A-A9AC-016FF29D6F9F}"/>
    <cellStyle name="메모 17 3" xfId="3852" xr:uid="{1459D9E4-8061-4922-B1C4-96C5DF8E0D30}"/>
    <cellStyle name="메모 17 4" xfId="4631" xr:uid="{B5D1467F-FEDA-4B25-95AE-E34730F9D15C}"/>
    <cellStyle name="메모 18" xfId="2513" xr:uid="{7F37237C-4415-45D3-BCAF-17FF55AFF41A}"/>
    <cellStyle name="메모 18 2" xfId="2514" xr:uid="{1F595A05-682B-48F2-834A-5D914125EFED}"/>
    <cellStyle name="메모 18 2 2" xfId="3855" xr:uid="{4A16DAB8-661D-4446-BFDE-68B8309FCE89}"/>
    <cellStyle name="메모 18 2 3" xfId="4628" xr:uid="{B768EDB1-2B93-4B26-977C-70B7C709EDF8}"/>
    <cellStyle name="메모 18 3" xfId="3854" xr:uid="{ACB18AEF-754C-4AE5-BB01-48B5E917C352}"/>
    <cellStyle name="메모 18 4" xfId="4629" xr:uid="{F201EED6-8D05-475A-A2D0-F082A84631ED}"/>
    <cellStyle name="메모 19" xfId="2515" xr:uid="{35805356-8A9E-40B2-B623-9814632AF63D}"/>
    <cellStyle name="메모 19 2" xfId="2516" xr:uid="{BC1975EE-99DA-42D3-9AD0-8AE33D0A854E}"/>
    <cellStyle name="메모 19 2 2" xfId="3857" xr:uid="{D40FE558-F4AE-4449-AD9F-7CF95B7BC49D}"/>
    <cellStyle name="메모 19 2 3" xfId="4626" xr:uid="{5157F080-3914-4C71-92DC-C42D5BD21262}"/>
    <cellStyle name="메모 19 3" xfId="3856" xr:uid="{1D8B74F4-2A78-446D-9AE6-B2028E29D666}"/>
    <cellStyle name="메모 19 4" xfId="4627" xr:uid="{EE01B3FF-0004-4D8D-B04B-BA4A50157DBE}"/>
    <cellStyle name="메모 2" xfId="2517" xr:uid="{2C34B8BB-C70E-4064-B388-05ED66303103}"/>
    <cellStyle name="메모 2 2" xfId="2518" xr:uid="{EF324864-B8AE-4DF3-93A7-84EE47219132}"/>
    <cellStyle name="메모 2 2 2" xfId="3859" xr:uid="{D4E156B8-6314-457B-9843-89C7ED0326B6}"/>
    <cellStyle name="메모 2 2 3" xfId="4624" xr:uid="{14C51789-84CF-4A4A-A6DF-1A80F9D4C2A6}"/>
    <cellStyle name="메모 2 3" xfId="3858" xr:uid="{8A625BF3-DA17-419E-9460-454C0E183F91}"/>
    <cellStyle name="메모 2 4" xfId="4625" xr:uid="{8DB87B8F-95CA-4A3F-A0EE-8C8735524A57}"/>
    <cellStyle name="메모 20" xfId="2519" xr:uid="{20EB1B1A-AA7C-4955-917E-4A02A829D42D}"/>
    <cellStyle name="메모 20 2" xfId="2520" xr:uid="{2F8B7151-5D80-4A89-A74E-AAB88D3EEFF1}"/>
    <cellStyle name="메모 20 2 2" xfId="3861" xr:uid="{181DE166-CB74-4C8C-82D6-8D3B4E356F49}"/>
    <cellStyle name="메모 20 2 3" xfId="4622" xr:uid="{35115AAD-E5ED-4179-B44C-860371CD4C4B}"/>
    <cellStyle name="메모 20 3" xfId="3860" xr:uid="{E7A71F8C-E7F6-44CA-93AC-6BFB7993377F}"/>
    <cellStyle name="메모 20 4" xfId="4623" xr:uid="{7CB92CC8-52F8-47B1-B143-9616D5422005}"/>
    <cellStyle name="메모 21" xfId="2521" xr:uid="{375EB310-D312-416F-AF22-0EB91B43B3FF}"/>
    <cellStyle name="메모 21 2" xfId="2522" xr:uid="{8ABC0D21-8872-466F-B5DD-18B2F90CC74C}"/>
    <cellStyle name="메모 21 2 2" xfId="3863" xr:uid="{1F4373D9-61E1-42FE-B64D-468F536E204E}"/>
    <cellStyle name="메모 21 2 3" xfId="4620" xr:uid="{D04B583C-8726-41C2-ACBD-C7D66B9494E3}"/>
    <cellStyle name="메모 21 3" xfId="3862" xr:uid="{5DBF68B3-80F4-4210-8F9F-778079DB9941}"/>
    <cellStyle name="메모 21 4" xfId="4621" xr:uid="{9EA6922D-09AA-4961-9C10-9F2F6F865BFD}"/>
    <cellStyle name="메모 22" xfId="2523" xr:uid="{FC30D3E0-3846-4F91-94CB-7C69FDDEF3AE}"/>
    <cellStyle name="메모 22 2" xfId="2524" xr:uid="{81D93C43-BBAC-4B32-A2C7-79C81D77216A}"/>
    <cellStyle name="메모 22 2 2" xfId="3865" xr:uid="{53EB7DAA-CC04-412E-B307-2E7A71A6514F}"/>
    <cellStyle name="메모 22 2 3" xfId="4618" xr:uid="{C9C67F18-4A7D-4CBF-B34F-F2B85E5694D3}"/>
    <cellStyle name="메모 22 3" xfId="3864" xr:uid="{3018FD4C-64E2-4A33-8366-84C646FD90BC}"/>
    <cellStyle name="메모 22 4" xfId="4619" xr:uid="{6EA069DB-AD6C-41CD-BB96-9CF0A1594487}"/>
    <cellStyle name="메모 23" xfId="2525" xr:uid="{1E564DAE-B807-4374-BA73-746E507CECEF}"/>
    <cellStyle name="메모 23 2" xfId="2526" xr:uid="{1C8F7D90-C298-4BDF-9800-11292622C25D}"/>
    <cellStyle name="메모 23 2 2" xfId="3867" xr:uid="{34CE7555-E9C4-4CBD-966F-4AE941CFE514}"/>
    <cellStyle name="메모 23 2 3" xfId="4616" xr:uid="{F5E5D7CB-AE25-487E-9314-6214757069CC}"/>
    <cellStyle name="메모 23 3" xfId="3866" xr:uid="{73150627-0C49-48FE-AE14-B3C59D3B8CF4}"/>
    <cellStyle name="메모 23 4" xfId="4617" xr:uid="{6B6FAB98-3A60-475A-AD06-C0CC85A7C4BF}"/>
    <cellStyle name="메모 24" xfId="2527" xr:uid="{57C470F0-D954-4413-83FF-428C33D71AEE}"/>
    <cellStyle name="메모 24 2" xfId="2528" xr:uid="{E0CD6EB7-AB64-414A-A49D-B41C4CA2F5CB}"/>
    <cellStyle name="메모 24 2 2" xfId="3869" xr:uid="{23E03EE5-2C94-4295-874B-AB8091FDAF7D}"/>
    <cellStyle name="메모 24 2 3" xfId="4614" xr:uid="{ABC6968F-B2FD-4204-B0BB-3A8753C5A557}"/>
    <cellStyle name="메모 24 3" xfId="3868" xr:uid="{7FB81200-78CD-4BC6-A35C-13A55FE16FB1}"/>
    <cellStyle name="메모 24 4" xfId="4615" xr:uid="{236A1C62-8322-4392-BF11-73D03BA421B4}"/>
    <cellStyle name="메모 25" xfId="2529" xr:uid="{CB646290-79EC-43D1-AD82-F1983DA591D7}"/>
    <cellStyle name="메모 25 2" xfId="2530" xr:uid="{E54B36C2-5019-4798-BDA3-6D0D39B723F1}"/>
    <cellStyle name="메모 25 2 2" xfId="3871" xr:uid="{123E0352-044F-458A-940B-47B48C250219}"/>
    <cellStyle name="메모 25 2 3" xfId="4612" xr:uid="{FAB2485D-C358-420F-A8E9-A3FB79DFD3DB}"/>
    <cellStyle name="메모 25 3" xfId="3870" xr:uid="{D1B1D783-829D-47BB-BAE6-9D9B0ACF2BB0}"/>
    <cellStyle name="메모 25 4" xfId="4613" xr:uid="{21DC54A8-4179-43A1-B385-108B63E196C5}"/>
    <cellStyle name="메모 26" xfId="2531" xr:uid="{42A06018-8EEB-4533-9E6B-D52E4C47BF6B}"/>
    <cellStyle name="메모 26 2" xfId="2532" xr:uid="{C7675F04-AF7B-4594-9203-0401CD4B3AFD}"/>
    <cellStyle name="메모 26 2 2" xfId="3873" xr:uid="{F1DFD98A-4CE2-4DF7-9CC6-3FBD66D0AD04}"/>
    <cellStyle name="메모 26 2 3" xfId="4649" xr:uid="{F7EBC336-DE05-4AD7-9DFE-E30D97BCE611}"/>
    <cellStyle name="메모 26 3" xfId="3872" xr:uid="{4691545D-8551-4C37-860C-1AA68EC7F5BC}"/>
    <cellStyle name="메모 26 4" xfId="4611" xr:uid="{04F1E0EA-C69A-4297-AB2F-D33C83D72F0B}"/>
    <cellStyle name="메모 27" xfId="2533" xr:uid="{F631DA0B-5FC2-4D50-9197-D11163F08905}"/>
    <cellStyle name="메모 27 2" xfId="2534" xr:uid="{A7D87D6A-6C1A-4B46-BB7A-9F6B10019E33}"/>
    <cellStyle name="메모 27 2 2" xfId="3875" xr:uid="{992E3907-8A61-4939-97A8-464EB1697A38}"/>
    <cellStyle name="메모 27 2 3" xfId="4564" xr:uid="{24DD3D2A-3090-4628-A181-E56E737CB7BC}"/>
    <cellStyle name="메모 27 3" xfId="3874" xr:uid="{68BBC2E9-0883-4AF9-BFE9-818D4B442607}"/>
    <cellStyle name="메모 27 4" xfId="4565" xr:uid="{C7B49941-8A9F-43A3-A74D-5834FD077466}"/>
    <cellStyle name="메모 28" xfId="2535" xr:uid="{CA13F64C-89F8-49D1-8780-540ABFD8FFE0}"/>
    <cellStyle name="메모 28 2" xfId="2536" xr:uid="{AC199E45-F280-49BD-A135-75DD418E4A04}"/>
    <cellStyle name="메모 28 2 2" xfId="3877" xr:uid="{6A35CA2B-FFC4-44FD-A822-8298493641DF}"/>
    <cellStyle name="메모 28 2 3" xfId="4610" xr:uid="{4B41D562-1DEA-4AD5-AD97-9B63121DFDCD}"/>
    <cellStyle name="메모 28 3" xfId="3876" xr:uid="{655443F9-8B17-434B-81A6-CE40DE3B69CD}"/>
    <cellStyle name="메모 28 4" xfId="4563" xr:uid="{3BEF6216-613A-4A78-9282-808ED4931941}"/>
    <cellStyle name="메모 29" xfId="2537" xr:uid="{30879032-8BE6-439F-8592-1DE26BF586FB}"/>
    <cellStyle name="메모 29 2" xfId="2538" xr:uid="{DE1895C7-0F74-4B3A-A466-B51C52681432}"/>
    <cellStyle name="메모 29 2 2" xfId="3879" xr:uid="{EB1B7BF8-42D5-498F-8BE2-E6F551ECAAC3}"/>
    <cellStyle name="메모 29 2 3" xfId="4608" xr:uid="{9B04C88C-4923-4B9E-AA5F-BD050051BCE2}"/>
    <cellStyle name="메모 29 3" xfId="3878" xr:uid="{145723EF-3FA7-455A-B5A0-60BCC11FCB5D}"/>
    <cellStyle name="메모 29 4" xfId="4609" xr:uid="{3EA313A1-B69D-4247-B109-532379A931F7}"/>
    <cellStyle name="메모 3" xfId="2539" xr:uid="{9754352F-7DA7-4DD5-A0F1-713FB5D8CD5B}"/>
    <cellStyle name="메모 3 2" xfId="2540" xr:uid="{83119ABD-E7BF-4E2B-BCD1-3DEB95003DAC}"/>
    <cellStyle name="메모 3 2 2" xfId="3881" xr:uid="{7E6F3F64-7201-4E80-AEAE-6118EC65EFC0}"/>
    <cellStyle name="메모 3 2 3" xfId="4606" xr:uid="{012D21FA-A070-4713-9903-6404C27996AC}"/>
    <cellStyle name="메모 3 3" xfId="3880" xr:uid="{A0373308-824F-46D5-A13F-FABD90892A80}"/>
    <cellStyle name="메모 3 4" xfId="4607" xr:uid="{EF2BCEE0-A07B-4EE9-A2A9-C085DA1CDE55}"/>
    <cellStyle name="메모 30" xfId="2541" xr:uid="{7EC969DA-55E9-4499-BA42-01F8C43890BE}"/>
    <cellStyle name="메모 30 2" xfId="2542" xr:uid="{A326BEC8-C678-4DA3-A01B-029B7F3DD4E1}"/>
    <cellStyle name="메모 30 2 2" xfId="3883" xr:uid="{469B8EC1-9AE3-4B47-B851-F6E0C269DC9F}"/>
    <cellStyle name="메모 30 2 3" xfId="4604" xr:uid="{2128E847-E0C9-417E-BEA6-AF85B9224FF5}"/>
    <cellStyle name="메모 30 3" xfId="3882" xr:uid="{14C735B2-64CB-4252-9873-57D238D7F643}"/>
    <cellStyle name="메모 30 4" xfId="4605" xr:uid="{3B640932-FAA5-4F06-93BB-E3975A966189}"/>
    <cellStyle name="메모 31" xfId="2543" xr:uid="{F2E7E7AC-38F6-4EFE-8ADB-3FE3C0FE1CDA}"/>
    <cellStyle name="메모 31 2" xfId="2544" xr:uid="{49A55766-EABC-46E5-B274-917D34C0D452}"/>
    <cellStyle name="메모 31 2 2" xfId="3885" xr:uid="{C6B298CD-0331-4477-9F32-9EE2C5735615}"/>
    <cellStyle name="메모 31 2 3" xfId="4602" xr:uid="{6396E228-61C7-4920-827B-C4F4B1EB796B}"/>
    <cellStyle name="메모 31 3" xfId="3884" xr:uid="{67CF12A2-A253-40CC-A1F8-0D4E91439278}"/>
    <cellStyle name="메모 31 4" xfId="4603" xr:uid="{7D78392B-0FDE-4B74-9081-810863BE9BEE}"/>
    <cellStyle name="메모 32" xfId="2545" xr:uid="{21CC15E4-023F-48D7-8574-B809277B78A4}"/>
    <cellStyle name="메모 32 2" xfId="2546" xr:uid="{498C28D0-F872-4A48-85F5-7F29A38DD846}"/>
    <cellStyle name="메모 32 2 2" xfId="3887" xr:uid="{B38F96B9-5116-4534-B9F7-971572D78A39}"/>
    <cellStyle name="메모 32 2 3" xfId="4600" xr:uid="{7E0FDE33-0993-4C3D-B9DB-F4921B4938BC}"/>
    <cellStyle name="메모 32 3" xfId="3886" xr:uid="{E7A5DCF8-D48D-4B27-8318-34CE4FA8C1B6}"/>
    <cellStyle name="메모 32 4" xfId="4601" xr:uid="{C0E28CDC-3CF6-42C4-8B24-CF63A8E10CF9}"/>
    <cellStyle name="메모 33" xfId="2547" xr:uid="{5D0D10C9-4CF9-4F40-B8A6-BBEDA20D1363}"/>
    <cellStyle name="메모 33 2" xfId="2548" xr:uid="{CCB75322-027D-41C8-8055-6978C4829F79}"/>
    <cellStyle name="메모 33 2 2" xfId="3889" xr:uid="{AD45C606-2322-43BF-9651-D415DAD6D798}"/>
    <cellStyle name="메모 33 2 3" xfId="4598" xr:uid="{BC4CA1F4-B155-4D99-8E9E-90AD5C4961BD}"/>
    <cellStyle name="메모 33 3" xfId="3888" xr:uid="{85FB5283-C2A1-41B9-B1D3-76BDC1E8E301}"/>
    <cellStyle name="메모 33 4" xfId="4599" xr:uid="{82E9E949-7EEC-424C-9368-894A973FBB3B}"/>
    <cellStyle name="메모 34" xfId="2549" xr:uid="{9C283119-5DC5-474F-A091-890B2E459DDB}"/>
    <cellStyle name="메모 34 2" xfId="2550" xr:uid="{E3EF5175-DCB3-4BF3-B744-31E51F0922F4}"/>
    <cellStyle name="메모 34 2 2" xfId="3891" xr:uid="{DE8D4052-9D48-4981-9D3E-F7DEF248773B}"/>
    <cellStyle name="메모 34 2 3" xfId="4596" xr:uid="{E561C487-864C-437A-9C55-63A5E818C7DB}"/>
    <cellStyle name="메모 34 3" xfId="3890" xr:uid="{860EEFF0-968E-4947-BDD9-6AA16F4332A2}"/>
    <cellStyle name="메모 34 4" xfId="4597" xr:uid="{84A9952B-009E-49E5-AD1A-4AA94654FC5D}"/>
    <cellStyle name="메모 35" xfId="2551" xr:uid="{30A5A104-F8FA-4BCB-B4C4-CF67D1BA320E}"/>
    <cellStyle name="메모 35 2" xfId="2552" xr:uid="{6BE407FA-5B49-431F-BE35-D7B98D5DB558}"/>
    <cellStyle name="메모 35 2 2" xfId="3893" xr:uid="{474523A6-04DE-4DD8-89D8-6A290AFA1C62}"/>
    <cellStyle name="메모 35 2 3" xfId="4594" xr:uid="{B5821353-6D3E-417C-B5E3-0465D438BEAA}"/>
    <cellStyle name="메모 35 3" xfId="3892" xr:uid="{DE0C2E58-11A0-4787-8914-8A455E5FF6B0}"/>
    <cellStyle name="메모 35 4" xfId="4595" xr:uid="{72093D3F-6F30-47A6-B563-C203F60AAB09}"/>
    <cellStyle name="메모 36" xfId="2553" xr:uid="{1416F266-5634-4F94-854E-B89F83294BC0}"/>
    <cellStyle name="메모 36 2" xfId="2554" xr:uid="{57F16559-FA25-49F0-9B6C-DEC7B8B11B33}"/>
    <cellStyle name="메모 36 2 2" xfId="3895" xr:uid="{CF42E808-12A9-426F-B701-DF153F6B9F3C}"/>
    <cellStyle name="메모 36 2 3" xfId="4592" xr:uid="{DDAD7A51-D81A-4A17-9F98-C530ADB0D71C}"/>
    <cellStyle name="메모 36 3" xfId="3894" xr:uid="{DFBE60D3-B754-4C34-82C7-20F1932DF1B5}"/>
    <cellStyle name="메모 36 4" xfId="4593" xr:uid="{D3529892-DB74-4F2F-B1B0-6751C492533A}"/>
    <cellStyle name="메모 37" xfId="2555" xr:uid="{3AECC58B-18CB-45B7-A0AB-33FDF975B358}"/>
    <cellStyle name="메모 37 2" xfId="2556" xr:uid="{CB1321F1-1252-4267-B8CA-D3B99962CBB3}"/>
    <cellStyle name="메모 37 2 2" xfId="3897" xr:uid="{48646AE4-DCCF-41F8-8450-48B0B6343C95}"/>
    <cellStyle name="메모 37 2 3" xfId="4590" xr:uid="{99338B10-51B9-43FF-98D0-1E67022D168E}"/>
    <cellStyle name="메모 37 3" xfId="3896" xr:uid="{AED629EC-6ADA-4CA0-92A1-F1EE63C0A518}"/>
    <cellStyle name="메모 37 4" xfId="4591" xr:uid="{173731D5-B787-49E2-B1BF-FF1702BB4DC4}"/>
    <cellStyle name="메모 38" xfId="2557" xr:uid="{1DF3048C-E851-4DDF-8626-9BB5571EBD85}"/>
    <cellStyle name="메모 38 2" xfId="2558" xr:uid="{DBF2C0BE-8C33-46E2-A425-7333DCD54522}"/>
    <cellStyle name="메모 38 2 2" xfId="3899" xr:uid="{D3D4B36E-8774-4D97-BE10-D7F67F9DE8D8}"/>
    <cellStyle name="메모 38 2 3" xfId="4588" xr:uid="{855B11CB-25A4-4D31-AD75-1BCC9E74981B}"/>
    <cellStyle name="메모 38 3" xfId="3898" xr:uid="{ED49673D-7E21-40A4-8E8F-C6E70509D846}"/>
    <cellStyle name="메모 38 4" xfId="4589" xr:uid="{F897219C-806E-41ED-BDBC-ABEAB50DAAD8}"/>
    <cellStyle name="메모 39" xfId="2559" xr:uid="{D0E105A2-C0FD-490E-AABA-9BF6B0B0FE38}"/>
    <cellStyle name="메모 39 2" xfId="2560" xr:uid="{5D971E2C-3075-4470-A720-BC52232EAF02}"/>
    <cellStyle name="메모 39 2 2" xfId="3901" xr:uid="{AD52E626-8F0C-406C-A2E8-E2C82894B7F2}"/>
    <cellStyle name="메모 39 2 3" xfId="4586" xr:uid="{AE46F351-D382-4E2D-9D66-49D51BB940BA}"/>
    <cellStyle name="메모 39 3" xfId="3900" xr:uid="{D9AC1A8C-4D2B-4983-ADED-F94368DFDA96}"/>
    <cellStyle name="메모 39 4" xfId="4587" xr:uid="{32D436AA-716F-43EE-A7A9-7CEC2EF53F92}"/>
    <cellStyle name="메모 4" xfId="2561" xr:uid="{3386F46B-73E8-4EB5-88D2-50A6EDB151E1}"/>
    <cellStyle name="메모 4 2" xfId="2562" xr:uid="{53BBC65F-FE8C-4829-AF7B-8EA0E7F3A5B6}"/>
    <cellStyle name="메모 4 2 2" xfId="3903" xr:uid="{F37BBBCD-486F-4873-B09C-3D763CD08A72}"/>
    <cellStyle name="메모 4 2 3" xfId="4584" xr:uid="{16E5B63F-1BD5-4F6D-B9C6-21E740C60901}"/>
    <cellStyle name="메모 4 3" xfId="3902" xr:uid="{904DDFB1-7DBC-4FCB-B3F4-27BC7B0DB4D2}"/>
    <cellStyle name="메모 4 4" xfId="4585" xr:uid="{9040F065-05CB-4979-B798-4A87E8CCBC06}"/>
    <cellStyle name="메모 40" xfId="2563" xr:uid="{9A43F9B2-D173-42EC-9E38-6E95A5BCB2B0}"/>
    <cellStyle name="메모 40 2" xfId="2564" xr:uid="{0DCA6624-9319-47CA-8122-F19F1D90B7E9}"/>
    <cellStyle name="메모 40 2 2" xfId="3905" xr:uid="{F5EBDAAA-9261-4554-9BFF-AE874C08CA20}"/>
    <cellStyle name="메모 40 2 3" xfId="4582" xr:uid="{E7D643C5-17D8-46D0-9A6B-3C809E042F16}"/>
    <cellStyle name="메모 40 3" xfId="3904" xr:uid="{AA3C5A44-D7D0-4612-9A1C-7F50B94E2FC8}"/>
    <cellStyle name="메모 40 4" xfId="4583" xr:uid="{AD940DB3-4CE4-448C-A58F-896C8F080490}"/>
    <cellStyle name="메모 41" xfId="2565" xr:uid="{EC07809C-209A-4209-9F2C-14AC203ED8FE}"/>
    <cellStyle name="메모 41 2" xfId="2566" xr:uid="{38923C81-40B0-4C99-B463-064C18D33365}"/>
    <cellStyle name="메모 41 2 2" xfId="3907" xr:uid="{06E06A55-39AB-46FC-B237-327575E20876}"/>
    <cellStyle name="메모 41 2 3" xfId="4580" xr:uid="{92A166E2-F660-46D7-B02D-F9B04F240430}"/>
    <cellStyle name="메모 41 3" xfId="3906" xr:uid="{F4941CE8-BAAB-4547-9C2D-717C040448FC}"/>
    <cellStyle name="메모 41 4" xfId="4581" xr:uid="{B87918EC-79A1-4BB4-A29E-35EF946D89B4}"/>
    <cellStyle name="메모 42" xfId="2567" xr:uid="{3B5217C6-D13E-480C-AC5E-BD0B4D2319BC}"/>
    <cellStyle name="메모 42 2" xfId="2568" xr:uid="{61EE74F2-EC10-4484-949E-D9508F66693F}"/>
    <cellStyle name="메모 42 2 2" xfId="3909" xr:uid="{12EBF147-90A6-4816-926A-188BC07D3E14}"/>
    <cellStyle name="메모 42 2 3" xfId="4578" xr:uid="{CB66EF8F-2441-49B2-A14F-2E32C737520D}"/>
    <cellStyle name="메모 42 3" xfId="3908" xr:uid="{6F653E50-906F-429D-9AF8-D279E6D0F690}"/>
    <cellStyle name="메모 42 4" xfId="4579" xr:uid="{2A1C1800-0A9B-451E-8E5E-A5295AB13ED7}"/>
    <cellStyle name="메모 43" xfId="2569" xr:uid="{E38E87DA-527E-4075-9307-32644282D605}"/>
    <cellStyle name="메모 43 2" xfId="2570" xr:uid="{29A76033-A2ED-42C4-B10F-E86AD6935551}"/>
    <cellStyle name="메모 43 2 2" xfId="3911" xr:uid="{C95453CD-35CC-42D5-86FB-E086FE380203}"/>
    <cellStyle name="메모 43 2 3" xfId="4644" xr:uid="{89501536-8190-4279-95A1-5F98BEC9AAF7}"/>
    <cellStyle name="메모 43 3" xfId="3910" xr:uid="{384B4624-7218-4BF4-AFC8-7BE1F78361D7}"/>
    <cellStyle name="메모 43 4" xfId="4577" xr:uid="{0498CB4C-06EB-4F76-8E33-892D1EFD8724}"/>
    <cellStyle name="메모 44" xfId="2571" xr:uid="{DB7A4646-388D-4C44-92C7-8725316B9786}"/>
    <cellStyle name="메모 44 2" xfId="3912" xr:uid="{1E734714-E533-4E5B-A568-1B231AAA7976}"/>
    <cellStyle name="메모 44 3" xfId="4643" xr:uid="{14C280EE-EBCB-4512-9781-9D3F5F1EE9F2}"/>
    <cellStyle name="메모 45" xfId="2572" xr:uid="{F2324F8F-3FB2-4043-8478-5A024CC56308}"/>
    <cellStyle name="메모 45 2" xfId="3913" xr:uid="{571070BA-DA71-4A92-BE6C-DB1802C40E8D}"/>
    <cellStyle name="메모 45 3" xfId="4642" xr:uid="{A808C348-925A-4757-BA72-34ABE9C0F78D}"/>
    <cellStyle name="메모 46" xfId="2573" xr:uid="{58FC2A61-4C44-4B79-87D3-DC5384E95C25}"/>
    <cellStyle name="메모 47" xfId="2574" xr:uid="{F598EF34-C6F3-4F05-A138-25C1EF2B8569}"/>
    <cellStyle name="메모 47 2" xfId="3914" xr:uid="{0AB34CE2-C334-4764-8B1A-AB318D4F6B15}"/>
    <cellStyle name="메모 47 3" xfId="4576" xr:uid="{E2F5C0CC-893B-49D2-B73C-C07FAF3938E9}"/>
    <cellStyle name="메모 48" xfId="2575" xr:uid="{DECFBDFC-64DF-4833-AE60-6518F1ACBFFA}"/>
    <cellStyle name="메모 48 2" xfId="3915" xr:uid="{0796EC3B-C144-4B46-A6A9-DF9D6114C5CF}"/>
    <cellStyle name="메모 49" xfId="2576" xr:uid="{E2AE5938-15F4-4377-8B6E-8B04D256D636}"/>
    <cellStyle name="메모 49 2" xfId="3916" xr:uid="{24A2AD6F-ED40-4297-B96E-893008109F99}"/>
    <cellStyle name="메모 5" xfId="2577" xr:uid="{7FEA8440-4259-4604-B8B0-CFFA5C6EE713}"/>
    <cellStyle name="메모 5 2" xfId="2578" xr:uid="{028CD91F-EA98-4B16-B983-DFD90790C6BB}"/>
    <cellStyle name="메모 5 2 2" xfId="3918" xr:uid="{AB282D32-2F7C-4A9E-8798-0325E1EB4305}"/>
    <cellStyle name="메모 5 2 3" xfId="4574" xr:uid="{B509D67B-2DB7-4A64-847A-01369383E490}"/>
    <cellStyle name="메모 5 3" xfId="3917" xr:uid="{03697C5A-02E6-44D3-B9CB-6B9E42AE1777}"/>
    <cellStyle name="메모 5 4" xfId="4575" xr:uid="{94EFCA74-73B7-447F-A4AB-E20626D8FF13}"/>
    <cellStyle name="메모 50" xfId="2579" xr:uid="{42BD3129-958B-4849-B97A-D6B59E87046E}"/>
    <cellStyle name="메모 50 2" xfId="3919" xr:uid="{4FC835EE-305C-45D7-A4D1-F5B6458CA355}"/>
    <cellStyle name="메모 51" xfId="2580" xr:uid="{0B547C80-A5C2-4C01-9E56-EC930EE4B72A}"/>
    <cellStyle name="메모 51 2" xfId="3920" xr:uid="{5FA8ABB0-1003-475F-9D21-A9DD1B4602B8}"/>
    <cellStyle name="메모 52" xfId="3811" xr:uid="{66671B7F-0BC1-4DD8-B261-8686F283DCFB}"/>
    <cellStyle name="메모 52 2" xfId="3929" xr:uid="{D22F3B92-C997-4553-A5FB-6BB524CBC541}"/>
    <cellStyle name="메모 52 2 2" xfId="4133" xr:uid="{E9751200-2566-4AA8-BC7E-3BC89500C0DC}"/>
    <cellStyle name="메모 52 2 2 2" xfId="4437" xr:uid="{5220884D-1271-4E29-9DB9-6B4399C8888B}"/>
    <cellStyle name="메모 52 2 3" xfId="4305" xr:uid="{FAD4562D-66C6-4F4F-AFF4-FC3D9A967253}"/>
    <cellStyle name="메모 52 3" xfId="4120" xr:uid="{7995BBEE-D2F1-42E8-8F3B-F401F0C1A004}"/>
    <cellStyle name="메모 52 3 2" xfId="4424" xr:uid="{D821723E-B972-49C5-B24E-058D98E8298D}"/>
    <cellStyle name="메모 52 4" xfId="4292" xr:uid="{7FACE778-9100-4220-A1CD-37D539613F68}"/>
    <cellStyle name="메모 53" xfId="3946" xr:uid="{5A566569-5160-4783-BA96-C21D6C16E5B0}"/>
    <cellStyle name="메모 53 2" xfId="4150" xr:uid="{1E76D97C-A724-4CD9-9FBA-C212D2E41766}"/>
    <cellStyle name="메모 53 2 2" xfId="4454" xr:uid="{8B917AB9-C435-4F01-9D89-836F3A59C598}"/>
    <cellStyle name="메모 53 3" xfId="4322" xr:uid="{185D707E-53D6-4080-9266-3C920425DC69}"/>
    <cellStyle name="메모 54" xfId="3975" xr:uid="{19EBE5B8-C8DF-44EB-B4D7-05710DE2A4FD}"/>
    <cellStyle name="메모 54 2" xfId="4166" xr:uid="{1A3781DE-D60F-4178-A376-2EC64F895A00}"/>
    <cellStyle name="메모 54 2 2" xfId="4470" xr:uid="{A05A91FC-0797-45CE-9E15-73D6F4B5BB47}"/>
    <cellStyle name="메모 54 3" xfId="4338" xr:uid="{0F7BB828-0998-4E2A-AF15-34751F7A8576}"/>
    <cellStyle name="메모 55" xfId="4004" xr:uid="{D1C6A8DF-8E8F-48E8-90A1-EFE3E2CE5F47}"/>
    <cellStyle name="메모 55 2" xfId="4180" xr:uid="{D5622471-3117-4553-9381-E79C0F44B599}"/>
    <cellStyle name="메모 55 2 2" xfId="4484" xr:uid="{38886221-6C9E-43AF-A2D9-2ED70A0F662D}"/>
    <cellStyle name="메모 55 3" xfId="4352" xr:uid="{D0D4E143-56F4-4BF8-909B-2F115C6AC69A}"/>
    <cellStyle name="메모 56" xfId="4018" xr:uid="{F76F2EBE-D3CD-4757-8A8F-A01EDAE6FF22}"/>
    <cellStyle name="메모 56 2" xfId="4194" xr:uid="{49F657E7-F748-4DF6-9E6D-AE3B02796A67}"/>
    <cellStyle name="메모 56 2 2" xfId="4498" xr:uid="{BDC91CC3-7B69-4EED-8EAC-DE9D4CC30259}"/>
    <cellStyle name="메모 56 3" xfId="4366" xr:uid="{EE2207F2-AB3F-4DB4-AAEA-B712D5A65121}"/>
    <cellStyle name="메모 57" xfId="4032" xr:uid="{0B293C1D-5A16-42F5-B160-47218E52E501}"/>
    <cellStyle name="메모 57 2" xfId="4208" xr:uid="{2AD3DA21-3D8B-427F-A6D2-F05D757344F8}"/>
    <cellStyle name="메모 57 2 2" xfId="4512" xr:uid="{2EF45A3B-4B48-4A59-BFC5-BC051A9997F9}"/>
    <cellStyle name="메모 57 3" xfId="4380" xr:uid="{E9C2B43E-86BE-4427-AFDF-87B541952B13}"/>
    <cellStyle name="메모 58" xfId="4047" xr:uid="{7A5DA058-C94F-41B9-A782-125EF50F5165}"/>
    <cellStyle name="메모 58 2" xfId="4222" xr:uid="{7DF3199C-3AD0-46D4-9672-27F645BA2078}"/>
    <cellStyle name="메모 58 2 2" xfId="4526" xr:uid="{B0C0D9CA-B732-4277-B84E-2252293080F9}"/>
    <cellStyle name="메모 58 3" xfId="4394" xr:uid="{823C1FFC-A3F6-44EF-AF63-1B8E39FF6DA3}"/>
    <cellStyle name="메모 59" xfId="4061" xr:uid="{6720660D-6DDB-459F-AED9-464879D1A023}"/>
    <cellStyle name="메모 59 2" xfId="4408" xr:uid="{82FDC5C6-7821-4C22-8806-DF18AAAB61DD}"/>
    <cellStyle name="메모 6" xfId="2581" xr:uid="{63A6D5CF-F38B-4470-9397-24C87264A93B}"/>
    <cellStyle name="메모 6 2" xfId="2582" xr:uid="{1573FC90-BAD7-4DF3-8B8F-1DF66666017B}"/>
    <cellStyle name="메모 6 2 2" xfId="3922" xr:uid="{26A3AE52-1782-4F55-B2FB-FB20D61DADFF}"/>
    <cellStyle name="메모 6 2 3" xfId="4572" xr:uid="{295DA19C-F2CC-4225-99E0-C76D9E342702}"/>
    <cellStyle name="메모 6 3" xfId="3921" xr:uid="{636B39E1-5DEA-4CF8-A32D-C0FA27E3425B}"/>
    <cellStyle name="메모 6 4" xfId="4573" xr:uid="{9AB777DB-4F80-4D1F-BF03-54B213CC14EC}"/>
    <cellStyle name="메모 60" xfId="4105" xr:uid="{4708EA4B-0439-4678-85E1-28E33D0C4EC6}"/>
    <cellStyle name="메모 61" xfId="4277" xr:uid="{D1B8B152-3DF5-4B3F-A9DB-BCA36A341068}"/>
    <cellStyle name="메모 62" xfId="2496" xr:uid="{DD7FB09D-823C-4744-8F93-A0DBF1018DFE}"/>
    <cellStyle name="메모 7" xfId="2583" xr:uid="{55832403-6C57-4588-BDA3-07AD3464356E}"/>
    <cellStyle name="메모 7 2" xfId="2584" xr:uid="{BE283BF1-DA4D-484A-8B7B-EF927059BBA8}"/>
    <cellStyle name="메모 7 2 2" xfId="3924" xr:uid="{D06FF78D-2F59-4CF9-8F0C-748640EBB9ED}"/>
    <cellStyle name="메모 7 2 3" xfId="4570" xr:uid="{C2D99E03-FC27-4E74-8BAB-C72CA299A714}"/>
    <cellStyle name="메모 7 3" xfId="3923" xr:uid="{5B118F19-6BAD-4713-B112-CE47B65BFCCD}"/>
    <cellStyle name="메모 7 4" xfId="4571" xr:uid="{D1F12DB9-E02F-442F-8D79-616DCEC37CF7}"/>
    <cellStyle name="메모 8" xfId="2585" xr:uid="{20049C60-0BF3-4A08-8F54-C6C256AD5116}"/>
    <cellStyle name="메모 8 2" xfId="2586" xr:uid="{B24D5278-ACDF-4CB0-B441-9E156140D626}"/>
    <cellStyle name="메모 8 2 2" xfId="3926" xr:uid="{DE477F24-66BC-424E-B3E0-9765F2F4B17F}"/>
    <cellStyle name="메모 8 2 3" xfId="4568" xr:uid="{8E1E9409-A1FE-437F-BFD6-F83A668B4497}"/>
    <cellStyle name="메모 8 3" xfId="3925" xr:uid="{E35C106B-40F3-42F9-9230-88AE74B96EA4}"/>
    <cellStyle name="메모 8 4" xfId="4569" xr:uid="{7889B036-78BB-4008-98B0-BF4744E578C5}"/>
    <cellStyle name="메모 9" xfId="2587" xr:uid="{2AB5AC09-BDCD-4C4B-88C5-A75657E9A098}"/>
    <cellStyle name="메모 9 2" xfId="2588" xr:uid="{ACFE91F4-A60D-4876-BE0F-C218E9B98417}"/>
    <cellStyle name="메모 9 2 2" xfId="3928" xr:uid="{D06D48C9-3CE9-45E2-88D2-6FE22B2FA144}"/>
    <cellStyle name="메모 9 2 3" xfId="4566" xr:uid="{468E93A8-939A-45D2-8BF4-C365E321DCE9}"/>
    <cellStyle name="메모 9 3" xfId="3927" xr:uid="{BFE465AD-F07B-46B3-A784-0EE508D84DA9}"/>
    <cellStyle name="메모 9 4" xfId="4567" xr:uid="{D3DCABED-DCB5-4EED-B2EE-512A7D023386}"/>
    <cellStyle name="백분율" xfId="8" builtinId="5"/>
    <cellStyle name="보통 10" xfId="2590" xr:uid="{ABAB9D6A-A6FA-44E9-85E8-BA90C66BA345}"/>
    <cellStyle name="보통 10 2" xfId="2591" xr:uid="{5E2E733F-4394-4B7C-BF8F-49C1BAFF5A7D}"/>
    <cellStyle name="보통 11" xfId="2592" xr:uid="{1BD49096-8D3D-4645-A775-93DB6042D7E4}"/>
    <cellStyle name="보통 11 2" xfId="2593" xr:uid="{2B8ABA61-30AE-424C-9514-8C596055FA55}"/>
    <cellStyle name="보통 12" xfId="2594" xr:uid="{B334B101-F58E-4A45-A253-4B973516DA45}"/>
    <cellStyle name="보통 12 2" xfId="2595" xr:uid="{935F6DA3-640A-4CE3-ADED-BED9DA043017}"/>
    <cellStyle name="보통 13" xfId="2596" xr:uid="{A926D613-F97C-4A51-A6A3-FB7CE96C34FF}"/>
    <cellStyle name="보통 13 2" xfId="2597" xr:uid="{A5105072-9BD0-49AA-94E3-32CE996542C9}"/>
    <cellStyle name="보통 14" xfId="2598" xr:uid="{0D3FE790-DA99-4D3B-8C97-9D5F530F34FA}"/>
    <cellStyle name="보통 14 2" xfId="2599" xr:uid="{38747827-71FC-45D1-9D8B-AE7A49BB52D5}"/>
    <cellStyle name="보통 15" xfId="2600" xr:uid="{63C263B7-0101-485B-9F62-26224B1B8F08}"/>
    <cellStyle name="보통 15 2" xfId="2601" xr:uid="{FBE30068-AE9D-4D41-B633-689D0A151E61}"/>
    <cellStyle name="보통 16" xfId="2602" xr:uid="{F85B6B50-C486-4491-8F05-9225DDBC886A}"/>
    <cellStyle name="보통 16 2" xfId="2603" xr:uid="{70397ED1-1949-4E17-A941-C0A66051D346}"/>
    <cellStyle name="보통 17" xfId="2604" xr:uid="{2F2E0963-F5F7-441E-AB2A-246D4B0BDBE4}"/>
    <cellStyle name="보통 17 2" xfId="2605" xr:uid="{06865FF1-F871-44BB-ADBE-A5F4C177BF5F}"/>
    <cellStyle name="보통 18" xfId="2606" xr:uid="{95858355-5DC1-4FA5-BAB3-60F2A952DB24}"/>
    <cellStyle name="보통 18 2" xfId="2607" xr:uid="{4942CEDA-AF25-4170-9938-ECCC81E9A42E}"/>
    <cellStyle name="보통 19" xfId="2608" xr:uid="{3049F91C-4D6D-4D1A-8ACE-23B7C37EFEA3}"/>
    <cellStyle name="보통 19 2" xfId="2609" xr:uid="{9927E7E3-4112-486B-BC79-349BBBB60D91}"/>
    <cellStyle name="보통 2" xfId="2610" xr:uid="{422B247F-A66C-4D67-8620-6CC224A415C6}"/>
    <cellStyle name="보통 2 2" xfId="2611" xr:uid="{B022DEC5-6EC0-4A8A-91B9-060A7E306241}"/>
    <cellStyle name="보통 20" xfId="2612" xr:uid="{8D797E16-0A98-4DC8-B40C-17ED5E7837DE}"/>
    <cellStyle name="보통 20 2" xfId="2613" xr:uid="{63E74448-45E2-4597-B42D-D27B6F819B83}"/>
    <cellStyle name="보통 21" xfId="2614" xr:uid="{DD990EE7-370A-4472-809C-7C60A257B139}"/>
    <cellStyle name="보통 21 2" xfId="2615" xr:uid="{D1D9CB6B-4FDC-493F-B397-FBBCFBA26CEA}"/>
    <cellStyle name="보통 22" xfId="2616" xr:uid="{529F704D-1A7F-406B-B09C-003027E5FB38}"/>
    <cellStyle name="보통 22 2" xfId="2617" xr:uid="{C07E7054-FC30-4543-BAD9-430CAFD0B552}"/>
    <cellStyle name="보통 23" xfId="2618" xr:uid="{CB04075B-A32C-4EE3-AC42-2A0E5D7779EA}"/>
    <cellStyle name="보통 23 2" xfId="2619" xr:uid="{5E7DC2B0-A217-4D92-AE20-E70D6937FC0C}"/>
    <cellStyle name="보통 24" xfId="2620" xr:uid="{2E995A38-8756-4FBC-8622-59279B8A473A}"/>
    <cellStyle name="보통 24 2" xfId="2621" xr:uid="{81D07C16-D00F-42B0-AF0B-39CE54E00E29}"/>
    <cellStyle name="보통 25" xfId="2622" xr:uid="{25836352-8BA0-45CF-883F-AF42DDB0820F}"/>
    <cellStyle name="보통 25 2" xfId="2623" xr:uid="{85B224EA-9E93-412B-9593-A8A7258A9F97}"/>
    <cellStyle name="보통 26" xfId="2624" xr:uid="{83452FB6-303F-4E7A-A9E4-D3818A122B6F}"/>
    <cellStyle name="보통 26 2" xfId="2625" xr:uid="{013DF929-C90F-4296-B25E-E20436FA3FCE}"/>
    <cellStyle name="보통 27" xfId="2626" xr:uid="{628FE84D-68A8-49EA-AA2F-5A89826FF032}"/>
    <cellStyle name="보통 27 2" xfId="2627" xr:uid="{CAFBE19C-FA0B-4DCA-B10B-0A6852FDB812}"/>
    <cellStyle name="보통 28" xfId="2628" xr:uid="{EDC6F8D6-A8D6-4C2B-AC05-31E9430114F0}"/>
    <cellStyle name="보통 28 2" xfId="2629" xr:uid="{E2983CB6-AF34-43A7-A945-0BB4B5BE9C99}"/>
    <cellStyle name="보통 29" xfId="2630" xr:uid="{C4CD59DA-C7CC-4FEF-8883-6AB180827191}"/>
    <cellStyle name="보통 29 2" xfId="2631" xr:uid="{796F6568-82E1-467B-8A1C-DBF0396779F0}"/>
    <cellStyle name="보통 3" xfId="2632" xr:uid="{4F9C5774-047F-477F-A62F-E4C65CEB8CA0}"/>
    <cellStyle name="보통 3 2" xfId="2633" xr:uid="{A6BB6906-C676-429C-AE74-654C66DE9A6E}"/>
    <cellStyle name="보통 30" xfId="2634" xr:uid="{F811E357-B3E0-473B-A7CA-FBBD35977A50}"/>
    <cellStyle name="보통 30 2" xfId="2635" xr:uid="{4D9384E2-66E2-406E-88F3-BD505C2906D7}"/>
    <cellStyle name="보통 31" xfId="2636" xr:uid="{BCF023FD-E825-40B1-8176-335ECC8B542B}"/>
    <cellStyle name="보통 31 2" xfId="2637" xr:uid="{989A483F-BE30-465C-996B-42A1B63F0839}"/>
    <cellStyle name="보통 32" xfId="2638" xr:uid="{3AA5AC4E-C33F-462C-AE82-2170C0B055EF}"/>
    <cellStyle name="보통 32 2" xfId="2639" xr:uid="{0F3B5F84-B381-41D4-A502-269698DF7FF3}"/>
    <cellStyle name="보통 33" xfId="2640" xr:uid="{9251DFDA-D8EE-4767-A2C1-EB70611DA738}"/>
    <cellStyle name="보통 33 2" xfId="2641" xr:uid="{96E5E363-7EDC-433A-80F3-D9ACE21E0D0C}"/>
    <cellStyle name="보통 34" xfId="2642" xr:uid="{B51E8C94-74E9-438A-8547-7F28DE320DD8}"/>
    <cellStyle name="보통 34 2" xfId="2643" xr:uid="{5CE8BFED-FEFE-4726-9CC1-47E91975DA93}"/>
    <cellStyle name="보통 35" xfId="2644" xr:uid="{A4D103EB-D534-40C3-B763-02C926869417}"/>
    <cellStyle name="보통 35 2" xfId="2645" xr:uid="{D2E2E0E6-C460-49C4-B2F2-58417E0E900F}"/>
    <cellStyle name="보통 36" xfId="2646" xr:uid="{9DEDAE17-D438-4325-A156-132B08026C53}"/>
    <cellStyle name="보통 36 2" xfId="2647" xr:uid="{6777BFA5-B968-4F8D-AD6C-540134FCA157}"/>
    <cellStyle name="보통 37" xfId="2648" xr:uid="{95ADA518-0297-4764-A553-C20AFD6FCF1F}"/>
    <cellStyle name="보통 37 2" xfId="2649" xr:uid="{B7A9ED62-0BFA-40C7-A7B1-B05CBAA4A672}"/>
    <cellStyle name="보통 38" xfId="2650" xr:uid="{35CFE5C3-66AB-4724-B1B0-F2A10C047DAB}"/>
    <cellStyle name="보통 38 2" xfId="2651" xr:uid="{F6B69CA4-F271-488A-AEE9-DA8BD8D49232}"/>
    <cellStyle name="보통 39" xfId="2652" xr:uid="{65F11CCB-0713-40E7-9912-CFBF1134D939}"/>
    <cellStyle name="보통 39 2" xfId="2653" xr:uid="{E320EB92-3766-4197-AA8A-CCF4642BDA09}"/>
    <cellStyle name="보통 4" xfId="2654" xr:uid="{A90C710D-1025-49D8-8816-B8D34066473C}"/>
    <cellStyle name="보통 4 2" xfId="2655" xr:uid="{B8424961-8667-43C4-94DC-27238E467594}"/>
    <cellStyle name="보통 40" xfId="2656" xr:uid="{4205AA6B-8194-4D1A-98DC-5C65F6603D55}"/>
    <cellStyle name="보통 40 2" xfId="2657" xr:uid="{F5C8A624-C0AE-4CD1-9627-181A7CDB58A3}"/>
    <cellStyle name="보통 41" xfId="2658" xr:uid="{0A4944D1-B358-4DA5-A27F-49CD55986734}"/>
    <cellStyle name="보통 41 2" xfId="2659" xr:uid="{54E9FA61-6CA3-44D5-A8DD-CECA45787B1C}"/>
    <cellStyle name="보통 42" xfId="2660" xr:uid="{6B5DDD0B-D63B-4C3A-BCED-DA0D38740CDB}"/>
    <cellStyle name="보통 42 2" xfId="2661" xr:uid="{C22BC669-6EE2-4011-AC03-BA98AD101E23}"/>
    <cellStyle name="보통 43" xfId="2662" xr:uid="{69274456-6D79-45DD-BF37-3B2563D8D012}"/>
    <cellStyle name="보통 43 2" xfId="2663" xr:uid="{43083141-C423-4401-99DF-6ACF82B682C3}"/>
    <cellStyle name="보통 44" xfId="2664" xr:uid="{252D8767-CCD2-4F16-B332-B5F02972D5DC}"/>
    <cellStyle name="보통 45" xfId="2665" xr:uid="{E3211F41-9198-4099-8E3E-B6B095CAEE46}"/>
    <cellStyle name="보통 46" xfId="2666" xr:uid="{167FED9B-CE62-4166-98A3-1290B6D3C7B4}"/>
    <cellStyle name="보통 47" xfId="2667" xr:uid="{98487B3C-FF1E-4762-AAB9-03E64D8F2F5D}"/>
    <cellStyle name="보통 48" xfId="2668" xr:uid="{43EED4D4-CE54-47A3-919B-3E230EDFADAA}"/>
    <cellStyle name="보통 49" xfId="2669" xr:uid="{7F1BC927-3B4D-42A6-9DBA-8B42EA153966}"/>
    <cellStyle name="보통 5" xfId="2670" xr:uid="{59DE22D1-CB88-4E36-B84A-93E82C376E3B}"/>
    <cellStyle name="보통 5 2" xfId="2671" xr:uid="{059B95D2-10A7-480B-A5CB-A44D9DF20404}"/>
    <cellStyle name="보통 50" xfId="2672" xr:uid="{D5866D6D-A9DF-41E7-88B3-33935F65C053}"/>
    <cellStyle name="보통 51" xfId="3804" xr:uid="{2D2C6144-AE3F-4351-9C0C-B7A6755F19F5}"/>
    <cellStyle name="보통 52" xfId="3968" xr:uid="{B033F3F4-9323-4225-BCFD-1BC9F0BE541A}"/>
    <cellStyle name="보통 53" xfId="4106" xr:uid="{FE4EE1B3-9F1A-405B-90CA-A2AA21549821}"/>
    <cellStyle name="보통 54" xfId="4278" xr:uid="{397C0065-1300-4C7B-AB3E-ACACED52A868}"/>
    <cellStyle name="보통 55" xfId="2589" xr:uid="{DA431909-286B-4AE1-B877-32ABD7AD6062}"/>
    <cellStyle name="보통 6" xfId="2673" xr:uid="{48EAFA79-4B72-4230-A937-09503F5F5EE1}"/>
    <cellStyle name="보통 6 2" xfId="2674" xr:uid="{B8DB9EB1-10AD-40A9-9081-0F10B60590A4}"/>
    <cellStyle name="보통 7" xfId="2675" xr:uid="{6584316C-F9D9-453F-AEC6-C9C59A3BCA0D}"/>
    <cellStyle name="보통 7 2" xfId="2676" xr:uid="{226569A5-FA72-4391-9DE8-CF0B11CEF396}"/>
    <cellStyle name="보통 8" xfId="2677" xr:uid="{1627F267-B254-4BA9-826D-3406CFAD2ABB}"/>
    <cellStyle name="보통 8 2" xfId="2678" xr:uid="{2927BC48-4E02-43AB-ABDE-0AB8EB52FFD1}"/>
    <cellStyle name="보통 9" xfId="2679" xr:uid="{C010D2E2-7515-4B87-B421-E635D8BEBB22}"/>
    <cellStyle name="보통 9 2" xfId="2680" xr:uid="{C709EBC5-BB8E-4B04-A9A7-7C745E82967C}"/>
    <cellStyle name="설명 텍스트 10" xfId="2682" xr:uid="{43193CFF-1C5C-4526-87E3-338262689BD0}"/>
    <cellStyle name="설명 텍스트 10 2" xfId="2683" xr:uid="{35E87534-A264-4146-BCEC-8F1A63EFD309}"/>
    <cellStyle name="설명 텍스트 11" xfId="2684" xr:uid="{BB69BF7D-7F2C-4789-A27A-2E1C300F44A2}"/>
    <cellStyle name="설명 텍스트 11 2" xfId="2685" xr:uid="{FB52E17C-EA96-44A5-A855-1AD039E69626}"/>
    <cellStyle name="설명 텍스트 12" xfId="2686" xr:uid="{B8B77641-1020-4DCC-8560-853B4872A957}"/>
    <cellStyle name="설명 텍스트 12 2" xfId="2687" xr:uid="{612FB762-0105-4447-B0B6-914FA6C4DCEA}"/>
    <cellStyle name="설명 텍스트 13" xfId="2688" xr:uid="{2509DFC4-3F12-4FF0-B898-4E137320A53D}"/>
    <cellStyle name="설명 텍스트 13 2" xfId="2689" xr:uid="{50395F40-48CC-42DD-9C11-3CFC0FF43216}"/>
    <cellStyle name="설명 텍스트 14" xfId="2690" xr:uid="{4C5D929E-AB29-4E43-8713-134919D98A22}"/>
    <cellStyle name="설명 텍스트 14 2" xfId="2691" xr:uid="{D7D54EA2-75CE-4145-AFA7-BBFD353C50B0}"/>
    <cellStyle name="설명 텍스트 15" xfId="2692" xr:uid="{4CFE26DB-B1BE-4C66-A7D1-16BE0A46D0DA}"/>
    <cellStyle name="설명 텍스트 15 2" xfId="2693" xr:uid="{06942764-46E8-40E9-8712-B82CA4D801DE}"/>
    <cellStyle name="설명 텍스트 16" xfId="2694" xr:uid="{CDE6AE95-B355-4825-BB00-ACBE4C47D182}"/>
    <cellStyle name="설명 텍스트 16 2" xfId="2695" xr:uid="{589A4500-0408-4EE4-915F-C1210C0D1837}"/>
    <cellStyle name="설명 텍스트 17" xfId="2696" xr:uid="{11F42917-8A39-4D84-AC57-2EB1AD5CEC10}"/>
    <cellStyle name="설명 텍스트 17 2" xfId="2697" xr:uid="{20C80E8F-A769-45BD-AFB9-8D353FB503FD}"/>
    <cellStyle name="설명 텍스트 18" xfId="2698" xr:uid="{6D9BD01B-9350-4CE2-B02F-86BBECE5C091}"/>
    <cellStyle name="설명 텍스트 18 2" xfId="2699" xr:uid="{929B6992-70FA-40C8-88A2-B60F5F4B5F53}"/>
    <cellStyle name="설명 텍스트 19" xfId="2700" xr:uid="{6572E65A-C64D-479B-A95F-E767185DC340}"/>
    <cellStyle name="설명 텍스트 19 2" xfId="2701" xr:uid="{451BCF82-0C93-40B3-B161-2DEF7A8400A3}"/>
    <cellStyle name="설명 텍스트 2" xfId="2702" xr:uid="{A8DB288A-3A37-4446-90E6-34F6F0C51615}"/>
    <cellStyle name="설명 텍스트 2 2" xfId="2703" xr:uid="{4E9AC26E-B80B-4F61-B50A-913FED566715}"/>
    <cellStyle name="설명 텍스트 20" xfId="2704" xr:uid="{711617FF-DDEA-4EB1-A670-5E045DCE5B12}"/>
    <cellStyle name="설명 텍스트 20 2" xfId="2705" xr:uid="{5539B018-63C0-488D-BDDC-3559089FB66E}"/>
    <cellStyle name="설명 텍스트 21" xfId="2706" xr:uid="{64837EE3-AFAB-41BB-98E9-73A3D19F26A0}"/>
    <cellStyle name="설명 텍스트 21 2" xfId="2707" xr:uid="{FCD5B624-18C2-4FCF-8D4F-0F9D25FAFDC3}"/>
    <cellStyle name="설명 텍스트 22" xfId="2708" xr:uid="{EBBD0932-47B6-4A93-B2E0-6B91930390AF}"/>
    <cellStyle name="설명 텍스트 22 2" xfId="2709" xr:uid="{CB7C93EB-9E73-48C5-A51E-D0642EA66369}"/>
    <cellStyle name="설명 텍스트 23" xfId="2710" xr:uid="{BF05F42E-4FFC-459D-8749-C6629BECA9DD}"/>
    <cellStyle name="설명 텍스트 23 2" xfId="2711" xr:uid="{6D9A1954-4CCB-40AF-A8D8-40748501BC97}"/>
    <cellStyle name="설명 텍스트 24" xfId="2712" xr:uid="{C1B5A686-865F-420F-90EE-C31F688B5528}"/>
    <cellStyle name="설명 텍스트 24 2" xfId="2713" xr:uid="{E37D7A3D-DD04-4223-8882-C68F89E1A35B}"/>
    <cellStyle name="설명 텍스트 25" xfId="2714" xr:uid="{79FCBC9F-58FD-4551-B91F-2D3E13160355}"/>
    <cellStyle name="설명 텍스트 25 2" xfId="2715" xr:uid="{6389C19F-096F-44E4-A26E-8DFCC35E079B}"/>
    <cellStyle name="설명 텍스트 26" xfId="2716" xr:uid="{11984F1A-8424-4F50-A662-AFFC60881C7D}"/>
    <cellStyle name="설명 텍스트 26 2" xfId="2717" xr:uid="{09D57E01-0D99-43F0-9EE9-B06DC2590D3C}"/>
    <cellStyle name="설명 텍스트 27" xfId="2718" xr:uid="{C3B9B571-B601-4C3F-B26A-B30704B6FB8F}"/>
    <cellStyle name="설명 텍스트 27 2" xfId="2719" xr:uid="{6C6E0358-DEAE-46DF-A0F6-769D07B6E42B}"/>
    <cellStyle name="설명 텍스트 28" xfId="2720" xr:uid="{2649E591-0CB0-440D-8199-CA6734148AFC}"/>
    <cellStyle name="설명 텍스트 28 2" xfId="2721" xr:uid="{9DB26ED5-BC79-48E8-8C42-6D492005A75D}"/>
    <cellStyle name="설명 텍스트 29" xfId="2722" xr:uid="{144D1C46-B413-4589-91D6-2E0EBBEE4AFE}"/>
    <cellStyle name="설명 텍스트 29 2" xfId="2723" xr:uid="{D4F8BC3B-0765-4042-B772-F9ADD9145D64}"/>
    <cellStyle name="설명 텍스트 3" xfId="2724" xr:uid="{37F57D9D-5FC5-4B31-AFF8-105EFB272E4B}"/>
    <cellStyle name="설명 텍스트 3 2" xfId="2725" xr:uid="{CD357FFB-7CC1-4638-B3DB-672B089FE67F}"/>
    <cellStyle name="설명 텍스트 30" xfId="2726" xr:uid="{050220A4-7A42-4D00-B3C3-8050951C22FD}"/>
    <cellStyle name="설명 텍스트 30 2" xfId="2727" xr:uid="{039C2D22-DFCE-42CF-A832-6D3A76C7693E}"/>
    <cellStyle name="설명 텍스트 31" xfId="2728" xr:uid="{47A407D8-B4FF-47D4-A2CD-32BAA047FF86}"/>
    <cellStyle name="설명 텍스트 31 2" xfId="2729" xr:uid="{DF9E091C-16D7-49ED-902B-E5F72B601FB5}"/>
    <cellStyle name="설명 텍스트 32" xfId="2730" xr:uid="{9F8FDC0A-100D-4834-AF06-093112F8DAE8}"/>
    <cellStyle name="설명 텍스트 32 2" xfId="2731" xr:uid="{397999D8-FE36-4B1F-8E47-2A64A5E59E05}"/>
    <cellStyle name="설명 텍스트 33" xfId="2732" xr:uid="{4A17312C-FA82-46B3-A210-EE785D40174F}"/>
    <cellStyle name="설명 텍스트 33 2" xfId="2733" xr:uid="{224EEBA7-082D-420D-9BCF-0F300235EDC4}"/>
    <cellStyle name="설명 텍스트 34" xfId="2734" xr:uid="{4B05183D-DF60-4C22-9E5F-6A504D07D812}"/>
    <cellStyle name="설명 텍스트 34 2" xfId="2735" xr:uid="{7DB39527-1880-4FAF-A5DB-6BDD0F502AD3}"/>
    <cellStyle name="설명 텍스트 35" xfId="2736" xr:uid="{DEEC9234-CA7B-436E-AB5D-387DD75EC47D}"/>
    <cellStyle name="설명 텍스트 35 2" xfId="2737" xr:uid="{0C897F8E-5761-4EA2-B448-5C703BCC0893}"/>
    <cellStyle name="설명 텍스트 36" xfId="2738" xr:uid="{B93880F8-13AE-468A-A7F3-4E0EF56F62E2}"/>
    <cellStyle name="설명 텍스트 36 2" xfId="2739" xr:uid="{DD63FC10-1EE4-4BD4-8586-F2311C813BA4}"/>
    <cellStyle name="설명 텍스트 37" xfId="2740" xr:uid="{4C5EAF24-C24A-45D9-940A-67C1843CF022}"/>
    <cellStyle name="설명 텍스트 37 2" xfId="2741" xr:uid="{C408FBB2-4E9A-4377-AE3E-E624C5F9D9F8}"/>
    <cellStyle name="설명 텍스트 38" xfId="2742" xr:uid="{6E59F972-F295-4296-AB07-5DCC927B3698}"/>
    <cellStyle name="설명 텍스트 38 2" xfId="2743" xr:uid="{BFA1B416-EBE9-428B-BB58-95FC9A63CDB8}"/>
    <cellStyle name="설명 텍스트 39" xfId="2744" xr:uid="{FB560B39-D03C-4B03-AFB7-FB573817E042}"/>
    <cellStyle name="설명 텍스트 39 2" xfId="2745" xr:uid="{EE624014-A7B9-4DAD-8213-641DE4CBDA82}"/>
    <cellStyle name="설명 텍스트 4" xfId="2746" xr:uid="{ADE25910-7FC4-44E1-AF99-B0753CCA1D90}"/>
    <cellStyle name="설명 텍스트 4 2" xfId="2747" xr:uid="{1584B1B9-35E8-4C90-93D9-B62107EDA8A2}"/>
    <cellStyle name="설명 텍스트 40" xfId="2748" xr:uid="{6F02079F-3447-4393-A9B5-605D90B7EEDD}"/>
    <cellStyle name="설명 텍스트 40 2" xfId="2749" xr:uid="{12E75C6E-21E2-40EA-897E-61BC1FB933BF}"/>
    <cellStyle name="설명 텍스트 41" xfId="2750" xr:uid="{63CB8C28-5AEE-4910-A129-CCBAEF699838}"/>
    <cellStyle name="설명 텍스트 41 2" xfId="2751" xr:uid="{31B6379D-3023-423A-82B3-A93B32EC83BD}"/>
    <cellStyle name="설명 텍스트 42" xfId="2752" xr:uid="{1C7771CF-2595-40E0-AF20-DABA54C27811}"/>
    <cellStyle name="설명 텍스트 42 2" xfId="2753" xr:uid="{1A26FEFC-B587-43E7-924E-F075168FEAC1}"/>
    <cellStyle name="설명 텍스트 43" xfId="2754" xr:uid="{AECE33A5-2249-40A3-9426-FF3FA784941A}"/>
    <cellStyle name="설명 텍스트 43 2" xfId="2755" xr:uid="{21717474-FD41-4284-A3EF-B3F9D49C2C10}"/>
    <cellStyle name="설명 텍스트 44" xfId="2756" xr:uid="{952C712F-74F2-4BB1-9259-BE7BF6A85F95}"/>
    <cellStyle name="설명 텍스트 45" xfId="2757" xr:uid="{937B3F91-91DB-4BFA-A316-D69640A1DA3C}"/>
    <cellStyle name="설명 텍스트 46" xfId="2758" xr:uid="{74937861-3D83-4025-A2F7-5373BDE24984}"/>
    <cellStyle name="설명 텍스트 47" xfId="2759" xr:uid="{33E4E557-02BE-405E-8C03-ACBD4E65C0DC}"/>
    <cellStyle name="설명 텍스트 48" xfId="2760" xr:uid="{32425792-A3FE-4AA5-9A42-A2CB3B258073}"/>
    <cellStyle name="설명 텍스트 49" xfId="2761" xr:uid="{B6673C5E-9395-4E90-BB58-19B2A16EB3B6}"/>
    <cellStyle name="설명 텍스트 5" xfId="2762" xr:uid="{D2F12442-35C1-4702-AD9F-BDF5AA6A2663}"/>
    <cellStyle name="설명 텍스트 5 2" xfId="2763" xr:uid="{87DB9AF3-C23A-484A-8FF0-8EF6A1782D3C}"/>
    <cellStyle name="설명 텍스트 50" xfId="2764" xr:uid="{A7106AD9-FF3A-45AB-93A9-E525032A4649}"/>
    <cellStyle name="설명 텍스트 51" xfId="3812" xr:uid="{53D7154A-F494-4350-B7F0-B231BF4D6FCA}"/>
    <cellStyle name="설명 텍스트 52" xfId="3976" xr:uid="{79B3FE06-1F12-4D06-B8B3-66E502CFF0E4}"/>
    <cellStyle name="설명 텍스트 53" xfId="4107" xr:uid="{DEED56DB-EA06-431B-B879-2FB267B6729A}"/>
    <cellStyle name="설명 텍스트 54" xfId="4279" xr:uid="{BAD54A71-30AC-42E5-B343-A95E9742152E}"/>
    <cellStyle name="설명 텍스트 55" xfId="2681" xr:uid="{806AC895-09C1-43B8-BE92-A4AB2E27C4B7}"/>
    <cellStyle name="설명 텍스트 6" xfId="2765" xr:uid="{3A9F29F8-7D55-4A38-A72E-020089CE6375}"/>
    <cellStyle name="설명 텍스트 6 2" xfId="2766" xr:uid="{BFD8C8B3-F9EC-4044-81FF-DEAB54FB8F85}"/>
    <cellStyle name="설명 텍스트 7" xfId="2767" xr:uid="{8F9F076A-621C-4382-9734-63B2C8B5BA98}"/>
    <cellStyle name="설명 텍스트 7 2" xfId="2768" xr:uid="{D11937E4-5882-48B5-A469-F53E92413DB3}"/>
    <cellStyle name="설명 텍스트 8" xfId="2769" xr:uid="{D7A07978-CAA1-4DEC-AF38-96A52068AE91}"/>
    <cellStyle name="설명 텍스트 8 2" xfId="2770" xr:uid="{98A75DC8-122A-4631-AFD6-FBB0C1332B46}"/>
    <cellStyle name="설명 텍스트 9" xfId="2771" xr:uid="{762B1A6F-80A7-4DBA-B3E5-11859B738D0F}"/>
    <cellStyle name="설명 텍스트 9 2" xfId="2772" xr:uid="{A4F4F537-7BF6-4B47-9255-1A739BC41ECF}"/>
    <cellStyle name="셀 확인 10" xfId="2774" xr:uid="{3454C639-E829-4E4B-9A3D-7B4691321BEF}"/>
    <cellStyle name="셀 확인 10 2" xfId="2775" xr:uid="{E782315D-33DE-49C1-8D86-822B746CD59B}"/>
    <cellStyle name="셀 확인 11" xfId="2776" xr:uid="{2D389979-A063-4F89-95A9-4CB5F006B94A}"/>
    <cellStyle name="셀 확인 11 2" xfId="2777" xr:uid="{89E4F89C-B02A-4F9F-A3BD-E3963DE5669A}"/>
    <cellStyle name="셀 확인 12" xfId="2778" xr:uid="{0B64B9F5-CFF6-40AB-A16D-47E2501DE7DB}"/>
    <cellStyle name="셀 확인 12 2" xfId="2779" xr:uid="{B20BFDC3-8EB2-4B23-98FA-29398E4289F1}"/>
    <cellStyle name="셀 확인 13" xfId="2780" xr:uid="{004C2AB5-8F61-4C40-87F0-13715BFAF585}"/>
    <cellStyle name="셀 확인 13 2" xfId="2781" xr:uid="{491B454F-F060-4586-9784-C925EAE07F7E}"/>
    <cellStyle name="셀 확인 14" xfId="2782" xr:uid="{38311B0C-4304-4212-93A9-C3993D337EF3}"/>
    <cellStyle name="셀 확인 14 2" xfId="2783" xr:uid="{C17DFC06-2F62-41CF-8291-46147D4E5C4B}"/>
    <cellStyle name="셀 확인 15" xfId="2784" xr:uid="{75344894-E6F3-4CCE-AC04-F9582478C668}"/>
    <cellStyle name="셀 확인 15 2" xfId="2785" xr:uid="{4AB8548D-1EEE-49AC-B8EF-584A8FAA9DAB}"/>
    <cellStyle name="셀 확인 16" xfId="2786" xr:uid="{8D1FA185-7CA6-42F1-A69F-B5D2B68CFDA9}"/>
    <cellStyle name="셀 확인 16 2" xfId="2787" xr:uid="{103E7EC4-DB11-4AB1-9A47-51D16EEAC947}"/>
    <cellStyle name="셀 확인 17" xfId="2788" xr:uid="{6777437D-AD51-4E81-AF19-43ADF9065EA3}"/>
    <cellStyle name="셀 확인 17 2" xfId="2789" xr:uid="{1E4665E4-7514-4896-A96B-DA7A0AA851F0}"/>
    <cellStyle name="셀 확인 18" xfId="2790" xr:uid="{D4404F6F-B145-4C37-8B5A-6DE569DDA3A0}"/>
    <cellStyle name="셀 확인 18 2" xfId="2791" xr:uid="{58D10B44-1205-4A97-8E28-E3717FC030ED}"/>
    <cellStyle name="셀 확인 19" xfId="2792" xr:uid="{141001AD-2690-4CBA-905B-A0B541042605}"/>
    <cellStyle name="셀 확인 19 2" xfId="2793" xr:uid="{8B8B1A66-A3A9-4925-B92A-BD4EDDE797B4}"/>
    <cellStyle name="셀 확인 2" xfId="2794" xr:uid="{C4740A4A-8027-405F-9350-9203568ED55C}"/>
    <cellStyle name="셀 확인 2 2" xfId="2795" xr:uid="{D8424E89-0091-4813-BC2D-A7D969681178}"/>
    <cellStyle name="셀 확인 20" xfId="2796" xr:uid="{6A7DF3D0-6D97-445F-9DA1-04BD4D6D24C5}"/>
    <cellStyle name="셀 확인 20 2" xfId="2797" xr:uid="{939EE9D3-B79C-4AB7-871C-A11C6EA9AD5D}"/>
    <cellStyle name="셀 확인 21" xfId="2798" xr:uid="{027970AF-A1F8-459B-B7C9-E2742F3D4F62}"/>
    <cellStyle name="셀 확인 21 2" xfId="2799" xr:uid="{E5AC0BAF-BF50-4CB3-9C0F-125CA216EA1E}"/>
    <cellStyle name="셀 확인 22" xfId="2800" xr:uid="{A63B0C0E-4470-4760-A3FE-6604EF99CC4B}"/>
    <cellStyle name="셀 확인 22 2" xfId="2801" xr:uid="{4E0DBBB0-3DA2-41EB-A3CC-0A8EEDEFE57D}"/>
    <cellStyle name="셀 확인 23" xfId="2802" xr:uid="{04C4B3BB-3DE5-467F-BAB5-B02992700C2E}"/>
    <cellStyle name="셀 확인 23 2" xfId="2803" xr:uid="{F7AB7A52-7C8B-4176-8D46-3BA10EAE44A8}"/>
    <cellStyle name="셀 확인 24" xfId="2804" xr:uid="{6EAF26F2-5B74-4138-81B4-AF3A0C3743EE}"/>
    <cellStyle name="셀 확인 24 2" xfId="2805" xr:uid="{068F9F64-D17A-4BEE-8739-D8B7C7AE6D0A}"/>
    <cellStyle name="셀 확인 25" xfId="2806" xr:uid="{B2B81024-F242-4E07-A07E-D2C66CC7BA87}"/>
    <cellStyle name="셀 확인 25 2" xfId="2807" xr:uid="{4738E265-27B3-4E0D-98A5-59F5ADEF4F15}"/>
    <cellStyle name="셀 확인 26" xfId="2808" xr:uid="{0BFB306C-4777-44DF-BEF9-4021304D1664}"/>
    <cellStyle name="셀 확인 26 2" xfId="2809" xr:uid="{6EB52C3F-7DEC-4002-B837-F15AD5456075}"/>
    <cellStyle name="셀 확인 27" xfId="2810" xr:uid="{814F7CFF-A571-4AA5-BE64-0087F6785E39}"/>
    <cellStyle name="셀 확인 27 2" xfId="2811" xr:uid="{3D0737B4-257A-408B-A258-44157E7DF78E}"/>
    <cellStyle name="셀 확인 28" xfId="2812" xr:uid="{C1B79C0E-AE8B-4873-8E9F-7D79A9E107AB}"/>
    <cellStyle name="셀 확인 28 2" xfId="2813" xr:uid="{D42E5CC9-D278-4F0B-A677-04E5E246156B}"/>
    <cellStyle name="셀 확인 29" xfId="2814" xr:uid="{FBC438B3-58A9-4348-BE71-43D2A2B00CCD}"/>
    <cellStyle name="셀 확인 29 2" xfId="2815" xr:uid="{12FE4887-F57C-41F7-9F80-874CB5CB67BC}"/>
    <cellStyle name="셀 확인 3" xfId="2816" xr:uid="{F10BB4C6-120C-46E2-8B21-5C5F073763E3}"/>
    <cellStyle name="셀 확인 3 2" xfId="2817" xr:uid="{ABD9C665-D79A-4E8F-A652-9C4747778D87}"/>
    <cellStyle name="셀 확인 30" xfId="2818" xr:uid="{7C62350C-2D54-4666-9E2F-D9D2E098FFEC}"/>
    <cellStyle name="셀 확인 30 2" xfId="2819" xr:uid="{7D559E7F-34CC-494C-8ABA-201A8AB0BC68}"/>
    <cellStyle name="셀 확인 31" xfId="2820" xr:uid="{D1C4A045-5347-4B35-92FE-9CC1D9DA2524}"/>
    <cellStyle name="셀 확인 31 2" xfId="2821" xr:uid="{CD502C23-E0AA-4631-8E46-F9B01094EE15}"/>
    <cellStyle name="셀 확인 32" xfId="2822" xr:uid="{02D8AA76-EC84-4317-8117-C9529A555A14}"/>
    <cellStyle name="셀 확인 32 2" xfId="2823" xr:uid="{C3E903A5-9B0F-4FAF-A5A4-C1940E575653}"/>
    <cellStyle name="셀 확인 33" xfId="2824" xr:uid="{F5B3CBB9-D664-4956-ADBC-E52F3A0F76E3}"/>
    <cellStyle name="셀 확인 33 2" xfId="2825" xr:uid="{B6ADBEDD-2D8C-4445-AC81-3695BD208843}"/>
    <cellStyle name="셀 확인 34" xfId="2826" xr:uid="{68D06636-D1FE-4AB4-95DF-77755921CDDA}"/>
    <cellStyle name="셀 확인 34 2" xfId="2827" xr:uid="{FB6E528C-6481-47C5-A6EB-C40A9B506420}"/>
    <cellStyle name="셀 확인 35" xfId="2828" xr:uid="{CF587352-CDDD-47C9-B4E9-36AA774952B4}"/>
    <cellStyle name="셀 확인 35 2" xfId="2829" xr:uid="{6A54FA7B-CF1C-447C-B6BC-669BAF027C18}"/>
    <cellStyle name="셀 확인 36" xfId="2830" xr:uid="{E3EF6A97-E0F4-43C3-8192-C5079B4DC5D5}"/>
    <cellStyle name="셀 확인 36 2" xfId="2831" xr:uid="{9AC999A4-7ED4-4060-AC7A-A964AB3C72FB}"/>
    <cellStyle name="셀 확인 37" xfId="2832" xr:uid="{F4EC012D-82F1-4CFA-92E6-FA92737D0D93}"/>
    <cellStyle name="셀 확인 37 2" xfId="2833" xr:uid="{14FC76F7-CE83-4B93-BFE8-A8BE9D2BA820}"/>
    <cellStyle name="셀 확인 38" xfId="2834" xr:uid="{7346D138-9413-4367-9488-EE2375051309}"/>
    <cellStyle name="셀 확인 38 2" xfId="2835" xr:uid="{4A72EDDA-3CB5-43DF-9316-28FA5E08957F}"/>
    <cellStyle name="셀 확인 39" xfId="2836" xr:uid="{8E6D47BC-FAAB-4102-A50A-6DE44EACCAF5}"/>
    <cellStyle name="셀 확인 39 2" xfId="2837" xr:uid="{BD4248BD-DB47-4D44-879F-77D5D157A389}"/>
    <cellStyle name="셀 확인 4" xfId="2838" xr:uid="{D4FB121E-A858-4171-AD7C-7FBECCD06273}"/>
    <cellStyle name="셀 확인 4 2" xfId="2839" xr:uid="{01BB2B4D-A706-4672-9066-2D0BE67C8E41}"/>
    <cellStyle name="셀 확인 40" xfId="2840" xr:uid="{90CD1388-7547-41F1-B9BD-181FE505467A}"/>
    <cellStyle name="셀 확인 40 2" xfId="2841" xr:uid="{785578FE-A953-48A0-AF0B-3DAD3F5A2B08}"/>
    <cellStyle name="셀 확인 41" xfId="2842" xr:uid="{16CAE13D-50C9-4FBE-BEEE-AACA920BC101}"/>
    <cellStyle name="셀 확인 41 2" xfId="2843" xr:uid="{D0F25B0E-76C4-4CE7-A85B-A5CFFD856B3B}"/>
    <cellStyle name="셀 확인 42" xfId="2844" xr:uid="{0DC11ED8-4720-4487-B270-B09DFB4ECC1E}"/>
    <cellStyle name="셀 확인 42 2" xfId="2845" xr:uid="{54FEFC38-DD0E-453D-9CD5-49193A0C44F4}"/>
    <cellStyle name="셀 확인 43" xfId="2846" xr:uid="{71CBF61F-F385-4B79-AEF5-883C34B9E553}"/>
    <cellStyle name="셀 확인 43 2" xfId="2847" xr:uid="{E7B9E616-E7CA-4CDA-85EE-2801A637B52E}"/>
    <cellStyle name="셀 확인 44" xfId="2848" xr:uid="{3B37A21B-37D1-48A4-8F9A-7A9DA1EFD693}"/>
    <cellStyle name="셀 확인 45" xfId="2849" xr:uid="{DE00410A-5A88-485F-8B5F-27CE9D9AFE3E}"/>
    <cellStyle name="셀 확인 46" xfId="2850" xr:uid="{3D2C1FA7-CA13-4948-9F49-BA248BA5EDC5}"/>
    <cellStyle name="셀 확인 47" xfId="2851" xr:uid="{9D99B3D5-E6C3-496F-8B26-D1D5080590A0}"/>
    <cellStyle name="셀 확인 48" xfId="2852" xr:uid="{971A0851-F9A1-4A69-978E-F6C9D42E90F3}"/>
    <cellStyle name="셀 확인 49" xfId="2853" xr:uid="{BDEA7C90-4877-4EB6-8E18-F43E12157625}"/>
    <cellStyle name="셀 확인 5" xfId="2854" xr:uid="{C34591A2-B7A6-4912-8943-CA167AC34953}"/>
    <cellStyle name="셀 확인 5 2" xfId="2855" xr:uid="{DB0485B9-9C97-4473-8530-A77A26732808}"/>
    <cellStyle name="셀 확인 50" xfId="2856" xr:uid="{3E91F501-44F5-47A4-9537-C53488341D07}"/>
    <cellStyle name="셀 확인 51" xfId="3809" xr:uid="{5935F58A-BEDF-4FE0-9B59-FC680F9C4409}"/>
    <cellStyle name="셀 확인 52" xfId="3973" xr:uid="{F7D37462-0940-44EB-886E-AA13C4D55449}"/>
    <cellStyle name="셀 확인 53" xfId="4108" xr:uid="{65A27DA3-C7C3-4A54-8B4E-3CA906A6D39C}"/>
    <cellStyle name="셀 확인 54" xfId="4280" xr:uid="{965BEFD5-338C-418C-A69B-6B76F813B223}"/>
    <cellStyle name="셀 확인 55" xfId="2773" xr:uid="{4FECA302-AEF4-43DA-B3EC-55F14ACA815F}"/>
    <cellStyle name="셀 확인 6" xfId="2857" xr:uid="{33B0C2CC-0D43-4A09-B7B1-8581BC3FC7BB}"/>
    <cellStyle name="셀 확인 6 2" xfId="2858" xr:uid="{544CEF6C-7154-4603-8524-D274352FC8F2}"/>
    <cellStyle name="셀 확인 7" xfId="2859" xr:uid="{A7943C61-6081-4638-90EC-B51A4835D4DF}"/>
    <cellStyle name="셀 확인 7 2" xfId="2860" xr:uid="{982053C6-C615-4946-B850-FC5E96403B2C}"/>
    <cellStyle name="셀 확인 8" xfId="2861" xr:uid="{2302F26D-E2D2-4F82-846E-0F46F1BF9E61}"/>
    <cellStyle name="셀 확인 8 2" xfId="2862" xr:uid="{1C4B0DC6-F533-4F94-A319-84C08D67A761}"/>
    <cellStyle name="셀 확인 9" xfId="2863" xr:uid="{B6D27C1A-4D6B-4562-905C-620B0F73415C}"/>
    <cellStyle name="셀 확인 9 2" xfId="2864" xr:uid="{BFA0D497-86CC-4632-ADCD-818B6D7E8032}"/>
    <cellStyle name="쉼표 [0]" xfId="7" builtinId="6"/>
    <cellStyle name="쉼표 [0] 2" xfId="2866" xr:uid="{DBF73CDB-81D8-4CC4-9891-EF634EBD3AE6}"/>
    <cellStyle name="쉼표 [0] 3" xfId="2867" xr:uid="{03B5ED54-C92C-414F-843B-9C35EB0896EB}"/>
    <cellStyle name="쉼표 [0] 4" xfId="4109" xr:uid="{29E6FCB0-2448-4FE7-A85C-6469A8527AD1}"/>
    <cellStyle name="쉼표 [0] 5" xfId="4281" xr:uid="{BC653043-C4F8-4A33-93F9-83CEFD15B3E9}"/>
    <cellStyle name="쉼표 [0] 6" xfId="2865" xr:uid="{FB56847E-F291-4551-9129-95CB3513E54C}"/>
    <cellStyle name="연결된 셀 10" xfId="2869" xr:uid="{37B3E4BC-CCAC-4CEA-8B93-593A70306F04}"/>
    <cellStyle name="연결된 셀 10 2" xfId="2870" xr:uid="{0520AD95-874F-4351-86E1-2FB8CC3076CB}"/>
    <cellStyle name="연결된 셀 11" xfId="2871" xr:uid="{84D5A24A-84F1-43E7-B6CB-C0E0511C5771}"/>
    <cellStyle name="연결된 셀 11 2" xfId="2872" xr:uid="{2A905C73-A774-46A0-B287-AF2CADBB6A01}"/>
    <cellStyle name="연결된 셀 12" xfId="2873" xr:uid="{8B229943-D21A-4171-BDAA-C63B8328DD16}"/>
    <cellStyle name="연결된 셀 12 2" xfId="2874" xr:uid="{21DFEA5E-32D5-4036-95BE-5A755BD5F75B}"/>
    <cellStyle name="연결된 셀 13" xfId="2875" xr:uid="{D8ED0C6E-4274-47BE-A296-B385E78C5367}"/>
    <cellStyle name="연결된 셀 13 2" xfId="2876" xr:uid="{35B5EB50-132B-4A3C-8856-C5F362EB425B}"/>
    <cellStyle name="연결된 셀 14" xfId="2877" xr:uid="{500ECE71-21DB-4CA1-A880-7B09A13ACFD4}"/>
    <cellStyle name="연결된 셀 14 2" xfId="2878" xr:uid="{108A2B40-7F45-4FE4-A86E-008D6CA3C64F}"/>
    <cellStyle name="연결된 셀 15" xfId="2879" xr:uid="{BD5DA2D1-0A7E-48B9-9384-BDA003E60E34}"/>
    <cellStyle name="연결된 셀 15 2" xfId="2880" xr:uid="{83BCC8E1-AA6F-4473-B2AD-34816A9F9D6B}"/>
    <cellStyle name="연결된 셀 16" xfId="2881" xr:uid="{12176773-8AA1-40F0-A8AF-46F32ACBBABC}"/>
    <cellStyle name="연결된 셀 16 2" xfId="2882" xr:uid="{2D91AC91-3D76-475E-8686-83340C8529D7}"/>
    <cellStyle name="연결된 셀 17" xfId="2883" xr:uid="{B1060225-51C5-4367-8314-C5E48B52D3AB}"/>
    <cellStyle name="연결된 셀 17 2" xfId="2884" xr:uid="{31BF0BB5-4149-4732-B46C-B357B6D78761}"/>
    <cellStyle name="연결된 셀 18" xfId="2885" xr:uid="{2FE6612E-486B-45C3-B5C8-97E026311461}"/>
    <cellStyle name="연결된 셀 18 2" xfId="2886" xr:uid="{D3500C51-506B-4484-950D-593A6D161E17}"/>
    <cellStyle name="연결된 셀 19" xfId="2887" xr:uid="{DFAB3CD4-7B11-4674-8208-60839D801F62}"/>
    <cellStyle name="연결된 셀 19 2" xfId="2888" xr:uid="{729A65CC-5BEB-48FE-9B1D-9461A6ED8AFB}"/>
    <cellStyle name="연결된 셀 2" xfId="2889" xr:uid="{0E877686-F6E4-44F8-AA93-50D9356FE083}"/>
    <cellStyle name="연결된 셀 2 2" xfId="2890" xr:uid="{D12A9BC1-FD50-4244-BF7D-E0C92AD997B0}"/>
    <cellStyle name="연결된 셀 20" xfId="2891" xr:uid="{AAC06502-FBE0-4901-9BA2-8F9C9B6DDB2D}"/>
    <cellStyle name="연결된 셀 20 2" xfId="2892" xr:uid="{70EEB531-1D84-4FC1-94D6-EC874357B07A}"/>
    <cellStyle name="연결된 셀 21" xfId="2893" xr:uid="{DE3CA4DC-D4F0-48E2-AE66-C8581DE464A6}"/>
    <cellStyle name="연결된 셀 21 2" xfId="2894" xr:uid="{11A1FF4B-5621-4298-9066-AF1DF39E1BB0}"/>
    <cellStyle name="연결된 셀 22" xfId="2895" xr:uid="{195AED83-C5BB-4CA7-ADBF-99DC1B2CA8E3}"/>
    <cellStyle name="연결된 셀 22 2" xfId="2896" xr:uid="{A57ACA6F-1FD9-4983-B011-87810581E091}"/>
    <cellStyle name="연결된 셀 23" xfId="2897" xr:uid="{655F079C-7011-47D0-A587-8A8EA1AAE241}"/>
    <cellStyle name="연결된 셀 23 2" xfId="2898" xr:uid="{33A92740-E3B3-4409-B84B-2B8D73F26A3F}"/>
    <cellStyle name="연결된 셀 24" xfId="2899" xr:uid="{A972BDAB-2E1A-4915-82A5-ABAD4BDD5BA8}"/>
    <cellStyle name="연결된 셀 24 2" xfId="2900" xr:uid="{6854194B-F21F-4E94-A33E-30820658D16D}"/>
    <cellStyle name="연결된 셀 25" xfId="2901" xr:uid="{CD504038-3D04-4743-BA76-BFCE357F1B04}"/>
    <cellStyle name="연결된 셀 25 2" xfId="2902" xr:uid="{74ED62DF-8081-4260-8126-104DDFF98C1B}"/>
    <cellStyle name="연결된 셀 26" xfId="2903" xr:uid="{5C6F027F-94B1-48A4-AC83-84468B4FE5C1}"/>
    <cellStyle name="연결된 셀 26 2" xfId="2904" xr:uid="{A8C6861B-345D-4B2F-826A-2ED8423E33FB}"/>
    <cellStyle name="연결된 셀 27" xfId="2905" xr:uid="{6D852DB0-CA66-443F-8817-7838198F997C}"/>
    <cellStyle name="연결된 셀 27 2" xfId="2906" xr:uid="{3B074CC5-8DA6-47F6-812D-2EFD2CA657CA}"/>
    <cellStyle name="연결된 셀 28" xfId="2907" xr:uid="{A1ACA564-118D-4B06-83F8-37F31600BB89}"/>
    <cellStyle name="연결된 셀 28 2" xfId="2908" xr:uid="{8B5721BE-A36D-42D1-AAD2-4E1E39E108BF}"/>
    <cellStyle name="연결된 셀 29" xfId="2909" xr:uid="{0F5D1410-CEA0-4408-94AB-C164DAC48152}"/>
    <cellStyle name="연결된 셀 29 2" xfId="2910" xr:uid="{19BAFFFC-44AA-4268-8E80-A3417FBB5CEF}"/>
    <cellStyle name="연결된 셀 3" xfId="2911" xr:uid="{C4EFE904-A6A3-4EAD-9A95-154E3B81F802}"/>
    <cellStyle name="연결된 셀 3 2" xfId="2912" xr:uid="{868F7EE0-FDCB-4AB5-ADBC-F440AB84FE07}"/>
    <cellStyle name="연결된 셀 30" xfId="2913" xr:uid="{7003504A-085F-4005-BA34-C58AA5FE1AF1}"/>
    <cellStyle name="연결된 셀 30 2" xfId="2914" xr:uid="{D48B463C-6BA9-4827-AC75-B92C7C8475D5}"/>
    <cellStyle name="연결된 셀 31" xfId="2915" xr:uid="{1C8F0806-9638-487C-B5A9-8E7CF4EAEB83}"/>
    <cellStyle name="연결된 셀 31 2" xfId="2916" xr:uid="{F485FB1A-B0DA-4FD0-A089-2B57147E4D09}"/>
    <cellStyle name="연결된 셀 32" xfId="2917" xr:uid="{00AD0161-6357-45B5-A932-9AADF4B1C853}"/>
    <cellStyle name="연결된 셀 32 2" xfId="2918" xr:uid="{BB1D68A4-CD85-414A-91B0-76CD319DEDE5}"/>
    <cellStyle name="연결된 셀 33" xfId="2919" xr:uid="{D815EA6F-D468-4BB2-9A17-11950484C4AE}"/>
    <cellStyle name="연결된 셀 33 2" xfId="2920" xr:uid="{E726037A-1CBB-4697-88AB-656A4E5C7DF9}"/>
    <cellStyle name="연결된 셀 34" xfId="2921" xr:uid="{E41125FF-ADF9-4788-B80F-6BC491E9E4AF}"/>
    <cellStyle name="연결된 셀 34 2" xfId="2922" xr:uid="{C0691F23-6EAC-45AA-85FD-4AB2B85D65A0}"/>
    <cellStyle name="연결된 셀 35" xfId="2923" xr:uid="{1EF9A763-1989-43E0-8558-775F8F605AB4}"/>
    <cellStyle name="연결된 셀 35 2" xfId="2924" xr:uid="{B879C7E6-4A64-4F68-9FC6-F3D01169F027}"/>
    <cellStyle name="연결된 셀 36" xfId="2925" xr:uid="{45D682C5-83AF-46D5-BB92-1B36C29A10BC}"/>
    <cellStyle name="연결된 셀 36 2" xfId="2926" xr:uid="{B4D49466-E270-4F38-9364-FC890D14DBF8}"/>
    <cellStyle name="연결된 셀 37" xfId="2927" xr:uid="{57A288BC-EAC7-4AE2-9239-9002AAB1422B}"/>
    <cellStyle name="연결된 셀 37 2" xfId="2928" xr:uid="{AAA8D4DB-BA17-4E02-9D95-D6C2CDFEA962}"/>
    <cellStyle name="연결된 셀 38" xfId="2929" xr:uid="{F2B7C6BC-5AD7-4899-AC99-7A7594FD9176}"/>
    <cellStyle name="연결된 셀 38 2" xfId="2930" xr:uid="{83026C6C-791D-4BB8-BEF5-694C5F0C79AB}"/>
    <cellStyle name="연결된 셀 39" xfId="2931" xr:uid="{234D1FA8-F7C7-4D98-ABBA-523BF306337C}"/>
    <cellStyle name="연결된 셀 39 2" xfId="2932" xr:uid="{721BB796-459F-403F-A974-A59A264B0D23}"/>
    <cellStyle name="연결된 셀 4" xfId="2933" xr:uid="{C6D95AE0-0E3C-4C49-A6E5-7DCD0A13A10B}"/>
    <cellStyle name="연결된 셀 4 2" xfId="2934" xr:uid="{D83904C9-0503-4903-9025-F0DC6CBED450}"/>
    <cellStyle name="연결된 셀 40" xfId="2935" xr:uid="{F8E13EE1-98AF-4779-9BFD-BDE69BB12A72}"/>
    <cellStyle name="연결된 셀 40 2" xfId="2936" xr:uid="{B4CD815B-CA06-49DB-9325-B69635B99A63}"/>
    <cellStyle name="연결된 셀 41" xfId="2937" xr:uid="{4306D9AC-A34E-4772-B5C1-CB0F1EE47430}"/>
    <cellStyle name="연결된 셀 41 2" xfId="2938" xr:uid="{47FF6640-8C18-43B9-BF3F-8E5C1ED924DD}"/>
    <cellStyle name="연결된 셀 42" xfId="2939" xr:uid="{63295985-0690-4DD4-906E-C0370131565D}"/>
    <cellStyle name="연결된 셀 42 2" xfId="2940" xr:uid="{6A5B132C-49B1-4944-A77E-BCC65A987C95}"/>
    <cellStyle name="연결된 셀 43" xfId="2941" xr:uid="{62A7B669-F112-402F-8A81-CC5451D2B89B}"/>
    <cellStyle name="연결된 셀 43 2" xfId="2942" xr:uid="{41CB3A02-1CA1-40C4-9764-ADE41A1D2F41}"/>
    <cellStyle name="연결된 셀 44" xfId="2943" xr:uid="{307BF6A4-81FB-4862-913C-C7EFF68419EC}"/>
    <cellStyle name="연결된 셀 45" xfId="2944" xr:uid="{C69F04A7-99CA-47A4-9B54-BABB1714364A}"/>
    <cellStyle name="연결된 셀 46" xfId="2945" xr:uid="{23735A5E-6E68-4D6E-A1A6-BA47A5AB2F7F}"/>
    <cellStyle name="연결된 셀 47" xfId="2946" xr:uid="{4BAA519D-4387-4272-933E-64878F7435AB}"/>
    <cellStyle name="연결된 셀 48" xfId="2947" xr:uid="{DA8FDB4F-1115-4EAB-8F4F-CD2210EAD531}"/>
    <cellStyle name="연결된 셀 49" xfId="2948" xr:uid="{579101E8-8212-4FBD-85A2-B00A6E2A618D}"/>
    <cellStyle name="연결된 셀 5" xfId="2949" xr:uid="{4D8177F7-C8DB-4800-B2C1-8CACB3F14BDE}"/>
    <cellStyle name="연결된 셀 5 2" xfId="2950" xr:uid="{D9FFB576-5E63-49AD-BD8F-A6A4631BDB57}"/>
    <cellStyle name="연결된 셀 50" xfId="2951" xr:uid="{9FB24EC7-A992-4EE4-9619-1B0B50C9D10C}"/>
    <cellStyle name="연결된 셀 51" xfId="3808" xr:uid="{54F4A23B-B86B-456B-BA93-6757CAA28416}"/>
    <cellStyle name="연결된 셀 52" xfId="3972" xr:uid="{1B4BA44C-1143-4B5F-AEF5-AFD916D8C7A4}"/>
    <cellStyle name="연결된 셀 53" xfId="4110" xr:uid="{78668002-54C6-4190-A148-0DEEF2189567}"/>
    <cellStyle name="연결된 셀 54" xfId="4282" xr:uid="{942B978F-5538-4471-BAA1-D3B1DCF4BAE0}"/>
    <cellStyle name="연결된 셀 55" xfId="2868" xr:uid="{BA1F90E6-6944-4B55-BCE9-391307D78342}"/>
    <cellStyle name="연결된 셀 6" xfId="2952" xr:uid="{F962A7B4-A154-4DB4-B872-9A63AD38BA6C}"/>
    <cellStyle name="연결된 셀 6 2" xfId="2953" xr:uid="{4E05E163-698F-4677-B4BF-8FD3C58AF6E1}"/>
    <cellStyle name="연결된 셀 7" xfId="2954" xr:uid="{0CC6466C-277D-4647-A147-0A8DF02C5E7D}"/>
    <cellStyle name="연결된 셀 7 2" xfId="2955" xr:uid="{21DD8C52-65EE-4C39-A7D2-6A7E480908AE}"/>
    <cellStyle name="연결된 셀 8" xfId="2956" xr:uid="{FA95DEEF-E182-48BF-B539-DE96D6D575EE}"/>
    <cellStyle name="연결된 셀 8 2" xfId="2957" xr:uid="{8CA9E256-52D7-414E-A0C8-F80524C79B1D}"/>
    <cellStyle name="연결된 셀 9" xfId="2958" xr:uid="{F970C7A8-E818-4E34-8E9E-25B0F42ABC14}"/>
    <cellStyle name="연결된 셀 9 2" xfId="2959" xr:uid="{F6FF4DCF-66FC-46AC-AD10-FD6721EE2EDD}"/>
    <cellStyle name="요약 10" xfId="2961" xr:uid="{7B8B39D4-1561-4223-A1A5-B6143580910D}"/>
    <cellStyle name="요약 10 2" xfId="2962" xr:uid="{8BD3FCFE-BB93-48B2-8228-B14989F023D7}"/>
    <cellStyle name="요약 11" xfId="2963" xr:uid="{B2CFDBC1-CEE6-4B67-93A1-5CE583050E75}"/>
    <cellStyle name="요약 11 2" xfId="2964" xr:uid="{6BCE9C91-8562-4A5D-A19B-B948EDE60F58}"/>
    <cellStyle name="요약 12" xfId="2965" xr:uid="{4C7D5720-7807-4D36-AEF3-B818395BB900}"/>
    <cellStyle name="요약 12 2" xfId="2966" xr:uid="{0E3A1165-A064-443F-AD5C-598E59330B32}"/>
    <cellStyle name="요약 13" xfId="2967" xr:uid="{F6E29CF9-888C-4239-BA74-C4D63E3614FF}"/>
    <cellStyle name="요약 13 2" xfId="2968" xr:uid="{A3842EE1-003D-45D8-A617-D65EB550D475}"/>
    <cellStyle name="요약 14" xfId="2969" xr:uid="{813B64A9-6986-4EE5-94A2-87FC3489ABBE}"/>
    <cellStyle name="요약 14 2" xfId="2970" xr:uid="{87DF1FCB-5256-443A-84D5-9F200CE05A8A}"/>
    <cellStyle name="요약 15" xfId="2971" xr:uid="{733B2AB0-E345-4F76-81F1-A867D60AACFA}"/>
    <cellStyle name="요약 15 2" xfId="2972" xr:uid="{39ACCC4D-9945-4E15-8604-C16093070840}"/>
    <cellStyle name="요약 16" xfId="2973" xr:uid="{8D33AC12-A692-4C40-93A2-C29F6FD7C9C1}"/>
    <cellStyle name="요약 16 2" xfId="2974" xr:uid="{02E8DFAD-903D-4F18-AE31-E657709DEA0E}"/>
    <cellStyle name="요약 17" xfId="2975" xr:uid="{CA1811A1-82DB-43D1-957C-ED077BD60203}"/>
    <cellStyle name="요약 17 2" xfId="2976" xr:uid="{13CF35AC-DBB9-4D1A-8C03-C02289D78E39}"/>
    <cellStyle name="요약 18" xfId="2977" xr:uid="{FE95CD52-9D9B-4D31-BFC6-28563FA2DAC5}"/>
    <cellStyle name="요약 18 2" xfId="2978" xr:uid="{C80E130C-AA6A-4F41-9719-55DFF7BE00B8}"/>
    <cellStyle name="요약 19" xfId="2979" xr:uid="{1EFB1F6C-5FE6-4D42-9FBF-D2C1BFA51E18}"/>
    <cellStyle name="요약 19 2" xfId="2980" xr:uid="{2AB48A13-E236-48C2-9AC3-588918C97557}"/>
    <cellStyle name="요약 2" xfId="2981" xr:uid="{EB0981E5-B668-4911-BE91-6077DF58B1B2}"/>
    <cellStyle name="요약 2 2" xfId="2982" xr:uid="{8DD1DB7E-DC1A-4160-B731-D9B60A814A87}"/>
    <cellStyle name="요약 20" xfId="2983" xr:uid="{F676A4DB-B313-424D-AB6D-EEA9EAD9C81A}"/>
    <cellStyle name="요약 20 2" xfId="2984" xr:uid="{36C55C1D-993F-4A46-8DB1-F405E5D1F2E0}"/>
    <cellStyle name="요약 21" xfId="2985" xr:uid="{E405D382-F731-44B6-8E90-BE87CC432973}"/>
    <cellStyle name="요약 21 2" xfId="2986" xr:uid="{20A29DF8-7883-4F78-A023-2218FF1C053A}"/>
    <cellStyle name="요약 22" xfId="2987" xr:uid="{09598874-85B9-4297-BB86-CEC2D0C7C9A3}"/>
    <cellStyle name="요약 22 2" xfId="2988" xr:uid="{A7D88868-8F94-4F81-8AD3-DCBD95501483}"/>
    <cellStyle name="요약 23" xfId="2989" xr:uid="{7C49B027-787D-414D-B810-56460DA96943}"/>
    <cellStyle name="요약 23 2" xfId="2990" xr:uid="{1C402E43-0B1D-405B-953C-C7D75E2E0E4B}"/>
    <cellStyle name="요약 24" xfId="2991" xr:uid="{854FE22C-835B-4DE4-8758-6E554475F5E6}"/>
    <cellStyle name="요약 24 2" xfId="2992" xr:uid="{C42A1FA4-2E0A-43FD-B981-AC5085055F08}"/>
    <cellStyle name="요약 25" xfId="2993" xr:uid="{5CCF5FBB-4078-4B00-BF72-B795641DA18F}"/>
    <cellStyle name="요약 25 2" xfId="2994" xr:uid="{068BEDFA-2D5D-4A7B-AF31-34A769CA2B3C}"/>
    <cellStyle name="요약 26" xfId="2995" xr:uid="{1A12BC00-10E3-451D-B723-4C445C73E47C}"/>
    <cellStyle name="요약 26 2" xfId="2996" xr:uid="{F465312F-FDD9-4D8B-BC3F-2483E45A98D8}"/>
    <cellStyle name="요약 27" xfId="2997" xr:uid="{35A212DD-DD9F-4351-BE36-91E8228E6BA3}"/>
    <cellStyle name="요약 27 2" xfId="2998" xr:uid="{EDB4B2DB-4D3B-42D3-8123-4EDD105FEEBF}"/>
    <cellStyle name="요약 28" xfId="2999" xr:uid="{0EF14674-73CB-4498-B9FA-27FE12F22AEA}"/>
    <cellStyle name="요약 28 2" xfId="3000" xr:uid="{FB8F3D08-6642-43B8-A1E5-413C2FDA2D65}"/>
    <cellStyle name="요약 29" xfId="3001" xr:uid="{D06E1313-3632-48D8-AFC7-B94ECE3BDBC5}"/>
    <cellStyle name="요약 29 2" xfId="3002" xr:uid="{26A680CF-F455-49C3-A76A-6759A78EF83C}"/>
    <cellStyle name="요약 3" xfId="3003" xr:uid="{D90DCEA3-17B9-41CC-B370-386DAF0C0EB2}"/>
    <cellStyle name="요약 3 2" xfId="3004" xr:uid="{3FB9CD0F-E572-4876-B375-A5459113E92F}"/>
    <cellStyle name="요약 30" xfId="3005" xr:uid="{39072373-2353-4CFB-BABD-8EAA84ECCFAB}"/>
    <cellStyle name="요약 30 2" xfId="3006" xr:uid="{18221847-D6D3-45FB-9EF4-54EECF0C50E1}"/>
    <cellStyle name="요약 31" xfId="3007" xr:uid="{79BC4347-0EF7-4AD6-8E07-4A83E30AB42C}"/>
    <cellStyle name="요약 31 2" xfId="3008" xr:uid="{1704E412-A78B-4DD1-9183-656A0A4A1606}"/>
    <cellStyle name="요약 32" xfId="3009" xr:uid="{E39A7BC3-AB9F-4C93-9A2F-5DE3C4AAED5A}"/>
    <cellStyle name="요약 32 2" xfId="3010" xr:uid="{BF9A3D5B-4F0D-45EB-9A0B-B09BF916176B}"/>
    <cellStyle name="요약 33" xfId="3011" xr:uid="{2D47DCDA-F30D-4870-AE9F-7CD046E5FFD0}"/>
    <cellStyle name="요약 33 2" xfId="3012" xr:uid="{DD7F3DCD-D365-46B4-9786-DF2AAB4CF737}"/>
    <cellStyle name="요약 34" xfId="3013" xr:uid="{B96CFB50-206B-4BFC-8559-AFE6FB640ABE}"/>
    <cellStyle name="요약 34 2" xfId="3014" xr:uid="{EDE1E0EE-9C97-4969-9F78-81565A5CF91C}"/>
    <cellStyle name="요약 35" xfId="3015" xr:uid="{038A2B4C-E34D-4951-800A-BA6195E04DEE}"/>
    <cellStyle name="요약 35 2" xfId="3016" xr:uid="{9E4B63B8-B89C-4F40-98E9-20E00AED6333}"/>
    <cellStyle name="요약 36" xfId="3017" xr:uid="{D6B1E796-6407-49A1-9E6C-87DFB4AD2683}"/>
    <cellStyle name="요약 36 2" xfId="3018" xr:uid="{27C33200-5D26-439A-A11E-FA0691A87814}"/>
    <cellStyle name="요약 37" xfId="3019" xr:uid="{0066A2B1-64DD-4F4E-B249-A1C4E346508E}"/>
    <cellStyle name="요약 37 2" xfId="3020" xr:uid="{14369447-A15E-4D66-9F14-85FE9A78BA53}"/>
    <cellStyle name="요약 38" xfId="3021" xr:uid="{537FB6D5-B7C9-4140-81A2-38C55E5E3F6A}"/>
    <cellStyle name="요약 38 2" xfId="3022" xr:uid="{D254183D-5D33-494A-AC78-3F66FA212610}"/>
    <cellStyle name="요약 39" xfId="3023" xr:uid="{07EB85D2-FCBB-437E-8E86-4075857940D4}"/>
    <cellStyle name="요약 39 2" xfId="3024" xr:uid="{B58C36EA-E3C5-474B-B5AE-E4EDB54464AF}"/>
    <cellStyle name="요약 4" xfId="3025" xr:uid="{81EF7FFE-E599-458F-98EB-394FFADA0DFF}"/>
    <cellStyle name="요약 4 2" xfId="3026" xr:uid="{B5E3D20A-5A54-4B5C-995F-4F672377B148}"/>
    <cellStyle name="요약 40" xfId="3027" xr:uid="{AC626D29-7679-44E0-8589-CB8A5EFC798D}"/>
    <cellStyle name="요약 40 2" xfId="3028" xr:uid="{3D68F730-F8DE-454B-85C0-9C20681B19EE}"/>
    <cellStyle name="요약 41" xfId="3029" xr:uid="{0A132A98-C977-4647-AEB5-F47443003983}"/>
    <cellStyle name="요약 41 2" xfId="3030" xr:uid="{1E383041-3ACC-442D-B9A0-7508B8E1651C}"/>
    <cellStyle name="요약 42" xfId="3031" xr:uid="{76D4D86C-5CD4-4246-870A-9F9FE9110B81}"/>
    <cellStyle name="요약 42 2" xfId="3032" xr:uid="{643C1555-7936-46A8-A352-775E8E3026FB}"/>
    <cellStyle name="요약 43" xfId="3033" xr:uid="{46812F47-F3F6-4CC5-A19B-1645A4C5E170}"/>
    <cellStyle name="요약 43 2" xfId="3034" xr:uid="{3542C51B-EEB9-4B91-AF06-DE0B37F12DB2}"/>
    <cellStyle name="요약 44" xfId="3035" xr:uid="{E56DBEC8-D40A-446E-B3E0-0AB1EDAC2638}"/>
    <cellStyle name="요약 45" xfId="3036" xr:uid="{4531AEED-0CA7-46B3-BD91-406B8F21FC12}"/>
    <cellStyle name="요약 46" xfId="3037" xr:uid="{FDE80480-AC7E-4F44-8483-22BCCA2D47F8}"/>
    <cellStyle name="요약 47" xfId="3038" xr:uid="{3B3C90A1-9ABE-491D-A95E-3D328DFA5E2F}"/>
    <cellStyle name="요약 48" xfId="3039" xr:uid="{C9DB6C4F-2E8C-4C00-90BD-74842262A88B}"/>
    <cellStyle name="요약 49" xfId="3040" xr:uid="{AD7CDC19-EAE9-4E15-808D-16DA83CB3862}"/>
    <cellStyle name="요약 5" xfId="3041" xr:uid="{CD1CF160-C162-45E7-8326-B0863200B464}"/>
    <cellStyle name="요약 5 2" xfId="3042" xr:uid="{98618B01-BC0D-4227-BEF5-1DF8893F98BA}"/>
    <cellStyle name="요약 50" xfId="3043" xr:uid="{1E0E7E31-3347-47AF-BDE2-36972EEE0267}"/>
    <cellStyle name="요약 51" xfId="3813" xr:uid="{64FE5CAE-6DE0-437A-B6CD-D3928E4A1530}"/>
    <cellStyle name="요약 52" xfId="3977" xr:uid="{783853F1-3416-466E-B235-6AA327ABF075}"/>
    <cellStyle name="요약 53" xfId="4111" xr:uid="{F03137AA-088E-43F0-B269-85C9D5308705}"/>
    <cellStyle name="요약 54" xfId="4283" xr:uid="{CA3AFBD9-1644-4481-A40D-2DD2A4E0E093}"/>
    <cellStyle name="요약 55" xfId="2960" xr:uid="{79A70009-AD96-4229-A2E1-F96EAE6A987F}"/>
    <cellStyle name="요약 6" xfId="3044" xr:uid="{65B75E7A-B1AA-4E7D-B82A-67C2CFCF41C1}"/>
    <cellStyle name="요약 6 2" xfId="3045" xr:uid="{7D6C504E-00A6-4F94-AE29-DA410F46D513}"/>
    <cellStyle name="요약 7" xfId="3046" xr:uid="{B7DE0A97-AD91-439A-B972-568F5043AF0F}"/>
    <cellStyle name="요약 7 2" xfId="3047" xr:uid="{33927365-55AE-447E-B9C3-B5A55505CDB4}"/>
    <cellStyle name="요약 8" xfId="3048" xr:uid="{0342FC0A-E0E0-4D2D-9EFC-A0499C2C1FC7}"/>
    <cellStyle name="요약 8 2" xfId="3049" xr:uid="{08C62421-CED2-45FB-8AED-EC1DB5986E75}"/>
    <cellStyle name="요약 9" xfId="3050" xr:uid="{F42D5B16-4A75-47AF-800B-637A06ACFF4A}"/>
    <cellStyle name="요약 9 2" xfId="3051" xr:uid="{66D13D78-9547-41C2-87FE-07F12D952C0C}"/>
    <cellStyle name="입력 10" xfId="3053" xr:uid="{DAF8F806-48A9-4046-85B0-4D9F35E8ED9F}"/>
    <cellStyle name="입력 10 2" xfId="3054" xr:uid="{7FE49CC5-D131-43F9-8FDC-8EB8999180F5}"/>
    <cellStyle name="입력 11" xfId="3055" xr:uid="{DFDCA1B6-B4BE-4A16-A6A1-3967F2909E5F}"/>
    <cellStyle name="입력 11 2" xfId="3056" xr:uid="{9A7074DC-7116-4D62-84DD-0334959F85E3}"/>
    <cellStyle name="입력 12" xfId="3057" xr:uid="{18ADC169-3C1E-41ED-843C-3B6F79971E9B}"/>
    <cellStyle name="입력 12 2" xfId="3058" xr:uid="{4BC717CC-2C1B-4D66-BEFE-7D530F69433A}"/>
    <cellStyle name="입력 13" xfId="3059" xr:uid="{6614DA1B-F54D-4E5B-A395-7621515EE64B}"/>
    <cellStyle name="입력 13 2" xfId="3060" xr:uid="{E29DC816-D829-4C90-838B-831F8BF9F279}"/>
    <cellStyle name="입력 14" xfId="3061" xr:uid="{931CACB6-844F-4BCD-9B77-AB4F7B02844A}"/>
    <cellStyle name="입력 14 2" xfId="3062" xr:uid="{399D5829-CE81-4D94-8C8E-0BD9B2EAE6BF}"/>
    <cellStyle name="입력 15" xfId="3063" xr:uid="{C24EBF50-0383-498F-83EB-22548292D1FA}"/>
    <cellStyle name="입력 15 2" xfId="3064" xr:uid="{871313A8-2C46-4585-83E4-1B94A185CA7F}"/>
    <cellStyle name="입력 16" xfId="3065" xr:uid="{B71619B5-258D-4687-AB43-A91733140499}"/>
    <cellStyle name="입력 16 2" xfId="3066" xr:uid="{A73C9E6A-47A9-4F7E-9281-EB01F861C1B0}"/>
    <cellStyle name="입력 17" xfId="3067" xr:uid="{54ACAAAB-5D1D-44D7-855A-52B8EF5D7558}"/>
    <cellStyle name="입력 17 2" xfId="3068" xr:uid="{89EE1BBD-1C3C-4871-AC39-1D4442F62FF4}"/>
    <cellStyle name="입력 18" xfId="3069" xr:uid="{2127B899-6B26-4081-B674-0FA53BB8FA69}"/>
    <cellStyle name="입력 18 2" xfId="3070" xr:uid="{23FFCEEC-B50E-4EB4-BE1C-07F03E8346F7}"/>
    <cellStyle name="입력 19" xfId="3071" xr:uid="{A14BBEC9-CF0D-4FF6-ADD6-957D11C9D1EF}"/>
    <cellStyle name="입력 19 2" xfId="3072" xr:uid="{EFD50BEB-1922-4630-92E4-797ED1671387}"/>
    <cellStyle name="입력 2" xfId="3073" xr:uid="{11219E91-7D1F-4B43-A317-C00CBAC4F529}"/>
    <cellStyle name="입력 2 2" xfId="3074" xr:uid="{33F500FC-BEDB-41F0-80B3-B1AC48B62BE9}"/>
    <cellStyle name="입력 20" xfId="3075" xr:uid="{86DBBE4A-7901-4525-8853-326528332C3E}"/>
    <cellStyle name="입력 20 2" xfId="3076" xr:uid="{7ACDE8BA-7BBB-4251-9804-52E8FEB263A6}"/>
    <cellStyle name="입력 21" xfId="3077" xr:uid="{29D6A994-E15E-45D2-A9A7-5B1BC05C38F8}"/>
    <cellStyle name="입력 21 2" xfId="3078" xr:uid="{57CF6455-D43E-4DEF-B661-60BD7BA1567B}"/>
    <cellStyle name="입력 22" xfId="3079" xr:uid="{C12B28E7-10F2-4A8F-997E-5EF6E19CC3B4}"/>
    <cellStyle name="입력 22 2" xfId="3080" xr:uid="{856D5899-E519-433A-A5B0-120903CA479E}"/>
    <cellStyle name="입력 23" xfId="3081" xr:uid="{BC17B34D-B921-4F52-9381-35779A8771A5}"/>
    <cellStyle name="입력 23 2" xfId="3082" xr:uid="{81E0777F-AFAE-4122-960F-C49751EB73AA}"/>
    <cellStyle name="입력 24" xfId="3083" xr:uid="{3D966B42-BDD6-4DC9-B951-B22CD4E147AA}"/>
    <cellStyle name="입력 24 2" xfId="3084" xr:uid="{F110C96E-A98C-4016-B0F2-CAC7053F0267}"/>
    <cellStyle name="입력 25" xfId="3085" xr:uid="{41C2DA8F-76E8-4CE1-9C8F-734887F40B75}"/>
    <cellStyle name="입력 25 2" xfId="3086" xr:uid="{1E2C823B-0E84-4BA3-8F73-472309B285F3}"/>
    <cellStyle name="입력 26" xfId="3087" xr:uid="{32F53B31-659A-42F5-A332-4B25EC686924}"/>
    <cellStyle name="입력 26 2" xfId="3088" xr:uid="{F9FED79E-989E-424D-B2F1-B0058798C737}"/>
    <cellStyle name="입력 27" xfId="3089" xr:uid="{B6B6C0A2-76AD-4D47-A006-3F7F8ACFF2B4}"/>
    <cellStyle name="입력 27 2" xfId="3090" xr:uid="{5D286380-9F01-42BC-9472-0C5DBB23D473}"/>
    <cellStyle name="입력 28" xfId="3091" xr:uid="{BD1FB5E1-142C-443C-8FC2-0A096CF08CF8}"/>
    <cellStyle name="입력 28 2" xfId="3092" xr:uid="{9B975D2E-1630-41C8-9350-E11B58BDA612}"/>
    <cellStyle name="입력 29" xfId="3093" xr:uid="{22422F10-8AC0-400C-ACE1-D0C5B8E597E5}"/>
    <cellStyle name="입력 29 2" xfId="3094" xr:uid="{E4960C8B-440F-40DC-8028-ADF26BF4AF5A}"/>
    <cellStyle name="입력 3" xfId="3095" xr:uid="{89C5B5CA-8803-4B87-B2DB-349546D8699C}"/>
    <cellStyle name="입력 3 2" xfId="3096" xr:uid="{2520ED40-0C34-42F0-93AA-E8580B0E987B}"/>
    <cellStyle name="입력 30" xfId="3097" xr:uid="{EA54EC89-4EA3-4ACA-9167-351571B68A34}"/>
    <cellStyle name="입력 30 2" xfId="3098" xr:uid="{0EA1C62B-3207-43BE-9CAF-A1E3C5F67DD5}"/>
    <cellStyle name="입력 31" xfId="3099" xr:uid="{D1930E8B-AB80-421E-B7E4-E1F02FCE4625}"/>
    <cellStyle name="입력 31 2" xfId="3100" xr:uid="{F0AAAAE5-B328-421E-98F3-7F5433BD76A3}"/>
    <cellStyle name="입력 32" xfId="3101" xr:uid="{EE84FF84-F7A4-4816-8D93-ECD9840F0098}"/>
    <cellStyle name="입력 32 2" xfId="3102" xr:uid="{6AC50C02-F031-4722-AF8D-286F55EFFF94}"/>
    <cellStyle name="입력 33" xfId="3103" xr:uid="{8571FCD6-8BF2-40C3-B02C-458054C0D070}"/>
    <cellStyle name="입력 33 2" xfId="3104" xr:uid="{DB120405-087E-4322-83CB-E398F7529462}"/>
    <cellStyle name="입력 34" xfId="3105" xr:uid="{410ABFC4-BFCE-4DE0-8A11-895CFC97A48B}"/>
    <cellStyle name="입력 34 2" xfId="3106" xr:uid="{A8D9BF34-1CD9-4869-878C-CCD1BE0462B6}"/>
    <cellStyle name="입력 35" xfId="3107" xr:uid="{36CF2BFF-418D-4F1A-A458-5569FF9AB577}"/>
    <cellStyle name="입력 35 2" xfId="3108" xr:uid="{C2C748FF-690D-4E1D-82FC-EAFE1D9A2E8C}"/>
    <cellStyle name="입력 36" xfId="3109" xr:uid="{9CF31070-1737-46FE-9E88-59FB5792714A}"/>
    <cellStyle name="입력 36 2" xfId="3110" xr:uid="{DE92B3FA-21B8-4DD7-B982-364B191A875E}"/>
    <cellStyle name="입력 37" xfId="3111" xr:uid="{3AF359A3-2B72-4F54-9263-1707FFA6C1AB}"/>
    <cellStyle name="입력 37 2" xfId="3112" xr:uid="{A1382EB8-FFF9-4281-8ED1-725A2E8A34A4}"/>
    <cellStyle name="입력 38" xfId="3113" xr:uid="{B50100F2-5814-4F49-BEE2-8C2F891942FD}"/>
    <cellStyle name="입력 38 2" xfId="3114" xr:uid="{8339F137-6F2A-4E94-89FF-2AB1F3D638B3}"/>
    <cellStyle name="입력 39" xfId="3115" xr:uid="{F4EB1E6B-84A4-4778-BCDC-367E67C25287}"/>
    <cellStyle name="입력 39 2" xfId="3116" xr:uid="{54967760-0AEA-4FED-B085-15B17F9339C5}"/>
    <cellStyle name="입력 4" xfId="3117" xr:uid="{A180BAC4-33A1-47FB-B6D5-7D95BAC523FF}"/>
    <cellStyle name="입력 4 2" xfId="3118" xr:uid="{7C1B9579-0B6E-485B-AF70-F608D3D91022}"/>
    <cellStyle name="입력 40" xfId="3119" xr:uid="{F601BFCD-B19D-4894-B061-B8182566E30D}"/>
    <cellStyle name="입력 40 2" xfId="3120" xr:uid="{FF602B77-98FF-4A3A-A17C-9ACC502E141A}"/>
    <cellStyle name="입력 41" xfId="3121" xr:uid="{3FBFFA7B-AF9D-4703-97CE-9C2D42DBBD44}"/>
    <cellStyle name="입력 41 2" xfId="3122" xr:uid="{C289623D-94CD-4987-8766-5CA8FE741058}"/>
    <cellStyle name="입력 42" xfId="3123" xr:uid="{2CAD038A-86B5-4914-81FB-EB12B385F3A8}"/>
    <cellStyle name="입력 42 2" xfId="3124" xr:uid="{4726288D-031E-49BC-9449-F0F3D16B676C}"/>
    <cellStyle name="입력 43" xfId="3125" xr:uid="{1BF9CB46-CA7C-46C0-AF41-C0970754B4E4}"/>
    <cellStyle name="입력 43 2" xfId="3126" xr:uid="{52D4BE41-9DF7-45CC-9705-3E2C894163B1}"/>
    <cellStyle name="입력 44" xfId="3127" xr:uid="{C5345379-5AC6-4DF2-84AC-2F4EF216442B}"/>
    <cellStyle name="입력 45" xfId="3128" xr:uid="{321FEDD1-72AD-4A9E-BDC4-FB635A391A13}"/>
    <cellStyle name="입력 46" xfId="3129" xr:uid="{DBA3D5F6-84AB-4898-B040-A2A9C8D58576}"/>
    <cellStyle name="입력 47" xfId="3130" xr:uid="{105021BD-52DE-4487-A424-971BA1E3891F}"/>
    <cellStyle name="입력 48" xfId="3131" xr:uid="{E7BCC97F-C929-43EA-8C99-3E49B820E6D8}"/>
    <cellStyle name="입력 49" xfId="3132" xr:uid="{570A099B-3C6E-4D9A-9A53-BBF582034437}"/>
    <cellStyle name="입력 5" xfId="3133" xr:uid="{9A5F6105-3ABC-4DF4-90B1-CAA89D7B869F}"/>
    <cellStyle name="입력 5 2" xfId="3134" xr:uid="{866508B3-6B89-4939-B8D9-D412D96B665B}"/>
    <cellStyle name="입력 50" xfId="3135" xr:uid="{C1404C9D-82C9-4960-A4F5-1CF816CB7793}"/>
    <cellStyle name="입력 51" xfId="3805" xr:uid="{38A6F7AD-9551-4A04-942A-422DD06B2DD3}"/>
    <cellStyle name="입력 52" xfId="3969" xr:uid="{075035C6-BC07-4127-BDED-35F3FDD37B8D}"/>
    <cellStyle name="입력 53" xfId="4112" xr:uid="{A9F1E16D-2ADE-4047-9C62-7F4FAE4D1D5E}"/>
    <cellStyle name="입력 54" xfId="4284" xr:uid="{5861AB1E-1F94-4D97-AED5-842784D08887}"/>
    <cellStyle name="입력 55" xfId="3052" xr:uid="{7FAB1CEF-B40F-407D-880E-3A0347A7CA77}"/>
    <cellStyle name="입력 6" xfId="3136" xr:uid="{E95DF0A7-8AE1-4F4E-AA6D-D636C6247001}"/>
    <cellStyle name="입력 6 2" xfId="3137" xr:uid="{73FCC201-0BE4-4BFD-B1B8-546F801AF47F}"/>
    <cellStyle name="입력 7" xfId="3138" xr:uid="{06E1DD92-976C-492D-B0B8-35B2C77D7541}"/>
    <cellStyle name="입력 7 2" xfId="3139" xr:uid="{1B5367D5-366D-433C-A5B9-FF0C6CA08489}"/>
    <cellStyle name="입력 8" xfId="3140" xr:uid="{BC426E9D-72B9-4D52-B6FB-45E4FB5E433C}"/>
    <cellStyle name="입력 8 2" xfId="3141" xr:uid="{DD49668D-2FED-4FFF-BAC7-1BBE45057540}"/>
    <cellStyle name="입력 9" xfId="3142" xr:uid="{02BED33F-3735-4E99-A9D4-AD01F8DFF29D}"/>
    <cellStyle name="입력 9 2" xfId="3143" xr:uid="{BEEE1FEC-8DF1-4E03-A065-8A3F9E198C65}"/>
    <cellStyle name="제목 1 10" xfId="3146" xr:uid="{ACD181E5-26B7-46FF-8051-35C5128BB3F6}"/>
    <cellStyle name="제목 1 10 2" xfId="3147" xr:uid="{FB1E7B58-765F-4F42-9F79-2282A5E1AE04}"/>
    <cellStyle name="제목 1 11" xfId="3148" xr:uid="{9CCBFBBC-ED84-40EA-8542-1D70EDF91C7B}"/>
    <cellStyle name="제목 1 11 2" xfId="3149" xr:uid="{00816319-0E3E-46F1-BF0B-2670EC9D0E54}"/>
    <cellStyle name="제목 1 12" xfId="3150" xr:uid="{6E5AB4DF-2E39-4B51-BDA7-0E477A5F1F70}"/>
    <cellStyle name="제목 1 12 2" xfId="3151" xr:uid="{F823C493-3933-47A4-8E8A-95262499E8C8}"/>
    <cellStyle name="제목 1 13" xfId="3152" xr:uid="{16BA96BB-7C67-422C-A15D-289877E4D49A}"/>
    <cellStyle name="제목 1 13 2" xfId="3153" xr:uid="{24D3F288-4257-446C-A2B1-41312BACDCEC}"/>
    <cellStyle name="제목 1 14" xfId="3154" xr:uid="{60F94B9D-6B81-445C-BDAF-67CE233B8BE5}"/>
    <cellStyle name="제목 1 14 2" xfId="3155" xr:uid="{5823FF47-9A08-4FB5-9C1D-0FA7167703A7}"/>
    <cellStyle name="제목 1 15" xfId="3156" xr:uid="{E26788B9-2F58-4661-9418-FBD3316931BC}"/>
    <cellStyle name="제목 1 15 2" xfId="3157" xr:uid="{B99BEF90-4779-45E5-85A8-9CD94058C615}"/>
    <cellStyle name="제목 1 16" xfId="3158" xr:uid="{AF932808-29FC-4251-BF91-79CCD7D7CF56}"/>
    <cellStyle name="제목 1 16 2" xfId="3159" xr:uid="{B67FFBEA-C22D-4F83-AD78-8815906A0079}"/>
    <cellStyle name="제목 1 17" xfId="3160" xr:uid="{348D1856-84DC-4923-A9F4-0BFA0F6E8B29}"/>
    <cellStyle name="제목 1 17 2" xfId="3161" xr:uid="{A7DF66F6-B551-4475-9F90-D2B91DEA89D6}"/>
    <cellStyle name="제목 1 18" xfId="3162" xr:uid="{49FE15A6-C416-4205-8B2C-96000DE1DFE9}"/>
    <cellStyle name="제목 1 18 2" xfId="3163" xr:uid="{C2D4315F-A5E6-4D47-9420-2D1075F11FF1}"/>
    <cellStyle name="제목 1 19" xfId="3164" xr:uid="{28773ADD-6362-4EB3-AC2F-BE5730C5D691}"/>
    <cellStyle name="제목 1 19 2" xfId="3165" xr:uid="{ACA778D7-BD71-4573-AE94-6A31E13B7F09}"/>
    <cellStyle name="제목 1 2" xfId="3166" xr:uid="{15AFB8BC-8ADC-43A9-9682-C23FA3DC979B}"/>
    <cellStyle name="제목 1 2 2" xfId="3167" xr:uid="{528CF89A-788C-4764-B1DF-3EBAC383553F}"/>
    <cellStyle name="제목 1 20" xfId="3168" xr:uid="{B5675AF4-3F16-4EB9-BA51-1B69CF2FD1B1}"/>
    <cellStyle name="제목 1 20 2" xfId="3169" xr:uid="{A66D93A9-0780-42B7-AF35-304015E10B6A}"/>
    <cellStyle name="제목 1 21" xfId="3170" xr:uid="{D6F34EBF-4387-4C71-AABC-2ABF779153FC}"/>
    <cellStyle name="제목 1 21 2" xfId="3171" xr:uid="{4DCA99A0-1A91-4C0A-A9BA-83E8ED261573}"/>
    <cellStyle name="제목 1 22" xfId="3172" xr:uid="{7594280A-ECAE-4FC7-822D-6FA30CCA3E19}"/>
    <cellStyle name="제목 1 22 2" xfId="3173" xr:uid="{EA22E6D4-1877-462F-BD46-F9D87DECB673}"/>
    <cellStyle name="제목 1 23" xfId="3174" xr:uid="{BF54066D-3C15-4BBD-BB5C-6F29C3EAE03F}"/>
    <cellStyle name="제목 1 23 2" xfId="3175" xr:uid="{3FFE798A-6029-4D52-A221-C95D888148AF}"/>
    <cellStyle name="제목 1 24" xfId="3176" xr:uid="{8416D805-B122-46A9-9C48-482DBA2F9AE8}"/>
    <cellStyle name="제목 1 24 2" xfId="3177" xr:uid="{B23FD0D5-D8CF-4CEC-A649-2F4C8F4589C3}"/>
    <cellStyle name="제목 1 25" xfId="3178" xr:uid="{19677BA9-7008-433A-BBCA-D1A02084D5F3}"/>
    <cellStyle name="제목 1 25 2" xfId="3179" xr:uid="{DD830B57-5FF1-4381-9139-6B89DF3663BA}"/>
    <cellStyle name="제목 1 26" xfId="3180" xr:uid="{84C19FC5-C138-43C6-9C0B-82BBB50DEA57}"/>
    <cellStyle name="제목 1 26 2" xfId="3181" xr:uid="{1D216F57-6D1C-4112-A893-CA3DE597DC6A}"/>
    <cellStyle name="제목 1 27" xfId="3182" xr:uid="{016EC999-A2D6-4907-98BD-59CEE4ADCCA6}"/>
    <cellStyle name="제목 1 27 2" xfId="3183" xr:uid="{30744FE8-F4C6-4287-B29C-398FF6EBA946}"/>
    <cellStyle name="제목 1 28" xfId="3184" xr:uid="{0C3633E6-4EB6-4F95-BDDA-ED20509BF920}"/>
    <cellStyle name="제목 1 28 2" xfId="3185" xr:uid="{2F7EE473-5345-4AA0-96DD-DB93D7BC02D6}"/>
    <cellStyle name="제목 1 29" xfId="3186" xr:uid="{EE554F63-0DDD-4C6A-AF8E-98A82FC15911}"/>
    <cellStyle name="제목 1 29 2" xfId="3187" xr:uid="{3FBA9198-2CF1-4E58-A05A-76A8ABDD3A84}"/>
    <cellStyle name="제목 1 3" xfId="3188" xr:uid="{CE576297-16C4-4140-95AF-CBBA75DC35A1}"/>
    <cellStyle name="제목 1 3 2" xfId="3189" xr:uid="{D698C799-0F61-4884-A37E-3A0647A23D12}"/>
    <cellStyle name="제목 1 30" xfId="3190" xr:uid="{DFB1C38B-A09D-456B-82FF-03A53823F489}"/>
    <cellStyle name="제목 1 30 2" xfId="3191" xr:uid="{E55A9F41-D570-4CAA-A5CC-2D2673C6B9EF}"/>
    <cellStyle name="제목 1 31" xfId="3192" xr:uid="{DD6652E9-0481-4ABE-A1BB-3F3E4E781FEA}"/>
    <cellStyle name="제목 1 31 2" xfId="3193" xr:uid="{59714B65-617B-42ED-BC31-95B007DEECA3}"/>
    <cellStyle name="제목 1 32" xfId="3194" xr:uid="{1A57308B-F322-448D-9811-D923C3F15F9A}"/>
    <cellStyle name="제목 1 32 2" xfId="3195" xr:uid="{CABC50C5-EC85-4C1D-8E16-EBE5AF1677E7}"/>
    <cellStyle name="제목 1 33" xfId="3196" xr:uid="{969AE8B4-999A-4214-8806-5FEEE2D37775}"/>
    <cellStyle name="제목 1 33 2" xfId="3197" xr:uid="{8C77D836-AEB4-4E92-9236-556A13BA0DCF}"/>
    <cellStyle name="제목 1 34" xfId="3198" xr:uid="{707D6AE0-152E-4A12-996C-A08EDE4DC0AC}"/>
    <cellStyle name="제목 1 34 2" xfId="3199" xr:uid="{DF4CCF20-4DE5-4A3C-A571-9B0835BE701E}"/>
    <cellStyle name="제목 1 35" xfId="3200" xr:uid="{1D365D5A-C04E-49DD-B8A6-A1732A1FE375}"/>
    <cellStyle name="제목 1 35 2" xfId="3201" xr:uid="{1D3A3BF4-E2C2-4F26-886E-A772E6B79227}"/>
    <cellStyle name="제목 1 36" xfId="3202" xr:uid="{94C74EA7-4EA0-466B-8223-4F012474BC76}"/>
    <cellStyle name="제목 1 36 2" xfId="3203" xr:uid="{9E7B0843-A710-496E-9509-0B44AFFB9AF7}"/>
    <cellStyle name="제목 1 37" xfId="3204" xr:uid="{6E488EBB-5AEA-4ECA-9957-E3CAEE6F698C}"/>
    <cellStyle name="제목 1 37 2" xfId="3205" xr:uid="{7525CA3C-27B4-4BBF-9B78-812887B57B8F}"/>
    <cellStyle name="제목 1 38" xfId="3206" xr:uid="{93E4C3F8-3B2B-4A14-AB60-EB6951671685}"/>
    <cellStyle name="제목 1 38 2" xfId="3207" xr:uid="{5123AB0F-8BDF-44AD-9033-DCB09769BA50}"/>
    <cellStyle name="제목 1 39" xfId="3208" xr:uid="{BA452F62-73FB-4C8B-BC02-5ECDCA13960D}"/>
    <cellStyle name="제목 1 39 2" xfId="3209" xr:uid="{917B0FA7-8848-4728-BE67-8ABE8BE8A799}"/>
    <cellStyle name="제목 1 4" xfId="3210" xr:uid="{3DD9D271-F928-4695-A2E5-FD6C7DFC6290}"/>
    <cellStyle name="제목 1 4 2" xfId="3211" xr:uid="{07992187-582E-4FB3-973E-B7862164608A}"/>
    <cellStyle name="제목 1 40" xfId="3212" xr:uid="{7D1F162D-BCD8-4D85-A15D-1D80F69E69E3}"/>
    <cellStyle name="제목 1 40 2" xfId="3213" xr:uid="{258AB9F0-A254-4BA3-AC25-17064C88A566}"/>
    <cellStyle name="제목 1 41" xfId="3214" xr:uid="{3FF64599-CAA4-4064-BDC6-133FA3482179}"/>
    <cellStyle name="제목 1 41 2" xfId="3215" xr:uid="{D97C1823-146D-42FB-93E6-CFE02448009D}"/>
    <cellStyle name="제목 1 42" xfId="3216" xr:uid="{0D5E8797-E23C-4D41-BC60-933502D97CE2}"/>
    <cellStyle name="제목 1 42 2" xfId="3217" xr:uid="{6EECA077-5A70-42EB-9C15-D8F6A1F9A5BF}"/>
    <cellStyle name="제목 1 43" xfId="3218" xr:uid="{998F6E29-4963-493F-A5C7-B0D9EE02ACB8}"/>
    <cellStyle name="제목 1 43 2" xfId="3219" xr:uid="{E96C394D-F24E-4D61-9E0D-31F90A238289}"/>
    <cellStyle name="제목 1 44" xfId="3220" xr:uid="{8BDFFE59-5A82-4C88-93C4-824668F358C0}"/>
    <cellStyle name="제목 1 45" xfId="3221" xr:uid="{242E2A35-9B97-42D1-BA89-6CEA0014D515}"/>
    <cellStyle name="제목 1 46" xfId="3222" xr:uid="{8025615C-CC92-4675-A317-4968F3491DEF}"/>
    <cellStyle name="제목 1 47" xfId="3223" xr:uid="{6B5416BD-A7D6-458A-8FD1-BF22FCC81333}"/>
    <cellStyle name="제목 1 48" xfId="3224" xr:uid="{37B2E3A0-848F-4AC6-88D5-CBB091870C3F}"/>
    <cellStyle name="제목 1 49" xfId="3225" xr:uid="{6683A53D-FBD5-4676-97F2-0B64FB441E0D}"/>
    <cellStyle name="제목 1 5" xfId="3226" xr:uid="{706EDD43-4D05-455F-B2E1-49E58FE75224}"/>
    <cellStyle name="제목 1 5 2" xfId="3227" xr:uid="{E7C2E7D9-C62A-4701-80E9-FF76F854BAC7}"/>
    <cellStyle name="제목 1 50" xfId="3228" xr:uid="{F73AE9B0-C7E5-4229-A68D-94232DB10BC9}"/>
    <cellStyle name="제목 1 51" xfId="3798" xr:uid="{16A05F1D-8864-40B0-BB3D-3D3B4216ACAA}"/>
    <cellStyle name="제목 1 52" xfId="3962" xr:uid="{29F55DE2-209F-4458-A58A-DEEE24F80C8A}"/>
    <cellStyle name="제목 1 53" xfId="4114" xr:uid="{70B9DD4D-7BA1-492E-8B8F-80491B139BC9}"/>
    <cellStyle name="제목 1 54" xfId="4286" xr:uid="{5FEBAF80-EEE5-45FE-B08F-7804CEAC1987}"/>
    <cellStyle name="제목 1 55" xfId="3145" xr:uid="{8BE2ED89-F719-4765-8D85-B96FF4DC31D8}"/>
    <cellStyle name="제목 1 6" xfId="3229" xr:uid="{2FC39DE2-82AF-4033-BFF6-20E81F942B27}"/>
    <cellStyle name="제목 1 6 2" xfId="3230" xr:uid="{45B7B33D-822C-41B2-AED4-D7FC217C51A0}"/>
    <cellStyle name="제목 1 7" xfId="3231" xr:uid="{E38A0ACE-11BD-467B-9867-9B3EE7425348}"/>
    <cellStyle name="제목 1 7 2" xfId="3232" xr:uid="{6CA408E1-E547-4F41-9AC1-CAA49B4A8455}"/>
    <cellStyle name="제목 1 8" xfId="3233" xr:uid="{50713048-9787-47A6-B053-AA4B5D840B76}"/>
    <cellStyle name="제목 1 8 2" xfId="3234" xr:uid="{7A214AFB-797F-4360-825C-346E2F94D865}"/>
    <cellStyle name="제목 1 9" xfId="3235" xr:uid="{CDC49E92-AF80-444B-AA64-CC3E2D9AB1FE}"/>
    <cellStyle name="제목 1 9 2" xfId="3236" xr:uid="{716498A2-ACEB-4278-8E20-FDA3C088D43B}"/>
    <cellStyle name="제목 10" xfId="3237" xr:uid="{F8E2F25B-A721-4061-A4AA-70FCFE132FE4}"/>
    <cellStyle name="제목 10 2" xfId="3238" xr:uid="{1D87214A-9520-43D0-9F85-A60CBBC44C8A}"/>
    <cellStyle name="제목 11" xfId="3239" xr:uid="{907F304D-3F46-4ACD-87AC-F82F8C92845F}"/>
    <cellStyle name="제목 11 2" xfId="3240" xr:uid="{CAA62505-4329-460B-825E-0619A79DEDA5}"/>
    <cellStyle name="제목 12" xfId="3241" xr:uid="{D3195ABF-B68B-4D97-8DE6-F86D9E5BC9B9}"/>
    <cellStyle name="제목 12 2" xfId="3242" xr:uid="{96D7D8DA-BDEE-406B-8749-6B3B35FBD01C}"/>
    <cellStyle name="제목 13" xfId="3243" xr:uid="{CBA153AB-91B7-46A8-AEAF-16FFC0F9AFF7}"/>
    <cellStyle name="제목 13 2" xfId="3244" xr:uid="{3B2CCC0A-49A1-4F4C-8ED7-037ADCD180D9}"/>
    <cellStyle name="제목 14" xfId="3245" xr:uid="{E3D11B07-431B-4DFB-9104-49C1A2DF07C9}"/>
    <cellStyle name="제목 14 2" xfId="3246" xr:uid="{F98BB0FD-E90C-4D6A-A2C0-E1EA99B146BA}"/>
    <cellStyle name="제목 15" xfId="3247" xr:uid="{75F63C82-3E87-4578-A311-D500B5A74E55}"/>
    <cellStyle name="제목 15 2" xfId="3248" xr:uid="{AA7BD6DF-9E28-4D87-AC2C-A953A569146D}"/>
    <cellStyle name="제목 16" xfId="3249" xr:uid="{90897C48-4039-4743-BB47-54A1A9D96103}"/>
    <cellStyle name="제목 16 2" xfId="3250" xr:uid="{45ECFAC9-031A-4CC9-897D-C0839FBAFB4A}"/>
    <cellStyle name="제목 17" xfId="3251" xr:uid="{CD78C2ED-37F1-422E-BB92-2431046E228D}"/>
    <cellStyle name="제목 17 2" xfId="3252" xr:uid="{CFB3BC60-E5CA-4D25-A2E5-7A2BC8622AA4}"/>
    <cellStyle name="제목 18" xfId="3253" xr:uid="{5BEC339B-19DA-4168-BD01-A26F8CA468DF}"/>
    <cellStyle name="제목 18 2" xfId="3254" xr:uid="{D7BA7CDD-A7FC-498D-8EA2-02BE8DD7A74F}"/>
    <cellStyle name="제목 19" xfId="3255" xr:uid="{694335B8-B737-45AB-BB7D-DAD181F65F0B}"/>
    <cellStyle name="제목 19 2" xfId="3256" xr:uid="{81816478-FB71-48B8-A8FC-50A0626F8543}"/>
    <cellStyle name="제목 2 10" xfId="3258" xr:uid="{B1FFC89C-13A6-4CFB-B47B-D82B7E782E0A}"/>
    <cellStyle name="제목 2 10 2" xfId="3259" xr:uid="{6B848074-8D4A-4542-A554-29CE5E2985F5}"/>
    <cellStyle name="제목 2 11" xfId="3260" xr:uid="{53CB2F95-167C-42C9-851A-739812EA302F}"/>
    <cellStyle name="제목 2 11 2" xfId="3261" xr:uid="{B3989932-EB3B-49A9-AC52-995738AAA887}"/>
    <cellStyle name="제목 2 12" xfId="3262" xr:uid="{8F953E4B-D546-4150-96D5-F9C351AAA3CA}"/>
    <cellStyle name="제목 2 12 2" xfId="3263" xr:uid="{6A75A717-E212-48DE-9951-E45CDCCE3A83}"/>
    <cellStyle name="제목 2 13" xfId="3264" xr:uid="{F90299F4-91CD-42A8-BCCE-ED6A4D6FD07A}"/>
    <cellStyle name="제목 2 13 2" xfId="3265" xr:uid="{1388939C-2034-48BD-83A3-913D688B72CB}"/>
    <cellStyle name="제목 2 14" xfId="3266" xr:uid="{55719981-1012-40D0-8057-23A0C44F00FF}"/>
    <cellStyle name="제목 2 14 2" xfId="3267" xr:uid="{5EAFC82B-0F1E-4A44-8879-229780C97037}"/>
    <cellStyle name="제목 2 15" xfId="3268" xr:uid="{A148132D-732F-4D32-91D0-39696FEB8748}"/>
    <cellStyle name="제목 2 15 2" xfId="3269" xr:uid="{1A6F87A6-56A8-4B83-BF40-A288268C70B9}"/>
    <cellStyle name="제목 2 16" xfId="3270" xr:uid="{9F779D17-A81D-445C-8F01-FA3623EE11CA}"/>
    <cellStyle name="제목 2 16 2" xfId="3271" xr:uid="{17EDBE61-93A6-4420-8F69-ADA5F9F9EFE2}"/>
    <cellStyle name="제목 2 17" xfId="3272" xr:uid="{8FEB7E5D-0C7D-42BB-8677-6A95627C181D}"/>
    <cellStyle name="제목 2 17 2" xfId="3273" xr:uid="{66AE631F-11A1-4336-9864-64F2CBCCDD80}"/>
    <cellStyle name="제목 2 18" xfId="3274" xr:uid="{EC01138C-BA3E-4ED0-9C44-F6ACF6025FEB}"/>
    <cellStyle name="제목 2 18 2" xfId="3275" xr:uid="{D3990438-A989-4261-A708-8C8B9DF273DA}"/>
    <cellStyle name="제목 2 19" xfId="3276" xr:uid="{3C21119D-CC69-49D9-B214-D5DF29186CFC}"/>
    <cellStyle name="제목 2 19 2" xfId="3277" xr:uid="{AA1C8273-C3AF-4885-9B45-41189C3CA886}"/>
    <cellStyle name="제목 2 2" xfId="3278" xr:uid="{9747654F-338D-4EC7-A331-99BB55143542}"/>
    <cellStyle name="제목 2 2 2" xfId="3279" xr:uid="{CE29C81E-CF65-49E0-8B1F-360451A51D2E}"/>
    <cellStyle name="제목 2 20" xfId="3280" xr:uid="{A54A5141-789A-4A87-9FDE-2CB2E0BDD6F3}"/>
    <cellStyle name="제목 2 20 2" xfId="3281" xr:uid="{74A67DCA-5F59-4CA3-9476-CDC6848183A4}"/>
    <cellStyle name="제목 2 21" xfId="3282" xr:uid="{6EC410F0-C57F-43DB-B7DB-A5F3AB36F9C4}"/>
    <cellStyle name="제목 2 21 2" xfId="3283" xr:uid="{F68F546B-61A0-4E13-A6CC-A56B9B25AA3C}"/>
    <cellStyle name="제목 2 22" xfId="3284" xr:uid="{2BA1B4D7-491F-4102-88A7-E2E59FBF8096}"/>
    <cellStyle name="제목 2 22 2" xfId="3285" xr:uid="{2DA8DEE1-C5D6-47B9-84FD-452AAF00C6EF}"/>
    <cellStyle name="제목 2 23" xfId="3286" xr:uid="{5EB068D7-2C11-465A-9AD7-76C0F602818C}"/>
    <cellStyle name="제목 2 23 2" xfId="3287" xr:uid="{A6179D69-4E37-4518-BCDC-FE8FF14992EE}"/>
    <cellStyle name="제목 2 24" xfId="3288" xr:uid="{BA91ACD7-22BD-44B7-BE02-B481F7F387A7}"/>
    <cellStyle name="제목 2 24 2" xfId="3289" xr:uid="{151F9091-73F2-472B-945B-39074AC5F3AA}"/>
    <cellStyle name="제목 2 25" xfId="3290" xr:uid="{F7E03081-9559-47E7-BCB5-EB8E14B912CA}"/>
    <cellStyle name="제목 2 25 2" xfId="3291" xr:uid="{FB9F2332-DBCF-4644-905A-0BB82A77393E}"/>
    <cellStyle name="제목 2 26" xfId="3292" xr:uid="{D28479C5-2132-44A1-AF21-3632DF6FB743}"/>
    <cellStyle name="제목 2 26 2" xfId="3293" xr:uid="{C7871A07-CF6E-4334-AFBE-69F405627BA0}"/>
    <cellStyle name="제목 2 27" xfId="3294" xr:uid="{711CDA68-E2F0-4A76-BC59-AA40E6A01B88}"/>
    <cellStyle name="제목 2 27 2" xfId="3295" xr:uid="{3C1AFC9E-DF15-4174-9D5E-61E997BCE5BA}"/>
    <cellStyle name="제목 2 28" xfId="3296" xr:uid="{D9E21CB8-FC64-40A9-AF14-F2E2901EFF58}"/>
    <cellStyle name="제목 2 28 2" xfId="3297" xr:uid="{22F91C6E-C11A-4E80-9BD3-0E93C06AAA53}"/>
    <cellStyle name="제목 2 29" xfId="3298" xr:uid="{F132DC51-0E1B-44AB-8978-E4BC23F46EE5}"/>
    <cellStyle name="제목 2 29 2" xfId="3299" xr:uid="{913DF54E-3BCC-4C3C-A2FB-62CBC9283428}"/>
    <cellStyle name="제목 2 3" xfId="3300" xr:uid="{1E925861-50CB-4C99-A508-E047333011FD}"/>
    <cellStyle name="제목 2 3 2" xfId="3301" xr:uid="{70CFB58F-142E-4CC5-923A-875DCC3FABD9}"/>
    <cellStyle name="제목 2 30" xfId="3302" xr:uid="{0B53AEE5-E1D2-4C89-A7E5-0C2FB5041621}"/>
    <cellStyle name="제목 2 30 2" xfId="3303" xr:uid="{346134E8-072C-4248-B856-E3CF8CBB0139}"/>
    <cellStyle name="제목 2 31" xfId="3304" xr:uid="{D83E6B57-0BF0-43CF-B4B9-3F783A7878BB}"/>
    <cellStyle name="제목 2 31 2" xfId="3305" xr:uid="{07343AC7-D679-4688-9F52-3F4CF73F7472}"/>
    <cellStyle name="제목 2 32" xfId="3306" xr:uid="{4A7A3FB8-1C49-433C-AD48-446686DC7F75}"/>
    <cellStyle name="제목 2 32 2" xfId="3307" xr:uid="{98EEC196-0D8F-4989-B6D3-870905B4FC65}"/>
    <cellStyle name="제목 2 33" xfId="3308" xr:uid="{88DCA220-2E0D-4DA0-9DF5-43855F020F11}"/>
    <cellStyle name="제목 2 33 2" xfId="3309" xr:uid="{A00DD380-753D-4D00-AA1C-6142585ADD62}"/>
    <cellStyle name="제목 2 34" xfId="3310" xr:uid="{670E1FF1-34EC-4FB5-955E-7E49ED1FCA92}"/>
    <cellStyle name="제목 2 34 2" xfId="3311" xr:uid="{8F87A165-C105-4034-B7B2-B8F238AB9349}"/>
    <cellStyle name="제목 2 35" xfId="3312" xr:uid="{38F85751-6DF2-4B7B-9160-F6924176D5AF}"/>
    <cellStyle name="제목 2 35 2" xfId="3313" xr:uid="{AA2CAE7B-1BE8-42A1-97A9-510293653E31}"/>
    <cellStyle name="제목 2 36" xfId="3314" xr:uid="{B2676F50-C3F8-4732-BC57-A7937C89BB7B}"/>
    <cellStyle name="제목 2 36 2" xfId="3315" xr:uid="{00622387-79E5-4EBC-A5F8-588EEA653695}"/>
    <cellStyle name="제목 2 37" xfId="3316" xr:uid="{6A988BBF-5D70-450F-8131-1C8EDED4DC2F}"/>
    <cellStyle name="제목 2 37 2" xfId="3317" xr:uid="{37E528F2-1237-48D6-83D3-4DA9869BD4C6}"/>
    <cellStyle name="제목 2 38" xfId="3318" xr:uid="{C5E146E9-9408-4482-AD24-4639A23B299E}"/>
    <cellStyle name="제목 2 38 2" xfId="3319" xr:uid="{18F8C905-1937-4C7A-84CF-6AC205B5D9B8}"/>
    <cellStyle name="제목 2 39" xfId="3320" xr:uid="{85CCDF54-53E1-4127-B4B2-F48597C2B1DC}"/>
    <cellStyle name="제목 2 39 2" xfId="3321" xr:uid="{D46566DE-5C4A-4592-9B4A-ACD97BE7FDDA}"/>
    <cellStyle name="제목 2 4" xfId="3322" xr:uid="{971A50DB-4201-4FFC-8957-0573BA6C9124}"/>
    <cellStyle name="제목 2 4 2" xfId="3323" xr:uid="{CC9A10C2-B578-4811-82ED-E19C28C28E4F}"/>
    <cellStyle name="제목 2 40" xfId="3324" xr:uid="{6CDEB30E-2583-41B7-A2E2-4CAD46B366C1}"/>
    <cellStyle name="제목 2 40 2" xfId="3325" xr:uid="{A2490323-0B8A-4189-899E-EBAAAEC5ACAB}"/>
    <cellStyle name="제목 2 41" xfId="3326" xr:uid="{336714A9-C301-4013-9422-5BD1C207EFA1}"/>
    <cellStyle name="제목 2 41 2" xfId="3327" xr:uid="{E7173E89-7A38-40D3-8B16-198126F91FCC}"/>
    <cellStyle name="제목 2 42" xfId="3328" xr:uid="{E144E19C-8982-42B4-A73F-BE421F9E5DF1}"/>
    <cellStyle name="제목 2 42 2" xfId="3329" xr:uid="{43AE0787-8568-459E-9E34-1E8A968F37EA}"/>
    <cellStyle name="제목 2 43" xfId="3330" xr:uid="{C2D7C0E5-A92A-4D16-B738-F198BA9160CD}"/>
    <cellStyle name="제목 2 43 2" xfId="3331" xr:uid="{52A057EF-6709-4071-887D-FA2624E840FD}"/>
    <cellStyle name="제목 2 44" xfId="3332" xr:uid="{3E1281D6-C0E6-4944-9B45-B3ED262DF0ED}"/>
    <cellStyle name="제목 2 45" xfId="3333" xr:uid="{360FF329-8F45-4887-8047-286476D30A1E}"/>
    <cellStyle name="제목 2 46" xfId="3334" xr:uid="{C3B853B4-545F-48B0-83E8-02186103C549}"/>
    <cellStyle name="제목 2 47" xfId="3335" xr:uid="{C2228C54-3107-4DA9-8CD7-115857CD330E}"/>
    <cellStyle name="제목 2 48" xfId="3336" xr:uid="{D95B8252-1394-484A-BD03-610FBE7DD6F1}"/>
    <cellStyle name="제목 2 49" xfId="3337" xr:uid="{3B035DF6-1A73-43AD-8F89-4BC9A2659535}"/>
    <cellStyle name="제목 2 5" xfId="3338" xr:uid="{E3C76EB5-A137-4AD4-BDA3-DC64BE7796B7}"/>
    <cellStyle name="제목 2 5 2" xfId="3339" xr:uid="{EBC4F20A-DAD6-4BB0-B397-614F3A74447D}"/>
    <cellStyle name="제목 2 50" xfId="3340" xr:uid="{02235754-54DA-4E9A-81AA-9BEFFAECDEC5}"/>
    <cellStyle name="제목 2 51" xfId="3799" xr:uid="{DD937ACD-031B-47E1-9E99-6D15319B6E24}"/>
    <cellStyle name="제목 2 52" xfId="3963" xr:uid="{B04F48E9-F0D5-4F86-803E-D958562DEF70}"/>
    <cellStyle name="제목 2 53" xfId="4115" xr:uid="{DF4A76DE-3CAF-4D79-90ED-2BF4A0680DC5}"/>
    <cellStyle name="제목 2 54" xfId="4287" xr:uid="{D86926A8-3ADA-4D7E-980C-191AC60C50BB}"/>
    <cellStyle name="제목 2 55" xfId="3257" xr:uid="{1CDBD0DE-74D2-4EB4-88D1-A4BB74CFF57D}"/>
    <cellStyle name="제목 2 6" xfId="3341" xr:uid="{9B1F4CF8-4AB3-4C5A-8B2D-E8ECB49F5392}"/>
    <cellStyle name="제목 2 6 2" xfId="3342" xr:uid="{7C1661C0-8319-42AD-A624-E43CDDF211C0}"/>
    <cellStyle name="제목 2 7" xfId="3343" xr:uid="{92DFEEAA-8828-43AF-912B-3E969CDA604B}"/>
    <cellStyle name="제목 2 7 2" xfId="3344" xr:uid="{A143EC33-A4CC-4C1C-8C51-9BF043C50EE8}"/>
    <cellStyle name="제목 2 8" xfId="3345" xr:uid="{825FB015-8D81-4503-80EB-FD1678D34A2E}"/>
    <cellStyle name="제목 2 8 2" xfId="3346" xr:uid="{206A3B3F-52B6-4C5D-A692-3442A3C8C233}"/>
    <cellStyle name="제목 2 9" xfId="3347" xr:uid="{61071B3D-69E4-406A-A676-227E2DEFBF75}"/>
    <cellStyle name="제목 2 9 2" xfId="3348" xr:uid="{06F3038D-DD72-426C-90BD-50A27FC19535}"/>
    <cellStyle name="제목 20" xfId="3349" xr:uid="{303655D6-80F4-407B-BE34-D4C274A5F23E}"/>
    <cellStyle name="제목 20 2" xfId="3350" xr:uid="{B986E5FC-F828-4CF8-B24F-5B20158CE3D3}"/>
    <cellStyle name="제목 21" xfId="3351" xr:uid="{C0B15886-4DCA-489A-BC9F-D60FA6474A58}"/>
    <cellStyle name="제목 21 2" xfId="3352" xr:uid="{74481C36-B48A-4CDB-B439-B4E9BF3C77C2}"/>
    <cellStyle name="제목 22" xfId="3353" xr:uid="{488B7984-B31B-4F58-A705-B430A878DF56}"/>
    <cellStyle name="제목 22 2" xfId="3354" xr:uid="{82333371-AAF2-4519-8386-63E58FA89460}"/>
    <cellStyle name="제목 23" xfId="3355" xr:uid="{88C3D8A1-46B2-4877-AB86-902CEF3D03AC}"/>
    <cellStyle name="제목 23 2" xfId="3356" xr:uid="{71CF4A55-9B15-4305-BFD9-96A2FA7B315F}"/>
    <cellStyle name="제목 24" xfId="3357" xr:uid="{A114531E-A568-41D0-A6AC-2E234C976E11}"/>
    <cellStyle name="제목 24 2" xfId="3358" xr:uid="{FCADF523-A4CE-4D11-8BAD-CADE3EE1994B}"/>
    <cellStyle name="제목 25" xfId="3359" xr:uid="{951B72BD-3FCB-4583-B541-832C13C6F3A4}"/>
    <cellStyle name="제목 25 2" xfId="3360" xr:uid="{9015B772-58C9-4182-8D98-DB6B29C9F430}"/>
    <cellStyle name="제목 26" xfId="3361" xr:uid="{E55E41BC-1E5B-4BBF-BDCF-C78082075563}"/>
    <cellStyle name="제목 26 2" xfId="3362" xr:uid="{D4C272C8-ED4D-4CBA-BEBF-3781789476C7}"/>
    <cellStyle name="제목 27" xfId="3363" xr:uid="{F1CCD712-8781-466D-A9ED-A5A1A82DA18D}"/>
    <cellStyle name="제목 27 2" xfId="3364" xr:uid="{AA8FACDF-B8A3-486E-99E3-2291E7DE4B91}"/>
    <cellStyle name="제목 28" xfId="3365" xr:uid="{A46B2F46-ADD7-421F-8FA1-3BA92239FCBA}"/>
    <cellStyle name="제목 28 2" xfId="3366" xr:uid="{A2118510-FC4B-4ACD-9EAD-2812F0BAF3B5}"/>
    <cellStyle name="제목 29" xfId="3367" xr:uid="{37B63712-363F-4A50-A5DB-85AA1CC766A6}"/>
    <cellStyle name="제목 29 2" xfId="3368" xr:uid="{C23CBFD6-3FB4-455C-B329-723173C16520}"/>
    <cellStyle name="제목 3 10" xfId="3370" xr:uid="{01B2CEE2-54FC-47FD-B2AE-61C3512DF7A8}"/>
    <cellStyle name="제목 3 10 2" xfId="3371" xr:uid="{A7A68959-86FA-4CFB-8B6A-609AB4809ACD}"/>
    <cellStyle name="제목 3 11" xfId="3372" xr:uid="{23D741A9-B63F-4829-AB93-ACF31642F5DE}"/>
    <cellStyle name="제목 3 11 2" xfId="3373" xr:uid="{D1973407-D4DE-4E4E-8C1D-2111F0CCEB7D}"/>
    <cellStyle name="제목 3 12" xfId="3374" xr:uid="{36967C81-D4C1-46B4-92FF-8BC1036FAF64}"/>
    <cellStyle name="제목 3 12 2" xfId="3375" xr:uid="{427671B7-546A-472F-B544-FA6557DB8964}"/>
    <cellStyle name="제목 3 13" xfId="3376" xr:uid="{19AA4358-D278-485F-AC12-FC89E8405169}"/>
    <cellStyle name="제목 3 13 2" xfId="3377" xr:uid="{72951862-CC46-44EE-BD32-1F67FE753651}"/>
    <cellStyle name="제목 3 14" xfId="3378" xr:uid="{88FB44E3-DB29-41AC-BA91-6A0EF3127ED9}"/>
    <cellStyle name="제목 3 14 2" xfId="3379" xr:uid="{61E712C6-4A6D-4A5F-9D04-A85363238D9B}"/>
    <cellStyle name="제목 3 15" xfId="3380" xr:uid="{798012F2-1DAF-4D86-BA05-924A0EE999EA}"/>
    <cellStyle name="제목 3 15 2" xfId="3381" xr:uid="{BC36F454-296F-4A52-9913-EF82F5F9ED5D}"/>
    <cellStyle name="제목 3 16" xfId="3382" xr:uid="{FCECB3E4-870B-415A-953E-6499AEBDCF80}"/>
    <cellStyle name="제목 3 16 2" xfId="3383" xr:uid="{77CC451C-C84B-444C-8750-38BAF3C6475E}"/>
    <cellStyle name="제목 3 17" xfId="3384" xr:uid="{D8FE554A-C0C2-4034-A13B-521CA03EA44F}"/>
    <cellStyle name="제목 3 17 2" xfId="3385" xr:uid="{7DA13AC2-641C-4498-8A5A-10DEAB6CE562}"/>
    <cellStyle name="제목 3 18" xfId="3386" xr:uid="{2D0A3566-C7FA-4A2A-9FBD-143183F26472}"/>
    <cellStyle name="제목 3 18 2" xfId="3387" xr:uid="{53592AFA-B6F9-435A-9ECB-C56BD3A9680C}"/>
    <cellStyle name="제목 3 19" xfId="3388" xr:uid="{8BA68423-C67A-4C7C-9632-716C8D14792B}"/>
    <cellStyle name="제목 3 19 2" xfId="3389" xr:uid="{547F7121-1AC9-4499-912F-25F158922984}"/>
    <cellStyle name="제목 3 2" xfId="3390" xr:uid="{F79F8A52-9FAE-417A-9B50-BD4A46898E36}"/>
    <cellStyle name="제목 3 2 2" xfId="3391" xr:uid="{CB3F069E-B7C3-428F-A1AB-0DCA6A4E3A81}"/>
    <cellStyle name="제목 3 20" xfId="3392" xr:uid="{70BB56BC-0063-4459-86DA-1555386DFAC5}"/>
    <cellStyle name="제목 3 20 2" xfId="3393" xr:uid="{D7F8A9EE-E6FD-4666-9A28-BF795B76331C}"/>
    <cellStyle name="제목 3 21" xfId="3394" xr:uid="{653F6C0B-3E4D-4B9F-B815-3D738D78A499}"/>
    <cellStyle name="제목 3 21 2" xfId="3395" xr:uid="{69C5EE75-4D21-4DAA-B99A-F5CF98931C55}"/>
    <cellStyle name="제목 3 22" xfId="3396" xr:uid="{F86D82E0-9800-452C-A5D9-95D330788E28}"/>
    <cellStyle name="제목 3 22 2" xfId="3397" xr:uid="{B9D80B1A-D9BC-41D6-AC6C-661B66F343BF}"/>
    <cellStyle name="제목 3 23" xfId="3398" xr:uid="{D130AB0E-1562-49FE-9276-1B4680DF9786}"/>
    <cellStyle name="제목 3 23 2" xfId="3399" xr:uid="{036775C6-10C5-4F86-9F75-769387166068}"/>
    <cellStyle name="제목 3 24" xfId="3400" xr:uid="{2530BBD4-8C34-4090-92F8-ED95D131E166}"/>
    <cellStyle name="제목 3 24 2" xfId="3401" xr:uid="{F2F47972-9809-4C63-9335-2EE4821E57D2}"/>
    <cellStyle name="제목 3 25" xfId="3402" xr:uid="{5F08C688-2157-485D-8563-380305917C75}"/>
    <cellStyle name="제목 3 25 2" xfId="3403" xr:uid="{4F6F3B9F-A2BF-4761-9FD1-DF21D984D2D2}"/>
    <cellStyle name="제목 3 26" xfId="3404" xr:uid="{B565480D-0EFF-4A32-A064-F205F9271D67}"/>
    <cellStyle name="제목 3 26 2" xfId="3405" xr:uid="{52D24ED1-4FE4-4A98-8C09-DB60D03E9307}"/>
    <cellStyle name="제목 3 27" xfId="3406" xr:uid="{D35BAB36-93FA-4C46-B203-0905C941134C}"/>
    <cellStyle name="제목 3 27 2" xfId="3407" xr:uid="{658FEE7A-8E8E-4430-A2A8-B575128A23AC}"/>
    <cellStyle name="제목 3 28" xfId="3408" xr:uid="{7CCD066A-7BE8-4337-877C-03D5338488CD}"/>
    <cellStyle name="제목 3 28 2" xfId="3409" xr:uid="{1B98EC37-C8A2-4814-9487-D41BD56CFC3A}"/>
    <cellStyle name="제목 3 29" xfId="3410" xr:uid="{BA1D57E4-3CEA-46A6-B327-7452CBBE3CE1}"/>
    <cellStyle name="제목 3 29 2" xfId="3411" xr:uid="{D95A56C9-1A58-477B-B5F4-79682D326A4E}"/>
    <cellStyle name="제목 3 3" xfId="3412" xr:uid="{7A43C05A-494A-4E86-B97C-5F75609B023A}"/>
    <cellStyle name="제목 3 3 2" xfId="3413" xr:uid="{BB32A20E-5563-4D7C-9626-43848874FCD9}"/>
    <cellStyle name="제목 3 30" xfId="3414" xr:uid="{9CCD9BB8-0388-4185-9766-4E5EA3E99737}"/>
    <cellStyle name="제목 3 30 2" xfId="3415" xr:uid="{22297B36-C6CB-4A33-BBDC-FBF018A11315}"/>
    <cellStyle name="제목 3 31" xfId="3416" xr:uid="{7BCA3655-6CB6-448D-9350-0740F57E8AAA}"/>
    <cellStyle name="제목 3 31 2" xfId="3417" xr:uid="{3F709597-F37A-406E-A3DD-8D0F3166AF7C}"/>
    <cellStyle name="제목 3 32" xfId="3418" xr:uid="{C107FC78-8D9B-49DE-99BD-C2FFA4ADDE26}"/>
    <cellStyle name="제목 3 32 2" xfId="3419" xr:uid="{EF17F238-923A-41A0-83E8-0DB14F734D94}"/>
    <cellStyle name="제목 3 33" xfId="3420" xr:uid="{C29F6732-20E1-45BA-A73F-E69AC0718340}"/>
    <cellStyle name="제목 3 33 2" xfId="3421" xr:uid="{E7AF3D14-1273-439A-A157-CDA0567CAA56}"/>
    <cellStyle name="제목 3 34" xfId="3422" xr:uid="{7EF6DE93-960E-4162-A0C5-57EF57409B4A}"/>
    <cellStyle name="제목 3 34 2" xfId="3423" xr:uid="{09EC4611-E089-4B72-AF45-8649D758DB90}"/>
    <cellStyle name="제목 3 35" xfId="3424" xr:uid="{98E04232-95E1-4DDC-8565-B427700FA9F4}"/>
    <cellStyle name="제목 3 35 2" xfId="3425" xr:uid="{56A00FCF-154D-40ED-9A6F-C6DC9CADF039}"/>
    <cellStyle name="제목 3 36" xfId="3426" xr:uid="{BF95A53B-6245-48BF-A4A7-B4D43CB6A73E}"/>
    <cellStyle name="제목 3 36 2" xfId="3427" xr:uid="{CEB4FCDD-6096-4292-9D1B-C4AF00C7CDA2}"/>
    <cellStyle name="제목 3 37" xfId="3428" xr:uid="{864B6F8A-94BA-4893-9116-11D0BA34CD6C}"/>
    <cellStyle name="제목 3 37 2" xfId="3429" xr:uid="{06EF641C-0762-4578-A921-696A87D31AAA}"/>
    <cellStyle name="제목 3 38" xfId="3430" xr:uid="{4689ED20-9C20-4DE3-BD1C-031EB5741483}"/>
    <cellStyle name="제목 3 38 2" xfId="3431" xr:uid="{DDEF0A6B-68B0-4798-8736-1D3010A344A5}"/>
    <cellStyle name="제목 3 39" xfId="3432" xr:uid="{6058163B-895E-4C86-96EB-8EA4A28EF92D}"/>
    <cellStyle name="제목 3 39 2" xfId="3433" xr:uid="{C7E9F0B7-34E8-4CFB-B176-94FFA92836AC}"/>
    <cellStyle name="제목 3 4" xfId="3434" xr:uid="{90DD3515-F89E-4B38-8D3C-274B630F5C5F}"/>
    <cellStyle name="제목 3 4 2" xfId="3435" xr:uid="{6556B546-8E2C-4798-AE8F-1F8C3193F125}"/>
    <cellStyle name="제목 3 40" xfId="3436" xr:uid="{51EC291B-8829-4AA8-81AB-466E67ECA2B7}"/>
    <cellStyle name="제목 3 40 2" xfId="3437" xr:uid="{617DF2EB-E0E4-47ED-9AD4-2A1CC37066E6}"/>
    <cellStyle name="제목 3 41" xfId="3438" xr:uid="{D2445B75-9894-4C6B-8740-575EB8BFA40D}"/>
    <cellStyle name="제목 3 41 2" xfId="3439" xr:uid="{97EE98EA-60CF-4883-9A17-1D229B8BAAE1}"/>
    <cellStyle name="제목 3 42" xfId="3440" xr:uid="{B65873C6-CCEC-445C-95E6-FF0CAC1CD64E}"/>
    <cellStyle name="제목 3 42 2" xfId="3441" xr:uid="{C67F8E1B-8628-41B1-ABA0-63E3BD8E39DB}"/>
    <cellStyle name="제목 3 43" xfId="3442" xr:uid="{6596C0D9-7FCE-4316-B8F1-7E8C03712665}"/>
    <cellStyle name="제목 3 43 2" xfId="3443" xr:uid="{9B1B4724-5EF0-46DC-A428-7E3AF83C6201}"/>
    <cellStyle name="제목 3 44" xfId="3444" xr:uid="{962488F6-F1E6-4E91-92D1-76EA9960BE8D}"/>
    <cellStyle name="제목 3 45" xfId="3445" xr:uid="{F136FF78-4E19-484C-A6A1-C3546FA63DD4}"/>
    <cellStyle name="제목 3 46" xfId="3446" xr:uid="{5B59ECFC-860C-497E-9CD7-D8B64BC811BB}"/>
    <cellStyle name="제목 3 47" xfId="3447" xr:uid="{446845A2-27D2-4BCF-B431-7AB3E3EE37BB}"/>
    <cellStyle name="제목 3 48" xfId="3448" xr:uid="{A8DAC50A-F4B7-4996-A283-46BBAF899482}"/>
    <cellStyle name="제목 3 49" xfId="3449" xr:uid="{E51B1156-329C-4B9E-B044-F5E8019E48B9}"/>
    <cellStyle name="제목 3 5" xfId="3450" xr:uid="{DEEC2BE1-B975-475E-AF5E-EB7C9BFE811F}"/>
    <cellStyle name="제목 3 5 2" xfId="3451" xr:uid="{089879E6-AAF7-46D2-BF5F-27CFA15F790B}"/>
    <cellStyle name="제목 3 50" xfId="3452" xr:uid="{89E4CA38-4ABE-473C-9702-15EB1C849F1F}"/>
    <cellStyle name="제목 3 51" xfId="3800" xr:uid="{F5DC0F1F-3F94-4562-B6F4-EC483BBD5A85}"/>
    <cellStyle name="제목 3 52" xfId="3964" xr:uid="{0DC70476-A3E4-4C06-847D-A1DFE47C37F4}"/>
    <cellStyle name="제목 3 53" xfId="4116" xr:uid="{26DCC5B0-2E21-44EE-B435-1C79E5F6EA7F}"/>
    <cellStyle name="제목 3 54" xfId="4288" xr:uid="{4D79D4E9-70D5-4CA4-A434-4304D897DCDD}"/>
    <cellStyle name="제목 3 55" xfId="3369" xr:uid="{7DC5620F-AC07-4049-9355-32B49C995467}"/>
    <cellStyle name="제목 3 6" xfId="3453" xr:uid="{0AA26AEA-EC47-4957-87CD-7764986AEAD4}"/>
    <cellStyle name="제목 3 6 2" xfId="3454" xr:uid="{D1273E5E-251C-40F4-B364-22CCDA48845D}"/>
    <cellStyle name="제목 3 7" xfId="3455" xr:uid="{8A433BC5-0301-4007-8346-FFBEC82BF08A}"/>
    <cellStyle name="제목 3 7 2" xfId="3456" xr:uid="{492732A7-1784-4F84-BE3E-652C84252197}"/>
    <cellStyle name="제목 3 8" xfId="3457" xr:uid="{A1E45C42-4D37-41C3-9F7F-CC3EA6D14203}"/>
    <cellStyle name="제목 3 8 2" xfId="3458" xr:uid="{DFF54D6C-DE00-4F61-BD80-A284F14B883A}"/>
    <cellStyle name="제목 3 9" xfId="3459" xr:uid="{B5A9DEA5-D7B8-4982-B6CA-65B88AFD9532}"/>
    <cellStyle name="제목 3 9 2" xfId="3460" xr:uid="{BAC878AA-2345-4F53-A1A8-14B7666F2CFF}"/>
    <cellStyle name="제목 30" xfId="3461" xr:uid="{F39CC834-B469-4000-95B6-6148CBAA1965}"/>
    <cellStyle name="제목 30 2" xfId="3462" xr:uid="{271FEDBF-28AB-445B-9435-F95DF35C4099}"/>
    <cellStyle name="제목 31" xfId="3463" xr:uid="{B3D9166A-EE8E-4892-B62E-CBBE7A200A38}"/>
    <cellStyle name="제목 31 2" xfId="3464" xr:uid="{0E1A2E4E-8DBD-42A8-8568-E1A6755265EC}"/>
    <cellStyle name="제목 32" xfId="3465" xr:uid="{F4500A90-88A7-4574-A89A-65452B07DD97}"/>
    <cellStyle name="제목 32 2" xfId="3466" xr:uid="{9529310F-C473-43C6-8D07-37EC04F6D562}"/>
    <cellStyle name="제목 33" xfId="3467" xr:uid="{8A2AA55E-92F7-4FB8-A72C-FD6D9655484C}"/>
    <cellStyle name="제목 33 2" xfId="3468" xr:uid="{E1AA07A7-3993-42E9-8286-97BCC067DB3C}"/>
    <cellStyle name="제목 34" xfId="3469" xr:uid="{DFDD9ED1-D37D-4034-B09A-8B3518AACABB}"/>
    <cellStyle name="제목 34 2" xfId="3470" xr:uid="{9A6127B9-CFFB-4B10-BCFB-0A1E27DFA7E0}"/>
    <cellStyle name="제목 35" xfId="3471" xr:uid="{A1E71572-54E2-4E5B-9BAA-A98857CD509D}"/>
    <cellStyle name="제목 35 2" xfId="3472" xr:uid="{EB165854-50A9-4E4C-9E8C-D368E1B064C6}"/>
    <cellStyle name="제목 36" xfId="3473" xr:uid="{68C24FE8-9805-480F-9F80-FC809B957527}"/>
    <cellStyle name="제목 36 2" xfId="3474" xr:uid="{1B2DEC8E-854D-4071-BD15-72DF476984F4}"/>
    <cellStyle name="제목 37" xfId="3475" xr:uid="{8103754A-F12A-4CDA-A5AB-40DB3F282EE0}"/>
    <cellStyle name="제목 37 2" xfId="3476" xr:uid="{05E1B815-6FD0-4ECF-8505-8E1877FBE54B}"/>
    <cellStyle name="제목 38" xfId="3477" xr:uid="{F6CA1B63-78FA-4293-9DCA-FDC5D36B7087}"/>
    <cellStyle name="제목 38 2" xfId="3478" xr:uid="{2D5981D2-D285-432E-B9D4-A56ECC35551A}"/>
    <cellStyle name="제목 39" xfId="3479" xr:uid="{666198E5-CED5-46BD-96BF-98F400953508}"/>
    <cellStyle name="제목 39 2" xfId="3480" xr:uid="{B7D829C6-4B61-4B02-9361-624642EC893B}"/>
    <cellStyle name="제목 4 10" xfId="3482" xr:uid="{EDF7AFE2-89EA-495F-B25F-F90D7705CD26}"/>
    <cellStyle name="제목 4 10 2" xfId="3483" xr:uid="{BE5456D2-9BAB-4CE0-A64E-A365A479415B}"/>
    <cellStyle name="제목 4 11" xfId="3484" xr:uid="{449D5B71-DD00-413D-B637-95B44AEE77BE}"/>
    <cellStyle name="제목 4 11 2" xfId="3485" xr:uid="{EF88EC79-4D16-418C-BC56-E4D2EA7BDA8C}"/>
    <cellStyle name="제목 4 12" xfId="3486" xr:uid="{E8D11FFB-181F-429F-9BA2-7102D77E7BFE}"/>
    <cellStyle name="제목 4 12 2" xfId="3487" xr:uid="{FD68AB80-5622-4B7E-8CE5-8F8044C8E627}"/>
    <cellStyle name="제목 4 13" xfId="3488" xr:uid="{F4F451E3-8BA3-4CA1-BBB2-9C35957D81D1}"/>
    <cellStyle name="제목 4 13 2" xfId="3489" xr:uid="{0D6C1BC3-4826-489B-83E1-BCD6BD5B5FFE}"/>
    <cellStyle name="제목 4 14" xfId="3490" xr:uid="{DF882BA7-7C1B-424E-A293-258D59DEAA92}"/>
    <cellStyle name="제목 4 14 2" xfId="3491" xr:uid="{95E56D80-1F94-4262-B855-48A7BCDBF53C}"/>
    <cellStyle name="제목 4 15" xfId="3492" xr:uid="{4E666B88-C357-409D-8878-FCDE829E653E}"/>
    <cellStyle name="제목 4 15 2" xfId="3493" xr:uid="{43B4AD8F-4380-4D55-B976-B762AAE4A8D0}"/>
    <cellStyle name="제목 4 16" xfId="3494" xr:uid="{A0395372-7E94-4E65-BA7A-16D21C28CC0A}"/>
    <cellStyle name="제목 4 16 2" xfId="3495" xr:uid="{C13D8270-E173-40A4-B50D-8AC215745FEE}"/>
    <cellStyle name="제목 4 17" xfId="3496" xr:uid="{1D33E46E-04DA-43AE-A6A1-5A5EE29FAC92}"/>
    <cellStyle name="제목 4 17 2" xfId="3497" xr:uid="{6B447A8B-4B78-4CC7-8BBB-F9789B29B073}"/>
    <cellStyle name="제목 4 18" xfId="3498" xr:uid="{C7DBBB60-1CCB-4AAD-853A-270EFF13944F}"/>
    <cellStyle name="제목 4 18 2" xfId="3499" xr:uid="{66C29B1C-4A06-436E-9277-64E36AD94AFF}"/>
    <cellStyle name="제목 4 19" xfId="3500" xr:uid="{831AF149-6188-4CE5-92B3-5979645E5617}"/>
    <cellStyle name="제목 4 19 2" xfId="3501" xr:uid="{8120BDCC-15F6-40B5-9183-D22B17F72095}"/>
    <cellStyle name="제목 4 2" xfId="3502" xr:uid="{63A742C0-2295-424E-B62D-A5EC3F5165A3}"/>
    <cellStyle name="제목 4 2 2" xfId="3503" xr:uid="{7C3E4530-24C6-4596-B5A7-6C6C05EAB6A8}"/>
    <cellStyle name="제목 4 20" xfId="3504" xr:uid="{A275CA2A-B6F3-46A1-B042-358EAD5FA7A4}"/>
    <cellStyle name="제목 4 20 2" xfId="3505" xr:uid="{F3C2D2E5-8748-4B67-B66D-DCD9A9FB6B58}"/>
    <cellStyle name="제목 4 21" xfId="3506" xr:uid="{FD12BE55-A120-4222-84F7-CB1407E7E583}"/>
    <cellStyle name="제목 4 21 2" xfId="3507" xr:uid="{EA2159D8-B86D-41BC-92B5-7EBEB7274A18}"/>
    <cellStyle name="제목 4 22" xfId="3508" xr:uid="{E96EC8AF-B416-4485-9C94-4993C5077ABA}"/>
    <cellStyle name="제목 4 22 2" xfId="3509" xr:uid="{37EBD098-62B3-4DFC-8B37-0B42FF2B7F40}"/>
    <cellStyle name="제목 4 23" xfId="3510" xr:uid="{F9FBDBE8-E306-4FF4-A86A-A5EA93F0A403}"/>
    <cellStyle name="제목 4 23 2" xfId="3511" xr:uid="{5AF992D2-5391-43F3-9182-E43F0E08ACA6}"/>
    <cellStyle name="제목 4 24" xfId="3512" xr:uid="{CBD4F599-A3AA-4064-ABFA-8262C209CE94}"/>
    <cellStyle name="제목 4 24 2" xfId="3513" xr:uid="{2875EE11-FFD7-4C98-9E23-00BB9C19D9A7}"/>
    <cellStyle name="제목 4 25" xfId="3514" xr:uid="{FF24E4B7-7DA6-4449-AD50-1F9DFCCFA265}"/>
    <cellStyle name="제목 4 25 2" xfId="3515" xr:uid="{3F368D91-71D0-4445-9FF0-590948A064DD}"/>
    <cellStyle name="제목 4 26" xfId="3516" xr:uid="{FB17196D-B42F-46FD-B9EF-4842785C50AE}"/>
    <cellStyle name="제목 4 26 2" xfId="3517" xr:uid="{F25AE04B-89C7-41BA-867B-63D859D55D90}"/>
    <cellStyle name="제목 4 27" xfId="3518" xr:uid="{C2A15B37-E6A0-46E3-90A8-08AE033D8172}"/>
    <cellStyle name="제목 4 27 2" xfId="3519" xr:uid="{95FE44EB-C8AA-4F44-A76B-7BC324FF12A1}"/>
    <cellStyle name="제목 4 28" xfId="3520" xr:uid="{9A56E36F-2A60-4454-B08B-BE7D7666C71B}"/>
    <cellStyle name="제목 4 28 2" xfId="3521" xr:uid="{649CCA11-79DF-4FBE-BC87-A1E359C8A354}"/>
    <cellStyle name="제목 4 29" xfId="3522" xr:uid="{E5D205FD-34A1-4E29-8DE2-6DE342EFD050}"/>
    <cellStyle name="제목 4 29 2" xfId="3523" xr:uid="{0FCD2C08-ACC1-46FD-85CC-3BE5A338EE38}"/>
    <cellStyle name="제목 4 3" xfId="3524" xr:uid="{CA62B9D0-684E-484D-B94A-50A82B618CED}"/>
    <cellStyle name="제목 4 3 2" xfId="3525" xr:uid="{278A50B2-47DB-4EC1-8018-BC7DC37E12B5}"/>
    <cellStyle name="제목 4 30" xfId="3526" xr:uid="{DA8028A2-48D7-46FD-AD6B-6D5425B0269D}"/>
    <cellStyle name="제목 4 30 2" xfId="3527" xr:uid="{854E6117-30EC-4BCA-AEA8-EBC28A22E01E}"/>
    <cellStyle name="제목 4 31" xfId="3528" xr:uid="{6432C79C-9198-43AD-9F36-546D78B20CF0}"/>
    <cellStyle name="제목 4 31 2" xfId="3529" xr:uid="{AA88FEF6-A752-48B0-B965-8E0603521385}"/>
    <cellStyle name="제목 4 32" xfId="3530" xr:uid="{A0670ECA-9C87-4C08-A1A1-CB21A796DE16}"/>
    <cellStyle name="제목 4 32 2" xfId="3531" xr:uid="{607520EF-1CC8-4C35-924B-29C6B4EAEDC3}"/>
    <cellStyle name="제목 4 33" xfId="3532" xr:uid="{EAA7BB57-BB3A-420D-99E3-F46F3E6B7C97}"/>
    <cellStyle name="제목 4 33 2" xfId="3533" xr:uid="{99A9DFC6-9CD4-4B0E-A38C-2A620B5D64CE}"/>
    <cellStyle name="제목 4 34" xfId="3534" xr:uid="{576A0963-F191-4B39-9BCF-3C554F37DC04}"/>
    <cellStyle name="제목 4 34 2" xfId="3535" xr:uid="{B25F2A2D-B5AF-4C39-B8BF-D9987960EE10}"/>
    <cellStyle name="제목 4 35" xfId="3536" xr:uid="{031B01D5-4CB7-4669-BBC5-40B33E32684B}"/>
    <cellStyle name="제목 4 35 2" xfId="3537" xr:uid="{596E28E0-9D97-4C34-947A-02A6EE1DF0A4}"/>
    <cellStyle name="제목 4 36" xfId="3538" xr:uid="{21A3BC3F-3A4F-49E6-BD6B-29D0A3C452BB}"/>
    <cellStyle name="제목 4 36 2" xfId="3539" xr:uid="{6DAFC688-B89A-4680-9EC6-9323956FF976}"/>
    <cellStyle name="제목 4 37" xfId="3540" xr:uid="{53A58DD0-7EAE-403C-907E-16F6EE9946C1}"/>
    <cellStyle name="제목 4 37 2" xfId="3541" xr:uid="{AE6B39F5-FA66-485C-B138-DD34EC201BDF}"/>
    <cellStyle name="제목 4 38" xfId="3542" xr:uid="{43E04333-4E09-400D-80DE-F295649FFBE9}"/>
    <cellStyle name="제목 4 38 2" xfId="3543" xr:uid="{1B9C51F5-5DEF-4592-8D3A-E922523A5140}"/>
    <cellStyle name="제목 4 39" xfId="3544" xr:uid="{2382FAC9-BD93-4E0A-AE80-780C3088A9FA}"/>
    <cellStyle name="제목 4 39 2" xfId="3545" xr:uid="{E9E03DDF-965C-47A1-B96D-673E6261F1DE}"/>
    <cellStyle name="제목 4 4" xfId="3546" xr:uid="{B055741A-1FC7-4610-ADCB-8C81F634F9DC}"/>
    <cellStyle name="제목 4 4 2" xfId="3547" xr:uid="{7F34069D-B3FF-4F04-8EDB-13108953F062}"/>
    <cellStyle name="제목 4 40" xfId="3548" xr:uid="{448E114B-8066-4081-846B-19D42791BF4D}"/>
    <cellStyle name="제목 4 40 2" xfId="3549" xr:uid="{5184FC5B-B18B-44AB-8692-FE106662D8D1}"/>
    <cellStyle name="제목 4 41" xfId="3550" xr:uid="{376CAB88-D637-41F7-AF13-B6525E913EDE}"/>
    <cellStyle name="제목 4 41 2" xfId="3551" xr:uid="{2134429A-1DE2-4306-B44C-14F302F2E931}"/>
    <cellStyle name="제목 4 42" xfId="3552" xr:uid="{C86152F2-FF41-4F22-9F7E-DCD2DB0FB5D4}"/>
    <cellStyle name="제목 4 42 2" xfId="3553" xr:uid="{10F0BCD4-2E81-44C1-AFC9-6BF370305DF5}"/>
    <cellStyle name="제목 4 43" xfId="3554" xr:uid="{59D982B7-428A-42BF-9961-3C875637DA55}"/>
    <cellStyle name="제목 4 43 2" xfId="3555" xr:uid="{8AC6B798-925A-44B2-AFE6-4E9F3A0874A9}"/>
    <cellStyle name="제목 4 44" xfId="3556" xr:uid="{646D0170-F8E4-4533-A119-D6F1D674A411}"/>
    <cellStyle name="제목 4 45" xfId="3557" xr:uid="{B73419AB-BB79-4406-AAF4-36749705CF87}"/>
    <cellStyle name="제목 4 46" xfId="3558" xr:uid="{E25B705C-88A1-4344-AC57-0E4636393446}"/>
    <cellStyle name="제목 4 47" xfId="3559" xr:uid="{FD71638A-4110-4862-B224-72D4BB9C85C3}"/>
    <cellStyle name="제목 4 48" xfId="3560" xr:uid="{1A0C815B-9B9D-4544-AA34-DA39FD26E265}"/>
    <cellStyle name="제목 4 49" xfId="3561" xr:uid="{4CAF3E9C-3C55-494F-A562-3E21827790BC}"/>
    <cellStyle name="제목 4 5" xfId="3562" xr:uid="{E0D0DDDB-5EB7-4AA5-97D3-E0D426C7D1AA}"/>
    <cellStyle name="제목 4 5 2" xfId="3563" xr:uid="{5C357304-9AE4-4DBE-B57A-B349516B7AF2}"/>
    <cellStyle name="제목 4 50" xfId="3564" xr:uid="{037C29BB-50AD-407B-B9DB-B7AABE079ACB}"/>
    <cellStyle name="제목 4 51" xfId="3801" xr:uid="{916EDD34-A8F6-4873-AF78-F1AAC1EF0B32}"/>
    <cellStyle name="제목 4 52" xfId="3965" xr:uid="{27F87F33-8335-4B55-AA79-306BA1F8100E}"/>
    <cellStyle name="제목 4 53" xfId="4117" xr:uid="{AF69FACB-8437-4CBD-87D7-614A48533BC9}"/>
    <cellStyle name="제목 4 54" xfId="4289" xr:uid="{2CF0DA50-6D90-4895-9421-4F2FA239D01E}"/>
    <cellStyle name="제목 4 55" xfId="3481" xr:uid="{F1EFB9ED-F360-49B9-A9EB-E370952EEC99}"/>
    <cellStyle name="제목 4 6" xfId="3565" xr:uid="{79003FDD-159E-40B2-89FD-985D14ADAC19}"/>
    <cellStyle name="제목 4 6 2" xfId="3566" xr:uid="{8C6D5AAD-D9C4-4EE6-924E-78DC93617400}"/>
    <cellStyle name="제목 4 7" xfId="3567" xr:uid="{1BBB0451-9377-4AD1-9B67-CF7027E38F28}"/>
    <cellStyle name="제목 4 7 2" xfId="3568" xr:uid="{09635C89-44BE-4A5B-8DA1-65CE22ACAC28}"/>
    <cellStyle name="제목 4 8" xfId="3569" xr:uid="{09FDFE90-565E-48D3-B0B3-446EF5D8A726}"/>
    <cellStyle name="제목 4 8 2" xfId="3570" xr:uid="{DD496B64-6D4A-4663-9782-A6B37FD0B274}"/>
    <cellStyle name="제목 4 9" xfId="3571" xr:uid="{5B0AA5D6-5C8F-412A-92BF-41275F7FFEB9}"/>
    <cellStyle name="제목 4 9 2" xfId="3572" xr:uid="{1D3BB315-ACC5-40D8-8F83-A00C478A413C}"/>
    <cellStyle name="제목 40" xfId="3573" xr:uid="{AD489C9E-590F-4208-AC7F-B960AE23918F}"/>
    <cellStyle name="제목 40 2" xfId="3574" xr:uid="{C6B66D84-8EC9-419F-A478-C1DBE9ADA6DA}"/>
    <cellStyle name="제목 41" xfId="3575" xr:uid="{41E1C88F-AA14-4EEF-80A5-28534956A433}"/>
    <cellStyle name="제목 41 2" xfId="3576" xr:uid="{D4CBB952-9690-454B-BAE2-7F28D3E0B688}"/>
    <cellStyle name="제목 42" xfId="3577" xr:uid="{1AFB821C-479F-4A9A-AF00-BC60DF66E990}"/>
    <cellStyle name="제목 42 2" xfId="3578" xr:uid="{3A48D920-0072-40B5-B09D-416A3850E5C0}"/>
    <cellStyle name="제목 43" xfId="3579" xr:uid="{EE262558-1E86-4521-AAFA-B9020FED77DD}"/>
    <cellStyle name="제목 43 2" xfId="3580" xr:uid="{2F1209E9-6CF6-42DD-82B5-C1051CF5EDDA}"/>
    <cellStyle name="제목 44" xfId="3581" xr:uid="{186DCD29-CEF6-4CAD-9CA6-D773C6A8F3DF}"/>
    <cellStyle name="제목 44 2" xfId="3582" xr:uid="{9076B3D7-0874-4283-A82D-CEF746B1C6DB}"/>
    <cellStyle name="제목 45" xfId="3583" xr:uid="{489222D6-2448-4D9F-B445-BA1679C600E1}"/>
    <cellStyle name="제목 45 2" xfId="3584" xr:uid="{D7290D11-6E79-4A42-B51E-A605618CB3A8}"/>
    <cellStyle name="제목 46" xfId="3585" xr:uid="{E5547C4B-BB0D-4388-B275-D8C9963B637E}"/>
    <cellStyle name="제목 46 2" xfId="3586" xr:uid="{3E5891BD-E6DC-4F2E-8845-4E3E64ECFD2E}"/>
    <cellStyle name="제목 47" xfId="3587" xr:uid="{2524D89A-226F-4F27-8992-4FE152AB5B1B}"/>
    <cellStyle name="제목 48" xfId="3588" xr:uid="{3DE71C58-7BC5-435C-AA8D-8116E9B82C69}"/>
    <cellStyle name="제목 49" xfId="3589" xr:uid="{E5D7232A-03FD-4D2C-9226-536086C1AD3A}"/>
    <cellStyle name="제목 5" xfId="3590" xr:uid="{300A63A6-6E84-4042-97A6-BF07406E95D0}"/>
    <cellStyle name="제목 5 2" xfId="3591" xr:uid="{339F7CA9-5ADD-4773-94D2-6C5AE3D23FE7}"/>
    <cellStyle name="제목 50" xfId="3592" xr:uid="{D3F92501-F5B1-4D1C-B61B-30AEEBE99999}"/>
    <cellStyle name="제목 51" xfId="3593" xr:uid="{AAAE249D-17F4-4443-BA13-8CBD4E3B92D3}"/>
    <cellStyle name="제목 52" xfId="3594" xr:uid="{4AB7F1E5-5FDC-4EF4-A4E1-428E61E59C9A}"/>
    <cellStyle name="제목 53" xfId="3595" xr:uid="{D8055932-673E-41AD-A38F-F18D6FD06860}"/>
    <cellStyle name="제목 54" xfId="3797" xr:uid="{24BD67BD-2104-47D2-8694-BF0138DC0DAF}"/>
    <cellStyle name="제목 55" xfId="4113" xr:uid="{A0602392-BBDA-405A-A37C-8436C0FFA372}"/>
    <cellStyle name="제목 56" xfId="4285" xr:uid="{ACF7372F-EEE1-44F0-803E-589CBBE1EFEA}"/>
    <cellStyle name="제목 57" xfId="3144" xr:uid="{AC7528AE-7ED7-4F03-9C52-F3DA1E249216}"/>
    <cellStyle name="제목 6" xfId="3596" xr:uid="{08C625B9-47D3-4CE2-A2F6-339C499B1A54}"/>
    <cellStyle name="제목 6 2" xfId="3597" xr:uid="{0095520E-246E-468B-80C8-D1173DC4C1E5}"/>
    <cellStyle name="제목 7" xfId="3598" xr:uid="{B6854FA3-B2AD-48E6-9352-88E1B4372830}"/>
    <cellStyle name="제목 7 2" xfId="3599" xr:uid="{4FAE8C2E-3279-4C32-9A2A-A1533FA0C5F4}"/>
    <cellStyle name="제목 8" xfId="3600" xr:uid="{44E269C6-897A-4680-B3DD-2B3B4780CA48}"/>
    <cellStyle name="제목 8 2" xfId="3601" xr:uid="{57537763-449D-43A2-8A3D-22E89F1DCD31}"/>
    <cellStyle name="제목 9" xfId="3602" xr:uid="{3C26A032-6744-4CE8-A1C3-3F4D9129CF43}"/>
    <cellStyle name="제목 9 2" xfId="3603" xr:uid="{B0A77D25-9EBC-40FA-A692-D294ED47FE28}"/>
    <cellStyle name="좋음 10" xfId="3605" xr:uid="{82F6FF95-22B6-4029-8CDD-89FB379A3B72}"/>
    <cellStyle name="좋음 10 2" xfId="3606" xr:uid="{A960FD71-2E57-4EFB-87F5-5BABBD74477D}"/>
    <cellStyle name="좋음 11" xfId="3607" xr:uid="{52544B24-3DF9-4EAF-B240-3989B0869C0F}"/>
    <cellStyle name="좋음 11 2" xfId="3608" xr:uid="{6BD69D07-8C12-4131-8B76-356B1B50EE8E}"/>
    <cellStyle name="좋음 12" xfId="3609" xr:uid="{3B8866D3-545C-44C7-AC6C-FB8A1AD9218D}"/>
    <cellStyle name="좋음 12 2" xfId="3610" xr:uid="{C8C267F3-7ECB-40F1-91EA-77C02F6AA079}"/>
    <cellStyle name="좋음 13" xfId="3611" xr:uid="{12FEB7F4-0440-47AC-8F79-86749FED839B}"/>
    <cellStyle name="좋음 13 2" xfId="3612" xr:uid="{C0F1BE1D-8D81-41F8-ACC9-5DF4ACC56CEF}"/>
    <cellStyle name="좋음 14" xfId="3613" xr:uid="{5378A876-B135-4D3B-8053-6F1FB6B2308C}"/>
    <cellStyle name="좋음 14 2" xfId="3614" xr:uid="{6C6D4ACC-4143-46F9-9A63-1CAD60A8B95C}"/>
    <cellStyle name="좋음 15" xfId="3615" xr:uid="{243A531B-AD1B-4A47-A3E4-5D5990C8C4BC}"/>
    <cellStyle name="좋음 15 2" xfId="3616" xr:uid="{E5E7D4B1-F417-4002-ABB4-8A21269DB7F5}"/>
    <cellStyle name="좋음 16" xfId="3617" xr:uid="{121C4D05-3477-4821-AB0B-71AFFA45F51F}"/>
    <cellStyle name="좋음 16 2" xfId="3618" xr:uid="{4E568D86-D9DE-44FE-864B-18875455462A}"/>
    <cellStyle name="좋음 17" xfId="3619" xr:uid="{F44DE921-7738-48DB-A4D3-95CC21CD1657}"/>
    <cellStyle name="좋음 17 2" xfId="3620" xr:uid="{35A6B86B-02B3-4F62-9133-CE011BFBDF4C}"/>
    <cellStyle name="좋음 18" xfId="3621" xr:uid="{C19F9CE9-5A93-4278-BE6B-314CB0D07594}"/>
    <cellStyle name="좋음 18 2" xfId="3622" xr:uid="{5D137DF4-4340-4276-B03D-CB676D3F415F}"/>
    <cellStyle name="좋음 19" xfId="3623" xr:uid="{C79B0E8C-CE46-4B52-9BE0-9D9A2E9879EE}"/>
    <cellStyle name="좋음 19 2" xfId="3624" xr:uid="{E881D8D5-28FC-43DA-BA9B-720E66DEB124}"/>
    <cellStyle name="좋음 2" xfId="3625" xr:uid="{E52102A1-0ABF-4F7C-BFB9-60E69E11B0D4}"/>
    <cellStyle name="좋음 2 2" xfId="3626" xr:uid="{382B16D1-E9C4-4B0A-80A0-313585C81688}"/>
    <cellStyle name="좋음 20" xfId="3627" xr:uid="{64CD5934-C862-424D-9D54-836471B2166F}"/>
    <cellStyle name="좋음 20 2" xfId="3628" xr:uid="{4C4BFADB-687C-4A1F-B648-7916C8B67913}"/>
    <cellStyle name="좋음 21" xfId="3629" xr:uid="{104F1DD3-4AAC-4A00-9E49-B806AB0F3639}"/>
    <cellStyle name="좋음 21 2" xfId="3630" xr:uid="{4A48B4FD-C282-4071-8BC3-FD38DC134842}"/>
    <cellStyle name="좋음 22" xfId="3631" xr:uid="{5F32E75A-829E-4597-BFAB-679CF5B3CE62}"/>
    <cellStyle name="좋음 22 2" xfId="3632" xr:uid="{46C04E17-57DE-4B7A-8E96-B86227C426DA}"/>
    <cellStyle name="좋음 23" xfId="3633" xr:uid="{09B8B17E-2799-49F8-AD65-3B9F5DAFCB59}"/>
    <cellStyle name="좋음 23 2" xfId="3634" xr:uid="{052342D3-9A6C-45ED-8712-5CBB36B84894}"/>
    <cellStyle name="좋음 24" xfId="3635" xr:uid="{D3F0EB7D-8B4A-48B6-9DE9-409FBFFB7FB8}"/>
    <cellStyle name="좋음 24 2" xfId="3636" xr:uid="{D067A356-CB1E-41B8-88B2-CBFAFF139761}"/>
    <cellStyle name="좋음 25" xfId="3637" xr:uid="{B66A78A5-EBEF-459A-8500-3F9AF13968F5}"/>
    <cellStyle name="좋음 25 2" xfId="3638" xr:uid="{117B29D5-7887-4CF8-AECF-D3C27849B762}"/>
    <cellStyle name="좋음 26" xfId="3639" xr:uid="{080729E2-9D34-42A9-980D-F2456AE72985}"/>
    <cellStyle name="좋음 26 2" xfId="3640" xr:uid="{72F5603F-6E51-41A7-B7C5-80649839CE23}"/>
    <cellStyle name="좋음 27" xfId="3641" xr:uid="{3997836C-F532-4849-AA7F-EF58E5AD1BFF}"/>
    <cellStyle name="좋음 27 2" xfId="3642" xr:uid="{FB9D0093-9BE7-4566-BDBC-3EDA062B164C}"/>
    <cellStyle name="좋음 28" xfId="3643" xr:uid="{D3443539-9358-4143-A624-CA0A1046FDB9}"/>
    <cellStyle name="좋음 28 2" xfId="3644" xr:uid="{BB4D6090-C6E0-45A9-B339-E000F068101D}"/>
    <cellStyle name="좋음 29" xfId="3645" xr:uid="{5AB29ECF-F6F0-48DE-B9BB-9CB6569147BE}"/>
    <cellStyle name="좋음 29 2" xfId="3646" xr:uid="{8C3F707D-B0A3-4E6F-A02A-EB3C4B34BFEC}"/>
    <cellStyle name="좋음 3" xfId="3647" xr:uid="{B3C7C7C5-3203-453D-8AE6-CA839ADD00EA}"/>
    <cellStyle name="좋음 3 2" xfId="3648" xr:uid="{BE103100-D0EE-4C47-9EFD-7C984D4261CC}"/>
    <cellStyle name="좋음 30" xfId="3649" xr:uid="{B3F64B97-30B7-46A9-82CB-12A6799E4FB5}"/>
    <cellStyle name="좋음 30 2" xfId="3650" xr:uid="{88A2A8FA-64B7-4302-89B8-D56B781F3A5A}"/>
    <cellStyle name="좋음 31" xfId="3651" xr:uid="{2BEDAF52-DDC8-46AD-B4A7-3E294BC1D757}"/>
    <cellStyle name="좋음 31 2" xfId="3652" xr:uid="{0032AD7F-3E88-42DF-80E8-CA54F5CEEE12}"/>
    <cellStyle name="좋음 32" xfId="3653" xr:uid="{B4B6230F-6E9E-4908-9CFA-59D7C0E04C91}"/>
    <cellStyle name="좋음 32 2" xfId="3654" xr:uid="{214DD89F-20B9-48E8-9017-18FE8C723DD8}"/>
    <cellStyle name="좋음 33" xfId="3655" xr:uid="{8F16B3FA-0F3D-489F-AB88-E9D4D88C4088}"/>
    <cellStyle name="좋음 33 2" xfId="3656" xr:uid="{D0CA0299-248F-4E2F-B559-C07B100C0D5B}"/>
    <cellStyle name="좋음 34" xfId="3657" xr:uid="{664A9CE6-E847-4BE4-8245-C09FE6446438}"/>
    <cellStyle name="좋음 34 2" xfId="3658" xr:uid="{346D51F5-15E8-4775-97E9-50DEBA92F0BB}"/>
    <cellStyle name="좋음 35" xfId="3659" xr:uid="{1DE102E5-F82C-48C9-8ACC-7CC6DBDF2E42}"/>
    <cellStyle name="좋음 35 2" xfId="3660" xr:uid="{7531E799-C468-4F8E-9C46-E238F584A2B2}"/>
    <cellStyle name="좋음 36" xfId="3661" xr:uid="{8590AB60-71BA-4966-B96B-D30A7A89AE7B}"/>
    <cellStyle name="좋음 36 2" xfId="3662" xr:uid="{13704563-5D18-4CD1-8A78-527A77861D16}"/>
    <cellStyle name="좋음 37" xfId="3663" xr:uid="{C6572B7D-9AC0-4EEC-A3A2-2A51EF12892F}"/>
    <cellStyle name="좋음 37 2" xfId="3664" xr:uid="{2DC7B4EF-CE03-4F83-B8EF-0610DDDAA246}"/>
    <cellStyle name="좋음 38" xfId="3665" xr:uid="{D5D9481D-9C59-49DF-AF04-25B88C3B6B62}"/>
    <cellStyle name="좋음 38 2" xfId="3666" xr:uid="{C84C7F03-BD80-4563-B346-6108F948249A}"/>
    <cellStyle name="좋음 39" xfId="3667" xr:uid="{FDD8685F-DCF4-49DE-A276-4D7E5080D67E}"/>
    <cellStyle name="좋음 39 2" xfId="3668" xr:uid="{EE604D4B-E53E-41FF-9558-18817280D051}"/>
    <cellStyle name="좋음 4" xfId="3669" xr:uid="{FC5B7928-3D4E-4545-B818-417C5FCB9E61}"/>
    <cellStyle name="좋음 4 2" xfId="3670" xr:uid="{77C4B156-5B4E-47C9-9B37-D2400472C007}"/>
    <cellStyle name="좋음 40" xfId="3671" xr:uid="{545B5B93-4A76-49E3-9778-4944C1E52418}"/>
    <cellStyle name="좋음 40 2" xfId="3672" xr:uid="{85B888D3-D9A4-4D8C-9C87-EE4E451165E5}"/>
    <cellStyle name="좋음 41" xfId="3673" xr:uid="{BA2780E7-3146-448F-9133-B696CFBB2F49}"/>
    <cellStyle name="좋음 41 2" xfId="3674" xr:uid="{6BB91532-829A-4E17-9AA6-F3914B810517}"/>
    <cellStyle name="좋음 42" xfId="3675" xr:uid="{831DA73E-4064-4D95-8234-FD9158B0CD3D}"/>
    <cellStyle name="좋음 42 2" xfId="3676" xr:uid="{E13D2540-60E2-4092-9DBC-240776A64F9B}"/>
    <cellStyle name="좋음 43" xfId="3677" xr:uid="{648BCB29-804F-4DB5-9AB1-F1F75F1C065F}"/>
    <cellStyle name="좋음 43 2" xfId="3678" xr:uid="{2A16192E-337B-4F2C-84A6-6405AFEB1608}"/>
    <cellStyle name="좋음 44" xfId="3679" xr:uid="{B42B3210-9CE7-437A-A710-B33E97199140}"/>
    <cellStyle name="좋음 45" xfId="3680" xr:uid="{43216345-F815-4389-9112-D5B42F232480}"/>
    <cellStyle name="좋음 46" xfId="3681" xr:uid="{520BB944-9801-4717-9DBC-BE4424E5F403}"/>
    <cellStyle name="좋음 47" xfId="3682" xr:uid="{997F2671-285A-460A-85F1-49AEC98F6C86}"/>
    <cellStyle name="좋음 48" xfId="3683" xr:uid="{3E07CE4D-99E4-49F6-86C6-EC301EBCC457}"/>
    <cellStyle name="좋음 49" xfId="3684" xr:uid="{E90EC603-F17D-4B6C-BB5E-34B23199B6F9}"/>
    <cellStyle name="좋음 5" xfId="3685" xr:uid="{D092F2C8-FEBB-45D5-863A-A03F1F96C291}"/>
    <cellStyle name="좋음 5 2" xfId="3686" xr:uid="{605954B1-1A78-4CAC-A9BA-D84AD5CA03A7}"/>
    <cellStyle name="좋음 50" xfId="3687" xr:uid="{50B373B8-461E-42AE-B12A-BAE94530AD1A}"/>
    <cellStyle name="좋음 51" xfId="3802" xr:uid="{9472CF81-8358-496C-A8EE-03974BA2A099}"/>
    <cellStyle name="좋음 52" xfId="3966" xr:uid="{726C274F-F012-4ED0-96D8-60718BAE92F0}"/>
    <cellStyle name="좋음 53" xfId="4118" xr:uid="{C80720CA-C3C9-4EFE-9307-41EB58850073}"/>
    <cellStyle name="좋음 54" xfId="4290" xr:uid="{01ED963D-BDA4-4C8E-918E-55A12BE794F7}"/>
    <cellStyle name="좋음 55" xfId="3604" xr:uid="{D13FA502-F756-4FEC-9964-C1B5731D3AB8}"/>
    <cellStyle name="좋음 6" xfId="3688" xr:uid="{FADF5031-9E97-4A0A-B48E-6CAB5B482605}"/>
    <cellStyle name="좋음 6 2" xfId="3689" xr:uid="{2E461098-853A-4D4E-8438-27DFFC85CB87}"/>
    <cellStyle name="좋음 7" xfId="3690" xr:uid="{DBAC006E-BFCE-4E5F-92F6-113229101C9B}"/>
    <cellStyle name="좋음 7 2" xfId="3691" xr:uid="{DF0D4607-111E-4895-B11D-EC87B0947DD7}"/>
    <cellStyle name="좋음 8" xfId="3692" xr:uid="{58FB2AD2-9787-4C58-AFF3-739B153D74B7}"/>
    <cellStyle name="좋음 8 2" xfId="3693" xr:uid="{465D6F8F-C055-4623-8D9D-408A200E74BD}"/>
    <cellStyle name="좋음 9" xfId="3694" xr:uid="{89D70727-88E1-47CA-ADE6-3D0C12A11AF1}"/>
    <cellStyle name="좋음 9 2" xfId="3695" xr:uid="{62AD99DE-3848-46B9-B37A-FC6CCC48CC2B}"/>
    <cellStyle name="출력 10" xfId="3697" xr:uid="{4102F22E-6087-404D-A997-755B0612032B}"/>
    <cellStyle name="출력 10 2" xfId="3698" xr:uid="{4D1BD9A0-D511-4269-A91D-DAD30D260DDE}"/>
    <cellStyle name="출력 11" xfId="3699" xr:uid="{9233CB58-8CCE-4BB7-9D0B-395325489F1C}"/>
    <cellStyle name="출력 11 2" xfId="3700" xr:uid="{C10FB905-0275-456A-BC3A-0F2DDA24FA1D}"/>
    <cellStyle name="출력 12" xfId="3701" xr:uid="{FF59CEB2-34C5-49A7-8ED3-70610B55162F}"/>
    <cellStyle name="출력 12 2" xfId="3702" xr:uid="{A88976B1-A153-4E65-949D-F01112B8A150}"/>
    <cellStyle name="출력 13" xfId="3703" xr:uid="{AB6A663A-011D-4DD0-B300-CF41E13D1820}"/>
    <cellStyle name="출력 13 2" xfId="3704" xr:uid="{E01750B7-2B82-4F05-908D-7AE67F683752}"/>
    <cellStyle name="출력 14" xfId="3705" xr:uid="{C9DFBAFA-A560-430D-A3B3-DB5A8BA8FC28}"/>
    <cellStyle name="출력 14 2" xfId="3706" xr:uid="{8007A9F5-876E-4288-BA00-840A4F26FE41}"/>
    <cellStyle name="출력 15" xfId="3707" xr:uid="{30EF2740-2C98-4C8E-89CE-85C63267AF9B}"/>
    <cellStyle name="출력 15 2" xfId="3708" xr:uid="{55F022AF-032A-4828-B1C7-80E71F128828}"/>
    <cellStyle name="출력 16" xfId="3709" xr:uid="{9EA4FC2B-B5C0-4C51-9579-853849A201B0}"/>
    <cellStyle name="출력 16 2" xfId="3710" xr:uid="{F6061114-1090-4A62-8F39-229EA577B58C}"/>
    <cellStyle name="출력 17" xfId="3711" xr:uid="{EB245850-936E-4C12-B594-94D75006D4AF}"/>
    <cellStyle name="출력 17 2" xfId="3712" xr:uid="{E0DB6AA1-31C3-4A64-A97C-E47CADFA1702}"/>
    <cellStyle name="출력 18" xfId="3713" xr:uid="{9D47AF0E-8802-4CC1-9F5A-79E7669F9D73}"/>
    <cellStyle name="출력 18 2" xfId="3714" xr:uid="{962C7AF5-6BCF-42EE-B4BA-71E0FE9A70F3}"/>
    <cellStyle name="출력 19" xfId="3715" xr:uid="{F833E33A-1CF1-43A5-9D4D-98A895256D4E}"/>
    <cellStyle name="출력 19 2" xfId="3716" xr:uid="{1FF40EFA-B079-4888-AE6C-07D350DDAFE6}"/>
    <cellStyle name="출력 2" xfId="3717" xr:uid="{83DF73D3-A1C8-4C49-A10C-E417A29E68CF}"/>
    <cellStyle name="출력 2 2" xfId="3718" xr:uid="{005C5923-B57E-4031-81AC-E751D955F9B7}"/>
    <cellStyle name="출력 20" xfId="3719" xr:uid="{CB3C8E4F-D6C0-478B-B0E7-B5F96A08945F}"/>
    <cellStyle name="출력 20 2" xfId="3720" xr:uid="{B460DEFA-D38B-44AA-9F6D-6009A239345F}"/>
    <cellStyle name="출력 21" xfId="3721" xr:uid="{80F87CCA-7FBF-4C1E-87AF-9C3D07830EB5}"/>
    <cellStyle name="출력 21 2" xfId="3722" xr:uid="{7AD59E2D-D4ED-4867-89C9-330DC64251E0}"/>
    <cellStyle name="출력 22" xfId="3723" xr:uid="{52A59F2C-D435-458C-AA4B-48E6E9E03EC6}"/>
    <cellStyle name="출력 22 2" xfId="3724" xr:uid="{DF0AA983-9451-4EC4-9C90-CFBA02153202}"/>
    <cellStyle name="출력 23" xfId="3725" xr:uid="{2810D2A8-8FF4-4348-B8A6-7486CC2CFCD6}"/>
    <cellStyle name="출력 23 2" xfId="3726" xr:uid="{EF4A99D3-7797-481B-89E2-8AD2694B8FF7}"/>
    <cellStyle name="출력 24" xfId="3727" xr:uid="{F6BDEB4F-2D4B-40DA-8C50-A7016F358209}"/>
    <cellStyle name="출력 24 2" xfId="3728" xr:uid="{E6DD0997-AC0D-4EE0-ABC1-99F451F70A91}"/>
    <cellStyle name="출력 25" xfId="3729" xr:uid="{C6D8A410-5330-4D51-8201-84B79787AF2C}"/>
    <cellStyle name="출력 25 2" xfId="3730" xr:uid="{61CE110F-9CBC-4798-87A3-C10B037101C9}"/>
    <cellStyle name="출력 26" xfId="3731" xr:uid="{5A693D19-E51B-4A9F-9C32-7B8C7FC2BA87}"/>
    <cellStyle name="출력 26 2" xfId="3732" xr:uid="{D795B48D-3075-4953-BB3F-3564461799C2}"/>
    <cellStyle name="출력 27" xfId="3733" xr:uid="{1F74C740-F357-4151-B42B-6693E1321DA2}"/>
    <cellStyle name="출력 27 2" xfId="3734" xr:uid="{D02700D0-69AD-4832-8400-BB7894D9F105}"/>
    <cellStyle name="출력 28" xfId="3735" xr:uid="{AA18FCF0-7F56-44FB-8B83-379DA3F13385}"/>
    <cellStyle name="출력 28 2" xfId="3736" xr:uid="{2B16F10D-C7DE-4EA7-BEFA-0D3DBD2F88B4}"/>
    <cellStyle name="출력 29" xfId="3737" xr:uid="{6CCB7F86-7F4B-4505-BAD5-740F3ACA2ECF}"/>
    <cellStyle name="출력 29 2" xfId="3738" xr:uid="{ACAA8C99-7E82-49ED-A273-6BF1E4FF1F1C}"/>
    <cellStyle name="출력 3" xfId="3739" xr:uid="{1242C950-F07D-4C38-8257-70EDF87062DD}"/>
    <cellStyle name="출력 3 2" xfId="3740" xr:uid="{43419FDE-087F-4D0D-97F7-D01C3A834EE8}"/>
    <cellStyle name="출력 30" xfId="3741" xr:uid="{6A115BC1-F420-4466-8794-B48E6446181F}"/>
    <cellStyle name="출력 30 2" xfId="3742" xr:uid="{9AD7F12E-F136-42B9-B1E1-1D298074E7BA}"/>
    <cellStyle name="출력 31" xfId="3743" xr:uid="{5F8DB4DE-673D-4FD6-B94D-16BA3988F6C1}"/>
    <cellStyle name="출력 31 2" xfId="3744" xr:uid="{E4CB274B-77C3-4F8E-981D-6E9A957B92D6}"/>
    <cellStyle name="출력 32" xfId="3745" xr:uid="{A03689C1-324B-44CA-9958-15932A83FA4F}"/>
    <cellStyle name="출력 32 2" xfId="3746" xr:uid="{621AC0C9-9220-4821-A6A9-411E4834A4A0}"/>
    <cellStyle name="출력 33" xfId="3747" xr:uid="{1DE20A6C-BAF9-45EB-A8C8-D9533C39DFEE}"/>
    <cellStyle name="출력 33 2" xfId="3748" xr:uid="{4C266BD9-913E-4A0C-880E-BEC257F6BA68}"/>
    <cellStyle name="출력 34" xfId="3749" xr:uid="{00132373-3549-417C-835E-FED7DC477D1C}"/>
    <cellStyle name="출력 34 2" xfId="3750" xr:uid="{60DDD928-620C-444E-AE72-D68C58A8551B}"/>
    <cellStyle name="출력 35" xfId="3751" xr:uid="{5A0958D4-F79C-4FC3-ADB7-86BC97A3D8F9}"/>
    <cellStyle name="출력 35 2" xfId="3752" xr:uid="{10F9A574-04C1-42ED-AFB0-C7B628B72522}"/>
    <cellStyle name="출력 36" xfId="3753" xr:uid="{29D50D95-A3AF-4638-AFC2-B1D8C5F4736C}"/>
    <cellStyle name="출력 36 2" xfId="3754" xr:uid="{9036C260-BFEA-44E4-AB62-F1EAC575AF96}"/>
    <cellStyle name="출력 37" xfId="3755" xr:uid="{0627C0B0-C0D1-4556-85EE-8B07D62D8145}"/>
    <cellStyle name="출력 37 2" xfId="3756" xr:uid="{AFEF72EA-FACD-4FBA-81DC-563D4C3BD1EA}"/>
    <cellStyle name="출력 38" xfId="3757" xr:uid="{39654A86-034B-47DD-A606-090F8226B55B}"/>
    <cellStyle name="출력 38 2" xfId="3758" xr:uid="{462E4E4D-6410-4637-A753-D90830E8A6F3}"/>
    <cellStyle name="출력 39" xfId="3759" xr:uid="{EAB28A67-10DF-4D5A-B8AF-E87D00B30CBF}"/>
    <cellStyle name="출력 39 2" xfId="3760" xr:uid="{40BB30B1-A901-43E3-A9BB-B285A7CCA50A}"/>
    <cellStyle name="출력 4" xfId="3761" xr:uid="{8679BD9F-FAE2-4714-8205-C5116197E3E0}"/>
    <cellStyle name="출력 4 2" xfId="3762" xr:uid="{AD41F546-575B-411E-823A-D6D25BAA7321}"/>
    <cellStyle name="출력 40" xfId="3763" xr:uid="{BEAAE68C-423B-4798-93CF-47C39CC5DBA9}"/>
    <cellStyle name="출력 40 2" xfId="3764" xr:uid="{8A9A0EA7-FFE8-47F3-AA4A-AE6B09E3769D}"/>
    <cellStyle name="출력 41" xfId="3765" xr:uid="{8F22A66C-E617-4199-B166-BBC9A9C7ED42}"/>
    <cellStyle name="출력 41 2" xfId="3766" xr:uid="{749F24E5-9C39-43A0-B38E-0D70580980E4}"/>
    <cellStyle name="출력 42" xfId="3767" xr:uid="{B5873C79-8A07-44CA-A0AD-89CE323703D5}"/>
    <cellStyle name="출력 42 2" xfId="3768" xr:uid="{63FC51A6-152B-4333-9803-85F198B0B5C9}"/>
    <cellStyle name="출력 43" xfId="3769" xr:uid="{8AEEE8F4-2EA4-437E-8C22-ABC0AC83C593}"/>
    <cellStyle name="출력 43 2" xfId="3770" xr:uid="{FF32662C-3847-4299-9749-F6610CA5173D}"/>
    <cellStyle name="출력 44" xfId="3771" xr:uid="{A0062073-5A12-4CB5-8DEA-158A892207AA}"/>
    <cellStyle name="출력 45" xfId="3772" xr:uid="{6F47B76E-742D-4A48-B94D-5A3E9564F0AB}"/>
    <cellStyle name="출력 46" xfId="3773" xr:uid="{FCBECA6E-2104-4BE1-9E8F-7B01D6435785}"/>
    <cellStyle name="출력 47" xfId="3774" xr:uid="{71610B66-8649-47A1-BDF3-EBEAFCB469DB}"/>
    <cellStyle name="출력 48" xfId="3775" xr:uid="{F4724D08-3896-4B2A-B50F-356C9C2ECEFA}"/>
    <cellStyle name="출력 49" xfId="3776" xr:uid="{AEDC42DD-2BFC-4CE0-96FC-048237D4B00A}"/>
    <cellStyle name="출력 5" xfId="3777" xr:uid="{DE99D9AE-9B4E-425C-8FD7-A1C40A14A561}"/>
    <cellStyle name="출력 5 2" xfId="3778" xr:uid="{DD8FA43E-D9B3-430E-9131-AC37D1D88DFD}"/>
    <cellStyle name="출력 50" xfId="3779" xr:uid="{497CFA2A-3C0E-42FB-A14D-FEC1A99A6D6C}"/>
    <cellStyle name="출력 51" xfId="3806" xr:uid="{F8D1167D-6379-45D1-939C-08E829C1BA9D}"/>
    <cellStyle name="출력 52" xfId="3970" xr:uid="{A1899BCB-26D8-45BA-98CB-6247E939C581}"/>
    <cellStyle name="출력 53" xfId="4119" xr:uid="{7AEA7B0D-1CA6-4E54-9644-3C63A35F18A0}"/>
    <cellStyle name="출력 54" xfId="4291" xr:uid="{F4D06773-27F6-47DF-9C54-DA1778050888}"/>
    <cellStyle name="출력 55" xfId="3696" xr:uid="{B0463A26-B5D4-4BFF-8847-038878E001FA}"/>
    <cellStyle name="출력 6" xfId="3780" xr:uid="{415B3D52-6661-4FB0-AF29-FAD4003269DE}"/>
    <cellStyle name="출력 6 2" xfId="3781" xr:uid="{0A8BCB9E-9D29-4F32-BEA1-A6FD472E8EB9}"/>
    <cellStyle name="출력 7" xfId="3782" xr:uid="{7021AA65-824C-43E5-9D9F-D517AFD0031F}"/>
    <cellStyle name="출력 7 2" xfId="3783" xr:uid="{5436FC1F-BF53-4F4D-8619-72E2738FA654}"/>
    <cellStyle name="출력 8" xfId="3784" xr:uid="{DC107EC1-3ADE-4E3B-B181-49B2128C5B1C}"/>
    <cellStyle name="출력 8 2" xfId="3785" xr:uid="{9B733406-306A-408D-A1F5-BA6B46A53DC4}"/>
    <cellStyle name="출력 9" xfId="3786" xr:uid="{B02CC1D0-6D7F-495A-8623-115944F04850}"/>
    <cellStyle name="출력 9 2" xfId="3787" xr:uid="{EF85F822-018A-4D4E-B4C9-E1852A77D50D}"/>
    <cellStyle name="표준" xfId="0" builtinId="0"/>
    <cellStyle name="표준 10" xfId="4003" xr:uid="{11FEF84B-0CFB-40CF-B28E-F8124991E7E8}"/>
    <cellStyle name="표준 10 2" xfId="4179" xr:uid="{5968F131-3B91-4829-9FC8-941020A35FAC}"/>
    <cellStyle name="표준 10 2 2" xfId="4483" xr:uid="{241260CF-A062-44DD-8BF0-B78B432123A2}"/>
    <cellStyle name="표준 10 3" xfId="4351" xr:uid="{06ACEDF4-789D-4E33-9DFF-7D65BF46432F}"/>
    <cellStyle name="표준 11" xfId="4017" xr:uid="{634AE574-F3F7-41D4-B999-6CA6B7A42F1A}"/>
    <cellStyle name="표준 11 2" xfId="4193" xr:uid="{1C0F39FF-C4C4-4809-A065-C1A807C7F6EE}"/>
    <cellStyle name="표준 11 2 2" xfId="4497" xr:uid="{3879C931-794E-4273-B6EF-1F63B8F0BA47}"/>
    <cellStyle name="표준 11 3" xfId="4365" xr:uid="{66FA7A1C-7836-4D34-A53C-4BA192E7A84B}"/>
    <cellStyle name="표준 12" xfId="4031" xr:uid="{0FFD55CF-4713-4A53-90B8-F33D8A5B0CEC}"/>
    <cellStyle name="표준 12 2" xfId="4207" xr:uid="{A58C546F-BD83-4448-AE58-592E6C8D7EAE}"/>
    <cellStyle name="표준 12 2 2" xfId="4511" xr:uid="{81CCFFB9-66F0-4E0C-B286-7B3FE976EF70}"/>
    <cellStyle name="표준 12 3" xfId="4379" xr:uid="{0F97F0C9-D4AC-4073-9051-CC250F4ED60A}"/>
    <cellStyle name="표준 13" xfId="4045" xr:uid="{D81AE4BA-B371-451C-95EB-739096029944}"/>
    <cellStyle name="표준 135" xfId="3788" xr:uid="{ECE4EA57-1788-4AE6-BEA3-0CABBA4DFC05}"/>
    <cellStyle name="표준 136" xfId="3789" xr:uid="{E4BD4555-FF97-475F-A0D0-C585B9B7F8E2}"/>
    <cellStyle name="표준 137" xfId="3790" xr:uid="{308A3C2E-D173-4951-A2B8-8B9C3C034DE0}"/>
    <cellStyle name="표준 138" xfId="3791" xr:uid="{9FF393FB-EEEC-4C90-99BC-F4808C23FB87}"/>
    <cellStyle name="표준 14" xfId="4046" xr:uid="{86B4C87C-3922-4544-A2A6-D084C4DE42F5}"/>
    <cellStyle name="표준 14 2" xfId="4221" xr:uid="{37D00B86-95EC-4893-95BF-EAD51CF44AE1}"/>
    <cellStyle name="표준 14 2 2" xfId="4525" xr:uid="{3A4A0B25-23A9-40DE-BFB1-CF38A785C360}"/>
    <cellStyle name="표준 14 3" xfId="4393" xr:uid="{65028CFE-2194-455D-AA29-D688D65593A4}"/>
    <cellStyle name="표준 15" xfId="4060" xr:uid="{619EA2A6-FB7D-4612-8564-05903C0AD615}"/>
    <cellStyle name="표준 15 2" xfId="4407" xr:uid="{3A90440E-5EEF-4A6A-A980-5F029F53E64B}"/>
    <cellStyle name="표준 16" xfId="4074" xr:uid="{1D156174-5880-46C6-B7C8-731B4543DC67}"/>
    <cellStyle name="표준 16 2" xfId="4235" xr:uid="{DE65216E-E79C-4840-BF71-D39FE8D4B925}"/>
    <cellStyle name="표준 16 2 2" xfId="4539" xr:uid="{FBCC428D-EC98-4511-BD58-6DC7B1738CEA}"/>
    <cellStyle name="표준 16 3" xfId="4421" xr:uid="{794B683D-4D3A-4239-87CE-3CF7E005FAD7}"/>
    <cellStyle name="표준 17" xfId="4075" xr:uid="{E3586260-59FD-467C-916B-DA5F22DBBB43}"/>
    <cellStyle name="표준 17 2" xfId="4236" xr:uid="{790AA898-434C-4B0C-9059-2BD047BB41F4}"/>
    <cellStyle name="표준 17 2 2" xfId="4540" xr:uid="{9C4D355C-72BE-4E01-A3D1-97EFBE24B93F}"/>
    <cellStyle name="표준 17 3" xfId="4422" xr:uid="{9ED22983-B2FC-4CB2-AD49-9BE05EC304D5}"/>
    <cellStyle name="표준 18" xfId="4076" xr:uid="{AEB2BBA0-AE59-4C8A-AE20-F69EFDC8D853}"/>
    <cellStyle name="표준 18 2" xfId="4423" xr:uid="{2C3D3447-565E-4CFC-B627-0D106FD97289}"/>
    <cellStyle name="표준 19" xfId="4077" xr:uid="{889D587D-BC52-4657-8038-27BA82A34A95}"/>
    <cellStyle name="표준 2" xfId="3942" xr:uid="{9EF2CA9A-1D02-43F5-B993-3B175ABA6C3F}"/>
    <cellStyle name="표준 2 2" xfId="4146" xr:uid="{2F26E871-B1B4-46AB-A80E-FA39C52359F6}"/>
    <cellStyle name="표준 2 2 2" xfId="4450" xr:uid="{5477FF8C-B7DE-4159-8C73-94A8E7840180}"/>
    <cellStyle name="표준 2 3" xfId="4318" xr:uid="{B93E2244-AEAB-476A-80F5-EDBD4980E51F}"/>
    <cellStyle name="표준 20" xfId="4237" xr:uid="{1E0C0336-AC29-4048-A3B4-0C174E31C209}"/>
    <cellStyle name="표준 20 2" xfId="4541" xr:uid="{019FC471-60FD-427F-91E6-876BD0457C97}"/>
    <cellStyle name="표준 21" xfId="4238" xr:uid="{C8C874CC-00CE-4CC4-A6C6-E0EB4A2C69FC}"/>
    <cellStyle name="표준 21 2" xfId="4542" xr:uid="{CCB1D739-C914-4852-86B8-A9B3ACF316C2}"/>
    <cellStyle name="표준 22" xfId="4239" xr:uid="{B049C948-DD0B-49CE-B5C8-B0498D811565}"/>
    <cellStyle name="표준 22 2" xfId="4543" xr:uid="{A02BA011-A3ED-47CD-973C-27EA1CF20B89}"/>
    <cellStyle name="표준 23" xfId="4240" xr:uid="{6E3097A8-1008-4AD9-95F9-0BFDB8CC0A6F}"/>
    <cellStyle name="표준 24" xfId="4241" xr:uid="{689D5F53-A69A-4130-92D5-E21DD380E2EB}"/>
    <cellStyle name="표준 24 2" xfId="4544" xr:uid="{9BD605A6-7E71-47D9-9C06-0874D03A625B}"/>
    <cellStyle name="표준 25" xfId="4242" xr:uid="{574C46D9-BDF9-4889-9983-C3CC36E55024}"/>
    <cellStyle name="표준 25 2" xfId="4545" xr:uid="{68BA9C71-11C7-4102-9D8C-318D2AF5E6A4}"/>
    <cellStyle name="표준 26" xfId="4243" xr:uid="{008915C4-F6FB-4880-91BF-4A4BCE490078}"/>
    <cellStyle name="표준 26 2" xfId="4546" xr:uid="{5EF59B05-0CC5-4DCF-BEA3-3ED486A56D7D}"/>
    <cellStyle name="표준 27" xfId="4244" xr:uid="{C2D885C8-0F74-4FBF-9D70-7988B93ABB07}"/>
    <cellStyle name="표준 27 2" xfId="4547" xr:uid="{AA0628EE-340B-4C24-8248-4419836BFE87}"/>
    <cellStyle name="표준 28" xfId="4245" xr:uid="{F7EDB129-17DA-4881-9012-123659A948B4}"/>
    <cellStyle name="표준 28 2" xfId="4548" xr:uid="{5DC91BBE-48C0-459D-92C3-750C010832DF}"/>
    <cellStyle name="표준 29" xfId="4246" xr:uid="{9E9DF9A8-1A54-40B4-9C43-65341695DE6E}"/>
    <cellStyle name="표준 29 2" xfId="4549" xr:uid="{AEA56D64-4775-43CD-9EA2-2F176192233A}"/>
    <cellStyle name="표준 3" xfId="3943" xr:uid="{9EB77FC5-DFA5-46B0-9830-5DCF3A55491E}"/>
    <cellStyle name="표준 3 2" xfId="4147" xr:uid="{8E37F8B2-D44D-4A8D-8502-5A2BF997D45C}"/>
    <cellStyle name="표준 3 2 2" xfId="4451" xr:uid="{B8F4978A-352F-41E2-84AF-009EC43812F1}"/>
    <cellStyle name="표준 3 3" xfId="4319" xr:uid="{E1696167-5F84-4D04-8173-77A0EA379C12}"/>
    <cellStyle name="표준 30" xfId="4247" xr:uid="{63E26497-F75F-4DBA-A37D-F090C4864645}"/>
    <cellStyle name="표준 30 2" xfId="4550" xr:uid="{D0CC76DB-A256-4EF8-8B17-EFB08550E7F2}"/>
    <cellStyle name="표준 31" xfId="4248" xr:uid="{B250DCCA-2DBF-4BB9-81C8-75E41C7C3A43}"/>
    <cellStyle name="표준 32" xfId="4249" xr:uid="{E18D2EC3-0695-4AB1-8960-50A754EE9F00}"/>
    <cellStyle name="표준 33" xfId="4551" xr:uid="{5A718AAC-3A43-4165-A3D5-647C6EF61095}"/>
    <cellStyle name="표준 34" xfId="4552" xr:uid="{AB5DBFB8-2AE1-4463-A126-A4BE4EEA4E08}"/>
    <cellStyle name="표준 35" xfId="4553" xr:uid="{3C33BA79-6415-425D-ADA2-552272F36680}"/>
    <cellStyle name="표준 36" xfId="4554" xr:uid="{96EBD00A-C770-492E-B56F-A8E4278A4982}"/>
    <cellStyle name="표준 37" xfId="4555" xr:uid="{88281834-D807-49FD-B75F-799C40355677}"/>
    <cellStyle name="표준 38" xfId="4556" xr:uid="{F4B72E7F-FA74-479F-BEF7-3A5ED4E2DD90}"/>
    <cellStyle name="표준 39" xfId="3792" xr:uid="{2345D6CE-A18F-4A6D-9F3C-79A5A5BC0EA7}"/>
    <cellStyle name="표준 39 2" xfId="3793" xr:uid="{56D9384F-D8DD-4954-B2EE-1D24D2C4C775}"/>
    <cellStyle name="표준 4" xfId="3944" xr:uid="{4824609D-C11F-4E0F-ABD1-492CD5DDC28E}"/>
    <cellStyle name="표준 4 2" xfId="4148" xr:uid="{4CFA91C7-D126-4E5E-9714-50DE01F3A057}"/>
    <cellStyle name="표준 4 2 2" xfId="4452" xr:uid="{1E2F1601-C417-406D-8599-31CF8959C5AF}"/>
    <cellStyle name="표준 4 3" xfId="4320" xr:uid="{C2841982-F4BA-441F-B56C-F5A0D6A3134D}"/>
    <cellStyle name="표준 40" xfId="4557" xr:uid="{045DAEA6-E6E0-47B7-A56E-6DB98C849400}"/>
    <cellStyle name="표준 41" xfId="4558" xr:uid="{CFCD6A61-7870-41E0-8D50-DDAF95DBBA3F}"/>
    <cellStyle name="표준 42" xfId="4559" xr:uid="{D50A522C-7FB3-40C7-BCF2-331A40C87EC4}"/>
    <cellStyle name="표준 43" xfId="4560" xr:uid="{131B85D3-8B4B-4649-BF0F-6FC232A0A60B}"/>
    <cellStyle name="표준 44" xfId="4561" xr:uid="{98EEC17E-3281-4007-81E7-C6BC484B77AF}"/>
    <cellStyle name="표준 45" xfId="3794" xr:uid="{A1FC0A57-E111-4769-A1EA-82E605689C37}"/>
    <cellStyle name="표준 46" xfId="3795" xr:uid="{460B795B-EA9B-4088-845B-8D26F3E5508C}"/>
    <cellStyle name="표준 47" xfId="3796" xr:uid="{4E08A156-8A21-4987-9AE4-F62BD214B049}"/>
    <cellStyle name="표준 48" xfId="4562" xr:uid="{A90BD36C-F099-418A-BD9E-4F680BE3531C}"/>
    <cellStyle name="표준 49" xfId="11" xr:uid="{A5B8D374-8153-4D02-A307-AD3539D430B4}"/>
    <cellStyle name="표준 5" xfId="3945" xr:uid="{BDDDD51A-37A9-4606-AE3D-C5A7D96C271D}"/>
    <cellStyle name="표준 5 2" xfId="4149" xr:uid="{EC7ACC57-DD45-43FA-82A8-1A563721B6D6}"/>
    <cellStyle name="표준 5 2 2" xfId="4453" xr:uid="{911DCE42-3154-47DD-997A-7D601886741C}"/>
    <cellStyle name="표준 5 3" xfId="4321" xr:uid="{DBEFB9D8-93B4-4493-8A0E-ED561447C6BE}"/>
    <cellStyle name="표준 6" xfId="3959" xr:uid="{18F79995-FD4B-420F-BFD0-157A2864CC8A}"/>
    <cellStyle name="표준 6 2" xfId="4163" xr:uid="{DDB48F03-33DE-43A5-ABFB-BB44DF7463CF}"/>
    <cellStyle name="표준 6 2 2" xfId="4467" xr:uid="{BC6DAFD9-06B3-40DC-BED8-87D31FBAF852}"/>
    <cellStyle name="표준 6 3" xfId="4335" xr:uid="{AAC0824B-49E2-4A97-AD2D-6E29FCF67DD6}"/>
    <cellStyle name="표준 7" xfId="3960" xr:uid="{ADE82BF0-0C5B-4EAC-AA3B-84FC70054312}"/>
    <cellStyle name="표준 7 2" xfId="4164" xr:uid="{BAC2777A-3702-4FC1-ACBB-A0150E0CE7BF}"/>
    <cellStyle name="표준 7 2 2" xfId="4468" xr:uid="{B79D8BEB-DA97-4E30-BFAA-524C9AB2B06B}"/>
    <cellStyle name="표준 7 3" xfId="4336" xr:uid="{4F7FAA9B-F683-47A7-9B7E-50CCACDE7987}"/>
    <cellStyle name="표준 8" xfId="3961" xr:uid="{1103E802-0B87-43C1-B152-5D50B3984B6A}"/>
    <cellStyle name="표준 8 2" xfId="4165" xr:uid="{CCBC2BF3-E187-47D9-9AC2-303BDB1C192E}"/>
    <cellStyle name="표준 8 2 2" xfId="4469" xr:uid="{EC2C15AE-1B8C-420E-AA5A-33DD82D4E973}"/>
    <cellStyle name="표준 8 3" xfId="4337" xr:uid="{42D8F55F-FB73-45F5-943E-1AD7843FA7A1}"/>
    <cellStyle name="표준 9" xfId="4002" xr:uid="{94EB4AA9-4F8F-48E5-A487-11D889DFD9E8}"/>
    <cellStyle name="표준_200509통계" xfId="9" xr:uid="{E7F9C7D5-8332-4205-A452-D33F99778217}"/>
    <cellStyle name="표준_시군구별등록현황200509통계(수정안)" xfId="10" xr:uid="{A1B16042-EBBF-458E-AF95-EC9BE673F3DE}"/>
    <cellStyle name="하이퍼링크" xfId="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irportal.go.kr/e-book/ecatalog5.jsp?Dir=38&amp;catimage=&amp;start=&amp;cate=&amp;callmode=normal&amp;eclang=ko" TargetMode="External"/><Relationship Id="rId2" Type="http://schemas.openxmlformats.org/officeDocument/2006/relationships/hyperlink" Target="http://stat.molit.go.kr/portal/cate/statFileView.do?hRsId=58&amp;hFormId=5" TargetMode="External"/><Relationship Id="rId1" Type="http://schemas.openxmlformats.org/officeDocument/2006/relationships/hyperlink" Target="http://stat.molit.go.kr/portal/common/downLoadFile.do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://www.alio.go.kr/popReportTerm.do?apbaId=C1044&amp;reportFormRootNo=31701" TargetMode="External"/><Relationship Id="rId4" Type="http://schemas.openxmlformats.org/officeDocument/2006/relationships/hyperlink" Target="http://stat.molit.go.kr/portal/cate/statFileView.do?hRsId=58&amp;hFormId=5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"/>
  <sheetViews>
    <sheetView workbookViewId="0">
      <selection activeCell="G11" sqref="G11"/>
    </sheetView>
  </sheetViews>
  <sheetFormatPr defaultRowHeight="16.5" x14ac:dyDescent="0.3"/>
  <cols>
    <col min="1" max="2" width="9" customWidth="1"/>
  </cols>
  <sheetData>
    <row r="1" spans="1:5" x14ac:dyDescent="0.3">
      <c r="A1" s="1" t="s">
        <v>1</v>
      </c>
    </row>
    <row r="2" spans="1:5" x14ac:dyDescent="0.3">
      <c r="A2" s="1"/>
    </row>
    <row r="3" spans="1:5" x14ac:dyDescent="0.3">
      <c r="A3" s="1" t="s">
        <v>0</v>
      </c>
      <c r="B3" s="61" t="s">
        <v>571</v>
      </c>
      <c r="C3" s="62"/>
      <c r="D3" s="62"/>
      <c r="E3" s="62"/>
    </row>
    <row r="4" spans="1:5" x14ac:dyDescent="0.3">
      <c r="A4" s="1"/>
      <c r="B4" s="29" t="s">
        <v>572</v>
      </c>
    </row>
    <row r="5" spans="1:5" x14ac:dyDescent="0.3">
      <c r="A5" s="1"/>
      <c r="B5" s="71">
        <v>2020</v>
      </c>
    </row>
    <row r="6" spans="1:5" x14ac:dyDescent="0.3">
      <c r="A6" s="1"/>
      <c r="B6" s="30" t="s">
        <v>590</v>
      </c>
    </row>
    <row r="7" spans="1:5" x14ac:dyDescent="0.3">
      <c r="A7" s="1"/>
      <c r="B7" s="31" t="s">
        <v>190</v>
      </c>
    </row>
    <row r="8" spans="1:5" x14ac:dyDescent="0.3">
      <c r="A8" s="1"/>
      <c r="B8" s="29" t="s">
        <v>191</v>
      </c>
    </row>
    <row r="10" spans="1:5" x14ac:dyDescent="0.3">
      <c r="B10" s="63" t="s">
        <v>574</v>
      </c>
      <c r="C10" s="62"/>
      <c r="D10" s="62"/>
      <c r="E10" s="62"/>
    </row>
    <row r="11" spans="1:5" x14ac:dyDescent="0.3">
      <c r="B11" s="29" t="s">
        <v>573</v>
      </c>
    </row>
    <row r="12" spans="1:5" x14ac:dyDescent="0.3">
      <c r="B12" s="29">
        <v>2020</v>
      </c>
    </row>
    <row r="13" spans="1:5" x14ac:dyDescent="0.3">
      <c r="B13" s="29" t="s">
        <v>575</v>
      </c>
    </row>
    <row r="14" spans="1:5" x14ac:dyDescent="0.3">
      <c r="B14" s="31" t="s">
        <v>192</v>
      </c>
    </row>
    <row r="15" spans="1:5" x14ac:dyDescent="0.3">
      <c r="B15" s="29" t="s">
        <v>193</v>
      </c>
    </row>
    <row r="17" spans="1:5" x14ac:dyDescent="0.3">
      <c r="B17" s="63" t="s">
        <v>570</v>
      </c>
      <c r="C17" s="62"/>
      <c r="D17" s="62"/>
      <c r="E17" s="62"/>
    </row>
    <row r="18" spans="1:5" x14ac:dyDescent="0.3">
      <c r="B18" s="29" t="s">
        <v>576</v>
      </c>
    </row>
    <row r="19" spans="1:5" x14ac:dyDescent="0.3">
      <c r="B19" s="29">
        <v>2021</v>
      </c>
    </row>
    <row r="20" spans="1:5" x14ac:dyDescent="0.3">
      <c r="B20" s="29" t="s">
        <v>577</v>
      </c>
    </row>
    <row r="21" spans="1:5" x14ac:dyDescent="0.3">
      <c r="B21" s="31" t="s">
        <v>563</v>
      </c>
    </row>
    <row r="23" spans="1:5" x14ac:dyDescent="0.3">
      <c r="B23" s="63" t="s">
        <v>586</v>
      </c>
      <c r="C23" s="62"/>
      <c r="D23" s="62"/>
      <c r="E23" s="62"/>
    </row>
    <row r="24" spans="1:5" x14ac:dyDescent="0.3">
      <c r="B24" s="29" t="s">
        <v>572</v>
      </c>
    </row>
    <row r="25" spans="1:5" x14ac:dyDescent="0.3">
      <c r="B25" s="71">
        <v>2020</v>
      </c>
    </row>
    <row r="26" spans="1:5" x14ac:dyDescent="0.3">
      <c r="B26" s="89" t="s">
        <v>600</v>
      </c>
    </row>
    <row r="27" spans="1:5" x14ac:dyDescent="0.3">
      <c r="B27" s="31" t="s">
        <v>190</v>
      </c>
    </row>
    <row r="28" spans="1:5" x14ac:dyDescent="0.3">
      <c r="B28" s="29" t="s">
        <v>578</v>
      </c>
    </row>
    <row r="30" spans="1:5" x14ac:dyDescent="0.3">
      <c r="A30" s="1" t="s">
        <v>565</v>
      </c>
    </row>
    <row r="31" spans="1:5" x14ac:dyDescent="0.3">
      <c r="A31" s="1" t="s">
        <v>567</v>
      </c>
    </row>
    <row r="32" spans="1:5" x14ac:dyDescent="0.3">
      <c r="A32" t="s">
        <v>185</v>
      </c>
    </row>
    <row r="33" spans="1:1" x14ac:dyDescent="0.3">
      <c r="A33" t="s">
        <v>186</v>
      </c>
    </row>
    <row r="34" spans="1:1" x14ac:dyDescent="0.3">
      <c r="A34" t="s">
        <v>187</v>
      </c>
    </row>
    <row r="35" spans="1:1" x14ac:dyDescent="0.3">
      <c r="A35" t="s">
        <v>579</v>
      </c>
    </row>
    <row r="37" spans="1:1" x14ac:dyDescent="0.3">
      <c r="A37" s="32" t="s">
        <v>568</v>
      </c>
    </row>
    <row r="38" spans="1:1" x14ac:dyDescent="0.3">
      <c r="A38" t="s">
        <v>580</v>
      </c>
    </row>
    <row r="40" spans="1:1" x14ac:dyDescent="0.3">
      <c r="A40" s="32" t="s">
        <v>564</v>
      </c>
    </row>
    <row r="41" spans="1:1" x14ac:dyDescent="0.3">
      <c r="A41" s="60" t="s">
        <v>581</v>
      </c>
    </row>
    <row r="42" spans="1:1" x14ac:dyDescent="0.3">
      <c r="A42" t="s">
        <v>582</v>
      </c>
    </row>
    <row r="43" spans="1:1" x14ac:dyDescent="0.3">
      <c r="A43" t="s">
        <v>583</v>
      </c>
    </row>
    <row r="45" spans="1:1" x14ac:dyDescent="0.3">
      <c r="A45" s="32" t="s">
        <v>569</v>
      </c>
    </row>
    <row r="46" spans="1:1" x14ac:dyDescent="0.3">
      <c r="A46" t="s">
        <v>584</v>
      </c>
    </row>
    <row r="47" spans="1:1" x14ac:dyDescent="0.3">
      <c r="A47" t="s">
        <v>585</v>
      </c>
    </row>
  </sheetData>
  <phoneticPr fontId="9" type="noConversion"/>
  <hyperlinks>
    <hyperlink ref="B6" r:id="rId1" display="http://stat.molit.go.kr/portal/common/downLoadFile.do" xr:uid="{9459A008-1B48-4CF3-8750-C3AB87EBCFE3}"/>
    <hyperlink ref="B7" r:id="rId2" xr:uid="{BE8BCF68-656F-4FE2-84D3-6812C29CB932}"/>
    <hyperlink ref="B14" r:id="rId3" xr:uid="{547C3E09-71AB-4B84-B0F4-C6C0F96C8DE0}"/>
    <hyperlink ref="B27" r:id="rId4" xr:uid="{8E8D5B45-C4E7-404D-879D-7B4D1109CD72}"/>
    <hyperlink ref="B21" r:id="rId5" xr:uid="{0F80EEBD-4072-4470-B531-E0BE0ADBAA18}"/>
  </hyperlinks>
  <pageMargins left="0.7" right="0.7" top="0.75" bottom="0.75" header="0.3" footer="0.3"/>
  <pageSetup orientation="portrait" horizontalDpi="1200" verticalDpi="1200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E6F93-7CBA-4FE2-A043-FFD153D8AE11}">
  <dimension ref="A1:W142"/>
  <sheetViews>
    <sheetView workbookViewId="0">
      <pane xSplit="5" ySplit="3" topLeftCell="F40" activePane="bottomRight" state="frozen"/>
      <selection pane="topRight" activeCell="F1" sqref="F1"/>
      <selection pane="bottomLeft" activeCell="A4" sqref="A4"/>
      <selection pane="bottomRight" activeCell="F4" sqref="F4"/>
    </sheetView>
  </sheetViews>
  <sheetFormatPr defaultColWidth="9" defaultRowHeight="13.5" x14ac:dyDescent="0.3"/>
  <cols>
    <col min="1" max="1" width="4" style="19" customWidth="1"/>
    <col min="2" max="2" width="3.5" style="19" customWidth="1"/>
    <col min="3" max="4" width="1.625" style="19" customWidth="1"/>
    <col min="5" max="5" width="23.25" style="19" customWidth="1"/>
    <col min="6" max="9" width="11.625" style="19" bestFit="1" customWidth="1"/>
    <col min="10" max="12" width="10.25" style="19" bestFit="1" customWidth="1"/>
    <col min="13" max="13" width="10.75" style="19" bestFit="1" customWidth="1"/>
    <col min="14" max="14" width="11.625" style="19" bestFit="1" customWidth="1"/>
    <col min="15" max="16" width="10.25" style="19" bestFit="1" customWidth="1"/>
    <col min="17" max="19" width="10.75" style="19" bestFit="1" customWidth="1"/>
    <col min="20" max="21" width="11.625" style="19" bestFit="1" customWidth="1"/>
    <col min="22" max="22" width="10.25" style="19" bestFit="1" customWidth="1"/>
    <col min="23" max="23" width="12.75" style="19" bestFit="1" customWidth="1"/>
    <col min="24" max="16384" width="9" style="19"/>
  </cols>
  <sheetData>
    <row r="1" spans="1:23" x14ac:dyDescent="0.3">
      <c r="A1" s="74" t="s">
        <v>21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</row>
    <row r="2" spans="1:23" x14ac:dyDescent="0.15">
      <c r="A2" s="76" t="s">
        <v>591</v>
      </c>
      <c r="B2" s="77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</row>
    <row r="3" spans="1:23" x14ac:dyDescent="0.3">
      <c r="A3" s="78"/>
      <c r="B3" s="79"/>
      <c r="C3" s="79"/>
      <c r="D3" s="79"/>
      <c r="E3" s="79" t="s">
        <v>22</v>
      </c>
      <c r="F3" s="80" t="s">
        <v>23</v>
      </c>
      <c r="G3" s="80" t="s">
        <v>24</v>
      </c>
      <c r="H3" s="80" t="s">
        <v>25</v>
      </c>
      <c r="I3" s="80" t="s">
        <v>26</v>
      </c>
      <c r="J3" s="80" t="s">
        <v>27</v>
      </c>
      <c r="K3" s="80" t="s">
        <v>28</v>
      </c>
      <c r="L3" s="80" t="s">
        <v>29</v>
      </c>
      <c r="M3" s="80" t="s">
        <v>30</v>
      </c>
      <c r="N3" s="80" t="s">
        <v>31</v>
      </c>
      <c r="O3" s="80" t="s">
        <v>32</v>
      </c>
      <c r="P3" s="80" t="s">
        <v>33</v>
      </c>
      <c r="Q3" s="80" t="s">
        <v>34</v>
      </c>
      <c r="R3" s="80" t="s">
        <v>35</v>
      </c>
      <c r="S3" s="80" t="s">
        <v>36</v>
      </c>
      <c r="T3" s="80" t="s">
        <v>37</v>
      </c>
      <c r="U3" s="80" t="s">
        <v>38</v>
      </c>
      <c r="V3" s="80" t="s">
        <v>39</v>
      </c>
      <c r="W3" s="81" t="s">
        <v>40</v>
      </c>
    </row>
    <row r="4" spans="1:23" x14ac:dyDescent="0.3">
      <c r="A4" s="82" t="s">
        <v>41</v>
      </c>
      <c r="B4" s="83"/>
      <c r="C4" s="83"/>
      <c r="D4" s="83"/>
      <c r="E4" s="83"/>
      <c r="F4" s="73">
        <v>3157361</v>
      </c>
      <c r="G4" s="73">
        <v>1429040</v>
      </c>
      <c r="H4" s="73">
        <v>1219196</v>
      </c>
      <c r="I4" s="73">
        <v>1676442</v>
      </c>
      <c r="J4" s="73">
        <v>691740</v>
      </c>
      <c r="K4" s="73">
        <v>686429</v>
      </c>
      <c r="L4" s="73">
        <v>575700</v>
      </c>
      <c r="M4" s="73">
        <v>174742</v>
      </c>
      <c r="N4" s="73">
        <v>6004126</v>
      </c>
      <c r="O4" s="73">
        <v>809099</v>
      </c>
      <c r="P4" s="73">
        <v>865620</v>
      </c>
      <c r="Q4" s="73">
        <v>1149845</v>
      </c>
      <c r="R4" s="73">
        <v>948147</v>
      </c>
      <c r="S4" s="73">
        <v>1099894</v>
      </c>
      <c r="T4" s="73">
        <v>1475389</v>
      </c>
      <c r="U4" s="73">
        <v>1787867</v>
      </c>
      <c r="V4" s="73">
        <v>615342</v>
      </c>
      <c r="W4" s="73">
        <v>24365979</v>
      </c>
    </row>
    <row r="5" spans="1:23" s="111" customFormat="1" x14ac:dyDescent="0.3">
      <c r="A5" s="108"/>
      <c r="B5" s="109" t="s">
        <v>42</v>
      </c>
      <c r="C5" s="109"/>
      <c r="D5" s="109"/>
      <c r="E5" s="109"/>
      <c r="F5" s="110">
        <v>2711984</v>
      </c>
      <c r="G5" s="110">
        <v>1189345</v>
      </c>
      <c r="H5" s="110">
        <v>1027075</v>
      </c>
      <c r="I5" s="110">
        <v>1426203</v>
      </c>
      <c r="J5" s="110">
        <v>576366</v>
      </c>
      <c r="K5" s="110">
        <v>576906</v>
      </c>
      <c r="L5" s="110">
        <v>486959</v>
      </c>
      <c r="M5" s="110">
        <v>153330</v>
      </c>
      <c r="N5" s="110">
        <v>4966689</v>
      </c>
      <c r="O5" s="110">
        <v>617377</v>
      </c>
      <c r="P5" s="110">
        <v>672910</v>
      </c>
      <c r="Q5" s="110">
        <v>879120</v>
      </c>
      <c r="R5" s="110">
        <v>724324</v>
      </c>
      <c r="S5" s="110">
        <v>807039</v>
      </c>
      <c r="T5" s="110">
        <v>1098846</v>
      </c>
      <c r="U5" s="110">
        <v>1432989</v>
      </c>
      <c r="V5" s="110">
        <v>513493</v>
      </c>
      <c r="W5" s="110">
        <v>19860955</v>
      </c>
    </row>
    <row r="6" spans="1:23" x14ac:dyDescent="0.3">
      <c r="A6" s="82"/>
      <c r="B6" s="83"/>
      <c r="C6" s="83" t="s">
        <v>43</v>
      </c>
      <c r="D6" s="83"/>
      <c r="E6" s="83"/>
      <c r="F6" s="73">
        <v>1937901</v>
      </c>
      <c r="G6" s="73">
        <v>839132</v>
      </c>
      <c r="H6" s="73">
        <v>733450</v>
      </c>
      <c r="I6" s="73">
        <v>945549</v>
      </c>
      <c r="J6" s="73">
        <v>399639</v>
      </c>
      <c r="K6" s="73">
        <v>410123</v>
      </c>
      <c r="L6" s="73">
        <v>327052</v>
      </c>
      <c r="M6" s="73">
        <v>106944</v>
      </c>
      <c r="N6" s="73">
        <v>3371988</v>
      </c>
      <c r="O6" s="73">
        <v>404504</v>
      </c>
      <c r="P6" s="73">
        <v>456089</v>
      </c>
      <c r="Q6" s="73">
        <v>590988</v>
      </c>
      <c r="R6" s="73">
        <v>487215</v>
      </c>
      <c r="S6" s="73">
        <v>528461</v>
      </c>
      <c r="T6" s="73">
        <v>762415</v>
      </c>
      <c r="U6" s="73">
        <v>1000657</v>
      </c>
      <c r="V6" s="73">
        <v>325414</v>
      </c>
      <c r="W6" s="73">
        <v>13627521</v>
      </c>
    </row>
    <row r="7" spans="1:23" x14ac:dyDescent="0.3">
      <c r="A7" s="82"/>
      <c r="B7" s="83"/>
      <c r="C7" s="83"/>
      <c r="D7" s="83" t="s">
        <v>44</v>
      </c>
      <c r="E7" s="83"/>
      <c r="F7" s="73">
        <v>1517892</v>
      </c>
      <c r="G7" s="73">
        <v>679865</v>
      </c>
      <c r="H7" s="73">
        <v>599718</v>
      </c>
      <c r="I7" s="73">
        <v>788477</v>
      </c>
      <c r="J7" s="73">
        <v>347685</v>
      </c>
      <c r="K7" s="73">
        <v>363319</v>
      </c>
      <c r="L7" s="73">
        <v>301436</v>
      </c>
      <c r="M7" s="73">
        <v>92291</v>
      </c>
      <c r="N7" s="73">
        <v>2870269</v>
      </c>
      <c r="O7" s="73">
        <v>367726</v>
      </c>
      <c r="P7" s="73">
        <v>413410</v>
      </c>
      <c r="Q7" s="73">
        <v>536621</v>
      </c>
      <c r="R7" s="73">
        <v>434135</v>
      </c>
      <c r="S7" s="73">
        <v>483141</v>
      </c>
      <c r="T7" s="73">
        <v>702021</v>
      </c>
      <c r="U7" s="73">
        <v>891261</v>
      </c>
      <c r="V7" s="73">
        <v>300203</v>
      </c>
      <c r="W7" s="73">
        <v>11689470</v>
      </c>
    </row>
    <row r="8" spans="1:23" s="103" customFormat="1" x14ac:dyDescent="0.3">
      <c r="A8" s="100"/>
      <c r="B8" s="101"/>
      <c r="C8" s="101"/>
      <c r="D8" s="101"/>
      <c r="E8" s="101" t="s">
        <v>45</v>
      </c>
      <c r="F8" s="102">
        <v>12526</v>
      </c>
      <c r="G8" s="102">
        <v>7245</v>
      </c>
      <c r="H8" s="102">
        <v>7584</v>
      </c>
      <c r="I8" s="102">
        <v>8452</v>
      </c>
      <c r="J8" s="102">
        <v>2771</v>
      </c>
      <c r="K8" s="102">
        <v>4686</v>
      </c>
      <c r="L8" s="102">
        <v>3905</v>
      </c>
      <c r="M8" s="102">
        <v>830</v>
      </c>
      <c r="N8" s="102">
        <v>30921</v>
      </c>
      <c r="O8" s="102">
        <v>6888</v>
      </c>
      <c r="P8" s="102">
        <v>5717</v>
      </c>
      <c r="Q8" s="102">
        <v>7273</v>
      </c>
      <c r="R8" s="102">
        <v>5580</v>
      </c>
      <c r="S8" s="102">
        <v>6066</v>
      </c>
      <c r="T8" s="102">
        <v>13911</v>
      </c>
      <c r="U8" s="102">
        <v>18021</v>
      </c>
      <c r="V8" s="102">
        <v>3809</v>
      </c>
      <c r="W8" s="102">
        <v>146185</v>
      </c>
    </row>
    <row r="9" spans="1:23" s="103" customFormat="1" x14ac:dyDescent="0.3">
      <c r="A9" s="100"/>
      <c r="B9" s="101"/>
      <c r="C9" s="101"/>
      <c r="D9" s="101"/>
      <c r="E9" s="101" t="s">
        <v>46</v>
      </c>
      <c r="F9" s="102">
        <v>157056</v>
      </c>
      <c r="G9" s="102">
        <v>89898</v>
      </c>
      <c r="H9" s="102">
        <v>77556</v>
      </c>
      <c r="I9" s="102">
        <v>130920</v>
      </c>
      <c r="J9" s="102">
        <v>38038</v>
      </c>
      <c r="K9" s="102">
        <v>54258</v>
      </c>
      <c r="L9" s="102">
        <v>51740</v>
      </c>
      <c r="M9" s="102">
        <v>15970</v>
      </c>
      <c r="N9" s="102">
        <v>471881</v>
      </c>
      <c r="O9" s="102">
        <v>77950</v>
      </c>
      <c r="P9" s="102">
        <v>70165</v>
      </c>
      <c r="Q9" s="102">
        <v>88431</v>
      </c>
      <c r="R9" s="102">
        <v>56045</v>
      </c>
      <c r="S9" s="102">
        <v>63418</v>
      </c>
      <c r="T9" s="102">
        <v>118182</v>
      </c>
      <c r="U9" s="102">
        <v>160315</v>
      </c>
      <c r="V9" s="102">
        <v>41295</v>
      </c>
      <c r="W9" s="102">
        <v>1763118</v>
      </c>
    </row>
    <row r="10" spans="1:23" s="103" customFormat="1" x14ac:dyDescent="0.3">
      <c r="A10" s="100"/>
      <c r="B10" s="101"/>
      <c r="C10" s="101"/>
      <c r="D10" s="101"/>
      <c r="E10" s="101" t="s">
        <v>47</v>
      </c>
      <c r="F10" s="102">
        <v>97579</v>
      </c>
      <c r="G10" s="102">
        <v>39347</v>
      </c>
      <c r="H10" s="102">
        <v>35603</v>
      </c>
      <c r="I10" s="102">
        <v>44891</v>
      </c>
      <c r="J10" s="102">
        <v>16867</v>
      </c>
      <c r="K10" s="102">
        <v>22462</v>
      </c>
      <c r="L10" s="102">
        <v>17039</v>
      </c>
      <c r="M10" s="102">
        <v>5209</v>
      </c>
      <c r="N10" s="102">
        <v>177075</v>
      </c>
      <c r="O10" s="102">
        <v>22867</v>
      </c>
      <c r="P10" s="102">
        <v>24758</v>
      </c>
      <c r="Q10" s="102">
        <v>32363</v>
      </c>
      <c r="R10" s="102">
        <v>26854</v>
      </c>
      <c r="S10" s="102">
        <v>27468</v>
      </c>
      <c r="T10" s="102">
        <v>44748</v>
      </c>
      <c r="U10" s="102">
        <v>54259</v>
      </c>
      <c r="V10" s="102">
        <v>15830</v>
      </c>
      <c r="W10" s="102">
        <v>705219</v>
      </c>
    </row>
    <row r="11" spans="1:23" s="103" customFormat="1" x14ac:dyDescent="0.3">
      <c r="A11" s="100"/>
      <c r="B11" s="101"/>
      <c r="C11" s="101"/>
      <c r="D11" s="101"/>
      <c r="E11" s="101" t="s">
        <v>48</v>
      </c>
      <c r="F11" s="102">
        <v>815818</v>
      </c>
      <c r="G11" s="102">
        <v>369728</v>
      </c>
      <c r="H11" s="102">
        <v>317717</v>
      </c>
      <c r="I11" s="102">
        <v>399839</v>
      </c>
      <c r="J11" s="102">
        <v>192677</v>
      </c>
      <c r="K11" s="102">
        <v>199665</v>
      </c>
      <c r="L11" s="102">
        <v>147164</v>
      </c>
      <c r="M11" s="102">
        <v>49318</v>
      </c>
      <c r="N11" s="102">
        <v>1513544</v>
      </c>
      <c r="O11" s="102">
        <v>185857</v>
      </c>
      <c r="P11" s="102">
        <v>219171</v>
      </c>
      <c r="Q11" s="102">
        <v>279686</v>
      </c>
      <c r="R11" s="102">
        <v>238028</v>
      </c>
      <c r="S11" s="102">
        <v>250202</v>
      </c>
      <c r="T11" s="102">
        <v>352773</v>
      </c>
      <c r="U11" s="102">
        <v>441641</v>
      </c>
      <c r="V11" s="102">
        <v>141404</v>
      </c>
      <c r="W11" s="102">
        <v>6114232</v>
      </c>
    </row>
    <row r="12" spans="1:23" s="107" customFormat="1" x14ac:dyDescent="0.3">
      <c r="A12" s="104"/>
      <c r="B12" s="105"/>
      <c r="C12" s="105"/>
      <c r="D12" s="105"/>
      <c r="E12" s="105" t="s">
        <v>49</v>
      </c>
      <c r="F12" s="106">
        <v>162042</v>
      </c>
      <c r="G12" s="106">
        <v>69594</v>
      </c>
      <c r="H12" s="106">
        <v>58961</v>
      </c>
      <c r="I12" s="106">
        <v>83168</v>
      </c>
      <c r="J12" s="106">
        <v>34884</v>
      </c>
      <c r="K12" s="106">
        <v>32837</v>
      </c>
      <c r="L12" s="106">
        <v>30812</v>
      </c>
      <c r="M12" s="106">
        <v>10005</v>
      </c>
      <c r="N12" s="106">
        <v>276093</v>
      </c>
      <c r="O12" s="106">
        <v>29837</v>
      </c>
      <c r="P12" s="106">
        <v>36197</v>
      </c>
      <c r="Q12" s="106">
        <v>48487</v>
      </c>
      <c r="R12" s="106">
        <v>39996</v>
      </c>
      <c r="S12" s="106">
        <v>48440</v>
      </c>
      <c r="T12" s="106">
        <v>60110</v>
      </c>
      <c r="U12" s="106">
        <v>84626</v>
      </c>
      <c r="V12" s="106">
        <v>39993</v>
      </c>
      <c r="W12" s="106">
        <v>1146082</v>
      </c>
    </row>
    <row r="13" spans="1:23" s="107" customFormat="1" x14ac:dyDescent="0.3">
      <c r="A13" s="104"/>
      <c r="B13" s="105"/>
      <c r="C13" s="105"/>
      <c r="D13" s="105"/>
      <c r="E13" s="105" t="s">
        <v>50</v>
      </c>
      <c r="F13" s="106">
        <v>143096</v>
      </c>
      <c r="G13" s="106">
        <v>50704</v>
      </c>
      <c r="H13" s="106">
        <v>53967</v>
      </c>
      <c r="I13" s="106">
        <v>61340</v>
      </c>
      <c r="J13" s="106">
        <v>39160</v>
      </c>
      <c r="K13" s="106">
        <v>29946</v>
      </c>
      <c r="L13" s="106">
        <v>28293</v>
      </c>
      <c r="M13" s="106">
        <v>6577</v>
      </c>
      <c r="N13" s="106">
        <v>217132</v>
      </c>
      <c r="O13" s="106">
        <v>25747</v>
      </c>
      <c r="P13" s="106">
        <v>33275</v>
      </c>
      <c r="Q13" s="106">
        <v>45498</v>
      </c>
      <c r="R13" s="106">
        <v>40263</v>
      </c>
      <c r="S13" s="106">
        <v>50452</v>
      </c>
      <c r="T13" s="106">
        <v>63716</v>
      </c>
      <c r="U13" s="106">
        <v>70006</v>
      </c>
      <c r="V13" s="106">
        <v>24749</v>
      </c>
      <c r="W13" s="106">
        <v>983921</v>
      </c>
    </row>
    <row r="14" spans="1:23" s="107" customFormat="1" x14ac:dyDescent="0.3">
      <c r="A14" s="104"/>
      <c r="B14" s="105"/>
      <c r="C14" s="105"/>
      <c r="D14" s="105"/>
      <c r="E14" s="105" t="s">
        <v>51</v>
      </c>
      <c r="F14" s="106">
        <v>89024</v>
      </c>
      <c r="G14" s="106">
        <v>35205</v>
      </c>
      <c r="H14" s="106">
        <v>31932</v>
      </c>
      <c r="I14" s="106">
        <v>38974</v>
      </c>
      <c r="J14" s="106">
        <v>16408</v>
      </c>
      <c r="K14" s="106">
        <v>13729</v>
      </c>
      <c r="L14" s="106">
        <v>16082</v>
      </c>
      <c r="M14" s="106">
        <v>3147</v>
      </c>
      <c r="N14" s="106">
        <v>126338</v>
      </c>
      <c r="O14" s="106">
        <v>12888</v>
      </c>
      <c r="P14" s="106">
        <v>16481</v>
      </c>
      <c r="Q14" s="106">
        <v>23765</v>
      </c>
      <c r="R14" s="106">
        <v>18446</v>
      </c>
      <c r="S14" s="106">
        <v>25808</v>
      </c>
      <c r="T14" s="106">
        <v>33011</v>
      </c>
      <c r="U14" s="106">
        <v>41618</v>
      </c>
      <c r="V14" s="106">
        <v>18389</v>
      </c>
      <c r="W14" s="106">
        <v>561245</v>
      </c>
    </row>
    <row r="15" spans="1:23" s="107" customFormat="1" x14ac:dyDescent="0.3">
      <c r="A15" s="104"/>
      <c r="B15" s="105"/>
      <c r="C15" s="105"/>
      <c r="D15" s="105"/>
      <c r="E15" s="105" t="s">
        <v>52</v>
      </c>
      <c r="F15" s="106">
        <v>35310</v>
      </c>
      <c r="G15" s="106">
        <v>15484</v>
      </c>
      <c r="H15" s="106">
        <v>13998</v>
      </c>
      <c r="I15" s="106">
        <v>18189</v>
      </c>
      <c r="J15" s="106">
        <v>5979</v>
      </c>
      <c r="K15" s="106">
        <v>5043</v>
      </c>
      <c r="L15" s="106">
        <v>5481</v>
      </c>
      <c r="M15" s="106">
        <v>1018</v>
      </c>
      <c r="N15" s="106">
        <v>49864</v>
      </c>
      <c r="O15" s="106">
        <v>4762</v>
      </c>
      <c r="P15" s="106">
        <v>6649</v>
      </c>
      <c r="Q15" s="106">
        <v>9493</v>
      </c>
      <c r="R15" s="106">
        <v>7857</v>
      </c>
      <c r="S15" s="106">
        <v>9785</v>
      </c>
      <c r="T15" s="106">
        <v>13395</v>
      </c>
      <c r="U15" s="106">
        <v>17975</v>
      </c>
      <c r="V15" s="106">
        <v>10558</v>
      </c>
      <c r="W15" s="106">
        <v>230840</v>
      </c>
    </row>
    <row r="16" spans="1:23" s="107" customFormat="1" x14ac:dyDescent="0.3">
      <c r="A16" s="104"/>
      <c r="B16" s="105"/>
      <c r="C16" s="105"/>
      <c r="D16" s="105"/>
      <c r="E16" s="105" t="s">
        <v>53</v>
      </c>
      <c r="F16" s="106">
        <v>461</v>
      </c>
      <c r="G16" s="106">
        <v>142</v>
      </c>
      <c r="H16" s="106">
        <v>111</v>
      </c>
      <c r="I16" s="106">
        <v>135</v>
      </c>
      <c r="J16" s="106">
        <v>61</v>
      </c>
      <c r="K16" s="106">
        <v>87</v>
      </c>
      <c r="L16" s="106">
        <v>67</v>
      </c>
      <c r="M16" s="106">
        <v>14</v>
      </c>
      <c r="N16" s="106">
        <v>665</v>
      </c>
      <c r="O16" s="106">
        <v>95</v>
      </c>
      <c r="P16" s="106">
        <v>108</v>
      </c>
      <c r="Q16" s="106">
        <v>155</v>
      </c>
      <c r="R16" s="106">
        <v>136</v>
      </c>
      <c r="S16" s="106">
        <v>116</v>
      </c>
      <c r="T16" s="106">
        <v>187</v>
      </c>
      <c r="U16" s="106">
        <v>194</v>
      </c>
      <c r="V16" s="106">
        <v>58</v>
      </c>
      <c r="W16" s="106">
        <v>2792</v>
      </c>
    </row>
    <row r="17" spans="1:23" s="107" customFormat="1" x14ac:dyDescent="0.3">
      <c r="A17" s="104"/>
      <c r="B17" s="105"/>
      <c r="C17" s="105"/>
      <c r="D17" s="105"/>
      <c r="E17" s="105" t="s">
        <v>54</v>
      </c>
      <c r="F17" s="106">
        <v>1123</v>
      </c>
      <c r="G17" s="106">
        <v>434</v>
      </c>
      <c r="H17" s="106">
        <v>480</v>
      </c>
      <c r="I17" s="106">
        <v>358</v>
      </c>
      <c r="J17" s="106">
        <v>188</v>
      </c>
      <c r="K17" s="106">
        <v>139</v>
      </c>
      <c r="L17" s="106">
        <v>193</v>
      </c>
      <c r="M17" s="106">
        <v>28</v>
      </c>
      <c r="N17" s="106">
        <v>1630</v>
      </c>
      <c r="O17" s="106">
        <v>167</v>
      </c>
      <c r="P17" s="106">
        <v>208</v>
      </c>
      <c r="Q17" s="106">
        <v>338</v>
      </c>
      <c r="R17" s="106">
        <v>227</v>
      </c>
      <c r="S17" s="106">
        <v>281</v>
      </c>
      <c r="T17" s="106">
        <v>528</v>
      </c>
      <c r="U17" s="106">
        <v>613</v>
      </c>
      <c r="V17" s="106">
        <v>68</v>
      </c>
      <c r="W17" s="106">
        <v>7003</v>
      </c>
    </row>
    <row r="18" spans="1:23" s="107" customFormat="1" x14ac:dyDescent="0.3">
      <c r="A18" s="104"/>
      <c r="B18" s="105"/>
      <c r="C18" s="105"/>
      <c r="D18" s="105"/>
      <c r="E18" s="105" t="s">
        <v>55</v>
      </c>
      <c r="F18" s="106">
        <v>2980</v>
      </c>
      <c r="G18" s="106">
        <v>1348</v>
      </c>
      <c r="H18" s="106">
        <v>1227</v>
      </c>
      <c r="I18" s="106">
        <v>1897</v>
      </c>
      <c r="J18" s="106">
        <v>341</v>
      </c>
      <c r="K18" s="106">
        <v>267</v>
      </c>
      <c r="L18" s="106">
        <v>502</v>
      </c>
      <c r="M18" s="106">
        <v>76</v>
      </c>
      <c r="N18" s="106">
        <v>3726</v>
      </c>
      <c r="O18" s="106">
        <v>295</v>
      </c>
      <c r="P18" s="106">
        <v>415</v>
      </c>
      <c r="Q18" s="106">
        <v>658</v>
      </c>
      <c r="R18" s="106">
        <v>452</v>
      </c>
      <c r="S18" s="106">
        <v>613</v>
      </c>
      <c r="T18" s="106">
        <v>1020</v>
      </c>
      <c r="U18" s="106">
        <v>1428</v>
      </c>
      <c r="V18" s="106">
        <v>1107</v>
      </c>
      <c r="W18" s="106">
        <v>18352</v>
      </c>
    </row>
    <row r="19" spans="1:23" s="103" customFormat="1" x14ac:dyDescent="0.3">
      <c r="A19" s="100"/>
      <c r="B19" s="101"/>
      <c r="C19" s="101"/>
      <c r="D19" s="101"/>
      <c r="E19" s="101" t="s">
        <v>56</v>
      </c>
      <c r="F19" s="102">
        <v>5</v>
      </c>
      <c r="G19" s="102">
        <v>0</v>
      </c>
      <c r="H19" s="102">
        <v>0</v>
      </c>
      <c r="I19" s="102">
        <v>6</v>
      </c>
      <c r="J19" s="102">
        <v>1</v>
      </c>
      <c r="K19" s="102">
        <v>0</v>
      </c>
      <c r="L19" s="102">
        <v>0</v>
      </c>
      <c r="M19" s="102">
        <v>0</v>
      </c>
      <c r="N19" s="102">
        <v>5</v>
      </c>
      <c r="O19" s="102">
        <v>0</v>
      </c>
      <c r="P19" s="102">
        <v>2</v>
      </c>
      <c r="Q19" s="102">
        <v>3</v>
      </c>
      <c r="R19" s="102">
        <v>0</v>
      </c>
      <c r="S19" s="102">
        <v>1</v>
      </c>
      <c r="T19" s="102">
        <v>5</v>
      </c>
      <c r="U19" s="102">
        <v>2</v>
      </c>
      <c r="V19" s="102">
        <v>0</v>
      </c>
      <c r="W19" s="102">
        <v>30</v>
      </c>
    </row>
    <row r="20" spans="1:23" s="103" customFormat="1" x14ac:dyDescent="0.3">
      <c r="A20" s="100"/>
      <c r="B20" s="101"/>
      <c r="C20" s="101"/>
      <c r="D20" s="101"/>
      <c r="E20" s="101" t="s">
        <v>57</v>
      </c>
      <c r="F20" s="102">
        <v>872</v>
      </c>
      <c r="G20" s="102">
        <v>736</v>
      </c>
      <c r="H20" s="102">
        <v>582</v>
      </c>
      <c r="I20" s="102">
        <v>308</v>
      </c>
      <c r="J20" s="102">
        <v>310</v>
      </c>
      <c r="K20" s="102">
        <v>200</v>
      </c>
      <c r="L20" s="102">
        <v>158</v>
      </c>
      <c r="M20" s="102">
        <v>99</v>
      </c>
      <c r="N20" s="102">
        <v>1395</v>
      </c>
      <c r="O20" s="102">
        <v>373</v>
      </c>
      <c r="P20" s="102">
        <v>264</v>
      </c>
      <c r="Q20" s="102">
        <v>471</v>
      </c>
      <c r="R20" s="102">
        <v>251</v>
      </c>
      <c r="S20" s="102">
        <v>491</v>
      </c>
      <c r="T20" s="102">
        <v>435</v>
      </c>
      <c r="U20" s="102">
        <v>563</v>
      </c>
      <c r="V20" s="102">
        <v>2943</v>
      </c>
      <c r="W20" s="102">
        <v>10451</v>
      </c>
    </row>
    <row r="21" spans="1:23" x14ac:dyDescent="0.3">
      <c r="A21" s="82"/>
      <c r="B21" s="83"/>
      <c r="C21" s="83"/>
      <c r="D21" s="83" t="s">
        <v>58</v>
      </c>
      <c r="E21" s="83"/>
      <c r="F21" s="73">
        <v>420009</v>
      </c>
      <c r="G21" s="73">
        <v>159267</v>
      </c>
      <c r="H21" s="73">
        <v>133732</v>
      </c>
      <c r="I21" s="73">
        <v>157072</v>
      </c>
      <c r="J21" s="73">
        <v>51954</v>
      </c>
      <c r="K21" s="73">
        <v>46804</v>
      </c>
      <c r="L21" s="73">
        <v>25616</v>
      </c>
      <c r="M21" s="73">
        <v>14653</v>
      </c>
      <c r="N21" s="73">
        <v>501719</v>
      </c>
      <c r="O21" s="73">
        <v>36778</v>
      </c>
      <c r="P21" s="73">
        <v>42679</v>
      </c>
      <c r="Q21" s="73">
        <v>54367</v>
      </c>
      <c r="R21" s="73">
        <v>53080</v>
      </c>
      <c r="S21" s="73">
        <v>45320</v>
      </c>
      <c r="T21" s="73">
        <v>60394</v>
      </c>
      <c r="U21" s="73">
        <v>109396</v>
      </c>
      <c r="V21" s="73">
        <v>25211</v>
      </c>
      <c r="W21" s="73">
        <v>1938051</v>
      </c>
    </row>
    <row r="22" spans="1:23" s="103" customFormat="1" x14ac:dyDescent="0.3">
      <c r="A22" s="100"/>
      <c r="B22" s="101"/>
      <c r="C22" s="101"/>
      <c r="D22" s="101"/>
      <c r="E22" s="101" t="s">
        <v>59</v>
      </c>
      <c r="F22" s="102">
        <v>658</v>
      </c>
      <c r="G22" s="102">
        <v>122</v>
      </c>
      <c r="H22" s="102">
        <v>61</v>
      </c>
      <c r="I22" s="102">
        <v>149</v>
      </c>
      <c r="J22" s="102">
        <v>34</v>
      </c>
      <c r="K22" s="102">
        <v>52</v>
      </c>
      <c r="L22" s="102">
        <v>29</v>
      </c>
      <c r="M22" s="102">
        <v>23</v>
      </c>
      <c r="N22" s="102">
        <v>925</v>
      </c>
      <c r="O22" s="102">
        <v>49</v>
      </c>
      <c r="P22" s="102">
        <v>32</v>
      </c>
      <c r="Q22" s="102">
        <v>77</v>
      </c>
      <c r="R22" s="102">
        <v>41</v>
      </c>
      <c r="S22" s="102">
        <v>25</v>
      </c>
      <c r="T22" s="102">
        <v>55</v>
      </c>
      <c r="U22" s="102">
        <v>92</v>
      </c>
      <c r="V22" s="102">
        <v>45</v>
      </c>
      <c r="W22" s="102">
        <v>2469</v>
      </c>
    </row>
    <row r="23" spans="1:23" s="103" customFormat="1" x14ac:dyDescent="0.3">
      <c r="A23" s="100"/>
      <c r="B23" s="101"/>
      <c r="C23" s="101"/>
      <c r="D23" s="101"/>
      <c r="E23" s="101" t="s">
        <v>60</v>
      </c>
      <c r="F23" s="102">
        <v>582</v>
      </c>
      <c r="G23" s="102">
        <v>76</v>
      </c>
      <c r="H23" s="102">
        <v>92</v>
      </c>
      <c r="I23" s="102">
        <v>108</v>
      </c>
      <c r="J23" s="102">
        <v>42</v>
      </c>
      <c r="K23" s="102">
        <v>44</v>
      </c>
      <c r="L23" s="102">
        <v>41</v>
      </c>
      <c r="M23" s="102">
        <v>13</v>
      </c>
      <c r="N23" s="102">
        <v>633</v>
      </c>
      <c r="O23" s="102">
        <v>51</v>
      </c>
      <c r="P23" s="102">
        <v>41</v>
      </c>
      <c r="Q23" s="102">
        <v>52</v>
      </c>
      <c r="R23" s="102">
        <v>26</v>
      </c>
      <c r="S23" s="102">
        <v>16</v>
      </c>
      <c r="T23" s="102">
        <v>55</v>
      </c>
      <c r="U23" s="102">
        <v>56</v>
      </c>
      <c r="V23" s="102">
        <v>35</v>
      </c>
      <c r="W23" s="102">
        <v>1963</v>
      </c>
    </row>
    <row r="24" spans="1:23" s="103" customFormat="1" x14ac:dyDescent="0.3">
      <c r="A24" s="100"/>
      <c r="B24" s="101"/>
      <c r="C24" s="101"/>
      <c r="D24" s="101"/>
      <c r="E24" s="101" t="s">
        <v>61</v>
      </c>
      <c r="F24" s="102">
        <v>21698</v>
      </c>
      <c r="G24" s="102">
        <v>9789</v>
      </c>
      <c r="H24" s="102">
        <v>7570</v>
      </c>
      <c r="I24" s="102">
        <v>11502</v>
      </c>
      <c r="J24" s="102">
        <v>3813</v>
      </c>
      <c r="K24" s="102">
        <v>4100</v>
      </c>
      <c r="L24" s="102">
        <v>2444</v>
      </c>
      <c r="M24" s="102">
        <v>1627</v>
      </c>
      <c r="N24" s="102">
        <v>42702</v>
      </c>
      <c r="O24" s="102">
        <v>4893</v>
      </c>
      <c r="P24" s="102">
        <v>4602</v>
      </c>
      <c r="Q24" s="102">
        <v>6130</v>
      </c>
      <c r="R24" s="102">
        <v>4095</v>
      </c>
      <c r="S24" s="102">
        <v>4276</v>
      </c>
      <c r="T24" s="102">
        <v>6813</v>
      </c>
      <c r="U24" s="102">
        <v>9992</v>
      </c>
      <c r="V24" s="102">
        <v>3167</v>
      </c>
      <c r="W24" s="102">
        <v>149213</v>
      </c>
    </row>
    <row r="25" spans="1:23" s="103" customFormat="1" x14ac:dyDescent="0.3">
      <c r="A25" s="100"/>
      <c r="B25" s="101"/>
      <c r="C25" s="101"/>
      <c r="D25" s="101"/>
      <c r="E25" s="101" t="s">
        <v>62</v>
      </c>
      <c r="F25" s="102">
        <v>205264</v>
      </c>
      <c r="G25" s="102">
        <v>81058</v>
      </c>
      <c r="H25" s="102">
        <v>66034</v>
      </c>
      <c r="I25" s="102">
        <v>90425</v>
      </c>
      <c r="J25" s="102">
        <v>25193</v>
      </c>
      <c r="K25" s="102">
        <v>23709</v>
      </c>
      <c r="L25" s="102">
        <v>12170</v>
      </c>
      <c r="M25" s="102">
        <v>7885</v>
      </c>
      <c r="N25" s="102">
        <v>251858</v>
      </c>
      <c r="O25" s="102">
        <v>17342</v>
      </c>
      <c r="P25" s="102">
        <v>20750</v>
      </c>
      <c r="Q25" s="102">
        <v>25542</v>
      </c>
      <c r="R25" s="102">
        <v>26234</v>
      </c>
      <c r="S25" s="102">
        <v>21222</v>
      </c>
      <c r="T25" s="102">
        <v>26505</v>
      </c>
      <c r="U25" s="102">
        <v>52104</v>
      </c>
      <c r="V25" s="102">
        <v>11654</v>
      </c>
      <c r="W25" s="102">
        <v>964949</v>
      </c>
    </row>
    <row r="26" spans="1:23" s="107" customFormat="1" x14ac:dyDescent="0.3">
      <c r="A26" s="104"/>
      <c r="B26" s="105"/>
      <c r="C26" s="105"/>
      <c r="D26" s="105"/>
      <c r="E26" s="105" t="s">
        <v>63</v>
      </c>
      <c r="F26" s="106">
        <v>65104</v>
      </c>
      <c r="G26" s="106">
        <v>20481</v>
      </c>
      <c r="H26" s="106">
        <v>18405</v>
      </c>
      <c r="I26" s="106">
        <v>15293</v>
      </c>
      <c r="J26" s="106">
        <v>8474</v>
      </c>
      <c r="K26" s="106">
        <v>7029</v>
      </c>
      <c r="L26" s="106">
        <v>3670</v>
      </c>
      <c r="M26" s="106">
        <v>2489</v>
      </c>
      <c r="N26" s="106">
        <v>79003</v>
      </c>
      <c r="O26" s="106">
        <v>5292</v>
      </c>
      <c r="P26" s="106">
        <v>5869</v>
      </c>
      <c r="Q26" s="106">
        <v>7322</v>
      </c>
      <c r="R26" s="106">
        <v>7749</v>
      </c>
      <c r="S26" s="106">
        <v>6577</v>
      </c>
      <c r="T26" s="106">
        <v>10109</v>
      </c>
      <c r="U26" s="106">
        <v>14742</v>
      </c>
      <c r="V26" s="106">
        <v>2494</v>
      </c>
      <c r="W26" s="106">
        <v>280102</v>
      </c>
    </row>
    <row r="27" spans="1:23" s="107" customFormat="1" x14ac:dyDescent="0.3">
      <c r="A27" s="104"/>
      <c r="B27" s="105"/>
      <c r="C27" s="105"/>
      <c r="D27" s="105"/>
      <c r="E27" s="105" t="s">
        <v>64</v>
      </c>
      <c r="F27" s="106">
        <v>53084</v>
      </c>
      <c r="G27" s="106">
        <v>25552</v>
      </c>
      <c r="H27" s="106">
        <v>22557</v>
      </c>
      <c r="I27" s="106">
        <v>22776</v>
      </c>
      <c r="J27" s="106">
        <v>7209</v>
      </c>
      <c r="K27" s="106">
        <v>5411</v>
      </c>
      <c r="L27" s="106">
        <v>2972</v>
      </c>
      <c r="M27" s="106">
        <v>1155</v>
      </c>
      <c r="N27" s="106">
        <v>55610</v>
      </c>
      <c r="O27" s="106">
        <v>4014</v>
      </c>
      <c r="P27" s="106">
        <v>5455</v>
      </c>
      <c r="Q27" s="106">
        <v>6712</v>
      </c>
      <c r="R27" s="106">
        <v>7482</v>
      </c>
      <c r="S27" s="106">
        <v>6214</v>
      </c>
      <c r="T27" s="106">
        <v>7417</v>
      </c>
      <c r="U27" s="106">
        <v>16375</v>
      </c>
      <c r="V27" s="106">
        <v>2826</v>
      </c>
      <c r="W27" s="106">
        <v>252821</v>
      </c>
    </row>
    <row r="28" spans="1:23" s="107" customFormat="1" x14ac:dyDescent="0.3">
      <c r="A28" s="104"/>
      <c r="B28" s="105"/>
      <c r="C28" s="105"/>
      <c r="D28" s="105"/>
      <c r="E28" s="105" t="s">
        <v>65</v>
      </c>
      <c r="F28" s="106">
        <v>36806</v>
      </c>
      <c r="G28" s="106">
        <v>9269</v>
      </c>
      <c r="H28" s="106">
        <v>7342</v>
      </c>
      <c r="I28" s="106">
        <v>5592</v>
      </c>
      <c r="J28" s="106">
        <v>3498</v>
      </c>
      <c r="K28" s="106">
        <v>2915</v>
      </c>
      <c r="L28" s="106">
        <v>1733</v>
      </c>
      <c r="M28" s="106">
        <v>675</v>
      </c>
      <c r="N28" s="106">
        <v>34367</v>
      </c>
      <c r="O28" s="106">
        <v>2173</v>
      </c>
      <c r="P28" s="106">
        <v>2529</v>
      </c>
      <c r="Q28" s="106">
        <v>3646</v>
      </c>
      <c r="R28" s="106">
        <v>3189</v>
      </c>
      <c r="S28" s="106">
        <v>2904</v>
      </c>
      <c r="T28" s="106">
        <v>4340</v>
      </c>
      <c r="U28" s="106">
        <v>6239</v>
      </c>
      <c r="V28" s="106">
        <v>1124</v>
      </c>
      <c r="W28" s="106">
        <v>128341</v>
      </c>
    </row>
    <row r="29" spans="1:23" s="107" customFormat="1" x14ac:dyDescent="0.3">
      <c r="A29" s="104"/>
      <c r="B29" s="105"/>
      <c r="C29" s="105"/>
      <c r="D29" s="105"/>
      <c r="E29" s="105" t="s">
        <v>66</v>
      </c>
      <c r="F29" s="106">
        <v>11887</v>
      </c>
      <c r="G29" s="106">
        <v>5837</v>
      </c>
      <c r="H29" s="106">
        <v>4950</v>
      </c>
      <c r="I29" s="106">
        <v>4876</v>
      </c>
      <c r="J29" s="106">
        <v>1427</v>
      </c>
      <c r="K29" s="106">
        <v>1214</v>
      </c>
      <c r="L29" s="106">
        <v>858</v>
      </c>
      <c r="M29" s="106">
        <v>295</v>
      </c>
      <c r="N29" s="106">
        <v>13885</v>
      </c>
      <c r="O29" s="106">
        <v>1119</v>
      </c>
      <c r="P29" s="106">
        <v>1433</v>
      </c>
      <c r="Q29" s="106">
        <v>1831</v>
      </c>
      <c r="R29" s="106">
        <v>1954</v>
      </c>
      <c r="S29" s="106">
        <v>1500</v>
      </c>
      <c r="T29" s="106">
        <v>2129</v>
      </c>
      <c r="U29" s="106">
        <v>4149</v>
      </c>
      <c r="V29" s="106">
        <v>941</v>
      </c>
      <c r="W29" s="106">
        <v>60285</v>
      </c>
    </row>
    <row r="30" spans="1:23" s="107" customFormat="1" x14ac:dyDescent="0.3">
      <c r="A30" s="104"/>
      <c r="B30" s="105"/>
      <c r="C30" s="105"/>
      <c r="D30" s="105"/>
      <c r="E30" s="105" t="s">
        <v>67</v>
      </c>
      <c r="F30" s="106">
        <v>4554</v>
      </c>
      <c r="G30" s="106">
        <v>1484</v>
      </c>
      <c r="H30" s="106">
        <v>1202</v>
      </c>
      <c r="I30" s="106">
        <v>1439</v>
      </c>
      <c r="J30" s="106">
        <v>652</v>
      </c>
      <c r="K30" s="106">
        <v>409</v>
      </c>
      <c r="L30" s="106">
        <v>270</v>
      </c>
      <c r="M30" s="106">
        <v>84</v>
      </c>
      <c r="N30" s="106">
        <v>4932</v>
      </c>
      <c r="O30" s="106">
        <v>389</v>
      </c>
      <c r="P30" s="106">
        <v>500</v>
      </c>
      <c r="Q30" s="106">
        <v>659</v>
      </c>
      <c r="R30" s="106">
        <v>612</v>
      </c>
      <c r="S30" s="106">
        <v>631</v>
      </c>
      <c r="T30" s="106">
        <v>719</v>
      </c>
      <c r="U30" s="106">
        <v>1166</v>
      </c>
      <c r="V30" s="106">
        <v>267</v>
      </c>
      <c r="W30" s="106">
        <v>19969</v>
      </c>
    </row>
    <row r="31" spans="1:23" s="107" customFormat="1" x14ac:dyDescent="0.3">
      <c r="A31" s="104"/>
      <c r="B31" s="105"/>
      <c r="C31" s="105"/>
      <c r="D31" s="105"/>
      <c r="E31" s="105" t="s">
        <v>68</v>
      </c>
      <c r="F31" s="106">
        <v>5971</v>
      </c>
      <c r="G31" s="106">
        <v>1719</v>
      </c>
      <c r="H31" s="106">
        <v>1507</v>
      </c>
      <c r="I31" s="106">
        <v>1056</v>
      </c>
      <c r="J31" s="106">
        <v>530</v>
      </c>
      <c r="K31" s="106">
        <v>416</v>
      </c>
      <c r="L31" s="106">
        <v>282</v>
      </c>
      <c r="M31" s="106">
        <v>76</v>
      </c>
      <c r="N31" s="106">
        <v>5566</v>
      </c>
      <c r="O31" s="106">
        <v>387</v>
      </c>
      <c r="P31" s="106">
        <v>498</v>
      </c>
      <c r="Q31" s="106">
        <v>657</v>
      </c>
      <c r="R31" s="106">
        <v>580</v>
      </c>
      <c r="S31" s="106">
        <v>618</v>
      </c>
      <c r="T31" s="106">
        <v>755</v>
      </c>
      <c r="U31" s="106">
        <v>1518</v>
      </c>
      <c r="V31" s="106">
        <v>284</v>
      </c>
      <c r="W31" s="106">
        <v>22420</v>
      </c>
    </row>
    <row r="32" spans="1:23" s="107" customFormat="1" x14ac:dyDescent="0.3">
      <c r="A32" s="104"/>
      <c r="B32" s="105"/>
      <c r="C32" s="105"/>
      <c r="D32" s="105"/>
      <c r="E32" s="105" t="s">
        <v>69</v>
      </c>
      <c r="F32" s="106">
        <v>6736</v>
      </c>
      <c r="G32" s="106">
        <v>2469</v>
      </c>
      <c r="H32" s="106">
        <v>1694</v>
      </c>
      <c r="I32" s="106">
        <v>1816</v>
      </c>
      <c r="J32" s="106">
        <v>492</v>
      </c>
      <c r="K32" s="106">
        <v>452</v>
      </c>
      <c r="L32" s="106">
        <v>327</v>
      </c>
      <c r="M32" s="106">
        <v>98</v>
      </c>
      <c r="N32" s="106">
        <v>6144</v>
      </c>
      <c r="O32" s="106">
        <v>431</v>
      </c>
      <c r="P32" s="106">
        <v>538</v>
      </c>
      <c r="Q32" s="106">
        <v>763</v>
      </c>
      <c r="R32" s="106">
        <v>632</v>
      </c>
      <c r="S32" s="106">
        <v>617</v>
      </c>
      <c r="T32" s="106">
        <v>722</v>
      </c>
      <c r="U32" s="106">
        <v>1720</v>
      </c>
      <c r="V32" s="106">
        <v>470</v>
      </c>
      <c r="W32" s="106">
        <v>26121</v>
      </c>
    </row>
    <row r="33" spans="1:23" s="103" customFormat="1" x14ac:dyDescent="0.3">
      <c r="A33" s="100"/>
      <c r="B33" s="101"/>
      <c r="C33" s="101"/>
      <c r="D33" s="101"/>
      <c r="E33" s="101" t="s">
        <v>70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</row>
    <row r="34" spans="1:23" s="103" customFormat="1" x14ac:dyDescent="0.3">
      <c r="A34" s="100"/>
      <c r="B34" s="101"/>
      <c r="C34" s="101"/>
      <c r="D34" s="101"/>
      <c r="E34" s="101" t="s">
        <v>71</v>
      </c>
      <c r="F34" s="102">
        <v>7665</v>
      </c>
      <c r="G34" s="102">
        <v>1411</v>
      </c>
      <c r="H34" s="102">
        <v>2318</v>
      </c>
      <c r="I34" s="102">
        <v>2040</v>
      </c>
      <c r="J34" s="102">
        <v>590</v>
      </c>
      <c r="K34" s="102">
        <v>1053</v>
      </c>
      <c r="L34" s="102">
        <v>820</v>
      </c>
      <c r="M34" s="102">
        <v>233</v>
      </c>
      <c r="N34" s="102">
        <v>6094</v>
      </c>
      <c r="O34" s="102">
        <v>638</v>
      </c>
      <c r="P34" s="102">
        <v>432</v>
      </c>
      <c r="Q34" s="102">
        <v>976</v>
      </c>
      <c r="R34" s="102">
        <v>486</v>
      </c>
      <c r="S34" s="102">
        <v>720</v>
      </c>
      <c r="T34" s="102">
        <v>775</v>
      </c>
      <c r="U34" s="102">
        <v>1243</v>
      </c>
      <c r="V34" s="102">
        <v>1904</v>
      </c>
      <c r="W34" s="102">
        <v>29398</v>
      </c>
    </row>
    <row r="35" spans="1:23" x14ac:dyDescent="0.3">
      <c r="A35" s="82"/>
      <c r="B35" s="83"/>
      <c r="C35" s="83" t="s">
        <v>72</v>
      </c>
      <c r="D35" s="83"/>
      <c r="E35" s="83"/>
      <c r="F35" s="73">
        <v>10203</v>
      </c>
      <c r="G35" s="73">
        <v>3084</v>
      </c>
      <c r="H35" s="73">
        <v>2530</v>
      </c>
      <c r="I35" s="73">
        <v>15337</v>
      </c>
      <c r="J35" s="73">
        <v>1843</v>
      </c>
      <c r="K35" s="73">
        <v>1870</v>
      </c>
      <c r="L35" s="73">
        <v>1091</v>
      </c>
      <c r="M35" s="73">
        <v>345</v>
      </c>
      <c r="N35" s="73">
        <v>16481</v>
      </c>
      <c r="O35" s="73">
        <v>2141</v>
      </c>
      <c r="P35" s="73">
        <v>2212</v>
      </c>
      <c r="Q35" s="73">
        <v>2782</v>
      </c>
      <c r="R35" s="73">
        <v>2195</v>
      </c>
      <c r="S35" s="73">
        <v>5310</v>
      </c>
      <c r="T35" s="73">
        <v>2886</v>
      </c>
      <c r="U35" s="73">
        <v>4125</v>
      </c>
      <c r="V35" s="73">
        <v>2501</v>
      </c>
      <c r="W35" s="73">
        <v>76936</v>
      </c>
    </row>
    <row r="36" spans="1:23" s="103" customFormat="1" x14ac:dyDescent="0.3">
      <c r="A36" s="100"/>
      <c r="B36" s="101"/>
      <c r="C36" s="101"/>
      <c r="D36" s="101"/>
      <c r="E36" s="101" t="s">
        <v>73</v>
      </c>
      <c r="F36" s="102">
        <v>9669</v>
      </c>
      <c r="G36" s="102">
        <v>2907</v>
      </c>
      <c r="H36" s="102">
        <v>2355</v>
      </c>
      <c r="I36" s="102">
        <v>15179</v>
      </c>
      <c r="J36" s="102">
        <v>1684</v>
      </c>
      <c r="K36" s="102">
        <v>1758</v>
      </c>
      <c r="L36" s="102">
        <v>1042</v>
      </c>
      <c r="M36" s="102">
        <v>334</v>
      </c>
      <c r="N36" s="102">
        <v>15516</v>
      </c>
      <c r="O36" s="102">
        <v>1945</v>
      </c>
      <c r="P36" s="102">
        <v>2022</v>
      </c>
      <c r="Q36" s="102">
        <v>2564</v>
      </c>
      <c r="R36" s="102">
        <v>1968</v>
      </c>
      <c r="S36" s="102">
        <v>5078</v>
      </c>
      <c r="T36" s="102">
        <v>2609</v>
      </c>
      <c r="U36" s="102">
        <v>3926</v>
      </c>
      <c r="V36" s="102">
        <v>2394</v>
      </c>
      <c r="W36" s="102">
        <v>72950</v>
      </c>
    </row>
    <row r="37" spans="1:23" s="103" customFormat="1" x14ac:dyDescent="0.3">
      <c r="A37" s="100"/>
      <c r="B37" s="101"/>
      <c r="C37" s="101"/>
      <c r="D37" s="101"/>
      <c r="E37" s="101" t="s">
        <v>74</v>
      </c>
      <c r="F37" s="102">
        <v>7</v>
      </c>
      <c r="G37" s="102">
        <v>6</v>
      </c>
      <c r="H37" s="102">
        <v>3</v>
      </c>
      <c r="I37" s="102">
        <v>3</v>
      </c>
      <c r="J37" s="102">
        <v>1</v>
      </c>
      <c r="K37" s="102">
        <v>3</v>
      </c>
      <c r="L37" s="102">
        <v>0</v>
      </c>
      <c r="M37" s="102">
        <v>0</v>
      </c>
      <c r="N37" s="102">
        <v>10</v>
      </c>
      <c r="O37" s="102">
        <v>1</v>
      </c>
      <c r="P37" s="102">
        <v>2</v>
      </c>
      <c r="Q37" s="102">
        <v>0</v>
      </c>
      <c r="R37" s="102">
        <v>3</v>
      </c>
      <c r="S37" s="102">
        <v>1</v>
      </c>
      <c r="T37" s="102">
        <v>2</v>
      </c>
      <c r="U37" s="102">
        <v>0</v>
      </c>
      <c r="V37" s="102">
        <v>1</v>
      </c>
      <c r="W37" s="102">
        <v>43</v>
      </c>
    </row>
    <row r="38" spans="1:23" s="107" customFormat="1" x14ac:dyDescent="0.3">
      <c r="A38" s="104"/>
      <c r="B38" s="105"/>
      <c r="C38" s="105"/>
      <c r="D38" s="105"/>
      <c r="E38" s="105" t="s">
        <v>75</v>
      </c>
      <c r="F38" s="106">
        <v>388</v>
      </c>
      <c r="G38" s="106">
        <v>121</v>
      </c>
      <c r="H38" s="106">
        <v>136</v>
      </c>
      <c r="I38" s="106">
        <v>133</v>
      </c>
      <c r="J38" s="106">
        <v>119</v>
      </c>
      <c r="K38" s="106">
        <v>78</v>
      </c>
      <c r="L38" s="106">
        <v>41</v>
      </c>
      <c r="M38" s="106">
        <v>10</v>
      </c>
      <c r="N38" s="106">
        <v>809</v>
      </c>
      <c r="O38" s="106">
        <v>147</v>
      </c>
      <c r="P38" s="106">
        <v>155</v>
      </c>
      <c r="Q38" s="106">
        <v>177</v>
      </c>
      <c r="R38" s="106">
        <v>174</v>
      </c>
      <c r="S38" s="106">
        <v>192</v>
      </c>
      <c r="T38" s="106">
        <v>228</v>
      </c>
      <c r="U38" s="106">
        <v>162</v>
      </c>
      <c r="V38" s="106">
        <v>88</v>
      </c>
      <c r="W38" s="106">
        <v>3158</v>
      </c>
    </row>
    <row r="39" spans="1:23" s="107" customFormat="1" x14ac:dyDescent="0.3">
      <c r="A39" s="104"/>
      <c r="B39" s="105"/>
      <c r="C39" s="105"/>
      <c r="D39" s="105"/>
      <c r="E39" s="105" t="s">
        <v>76</v>
      </c>
      <c r="F39" s="106">
        <v>38</v>
      </c>
      <c r="G39" s="106">
        <v>8</v>
      </c>
      <c r="H39" s="106">
        <v>4</v>
      </c>
      <c r="I39" s="106">
        <v>7</v>
      </c>
      <c r="J39" s="106">
        <v>12</v>
      </c>
      <c r="K39" s="106">
        <v>11</v>
      </c>
      <c r="L39" s="106">
        <v>3</v>
      </c>
      <c r="M39" s="106">
        <v>1</v>
      </c>
      <c r="N39" s="106">
        <v>54</v>
      </c>
      <c r="O39" s="106">
        <v>18</v>
      </c>
      <c r="P39" s="106">
        <v>8</v>
      </c>
      <c r="Q39" s="106">
        <v>14</v>
      </c>
      <c r="R39" s="106">
        <v>17</v>
      </c>
      <c r="S39" s="106">
        <v>9</v>
      </c>
      <c r="T39" s="106">
        <v>14</v>
      </c>
      <c r="U39" s="106">
        <v>15</v>
      </c>
      <c r="V39" s="106">
        <v>6</v>
      </c>
      <c r="W39" s="106">
        <v>239</v>
      </c>
    </row>
    <row r="40" spans="1:23" s="107" customFormat="1" x14ac:dyDescent="0.3">
      <c r="A40" s="104"/>
      <c r="B40" s="105"/>
      <c r="C40" s="105"/>
      <c r="D40" s="105"/>
      <c r="E40" s="105" t="s">
        <v>77</v>
      </c>
      <c r="F40" s="106">
        <v>10</v>
      </c>
      <c r="G40" s="106">
        <v>3</v>
      </c>
      <c r="H40" s="106">
        <v>3</v>
      </c>
      <c r="I40" s="106">
        <v>0</v>
      </c>
      <c r="J40" s="106">
        <v>3</v>
      </c>
      <c r="K40" s="106">
        <v>4</v>
      </c>
      <c r="L40" s="106">
        <v>0</v>
      </c>
      <c r="M40" s="106">
        <v>0</v>
      </c>
      <c r="N40" s="106">
        <v>7</v>
      </c>
      <c r="O40" s="106">
        <v>5</v>
      </c>
      <c r="P40" s="106">
        <v>4</v>
      </c>
      <c r="Q40" s="106">
        <v>1</v>
      </c>
      <c r="R40" s="106">
        <v>6</v>
      </c>
      <c r="S40" s="106">
        <v>2</v>
      </c>
      <c r="T40" s="106">
        <v>4</v>
      </c>
      <c r="U40" s="106">
        <v>4</v>
      </c>
      <c r="V40" s="106">
        <v>4</v>
      </c>
      <c r="W40" s="106">
        <v>60</v>
      </c>
    </row>
    <row r="41" spans="1:23" s="107" customFormat="1" x14ac:dyDescent="0.3">
      <c r="A41" s="104"/>
      <c r="B41" s="105"/>
      <c r="C41" s="105"/>
      <c r="D41" s="105"/>
      <c r="E41" s="105" t="s">
        <v>78</v>
      </c>
      <c r="F41" s="106">
        <v>91</v>
      </c>
      <c r="G41" s="106">
        <v>39</v>
      </c>
      <c r="H41" s="106">
        <v>29</v>
      </c>
      <c r="I41" s="106">
        <v>15</v>
      </c>
      <c r="J41" s="106">
        <v>24</v>
      </c>
      <c r="K41" s="106">
        <v>16</v>
      </c>
      <c r="L41" s="106">
        <v>5</v>
      </c>
      <c r="M41" s="106">
        <v>0</v>
      </c>
      <c r="N41" s="106">
        <v>85</v>
      </c>
      <c r="O41" s="106">
        <v>25</v>
      </c>
      <c r="P41" s="106">
        <v>21</v>
      </c>
      <c r="Q41" s="106">
        <v>26</v>
      </c>
      <c r="R41" s="106">
        <v>27</v>
      </c>
      <c r="S41" s="106">
        <v>28</v>
      </c>
      <c r="T41" s="106">
        <v>29</v>
      </c>
      <c r="U41" s="106">
        <v>18</v>
      </c>
      <c r="V41" s="106">
        <v>8</v>
      </c>
      <c r="W41" s="106">
        <v>486</v>
      </c>
    </row>
    <row r="42" spans="1:23" s="103" customFormat="1" x14ac:dyDescent="0.3">
      <c r="A42" s="100"/>
      <c r="B42" s="101"/>
      <c r="C42" s="101"/>
      <c r="D42" s="101"/>
      <c r="E42" s="101" t="s">
        <v>79</v>
      </c>
      <c r="F42" s="102">
        <v>0</v>
      </c>
      <c r="G42" s="102">
        <v>0</v>
      </c>
      <c r="H42" s="102">
        <v>0</v>
      </c>
      <c r="I42" s="102">
        <v>0</v>
      </c>
      <c r="J42" s="102">
        <v>0</v>
      </c>
      <c r="K42" s="102">
        <v>0</v>
      </c>
      <c r="L42" s="102">
        <v>0</v>
      </c>
      <c r="M42" s="102">
        <v>0</v>
      </c>
      <c r="N42" s="102">
        <v>0</v>
      </c>
      <c r="O42" s="102">
        <v>0</v>
      </c>
      <c r="P42" s="102">
        <v>0</v>
      </c>
      <c r="Q42" s="102">
        <v>0</v>
      </c>
      <c r="R42" s="102">
        <v>0</v>
      </c>
      <c r="S42" s="102">
        <v>0</v>
      </c>
      <c r="T42" s="102">
        <v>0</v>
      </c>
      <c r="U42" s="102">
        <v>0</v>
      </c>
      <c r="V42" s="102">
        <v>0</v>
      </c>
      <c r="W42" s="102">
        <v>0</v>
      </c>
    </row>
    <row r="43" spans="1:23" s="103" customFormat="1" x14ac:dyDescent="0.3">
      <c r="A43" s="100"/>
      <c r="B43" s="101"/>
      <c r="C43" s="101"/>
      <c r="D43" s="101"/>
      <c r="E43" s="101" t="s">
        <v>80</v>
      </c>
      <c r="F43" s="102">
        <v>0</v>
      </c>
      <c r="G43" s="102">
        <v>0</v>
      </c>
      <c r="H43" s="102">
        <v>0</v>
      </c>
      <c r="I43" s="102">
        <v>0</v>
      </c>
      <c r="J43" s="102">
        <v>0</v>
      </c>
      <c r="K43" s="102">
        <v>0</v>
      </c>
      <c r="L43" s="102">
        <v>0</v>
      </c>
      <c r="M43" s="102">
        <v>0</v>
      </c>
      <c r="N43" s="102">
        <v>0</v>
      </c>
      <c r="O43" s="102">
        <v>0</v>
      </c>
      <c r="P43" s="102">
        <v>0</v>
      </c>
      <c r="Q43" s="102">
        <v>0</v>
      </c>
      <c r="R43" s="102">
        <v>0</v>
      </c>
      <c r="S43" s="102">
        <v>0</v>
      </c>
      <c r="T43" s="102">
        <v>0</v>
      </c>
      <c r="U43" s="102">
        <v>0</v>
      </c>
      <c r="V43" s="102">
        <v>0</v>
      </c>
      <c r="W43" s="102">
        <v>0</v>
      </c>
    </row>
    <row r="44" spans="1:23" x14ac:dyDescent="0.3">
      <c r="A44" s="82"/>
      <c r="B44" s="83"/>
      <c r="C44" s="83" t="s">
        <v>81</v>
      </c>
      <c r="D44" s="83"/>
      <c r="E44" s="83"/>
      <c r="F44" s="73">
        <v>608086</v>
      </c>
      <c r="G44" s="73">
        <v>283734</v>
      </c>
      <c r="H44" s="73">
        <v>241964</v>
      </c>
      <c r="I44" s="73">
        <v>353260</v>
      </c>
      <c r="J44" s="73">
        <v>141435</v>
      </c>
      <c r="K44" s="73">
        <v>130801</v>
      </c>
      <c r="L44" s="73">
        <v>136384</v>
      </c>
      <c r="M44" s="73">
        <v>36766</v>
      </c>
      <c r="N44" s="73">
        <v>1244924</v>
      </c>
      <c r="O44" s="73">
        <v>173703</v>
      </c>
      <c r="P44" s="73">
        <v>174002</v>
      </c>
      <c r="Q44" s="73">
        <v>228968</v>
      </c>
      <c r="R44" s="73">
        <v>193264</v>
      </c>
      <c r="S44" s="73">
        <v>216871</v>
      </c>
      <c r="T44" s="73">
        <v>275326</v>
      </c>
      <c r="U44" s="73">
        <v>344906</v>
      </c>
      <c r="V44" s="73">
        <v>142822</v>
      </c>
      <c r="W44" s="73">
        <v>4927216</v>
      </c>
    </row>
    <row r="45" spans="1:23" s="103" customFormat="1" x14ac:dyDescent="0.3">
      <c r="A45" s="100"/>
      <c r="B45" s="101"/>
      <c r="C45" s="101"/>
      <c r="D45" s="101"/>
      <c r="E45" s="101" t="s">
        <v>82</v>
      </c>
      <c r="F45" s="102">
        <v>4910</v>
      </c>
      <c r="G45" s="102">
        <v>1637</v>
      </c>
      <c r="H45" s="102">
        <v>1340</v>
      </c>
      <c r="I45" s="102">
        <v>4458</v>
      </c>
      <c r="J45" s="102">
        <v>658</v>
      </c>
      <c r="K45" s="102">
        <v>835</v>
      </c>
      <c r="L45" s="102">
        <v>390</v>
      </c>
      <c r="M45" s="102">
        <v>265</v>
      </c>
      <c r="N45" s="102">
        <v>9483</v>
      </c>
      <c r="O45" s="102">
        <v>937</v>
      </c>
      <c r="P45" s="102">
        <v>942</v>
      </c>
      <c r="Q45" s="102">
        <v>1272</v>
      </c>
      <c r="R45" s="102">
        <v>973</v>
      </c>
      <c r="S45" s="102">
        <v>709</v>
      </c>
      <c r="T45" s="102">
        <v>935</v>
      </c>
      <c r="U45" s="102">
        <v>2162</v>
      </c>
      <c r="V45" s="102">
        <v>921</v>
      </c>
      <c r="W45" s="102">
        <v>32827</v>
      </c>
    </row>
    <row r="46" spans="1:23" s="103" customFormat="1" x14ac:dyDescent="0.3">
      <c r="A46" s="100"/>
      <c r="B46" s="101"/>
      <c r="C46" s="101"/>
      <c r="D46" s="101"/>
      <c r="E46" s="101" t="s">
        <v>83</v>
      </c>
      <c r="F46" s="102">
        <v>383575</v>
      </c>
      <c r="G46" s="102">
        <v>183816</v>
      </c>
      <c r="H46" s="102">
        <v>155429</v>
      </c>
      <c r="I46" s="102">
        <v>240645</v>
      </c>
      <c r="J46" s="102">
        <v>95969</v>
      </c>
      <c r="K46" s="102">
        <v>90079</v>
      </c>
      <c r="L46" s="102">
        <v>85620</v>
      </c>
      <c r="M46" s="102">
        <v>25538</v>
      </c>
      <c r="N46" s="102">
        <v>835616</v>
      </c>
      <c r="O46" s="102">
        <v>113459</v>
      </c>
      <c r="P46" s="102">
        <v>117694</v>
      </c>
      <c r="Q46" s="102">
        <v>152105</v>
      </c>
      <c r="R46" s="102">
        <v>131814</v>
      </c>
      <c r="S46" s="102">
        <v>150192</v>
      </c>
      <c r="T46" s="102">
        <v>181145</v>
      </c>
      <c r="U46" s="102">
        <v>234147</v>
      </c>
      <c r="V46" s="102">
        <v>92359</v>
      </c>
      <c r="W46" s="102">
        <v>3269202</v>
      </c>
    </row>
    <row r="47" spans="1:23" s="107" customFormat="1" x14ac:dyDescent="0.3">
      <c r="A47" s="104"/>
      <c r="B47" s="105"/>
      <c r="C47" s="105"/>
      <c r="D47" s="105"/>
      <c r="E47" s="105" t="s">
        <v>84</v>
      </c>
      <c r="F47" s="106">
        <v>118154</v>
      </c>
      <c r="G47" s="106">
        <v>55579</v>
      </c>
      <c r="H47" s="106">
        <v>45413</v>
      </c>
      <c r="I47" s="106">
        <v>61690</v>
      </c>
      <c r="J47" s="106">
        <v>26740</v>
      </c>
      <c r="K47" s="106">
        <v>24445</v>
      </c>
      <c r="L47" s="106">
        <v>35406</v>
      </c>
      <c r="M47" s="106">
        <v>6924</v>
      </c>
      <c r="N47" s="106">
        <v>244398</v>
      </c>
      <c r="O47" s="106">
        <v>36685</v>
      </c>
      <c r="P47" s="106">
        <v>33778</v>
      </c>
      <c r="Q47" s="106">
        <v>46994</v>
      </c>
      <c r="R47" s="106">
        <v>37648</v>
      </c>
      <c r="S47" s="106">
        <v>41486</v>
      </c>
      <c r="T47" s="106">
        <v>58968</v>
      </c>
      <c r="U47" s="106">
        <v>69239</v>
      </c>
      <c r="V47" s="106">
        <v>28451</v>
      </c>
      <c r="W47" s="106">
        <v>971998</v>
      </c>
    </row>
    <row r="48" spans="1:23" s="107" customFormat="1" x14ac:dyDescent="0.3">
      <c r="A48" s="104"/>
      <c r="B48" s="105"/>
      <c r="C48" s="105"/>
      <c r="D48" s="105"/>
      <c r="E48" s="105" t="s">
        <v>85</v>
      </c>
      <c r="F48" s="106">
        <v>65985</v>
      </c>
      <c r="G48" s="106">
        <v>30950</v>
      </c>
      <c r="H48" s="106">
        <v>28090</v>
      </c>
      <c r="I48" s="106">
        <v>34830</v>
      </c>
      <c r="J48" s="106">
        <v>13654</v>
      </c>
      <c r="K48" s="106">
        <v>10969</v>
      </c>
      <c r="L48" s="106">
        <v>9900</v>
      </c>
      <c r="M48" s="106">
        <v>2791</v>
      </c>
      <c r="N48" s="106">
        <v>113334</v>
      </c>
      <c r="O48" s="106">
        <v>17365</v>
      </c>
      <c r="P48" s="106">
        <v>16546</v>
      </c>
      <c r="Q48" s="106">
        <v>21803</v>
      </c>
      <c r="R48" s="106">
        <v>17625</v>
      </c>
      <c r="S48" s="106">
        <v>19457</v>
      </c>
      <c r="T48" s="106">
        <v>27771</v>
      </c>
      <c r="U48" s="106">
        <v>30148</v>
      </c>
      <c r="V48" s="106">
        <v>11439</v>
      </c>
      <c r="W48" s="106">
        <v>472657</v>
      </c>
    </row>
    <row r="49" spans="1:23" s="107" customFormat="1" x14ac:dyDescent="0.3">
      <c r="A49" s="104"/>
      <c r="B49" s="105"/>
      <c r="C49" s="105"/>
      <c r="D49" s="105"/>
      <c r="E49" s="105" t="s">
        <v>86</v>
      </c>
      <c r="F49" s="106">
        <v>11765</v>
      </c>
      <c r="G49" s="106">
        <v>2656</v>
      </c>
      <c r="H49" s="106">
        <v>2556</v>
      </c>
      <c r="I49" s="106">
        <v>2818</v>
      </c>
      <c r="J49" s="106">
        <v>968</v>
      </c>
      <c r="K49" s="106">
        <v>990</v>
      </c>
      <c r="L49" s="106">
        <v>713</v>
      </c>
      <c r="M49" s="106">
        <v>289</v>
      </c>
      <c r="N49" s="106">
        <v>13155</v>
      </c>
      <c r="O49" s="106">
        <v>1164</v>
      </c>
      <c r="P49" s="106">
        <v>959</v>
      </c>
      <c r="Q49" s="106">
        <v>1416</v>
      </c>
      <c r="R49" s="106">
        <v>1082</v>
      </c>
      <c r="S49" s="106">
        <v>1050</v>
      </c>
      <c r="T49" s="106">
        <v>1389</v>
      </c>
      <c r="U49" s="106">
        <v>2246</v>
      </c>
      <c r="V49" s="106">
        <v>1262</v>
      </c>
      <c r="W49" s="106">
        <v>46478</v>
      </c>
    </row>
    <row r="50" spans="1:23" s="107" customFormat="1" x14ac:dyDescent="0.3">
      <c r="A50" s="104"/>
      <c r="B50" s="105"/>
      <c r="C50" s="105"/>
      <c r="D50" s="105"/>
      <c r="E50" s="105" t="s">
        <v>87</v>
      </c>
      <c r="F50" s="106">
        <v>17193</v>
      </c>
      <c r="G50" s="106">
        <v>7240</v>
      </c>
      <c r="H50" s="106">
        <v>4836</v>
      </c>
      <c r="I50" s="106">
        <v>7117</v>
      </c>
      <c r="J50" s="106">
        <v>1732</v>
      </c>
      <c r="K50" s="106">
        <v>1768</v>
      </c>
      <c r="L50" s="106">
        <v>2097</v>
      </c>
      <c r="M50" s="106">
        <v>598</v>
      </c>
      <c r="N50" s="106">
        <v>22706</v>
      </c>
      <c r="O50" s="106">
        <v>2099</v>
      </c>
      <c r="P50" s="106">
        <v>2388</v>
      </c>
      <c r="Q50" s="106">
        <v>3123</v>
      </c>
      <c r="R50" s="106">
        <v>2885</v>
      </c>
      <c r="S50" s="106">
        <v>2186</v>
      </c>
      <c r="T50" s="106">
        <v>2838</v>
      </c>
      <c r="U50" s="106">
        <v>4612</v>
      </c>
      <c r="V50" s="106">
        <v>3092</v>
      </c>
      <c r="W50" s="106">
        <v>88510</v>
      </c>
    </row>
    <row r="51" spans="1:23" s="103" customFormat="1" x14ac:dyDescent="0.3">
      <c r="A51" s="100"/>
      <c r="B51" s="101"/>
      <c r="C51" s="101"/>
      <c r="D51" s="101"/>
      <c r="E51" s="101" t="s">
        <v>88</v>
      </c>
      <c r="F51" s="102">
        <v>1</v>
      </c>
      <c r="G51" s="102">
        <v>0</v>
      </c>
      <c r="H51" s="102">
        <v>0</v>
      </c>
      <c r="I51" s="102">
        <v>0</v>
      </c>
      <c r="J51" s="102">
        <v>0</v>
      </c>
      <c r="K51" s="102">
        <v>0</v>
      </c>
      <c r="L51" s="102">
        <v>0</v>
      </c>
      <c r="M51" s="102">
        <v>0</v>
      </c>
      <c r="N51" s="102">
        <v>1</v>
      </c>
      <c r="O51" s="102">
        <v>0</v>
      </c>
      <c r="P51" s="102">
        <v>0</v>
      </c>
      <c r="Q51" s="102">
        <v>0</v>
      </c>
      <c r="R51" s="102">
        <v>0</v>
      </c>
      <c r="S51" s="102">
        <v>1</v>
      </c>
      <c r="T51" s="102">
        <v>0</v>
      </c>
      <c r="U51" s="102">
        <v>0</v>
      </c>
      <c r="V51" s="102">
        <v>0</v>
      </c>
      <c r="W51" s="102">
        <v>3</v>
      </c>
    </row>
    <row r="52" spans="1:23" s="103" customFormat="1" x14ac:dyDescent="0.3">
      <c r="A52" s="100"/>
      <c r="B52" s="101"/>
      <c r="C52" s="101"/>
      <c r="D52" s="101"/>
      <c r="E52" s="101" t="s">
        <v>89</v>
      </c>
      <c r="F52" s="102">
        <v>6503</v>
      </c>
      <c r="G52" s="102">
        <v>1856</v>
      </c>
      <c r="H52" s="102">
        <v>4300</v>
      </c>
      <c r="I52" s="102">
        <v>1702</v>
      </c>
      <c r="J52" s="102">
        <v>1714</v>
      </c>
      <c r="K52" s="102">
        <v>1715</v>
      </c>
      <c r="L52" s="102">
        <v>2258</v>
      </c>
      <c r="M52" s="102">
        <v>361</v>
      </c>
      <c r="N52" s="102">
        <v>6231</v>
      </c>
      <c r="O52" s="102">
        <v>1994</v>
      </c>
      <c r="P52" s="102">
        <v>1695</v>
      </c>
      <c r="Q52" s="102">
        <v>2255</v>
      </c>
      <c r="R52" s="102">
        <v>1237</v>
      </c>
      <c r="S52" s="102">
        <v>1790</v>
      </c>
      <c r="T52" s="102">
        <v>2280</v>
      </c>
      <c r="U52" s="102">
        <v>2352</v>
      </c>
      <c r="V52" s="102">
        <v>5298</v>
      </c>
      <c r="W52" s="102">
        <v>45541</v>
      </c>
    </row>
    <row r="53" spans="1:23" x14ac:dyDescent="0.3">
      <c r="A53" s="82"/>
      <c r="B53" s="83"/>
      <c r="C53" s="83" t="s">
        <v>90</v>
      </c>
      <c r="D53" s="83"/>
      <c r="E53" s="83"/>
      <c r="F53" s="73">
        <v>155794</v>
      </c>
      <c r="G53" s="73">
        <v>63395</v>
      </c>
      <c r="H53" s="73">
        <v>49131</v>
      </c>
      <c r="I53" s="73">
        <v>112057</v>
      </c>
      <c r="J53" s="73">
        <v>33449</v>
      </c>
      <c r="K53" s="73">
        <v>34112</v>
      </c>
      <c r="L53" s="73">
        <v>22432</v>
      </c>
      <c r="M53" s="73">
        <v>9275</v>
      </c>
      <c r="N53" s="73">
        <v>333296</v>
      </c>
      <c r="O53" s="73">
        <v>37029</v>
      </c>
      <c r="P53" s="73">
        <v>40607</v>
      </c>
      <c r="Q53" s="73">
        <v>56382</v>
      </c>
      <c r="R53" s="73">
        <v>41650</v>
      </c>
      <c r="S53" s="73">
        <v>56397</v>
      </c>
      <c r="T53" s="73">
        <v>58219</v>
      </c>
      <c r="U53" s="73">
        <v>83301</v>
      </c>
      <c r="V53" s="73">
        <v>42756</v>
      </c>
      <c r="W53" s="73">
        <v>1229282</v>
      </c>
    </row>
    <row r="54" spans="1:23" s="103" customFormat="1" x14ac:dyDescent="0.3">
      <c r="A54" s="100"/>
      <c r="B54" s="101"/>
      <c r="C54" s="101"/>
      <c r="D54" s="101"/>
      <c r="E54" s="101" t="s">
        <v>91</v>
      </c>
      <c r="F54" s="102">
        <v>10337</v>
      </c>
      <c r="G54" s="102">
        <v>5053</v>
      </c>
      <c r="H54" s="102">
        <v>3568</v>
      </c>
      <c r="I54" s="102">
        <v>12646</v>
      </c>
      <c r="J54" s="102">
        <v>2458</v>
      </c>
      <c r="K54" s="102">
        <v>2867</v>
      </c>
      <c r="L54" s="102">
        <v>1864</v>
      </c>
      <c r="M54" s="102">
        <v>784</v>
      </c>
      <c r="N54" s="102">
        <v>29302</v>
      </c>
      <c r="O54" s="102">
        <v>3884</v>
      </c>
      <c r="P54" s="102">
        <v>4025</v>
      </c>
      <c r="Q54" s="102">
        <v>5329</v>
      </c>
      <c r="R54" s="102">
        <v>3847</v>
      </c>
      <c r="S54" s="102">
        <v>4657</v>
      </c>
      <c r="T54" s="102">
        <v>4334</v>
      </c>
      <c r="U54" s="102">
        <v>7692</v>
      </c>
      <c r="V54" s="102">
        <v>3169</v>
      </c>
      <c r="W54" s="102">
        <v>105816</v>
      </c>
    </row>
    <row r="55" spans="1:23" s="103" customFormat="1" x14ac:dyDescent="0.3">
      <c r="A55" s="100"/>
      <c r="B55" s="101"/>
      <c r="C55" s="101"/>
      <c r="D55" s="101"/>
      <c r="E55" s="101" t="s">
        <v>92</v>
      </c>
      <c r="F55" s="102">
        <v>70503</v>
      </c>
      <c r="G55" s="102">
        <v>28777</v>
      </c>
      <c r="H55" s="102">
        <v>24944</v>
      </c>
      <c r="I55" s="102">
        <v>46552</v>
      </c>
      <c r="J55" s="102">
        <v>17845</v>
      </c>
      <c r="K55" s="102">
        <v>16819</v>
      </c>
      <c r="L55" s="102">
        <v>11339</v>
      </c>
      <c r="M55" s="102">
        <v>4500</v>
      </c>
      <c r="N55" s="102">
        <v>158514</v>
      </c>
      <c r="O55" s="102">
        <v>18960</v>
      </c>
      <c r="P55" s="102">
        <v>18754</v>
      </c>
      <c r="Q55" s="102">
        <v>25515</v>
      </c>
      <c r="R55" s="102">
        <v>20748</v>
      </c>
      <c r="S55" s="102">
        <v>24714</v>
      </c>
      <c r="T55" s="102">
        <v>29332</v>
      </c>
      <c r="U55" s="102">
        <v>38916</v>
      </c>
      <c r="V55" s="102">
        <v>15456</v>
      </c>
      <c r="W55" s="102">
        <v>572188</v>
      </c>
    </row>
    <row r="56" spans="1:23" s="107" customFormat="1" x14ac:dyDescent="0.3">
      <c r="A56" s="104"/>
      <c r="B56" s="105"/>
      <c r="C56" s="105"/>
      <c r="D56" s="105"/>
      <c r="E56" s="105" t="s">
        <v>93</v>
      </c>
      <c r="F56" s="106">
        <v>56141</v>
      </c>
      <c r="G56" s="106">
        <v>23577</v>
      </c>
      <c r="H56" s="106">
        <v>15030</v>
      </c>
      <c r="I56" s="106">
        <v>46176</v>
      </c>
      <c r="J56" s="106">
        <v>10585</v>
      </c>
      <c r="K56" s="106">
        <v>11389</v>
      </c>
      <c r="L56" s="106">
        <v>7301</v>
      </c>
      <c r="M56" s="106">
        <v>3213</v>
      </c>
      <c r="N56" s="106">
        <v>120964</v>
      </c>
      <c r="O56" s="106">
        <v>11578</v>
      </c>
      <c r="P56" s="106">
        <v>14670</v>
      </c>
      <c r="Q56" s="106">
        <v>20813</v>
      </c>
      <c r="R56" s="106">
        <v>13953</v>
      </c>
      <c r="S56" s="106">
        <v>23143</v>
      </c>
      <c r="T56" s="106">
        <v>19032</v>
      </c>
      <c r="U56" s="106">
        <v>29911</v>
      </c>
      <c r="V56" s="106">
        <v>20074</v>
      </c>
      <c r="W56" s="106">
        <v>447550</v>
      </c>
    </row>
    <row r="57" spans="1:23" s="107" customFormat="1" x14ac:dyDescent="0.3">
      <c r="A57" s="104"/>
      <c r="B57" s="105"/>
      <c r="C57" s="105"/>
      <c r="D57" s="105"/>
      <c r="E57" s="105" t="s">
        <v>94</v>
      </c>
      <c r="F57" s="106">
        <v>8198</v>
      </c>
      <c r="G57" s="106">
        <v>2914</v>
      </c>
      <c r="H57" s="106">
        <v>2186</v>
      </c>
      <c r="I57" s="106">
        <v>2777</v>
      </c>
      <c r="J57" s="106">
        <v>1298</v>
      </c>
      <c r="K57" s="106">
        <v>1522</v>
      </c>
      <c r="L57" s="106">
        <v>989</v>
      </c>
      <c r="M57" s="106">
        <v>264</v>
      </c>
      <c r="N57" s="106">
        <v>11440</v>
      </c>
      <c r="O57" s="106">
        <v>1302</v>
      </c>
      <c r="P57" s="106">
        <v>1327</v>
      </c>
      <c r="Q57" s="106">
        <v>2322</v>
      </c>
      <c r="R57" s="106">
        <v>1633</v>
      </c>
      <c r="S57" s="106">
        <v>1974</v>
      </c>
      <c r="T57" s="106">
        <v>3203</v>
      </c>
      <c r="U57" s="106">
        <v>3466</v>
      </c>
      <c r="V57" s="106">
        <v>677</v>
      </c>
      <c r="W57" s="106">
        <v>47492</v>
      </c>
    </row>
    <row r="58" spans="1:23" s="107" customFormat="1" x14ac:dyDescent="0.3">
      <c r="A58" s="104"/>
      <c r="B58" s="105"/>
      <c r="C58" s="105"/>
      <c r="D58" s="105"/>
      <c r="E58" s="105" t="s">
        <v>95</v>
      </c>
      <c r="F58" s="106">
        <v>7652</v>
      </c>
      <c r="G58" s="106">
        <v>2348</v>
      </c>
      <c r="H58" s="106">
        <v>1502</v>
      </c>
      <c r="I58" s="106">
        <v>3220</v>
      </c>
      <c r="J58" s="106">
        <v>768</v>
      </c>
      <c r="K58" s="106">
        <v>824</v>
      </c>
      <c r="L58" s="106">
        <v>598</v>
      </c>
      <c r="M58" s="106">
        <v>297</v>
      </c>
      <c r="N58" s="106">
        <v>10027</v>
      </c>
      <c r="O58" s="106">
        <v>701</v>
      </c>
      <c r="P58" s="106">
        <v>993</v>
      </c>
      <c r="Q58" s="106">
        <v>1487</v>
      </c>
      <c r="R58" s="106">
        <v>786</v>
      </c>
      <c r="S58" s="106">
        <v>1080</v>
      </c>
      <c r="T58" s="106">
        <v>1464</v>
      </c>
      <c r="U58" s="106">
        <v>2355</v>
      </c>
      <c r="V58" s="106">
        <v>1124</v>
      </c>
      <c r="W58" s="106">
        <v>37226</v>
      </c>
    </row>
    <row r="59" spans="1:23" s="107" customFormat="1" x14ac:dyDescent="0.3">
      <c r="A59" s="104"/>
      <c r="B59" s="105"/>
      <c r="C59" s="105"/>
      <c r="D59" s="105"/>
      <c r="E59" s="105" t="s">
        <v>96</v>
      </c>
      <c r="F59" s="106">
        <v>530</v>
      </c>
      <c r="G59" s="106">
        <v>95</v>
      </c>
      <c r="H59" s="106">
        <v>81</v>
      </c>
      <c r="I59" s="106">
        <v>129</v>
      </c>
      <c r="J59" s="106">
        <v>68</v>
      </c>
      <c r="K59" s="106">
        <v>61</v>
      </c>
      <c r="L59" s="106">
        <v>22</v>
      </c>
      <c r="M59" s="106">
        <v>13</v>
      </c>
      <c r="N59" s="106">
        <v>626</v>
      </c>
      <c r="O59" s="106">
        <v>63</v>
      </c>
      <c r="P59" s="106">
        <v>63</v>
      </c>
      <c r="Q59" s="106">
        <v>99</v>
      </c>
      <c r="R59" s="106">
        <v>70</v>
      </c>
      <c r="S59" s="106">
        <v>70</v>
      </c>
      <c r="T59" s="106">
        <v>88</v>
      </c>
      <c r="U59" s="106">
        <v>92</v>
      </c>
      <c r="V59" s="106">
        <v>49</v>
      </c>
      <c r="W59" s="106">
        <v>2219</v>
      </c>
    </row>
    <row r="60" spans="1:23" s="103" customFormat="1" x14ac:dyDescent="0.3">
      <c r="A60" s="100"/>
      <c r="B60" s="101"/>
      <c r="C60" s="101"/>
      <c r="D60" s="101"/>
      <c r="E60" s="101" t="s">
        <v>97</v>
      </c>
      <c r="F60" s="102">
        <v>10</v>
      </c>
      <c r="G60" s="102">
        <v>6</v>
      </c>
      <c r="H60" s="102">
        <v>6</v>
      </c>
      <c r="I60" s="102">
        <v>26</v>
      </c>
      <c r="J60" s="102">
        <v>0</v>
      </c>
      <c r="K60" s="102">
        <v>7</v>
      </c>
      <c r="L60" s="102">
        <v>3</v>
      </c>
      <c r="M60" s="102">
        <v>0</v>
      </c>
      <c r="N60" s="102">
        <v>27</v>
      </c>
      <c r="O60" s="102">
        <v>6</v>
      </c>
      <c r="P60" s="102">
        <v>6</v>
      </c>
      <c r="Q60" s="102">
        <v>6</v>
      </c>
      <c r="R60" s="102">
        <v>1</v>
      </c>
      <c r="S60" s="102">
        <v>4</v>
      </c>
      <c r="T60" s="102">
        <v>10</v>
      </c>
      <c r="U60" s="102">
        <v>4</v>
      </c>
      <c r="V60" s="102">
        <v>14</v>
      </c>
      <c r="W60" s="102">
        <v>136</v>
      </c>
    </row>
    <row r="61" spans="1:23" s="103" customFormat="1" x14ac:dyDescent="0.3">
      <c r="A61" s="100"/>
      <c r="B61" s="101"/>
      <c r="C61" s="101"/>
      <c r="D61" s="101"/>
      <c r="E61" s="101" t="s">
        <v>98</v>
      </c>
      <c r="F61" s="102">
        <v>2423</v>
      </c>
      <c r="G61" s="102">
        <v>625</v>
      </c>
      <c r="H61" s="102">
        <v>1814</v>
      </c>
      <c r="I61" s="102">
        <v>531</v>
      </c>
      <c r="J61" s="102">
        <v>427</v>
      </c>
      <c r="K61" s="102">
        <v>623</v>
      </c>
      <c r="L61" s="102">
        <v>316</v>
      </c>
      <c r="M61" s="102">
        <v>204</v>
      </c>
      <c r="N61" s="102">
        <v>2396</v>
      </c>
      <c r="O61" s="102">
        <v>535</v>
      </c>
      <c r="P61" s="102">
        <v>769</v>
      </c>
      <c r="Q61" s="102">
        <v>811</v>
      </c>
      <c r="R61" s="102">
        <v>612</v>
      </c>
      <c r="S61" s="102">
        <v>755</v>
      </c>
      <c r="T61" s="102">
        <v>756</v>
      </c>
      <c r="U61" s="102">
        <v>865</v>
      </c>
      <c r="V61" s="102">
        <v>2193</v>
      </c>
      <c r="W61" s="102">
        <v>16655</v>
      </c>
    </row>
    <row r="62" spans="1:23" s="115" customFormat="1" x14ac:dyDescent="0.3">
      <c r="A62" s="112"/>
      <c r="B62" s="113" t="s">
        <v>99</v>
      </c>
      <c r="C62" s="113"/>
      <c r="D62" s="113"/>
      <c r="E62" s="113"/>
      <c r="F62" s="114">
        <v>106504</v>
      </c>
      <c r="G62" s="114">
        <v>42056</v>
      </c>
      <c r="H62" s="114">
        <v>30501</v>
      </c>
      <c r="I62" s="114">
        <v>49339</v>
      </c>
      <c r="J62" s="114">
        <v>19940</v>
      </c>
      <c r="K62" s="114">
        <v>20262</v>
      </c>
      <c r="L62" s="114">
        <v>14527</v>
      </c>
      <c r="M62" s="114">
        <v>4344</v>
      </c>
      <c r="N62" s="114">
        <v>204531</v>
      </c>
      <c r="O62" s="114">
        <v>28723</v>
      </c>
      <c r="P62" s="114">
        <v>29463</v>
      </c>
      <c r="Q62" s="114">
        <v>41331</v>
      </c>
      <c r="R62" s="114">
        <v>32520</v>
      </c>
      <c r="S62" s="114">
        <v>39262</v>
      </c>
      <c r="T62" s="114">
        <v>48083</v>
      </c>
      <c r="U62" s="114">
        <v>53612</v>
      </c>
      <c r="V62" s="114">
        <v>18844</v>
      </c>
      <c r="W62" s="114">
        <v>783842</v>
      </c>
    </row>
    <row r="63" spans="1:23" x14ac:dyDescent="0.3">
      <c r="A63" s="82"/>
      <c r="B63" s="83"/>
      <c r="C63" s="83" t="s">
        <v>100</v>
      </c>
      <c r="D63" s="83"/>
      <c r="E63" s="83"/>
      <c r="F63" s="73">
        <v>101922</v>
      </c>
      <c r="G63" s="73">
        <v>40411</v>
      </c>
      <c r="H63" s="73">
        <v>28663</v>
      </c>
      <c r="I63" s="73">
        <v>47677</v>
      </c>
      <c r="J63" s="73">
        <v>18716</v>
      </c>
      <c r="K63" s="73">
        <v>19025</v>
      </c>
      <c r="L63" s="73">
        <v>13772</v>
      </c>
      <c r="M63" s="73">
        <v>3934</v>
      </c>
      <c r="N63" s="73">
        <v>195236</v>
      </c>
      <c r="O63" s="73">
        <v>27057</v>
      </c>
      <c r="P63" s="73">
        <v>27885</v>
      </c>
      <c r="Q63" s="73">
        <v>39126</v>
      </c>
      <c r="R63" s="73">
        <v>30978</v>
      </c>
      <c r="S63" s="73">
        <v>37607</v>
      </c>
      <c r="T63" s="73">
        <v>45500</v>
      </c>
      <c r="U63" s="73">
        <v>51017</v>
      </c>
      <c r="V63" s="73">
        <v>18344</v>
      </c>
      <c r="W63" s="73">
        <v>746870</v>
      </c>
    </row>
    <row r="64" spans="1:23" s="107" customFormat="1" x14ac:dyDescent="0.3">
      <c r="A64" s="104"/>
      <c r="B64" s="105"/>
      <c r="C64" s="105"/>
      <c r="D64" s="105" t="s">
        <v>101</v>
      </c>
      <c r="E64" s="105"/>
      <c r="F64" s="106">
        <v>10434</v>
      </c>
      <c r="G64" s="106">
        <v>3637</v>
      </c>
      <c r="H64" s="106">
        <v>1823</v>
      </c>
      <c r="I64" s="106">
        <v>4603</v>
      </c>
      <c r="J64" s="106">
        <v>927</v>
      </c>
      <c r="K64" s="106">
        <v>1070</v>
      </c>
      <c r="L64" s="106">
        <v>976</v>
      </c>
      <c r="M64" s="106">
        <v>289</v>
      </c>
      <c r="N64" s="106">
        <v>3627</v>
      </c>
      <c r="O64" s="106">
        <v>911</v>
      </c>
      <c r="P64" s="106">
        <v>982</v>
      </c>
      <c r="Q64" s="106">
        <v>1287</v>
      </c>
      <c r="R64" s="106">
        <v>1167</v>
      </c>
      <c r="S64" s="106">
        <v>4808</v>
      </c>
      <c r="T64" s="106">
        <v>1693</v>
      </c>
      <c r="U64" s="106">
        <v>2466</v>
      </c>
      <c r="V64" s="106">
        <v>1482</v>
      </c>
      <c r="W64" s="106">
        <v>42182</v>
      </c>
    </row>
    <row r="65" spans="1:23" s="107" customFormat="1" x14ac:dyDescent="0.3">
      <c r="A65" s="104"/>
      <c r="B65" s="105"/>
      <c r="C65" s="105"/>
      <c r="D65" s="105" t="s">
        <v>102</v>
      </c>
      <c r="E65" s="105"/>
      <c r="F65" s="106">
        <v>0</v>
      </c>
      <c r="G65" s="106">
        <v>0</v>
      </c>
      <c r="H65" s="106">
        <v>0</v>
      </c>
      <c r="I65" s="106">
        <v>0</v>
      </c>
      <c r="J65" s="106">
        <v>0</v>
      </c>
      <c r="K65" s="106">
        <v>0</v>
      </c>
      <c r="L65" s="106">
        <v>0</v>
      </c>
      <c r="M65" s="106">
        <v>0</v>
      </c>
      <c r="N65" s="106">
        <v>16934</v>
      </c>
      <c r="O65" s="106">
        <v>710</v>
      </c>
      <c r="P65" s="106">
        <v>581</v>
      </c>
      <c r="Q65" s="106">
        <v>868</v>
      </c>
      <c r="R65" s="106">
        <v>576</v>
      </c>
      <c r="S65" s="106">
        <v>1797</v>
      </c>
      <c r="T65" s="106">
        <v>712</v>
      </c>
      <c r="U65" s="106">
        <v>1530</v>
      </c>
      <c r="V65" s="106">
        <v>575</v>
      </c>
      <c r="W65" s="106">
        <v>24283</v>
      </c>
    </row>
    <row r="66" spans="1:23" s="107" customFormat="1" x14ac:dyDescent="0.3">
      <c r="A66" s="104"/>
      <c r="B66" s="105"/>
      <c r="C66" s="105"/>
      <c r="D66" s="105" t="s">
        <v>103</v>
      </c>
      <c r="E66" s="105"/>
      <c r="F66" s="106">
        <v>3179</v>
      </c>
      <c r="G66" s="106">
        <v>1816</v>
      </c>
      <c r="H66" s="106">
        <v>1817</v>
      </c>
      <c r="I66" s="106">
        <v>3606</v>
      </c>
      <c r="J66" s="106">
        <v>1350</v>
      </c>
      <c r="K66" s="106">
        <v>911</v>
      </c>
      <c r="L66" s="106">
        <v>868</v>
      </c>
      <c r="M66" s="106">
        <v>126</v>
      </c>
      <c r="N66" s="106">
        <v>10302</v>
      </c>
      <c r="O66" s="106">
        <v>1256</v>
      </c>
      <c r="P66" s="106">
        <v>1964</v>
      </c>
      <c r="Q66" s="106">
        <v>2796</v>
      </c>
      <c r="R66" s="106">
        <v>2110</v>
      </c>
      <c r="S66" s="106">
        <v>705</v>
      </c>
      <c r="T66" s="106">
        <v>2607</v>
      </c>
      <c r="U66" s="106">
        <v>2853</v>
      </c>
      <c r="V66" s="106">
        <v>2021</v>
      </c>
      <c r="W66" s="106">
        <v>40287</v>
      </c>
    </row>
    <row r="67" spans="1:23" s="107" customFormat="1" x14ac:dyDescent="0.3">
      <c r="A67" s="104"/>
      <c r="B67" s="105"/>
      <c r="C67" s="105"/>
      <c r="D67" s="105" t="s">
        <v>104</v>
      </c>
      <c r="E67" s="105"/>
      <c r="F67" s="106">
        <v>0</v>
      </c>
      <c r="G67" s="106">
        <v>0</v>
      </c>
      <c r="H67" s="106">
        <v>0</v>
      </c>
      <c r="I67" s="106">
        <v>0</v>
      </c>
      <c r="J67" s="106">
        <v>0</v>
      </c>
      <c r="K67" s="106">
        <v>0</v>
      </c>
      <c r="L67" s="106">
        <v>0</v>
      </c>
      <c r="M67" s="106">
        <v>0</v>
      </c>
      <c r="N67" s="106">
        <v>14</v>
      </c>
      <c r="O67" s="106">
        <v>0</v>
      </c>
      <c r="P67" s="106">
        <v>0</v>
      </c>
      <c r="Q67" s="106">
        <v>0</v>
      </c>
      <c r="R67" s="106">
        <v>0</v>
      </c>
      <c r="S67" s="106">
        <v>0</v>
      </c>
      <c r="T67" s="106">
        <v>0</v>
      </c>
      <c r="U67" s="106">
        <v>9</v>
      </c>
      <c r="V67" s="106">
        <v>1</v>
      </c>
      <c r="W67" s="106">
        <v>24</v>
      </c>
    </row>
    <row r="68" spans="1:23" x14ac:dyDescent="0.3">
      <c r="A68" s="82"/>
      <c r="B68" s="83"/>
      <c r="C68" s="83"/>
      <c r="D68" s="83" t="s">
        <v>105</v>
      </c>
      <c r="E68" s="83"/>
      <c r="F68" s="73">
        <v>0</v>
      </c>
      <c r="G68" s="73">
        <v>0</v>
      </c>
      <c r="H68" s="73">
        <v>0</v>
      </c>
      <c r="I68" s="73">
        <v>0</v>
      </c>
      <c r="J68" s="73">
        <v>0</v>
      </c>
      <c r="K68" s="73">
        <v>0</v>
      </c>
      <c r="L68" s="73">
        <v>0</v>
      </c>
      <c r="M68" s="73">
        <v>0</v>
      </c>
      <c r="N68" s="73">
        <v>0</v>
      </c>
      <c r="O68" s="73">
        <v>0</v>
      </c>
      <c r="P68" s="73">
        <v>0</v>
      </c>
      <c r="Q68" s="73">
        <v>0</v>
      </c>
      <c r="R68" s="73">
        <v>0</v>
      </c>
      <c r="S68" s="73">
        <v>0</v>
      </c>
      <c r="T68" s="73">
        <v>0</v>
      </c>
      <c r="U68" s="73">
        <v>0</v>
      </c>
      <c r="V68" s="73">
        <v>0</v>
      </c>
      <c r="W68" s="73">
        <v>0</v>
      </c>
    </row>
    <row r="69" spans="1:23" x14ac:dyDescent="0.3">
      <c r="A69" s="82"/>
      <c r="B69" s="83"/>
      <c r="C69" s="83"/>
      <c r="D69" s="83" t="s">
        <v>106</v>
      </c>
      <c r="E69" s="83"/>
      <c r="F69" s="73">
        <v>0</v>
      </c>
      <c r="G69" s="73">
        <v>0</v>
      </c>
      <c r="H69" s="73">
        <v>0</v>
      </c>
      <c r="I69" s="73">
        <v>0</v>
      </c>
      <c r="J69" s="73">
        <v>0</v>
      </c>
      <c r="K69" s="73">
        <v>0</v>
      </c>
      <c r="L69" s="73">
        <v>0</v>
      </c>
      <c r="M69" s="73">
        <v>0</v>
      </c>
      <c r="N69" s="73">
        <v>0</v>
      </c>
      <c r="O69" s="73">
        <v>0</v>
      </c>
      <c r="P69" s="73">
        <v>0</v>
      </c>
      <c r="Q69" s="73">
        <v>0</v>
      </c>
      <c r="R69" s="73">
        <v>0</v>
      </c>
      <c r="S69" s="73">
        <v>0</v>
      </c>
      <c r="T69" s="73">
        <v>0</v>
      </c>
      <c r="U69" s="73">
        <v>0</v>
      </c>
      <c r="V69" s="73">
        <v>0</v>
      </c>
      <c r="W69" s="73">
        <v>0</v>
      </c>
    </row>
    <row r="70" spans="1:23" x14ac:dyDescent="0.3">
      <c r="A70" s="82"/>
      <c r="B70" s="83"/>
      <c r="C70" s="83"/>
      <c r="D70" s="83" t="s">
        <v>107</v>
      </c>
      <c r="E70" s="83"/>
      <c r="F70" s="73">
        <v>88309</v>
      </c>
      <c r="G70" s="73">
        <v>34958</v>
      </c>
      <c r="H70" s="73">
        <v>25023</v>
      </c>
      <c r="I70" s="73">
        <v>39468</v>
      </c>
      <c r="J70" s="73">
        <v>16439</v>
      </c>
      <c r="K70" s="73">
        <v>17044</v>
      </c>
      <c r="L70" s="73">
        <v>11928</v>
      </c>
      <c r="M70" s="73">
        <v>3519</v>
      </c>
      <c r="N70" s="73">
        <v>164359</v>
      </c>
      <c r="O70" s="73">
        <v>24180</v>
      </c>
      <c r="P70" s="73">
        <v>24358</v>
      </c>
      <c r="Q70" s="73">
        <v>34175</v>
      </c>
      <c r="R70" s="73">
        <v>27125</v>
      </c>
      <c r="S70" s="73">
        <v>30297</v>
      </c>
      <c r="T70" s="73">
        <v>40488</v>
      </c>
      <c r="U70" s="73">
        <v>44159</v>
      </c>
      <c r="V70" s="73">
        <v>14265</v>
      </c>
      <c r="W70" s="73">
        <v>640094</v>
      </c>
    </row>
    <row r="71" spans="1:23" s="103" customFormat="1" x14ac:dyDescent="0.3">
      <c r="A71" s="100"/>
      <c r="B71" s="101"/>
      <c r="C71" s="101"/>
      <c r="D71" s="101"/>
      <c r="E71" s="101" t="s">
        <v>108</v>
      </c>
      <c r="F71" s="102">
        <v>83394</v>
      </c>
      <c r="G71" s="102">
        <v>32511</v>
      </c>
      <c r="H71" s="102">
        <v>22913</v>
      </c>
      <c r="I71" s="102">
        <v>37443</v>
      </c>
      <c r="J71" s="102">
        <v>15245</v>
      </c>
      <c r="K71" s="102">
        <v>15822</v>
      </c>
      <c r="L71" s="102">
        <v>10705</v>
      </c>
      <c r="M71" s="102">
        <v>3268</v>
      </c>
      <c r="N71" s="102">
        <v>153837</v>
      </c>
      <c r="O71" s="102">
        <v>21976</v>
      </c>
      <c r="P71" s="102">
        <v>22425</v>
      </c>
      <c r="Q71" s="102">
        <v>31319</v>
      </c>
      <c r="R71" s="102">
        <v>25087</v>
      </c>
      <c r="S71" s="102">
        <v>27713</v>
      </c>
      <c r="T71" s="102">
        <v>36405</v>
      </c>
      <c r="U71" s="102">
        <v>40228</v>
      </c>
      <c r="V71" s="102">
        <v>13413</v>
      </c>
      <c r="W71" s="102">
        <v>593704</v>
      </c>
    </row>
    <row r="72" spans="1:23" s="103" customFormat="1" x14ac:dyDescent="0.3">
      <c r="A72" s="100"/>
      <c r="B72" s="101"/>
      <c r="C72" s="101"/>
      <c r="D72" s="101"/>
      <c r="E72" s="101" t="s">
        <v>109</v>
      </c>
      <c r="F72" s="102">
        <v>1630</v>
      </c>
      <c r="G72" s="102">
        <v>741</v>
      </c>
      <c r="H72" s="102">
        <v>730</v>
      </c>
      <c r="I72" s="102">
        <v>701</v>
      </c>
      <c r="J72" s="102">
        <v>474</v>
      </c>
      <c r="K72" s="102">
        <v>487</v>
      </c>
      <c r="L72" s="102">
        <v>439</v>
      </c>
      <c r="M72" s="102">
        <v>90</v>
      </c>
      <c r="N72" s="102">
        <v>3745</v>
      </c>
      <c r="O72" s="102">
        <v>772</v>
      </c>
      <c r="P72" s="102">
        <v>703</v>
      </c>
      <c r="Q72" s="102">
        <v>1009</v>
      </c>
      <c r="R72" s="102">
        <v>755</v>
      </c>
      <c r="S72" s="102">
        <v>1083</v>
      </c>
      <c r="T72" s="102">
        <v>1355</v>
      </c>
      <c r="U72" s="102">
        <v>1240</v>
      </c>
      <c r="V72" s="102">
        <v>359</v>
      </c>
      <c r="W72" s="102">
        <v>16313</v>
      </c>
    </row>
    <row r="73" spans="1:23" s="103" customFormat="1" x14ac:dyDescent="0.3">
      <c r="A73" s="100"/>
      <c r="B73" s="101"/>
      <c r="C73" s="101"/>
      <c r="D73" s="101"/>
      <c r="E73" s="101" t="s">
        <v>110</v>
      </c>
      <c r="F73" s="102">
        <v>1153</v>
      </c>
      <c r="G73" s="102">
        <v>476</v>
      </c>
      <c r="H73" s="102">
        <v>407</v>
      </c>
      <c r="I73" s="102">
        <v>402</v>
      </c>
      <c r="J73" s="102">
        <v>297</v>
      </c>
      <c r="K73" s="102">
        <v>271</v>
      </c>
      <c r="L73" s="102">
        <v>291</v>
      </c>
      <c r="M73" s="102">
        <v>59</v>
      </c>
      <c r="N73" s="102">
        <v>2164</v>
      </c>
      <c r="O73" s="102">
        <v>626</v>
      </c>
      <c r="P73" s="102">
        <v>461</v>
      </c>
      <c r="Q73" s="102">
        <v>696</v>
      </c>
      <c r="R73" s="102">
        <v>597</v>
      </c>
      <c r="S73" s="102">
        <v>735</v>
      </c>
      <c r="T73" s="102">
        <v>895</v>
      </c>
      <c r="U73" s="102">
        <v>911</v>
      </c>
      <c r="V73" s="102">
        <v>239</v>
      </c>
      <c r="W73" s="102">
        <v>10680</v>
      </c>
    </row>
    <row r="74" spans="1:23" s="107" customFormat="1" x14ac:dyDescent="0.3">
      <c r="A74" s="104"/>
      <c r="B74" s="105"/>
      <c r="C74" s="105"/>
      <c r="D74" s="105"/>
      <c r="E74" s="105" t="s">
        <v>111</v>
      </c>
      <c r="F74" s="106">
        <v>2074</v>
      </c>
      <c r="G74" s="106">
        <v>1192</v>
      </c>
      <c r="H74" s="106">
        <v>912</v>
      </c>
      <c r="I74" s="106">
        <v>882</v>
      </c>
      <c r="J74" s="106">
        <v>414</v>
      </c>
      <c r="K74" s="106">
        <v>457</v>
      </c>
      <c r="L74" s="106">
        <v>473</v>
      </c>
      <c r="M74" s="106">
        <v>102</v>
      </c>
      <c r="N74" s="106">
        <v>4379</v>
      </c>
      <c r="O74" s="106">
        <v>785</v>
      </c>
      <c r="P74" s="106">
        <v>748</v>
      </c>
      <c r="Q74" s="106">
        <v>1130</v>
      </c>
      <c r="R74" s="106">
        <v>669</v>
      </c>
      <c r="S74" s="106">
        <v>751</v>
      </c>
      <c r="T74" s="106">
        <v>1715</v>
      </c>
      <c r="U74" s="106">
        <v>1713</v>
      </c>
      <c r="V74" s="106">
        <v>246</v>
      </c>
      <c r="W74" s="106">
        <v>18642</v>
      </c>
    </row>
    <row r="75" spans="1:23" s="107" customFormat="1" x14ac:dyDescent="0.3">
      <c r="A75" s="104"/>
      <c r="B75" s="105"/>
      <c r="C75" s="105"/>
      <c r="D75" s="105"/>
      <c r="E75" s="105" t="s">
        <v>112</v>
      </c>
      <c r="F75" s="106">
        <v>58</v>
      </c>
      <c r="G75" s="106">
        <v>38</v>
      </c>
      <c r="H75" s="106">
        <v>61</v>
      </c>
      <c r="I75" s="106">
        <v>40</v>
      </c>
      <c r="J75" s="106">
        <v>9</v>
      </c>
      <c r="K75" s="106">
        <v>7</v>
      </c>
      <c r="L75" s="106">
        <v>20</v>
      </c>
      <c r="M75" s="106">
        <v>0</v>
      </c>
      <c r="N75" s="106">
        <v>234</v>
      </c>
      <c r="O75" s="106">
        <v>21</v>
      </c>
      <c r="P75" s="106">
        <v>21</v>
      </c>
      <c r="Q75" s="106">
        <v>21</v>
      </c>
      <c r="R75" s="106">
        <v>17</v>
      </c>
      <c r="S75" s="106">
        <v>15</v>
      </c>
      <c r="T75" s="106">
        <v>118</v>
      </c>
      <c r="U75" s="106">
        <v>67</v>
      </c>
      <c r="V75" s="106">
        <v>8</v>
      </c>
      <c r="W75" s="106">
        <v>755</v>
      </c>
    </row>
    <row r="76" spans="1:23" x14ac:dyDescent="0.3">
      <c r="A76" s="82"/>
      <c r="B76" s="83"/>
      <c r="C76" s="83" t="s">
        <v>113</v>
      </c>
      <c r="D76" s="83"/>
      <c r="E76" s="83"/>
      <c r="F76" s="73">
        <v>4582</v>
      </c>
      <c r="G76" s="73">
        <v>1645</v>
      </c>
      <c r="H76" s="73">
        <v>1838</v>
      </c>
      <c r="I76" s="73">
        <v>1662</v>
      </c>
      <c r="J76" s="73">
        <v>1224</v>
      </c>
      <c r="K76" s="73">
        <v>1237</v>
      </c>
      <c r="L76" s="73">
        <v>755</v>
      </c>
      <c r="M76" s="73">
        <v>410</v>
      </c>
      <c r="N76" s="73">
        <v>9295</v>
      </c>
      <c r="O76" s="73">
        <v>1666</v>
      </c>
      <c r="P76" s="73">
        <v>1578</v>
      </c>
      <c r="Q76" s="73">
        <v>2205</v>
      </c>
      <c r="R76" s="73">
        <v>1542</v>
      </c>
      <c r="S76" s="73">
        <v>1655</v>
      </c>
      <c r="T76" s="73">
        <v>2583</v>
      </c>
      <c r="U76" s="73">
        <v>2595</v>
      </c>
      <c r="V76" s="73">
        <v>500</v>
      </c>
      <c r="W76" s="73">
        <v>36972</v>
      </c>
    </row>
    <row r="77" spans="1:23" s="103" customFormat="1" x14ac:dyDescent="0.3">
      <c r="A77" s="100"/>
      <c r="B77" s="101"/>
      <c r="C77" s="101"/>
      <c r="D77" s="101" t="s">
        <v>114</v>
      </c>
      <c r="E77" s="101"/>
      <c r="F77" s="102">
        <v>964</v>
      </c>
      <c r="G77" s="102">
        <v>457</v>
      </c>
      <c r="H77" s="102">
        <v>305</v>
      </c>
      <c r="I77" s="102">
        <v>260</v>
      </c>
      <c r="J77" s="102">
        <v>285</v>
      </c>
      <c r="K77" s="102">
        <v>177</v>
      </c>
      <c r="L77" s="102">
        <v>117</v>
      </c>
      <c r="M77" s="102">
        <v>25</v>
      </c>
      <c r="N77" s="102">
        <v>1146</v>
      </c>
      <c r="O77" s="102">
        <v>305</v>
      </c>
      <c r="P77" s="102">
        <v>260</v>
      </c>
      <c r="Q77" s="102">
        <v>329</v>
      </c>
      <c r="R77" s="102">
        <v>289</v>
      </c>
      <c r="S77" s="102">
        <v>368</v>
      </c>
      <c r="T77" s="102">
        <v>418</v>
      </c>
      <c r="U77" s="102">
        <v>502</v>
      </c>
      <c r="V77" s="102">
        <v>80</v>
      </c>
      <c r="W77" s="102">
        <v>6287</v>
      </c>
    </row>
    <row r="78" spans="1:23" s="103" customFormat="1" x14ac:dyDescent="0.3">
      <c r="A78" s="100"/>
      <c r="B78" s="101"/>
      <c r="C78" s="101"/>
      <c r="D78" s="101" t="s">
        <v>115</v>
      </c>
      <c r="E78" s="101"/>
      <c r="F78" s="102">
        <v>67</v>
      </c>
      <c r="G78" s="102">
        <v>13</v>
      </c>
      <c r="H78" s="102">
        <v>29</v>
      </c>
      <c r="I78" s="102">
        <v>17</v>
      </c>
      <c r="J78" s="102">
        <v>13</v>
      </c>
      <c r="K78" s="102">
        <v>19</v>
      </c>
      <c r="L78" s="102">
        <v>2</v>
      </c>
      <c r="M78" s="102">
        <v>0</v>
      </c>
      <c r="N78" s="102">
        <v>78</v>
      </c>
      <c r="O78" s="102">
        <v>19</v>
      </c>
      <c r="P78" s="102">
        <v>29</v>
      </c>
      <c r="Q78" s="102">
        <v>28</v>
      </c>
      <c r="R78" s="102">
        <v>27</v>
      </c>
      <c r="S78" s="102">
        <v>17</v>
      </c>
      <c r="T78" s="102">
        <v>39</v>
      </c>
      <c r="U78" s="102">
        <v>22</v>
      </c>
      <c r="V78" s="102">
        <v>9</v>
      </c>
      <c r="W78" s="102">
        <v>428</v>
      </c>
    </row>
    <row r="79" spans="1:23" s="107" customFormat="1" x14ac:dyDescent="0.3">
      <c r="A79" s="104"/>
      <c r="B79" s="105"/>
      <c r="C79" s="105"/>
      <c r="D79" s="105" t="s">
        <v>116</v>
      </c>
      <c r="E79" s="105"/>
      <c r="F79" s="106">
        <v>3</v>
      </c>
      <c r="G79" s="106">
        <v>0</v>
      </c>
      <c r="H79" s="106">
        <v>0</v>
      </c>
      <c r="I79" s="106">
        <v>0</v>
      </c>
      <c r="J79" s="106">
        <v>1</v>
      </c>
      <c r="K79" s="106">
        <v>0</v>
      </c>
      <c r="L79" s="106">
        <v>0</v>
      </c>
      <c r="M79" s="106">
        <v>0</v>
      </c>
      <c r="N79" s="106">
        <v>2</v>
      </c>
      <c r="O79" s="106">
        <v>0</v>
      </c>
      <c r="P79" s="106">
        <v>0</v>
      </c>
      <c r="Q79" s="106">
        <v>0</v>
      </c>
      <c r="R79" s="106">
        <v>0</v>
      </c>
      <c r="S79" s="106">
        <v>1</v>
      </c>
      <c r="T79" s="106">
        <v>1</v>
      </c>
      <c r="U79" s="106">
        <v>1</v>
      </c>
      <c r="V79" s="106">
        <v>1</v>
      </c>
      <c r="W79" s="106">
        <v>10</v>
      </c>
    </row>
    <row r="80" spans="1:23" s="107" customFormat="1" x14ac:dyDescent="0.3">
      <c r="A80" s="104"/>
      <c r="B80" s="105"/>
      <c r="C80" s="105"/>
      <c r="D80" s="105" t="s">
        <v>117</v>
      </c>
      <c r="E80" s="105"/>
      <c r="F80" s="106">
        <v>21</v>
      </c>
      <c r="G80" s="106">
        <v>1</v>
      </c>
      <c r="H80" s="106">
        <v>1</v>
      </c>
      <c r="I80" s="106">
        <v>1</v>
      </c>
      <c r="J80" s="106">
        <v>2</v>
      </c>
      <c r="K80" s="106">
        <v>2</v>
      </c>
      <c r="L80" s="106">
        <v>4</v>
      </c>
      <c r="M80" s="106">
        <v>3</v>
      </c>
      <c r="N80" s="106">
        <v>16</v>
      </c>
      <c r="O80" s="106">
        <v>3</v>
      </c>
      <c r="P80" s="106">
        <v>2</v>
      </c>
      <c r="Q80" s="106">
        <v>1</v>
      </c>
      <c r="R80" s="106">
        <v>2</v>
      </c>
      <c r="S80" s="106">
        <v>6</v>
      </c>
      <c r="T80" s="106">
        <v>1</v>
      </c>
      <c r="U80" s="106">
        <v>2</v>
      </c>
      <c r="V80" s="106">
        <v>1</v>
      </c>
      <c r="W80" s="106">
        <v>69</v>
      </c>
    </row>
    <row r="81" spans="1:23" s="107" customFormat="1" x14ac:dyDescent="0.3">
      <c r="A81" s="104"/>
      <c r="B81" s="105"/>
      <c r="C81" s="105"/>
      <c r="D81" s="105" t="s">
        <v>118</v>
      </c>
      <c r="E81" s="105"/>
      <c r="F81" s="106">
        <v>1303</v>
      </c>
      <c r="G81" s="106">
        <v>452</v>
      </c>
      <c r="H81" s="106">
        <v>857</v>
      </c>
      <c r="I81" s="106">
        <v>643</v>
      </c>
      <c r="J81" s="106">
        <v>495</v>
      </c>
      <c r="K81" s="106">
        <v>564</v>
      </c>
      <c r="L81" s="106">
        <v>298</v>
      </c>
      <c r="M81" s="106">
        <v>298</v>
      </c>
      <c r="N81" s="106">
        <v>4733</v>
      </c>
      <c r="O81" s="106">
        <v>699</v>
      </c>
      <c r="P81" s="106">
        <v>748</v>
      </c>
      <c r="Q81" s="106">
        <v>1126</v>
      </c>
      <c r="R81" s="106">
        <v>582</v>
      </c>
      <c r="S81" s="106">
        <v>570</v>
      </c>
      <c r="T81" s="106">
        <v>1192</v>
      </c>
      <c r="U81" s="106">
        <v>976</v>
      </c>
      <c r="V81" s="106">
        <v>129</v>
      </c>
      <c r="W81" s="106">
        <v>15665</v>
      </c>
    </row>
    <row r="82" spans="1:23" s="107" customFormat="1" x14ac:dyDescent="0.3">
      <c r="A82" s="104"/>
      <c r="B82" s="105"/>
      <c r="C82" s="105"/>
      <c r="D82" s="105" t="s">
        <v>119</v>
      </c>
      <c r="E82" s="105"/>
      <c r="F82" s="106">
        <v>2224</v>
      </c>
      <c r="G82" s="106">
        <v>722</v>
      </c>
      <c r="H82" s="106">
        <v>646</v>
      </c>
      <c r="I82" s="106">
        <v>741</v>
      </c>
      <c r="J82" s="106">
        <v>428</v>
      </c>
      <c r="K82" s="106">
        <v>475</v>
      </c>
      <c r="L82" s="106">
        <v>334</v>
      </c>
      <c r="M82" s="106">
        <v>84</v>
      </c>
      <c r="N82" s="106">
        <v>3320</v>
      </c>
      <c r="O82" s="106">
        <v>640</v>
      </c>
      <c r="P82" s="106">
        <v>539</v>
      </c>
      <c r="Q82" s="106">
        <v>721</v>
      </c>
      <c r="R82" s="106">
        <v>642</v>
      </c>
      <c r="S82" s="106">
        <v>693</v>
      </c>
      <c r="T82" s="106">
        <v>932</v>
      </c>
      <c r="U82" s="106">
        <v>1092</v>
      </c>
      <c r="V82" s="106">
        <v>280</v>
      </c>
      <c r="W82" s="106">
        <v>14513</v>
      </c>
    </row>
    <row r="83" spans="1:23" x14ac:dyDescent="0.3">
      <c r="A83" s="82"/>
      <c r="B83" s="83" t="s">
        <v>120</v>
      </c>
      <c r="C83" s="83"/>
      <c r="D83" s="83"/>
      <c r="E83" s="83"/>
      <c r="F83" s="73">
        <v>329943</v>
      </c>
      <c r="G83" s="73">
        <v>186650</v>
      </c>
      <c r="H83" s="73">
        <v>157979</v>
      </c>
      <c r="I83" s="73">
        <v>193261</v>
      </c>
      <c r="J83" s="73">
        <v>92444</v>
      </c>
      <c r="K83" s="73">
        <v>86459</v>
      </c>
      <c r="L83" s="73">
        <v>71213</v>
      </c>
      <c r="M83" s="73">
        <v>16588</v>
      </c>
      <c r="N83" s="73">
        <v>811352</v>
      </c>
      <c r="O83" s="73">
        <v>159347</v>
      </c>
      <c r="P83" s="73">
        <v>158673</v>
      </c>
      <c r="Q83" s="73">
        <v>223939</v>
      </c>
      <c r="R83" s="73">
        <v>187058</v>
      </c>
      <c r="S83" s="73">
        <v>245977</v>
      </c>
      <c r="T83" s="73">
        <v>320230</v>
      </c>
      <c r="U83" s="73">
        <v>292544</v>
      </c>
      <c r="V83" s="73">
        <v>81588</v>
      </c>
      <c r="W83" s="73">
        <v>3615245</v>
      </c>
    </row>
    <row r="84" spans="1:23" x14ac:dyDescent="0.3">
      <c r="A84" s="82"/>
      <c r="B84" s="83"/>
      <c r="C84" s="83" t="s">
        <v>121</v>
      </c>
      <c r="D84" s="83"/>
      <c r="E84" s="83"/>
      <c r="F84" s="73">
        <v>208896</v>
      </c>
      <c r="G84" s="73">
        <v>126246</v>
      </c>
      <c r="H84" s="73">
        <v>104845</v>
      </c>
      <c r="I84" s="73">
        <v>124353</v>
      </c>
      <c r="J84" s="73">
        <v>63495</v>
      </c>
      <c r="K84" s="73">
        <v>57308</v>
      </c>
      <c r="L84" s="73">
        <v>49589</v>
      </c>
      <c r="M84" s="73">
        <v>11868</v>
      </c>
      <c r="N84" s="73">
        <v>565938</v>
      </c>
      <c r="O84" s="73">
        <v>117571</v>
      </c>
      <c r="P84" s="73">
        <v>117030</v>
      </c>
      <c r="Q84" s="73">
        <v>170447</v>
      </c>
      <c r="R84" s="73">
        <v>142372</v>
      </c>
      <c r="S84" s="73">
        <v>193354</v>
      </c>
      <c r="T84" s="73">
        <v>239359</v>
      </c>
      <c r="U84" s="73">
        <v>221026</v>
      </c>
      <c r="V84" s="73">
        <v>61160</v>
      </c>
      <c r="W84" s="73">
        <v>2574857</v>
      </c>
    </row>
    <row r="85" spans="1:23" x14ac:dyDescent="0.3">
      <c r="A85" s="82"/>
      <c r="B85" s="83"/>
      <c r="C85" s="83"/>
      <c r="D85" s="83" t="s">
        <v>122</v>
      </c>
      <c r="E85" s="83"/>
      <c r="F85" s="73">
        <v>23229</v>
      </c>
      <c r="G85" s="73">
        <v>12795</v>
      </c>
      <c r="H85" s="73">
        <v>12448</v>
      </c>
      <c r="I85" s="73">
        <v>18513</v>
      </c>
      <c r="J85" s="73">
        <v>8427</v>
      </c>
      <c r="K85" s="73">
        <v>9257</v>
      </c>
      <c r="L85" s="73">
        <v>5298</v>
      </c>
      <c r="M85" s="73">
        <v>2087</v>
      </c>
      <c r="N85" s="73">
        <v>81657</v>
      </c>
      <c r="O85" s="73">
        <v>21678</v>
      </c>
      <c r="P85" s="73">
        <v>18157</v>
      </c>
      <c r="Q85" s="73">
        <v>24118</v>
      </c>
      <c r="R85" s="73">
        <v>18718</v>
      </c>
      <c r="S85" s="73">
        <v>18953</v>
      </c>
      <c r="T85" s="73">
        <v>24990</v>
      </c>
      <c r="U85" s="73">
        <v>24738</v>
      </c>
      <c r="V85" s="73">
        <v>7977</v>
      </c>
      <c r="W85" s="73">
        <v>333040</v>
      </c>
    </row>
    <row r="86" spans="1:23" x14ac:dyDescent="0.3">
      <c r="A86" s="82"/>
      <c r="B86" s="83"/>
      <c r="C86" s="83"/>
      <c r="D86" s="83" t="s">
        <v>123</v>
      </c>
      <c r="E86" s="83"/>
      <c r="F86" s="73">
        <v>185667</v>
      </c>
      <c r="G86" s="73">
        <v>113451</v>
      </c>
      <c r="H86" s="73">
        <v>92397</v>
      </c>
      <c r="I86" s="73">
        <v>105840</v>
      </c>
      <c r="J86" s="73">
        <v>55068</v>
      </c>
      <c r="K86" s="73">
        <v>48051</v>
      </c>
      <c r="L86" s="73">
        <v>44291</v>
      </c>
      <c r="M86" s="73">
        <v>9781</v>
      </c>
      <c r="N86" s="73">
        <v>484281</v>
      </c>
      <c r="O86" s="73">
        <v>95893</v>
      </c>
      <c r="P86" s="73">
        <v>98873</v>
      </c>
      <c r="Q86" s="73">
        <v>146329</v>
      </c>
      <c r="R86" s="73">
        <v>123654</v>
      </c>
      <c r="S86" s="73">
        <v>174401</v>
      </c>
      <c r="T86" s="73">
        <v>214369</v>
      </c>
      <c r="U86" s="73">
        <v>196288</v>
      </c>
      <c r="V86" s="73">
        <v>53183</v>
      </c>
      <c r="W86" s="73">
        <v>2241817</v>
      </c>
    </row>
    <row r="87" spans="1:23" x14ac:dyDescent="0.3">
      <c r="A87" s="82"/>
      <c r="B87" s="83"/>
      <c r="C87" s="83"/>
      <c r="D87" s="83"/>
      <c r="E87" s="83" t="s">
        <v>124</v>
      </c>
      <c r="F87" s="73">
        <v>146698</v>
      </c>
      <c r="G87" s="73">
        <v>86410</v>
      </c>
      <c r="H87" s="73">
        <v>73037</v>
      </c>
      <c r="I87" s="73">
        <v>81950</v>
      </c>
      <c r="J87" s="73">
        <v>41761</v>
      </c>
      <c r="K87" s="73">
        <v>37028</v>
      </c>
      <c r="L87" s="73">
        <v>35239</v>
      </c>
      <c r="M87" s="73">
        <v>7583</v>
      </c>
      <c r="N87" s="73">
        <v>363083</v>
      </c>
      <c r="O87" s="73">
        <v>81020</v>
      </c>
      <c r="P87" s="73">
        <v>80958</v>
      </c>
      <c r="Q87" s="73">
        <v>119284</v>
      </c>
      <c r="R87" s="73">
        <v>100386</v>
      </c>
      <c r="S87" s="73">
        <v>145470</v>
      </c>
      <c r="T87" s="73">
        <v>181850</v>
      </c>
      <c r="U87" s="73">
        <v>159087</v>
      </c>
      <c r="V87" s="73">
        <v>46503</v>
      </c>
      <c r="W87" s="73">
        <v>1787347</v>
      </c>
    </row>
    <row r="88" spans="1:23" x14ac:dyDescent="0.3">
      <c r="A88" s="82"/>
      <c r="B88" s="83"/>
      <c r="C88" s="83"/>
      <c r="D88" s="83"/>
      <c r="E88" s="83" t="s">
        <v>125</v>
      </c>
      <c r="F88" s="73">
        <v>19620</v>
      </c>
      <c r="G88" s="73">
        <v>10239</v>
      </c>
      <c r="H88" s="73">
        <v>7480</v>
      </c>
      <c r="I88" s="73">
        <v>10474</v>
      </c>
      <c r="J88" s="73">
        <v>4266</v>
      </c>
      <c r="K88" s="73">
        <v>3363</v>
      </c>
      <c r="L88" s="73">
        <v>2331</v>
      </c>
      <c r="M88" s="73">
        <v>683</v>
      </c>
      <c r="N88" s="73">
        <v>50501</v>
      </c>
      <c r="O88" s="73">
        <v>5319</v>
      </c>
      <c r="P88" s="73">
        <v>5474</v>
      </c>
      <c r="Q88" s="73">
        <v>8561</v>
      </c>
      <c r="R88" s="73">
        <v>7229</v>
      </c>
      <c r="S88" s="73">
        <v>8552</v>
      </c>
      <c r="T88" s="73">
        <v>10439</v>
      </c>
      <c r="U88" s="73">
        <v>13238</v>
      </c>
      <c r="V88" s="73">
        <v>2802</v>
      </c>
      <c r="W88" s="73">
        <v>170571</v>
      </c>
    </row>
    <row r="89" spans="1:23" x14ac:dyDescent="0.3">
      <c r="A89" s="82"/>
      <c r="B89" s="83"/>
      <c r="C89" s="83"/>
      <c r="D89" s="83"/>
      <c r="E89" s="83" t="s">
        <v>126</v>
      </c>
      <c r="F89" s="73">
        <v>9611</v>
      </c>
      <c r="G89" s="73">
        <v>6604</v>
      </c>
      <c r="H89" s="73">
        <v>5848</v>
      </c>
      <c r="I89" s="73">
        <v>5881</v>
      </c>
      <c r="J89" s="73">
        <v>3584</v>
      </c>
      <c r="K89" s="73">
        <v>3118</v>
      </c>
      <c r="L89" s="73">
        <v>1843</v>
      </c>
      <c r="M89" s="73">
        <v>637</v>
      </c>
      <c r="N89" s="73">
        <v>39064</v>
      </c>
      <c r="O89" s="73">
        <v>4514</v>
      </c>
      <c r="P89" s="73">
        <v>5755</v>
      </c>
      <c r="Q89" s="73">
        <v>8366</v>
      </c>
      <c r="R89" s="73">
        <v>6367</v>
      </c>
      <c r="S89" s="73">
        <v>7805</v>
      </c>
      <c r="T89" s="73">
        <v>9676</v>
      </c>
      <c r="U89" s="73">
        <v>10182</v>
      </c>
      <c r="V89" s="73">
        <v>1772</v>
      </c>
      <c r="W89" s="73">
        <v>130627</v>
      </c>
    </row>
    <row r="90" spans="1:23" x14ac:dyDescent="0.3">
      <c r="A90" s="82"/>
      <c r="B90" s="83"/>
      <c r="C90" s="83"/>
      <c r="D90" s="83"/>
      <c r="E90" s="83" t="s">
        <v>127</v>
      </c>
      <c r="F90" s="73">
        <v>4704</v>
      </c>
      <c r="G90" s="73">
        <v>4010</v>
      </c>
      <c r="H90" s="73">
        <v>2776</v>
      </c>
      <c r="I90" s="73">
        <v>2600</v>
      </c>
      <c r="J90" s="73">
        <v>2251</v>
      </c>
      <c r="K90" s="73">
        <v>1882</v>
      </c>
      <c r="L90" s="73">
        <v>1708</v>
      </c>
      <c r="M90" s="73">
        <v>530</v>
      </c>
      <c r="N90" s="73">
        <v>16934</v>
      </c>
      <c r="O90" s="73">
        <v>2850</v>
      </c>
      <c r="P90" s="73">
        <v>3618</v>
      </c>
      <c r="Q90" s="73">
        <v>5492</v>
      </c>
      <c r="R90" s="73">
        <v>4400</v>
      </c>
      <c r="S90" s="73">
        <v>5985</v>
      </c>
      <c r="T90" s="73">
        <v>6294</v>
      </c>
      <c r="U90" s="73">
        <v>7160</v>
      </c>
      <c r="V90" s="73">
        <v>1231</v>
      </c>
      <c r="W90" s="73">
        <v>74425</v>
      </c>
    </row>
    <row r="91" spans="1:23" x14ac:dyDescent="0.3">
      <c r="A91" s="82"/>
      <c r="B91" s="83"/>
      <c r="C91" s="83"/>
      <c r="D91" s="83"/>
      <c r="E91" s="83" t="s">
        <v>128</v>
      </c>
      <c r="F91" s="73">
        <v>1133</v>
      </c>
      <c r="G91" s="73">
        <v>891</v>
      </c>
      <c r="H91" s="73">
        <v>622</v>
      </c>
      <c r="I91" s="73">
        <v>533</v>
      </c>
      <c r="J91" s="73">
        <v>663</v>
      </c>
      <c r="K91" s="73">
        <v>487</v>
      </c>
      <c r="L91" s="73">
        <v>403</v>
      </c>
      <c r="M91" s="73">
        <v>81</v>
      </c>
      <c r="N91" s="73">
        <v>3382</v>
      </c>
      <c r="O91" s="73">
        <v>391</v>
      </c>
      <c r="P91" s="73">
        <v>613</v>
      </c>
      <c r="Q91" s="73">
        <v>1020</v>
      </c>
      <c r="R91" s="73">
        <v>1053</v>
      </c>
      <c r="S91" s="73">
        <v>1280</v>
      </c>
      <c r="T91" s="73">
        <v>1008</v>
      </c>
      <c r="U91" s="73">
        <v>1135</v>
      </c>
      <c r="V91" s="73">
        <v>246</v>
      </c>
      <c r="W91" s="73">
        <v>14941</v>
      </c>
    </row>
    <row r="92" spans="1:23" x14ac:dyDescent="0.3">
      <c r="A92" s="82"/>
      <c r="B92" s="83"/>
      <c r="C92" s="83"/>
      <c r="D92" s="83"/>
      <c r="E92" s="83" t="s">
        <v>129</v>
      </c>
      <c r="F92" s="73">
        <v>710</v>
      </c>
      <c r="G92" s="73">
        <v>747</v>
      </c>
      <c r="H92" s="73">
        <v>275</v>
      </c>
      <c r="I92" s="73">
        <v>446</v>
      </c>
      <c r="J92" s="73">
        <v>319</v>
      </c>
      <c r="K92" s="73">
        <v>250</v>
      </c>
      <c r="L92" s="73">
        <v>208</v>
      </c>
      <c r="M92" s="73">
        <v>24</v>
      </c>
      <c r="N92" s="73">
        <v>1602</v>
      </c>
      <c r="O92" s="73">
        <v>195</v>
      </c>
      <c r="P92" s="73">
        <v>256</v>
      </c>
      <c r="Q92" s="73">
        <v>350</v>
      </c>
      <c r="R92" s="73">
        <v>355</v>
      </c>
      <c r="S92" s="73">
        <v>459</v>
      </c>
      <c r="T92" s="73">
        <v>474</v>
      </c>
      <c r="U92" s="73">
        <v>635</v>
      </c>
      <c r="V92" s="73">
        <v>49</v>
      </c>
      <c r="W92" s="73">
        <v>7354</v>
      </c>
    </row>
    <row r="93" spans="1:23" x14ac:dyDescent="0.3">
      <c r="A93" s="82"/>
      <c r="B93" s="83"/>
      <c r="C93" s="83"/>
      <c r="D93" s="83"/>
      <c r="E93" s="83" t="s">
        <v>130</v>
      </c>
      <c r="F93" s="73">
        <v>3191</v>
      </c>
      <c r="G93" s="73">
        <v>4550</v>
      </c>
      <c r="H93" s="73">
        <v>2359</v>
      </c>
      <c r="I93" s="73">
        <v>3956</v>
      </c>
      <c r="J93" s="73">
        <v>2224</v>
      </c>
      <c r="K93" s="73">
        <v>1923</v>
      </c>
      <c r="L93" s="73">
        <v>2559</v>
      </c>
      <c r="M93" s="73">
        <v>243</v>
      </c>
      <c r="N93" s="73">
        <v>9715</v>
      </c>
      <c r="O93" s="73">
        <v>1604</v>
      </c>
      <c r="P93" s="73">
        <v>2199</v>
      </c>
      <c r="Q93" s="73">
        <v>3256</v>
      </c>
      <c r="R93" s="73">
        <v>3864</v>
      </c>
      <c r="S93" s="73">
        <v>4850</v>
      </c>
      <c r="T93" s="73">
        <v>4628</v>
      </c>
      <c r="U93" s="73">
        <v>4851</v>
      </c>
      <c r="V93" s="73">
        <v>580</v>
      </c>
      <c r="W93" s="73">
        <v>56552</v>
      </c>
    </row>
    <row r="94" spans="1:23" x14ac:dyDescent="0.3">
      <c r="A94" s="82"/>
      <c r="B94" s="83"/>
      <c r="C94" s="83" t="s">
        <v>131</v>
      </c>
      <c r="D94" s="83"/>
      <c r="E94" s="83"/>
      <c r="F94" s="73">
        <v>1850</v>
      </c>
      <c r="G94" s="73">
        <v>1008</v>
      </c>
      <c r="H94" s="73">
        <v>1058</v>
      </c>
      <c r="I94" s="73">
        <v>996</v>
      </c>
      <c r="J94" s="73">
        <v>514</v>
      </c>
      <c r="K94" s="73">
        <v>671</v>
      </c>
      <c r="L94" s="73">
        <v>1101</v>
      </c>
      <c r="M94" s="73">
        <v>367</v>
      </c>
      <c r="N94" s="73">
        <v>5862</v>
      </c>
      <c r="O94" s="73">
        <v>4585</v>
      </c>
      <c r="P94" s="73">
        <v>4097</v>
      </c>
      <c r="Q94" s="73">
        <v>5419</v>
      </c>
      <c r="R94" s="73">
        <v>4122</v>
      </c>
      <c r="S94" s="73">
        <v>5443</v>
      </c>
      <c r="T94" s="73">
        <v>9825</v>
      </c>
      <c r="U94" s="73">
        <v>6555</v>
      </c>
      <c r="V94" s="73">
        <v>1616</v>
      </c>
      <c r="W94" s="73">
        <v>55089</v>
      </c>
    </row>
    <row r="95" spans="1:23" x14ac:dyDescent="0.3">
      <c r="A95" s="82"/>
      <c r="B95" s="83"/>
      <c r="C95" s="83"/>
      <c r="D95" s="83"/>
      <c r="E95" s="83" t="s">
        <v>132</v>
      </c>
      <c r="F95" s="73">
        <v>470</v>
      </c>
      <c r="G95" s="73">
        <v>492</v>
      </c>
      <c r="H95" s="73">
        <v>375</v>
      </c>
      <c r="I95" s="73">
        <v>297</v>
      </c>
      <c r="J95" s="73">
        <v>221</v>
      </c>
      <c r="K95" s="73">
        <v>317</v>
      </c>
      <c r="L95" s="73">
        <v>844</v>
      </c>
      <c r="M95" s="73">
        <v>225</v>
      </c>
      <c r="N95" s="73">
        <v>2491</v>
      </c>
      <c r="O95" s="73">
        <v>3276</v>
      </c>
      <c r="P95" s="73">
        <v>2828</v>
      </c>
      <c r="Q95" s="73">
        <v>3334</v>
      </c>
      <c r="R95" s="73">
        <v>2507</v>
      </c>
      <c r="S95" s="73">
        <v>3323</v>
      </c>
      <c r="T95" s="73">
        <v>6243</v>
      </c>
      <c r="U95" s="73">
        <v>4641</v>
      </c>
      <c r="V95" s="73">
        <v>911</v>
      </c>
      <c r="W95" s="73">
        <v>32795</v>
      </c>
    </row>
    <row r="96" spans="1:23" x14ac:dyDescent="0.3">
      <c r="A96" s="82"/>
      <c r="B96" s="83"/>
      <c r="C96" s="83"/>
      <c r="D96" s="83"/>
      <c r="E96" s="83" t="s">
        <v>133</v>
      </c>
      <c r="F96" s="73">
        <v>1076</v>
      </c>
      <c r="G96" s="73">
        <v>338</v>
      </c>
      <c r="H96" s="73">
        <v>552</v>
      </c>
      <c r="I96" s="73">
        <v>562</v>
      </c>
      <c r="J96" s="73">
        <v>220</v>
      </c>
      <c r="K96" s="73">
        <v>261</v>
      </c>
      <c r="L96" s="73">
        <v>177</v>
      </c>
      <c r="M96" s="73">
        <v>59</v>
      </c>
      <c r="N96" s="73">
        <v>2182</v>
      </c>
      <c r="O96" s="73">
        <v>859</v>
      </c>
      <c r="P96" s="73">
        <v>783</v>
      </c>
      <c r="Q96" s="73">
        <v>1119</v>
      </c>
      <c r="R96" s="73">
        <v>1057</v>
      </c>
      <c r="S96" s="73">
        <v>1398</v>
      </c>
      <c r="T96" s="73">
        <v>2517</v>
      </c>
      <c r="U96" s="73">
        <v>1350</v>
      </c>
      <c r="V96" s="73">
        <v>361</v>
      </c>
      <c r="W96" s="73">
        <v>14871</v>
      </c>
    </row>
    <row r="97" spans="1:23" x14ac:dyDescent="0.3">
      <c r="A97" s="82"/>
      <c r="B97" s="83"/>
      <c r="C97" s="83"/>
      <c r="D97" s="83"/>
      <c r="E97" s="83" t="s">
        <v>134</v>
      </c>
      <c r="F97" s="73">
        <v>284</v>
      </c>
      <c r="G97" s="73">
        <v>156</v>
      </c>
      <c r="H97" s="73">
        <v>114</v>
      </c>
      <c r="I97" s="73">
        <v>110</v>
      </c>
      <c r="J97" s="73">
        <v>64</v>
      </c>
      <c r="K97" s="73">
        <v>87</v>
      </c>
      <c r="L97" s="73">
        <v>69</v>
      </c>
      <c r="M97" s="73">
        <v>81</v>
      </c>
      <c r="N97" s="73">
        <v>1147</v>
      </c>
      <c r="O97" s="73">
        <v>437</v>
      </c>
      <c r="P97" s="73">
        <v>456</v>
      </c>
      <c r="Q97" s="73">
        <v>935</v>
      </c>
      <c r="R97" s="73">
        <v>518</v>
      </c>
      <c r="S97" s="73">
        <v>698</v>
      </c>
      <c r="T97" s="73">
        <v>1028</v>
      </c>
      <c r="U97" s="73">
        <v>543</v>
      </c>
      <c r="V97" s="73">
        <v>334</v>
      </c>
      <c r="W97" s="73">
        <v>7061</v>
      </c>
    </row>
    <row r="98" spans="1:23" x14ac:dyDescent="0.3">
      <c r="A98" s="82"/>
      <c r="B98" s="83"/>
      <c r="C98" s="83"/>
      <c r="D98" s="83"/>
      <c r="E98" s="83" t="s">
        <v>135</v>
      </c>
      <c r="F98" s="73">
        <v>20</v>
      </c>
      <c r="G98" s="73">
        <v>22</v>
      </c>
      <c r="H98" s="73">
        <v>17</v>
      </c>
      <c r="I98" s="73">
        <v>27</v>
      </c>
      <c r="J98" s="73">
        <v>9</v>
      </c>
      <c r="K98" s="73">
        <v>6</v>
      </c>
      <c r="L98" s="73">
        <v>11</v>
      </c>
      <c r="M98" s="73">
        <v>2</v>
      </c>
      <c r="N98" s="73">
        <v>42</v>
      </c>
      <c r="O98" s="73">
        <v>13</v>
      </c>
      <c r="P98" s="73">
        <v>30</v>
      </c>
      <c r="Q98" s="73">
        <v>31</v>
      </c>
      <c r="R98" s="73">
        <v>40</v>
      </c>
      <c r="S98" s="73">
        <v>24</v>
      </c>
      <c r="T98" s="73">
        <v>37</v>
      </c>
      <c r="U98" s="73">
        <v>21</v>
      </c>
      <c r="V98" s="73">
        <v>10</v>
      </c>
      <c r="W98" s="73">
        <v>362</v>
      </c>
    </row>
    <row r="99" spans="1:23" x14ac:dyDescent="0.3">
      <c r="A99" s="82"/>
      <c r="B99" s="83"/>
      <c r="C99" s="83" t="s">
        <v>136</v>
      </c>
      <c r="D99" s="83"/>
      <c r="E99" s="83"/>
      <c r="F99" s="73">
        <v>54750</v>
      </c>
      <c r="G99" s="73">
        <v>21628</v>
      </c>
      <c r="H99" s="73">
        <v>23453</v>
      </c>
      <c r="I99" s="73">
        <v>28039</v>
      </c>
      <c r="J99" s="73">
        <v>11704</v>
      </c>
      <c r="K99" s="73">
        <v>12379</v>
      </c>
      <c r="L99" s="73">
        <v>8188</v>
      </c>
      <c r="M99" s="73">
        <v>1534</v>
      </c>
      <c r="N99" s="73">
        <v>90171</v>
      </c>
      <c r="O99" s="73">
        <v>14800</v>
      </c>
      <c r="P99" s="73">
        <v>13559</v>
      </c>
      <c r="Q99" s="73">
        <v>15605</v>
      </c>
      <c r="R99" s="73">
        <v>14775</v>
      </c>
      <c r="S99" s="73">
        <v>15091</v>
      </c>
      <c r="T99" s="73">
        <v>28476</v>
      </c>
      <c r="U99" s="73">
        <v>26835</v>
      </c>
      <c r="V99" s="73">
        <v>8504</v>
      </c>
      <c r="W99" s="73">
        <v>389491</v>
      </c>
    </row>
    <row r="100" spans="1:23" x14ac:dyDescent="0.3">
      <c r="A100" s="82"/>
      <c r="B100" s="83"/>
      <c r="C100" s="83"/>
      <c r="D100" s="83"/>
      <c r="E100" s="83" t="s">
        <v>137</v>
      </c>
      <c r="F100" s="73">
        <v>54303</v>
      </c>
      <c r="G100" s="73">
        <v>21432</v>
      </c>
      <c r="H100" s="73">
        <v>23244</v>
      </c>
      <c r="I100" s="73">
        <v>27842</v>
      </c>
      <c r="J100" s="73">
        <v>11575</v>
      </c>
      <c r="K100" s="73">
        <v>12230</v>
      </c>
      <c r="L100" s="73">
        <v>8146</v>
      </c>
      <c r="M100" s="73">
        <v>1511</v>
      </c>
      <c r="N100" s="73">
        <v>88871</v>
      </c>
      <c r="O100" s="73">
        <v>14593</v>
      </c>
      <c r="P100" s="73">
        <v>13362</v>
      </c>
      <c r="Q100" s="73">
        <v>15336</v>
      </c>
      <c r="R100" s="73">
        <v>14546</v>
      </c>
      <c r="S100" s="73">
        <v>14815</v>
      </c>
      <c r="T100" s="73">
        <v>28156</v>
      </c>
      <c r="U100" s="73">
        <v>26578</v>
      </c>
      <c r="V100" s="73">
        <v>8420</v>
      </c>
      <c r="W100" s="73">
        <v>384960</v>
      </c>
    </row>
    <row r="101" spans="1:23" x14ac:dyDescent="0.3">
      <c r="A101" s="82"/>
      <c r="B101" s="83"/>
      <c r="C101" s="83"/>
      <c r="D101" s="83"/>
      <c r="E101" s="83" t="s">
        <v>138</v>
      </c>
      <c r="F101" s="73">
        <v>436</v>
      </c>
      <c r="G101" s="73">
        <v>187</v>
      </c>
      <c r="H101" s="73">
        <v>195</v>
      </c>
      <c r="I101" s="73">
        <v>193</v>
      </c>
      <c r="J101" s="73">
        <v>119</v>
      </c>
      <c r="K101" s="73">
        <v>140</v>
      </c>
      <c r="L101" s="73">
        <v>40</v>
      </c>
      <c r="M101" s="73">
        <v>23</v>
      </c>
      <c r="N101" s="73">
        <v>1256</v>
      </c>
      <c r="O101" s="73">
        <v>204</v>
      </c>
      <c r="P101" s="73">
        <v>188</v>
      </c>
      <c r="Q101" s="73">
        <v>255</v>
      </c>
      <c r="R101" s="73">
        <v>213</v>
      </c>
      <c r="S101" s="73">
        <v>265</v>
      </c>
      <c r="T101" s="73">
        <v>290</v>
      </c>
      <c r="U101" s="73">
        <v>250</v>
      </c>
      <c r="V101" s="73">
        <v>83</v>
      </c>
      <c r="W101" s="73">
        <v>4337</v>
      </c>
    </row>
    <row r="102" spans="1:23" x14ac:dyDescent="0.3">
      <c r="A102" s="82"/>
      <c r="B102" s="83"/>
      <c r="C102" s="83"/>
      <c r="D102" s="83"/>
      <c r="E102" s="83" t="s">
        <v>139</v>
      </c>
      <c r="F102" s="73">
        <v>11</v>
      </c>
      <c r="G102" s="73">
        <v>9</v>
      </c>
      <c r="H102" s="73">
        <v>14</v>
      </c>
      <c r="I102" s="73">
        <v>4</v>
      </c>
      <c r="J102" s="73">
        <v>10</v>
      </c>
      <c r="K102" s="73">
        <v>9</v>
      </c>
      <c r="L102" s="73">
        <v>2</v>
      </c>
      <c r="M102" s="73">
        <v>0</v>
      </c>
      <c r="N102" s="73">
        <v>44</v>
      </c>
      <c r="O102" s="73">
        <v>3</v>
      </c>
      <c r="P102" s="73">
        <v>9</v>
      </c>
      <c r="Q102" s="73">
        <v>14</v>
      </c>
      <c r="R102" s="73">
        <v>16</v>
      </c>
      <c r="S102" s="73">
        <v>11</v>
      </c>
      <c r="T102" s="73">
        <v>30</v>
      </c>
      <c r="U102" s="73">
        <v>7</v>
      </c>
      <c r="V102" s="73">
        <v>1</v>
      </c>
      <c r="W102" s="73">
        <v>194</v>
      </c>
    </row>
    <row r="103" spans="1:23" x14ac:dyDescent="0.3">
      <c r="A103" s="82"/>
      <c r="B103" s="83"/>
      <c r="C103" s="83" t="s">
        <v>140</v>
      </c>
      <c r="D103" s="83"/>
      <c r="E103" s="83"/>
      <c r="F103" s="73">
        <v>64447</v>
      </c>
      <c r="G103" s="73">
        <v>37768</v>
      </c>
      <c r="H103" s="73">
        <v>28623</v>
      </c>
      <c r="I103" s="73">
        <v>39873</v>
      </c>
      <c r="J103" s="73">
        <v>16731</v>
      </c>
      <c r="K103" s="73">
        <v>16101</v>
      </c>
      <c r="L103" s="73">
        <v>12335</v>
      </c>
      <c r="M103" s="73">
        <v>2819</v>
      </c>
      <c r="N103" s="73">
        <v>149381</v>
      </c>
      <c r="O103" s="73">
        <v>22391</v>
      </c>
      <c r="P103" s="73">
        <v>23987</v>
      </c>
      <c r="Q103" s="73">
        <v>32468</v>
      </c>
      <c r="R103" s="73">
        <v>25789</v>
      </c>
      <c r="S103" s="73">
        <v>32089</v>
      </c>
      <c r="T103" s="73">
        <v>42570</v>
      </c>
      <c r="U103" s="73">
        <v>38128</v>
      </c>
      <c r="V103" s="73">
        <v>10308</v>
      </c>
      <c r="W103" s="73">
        <v>595808</v>
      </c>
    </row>
    <row r="104" spans="1:23" x14ac:dyDescent="0.3">
      <c r="A104" s="82"/>
      <c r="B104" s="83"/>
      <c r="C104" s="83"/>
      <c r="D104" s="83" t="s">
        <v>141</v>
      </c>
      <c r="E104" s="83"/>
      <c r="F104" s="73">
        <v>1271</v>
      </c>
      <c r="G104" s="73">
        <v>499</v>
      </c>
      <c r="H104" s="73">
        <v>696</v>
      </c>
      <c r="I104" s="73">
        <v>477</v>
      </c>
      <c r="J104" s="73">
        <v>477</v>
      </c>
      <c r="K104" s="73">
        <v>252</v>
      </c>
      <c r="L104" s="73">
        <v>270</v>
      </c>
      <c r="M104" s="73">
        <v>74</v>
      </c>
      <c r="N104" s="73">
        <v>2333</v>
      </c>
      <c r="O104" s="73">
        <v>876</v>
      </c>
      <c r="P104" s="73">
        <v>622</v>
      </c>
      <c r="Q104" s="73">
        <v>985</v>
      </c>
      <c r="R104" s="73">
        <v>881</v>
      </c>
      <c r="S104" s="73">
        <v>1785</v>
      </c>
      <c r="T104" s="73">
        <v>1624</v>
      </c>
      <c r="U104" s="73">
        <v>1160</v>
      </c>
      <c r="V104" s="73">
        <v>313</v>
      </c>
      <c r="W104" s="73">
        <v>14595</v>
      </c>
    </row>
    <row r="105" spans="1:23" x14ac:dyDescent="0.3">
      <c r="A105" s="82"/>
      <c r="B105" s="83"/>
      <c r="C105" s="83"/>
      <c r="D105" s="83" t="s">
        <v>142</v>
      </c>
      <c r="E105" s="83"/>
      <c r="F105" s="73">
        <v>291</v>
      </c>
      <c r="G105" s="73">
        <v>123</v>
      </c>
      <c r="H105" s="73">
        <v>98</v>
      </c>
      <c r="I105" s="73">
        <v>194</v>
      </c>
      <c r="J105" s="73">
        <v>46</v>
      </c>
      <c r="K105" s="73">
        <v>40</v>
      </c>
      <c r="L105" s="73">
        <v>46</v>
      </c>
      <c r="M105" s="73">
        <v>15</v>
      </c>
      <c r="N105" s="73">
        <v>429</v>
      </c>
      <c r="O105" s="73">
        <v>120</v>
      </c>
      <c r="P105" s="73">
        <v>85</v>
      </c>
      <c r="Q105" s="73">
        <v>91</v>
      </c>
      <c r="R105" s="73">
        <v>119</v>
      </c>
      <c r="S105" s="73">
        <v>75</v>
      </c>
      <c r="T105" s="73">
        <v>119</v>
      </c>
      <c r="U105" s="73">
        <v>115</v>
      </c>
      <c r="V105" s="73">
        <v>36</v>
      </c>
      <c r="W105" s="73">
        <v>2042</v>
      </c>
    </row>
    <row r="106" spans="1:23" x14ac:dyDescent="0.3">
      <c r="A106" s="82"/>
      <c r="B106" s="83"/>
      <c r="C106" s="83"/>
      <c r="D106" s="83" t="s">
        <v>143</v>
      </c>
      <c r="E106" s="83"/>
      <c r="F106" s="73">
        <v>228</v>
      </c>
      <c r="G106" s="73">
        <v>24</v>
      </c>
      <c r="H106" s="73">
        <v>42</v>
      </c>
      <c r="I106" s="73">
        <v>83</v>
      </c>
      <c r="J106" s="73">
        <v>20</v>
      </c>
      <c r="K106" s="73">
        <v>13</v>
      </c>
      <c r="L106" s="73">
        <v>22</v>
      </c>
      <c r="M106" s="73">
        <v>5</v>
      </c>
      <c r="N106" s="73">
        <v>194</v>
      </c>
      <c r="O106" s="73">
        <v>64</v>
      </c>
      <c r="P106" s="73">
        <v>76</v>
      </c>
      <c r="Q106" s="73">
        <v>70</v>
      </c>
      <c r="R106" s="73">
        <v>88</v>
      </c>
      <c r="S106" s="73">
        <v>148</v>
      </c>
      <c r="T106" s="73">
        <v>144</v>
      </c>
      <c r="U106" s="73">
        <v>77</v>
      </c>
      <c r="V106" s="73">
        <v>32</v>
      </c>
      <c r="W106" s="73">
        <v>1330</v>
      </c>
    </row>
    <row r="107" spans="1:23" x14ac:dyDescent="0.3">
      <c r="A107" s="82"/>
      <c r="B107" s="83"/>
      <c r="C107" s="83"/>
      <c r="D107" s="83" t="s">
        <v>144</v>
      </c>
      <c r="E107" s="83"/>
      <c r="F107" s="73">
        <v>256</v>
      </c>
      <c r="G107" s="73">
        <v>170</v>
      </c>
      <c r="H107" s="73">
        <v>163</v>
      </c>
      <c r="I107" s="73">
        <v>203</v>
      </c>
      <c r="J107" s="73">
        <v>103</v>
      </c>
      <c r="K107" s="73">
        <v>149</v>
      </c>
      <c r="L107" s="73">
        <v>161</v>
      </c>
      <c r="M107" s="73">
        <v>37</v>
      </c>
      <c r="N107" s="73">
        <v>769</v>
      </c>
      <c r="O107" s="73">
        <v>323</v>
      </c>
      <c r="P107" s="73">
        <v>275</v>
      </c>
      <c r="Q107" s="73">
        <v>363</v>
      </c>
      <c r="R107" s="73">
        <v>306</v>
      </c>
      <c r="S107" s="73">
        <v>416</v>
      </c>
      <c r="T107" s="73">
        <v>434</v>
      </c>
      <c r="U107" s="73">
        <v>423</v>
      </c>
      <c r="V107" s="73">
        <v>81</v>
      </c>
      <c r="W107" s="73">
        <v>4632</v>
      </c>
    </row>
    <row r="108" spans="1:23" x14ac:dyDescent="0.3">
      <c r="A108" s="82"/>
      <c r="B108" s="83"/>
      <c r="C108" s="83"/>
      <c r="D108" s="83" t="s">
        <v>145</v>
      </c>
      <c r="E108" s="83"/>
      <c r="F108" s="73">
        <v>16678</v>
      </c>
      <c r="G108" s="73">
        <v>7338</v>
      </c>
      <c r="H108" s="73">
        <v>6930</v>
      </c>
      <c r="I108" s="73">
        <v>7082</v>
      </c>
      <c r="J108" s="73">
        <v>4292</v>
      </c>
      <c r="K108" s="73">
        <v>4073</v>
      </c>
      <c r="L108" s="73">
        <v>1983</v>
      </c>
      <c r="M108" s="73">
        <v>507</v>
      </c>
      <c r="N108" s="73">
        <v>37526</v>
      </c>
      <c r="O108" s="73">
        <v>4951</v>
      </c>
      <c r="P108" s="73">
        <v>4859</v>
      </c>
      <c r="Q108" s="73">
        <v>5895</v>
      </c>
      <c r="R108" s="73">
        <v>5574</v>
      </c>
      <c r="S108" s="73">
        <v>5309</v>
      </c>
      <c r="T108" s="73">
        <v>7868</v>
      </c>
      <c r="U108" s="73">
        <v>7538</v>
      </c>
      <c r="V108" s="73">
        <v>2747</v>
      </c>
      <c r="W108" s="73">
        <v>131150</v>
      </c>
    </row>
    <row r="109" spans="1:23" x14ac:dyDescent="0.3">
      <c r="A109" s="82"/>
      <c r="B109" s="83"/>
      <c r="C109" s="83"/>
      <c r="D109" s="83" t="s">
        <v>146</v>
      </c>
      <c r="E109" s="83"/>
      <c r="F109" s="73">
        <v>113</v>
      </c>
      <c r="G109" s="73">
        <v>53</v>
      </c>
      <c r="H109" s="73">
        <v>61</v>
      </c>
      <c r="I109" s="73">
        <v>386</v>
      </c>
      <c r="J109" s="73">
        <v>35</v>
      </c>
      <c r="K109" s="73">
        <v>39</v>
      </c>
      <c r="L109" s="73">
        <v>22</v>
      </c>
      <c r="M109" s="73">
        <v>5</v>
      </c>
      <c r="N109" s="73">
        <v>321</v>
      </c>
      <c r="O109" s="73">
        <v>49</v>
      </c>
      <c r="P109" s="73">
        <v>81</v>
      </c>
      <c r="Q109" s="73">
        <v>150</v>
      </c>
      <c r="R109" s="73">
        <v>316</v>
      </c>
      <c r="S109" s="73">
        <v>182</v>
      </c>
      <c r="T109" s="73">
        <v>247</v>
      </c>
      <c r="U109" s="73">
        <v>137</v>
      </c>
      <c r="V109" s="73">
        <v>40</v>
      </c>
      <c r="W109" s="73">
        <v>2237</v>
      </c>
    </row>
    <row r="110" spans="1:23" x14ac:dyDescent="0.3">
      <c r="A110" s="82"/>
      <c r="B110" s="83"/>
      <c r="C110" s="83"/>
      <c r="D110" s="83" t="s">
        <v>147</v>
      </c>
      <c r="E110" s="83"/>
      <c r="F110" s="73">
        <v>576</v>
      </c>
      <c r="G110" s="73">
        <v>509</v>
      </c>
      <c r="H110" s="73">
        <v>432</v>
      </c>
      <c r="I110" s="73">
        <v>940</v>
      </c>
      <c r="J110" s="73">
        <v>201</v>
      </c>
      <c r="K110" s="73">
        <v>214</v>
      </c>
      <c r="L110" s="73">
        <v>382</v>
      </c>
      <c r="M110" s="73">
        <v>64</v>
      </c>
      <c r="N110" s="73">
        <v>2831</v>
      </c>
      <c r="O110" s="73">
        <v>876</v>
      </c>
      <c r="P110" s="73">
        <v>814</v>
      </c>
      <c r="Q110" s="73">
        <v>1150</v>
      </c>
      <c r="R110" s="73">
        <v>908</v>
      </c>
      <c r="S110" s="73">
        <v>1236</v>
      </c>
      <c r="T110" s="73">
        <v>1653</v>
      </c>
      <c r="U110" s="73">
        <v>1456</v>
      </c>
      <c r="V110" s="73">
        <v>238</v>
      </c>
      <c r="W110" s="73">
        <v>14480</v>
      </c>
    </row>
    <row r="111" spans="1:23" x14ac:dyDescent="0.3">
      <c r="A111" s="82"/>
      <c r="B111" s="83"/>
      <c r="C111" s="83"/>
      <c r="D111" s="83"/>
      <c r="E111" s="83" t="s">
        <v>148</v>
      </c>
      <c r="F111" s="73">
        <v>39</v>
      </c>
      <c r="G111" s="73">
        <v>10</v>
      </c>
      <c r="H111" s="73">
        <v>10</v>
      </c>
      <c r="I111" s="73">
        <v>24</v>
      </c>
      <c r="J111" s="73">
        <v>0</v>
      </c>
      <c r="K111" s="73">
        <v>10</v>
      </c>
      <c r="L111" s="73">
        <v>17</v>
      </c>
      <c r="M111" s="73">
        <v>0</v>
      </c>
      <c r="N111" s="73">
        <v>42</v>
      </c>
      <c r="O111" s="73">
        <v>14</v>
      </c>
      <c r="P111" s="73">
        <v>23</v>
      </c>
      <c r="Q111" s="73">
        <v>21</v>
      </c>
      <c r="R111" s="73">
        <v>16</v>
      </c>
      <c r="S111" s="73">
        <v>26</v>
      </c>
      <c r="T111" s="73">
        <v>18</v>
      </c>
      <c r="U111" s="73">
        <v>15</v>
      </c>
      <c r="V111" s="73">
        <v>9</v>
      </c>
      <c r="W111" s="73">
        <v>294</v>
      </c>
    </row>
    <row r="112" spans="1:23" x14ac:dyDescent="0.3">
      <c r="A112" s="82"/>
      <c r="B112" s="83"/>
      <c r="C112" s="83"/>
      <c r="D112" s="83"/>
      <c r="E112" s="83" t="s">
        <v>149</v>
      </c>
      <c r="F112" s="73">
        <v>7</v>
      </c>
      <c r="G112" s="73">
        <v>0</v>
      </c>
      <c r="H112" s="73">
        <v>2</v>
      </c>
      <c r="I112" s="73">
        <v>8</v>
      </c>
      <c r="J112" s="73">
        <v>4</v>
      </c>
      <c r="K112" s="73">
        <v>1</v>
      </c>
      <c r="L112" s="73">
        <v>3</v>
      </c>
      <c r="M112" s="73">
        <v>0</v>
      </c>
      <c r="N112" s="73">
        <v>20</v>
      </c>
      <c r="O112" s="73">
        <v>1</v>
      </c>
      <c r="P112" s="73">
        <v>5</v>
      </c>
      <c r="Q112" s="73">
        <v>3</v>
      </c>
      <c r="R112" s="73">
        <v>10</v>
      </c>
      <c r="S112" s="73">
        <v>5</v>
      </c>
      <c r="T112" s="73">
        <v>9</v>
      </c>
      <c r="U112" s="73">
        <v>7</v>
      </c>
      <c r="V112" s="73">
        <v>2</v>
      </c>
      <c r="W112" s="73">
        <v>87</v>
      </c>
    </row>
    <row r="113" spans="1:23" x14ac:dyDescent="0.3">
      <c r="A113" s="82"/>
      <c r="B113" s="83"/>
      <c r="C113" s="83"/>
      <c r="D113" s="83"/>
      <c r="E113" s="83" t="s">
        <v>150</v>
      </c>
      <c r="F113" s="73">
        <v>473</v>
      </c>
      <c r="G113" s="73">
        <v>434</v>
      </c>
      <c r="H113" s="73">
        <v>376</v>
      </c>
      <c r="I113" s="73">
        <v>767</v>
      </c>
      <c r="J113" s="73">
        <v>171</v>
      </c>
      <c r="K113" s="73">
        <v>169</v>
      </c>
      <c r="L113" s="73">
        <v>316</v>
      </c>
      <c r="M113" s="73">
        <v>61</v>
      </c>
      <c r="N113" s="73">
        <v>2412</v>
      </c>
      <c r="O113" s="73">
        <v>761</v>
      </c>
      <c r="P113" s="73">
        <v>695</v>
      </c>
      <c r="Q113" s="73">
        <v>959</v>
      </c>
      <c r="R113" s="73">
        <v>722</v>
      </c>
      <c r="S113" s="73">
        <v>1016</v>
      </c>
      <c r="T113" s="73">
        <v>1445</v>
      </c>
      <c r="U113" s="73">
        <v>1252</v>
      </c>
      <c r="V113" s="73">
        <v>199</v>
      </c>
      <c r="W113" s="73">
        <v>12228</v>
      </c>
    </row>
    <row r="114" spans="1:23" x14ac:dyDescent="0.3">
      <c r="A114" s="82"/>
      <c r="B114" s="83"/>
      <c r="C114" s="83"/>
      <c r="D114" s="83"/>
      <c r="E114" s="83" t="s">
        <v>151</v>
      </c>
      <c r="F114" s="73">
        <v>0</v>
      </c>
      <c r="G114" s="73">
        <v>1</v>
      </c>
      <c r="H114" s="73">
        <v>2</v>
      </c>
      <c r="I114" s="73">
        <v>3</v>
      </c>
      <c r="J114" s="73">
        <v>2</v>
      </c>
      <c r="K114" s="73">
        <v>0</v>
      </c>
      <c r="L114" s="73">
        <v>4</v>
      </c>
      <c r="M114" s="73">
        <v>0</v>
      </c>
      <c r="N114" s="73">
        <v>13</v>
      </c>
      <c r="O114" s="73">
        <v>2</v>
      </c>
      <c r="P114" s="73">
        <v>2</v>
      </c>
      <c r="Q114" s="73">
        <v>2</v>
      </c>
      <c r="R114" s="73">
        <v>0</v>
      </c>
      <c r="S114" s="73">
        <v>5</v>
      </c>
      <c r="T114" s="73">
        <v>5</v>
      </c>
      <c r="U114" s="73">
        <v>3</v>
      </c>
      <c r="V114" s="73">
        <v>1</v>
      </c>
      <c r="W114" s="73">
        <v>45</v>
      </c>
    </row>
    <row r="115" spans="1:23" x14ac:dyDescent="0.3">
      <c r="A115" s="82"/>
      <c r="B115" s="83"/>
      <c r="C115" s="83"/>
      <c r="D115" s="83"/>
      <c r="E115" s="83" t="s">
        <v>152</v>
      </c>
      <c r="F115" s="73">
        <v>57</v>
      </c>
      <c r="G115" s="73">
        <v>64</v>
      </c>
      <c r="H115" s="73">
        <v>42</v>
      </c>
      <c r="I115" s="73">
        <v>138</v>
      </c>
      <c r="J115" s="73">
        <v>24</v>
      </c>
      <c r="K115" s="73">
        <v>34</v>
      </c>
      <c r="L115" s="73">
        <v>42</v>
      </c>
      <c r="M115" s="73">
        <v>3</v>
      </c>
      <c r="N115" s="73">
        <v>344</v>
      </c>
      <c r="O115" s="73">
        <v>98</v>
      </c>
      <c r="P115" s="73">
        <v>89</v>
      </c>
      <c r="Q115" s="73">
        <v>165</v>
      </c>
      <c r="R115" s="73">
        <v>160</v>
      </c>
      <c r="S115" s="73">
        <v>184</v>
      </c>
      <c r="T115" s="73">
        <v>176</v>
      </c>
      <c r="U115" s="73">
        <v>179</v>
      </c>
      <c r="V115" s="73">
        <v>27</v>
      </c>
      <c r="W115" s="73">
        <v>1826</v>
      </c>
    </row>
    <row r="116" spans="1:23" x14ac:dyDescent="0.3">
      <c r="A116" s="82"/>
      <c r="B116" s="83"/>
      <c r="C116" s="83"/>
      <c r="D116" s="83" t="s">
        <v>153</v>
      </c>
      <c r="E116" s="83"/>
      <c r="F116" s="73">
        <v>642</v>
      </c>
      <c r="G116" s="73">
        <v>263</v>
      </c>
      <c r="H116" s="73">
        <v>243</v>
      </c>
      <c r="I116" s="73">
        <v>587</v>
      </c>
      <c r="J116" s="73">
        <v>93</v>
      </c>
      <c r="K116" s="73">
        <v>131</v>
      </c>
      <c r="L116" s="73">
        <v>298</v>
      </c>
      <c r="M116" s="73">
        <v>115</v>
      </c>
      <c r="N116" s="73">
        <v>1933</v>
      </c>
      <c r="O116" s="73">
        <v>503</v>
      </c>
      <c r="P116" s="73">
        <v>506</v>
      </c>
      <c r="Q116" s="73">
        <v>762</v>
      </c>
      <c r="R116" s="73">
        <v>700</v>
      </c>
      <c r="S116" s="73">
        <v>713</v>
      </c>
      <c r="T116" s="73">
        <v>1000</v>
      </c>
      <c r="U116" s="73">
        <v>780</v>
      </c>
      <c r="V116" s="73">
        <v>267</v>
      </c>
      <c r="W116" s="73">
        <v>9536</v>
      </c>
    </row>
    <row r="117" spans="1:23" x14ac:dyDescent="0.3">
      <c r="A117" s="82"/>
      <c r="B117" s="83"/>
      <c r="C117" s="83"/>
      <c r="D117" s="83"/>
      <c r="E117" s="83" t="s">
        <v>154</v>
      </c>
      <c r="F117" s="73">
        <v>18</v>
      </c>
      <c r="G117" s="73">
        <v>3</v>
      </c>
      <c r="H117" s="73">
        <v>4</v>
      </c>
      <c r="I117" s="73">
        <v>9</v>
      </c>
      <c r="J117" s="73">
        <v>8</v>
      </c>
      <c r="K117" s="73">
        <v>6</v>
      </c>
      <c r="L117" s="73">
        <v>4</v>
      </c>
      <c r="M117" s="73">
        <v>11</v>
      </c>
      <c r="N117" s="73">
        <v>72</v>
      </c>
      <c r="O117" s="73">
        <v>12</v>
      </c>
      <c r="P117" s="73">
        <v>14</v>
      </c>
      <c r="Q117" s="73">
        <v>23</v>
      </c>
      <c r="R117" s="73">
        <v>17</v>
      </c>
      <c r="S117" s="73">
        <v>17</v>
      </c>
      <c r="T117" s="73">
        <v>29</v>
      </c>
      <c r="U117" s="73">
        <v>20</v>
      </c>
      <c r="V117" s="73">
        <v>3</v>
      </c>
      <c r="W117" s="73">
        <v>270</v>
      </c>
    </row>
    <row r="118" spans="1:23" x14ac:dyDescent="0.3">
      <c r="A118" s="82"/>
      <c r="B118" s="83"/>
      <c r="C118" s="83"/>
      <c r="D118" s="83"/>
      <c r="E118" s="83" t="s">
        <v>155</v>
      </c>
      <c r="F118" s="73">
        <v>19</v>
      </c>
      <c r="G118" s="73">
        <v>16</v>
      </c>
      <c r="H118" s="73">
        <v>23</v>
      </c>
      <c r="I118" s="73">
        <v>35</v>
      </c>
      <c r="J118" s="73">
        <v>10</v>
      </c>
      <c r="K118" s="73">
        <v>9</v>
      </c>
      <c r="L118" s="73">
        <v>11</v>
      </c>
      <c r="M118" s="73">
        <v>4</v>
      </c>
      <c r="N118" s="73">
        <v>161</v>
      </c>
      <c r="O118" s="73">
        <v>39</v>
      </c>
      <c r="P118" s="73">
        <v>51</v>
      </c>
      <c r="Q118" s="73">
        <v>59</v>
      </c>
      <c r="R118" s="73">
        <v>33</v>
      </c>
      <c r="S118" s="73">
        <v>35</v>
      </c>
      <c r="T118" s="73">
        <v>55</v>
      </c>
      <c r="U118" s="73">
        <v>48</v>
      </c>
      <c r="V118" s="73">
        <v>39</v>
      </c>
      <c r="W118" s="73">
        <v>647</v>
      </c>
    </row>
    <row r="119" spans="1:23" x14ac:dyDescent="0.3">
      <c r="A119" s="82"/>
      <c r="B119" s="83"/>
      <c r="C119" s="83"/>
      <c r="D119" s="83"/>
      <c r="E119" s="83" t="s">
        <v>156</v>
      </c>
      <c r="F119" s="73">
        <v>12</v>
      </c>
      <c r="G119" s="73">
        <v>6</v>
      </c>
      <c r="H119" s="73">
        <v>7</v>
      </c>
      <c r="I119" s="73">
        <v>35</v>
      </c>
      <c r="J119" s="73">
        <v>2</v>
      </c>
      <c r="K119" s="73">
        <v>3</v>
      </c>
      <c r="L119" s="73">
        <v>14</v>
      </c>
      <c r="M119" s="73">
        <v>0</v>
      </c>
      <c r="N119" s="73">
        <v>50</v>
      </c>
      <c r="O119" s="73">
        <v>8</v>
      </c>
      <c r="P119" s="73">
        <v>6</v>
      </c>
      <c r="Q119" s="73">
        <v>23</v>
      </c>
      <c r="R119" s="73">
        <v>19</v>
      </c>
      <c r="S119" s="73">
        <v>20</v>
      </c>
      <c r="T119" s="73">
        <v>22</v>
      </c>
      <c r="U119" s="73">
        <v>18</v>
      </c>
      <c r="V119" s="73">
        <v>0</v>
      </c>
      <c r="W119" s="73">
        <v>245</v>
      </c>
    </row>
    <row r="120" spans="1:23" x14ac:dyDescent="0.3">
      <c r="A120" s="82"/>
      <c r="B120" s="83"/>
      <c r="C120" s="83"/>
      <c r="D120" s="83"/>
      <c r="E120" s="83" t="s">
        <v>157</v>
      </c>
      <c r="F120" s="73">
        <v>593</v>
      </c>
      <c r="G120" s="73">
        <v>238</v>
      </c>
      <c r="H120" s="73">
        <v>209</v>
      </c>
      <c r="I120" s="73">
        <v>508</v>
      </c>
      <c r="J120" s="73">
        <v>73</v>
      </c>
      <c r="K120" s="73">
        <v>113</v>
      </c>
      <c r="L120" s="73">
        <v>269</v>
      </c>
      <c r="M120" s="73">
        <v>100</v>
      </c>
      <c r="N120" s="73">
        <v>1650</v>
      </c>
      <c r="O120" s="73">
        <v>444</v>
      </c>
      <c r="P120" s="73">
        <v>435</v>
      </c>
      <c r="Q120" s="73">
        <v>657</v>
      </c>
      <c r="R120" s="73">
        <v>631</v>
      </c>
      <c r="S120" s="73">
        <v>641</v>
      </c>
      <c r="T120" s="73">
        <v>894</v>
      </c>
      <c r="U120" s="73">
        <v>694</v>
      </c>
      <c r="V120" s="73">
        <v>225</v>
      </c>
      <c r="W120" s="73">
        <v>8374</v>
      </c>
    </row>
    <row r="121" spans="1:23" x14ac:dyDescent="0.3">
      <c r="A121" s="82"/>
      <c r="B121" s="83"/>
      <c r="C121" s="83"/>
      <c r="D121" s="83" t="s">
        <v>158</v>
      </c>
      <c r="E121" s="83"/>
      <c r="F121" s="73">
        <v>4447</v>
      </c>
      <c r="G121" s="73">
        <v>14655</v>
      </c>
      <c r="H121" s="73">
        <v>2778</v>
      </c>
      <c r="I121" s="73">
        <v>11665</v>
      </c>
      <c r="J121" s="73">
        <v>2900</v>
      </c>
      <c r="K121" s="73">
        <v>2562</v>
      </c>
      <c r="L121" s="73">
        <v>4356</v>
      </c>
      <c r="M121" s="73">
        <v>562</v>
      </c>
      <c r="N121" s="73">
        <v>19078</v>
      </c>
      <c r="O121" s="73">
        <v>2745</v>
      </c>
      <c r="P121" s="73">
        <v>4940</v>
      </c>
      <c r="Q121" s="73">
        <v>6726</v>
      </c>
      <c r="R121" s="73">
        <v>3820</v>
      </c>
      <c r="S121" s="73">
        <v>7876</v>
      </c>
      <c r="T121" s="73">
        <v>8199</v>
      </c>
      <c r="U121" s="73">
        <v>6962</v>
      </c>
      <c r="V121" s="73">
        <v>556</v>
      </c>
      <c r="W121" s="73">
        <v>104827</v>
      </c>
    </row>
    <row r="122" spans="1:23" x14ac:dyDescent="0.3">
      <c r="A122" s="82"/>
      <c r="B122" s="83"/>
      <c r="C122" s="83"/>
      <c r="D122" s="83"/>
      <c r="E122" s="83" t="s">
        <v>159</v>
      </c>
      <c r="F122" s="73">
        <v>769</v>
      </c>
      <c r="G122" s="73">
        <v>550</v>
      </c>
      <c r="H122" s="73">
        <v>504</v>
      </c>
      <c r="I122" s="73">
        <v>755</v>
      </c>
      <c r="J122" s="73">
        <v>359</v>
      </c>
      <c r="K122" s="73">
        <v>413</v>
      </c>
      <c r="L122" s="73">
        <v>292</v>
      </c>
      <c r="M122" s="73">
        <v>178</v>
      </c>
      <c r="N122" s="73">
        <v>3099</v>
      </c>
      <c r="O122" s="73">
        <v>399</v>
      </c>
      <c r="P122" s="73">
        <v>555</v>
      </c>
      <c r="Q122" s="73">
        <v>670</v>
      </c>
      <c r="R122" s="73">
        <v>335</v>
      </c>
      <c r="S122" s="73">
        <v>487</v>
      </c>
      <c r="T122" s="73">
        <v>654</v>
      </c>
      <c r="U122" s="73">
        <v>633</v>
      </c>
      <c r="V122" s="73">
        <v>49</v>
      </c>
      <c r="W122" s="73">
        <v>10701</v>
      </c>
    </row>
    <row r="123" spans="1:23" x14ac:dyDescent="0.3">
      <c r="A123" s="82"/>
      <c r="B123" s="83"/>
      <c r="C123" s="83"/>
      <c r="D123" s="83"/>
      <c r="E123" s="83" t="s">
        <v>160</v>
      </c>
      <c r="F123" s="73">
        <v>145</v>
      </c>
      <c r="G123" s="73">
        <v>474</v>
      </c>
      <c r="H123" s="73">
        <v>160</v>
      </c>
      <c r="I123" s="73">
        <v>396</v>
      </c>
      <c r="J123" s="73">
        <v>102</v>
      </c>
      <c r="K123" s="73">
        <v>84</v>
      </c>
      <c r="L123" s="73">
        <v>219</v>
      </c>
      <c r="M123" s="73">
        <v>8</v>
      </c>
      <c r="N123" s="73">
        <v>596</v>
      </c>
      <c r="O123" s="73">
        <v>167</v>
      </c>
      <c r="P123" s="73">
        <v>140</v>
      </c>
      <c r="Q123" s="73">
        <v>313</v>
      </c>
      <c r="R123" s="73">
        <v>162</v>
      </c>
      <c r="S123" s="73">
        <v>296</v>
      </c>
      <c r="T123" s="73">
        <v>367</v>
      </c>
      <c r="U123" s="73">
        <v>487</v>
      </c>
      <c r="V123" s="73">
        <v>37</v>
      </c>
      <c r="W123" s="73">
        <v>4153</v>
      </c>
    </row>
    <row r="124" spans="1:23" x14ac:dyDescent="0.3">
      <c r="A124" s="82"/>
      <c r="B124" s="83"/>
      <c r="C124" s="83"/>
      <c r="D124" s="83"/>
      <c r="E124" s="83" t="s">
        <v>161</v>
      </c>
      <c r="F124" s="73">
        <v>363</v>
      </c>
      <c r="G124" s="73">
        <v>1423</v>
      </c>
      <c r="H124" s="73">
        <v>340</v>
      </c>
      <c r="I124" s="73">
        <v>1121</v>
      </c>
      <c r="J124" s="73">
        <v>350</v>
      </c>
      <c r="K124" s="73">
        <v>304</v>
      </c>
      <c r="L124" s="73">
        <v>700</v>
      </c>
      <c r="M124" s="73">
        <v>19</v>
      </c>
      <c r="N124" s="73">
        <v>1394</v>
      </c>
      <c r="O124" s="73">
        <v>235</v>
      </c>
      <c r="P124" s="73">
        <v>405</v>
      </c>
      <c r="Q124" s="73">
        <v>918</v>
      </c>
      <c r="R124" s="73">
        <v>492</v>
      </c>
      <c r="S124" s="73">
        <v>1438</v>
      </c>
      <c r="T124" s="73">
        <v>2115</v>
      </c>
      <c r="U124" s="73">
        <v>1244</v>
      </c>
      <c r="V124" s="73">
        <v>90</v>
      </c>
      <c r="W124" s="73">
        <v>12951</v>
      </c>
    </row>
    <row r="125" spans="1:23" x14ac:dyDescent="0.3">
      <c r="A125" s="82"/>
      <c r="B125" s="83"/>
      <c r="C125" s="83"/>
      <c r="D125" s="83"/>
      <c r="E125" s="83" t="s">
        <v>162</v>
      </c>
      <c r="F125" s="73">
        <v>408</v>
      </c>
      <c r="G125" s="73">
        <v>9620</v>
      </c>
      <c r="H125" s="73">
        <v>270</v>
      </c>
      <c r="I125" s="73">
        <v>6055</v>
      </c>
      <c r="J125" s="73">
        <v>938</v>
      </c>
      <c r="K125" s="73">
        <v>494</v>
      </c>
      <c r="L125" s="73">
        <v>1587</v>
      </c>
      <c r="M125" s="73">
        <v>35</v>
      </c>
      <c r="N125" s="73">
        <v>3766</v>
      </c>
      <c r="O125" s="73">
        <v>135</v>
      </c>
      <c r="P125" s="73">
        <v>1008</v>
      </c>
      <c r="Q125" s="73">
        <v>1167</v>
      </c>
      <c r="R125" s="73">
        <v>797</v>
      </c>
      <c r="S125" s="73">
        <v>2462</v>
      </c>
      <c r="T125" s="73">
        <v>1748</v>
      </c>
      <c r="U125" s="73">
        <v>2079</v>
      </c>
      <c r="V125" s="73">
        <v>26</v>
      </c>
      <c r="W125" s="73">
        <v>32595</v>
      </c>
    </row>
    <row r="126" spans="1:23" x14ac:dyDescent="0.3">
      <c r="A126" s="82"/>
      <c r="B126" s="83"/>
      <c r="C126" s="83"/>
      <c r="D126" s="83"/>
      <c r="E126" s="83" t="s">
        <v>163</v>
      </c>
      <c r="F126" s="73">
        <v>2762</v>
      </c>
      <c r="G126" s="73">
        <v>2588</v>
      </c>
      <c r="H126" s="73">
        <v>1504</v>
      </c>
      <c r="I126" s="73">
        <v>3338</v>
      </c>
      <c r="J126" s="73">
        <v>1151</v>
      </c>
      <c r="K126" s="73">
        <v>1267</v>
      </c>
      <c r="L126" s="73">
        <v>1558</v>
      </c>
      <c r="M126" s="73">
        <v>322</v>
      </c>
      <c r="N126" s="73">
        <v>10223</v>
      </c>
      <c r="O126" s="73">
        <v>1809</v>
      </c>
      <c r="P126" s="73">
        <v>2832</v>
      </c>
      <c r="Q126" s="73">
        <v>3658</v>
      </c>
      <c r="R126" s="73">
        <v>2034</v>
      </c>
      <c r="S126" s="73">
        <v>3193</v>
      </c>
      <c r="T126" s="73">
        <v>3315</v>
      </c>
      <c r="U126" s="73">
        <v>2519</v>
      </c>
      <c r="V126" s="73">
        <v>354</v>
      </c>
      <c r="W126" s="73">
        <v>44427</v>
      </c>
    </row>
    <row r="127" spans="1:23" x14ac:dyDescent="0.3">
      <c r="A127" s="82"/>
      <c r="B127" s="83"/>
      <c r="C127" s="83"/>
      <c r="D127" s="83" t="s">
        <v>164</v>
      </c>
      <c r="E127" s="83"/>
      <c r="F127" s="73">
        <v>39945</v>
      </c>
      <c r="G127" s="73">
        <v>14134</v>
      </c>
      <c r="H127" s="73">
        <v>17180</v>
      </c>
      <c r="I127" s="73">
        <v>18256</v>
      </c>
      <c r="J127" s="73">
        <v>8564</v>
      </c>
      <c r="K127" s="73">
        <v>8628</v>
      </c>
      <c r="L127" s="73">
        <v>4795</v>
      </c>
      <c r="M127" s="73">
        <v>1435</v>
      </c>
      <c r="N127" s="73">
        <v>83967</v>
      </c>
      <c r="O127" s="73">
        <v>11884</v>
      </c>
      <c r="P127" s="73">
        <v>11729</v>
      </c>
      <c r="Q127" s="73">
        <v>16276</v>
      </c>
      <c r="R127" s="73">
        <v>13077</v>
      </c>
      <c r="S127" s="73">
        <v>14349</v>
      </c>
      <c r="T127" s="73">
        <v>21282</v>
      </c>
      <c r="U127" s="73">
        <v>19480</v>
      </c>
      <c r="V127" s="73">
        <v>5998</v>
      </c>
      <c r="W127" s="73">
        <v>310979</v>
      </c>
    </row>
    <row r="128" spans="1:23" x14ac:dyDescent="0.3">
      <c r="A128" s="82"/>
      <c r="B128" s="83" t="s">
        <v>165</v>
      </c>
      <c r="C128" s="83"/>
      <c r="D128" s="83"/>
      <c r="E128" s="83"/>
      <c r="F128" s="73">
        <v>8930</v>
      </c>
      <c r="G128" s="73">
        <v>10989</v>
      </c>
      <c r="H128" s="73">
        <v>3641</v>
      </c>
      <c r="I128" s="73">
        <v>7639</v>
      </c>
      <c r="J128" s="73">
        <v>2990</v>
      </c>
      <c r="K128" s="73">
        <v>2802</v>
      </c>
      <c r="L128" s="73">
        <v>3001</v>
      </c>
      <c r="M128" s="73">
        <v>480</v>
      </c>
      <c r="N128" s="73">
        <v>21554</v>
      </c>
      <c r="O128" s="73">
        <v>3652</v>
      </c>
      <c r="P128" s="73">
        <v>4574</v>
      </c>
      <c r="Q128" s="73">
        <v>5455</v>
      </c>
      <c r="R128" s="73">
        <v>4245</v>
      </c>
      <c r="S128" s="73">
        <v>7616</v>
      </c>
      <c r="T128" s="73">
        <v>8230</v>
      </c>
      <c r="U128" s="73">
        <v>8722</v>
      </c>
      <c r="V128" s="73">
        <v>1417</v>
      </c>
      <c r="W128" s="73">
        <v>105937</v>
      </c>
    </row>
    <row r="129" spans="1:23" x14ac:dyDescent="0.3">
      <c r="A129" s="82"/>
      <c r="B129" s="83"/>
      <c r="C129" s="83" t="s">
        <v>166</v>
      </c>
      <c r="D129" s="83"/>
      <c r="E129" s="83"/>
      <c r="F129" s="73">
        <v>801</v>
      </c>
      <c r="G129" s="73">
        <v>530</v>
      </c>
      <c r="H129" s="73">
        <v>312</v>
      </c>
      <c r="I129" s="73">
        <v>450</v>
      </c>
      <c r="J129" s="73">
        <v>300</v>
      </c>
      <c r="K129" s="73">
        <v>277</v>
      </c>
      <c r="L129" s="73">
        <v>198</v>
      </c>
      <c r="M129" s="73">
        <v>62</v>
      </c>
      <c r="N129" s="73">
        <v>2922</v>
      </c>
      <c r="O129" s="73">
        <v>581</v>
      </c>
      <c r="P129" s="73">
        <v>590</v>
      </c>
      <c r="Q129" s="73">
        <v>808</v>
      </c>
      <c r="R129" s="73">
        <v>594</v>
      </c>
      <c r="S129" s="73">
        <v>783</v>
      </c>
      <c r="T129" s="73">
        <v>1332</v>
      </c>
      <c r="U129" s="73">
        <v>1010</v>
      </c>
      <c r="V129" s="73">
        <v>250</v>
      </c>
      <c r="W129" s="73">
        <v>11800</v>
      </c>
    </row>
    <row r="130" spans="1:23" x14ac:dyDescent="0.3">
      <c r="A130" s="82"/>
      <c r="B130" s="83"/>
      <c r="C130" s="83"/>
      <c r="D130" s="83"/>
      <c r="E130" s="83" t="s">
        <v>167</v>
      </c>
      <c r="F130" s="73">
        <v>769</v>
      </c>
      <c r="G130" s="73">
        <v>511</v>
      </c>
      <c r="H130" s="73">
        <v>297</v>
      </c>
      <c r="I130" s="73">
        <v>437</v>
      </c>
      <c r="J130" s="73">
        <v>293</v>
      </c>
      <c r="K130" s="73">
        <v>262</v>
      </c>
      <c r="L130" s="73">
        <v>193</v>
      </c>
      <c r="M130" s="73">
        <v>58</v>
      </c>
      <c r="N130" s="73">
        <v>2743</v>
      </c>
      <c r="O130" s="73">
        <v>552</v>
      </c>
      <c r="P130" s="73">
        <v>549</v>
      </c>
      <c r="Q130" s="73">
        <v>770</v>
      </c>
      <c r="R130" s="73">
        <v>575</v>
      </c>
      <c r="S130" s="73">
        <v>764</v>
      </c>
      <c r="T130" s="73">
        <v>1262</v>
      </c>
      <c r="U130" s="73">
        <v>983</v>
      </c>
      <c r="V130" s="73">
        <v>240</v>
      </c>
      <c r="W130" s="73">
        <v>11258</v>
      </c>
    </row>
    <row r="131" spans="1:23" x14ac:dyDescent="0.3">
      <c r="A131" s="82"/>
      <c r="B131" s="83"/>
      <c r="C131" s="83"/>
      <c r="D131" s="83"/>
      <c r="E131" s="83" t="s">
        <v>168</v>
      </c>
      <c r="F131" s="73">
        <v>28</v>
      </c>
      <c r="G131" s="73">
        <v>8</v>
      </c>
      <c r="H131" s="73">
        <v>10</v>
      </c>
      <c r="I131" s="73">
        <v>4</v>
      </c>
      <c r="J131" s="73">
        <v>4</v>
      </c>
      <c r="K131" s="73">
        <v>8</v>
      </c>
      <c r="L131" s="73">
        <v>2</v>
      </c>
      <c r="M131" s="73">
        <v>3</v>
      </c>
      <c r="N131" s="73">
        <v>120</v>
      </c>
      <c r="O131" s="73">
        <v>11</v>
      </c>
      <c r="P131" s="73">
        <v>22</v>
      </c>
      <c r="Q131" s="73">
        <v>19</v>
      </c>
      <c r="R131" s="73">
        <v>11</v>
      </c>
      <c r="S131" s="73">
        <v>13</v>
      </c>
      <c r="T131" s="73">
        <v>41</v>
      </c>
      <c r="U131" s="73">
        <v>15</v>
      </c>
      <c r="V131" s="73">
        <v>6</v>
      </c>
      <c r="W131" s="73">
        <v>325</v>
      </c>
    </row>
    <row r="132" spans="1:23" x14ac:dyDescent="0.3">
      <c r="A132" s="82"/>
      <c r="B132" s="83"/>
      <c r="C132" s="83"/>
      <c r="D132" s="83"/>
      <c r="E132" s="83" t="s">
        <v>169</v>
      </c>
      <c r="F132" s="73">
        <v>4</v>
      </c>
      <c r="G132" s="73">
        <v>11</v>
      </c>
      <c r="H132" s="73">
        <v>5</v>
      </c>
      <c r="I132" s="73">
        <v>9</v>
      </c>
      <c r="J132" s="73">
        <v>3</v>
      </c>
      <c r="K132" s="73">
        <v>7</v>
      </c>
      <c r="L132" s="73">
        <v>3</v>
      </c>
      <c r="M132" s="73">
        <v>1</v>
      </c>
      <c r="N132" s="73">
        <v>59</v>
      </c>
      <c r="O132" s="73">
        <v>18</v>
      </c>
      <c r="P132" s="73">
        <v>19</v>
      </c>
      <c r="Q132" s="73">
        <v>19</v>
      </c>
      <c r="R132" s="73">
        <v>8</v>
      </c>
      <c r="S132" s="73">
        <v>6</v>
      </c>
      <c r="T132" s="73">
        <v>29</v>
      </c>
      <c r="U132" s="73">
        <v>12</v>
      </c>
      <c r="V132" s="73">
        <v>4</v>
      </c>
      <c r="W132" s="73">
        <v>217</v>
      </c>
    </row>
    <row r="133" spans="1:23" x14ac:dyDescent="0.3">
      <c r="A133" s="82"/>
      <c r="B133" s="83"/>
      <c r="C133" s="83" t="s">
        <v>170</v>
      </c>
      <c r="D133" s="83"/>
      <c r="E133" s="83"/>
      <c r="F133" s="73">
        <v>1276</v>
      </c>
      <c r="G133" s="73">
        <v>8094</v>
      </c>
      <c r="H133" s="73">
        <v>788</v>
      </c>
      <c r="I133" s="73">
        <v>4078</v>
      </c>
      <c r="J133" s="73">
        <v>1023</v>
      </c>
      <c r="K133" s="73">
        <v>759</v>
      </c>
      <c r="L133" s="73">
        <v>1591</v>
      </c>
      <c r="M133" s="73">
        <v>69</v>
      </c>
      <c r="N133" s="73">
        <v>4818</v>
      </c>
      <c r="O133" s="73">
        <v>636</v>
      </c>
      <c r="P133" s="73">
        <v>1724</v>
      </c>
      <c r="Q133" s="73">
        <v>1806</v>
      </c>
      <c r="R133" s="73">
        <v>1355</v>
      </c>
      <c r="S133" s="73">
        <v>4169</v>
      </c>
      <c r="T133" s="73">
        <v>3496</v>
      </c>
      <c r="U133" s="73">
        <v>3970</v>
      </c>
      <c r="V133" s="73">
        <v>129</v>
      </c>
      <c r="W133" s="73">
        <v>39781</v>
      </c>
    </row>
    <row r="134" spans="1:23" x14ac:dyDescent="0.3">
      <c r="A134" s="82"/>
      <c r="B134" s="83"/>
      <c r="C134" s="83"/>
      <c r="D134" s="83"/>
      <c r="E134" s="83" t="s">
        <v>171</v>
      </c>
      <c r="F134" s="73">
        <v>42</v>
      </c>
      <c r="G134" s="73">
        <v>59</v>
      </c>
      <c r="H134" s="73">
        <v>12</v>
      </c>
      <c r="I134" s="73">
        <v>22</v>
      </c>
      <c r="J134" s="73">
        <v>19</v>
      </c>
      <c r="K134" s="73">
        <v>12</v>
      </c>
      <c r="L134" s="73">
        <v>10</v>
      </c>
      <c r="M134" s="73">
        <v>0</v>
      </c>
      <c r="N134" s="73">
        <v>89</v>
      </c>
      <c r="O134" s="73">
        <v>29</v>
      </c>
      <c r="P134" s="73">
        <v>25</v>
      </c>
      <c r="Q134" s="73">
        <v>33</v>
      </c>
      <c r="R134" s="73">
        <v>25</v>
      </c>
      <c r="S134" s="73">
        <v>60</v>
      </c>
      <c r="T134" s="73">
        <v>56</v>
      </c>
      <c r="U134" s="73">
        <v>53</v>
      </c>
      <c r="V134" s="73">
        <v>3</v>
      </c>
      <c r="W134" s="73">
        <v>549</v>
      </c>
    </row>
    <row r="135" spans="1:23" x14ac:dyDescent="0.3">
      <c r="A135" s="82"/>
      <c r="B135" s="83"/>
      <c r="C135" s="83"/>
      <c r="D135" s="83"/>
      <c r="E135" s="83" t="s">
        <v>172</v>
      </c>
      <c r="F135" s="73">
        <v>28</v>
      </c>
      <c r="G135" s="73">
        <v>78</v>
      </c>
      <c r="H135" s="73">
        <v>4</v>
      </c>
      <c r="I135" s="73">
        <v>35</v>
      </c>
      <c r="J135" s="73">
        <v>6</v>
      </c>
      <c r="K135" s="73">
        <v>5</v>
      </c>
      <c r="L135" s="73">
        <v>10</v>
      </c>
      <c r="M135" s="73">
        <v>0</v>
      </c>
      <c r="N135" s="73">
        <v>134</v>
      </c>
      <c r="O135" s="73">
        <v>3</v>
      </c>
      <c r="P135" s="73">
        <v>4</v>
      </c>
      <c r="Q135" s="73">
        <v>6</v>
      </c>
      <c r="R135" s="73">
        <v>13</v>
      </c>
      <c r="S135" s="73">
        <v>39</v>
      </c>
      <c r="T135" s="73">
        <v>8</v>
      </c>
      <c r="U135" s="73">
        <v>22</v>
      </c>
      <c r="V135" s="73">
        <v>0</v>
      </c>
      <c r="W135" s="73">
        <v>395</v>
      </c>
    </row>
    <row r="136" spans="1:23" x14ac:dyDescent="0.3">
      <c r="A136" s="82"/>
      <c r="B136" s="83"/>
      <c r="C136" s="83"/>
      <c r="D136" s="83"/>
      <c r="E136" s="83" t="s">
        <v>173</v>
      </c>
      <c r="F136" s="73">
        <v>1206</v>
      </c>
      <c r="G136" s="73">
        <v>7957</v>
      </c>
      <c r="H136" s="73">
        <v>772</v>
      </c>
      <c r="I136" s="73">
        <v>4021</v>
      </c>
      <c r="J136" s="73">
        <v>998</v>
      </c>
      <c r="K136" s="73">
        <v>742</v>
      </c>
      <c r="L136" s="73">
        <v>1571</v>
      </c>
      <c r="M136" s="73">
        <v>69</v>
      </c>
      <c r="N136" s="73">
        <v>4595</v>
      </c>
      <c r="O136" s="73">
        <v>604</v>
      </c>
      <c r="P136" s="73">
        <v>1695</v>
      </c>
      <c r="Q136" s="73">
        <v>1767</v>
      </c>
      <c r="R136" s="73">
        <v>1317</v>
      </c>
      <c r="S136" s="73">
        <v>4070</v>
      </c>
      <c r="T136" s="73">
        <v>3432</v>
      </c>
      <c r="U136" s="73">
        <v>3895</v>
      </c>
      <c r="V136" s="73">
        <v>126</v>
      </c>
      <c r="W136" s="73">
        <v>38837</v>
      </c>
    </row>
    <row r="137" spans="1:23" x14ac:dyDescent="0.3">
      <c r="A137" s="82"/>
      <c r="B137" s="83"/>
      <c r="C137" s="83" t="s">
        <v>592</v>
      </c>
      <c r="D137" s="83"/>
      <c r="E137" s="83"/>
      <c r="F137" s="73">
        <v>6853</v>
      </c>
      <c r="G137" s="73">
        <v>2365</v>
      </c>
      <c r="H137" s="73">
        <v>2541</v>
      </c>
      <c r="I137" s="73">
        <v>3111</v>
      </c>
      <c r="J137" s="73">
        <v>1667</v>
      </c>
      <c r="K137" s="73">
        <v>1766</v>
      </c>
      <c r="L137" s="73">
        <v>1212</v>
      </c>
      <c r="M137" s="73">
        <v>349</v>
      </c>
      <c r="N137" s="73">
        <v>13814</v>
      </c>
      <c r="O137" s="73">
        <v>2435</v>
      </c>
      <c r="P137" s="73">
        <v>2260</v>
      </c>
      <c r="Q137" s="73">
        <v>2841</v>
      </c>
      <c r="R137" s="73">
        <v>2296</v>
      </c>
      <c r="S137" s="73">
        <v>2664</v>
      </c>
      <c r="T137" s="73">
        <v>3402</v>
      </c>
      <c r="U137" s="73">
        <v>3742</v>
      </c>
      <c r="V137" s="73">
        <v>1038</v>
      </c>
      <c r="W137" s="73">
        <v>54356</v>
      </c>
    </row>
    <row r="138" spans="1:23" x14ac:dyDescent="0.3">
      <c r="A138" s="82"/>
      <c r="B138" s="83"/>
      <c r="C138" s="83"/>
      <c r="D138" s="83" t="s">
        <v>593</v>
      </c>
      <c r="E138" s="83"/>
      <c r="F138" s="73">
        <v>2349</v>
      </c>
      <c r="G138" s="73">
        <v>1063</v>
      </c>
      <c r="H138" s="73">
        <v>1036</v>
      </c>
      <c r="I138" s="73">
        <v>1404</v>
      </c>
      <c r="J138" s="73">
        <v>767</v>
      </c>
      <c r="K138" s="73">
        <v>784</v>
      </c>
      <c r="L138" s="73">
        <v>527</v>
      </c>
      <c r="M138" s="73">
        <v>133</v>
      </c>
      <c r="N138" s="73">
        <v>6120</v>
      </c>
      <c r="O138" s="73">
        <v>1174</v>
      </c>
      <c r="P138" s="73">
        <v>1108</v>
      </c>
      <c r="Q138" s="73">
        <v>1232</v>
      </c>
      <c r="R138" s="73">
        <v>1133</v>
      </c>
      <c r="S138" s="73">
        <v>1214</v>
      </c>
      <c r="T138" s="73">
        <v>1497</v>
      </c>
      <c r="U138" s="73">
        <v>1814</v>
      </c>
      <c r="V138" s="73">
        <v>614</v>
      </c>
      <c r="W138" s="73">
        <v>23969</v>
      </c>
    </row>
    <row r="139" spans="1:23" x14ac:dyDescent="0.3">
      <c r="A139" s="82"/>
      <c r="B139" s="83"/>
      <c r="C139" s="83"/>
      <c r="D139" s="83" t="s">
        <v>594</v>
      </c>
      <c r="E139" s="83"/>
      <c r="F139" s="73">
        <v>151</v>
      </c>
      <c r="G139" s="73">
        <v>32</v>
      </c>
      <c r="H139" s="73">
        <v>56</v>
      </c>
      <c r="I139" s="73">
        <v>55</v>
      </c>
      <c r="J139" s="73">
        <v>42</v>
      </c>
      <c r="K139" s="73">
        <v>32</v>
      </c>
      <c r="L139" s="73">
        <v>16</v>
      </c>
      <c r="M139" s="73">
        <v>5</v>
      </c>
      <c r="N139" s="73">
        <v>263</v>
      </c>
      <c r="O139" s="73">
        <v>54</v>
      </c>
      <c r="P139" s="73">
        <v>36</v>
      </c>
      <c r="Q139" s="73">
        <v>41</v>
      </c>
      <c r="R139" s="73">
        <v>45</v>
      </c>
      <c r="S139" s="73">
        <v>48</v>
      </c>
      <c r="T139" s="73">
        <v>52</v>
      </c>
      <c r="U139" s="73">
        <v>80</v>
      </c>
      <c r="V139" s="73">
        <v>23</v>
      </c>
      <c r="W139" s="73">
        <v>1031</v>
      </c>
    </row>
    <row r="140" spans="1:23" x14ac:dyDescent="0.3">
      <c r="A140" s="82"/>
      <c r="B140" s="83"/>
      <c r="C140" s="83"/>
      <c r="D140" s="83" t="s">
        <v>595</v>
      </c>
      <c r="E140" s="83"/>
      <c r="F140" s="73">
        <v>0</v>
      </c>
      <c r="G140" s="73">
        <v>0</v>
      </c>
      <c r="H140" s="73">
        <v>0</v>
      </c>
      <c r="I140" s="73">
        <v>0</v>
      </c>
      <c r="J140" s="73">
        <v>0</v>
      </c>
      <c r="K140" s="73">
        <v>0</v>
      </c>
      <c r="L140" s="73">
        <v>0</v>
      </c>
      <c r="M140" s="73">
        <v>0</v>
      </c>
      <c r="N140" s="73">
        <v>0</v>
      </c>
      <c r="O140" s="73">
        <v>0</v>
      </c>
      <c r="P140" s="73">
        <v>1</v>
      </c>
      <c r="Q140" s="73">
        <v>0</v>
      </c>
      <c r="R140" s="73">
        <v>0</v>
      </c>
      <c r="S140" s="73">
        <v>1</v>
      </c>
      <c r="T140" s="73">
        <v>0</v>
      </c>
      <c r="U140" s="73">
        <v>0</v>
      </c>
      <c r="V140" s="73">
        <v>0</v>
      </c>
      <c r="W140" s="73">
        <v>2</v>
      </c>
    </row>
    <row r="141" spans="1:23" x14ac:dyDescent="0.3">
      <c r="A141" s="82"/>
      <c r="B141" s="83"/>
      <c r="C141" s="83"/>
      <c r="D141" s="83" t="s">
        <v>596</v>
      </c>
      <c r="E141" s="83"/>
      <c r="F141" s="73">
        <v>292</v>
      </c>
      <c r="G141" s="73">
        <v>114</v>
      </c>
      <c r="H141" s="73">
        <v>191</v>
      </c>
      <c r="I141" s="73">
        <v>153</v>
      </c>
      <c r="J141" s="73">
        <v>91</v>
      </c>
      <c r="K141" s="73">
        <v>134</v>
      </c>
      <c r="L141" s="73">
        <v>58</v>
      </c>
      <c r="M141" s="73">
        <v>44</v>
      </c>
      <c r="N141" s="73">
        <v>1188</v>
      </c>
      <c r="O141" s="73">
        <v>161</v>
      </c>
      <c r="P141" s="73">
        <v>216</v>
      </c>
      <c r="Q141" s="73">
        <v>277</v>
      </c>
      <c r="R141" s="73">
        <v>153</v>
      </c>
      <c r="S141" s="73">
        <v>160</v>
      </c>
      <c r="T141" s="73">
        <v>282</v>
      </c>
      <c r="U141" s="73">
        <v>247</v>
      </c>
      <c r="V141" s="73">
        <v>43</v>
      </c>
      <c r="W141" s="73">
        <v>3804</v>
      </c>
    </row>
    <row r="142" spans="1:23" x14ac:dyDescent="0.3">
      <c r="A142" s="82"/>
      <c r="B142" s="83"/>
      <c r="C142" s="83"/>
      <c r="D142" s="83" t="s">
        <v>597</v>
      </c>
      <c r="E142" s="83"/>
      <c r="F142" s="73">
        <v>4061</v>
      </c>
      <c r="G142" s="73">
        <v>1156</v>
      </c>
      <c r="H142" s="73">
        <v>1258</v>
      </c>
      <c r="I142" s="73">
        <v>1499</v>
      </c>
      <c r="J142" s="73">
        <v>767</v>
      </c>
      <c r="K142" s="73">
        <v>816</v>
      </c>
      <c r="L142" s="73">
        <v>611</v>
      </c>
      <c r="M142" s="73">
        <v>167</v>
      </c>
      <c r="N142" s="73">
        <v>6243</v>
      </c>
      <c r="O142" s="73">
        <v>1046</v>
      </c>
      <c r="P142" s="73">
        <v>899</v>
      </c>
      <c r="Q142" s="73">
        <v>1291</v>
      </c>
      <c r="R142" s="73">
        <v>965</v>
      </c>
      <c r="S142" s="73">
        <v>1241</v>
      </c>
      <c r="T142" s="73">
        <v>1571</v>
      </c>
      <c r="U142" s="73">
        <v>1601</v>
      </c>
      <c r="V142" s="73">
        <v>358</v>
      </c>
      <c r="W142" s="73">
        <v>25550</v>
      </c>
    </row>
  </sheetData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01636-9564-4186-872F-724005B2D85E}">
  <dimension ref="A1:W143"/>
  <sheetViews>
    <sheetView topLeftCell="A28" workbookViewId="0">
      <selection activeCell="A62" sqref="A62:XFD62"/>
    </sheetView>
  </sheetViews>
  <sheetFormatPr defaultColWidth="9" defaultRowHeight="13.5" x14ac:dyDescent="0.3"/>
  <cols>
    <col min="1" max="4" width="1.875" style="19" customWidth="1"/>
    <col min="5" max="5" width="24.25" style="19" bestFit="1" customWidth="1"/>
    <col min="6" max="16384" width="9" style="19"/>
  </cols>
  <sheetData>
    <row r="1" spans="1:23" s="25" customFormat="1" ht="12" x14ac:dyDescent="0.3">
      <c r="A1" s="84" t="s">
        <v>182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</row>
    <row r="2" spans="1:23" s="25" customFormat="1" ht="12" x14ac:dyDescent="0.15">
      <c r="A2" s="85" t="s">
        <v>591</v>
      </c>
      <c r="B2" s="86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</row>
    <row r="3" spans="1:23" s="25" customFormat="1" ht="12" x14ac:dyDescent="0.3">
      <c r="A3" s="79"/>
      <c r="B3" s="79"/>
      <c r="C3" s="79"/>
      <c r="D3" s="79"/>
      <c r="E3" s="79" t="s">
        <v>22</v>
      </c>
      <c r="F3" s="80" t="s">
        <v>23</v>
      </c>
      <c r="G3" s="80" t="s">
        <v>24</v>
      </c>
      <c r="H3" s="80" t="s">
        <v>25</v>
      </c>
      <c r="I3" s="80" t="s">
        <v>26</v>
      </c>
      <c r="J3" s="80" t="s">
        <v>27</v>
      </c>
      <c r="K3" s="80" t="s">
        <v>28</v>
      </c>
      <c r="L3" s="80" t="s">
        <v>29</v>
      </c>
      <c r="M3" s="80" t="s">
        <v>30</v>
      </c>
      <c r="N3" s="80" t="s">
        <v>31</v>
      </c>
      <c r="O3" s="80" t="s">
        <v>32</v>
      </c>
      <c r="P3" s="80" t="s">
        <v>33</v>
      </c>
      <c r="Q3" s="80" t="s">
        <v>34</v>
      </c>
      <c r="R3" s="80" t="s">
        <v>35</v>
      </c>
      <c r="S3" s="80" t="s">
        <v>36</v>
      </c>
      <c r="T3" s="80" t="s">
        <v>37</v>
      </c>
      <c r="U3" s="80" t="s">
        <v>38</v>
      </c>
      <c r="V3" s="80" t="s">
        <v>39</v>
      </c>
      <c r="W3" s="81" t="s">
        <v>40</v>
      </c>
    </row>
    <row r="4" spans="1:23" s="25" customFormat="1" ht="12" x14ac:dyDescent="0.3">
      <c r="A4" s="83" t="s">
        <v>41</v>
      </c>
      <c r="B4" s="83"/>
      <c r="C4" s="83"/>
      <c r="D4" s="83"/>
      <c r="E4" s="83"/>
      <c r="F4" s="73">
        <v>12723</v>
      </c>
      <c r="G4" s="73">
        <v>4658</v>
      </c>
      <c r="H4" s="73">
        <v>3382</v>
      </c>
      <c r="I4" s="73">
        <v>4048</v>
      </c>
      <c r="J4" s="73">
        <v>2217</v>
      </c>
      <c r="K4" s="73">
        <v>1899</v>
      </c>
      <c r="L4" s="73">
        <v>1838</v>
      </c>
      <c r="M4" s="73">
        <v>772</v>
      </c>
      <c r="N4" s="73">
        <v>17712</v>
      </c>
      <c r="O4" s="73">
        <v>6084</v>
      </c>
      <c r="P4" s="73">
        <v>4048</v>
      </c>
      <c r="Q4" s="73">
        <v>5754</v>
      </c>
      <c r="R4" s="73">
        <v>5290</v>
      </c>
      <c r="S4" s="73">
        <v>6367</v>
      </c>
      <c r="T4" s="73">
        <v>7563</v>
      </c>
      <c r="U4" s="73">
        <v>7154</v>
      </c>
      <c r="V4" s="73">
        <v>2448</v>
      </c>
      <c r="W4" s="73">
        <v>93957</v>
      </c>
    </row>
    <row r="5" spans="1:23" s="116" customFormat="1" ht="12" x14ac:dyDescent="0.3">
      <c r="A5" s="101"/>
      <c r="B5" s="101" t="s">
        <v>42</v>
      </c>
      <c r="C5" s="101"/>
      <c r="D5" s="101"/>
      <c r="E5" s="101"/>
      <c r="F5" s="102">
        <v>4607</v>
      </c>
      <c r="G5" s="102">
        <v>1671</v>
      </c>
      <c r="H5" s="102">
        <v>1002</v>
      </c>
      <c r="I5" s="102">
        <v>1569</v>
      </c>
      <c r="J5" s="102">
        <v>829</v>
      </c>
      <c r="K5" s="102">
        <v>653</v>
      </c>
      <c r="L5" s="102">
        <v>703</v>
      </c>
      <c r="M5" s="102">
        <v>325</v>
      </c>
      <c r="N5" s="102">
        <v>7306</v>
      </c>
      <c r="O5" s="102">
        <v>1864</v>
      </c>
      <c r="P5" s="102">
        <v>1362</v>
      </c>
      <c r="Q5" s="102">
        <v>1910</v>
      </c>
      <c r="R5" s="102">
        <v>1749</v>
      </c>
      <c r="S5" s="102">
        <v>2159</v>
      </c>
      <c r="T5" s="102">
        <v>2601</v>
      </c>
      <c r="U5" s="102">
        <v>2464</v>
      </c>
      <c r="V5" s="102">
        <v>845</v>
      </c>
      <c r="W5" s="102">
        <v>33619</v>
      </c>
    </row>
    <row r="6" spans="1:23" s="25" customFormat="1" ht="12" x14ac:dyDescent="0.3">
      <c r="A6" s="83"/>
      <c r="B6" s="83"/>
      <c r="C6" s="83" t="s">
        <v>43</v>
      </c>
      <c r="D6" s="83"/>
      <c r="E6" s="83"/>
      <c r="F6" s="73">
        <v>3777</v>
      </c>
      <c r="G6" s="73">
        <v>1314</v>
      </c>
      <c r="H6" s="73">
        <v>780</v>
      </c>
      <c r="I6" s="73">
        <v>1268</v>
      </c>
      <c r="J6" s="73">
        <v>652</v>
      </c>
      <c r="K6" s="73">
        <v>511</v>
      </c>
      <c r="L6" s="73">
        <v>488</v>
      </c>
      <c r="M6" s="73">
        <v>230</v>
      </c>
      <c r="N6" s="73">
        <v>5425</v>
      </c>
      <c r="O6" s="73">
        <v>1198</v>
      </c>
      <c r="P6" s="73">
        <v>999</v>
      </c>
      <c r="Q6" s="73">
        <v>1406</v>
      </c>
      <c r="R6" s="73">
        <v>1269</v>
      </c>
      <c r="S6" s="73">
        <v>1541</v>
      </c>
      <c r="T6" s="73">
        <v>1765</v>
      </c>
      <c r="U6" s="73">
        <v>1706</v>
      </c>
      <c r="V6" s="73">
        <v>705</v>
      </c>
      <c r="W6" s="73">
        <v>25034</v>
      </c>
    </row>
    <row r="7" spans="1:23" s="25" customFormat="1" ht="12" x14ac:dyDescent="0.3">
      <c r="A7" s="83"/>
      <c r="B7" s="83"/>
      <c r="C7" s="83"/>
      <c r="D7" s="83" t="s">
        <v>44</v>
      </c>
      <c r="E7" s="83"/>
      <c r="F7" s="73">
        <v>3667</v>
      </c>
      <c r="G7" s="73">
        <v>1309</v>
      </c>
      <c r="H7" s="73">
        <v>774</v>
      </c>
      <c r="I7" s="73">
        <v>1194</v>
      </c>
      <c r="J7" s="73">
        <v>647</v>
      </c>
      <c r="K7" s="73">
        <v>502</v>
      </c>
      <c r="L7" s="73">
        <v>487</v>
      </c>
      <c r="M7" s="73">
        <v>230</v>
      </c>
      <c r="N7" s="73">
        <v>5340</v>
      </c>
      <c r="O7" s="73">
        <v>1196</v>
      </c>
      <c r="P7" s="73">
        <v>987</v>
      </c>
      <c r="Q7" s="73">
        <v>1403</v>
      </c>
      <c r="R7" s="73">
        <v>1245</v>
      </c>
      <c r="S7" s="73">
        <v>1509</v>
      </c>
      <c r="T7" s="73">
        <v>1758</v>
      </c>
      <c r="U7" s="73">
        <v>1668</v>
      </c>
      <c r="V7" s="73">
        <v>690</v>
      </c>
      <c r="W7" s="73">
        <v>24606</v>
      </c>
    </row>
    <row r="8" spans="1:23" s="25" customFormat="1" ht="12" x14ac:dyDescent="0.3">
      <c r="A8" s="83"/>
      <c r="B8" s="83"/>
      <c r="C8" s="83"/>
      <c r="D8" s="83"/>
      <c r="E8" s="83" t="s">
        <v>45</v>
      </c>
      <c r="F8" s="73">
        <v>42</v>
      </c>
      <c r="G8" s="73">
        <v>10</v>
      </c>
      <c r="H8" s="73">
        <v>5</v>
      </c>
      <c r="I8" s="73">
        <v>64</v>
      </c>
      <c r="J8" s="73">
        <v>2</v>
      </c>
      <c r="K8" s="73">
        <v>1</v>
      </c>
      <c r="L8" s="73">
        <v>2</v>
      </c>
      <c r="M8" s="73">
        <v>1</v>
      </c>
      <c r="N8" s="73">
        <v>53</v>
      </c>
      <c r="O8" s="73">
        <v>8</v>
      </c>
      <c r="P8" s="73">
        <v>1</v>
      </c>
      <c r="Q8" s="73">
        <v>8</v>
      </c>
      <c r="R8" s="73">
        <v>4</v>
      </c>
      <c r="S8" s="73">
        <v>5</v>
      </c>
      <c r="T8" s="73">
        <v>22</v>
      </c>
      <c r="U8" s="73">
        <v>41</v>
      </c>
      <c r="V8" s="73">
        <v>94</v>
      </c>
      <c r="W8" s="73">
        <v>363</v>
      </c>
    </row>
    <row r="9" spans="1:23" s="25" customFormat="1" ht="12" x14ac:dyDescent="0.3">
      <c r="A9" s="83"/>
      <c r="B9" s="83"/>
      <c r="C9" s="83"/>
      <c r="D9" s="83"/>
      <c r="E9" s="83" t="s">
        <v>46</v>
      </c>
      <c r="F9" s="73">
        <v>394</v>
      </c>
      <c r="G9" s="73">
        <v>284</v>
      </c>
      <c r="H9" s="73">
        <v>75</v>
      </c>
      <c r="I9" s="73">
        <v>271</v>
      </c>
      <c r="J9" s="73">
        <v>128</v>
      </c>
      <c r="K9" s="73">
        <v>99</v>
      </c>
      <c r="L9" s="73">
        <v>115</v>
      </c>
      <c r="M9" s="73">
        <v>33</v>
      </c>
      <c r="N9" s="73">
        <v>1665</v>
      </c>
      <c r="O9" s="73">
        <v>266</v>
      </c>
      <c r="P9" s="73">
        <v>241</v>
      </c>
      <c r="Q9" s="73">
        <v>402</v>
      </c>
      <c r="R9" s="73">
        <v>257</v>
      </c>
      <c r="S9" s="73">
        <v>333</v>
      </c>
      <c r="T9" s="73">
        <v>559</v>
      </c>
      <c r="U9" s="73">
        <v>441</v>
      </c>
      <c r="V9" s="73">
        <v>82</v>
      </c>
      <c r="W9" s="73">
        <v>5645</v>
      </c>
    </row>
    <row r="10" spans="1:23" s="25" customFormat="1" ht="12" x14ac:dyDescent="0.3">
      <c r="A10" s="83"/>
      <c r="B10" s="83"/>
      <c r="C10" s="83"/>
      <c r="D10" s="83"/>
      <c r="E10" s="83" t="s">
        <v>47</v>
      </c>
      <c r="F10" s="73">
        <v>343</v>
      </c>
      <c r="G10" s="73">
        <v>105</v>
      </c>
      <c r="H10" s="73">
        <v>57</v>
      </c>
      <c r="I10" s="73">
        <v>103</v>
      </c>
      <c r="J10" s="73">
        <v>34</v>
      </c>
      <c r="K10" s="73">
        <v>43</v>
      </c>
      <c r="L10" s="73">
        <v>45</v>
      </c>
      <c r="M10" s="73">
        <v>9</v>
      </c>
      <c r="N10" s="73">
        <v>279</v>
      </c>
      <c r="O10" s="73">
        <v>77</v>
      </c>
      <c r="P10" s="73">
        <v>80</v>
      </c>
      <c r="Q10" s="73">
        <v>93</v>
      </c>
      <c r="R10" s="73">
        <v>92</v>
      </c>
      <c r="S10" s="73">
        <v>145</v>
      </c>
      <c r="T10" s="73">
        <v>105</v>
      </c>
      <c r="U10" s="73">
        <v>109</v>
      </c>
      <c r="V10" s="73">
        <v>12</v>
      </c>
      <c r="W10" s="73">
        <v>1731</v>
      </c>
    </row>
    <row r="11" spans="1:23" s="25" customFormat="1" ht="12" x14ac:dyDescent="0.3">
      <c r="A11" s="83"/>
      <c r="B11" s="83"/>
      <c r="C11" s="83"/>
      <c r="D11" s="83"/>
      <c r="E11" s="83" t="s">
        <v>48</v>
      </c>
      <c r="F11" s="73">
        <v>2530</v>
      </c>
      <c r="G11" s="73">
        <v>727</v>
      </c>
      <c r="H11" s="73">
        <v>506</v>
      </c>
      <c r="I11" s="73">
        <v>620</v>
      </c>
      <c r="J11" s="73">
        <v>348</v>
      </c>
      <c r="K11" s="73">
        <v>284</v>
      </c>
      <c r="L11" s="73">
        <v>231</v>
      </c>
      <c r="M11" s="73">
        <v>146</v>
      </c>
      <c r="N11" s="73">
        <v>2674</v>
      </c>
      <c r="O11" s="73">
        <v>636</v>
      </c>
      <c r="P11" s="73">
        <v>514</v>
      </c>
      <c r="Q11" s="73">
        <v>691</v>
      </c>
      <c r="R11" s="73">
        <v>721</v>
      </c>
      <c r="S11" s="73">
        <v>837</v>
      </c>
      <c r="T11" s="73">
        <v>873</v>
      </c>
      <c r="U11" s="73">
        <v>819</v>
      </c>
      <c r="V11" s="73">
        <v>395</v>
      </c>
      <c r="W11" s="73">
        <v>13552</v>
      </c>
    </row>
    <row r="12" spans="1:23" s="25" customFormat="1" ht="12" x14ac:dyDescent="0.3">
      <c r="A12" s="83"/>
      <c r="B12" s="83"/>
      <c r="C12" s="83"/>
      <c r="D12" s="83"/>
      <c r="E12" s="83" t="s">
        <v>49</v>
      </c>
      <c r="F12" s="73">
        <v>75</v>
      </c>
      <c r="G12" s="73">
        <v>21</v>
      </c>
      <c r="H12" s="73">
        <v>11</v>
      </c>
      <c r="I12" s="73">
        <v>19</v>
      </c>
      <c r="J12" s="73">
        <v>13</v>
      </c>
      <c r="K12" s="73">
        <v>11</v>
      </c>
      <c r="L12" s="73">
        <v>4</v>
      </c>
      <c r="M12" s="73">
        <v>11</v>
      </c>
      <c r="N12" s="73">
        <v>96</v>
      </c>
      <c r="O12" s="73">
        <v>27</v>
      </c>
      <c r="P12" s="73">
        <v>29</v>
      </c>
      <c r="Q12" s="73">
        <v>35</v>
      </c>
      <c r="R12" s="73">
        <v>25</v>
      </c>
      <c r="S12" s="73">
        <v>42</v>
      </c>
      <c r="T12" s="73">
        <v>35</v>
      </c>
      <c r="U12" s="73">
        <v>27</v>
      </c>
      <c r="V12" s="73">
        <v>13</v>
      </c>
      <c r="W12" s="73">
        <v>494</v>
      </c>
    </row>
    <row r="13" spans="1:23" s="25" customFormat="1" ht="12" x14ac:dyDescent="0.3">
      <c r="A13" s="83"/>
      <c r="B13" s="83"/>
      <c r="C13" s="83"/>
      <c r="D13" s="83"/>
      <c r="E13" s="83" t="s">
        <v>50</v>
      </c>
      <c r="F13" s="73">
        <v>75</v>
      </c>
      <c r="G13" s="73">
        <v>23</v>
      </c>
      <c r="H13" s="73">
        <v>9</v>
      </c>
      <c r="I13" s="73">
        <v>10</v>
      </c>
      <c r="J13" s="73">
        <v>5</v>
      </c>
      <c r="K13" s="73">
        <v>6</v>
      </c>
      <c r="L13" s="73">
        <v>3</v>
      </c>
      <c r="M13" s="73">
        <v>5</v>
      </c>
      <c r="N13" s="73">
        <v>54</v>
      </c>
      <c r="O13" s="73">
        <v>21</v>
      </c>
      <c r="P13" s="73">
        <v>17</v>
      </c>
      <c r="Q13" s="73">
        <v>16</v>
      </c>
      <c r="R13" s="73">
        <v>5</v>
      </c>
      <c r="S13" s="73">
        <v>14</v>
      </c>
      <c r="T13" s="73">
        <v>17</v>
      </c>
      <c r="U13" s="73">
        <v>23</v>
      </c>
      <c r="V13" s="73">
        <v>2</v>
      </c>
      <c r="W13" s="73">
        <v>305</v>
      </c>
    </row>
    <row r="14" spans="1:23" s="25" customFormat="1" ht="12" x14ac:dyDescent="0.3">
      <c r="A14" s="83"/>
      <c r="B14" s="83"/>
      <c r="C14" s="83"/>
      <c r="D14" s="83"/>
      <c r="E14" s="83" t="s">
        <v>51</v>
      </c>
      <c r="F14" s="73">
        <v>43</v>
      </c>
      <c r="G14" s="73">
        <v>6</v>
      </c>
      <c r="H14" s="73">
        <v>3</v>
      </c>
      <c r="I14" s="73">
        <v>9</v>
      </c>
      <c r="J14" s="73">
        <v>2</v>
      </c>
      <c r="K14" s="73">
        <v>11</v>
      </c>
      <c r="L14" s="73">
        <v>9</v>
      </c>
      <c r="M14" s="73">
        <v>2</v>
      </c>
      <c r="N14" s="73">
        <v>46</v>
      </c>
      <c r="O14" s="73">
        <v>24</v>
      </c>
      <c r="P14" s="73">
        <v>17</v>
      </c>
      <c r="Q14" s="73">
        <v>19</v>
      </c>
      <c r="R14" s="73">
        <v>15</v>
      </c>
      <c r="S14" s="73">
        <v>38</v>
      </c>
      <c r="T14" s="73">
        <v>21</v>
      </c>
      <c r="U14" s="73">
        <v>23</v>
      </c>
      <c r="V14" s="73">
        <v>2</v>
      </c>
      <c r="W14" s="73">
        <v>290</v>
      </c>
    </row>
    <row r="15" spans="1:23" s="25" customFormat="1" ht="12" x14ac:dyDescent="0.3">
      <c r="A15" s="83"/>
      <c r="B15" s="83"/>
      <c r="C15" s="83"/>
      <c r="D15" s="83"/>
      <c r="E15" s="83" t="s">
        <v>52</v>
      </c>
      <c r="F15" s="73">
        <v>36</v>
      </c>
      <c r="G15" s="73">
        <v>7</v>
      </c>
      <c r="H15" s="73">
        <v>6</v>
      </c>
      <c r="I15" s="73">
        <v>2</v>
      </c>
      <c r="J15" s="73">
        <v>2</v>
      </c>
      <c r="K15" s="73">
        <v>4</v>
      </c>
      <c r="L15" s="73">
        <v>2</v>
      </c>
      <c r="M15" s="73">
        <v>7</v>
      </c>
      <c r="N15" s="73">
        <v>21</v>
      </c>
      <c r="O15" s="73">
        <v>17</v>
      </c>
      <c r="P15" s="73">
        <v>11</v>
      </c>
      <c r="Q15" s="73">
        <v>11</v>
      </c>
      <c r="R15" s="73">
        <v>13</v>
      </c>
      <c r="S15" s="73">
        <v>10</v>
      </c>
      <c r="T15" s="73">
        <v>8</v>
      </c>
      <c r="U15" s="73">
        <v>7</v>
      </c>
      <c r="V15" s="73">
        <v>2</v>
      </c>
      <c r="W15" s="73">
        <v>166</v>
      </c>
    </row>
    <row r="16" spans="1:23" s="25" customFormat="1" ht="12" x14ac:dyDescent="0.3">
      <c r="A16" s="83"/>
      <c r="B16" s="83"/>
      <c r="C16" s="83"/>
      <c r="D16" s="83"/>
      <c r="E16" s="83" t="s">
        <v>53</v>
      </c>
      <c r="F16" s="73">
        <v>2</v>
      </c>
      <c r="G16" s="73">
        <v>0</v>
      </c>
      <c r="H16" s="73">
        <v>0</v>
      </c>
      <c r="I16" s="73">
        <v>0</v>
      </c>
      <c r="J16" s="73">
        <v>0</v>
      </c>
      <c r="K16" s="73">
        <v>0</v>
      </c>
      <c r="L16" s="73">
        <v>0</v>
      </c>
      <c r="M16" s="73">
        <v>0</v>
      </c>
      <c r="N16" s="73">
        <v>0</v>
      </c>
      <c r="O16" s="73">
        <v>0</v>
      </c>
      <c r="P16" s="73">
        <v>0</v>
      </c>
      <c r="Q16" s="73">
        <v>0</v>
      </c>
      <c r="R16" s="73">
        <v>0</v>
      </c>
      <c r="S16" s="73">
        <v>0</v>
      </c>
      <c r="T16" s="73">
        <v>0</v>
      </c>
      <c r="U16" s="73">
        <v>0</v>
      </c>
      <c r="V16" s="73">
        <v>0</v>
      </c>
      <c r="W16" s="73">
        <v>2</v>
      </c>
    </row>
    <row r="17" spans="1:23" s="25" customFormat="1" ht="12" x14ac:dyDescent="0.3">
      <c r="A17" s="83"/>
      <c r="B17" s="83"/>
      <c r="C17" s="83"/>
      <c r="D17" s="83"/>
      <c r="E17" s="83" t="s">
        <v>54</v>
      </c>
      <c r="F17" s="73">
        <v>1</v>
      </c>
      <c r="G17" s="73">
        <v>0</v>
      </c>
      <c r="H17" s="73">
        <v>0</v>
      </c>
      <c r="I17" s="73">
        <v>0</v>
      </c>
      <c r="J17" s="73">
        <v>0</v>
      </c>
      <c r="K17" s="73">
        <v>0</v>
      </c>
      <c r="L17" s="73">
        <v>0</v>
      </c>
      <c r="M17" s="73">
        <v>0</v>
      </c>
      <c r="N17" s="73">
        <v>0</v>
      </c>
      <c r="O17" s="73">
        <v>0</v>
      </c>
      <c r="P17" s="73">
        <v>0</v>
      </c>
      <c r="Q17" s="73">
        <v>0</v>
      </c>
      <c r="R17" s="73">
        <v>0</v>
      </c>
      <c r="S17" s="73">
        <v>0</v>
      </c>
      <c r="T17" s="73">
        <v>0</v>
      </c>
      <c r="U17" s="73">
        <v>0</v>
      </c>
      <c r="V17" s="73">
        <v>0</v>
      </c>
      <c r="W17" s="73">
        <v>1</v>
      </c>
    </row>
    <row r="18" spans="1:23" s="25" customFormat="1" ht="12" x14ac:dyDescent="0.3">
      <c r="A18" s="83"/>
      <c r="B18" s="83"/>
      <c r="C18" s="83"/>
      <c r="D18" s="83"/>
      <c r="E18" s="83" t="s">
        <v>55</v>
      </c>
      <c r="F18" s="73">
        <v>16</v>
      </c>
      <c r="G18" s="73">
        <v>0</v>
      </c>
      <c r="H18" s="73">
        <v>0</v>
      </c>
      <c r="I18" s="73">
        <v>0</v>
      </c>
      <c r="J18" s="73">
        <v>0</v>
      </c>
      <c r="K18" s="73">
        <v>0</v>
      </c>
      <c r="L18" s="73">
        <v>0</v>
      </c>
      <c r="M18" s="73">
        <v>2</v>
      </c>
      <c r="N18" s="73">
        <v>1</v>
      </c>
      <c r="O18" s="73">
        <v>0</v>
      </c>
      <c r="P18" s="73">
        <v>0</v>
      </c>
      <c r="Q18" s="73">
        <v>0</v>
      </c>
      <c r="R18" s="73">
        <v>0</v>
      </c>
      <c r="S18" s="73">
        <v>0</v>
      </c>
      <c r="T18" s="73">
        <v>0</v>
      </c>
      <c r="U18" s="73">
        <v>0</v>
      </c>
      <c r="V18" s="73">
        <v>0</v>
      </c>
      <c r="W18" s="73">
        <v>19</v>
      </c>
    </row>
    <row r="19" spans="1:23" s="25" customFormat="1" ht="12" x14ac:dyDescent="0.3">
      <c r="A19" s="83"/>
      <c r="B19" s="83"/>
      <c r="C19" s="83"/>
      <c r="D19" s="83"/>
      <c r="E19" s="83" t="s">
        <v>56</v>
      </c>
      <c r="F19" s="73">
        <v>2</v>
      </c>
      <c r="G19" s="73">
        <v>0</v>
      </c>
      <c r="H19" s="73">
        <v>0</v>
      </c>
      <c r="I19" s="73">
        <v>2</v>
      </c>
      <c r="J19" s="73">
        <v>0</v>
      </c>
      <c r="K19" s="73">
        <v>0</v>
      </c>
      <c r="L19" s="73">
        <v>0</v>
      </c>
      <c r="M19" s="73">
        <v>0</v>
      </c>
      <c r="N19" s="73">
        <v>1</v>
      </c>
      <c r="O19" s="73">
        <v>0</v>
      </c>
      <c r="P19" s="73">
        <v>0</v>
      </c>
      <c r="Q19" s="73">
        <v>0</v>
      </c>
      <c r="R19" s="73">
        <v>0</v>
      </c>
      <c r="S19" s="73">
        <v>0</v>
      </c>
      <c r="T19" s="73">
        <v>0</v>
      </c>
      <c r="U19" s="73">
        <v>0</v>
      </c>
      <c r="V19" s="73">
        <v>0</v>
      </c>
      <c r="W19" s="73">
        <v>5</v>
      </c>
    </row>
    <row r="20" spans="1:23" s="25" customFormat="1" ht="12" x14ac:dyDescent="0.3">
      <c r="A20" s="83"/>
      <c r="B20" s="83"/>
      <c r="C20" s="83"/>
      <c r="D20" s="83"/>
      <c r="E20" s="83" t="s">
        <v>57</v>
      </c>
      <c r="F20" s="73">
        <v>108</v>
      </c>
      <c r="G20" s="73">
        <v>126</v>
      </c>
      <c r="H20" s="73">
        <v>102</v>
      </c>
      <c r="I20" s="73">
        <v>94</v>
      </c>
      <c r="J20" s="73">
        <v>113</v>
      </c>
      <c r="K20" s="73">
        <v>43</v>
      </c>
      <c r="L20" s="73">
        <v>76</v>
      </c>
      <c r="M20" s="73">
        <v>14</v>
      </c>
      <c r="N20" s="73">
        <v>450</v>
      </c>
      <c r="O20" s="73">
        <v>120</v>
      </c>
      <c r="P20" s="73">
        <v>77</v>
      </c>
      <c r="Q20" s="73">
        <v>128</v>
      </c>
      <c r="R20" s="73">
        <v>113</v>
      </c>
      <c r="S20" s="73">
        <v>85</v>
      </c>
      <c r="T20" s="73">
        <v>118</v>
      </c>
      <c r="U20" s="73">
        <v>178</v>
      </c>
      <c r="V20" s="73">
        <v>88</v>
      </c>
      <c r="W20" s="73">
        <v>2033</v>
      </c>
    </row>
    <row r="21" spans="1:23" s="25" customFormat="1" ht="12" x14ac:dyDescent="0.3">
      <c r="A21" s="83"/>
      <c r="B21" s="83"/>
      <c r="C21" s="83"/>
      <c r="D21" s="83" t="s">
        <v>58</v>
      </c>
      <c r="E21" s="83"/>
      <c r="F21" s="73">
        <v>110</v>
      </c>
      <c r="G21" s="73">
        <v>5</v>
      </c>
      <c r="H21" s="73">
        <v>6</v>
      </c>
      <c r="I21" s="73">
        <v>74</v>
      </c>
      <c r="J21" s="73">
        <v>5</v>
      </c>
      <c r="K21" s="73">
        <v>9</v>
      </c>
      <c r="L21" s="73">
        <v>1</v>
      </c>
      <c r="M21" s="73">
        <v>0</v>
      </c>
      <c r="N21" s="73">
        <v>85</v>
      </c>
      <c r="O21" s="73">
        <v>2</v>
      </c>
      <c r="P21" s="73">
        <v>12</v>
      </c>
      <c r="Q21" s="73">
        <v>3</v>
      </c>
      <c r="R21" s="73">
        <v>24</v>
      </c>
      <c r="S21" s="73">
        <v>32</v>
      </c>
      <c r="T21" s="73">
        <v>7</v>
      </c>
      <c r="U21" s="73">
        <v>38</v>
      </c>
      <c r="V21" s="73">
        <v>15</v>
      </c>
      <c r="W21" s="73">
        <v>428</v>
      </c>
    </row>
    <row r="22" spans="1:23" s="25" customFormat="1" ht="12" x14ac:dyDescent="0.3">
      <c r="A22" s="83"/>
      <c r="B22" s="83"/>
      <c r="C22" s="83"/>
      <c r="D22" s="83"/>
      <c r="E22" s="83" t="s">
        <v>59</v>
      </c>
      <c r="F22" s="73">
        <v>0</v>
      </c>
      <c r="G22" s="73">
        <v>0</v>
      </c>
      <c r="H22" s="73">
        <v>0</v>
      </c>
      <c r="I22" s="73">
        <v>0</v>
      </c>
      <c r="J22" s="73">
        <v>0</v>
      </c>
      <c r="K22" s="73">
        <v>0</v>
      </c>
      <c r="L22" s="73">
        <v>0</v>
      </c>
      <c r="M22" s="73">
        <v>0</v>
      </c>
      <c r="N22" s="73">
        <v>0</v>
      </c>
      <c r="O22" s="73">
        <v>0</v>
      </c>
      <c r="P22" s="73">
        <v>0</v>
      </c>
      <c r="Q22" s="73">
        <v>0</v>
      </c>
      <c r="R22" s="73">
        <v>0</v>
      </c>
      <c r="S22" s="73">
        <v>0</v>
      </c>
      <c r="T22" s="73">
        <v>0</v>
      </c>
      <c r="U22" s="73">
        <v>0</v>
      </c>
      <c r="V22" s="73">
        <v>0</v>
      </c>
      <c r="W22" s="73">
        <v>0</v>
      </c>
    </row>
    <row r="23" spans="1:23" s="25" customFormat="1" ht="12" x14ac:dyDescent="0.3">
      <c r="A23" s="83"/>
      <c r="B23" s="83"/>
      <c r="C23" s="83"/>
      <c r="D23" s="83"/>
      <c r="E23" s="83" t="s">
        <v>60</v>
      </c>
      <c r="F23" s="73">
        <v>0</v>
      </c>
      <c r="G23" s="73">
        <v>0</v>
      </c>
      <c r="H23" s="73">
        <v>0</v>
      </c>
      <c r="I23" s="73">
        <v>0</v>
      </c>
      <c r="J23" s="73">
        <v>0</v>
      </c>
      <c r="K23" s="73">
        <v>0</v>
      </c>
      <c r="L23" s="73">
        <v>0</v>
      </c>
      <c r="M23" s="73">
        <v>0</v>
      </c>
      <c r="N23" s="73">
        <v>0</v>
      </c>
      <c r="O23" s="73">
        <v>0</v>
      </c>
      <c r="P23" s="73">
        <v>0</v>
      </c>
      <c r="Q23" s="73">
        <v>0</v>
      </c>
      <c r="R23" s="73">
        <v>0</v>
      </c>
      <c r="S23" s="73">
        <v>0</v>
      </c>
      <c r="T23" s="73">
        <v>0</v>
      </c>
      <c r="U23" s="73">
        <v>0</v>
      </c>
      <c r="V23" s="73">
        <v>0</v>
      </c>
      <c r="W23" s="73">
        <v>0</v>
      </c>
    </row>
    <row r="24" spans="1:23" s="25" customFormat="1" ht="12" x14ac:dyDescent="0.3">
      <c r="A24" s="83"/>
      <c r="B24" s="83"/>
      <c r="C24" s="83"/>
      <c r="D24" s="83"/>
      <c r="E24" s="83" t="s">
        <v>61</v>
      </c>
      <c r="F24" s="73">
        <v>3</v>
      </c>
      <c r="G24" s="73">
        <v>1</v>
      </c>
      <c r="H24" s="73">
        <v>0</v>
      </c>
      <c r="I24" s="73">
        <v>0</v>
      </c>
      <c r="J24" s="73">
        <v>0</v>
      </c>
      <c r="K24" s="73">
        <v>0</v>
      </c>
      <c r="L24" s="73">
        <v>0</v>
      </c>
      <c r="M24" s="73">
        <v>0</v>
      </c>
      <c r="N24" s="73">
        <v>2</v>
      </c>
      <c r="O24" s="73">
        <v>1</v>
      </c>
      <c r="P24" s="73">
        <v>0</v>
      </c>
      <c r="Q24" s="73">
        <v>0</v>
      </c>
      <c r="R24" s="73">
        <v>0</v>
      </c>
      <c r="S24" s="73">
        <v>1</v>
      </c>
      <c r="T24" s="73">
        <v>0</v>
      </c>
      <c r="U24" s="73">
        <v>0</v>
      </c>
      <c r="V24" s="73">
        <v>0</v>
      </c>
      <c r="W24" s="73">
        <v>8</v>
      </c>
    </row>
    <row r="25" spans="1:23" s="25" customFormat="1" ht="12" x14ac:dyDescent="0.3">
      <c r="A25" s="83"/>
      <c r="B25" s="83"/>
      <c r="C25" s="83"/>
      <c r="D25" s="83"/>
      <c r="E25" s="83" t="s">
        <v>62</v>
      </c>
      <c r="F25" s="73">
        <v>13</v>
      </c>
      <c r="G25" s="73">
        <v>1</v>
      </c>
      <c r="H25" s="73">
        <v>4</v>
      </c>
      <c r="I25" s="73">
        <v>3</v>
      </c>
      <c r="J25" s="73">
        <v>2</v>
      </c>
      <c r="K25" s="73">
        <v>1</v>
      </c>
      <c r="L25" s="73">
        <v>0</v>
      </c>
      <c r="M25" s="73">
        <v>0</v>
      </c>
      <c r="N25" s="73">
        <v>6</v>
      </c>
      <c r="O25" s="73">
        <v>0</v>
      </c>
      <c r="P25" s="73">
        <v>0</v>
      </c>
      <c r="Q25" s="73">
        <v>0</v>
      </c>
      <c r="R25" s="73">
        <v>0</v>
      </c>
      <c r="S25" s="73">
        <v>0</v>
      </c>
      <c r="T25" s="73">
        <v>1</v>
      </c>
      <c r="U25" s="73">
        <v>5</v>
      </c>
      <c r="V25" s="73">
        <v>0</v>
      </c>
      <c r="W25" s="73">
        <v>36</v>
      </c>
    </row>
    <row r="26" spans="1:23" s="25" customFormat="1" ht="12" x14ac:dyDescent="0.3">
      <c r="A26" s="83"/>
      <c r="B26" s="83"/>
      <c r="C26" s="83"/>
      <c r="D26" s="83"/>
      <c r="E26" s="83" t="s">
        <v>63</v>
      </c>
      <c r="F26" s="73">
        <v>4</v>
      </c>
      <c r="G26" s="73">
        <v>1</v>
      </c>
      <c r="H26" s="73">
        <v>0</v>
      </c>
      <c r="I26" s="73">
        <v>1</v>
      </c>
      <c r="J26" s="73">
        <v>0</v>
      </c>
      <c r="K26" s="73">
        <v>0</v>
      </c>
      <c r="L26" s="73">
        <v>0</v>
      </c>
      <c r="M26" s="73">
        <v>0</v>
      </c>
      <c r="N26" s="73">
        <v>1</v>
      </c>
      <c r="O26" s="73">
        <v>0</v>
      </c>
      <c r="P26" s="73">
        <v>0</v>
      </c>
      <c r="Q26" s="73">
        <v>0</v>
      </c>
      <c r="R26" s="73">
        <v>1</v>
      </c>
      <c r="S26" s="73">
        <v>1</v>
      </c>
      <c r="T26" s="73">
        <v>0</v>
      </c>
      <c r="U26" s="73">
        <v>1</v>
      </c>
      <c r="V26" s="73">
        <v>0</v>
      </c>
      <c r="W26" s="73">
        <v>10</v>
      </c>
    </row>
    <row r="27" spans="1:23" s="25" customFormat="1" ht="12" x14ac:dyDescent="0.3">
      <c r="A27" s="83"/>
      <c r="B27" s="83"/>
      <c r="C27" s="83"/>
      <c r="D27" s="83"/>
      <c r="E27" s="83" t="s">
        <v>64</v>
      </c>
      <c r="F27" s="73">
        <v>4</v>
      </c>
      <c r="G27" s="73">
        <v>0</v>
      </c>
      <c r="H27" s="73">
        <v>1</v>
      </c>
      <c r="I27" s="73">
        <v>0</v>
      </c>
      <c r="J27" s="73">
        <v>0</v>
      </c>
      <c r="K27" s="73">
        <v>0</v>
      </c>
      <c r="L27" s="73">
        <v>0</v>
      </c>
      <c r="M27" s="73">
        <v>0</v>
      </c>
      <c r="N27" s="73">
        <v>1</v>
      </c>
      <c r="O27" s="73">
        <v>0</v>
      </c>
      <c r="P27" s="73">
        <v>0</v>
      </c>
      <c r="Q27" s="73">
        <v>0</v>
      </c>
      <c r="R27" s="73">
        <v>0</v>
      </c>
      <c r="S27" s="73">
        <v>0</v>
      </c>
      <c r="T27" s="73">
        <v>0</v>
      </c>
      <c r="U27" s="73">
        <v>1</v>
      </c>
      <c r="V27" s="73">
        <v>0</v>
      </c>
      <c r="W27" s="73">
        <v>7</v>
      </c>
    </row>
    <row r="28" spans="1:23" s="25" customFormat="1" ht="12" x14ac:dyDescent="0.3">
      <c r="A28" s="83"/>
      <c r="B28" s="83"/>
      <c r="C28" s="83"/>
      <c r="D28" s="83"/>
      <c r="E28" s="83" t="s">
        <v>65</v>
      </c>
      <c r="F28" s="73">
        <v>4</v>
      </c>
      <c r="G28" s="73">
        <v>1</v>
      </c>
      <c r="H28" s="73">
        <v>0</v>
      </c>
      <c r="I28" s="73">
        <v>0</v>
      </c>
      <c r="J28" s="73">
        <v>0</v>
      </c>
      <c r="K28" s="73">
        <v>0</v>
      </c>
      <c r="L28" s="73">
        <v>0</v>
      </c>
      <c r="M28" s="73">
        <v>0</v>
      </c>
      <c r="N28" s="73">
        <v>1</v>
      </c>
      <c r="O28" s="73">
        <v>0</v>
      </c>
      <c r="P28" s="73">
        <v>0</v>
      </c>
      <c r="Q28" s="73">
        <v>0</v>
      </c>
      <c r="R28" s="73">
        <v>0</v>
      </c>
      <c r="S28" s="73">
        <v>0</v>
      </c>
      <c r="T28" s="73">
        <v>0</v>
      </c>
      <c r="U28" s="73">
        <v>1</v>
      </c>
      <c r="V28" s="73">
        <v>0</v>
      </c>
      <c r="W28" s="73">
        <v>7</v>
      </c>
    </row>
    <row r="29" spans="1:23" s="25" customFormat="1" ht="12" x14ac:dyDescent="0.3">
      <c r="A29" s="83"/>
      <c r="B29" s="83"/>
      <c r="C29" s="83"/>
      <c r="D29" s="83"/>
      <c r="E29" s="83" t="s">
        <v>66</v>
      </c>
      <c r="F29" s="73">
        <v>2</v>
      </c>
      <c r="G29" s="73">
        <v>0</v>
      </c>
      <c r="H29" s="73">
        <v>0</v>
      </c>
      <c r="I29" s="73">
        <v>0</v>
      </c>
      <c r="J29" s="73">
        <v>0</v>
      </c>
      <c r="K29" s="73">
        <v>0</v>
      </c>
      <c r="L29" s="73">
        <v>0</v>
      </c>
      <c r="M29" s="73">
        <v>0</v>
      </c>
      <c r="N29" s="73">
        <v>0</v>
      </c>
      <c r="O29" s="73">
        <v>0</v>
      </c>
      <c r="P29" s="73">
        <v>0</v>
      </c>
      <c r="Q29" s="73">
        <v>0</v>
      </c>
      <c r="R29" s="73">
        <v>1</v>
      </c>
      <c r="S29" s="73">
        <v>0</v>
      </c>
      <c r="T29" s="73">
        <v>0</v>
      </c>
      <c r="U29" s="73">
        <v>0</v>
      </c>
      <c r="V29" s="73">
        <v>0</v>
      </c>
      <c r="W29" s="73">
        <v>3</v>
      </c>
    </row>
    <row r="30" spans="1:23" s="25" customFormat="1" ht="12" x14ac:dyDescent="0.3">
      <c r="A30" s="83"/>
      <c r="B30" s="83"/>
      <c r="C30" s="83"/>
      <c r="D30" s="83"/>
      <c r="E30" s="83" t="s">
        <v>67</v>
      </c>
      <c r="F30" s="73">
        <v>2</v>
      </c>
      <c r="G30" s="73">
        <v>0</v>
      </c>
      <c r="H30" s="73">
        <v>0</v>
      </c>
      <c r="I30" s="73">
        <v>0</v>
      </c>
      <c r="J30" s="73">
        <v>0</v>
      </c>
      <c r="K30" s="73">
        <v>0</v>
      </c>
      <c r="L30" s="73">
        <v>0</v>
      </c>
      <c r="M30" s="73">
        <v>0</v>
      </c>
      <c r="N30" s="73">
        <v>0</v>
      </c>
      <c r="O30" s="73">
        <v>0</v>
      </c>
      <c r="P30" s="73">
        <v>0</v>
      </c>
      <c r="Q30" s="73">
        <v>0</v>
      </c>
      <c r="R30" s="73">
        <v>0</v>
      </c>
      <c r="S30" s="73">
        <v>0</v>
      </c>
      <c r="T30" s="73">
        <v>0</v>
      </c>
      <c r="U30" s="73">
        <v>0</v>
      </c>
      <c r="V30" s="73">
        <v>0</v>
      </c>
      <c r="W30" s="73">
        <v>2</v>
      </c>
    </row>
    <row r="31" spans="1:23" s="25" customFormat="1" ht="12" x14ac:dyDescent="0.3">
      <c r="A31" s="83"/>
      <c r="B31" s="83"/>
      <c r="C31" s="83"/>
      <c r="D31" s="83"/>
      <c r="E31" s="83" t="s">
        <v>68</v>
      </c>
      <c r="F31" s="73">
        <v>6</v>
      </c>
      <c r="G31" s="73">
        <v>0</v>
      </c>
      <c r="H31" s="73">
        <v>0</v>
      </c>
      <c r="I31" s="73">
        <v>0</v>
      </c>
      <c r="J31" s="73">
        <v>0</v>
      </c>
      <c r="K31" s="73">
        <v>0</v>
      </c>
      <c r="L31" s="73">
        <v>0</v>
      </c>
      <c r="M31" s="73">
        <v>0</v>
      </c>
      <c r="N31" s="73">
        <v>0</v>
      </c>
      <c r="O31" s="73">
        <v>0</v>
      </c>
      <c r="P31" s="73">
        <v>0</v>
      </c>
      <c r="Q31" s="73">
        <v>0</v>
      </c>
      <c r="R31" s="73">
        <v>0</v>
      </c>
      <c r="S31" s="73">
        <v>0</v>
      </c>
      <c r="T31" s="73">
        <v>0</v>
      </c>
      <c r="U31" s="73">
        <v>0</v>
      </c>
      <c r="V31" s="73">
        <v>0</v>
      </c>
      <c r="W31" s="73">
        <v>6</v>
      </c>
    </row>
    <row r="32" spans="1:23" s="25" customFormat="1" ht="12" x14ac:dyDescent="0.3">
      <c r="A32" s="83"/>
      <c r="B32" s="83"/>
      <c r="C32" s="83"/>
      <c r="D32" s="83"/>
      <c r="E32" s="83" t="s">
        <v>69</v>
      </c>
      <c r="F32" s="73">
        <v>20</v>
      </c>
      <c r="G32" s="73">
        <v>0</v>
      </c>
      <c r="H32" s="73">
        <v>0</v>
      </c>
      <c r="I32" s="73">
        <v>0</v>
      </c>
      <c r="J32" s="73">
        <v>0</v>
      </c>
      <c r="K32" s="73">
        <v>0</v>
      </c>
      <c r="L32" s="73">
        <v>0</v>
      </c>
      <c r="M32" s="73">
        <v>0</v>
      </c>
      <c r="N32" s="73">
        <v>0</v>
      </c>
      <c r="O32" s="73">
        <v>0</v>
      </c>
      <c r="P32" s="73">
        <v>0</v>
      </c>
      <c r="Q32" s="73">
        <v>0</v>
      </c>
      <c r="R32" s="73">
        <v>0</v>
      </c>
      <c r="S32" s="73">
        <v>0</v>
      </c>
      <c r="T32" s="73">
        <v>0</v>
      </c>
      <c r="U32" s="73">
        <v>0</v>
      </c>
      <c r="V32" s="73">
        <v>0</v>
      </c>
      <c r="W32" s="73">
        <v>20</v>
      </c>
    </row>
    <row r="33" spans="1:23" s="25" customFormat="1" ht="12" x14ac:dyDescent="0.3">
      <c r="A33" s="83"/>
      <c r="B33" s="83"/>
      <c r="C33" s="83"/>
      <c r="D33" s="83"/>
      <c r="E33" s="83" t="s">
        <v>70</v>
      </c>
      <c r="F33" s="73">
        <v>0</v>
      </c>
      <c r="G33" s="73">
        <v>0</v>
      </c>
      <c r="H33" s="73">
        <v>0</v>
      </c>
      <c r="I33" s="73">
        <v>0</v>
      </c>
      <c r="J33" s="73">
        <v>0</v>
      </c>
      <c r="K33" s="73">
        <v>0</v>
      </c>
      <c r="L33" s="73">
        <v>0</v>
      </c>
      <c r="M33" s="73">
        <v>0</v>
      </c>
      <c r="N33" s="73">
        <v>0</v>
      </c>
      <c r="O33" s="73">
        <v>0</v>
      </c>
      <c r="P33" s="73">
        <v>0</v>
      </c>
      <c r="Q33" s="73">
        <v>0</v>
      </c>
      <c r="R33" s="73">
        <v>0</v>
      </c>
      <c r="S33" s="73">
        <v>0</v>
      </c>
      <c r="T33" s="73">
        <v>0</v>
      </c>
      <c r="U33" s="73">
        <v>0</v>
      </c>
      <c r="V33" s="73">
        <v>0</v>
      </c>
      <c r="W33" s="73">
        <v>0</v>
      </c>
    </row>
    <row r="34" spans="1:23" s="25" customFormat="1" ht="12" x14ac:dyDescent="0.3">
      <c r="A34" s="83"/>
      <c r="B34" s="83"/>
      <c r="C34" s="83"/>
      <c r="D34" s="83"/>
      <c r="E34" s="83" t="s">
        <v>71</v>
      </c>
      <c r="F34" s="73">
        <v>52</v>
      </c>
      <c r="G34" s="73">
        <v>1</v>
      </c>
      <c r="H34" s="73">
        <v>1</v>
      </c>
      <c r="I34" s="73">
        <v>70</v>
      </c>
      <c r="J34" s="73">
        <v>3</v>
      </c>
      <c r="K34" s="73">
        <v>8</v>
      </c>
      <c r="L34" s="73">
        <v>1</v>
      </c>
      <c r="M34" s="73">
        <v>0</v>
      </c>
      <c r="N34" s="73">
        <v>74</v>
      </c>
      <c r="O34" s="73">
        <v>1</v>
      </c>
      <c r="P34" s="73">
        <v>12</v>
      </c>
      <c r="Q34" s="73">
        <v>3</v>
      </c>
      <c r="R34" s="73">
        <v>22</v>
      </c>
      <c r="S34" s="73">
        <v>30</v>
      </c>
      <c r="T34" s="73">
        <v>6</v>
      </c>
      <c r="U34" s="73">
        <v>30</v>
      </c>
      <c r="V34" s="73">
        <v>15</v>
      </c>
      <c r="W34" s="73">
        <v>329</v>
      </c>
    </row>
    <row r="35" spans="1:23" s="25" customFormat="1" ht="12" x14ac:dyDescent="0.3">
      <c r="A35" s="83"/>
      <c r="B35" s="83"/>
      <c r="C35" s="83" t="s">
        <v>72</v>
      </c>
      <c r="D35" s="83"/>
      <c r="E35" s="83"/>
      <c r="F35" s="73">
        <v>72</v>
      </c>
      <c r="G35" s="73">
        <v>51</v>
      </c>
      <c r="H35" s="73">
        <v>36</v>
      </c>
      <c r="I35" s="73">
        <v>27</v>
      </c>
      <c r="J35" s="73">
        <v>11</v>
      </c>
      <c r="K35" s="73">
        <v>10</v>
      </c>
      <c r="L35" s="73">
        <v>14</v>
      </c>
      <c r="M35" s="73">
        <v>4</v>
      </c>
      <c r="N35" s="73">
        <v>152</v>
      </c>
      <c r="O35" s="73">
        <v>64</v>
      </c>
      <c r="P35" s="73">
        <v>25</v>
      </c>
      <c r="Q35" s="73">
        <v>63</v>
      </c>
      <c r="R35" s="73">
        <v>64</v>
      </c>
      <c r="S35" s="73">
        <v>31</v>
      </c>
      <c r="T35" s="73">
        <v>40</v>
      </c>
      <c r="U35" s="73">
        <v>34</v>
      </c>
      <c r="V35" s="73">
        <v>11</v>
      </c>
      <c r="W35" s="73">
        <v>709</v>
      </c>
    </row>
    <row r="36" spans="1:23" s="25" customFormat="1" ht="12" x14ac:dyDescent="0.3">
      <c r="A36" s="83"/>
      <c r="B36" s="83"/>
      <c r="C36" s="83"/>
      <c r="D36" s="83"/>
      <c r="E36" s="83" t="s">
        <v>73</v>
      </c>
      <c r="F36" s="73">
        <v>72</v>
      </c>
      <c r="G36" s="73">
        <v>51</v>
      </c>
      <c r="H36" s="73">
        <v>36</v>
      </c>
      <c r="I36" s="73">
        <v>27</v>
      </c>
      <c r="J36" s="73">
        <v>11</v>
      </c>
      <c r="K36" s="73">
        <v>10</v>
      </c>
      <c r="L36" s="73">
        <v>14</v>
      </c>
      <c r="M36" s="73">
        <v>4</v>
      </c>
      <c r="N36" s="73">
        <v>152</v>
      </c>
      <c r="O36" s="73">
        <v>63</v>
      </c>
      <c r="P36" s="73">
        <v>25</v>
      </c>
      <c r="Q36" s="73">
        <v>63</v>
      </c>
      <c r="R36" s="73">
        <v>64</v>
      </c>
      <c r="S36" s="73">
        <v>31</v>
      </c>
      <c r="T36" s="73">
        <v>40</v>
      </c>
      <c r="U36" s="73">
        <v>34</v>
      </c>
      <c r="V36" s="73">
        <v>10</v>
      </c>
      <c r="W36" s="73">
        <v>707</v>
      </c>
    </row>
    <row r="37" spans="1:23" s="25" customFormat="1" ht="12" x14ac:dyDescent="0.3">
      <c r="A37" s="83"/>
      <c r="B37" s="83"/>
      <c r="C37" s="83"/>
      <c r="D37" s="83"/>
      <c r="E37" s="83" t="s">
        <v>74</v>
      </c>
      <c r="F37" s="73">
        <v>0</v>
      </c>
      <c r="G37" s="73">
        <v>0</v>
      </c>
      <c r="H37" s="73">
        <v>0</v>
      </c>
      <c r="I37" s="73">
        <v>0</v>
      </c>
      <c r="J37" s="73">
        <v>0</v>
      </c>
      <c r="K37" s="73">
        <v>0</v>
      </c>
      <c r="L37" s="73">
        <v>0</v>
      </c>
      <c r="M37" s="73">
        <v>0</v>
      </c>
      <c r="N37" s="73">
        <v>0</v>
      </c>
      <c r="O37" s="73">
        <v>0</v>
      </c>
      <c r="P37" s="73">
        <v>0</v>
      </c>
      <c r="Q37" s="73">
        <v>0</v>
      </c>
      <c r="R37" s="73">
        <v>0</v>
      </c>
      <c r="S37" s="73">
        <v>0</v>
      </c>
      <c r="T37" s="73">
        <v>0</v>
      </c>
      <c r="U37" s="73">
        <v>0</v>
      </c>
      <c r="V37" s="73">
        <v>0</v>
      </c>
      <c r="W37" s="73">
        <v>0</v>
      </c>
    </row>
    <row r="38" spans="1:23" s="25" customFormat="1" ht="12" x14ac:dyDescent="0.3">
      <c r="A38" s="83"/>
      <c r="B38" s="83"/>
      <c r="C38" s="83"/>
      <c r="D38" s="83"/>
      <c r="E38" s="83" t="s">
        <v>75</v>
      </c>
      <c r="F38" s="73">
        <v>0</v>
      </c>
      <c r="G38" s="73">
        <v>0</v>
      </c>
      <c r="H38" s="73">
        <v>0</v>
      </c>
      <c r="I38" s="73">
        <v>0</v>
      </c>
      <c r="J38" s="73">
        <v>0</v>
      </c>
      <c r="K38" s="73">
        <v>0</v>
      </c>
      <c r="L38" s="73">
        <v>0</v>
      </c>
      <c r="M38" s="73">
        <v>0</v>
      </c>
      <c r="N38" s="73">
        <v>0</v>
      </c>
      <c r="O38" s="73">
        <v>0</v>
      </c>
      <c r="P38" s="73">
        <v>0</v>
      </c>
      <c r="Q38" s="73">
        <v>0</v>
      </c>
      <c r="R38" s="73">
        <v>0</v>
      </c>
      <c r="S38" s="73">
        <v>0</v>
      </c>
      <c r="T38" s="73">
        <v>0</v>
      </c>
      <c r="U38" s="73">
        <v>0</v>
      </c>
      <c r="V38" s="73">
        <v>0</v>
      </c>
      <c r="W38" s="73">
        <v>0</v>
      </c>
    </row>
    <row r="39" spans="1:23" s="25" customFormat="1" ht="12" x14ac:dyDescent="0.3">
      <c r="A39" s="83"/>
      <c r="B39" s="83"/>
      <c r="C39" s="83"/>
      <c r="D39" s="83"/>
      <c r="E39" s="83" t="s">
        <v>76</v>
      </c>
      <c r="F39" s="73">
        <v>0</v>
      </c>
      <c r="G39" s="73">
        <v>0</v>
      </c>
      <c r="H39" s="73">
        <v>0</v>
      </c>
      <c r="I39" s="73">
        <v>0</v>
      </c>
      <c r="J39" s="73">
        <v>0</v>
      </c>
      <c r="K39" s="73">
        <v>0</v>
      </c>
      <c r="L39" s="73">
        <v>0</v>
      </c>
      <c r="M39" s="73">
        <v>0</v>
      </c>
      <c r="N39" s="73">
        <v>0</v>
      </c>
      <c r="O39" s="73">
        <v>0</v>
      </c>
      <c r="P39" s="73">
        <v>0</v>
      </c>
      <c r="Q39" s="73">
        <v>0</v>
      </c>
      <c r="R39" s="73">
        <v>0</v>
      </c>
      <c r="S39" s="73">
        <v>0</v>
      </c>
      <c r="T39" s="73">
        <v>0</v>
      </c>
      <c r="U39" s="73">
        <v>0</v>
      </c>
      <c r="V39" s="73">
        <v>0</v>
      </c>
      <c r="W39" s="73">
        <v>0</v>
      </c>
    </row>
    <row r="40" spans="1:23" s="25" customFormat="1" ht="12" x14ac:dyDescent="0.3">
      <c r="A40" s="83"/>
      <c r="B40" s="83"/>
      <c r="C40" s="83"/>
      <c r="D40" s="83"/>
      <c r="E40" s="83" t="s">
        <v>77</v>
      </c>
      <c r="F40" s="73">
        <v>0</v>
      </c>
      <c r="G40" s="73">
        <v>0</v>
      </c>
      <c r="H40" s="73">
        <v>0</v>
      </c>
      <c r="I40" s="73">
        <v>0</v>
      </c>
      <c r="J40" s="73">
        <v>0</v>
      </c>
      <c r="K40" s="73">
        <v>0</v>
      </c>
      <c r="L40" s="73">
        <v>0</v>
      </c>
      <c r="M40" s="73">
        <v>0</v>
      </c>
      <c r="N40" s="73">
        <v>0</v>
      </c>
      <c r="O40" s="73">
        <v>1</v>
      </c>
      <c r="P40" s="73">
        <v>0</v>
      </c>
      <c r="Q40" s="73">
        <v>0</v>
      </c>
      <c r="R40" s="73">
        <v>0</v>
      </c>
      <c r="S40" s="73">
        <v>0</v>
      </c>
      <c r="T40" s="73">
        <v>0</v>
      </c>
      <c r="U40" s="73">
        <v>0</v>
      </c>
      <c r="V40" s="73">
        <v>1</v>
      </c>
      <c r="W40" s="73">
        <v>2</v>
      </c>
    </row>
    <row r="41" spans="1:23" s="25" customFormat="1" ht="12" x14ac:dyDescent="0.3">
      <c r="A41" s="83"/>
      <c r="B41" s="83"/>
      <c r="C41" s="83"/>
      <c r="D41" s="83"/>
      <c r="E41" s="83" t="s">
        <v>78</v>
      </c>
      <c r="F41" s="73">
        <v>0</v>
      </c>
      <c r="G41" s="73">
        <v>0</v>
      </c>
      <c r="H41" s="73">
        <v>0</v>
      </c>
      <c r="I41" s="73">
        <v>0</v>
      </c>
      <c r="J41" s="73">
        <v>0</v>
      </c>
      <c r="K41" s="73">
        <v>0</v>
      </c>
      <c r="L41" s="73">
        <v>0</v>
      </c>
      <c r="M41" s="73">
        <v>0</v>
      </c>
      <c r="N41" s="73">
        <v>0</v>
      </c>
      <c r="O41" s="73">
        <v>0</v>
      </c>
      <c r="P41" s="73">
        <v>0</v>
      </c>
      <c r="Q41" s="73">
        <v>0</v>
      </c>
      <c r="R41" s="73">
        <v>0</v>
      </c>
      <c r="S41" s="73">
        <v>0</v>
      </c>
      <c r="T41" s="73">
        <v>0</v>
      </c>
      <c r="U41" s="73">
        <v>0</v>
      </c>
      <c r="V41" s="73">
        <v>0</v>
      </c>
      <c r="W41" s="73">
        <v>0</v>
      </c>
    </row>
    <row r="42" spans="1:23" s="25" customFormat="1" ht="12" x14ac:dyDescent="0.3">
      <c r="A42" s="83"/>
      <c r="B42" s="83"/>
      <c r="C42" s="83"/>
      <c r="D42" s="83"/>
      <c r="E42" s="83" t="s">
        <v>79</v>
      </c>
      <c r="F42" s="73">
        <v>0</v>
      </c>
      <c r="G42" s="73">
        <v>0</v>
      </c>
      <c r="H42" s="73">
        <v>0</v>
      </c>
      <c r="I42" s="73">
        <v>0</v>
      </c>
      <c r="J42" s="73">
        <v>0</v>
      </c>
      <c r="K42" s="73">
        <v>0</v>
      </c>
      <c r="L42" s="73">
        <v>0</v>
      </c>
      <c r="M42" s="73">
        <v>0</v>
      </c>
      <c r="N42" s="73">
        <v>0</v>
      </c>
      <c r="O42" s="73">
        <v>0</v>
      </c>
      <c r="P42" s="73">
        <v>0</v>
      </c>
      <c r="Q42" s="73">
        <v>0</v>
      </c>
      <c r="R42" s="73">
        <v>0</v>
      </c>
      <c r="S42" s="73">
        <v>0</v>
      </c>
      <c r="T42" s="73">
        <v>0</v>
      </c>
      <c r="U42" s="73">
        <v>0</v>
      </c>
      <c r="V42" s="73">
        <v>0</v>
      </c>
      <c r="W42" s="73">
        <v>0</v>
      </c>
    </row>
    <row r="43" spans="1:23" s="25" customFormat="1" ht="12" x14ac:dyDescent="0.3">
      <c r="A43" s="83"/>
      <c r="B43" s="83"/>
      <c r="C43" s="83"/>
      <c r="D43" s="83"/>
      <c r="E43" s="83" t="s">
        <v>80</v>
      </c>
      <c r="F43" s="73">
        <v>0</v>
      </c>
      <c r="G43" s="73">
        <v>0</v>
      </c>
      <c r="H43" s="73">
        <v>0</v>
      </c>
      <c r="I43" s="73">
        <v>0</v>
      </c>
      <c r="J43" s="73">
        <v>0</v>
      </c>
      <c r="K43" s="73">
        <v>0</v>
      </c>
      <c r="L43" s="73">
        <v>0</v>
      </c>
      <c r="M43" s="73">
        <v>0</v>
      </c>
      <c r="N43" s="73">
        <v>0</v>
      </c>
      <c r="O43" s="73">
        <v>0</v>
      </c>
      <c r="P43" s="73">
        <v>0</v>
      </c>
      <c r="Q43" s="73">
        <v>0</v>
      </c>
      <c r="R43" s="73">
        <v>0</v>
      </c>
      <c r="S43" s="73">
        <v>0</v>
      </c>
      <c r="T43" s="73">
        <v>0</v>
      </c>
      <c r="U43" s="73">
        <v>0</v>
      </c>
      <c r="V43" s="73">
        <v>0</v>
      </c>
      <c r="W43" s="73">
        <v>0</v>
      </c>
    </row>
    <row r="44" spans="1:23" s="25" customFormat="1" ht="12" x14ac:dyDescent="0.3">
      <c r="A44" s="83"/>
      <c r="B44" s="83"/>
      <c r="C44" s="83" t="s">
        <v>81</v>
      </c>
      <c r="D44" s="83"/>
      <c r="E44" s="83"/>
      <c r="F44" s="73">
        <v>417</v>
      </c>
      <c r="G44" s="73">
        <v>210</v>
      </c>
      <c r="H44" s="73">
        <v>113</v>
      </c>
      <c r="I44" s="73">
        <v>171</v>
      </c>
      <c r="J44" s="73">
        <v>97</v>
      </c>
      <c r="K44" s="73">
        <v>64</v>
      </c>
      <c r="L44" s="73">
        <v>173</v>
      </c>
      <c r="M44" s="73">
        <v>48</v>
      </c>
      <c r="N44" s="73">
        <v>1060</v>
      </c>
      <c r="O44" s="73">
        <v>472</v>
      </c>
      <c r="P44" s="73">
        <v>238</v>
      </c>
      <c r="Q44" s="73">
        <v>295</v>
      </c>
      <c r="R44" s="73">
        <v>259</v>
      </c>
      <c r="S44" s="73">
        <v>372</v>
      </c>
      <c r="T44" s="73">
        <v>647</v>
      </c>
      <c r="U44" s="73">
        <v>540</v>
      </c>
      <c r="V44" s="73">
        <v>81</v>
      </c>
      <c r="W44" s="73">
        <v>5257</v>
      </c>
    </row>
    <row r="45" spans="1:23" s="25" customFormat="1" ht="12" x14ac:dyDescent="0.3">
      <c r="A45" s="83"/>
      <c r="B45" s="83"/>
      <c r="C45" s="83"/>
      <c r="D45" s="83"/>
      <c r="E45" s="83" t="s">
        <v>82</v>
      </c>
      <c r="F45" s="73">
        <v>0</v>
      </c>
      <c r="G45" s="73">
        <v>0</v>
      </c>
      <c r="H45" s="73">
        <v>0</v>
      </c>
      <c r="I45" s="73">
        <v>0</v>
      </c>
      <c r="J45" s="73">
        <v>0</v>
      </c>
      <c r="K45" s="73">
        <v>0</v>
      </c>
      <c r="L45" s="73">
        <v>0</v>
      </c>
      <c r="M45" s="73">
        <v>0</v>
      </c>
      <c r="N45" s="73">
        <v>0</v>
      </c>
      <c r="O45" s="73">
        <v>0</v>
      </c>
      <c r="P45" s="73">
        <v>0</v>
      </c>
      <c r="Q45" s="73">
        <v>0</v>
      </c>
      <c r="R45" s="73">
        <v>0</v>
      </c>
      <c r="S45" s="73">
        <v>0</v>
      </c>
      <c r="T45" s="73">
        <v>0</v>
      </c>
      <c r="U45" s="73">
        <v>16</v>
      </c>
      <c r="V45" s="73">
        <v>0</v>
      </c>
      <c r="W45" s="73">
        <v>16</v>
      </c>
    </row>
    <row r="46" spans="1:23" s="25" customFormat="1" ht="12" x14ac:dyDescent="0.3">
      <c r="A46" s="83"/>
      <c r="B46" s="83"/>
      <c r="C46" s="83"/>
      <c r="D46" s="83"/>
      <c r="E46" s="83" t="s">
        <v>83</v>
      </c>
      <c r="F46" s="73">
        <v>218</v>
      </c>
      <c r="G46" s="73">
        <v>165</v>
      </c>
      <c r="H46" s="73">
        <v>62</v>
      </c>
      <c r="I46" s="73">
        <v>116</v>
      </c>
      <c r="J46" s="73">
        <v>65</v>
      </c>
      <c r="K46" s="73">
        <v>34</v>
      </c>
      <c r="L46" s="73">
        <v>69</v>
      </c>
      <c r="M46" s="73">
        <v>24</v>
      </c>
      <c r="N46" s="73">
        <v>630</v>
      </c>
      <c r="O46" s="73">
        <v>247</v>
      </c>
      <c r="P46" s="73">
        <v>116</v>
      </c>
      <c r="Q46" s="73">
        <v>153</v>
      </c>
      <c r="R46" s="73">
        <v>114</v>
      </c>
      <c r="S46" s="73">
        <v>196</v>
      </c>
      <c r="T46" s="73">
        <v>269</v>
      </c>
      <c r="U46" s="73">
        <v>271</v>
      </c>
      <c r="V46" s="73">
        <v>44</v>
      </c>
      <c r="W46" s="73">
        <v>2793</v>
      </c>
    </row>
    <row r="47" spans="1:23" s="25" customFormat="1" ht="12" x14ac:dyDescent="0.3">
      <c r="A47" s="83"/>
      <c r="B47" s="83"/>
      <c r="C47" s="83"/>
      <c r="D47" s="83"/>
      <c r="E47" s="83" t="s">
        <v>84</v>
      </c>
      <c r="F47" s="73">
        <v>75</v>
      </c>
      <c r="G47" s="73">
        <v>30</v>
      </c>
      <c r="H47" s="73">
        <v>34</v>
      </c>
      <c r="I47" s="73">
        <v>30</v>
      </c>
      <c r="J47" s="73">
        <v>21</v>
      </c>
      <c r="K47" s="73">
        <v>13</v>
      </c>
      <c r="L47" s="73">
        <v>71</v>
      </c>
      <c r="M47" s="73">
        <v>10</v>
      </c>
      <c r="N47" s="73">
        <v>242</v>
      </c>
      <c r="O47" s="73">
        <v>155</v>
      </c>
      <c r="P47" s="73">
        <v>90</v>
      </c>
      <c r="Q47" s="73">
        <v>86</v>
      </c>
      <c r="R47" s="73">
        <v>84</v>
      </c>
      <c r="S47" s="73">
        <v>133</v>
      </c>
      <c r="T47" s="73">
        <v>306</v>
      </c>
      <c r="U47" s="73">
        <v>148</v>
      </c>
      <c r="V47" s="73">
        <v>26</v>
      </c>
      <c r="W47" s="73">
        <v>1554</v>
      </c>
    </row>
    <row r="48" spans="1:23" s="25" customFormat="1" ht="12" x14ac:dyDescent="0.3">
      <c r="A48" s="83"/>
      <c r="B48" s="83"/>
      <c r="C48" s="83"/>
      <c r="D48" s="83"/>
      <c r="E48" s="83" t="s">
        <v>85</v>
      </c>
      <c r="F48" s="73">
        <v>31</v>
      </c>
      <c r="G48" s="73">
        <v>7</v>
      </c>
      <c r="H48" s="73">
        <v>7</v>
      </c>
      <c r="I48" s="73">
        <v>9</v>
      </c>
      <c r="J48" s="73">
        <v>2</v>
      </c>
      <c r="K48" s="73">
        <v>9</v>
      </c>
      <c r="L48" s="73">
        <v>1</v>
      </c>
      <c r="M48" s="73">
        <v>7</v>
      </c>
      <c r="N48" s="73">
        <v>67</v>
      </c>
      <c r="O48" s="73">
        <v>57</v>
      </c>
      <c r="P48" s="73">
        <v>20</v>
      </c>
      <c r="Q48" s="73">
        <v>42</v>
      </c>
      <c r="R48" s="73">
        <v>23</v>
      </c>
      <c r="S48" s="73">
        <v>27</v>
      </c>
      <c r="T48" s="73">
        <v>55</v>
      </c>
      <c r="U48" s="73">
        <v>38</v>
      </c>
      <c r="V48" s="73">
        <v>6</v>
      </c>
      <c r="W48" s="73">
        <v>408</v>
      </c>
    </row>
    <row r="49" spans="1:23" s="25" customFormat="1" ht="12" x14ac:dyDescent="0.3">
      <c r="A49" s="83"/>
      <c r="B49" s="83"/>
      <c r="C49" s="83"/>
      <c r="D49" s="83"/>
      <c r="E49" s="83" t="s">
        <v>86</v>
      </c>
      <c r="F49" s="73">
        <v>5</v>
      </c>
      <c r="G49" s="73">
        <v>0</v>
      </c>
      <c r="H49" s="73">
        <v>0</v>
      </c>
      <c r="I49" s="73">
        <v>0</v>
      </c>
      <c r="J49" s="73">
        <v>0</v>
      </c>
      <c r="K49" s="73">
        <v>0</v>
      </c>
      <c r="L49" s="73">
        <v>0</v>
      </c>
      <c r="M49" s="73">
        <v>0</v>
      </c>
      <c r="N49" s="73">
        <v>0</v>
      </c>
      <c r="O49" s="73">
        <v>1</v>
      </c>
      <c r="P49" s="73">
        <v>0</v>
      </c>
      <c r="Q49" s="73">
        <v>0</v>
      </c>
      <c r="R49" s="73">
        <v>0</v>
      </c>
      <c r="S49" s="73">
        <v>0</v>
      </c>
      <c r="T49" s="73">
        <v>0</v>
      </c>
      <c r="U49" s="73">
        <v>0</v>
      </c>
      <c r="V49" s="73">
        <v>0</v>
      </c>
      <c r="W49" s="73">
        <v>6</v>
      </c>
    </row>
    <row r="50" spans="1:23" s="25" customFormat="1" ht="12" x14ac:dyDescent="0.3">
      <c r="A50" s="83"/>
      <c r="B50" s="83"/>
      <c r="C50" s="83"/>
      <c r="D50" s="83"/>
      <c r="E50" s="83" t="s">
        <v>87</v>
      </c>
      <c r="F50" s="73">
        <v>15</v>
      </c>
      <c r="G50" s="73">
        <v>0</v>
      </c>
      <c r="H50" s="73">
        <v>0</v>
      </c>
      <c r="I50" s="73">
        <v>2</v>
      </c>
      <c r="J50" s="73">
        <v>0</v>
      </c>
      <c r="K50" s="73">
        <v>0</v>
      </c>
      <c r="L50" s="73">
        <v>1</v>
      </c>
      <c r="M50" s="73">
        <v>0</v>
      </c>
      <c r="N50" s="73">
        <v>1</v>
      </c>
      <c r="O50" s="73">
        <v>3</v>
      </c>
      <c r="P50" s="73">
        <v>0</v>
      </c>
      <c r="Q50" s="73">
        <v>1</v>
      </c>
      <c r="R50" s="73">
        <v>1</v>
      </c>
      <c r="S50" s="73">
        <v>2</v>
      </c>
      <c r="T50" s="73">
        <v>4</v>
      </c>
      <c r="U50" s="73">
        <v>1</v>
      </c>
      <c r="V50" s="73">
        <v>1</v>
      </c>
      <c r="W50" s="73">
        <v>32</v>
      </c>
    </row>
    <row r="51" spans="1:23" s="25" customFormat="1" ht="12" x14ac:dyDescent="0.3">
      <c r="A51" s="83"/>
      <c r="B51" s="83"/>
      <c r="C51" s="83"/>
      <c r="D51" s="83"/>
      <c r="E51" s="83" t="s">
        <v>88</v>
      </c>
      <c r="F51" s="73">
        <v>0</v>
      </c>
      <c r="G51" s="73">
        <v>0</v>
      </c>
      <c r="H51" s="73">
        <v>0</v>
      </c>
      <c r="I51" s="73">
        <v>0</v>
      </c>
      <c r="J51" s="73">
        <v>0</v>
      </c>
      <c r="K51" s="73">
        <v>0</v>
      </c>
      <c r="L51" s="73">
        <v>0</v>
      </c>
      <c r="M51" s="73">
        <v>0</v>
      </c>
      <c r="N51" s="73">
        <v>0</v>
      </c>
      <c r="O51" s="73">
        <v>0</v>
      </c>
      <c r="P51" s="73">
        <v>0</v>
      </c>
      <c r="Q51" s="73">
        <v>0</v>
      </c>
      <c r="R51" s="73">
        <v>0</v>
      </c>
      <c r="S51" s="73">
        <v>0</v>
      </c>
      <c r="T51" s="73">
        <v>0</v>
      </c>
      <c r="U51" s="73">
        <v>0</v>
      </c>
      <c r="V51" s="73">
        <v>0</v>
      </c>
      <c r="W51" s="73">
        <v>0</v>
      </c>
    </row>
    <row r="52" spans="1:23" s="25" customFormat="1" ht="12" x14ac:dyDescent="0.3">
      <c r="A52" s="83"/>
      <c r="B52" s="83"/>
      <c r="C52" s="83"/>
      <c r="D52" s="83"/>
      <c r="E52" s="83" t="s">
        <v>89</v>
      </c>
      <c r="F52" s="73">
        <v>73</v>
      </c>
      <c r="G52" s="73">
        <v>8</v>
      </c>
      <c r="H52" s="73">
        <v>10</v>
      </c>
      <c r="I52" s="73">
        <v>14</v>
      </c>
      <c r="J52" s="73">
        <v>9</v>
      </c>
      <c r="K52" s="73">
        <v>8</v>
      </c>
      <c r="L52" s="73">
        <v>31</v>
      </c>
      <c r="M52" s="73">
        <v>7</v>
      </c>
      <c r="N52" s="73">
        <v>120</v>
      </c>
      <c r="O52" s="73">
        <v>9</v>
      </c>
      <c r="P52" s="73">
        <v>12</v>
      </c>
      <c r="Q52" s="73">
        <v>13</v>
      </c>
      <c r="R52" s="73">
        <v>37</v>
      </c>
      <c r="S52" s="73">
        <v>14</v>
      </c>
      <c r="T52" s="73">
        <v>13</v>
      </c>
      <c r="U52" s="73">
        <v>66</v>
      </c>
      <c r="V52" s="73">
        <v>4</v>
      </c>
      <c r="W52" s="73">
        <v>448</v>
      </c>
    </row>
    <row r="53" spans="1:23" s="25" customFormat="1" ht="12" x14ac:dyDescent="0.3">
      <c r="A53" s="83"/>
      <c r="B53" s="83"/>
      <c r="C53" s="83" t="s">
        <v>90</v>
      </c>
      <c r="D53" s="83"/>
      <c r="E53" s="83"/>
      <c r="F53" s="73">
        <v>341</v>
      </c>
      <c r="G53" s="73">
        <v>96</v>
      </c>
      <c r="H53" s="73">
        <v>73</v>
      </c>
      <c r="I53" s="73">
        <v>103</v>
      </c>
      <c r="J53" s="73">
        <v>69</v>
      </c>
      <c r="K53" s="73">
        <v>68</v>
      </c>
      <c r="L53" s="73">
        <v>28</v>
      </c>
      <c r="M53" s="73">
        <v>43</v>
      </c>
      <c r="N53" s="73">
        <v>669</v>
      </c>
      <c r="O53" s="73">
        <v>130</v>
      </c>
      <c r="P53" s="73">
        <v>100</v>
      </c>
      <c r="Q53" s="73">
        <v>146</v>
      </c>
      <c r="R53" s="73">
        <v>157</v>
      </c>
      <c r="S53" s="73">
        <v>215</v>
      </c>
      <c r="T53" s="73">
        <v>149</v>
      </c>
      <c r="U53" s="73">
        <v>184</v>
      </c>
      <c r="V53" s="73">
        <v>48</v>
      </c>
      <c r="W53" s="73">
        <v>2619</v>
      </c>
    </row>
    <row r="54" spans="1:23" s="25" customFormat="1" ht="12" x14ac:dyDescent="0.3">
      <c r="A54" s="83"/>
      <c r="B54" s="83"/>
      <c r="C54" s="83"/>
      <c r="D54" s="83"/>
      <c r="E54" s="83" t="s">
        <v>91</v>
      </c>
      <c r="F54" s="73">
        <v>0</v>
      </c>
      <c r="G54" s="73">
        <v>0</v>
      </c>
      <c r="H54" s="73">
        <v>0</v>
      </c>
      <c r="I54" s="73">
        <v>4</v>
      </c>
      <c r="J54" s="73">
        <v>0</v>
      </c>
      <c r="K54" s="73">
        <v>0</v>
      </c>
      <c r="L54" s="73">
        <v>0</v>
      </c>
      <c r="M54" s="73">
        <v>0</v>
      </c>
      <c r="N54" s="73">
        <v>3</v>
      </c>
      <c r="O54" s="73">
        <v>3</v>
      </c>
      <c r="P54" s="73">
        <v>0</v>
      </c>
      <c r="Q54" s="73">
        <v>1</v>
      </c>
      <c r="R54" s="73">
        <v>4</v>
      </c>
      <c r="S54" s="73">
        <v>0</v>
      </c>
      <c r="T54" s="73">
        <v>2</v>
      </c>
      <c r="U54" s="73">
        <v>16</v>
      </c>
      <c r="V54" s="73">
        <v>0</v>
      </c>
      <c r="W54" s="73">
        <v>33</v>
      </c>
    </row>
    <row r="55" spans="1:23" s="25" customFormat="1" ht="12" x14ac:dyDescent="0.3">
      <c r="A55" s="83"/>
      <c r="B55" s="83"/>
      <c r="C55" s="83"/>
      <c r="D55" s="83"/>
      <c r="E55" s="83" t="s">
        <v>92</v>
      </c>
      <c r="F55" s="73">
        <v>114</v>
      </c>
      <c r="G55" s="73">
        <v>41</v>
      </c>
      <c r="H55" s="73">
        <v>40</v>
      </c>
      <c r="I55" s="73">
        <v>56</v>
      </c>
      <c r="J55" s="73">
        <v>25</v>
      </c>
      <c r="K55" s="73">
        <v>24</v>
      </c>
      <c r="L55" s="73">
        <v>8</v>
      </c>
      <c r="M55" s="73">
        <v>7</v>
      </c>
      <c r="N55" s="73">
        <v>400</v>
      </c>
      <c r="O55" s="73">
        <v>41</v>
      </c>
      <c r="P55" s="73">
        <v>32</v>
      </c>
      <c r="Q55" s="73">
        <v>42</v>
      </c>
      <c r="R55" s="73">
        <v>32</v>
      </c>
      <c r="S55" s="73">
        <v>45</v>
      </c>
      <c r="T55" s="73">
        <v>53</v>
      </c>
      <c r="U55" s="73">
        <v>61</v>
      </c>
      <c r="V55" s="73">
        <v>14</v>
      </c>
      <c r="W55" s="73">
        <v>1035</v>
      </c>
    </row>
    <row r="56" spans="1:23" s="25" customFormat="1" ht="12" x14ac:dyDescent="0.3">
      <c r="A56" s="83"/>
      <c r="B56" s="83"/>
      <c r="C56" s="83"/>
      <c r="D56" s="83"/>
      <c r="E56" s="83" t="s">
        <v>93</v>
      </c>
      <c r="F56" s="73">
        <v>109</v>
      </c>
      <c r="G56" s="73">
        <v>49</v>
      </c>
      <c r="H56" s="73">
        <v>27</v>
      </c>
      <c r="I56" s="73">
        <v>27</v>
      </c>
      <c r="J56" s="73">
        <v>32</v>
      </c>
      <c r="K56" s="73">
        <v>35</v>
      </c>
      <c r="L56" s="73">
        <v>16</v>
      </c>
      <c r="M56" s="73">
        <v>30</v>
      </c>
      <c r="N56" s="73">
        <v>165</v>
      </c>
      <c r="O56" s="73">
        <v>71</v>
      </c>
      <c r="P56" s="73">
        <v>56</v>
      </c>
      <c r="Q56" s="73">
        <v>78</v>
      </c>
      <c r="R56" s="73">
        <v>96</v>
      </c>
      <c r="S56" s="73">
        <v>141</v>
      </c>
      <c r="T56" s="73">
        <v>75</v>
      </c>
      <c r="U56" s="73">
        <v>70</v>
      </c>
      <c r="V56" s="73">
        <v>7</v>
      </c>
      <c r="W56" s="73">
        <v>1084</v>
      </c>
    </row>
    <row r="57" spans="1:23" s="25" customFormat="1" ht="12" x14ac:dyDescent="0.3">
      <c r="A57" s="83"/>
      <c r="B57" s="83"/>
      <c r="C57" s="83"/>
      <c r="D57" s="83"/>
      <c r="E57" s="83" t="s">
        <v>94</v>
      </c>
      <c r="F57" s="73">
        <v>22</v>
      </c>
      <c r="G57" s="73">
        <v>1</v>
      </c>
      <c r="H57" s="73">
        <v>2</v>
      </c>
      <c r="I57" s="73">
        <v>2</v>
      </c>
      <c r="J57" s="73">
        <v>4</v>
      </c>
      <c r="K57" s="73">
        <v>2</v>
      </c>
      <c r="L57" s="73">
        <v>2</v>
      </c>
      <c r="M57" s="73">
        <v>2</v>
      </c>
      <c r="N57" s="73">
        <v>18</v>
      </c>
      <c r="O57" s="73">
        <v>1</v>
      </c>
      <c r="P57" s="73">
        <v>2</v>
      </c>
      <c r="Q57" s="73">
        <v>2</v>
      </c>
      <c r="R57" s="73">
        <v>6</v>
      </c>
      <c r="S57" s="73">
        <v>4</v>
      </c>
      <c r="T57" s="73">
        <v>7</v>
      </c>
      <c r="U57" s="73">
        <v>4</v>
      </c>
      <c r="V57" s="73">
        <v>1</v>
      </c>
      <c r="W57" s="73">
        <v>82</v>
      </c>
    </row>
    <row r="58" spans="1:23" s="25" customFormat="1" ht="12" x14ac:dyDescent="0.3">
      <c r="A58" s="83"/>
      <c r="B58" s="83"/>
      <c r="C58" s="83"/>
      <c r="D58" s="83"/>
      <c r="E58" s="83" t="s">
        <v>95</v>
      </c>
      <c r="F58" s="73">
        <v>22</v>
      </c>
      <c r="G58" s="73">
        <v>2</v>
      </c>
      <c r="H58" s="73">
        <v>1</v>
      </c>
      <c r="I58" s="73">
        <v>7</v>
      </c>
      <c r="J58" s="73">
        <v>1</v>
      </c>
      <c r="K58" s="73">
        <v>0</v>
      </c>
      <c r="L58" s="73">
        <v>2</v>
      </c>
      <c r="M58" s="73">
        <v>2</v>
      </c>
      <c r="N58" s="73">
        <v>14</v>
      </c>
      <c r="O58" s="73">
        <v>4</v>
      </c>
      <c r="P58" s="73">
        <v>2</v>
      </c>
      <c r="Q58" s="73">
        <v>6</v>
      </c>
      <c r="R58" s="73">
        <v>2</v>
      </c>
      <c r="S58" s="73">
        <v>5</v>
      </c>
      <c r="T58" s="73">
        <v>2</v>
      </c>
      <c r="U58" s="73">
        <v>10</v>
      </c>
      <c r="V58" s="73">
        <v>0</v>
      </c>
      <c r="W58" s="73">
        <v>82</v>
      </c>
    </row>
    <row r="59" spans="1:23" s="25" customFormat="1" ht="12" x14ac:dyDescent="0.3">
      <c r="A59" s="83"/>
      <c r="B59" s="83"/>
      <c r="C59" s="83"/>
      <c r="D59" s="83"/>
      <c r="E59" s="83" t="s">
        <v>96</v>
      </c>
      <c r="F59" s="73">
        <v>1</v>
      </c>
      <c r="G59" s="73">
        <v>0</v>
      </c>
      <c r="H59" s="73">
        <v>1</v>
      </c>
      <c r="I59" s="73">
        <v>0</v>
      </c>
      <c r="J59" s="73">
        <v>1</v>
      </c>
      <c r="K59" s="73">
        <v>1</v>
      </c>
      <c r="L59" s="73">
        <v>0</v>
      </c>
      <c r="M59" s="73">
        <v>0</v>
      </c>
      <c r="N59" s="73">
        <v>3</v>
      </c>
      <c r="O59" s="73">
        <v>0</v>
      </c>
      <c r="P59" s="73">
        <v>0</v>
      </c>
      <c r="Q59" s="73">
        <v>0</v>
      </c>
      <c r="R59" s="73">
        <v>1</v>
      </c>
      <c r="S59" s="73">
        <v>0</v>
      </c>
      <c r="T59" s="73">
        <v>0</v>
      </c>
      <c r="U59" s="73">
        <v>2</v>
      </c>
      <c r="V59" s="73">
        <v>0</v>
      </c>
      <c r="W59" s="73">
        <v>10</v>
      </c>
    </row>
    <row r="60" spans="1:23" s="25" customFormat="1" ht="12" x14ac:dyDescent="0.3">
      <c r="A60" s="83"/>
      <c r="B60" s="83"/>
      <c r="C60" s="83"/>
      <c r="D60" s="83"/>
      <c r="E60" s="83" t="s">
        <v>97</v>
      </c>
      <c r="F60" s="73">
        <v>0</v>
      </c>
      <c r="G60" s="73">
        <v>1</v>
      </c>
      <c r="H60" s="73">
        <v>0</v>
      </c>
      <c r="I60" s="73">
        <v>1</v>
      </c>
      <c r="J60" s="73">
        <v>0</v>
      </c>
      <c r="K60" s="73">
        <v>0</v>
      </c>
      <c r="L60" s="73">
        <v>0</v>
      </c>
      <c r="M60" s="73">
        <v>0</v>
      </c>
      <c r="N60" s="73">
        <v>0</v>
      </c>
      <c r="O60" s="73">
        <v>0</v>
      </c>
      <c r="P60" s="73">
        <v>0</v>
      </c>
      <c r="Q60" s="73">
        <v>0</v>
      </c>
      <c r="R60" s="73">
        <v>0</v>
      </c>
      <c r="S60" s="73">
        <v>1</v>
      </c>
      <c r="T60" s="73">
        <v>0</v>
      </c>
      <c r="U60" s="73">
        <v>0</v>
      </c>
      <c r="V60" s="73">
        <v>0</v>
      </c>
      <c r="W60" s="73">
        <v>3</v>
      </c>
    </row>
    <row r="61" spans="1:23" s="25" customFormat="1" ht="12" x14ac:dyDescent="0.3">
      <c r="A61" s="83"/>
      <c r="B61" s="83"/>
      <c r="C61" s="83"/>
      <c r="D61" s="83"/>
      <c r="E61" s="83" t="s">
        <v>98</v>
      </c>
      <c r="F61" s="73">
        <v>73</v>
      </c>
      <c r="G61" s="73">
        <v>2</v>
      </c>
      <c r="H61" s="73">
        <v>2</v>
      </c>
      <c r="I61" s="73">
        <v>6</v>
      </c>
      <c r="J61" s="73">
        <v>6</v>
      </c>
      <c r="K61" s="73">
        <v>6</v>
      </c>
      <c r="L61" s="73">
        <v>0</v>
      </c>
      <c r="M61" s="73">
        <v>2</v>
      </c>
      <c r="N61" s="73">
        <v>66</v>
      </c>
      <c r="O61" s="73">
        <v>10</v>
      </c>
      <c r="P61" s="73">
        <v>8</v>
      </c>
      <c r="Q61" s="73">
        <v>17</v>
      </c>
      <c r="R61" s="73">
        <v>16</v>
      </c>
      <c r="S61" s="73">
        <v>19</v>
      </c>
      <c r="T61" s="73">
        <v>10</v>
      </c>
      <c r="U61" s="73">
        <v>21</v>
      </c>
      <c r="V61" s="73">
        <v>26</v>
      </c>
      <c r="W61" s="73">
        <v>290</v>
      </c>
    </row>
    <row r="62" spans="1:23" s="117" customFormat="1" ht="12" x14ac:dyDescent="0.3">
      <c r="A62" s="105"/>
      <c r="B62" s="105" t="s">
        <v>99</v>
      </c>
      <c r="C62" s="105"/>
      <c r="D62" s="105"/>
      <c r="E62" s="105"/>
      <c r="F62" s="106">
        <v>3805</v>
      </c>
      <c r="G62" s="106">
        <v>1261</v>
      </c>
      <c r="H62" s="106">
        <v>893</v>
      </c>
      <c r="I62" s="106">
        <v>1048</v>
      </c>
      <c r="J62" s="106">
        <v>597</v>
      </c>
      <c r="K62" s="106">
        <v>536</v>
      </c>
      <c r="L62" s="106">
        <v>452</v>
      </c>
      <c r="M62" s="106">
        <v>176</v>
      </c>
      <c r="N62" s="106">
        <v>4263</v>
      </c>
      <c r="O62" s="106">
        <v>1570</v>
      </c>
      <c r="P62" s="106">
        <v>1021</v>
      </c>
      <c r="Q62" s="106">
        <v>1227</v>
      </c>
      <c r="R62" s="106">
        <v>1324</v>
      </c>
      <c r="S62" s="106">
        <v>1598</v>
      </c>
      <c r="T62" s="106">
        <v>1768</v>
      </c>
      <c r="U62" s="106">
        <v>1912</v>
      </c>
      <c r="V62" s="106">
        <v>487</v>
      </c>
      <c r="W62" s="106">
        <v>23938</v>
      </c>
    </row>
    <row r="63" spans="1:23" s="25" customFormat="1" ht="12" x14ac:dyDescent="0.3">
      <c r="A63" s="83"/>
      <c r="B63" s="83"/>
      <c r="C63" s="83" t="s">
        <v>100</v>
      </c>
      <c r="D63" s="83"/>
      <c r="E63" s="83"/>
      <c r="F63" s="73">
        <v>2485</v>
      </c>
      <c r="G63" s="73">
        <v>788</v>
      </c>
      <c r="H63" s="73">
        <v>499</v>
      </c>
      <c r="I63" s="73">
        <v>654</v>
      </c>
      <c r="J63" s="73">
        <v>392</v>
      </c>
      <c r="K63" s="73">
        <v>301</v>
      </c>
      <c r="L63" s="73">
        <v>283</v>
      </c>
      <c r="M63" s="73">
        <v>127</v>
      </c>
      <c r="N63" s="73">
        <v>2654</v>
      </c>
      <c r="O63" s="73">
        <v>1105</v>
      </c>
      <c r="P63" s="73">
        <v>698</v>
      </c>
      <c r="Q63" s="73">
        <v>786</v>
      </c>
      <c r="R63" s="73">
        <v>909</v>
      </c>
      <c r="S63" s="73">
        <v>1084</v>
      </c>
      <c r="T63" s="73">
        <v>1179</v>
      </c>
      <c r="U63" s="73">
        <v>1158</v>
      </c>
      <c r="V63" s="73">
        <v>320</v>
      </c>
      <c r="W63" s="73">
        <v>15422</v>
      </c>
    </row>
    <row r="64" spans="1:23" s="25" customFormat="1" ht="12" x14ac:dyDescent="0.3">
      <c r="A64" s="83"/>
      <c r="B64" s="83"/>
      <c r="C64" s="83"/>
      <c r="D64" s="83" t="s">
        <v>101</v>
      </c>
      <c r="E64" s="83"/>
      <c r="F64" s="73">
        <v>0</v>
      </c>
      <c r="G64" s="73">
        <v>0</v>
      </c>
      <c r="H64" s="73">
        <v>0</v>
      </c>
      <c r="I64" s="73">
        <v>0</v>
      </c>
      <c r="J64" s="73">
        <v>0</v>
      </c>
      <c r="K64" s="73">
        <v>0</v>
      </c>
      <c r="L64" s="73">
        <v>0</v>
      </c>
      <c r="M64" s="73">
        <v>0</v>
      </c>
      <c r="N64" s="73">
        <v>0</v>
      </c>
      <c r="O64" s="73">
        <v>0</v>
      </c>
      <c r="P64" s="73">
        <v>0</v>
      </c>
      <c r="Q64" s="73">
        <v>0</v>
      </c>
      <c r="R64" s="73">
        <v>0</v>
      </c>
      <c r="S64" s="73">
        <v>0</v>
      </c>
      <c r="T64" s="73">
        <v>0</v>
      </c>
      <c r="U64" s="73">
        <v>0</v>
      </c>
      <c r="V64" s="73">
        <v>0</v>
      </c>
      <c r="W64" s="73">
        <v>0</v>
      </c>
    </row>
    <row r="65" spans="1:23" s="25" customFormat="1" ht="12" x14ac:dyDescent="0.3">
      <c r="A65" s="83"/>
      <c r="B65" s="83"/>
      <c r="C65" s="83"/>
      <c r="D65" s="83" t="s">
        <v>102</v>
      </c>
      <c r="E65" s="83"/>
      <c r="F65" s="73">
        <v>0</v>
      </c>
      <c r="G65" s="73">
        <v>0</v>
      </c>
      <c r="H65" s="73">
        <v>0</v>
      </c>
      <c r="I65" s="73">
        <v>0</v>
      </c>
      <c r="J65" s="73">
        <v>0</v>
      </c>
      <c r="K65" s="73">
        <v>0</v>
      </c>
      <c r="L65" s="73">
        <v>0</v>
      </c>
      <c r="M65" s="73">
        <v>0</v>
      </c>
      <c r="N65" s="73">
        <v>0</v>
      </c>
      <c r="O65" s="73">
        <v>0</v>
      </c>
      <c r="P65" s="73">
        <v>0</v>
      </c>
      <c r="Q65" s="73">
        <v>0</v>
      </c>
      <c r="R65" s="73">
        <v>0</v>
      </c>
      <c r="S65" s="73">
        <v>0</v>
      </c>
      <c r="T65" s="73">
        <v>0</v>
      </c>
      <c r="U65" s="73">
        <v>0</v>
      </c>
      <c r="V65" s="73">
        <v>0</v>
      </c>
      <c r="W65" s="73">
        <v>0</v>
      </c>
    </row>
    <row r="66" spans="1:23" s="25" customFormat="1" ht="12" x14ac:dyDescent="0.3">
      <c r="A66" s="83"/>
      <c r="B66" s="83"/>
      <c r="C66" s="83"/>
      <c r="D66" s="83" t="s">
        <v>103</v>
      </c>
      <c r="E66" s="83"/>
      <c r="F66" s="73">
        <v>0</v>
      </c>
      <c r="G66" s="73">
        <v>0</v>
      </c>
      <c r="H66" s="73">
        <v>0</v>
      </c>
      <c r="I66" s="73">
        <v>0</v>
      </c>
      <c r="J66" s="73">
        <v>0</v>
      </c>
      <c r="K66" s="73">
        <v>0</v>
      </c>
      <c r="L66" s="73">
        <v>0</v>
      </c>
      <c r="M66" s="73">
        <v>0</v>
      </c>
      <c r="N66" s="73">
        <v>0</v>
      </c>
      <c r="O66" s="73">
        <v>0</v>
      </c>
      <c r="P66" s="73">
        <v>0</v>
      </c>
      <c r="Q66" s="73">
        <v>0</v>
      </c>
      <c r="R66" s="73">
        <v>0</v>
      </c>
      <c r="S66" s="73">
        <v>0</v>
      </c>
      <c r="T66" s="73">
        <v>0</v>
      </c>
      <c r="U66" s="73">
        <v>0</v>
      </c>
      <c r="V66" s="73">
        <v>0</v>
      </c>
      <c r="W66" s="73">
        <v>0</v>
      </c>
    </row>
    <row r="67" spans="1:23" s="25" customFormat="1" ht="12" x14ac:dyDescent="0.3">
      <c r="A67" s="83"/>
      <c r="B67" s="83"/>
      <c r="C67" s="83"/>
      <c r="D67" s="83" t="s">
        <v>104</v>
      </c>
      <c r="E67" s="83"/>
      <c r="F67" s="73">
        <v>0</v>
      </c>
      <c r="G67" s="73">
        <v>0</v>
      </c>
      <c r="H67" s="73">
        <v>0</v>
      </c>
      <c r="I67" s="73">
        <v>0</v>
      </c>
      <c r="J67" s="73">
        <v>0</v>
      </c>
      <c r="K67" s="73">
        <v>0</v>
      </c>
      <c r="L67" s="73">
        <v>0</v>
      </c>
      <c r="M67" s="73">
        <v>0</v>
      </c>
      <c r="N67" s="73">
        <v>0</v>
      </c>
      <c r="O67" s="73">
        <v>0</v>
      </c>
      <c r="P67" s="73">
        <v>0</v>
      </c>
      <c r="Q67" s="73">
        <v>0</v>
      </c>
      <c r="R67" s="73">
        <v>0</v>
      </c>
      <c r="S67" s="73">
        <v>0</v>
      </c>
      <c r="T67" s="73">
        <v>0</v>
      </c>
      <c r="U67" s="73">
        <v>0</v>
      </c>
      <c r="V67" s="73">
        <v>0</v>
      </c>
      <c r="W67" s="73">
        <v>0</v>
      </c>
    </row>
    <row r="68" spans="1:23" s="25" customFormat="1" ht="12" x14ac:dyDescent="0.3">
      <c r="A68" s="83"/>
      <c r="B68" s="83"/>
      <c r="C68" s="83"/>
      <c r="D68" s="83" t="s">
        <v>105</v>
      </c>
      <c r="E68" s="83"/>
      <c r="F68" s="73">
        <v>0</v>
      </c>
      <c r="G68" s="73">
        <v>0</v>
      </c>
      <c r="H68" s="73">
        <v>0</v>
      </c>
      <c r="I68" s="73">
        <v>0</v>
      </c>
      <c r="J68" s="73">
        <v>0</v>
      </c>
      <c r="K68" s="73">
        <v>0</v>
      </c>
      <c r="L68" s="73">
        <v>0</v>
      </c>
      <c r="M68" s="73">
        <v>0</v>
      </c>
      <c r="N68" s="73">
        <v>0</v>
      </c>
      <c r="O68" s="73">
        <v>0</v>
      </c>
      <c r="P68" s="73">
        <v>0</v>
      </c>
      <c r="Q68" s="73">
        <v>0</v>
      </c>
      <c r="R68" s="73">
        <v>0</v>
      </c>
      <c r="S68" s="73">
        <v>0</v>
      </c>
      <c r="T68" s="73">
        <v>0</v>
      </c>
      <c r="U68" s="73">
        <v>0</v>
      </c>
      <c r="V68" s="73">
        <v>0</v>
      </c>
      <c r="W68" s="73">
        <v>0</v>
      </c>
    </row>
    <row r="69" spans="1:23" s="25" customFormat="1" ht="12" x14ac:dyDescent="0.3">
      <c r="A69" s="83"/>
      <c r="B69" s="83"/>
      <c r="C69" s="83"/>
      <c r="D69" s="83" t="s">
        <v>106</v>
      </c>
      <c r="E69" s="83"/>
      <c r="F69" s="73">
        <v>0</v>
      </c>
      <c r="G69" s="73">
        <v>0</v>
      </c>
      <c r="H69" s="73">
        <v>0</v>
      </c>
      <c r="I69" s="73">
        <v>0</v>
      </c>
      <c r="J69" s="73">
        <v>0</v>
      </c>
      <c r="K69" s="73">
        <v>0</v>
      </c>
      <c r="L69" s="73">
        <v>0</v>
      </c>
      <c r="M69" s="73">
        <v>0</v>
      </c>
      <c r="N69" s="73">
        <v>0</v>
      </c>
      <c r="O69" s="73">
        <v>0</v>
      </c>
      <c r="P69" s="73">
        <v>0</v>
      </c>
      <c r="Q69" s="73">
        <v>0</v>
      </c>
      <c r="R69" s="73">
        <v>0</v>
      </c>
      <c r="S69" s="73">
        <v>0</v>
      </c>
      <c r="T69" s="73">
        <v>0</v>
      </c>
      <c r="U69" s="73">
        <v>0</v>
      </c>
      <c r="V69" s="73">
        <v>0</v>
      </c>
      <c r="W69" s="73">
        <v>0</v>
      </c>
    </row>
    <row r="70" spans="1:23" s="25" customFormat="1" ht="12" x14ac:dyDescent="0.3">
      <c r="A70" s="83"/>
      <c r="B70" s="83"/>
      <c r="C70" s="83"/>
      <c r="D70" s="83" t="s">
        <v>107</v>
      </c>
      <c r="E70" s="83"/>
      <c r="F70" s="73">
        <v>2485</v>
      </c>
      <c r="G70" s="73">
        <v>788</v>
      </c>
      <c r="H70" s="73">
        <v>499</v>
      </c>
      <c r="I70" s="73">
        <v>654</v>
      </c>
      <c r="J70" s="73">
        <v>392</v>
      </c>
      <c r="K70" s="73">
        <v>301</v>
      </c>
      <c r="L70" s="73">
        <v>283</v>
      </c>
      <c r="M70" s="73">
        <v>127</v>
      </c>
      <c r="N70" s="73">
        <v>2654</v>
      </c>
      <c r="O70" s="73">
        <v>1105</v>
      </c>
      <c r="P70" s="73">
        <v>698</v>
      </c>
      <c r="Q70" s="73">
        <v>786</v>
      </c>
      <c r="R70" s="73">
        <v>909</v>
      </c>
      <c r="S70" s="73">
        <v>1084</v>
      </c>
      <c r="T70" s="73">
        <v>1179</v>
      </c>
      <c r="U70" s="73">
        <v>1158</v>
      </c>
      <c r="V70" s="73">
        <v>320</v>
      </c>
      <c r="W70" s="73">
        <v>15422</v>
      </c>
    </row>
    <row r="71" spans="1:23" s="25" customFormat="1" ht="12" x14ac:dyDescent="0.3">
      <c r="A71" s="83"/>
      <c r="B71" s="83"/>
      <c r="C71" s="83"/>
      <c r="D71" s="83"/>
      <c r="E71" s="83" t="s">
        <v>108</v>
      </c>
      <c r="F71" s="73">
        <v>1780</v>
      </c>
      <c r="G71" s="73">
        <v>581</v>
      </c>
      <c r="H71" s="73">
        <v>376</v>
      </c>
      <c r="I71" s="73">
        <v>481</v>
      </c>
      <c r="J71" s="73">
        <v>315</v>
      </c>
      <c r="K71" s="73">
        <v>206</v>
      </c>
      <c r="L71" s="73">
        <v>191</v>
      </c>
      <c r="M71" s="73">
        <v>82</v>
      </c>
      <c r="N71" s="73">
        <v>1925</v>
      </c>
      <c r="O71" s="73">
        <v>652</v>
      </c>
      <c r="P71" s="73">
        <v>458</v>
      </c>
      <c r="Q71" s="73">
        <v>450</v>
      </c>
      <c r="R71" s="73">
        <v>498</v>
      </c>
      <c r="S71" s="73">
        <v>591</v>
      </c>
      <c r="T71" s="73">
        <v>678</v>
      </c>
      <c r="U71" s="73">
        <v>667</v>
      </c>
      <c r="V71" s="73">
        <v>199</v>
      </c>
      <c r="W71" s="73">
        <v>10130</v>
      </c>
    </row>
    <row r="72" spans="1:23" s="25" customFormat="1" ht="12" x14ac:dyDescent="0.3">
      <c r="A72" s="83"/>
      <c r="B72" s="83"/>
      <c r="C72" s="83"/>
      <c r="D72" s="83"/>
      <c r="E72" s="83" t="s">
        <v>109</v>
      </c>
      <c r="F72" s="73">
        <v>192</v>
      </c>
      <c r="G72" s="73">
        <v>47</v>
      </c>
      <c r="H72" s="73">
        <v>40</v>
      </c>
      <c r="I72" s="73">
        <v>78</v>
      </c>
      <c r="J72" s="73">
        <v>25</v>
      </c>
      <c r="K72" s="73">
        <v>23</v>
      </c>
      <c r="L72" s="73">
        <v>28</v>
      </c>
      <c r="M72" s="73">
        <v>4</v>
      </c>
      <c r="N72" s="73">
        <v>176</v>
      </c>
      <c r="O72" s="73">
        <v>89</v>
      </c>
      <c r="P72" s="73">
        <v>72</v>
      </c>
      <c r="Q72" s="73">
        <v>69</v>
      </c>
      <c r="R72" s="73">
        <v>75</v>
      </c>
      <c r="S72" s="73">
        <v>135</v>
      </c>
      <c r="T72" s="73">
        <v>224</v>
      </c>
      <c r="U72" s="73">
        <v>105</v>
      </c>
      <c r="V72" s="73">
        <v>42</v>
      </c>
      <c r="W72" s="73">
        <v>1424</v>
      </c>
    </row>
    <row r="73" spans="1:23" s="25" customFormat="1" ht="12" x14ac:dyDescent="0.3">
      <c r="A73" s="83"/>
      <c r="B73" s="83"/>
      <c r="C73" s="83"/>
      <c r="D73" s="83"/>
      <c r="E73" s="83" t="s">
        <v>110</v>
      </c>
      <c r="F73" s="73">
        <v>330</v>
      </c>
      <c r="G73" s="73">
        <v>76</v>
      </c>
      <c r="H73" s="73">
        <v>53</v>
      </c>
      <c r="I73" s="73">
        <v>50</v>
      </c>
      <c r="J73" s="73">
        <v>32</v>
      </c>
      <c r="K73" s="73">
        <v>34</v>
      </c>
      <c r="L73" s="73">
        <v>43</v>
      </c>
      <c r="M73" s="73">
        <v>21</v>
      </c>
      <c r="N73" s="73">
        <v>310</v>
      </c>
      <c r="O73" s="73">
        <v>186</v>
      </c>
      <c r="P73" s="73">
        <v>74</v>
      </c>
      <c r="Q73" s="73">
        <v>117</v>
      </c>
      <c r="R73" s="73">
        <v>172</v>
      </c>
      <c r="S73" s="73">
        <v>200</v>
      </c>
      <c r="T73" s="73">
        <v>188</v>
      </c>
      <c r="U73" s="73">
        <v>242</v>
      </c>
      <c r="V73" s="73">
        <v>42</v>
      </c>
      <c r="W73" s="73">
        <v>2170</v>
      </c>
    </row>
    <row r="74" spans="1:23" s="25" customFormat="1" ht="12" x14ac:dyDescent="0.3">
      <c r="A74" s="83"/>
      <c r="B74" s="83"/>
      <c r="C74" s="83"/>
      <c r="D74" s="83"/>
      <c r="E74" s="83" t="s">
        <v>111</v>
      </c>
      <c r="F74" s="73">
        <v>183</v>
      </c>
      <c r="G74" s="73">
        <v>84</v>
      </c>
      <c r="H74" s="73">
        <v>30</v>
      </c>
      <c r="I74" s="73">
        <v>42</v>
      </c>
      <c r="J74" s="73">
        <v>20</v>
      </c>
      <c r="K74" s="73">
        <v>38</v>
      </c>
      <c r="L74" s="73">
        <v>21</v>
      </c>
      <c r="M74" s="73">
        <v>20</v>
      </c>
      <c r="N74" s="73">
        <v>239</v>
      </c>
      <c r="O74" s="73">
        <v>174</v>
      </c>
      <c r="P74" s="73">
        <v>92</v>
      </c>
      <c r="Q74" s="73">
        <v>145</v>
      </c>
      <c r="R74" s="73">
        <v>152</v>
      </c>
      <c r="S74" s="73">
        <v>158</v>
      </c>
      <c r="T74" s="73">
        <v>88</v>
      </c>
      <c r="U74" s="73">
        <v>140</v>
      </c>
      <c r="V74" s="73">
        <v>37</v>
      </c>
      <c r="W74" s="73">
        <v>1663</v>
      </c>
    </row>
    <row r="75" spans="1:23" s="25" customFormat="1" ht="12" x14ac:dyDescent="0.3">
      <c r="A75" s="83"/>
      <c r="B75" s="83"/>
      <c r="C75" s="83"/>
      <c r="D75" s="83"/>
      <c r="E75" s="83" t="s">
        <v>112</v>
      </c>
      <c r="F75" s="73">
        <v>0</v>
      </c>
      <c r="G75" s="73">
        <v>0</v>
      </c>
      <c r="H75" s="73">
        <v>0</v>
      </c>
      <c r="I75" s="73">
        <v>3</v>
      </c>
      <c r="J75" s="73">
        <v>0</v>
      </c>
      <c r="K75" s="73">
        <v>0</v>
      </c>
      <c r="L75" s="73">
        <v>0</v>
      </c>
      <c r="M75" s="73">
        <v>0</v>
      </c>
      <c r="N75" s="73">
        <v>4</v>
      </c>
      <c r="O75" s="73">
        <v>4</v>
      </c>
      <c r="P75" s="73">
        <v>2</v>
      </c>
      <c r="Q75" s="73">
        <v>5</v>
      </c>
      <c r="R75" s="73">
        <v>12</v>
      </c>
      <c r="S75" s="73">
        <v>0</v>
      </c>
      <c r="T75" s="73">
        <v>1</v>
      </c>
      <c r="U75" s="73">
        <v>4</v>
      </c>
      <c r="V75" s="73">
        <v>0</v>
      </c>
      <c r="W75" s="73">
        <v>35</v>
      </c>
    </row>
    <row r="76" spans="1:23" s="25" customFormat="1" ht="12" x14ac:dyDescent="0.3">
      <c r="A76" s="83"/>
      <c r="B76" s="83"/>
      <c r="C76" s="83" t="s">
        <v>113</v>
      </c>
      <c r="D76" s="83"/>
      <c r="E76" s="83"/>
      <c r="F76" s="73">
        <v>1320</v>
      </c>
      <c r="G76" s="73">
        <v>473</v>
      </c>
      <c r="H76" s="73">
        <v>394</v>
      </c>
      <c r="I76" s="73">
        <v>394</v>
      </c>
      <c r="J76" s="73">
        <v>205</v>
      </c>
      <c r="K76" s="73">
        <v>235</v>
      </c>
      <c r="L76" s="73">
        <v>169</v>
      </c>
      <c r="M76" s="73">
        <v>49</v>
      </c>
      <c r="N76" s="73">
        <v>1609</v>
      </c>
      <c r="O76" s="73">
        <v>465</v>
      </c>
      <c r="P76" s="73">
        <v>323</v>
      </c>
      <c r="Q76" s="73">
        <v>441</v>
      </c>
      <c r="R76" s="73">
        <v>415</v>
      </c>
      <c r="S76" s="73">
        <v>514</v>
      </c>
      <c r="T76" s="73">
        <v>589</v>
      </c>
      <c r="U76" s="73">
        <v>754</v>
      </c>
      <c r="V76" s="73">
        <v>167</v>
      </c>
      <c r="W76" s="73">
        <v>8516</v>
      </c>
    </row>
    <row r="77" spans="1:23" s="25" customFormat="1" ht="12" x14ac:dyDescent="0.3">
      <c r="A77" s="83"/>
      <c r="B77" s="83"/>
      <c r="C77" s="83"/>
      <c r="D77" s="83" t="s">
        <v>114</v>
      </c>
      <c r="E77" s="83"/>
      <c r="F77" s="73">
        <v>156</v>
      </c>
      <c r="G77" s="73">
        <v>99</v>
      </c>
      <c r="H77" s="73">
        <v>70</v>
      </c>
      <c r="I77" s="73">
        <v>79</v>
      </c>
      <c r="J77" s="73">
        <v>28</v>
      </c>
      <c r="K77" s="73">
        <v>41</v>
      </c>
      <c r="L77" s="73">
        <v>33</v>
      </c>
      <c r="M77" s="73">
        <v>12</v>
      </c>
      <c r="N77" s="73">
        <v>302</v>
      </c>
      <c r="O77" s="73">
        <v>135</v>
      </c>
      <c r="P77" s="73">
        <v>109</v>
      </c>
      <c r="Q77" s="73">
        <v>119</v>
      </c>
      <c r="R77" s="73">
        <v>94</v>
      </c>
      <c r="S77" s="73">
        <v>153</v>
      </c>
      <c r="T77" s="73">
        <v>159</v>
      </c>
      <c r="U77" s="73">
        <v>148</v>
      </c>
      <c r="V77" s="73">
        <v>43</v>
      </c>
      <c r="W77" s="73">
        <v>1780</v>
      </c>
    </row>
    <row r="78" spans="1:23" s="25" customFormat="1" ht="12" x14ac:dyDescent="0.3">
      <c r="A78" s="83"/>
      <c r="B78" s="83"/>
      <c r="C78" s="83"/>
      <c r="D78" s="83" t="s">
        <v>115</v>
      </c>
      <c r="E78" s="83"/>
      <c r="F78" s="73">
        <v>0</v>
      </c>
      <c r="G78" s="73">
        <v>0</v>
      </c>
      <c r="H78" s="73">
        <v>0</v>
      </c>
      <c r="I78" s="73">
        <v>0</v>
      </c>
      <c r="J78" s="73">
        <v>0</v>
      </c>
      <c r="K78" s="73">
        <v>0</v>
      </c>
      <c r="L78" s="73">
        <v>0</v>
      </c>
      <c r="M78" s="73">
        <v>0</v>
      </c>
      <c r="N78" s="73">
        <v>0</v>
      </c>
      <c r="O78" s="73">
        <v>0</v>
      </c>
      <c r="P78" s="73">
        <v>0</v>
      </c>
      <c r="Q78" s="73">
        <v>0</v>
      </c>
      <c r="R78" s="73">
        <v>0</v>
      </c>
      <c r="S78" s="73">
        <v>0</v>
      </c>
      <c r="T78" s="73">
        <v>0</v>
      </c>
      <c r="U78" s="73">
        <v>0</v>
      </c>
      <c r="V78" s="73">
        <v>0</v>
      </c>
      <c r="W78" s="73">
        <v>0</v>
      </c>
    </row>
    <row r="79" spans="1:23" s="25" customFormat="1" ht="12" x14ac:dyDescent="0.3">
      <c r="A79" s="83"/>
      <c r="B79" s="83"/>
      <c r="C79" s="83"/>
      <c r="D79" s="83" t="s">
        <v>116</v>
      </c>
      <c r="E79" s="83"/>
      <c r="F79" s="73">
        <v>0</v>
      </c>
      <c r="G79" s="73">
        <v>0</v>
      </c>
      <c r="H79" s="73">
        <v>0</v>
      </c>
      <c r="I79" s="73">
        <v>0</v>
      </c>
      <c r="J79" s="73">
        <v>0</v>
      </c>
      <c r="K79" s="73">
        <v>0</v>
      </c>
      <c r="L79" s="73">
        <v>0</v>
      </c>
      <c r="M79" s="73">
        <v>0</v>
      </c>
      <c r="N79" s="73">
        <v>0</v>
      </c>
      <c r="O79" s="73">
        <v>0</v>
      </c>
      <c r="P79" s="73">
        <v>0</v>
      </c>
      <c r="Q79" s="73">
        <v>0</v>
      </c>
      <c r="R79" s="73">
        <v>0</v>
      </c>
      <c r="S79" s="73">
        <v>0</v>
      </c>
      <c r="T79" s="73">
        <v>0</v>
      </c>
      <c r="U79" s="73">
        <v>0</v>
      </c>
      <c r="V79" s="73">
        <v>0</v>
      </c>
      <c r="W79" s="73">
        <v>0</v>
      </c>
    </row>
    <row r="80" spans="1:23" s="25" customFormat="1" ht="12" x14ac:dyDescent="0.3">
      <c r="A80" s="83"/>
      <c r="B80" s="83"/>
      <c r="C80" s="83"/>
      <c r="D80" s="83" t="s">
        <v>117</v>
      </c>
      <c r="E80" s="83"/>
      <c r="F80" s="73">
        <v>0</v>
      </c>
      <c r="G80" s="73">
        <v>1</v>
      </c>
      <c r="H80" s="73">
        <v>0</v>
      </c>
      <c r="I80" s="73">
        <v>0</v>
      </c>
      <c r="J80" s="73">
        <v>0</v>
      </c>
      <c r="K80" s="73">
        <v>0</v>
      </c>
      <c r="L80" s="73">
        <v>0</v>
      </c>
      <c r="M80" s="73">
        <v>2</v>
      </c>
      <c r="N80" s="73">
        <v>2</v>
      </c>
      <c r="O80" s="73">
        <v>1</v>
      </c>
      <c r="P80" s="73">
        <v>0</v>
      </c>
      <c r="Q80" s="73">
        <v>1</v>
      </c>
      <c r="R80" s="73">
        <v>0</v>
      </c>
      <c r="S80" s="73">
        <v>3</v>
      </c>
      <c r="T80" s="73">
        <v>0</v>
      </c>
      <c r="U80" s="73">
        <v>0</v>
      </c>
      <c r="V80" s="73">
        <v>0</v>
      </c>
      <c r="W80" s="73">
        <v>10</v>
      </c>
    </row>
    <row r="81" spans="1:23" s="25" customFormat="1" ht="12" x14ac:dyDescent="0.3">
      <c r="A81" s="83"/>
      <c r="B81" s="83"/>
      <c r="C81" s="83"/>
      <c r="D81" s="83" t="s">
        <v>118</v>
      </c>
      <c r="E81" s="83"/>
      <c r="F81" s="73">
        <v>4</v>
      </c>
      <c r="G81" s="73">
        <v>1</v>
      </c>
      <c r="H81" s="73">
        <v>1</v>
      </c>
      <c r="I81" s="73">
        <v>0</v>
      </c>
      <c r="J81" s="73">
        <v>0</v>
      </c>
      <c r="K81" s="73">
        <v>0</v>
      </c>
      <c r="L81" s="73">
        <v>0</v>
      </c>
      <c r="M81" s="73">
        <v>0</v>
      </c>
      <c r="N81" s="73">
        <v>9</v>
      </c>
      <c r="O81" s="73">
        <v>7</v>
      </c>
      <c r="P81" s="73">
        <v>0</v>
      </c>
      <c r="Q81" s="73">
        <v>6</v>
      </c>
      <c r="R81" s="73">
        <v>1</v>
      </c>
      <c r="S81" s="73">
        <v>0</v>
      </c>
      <c r="T81" s="73">
        <v>2</v>
      </c>
      <c r="U81" s="73">
        <v>0</v>
      </c>
      <c r="V81" s="73">
        <v>0</v>
      </c>
      <c r="W81" s="73">
        <v>31</v>
      </c>
    </row>
    <row r="82" spans="1:23" s="25" customFormat="1" ht="12" x14ac:dyDescent="0.3">
      <c r="A82" s="83"/>
      <c r="B82" s="83"/>
      <c r="C82" s="83"/>
      <c r="D82" s="83" t="s">
        <v>119</v>
      </c>
      <c r="E82" s="83"/>
      <c r="F82" s="73">
        <v>1160</v>
      </c>
      <c r="G82" s="73">
        <v>372</v>
      </c>
      <c r="H82" s="73">
        <v>323</v>
      </c>
      <c r="I82" s="73">
        <v>315</v>
      </c>
      <c r="J82" s="73">
        <v>177</v>
      </c>
      <c r="K82" s="73">
        <v>194</v>
      </c>
      <c r="L82" s="73">
        <v>136</v>
      </c>
      <c r="M82" s="73">
        <v>35</v>
      </c>
      <c r="N82" s="73">
        <v>1296</v>
      </c>
      <c r="O82" s="73">
        <v>322</v>
      </c>
      <c r="P82" s="73">
        <v>214</v>
      </c>
      <c r="Q82" s="73">
        <v>315</v>
      </c>
      <c r="R82" s="73">
        <v>320</v>
      </c>
      <c r="S82" s="73">
        <v>358</v>
      </c>
      <c r="T82" s="73">
        <v>428</v>
      </c>
      <c r="U82" s="73">
        <v>606</v>
      </c>
      <c r="V82" s="73">
        <v>124</v>
      </c>
      <c r="W82" s="73">
        <v>6695</v>
      </c>
    </row>
    <row r="83" spans="1:23" s="25" customFormat="1" ht="12" x14ac:dyDescent="0.3">
      <c r="A83" s="83"/>
      <c r="B83" s="83" t="s">
        <v>120</v>
      </c>
      <c r="C83" s="83"/>
      <c r="D83" s="83"/>
      <c r="E83" s="83"/>
      <c r="F83" s="73">
        <v>3937</v>
      </c>
      <c r="G83" s="73">
        <v>1588</v>
      </c>
      <c r="H83" s="73">
        <v>1365</v>
      </c>
      <c r="I83" s="73">
        <v>1311</v>
      </c>
      <c r="J83" s="73">
        <v>711</v>
      </c>
      <c r="K83" s="73">
        <v>634</v>
      </c>
      <c r="L83" s="73">
        <v>639</v>
      </c>
      <c r="M83" s="73">
        <v>225</v>
      </c>
      <c r="N83" s="73">
        <v>5585</v>
      </c>
      <c r="O83" s="73">
        <v>2465</v>
      </c>
      <c r="P83" s="73">
        <v>1545</v>
      </c>
      <c r="Q83" s="73">
        <v>2347</v>
      </c>
      <c r="R83" s="73">
        <v>2056</v>
      </c>
      <c r="S83" s="73">
        <v>2428</v>
      </c>
      <c r="T83" s="73">
        <v>2946</v>
      </c>
      <c r="U83" s="73">
        <v>2574</v>
      </c>
      <c r="V83" s="73">
        <v>1035</v>
      </c>
      <c r="W83" s="73">
        <v>33391</v>
      </c>
    </row>
    <row r="84" spans="1:23" s="25" customFormat="1" ht="12" x14ac:dyDescent="0.3">
      <c r="A84" s="83"/>
      <c r="B84" s="83"/>
      <c r="C84" s="83" t="s">
        <v>121</v>
      </c>
      <c r="D84" s="83"/>
      <c r="E84" s="83"/>
      <c r="F84" s="73">
        <v>1587</v>
      </c>
      <c r="G84" s="73">
        <v>693</v>
      </c>
      <c r="H84" s="73">
        <v>493</v>
      </c>
      <c r="I84" s="73">
        <v>562</v>
      </c>
      <c r="J84" s="73">
        <v>343</v>
      </c>
      <c r="K84" s="73">
        <v>299</v>
      </c>
      <c r="L84" s="73">
        <v>262</v>
      </c>
      <c r="M84" s="73">
        <v>93</v>
      </c>
      <c r="N84" s="73">
        <v>2651</v>
      </c>
      <c r="O84" s="73">
        <v>1086</v>
      </c>
      <c r="P84" s="73">
        <v>745</v>
      </c>
      <c r="Q84" s="73">
        <v>986</v>
      </c>
      <c r="R84" s="73">
        <v>894</v>
      </c>
      <c r="S84" s="73">
        <v>1020</v>
      </c>
      <c r="T84" s="73">
        <v>1203</v>
      </c>
      <c r="U84" s="73">
        <v>1226</v>
      </c>
      <c r="V84" s="73">
        <v>444</v>
      </c>
      <c r="W84" s="73">
        <v>14587</v>
      </c>
    </row>
    <row r="85" spans="1:23" s="25" customFormat="1" ht="12" x14ac:dyDescent="0.3">
      <c r="A85" s="83"/>
      <c r="B85" s="83"/>
      <c r="C85" s="83"/>
      <c r="D85" s="83" t="s">
        <v>122</v>
      </c>
      <c r="E85" s="83"/>
      <c r="F85" s="73">
        <v>41</v>
      </c>
      <c r="G85" s="73">
        <v>92</v>
      </c>
      <c r="H85" s="73">
        <v>85</v>
      </c>
      <c r="I85" s="73">
        <v>105</v>
      </c>
      <c r="J85" s="73">
        <v>49</v>
      </c>
      <c r="K85" s="73">
        <v>48</v>
      </c>
      <c r="L85" s="73">
        <v>49</v>
      </c>
      <c r="M85" s="73">
        <v>15</v>
      </c>
      <c r="N85" s="73">
        <v>544</v>
      </c>
      <c r="O85" s="73">
        <v>234</v>
      </c>
      <c r="P85" s="73">
        <v>106</v>
      </c>
      <c r="Q85" s="73">
        <v>256</v>
      </c>
      <c r="R85" s="73">
        <v>116</v>
      </c>
      <c r="S85" s="73">
        <v>133</v>
      </c>
      <c r="T85" s="73">
        <v>243</v>
      </c>
      <c r="U85" s="73">
        <v>106</v>
      </c>
      <c r="V85" s="73">
        <v>73</v>
      </c>
      <c r="W85" s="73">
        <v>2295</v>
      </c>
    </row>
    <row r="86" spans="1:23" s="25" customFormat="1" ht="12" x14ac:dyDescent="0.3">
      <c r="A86" s="83"/>
      <c r="B86" s="83"/>
      <c r="C86" s="83"/>
      <c r="D86" s="83" t="s">
        <v>123</v>
      </c>
      <c r="E86" s="83"/>
      <c r="F86" s="73">
        <v>1546</v>
      </c>
      <c r="G86" s="73">
        <v>601</v>
      </c>
      <c r="H86" s="73">
        <v>408</v>
      </c>
      <c r="I86" s="73">
        <v>457</v>
      </c>
      <c r="J86" s="73">
        <v>294</v>
      </c>
      <c r="K86" s="73">
        <v>251</v>
      </c>
      <c r="L86" s="73">
        <v>213</v>
      </c>
      <c r="M86" s="73">
        <v>78</v>
      </c>
      <c r="N86" s="73">
        <v>2107</v>
      </c>
      <c r="O86" s="73">
        <v>852</v>
      </c>
      <c r="P86" s="73">
        <v>639</v>
      </c>
      <c r="Q86" s="73">
        <v>730</v>
      </c>
      <c r="R86" s="73">
        <v>778</v>
      </c>
      <c r="S86" s="73">
        <v>887</v>
      </c>
      <c r="T86" s="73">
        <v>960</v>
      </c>
      <c r="U86" s="73">
        <v>1120</v>
      </c>
      <c r="V86" s="73">
        <v>371</v>
      </c>
      <c r="W86" s="73">
        <v>12292</v>
      </c>
    </row>
    <row r="87" spans="1:23" s="25" customFormat="1" ht="12" x14ac:dyDescent="0.3">
      <c r="A87" s="83"/>
      <c r="B87" s="83"/>
      <c r="C87" s="83"/>
      <c r="D87" s="83"/>
      <c r="E87" s="83" t="s">
        <v>124</v>
      </c>
      <c r="F87" s="73">
        <v>1343</v>
      </c>
      <c r="G87" s="73">
        <v>519</v>
      </c>
      <c r="H87" s="73">
        <v>355</v>
      </c>
      <c r="I87" s="73">
        <v>388</v>
      </c>
      <c r="J87" s="73">
        <v>264</v>
      </c>
      <c r="K87" s="73">
        <v>187</v>
      </c>
      <c r="L87" s="73">
        <v>187</v>
      </c>
      <c r="M87" s="73">
        <v>69</v>
      </c>
      <c r="N87" s="73">
        <v>1792</v>
      </c>
      <c r="O87" s="73">
        <v>637</v>
      </c>
      <c r="P87" s="73">
        <v>505</v>
      </c>
      <c r="Q87" s="73">
        <v>603</v>
      </c>
      <c r="R87" s="73">
        <v>658</v>
      </c>
      <c r="S87" s="73">
        <v>760</v>
      </c>
      <c r="T87" s="73">
        <v>803</v>
      </c>
      <c r="U87" s="73">
        <v>929</v>
      </c>
      <c r="V87" s="73">
        <v>315</v>
      </c>
      <c r="W87" s="73">
        <v>10314</v>
      </c>
    </row>
    <row r="88" spans="1:23" s="25" customFormat="1" ht="12" x14ac:dyDescent="0.3">
      <c r="A88" s="83"/>
      <c r="B88" s="83"/>
      <c r="C88" s="83"/>
      <c r="D88" s="83"/>
      <c r="E88" s="83" t="s">
        <v>125</v>
      </c>
      <c r="F88" s="73">
        <v>173</v>
      </c>
      <c r="G88" s="73">
        <v>61</v>
      </c>
      <c r="H88" s="73">
        <v>37</v>
      </c>
      <c r="I88" s="73">
        <v>48</v>
      </c>
      <c r="J88" s="73">
        <v>20</v>
      </c>
      <c r="K88" s="73">
        <v>50</v>
      </c>
      <c r="L88" s="73">
        <v>17</v>
      </c>
      <c r="M88" s="73">
        <v>3</v>
      </c>
      <c r="N88" s="73">
        <v>221</v>
      </c>
      <c r="O88" s="73">
        <v>106</v>
      </c>
      <c r="P88" s="73">
        <v>88</v>
      </c>
      <c r="Q88" s="73">
        <v>62</v>
      </c>
      <c r="R88" s="73">
        <v>54</v>
      </c>
      <c r="S88" s="73">
        <v>73</v>
      </c>
      <c r="T88" s="73">
        <v>81</v>
      </c>
      <c r="U88" s="73">
        <v>100</v>
      </c>
      <c r="V88" s="73">
        <v>32</v>
      </c>
      <c r="W88" s="73">
        <v>1226</v>
      </c>
    </row>
    <row r="89" spans="1:23" s="25" customFormat="1" ht="12" x14ac:dyDescent="0.3">
      <c r="A89" s="83"/>
      <c r="B89" s="83"/>
      <c r="C89" s="83"/>
      <c r="D89" s="83"/>
      <c r="E89" s="83" t="s">
        <v>126</v>
      </c>
      <c r="F89" s="73">
        <v>13</v>
      </c>
      <c r="G89" s="73">
        <v>7</v>
      </c>
      <c r="H89" s="73">
        <v>7</v>
      </c>
      <c r="I89" s="73">
        <v>13</v>
      </c>
      <c r="J89" s="73">
        <v>5</v>
      </c>
      <c r="K89" s="73">
        <v>12</v>
      </c>
      <c r="L89" s="73">
        <v>4</v>
      </c>
      <c r="M89" s="73">
        <v>2</v>
      </c>
      <c r="N89" s="73">
        <v>45</v>
      </c>
      <c r="O89" s="73">
        <v>47</v>
      </c>
      <c r="P89" s="73">
        <v>14</v>
      </c>
      <c r="Q89" s="73">
        <v>30</v>
      </c>
      <c r="R89" s="73">
        <v>32</v>
      </c>
      <c r="S89" s="73">
        <v>24</v>
      </c>
      <c r="T89" s="73">
        <v>45</v>
      </c>
      <c r="U89" s="73">
        <v>55</v>
      </c>
      <c r="V89" s="73">
        <v>10</v>
      </c>
      <c r="W89" s="73">
        <v>365</v>
      </c>
    </row>
    <row r="90" spans="1:23" s="25" customFormat="1" ht="12" x14ac:dyDescent="0.3">
      <c r="A90" s="83"/>
      <c r="B90" s="83"/>
      <c r="C90" s="83"/>
      <c r="D90" s="83"/>
      <c r="E90" s="83" t="s">
        <v>127</v>
      </c>
      <c r="F90" s="73">
        <v>16</v>
      </c>
      <c r="G90" s="73">
        <v>10</v>
      </c>
      <c r="H90" s="73">
        <v>7</v>
      </c>
      <c r="I90" s="73">
        <v>4</v>
      </c>
      <c r="J90" s="73">
        <v>5</v>
      </c>
      <c r="K90" s="73">
        <v>1</v>
      </c>
      <c r="L90" s="73">
        <v>3</v>
      </c>
      <c r="M90" s="73">
        <v>2</v>
      </c>
      <c r="N90" s="73">
        <v>44</v>
      </c>
      <c r="O90" s="73">
        <v>55</v>
      </c>
      <c r="P90" s="73">
        <v>25</v>
      </c>
      <c r="Q90" s="73">
        <v>29</v>
      </c>
      <c r="R90" s="73">
        <v>31</v>
      </c>
      <c r="S90" s="73">
        <v>18</v>
      </c>
      <c r="T90" s="73">
        <v>19</v>
      </c>
      <c r="U90" s="73">
        <v>29</v>
      </c>
      <c r="V90" s="73">
        <v>13</v>
      </c>
      <c r="W90" s="73">
        <v>311</v>
      </c>
    </row>
    <row r="91" spans="1:23" s="25" customFormat="1" ht="12" x14ac:dyDescent="0.3">
      <c r="A91" s="83"/>
      <c r="B91" s="83"/>
      <c r="C91" s="83"/>
      <c r="D91" s="83"/>
      <c r="E91" s="83" t="s">
        <v>128</v>
      </c>
      <c r="F91" s="73">
        <v>0</v>
      </c>
      <c r="G91" s="73">
        <v>1</v>
      </c>
      <c r="H91" s="73">
        <v>1</v>
      </c>
      <c r="I91" s="73">
        <v>0</v>
      </c>
      <c r="J91" s="73">
        <v>0</v>
      </c>
      <c r="K91" s="73">
        <v>0</v>
      </c>
      <c r="L91" s="73">
        <v>1</v>
      </c>
      <c r="M91" s="73">
        <v>2</v>
      </c>
      <c r="N91" s="73">
        <v>1</v>
      </c>
      <c r="O91" s="73">
        <v>2</v>
      </c>
      <c r="P91" s="73">
        <v>3</v>
      </c>
      <c r="Q91" s="73">
        <v>4</v>
      </c>
      <c r="R91" s="73">
        <v>0</v>
      </c>
      <c r="S91" s="73">
        <v>6</v>
      </c>
      <c r="T91" s="73">
        <v>6</v>
      </c>
      <c r="U91" s="73">
        <v>2</v>
      </c>
      <c r="V91" s="73">
        <v>1</v>
      </c>
      <c r="W91" s="73">
        <v>30</v>
      </c>
    </row>
    <row r="92" spans="1:23" s="25" customFormat="1" ht="12" x14ac:dyDescent="0.3">
      <c r="A92" s="83"/>
      <c r="B92" s="83"/>
      <c r="C92" s="83"/>
      <c r="D92" s="83"/>
      <c r="E92" s="83" t="s">
        <v>129</v>
      </c>
      <c r="F92" s="73">
        <v>0</v>
      </c>
      <c r="G92" s="73">
        <v>0</v>
      </c>
      <c r="H92" s="73">
        <v>0</v>
      </c>
      <c r="I92" s="73">
        <v>0</v>
      </c>
      <c r="J92" s="73">
        <v>0</v>
      </c>
      <c r="K92" s="73">
        <v>0</v>
      </c>
      <c r="L92" s="73">
        <v>0</v>
      </c>
      <c r="M92" s="73">
        <v>0</v>
      </c>
      <c r="N92" s="73">
        <v>0</v>
      </c>
      <c r="O92" s="73">
        <v>0</v>
      </c>
      <c r="P92" s="73">
        <v>0</v>
      </c>
      <c r="Q92" s="73">
        <v>0</v>
      </c>
      <c r="R92" s="73">
        <v>0</v>
      </c>
      <c r="S92" s="73">
        <v>0</v>
      </c>
      <c r="T92" s="73">
        <v>0</v>
      </c>
      <c r="U92" s="73">
        <v>0</v>
      </c>
      <c r="V92" s="73">
        <v>0</v>
      </c>
      <c r="W92" s="73">
        <v>0</v>
      </c>
    </row>
    <row r="93" spans="1:23" s="25" customFormat="1" ht="12" x14ac:dyDescent="0.3">
      <c r="A93" s="83"/>
      <c r="B93" s="83"/>
      <c r="C93" s="83"/>
      <c r="D93" s="83"/>
      <c r="E93" s="83" t="s">
        <v>130</v>
      </c>
      <c r="F93" s="73">
        <v>1</v>
      </c>
      <c r="G93" s="73">
        <v>3</v>
      </c>
      <c r="H93" s="73">
        <v>1</v>
      </c>
      <c r="I93" s="73">
        <v>4</v>
      </c>
      <c r="J93" s="73">
        <v>0</v>
      </c>
      <c r="K93" s="73">
        <v>1</v>
      </c>
      <c r="L93" s="73">
        <v>1</v>
      </c>
      <c r="M93" s="73">
        <v>0</v>
      </c>
      <c r="N93" s="73">
        <v>4</v>
      </c>
      <c r="O93" s="73">
        <v>5</v>
      </c>
      <c r="P93" s="73">
        <v>4</v>
      </c>
      <c r="Q93" s="73">
        <v>2</v>
      </c>
      <c r="R93" s="73">
        <v>3</v>
      </c>
      <c r="S93" s="73">
        <v>6</v>
      </c>
      <c r="T93" s="73">
        <v>6</v>
      </c>
      <c r="U93" s="73">
        <v>5</v>
      </c>
      <c r="V93" s="73">
        <v>0</v>
      </c>
      <c r="W93" s="73">
        <v>46</v>
      </c>
    </row>
    <row r="94" spans="1:23" s="25" customFormat="1" ht="12" x14ac:dyDescent="0.3">
      <c r="A94" s="83"/>
      <c r="B94" s="83"/>
      <c r="C94" s="83" t="s">
        <v>131</v>
      </c>
      <c r="D94" s="83"/>
      <c r="E94" s="83"/>
      <c r="F94" s="73">
        <v>64</v>
      </c>
      <c r="G94" s="73">
        <v>31</v>
      </c>
      <c r="H94" s="73">
        <v>13</v>
      </c>
      <c r="I94" s="73">
        <v>28</v>
      </c>
      <c r="J94" s="73">
        <v>20</v>
      </c>
      <c r="K94" s="73">
        <v>11</v>
      </c>
      <c r="L94" s="73">
        <v>6</v>
      </c>
      <c r="M94" s="73">
        <v>3</v>
      </c>
      <c r="N94" s="73">
        <v>101</v>
      </c>
      <c r="O94" s="73">
        <v>85</v>
      </c>
      <c r="P94" s="73">
        <v>30</v>
      </c>
      <c r="Q94" s="73">
        <v>67</v>
      </c>
      <c r="R94" s="73">
        <v>51</v>
      </c>
      <c r="S94" s="73">
        <v>55</v>
      </c>
      <c r="T94" s="73">
        <v>84</v>
      </c>
      <c r="U94" s="73">
        <v>66</v>
      </c>
      <c r="V94" s="73">
        <v>16</v>
      </c>
      <c r="W94" s="73">
        <v>731</v>
      </c>
    </row>
    <row r="95" spans="1:23" s="25" customFormat="1" ht="12" x14ac:dyDescent="0.3">
      <c r="A95" s="83"/>
      <c r="B95" s="83"/>
      <c r="C95" s="83"/>
      <c r="D95" s="83"/>
      <c r="E95" s="83" t="s">
        <v>132</v>
      </c>
      <c r="F95" s="73">
        <v>20</v>
      </c>
      <c r="G95" s="73">
        <v>5</v>
      </c>
      <c r="H95" s="73">
        <v>2</v>
      </c>
      <c r="I95" s="73">
        <v>2</v>
      </c>
      <c r="J95" s="73">
        <v>2</v>
      </c>
      <c r="K95" s="73">
        <v>2</v>
      </c>
      <c r="L95" s="73">
        <v>3</v>
      </c>
      <c r="M95" s="73">
        <v>2</v>
      </c>
      <c r="N95" s="73">
        <v>31</v>
      </c>
      <c r="O95" s="73">
        <v>43</v>
      </c>
      <c r="P95" s="73">
        <v>16</v>
      </c>
      <c r="Q95" s="73">
        <v>25</v>
      </c>
      <c r="R95" s="73">
        <v>18</v>
      </c>
      <c r="S95" s="73">
        <v>20</v>
      </c>
      <c r="T95" s="73">
        <v>36</v>
      </c>
      <c r="U95" s="73">
        <v>36</v>
      </c>
      <c r="V95" s="73">
        <v>8</v>
      </c>
      <c r="W95" s="73">
        <v>271</v>
      </c>
    </row>
    <row r="96" spans="1:23" s="25" customFormat="1" ht="12" x14ac:dyDescent="0.3">
      <c r="A96" s="83"/>
      <c r="B96" s="83"/>
      <c r="C96" s="83"/>
      <c r="D96" s="83"/>
      <c r="E96" s="83" t="s">
        <v>133</v>
      </c>
      <c r="F96" s="73">
        <v>27</v>
      </c>
      <c r="G96" s="73">
        <v>6</v>
      </c>
      <c r="H96" s="73">
        <v>7</v>
      </c>
      <c r="I96" s="73">
        <v>11</v>
      </c>
      <c r="J96" s="73">
        <v>3</v>
      </c>
      <c r="K96" s="73">
        <v>3</v>
      </c>
      <c r="L96" s="73">
        <v>1</v>
      </c>
      <c r="M96" s="73">
        <v>0</v>
      </c>
      <c r="N96" s="73">
        <v>36</v>
      </c>
      <c r="O96" s="73">
        <v>18</v>
      </c>
      <c r="P96" s="73">
        <v>4</v>
      </c>
      <c r="Q96" s="73">
        <v>9</v>
      </c>
      <c r="R96" s="73">
        <v>9</v>
      </c>
      <c r="S96" s="73">
        <v>14</v>
      </c>
      <c r="T96" s="73">
        <v>17</v>
      </c>
      <c r="U96" s="73">
        <v>10</v>
      </c>
      <c r="V96" s="73">
        <v>2</v>
      </c>
      <c r="W96" s="73">
        <v>177</v>
      </c>
    </row>
    <row r="97" spans="1:23" s="25" customFormat="1" ht="12" x14ac:dyDescent="0.3">
      <c r="A97" s="83"/>
      <c r="B97" s="83"/>
      <c r="C97" s="83"/>
      <c r="D97" s="83"/>
      <c r="E97" s="83" t="s">
        <v>134</v>
      </c>
      <c r="F97" s="73">
        <v>10</v>
      </c>
      <c r="G97" s="73">
        <v>18</v>
      </c>
      <c r="H97" s="73">
        <v>1</v>
      </c>
      <c r="I97" s="73">
        <v>14</v>
      </c>
      <c r="J97" s="73">
        <v>15</v>
      </c>
      <c r="K97" s="73">
        <v>6</v>
      </c>
      <c r="L97" s="73">
        <v>2</v>
      </c>
      <c r="M97" s="73">
        <v>1</v>
      </c>
      <c r="N97" s="73">
        <v>30</v>
      </c>
      <c r="O97" s="73">
        <v>24</v>
      </c>
      <c r="P97" s="73">
        <v>7</v>
      </c>
      <c r="Q97" s="73">
        <v>24</v>
      </c>
      <c r="R97" s="73">
        <v>15</v>
      </c>
      <c r="S97" s="73">
        <v>20</v>
      </c>
      <c r="T97" s="73">
        <v>21</v>
      </c>
      <c r="U97" s="73">
        <v>20</v>
      </c>
      <c r="V97" s="73">
        <v>3</v>
      </c>
      <c r="W97" s="73">
        <v>231</v>
      </c>
    </row>
    <row r="98" spans="1:23" s="25" customFormat="1" ht="12" x14ac:dyDescent="0.3">
      <c r="A98" s="83"/>
      <c r="B98" s="83"/>
      <c r="C98" s="83"/>
      <c r="D98" s="83"/>
      <c r="E98" s="83" t="s">
        <v>135</v>
      </c>
      <c r="F98" s="73">
        <v>7</v>
      </c>
      <c r="G98" s="73">
        <v>2</v>
      </c>
      <c r="H98" s="73">
        <v>3</v>
      </c>
      <c r="I98" s="73">
        <v>1</v>
      </c>
      <c r="J98" s="73">
        <v>0</v>
      </c>
      <c r="K98" s="73">
        <v>0</v>
      </c>
      <c r="L98" s="73">
        <v>0</v>
      </c>
      <c r="M98" s="73">
        <v>0</v>
      </c>
      <c r="N98" s="73">
        <v>4</v>
      </c>
      <c r="O98" s="73">
        <v>0</v>
      </c>
      <c r="P98" s="73">
        <v>3</v>
      </c>
      <c r="Q98" s="73">
        <v>9</v>
      </c>
      <c r="R98" s="73">
        <v>9</v>
      </c>
      <c r="S98" s="73">
        <v>1</v>
      </c>
      <c r="T98" s="73">
        <v>10</v>
      </c>
      <c r="U98" s="73">
        <v>0</v>
      </c>
      <c r="V98" s="73">
        <v>3</v>
      </c>
      <c r="W98" s="73">
        <v>52</v>
      </c>
    </row>
    <row r="99" spans="1:23" s="25" customFormat="1" ht="12" x14ac:dyDescent="0.3">
      <c r="A99" s="83"/>
      <c r="B99" s="83"/>
      <c r="C99" s="83" t="s">
        <v>136</v>
      </c>
      <c r="D99" s="83"/>
      <c r="E99" s="83"/>
      <c r="F99" s="73">
        <v>518</v>
      </c>
      <c r="G99" s="73">
        <v>221</v>
      </c>
      <c r="H99" s="73">
        <v>161</v>
      </c>
      <c r="I99" s="73">
        <v>153</v>
      </c>
      <c r="J99" s="73">
        <v>85</v>
      </c>
      <c r="K99" s="73">
        <v>93</v>
      </c>
      <c r="L99" s="73">
        <v>92</v>
      </c>
      <c r="M99" s="73">
        <v>13</v>
      </c>
      <c r="N99" s="73">
        <v>425</v>
      </c>
      <c r="O99" s="73">
        <v>144</v>
      </c>
      <c r="P99" s="73">
        <v>135</v>
      </c>
      <c r="Q99" s="73">
        <v>189</v>
      </c>
      <c r="R99" s="73">
        <v>217</v>
      </c>
      <c r="S99" s="73">
        <v>228</v>
      </c>
      <c r="T99" s="73">
        <v>254</v>
      </c>
      <c r="U99" s="73">
        <v>225</v>
      </c>
      <c r="V99" s="73">
        <v>77</v>
      </c>
      <c r="W99" s="73">
        <v>3230</v>
      </c>
    </row>
    <row r="100" spans="1:23" s="25" customFormat="1" ht="12" x14ac:dyDescent="0.3">
      <c r="A100" s="83"/>
      <c r="B100" s="83"/>
      <c r="C100" s="83"/>
      <c r="D100" s="83"/>
      <c r="E100" s="83" t="s">
        <v>137</v>
      </c>
      <c r="F100" s="73">
        <v>509</v>
      </c>
      <c r="G100" s="73">
        <v>218</v>
      </c>
      <c r="H100" s="73">
        <v>160</v>
      </c>
      <c r="I100" s="73">
        <v>149</v>
      </c>
      <c r="J100" s="73">
        <v>85</v>
      </c>
      <c r="K100" s="73">
        <v>92</v>
      </c>
      <c r="L100" s="73">
        <v>92</v>
      </c>
      <c r="M100" s="73">
        <v>13</v>
      </c>
      <c r="N100" s="73">
        <v>419</v>
      </c>
      <c r="O100" s="73">
        <v>141</v>
      </c>
      <c r="P100" s="73">
        <v>129</v>
      </c>
      <c r="Q100" s="73">
        <v>184</v>
      </c>
      <c r="R100" s="73">
        <v>216</v>
      </c>
      <c r="S100" s="73">
        <v>226</v>
      </c>
      <c r="T100" s="73">
        <v>252</v>
      </c>
      <c r="U100" s="73">
        <v>225</v>
      </c>
      <c r="V100" s="73">
        <v>75</v>
      </c>
      <c r="W100" s="73">
        <v>3185</v>
      </c>
    </row>
    <row r="101" spans="1:23" s="25" customFormat="1" ht="12" x14ac:dyDescent="0.3">
      <c r="A101" s="83"/>
      <c r="B101" s="83"/>
      <c r="C101" s="83"/>
      <c r="D101" s="83"/>
      <c r="E101" s="83" t="s">
        <v>138</v>
      </c>
      <c r="F101" s="73">
        <v>9</v>
      </c>
      <c r="G101" s="73">
        <v>3</v>
      </c>
      <c r="H101" s="73">
        <v>1</v>
      </c>
      <c r="I101" s="73">
        <v>4</v>
      </c>
      <c r="J101" s="73">
        <v>0</v>
      </c>
      <c r="K101" s="73">
        <v>1</v>
      </c>
      <c r="L101" s="73">
        <v>0</v>
      </c>
      <c r="M101" s="73">
        <v>0</v>
      </c>
      <c r="N101" s="73">
        <v>6</v>
      </c>
      <c r="O101" s="73">
        <v>3</v>
      </c>
      <c r="P101" s="73">
        <v>6</v>
      </c>
      <c r="Q101" s="73">
        <v>4</v>
      </c>
      <c r="R101" s="73">
        <v>1</v>
      </c>
      <c r="S101" s="73">
        <v>2</v>
      </c>
      <c r="T101" s="73">
        <v>2</v>
      </c>
      <c r="U101" s="73">
        <v>0</v>
      </c>
      <c r="V101" s="73">
        <v>2</v>
      </c>
      <c r="W101" s="73">
        <v>44</v>
      </c>
    </row>
    <row r="102" spans="1:23" s="25" customFormat="1" ht="12" x14ac:dyDescent="0.3">
      <c r="A102" s="83"/>
      <c r="B102" s="83"/>
      <c r="C102" s="83"/>
      <c r="D102" s="83"/>
      <c r="E102" s="83" t="s">
        <v>139</v>
      </c>
      <c r="F102" s="73">
        <v>0</v>
      </c>
      <c r="G102" s="73">
        <v>0</v>
      </c>
      <c r="H102" s="73">
        <v>0</v>
      </c>
      <c r="I102" s="73">
        <v>0</v>
      </c>
      <c r="J102" s="73">
        <v>0</v>
      </c>
      <c r="K102" s="73">
        <v>0</v>
      </c>
      <c r="L102" s="73">
        <v>0</v>
      </c>
      <c r="M102" s="73">
        <v>0</v>
      </c>
      <c r="N102" s="73">
        <v>0</v>
      </c>
      <c r="O102" s="73">
        <v>0</v>
      </c>
      <c r="P102" s="73">
        <v>0</v>
      </c>
      <c r="Q102" s="73">
        <v>1</v>
      </c>
      <c r="R102" s="73">
        <v>0</v>
      </c>
      <c r="S102" s="73">
        <v>0</v>
      </c>
      <c r="T102" s="73">
        <v>0</v>
      </c>
      <c r="U102" s="73">
        <v>0</v>
      </c>
      <c r="V102" s="73">
        <v>0</v>
      </c>
      <c r="W102" s="73">
        <v>1</v>
      </c>
    </row>
    <row r="103" spans="1:23" s="25" customFormat="1" ht="12" x14ac:dyDescent="0.3">
      <c r="A103" s="83"/>
      <c r="B103" s="83"/>
      <c r="C103" s="83" t="s">
        <v>140</v>
      </c>
      <c r="D103" s="83"/>
      <c r="E103" s="83"/>
      <c r="F103" s="73">
        <v>1768</v>
      </c>
      <c r="G103" s="73">
        <v>643</v>
      </c>
      <c r="H103" s="73">
        <v>698</v>
      </c>
      <c r="I103" s="73">
        <v>568</v>
      </c>
      <c r="J103" s="73">
        <v>263</v>
      </c>
      <c r="K103" s="73">
        <v>231</v>
      </c>
      <c r="L103" s="73">
        <v>279</v>
      </c>
      <c r="M103" s="73">
        <v>116</v>
      </c>
      <c r="N103" s="73">
        <v>2408</v>
      </c>
      <c r="O103" s="73">
        <v>1150</v>
      </c>
      <c r="P103" s="73">
        <v>635</v>
      </c>
      <c r="Q103" s="73">
        <v>1105</v>
      </c>
      <c r="R103" s="73">
        <v>894</v>
      </c>
      <c r="S103" s="73">
        <v>1125</v>
      </c>
      <c r="T103" s="73">
        <v>1405</v>
      </c>
      <c r="U103" s="73">
        <v>1057</v>
      </c>
      <c r="V103" s="73">
        <v>498</v>
      </c>
      <c r="W103" s="73">
        <v>14843</v>
      </c>
    </row>
    <row r="104" spans="1:23" s="25" customFormat="1" ht="12" x14ac:dyDescent="0.3">
      <c r="A104" s="83"/>
      <c r="B104" s="83"/>
      <c r="C104" s="83"/>
      <c r="D104" s="83" t="s">
        <v>141</v>
      </c>
      <c r="E104" s="83"/>
      <c r="F104" s="73">
        <v>275</v>
      </c>
      <c r="G104" s="73">
        <v>24</v>
      </c>
      <c r="H104" s="73">
        <v>82</v>
      </c>
      <c r="I104" s="73">
        <v>49</v>
      </c>
      <c r="J104" s="73">
        <v>24</v>
      </c>
      <c r="K104" s="73">
        <v>10</v>
      </c>
      <c r="L104" s="73">
        <v>17</v>
      </c>
      <c r="M104" s="73">
        <v>12</v>
      </c>
      <c r="N104" s="73">
        <v>177</v>
      </c>
      <c r="O104" s="73">
        <v>148</v>
      </c>
      <c r="P104" s="73">
        <v>112</v>
      </c>
      <c r="Q104" s="73">
        <v>124</v>
      </c>
      <c r="R104" s="73">
        <v>138</v>
      </c>
      <c r="S104" s="73">
        <v>242</v>
      </c>
      <c r="T104" s="73">
        <v>246</v>
      </c>
      <c r="U104" s="73">
        <v>131</v>
      </c>
      <c r="V104" s="73">
        <v>89</v>
      </c>
      <c r="W104" s="73">
        <v>1900</v>
      </c>
    </row>
    <row r="105" spans="1:23" s="25" customFormat="1" ht="12" x14ac:dyDescent="0.3">
      <c r="A105" s="83"/>
      <c r="B105" s="83"/>
      <c r="C105" s="83"/>
      <c r="D105" s="83" t="s">
        <v>142</v>
      </c>
      <c r="E105" s="83"/>
      <c r="F105" s="73">
        <v>223</v>
      </c>
      <c r="G105" s="73">
        <v>46</v>
      </c>
      <c r="H105" s="73">
        <v>78</v>
      </c>
      <c r="I105" s="73">
        <v>69</v>
      </c>
      <c r="J105" s="73">
        <v>29</v>
      </c>
      <c r="K105" s="73">
        <v>27</v>
      </c>
      <c r="L105" s="73">
        <v>23</v>
      </c>
      <c r="M105" s="73">
        <v>7</v>
      </c>
      <c r="N105" s="73">
        <v>245</v>
      </c>
      <c r="O105" s="73">
        <v>36</v>
      </c>
      <c r="P105" s="73">
        <v>33</v>
      </c>
      <c r="Q105" s="73">
        <v>33</v>
      </c>
      <c r="R105" s="73">
        <v>52</v>
      </c>
      <c r="S105" s="73">
        <v>19</v>
      </c>
      <c r="T105" s="73">
        <v>41</v>
      </c>
      <c r="U105" s="73">
        <v>46</v>
      </c>
      <c r="V105" s="73">
        <v>32</v>
      </c>
      <c r="W105" s="73">
        <v>1039</v>
      </c>
    </row>
    <row r="106" spans="1:23" s="25" customFormat="1" ht="12" x14ac:dyDescent="0.3">
      <c r="A106" s="83"/>
      <c r="B106" s="83"/>
      <c r="C106" s="83"/>
      <c r="D106" s="83" t="s">
        <v>143</v>
      </c>
      <c r="E106" s="83"/>
      <c r="F106" s="73">
        <v>179</v>
      </c>
      <c r="G106" s="73">
        <v>4</v>
      </c>
      <c r="H106" s="73">
        <v>17</v>
      </c>
      <c r="I106" s="73">
        <v>22</v>
      </c>
      <c r="J106" s="73">
        <v>6</v>
      </c>
      <c r="K106" s="73">
        <v>2</v>
      </c>
      <c r="L106" s="73">
        <v>4</v>
      </c>
      <c r="M106" s="73">
        <v>0</v>
      </c>
      <c r="N106" s="73">
        <v>69</v>
      </c>
      <c r="O106" s="73">
        <v>4</v>
      </c>
      <c r="P106" s="73">
        <v>6</v>
      </c>
      <c r="Q106" s="73">
        <v>4</v>
      </c>
      <c r="R106" s="73">
        <v>8</v>
      </c>
      <c r="S106" s="73">
        <v>7</v>
      </c>
      <c r="T106" s="73">
        <v>13</v>
      </c>
      <c r="U106" s="73">
        <v>15</v>
      </c>
      <c r="V106" s="73">
        <v>17</v>
      </c>
      <c r="W106" s="73">
        <v>377</v>
      </c>
    </row>
    <row r="107" spans="1:23" s="25" customFormat="1" ht="12" x14ac:dyDescent="0.3">
      <c r="A107" s="83"/>
      <c r="B107" s="83"/>
      <c r="C107" s="83"/>
      <c r="D107" s="83" t="s">
        <v>144</v>
      </c>
      <c r="E107" s="83"/>
      <c r="F107" s="73">
        <v>211</v>
      </c>
      <c r="G107" s="73">
        <v>140</v>
      </c>
      <c r="H107" s="73">
        <v>134</v>
      </c>
      <c r="I107" s="73">
        <v>138</v>
      </c>
      <c r="J107" s="73">
        <v>62</v>
      </c>
      <c r="K107" s="73">
        <v>51</v>
      </c>
      <c r="L107" s="73">
        <v>69</v>
      </c>
      <c r="M107" s="73">
        <v>25</v>
      </c>
      <c r="N107" s="73">
        <v>535</v>
      </c>
      <c r="O107" s="73">
        <v>230</v>
      </c>
      <c r="P107" s="73">
        <v>133</v>
      </c>
      <c r="Q107" s="73">
        <v>202</v>
      </c>
      <c r="R107" s="73">
        <v>150</v>
      </c>
      <c r="S107" s="73">
        <v>211</v>
      </c>
      <c r="T107" s="73">
        <v>245</v>
      </c>
      <c r="U107" s="73">
        <v>279</v>
      </c>
      <c r="V107" s="73">
        <v>61</v>
      </c>
      <c r="W107" s="73">
        <v>2876</v>
      </c>
    </row>
    <row r="108" spans="1:23" s="25" customFormat="1" ht="12" x14ac:dyDescent="0.3">
      <c r="A108" s="83"/>
      <c r="B108" s="83"/>
      <c r="C108" s="83"/>
      <c r="D108" s="83" t="s">
        <v>145</v>
      </c>
      <c r="E108" s="83"/>
      <c r="F108" s="73">
        <v>82</v>
      </c>
      <c r="G108" s="73">
        <v>20</v>
      </c>
      <c r="H108" s="73">
        <v>8</v>
      </c>
      <c r="I108" s="73">
        <v>12</v>
      </c>
      <c r="J108" s="73">
        <v>5</v>
      </c>
      <c r="K108" s="73">
        <v>10</v>
      </c>
      <c r="L108" s="73">
        <v>6</v>
      </c>
      <c r="M108" s="73">
        <v>2</v>
      </c>
      <c r="N108" s="73">
        <v>84</v>
      </c>
      <c r="O108" s="73">
        <v>28</v>
      </c>
      <c r="P108" s="73">
        <v>11</v>
      </c>
      <c r="Q108" s="73">
        <v>39</v>
      </c>
      <c r="R108" s="73">
        <v>79</v>
      </c>
      <c r="S108" s="73">
        <v>27</v>
      </c>
      <c r="T108" s="73">
        <v>64</v>
      </c>
      <c r="U108" s="73">
        <v>21</v>
      </c>
      <c r="V108" s="73">
        <v>5</v>
      </c>
      <c r="W108" s="73">
        <v>503</v>
      </c>
    </row>
    <row r="109" spans="1:23" s="25" customFormat="1" ht="12" x14ac:dyDescent="0.3">
      <c r="A109" s="83"/>
      <c r="B109" s="83"/>
      <c r="C109" s="83"/>
      <c r="D109" s="83" t="s">
        <v>146</v>
      </c>
      <c r="E109" s="83"/>
      <c r="F109" s="73">
        <v>0</v>
      </c>
      <c r="G109" s="73">
        <v>0</v>
      </c>
      <c r="H109" s="73">
        <v>0</v>
      </c>
      <c r="I109" s="73">
        <v>0</v>
      </c>
      <c r="J109" s="73">
        <v>0</v>
      </c>
      <c r="K109" s="73">
        <v>0</v>
      </c>
      <c r="L109" s="73">
        <v>0</v>
      </c>
      <c r="M109" s="73">
        <v>0</v>
      </c>
      <c r="N109" s="73">
        <v>0</v>
      </c>
      <c r="O109" s="73">
        <v>1</v>
      </c>
      <c r="P109" s="73">
        <v>0</v>
      </c>
      <c r="Q109" s="73">
        <v>1</v>
      </c>
      <c r="R109" s="73">
        <v>0</v>
      </c>
      <c r="S109" s="73">
        <v>0</v>
      </c>
      <c r="T109" s="73">
        <v>1</v>
      </c>
      <c r="U109" s="73">
        <v>0</v>
      </c>
      <c r="V109" s="73">
        <v>0</v>
      </c>
      <c r="W109" s="73">
        <v>3</v>
      </c>
    </row>
    <row r="110" spans="1:23" s="25" customFormat="1" ht="12" x14ac:dyDescent="0.3">
      <c r="A110" s="83"/>
      <c r="B110" s="83"/>
      <c r="C110" s="83"/>
      <c r="D110" s="83" t="s">
        <v>147</v>
      </c>
      <c r="E110" s="83"/>
      <c r="F110" s="73">
        <v>3</v>
      </c>
      <c r="G110" s="73">
        <v>4</v>
      </c>
      <c r="H110" s="73">
        <v>5</v>
      </c>
      <c r="I110" s="73">
        <v>4</v>
      </c>
      <c r="J110" s="73">
        <v>0</v>
      </c>
      <c r="K110" s="73">
        <v>0</v>
      </c>
      <c r="L110" s="73">
        <v>1</v>
      </c>
      <c r="M110" s="73">
        <v>0</v>
      </c>
      <c r="N110" s="73">
        <v>5</v>
      </c>
      <c r="O110" s="73">
        <v>8</v>
      </c>
      <c r="P110" s="73">
        <v>5</v>
      </c>
      <c r="Q110" s="73">
        <v>4</v>
      </c>
      <c r="R110" s="73">
        <v>5</v>
      </c>
      <c r="S110" s="73">
        <v>4</v>
      </c>
      <c r="T110" s="73">
        <v>5</v>
      </c>
      <c r="U110" s="73">
        <v>5</v>
      </c>
      <c r="V110" s="73">
        <v>4</v>
      </c>
      <c r="W110" s="73">
        <v>62</v>
      </c>
    </row>
    <row r="111" spans="1:23" s="25" customFormat="1" ht="12" x14ac:dyDescent="0.3">
      <c r="A111" s="83"/>
      <c r="B111" s="83"/>
      <c r="C111" s="83"/>
      <c r="D111" s="83"/>
      <c r="E111" s="83" t="s">
        <v>148</v>
      </c>
      <c r="F111" s="73">
        <v>3</v>
      </c>
      <c r="G111" s="73">
        <v>3</v>
      </c>
      <c r="H111" s="73">
        <v>5</v>
      </c>
      <c r="I111" s="73">
        <v>2</v>
      </c>
      <c r="J111" s="73">
        <v>0</v>
      </c>
      <c r="K111" s="73">
        <v>0</v>
      </c>
      <c r="L111" s="73">
        <v>1</v>
      </c>
      <c r="M111" s="73">
        <v>0</v>
      </c>
      <c r="N111" s="73">
        <v>3</v>
      </c>
      <c r="O111" s="73">
        <v>6</v>
      </c>
      <c r="P111" s="73">
        <v>5</v>
      </c>
      <c r="Q111" s="73">
        <v>3</v>
      </c>
      <c r="R111" s="73">
        <v>5</v>
      </c>
      <c r="S111" s="73">
        <v>4</v>
      </c>
      <c r="T111" s="73">
        <v>5</v>
      </c>
      <c r="U111" s="73">
        <v>5</v>
      </c>
      <c r="V111" s="73">
        <v>4</v>
      </c>
      <c r="W111" s="73">
        <v>54</v>
      </c>
    </row>
    <row r="112" spans="1:23" s="25" customFormat="1" ht="12" x14ac:dyDescent="0.3">
      <c r="A112" s="83"/>
      <c r="B112" s="83"/>
      <c r="C112" s="83"/>
      <c r="D112" s="83"/>
      <c r="E112" s="83" t="s">
        <v>149</v>
      </c>
      <c r="F112" s="73">
        <v>0</v>
      </c>
      <c r="G112" s="73">
        <v>0</v>
      </c>
      <c r="H112" s="73">
        <v>0</v>
      </c>
      <c r="I112" s="73">
        <v>0</v>
      </c>
      <c r="J112" s="73">
        <v>0</v>
      </c>
      <c r="K112" s="73">
        <v>0</v>
      </c>
      <c r="L112" s="73">
        <v>0</v>
      </c>
      <c r="M112" s="73">
        <v>0</v>
      </c>
      <c r="N112" s="73">
        <v>0</v>
      </c>
      <c r="O112" s="73">
        <v>0</v>
      </c>
      <c r="P112" s="73">
        <v>0</v>
      </c>
      <c r="Q112" s="73">
        <v>0</v>
      </c>
      <c r="R112" s="73">
        <v>0</v>
      </c>
      <c r="S112" s="73">
        <v>0</v>
      </c>
      <c r="T112" s="73">
        <v>0</v>
      </c>
      <c r="U112" s="73">
        <v>0</v>
      </c>
      <c r="V112" s="73">
        <v>0</v>
      </c>
      <c r="W112" s="73">
        <v>0</v>
      </c>
    </row>
    <row r="113" spans="1:23" s="25" customFormat="1" ht="12" x14ac:dyDescent="0.3">
      <c r="A113" s="83"/>
      <c r="B113" s="83"/>
      <c r="C113" s="83"/>
      <c r="D113" s="83"/>
      <c r="E113" s="83" t="s">
        <v>150</v>
      </c>
      <c r="F113" s="73">
        <v>0</v>
      </c>
      <c r="G113" s="73">
        <v>1</v>
      </c>
      <c r="H113" s="73">
        <v>0</v>
      </c>
      <c r="I113" s="73">
        <v>1</v>
      </c>
      <c r="J113" s="73">
        <v>0</v>
      </c>
      <c r="K113" s="73">
        <v>0</v>
      </c>
      <c r="L113" s="73">
        <v>0</v>
      </c>
      <c r="M113" s="73">
        <v>0</v>
      </c>
      <c r="N113" s="73">
        <v>2</v>
      </c>
      <c r="O113" s="73">
        <v>1</v>
      </c>
      <c r="P113" s="73">
        <v>0</v>
      </c>
      <c r="Q113" s="73">
        <v>1</v>
      </c>
      <c r="R113" s="73">
        <v>0</v>
      </c>
      <c r="S113" s="73">
        <v>0</v>
      </c>
      <c r="T113" s="73">
        <v>0</v>
      </c>
      <c r="U113" s="73">
        <v>0</v>
      </c>
      <c r="V113" s="73">
        <v>0</v>
      </c>
      <c r="W113" s="73">
        <v>6</v>
      </c>
    </row>
    <row r="114" spans="1:23" s="25" customFormat="1" ht="12" x14ac:dyDescent="0.3">
      <c r="A114" s="83"/>
      <c r="B114" s="83"/>
      <c r="C114" s="83"/>
      <c r="D114" s="83"/>
      <c r="E114" s="83" t="s">
        <v>151</v>
      </c>
      <c r="F114" s="73">
        <v>0</v>
      </c>
      <c r="G114" s="73">
        <v>0</v>
      </c>
      <c r="H114" s="73">
        <v>0</v>
      </c>
      <c r="I114" s="73">
        <v>0</v>
      </c>
      <c r="J114" s="73">
        <v>0</v>
      </c>
      <c r="K114" s="73">
        <v>0</v>
      </c>
      <c r="L114" s="73">
        <v>0</v>
      </c>
      <c r="M114" s="73">
        <v>0</v>
      </c>
      <c r="N114" s="73">
        <v>0</v>
      </c>
      <c r="O114" s="73">
        <v>0</v>
      </c>
      <c r="P114" s="73">
        <v>0</v>
      </c>
      <c r="Q114" s="73">
        <v>0</v>
      </c>
      <c r="R114" s="73">
        <v>0</v>
      </c>
      <c r="S114" s="73">
        <v>0</v>
      </c>
      <c r="T114" s="73">
        <v>0</v>
      </c>
      <c r="U114" s="73">
        <v>0</v>
      </c>
      <c r="V114" s="73">
        <v>0</v>
      </c>
      <c r="W114" s="73">
        <v>0</v>
      </c>
    </row>
    <row r="115" spans="1:23" s="25" customFormat="1" ht="12" x14ac:dyDescent="0.3">
      <c r="A115" s="83"/>
      <c r="B115" s="83"/>
      <c r="C115" s="83"/>
      <c r="D115" s="83"/>
      <c r="E115" s="83" t="s">
        <v>152</v>
      </c>
      <c r="F115" s="73">
        <v>0</v>
      </c>
      <c r="G115" s="73">
        <v>0</v>
      </c>
      <c r="H115" s="73">
        <v>0</v>
      </c>
      <c r="I115" s="73">
        <v>1</v>
      </c>
      <c r="J115" s="73">
        <v>0</v>
      </c>
      <c r="K115" s="73">
        <v>0</v>
      </c>
      <c r="L115" s="73">
        <v>0</v>
      </c>
      <c r="M115" s="73">
        <v>0</v>
      </c>
      <c r="N115" s="73">
        <v>0</v>
      </c>
      <c r="O115" s="73">
        <v>1</v>
      </c>
      <c r="P115" s="73">
        <v>0</v>
      </c>
      <c r="Q115" s="73">
        <v>0</v>
      </c>
      <c r="R115" s="73">
        <v>0</v>
      </c>
      <c r="S115" s="73">
        <v>0</v>
      </c>
      <c r="T115" s="73">
        <v>0</v>
      </c>
      <c r="U115" s="73">
        <v>0</v>
      </c>
      <c r="V115" s="73">
        <v>0</v>
      </c>
      <c r="W115" s="73">
        <v>2</v>
      </c>
    </row>
    <row r="116" spans="1:23" s="25" customFormat="1" ht="12" x14ac:dyDescent="0.3">
      <c r="A116" s="83"/>
      <c r="B116" s="83"/>
      <c r="C116" s="83"/>
      <c r="D116" s="83" t="s">
        <v>153</v>
      </c>
      <c r="E116" s="83"/>
      <c r="F116" s="73">
        <v>15</v>
      </c>
      <c r="G116" s="73">
        <v>4</v>
      </c>
      <c r="H116" s="73">
        <v>10</v>
      </c>
      <c r="I116" s="73">
        <v>10</v>
      </c>
      <c r="J116" s="73">
        <v>1</v>
      </c>
      <c r="K116" s="73">
        <v>5</v>
      </c>
      <c r="L116" s="73">
        <v>5</v>
      </c>
      <c r="M116" s="73">
        <v>0</v>
      </c>
      <c r="N116" s="73">
        <v>47</v>
      </c>
      <c r="O116" s="73">
        <v>16</v>
      </c>
      <c r="P116" s="73">
        <v>12</v>
      </c>
      <c r="Q116" s="73">
        <v>19</v>
      </c>
      <c r="R116" s="73">
        <v>15</v>
      </c>
      <c r="S116" s="73">
        <v>23</v>
      </c>
      <c r="T116" s="73">
        <v>22</v>
      </c>
      <c r="U116" s="73">
        <v>12</v>
      </c>
      <c r="V116" s="73">
        <v>12</v>
      </c>
      <c r="W116" s="73">
        <v>228</v>
      </c>
    </row>
    <row r="117" spans="1:23" s="25" customFormat="1" ht="12" x14ac:dyDescent="0.3">
      <c r="A117" s="83"/>
      <c r="B117" s="83"/>
      <c r="C117" s="83"/>
      <c r="D117" s="83"/>
      <c r="E117" s="83" t="s">
        <v>154</v>
      </c>
      <c r="F117" s="73">
        <v>9</v>
      </c>
      <c r="G117" s="73">
        <v>0</v>
      </c>
      <c r="H117" s="73">
        <v>3</v>
      </c>
      <c r="I117" s="73">
        <v>0</v>
      </c>
      <c r="J117" s="73">
        <v>0</v>
      </c>
      <c r="K117" s="73">
        <v>4</v>
      </c>
      <c r="L117" s="73">
        <v>2</v>
      </c>
      <c r="M117" s="73">
        <v>0</v>
      </c>
      <c r="N117" s="73">
        <v>15</v>
      </c>
      <c r="O117" s="73">
        <v>2</v>
      </c>
      <c r="P117" s="73">
        <v>2</v>
      </c>
      <c r="Q117" s="73">
        <v>0</v>
      </c>
      <c r="R117" s="73">
        <v>2</v>
      </c>
      <c r="S117" s="73">
        <v>0</v>
      </c>
      <c r="T117" s="73">
        <v>4</v>
      </c>
      <c r="U117" s="73">
        <v>2</v>
      </c>
      <c r="V117" s="73">
        <v>0</v>
      </c>
      <c r="W117" s="73">
        <v>45</v>
      </c>
    </row>
    <row r="118" spans="1:23" s="25" customFormat="1" ht="12" x14ac:dyDescent="0.3">
      <c r="A118" s="83"/>
      <c r="B118" s="83"/>
      <c r="C118" s="83"/>
      <c r="D118" s="83"/>
      <c r="E118" s="83" t="s">
        <v>155</v>
      </c>
      <c r="F118" s="73">
        <v>0</v>
      </c>
      <c r="G118" s="73">
        <v>0</v>
      </c>
      <c r="H118" s="73">
        <v>0</v>
      </c>
      <c r="I118" s="73">
        <v>0</v>
      </c>
      <c r="J118" s="73">
        <v>0</v>
      </c>
      <c r="K118" s="73">
        <v>0</v>
      </c>
      <c r="L118" s="73">
        <v>0</v>
      </c>
      <c r="M118" s="73">
        <v>0</v>
      </c>
      <c r="N118" s="73">
        <v>0</v>
      </c>
      <c r="O118" s="73">
        <v>0</v>
      </c>
      <c r="P118" s="73">
        <v>0</v>
      </c>
      <c r="Q118" s="73">
        <v>0</v>
      </c>
      <c r="R118" s="73">
        <v>0</v>
      </c>
      <c r="S118" s="73">
        <v>0</v>
      </c>
      <c r="T118" s="73">
        <v>0</v>
      </c>
      <c r="U118" s="73">
        <v>0</v>
      </c>
      <c r="V118" s="73">
        <v>0</v>
      </c>
      <c r="W118" s="73">
        <v>0</v>
      </c>
    </row>
    <row r="119" spans="1:23" s="25" customFormat="1" ht="12" x14ac:dyDescent="0.3">
      <c r="A119" s="83"/>
      <c r="B119" s="83"/>
      <c r="C119" s="83"/>
      <c r="D119" s="83"/>
      <c r="E119" s="83" t="s">
        <v>156</v>
      </c>
      <c r="F119" s="73">
        <v>0</v>
      </c>
      <c r="G119" s="73">
        <v>0</v>
      </c>
      <c r="H119" s="73">
        <v>0</v>
      </c>
      <c r="I119" s="73">
        <v>0</v>
      </c>
      <c r="J119" s="73">
        <v>0</v>
      </c>
      <c r="K119" s="73">
        <v>0</v>
      </c>
      <c r="L119" s="73">
        <v>0</v>
      </c>
      <c r="M119" s="73">
        <v>0</v>
      </c>
      <c r="N119" s="73">
        <v>0</v>
      </c>
      <c r="O119" s="73">
        <v>1</v>
      </c>
      <c r="P119" s="73">
        <v>0</v>
      </c>
      <c r="Q119" s="73">
        <v>1</v>
      </c>
      <c r="R119" s="73">
        <v>0</v>
      </c>
      <c r="S119" s="73">
        <v>1</v>
      </c>
      <c r="T119" s="73">
        <v>1</v>
      </c>
      <c r="U119" s="73">
        <v>0</v>
      </c>
      <c r="V119" s="73">
        <v>0</v>
      </c>
      <c r="W119" s="73">
        <v>4</v>
      </c>
    </row>
    <row r="120" spans="1:23" s="25" customFormat="1" ht="12" x14ac:dyDescent="0.3">
      <c r="A120" s="83"/>
      <c r="B120" s="83"/>
      <c r="C120" s="83"/>
      <c r="D120" s="83"/>
      <c r="E120" s="83" t="s">
        <v>157</v>
      </c>
      <c r="F120" s="73">
        <v>6</v>
      </c>
      <c r="G120" s="73">
        <v>4</v>
      </c>
      <c r="H120" s="73">
        <v>7</v>
      </c>
      <c r="I120" s="73">
        <v>10</v>
      </c>
      <c r="J120" s="73">
        <v>1</v>
      </c>
      <c r="K120" s="73">
        <v>1</v>
      </c>
      <c r="L120" s="73">
        <v>3</v>
      </c>
      <c r="M120" s="73">
        <v>0</v>
      </c>
      <c r="N120" s="73">
        <v>32</v>
      </c>
      <c r="O120" s="73">
        <v>13</v>
      </c>
      <c r="P120" s="73">
        <v>10</v>
      </c>
      <c r="Q120" s="73">
        <v>18</v>
      </c>
      <c r="R120" s="73">
        <v>13</v>
      </c>
      <c r="S120" s="73">
        <v>22</v>
      </c>
      <c r="T120" s="73">
        <v>17</v>
      </c>
      <c r="U120" s="73">
        <v>10</v>
      </c>
      <c r="V120" s="73">
        <v>12</v>
      </c>
      <c r="W120" s="73">
        <v>179</v>
      </c>
    </row>
    <row r="121" spans="1:23" s="25" customFormat="1" ht="12" x14ac:dyDescent="0.3">
      <c r="A121" s="83"/>
      <c r="B121" s="83"/>
      <c r="C121" s="83"/>
      <c r="D121" s="83" t="s">
        <v>158</v>
      </c>
      <c r="E121" s="83"/>
      <c r="F121" s="73">
        <v>28</v>
      </c>
      <c r="G121" s="73">
        <v>58</v>
      </c>
      <c r="H121" s="73">
        <v>44</v>
      </c>
      <c r="I121" s="73">
        <v>49</v>
      </c>
      <c r="J121" s="73">
        <v>11</v>
      </c>
      <c r="K121" s="73">
        <v>21</v>
      </c>
      <c r="L121" s="73">
        <v>23</v>
      </c>
      <c r="M121" s="73">
        <v>7</v>
      </c>
      <c r="N121" s="73">
        <v>170</v>
      </c>
      <c r="O121" s="73">
        <v>73</v>
      </c>
      <c r="P121" s="73">
        <v>36</v>
      </c>
      <c r="Q121" s="73">
        <v>129</v>
      </c>
      <c r="R121" s="73">
        <v>37</v>
      </c>
      <c r="S121" s="73">
        <v>55</v>
      </c>
      <c r="T121" s="73">
        <v>149</v>
      </c>
      <c r="U121" s="73">
        <v>48</v>
      </c>
      <c r="V121" s="73">
        <v>17</v>
      </c>
      <c r="W121" s="73">
        <v>955</v>
      </c>
    </row>
    <row r="122" spans="1:23" s="25" customFormat="1" ht="12" x14ac:dyDescent="0.3">
      <c r="A122" s="83"/>
      <c r="B122" s="83"/>
      <c r="C122" s="83"/>
      <c r="D122" s="83"/>
      <c r="E122" s="83" t="s">
        <v>159</v>
      </c>
      <c r="F122" s="73">
        <v>0</v>
      </c>
      <c r="G122" s="73">
        <v>2</v>
      </c>
      <c r="H122" s="73">
        <v>1</v>
      </c>
      <c r="I122" s="73">
        <v>4</v>
      </c>
      <c r="J122" s="73">
        <v>2</v>
      </c>
      <c r="K122" s="73">
        <v>0</v>
      </c>
      <c r="L122" s="73">
        <v>1</v>
      </c>
      <c r="M122" s="73">
        <v>0</v>
      </c>
      <c r="N122" s="73">
        <v>0</v>
      </c>
      <c r="O122" s="73">
        <v>2</v>
      </c>
      <c r="P122" s="73">
        <v>0</v>
      </c>
      <c r="Q122" s="73">
        <v>1</v>
      </c>
      <c r="R122" s="73">
        <v>3</v>
      </c>
      <c r="S122" s="73">
        <v>0</v>
      </c>
      <c r="T122" s="73">
        <v>3</v>
      </c>
      <c r="U122" s="73">
        <v>2</v>
      </c>
      <c r="V122" s="73">
        <v>0</v>
      </c>
      <c r="W122" s="73">
        <v>21</v>
      </c>
    </row>
    <row r="123" spans="1:23" s="25" customFormat="1" ht="12" x14ac:dyDescent="0.3">
      <c r="A123" s="83"/>
      <c r="B123" s="83"/>
      <c r="C123" s="83"/>
      <c r="D123" s="83"/>
      <c r="E123" s="83" t="s">
        <v>160</v>
      </c>
      <c r="F123" s="73">
        <v>0</v>
      </c>
      <c r="G123" s="73">
        <v>1</v>
      </c>
      <c r="H123" s="73">
        <v>4</v>
      </c>
      <c r="I123" s="73">
        <v>1</v>
      </c>
      <c r="J123" s="73">
        <v>1</v>
      </c>
      <c r="K123" s="73">
        <v>1</v>
      </c>
      <c r="L123" s="73">
        <v>0</v>
      </c>
      <c r="M123" s="73">
        <v>0</v>
      </c>
      <c r="N123" s="73">
        <v>3</v>
      </c>
      <c r="O123" s="73">
        <v>5</v>
      </c>
      <c r="P123" s="73">
        <v>2</v>
      </c>
      <c r="Q123" s="73">
        <v>2</v>
      </c>
      <c r="R123" s="73">
        <v>2</v>
      </c>
      <c r="S123" s="73">
        <v>1</v>
      </c>
      <c r="T123" s="73">
        <v>3</v>
      </c>
      <c r="U123" s="73">
        <v>2</v>
      </c>
      <c r="V123" s="73">
        <v>0</v>
      </c>
      <c r="W123" s="73">
        <v>28</v>
      </c>
    </row>
    <row r="124" spans="1:23" s="25" customFormat="1" ht="12" x14ac:dyDescent="0.3">
      <c r="A124" s="83"/>
      <c r="B124" s="83"/>
      <c r="C124" s="83"/>
      <c r="D124" s="83"/>
      <c r="E124" s="83" t="s">
        <v>161</v>
      </c>
      <c r="F124" s="73">
        <v>0</v>
      </c>
      <c r="G124" s="73">
        <v>2</v>
      </c>
      <c r="H124" s="73">
        <v>0</v>
      </c>
      <c r="I124" s="73">
        <v>0</v>
      </c>
      <c r="J124" s="73">
        <v>0</v>
      </c>
      <c r="K124" s="73">
        <v>0</v>
      </c>
      <c r="L124" s="73">
        <v>2</v>
      </c>
      <c r="M124" s="73">
        <v>0</v>
      </c>
      <c r="N124" s="73">
        <v>5</v>
      </c>
      <c r="O124" s="73">
        <v>3</v>
      </c>
      <c r="P124" s="73">
        <v>0</v>
      </c>
      <c r="Q124" s="73">
        <v>2</v>
      </c>
      <c r="R124" s="73">
        <v>2</v>
      </c>
      <c r="S124" s="73">
        <v>0</v>
      </c>
      <c r="T124" s="73">
        <v>1</v>
      </c>
      <c r="U124" s="73">
        <v>0</v>
      </c>
      <c r="V124" s="73">
        <v>0</v>
      </c>
      <c r="W124" s="73">
        <v>17</v>
      </c>
    </row>
    <row r="125" spans="1:23" s="25" customFormat="1" ht="12" x14ac:dyDescent="0.3">
      <c r="A125" s="83"/>
      <c r="B125" s="83"/>
      <c r="C125" s="83"/>
      <c r="D125" s="83"/>
      <c r="E125" s="83" t="s">
        <v>162</v>
      </c>
      <c r="F125" s="73">
        <v>0</v>
      </c>
      <c r="G125" s="73">
        <v>1</v>
      </c>
      <c r="H125" s="73">
        <v>0</v>
      </c>
      <c r="I125" s="73">
        <v>0</v>
      </c>
      <c r="J125" s="73">
        <v>0</v>
      </c>
      <c r="K125" s="73">
        <v>0</v>
      </c>
      <c r="L125" s="73">
        <v>0</v>
      </c>
      <c r="M125" s="73">
        <v>0</v>
      </c>
      <c r="N125" s="73">
        <v>0</v>
      </c>
      <c r="O125" s="73">
        <v>0</v>
      </c>
      <c r="P125" s="73">
        <v>0</v>
      </c>
      <c r="Q125" s="73">
        <v>0</v>
      </c>
      <c r="R125" s="73">
        <v>1</v>
      </c>
      <c r="S125" s="73">
        <v>0</v>
      </c>
      <c r="T125" s="73">
        <v>0</v>
      </c>
      <c r="U125" s="73">
        <v>0</v>
      </c>
      <c r="V125" s="73">
        <v>0</v>
      </c>
      <c r="W125" s="73">
        <v>2</v>
      </c>
    </row>
    <row r="126" spans="1:23" s="25" customFormat="1" ht="12" x14ac:dyDescent="0.3">
      <c r="A126" s="83"/>
      <c r="B126" s="83"/>
      <c r="C126" s="83"/>
      <c r="D126" s="83"/>
      <c r="E126" s="83" t="s">
        <v>163</v>
      </c>
      <c r="F126" s="73">
        <v>28</v>
      </c>
      <c r="G126" s="73">
        <v>52</v>
      </c>
      <c r="H126" s="73">
        <v>39</v>
      </c>
      <c r="I126" s="73">
        <v>44</v>
      </c>
      <c r="J126" s="73">
        <v>8</v>
      </c>
      <c r="K126" s="73">
        <v>20</v>
      </c>
      <c r="L126" s="73">
        <v>20</v>
      </c>
      <c r="M126" s="73">
        <v>7</v>
      </c>
      <c r="N126" s="73">
        <v>162</v>
      </c>
      <c r="O126" s="73">
        <v>63</v>
      </c>
      <c r="P126" s="73">
        <v>34</v>
      </c>
      <c r="Q126" s="73">
        <v>124</v>
      </c>
      <c r="R126" s="73">
        <v>29</v>
      </c>
      <c r="S126" s="73">
        <v>54</v>
      </c>
      <c r="T126" s="73">
        <v>142</v>
      </c>
      <c r="U126" s="73">
        <v>44</v>
      </c>
      <c r="V126" s="73">
        <v>17</v>
      </c>
      <c r="W126" s="73">
        <v>887</v>
      </c>
    </row>
    <row r="127" spans="1:23" s="25" customFormat="1" ht="12" x14ac:dyDescent="0.3">
      <c r="A127" s="83"/>
      <c r="B127" s="83"/>
      <c r="C127" s="83"/>
      <c r="D127" s="83" t="s">
        <v>164</v>
      </c>
      <c r="E127" s="83"/>
      <c r="F127" s="73">
        <v>752</v>
      </c>
      <c r="G127" s="73">
        <v>343</v>
      </c>
      <c r="H127" s="73">
        <v>320</v>
      </c>
      <c r="I127" s="73">
        <v>215</v>
      </c>
      <c r="J127" s="73">
        <v>125</v>
      </c>
      <c r="K127" s="73">
        <v>105</v>
      </c>
      <c r="L127" s="73">
        <v>131</v>
      </c>
      <c r="M127" s="73">
        <v>63</v>
      </c>
      <c r="N127" s="73">
        <v>1076</v>
      </c>
      <c r="O127" s="73">
        <v>606</v>
      </c>
      <c r="P127" s="73">
        <v>287</v>
      </c>
      <c r="Q127" s="73">
        <v>550</v>
      </c>
      <c r="R127" s="73">
        <v>410</v>
      </c>
      <c r="S127" s="73">
        <v>537</v>
      </c>
      <c r="T127" s="73">
        <v>619</v>
      </c>
      <c r="U127" s="73">
        <v>500</v>
      </c>
      <c r="V127" s="73">
        <v>261</v>
      </c>
      <c r="W127" s="73">
        <v>6900</v>
      </c>
    </row>
    <row r="128" spans="1:23" s="25" customFormat="1" ht="12" x14ac:dyDescent="0.3">
      <c r="A128" s="83"/>
      <c r="B128" s="83" t="s">
        <v>165</v>
      </c>
      <c r="C128" s="83"/>
      <c r="D128" s="83"/>
      <c r="E128" s="83"/>
      <c r="F128" s="73">
        <v>374</v>
      </c>
      <c r="G128" s="73">
        <v>138</v>
      </c>
      <c r="H128" s="73">
        <v>122</v>
      </c>
      <c r="I128" s="73">
        <v>120</v>
      </c>
      <c r="J128" s="73">
        <v>80</v>
      </c>
      <c r="K128" s="73">
        <v>76</v>
      </c>
      <c r="L128" s="73">
        <v>44</v>
      </c>
      <c r="M128" s="73">
        <v>46</v>
      </c>
      <c r="N128" s="73">
        <v>558</v>
      </c>
      <c r="O128" s="73">
        <v>185</v>
      </c>
      <c r="P128" s="73">
        <v>120</v>
      </c>
      <c r="Q128" s="73">
        <v>270</v>
      </c>
      <c r="R128" s="73">
        <v>161</v>
      </c>
      <c r="S128" s="73">
        <v>182</v>
      </c>
      <c r="T128" s="73">
        <v>248</v>
      </c>
      <c r="U128" s="73">
        <v>204</v>
      </c>
      <c r="V128" s="73">
        <v>81</v>
      </c>
      <c r="W128" s="73">
        <v>3009</v>
      </c>
    </row>
    <row r="129" spans="1:23" s="25" customFormat="1" ht="12" x14ac:dyDescent="0.3">
      <c r="A129" s="83"/>
      <c r="B129" s="83"/>
      <c r="C129" s="83" t="s">
        <v>166</v>
      </c>
      <c r="D129" s="83"/>
      <c r="E129" s="83"/>
      <c r="F129" s="73">
        <v>22</v>
      </c>
      <c r="G129" s="73">
        <v>2</v>
      </c>
      <c r="H129" s="73">
        <v>6</v>
      </c>
      <c r="I129" s="73">
        <v>6</v>
      </c>
      <c r="J129" s="73">
        <v>7</v>
      </c>
      <c r="K129" s="73">
        <v>1</v>
      </c>
      <c r="L129" s="73">
        <v>0</v>
      </c>
      <c r="M129" s="73">
        <v>0</v>
      </c>
      <c r="N129" s="73">
        <v>43</v>
      </c>
      <c r="O129" s="73">
        <v>10</v>
      </c>
      <c r="P129" s="73">
        <v>2</v>
      </c>
      <c r="Q129" s="73">
        <v>2</v>
      </c>
      <c r="R129" s="73">
        <v>4</v>
      </c>
      <c r="S129" s="73">
        <v>5</v>
      </c>
      <c r="T129" s="73">
        <v>3</v>
      </c>
      <c r="U129" s="73">
        <v>3</v>
      </c>
      <c r="V129" s="73">
        <v>1</v>
      </c>
      <c r="W129" s="73">
        <v>117</v>
      </c>
    </row>
    <row r="130" spans="1:23" s="25" customFormat="1" ht="12" x14ac:dyDescent="0.3">
      <c r="A130" s="83"/>
      <c r="B130" s="83"/>
      <c r="C130" s="83"/>
      <c r="D130" s="83"/>
      <c r="E130" s="83" t="s">
        <v>167</v>
      </c>
      <c r="F130" s="73">
        <v>15</v>
      </c>
      <c r="G130" s="73">
        <v>2</v>
      </c>
      <c r="H130" s="73">
        <v>5</v>
      </c>
      <c r="I130" s="73">
        <v>6</v>
      </c>
      <c r="J130" s="73">
        <v>7</v>
      </c>
      <c r="K130" s="73">
        <v>1</v>
      </c>
      <c r="L130" s="73">
        <v>0</v>
      </c>
      <c r="M130" s="73">
        <v>0</v>
      </c>
      <c r="N130" s="73">
        <v>40</v>
      </c>
      <c r="O130" s="73">
        <v>9</v>
      </c>
      <c r="P130" s="73">
        <v>2</v>
      </c>
      <c r="Q130" s="73">
        <v>2</v>
      </c>
      <c r="R130" s="73">
        <v>3</v>
      </c>
      <c r="S130" s="73">
        <v>5</v>
      </c>
      <c r="T130" s="73">
        <v>3</v>
      </c>
      <c r="U130" s="73">
        <v>3</v>
      </c>
      <c r="V130" s="73">
        <v>1</v>
      </c>
      <c r="W130" s="73">
        <v>104</v>
      </c>
    </row>
    <row r="131" spans="1:23" s="25" customFormat="1" ht="12" x14ac:dyDescent="0.3">
      <c r="A131" s="83"/>
      <c r="B131" s="83"/>
      <c r="C131" s="83"/>
      <c r="D131" s="83"/>
      <c r="E131" s="83" t="s">
        <v>168</v>
      </c>
      <c r="F131" s="73">
        <v>5</v>
      </c>
      <c r="G131" s="73">
        <v>0</v>
      </c>
      <c r="H131" s="73">
        <v>1</v>
      </c>
      <c r="I131" s="73">
        <v>0</v>
      </c>
      <c r="J131" s="73">
        <v>0</v>
      </c>
      <c r="K131" s="73">
        <v>0</v>
      </c>
      <c r="L131" s="73">
        <v>0</v>
      </c>
      <c r="M131" s="73">
        <v>0</v>
      </c>
      <c r="N131" s="73">
        <v>2</v>
      </c>
      <c r="O131" s="73">
        <v>1</v>
      </c>
      <c r="P131" s="73">
        <v>0</v>
      </c>
      <c r="Q131" s="73">
        <v>0</v>
      </c>
      <c r="R131" s="73">
        <v>1</v>
      </c>
      <c r="S131" s="73">
        <v>0</v>
      </c>
      <c r="T131" s="73">
        <v>0</v>
      </c>
      <c r="U131" s="73">
        <v>0</v>
      </c>
      <c r="V131" s="73">
        <v>0</v>
      </c>
      <c r="W131" s="73">
        <v>10</v>
      </c>
    </row>
    <row r="132" spans="1:23" s="25" customFormat="1" ht="12" x14ac:dyDescent="0.3">
      <c r="A132" s="83"/>
      <c r="B132" s="83"/>
      <c r="C132" s="83"/>
      <c r="D132" s="83"/>
      <c r="E132" s="83" t="s">
        <v>169</v>
      </c>
      <c r="F132" s="73">
        <v>2</v>
      </c>
      <c r="G132" s="73">
        <v>0</v>
      </c>
      <c r="H132" s="73">
        <v>0</v>
      </c>
      <c r="I132" s="73">
        <v>0</v>
      </c>
      <c r="J132" s="73">
        <v>0</v>
      </c>
      <c r="K132" s="73">
        <v>0</v>
      </c>
      <c r="L132" s="73">
        <v>0</v>
      </c>
      <c r="M132" s="73">
        <v>0</v>
      </c>
      <c r="N132" s="73">
        <v>1</v>
      </c>
      <c r="O132" s="73">
        <v>0</v>
      </c>
      <c r="P132" s="73">
        <v>0</v>
      </c>
      <c r="Q132" s="73">
        <v>0</v>
      </c>
      <c r="R132" s="73">
        <v>0</v>
      </c>
      <c r="S132" s="73">
        <v>0</v>
      </c>
      <c r="T132" s="73">
        <v>0</v>
      </c>
      <c r="U132" s="73">
        <v>0</v>
      </c>
      <c r="V132" s="73">
        <v>0</v>
      </c>
      <c r="W132" s="73">
        <v>3</v>
      </c>
    </row>
    <row r="133" spans="1:23" s="25" customFormat="1" ht="12" x14ac:dyDescent="0.3">
      <c r="A133" s="83"/>
      <c r="B133" s="83"/>
      <c r="C133" s="83" t="s">
        <v>170</v>
      </c>
      <c r="D133" s="83"/>
      <c r="E133" s="83"/>
      <c r="F133" s="73">
        <v>0</v>
      </c>
      <c r="G133" s="73">
        <v>1</v>
      </c>
      <c r="H133" s="73">
        <v>7</v>
      </c>
      <c r="I133" s="73">
        <v>2</v>
      </c>
      <c r="J133" s="73">
        <v>1</v>
      </c>
      <c r="K133" s="73">
        <v>3</v>
      </c>
      <c r="L133" s="73">
        <v>0</v>
      </c>
      <c r="M133" s="73">
        <v>10</v>
      </c>
      <c r="N133" s="73">
        <v>10</v>
      </c>
      <c r="O133" s="73">
        <v>5</v>
      </c>
      <c r="P133" s="73">
        <v>4</v>
      </c>
      <c r="Q133" s="73">
        <v>4</v>
      </c>
      <c r="R133" s="73">
        <v>2</v>
      </c>
      <c r="S133" s="73">
        <v>1</v>
      </c>
      <c r="T133" s="73">
        <v>5</v>
      </c>
      <c r="U133" s="73">
        <v>2</v>
      </c>
      <c r="V133" s="73">
        <v>0</v>
      </c>
      <c r="W133" s="73">
        <v>57</v>
      </c>
    </row>
    <row r="134" spans="1:23" s="25" customFormat="1" ht="12" x14ac:dyDescent="0.3">
      <c r="A134" s="83"/>
      <c r="B134" s="83"/>
      <c r="C134" s="83"/>
      <c r="D134" s="83"/>
      <c r="E134" s="83" t="s">
        <v>171</v>
      </c>
      <c r="F134" s="73">
        <v>0</v>
      </c>
      <c r="G134" s="73">
        <v>0</v>
      </c>
      <c r="H134" s="73">
        <v>0</v>
      </c>
      <c r="I134" s="73">
        <v>2</v>
      </c>
      <c r="J134" s="73">
        <v>0</v>
      </c>
      <c r="K134" s="73">
        <v>1</v>
      </c>
      <c r="L134" s="73">
        <v>0</v>
      </c>
      <c r="M134" s="73">
        <v>0</v>
      </c>
      <c r="N134" s="73">
        <v>7</v>
      </c>
      <c r="O134" s="73">
        <v>0</v>
      </c>
      <c r="P134" s="73">
        <v>0</v>
      </c>
      <c r="Q134" s="73">
        <v>0</v>
      </c>
      <c r="R134" s="73">
        <v>0</v>
      </c>
      <c r="S134" s="73">
        <v>0</v>
      </c>
      <c r="T134" s="73">
        <v>1</v>
      </c>
      <c r="U134" s="73">
        <v>0</v>
      </c>
      <c r="V134" s="73">
        <v>0</v>
      </c>
      <c r="W134" s="73">
        <v>11</v>
      </c>
    </row>
    <row r="135" spans="1:23" s="25" customFormat="1" ht="12" x14ac:dyDescent="0.3">
      <c r="A135" s="83"/>
      <c r="B135" s="83"/>
      <c r="C135" s="83"/>
      <c r="D135" s="83"/>
      <c r="E135" s="83" t="s">
        <v>172</v>
      </c>
      <c r="F135" s="73">
        <v>0</v>
      </c>
      <c r="G135" s="73">
        <v>0</v>
      </c>
      <c r="H135" s="73">
        <v>0</v>
      </c>
      <c r="I135" s="73">
        <v>0</v>
      </c>
      <c r="J135" s="73">
        <v>0</v>
      </c>
      <c r="K135" s="73">
        <v>0</v>
      </c>
      <c r="L135" s="73">
        <v>0</v>
      </c>
      <c r="M135" s="73">
        <v>0</v>
      </c>
      <c r="N135" s="73">
        <v>0</v>
      </c>
      <c r="O135" s="73">
        <v>0</v>
      </c>
      <c r="P135" s="73">
        <v>0</v>
      </c>
      <c r="Q135" s="73">
        <v>0</v>
      </c>
      <c r="R135" s="73">
        <v>0</v>
      </c>
      <c r="S135" s="73">
        <v>0</v>
      </c>
      <c r="T135" s="73">
        <v>0</v>
      </c>
      <c r="U135" s="73">
        <v>0</v>
      </c>
      <c r="V135" s="73">
        <v>0</v>
      </c>
      <c r="W135" s="73">
        <v>0</v>
      </c>
    </row>
    <row r="136" spans="1:23" s="25" customFormat="1" ht="12" x14ac:dyDescent="0.3">
      <c r="A136" s="83"/>
      <c r="B136" s="83"/>
      <c r="C136" s="83"/>
      <c r="D136" s="83"/>
      <c r="E136" s="83" t="s">
        <v>173</v>
      </c>
      <c r="F136" s="73">
        <v>0</v>
      </c>
      <c r="G136" s="73">
        <v>1</v>
      </c>
      <c r="H136" s="73">
        <v>7</v>
      </c>
      <c r="I136" s="73">
        <v>0</v>
      </c>
      <c r="J136" s="73">
        <v>1</v>
      </c>
      <c r="K136" s="73">
        <v>2</v>
      </c>
      <c r="L136" s="73">
        <v>0</v>
      </c>
      <c r="M136" s="73">
        <v>10</v>
      </c>
      <c r="N136" s="73">
        <v>3</v>
      </c>
      <c r="O136" s="73">
        <v>5</v>
      </c>
      <c r="P136" s="73">
        <v>4</v>
      </c>
      <c r="Q136" s="73">
        <v>4</v>
      </c>
      <c r="R136" s="73">
        <v>2</v>
      </c>
      <c r="S136" s="73">
        <v>1</v>
      </c>
      <c r="T136" s="73">
        <v>4</v>
      </c>
      <c r="U136" s="73">
        <v>2</v>
      </c>
      <c r="V136" s="73">
        <v>0</v>
      </c>
      <c r="W136" s="73">
        <v>46</v>
      </c>
    </row>
    <row r="137" spans="1:23" s="25" customFormat="1" ht="12" x14ac:dyDescent="0.3">
      <c r="A137" s="83"/>
      <c r="B137" s="83"/>
      <c r="C137" s="83" t="s">
        <v>592</v>
      </c>
      <c r="D137" s="83"/>
      <c r="E137" s="83"/>
      <c r="F137" s="73">
        <v>352</v>
      </c>
      <c r="G137" s="73">
        <v>135</v>
      </c>
      <c r="H137" s="73">
        <v>109</v>
      </c>
      <c r="I137" s="73">
        <v>112</v>
      </c>
      <c r="J137" s="73">
        <v>72</v>
      </c>
      <c r="K137" s="73">
        <v>72</v>
      </c>
      <c r="L137" s="73">
        <v>44</v>
      </c>
      <c r="M137" s="73">
        <v>36</v>
      </c>
      <c r="N137" s="73">
        <v>505</v>
      </c>
      <c r="O137" s="73">
        <v>170</v>
      </c>
      <c r="P137" s="73">
        <v>114</v>
      </c>
      <c r="Q137" s="73">
        <v>264</v>
      </c>
      <c r="R137" s="73">
        <v>155</v>
      </c>
      <c r="S137" s="73">
        <v>176</v>
      </c>
      <c r="T137" s="73">
        <v>240</v>
      </c>
      <c r="U137" s="73">
        <v>199</v>
      </c>
      <c r="V137" s="73">
        <v>80</v>
      </c>
      <c r="W137" s="73">
        <v>2835</v>
      </c>
    </row>
    <row r="138" spans="1:23" s="25" customFormat="1" ht="12" x14ac:dyDescent="0.3">
      <c r="A138" s="83"/>
      <c r="B138" s="83"/>
      <c r="C138" s="83"/>
      <c r="D138" s="83" t="s">
        <v>593</v>
      </c>
      <c r="E138" s="83"/>
      <c r="F138" s="73">
        <v>74</v>
      </c>
      <c r="G138" s="73">
        <v>29</v>
      </c>
      <c r="H138" s="73">
        <v>3</v>
      </c>
      <c r="I138" s="73">
        <v>10</v>
      </c>
      <c r="J138" s="73">
        <v>13</v>
      </c>
      <c r="K138" s="73">
        <v>17</v>
      </c>
      <c r="L138" s="73">
        <v>1</v>
      </c>
      <c r="M138" s="73">
        <v>2</v>
      </c>
      <c r="N138" s="73">
        <v>50</v>
      </c>
      <c r="O138" s="73">
        <v>21</v>
      </c>
      <c r="P138" s="73">
        <v>4</v>
      </c>
      <c r="Q138" s="73">
        <v>18</v>
      </c>
      <c r="R138" s="73">
        <v>32</v>
      </c>
      <c r="S138" s="73">
        <v>17</v>
      </c>
      <c r="T138" s="73">
        <v>18</v>
      </c>
      <c r="U138" s="73">
        <v>43</v>
      </c>
      <c r="V138" s="73">
        <v>3</v>
      </c>
      <c r="W138" s="73">
        <v>355</v>
      </c>
    </row>
    <row r="139" spans="1:23" s="25" customFormat="1" ht="12" x14ac:dyDescent="0.3">
      <c r="A139" s="83"/>
      <c r="B139" s="83"/>
      <c r="C139" s="83"/>
      <c r="D139" s="83" t="s">
        <v>594</v>
      </c>
      <c r="E139" s="83"/>
      <c r="F139" s="73">
        <v>49</v>
      </c>
      <c r="G139" s="73">
        <v>20</v>
      </c>
      <c r="H139" s="73">
        <v>17</v>
      </c>
      <c r="I139" s="73">
        <v>16</v>
      </c>
      <c r="J139" s="73">
        <v>11</v>
      </c>
      <c r="K139" s="73">
        <v>13</v>
      </c>
      <c r="L139" s="73">
        <v>10</v>
      </c>
      <c r="M139" s="73">
        <v>3</v>
      </c>
      <c r="N139" s="73">
        <v>90</v>
      </c>
      <c r="O139" s="73">
        <v>35</v>
      </c>
      <c r="P139" s="73">
        <v>25</v>
      </c>
      <c r="Q139" s="73">
        <v>20</v>
      </c>
      <c r="R139" s="73">
        <v>27</v>
      </c>
      <c r="S139" s="73">
        <v>27</v>
      </c>
      <c r="T139" s="73">
        <v>32</v>
      </c>
      <c r="U139" s="73">
        <v>48</v>
      </c>
      <c r="V139" s="73">
        <v>13</v>
      </c>
      <c r="W139" s="73">
        <v>456</v>
      </c>
    </row>
    <row r="140" spans="1:23" s="25" customFormat="1" ht="12" x14ac:dyDescent="0.3">
      <c r="A140" s="83"/>
      <c r="B140" s="83"/>
      <c r="C140" s="83"/>
      <c r="D140" s="83" t="s">
        <v>595</v>
      </c>
      <c r="E140" s="83"/>
      <c r="F140" s="73">
        <v>0</v>
      </c>
      <c r="G140" s="73">
        <v>0</v>
      </c>
      <c r="H140" s="73">
        <v>0</v>
      </c>
      <c r="I140" s="73">
        <v>0</v>
      </c>
      <c r="J140" s="73">
        <v>0</v>
      </c>
      <c r="K140" s="73">
        <v>0</v>
      </c>
      <c r="L140" s="73">
        <v>0</v>
      </c>
      <c r="M140" s="73">
        <v>0</v>
      </c>
      <c r="N140" s="73">
        <v>0</v>
      </c>
      <c r="O140" s="73">
        <v>0</v>
      </c>
      <c r="P140" s="73">
        <v>0</v>
      </c>
      <c r="Q140" s="73">
        <v>0</v>
      </c>
      <c r="R140" s="73">
        <v>0</v>
      </c>
      <c r="S140" s="73">
        <v>0</v>
      </c>
      <c r="T140" s="73">
        <v>0</v>
      </c>
      <c r="U140" s="73">
        <v>0</v>
      </c>
      <c r="V140" s="73">
        <v>0</v>
      </c>
      <c r="W140" s="73">
        <v>0</v>
      </c>
    </row>
    <row r="141" spans="1:23" s="25" customFormat="1" ht="12" x14ac:dyDescent="0.3">
      <c r="A141" s="83"/>
      <c r="B141" s="83"/>
      <c r="C141" s="83"/>
      <c r="D141" s="83" t="s">
        <v>596</v>
      </c>
      <c r="E141" s="83"/>
      <c r="F141" s="73">
        <v>2</v>
      </c>
      <c r="G141" s="73">
        <v>1</v>
      </c>
      <c r="H141" s="73">
        <v>18</v>
      </c>
      <c r="I141" s="73">
        <v>10</v>
      </c>
      <c r="J141" s="73">
        <v>5</v>
      </c>
      <c r="K141" s="73">
        <v>3</v>
      </c>
      <c r="L141" s="73">
        <v>1</v>
      </c>
      <c r="M141" s="73">
        <v>0</v>
      </c>
      <c r="N141" s="73">
        <v>51</v>
      </c>
      <c r="O141" s="73">
        <v>19</v>
      </c>
      <c r="P141" s="73">
        <v>13</v>
      </c>
      <c r="Q141" s="73">
        <v>26</v>
      </c>
      <c r="R141" s="73">
        <v>24</v>
      </c>
      <c r="S141" s="73">
        <v>13</v>
      </c>
      <c r="T141" s="73">
        <v>13</v>
      </c>
      <c r="U141" s="73">
        <v>10</v>
      </c>
      <c r="V141" s="73">
        <v>2</v>
      </c>
      <c r="W141" s="73">
        <v>211</v>
      </c>
    </row>
    <row r="142" spans="1:23" s="25" customFormat="1" ht="12" x14ac:dyDescent="0.3">
      <c r="A142" s="83"/>
      <c r="B142" s="83"/>
      <c r="C142" s="83"/>
      <c r="D142" s="83" t="s">
        <v>597</v>
      </c>
      <c r="E142" s="83"/>
      <c r="F142" s="73">
        <v>227</v>
      </c>
      <c r="G142" s="73">
        <v>85</v>
      </c>
      <c r="H142" s="73">
        <v>71</v>
      </c>
      <c r="I142" s="73">
        <v>76</v>
      </c>
      <c r="J142" s="73">
        <v>43</v>
      </c>
      <c r="K142" s="73">
        <v>39</v>
      </c>
      <c r="L142" s="73">
        <v>32</v>
      </c>
      <c r="M142" s="73">
        <v>31</v>
      </c>
      <c r="N142" s="73">
        <v>314</v>
      </c>
      <c r="O142" s="73">
        <v>95</v>
      </c>
      <c r="P142" s="73">
        <v>72</v>
      </c>
      <c r="Q142" s="73">
        <v>200</v>
      </c>
      <c r="R142" s="73">
        <v>72</v>
      </c>
      <c r="S142" s="73">
        <v>119</v>
      </c>
      <c r="T142" s="73">
        <v>177</v>
      </c>
      <c r="U142" s="73">
        <v>98</v>
      </c>
      <c r="V142" s="73">
        <v>62</v>
      </c>
      <c r="W142" s="73">
        <v>1813</v>
      </c>
    </row>
    <row r="143" spans="1:23" s="25" customFormat="1" ht="12" x14ac:dyDescent="0.3"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</row>
  </sheetData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CE0D3-F98B-45E0-A55F-534D519972DB}">
  <dimension ref="A1:W142"/>
  <sheetViews>
    <sheetView workbookViewId="0">
      <selection activeCell="F1" sqref="F1"/>
    </sheetView>
  </sheetViews>
  <sheetFormatPr defaultColWidth="9" defaultRowHeight="13.5" x14ac:dyDescent="0.3"/>
  <cols>
    <col min="1" max="4" width="1.625" style="19" customWidth="1"/>
    <col min="5" max="5" width="22.625" style="19" customWidth="1"/>
    <col min="6" max="22" width="9.25" style="19" bestFit="1" customWidth="1"/>
    <col min="23" max="23" width="10.5" style="19" bestFit="1" customWidth="1"/>
    <col min="24" max="16384" width="9" style="19"/>
  </cols>
  <sheetData>
    <row r="1" spans="1:23" x14ac:dyDescent="0.3">
      <c r="A1" s="74" t="s">
        <v>184</v>
      </c>
      <c r="B1" s="75"/>
      <c r="C1" s="75"/>
      <c r="D1" s="75"/>
      <c r="E1" s="75"/>
    </row>
    <row r="2" spans="1:23" x14ac:dyDescent="0.15">
      <c r="A2" s="76" t="s">
        <v>598</v>
      </c>
      <c r="B2" s="77"/>
      <c r="C2" s="75"/>
      <c r="D2" s="75"/>
      <c r="E2" s="75"/>
    </row>
    <row r="3" spans="1:23" x14ac:dyDescent="0.3">
      <c r="A3" s="79"/>
      <c r="B3" s="79"/>
      <c r="C3" s="79"/>
      <c r="D3" s="79"/>
      <c r="E3" s="79" t="s">
        <v>22</v>
      </c>
      <c r="F3" s="80" t="s">
        <v>23</v>
      </c>
      <c r="G3" s="80" t="s">
        <v>24</v>
      </c>
      <c r="H3" s="80" t="s">
        <v>25</v>
      </c>
      <c r="I3" s="80" t="s">
        <v>26</v>
      </c>
      <c r="J3" s="80" t="s">
        <v>27</v>
      </c>
      <c r="K3" s="80" t="s">
        <v>28</v>
      </c>
      <c r="L3" s="80" t="s">
        <v>29</v>
      </c>
      <c r="M3" s="80" t="s">
        <v>30</v>
      </c>
      <c r="N3" s="80" t="s">
        <v>31</v>
      </c>
      <c r="O3" s="80" t="s">
        <v>32</v>
      </c>
      <c r="P3" s="80" t="s">
        <v>33</v>
      </c>
      <c r="Q3" s="80" t="s">
        <v>34</v>
      </c>
      <c r="R3" s="80" t="s">
        <v>35</v>
      </c>
      <c r="S3" s="80" t="s">
        <v>36</v>
      </c>
      <c r="T3" s="80" t="s">
        <v>37</v>
      </c>
      <c r="U3" s="80" t="s">
        <v>38</v>
      </c>
      <c r="V3" s="80" t="s">
        <v>39</v>
      </c>
      <c r="W3" s="81" t="s">
        <v>40</v>
      </c>
    </row>
    <row r="4" spans="1:23" x14ac:dyDescent="0.3">
      <c r="A4" s="83" t="s">
        <v>41</v>
      </c>
      <c r="B4" s="83"/>
      <c r="C4" s="83"/>
      <c r="D4" s="83"/>
      <c r="E4" s="83"/>
      <c r="F4" s="73">
        <v>203746</v>
      </c>
      <c r="G4" s="73">
        <v>133365</v>
      </c>
      <c r="H4" s="73">
        <v>51140</v>
      </c>
      <c r="I4" s="73">
        <v>357702</v>
      </c>
      <c r="J4" s="73">
        <v>32200</v>
      </c>
      <c r="K4" s="73">
        <v>29453</v>
      </c>
      <c r="L4" s="73">
        <v>21684</v>
      </c>
      <c r="M4" s="73">
        <v>2843</v>
      </c>
      <c r="N4" s="73">
        <v>232289</v>
      </c>
      <c r="O4" s="73">
        <v>25200</v>
      </c>
      <c r="P4" s="73">
        <v>36003</v>
      </c>
      <c r="Q4" s="73">
        <v>39689</v>
      </c>
      <c r="R4" s="73">
        <v>39636</v>
      </c>
      <c r="S4" s="73">
        <v>149378</v>
      </c>
      <c r="T4" s="73">
        <v>48415</v>
      </c>
      <c r="U4" s="73">
        <v>116619</v>
      </c>
      <c r="V4" s="73">
        <v>230974</v>
      </c>
      <c r="W4" s="73">
        <v>1750336</v>
      </c>
    </row>
    <row r="5" spans="1:23" x14ac:dyDescent="0.3">
      <c r="A5" s="83"/>
      <c r="B5" s="83" t="s">
        <v>42</v>
      </c>
      <c r="C5" s="83"/>
      <c r="D5" s="83"/>
      <c r="E5" s="83"/>
      <c r="F5" s="73">
        <v>125376</v>
      </c>
      <c r="G5" s="73">
        <v>84544</v>
      </c>
      <c r="H5" s="73">
        <v>25968</v>
      </c>
      <c r="I5" s="73">
        <v>309540</v>
      </c>
      <c r="J5" s="73">
        <v>14521</v>
      </c>
      <c r="K5" s="73">
        <v>14033</v>
      </c>
      <c r="L5" s="73">
        <v>8158</v>
      </c>
      <c r="M5" s="73">
        <v>628</v>
      </c>
      <c r="N5" s="73">
        <v>71468</v>
      </c>
      <c r="O5" s="73">
        <v>11716</v>
      </c>
      <c r="P5" s="73">
        <v>15050</v>
      </c>
      <c r="Q5" s="73">
        <v>13471</v>
      </c>
      <c r="R5" s="73">
        <v>17888</v>
      </c>
      <c r="S5" s="73">
        <v>116487</v>
      </c>
      <c r="T5" s="73">
        <v>13837</v>
      </c>
      <c r="U5" s="73">
        <v>78626</v>
      </c>
      <c r="V5" s="73">
        <v>219455</v>
      </c>
      <c r="W5" s="73">
        <v>1140766</v>
      </c>
    </row>
    <row r="6" spans="1:23" x14ac:dyDescent="0.3">
      <c r="A6" s="83"/>
      <c r="B6" s="83"/>
      <c r="C6" s="83" t="s">
        <v>43</v>
      </c>
      <c r="D6" s="83"/>
      <c r="E6" s="83"/>
      <c r="F6" s="73">
        <v>107784</v>
      </c>
      <c r="G6" s="73">
        <v>58686</v>
      </c>
      <c r="H6" s="73">
        <v>23295</v>
      </c>
      <c r="I6" s="73">
        <v>194668</v>
      </c>
      <c r="J6" s="73">
        <v>13302</v>
      </c>
      <c r="K6" s="73">
        <v>12560</v>
      </c>
      <c r="L6" s="73">
        <v>7569</v>
      </c>
      <c r="M6" s="73">
        <v>563</v>
      </c>
      <c r="N6" s="73">
        <v>63196</v>
      </c>
      <c r="O6" s="73">
        <v>10590</v>
      </c>
      <c r="P6" s="73">
        <v>12674</v>
      </c>
      <c r="Q6" s="73">
        <v>11624</v>
      </c>
      <c r="R6" s="73">
        <v>14816</v>
      </c>
      <c r="S6" s="73">
        <v>73240</v>
      </c>
      <c r="T6" s="73">
        <v>12927</v>
      </c>
      <c r="U6" s="73">
        <v>47662</v>
      </c>
      <c r="V6" s="73">
        <v>132202</v>
      </c>
      <c r="W6" s="73">
        <v>797358</v>
      </c>
    </row>
    <row r="7" spans="1:23" x14ac:dyDescent="0.3">
      <c r="A7" s="83"/>
      <c r="B7" s="83"/>
      <c r="C7" s="83"/>
      <c r="D7" s="83" t="s">
        <v>44</v>
      </c>
      <c r="E7" s="83"/>
      <c r="F7" s="73">
        <v>100464</v>
      </c>
      <c r="G7" s="73">
        <v>52622</v>
      </c>
      <c r="H7" s="73">
        <v>21508</v>
      </c>
      <c r="I7" s="73">
        <v>188763</v>
      </c>
      <c r="J7" s="73">
        <v>12997</v>
      </c>
      <c r="K7" s="73">
        <v>12038</v>
      </c>
      <c r="L7" s="73">
        <v>6964</v>
      </c>
      <c r="M7" s="73">
        <v>550</v>
      </c>
      <c r="N7" s="73">
        <v>61607</v>
      </c>
      <c r="O7" s="73">
        <v>10400</v>
      </c>
      <c r="P7" s="73">
        <v>12345</v>
      </c>
      <c r="Q7" s="73">
        <v>11279</v>
      </c>
      <c r="R7" s="73">
        <v>14611</v>
      </c>
      <c r="S7" s="73">
        <v>70938</v>
      </c>
      <c r="T7" s="73">
        <v>12783</v>
      </c>
      <c r="U7" s="73">
        <v>45255</v>
      </c>
      <c r="V7" s="73">
        <v>126216</v>
      </c>
      <c r="W7" s="73">
        <v>761340</v>
      </c>
    </row>
    <row r="8" spans="1:23" x14ac:dyDescent="0.3">
      <c r="A8" s="83"/>
      <c r="B8" s="83"/>
      <c r="C8" s="83"/>
      <c r="D8" s="83"/>
      <c r="E8" s="83" t="s">
        <v>45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1</v>
      </c>
      <c r="V8" s="73">
        <v>0</v>
      </c>
      <c r="W8" s="73">
        <v>1</v>
      </c>
    </row>
    <row r="9" spans="1:23" x14ac:dyDescent="0.3">
      <c r="A9" s="83"/>
      <c r="B9" s="83"/>
      <c r="C9" s="83"/>
      <c r="D9" s="83"/>
      <c r="E9" s="83" t="s">
        <v>46</v>
      </c>
      <c r="F9" s="73">
        <v>2985</v>
      </c>
      <c r="G9" s="73">
        <v>2090</v>
      </c>
      <c r="H9" s="73">
        <v>576</v>
      </c>
      <c r="I9" s="73">
        <v>21638</v>
      </c>
      <c r="J9" s="73">
        <v>221</v>
      </c>
      <c r="K9" s="73">
        <v>284</v>
      </c>
      <c r="L9" s="73">
        <v>212</v>
      </c>
      <c r="M9" s="73">
        <v>41</v>
      </c>
      <c r="N9" s="73">
        <v>2238</v>
      </c>
      <c r="O9" s="73">
        <v>399</v>
      </c>
      <c r="P9" s="73">
        <v>481</v>
      </c>
      <c r="Q9" s="73">
        <v>323</v>
      </c>
      <c r="R9" s="73">
        <v>633</v>
      </c>
      <c r="S9" s="73">
        <v>6016</v>
      </c>
      <c r="T9" s="73">
        <v>290</v>
      </c>
      <c r="U9" s="73">
        <v>1963</v>
      </c>
      <c r="V9" s="73">
        <v>7779</v>
      </c>
      <c r="W9" s="73">
        <v>48169</v>
      </c>
    </row>
    <row r="10" spans="1:23" x14ac:dyDescent="0.3">
      <c r="A10" s="83"/>
      <c r="B10" s="83"/>
      <c r="C10" s="83"/>
      <c r="D10" s="83"/>
      <c r="E10" s="83" t="s">
        <v>47</v>
      </c>
      <c r="F10" s="73">
        <v>243</v>
      </c>
      <c r="G10" s="73">
        <v>511</v>
      </c>
      <c r="H10" s="73">
        <v>116</v>
      </c>
      <c r="I10" s="73">
        <v>3092</v>
      </c>
      <c r="J10" s="73">
        <v>24</v>
      </c>
      <c r="K10" s="73">
        <v>16</v>
      </c>
      <c r="L10" s="73">
        <v>23</v>
      </c>
      <c r="M10" s="73">
        <v>1</v>
      </c>
      <c r="N10" s="73">
        <v>211</v>
      </c>
      <c r="O10" s="73">
        <v>62</v>
      </c>
      <c r="P10" s="73">
        <v>23</v>
      </c>
      <c r="Q10" s="73">
        <v>43</v>
      </c>
      <c r="R10" s="73">
        <v>115</v>
      </c>
      <c r="S10" s="73">
        <v>2285</v>
      </c>
      <c r="T10" s="73">
        <v>22</v>
      </c>
      <c r="U10" s="73">
        <v>462</v>
      </c>
      <c r="V10" s="73">
        <v>2227</v>
      </c>
      <c r="W10" s="73">
        <v>9476</v>
      </c>
    </row>
    <row r="11" spans="1:23" x14ac:dyDescent="0.3">
      <c r="A11" s="83"/>
      <c r="B11" s="83"/>
      <c r="C11" s="83"/>
      <c r="D11" s="83"/>
      <c r="E11" s="83" t="s">
        <v>48</v>
      </c>
      <c r="F11" s="73">
        <v>77443</v>
      </c>
      <c r="G11" s="73">
        <v>33930</v>
      </c>
      <c r="H11" s="73">
        <v>15753</v>
      </c>
      <c r="I11" s="73">
        <v>96340</v>
      </c>
      <c r="J11" s="73">
        <v>9871</v>
      </c>
      <c r="K11" s="73">
        <v>9156</v>
      </c>
      <c r="L11" s="73">
        <v>5250</v>
      </c>
      <c r="M11" s="73">
        <v>351</v>
      </c>
      <c r="N11" s="73">
        <v>43631</v>
      </c>
      <c r="O11" s="73">
        <v>7835</v>
      </c>
      <c r="P11" s="73">
        <v>8200</v>
      </c>
      <c r="Q11" s="73">
        <v>7284</v>
      </c>
      <c r="R11" s="73">
        <v>9805</v>
      </c>
      <c r="S11" s="73">
        <v>36497</v>
      </c>
      <c r="T11" s="73">
        <v>9362</v>
      </c>
      <c r="U11" s="73">
        <v>21608</v>
      </c>
      <c r="V11" s="73">
        <v>56254</v>
      </c>
      <c r="W11" s="73">
        <v>448570</v>
      </c>
    </row>
    <row r="12" spans="1:23" x14ac:dyDescent="0.3">
      <c r="A12" s="83"/>
      <c r="B12" s="83"/>
      <c r="C12" s="83"/>
      <c r="D12" s="83"/>
      <c r="E12" s="83" t="s">
        <v>49</v>
      </c>
      <c r="F12" s="73">
        <v>4113</v>
      </c>
      <c r="G12" s="73">
        <v>6632</v>
      </c>
      <c r="H12" s="73">
        <v>574</v>
      </c>
      <c r="I12" s="73">
        <v>25857</v>
      </c>
      <c r="J12" s="73">
        <v>132</v>
      </c>
      <c r="K12" s="73">
        <v>138</v>
      </c>
      <c r="L12" s="73">
        <v>39</v>
      </c>
      <c r="M12" s="73">
        <v>6</v>
      </c>
      <c r="N12" s="73">
        <v>1497</v>
      </c>
      <c r="O12" s="73">
        <v>60</v>
      </c>
      <c r="P12" s="73">
        <v>342</v>
      </c>
      <c r="Q12" s="73">
        <v>318</v>
      </c>
      <c r="R12" s="73">
        <v>589</v>
      </c>
      <c r="S12" s="73">
        <v>9521</v>
      </c>
      <c r="T12" s="73">
        <v>54</v>
      </c>
      <c r="U12" s="73">
        <v>8657</v>
      </c>
      <c r="V12" s="73">
        <v>28013</v>
      </c>
      <c r="W12" s="73">
        <v>86542</v>
      </c>
    </row>
    <row r="13" spans="1:23" x14ac:dyDescent="0.3">
      <c r="A13" s="83"/>
      <c r="B13" s="83"/>
      <c r="C13" s="83"/>
      <c r="D13" s="83"/>
      <c r="E13" s="83" t="s">
        <v>50</v>
      </c>
      <c r="F13" s="73">
        <v>12425</v>
      </c>
      <c r="G13" s="73">
        <v>5302</v>
      </c>
      <c r="H13" s="73">
        <v>3869</v>
      </c>
      <c r="I13" s="73">
        <v>22034</v>
      </c>
      <c r="J13" s="73">
        <v>2485</v>
      </c>
      <c r="K13" s="73">
        <v>2224</v>
      </c>
      <c r="L13" s="73">
        <v>1300</v>
      </c>
      <c r="M13" s="73">
        <v>138</v>
      </c>
      <c r="N13" s="73">
        <v>11933</v>
      </c>
      <c r="O13" s="73">
        <v>1883</v>
      </c>
      <c r="P13" s="73">
        <v>2742</v>
      </c>
      <c r="Q13" s="73">
        <v>2940</v>
      </c>
      <c r="R13" s="73">
        <v>2849</v>
      </c>
      <c r="S13" s="73">
        <v>9399</v>
      </c>
      <c r="T13" s="73">
        <v>2822</v>
      </c>
      <c r="U13" s="73">
        <v>6957</v>
      </c>
      <c r="V13" s="73">
        <v>16674</v>
      </c>
      <c r="W13" s="73">
        <v>107976</v>
      </c>
    </row>
    <row r="14" spans="1:23" x14ac:dyDescent="0.3">
      <c r="A14" s="83"/>
      <c r="B14" s="83"/>
      <c r="C14" s="83"/>
      <c r="D14" s="83"/>
      <c r="E14" s="83" t="s">
        <v>51</v>
      </c>
      <c r="F14" s="73">
        <v>1435</v>
      </c>
      <c r="G14" s="73">
        <v>2144</v>
      </c>
      <c r="H14" s="73">
        <v>300</v>
      </c>
      <c r="I14" s="73">
        <v>13190</v>
      </c>
      <c r="J14" s="73">
        <v>158</v>
      </c>
      <c r="K14" s="73">
        <v>114</v>
      </c>
      <c r="L14" s="73">
        <v>82</v>
      </c>
      <c r="M14" s="73">
        <v>9</v>
      </c>
      <c r="N14" s="73">
        <v>1374</v>
      </c>
      <c r="O14" s="73">
        <v>72</v>
      </c>
      <c r="P14" s="73">
        <v>222</v>
      </c>
      <c r="Q14" s="73">
        <v>241</v>
      </c>
      <c r="R14" s="73">
        <v>338</v>
      </c>
      <c r="S14" s="73">
        <v>4963</v>
      </c>
      <c r="T14" s="73">
        <v>116</v>
      </c>
      <c r="U14" s="73">
        <v>2751</v>
      </c>
      <c r="V14" s="73">
        <v>9317</v>
      </c>
      <c r="W14" s="73">
        <v>36826</v>
      </c>
    </row>
    <row r="15" spans="1:23" x14ac:dyDescent="0.3">
      <c r="A15" s="83"/>
      <c r="B15" s="83"/>
      <c r="C15" s="83"/>
      <c r="D15" s="83"/>
      <c r="E15" s="83" t="s">
        <v>52</v>
      </c>
      <c r="F15" s="73">
        <v>1336</v>
      </c>
      <c r="G15" s="73">
        <v>1597</v>
      </c>
      <c r="H15" s="73">
        <v>218</v>
      </c>
      <c r="I15" s="73">
        <v>5920</v>
      </c>
      <c r="J15" s="73">
        <v>101</v>
      </c>
      <c r="K15" s="73">
        <v>97</v>
      </c>
      <c r="L15" s="73">
        <v>47</v>
      </c>
      <c r="M15" s="73">
        <v>4</v>
      </c>
      <c r="N15" s="73">
        <v>672</v>
      </c>
      <c r="O15" s="73">
        <v>70</v>
      </c>
      <c r="P15" s="73">
        <v>323</v>
      </c>
      <c r="Q15" s="73">
        <v>123</v>
      </c>
      <c r="R15" s="73">
        <v>272</v>
      </c>
      <c r="S15" s="73">
        <v>2078</v>
      </c>
      <c r="T15" s="73">
        <v>107</v>
      </c>
      <c r="U15" s="73">
        <v>2738</v>
      </c>
      <c r="V15" s="73">
        <v>5221</v>
      </c>
      <c r="W15" s="73">
        <v>20924</v>
      </c>
    </row>
    <row r="16" spans="1:23" x14ac:dyDescent="0.3">
      <c r="A16" s="83"/>
      <c r="B16" s="83"/>
      <c r="C16" s="83"/>
      <c r="D16" s="83"/>
      <c r="E16" s="83" t="s">
        <v>53</v>
      </c>
      <c r="F16" s="73">
        <v>0</v>
      </c>
      <c r="G16" s="73">
        <v>0</v>
      </c>
      <c r="H16" s="73">
        <v>0</v>
      </c>
      <c r="I16" s="73">
        <v>0</v>
      </c>
      <c r="J16" s="73">
        <v>0</v>
      </c>
      <c r="K16" s="73">
        <v>0</v>
      </c>
      <c r="L16" s="73">
        <v>0</v>
      </c>
      <c r="M16" s="73">
        <v>0</v>
      </c>
      <c r="N16" s="73">
        <v>0</v>
      </c>
      <c r="O16" s="73">
        <v>0</v>
      </c>
      <c r="P16" s="73">
        <v>0</v>
      </c>
      <c r="Q16" s="73">
        <v>0</v>
      </c>
      <c r="R16" s="73">
        <v>0</v>
      </c>
      <c r="S16" s="73">
        <v>0</v>
      </c>
      <c r="T16" s="73">
        <v>0</v>
      </c>
      <c r="U16" s="73">
        <v>1</v>
      </c>
      <c r="V16" s="73">
        <v>0</v>
      </c>
      <c r="W16" s="73">
        <v>1</v>
      </c>
    </row>
    <row r="17" spans="1:23" x14ac:dyDescent="0.3">
      <c r="A17" s="83"/>
      <c r="B17" s="83"/>
      <c r="C17" s="83"/>
      <c r="D17" s="83"/>
      <c r="E17" s="83" t="s">
        <v>54</v>
      </c>
      <c r="F17" s="73">
        <v>1</v>
      </c>
      <c r="G17" s="73">
        <v>0</v>
      </c>
      <c r="H17" s="73">
        <v>1</v>
      </c>
      <c r="I17" s="73">
        <v>1</v>
      </c>
      <c r="J17" s="73">
        <v>0</v>
      </c>
      <c r="K17" s="73">
        <v>0</v>
      </c>
      <c r="L17" s="73">
        <v>0</v>
      </c>
      <c r="M17" s="73">
        <v>0</v>
      </c>
      <c r="N17" s="73">
        <v>0</v>
      </c>
      <c r="O17" s="73">
        <v>0</v>
      </c>
      <c r="P17" s="73">
        <v>0</v>
      </c>
      <c r="Q17" s="73">
        <v>0</v>
      </c>
      <c r="R17" s="73">
        <v>0</v>
      </c>
      <c r="S17" s="73">
        <v>0</v>
      </c>
      <c r="T17" s="73">
        <v>1</v>
      </c>
      <c r="U17" s="73">
        <v>2</v>
      </c>
      <c r="V17" s="73">
        <v>0</v>
      </c>
      <c r="W17" s="73">
        <v>6</v>
      </c>
    </row>
    <row r="18" spans="1:23" x14ac:dyDescent="0.3">
      <c r="A18" s="83"/>
      <c r="B18" s="83"/>
      <c r="C18" s="83"/>
      <c r="D18" s="83"/>
      <c r="E18" s="83" t="s">
        <v>55</v>
      </c>
      <c r="F18" s="73">
        <v>144</v>
      </c>
      <c r="G18" s="73">
        <v>82</v>
      </c>
      <c r="H18" s="73">
        <v>18</v>
      </c>
      <c r="I18" s="73">
        <v>637</v>
      </c>
      <c r="J18" s="73">
        <v>5</v>
      </c>
      <c r="K18" s="73">
        <v>5</v>
      </c>
      <c r="L18" s="73">
        <v>6</v>
      </c>
      <c r="M18" s="73">
        <v>0</v>
      </c>
      <c r="N18" s="73">
        <v>28</v>
      </c>
      <c r="O18" s="73">
        <v>3</v>
      </c>
      <c r="P18" s="73">
        <v>12</v>
      </c>
      <c r="Q18" s="73">
        <v>4</v>
      </c>
      <c r="R18" s="73">
        <v>10</v>
      </c>
      <c r="S18" s="73">
        <v>170</v>
      </c>
      <c r="T18" s="73">
        <v>6</v>
      </c>
      <c r="U18" s="73">
        <v>104</v>
      </c>
      <c r="V18" s="73">
        <v>351</v>
      </c>
      <c r="W18" s="73">
        <v>1585</v>
      </c>
    </row>
    <row r="19" spans="1:23" x14ac:dyDescent="0.3">
      <c r="A19" s="83"/>
      <c r="B19" s="83"/>
      <c r="C19" s="83"/>
      <c r="D19" s="83"/>
      <c r="E19" s="83" t="s">
        <v>56</v>
      </c>
      <c r="F19" s="73">
        <v>0</v>
      </c>
      <c r="G19" s="73">
        <v>0</v>
      </c>
      <c r="H19" s="73">
        <v>0</v>
      </c>
      <c r="I19" s="73">
        <v>0</v>
      </c>
      <c r="J19" s="73">
        <v>0</v>
      </c>
      <c r="K19" s="73">
        <v>0</v>
      </c>
      <c r="L19" s="73">
        <v>0</v>
      </c>
      <c r="M19" s="73">
        <v>0</v>
      </c>
      <c r="N19" s="73">
        <v>0</v>
      </c>
      <c r="O19" s="73">
        <v>0</v>
      </c>
      <c r="P19" s="73">
        <v>0</v>
      </c>
      <c r="Q19" s="73">
        <v>0</v>
      </c>
      <c r="R19" s="73">
        <v>0</v>
      </c>
      <c r="S19" s="73">
        <v>0</v>
      </c>
      <c r="T19" s="73">
        <v>0</v>
      </c>
      <c r="U19" s="73">
        <v>0</v>
      </c>
      <c r="V19" s="73">
        <v>0</v>
      </c>
      <c r="W19" s="73">
        <v>0</v>
      </c>
    </row>
    <row r="20" spans="1:23" x14ac:dyDescent="0.3">
      <c r="A20" s="83"/>
      <c r="B20" s="83"/>
      <c r="C20" s="83"/>
      <c r="D20" s="83"/>
      <c r="E20" s="83" t="s">
        <v>57</v>
      </c>
      <c r="F20" s="73">
        <v>339</v>
      </c>
      <c r="G20" s="73">
        <v>334</v>
      </c>
      <c r="H20" s="73">
        <v>83</v>
      </c>
      <c r="I20" s="73">
        <v>54</v>
      </c>
      <c r="J20" s="73">
        <v>0</v>
      </c>
      <c r="K20" s="73">
        <v>4</v>
      </c>
      <c r="L20" s="73">
        <v>5</v>
      </c>
      <c r="M20" s="73">
        <v>0</v>
      </c>
      <c r="N20" s="73">
        <v>23</v>
      </c>
      <c r="O20" s="73">
        <v>16</v>
      </c>
      <c r="P20" s="73">
        <v>0</v>
      </c>
      <c r="Q20" s="73">
        <v>3</v>
      </c>
      <c r="R20" s="73">
        <v>0</v>
      </c>
      <c r="S20" s="73">
        <v>9</v>
      </c>
      <c r="T20" s="73">
        <v>3</v>
      </c>
      <c r="U20" s="73">
        <v>11</v>
      </c>
      <c r="V20" s="73">
        <v>380</v>
      </c>
      <c r="W20" s="73">
        <v>1264</v>
      </c>
    </row>
    <row r="21" spans="1:23" x14ac:dyDescent="0.3">
      <c r="A21" s="83"/>
      <c r="B21" s="83"/>
      <c r="C21" s="83"/>
      <c r="D21" s="83" t="s">
        <v>58</v>
      </c>
      <c r="E21" s="83"/>
      <c r="F21" s="73">
        <v>7320</v>
      </c>
      <c r="G21" s="73">
        <v>6064</v>
      </c>
      <c r="H21" s="73">
        <v>1787</v>
      </c>
      <c r="I21" s="73">
        <v>5905</v>
      </c>
      <c r="J21" s="73">
        <v>305</v>
      </c>
      <c r="K21" s="73">
        <v>522</v>
      </c>
      <c r="L21" s="73">
        <v>605</v>
      </c>
      <c r="M21" s="73">
        <v>13</v>
      </c>
      <c r="N21" s="73">
        <v>1589</v>
      </c>
      <c r="O21" s="73">
        <v>190</v>
      </c>
      <c r="P21" s="73">
        <v>329</v>
      </c>
      <c r="Q21" s="73">
        <v>345</v>
      </c>
      <c r="R21" s="73">
        <v>205</v>
      </c>
      <c r="S21" s="73">
        <v>2302</v>
      </c>
      <c r="T21" s="73">
        <v>144</v>
      </c>
      <c r="U21" s="73">
        <v>2407</v>
      </c>
      <c r="V21" s="73">
        <v>5986</v>
      </c>
      <c r="W21" s="73">
        <v>36018</v>
      </c>
    </row>
    <row r="22" spans="1:23" x14ac:dyDescent="0.3">
      <c r="A22" s="83"/>
      <c r="B22" s="83"/>
      <c r="C22" s="83"/>
      <c r="D22" s="83"/>
      <c r="E22" s="83" t="s">
        <v>59</v>
      </c>
      <c r="F22" s="73">
        <v>0</v>
      </c>
      <c r="G22" s="73">
        <v>0</v>
      </c>
      <c r="H22" s="73">
        <v>0</v>
      </c>
      <c r="I22" s="73">
        <v>0</v>
      </c>
      <c r="J22" s="73">
        <v>0</v>
      </c>
      <c r="K22" s="73">
        <v>0</v>
      </c>
      <c r="L22" s="73">
        <v>0</v>
      </c>
      <c r="M22" s="73">
        <v>0</v>
      </c>
      <c r="N22" s="73">
        <v>0</v>
      </c>
      <c r="O22" s="73">
        <v>0</v>
      </c>
      <c r="P22" s="73">
        <v>0</v>
      </c>
      <c r="Q22" s="73">
        <v>0</v>
      </c>
      <c r="R22" s="73">
        <v>0</v>
      </c>
      <c r="S22" s="73">
        <v>0</v>
      </c>
      <c r="T22" s="73">
        <v>0</v>
      </c>
      <c r="U22" s="73">
        <v>0</v>
      </c>
      <c r="V22" s="73">
        <v>0</v>
      </c>
      <c r="W22" s="73">
        <v>0</v>
      </c>
    </row>
    <row r="23" spans="1:23" x14ac:dyDescent="0.3">
      <c r="A23" s="83"/>
      <c r="B23" s="83"/>
      <c r="C23" s="83"/>
      <c r="D23" s="83"/>
      <c r="E23" s="83" t="s">
        <v>60</v>
      </c>
      <c r="F23" s="73">
        <v>0</v>
      </c>
      <c r="G23" s="73">
        <v>0</v>
      </c>
      <c r="H23" s="73">
        <v>0</v>
      </c>
      <c r="I23" s="73">
        <v>0</v>
      </c>
      <c r="J23" s="73">
        <v>0</v>
      </c>
      <c r="K23" s="73">
        <v>0</v>
      </c>
      <c r="L23" s="73">
        <v>0</v>
      </c>
      <c r="M23" s="73">
        <v>0</v>
      </c>
      <c r="N23" s="73">
        <v>0</v>
      </c>
      <c r="O23" s="73">
        <v>0</v>
      </c>
      <c r="P23" s="73">
        <v>0</v>
      </c>
      <c r="Q23" s="73">
        <v>0</v>
      </c>
      <c r="R23" s="73">
        <v>0</v>
      </c>
      <c r="S23" s="73">
        <v>0</v>
      </c>
      <c r="T23" s="73">
        <v>0</v>
      </c>
      <c r="U23" s="73">
        <v>0</v>
      </c>
      <c r="V23" s="73">
        <v>0</v>
      </c>
      <c r="W23" s="73">
        <v>0</v>
      </c>
    </row>
    <row r="24" spans="1:23" x14ac:dyDescent="0.3">
      <c r="A24" s="83"/>
      <c r="B24" s="83"/>
      <c r="C24" s="83"/>
      <c r="D24" s="83"/>
      <c r="E24" s="83" t="s">
        <v>61</v>
      </c>
      <c r="F24" s="73">
        <v>199</v>
      </c>
      <c r="G24" s="73">
        <v>979</v>
      </c>
      <c r="H24" s="73">
        <v>26</v>
      </c>
      <c r="I24" s="73">
        <v>741</v>
      </c>
      <c r="J24" s="73">
        <v>22</v>
      </c>
      <c r="K24" s="73">
        <v>13</v>
      </c>
      <c r="L24" s="73">
        <v>2</v>
      </c>
      <c r="M24" s="73">
        <v>0</v>
      </c>
      <c r="N24" s="73">
        <v>109</v>
      </c>
      <c r="O24" s="73">
        <v>9</v>
      </c>
      <c r="P24" s="73">
        <v>11</v>
      </c>
      <c r="Q24" s="73">
        <v>12</v>
      </c>
      <c r="R24" s="73">
        <v>11</v>
      </c>
      <c r="S24" s="73">
        <v>244</v>
      </c>
      <c r="T24" s="73">
        <v>9</v>
      </c>
      <c r="U24" s="73">
        <v>194</v>
      </c>
      <c r="V24" s="73">
        <v>887</v>
      </c>
      <c r="W24" s="73">
        <v>3468</v>
      </c>
    </row>
    <row r="25" spans="1:23" x14ac:dyDescent="0.3">
      <c r="A25" s="83"/>
      <c r="B25" s="83"/>
      <c r="C25" s="83"/>
      <c r="D25" s="83"/>
      <c r="E25" s="83" t="s">
        <v>62</v>
      </c>
      <c r="F25" s="73">
        <v>3147</v>
      </c>
      <c r="G25" s="73">
        <v>3566</v>
      </c>
      <c r="H25" s="73">
        <v>443</v>
      </c>
      <c r="I25" s="73">
        <v>3840</v>
      </c>
      <c r="J25" s="73">
        <v>146</v>
      </c>
      <c r="K25" s="73">
        <v>271</v>
      </c>
      <c r="L25" s="73">
        <v>47</v>
      </c>
      <c r="M25" s="73">
        <v>5</v>
      </c>
      <c r="N25" s="73">
        <v>878</v>
      </c>
      <c r="O25" s="73">
        <v>65</v>
      </c>
      <c r="P25" s="73">
        <v>202</v>
      </c>
      <c r="Q25" s="73">
        <v>231</v>
      </c>
      <c r="R25" s="73">
        <v>81</v>
      </c>
      <c r="S25" s="73">
        <v>1677</v>
      </c>
      <c r="T25" s="73">
        <v>51</v>
      </c>
      <c r="U25" s="73">
        <v>1438</v>
      </c>
      <c r="V25" s="73">
        <v>3658</v>
      </c>
      <c r="W25" s="73">
        <v>19746</v>
      </c>
    </row>
    <row r="26" spans="1:23" x14ac:dyDescent="0.3">
      <c r="A26" s="83"/>
      <c r="B26" s="83"/>
      <c r="C26" s="83"/>
      <c r="D26" s="83"/>
      <c r="E26" s="83" t="s">
        <v>63</v>
      </c>
      <c r="F26" s="73">
        <v>668</v>
      </c>
      <c r="G26" s="73">
        <v>267</v>
      </c>
      <c r="H26" s="73">
        <v>126</v>
      </c>
      <c r="I26" s="73">
        <v>426</v>
      </c>
      <c r="J26" s="73">
        <v>35</v>
      </c>
      <c r="K26" s="73">
        <v>44</v>
      </c>
      <c r="L26" s="73">
        <v>11</v>
      </c>
      <c r="M26" s="73">
        <v>1</v>
      </c>
      <c r="N26" s="73">
        <v>221</v>
      </c>
      <c r="O26" s="73">
        <v>14</v>
      </c>
      <c r="P26" s="73">
        <v>26</v>
      </c>
      <c r="Q26" s="73">
        <v>21</v>
      </c>
      <c r="R26" s="73">
        <v>34</v>
      </c>
      <c r="S26" s="73">
        <v>127</v>
      </c>
      <c r="T26" s="73">
        <v>21</v>
      </c>
      <c r="U26" s="73">
        <v>351</v>
      </c>
      <c r="V26" s="73">
        <v>522</v>
      </c>
      <c r="W26" s="73">
        <v>2915</v>
      </c>
    </row>
    <row r="27" spans="1:23" x14ac:dyDescent="0.3">
      <c r="A27" s="83"/>
      <c r="B27" s="83"/>
      <c r="C27" s="83"/>
      <c r="D27" s="83"/>
      <c r="E27" s="83" t="s">
        <v>64</v>
      </c>
      <c r="F27" s="73">
        <v>850</v>
      </c>
      <c r="G27" s="73">
        <v>674</v>
      </c>
      <c r="H27" s="73">
        <v>107</v>
      </c>
      <c r="I27" s="73">
        <v>460</v>
      </c>
      <c r="J27" s="73">
        <v>76</v>
      </c>
      <c r="K27" s="73">
        <v>80</v>
      </c>
      <c r="L27" s="73">
        <v>10</v>
      </c>
      <c r="M27" s="73">
        <v>3</v>
      </c>
      <c r="N27" s="73">
        <v>235</v>
      </c>
      <c r="O27" s="73">
        <v>16</v>
      </c>
      <c r="P27" s="73">
        <v>72</v>
      </c>
      <c r="Q27" s="73">
        <v>44</v>
      </c>
      <c r="R27" s="73">
        <v>40</v>
      </c>
      <c r="S27" s="73">
        <v>123</v>
      </c>
      <c r="T27" s="73">
        <v>22</v>
      </c>
      <c r="U27" s="73">
        <v>256</v>
      </c>
      <c r="V27" s="73">
        <v>463</v>
      </c>
      <c r="W27" s="73">
        <v>3531</v>
      </c>
    </row>
    <row r="28" spans="1:23" x14ac:dyDescent="0.3">
      <c r="A28" s="83"/>
      <c r="B28" s="83"/>
      <c r="C28" s="83"/>
      <c r="D28" s="83"/>
      <c r="E28" s="83" t="s">
        <v>65</v>
      </c>
      <c r="F28" s="73">
        <v>58</v>
      </c>
      <c r="G28" s="73">
        <v>27</v>
      </c>
      <c r="H28" s="73">
        <v>27</v>
      </c>
      <c r="I28" s="73">
        <v>57</v>
      </c>
      <c r="J28" s="73">
        <v>5</v>
      </c>
      <c r="K28" s="73">
        <v>13</v>
      </c>
      <c r="L28" s="73">
        <v>3</v>
      </c>
      <c r="M28" s="73">
        <v>0</v>
      </c>
      <c r="N28" s="73">
        <v>25</v>
      </c>
      <c r="O28" s="73">
        <v>2</v>
      </c>
      <c r="P28" s="73">
        <v>1</v>
      </c>
      <c r="Q28" s="73">
        <v>6</v>
      </c>
      <c r="R28" s="73">
        <v>6</v>
      </c>
      <c r="S28" s="73">
        <v>7</v>
      </c>
      <c r="T28" s="73">
        <v>3</v>
      </c>
      <c r="U28" s="73">
        <v>69</v>
      </c>
      <c r="V28" s="73">
        <v>29</v>
      </c>
      <c r="W28" s="73">
        <v>338</v>
      </c>
    </row>
    <row r="29" spans="1:23" x14ac:dyDescent="0.3">
      <c r="A29" s="83"/>
      <c r="B29" s="83"/>
      <c r="C29" s="83"/>
      <c r="D29" s="83"/>
      <c r="E29" s="83" t="s">
        <v>66</v>
      </c>
      <c r="F29" s="73">
        <v>129</v>
      </c>
      <c r="G29" s="73">
        <v>53</v>
      </c>
      <c r="H29" s="73">
        <v>17</v>
      </c>
      <c r="I29" s="73">
        <v>82</v>
      </c>
      <c r="J29" s="73">
        <v>7</v>
      </c>
      <c r="K29" s="73">
        <v>8</v>
      </c>
      <c r="L29" s="73">
        <v>0</v>
      </c>
      <c r="M29" s="73">
        <v>2</v>
      </c>
      <c r="N29" s="73">
        <v>40</v>
      </c>
      <c r="O29" s="73">
        <v>3</v>
      </c>
      <c r="P29" s="73">
        <v>9</v>
      </c>
      <c r="Q29" s="73">
        <v>13</v>
      </c>
      <c r="R29" s="73">
        <v>7</v>
      </c>
      <c r="S29" s="73">
        <v>33</v>
      </c>
      <c r="T29" s="73">
        <v>5</v>
      </c>
      <c r="U29" s="73">
        <v>57</v>
      </c>
      <c r="V29" s="73">
        <v>114</v>
      </c>
      <c r="W29" s="73">
        <v>579</v>
      </c>
    </row>
    <row r="30" spans="1:23" x14ac:dyDescent="0.3">
      <c r="A30" s="83"/>
      <c r="B30" s="83"/>
      <c r="C30" s="83"/>
      <c r="D30" s="83"/>
      <c r="E30" s="83" t="s">
        <v>67</v>
      </c>
      <c r="F30" s="73">
        <v>6</v>
      </c>
      <c r="G30" s="73">
        <v>9</v>
      </c>
      <c r="H30" s="73">
        <v>3</v>
      </c>
      <c r="I30" s="73">
        <v>7</v>
      </c>
      <c r="J30" s="73">
        <v>1</v>
      </c>
      <c r="K30" s="73">
        <v>0</v>
      </c>
      <c r="L30" s="73">
        <v>0</v>
      </c>
      <c r="M30" s="73">
        <v>0</v>
      </c>
      <c r="N30" s="73">
        <v>1</v>
      </c>
      <c r="O30" s="73">
        <v>1</v>
      </c>
      <c r="P30" s="73">
        <v>3</v>
      </c>
      <c r="Q30" s="73">
        <v>1</v>
      </c>
      <c r="R30" s="73">
        <v>1</v>
      </c>
      <c r="S30" s="73">
        <v>2</v>
      </c>
      <c r="T30" s="73">
        <v>0</v>
      </c>
      <c r="U30" s="73">
        <v>0</v>
      </c>
      <c r="V30" s="73">
        <v>1</v>
      </c>
      <c r="W30" s="73">
        <v>36</v>
      </c>
    </row>
    <row r="31" spans="1:23" x14ac:dyDescent="0.3">
      <c r="A31" s="83"/>
      <c r="B31" s="83"/>
      <c r="C31" s="83"/>
      <c r="D31" s="83"/>
      <c r="E31" s="83" t="s">
        <v>68</v>
      </c>
      <c r="F31" s="73">
        <v>30</v>
      </c>
      <c r="G31" s="73">
        <v>8</v>
      </c>
      <c r="H31" s="73">
        <v>4</v>
      </c>
      <c r="I31" s="73">
        <v>15</v>
      </c>
      <c r="J31" s="73">
        <v>4</v>
      </c>
      <c r="K31" s="73">
        <v>0</v>
      </c>
      <c r="L31" s="73">
        <v>0</v>
      </c>
      <c r="M31" s="73">
        <v>0</v>
      </c>
      <c r="N31" s="73">
        <v>11</v>
      </c>
      <c r="O31" s="73">
        <v>3</v>
      </c>
      <c r="P31" s="73">
        <v>1</v>
      </c>
      <c r="Q31" s="73">
        <v>4</v>
      </c>
      <c r="R31" s="73">
        <v>2</v>
      </c>
      <c r="S31" s="73">
        <v>5</v>
      </c>
      <c r="T31" s="73">
        <v>2</v>
      </c>
      <c r="U31" s="73">
        <v>5</v>
      </c>
      <c r="V31" s="73">
        <v>1</v>
      </c>
      <c r="W31" s="73">
        <v>95</v>
      </c>
    </row>
    <row r="32" spans="1:23" x14ac:dyDescent="0.3">
      <c r="A32" s="83"/>
      <c r="B32" s="83"/>
      <c r="C32" s="83"/>
      <c r="D32" s="83"/>
      <c r="E32" s="83" t="s">
        <v>69</v>
      </c>
      <c r="F32" s="73">
        <v>18</v>
      </c>
      <c r="G32" s="73">
        <v>24</v>
      </c>
      <c r="H32" s="73">
        <v>3</v>
      </c>
      <c r="I32" s="73">
        <v>10</v>
      </c>
      <c r="J32" s="73">
        <v>2</v>
      </c>
      <c r="K32" s="73">
        <v>4</v>
      </c>
      <c r="L32" s="73">
        <v>3</v>
      </c>
      <c r="M32" s="73">
        <v>0</v>
      </c>
      <c r="N32" s="73">
        <v>15</v>
      </c>
      <c r="O32" s="73">
        <v>1</v>
      </c>
      <c r="P32" s="73">
        <v>3</v>
      </c>
      <c r="Q32" s="73">
        <v>6</v>
      </c>
      <c r="R32" s="73">
        <v>1</v>
      </c>
      <c r="S32" s="73">
        <v>22</v>
      </c>
      <c r="T32" s="73">
        <v>1</v>
      </c>
      <c r="U32" s="73">
        <v>3</v>
      </c>
      <c r="V32" s="73">
        <v>8</v>
      </c>
      <c r="W32" s="73">
        <v>124</v>
      </c>
    </row>
    <row r="33" spans="1:23" x14ac:dyDescent="0.3">
      <c r="A33" s="83"/>
      <c r="B33" s="83"/>
      <c r="C33" s="83"/>
      <c r="D33" s="83"/>
      <c r="E33" s="83" t="s">
        <v>70</v>
      </c>
      <c r="F33" s="73">
        <v>0</v>
      </c>
      <c r="G33" s="73">
        <v>0</v>
      </c>
      <c r="H33" s="73">
        <v>0</v>
      </c>
      <c r="I33" s="73">
        <v>0</v>
      </c>
      <c r="J33" s="73">
        <v>0</v>
      </c>
      <c r="K33" s="73">
        <v>0</v>
      </c>
      <c r="L33" s="73">
        <v>0</v>
      </c>
      <c r="M33" s="73">
        <v>0</v>
      </c>
      <c r="N33" s="73">
        <v>0</v>
      </c>
      <c r="O33" s="73">
        <v>0</v>
      </c>
      <c r="P33" s="73">
        <v>0</v>
      </c>
      <c r="Q33" s="73">
        <v>0</v>
      </c>
      <c r="R33" s="73">
        <v>0</v>
      </c>
      <c r="S33" s="73">
        <v>0</v>
      </c>
      <c r="T33" s="73">
        <v>0</v>
      </c>
      <c r="U33" s="73">
        <v>0</v>
      </c>
      <c r="V33" s="73">
        <v>0</v>
      </c>
      <c r="W33" s="73">
        <v>0</v>
      </c>
    </row>
    <row r="34" spans="1:23" x14ac:dyDescent="0.3">
      <c r="A34" s="83"/>
      <c r="B34" s="83"/>
      <c r="C34" s="83"/>
      <c r="D34" s="83"/>
      <c r="E34" s="83" t="s">
        <v>71</v>
      </c>
      <c r="F34" s="73">
        <v>2215</v>
      </c>
      <c r="G34" s="73">
        <v>457</v>
      </c>
      <c r="H34" s="73">
        <v>1031</v>
      </c>
      <c r="I34" s="73">
        <v>267</v>
      </c>
      <c r="J34" s="73">
        <v>7</v>
      </c>
      <c r="K34" s="73">
        <v>89</v>
      </c>
      <c r="L34" s="73">
        <v>529</v>
      </c>
      <c r="M34" s="73">
        <v>2</v>
      </c>
      <c r="N34" s="73">
        <v>54</v>
      </c>
      <c r="O34" s="73">
        <v>76</v>
      </c>
      <c r="P34" s="73">
        <v>1</v>
      </c>
      <c r="Q34" s="73">
        <v>7</v>
      </c>
      <c r="R34" s="73">
        <v>22</v>
      </c>
      <c r="S34" s="73">
        <v>62</v>
      </c>
      <c r="T34" s="73">
        <v>30</v>
      </c>
      <c r="U34" s="73">
        <v>34</v>
      </c>
      <c r="V34" s="73">
        <v>303</v>
      </c>
      <c r="W34" s="73">
        <v>5186</v>
      </c>
    </row>
    <row r="35" spans="1:23" x14ac:dyDescent="0.3">
      <c r="A35" s="83"/>
      <c r="B35" s="83"/>
      <c r="C35" s="83" t="s">
        <v>72</v>
      </c>
      <c r="D35" s="83"/>
      <c r="E35" s="83"/>
      <c r="F35" s="73">
        <v>1083</v>
      </c>
      <c r="G35" s="73">
        <v>384</v>
      </c>
      <c r="H35" s="73">
        <v>45</v>
      </c>
      <c r="I35" s="73">
        <v>9907</v>
      </c>
      <c r="J35" s="73">
        <v>51</v>
      </c>
      <c r="K35" s="73">
        <v>34</v>
      </c>
      <c r="L35" s="73">
        <v>7</v>
      </c>
      <c r="M35" s="73">
        <v>2</v>
      </c>
      <c r="N35" s="73">
        <v>222</v>
      </c>
      <c r="O35" s="73">
        <v>54</v>
      </c>
      <c r="P35" s="73">
        <v>78</v>
      </c>
      <c r="Q35" s="73">
        <v>87</v>
      </c>
      <c r="R35" s="73">
        <v>372</v>
      </c>
      <c r="S35" s="73">
        <v>3419</v>
      </c>
      <c r="T35" s="73">
        <v>49</v>
      </c>
      <c r="U35" s="73">
        <v>260</v>
      </c>
      <c r="V35" s="73">
        <v>1670</v>
      </c>
      <c r="W35" s="73">
        <v>17724</v>
      </c>
    </row>
    <row r="36" spans="1:23" x14ac:dyDescent="0.3">
      <c r="A36" s="83"/>
      <c r="B36" s="83"/>
      <c r="C36" s="83"/>
      <c r="D36" s="83"/>
      <c r="E36" s="83" t="s">
        <v>73</v>
      </c>
      <c r="F36" s="73">
        <v>961</v>
      </c>
      <c r="G36" s="73">
        <v>338</v>
      </c>
      <c r="H36" s="73">
        <v>14</v>
      </c>
      <c r="I36" s="73">
        <v>9890</v>
      </c>
      <c r="J36" s="73">
        <v>17</v>
      </c>
      <c r="K36" s="73">
        <v>6</v>
      </c>
      <c r="L36" s="73">
        <v>1</v>
      </c>
      <c r="M36" s="73">
        <v>2</v>
      </c>
      <c r="N36" s="73">
        <v>124</v>
      </c>
      <c r="O36" s="73">
        <v>17</v>
      </c>
      <c r="P36" s="73">
        <v>47</v>
      </c>
      <c r="Q36" s="73">
        <v>52</v>
      </c>
      <c r="R36" s="73">
        <v>332</v>
      </c>
      <c r="S36" s="73">
        <v>3386</v>
      </c>
      <c r="T36" s="73">
        <v>9</v>
      </c>
      <c r="U36" s="73">
        <v>229</v>
      </c>
      <c r="V36" s="73">
        <v>1656</v>
      </c>
      <c r="W36" s="73">
        <v>17081</v>
      </c>
    </row>
    <row r="37" spans="1:23" x14ac:dyDescent="0.3">
      <c r="A37" s="83"/>
      <c r="B37" s="83"/>
      <c r="C37" s="83"/>
      <c r="D37" s="83"/>
      <c r="E37" s="83" t="s">
        <v>74</v>
      </c>
      <c r="F37" s="73">
        <v>0</v>
      </c>
      <c r="G37" s="73">
        <v>0</v>
      </c>
      <c r="H37" s="73">
        <v>0</v>
      </c>
      <c r="I37" s="73">
        <v>0</v>
      </c>
      <c r="J37" s="73">
        <v>0</v>
      </c>
      <c r="K37" s="73">
        <v>0</v>
      </c>
      <c r="L37" s="73">
        <v>0</v>
      </c>
      <c r="M37" s="73">
        <v>0</v>
      </c>
      <c r="N37" s="73">
        <v>0</v>
      </c>
      <c r="O37" s="73">
        <v>0</v>
      </c>
      <c r="P37" s="73">
        <v>0</v>
      </c>
      <c r="Q37" s="73">
        <v>0</v>
      </c>
      <c r="R37" s="73">
        <v>0</v>
      </c>
      <c r="S37" s="73">
        <v>0</v>
      </c>
      <c r="T37" s="73">
        <v>0</v>
      </c>
      <c r="U37" s="73">
        <v>0</v>
      </c>
      <c r="V37" s="73">
        <v>0</v>
      </c>
      <c r="W37" s="73">
        <v>0</v>
      </c>
    </row>
    <row r="38" spans="1:23" x14ac:dyDescent="0.3">
      <c r="A38" s="83"/>
      <c r="B38" s="83"/>
      <c r="C38" s="83"/>
      <c r="D38" s="83"/>
      <c r="E38" s="83" t="s">
        <v>75</v>
      </c>
      <c r="F38" s="73">
        <v>2</v>
      </c>
      <c r="G38" s="73">
        <v>0</v>
      </c>
      <c r="H38" s="73">
        <v>0</v>
      </c>
      <c r="I38" s="73">
        <v>0</v>
      </c>
      <c r="J38" s="73">
        <v>0</v>
      </c>
      <c r="K38" s="73">
        <v>0</v>
      </c>
      <c r="L38" s="73">
        <v>0</v>
      </c>
      <c r="M38" s="73">
        <v>0</v>
      </c>
      <c r="N38" s="73">
        <v>1</v>
      </c>
      <c r="O38" s="73">
        <v>1</v>
      </c>
      <c r="P38" s="73">
        <v>0</v>
      </c>
      <c r="Q38" s="73">
        <v>1</v>
      </c>
      <c r="R38" s="73">
        <v>0</v>
      </c>
      <c r="S38" s="73">
        <v>0</v>
      </c>
      <c r="T38" s="73">
        <v>0</v>
      </c>
      <c r="U38" s="73">
        <v>0</v>
      </c>
      <c r="V38" s="73">
        <v>0</v>
      </c>
      <c r="W38" s="73">
        <v>5</v>
      </c>
    </row>
    <row r="39" spans="1:23" x14ac:dyDescent="0.3">
      <c r="A39" s="83"/>
      <c r="B39" s="83"/>
      <c r="C39" s="83"/>
      <c r="D39" s="83"/>
      <c r="E39" s="83" t="s">
        <v>76</v>
      </c>
      <c r="F39" s="73">
        <v>21</v>
      </c>
      <c r="G39" s="73">
        <v>6</v>
      </c>
      <c r="H39" s="73">
        <v>2</v>
      </c>
      <c r="I39" s="73">
        <v>3</v>
      </c>
      <c r="J39" s="73">
        <v>7</v>
      </c>
      <c r="K39" s="73">
        <v>8</v>
      </c>
      <c r="L39" s="73">
        <v>1</v>
      </c>
      <c r="M39" s="73">
        <v>0</v>
      </c>
      <c r="N39" s="73">
        <v>26</v>
      </c>
      <c r="O39" s="73">
        <v>8</v>
      </c>
      <c r="P39" s="73">
        <v>6</v>
      </c>
      <c r="Q39" s="73">
        <v>8</v>
      </c>
      <c r="R39" s="73">
        <v>9</v>
      </c>
      <c r="S39" s="73">
        <v>3</v>
      </c>
      <c r="T39" s="73">
        <v>7</v>
      </c>
      <c r="U39" s="73">
        <v>9</v>
      </c>
      <c r="V39" s="73">
        <v>3</v>
      </c>
      <c r="W39" s="73">
        <v>127</v>
      </c>
    </row>
    <row r="40" spans="1:23" x14ac:dyDescent="0.3">
      <c r="A40" s="83"/>
      <c r="B40" s="83"/>
      <c r="C40" s="83"/>
      <c r="D40" s="83"/>
      <c r="E40" s="83" t="s">
        <v>77</v>
      </c>
      <c r="F40" s="73">
        <v>10</v>
      </c>
      <c r="G40" s="73">
        <v>2</v>
      </c>
      <c r="H40" s="73">
        <v>3</v>
      </c>
      <c r="I40" s="73">
        <v>0</v>
      </c>
      <c r="J40" s="73">
        <v>3</v>
      </c>
      <c r="K40" s="73">
        <v>4</v>
      </c>
      <c r="L40" s="73">
        <v>0</v>
      </c>
      <c r="M40" s="73">
        <v>0</v>
      </c>
      <c r="N40" s="73">
        <v>6</v>
      </c>
      <c r="O40" s="73">
        <v>4</v>
      </c>
      <c r="P40" s="73">
        <v>4</v>
      </c>
      <c r="Q40" s="73">
        <v>0</v>
      </c>
      <c r="R40" s="73">
        <v>6</v>
      </c>
      <c r="S40" s="73">
        <v>2</v>
      </c>
      <c r="T40" s="73">
        <v>4</v>
      </c>
      <c r="U40" s="73">
        <v>4</v>
      </c>
      <c r="V40" s="73">
        <v>3</v>
      </c>
      <c r="W40" s="73">
        <v>55</v>
      </c>
    </row>
    <row r="41" spans="1:23" x14ac:dyDescent="0.3">
      <c r="A41" s="83"/>
      <c r="B41" s="83"/>
      <c r="C41" s="83"/>
      <c r="D41" s="83"/>
      <c r="E41" s="83" t="s">
        <v>78</v>
      </c>
      <c r="F41" s="73">
        <v>89</v>
      </c>
      <c r="G41" s="73">
        <v>38</v>
      </c>
      <c r="H41" s="73">
        <v>26</v>
      </c>
      <c r="I41" s="73">
        <v>14</v>
      </c>
      <c r="J41" s="73">
        <v>24</v>
      </c>
      <c r="K41" s="73">
        <v>16</v>
      </c>
      <c r="L41" s="73">
        <v>5</v>
      </c>
      <c r="M41" s="73">
        <v>0</v>
      </c>
      <c r="N41" s="73">
        <v>65</v>
      </c>
      <c r="O41" s="73">
        <v>24</v>
      </c>
      <c r="P41" s="73">
        <v>21</v>
      </c>
      <c r="Q41" s="73">
        <v>26</v>
      </c>
      <c r="R41" s="73">
        <v>25</v>
      </c>
      <c r="S41" s="73">
        <v>28</v>
      </c>
      <c r="T41" s="73">
        <v>29</v>
      </c>
      <c r="U41" s="73">
        <v>18</v>
      </c>
      <c r="V41" s="73">
        <v>8</v>
      </c>
      <c r="W41" s="73">
        <v>456</v>
      </c>
    </row>
    <row r="42" spans="1:23" x14ac:dyDescent="0.3">
      <c r="A42" s="83"/>
      <c r="B42" s="83"/>
      <c r="C42" s="83"/>
      <c r="D42" s="83"/>
      <c r="E42" s="83" t="s">
        <v>79</v>
      </c>
      <c r="F42" s="73">
        <v>0</v>
      </c>
      <c r="G42" s="73">
        <v>0</v>
      </c>
      <c r="H42" s="73">
        <v>0</v>
      </c>
      <c r="I42" s="73">
        <v>0</v>
      </c>
      <c r="J42" s="73">
        <v>0</v>
      </c>
      <c r="K42" s="73">
        <v>0</v>
      </c>
      <c r="L42" s="73">
        <v>0</v>
      </c>
      <c r="M42" s="73">
        <v>0</v>
      </c>
      <c r="N42" s="73">
        <v>0</v>
      </c>
      <c r="O42" s="73">
        <v>0</v>
      </c>
      <c r="P42" s="73">
        <v>0</v>
      </c>
      <c r="Q42" s="73">
        <v>0</v>
      </c>
      <c r="R42" s="73">
        <v>0</v>
      </c>
      <c r="S42" s="73">
        <v>0</v>
      </c>
      <c r="T42" s="73">
        <v>0</v>
      </c>
      <c r="U42" s="73">
        <v>0</v>
      </c>
      <c r="V42" s="73">
        <v>0</v>
      </c>
      <c r="W42" s="73">
        <v>0</v>
      </c>
    </row>
    <row r="43" spans="1:23" x14ac:dyDescent="0.3">
      <c r="A43" s="83"/>
      <c r="B43" s="83"/>
      <c r="C43" s="83"/>
      <c r="D43" s="83"/>
      <c r="E43" s="83" t="s">
        <v>80</v>
      </c>
      <c r="F43" s="73">
        <v>0</v>
      </c>
      <c r="G43" s="73">
        <v>0</v>
      </c>
      <c r="H43" s="73">
        <v>0</v>
      </c>
      <c r="I43" s="73">
        <v>0</v>
      </c>
      <c r="J43" s="73">
        <v>0</v>
      </c>
      <c r="K43" s="73">
        <v>0</v>
      </c>
      <c r="L43" s="73">
        <v>0</v>
      </c>
      <c r="M43" s="73">
        <v>0</v>
      </c>
      <c r="N43" s="73">
        <v>0</v>
      </c>
      <c r="O43" s="73">
        <v>0</v>
      </c>
      <c r="P43" s="73">
        <v>0</v>
      </c>
      <c r="Q43" s="73">
        <v>0</v>
      </c>
      <c r="R43" s="73">
        <v>0</v>
      </c>
      <c r="S43" s="73">
        <v>0</v>
      </c>
      <c r="T43" s="73">
        <v>0</v>
      </c>
      <c r="U43" s="73">
        <v>0</v>
      </c>
      <c r="V43" s="73">
        <v>0</v>
      </c>
      <c r="W43" s="73">
        <v>0</v>
      </c>
    </row>
    <row r="44" spans="1:23" x14ac:dyDescent="0.3">
      <c r="A44" s="83"/>
      <c r="B44" s="83"/>
      <c r="C44" s="83" t="s">
        <v>81</v>
      </c>
      <c r="D44" s="83"/>
      <c r="E44" s="83"/>
      <c r="F44" s="73">
        <v>11339</v>
      </c>
      <c r="G44" s="73">
        <v>17350</v>
      </c>
      <c r="H44" s="73">
        <v>1710</v>
      </c>
      <c r="I44" s="73">
        <v>63192</v>
      </c>
      <c r="J44" s="73">
        <v>801</v>
      </c>
      <c r="K44" s="73">
        <v>968</v>
      </c>
      <c r="L44" s="73">
        <v>429</v>
      </c>
      <c r="M44" s="73">
        <v>40</v>
      </c>
      <c r="N44" s="73">
        <v>5377</v>
      </c>
      <c r="O44" s="73">
        <v>694</v>
      </c>
      <c r="P44" s="73">
        <v>1501</v>
      </c>
      <c r="Q44" s="73">
        <v>1167</v>
      </c>
      <c r="R44" s="73">
        <v>1858</v>
      </c>
      <c r="S44" s="73">
        <v>25411</v>
      </c>
      <c r="T44" s="73">
        <v>587</v>
      </c>
      <c r="U44" s="73">
        <v>19228</v>
      </c>
      <c r="V44" s="73">
        <v>60054</v>
      </c>
      <c r="W44" s="73">
        <v>211706</v>
      </c>
    </row>
    <row r="45" spans="1:23" x14ac:dyDescent="0.3">
      <c r="A45" s="83"/>
      <c r="B45" s="83"/>
      <c r="C45" s="83"/>
      <c r="D45" s="83"/>
      <c r="E45" s="83" t="s">
        <v>82</v>
      </c>
      <c r="F45" s="73">
        <v>35</v>
      </c>
      <c r="G45" s="73">
        <v>94</v>
      </c>
      <c r="H45" s="73">
        <v>3</v>
      </c>
      <c r="I45" s="73">
        <v>478</v>
      </c>
      <c r="J45" s="73">
        <v>0</v>
      </c>
      <c r="K45" s="73">
        <v>7</v>
      </c>
      <c r="L45" s="73">
        <v>0</v>
      </c>
      <c r="M45" s="73">
        <v>0</v>
      </c>
      <c r="N45" s="73">
        <v>24</v>
      </c>
      <c r="O45" s="73">
        <v>3</v>
      </c>
      <c r="P45" s="73">
        <v>8</v>
      </c>
      <c r="Q45" s="73">
        <v>1</v>
      </c>
      <c r="R45" s="73">
        <v>3</v>
      </c>
      <c r="S45" s="73">
        <v>59</v>
      </c>
      <c r="T45" s="73">
        <v>0</v>
      </c>
      <c r="U45" s="73">
        <v>87</v>
      </c>
      <c r="V45" s="73">
        <v>467</v>
      </c>
      <c r="W45" s="73">
        <v>1269</v>
      </c>
    </row>
    <row r="46" spans="1:23" x14ac:dyDescent="0.3">
      <c r="A46" s="83"/>
      <c r="B46" s="83"/>
      <c r="C46" s="83"/>
      <c r="D46" s="83"/>
      <c r="E46" s="83" t="s">
        <v>83</v>
      </c>
      <c r="F46" s="73">
        <v>6384</v>
      </c>
      <c r="G46" s="73">
        <v>9986</v>
      </c>
      <c r="H46" s="73">
        <v>678</v>
      </c>
      <c r="I46" s="73">
        <v>46846</v>
      </c>
      <c r="J46" s="73">
        <v>426</v>
      </c>
      <c r="K46" s="73">
        <v>506</v>
      </c>
      <c r="L46" s="73">
        <v>250</v>
      </c>
      <c r="M46" s="73">
        <v>26</v>
      </c>
      <c r="N46" s="73">
        <v>3760</v>
      </c>
      <c r="O46" s="73">
        <v>466</v>
      </c>
      <c r="P46" s="73">
        <v>976</v>
      </c>
      <c r="Q46" s="73">
        <v>833</v>
      </c>
      <c r="R46" s="73">
        <v>1406</v>
      </c>
      <c r="S46" s="73">
        <v>20087</v>
      </c>
      <c r="T46" s="73">
        <v>367</v>
      </c>
      <c r="U46" s="73">
        <v>10691</v>
      </c>
      <c r="V46" s="73">
        <v>38961</v>
      </c>
      <c r="W46" s="73">
        <v>142649</v>
      </c>
    </row>
    <row r="47" spans="1:23" x14ac:dyDescent="0.3">
      <c r="A47" s="83"/>
      <c r="B47" s="83"/>
      <c r="C47" s="83"/>
      <c r="D47" s="83"/>
      <c r="E47" s="83" t="s">
        <v>84</v>
      </c>
      <c r="F47" s="73">
        <v>1266</v>
      </c>
      <c r="G47" s="73">
        <v>4581</v>
      </c>
      <c r="H47" s="73">
        <v>379</v>
      </c>
      <c r="I47" s="73">
        <v>10640</v>
      </c>
      <c r="J47" s="73">
        <v>170</v>
      </c>
      <c r="K47" s="73">
        <v>227</v>
      </c>
      <c r="L47" s="73">
        <v>66</v>
      </c>
      <c r="M47" s="73">
        <v>12</v>
      </c>
      <c r="N47" s="73">
        <v>1120</v>
      </c>
      <c r="O47" s="73">
        <v>145</v>
      </c>
      <c r="P47" s="73">
        <v>330</v>
      </c>
      <c r="Q47" s="73">
        <v>216</v>
      </c>
      <c r="R47" s="73">
        <v>292</v>
      </c>
      <c r="S47" s="73">
        <v>3929</v>
      </c>
      <c r="T47" s="73">
        <v>125</v>
      </c>
      <c r="U47" s="73">
        <v>5426</v>
      </c>
      <c r="V47" s="73">
        <v>13655</v>
      </c>
      <c r="W47" s="73">
        <v>42579</v>
      </c>
    </row>
    <row r="48" spans="1:23" x14ac:dyDescent="0.3">
      <c r="A48" s="83"/>
      <c r="B48" s="83"/>
      <c r="C48" s="83"/>
      <c r="D48" s="83"/>
      <c r="E48" s="83" t="s">
        <v>85</v>
      </c>
      <c r="F48" s="73">
        <v>523</v>
      </c>
      <c r="G48" s="73">
        <v>1646</v>
      </c>
      <c r="H48" s="73">
        <v>130</v>
      </c>
      <c r="I48" s="73">
        <v>3859</v>
      </c>
      <c r="J48" s="73">
        <v>58</v>
      </c>
      <c r="K48" s="73">
        <v>80</v>
      </c>
      <c r="L48" s="73">
        <v>12</v>
      </c>
      <c r="M48" s="73">
        <v>1</v>
      </c>
      <c r="N48" s="73">
        <v>233</v>
      </c>
      <c r="O48" s="73">
        <v>19</v>
      </c>
      <c r="P48" s="73">
        <v>153</v>
      </c>
      <c r="Q48" s="73">
        <v>65</v>
      </c>
      <c r="R48" s="73">
        <v>135</v>
      </c>
      <c r="S48" s="73">
        <v>919</v>
      </c>
      <c r="T48" s="73">
        <v>40</v>
      </c>
      <c r="U48" s="73">
        <v>1956</v>
      </c>
      <c r="V48" s="73">
        <v>3267</v>
      </c>
      <c r="W48" s="73">
        <v>13096</v>
      </c>
    </row>
    <row r="49" spans="1:23" x14ac:dyDescent="0.3">
      <c r="A49" s="83"/>
      <c r="B49" s="83"/>
      <c r="C49" s="83"/>
      <c r="D49" s="83"/>
      <c r="E49" s="83" t="s">
        <v>86</v>
      </c>
      <c r="F49" s="73">
        <v>184</v>
      </c>
      <c r="G49" s="73">
        <v>89</v>
      </c>
      <c r="H49" s="73">
        <v>37</v>
      </c>
      <c r="I49" s="73">
        <v>291</v>
      </c>
      <c r="J49" s="73">
        <v>2</v>
      </c>
      <c r="K49" s="73">
        <v>6</v>
      </c>
      <c r="L49" s="73">
        <v>3</v>
      </c>
      <c r="M49" s="73">
        <v>0</v>
      </c>
      <c r="N49" s="73">
        <v>32</v>
      </c>
      <c r="O49" s="73">
        <v>2</v>
      </c>
      <c r="P49" s="73">
        <v>3</v>
      </c>
      <c r="Q49" s="73">
        <v>15</v>
      </c>
      <c r="R49" s="73">
        <v>5</v>
      </c>
      <c r="S49" s="73">
        <v>125</v>
      </c>
      <c r="T49" s="73">
        <v>5</v>
      </c>
      <c r="U49" s="73">
        <v>342</v>
      </c>
      <c r="V49" s="73">
        <v>538</v>
      </c>
      <c r="W49" s="73">
        <v>1679</v>
      </c>
    </row>
    <row r="50" spans="1:23" x14ac:dyDescent="0.3">
      <c r="A50" s="83"/>
      <c r="B50" s="83"/>
      <c r="C50" s="83"/>
      <c r="D50" s="83"/>
      <c r="E50" s="83" t="s">
        <v>87</v>
      </c>
      <c r="F50" s="73">
        <v>88</v>
      </c>
      <c r="G50" s="73">
        <v>917</v>
      </c>
      <c r="H50" s="73">
        <v>18</v>
      </c>
      <c r="I50" s="73">
        <v>898</v>
      </c>
      <c r="J50" s="73">
        <v>17</v>
      </c>
      <c r="K50" s="73">
        <v>23</v>
      </c>
      <c r="L50" s="73">
        <v>7</v>
      </c>
      <c r="M50" s="73">
        <v>1</v>
      </c>
      <c r="N50" s="73">
        <v>76</v>
      </c>
      <c r="O50" s="73">
        <v>6</v>
      </c>
      <c r="P50" s="73">
        <v>13</v>
      </c>
      <c r="Q50" s="73">
        <v>26</v>
      </c>
      <c r="R50" s="73">
        <v>5</v>
      </c>
      <c r="S50" s="73">
        <v>277</v>
      </c>
      <c r="T50" s="73">
        <v>9</v>
      </c>
      <c r="U50" s="73">
        <v>694</v>
      </c>
      <c r="V50" s="73">
        <v>1739</v>
      </c>
      <c r="W50" s="73">
        <v>4814</v>
      </c>
    </row>
    <row r="51" spans="1:23" x14ac:dyDescent="0.3">
      <c r="A51" s="83"/>
      <c r="B51" s="83"/>
      <c r="C51" s="83"/>
      <c r="D51" s="83"/>
      <c r="E51" s="83" t="s">
        <v>88</v>
      </c>
      <c r="F51" s="73">
        <v>0</v>
      </c>
      <c r="G51" s="73">
        <v>0</v>
      </c>
      <c r="H51" s="73">
        <v>0</v>
      </c>
      <c r="I51" s="73">
        <v>0</v>
      </c>
      <c r="J51" s="73">
        <v>0</v>
      </c>
      <c r="K51" s="73">
        <v>0</v>
      </c>
      <c r="L51" s="73">
        <v>0</v>
      </c>
      <c r="M51" s="73">
        <v>0</v>
      </c>
      <c r="N51" s="73">
        <v>0</v>
      </c>
      <c r="O51" s="73">
        <v>0</v>
      </c>
      <c r="P51" s="73">
        <v>0</v>
      </c>
      <c r="Q51" s="73">
        <v>0</v>
      </c>
      <c r="R51" s="73">
        <v>0</v>
      </c>
      <c r="S51" s="73">
        <v>0</v>
      </c>
      <c r="T51" s="73">
        <v>0</v>
      </c>
      <c r="U51" s="73">
        <v>0</v>
      </c>
      <c r="V51" s="73">
        <v>0</v>
      </c>
      <c r="W51" s="73">
        <v>0</v>
      </c>
    </row>
    <row r="52" spans="1:23" x14ac:dyDescent="0.3">
      <c r="A52" s="83"/>
      <c r="B52" s="83"/>
      <c r="C52" s="83"/>
      <c r="D52" s="83"/>
      <c r="E52" s="83" t="s">
        <v>89</v>
      </c>
      <c r="F52" s="73">
        <v>2859</v>
      </c>
      <c r="G52" s="73">
        <v>37</v>
      </c>
      <c r="H52" s="73">
        <v>465</v>
      </c>
      <c r="I52" s="73">
        <v>180</v>
      </c>
      <c r="J52" s="73">
        <v>128</v>
      </c>
      <c r="K52" s="73">
        <v>119</v>
      </c>
      <c r="L52" s="73">
        <v>91</v>
      </c>
      <c r="M52" s="73">
        <v>0</v>
      </c>
      <c r="N52" s="73">
        <v>132</v>
      </c>
      <c r="O52" s="73">
        <v>53</v>
      </c>
      <c r="P52" s="73">
        <v>18</v>
      </c>
      <c r="Q52" s="73">
        <v>11</v>
      </c>
      <c r="R52" s="73">
        <v>12</v>
      </c>
      <c r="S52" s="73">
        <v>15</v>
      </c>
      <c r="T52" s="73">
        <v>41</v>
      </c>
      <c r="U52" s="73">
        <v>32</v>
      </c>
      <c r="V52" s="73">
        <v>1427</v>
      </c>
      <c r="W52" s="73">
        <v>5620</v>
      </c>
    </row>
    <row r="53" spans="1:23" x14ac:dyDescent="0.3">
      <c r="A53" s="83"/>
      <c r="B53" s="83"/>
      <c r="C53" s="83" t="s">
        <v>90</v>
      </c>
      <c r="D53" s="83"/>
      <c r="E53" s="83"/>
      <c r="F53" s="73">
        <v>5170</v>
      </c>
      <c r="G53" s="73">
        <v>8124</v>
      </c>
      <c r="H53" s="73">
        <v>918</v>
      </c>
      <c r="I53" s="73">
        <v>41773</v>
      </c>
      <c r="J53" s="73">
        <v>367</v>
      </c>
      <c r="K53" s="73">
        <v>471</v>
      </c>
      <c r="L53" s="73">
        <v>153</v>
      </c>
      <c r="M53" s="73">
        <v>23</v>
      </c>
      <c r="N53" s="73">
        <v>2673</v>
      </c>
      <c r="O53" s="73">
        <v>378</v>
      </c>
      <c r="P53" s="73">
        <v>797</v>
      </c>
      <c r="Q53" s="73">
        <v>593</v>
      </c>
      <c r="R53" s="73">
        <v>842</v>
      </c>
      <c r="S53" s="73">
        <v>14417</v>
      </c>
      <c r="T53" s="73">
        <v>274</v>
      </c>
      <c r="U53" s="73">
        <v>11476</v>
      </c>
      <c r="V53" s="73">
        <v>25529</v>
      </c>
      <c r="W53" s="73">
        <v>113978</v>
      </c>
    </row>
    <row r="54" spans="1:23" x14ac:dyDescent="0.3">
      <c r="A54" s="83"/>
      <c r="B54" s="83"/>
      <c r="C54" s="83"/>
      <c r="D54" s="83"/>
      <c r="E54" s="83" t="s">
        <v>91</v>
      </c>
      <c r="F54" s="73">
        <v>254</v>
      </c>
      <c r="G54" s="73">
        <v>323</v>
      </c>
      <c r="H54" s="73">
        <v>21</v>
      </c>
      <c r="I54" s="73">
        <v>5976</v>
      </c>
      <c r="J54" s="73">
        <v>34</v>
      </c>
      <c r="K54" s="73">
        <v>63</v>
      </c>
      <c r="L54" s="73">
        <v>4</v>
      </c>
      <c r="M54" s="73">
        <v>5</v>
      </c>
      <c r="N54" s="73">
        <v>145</v>
      </c>
      <c r="O54" s="73">
        <v>18</v>
      </c>
      <c r="P54" s="73">
        <v>60</v>
      </c>
      <c r="Q54" s="73">
        <v>15</v>
      </c>
      <c r="R54" s="73">
        <v>52</v>
      </c>
      <c r="S54" s="73">
        <v>1397</v>
      </c>
      <c r="T54" s="73">
        <v>9</v>
      </c>
      <c r="U54" s="73">
        <v>1278</v>
      </c>
      <c r="V54" s="73">
        <v>1803</v>
      </c>
      <c r="W54" s="73">
        <v>11457</v>
      </c>
    </row>
    <row r="55" spans="1:23" x14ac:dyDescent="0.3">
      <c r="A55" s="83"/>
      <c r="B55" s="83"/>
      <c r="C55" s="83"/>
      <c r="D55" s="83"/>
      <c r="E55" s="83" t="s">
        <v>92</v>
      </c>
      <c r="F55" s="73">
        <v>1263</v>
      </c>
      <c r="G55" s="73">
        <v>899</v>
      </c>
      <c r="H55" s="73">
        <v>119</v>
      </c>
      <c r="I55" s="73">
        <v>13205</v>
      </c>
      <c r="J55" s="73">
        <v>96</v>
      </c>
      <c r="K55" s="73">
        <v>87</v>
      </c>
      <c r="L55" s="73">
        <v>22</v>
      </c>
      <c r="M55" s="73">
        <v>3</v>
      </c>
      <c r="N55" s="73">
        <v>914</v>
      </c>
      <c r="O55" s="73">
        <v>119</v>
      </c>
      <c r="P55" s="73">
        <v>168</v>
      </c>
      <c r="Q55" s="73">
        <v>89</v>
      </c>
      <c r="R55" s="73">
        <v>205</v>
      </c>
      <c r="S55" s="73">
        <v>3767</v>
      </c>
      <c r="T55" s="73">
        <v>54</v>
      </c>
      <c r="U55" s="73">
        <v>2335</v>
      </c>
      <c r="V55" s="73">
        <v>5862</v>
      </c>
      <c r="W55" s="73">
        <v>29207</v>
      </c>
    </row>
    <row r="56" spans="1:23" x14ac:dyDescent="0.3">
      <c r="A56" s="83"/>
      <c r="B56" s="83"/>
      <c r="C56" s="83"/>
      <c r="D56" s="83"/>
      <c r="E56" s="83" t="s">
        <v>93</v>
      </c>
      <c r="F56" s="73">
        <v>2575</v>
      </c>
      <c r="G56" s="73">
        <v>6429</v>
      </c>
      <c r="H56" s="73">
        <v>354</v>
      </c>
      <c r="I56" s="73">
        <v>21494</v>
      </c>
      <c r="J56" s="73">
        <v>230</v>
      </c>
      <c r="K56" s="73">
        <v>234</v>
      </c>
      <c r="L56" s="73">
        <v>66</v>
      </c>
      <c r="M56" s="73">
        <v>13</v>
      </c>
      <c r="N56" s="73">
        <v>1489</v>
      </c>
      <c r="O56" s="73">
        <v>166</v>
      </c>
      <c r="P56" s="73">
        <v>531</v>
      </c>
      <c r="Q56" s="73">
        <v>414</v>
      </c>
      <c r="R56" s="73">
        <v>559</v>
      </c>
      <c r="S56" s="73">
        <v>9040</v>
      </c>
      <c r="T56" s="73">
        <v>182</v>
      </c>
      <c r="U56" s="73">
        <v>7063</v>
      </c>
      <c r="V56" s="73">
        <v>16501</v>
      </c>
      <c r="W56" s="73">
        <v>67340</v>
      </c>
    </row>
    <row r="57" spans="1:23" x14ac:dyDescent="0.3">
      <c r="A57" s="83"/>
      <c r="B57" s="83"/>
      <c r="C57" s="83"/>
      <c r="D57" s="83"/>
      <c r="E57" s="83" t="s">
        <v>94</v>
      </c>
      <c r="F57" s="73">
        <v>3</v>
      </c>
      <c r="G57" s="73">
        <v>0</v>
      </c>
      <c r="H57" s="73">
        <v>0</v>
      </c>
      <c r="I57" s="73">
        <v>0</v>
      </c>
      <c r="J57" s="73">
        <v>0</v>
      </c>
      <c r="K57" s="73">
        <v>0</v>
      </c>
      <c r="L57" s="73">
        <v>0</v>
      </c>
      <c r="M57" s="73">
        <v>0</v>
      </c>
      <c r="N57" s="73">
        <v>6</v>
      </c>
      <c r="O57" s="73">
        <v>0</v>
      </c>
      <c r="P57" s="73">
        <v>0</v>
      </c>
      <c r="Q57" s="73">
        <v>0</v>
      </c>
      <c r="R57" s="73">
        <v>0</v>
      </c>
      <c r="S57" s="73">
        <v>0</v>
      </c>
      <c r="T57" s="73">
        <v>0</v>
      </c>
      <c r="U57" s="73">
        <v>0</v>
      </c>
      <c r="V57" s="73">
        <v>1</v>
      </c>
      <c r="W57" s="73">
        <v>10</v>
      </c>
    </row>
    <row r="58" spans="1:23" x14ac:dyDescent="0.3">
      <c r="A58" s="83"/>
      <c r="B58" s="83"/>
      <c r="C58" s="83"/>
      <c r="D58" s="83"/>
      <c r="E58" s="83" t="s">
        <v>95</v>
      </c>
      <c r="F58" s="73">
        <v>186</v>
      </c>
      <c r="G58" s="73">
        <v>432</v>
      </c>
      <c r="H58" s="73">
        <v>16</v>
      </c>
      <c r="I58" s="73">
        <v>992</v>
      </c>
      <c r="J58" s="73">
        <v>2</v>
      </c>
      <c r="K58" s="73">
        <v>9</v>
      </c>
      <c r="L58" s="73">
        <v>1</v>
      </c>
      <c r="M58" s="73">
        <v>2</v>
      </c>
      <c r="N58" s="73">
        <v>43</v>
      </c>
      <c r="O58" s="73">
        <v>3</v>
      </c>
      <c r="P58" s="73">
        <v>18</v>
      </c>
      <c r="Q58" s="73">
        <v>29</v>
      </c>
      <c r="R58" s="73">
        <v>22</v>
      </c>
      <c r="S58" s="73">
        <v>201</v>
      </c>
      <c r="T58" s="73">
        <v>5</v>
      </c>
      <c r="U58" s="73">
        <v>686</v>
      </c>
      <c r="V58" s="73">
        <v>757</v>
      </c>
      <c r="W58" s="73">
        <v>3404</v>
      </c>
    </row>
    <row r="59" spans="1:23" x14ac:dyDescent="0.3">
      <c r="A59" s="83"/>
      <c r="B59" s="83"/>
      <c r="C59" s="83"/>
      <c r="D59" s="83"/>
      <c r="E59" s="83" t="s">
        <v>96</v>
      </c>
      <c r="F59" s="73">
        <v>26</v>
      </c>
      <c r="G59" s="73">
        <v>0</v>
      </c>
      <c r="H59" s="73">
        <v>0</v>
      </c>
      <c r="I59" s="73">
        <v>2</v>
      </c>
      <c r="J59" s="73">
        <v>0</v>
      </c>
      <c r="K59" s="73">
        <v>0</v>
      </c>
      <c r="L59" s="73">
        <v>0</v>
      </c>
      <c r="M59" s="73">
        <v>0</v>
      </c>
      <c r="N59" s="73">
        <v>9</v>
      </c>
      <c r="O59" s="73">
        <v>0</v>
      </c>
      <c r="P59" s="73">
        <v>0</v>
      </c>
      <c r="Q59" s="73">
        <v>16</v>
      </c>
      <c r="R59" s="73">
        <v>0</v>
      </c>
      <c r="S59" s="73">
        <v>2</v>
      </c>
      <c r="T59" s="73">
        <v>0</v>
      </c>
      <c r="U59" s="73">
        <v>0</v>
      </c>
      <c r="V59" s="73">
        <v>6</v>
      </c>
      <c r="W59" s="73">
        <v>61</v>
      </c>
    </row>
    <row r="60" spans="1:23" x14ac:dyDescent="0.3">
      <c r="A60" s="83"/>
      <c r="B60" s="83"/>
      <c r="C60" s="83"/>
      <c r="D60" s="83"/>
      <c r="E60" s="83" t="s">
        <v>97</v>
      </c>
      <c r="F60" s="73">
        <v>0</v>
      </c>
      <c r="G60" s="73">
        <v>0</v>
      </c>
      <c r="H60" s="73">
        <v>0</v>
      </c>
      <c r="I60" s="73">
        <v>0</v>
      </c>
      <c r="J60" s="73">
        <v>0</v>
      </c>
      <c r="K60" s="73">
        <v>0</v>
      </c>
      <c r="L60" s="73">
        <v>0</v>
      </c>
      <c r="M60" s="73">
        <v>0</v>
      </c>
      <c r="N60" s="73">
        <v>0</v>
      </c>
      <c r="O60" s="73">
        <v>0</v>
      </c>
      <c r="P60" s="73">
        <v>0</v>
      </c>
      <c r="Q60" s="73">
        <v>0</v>
      </c>
      <c r="R60" s="73">
        <v>0</v>
      </c>
      <c r="S60" s="73">
        <v>0</v>
      </c>
      <c r="T60" s="73">
        <v>0</v>
      </c>
      <c r="U60" s="73">
        <v>0</v>
      </c>
      <c r="V60" s="73">
        <v>0</v>
      </c>
      <c r="W60" s="73">
        <v>0</v>
      </c>
    </row>
    <row r="61" spans="1:23" x14ac:dyDescent="0.3">
      <c r="A61" s="83"/>
      <c r="B61" s="83"/>
      <c r="C61" s="83"/>
      <c r="D61" s="83"/>
      <c r="E61" s="83" t="s">
        <v>98</v>
      </c>
      <c r="F61" s="73">
        <v>863</v>
      </c>
      <c r="G61" s="73">
        <v>41</v>
      </c>
      <c r="H61" s="73">
        <v>408</v>
      </c>
      <c r="I61" s="73">
        <v>104</v>
      </c>
      <c r="J61" s="73">
        <v>5</v>
      </c>
      <c r="K61" s="73">
        <v>78</v>
      </c>
      <c r="L61" s="73">
        <v>60</v>
      </c>
      <c r="M61" s="73">
        <v>0</v>
      </c>
      <c r="N61" s="73">
        <v>67</v>
      </c>
      <c r="O61" s="73">
        <v>72</v>
      </c>
      <c r="P61" s="73">
        <v>20</v>
      </c>
      <c r="Q61" s="73">
        <v>30</v>
      </c>
      <c r="R61" s="73">
        <v>4</v>
      </c>
      <c r="S61" s="73">
        <v>10</v>
      </c>
      <c r="T61" s="73">
        <v>24</v>
      </c>
      <c r="U61" s="73">
        <v>114</v>
      </c>
      <c r="V61" s="73">
        <v>599</v>
      </c>
      <c r="W61" s="73">
        <v>2499</v>
      </c>
    </row>
    <row r="62" spans="1:23" x14ac:dyDescent="0.3">
      <c r="A62" s="83"/>
      <c r="B62" s="83" t="s">
        <v>99</v>
      </c>
      <c r="C62" s="83"/>
      <c r="D62" s="83"/>
      <c r="E62" s="83"/>
      <c r="F62" s="73">
        <v>15384</v>
      </c>
      <c r="G62" s="73">
        <v>6164</v>
      </c>
      <c r="H62" s="73">
        <v>4003</v>
      </c>
      <c r="I62" s="73">
        <v>11512</v>
      </c>
      <c r="J62" s="73">
        <v>2409</v>
      </c>
      <c r="K62" s="73">
        <v>2166</v>
      </c>
      <c r="L62" s="73">
        <v>1927</v>
      </c>
      <c r="M62" s="73">
        <v>428</v>
      </c>
      <c r="N62" s="73">
        <v>32250</v>
      </c>
      <c r="O62" s="73">
        <v>3158</v>
      </c>
      <c r="P62" s="73">
        <v>3766</v>
      </c>
      <c r="Q62" s="73">
        <v>5331</v>
      </c>
      <c r="R62" s="73">
        <v>4165</v>
      </c>
      <c r="S62" s="73">
        <v>7759</v>
      </c>
      <c r="T62" s="73">
        <v>5357</v>
      </c>
      <c r="U62" s="73">
        <v>7443</v>
      </c>
      <c r="V62" s="73">
        <v>7178</v>
      </c>
      <c r="W62" s="73">
        <v>120400</v>
      </c>
    </row>
    <row r="63" spans="1:23" x14ac:dyDescent="0.3">
      <c r="A63" s="83"/>
      <c r="B63" s="83"/>
      <c r="C63" s="83" t="s">
        <v>100</v>
      </c>
      <c r="D63" s="83"/>
      <c r="E63" s="83"/>
      <c r="F63" s="73">
        <v>15281</v>
      </c>
      <c r="G63" s="73">
        <v>6152</v>
      </c>
      <c r="H63" s="73">
        <v>3973</v>
      </c>
      <c r="I63" s="73">
        <v>11487</v>
      </c>
      <c r="J63" s="73">
        <v>2394</v>
      </c>
      <c r="K63" s="73">
        <v>2146</v>
      </c>
      <c r="L63" s="73">
        <v>1924</v>
      </c>
      <c r="M63" s="73">
        <v>427</v>
      </c>
      <c r="N63" s="73">
        <v>32087</v>
      </c>
      <c r="O63" s="73">
        <v>3137</v>
      </c>
      <c r="P63" s="73">
        <v>3734</v>
      </c>
      <c r="Q63" s="73">
        <v>5294</v>
      </c>
      <c r="R63" s="73">
        <v>4139</v>
      </c>
      <c r="S63" s="73">
        <v>7741</v>
      </c>
      <c r="T63" s="73">
        <v>5328</v>
      </c>
      <c r="U63" s="73">
        <v>7413</v>
      </c>
      <c r="V63" s="73">
        <v>7164</v>
      </c>
      <c r="W63" s="73">
        <v>119821</v>
      </c>
    </row>
    <row r="64" spans="1:23" x14ac:dyDescent="0.3">
      <c r="A64" s="83"/>
      <c r="B64" s="83"/>
      <c r="C64" s="83"/>
      <c r="D64" s="83" t="s">
        <v>101</v>
      </c>
      <c r="E64" s="83"/>
      <c r="F64" s="73">
        <v>10434</v>
      </c>
      <c r="G64" s="73">
        <v>3637</v>
      </c>
      <c r="H64" s="73">
        <v>1823</v>
      </c>
      <c r="I64" s="73">
        <v>4603</v>
      </c>
      <c r="J64" s="73">
        <v>927</v>
      </c>
      <c r="K64" s="73">
        <v>1070</v>
      </c>
      <c r="L64" s="73">
        <v>976</v>
      </c>
      <c r="M64" s="73">
        <v>289</v>
      </c>
      <c r="N64" s="73">
        <v>3627</v>
      </c>
      <c r="O64" s="73">
        <v>911</v>
      </c>
      <c r="P64" s="73">
        <v>982</v>
      </c>
      <c r="Q64" s="73">
        <v>1287</v>
      </c>
      <c r="R64" s="73">
        <v>1167</v>
      </c>
      <c r="S64" s="73">
        <v>4808</v>
      </c>
      <c r="T64" s="73">
        <v>1693</v>
      </c>
      <c r="U64" s="73">
        <v>2466</v>
      </c>
      <c r="V64" s="73">
        <v>1482</v>
      </c>
      <c r="W64" s="73">
        <v>42182</v>
      </c>
    </row>
    <row r="65" spans="1:23" x14ac:dyDescent="0.3">
      <c r="A65" s="83"/>
      <c r="B65" s="83"/>
      <c r="C65" s="83"/>
      <c r="D65" s="83" t="s">
        <v>102</v>
      </c>
      <c r="E65" s="83"/>
      <c r="F65" s="73">
        <v>0</v>
      </c>
      <c r="G65" s="73">
        <v>0</v>
      </c>
      <c r="H65" s="73">
        <v>0</v>
      </c>
      <c r="I65" s="73">
        <v>0</v>
      </c>
      <c r="J65" s="73">
        <v>0</v>
      </c>
      <c r="K65" s="73">
        <v>0</v>
      </c>
      <c r="L65" s="73">
        <v>0</v>
      </c>
      <c r="M65" s="73">
        <v>0</v>
      </c>
      <c r="N65" s="73">
        <v>16933</v>
      </c>
      <c r="O65" s="73">
        <v>710</v>
      </c>
      <c r="P65" s="73">
        <v>581</v>
      </c>
      <c r="Q65" s="73">
        <v>868</v>
      </c>
      <c r="R65" s="73">
        <v>576</v>
      </c>
      <c r="S65" s="73">
        <v>1797</v>
      </c>
      <c r="T65" s="73">
        <v>712</v>
      </c>
      <c r="U65" s="73">
        <v>1530</v>
      </c>
      <c r="V65" s="73">
        <v>575</v>
      </c>
      <c r="W65" s="73">
        <v>24282</v>
      </c>
    </row>
    <row r="66" spans="1:23" x14ac:dyDescent="0.3">
      <c r="A66" s="83"/>
      <c r="B66" s="83"/>
      <c r="C66" s="83"/>
      <c r="D66" s="83" t="s">
        <v>103</v>
      </c>
      <c r="E66" s="83"/>
      <c r="F66" s="73">
        <v>3179</v>
      </c>
      <c r="G66" s="73">
        <v>1816</v>
      </c>
      <c r="H66" s="73">
        <v>1817</v>
      </c>
      <c r="I66" s="73">
        <v>3606</v>
      </c>
      <c r="J66" s="73">
        <v>1350</v>
      </c>
      <c r="K66" s="73">
        <v>911</v>
      </c>
      <c r="L66" s="73">
        <v>868</v>
      </c>
      <c r="M66" s="73">
        <v>126</v>
      </c>
      <c r="N66" s="73">
        <v>10302</v>
      </c>
      <c r="O66" s="73">
        <v>1256</v>
      </c>
      <c r="P66" s="73">
        <v>1964</v>
      </c>
      <c r="Q66" s="73">
        <v>2796</v>
      </c>
      <c r="R66" s="73">
        <v>2110</v>
      </c>
      <c r="S66" s="73">
        <v>705</v>
      </c>
      <c r="T66" s="73">
        <v>2607</v>
      </c>
      <c r="U66" s="73">
        <v>2853</v>
      </c>
      <c r="V66" s="73">
        <v>2021</v>
      </c>
      <c r="W66" s="73">
        <v>40287</v>
      </c>
    </row>
    <row r="67" spans="1:23" x14ac:dyDescent="0.3">
      <c r="A67" s="83"/>
      <c r="B67" s="83"/>
      <c r="C67" s="83"/>
      <c r="D67" s="83" t="s">
        <v>104</v>
      </c>
      <c r="E67" s="83"/>
      <c r="F67" s="73">
        <v>0</v>
      </c>
      <c r="G67" s="73">
        <v>0</v>
      </c>
      <c r="H67" s="73">
        <v>0</v>
      </c>
      <c r="I67" s="73">
        <v>0</v>
      </c>
      <c r="J67" s="73">
        <v>0</v>
      </c>
      <c r="K67" s="73">
        <v>0</v>
      </c>
      <c r="L67" s="73">
        <v>0</v>
      </c>
      <c r="M67" s="73">
        <v>0</v>
      </c>
      <c r="N67" s="73">
        <v>14</v>
      </c>
      <c r="O67" s="73">
        <v>0</v>
      </c>
      <c r="P67" s="73">
        <v>0</v>
      </c>
      <c r="Q67" s="73">
        <v>0</v>
      </c>
      <c r="R67" s="73">
        <v>0</v>
      </c>
      <c r="S67" s="73">
        <v>0</v>
      </c>
      <c r="T67" s="73">
        <v>0</v>
      </c>
      <c r="U67" s="73">
        <v>9</v>
      </c>
      <c r="V67" s="73">
        <v>1</v>
      </c>
      <c r="W67" s="73">
        <v>24</v>
      </c>
    </row>
    <row r="68" spans="1:23" x14ac:dyDescent="0.3">
      <c r="A68" s="83"/>
      <c r="B68" s="83"/>
      <c r="C68" s="83"/>
      <c r="D68" s="83" t="s">
        <v>105</v>
      </c>
      <c r="E68" s="83"/>
      <c r="F68" s="73">
        <v>0</v>
      </c>
      <c r="G68" s="73">
        <v>0</v>
      </c>
      <c r="H68" s="73">
        <v>0</v>
      </c>
      <c r="I68" s="73">
        <v>0</v>
      </c>
      <c r="J68" s="73">
        <v>0</v>
      </c>
      <c r="K68" s="73">
        <v>0</v>
      </c>
      <c r="L68" s="73">
        <v>0</v>
      </c>
      <c r="M68" s="73">
        <v>0</v>
      </c>
      <c r="N68" s="73">
        <v>0</v>
      </c>
      <c r="O68" s="73">
        <v>0</v>
      </c>
      <c r="P68" s="73">
        <v>0</v>
      </c>
      <c r="Q68" s="73">
        <v>0</v>
      </c>
      <c r="R68" s="73">
        <v>0</v>
      </c>
      <c r="S68" s="73">
        <v>0</v>
      </c>
      <c r="T68" s="73">
        <v>0</v>
      </c>
      <c r="U68" s="73">
        <v>0</v>
      </c>
      <c r="V68" s="73">
        <v>0</v>
      </c>
      <c r="W68" s="73">
        <v>0</v>
      </c>
    </row>
    <row r="69" spans="1:23" x14ac:dyDescent="0.3">
      <c r="A69" s="83"/>
      <c r="B69" s="83"/>
      <c r="C69" s="83"/>
      <c r="D69" s="83" t="s">
        <v>106</v>
      </c>
      <c r="E69" s="83"/>
      <c r="F69" s="73">
        <v>0</v>
      </c>
      <c r="G69" s="73">
        <v>0</v>
      </c>
      <c r="H69" s="73">
        <v>0</v>
      </c>
      <c r="I69" s="73">
        <v>0</v>
      </c>
      <c r="J69" s="73">
        <v>0</v>
      </c>
      <c r="K69" s="73">
        <v>0</v>
      </c>
      <c r="L69" s="73">
        <v>0</v>
      </c>
      <c r="M69" s="73">
        <v>0</v>
      </c>
      <c r="N69" s="73">
        <v>0</v>
      </c>
      <c r="O69" s="73">
        <v>0</v>
      </c>
      <c r="P69" s="73">
        <v>0</v>
      </c>
      <c r="Q69" s="73">
        <v>0</v>
      </c>
      <c r="R69" s="73">
        <v>0</v>
      </c>
      <c r="S69" s="73">
        <v>0</v>
      </c>
      <c r="T69" s="73">
        <v>0</v>
      </c>
      <c r="U69" s="73">
        <v>0</v>
      </c>
      <c r="V69" s="73">
        <v>0</v>
      </c>
      <c r="W69" s="73">
        <v>0</v>
      </c>
    </row>
    <row r="70" spans="1:23" x14ac:dyDescent="0.3">
      <c r="A70" s="83"/>
      <c r="B70" s="83"/>
      <c r="C70" s="83"/>
      <c r="D70" s="83" t="s">
        <v>107</v>
      </c>
      <c r="E70" s="83"/>
      <c r="F70" s="73">
        <v>1668</v>
      </c>
      <c r="G70" s="73">
        <v>699</v>
      </c>
      <c r="H70" s="73">
        <v>333</v>
      </c>
      <c r="I70" s="73">
        <v>3278</v>
      </c>
      <c r="J70" s="73">
        <v>117</v>
      </c>
      <c r="K70" s="73">
        <v>165</v>
      </c>
      <c r="L70" s="73">
        <v>80</v>
      </c>
      <c r="M70" s="73">
        <v>12</v>
      </c>
      <c r="N70" s="73">
        <v>1211</v>
      </c>
      <c r="O70" s="73">
        <v>260</v>
      </c>
      <c r="P70" s="73">
        <v>207</v>
      </c>
      <c r="Q70" s="73">
        <v>343</v>
      </c>
      <c r="R70" s="73">
        <v>286</v>
      </c>
      <c r="S70" s="73">
        <v>431</v>
      </c>
      <c r="T70" s="73">
        <v>316</v>
      </c>
      <c r="U70" s="73">
        <v>555</v>
      </c>
      <c r="V70" s="73">
        <v>3085</v>
      </c>
      <c r="W70" s="73">
        <v>13046</v>
      </c>
    </row>
    <row r="71" spans="1:23" x14ac:dyDescent="0.3">
      <c r="A71" s="83"/>
      <c r="B71" s="83"/>
      <c r="C71" s="83"/>
      <c r="D71" s="83"/>
      <c r="E71" s="83" t="s">
        <v>108</v>
      </c>
      <c r="F71" s="73">
        <v>1664</v>
      </c>
      <c r="G71" s="73">
        <v>698</v>
      </c>
      <c r="H71" s="73">
        <v>332</v>
      </c>
      <c r="I71" s="73">
        <v>3277</v>
      </c>
      <c r="J71" s="73">
        <v>117</v>
      </c>
      <c r="K71" s="73">
        <v>165</v>
      </c>
      <c r="L71" s="73">
        <v>80</v>
      </c>
      <c r="M71" s="73">
        <v>12</v>
      </c>
      <c r="N71" s="73">
        <v>1211</v>
      </c>
      <c r="O71" s="73">
        <v>258</v>
      </c>
      <c r="P71" s="73">
        <v>207</v>
      </c>
      <c r="Q71" s="73">
        <v>337</v>
      </c>
      <c r="R71" s="73">
        <v>285</v>
      </c>
      <c r="S71" s="73">
        <v>431</v>
      </c>
      <c r="T71" s="73">
        <v>315</v>
      </c>
      <c r="U71" s="73">
        <v>555</v>
      </c>
      <c r="V71" s="73">
        <v>3085</v>
      </c>
      <c r="W71" s="73">
        <v>13029</v>
      </c>
    </row>
    <row r="72" spans="1:23" x14ac:dyDescent="0.3">
      <c r="A72" s="83"/>
      <c r="B72" s="83"/>
      <c r="C72" s="83"/>
      <c r="D72" s="83"/>
      <c r="E72" s="83" t="s">
        <v>109</v>
      </c>
      <c r="F72" s="73">
        <v>4</v>
      </c>
      <c r="G72" s="73">
        <v>1</v>
      </c>
      <c r="H72" s="73">
        <v>1</v>
      </c>
      <c r="I72" s="73">
        <v>1</v>
      </c>
      <c r="J72" s="73">
        <v>0</v>
      </c>
      <c r="K72" s="73">
        <v>0</v>
      </c>
      <c r="L72" s="73">
        <v>0</v>
      </c>
      <c r="M72" s="73">
        <v>0</v>
      </c>
      <c r="N72" s="73">
        <v>0</v>
      </c>
      <c r="O72" s="73">
        <v>2</v>
      </c>
      <c r="P72" s="73">
        <v>0</v>
      </c>
      <c r="Q72" s="73">
        <v>6</v>
      </c>
      <c r="R72" s="73">
        <v>1</v>
      </c>
      <c r="S72" s="73">
        <v>0</v>
      </c>
      <c r="T72" s="73">
        <v>1</v>
      </c>
      <c r="U72" s="73">
        <v>0</v>
      </c>
      <c r="V72" s="73">
        <v>0</v>
      </c>
      <c r="W72" s="73">
        <v>17</v>
      </c>
    </row>
    <row r="73" spans="1:23" x14ac:dyDescent="0.3">
      <c r="A73" s="83"/>
      <c r="B73" s="83"/>
      <c r="C73" s="83"/>
      <c r="D73" s="83"/>
      <c r="E73" s="83" t="s">
        <v>110</v>
      </c>
      <c r="F73" s="73">
        <v>0</v>
      </c>
      <c r="G73" s="73">
        <v>0</v>
      </c>
      <c r="H73" s="73">
        <v>0</v>
      </c>
      <c r="I73" s="73">
        <v>0</v>
      </c>
      <c r="J73" s="73">
        <v>0</v>
      </c>
      <c r="K73" s="73">
        <v>0</v>
      </c>
      <c r="L73" s="73">
        <v>0</v>
      </c>
      <c r="M73" s="73">
        <v>0</v>
      </c>
      <c r="N73" s="73">
        <v>0</v>
      </c>
      <c r="O73" s="73">
        <v>0</v>
      </c>
      <c r="P73" s="73">
        <v>0</v>
      </c>
      <c r="Q73" s="73">
        <v>0</v>
      </c>
      <c r="R73" s="73">
        <v>0</v>
      </c>
      <c r="S73" s="73">
        <v>0</v>
      </c>
      <c r="T73" s="73">
        <v>0</v>
      </c>
      <c r="U73" s="73">
        <v>0</v>
      </c>
      <c r="V73" s="73">
        <v>0</v>
      </c>
      <c r="W73" s="73">
        <v>0</v>
      </c>
    </row>
    <row r="74" spans="1:23" x14ac:dyDescent="0.3">
      <c r="A74" s="83"/>
      <c r="B74" s="83"/>
      <c r="C74" s="83"/>
      <c r="D74" s="83"/>
      <c r="E74" s="83" t="s">
        <v>111</v>
      </c>
      <c r="F74" s="73">
        <v>0</v>
      </c>
      <c r="G74" s="73">
        <v>0</v>
      </c>
      <c r="H74" s="73">
        <v>0</v>
      </c>
      <c r="I74" s="73">
        <v>0</v>
      </c>
      <c r="J74" s="73">
        <v>0</v>
      </c>
      <c r="K74" s="73">
        <v>0</v>
      </c>
      <c r="L74" s="73">
        <v>0</v>
      </c>
      <c r="M74" s="73">
        <v>0</v>
      </c>
      <c r="N74" s="73">
        <v>0</v>
      </c>
      <c r="O74" s="73">
        <v>0</v>
      </c>
      <c r="P74" s="73">
        <v>0</v>
      </c>
      <c r="Q74" s="73">
        <v>0</v>
      </c>
      <c r="R74" s="73">
        <v>0</v>
      </c>
      <c r="S74" s="73">
        <v>0</v>
      </c>
      <c r="T74" s="73">
        <v>0</v>
      </c>
      <c r="U74" s="73">
        <v>0</v>
      </c>
      <c r="V74" s="73">
        <v>0</v>
      </c>
      <c r="W74" s="73">
        <v>0</v>
      </c>
    </row>
    <row r="75" spans="1:23" x14ac:dyDescent="0.3">
      <c r="A75" s="83"/>
      <c r="B75" s="83"/>
      <c r="C75" s="83"/>
      <c r="D75" s="83"/>
      <c r="E75" s="83" t="s">
        <v>112</v>
      </c>
      <c r="F75" s="73">
        <v>0</v>
      </c>
      <c r="G75" s="73">
        <v>0</v>
      </c>
      <c r="H75" s="73">
        <v>0</v>
      </c>
      <c r="I75" s="73">
        <v>0</v>
      </c>
      <c r="J75" s="73">
        <v>0</v>
      </c>
      <c r="K75" s="73">
        <v>0</v>
      </c>
      <c r="L75" s="73">
        <v>0</v>
      </c>
      <c r="M75" s="73">
        <v>0</v>
      </c>
      <c r="N75" s="73">
        <v>0</v>
      </c>
      <c r="O75" s="73">
        <v>0</v>
      </c>
      <c r="P75" s="73">
        <v>0</v>
      </c>
      <c r="Q75" s="73">
        <v>0</v>
      </c>
      <c r="R75" s="73">
        <v>0</v>
      </c>
      <c r="S75" s="73">
        <v>0</v>
      </c>
      <c r="T75" s="73">
        <v>0</v>
      </c>
      <c r="U75" s="73">
        <v>0</v>
      </c>
      <c r="V75" s="73">
        <v>0</v>
      </c>
      <c r="W75" s="73">
        <v>0</v>
      </c>
    </row>
    <row r="76" spans="1:23" x14ac:dyDescent="0.3">
      <c r="A76" s="83"/>
      <c r="B76" s="83"/>
      <c r="C76" s="83" t="s">
        <v>113</v>
      </c>
      <c r="D76" s="83"/>
      <c r="E76" s="83"/>
      <c r="F76" s="73">
        <v>103</v>
      </c>
      <c r="G76" s="73">
        <v>12</v>
      </c>
      <c r="H76" s="73">
        <v>30</v>
      </c>
      <c r="I76" s="73">
        <v>25</v>
      </c>
      <c r="J76" s="73">
        <v>15</v>
      </c>
      <c r="K76" s="73">
        <v>20</v>
      </c>
      <c r="L76" s="73">
        <v>3</v>
      </c>
      <c r="M76" s="73">
        <v>1</v>
      </c>
      <c r="N76" s="73">
        <v>163</v>
      </c>
      <c r="O76" s="73">
        <v>21</v>
      </c>
      <c r="P76" s="73">
        <v>32</v>
      </c>
      <c r="Q76" s="73">
        <v>37</v>
      </c>
      <c r="R76" s="73">
        <v>26</v>
      </c>
      <c r="S76" s="73">
        <v>18</v>
      </c>
      <c r="T76" s="73">
        <v>29</v>
      </c>
      <c r="U76" s="73">
        <v>30</v>
      </c>
      <c r="V76" s="73">
        <v>14</v>
      </c>
      <c r="W76" s="73">
        <v>579</v>
      </c>
    </row>
    <row r="77" spans="1:23" x14ac:dyDescent="0.3">
      <c r="A77" s="83"/>
      <c r="B77" s="83"/>
      <c r="C77" s="83"/>
      <c r="D77" s="83" t="s">
        <v>114</v>
      </c>
      <c r="E77" s="83"/>
      <c r="F77" s="73">
        <v>5</v>
      </c>
      <c r="G77" s="73">
        <v>1</v>
      </c>
      <c r="H77" s="73">
        <v>0</v>
      </c>
      <c r="I77" s="73">
        <v>1</v>
      </c>
      <c r="J77" s="73">
        <v>2</v>
      </c>
      <c r="K77" s="73">
        <v>0</v>
      </c>
      <c r="L77" s="73">
        <v>0</v>
      </c>
      <c r="M77" s="73">
        <v>0</v>
      </c>
      <c r="N77" s="73">
        <v>18</v>
      </c>
      <c r="O77" s="73">
        <v>0</v>
      </c>
      <c r="P77" s="73">
        <v>1</v>
      </c>
      <c r="Q77" s="73">
        <v>2</v>
      </c>
      <c r="R77" s="73">
        <v>5</v>
      </c>
      <c r="S77" s="73">
        <v>3</v>
      </c>
      <c r="T77" s="73">
        <v>0</v>
      </c>
      <c r="U77" s="73">
        <v>1</v>
      </c>
      <c r="V77" s="73">
        <v>1</v>
      </c>
      <c r="W77" s="73">
        <v>40</v>
      </c>
    </row>
    <row r="78" spans="1:23" x14ac:dyDescent="0.3">
      <c r="A78" s="83"/>
      <c r="B78" s="83"/>
      <c r="C78" s="83"/>
      <c r="D78" s="83" t="s">
        <v>115</v>
      </c>
      <c r="E78" s="83"/>
      <c r="F78" s="73">
        <v>60</v>
      </c>
      <c r="G78" s="73">
        <v>8</v>
      </c>
      <c r="H78" s="73">
        <v>26</v>
      </c>
      <c r="I78" s="73">
        <v>15</v>
      </c>
      <c r="J78" s="73">
        <v>10</v>
      </c>
      <c r="K78" s="73">
        <v>15</v>
      </c>
      <c r="L78" s="73">
        <v>2</v>
      </c>
      <c r="M78" s="73">
        <v>0</v>
      </c>
      <c r="N78" s="73">
        <v>57</v>
      </c>
      <c r="O78" s="73">
        <v>16</v>
      </c>
      <c r="P78" s="73">
        <v>26</v>
      </c>
      <c r="Q78" s="73">
        <v>22</v>
      </c>
      <c r="R78" s="73">
        <v>21</v>
      </c>
      <c r="S78" s="73">
        <v>11</v>
      </c>
      <c r="T78" s="73">
        <v>26</v>
      </c>
      <c r="U78" s="73">
        <v>16</v>
      </c>
      <c r="V78" s="73">
        <v>8</v>
      </c>
      <c r="W78" s="73">
        <v>339</v>
      </c>
    </row>
    <row r="79" spans="1:23" x14ac:dyDescent="0.3">
      <c r="A79" s="83"/>
      <c r="B79" s="83"/>
      <c r="C79" s="83"/>
      <c r="D79" s="83" t="s">
        <v>116</v>
      </c>
      <c r="E79" s="83"/>
      <c r="F79" s="73">
        <v>0</v>
      </c>
      <c r="G79" s="73">
        <v>0</v>
      </c>
      <c r="H79" s="73">
        <v>0</v>
      </c>
      <c r="I79" s="73">
        <v>0</v>
      </c>
      <c r="J79" s="73">
        <v>0</v>
      </c>
      <c r="K79" s="73">
        <v>0</v>
      </c>
      <c r="L79" s="73">
        <v>0</v>
      </c>
      <c r="M79" s="73">
        <v>0</v>
      </c>
      <c r="N79" s="73">
        <v>0</v>
      </c>
      <c r="O79" s="73">
        <v>0</v>
      </c>
      <c r="P79" s="73">
        <v>0</v>
      </c>
      <c r="Q79" s="73">
        <v>0</v>
      </c>
      <c r="R79" s="73">
        <v>0</v>
      </c>
      <c r="S79" s="73">
        <v>0</v>
      </c>
      <c r="T79" s="73">
        <v>0</v>
      </c>
      <c r="U79" s="73">
        <v>0</v>
      </c>
      <c r="V79" s="73">
        <v>0</v>
      </c>
      <c r="W79" s="73">
        <v>0</v>
      </c>
    </row>
    <row r="80" spans="1:23" x14ac:dyDescent="0.3">
      <c r="A80" s="83"/>
      <c r="B80" s="83"/>
      <c r="C80" s="83"/>
      <c r="D80" s="83" t="s">
        <v>117</v>
      </c>
      <c r="E80" s="83"/>
      <c r="F80" s="73">
        <v>0</v>
      </c>
      <c r="G80" s="73">
        <v>0</v>
      </c>
      <c r="H80" s="73">
        <v>0</v>
      </c>
      <c r="I80" s="73">
        <v>0</v>
      </c>
      <c r="J80" s="73">
        <v>0</v>
      </c>
      <c r="K80" s="73">
        <v>0</v>
      </c>
      <c r="L80" s="73">
        <v>0</v>
      </c>
      <c r="M80" s="73">
        <v>0</v>
      </c>
      <c r="N80" s="73">
        <v>0</v>
      </c>
      <c r="O80" s="73">
        <v>0</v>
      </c>
      <c r="P80" s="73">
        <v>0</v>
      </c>
      <c r="Q80" s="73">
        <v>0</v>
      </c>
      <c r="R80" s="73">
        <v>0</v>
      </c>
      <c r="S80" s="73">
        <v>0</v>
      </c>
      <c r="T80" s="73">
        <v>0</v>
      </c>
      <c r="U80" s="73">
        <v>0</v>
      </c>
      <c r="V80" s="73">
        <v>0</v>
      </c>
      <c r="W80" s="73">
        <v>0</v>
      </c>
    </row>
    <row r="81" spans="1:23" x14ac:dyDescent="0.3">
      <c r="A81" s="83"/>
      <c r="B81" s="83"/>
      <c r="C81" s="83"/>
      <c r="D81" s="83" t="s">
        <v>118</v>
      </c>
      <c r="E81" s="83"/>
      <c r="F81" s="73">
        <v>0</v>
      </c>
      <c r="G81" s="73">
        <v>0</v>
      </c>
      <c r="H81" s="73">
        <v>0</v>
      </c>
      <c r="I81" s="73">
        <v>0</v>
      </c>
      <c r="J81" s="73">
        <v>3</v>
      </c>
      <c r="K81" s="73">
        <v>2</v>
      </c>
      <c r="L81" s="73">
        <v>0</v>
      </c>
      <c r="M81" s="73">
        <v>0</v>
      </c>
      <c r="N81" s="73">
        <v>35</v>
      </c>
      <c r="O81" s="73">
        <v>0</v>
      </c>
      <c r="P81" s="73">
        <v>0</v>
      </c>
      <c r="Q81" s="73">
        <v>1</v>
      </c>
      <c r="R81" s="73">
        <v>0</v>
      </c>
      <c r="S81" s="73">
        <v>0</v>
      </c>
      <c r="T81" s="73">
        <v>0</v>
      </c>
      <c r="U81" s="73">
        <v>0</v>
      </c>
      <c r="V81" s="73">
        <v>0</v>
      </c>
      <c r="W81" s="73">
        <v>41</v>
      </c>
    </row>
    <row r="82" spans="1:23" x14ac:dyDescent="0.3">
      <c r="A82" s="83"/>
      <c r="B82" s="83"/>
      <c r="C82" s="83"/>
      <c r="D82" s="83" t="s">
        <v>119</v>
      </c>
      <c r="E82" s="83"/>
      <c r="F82" s="73">
        <v>38</v>
      </c>
      <c r="G82" s="73">
        <v>3</v>
      </c>
      <c r="H82" s="73">
        <v>4</v>
      </c>
      <c r="I82" s="73">
        <v>9</v>
      </c>
      <c r="J82" s="73">
        <v>0</v>
      </c>
      <c r="K82" s="73">
        <v>3</v>
      </c>
      <c r="L82" s="73">
        <v>1</v>
      </c>
      <c r="M82" s="73">
        <v>1</v>
      </c>
      <c r="N82" s="73">
        <v>53</v>
      </c>
      <c r="O82" s="73">
        <v>5</v>
      </c>
      <c r="P82" s="73">
        <v>5</v>
      </c>
      <c r="Q82" s="73">
        <v>12</v>
      </c>
      <c r="R82" s="73">
        <v>0</v>
      </c>
      <c r="S82" s="73">
        <v>4</v>
      </c>
      <c r="T82" s="73">
        <v>3</v>
      </c>
      <c r="U82" s="73">
        <v>13</v>
      </c>
      <c r="V82" s="73">
        <v>5</v>
      </c>
      <c r="W82" s="73">
        <v>159</v>
      </c>
    </row>
    <row r="83" spans="1:23" x14ac:dyDescent="0.3">
      <c r="A83" s="83"/>
      <c r="B83" s="83" t="s">
        <v>120</v>
      </c>
      <c r="C83" s="83"/>
      <c r="D83" s="83"/>
      <c r="E83" s="83"/>
      <c r="F83" s="73">
        <v>58055</v>
      </c>
      <c r="G83" s="73">
        <v>33767</v>
      </c>
      <c r="H83" s="73">
        <v>19136</v>
      </c>
      <c r="I83" s="73">
        <v>31354</v>
      </c>
      <c r="J83" s="73">
        <v>13444</v>
      </c>
      <c r="K83" s="73">
        <v>11608</v>
      </c>
      <c r="L83" s="73">
        <v>9428</v>
      </c>
      <c r="M83" s="73">
        <v>1622</v>
      </c>
      <c r="N83" s="73">
        <v>117289</v>
      </c>
      <c r="O83" s="73">
        <v>8603</v>
      </c>
      <c r="P83" s="73">
        <v>14450</v>
      </c>
      <c r="Q83" s="73">
        <v>17909</v>
      </c>
      <c r="R83" s="73">
        <v>15378</v>
      </c>
      <c r="S83" s="73">
        <v>20258</v>
      </c>
      <c r="T83" s="73">
        <v>24183</v>
      </c>
      <c r="U83" s="73">
        <v>25072</v>
      </c>
      <c r="V83" s="73">
        <v>3696</v>
      </c>
      <c r="W83" s="73">
        <v>425252</v>
      </c>
    </row>
    <row r="84" spans="1:23" x14ac:dyDescent="0.3">
      <c r="A84" s="83"/>
      <c r="B84" s="83"/>
      <c r="C84" s="83" t="s">
        <v>121</v>
      </c>
      <c r="D84" s="83"/>
      <c r="E84" s="83"/>
      <c r="F84" s="73">
        <v>36433</v>
      </c>
      <c r="G84" s="73">
        <v>16395</v>
      </c>
      <c r="H84" s="73">
        <v>12777</v>
      </c>
      <c r="I84" s="73">
        <v>14748</v>
      </c>
      <c r="J84" s="73">
        <v>8408</v>
      </c>
      <c r="K84" s="73">
        <v>7593</v>
      </c>
      <c r="L84" s="73">
        <v>5014</v>
      </c>
      <c r="M84" s="73">
        <v>1063</v>
      </c>
      <c r="N84" s="73">
        <v>72959</v>
      </c>
      <c r="O84" s="73">
        <v>5023</v>
      </c>
      <c r="P84" s="73">
        <v>8195</v>
      </c>
      <c r="Q84" s="73">
        <v>10424</v>
      </c>
      <c r="R84" s="73">
        <v>9682</v>
      </c>
      <c r="S84" s="73">
        <v>10645</v>
      </c>
      <c r="T84" s="73">
        <v>13632</v>
      </c>
      <c r="U84" s="73">
        <v>15078</v>
      </c>
      <c r="V84" s="73">
        <v>2601</v>
      </c>
      <c r="W84" s="73">
        <v>250670</v>
      </c>
    </row>
    <row r="85" spans="1:23" x14ac:dyDescent="0.3">
      <c r="A85" s="83"/>
      <c r="B85" s="83"/>
      <c r="C85" s="83"/>
      <c r="D85" s="83" t="s">
        <v>122</v>
      </c>
      <c r="E85" s="83"/>
      <c r="F85" s="73">
        <v>363</v>
      </c>
      <c r="G85" s="73">
        <v>56</v>
      </c>
      <c r="H85" s="73">
        <v>11</v>
      </c>
      <c r="I85" s="73">
        <v>107</v>
      </c>
      <c r="J85" s="73">
        <v>30</v>
      </c>
      <c r="K85" s="73">
        <v>27</v>
      </c>
      <c r="L85" s="73">
        <v>67</v>
      </c>
      <c r="M85" s="73">
        <v>6</v>
      </c>
      <c r="N85" s="73">
        <v>432</v>
      </c>
      <c r="O85" s="73">
        <v>112</v>
      </c>
      <c r="P85" s="73">
        <v>150</v>
      </c>
      <c r="Q85" s="73">
        <v>283</v>
      </c>
      <c r="R85" s="73">
        <v>11</v>
      </c>
      <c r="S85" s="73">
        <v>19</v>
      </c>
      <c r="T85" s="73">
        <v>68</v>
      </c>
      <c r="U85" s="73">
        <v>41</v>
      </c>
      <c r="V85" s="73">
        <v>6</v>
      </c>
      <c r="W85" s="73">
        <v>1789</v>
      </c>
    </row>
    <row r="86" spans="1:23" x14ac:dyDescent="0.3">
      <c r="A86" s="83"/>
      <c r="B86" s="83"/>
      <c r="C86" s="83"/>
      <c r="D86" s="83" t="s">
        <v>123</v>
      </c>
      <c r="E86" s="83"/>
      <c r="F86" s="73">
        <v>36070</v>
      </c>
      <c r="G86" s="73">
        <v>16339</v>
      </c>
      <c r="H86" s="73">
        <v>12766</v>
      </c>
      <c r="I86" s="73">
        <v>14641</v>
      </c>
      <c r="J86" s="73">
        <v>8378</v>
      </c>
      <c r="K86" s="73">
        <v>7566</v>
      </c>
      <c r="L86" s="73">
        <v>4947</v>
      </c>
      <c r="M86" s="73">
        <v>1057</v>
      </c>
      <c r="N86" s="73">
        <v>72527</v>
      </c>
      <c r="O86" s="73">
        <v>4911</v>
      </c>
      <c r="P86" s="73">
        <v>8045</v>
      </c>
      <c r="Q86" s="73">
        <v>10141</v>
      </c>
      <c r="R86" s="73">
        <v>9671</v>
      </c>
      <c r="S86" s="73">
        <v>10626</v>
      </c>
      <c r="T86" s="73">
        <v>13564</v>
      </c>
      <c r="U86" s="73">
        <v>15037</v>
      </c>
      <c r="V86" s="73">
        <v>2595</v>
      </c>
      <c r="W86" s="73">
        <v>248881</v>
      </c>
    </row>
    <row r="87" spans="1:23" x14ac:dyDescent="0.3">
      <c r="A87" s="83"/>
      <c r="B87" s="83"/>
      <c r="C87" s="83"/>
      <c r="D87" s="83"/>
      <c r="E87" s="83" t="s">
        <v>124</v>
      </c>
      <c r="F87" s="73">
        <v>18542</v>
      </c>
      <c r="G87" s="73">
        <v>3529</v>
      </c>
      <c r="H87" s="73">
        <v>3324</v>
      </c>
      <c r="I87" s="73">
        <v>4946</v>
      </c>
      <c r="J87" s="73">
        <v>2202</v>
      </c>
      <c r="K87" s="73">
        <v>1863</v>
      </c>
      <c r="L87" s="73">
        <v>822</v>
      </c>
      <c r="M87" s="73">
        <v>177</v>
      </c>
      <c r="N87" s="73">
        <v>23551</v>
      </c>
      <c r="O87" s="73">
        <v>1152</v>
      </c>
      <c r="P87" s="73">
        <v>1706</v>
      </c>
      <c r="Q87" s="73">
        <v>2247</v>
      </c>
      <c r="R87" s="73">
        <v>1484</v>
      </c>
      <c r="S87" s="73">
        <v>1516</v>
      </c>
      <c r="T87" s="73">
        <v>2378</v>
      </c>
      <c r="U87" s="73">
        <v>2603</v>
      </c>
      <c r="V87" s="73">
        <v>640</v>
      </c>
      <c r="W87" s="73">
        <v>72682</v>
      </c>
    </row>
    <row r="88" spans="1:23" x14ac:dyDescent="0.3">
      <c r="A88" s="83"/>
      <c r="B88" s="83"/>
      <c r="C88" s="83"/>
      <c r="D88" s="83"/>
      <c r="E88" s="83" t="s">
        <v>125</v>
      </c>
      <c r="F88" s="73">
        <v>4826</v>
      </c>
      <c r="G88" s="73">
        <v>1840</v>
      </c>
      <c r="H88" s="73">
        <v>1602</v>
      </c>
      <c r="I88" s="73">
        <v>1707</v>
      </c>
      <c r="J88" s="73">
        <v>644</v>
      </c>
      <c r="K88" s="73">
        <v>563</v>
      </c>
      <c r="L88" s="73">
        <v>213</v>
      </c>
      <c r="M88" s="73">
        <v>130</v>
      </c>
      <c r="N88" s="73">
        <v>10279</v>
      </c>
      <c r="O88" s="73">
        <v>471</v>
      </c>
      <c r="P88" s="73">
        <v>789</v>
      </c>
      <c r="Q88" s="73">
        <v>834</v>
      </c>
      <c r="R88" s="73">
        <v>753</v>
      </c>
      <c r="S88" s="73">
        <v>556</v>
      </c>
      <c r="T88" s="73">
        <v>1170</v>
      </c>
      <c r="U88" s="73">
        <v>1499</v>
      </c>
      <c r="V88" s="73">
        <v>299</v>
      </c>
      <c r="W88" s="73">
        <v>28175</v>
      </c>
    </row>
    <row r="89" spans="1:23" x14ac:dyDescent="0.3">
      <c r="A89" s="83"/>
      <c r="B89" s="83"/>
      <c r="C89" s="83"/>
      <c r="D89" s="83"/>
      <c r="E89" s="83" t="s">
        <v>126</v>
      </c>
      <c r="F89" s="73">
        <v>6265</v>
      </c>
      <c r="G89" s="73">
        <v>3900</v>
      </c>
      <c r="H89" s="73">
        <v>3407</v>
      </c>
      <c r="I89" s="73">
        <v>3183</v>
      </c>
      <c r="J89" s="73">
        <v>1751</v>
      </c>
      <c r="K89" s="73">
        <v>1774</v>
      </c>
      <c r="L89" s="73">
        <v>752</v>
      </c>
      <c r="M89" s="73">
        <v>286</v>
      </c>
      <c r="N89" s="73">
        <v>20572</v>
      </c>
      <c r="O89" s="73">
        <v>1327</v>
      </c>
      <c r="P89" s="73">
        <v>2273</v>
      </c>
      <c r="Q89" s="73">
        <v>2783</v>
      </c>
      <c r="R89" s="73">
        <v>2134</v>
      </c>
      <c r="S89" s="73">
        <v>1979</v>
      </c>
      <c r="T89" s="73">
        <v>3608</v>
      </c>
      <c r="U89" s="73">
        <v>3889</v>
      </c>
      <c r="V89" s="73">
        <v>603</v>
      </c>
      <c r="W89" s="73">
        <v>60486</v>
      </c>
    </row>
    <row r="90" spans="1:23" x14ac:dyDescent="0.3">
      <c r="A90" s="83"/>
      <c r="B90" s="83"/>
      <c r="C90" s="83"/>
      <c r="D90" s="83"/>
      <c r="E90" s="83" t="s">
        <v>127</v>
      </c>
      <c r="F90" s="73">
        <v>2547</v>
      </c>
      <c r="G90" s="73">
        <v>1987</v>
      </c>
      <c r="H90" s="73">
        <v>1554</v>
      </c>
      <c r="I90" s="73">
        <v>922</v>
      </c>
      <c r="J90" s="73">
        <v>1096</v>
      </c>
      <c r="K90" s="73">
        <v>1001</v>
      </c>
      <c r="L90" s="73">
        <v>631</v>
      </c>
      <c r="M90" s="73">
        <v>251</v>
      </c>
      <c r="N90" s="73">
        <v>7380</v>
      </c>
      <c r="O90" s="73">
        <v>409</v>
      </c>
      <c r="P90" s="73">
        <v>984</v>
      </c>
      <c r="Q90" s="73">
        <v>1350</v>
      </c>
      <c r="R90" s="73">
        <v>1295</v>
      </c>
      <c r="S90" s="73">
        <v>1692</v>
      </c>
      <c r="T90" s="73">
        <v>1801</v>
      </c>
      <c r="U90" s="73">
        <v>2181</v>
      </c>
      <c r="V90" s="73">
        <v>500</v>
      </c>
      <c r="W90" s="73">
        <v>27581</v>
      </c>
    </row>
    <row r="91" spans="1:23" x14ac:dyDescent="0.3">
      <c r="A91" s="83"/>
      <c r="B91" s="83"/>
      <c r="C91" s="83"/>
      <c r="D91" s="83"/>
      <c r="E91" s="83" t="s">
        <v>128</v>
      </c>
      <c r="F91" s="73">
        <v>850</v>
      </c>
      <c r="G91" s="73">
        <v>638</v>
      </c>
      <c r="H91" s="73">
        <v>491</v>
      </c>
      <c r="I91" s="73">
        <v>383</v>
      </c>
      <c r="J91" s="73">
        <v>518</v>
      </c>
      <c r="K91" s="73">
        <v>391</v>
      </c>
      <c r="L91" s="73">
        <v>261</v>
      </c>
      <c r="M91" s="73">
        <v>46</v>
      </c>
      <c r="N91" s="73">
        <v>2378</v>
      </c>
      <c r="O91" s="73">
        <v>170</v>
      </c>
      <c r="P91" s="73">
        <v>372</v>
      </c>
      <c r="Q91" s="73">
        <v>550</v>
      </c>
      <c r="R91" s="73">
        <v>688</v>
      </c>
      <c r="S91" s="73">
        <v>773</v>
      </c>
      <c r="T91" s="73">
        <v>584</v>
      </c>
      <c r="U91" s="73">
        <v>663</v>
      </c>
      <c r="V91" s="73">
        <v>180</v>
      </c>
      <c r="W91" s="73">
        <v>9936</v>
      </c>
    </row>
    <row r="92" spans="1:23" x14ac:dyDescent="0.3">
      <c r="A92" s="83"/>
      <c r="B92" s="83"/>
      <c r="C92" s="83"/>
      <c r="D92" s="83"/>
      <c r="E92" s="83" t="s">
        <v>129</v>
      </c>
      <c r="F92" s="73">
        <v>413</v>
      </c>
      <c r="G92" s="73">
        <v>546</v>
      </c>
      <c r="H92" s="73">
        <v>219</v>
      </c>
      <c r="I92" s="73">
        <v>298</v>
      </c>
      <c r="J92" s="73">
        <v>196</v>
      </c>
      <c r="K92" s="73">
        <v>223</v>
      </c>
      <c r="L92" s="73">
        <v>131</v>
      </c>
      <c r="M92" s="73">
        <v>15</v>
      </c>
      <c r="N92" s="73">
        <v>1044</v>
      </c>
      <c r="O92" s="73">
        <v>112</v>
      </c>
      <c r="P92" s="73">
        <v>176</v>
      </c>
      <c r="Q92" s="73">
        <v>164</v>
      </c>
      <c r="R92" s="73">
        <v>187</v>
      </c>
      <c r="S92" s="73">
        <v>213</v>
      </c>
      <c r="T92" s="73">
        <v>288</v>
      </c>
      <c r="U92" s="73">
        <v>404</v>
      </c>
      <c r="V92" s="73">
        <v>21</v>
      </c>
      <c r="W92" s="73">
        <v>4650</v>
      </c>
    </row>
    <row r="93" spans="1:23" x14ac:dyDescent="0.3">
      <c r="A93" s="83"/>
      <c r="B93" s="83"/>
      <c r="C93" s="83"/>
      <c r="D93" s="83"/>
      <c r="E93" s="83" t="s">
        <v>130</v>
      </c>
      <c r="F93" s="73">
        <v>2627</v>
      </c>
      <c r="G93" s="73">
        <v>3899</v>
      </c>
      <c r="H93" s="73">
        <v>2169</v>
      </c>
      <c r="I93" s="73">
        <v>3202</v>
      </c>
      <c r="J93" s="73">
        <v>1971</v>
      </c>
      <c r="K93" s="73">
        <v>1751</v>
      </c>
      <c r="L93" s="73">
        <v>2137</v>
      </c>
      <c r="M93" s="73">
        <v>152</v>
      </c>
      <c r="N93" s="73">
        <v>7323</v>
      </c>
      <c r="O93" s="73">
        <v>1270</v>
      </c>
      <c r="P93" s="73">
        <v>1745</v>
      </c>
      <c r="Q93" s="73">
        <v>2213</v>
      </c>
      <c r="R93" s="73">
        <v>3130</v>
      </c>
      <c r="S93" s="73">
        <v>3897</v>
      </c>
      <c r="T93" s="73">
        <v>3735</v>
      </c>
      <c r="U93" s="73">
        <v>3798</v>
      </c>
      <c r="V93" s="73">
        <v>352</v>
      </c>
      <c r="W93" s="73">
        <v>45371</v>
      </c>
    </row>
    <row r="94" spans="1:23" x14ac:dyDescent="0.3">
      <c r="A94" s="83"/>
      <c r="B94" s="83"/>
      <c r="C94" s="83" t="s">
        <v>131</v>
      </c>
      <c r="D94" s="83"/>
      <c r="E94" s="83"/>
      <c r="F94" s="73">
        <v>420</v>
      </c>
      <c r="G94" s="73">
        <v>122</v>
      </c>
      <c r="H94" s="73">
        <v>40</v>
      </c>
      <c r="I94" s="73">
        <v>66</v>
      </c>
      <c r="J94" s="73">
        <v>45</v>
      </c>
      <c r="K94" s="73">
        <v>40</v>
      </c>
      <c r="L94" s="73">
        <v>57</v>
      </c>
      <c r="M94" s="73">
        <v>3</v>
      </c>
      <c r="N94" s="73">
        <v>318</v>
      </c>
      <c r="O94" s="73">
        <v>89</v>
      </c>
      <c r="P94" s="73">
        <v>115</v>
      </c>
      <c r="Q94" s="73">
        <v>89</v>
      </c>
      <c r="R94" s="73">
        <v>152</v>
      </c>
      <c r="S94" s="73">
        <v>83</v>
      </c>
      <c r="T94" s="73">
        <v>174</v>
      </c>
      <c r="U94" s="73">
        <v>221</v>
      </c>
      <c r="V94" s="73">
        <v>22</v>
      </c>
      <c r="W94" s="73">
        <v>2056</v>
      </c>
    </row>
    <row r="95" spans="1:23" x14ac:dyDescent="0.3">
      <c r="A95" s="83"/>
      <c r="B95" s="83"/>
      <c r="C95" s="83"/>
      <c r="D95" s="83"/>
      <c r="E95" s="83" t="s">
        <v>132</v>
      </c>
      <c r="F95" s="73">
        <v>2</v>
      </c>
      <c r="G95" s="73">
        <v>10</v>
      </c>
      <c r="H95" s="73">
        <v>1</v>
      </c>
      <c r="I95" s="73">
        <v>0</v>
      </c>
      <c r="J95" s="73">
        <v>0</v>
      </c>
      <c r="K95" s="73">
        <v>1</v>
      </c>
      <c r="L95" s="73">
        <v>29</v>
      </c>
      <c r="M95" s="73">
        <v>0</v>
      </c>
      <c r="N95" s="73">
        <v>3</v>
      </c>
      <c r="O95" s="73">
        <v>3</v>
      </c>
      <c r="P95" s="73">
        <v>18</v>
      </c>
      <c r="Q95" s="73">
        <v>2</v>
      </c>
      <c r="R95" s="73">
        <v>11</v>
      </c>
      <c r="S95" s="73">
        <v>6</v>
      </c>
      <c r="T95" s="73">
        <v>63</v>
      </c>
      <c r="U95" s="73">
        <v>63</v>
      </c>
      <c r="V95" s="73">
        <v>1</v>
      </c>
      <c r="W95" s="73">
        <v>213</v>
      </c>
    </row>
    <row r="96" spans="1:23" x14ac:dyDescent="0.3">
      <c r="A96" s="83"/>
      <c r="B96" s="83"/>
      <c r="C96" s="83"/>
      <c r="D96" s="83"/>
      <c r="E96" s="83" t="s">
        <v>133</v>
      </c>
      <c r="F96" s="73">
        <v>236</v>
      </c>
      <c r="G96" s="73">
        <v>46</v>
      </c>
      <c r="H96" s="73">
        <v>26</v>
      </c>
      <c r="I96" s="73">
        <v>30</v>
      </c>
      <c r="J96" s="73">
        <v>31</v>
      </c>
      <c r="K96" s="73">
        <v>17</v>
      </c>
      <c r="L96" s="73">
        <v>7</v>
      </c>
      <c r="M96" s="73">
        <v>1</v>
      </c>
      <c r="N96" s="73">
        <v>152</v>
      </c>
      <c r="O96" s="73">
        <v>64</v>
      </c>
      <c r="P96" s="73">
        <v>56</v>
      </c>
      <c r="Q96" s="73">
        <v>54</v>
      </c>
      <c r="R96" s="73">
        <v>84</v>
      </c>
      <c r="S96" s="73">
        <v>41</v>
      </c>
      <c r="T96" s="73">
        <v>81</v>
      </c>
      <c r="U96" s="73">
        <v>101</v>
      </c>
      <c r="V96" s="73">
        <v>10</v>
      </c>
      <c r="W96" s="73">
        <v>1037</v>
      </c>
    </row>
    <row r="97" spans="1:23" x14ac:dyDescent="0.3">
      <c r="A97" s="83"/>
      <c r="B97" s="83"/>
      <c r="C97" s="83"/>
      <c r="D97" s="83"/>
      <c r="E97" s="83" t="s">
        <v>134</v>
      </c>
      <c r="F97" s="73">
        <v>176</v>
      </c>
      <c r="G97" s="73">
        <v>56</v>
      </c>
      <c r="H97" s="73">
        <v>7</v>
      </c>
      <c r="I97" s="73">
        <v>20</v>
      </c>
      <c r="J97" s="73">
        <v>9</v>
      </c>
      <c r="K97" s="73">
        <v>20</v>
      </c>
      <c r="L97" s="73">
        <v>11</v>
      </c>
      <c r="M97" s="73">
        <v>2</v>
      </c>
      <c r="N97" s="73">
        <v>146</v>
      </c>
      <c r="O97" s="73">
        <v>19</v>
      </c>
      <c r="P97" s="73">
        <v>21</v>
      </c>
      <c r="Q97" s="73">
        <v>26</v>
      </c>
      <c r="R97" s="73">
        <v>46</v>
      </c>
      <c r="S97" s="73">
        <v>28</v>
      </c>
      <c r="T97" s="73">
        <v>19</v>
      </c>
      <c r="U97" s="73">
        <v>44</v>
      </c>
      <c r="V97" s="73">
        <v>10</v>
      </c>
      <c r="W97" s="73">
        <v>660</v>
      </c>
    </row>
    <row r="98" spans="1:23" x14ac:dyDescent="0.3">
      <c r="A98" s="83"/>
      <c r="B98" s="83"/>
      <c r="C98" s="83"/>
      <c r="D98" s="83"/>
      <c r="E98" s="83" t="s">
        <v>135</v>
      </c>
      <c r="F98" s="73">
        <v>6</v>
      </c>
      <c r="G98" s="73">
        <v>10</v>
      </c>
      <c r="H98" s="73">
        <v>6</v>
      </c>
      <c r="I98" s="73">
        <v>16</v>
      </c>
      <c r="J98" s="73">
        <v>5</v>
      </c>
      <c r="K98" s="73">
        <v>2</v>
      </c>
      <c r="L98" s="73">
        <v>10</v>
      </c>
      <c r="M98" s="73">
        <v>0</v>
      </c>
      <c r="N98" s="73">
        <v>17</v>
      </c>
      <c r="O98" s="73">
        <v>3</v>
      </c>
      <c r="P98" s="73">
        <v>20</v>
      </c>
      <c r="Q98" s="73">
        <v>7</v>
      </c>
      <c r="R98" s="73">
        <v>11</v>
      </c>
      <c r="S98" s="73">
        <v>8</v>
      </c>
      <c r="T98" s="73">
        <v>11</v>
      </c>
      <c r="U98" s="73">
        <v>13</v>
      </c>
      <c r="V98" s="73">
        <v>1</v>
      </c>
      <c r="W98" s="73">
        <v>146</v>
      </c>
    </row>
    <row r="99" spans="1:23" x14ac:dyDescent="0.3">
      <c r="A99" s="83"/>
      <c r="B99" s="83"/>
      <c r="C99" s="83" t="s">
        <v>136</v>
      </c>
      <c r="D99" s="83"/>
      <c r="E99" s="83"/>
      <c r="F99" s="73">
        <v>3159</v>
      </c>
      <c r="G99" s="73">
        <v>223</v>
      </c>
      <c r="H99" s="73">
        <v>504</v>
      </c>
      <c r="I99" s="73">
        <v>557</v>
      </c>
      <c r="J99" s="73">
        <v>204</v>
      </c>
      <c r="K99" s="73">
        <v>202</v>
      </c>
      <c r="L99" s="73">
        <v>86</v>
      </c>
      <c r="M99" s="73">
        <v>15</v>
      </c>
      <c r="N99" s="73">
        <v>3011</v>
      </c>
      <c r="O99" s="73">
        <v>107</v>
      </c>
      <c r="P99" s="73">
        <v>96</v>
      </c>
      <c r="Q99" s="73">
        <v>113</v>
      </c>
      <c r="R99" s="73">
        <v>100</v>
      </c>
      <c r="S99" s="73">
        <v>97</v>
      </c>
      <c r="T99" s="73">
        <v>202</v>
      </c>
      <c r="U99" s="73">
        <v>178</v>
      </c>
      <c r="V99" s="73">
        <v>33</v>
      </c>
      <c r="W99" s="73">
        <v>8887</v>
      </c>
    </row>
    <row r="100" spans="1:23" x14ac:dyDescent="0.3">
      <c r="A100" s="83"/>
      <c r="B100" s="83"/>
      <c r="C100" s="83"/>
      <c r="D100" s="83"/>
      <c r="E100" s="83" t="s">
        <v>137</v>
      </c>
      <c r="F100" s="73">
        <v>3107</v>
      </c>
      <c r="G100" s="73">
        <v>203</v>
      </c>
      <c r="H100" s="73">
        <v>476</v>
      </c>
      <c r="I100" s="73">
        <v>541</v>
      </c>
      <c r="J100" s="73">
        <v>187</v>
      </c>
      <c r="K100" s="73">
        <v>177</v>
      </c>
      <c r="L100" s="73">
        <v>83</v>
      </c>
      <c r="M100" s="73">
        <v>13</v>
      </c>
      <c r="N100" s="73">
        <v>2831</v>
      </c>
      <c r="O100" s="73">
        <v>100</v>
      </c>
      <c r="P100" s="73">
        <v>83</v>
      </c>
      <c r="Q100" s="73">
        <v>102</v>
      </c>
      <c r="R100" s="73">
        <v>85</v>
      </c>
      <c r="S100" s="73">
        <v>82</v>
      </c>
      <c r="T100" s="73">
        <v>171</v>
      </c>
      <c r="U100" s="73">
        <v>156</v>
      </c>
      <c r="V100" s="73">
        <v>30</v>
      </c>
      <c r="W100" s="73">
        <v>8427</v>
      </c>
    </row>
    <row r="101" spans="1:23" x14ac:dyDescent="0.3">
      <c r="A101" s="83"/>
      <c r="B101" s="83"/>
      <c r="C101" s="83"/>
      <c r="D101" s="83"/>
      <c r="E101" s="83" t="s">
        <v>138</v>
      </c>
      <c r="F101" s="73">
        <v>42</v>
      </c>
      <c r="G101" s="73">
        <v>13</v>
      </c>
      <c r="H101" s="73">
        <v>16</v>
      </c>
      <c r="I101" s="73">
        <v>14</v>
      </c>
      <c r="J101" s="73">
        <v>10</v>
      </c>
      <c r="K101" s="73">
        <v>19</v>
      </c>
      <c r="L101" s="73">
        <v>1</v>
      </c>
      <c r="M101" s="73">
        <v>2</v>
      </c>
      <c r="N101" s="73">
        <v>152</v>
      </c>
      <c r="O101" s="73">
        <v>6</v>
      </c>
      <c r="P101" s="73">
        <v>9</v>
      </c>
      <c r="Q101" s="73">
        <v>7</v>
      </c>
      <c r="R101" s="73">
        <v>8</v>
      </c>
      <c r="S101" s="73">
        <v>10</v>
      </c>
      <c r="T101" s="73">
        <v>16</v>
      </c>
      <c r="U101" s="73">
        <v>17</v>
      </c>
      <c r="V101" s="73">
        <v>3</v>
      </c>
      <c r="W101" s="73">
        <v>345</v>
      </c>
    </row>
    <row r="102" spans="1:23" x14ac:dyDescent="0.3">
      <c r="A102" s="83"/>
      <c r="B102" s="83"/>
      <c r="C102" s="83"/>
      <c r="D102" s="83"/>
      <c r="E102" s="83" t="s">
        <v>139</v>
      </c>
      <c r="F102" s="73">
        <v>10</v>
      </c>
      <c r="G102" s="73">
        <v>7</v>
      </c>
      <c r="H102" s="73">
        <v>12</v>
      </c>
      <c r="I102" s="73">
        <v>2</v>
      </c>
      <c r="J102" s="73">
        <v>7</v>
      </c>
      <c r="K102" s="73">
        <v>6</v>
      </c>
      <c r="L102" s="73">
        <v>2</v>
      </c>
      <c r="M102" s="73">
        <v>0</v>
      </c>
      <c r="N102" s="73">
        <v>28</v>
      </c>
      <c r="O102" s="73">
        <v>1</v>
      </c>
      <c r="P102" s="73">
        <v>4</v>
      </c>
      <c r="Q102" s="73">
        <v>4</v>
      </c>
      <c r="R102" s="73">
        <v>7</v>
      </c>
      <c r="S102" s="73">
        <v>5</v>
      </c>
      <c r="T102" s="73">
        <v>15</v>
      </c>
      <c r="U102" s="73">
        <v>5</v>
      </c>
      <c r="V102" s="73">
        <v>0</v>
      </c>
      <c r="W102" s="73">
        <v>115</v>
      </c>
    </row>
    <row r="103" spans="1:23" x14ac:dyDescent="0.3">
      <c r="A103" s="83"/>
      <c r="B103" s="83"/>
      <c r="C103" s="83" t="s">
        <v>140</v>
      </c>
      <c r="D103" s="83"/>
      <c r="E103" s="83"/>
      <c r="F103" s="73">
        <v>18043</v>
      </c>
      <c r="G103" s="73">
        <v>17027</v>
      </c>
      <c r="H103" s="73">
        <v>5815</v>
      </c>
      <c r="I103" s="73">
        <v>15983</v>
      </c>
      <c r="J103" s="73">
        <v>4787</v>
      </c>
      <c r="K103" s="73">
        <v>3773</v>
      </c>
      <c r="L103" s="73">
        <v>4271</v>
      </c>
      <c r="M103" s="73">
        <v>541</v>
      </c>
      <c r="N103" s="73">
        <v>41001</v>
      </c>
      <c r="O103" s="73">
        <v>3384</v>
      </c>
      <c r="P103" s="73">
        <v>6044</v>
      </c>
      <c r="Q103" s="73">
        <v>7283</v>
      </c>
      <c r="R103" s="73">
        <v>5444</v>
      </c>
      <c r="S103" s="73">
        <v>9433</v>
      </c>
      <c r="T103" s="73">
        <v>10175</v>
      </c>
      <c r="U103" s="73">
        <v>9595</v>
      </c>
      <c r="V103" s="73">
        <v>1040</v>
      </c>
      <c r="W103" s="73">
        <v>163639</v>
      </c>
    </row>
    <row r="104" spans="1:23" x14ac:dyDescent="0.3">
      <c r="A104" s="83"/>
      <c r="B104" s="83"/>
      <c r="C104" s="83"/>
      <c r="D104" s="83" t="s">
        <v>141</v>
      </c>
      <c r="E104" s="83"/>
      <c r="F104" s="73">
        <v>82</v>
      </c>
      <c r="G104" s="73">
        <v>34</v>
      </c>
      <c r="H104" s="73">
        <v>68</v>
      </c>
      <c r="I104" s="73">
        <v>79</v>
      </c>
      <c r="J104" s="73">
        <v>55</v>
      </c>
      <c r="K104" s="73">
        <v>26</v>
      </c>
      <c r="L104" s="73">
        <v>33</v>
      </c>
      <c r="M104" s="73">
        <v>5</v>
      </c>
      <c r="N104" s="73">
        <v>226</v>
      </c>
      <c r="O104" s="73">
        <v>26</v>
      </c>
      <c r="P104" s="73">
        <v>42</v>
      </c>
      <c r="Q104" s="73">
        <v>74</v>
      </c>
      <c r="R104" s="73">
        <v>77</v>
      </c>
      <c r="S104" s="73">
        <v>93</v>
      </c>
      <c r="T104" s="73">
        <v>101</v>
      </c>
      <c r="U104" s="73">
        <v>111</v>
      </c>
      <c r="V104" s="73">
        <v>12</v>
      </c>
      <c r="W104" s="73">
        <v>1144</v>
      </c>
    </row>
    <row r="105" spans="1:23" x14ac:dyDescent="0.3">
      <c r="A105" s="83"/>
      <c r="B105" s="83"/>
      <c r="C105" s="83"/>
      <c r="D105" s="83" t="s">
        <v>142</v>
      </c>
      <c r="E105" s="83"/>
      <c r="F105" s="73">
        <v>0</v>
      </c>
      <c r="G105" s="73">
        <v>0</v>
      </c>
      <c r="H105" s="73">
        <v>0</v>
      </c>
      <c r="I105" s="73">
        <v>53</v>
      </c>
      <c r="J105" s="73">
        <v>5</v>
      </c>
      <c r="K105" s="73">
        <v>0</v>
      </c>
      <c r="L105" s="73">
        <v>0</v>
      </c>
      <c r="M105" s="73">
        <v>0</v>
      </c>
      <c r="N105" s="73">
        <v>12</v>
      </c>
      <c r="O105" s="73">
        <v>3</v>
      </c>
      <c r="P105" s="73">
        <v>0</v>
      </c>
      <c r="Q105" s="73">
        <v>20</v>
      </c>
      <c r="R105" s="73">
        <v>9</v>
      </c>
      <c r="S105" s="73">
        <v>1</v>
      </c>
      <c r="T105" s="73">
        <v>8</v>
      </c>
      <c r="U105" s="73">
        <v>5</v>
      </c>
      <c r="V105" s="73">
        <v>0</v>
      </c>
      <c r="W105" s="73">
        <v>116</v>
      </c>
    </row>
    <row r="106" spans="1:23" x14ac:dyDescent="0.3">
      <c r="A106" s="83"/>
      <c r="B106" s="83"/>
      <c r="C106" s="83"/>
      <c r="D106" s="83" t="s">
        <v>143</v>
      </c>
      <c r="E106" s="83"/>
      <c r="F106" s="73">
        <v>7</v>
      </c>
      <c r="G106" s="73">
        <v>4</v>
      </c>
      <c r="H106" s="73">
        <v>15</v>
      </c>
      <c r="I106" s="73">
        <v>26</v>
      </c>
      <c r="J106" s="73">
        <v>5</v>
      </c>
      <c r="K106" s="73">
        <v>3</v>
      </c>
      <c r="L106" s="73">
        <v>3</v>
      </c>
      <c r="M106" s="73">
        <v>2</v>
      </c>
      <c r="N106" s="73">
        <v>27</v>
      </c>
      <c r="O106" s="73">
        <v>8</v>
      </c>
      <c r="P106" s="73">
        <v>26</v>
      </c>
      <c r="Q106" s="73">
        <v>30</v>
      </c>
      <c r="R106" s="73">
        <v>51</v>
      </c>
      <c r="S106" s="73">
        <v>37</v>
      </c>
      <c r="T106" s="73">
        <v>68</v>
      </c>
      <c r="U106" s="73">
        <v>37</v>
      </c>
      <c r="V106" s="73">
        <v>3</v>
      </c>
      <c r="W106" s="73">
        <v>352</v>
      </c>
    </row>
    <row r="107" spans="1:23" x14ac:dyDescent="0.3">
      <c r="A107" s="83"/>
      <c r="B107" s="83"/>
      <c r="C107" s="83"/>
      <c r="D107" s="83" t="s">
        <v>144</v>
      </c>
      <c r="E107" s="83"/>
      <c r="F107" s="73">
        <v>2</v>
      </c>
      <c r="G107" s="73">
        <v>3</v>
      </c>
      <c r="H107" s="73">
        <v>14</v>
      </c>
      <c r="I107" s="73">
        <v>11</v>
      </c>
      <c r="J107" s="73">
        <v>4</v>
      </c>
      <c r="K107" s="73">
        <v>0</v>
      </c>
      <c r="L107" s="73">
        <v>1</v>
      </c>
      <c r="M107" s="73">
        <v>2</v>
      </c>
      <c r="N107" s="73">
        <v>18</v>
      </c>
      <c r="O107" s="73">
        <v>2</v>
      </c>
      <c r="P107" s="73">
        <v>6</v>
      </c>
      <c r="Q107" s="73">
        <v>13</v>
      </c>
      <c r="R107" s="73">
        <v>18</v>
      </c>
      <c r="S107" s="73">
        <v>32</v>
      </c>
      <c r="T107" s="73">
        <v>51</v>
      </c>
      <c r="U107" s="73">
        <v>36</v>
      </c>
      <c r="V107" s="73">
        <v>2</v>
      </c>
      <c r="W107" s="73">
        <v>215</v>
      </c>
    </row>
    <row r="108" spans="1:23" x14ac:dyDescent="0.3">
      <c r="A108" s="83"/>
      <c r="B108" s="83"/>
      <c r="C108" s="83"/>
      <c r="D108" s="83" t="s">
        <v>145</v>
      </c>
      <c r="E108" s="83"/>
      <c r="F108" s="73">
        <v>4202</v>
      </c>
      <c r="G108" s="73">
        <v>789</v>
      </c>
      <c r="H108" s="73">
        <v>638</v>
      </c>
      <c r="I108" s="73">
        <v>751</v>
      </c>
      <c r="J108" s="73">
        <v>488</v>
      </c>
      <c r="K108" s="73">
        <v>323</v>
      </c>
      <c r="L108" s="73">
        <v>89</v>
      </c>
      <c r="M108" s="73">
        <v>24</v>
      </c>
      <c r="N108" s="73">
        <v>8925</v>
      </c>
      <c r="O108" s="73">
        <v>290</v>
      </c>
      <c r="P108" s="73">
        <v>424</v>
      </c>
      <c r="Q108" s="73">
        <v>538</v>
      </c>
      <c r="R108" s="73">
        <v>276</v>
      </c>
      <c r="S108" s="73">
        <v>293</v>
      </c>
      <c r="T108" s="73">
        <v>394</v>
      </c>
      <c r="U108" s="73">
        <v>465</v>
      </c>
      <c r="V108" s="73">
        <v>102</v>
      </c>
      <c r="W108" s="73">
        <v>19011</v>
      </c>
    </row>
    <row r="109" spans="1:23" x14ac:dyDescent="0.3">
      <c r="A109" s="83"/>
      <c r="B109" s="83"/>
      <c r="C109" s="83"/>
      <c r="D109" s="83" t="s">
        <v>146</v>
      </c>
      <c r="E109" s="83"/>
      <c r="F109" s="73">
        <v>53</v>
      </c>
      <c r="G109" s="73">
        <v>46</v>
      </c>
      <c r="H109" s="73">
        <v>43</v>
      </c>
      <c r="I109" s="73">
        <v>370</v>
      </c>
      <c r="J109" s="73">
        <v>20</v>
      </c>
      <c r="K109" s="73">
        <v>27</v>
      </c>
      <c r="L109" s="73">
        <v>19</v>
      </c>
      <c r="M109" s="73">
        <v>1</v>
      </c>
      <c r="N109" s="73">
        <v>221</v>
      </c>
      <c r="O109" s="73">
        <v>22</v>
      </c>
      <c r="P109" s="73">
        <v>45</v>
      </c>
      <c r="Q109" s="73">
        <v>90</v>
      </c>
      <c r="R109" s="73">
        <v>205</v>
      </c>
      <c r="S109" s="73">
        <v>100</v>
      </c>
      <c r="T109" s="73">
        <v>160</v>
      </c>
      <c r="U109" s="73">
        <v>74</v>
      </c>
      <c r="V109" s="73">
        <v>31</v>
      </c>
      <c r="W109" s="73">
        <v>1527</v>
      </c>
    </row>
    <row r="110" spans="1:23" x14ac:dyDescent="0.3">
      <c r="A110" s="83"/>
      <c r="B110" s="83"/>
      <c r="C110" s="83"/>
      <c r="D110" s="83" t="s">
        <v>147</v>
      </c>
      <c r="E110" s="83"/>
      <c r="F110" s="73">
        <v>47</v>
      </c>
      <c r="G110" s="73">
        <v>61</v>
      </c>
      <c r="H110" s="73">
        <v>64</v>
      </c>
      <c r="I110" s="73">
        <v>469</v>
      </c>
      <c r="J110" s="73">
        <v>22</v>
      </c>
      <c r="K110" s="73">
        <v>31</v>
      </c>
      <c r="L110" s="73">
        <v>183</v>
      </c>
      <c r="M110" s="73">
        <v>6</v>
      </c>
      <c r="N110" s="73">
        <v>698</v>
      </c>
      <c r="O110" s="73">
        <v>92</v>
      </c>
      <c r="P110" s="73">
        <v>90</v>
      </c>
      <c r="Q110" s="73">
        <v>189</v>
      </c>
      <c r="R110" s="73">
        <v>172</v>
      </c>
      <c r="S110" s="73">
        <v>253</v>
      </c>
      <c r="T110" s="73">
        <v>398</v>
      </c>
      <c r="U110" s="73">
        <v>351</v>
      </c>
      <c r="V110" s="73">
        <v>28</v>
      </c>
      <c r="W110" s="73">
        <v>3154</v>
      </c>
    </row>
    <row r="111" spans="1:23" x14ac:dyDescent="0.3">
      <c r="A111" s="83"/>
      <c r="B111" s="83"/>
      <c r="C111" s="83"/>
      <c r="D111" s="83"/>
      <c r="E111" s="83" t="s">
        <v>148</v>
      </c>
      <c r="F111" s="73">
        <v>2</v>
      </c>
      <c r="G111" s="73">
        <v>0</v>
      </c>
      <c r="H111" s="73">
        <v>0</v>
      </c>
      <c r="I111" s="73">
        <v>6</v>
      </c>
      <c r="J111" s="73">
        <v>0</v>
      </c>
      <c r="K111" s="73">
        <v>0</v>
      </c>
      <c r="L111" s="73">
        <v>6</v>
      </c>
      <c r="M111" s="73">
        <v>0</v>
      </c>
      <c r="N111" s="73">
        <v>5</v>
      </c>
      <c r="O111" s="73">
        <v>2</v>
      </c>
      <c r="P111" s="73">
        <v>1</v>
      </c>
      <c r="Q111" s="73">
        <v>4</v>
      </c>
      <c r="R111" s="73">
        <v>4</v>
      </c>
      <c r="S111" s="73">
        <v>12</v>
      </c>
      <c r="T111" s="73">
        <v>4</v>
      </c>
      <c r="U111" s="73">
        <v>2</v>
      </c>
      <c r="V111" s="73">
        <v>0</v>
      </c>
      <c r="W111" s="73">
        <v>48</v>
      </c>
    </row>
    <row r="112" spans="1:23" x14ac:dyDescent="0.3">
      <c r="A112" s="83"/>
      <c r="B112" s="83"/>
      <c r="C112" s="83"/>
      <c r="D112" s="83"/>
      <c r="E112" s="83" t="s">
        <v>149</v>
      </c>
      <c r="F112" s="73">
        <v>0</v>
      </c>
      <c r="G112" s="73">
        <v>0</v>
      </c>
      <c r="H112" s="73">
        <v>0</v>
      </c>
      <c r="I112" s="73">
        <v>5</v>
      </c>
      <c r="J112" s="73">
        <v>2</v>
      </c>
      <c r="K112" s="73">
        <v>0</v>
      </c>
      <c r="L112" s="73">
        <v>2</v>
      </c>
      <c r="M112" s="73">
        <v>0</v>
      </c>
      <c r="N112" s="73">
        <v>5</v>
      </c>
      <c r="O112" s="73">
        <v>0</v>
      </c>
      <c r="P112" s="73">
        <v>2</v>
      </c>
      <c r="Q112" s="73">
        <v>1</v>
      </c>
      <c r="R112" s="73">
        <v>5</v>
      </c>
      <c r="S112" s="73">
        <v>1</v>
      </c>
      <c r="T112" s="73">
        <v>7</v>
      </c>
      <c r="U112" s="73">
        <v>3</v>
      </c>
      <c r="V112" s="73">
        <v>1</v>
      </c>
      <c r="W112" s="73">
        <v>34</v>
      </c>
    </row>
    <row r="113" spans="1:23" x14ac:dyDescent="0.3">
      <c r="A113" s="83"/>
      <c r="B113" s="83"/>
      <c r="C113" s="83"/>
      <c r="D113" s="83"/>
      <c r="E113" s="83" t="s">
        <v>150</v>
      </c>
      <c r="F113" s="73">
        <v>38</v>
      </c>
      <c r="G113" s="73">
        <v>49</v>
      </c>
      <c r="H113" s="73">
        <v>50</v>
      </c>
      <c r="I113" s="73">
        <v>404</v>
      </c>
      <c r="J113" s="73">
        <v>14</v>
      </c>
      <c r="K113" s="73">
        <v>22</v>
      </c>
      <c r="L113" s="73">
        <v>147</v>
      </c>
      <c r="M113" s="73">
        <v>6</v>
      </c>
      <c r="N113" s="73">
        <v>611</v>
      </c>
      <c r="O113" s="73">
        <v>82</v>
      </c>
      <c r="P113" s="73">
        <v>70</v>
      </c>
      <c r="Q113" s="73">
        <v>135</v>
      </c>
      <c r="R113" s="73">
        <v>103</v>
      </c>
      <c r="S113" s="73">
        <v>161</v>
      </c>
      <c r="T113" s="73">
        <v>311</v>
      </c>
      <c r="U113" s="73">
        <v>262</v>
      </c>
      <c r="V113" s="73">
        <v>23</v>
      </c>
      <c r="W113" s="73">
        <v>2488</v>
      </c>
    </row>
    <row r="114" spans="1:23" x14ac:dyDescent="0.3">
      <c r="A114" s="83"/>
      <c r="B114" s="83"/>
      <c r="C114" s="83"/>
      <c r="D114" s="83"/>
      <c r="E114" s="83" t="s">
        <v>151</v>
      </c>
      <c r="F114" s="73">
        <v>0</v>
      </c>
      <c r="G114" s="73">
        <v>0</v>
      </c>
      <c r="H114" s="73">
        <v>1</v>
      </c>
      <c r="I114" s="73">
        <v>2</v>
      </c>
      <c r="J114" s="73">
        <v>1</v>
      </c>
      <c r="K114" s="73">
        <v>0</v>
      </c>
      <c r="L114" s="73">
        <v>4</v>
      </c>
      <c r="M114" s="73">
        <v>0</v>
      </c>
      <c r="N114" s="73">
        <v>4</v>
      </c>
      <c r="O114" s="73">
        <v>0</v>
      </c>
      <c r="P114" s="73">
        <v>0</v>
      </c>
      <c r="Q114" s="73">
        <v>2</v>
      </c>
      <c r="R114" s="73">
        <v>0</v>
      </c>
      <c r="S114" s="73">
        <v>3</v>
      </c>
      <c r="T114" s="73">
        <v>3</v>
      </c>
      <c r="U114" s="73">
        <v>0</v>
      </c>
      <c r="V114" s="73">
        <v>0</v>
      </c>
      <c r="W114" s="73">
        <v>20</v>
      </c>
    </row>
    <row r="115" spans="1:23" x14ac:dyDescent="0.3">
      <c r="A115" s="83"/>
      <c r="B115" s="83"/>
      <c r="C115" s="83"/>
      <c r="D115" s="83"/>
      <c r="E115" s="83" t="s">
        <v>152</v>
      </c>
      <c r="F115" s="73">
        <v>7</v>
      </c>
      <c r="G115" s="73">
        <v>12</v>
      </c>
      <c r="H115" s="73">
        <v>13</v>
      </c>
      <c r="I115" s="73">
        <v>52</v>
      </c>
      <c r="J115" s="73">
        <v>5</v>
      </c>
      <c r="K115" s="73">
        <v>9</v>
      </c>
      <c r="L115" s="73">
        <v>24</v>
      </c>
      <c r="M115" s="73">
        <v>0</v>
      </c>
      <c r="N115" s="73">
        <v>73</v>
      </c>
      <c r="O115" s="73">
        <v>8</v>
      </c>
      <c r="P115" s="73">
        <v>17</v>
      </c>
      <c r="Q115" s="73">
        <v>47</v>
      </c>
      <c r="R115" s="73">
        <v>60</v>
      </c>
      <c r="S115" s="73">
        <v>76</v>
      </c>
      <c r="T115" s="73">
        <v>73</v>
      </c>
      <c r="U115" s="73">
        <v>84</v>
      </c>
      <c r="V115" s="73">
        <v>4</v>
      </c>
      <c r="W115" s="73">
        <v>564</v>
      </c>
    </row>
    <row r="116" spans="1:23" x14ac:dyDescent="0.3">
      <c r="A116" s="83"/>
      <c r="B116" s="83"/>
      <c r="C116" s="83"/>
      <c r="D116" s="83" t="s">
        <v>153</v>
      </c>
      <c r="E116" s="83"/>
      <c r="F116" s="73">
        <v>60</v>
      </c>
      <c r="G116" s="73">
        <v>26</v>
      </c>
      <c r="H116" s="73">
        <v>41</v>
      </c>
      <c r="I116" s="73">
        <v>202</v>
      </c>
      <c r="J116" s="73">
        <v>27</v>
      </c>
      <c r="K116" s="73">
        <v>15</v>
      </c>
      <c r="L116" s="73">
        <v>118</v>
      </c>
      <c r="M116" s="73">
        <v>70</v>
      </c>
      <c r="N116" s="73">
        <v>480</v>
      </c>
      <c r="O116" s="73">
        <v>41</v>
      </c>
      <c r="P116" s="73">
        <v>68</v>
      </c>
      <c r="Q116" s="73">
        <v>150</v>
      </c>
      <c r="R116" s="73">
        <v>215</v>
      </c>
      <c r="S116" s="73">
        <v>189</v>
      </c>
      <c r="T116" s="73">
        <v>277</v>
      </c>
      <c r="U116" s="73">
        <v>216</v>
      </c>
      <c r="V116" s="73">
        <v>11</v>
      </c>
      <c r="W116" s="73">
        <v>2206</v>
      </c>
    </row>
    <row r="117" spans="1:23" x14ac:dyDescent="0.3">
      <c r="A117" s="83"/>
      <c r="B117" s="83"/>
      <c r="C117" s="83"/>
      <c r="D117" s="83"/>
      <c r="E117" s="83" t="s">
        <v>154</v>
      </c>
      <c r="F117" s="73">
        <v>6</v>
      </c>
      <c r="G117" s="73">
        <v>1</v>
      </c>
      <c r="H117" s="73">
        <v>0</v>
      </c>
      <c r="I117" s="73">
        <v>6</v>
      </c>
      <c r="J117" s="73">
        <v>7</v>
      </c>
      <c r="K117" s="73">
        <v>0</v>
      </c>
      <c r="L117" s="73">
        <v>2</v>
      </c>
      <c r="M117" s="73">
        <v>10</v>
      </c>
      <c r="N117" s="73">
        <v>42</v>
      </c>
      <c r="O117" s="73">
        <v>7</v>
      </c>
      <c r="P117" s="73">
        <v>11</v>
      </c>
      <c r="Q117" s="73">
        <v>18</v>
      </c>
      <c r="R117" s="73">
        <v>10</v>
      </c>
      <c r="S117" s="73">
        <v>17</v>
      </c>
      <c r="T117" s="73">
        <v>18</v>
      </c>
      <c r="U117" s="73">
        <v>15</v>
      </c>
      <c r="V117" s="73">
        <v>2</v>
      </c>
      <c r="W117" s="73">
        <v>172</v>
      </c>
    </row>
    <row r="118" spans="1:23" x14ac:dyDescent="0.3">
      <c r="A118" s="83"/>
      <c r="B118" s="83"/>
      <c r="C118" s="83"/>
      <c r="D118" s="83"/>
      <c r="E118" s="83" t="s">
        <v>155</v>
      </c>
      <c r="F118" s="73">
        <v>0</v>
      </c>
      <c r="G118" s="73">
        <v>0</v>
      </c>
      <c r="H118" s="73">
        <v>0</v>
      </c>
      <c r="I118" s="73">
        <v>7</v>
      </c>
      <c r="J118" s="73">
        <v>1</v>
      </c>
      <c r="K118" s="73">
        <v>0</v>
      </c>
      <c r="L118" s="73">
        <v>1</v>
      </c>
      <c r="M118" s="73">
        <v>0</v>
      </c>
      <c r="N118" s="73">
        <v>28</v>
      </c>
      <c r="O118" s="73">
        <v>2</v>
      </c>
      <c r="P118" s="73">
        <v>1</v>
      </c>
      <c r="Q118" s="73">
        <v>2</v>
      </c>
      <c r="R118" s="73">
        <v>5</v>
      </c>
      <c r="S118" s="73">
        <v>6</v>
      </c>
      <c r="T118" s="73">
        <v>13</v>
      </c>
      <c r="U118" s="73">
        <v>7</v>
      </c>
      <c r="V118" s="73">
        <v>1</v>
      </c>
      <c r="W118" s="73">
        <v>74</v>
      </c>
    </row>
    <row r="119" spans="1:23" x14ac:dyDescent="0.3">
      <c r="A119" s="83"/>
      <c r="B119" s="83"/>
      <c r="C119" s="83"/>
      <c r="D119" s="83"/>
      <c r="E119" s="83" t="s">
        <v>156</v>
      </c>
      <c r="F119" s="73">
        <v>10</v>
      </c>
      <c r="G119" s="73">
        <v>4</v>
      </c>
      <c r="H119" s="73">
        <v>4</v>
      </c>
      <c r="I119" s="73">
        <v>28</v>
      </c>
      <c r="J119" s="73">
        <v>0</v>
      </c>
      <c r="K119" s="73">
        <v>1</v>
      </c>
      <c r="L119" s="73">
        <v>11</v>
      </c>
      <c r="M119" s="73">
        <v>0</v>
      </c>
      <c r="N119" s="73">
        <v>27</v>
      </c>
      <c r="O119" s="73">
        <v>4</v>
      </c>
      <c r="P119" s="73">
        <v>1</v>
      </c>
      <c r="Q119" s="73">
        <v>10</v>
      </c>
      <c r="R119" s="73">
        <v>15</v>
      </c>
      <c r="S119" s="73">
        <v>17</v>
      </c>
      <c r="T119" s="73">
        <v>16</v>
      </c>
      <c r="U119" s="73">
        <v>15</v>
      </c>
      <c r="V119" s="73">
        <v>0</v>
      </c>
      <c r="W119" s="73">
        <v>163</v>
      </c>
    </row>
    <row r="120" spans="1:23" x14ac:dyDescent="0.3">
      <c r="A120" s="83"/>
      <c r="B120" s="83"/>
      <c r="C120" s="83"/>
      <c r="D120" s="83"/>
      <c r="E120" s="83" t="s">
        <v>157</v>
      </c>
      <c r="F120" s="73">
        <v>44</v>
      </c>
      <c r="G120" s="73">
        <v>21</v>
      </c>
      <c r="H120" s="73">
        <v>37</v>
      </c>
      <c r="I120" s="73">
        <v>161</v>
      </c>
      <c r="J120" s="73">
        <v>19</v>
      </c>
      <c r="K120" s="73">
        <v>14</v>
      </c>
      <c r="L120" s="73">
        <v>104</v>
      </c>
      <c r="M120" s="73">
        <v>60</v>
      </c>
      <c r="N120" s="73">
        <v>383</v>
      </c>
      <c r="O120" s="73">
        <v>28</v>
      </c>
      <c r="P120" s="73">
        <v>55</v>
      </c>
      <c r="Q120" s="73">
        <v>120</v>
      </c>
      <c r="R120" s="73">
        <v>185</v>
      </c>
      <c r="S120" s="73">
        <v>149</v>
      </c>
      <c r="T120" s="73">
        <v>230</v>
      </c>
      <c r="U120" s="73">
        <v>179</v>
      </c>
      <c r="V120" s="73">
        <v>8</v>
      </c>
      <c r="W120" s="73">
        <v>1797</v>
      </c>
    </row>
    <row r="121" spans="1:23" x14ac:dyDescent="0.3">
      <c r="A121" s="83"/>
      <c r="B121" s="83"/>
      <c r="C121" s="83"/>
      <c r="D121" s="83" t="s">
        <v>158</v>
      </c>
      <c r="E121" s="83"/>
      <c r="F121" s="73">
        <v>1212</v>
      </c>
      <c r="G121" s="73">
        <v>12334</v>
      </c>
      <c r="H121" s="73">
        <v>891</v>
      </c>
      <c r="I121" s="73">
        <v>9205</v>
      </c>
      <c r="J121" s="73">
        <v>1667</v>
      </c>
      <c r="K121" s="73">
        <v>926</v>
      </c>
      <c r="L121" s="73">
        <v>2719</v>
      </c>
      <c r="M121" s="73">
        <v>49</v>
      </c>
      <c r="N121" s="73">
        <v>6700</v>
      </c>
      <c r="O121" s="73">
        <v>733</v>
      </c>
      <c r="P121" s="73">
        <v>2521</v>
      </c>
      <c r="Q121" s="73">
        <v>2529</v>
      </c>
      <c r="R121" s="73">
        <v>1787</v>
      </c>
      <c r="S121" s="73">
        <v>5644</v>
      </c>
      <c r="T121" s="73">
        <v>4491</v>
      </c>
      <c r="U121" s="73">
        <v>3896</v>
      </c>
      <c r="V121" s="73">
        <v>193</v>
      </c>
      <c r="W121" s="73">
        <v>57497</v>
      </c>
    </row>
    <row r="122" spans="1:23" x14ac:dyDescent="0.3">
      <c r="A122" s="83"/>
      <c r="B122" s="83"/>
      <c r="C122" s="83"/>
      <c r="D122" s="83"/>
      <c r="E122" s="83" t="s">
        <v>159</v>
      </c>
      <c r="F122" s="73">
        <v>74</v>
      </c>
      <c r="G122" s="73">
        <v>236</v>
      </c>
      <c r="H122" s="73">
        <v>28</v>
      </c>
      <c r="I122" s="73">
        <v>216</v>
      </c>
      <c r="J122" s="73">
        <v>73</v>
      </c>
      <c r="K122" s="73">
        <v>27</v>
      </c>
      <c r="L122" s="73">
        <v>83</v>
      </c>
      <c r="M122" s="73">
        <v>2</v>
      </c>
      <c r="N122" s="73">
        <v>192</v>
      </c>
      <c r="O122" s="73">
        <v>32</v>
      </c>
      <c r="P122" s="73">
        <v>72</v>
      </c>
      <c r="Q122" s="73">
        <v>75</v>
      </c>
      <c r="R122" s="73">
        <v>33</v>
      </c>
      <c r="S122" s="73">
        <v>182</v>
      </c>
      <c r="T122" s="73">
        <v>115</v>
      </c>
      <c r="U122" s="73">
        <v>69</v>
      </c>
      <c r="V122" s="73">
        <v>8</v>
      </c>
      <c r="W122" s="73">
        <v>1517</v>
      </c>
    </row>
    <row r="123" spans="1:23" x14ac:dyDescent="0.3">
      <c r="A123" s="83"/>
      <c r="B123" s="83"/>
      <c r="C123" s="83"/>
      <c r="D123" s="83"/>
      <c r="E123" s="83" t="s">
        <v>160</v>
      </c>
      <c r="F123" s="73">
        <v>118</v>
      </c>
      <c r="G123" s="73">
        <v>446</v>
      </c>
      <c r="H123" s="73">
        <v>141</v>
      </c>
      <c r="I123" s="73">
        <v>355</v>
      </c>
      <c r="J123" s="73">
        <v>87</v>
      </c>
      <c r="K123" s="73">
        <v>74</v>
      </c>
      <c r="L123" s="73">
        <v>198</v>
      </c>
      <c r="M123" s="73">
        <v>0</v>
      </c>
      <c r="N123" s="73">
        <v>387</v>
      </c>
      <c r="O123" s="73">
        <v>124</v>
      </c>
      <c r="P123" s="73">
        <v>84</v>
      </c>
      <c r="Q123" s="73">
        <v>246</v>
      </c>
      <c r="R123" s="73">
        <v>120</v>
      </c>
      <c r="S123" s="73">
        <v>224</v>
      </c>
      <c r="T123" s="73">
        <v>266</v>
      </c>
      <c r="U123" s="73">
        <v>374</v>
      </c>
      <c r="V123" s="73">
        <v>34</v>
      </c>
      <c r="W123" s="73">
        <v>3278</v>
      </c>
    </row>
    <row r="124" spans="1:23" x14ac:dyDescent="0.3">
      <c r="A124" s="83"/>
      <c r="B124" s="83"/>
      <c r="C124" s="83"/>
      <c r="D124" s="83"/>
      <c r="E124" s="83" t="s">
        <v>161</v>
      </c>
      <c r="F124" s="73">
        <v>155</v>
      </c>
      <c r="G124" s="73">
        <v>1216</v>
      </c>
      <c r="H124" s="73">
        <v>237</v>
      </c>
      <c r="I124" s="73">
        <v>966</v>
      </c>
      <c r="J124" s="73">
        <v>296</v>
      </c>
      <c r="K124" s="73">
        <v>174</v>
      </c>
      <c r="L124" s="73">
        <v>569</v>
      </c>
      <c r="M124" s="73">
        <v>3</v>
      </c>
      <c r="N124" s="73">
        <v>738</v>
      </c>
      <c r="O124" s="73">
        <v>114</v>
      </c>
      <c r="P124" s="73">
        <v>261</v>
      </c>
      <c r="Q124" s="73">
        <v>632</v>
      </c>
      <c r="R124" s="73">
        <v>330</v>
      </c>
      <c r="S124" s="73">
        <v>1224</v>
      </c>
      <c r="T124" s="73">
        <v>1847</v>
      </c>
      <c r="U124" s="73">
        <v>846</v>
      </c>
      <c r="V124" s="73">
        <v>63</v>
      </c>
      <c r="W124" s="73">
        <v>9671</v>
      </c>
    </row>
    <row r="125" spans="1:23" x14ac:dyDescent="0.3">
      <c r="A125" s="83"/>
      <c r="B125" s="83"/>
      <c r="C125" s="83"/>
      <c r="D125" s="83"/>
      <c r="E125" s="83" t="s">
        <v>162</v>
      </c>
      <c r="F125" s="73">
        <v>372</v>
      </c>
      <c r="G125" s="73">
        <v>8932</v>
      </c>
      <c r="H125" s="73">
        <v>253</v>
      </c>
      <c r="I125" s="73">
        <v>5926</v>
      </c>
      <c r="J125" s="73">
        <v>923</v>
      </c>
      <c r="K125" s="73">
        <v>417</v>
      </c>
      <c r="L125" s="73">
        <v>1241</v>
      </c>
      <c r="M125" s="73">
        <v>29</v>
      </c>
      <c r="N125" s="73">
        <v>3284</v>
      </c>
      <c r="O125" s="73">
        <v>131</v>
      </c>
      <c r="P125" s="73">
        <v>774</v>
      </c>
      <c r="Q125" s="73">
        <v>837</v>
      </c>
      <c r="R125" s="73">
        <v>625</v>
      </c>
      <c r="S125" s="73">
        <v>2329</v>
      </c>
      <c r="T125" s="73">
        <v>1383</v>
      </c>
      <c r="U125" s="73">
        <v>1831</v>
      </c>
      <c r="V125" s="73">
        <v>18</v>
      </c>
      <c r="W125" s="73">
        <v>29305</v>
      </c>
    </row>
    <row r="126" spans="1:23" x14ac:dyDescent="0.3">
      <c r="A126" s="83"/>
      <c r="B126" s="83"/>
      <c r="C126" s="83"/>
      <c r="D126" s="83"/>
      <c r="E126" s="83" t="s">
        <v>163</v>
      </c>
      <c r="F126" s="73">
        <v>493</v>
      </c>
      <c r="G126" s="73">
        <v>1504</v>
      </c>
      <c r="H126" s="73">
        <v>232</v>
      </c>
      <c r="I126" s="73">
        <v>1742</v>
      </c>
      <c r="J126" s="73">
        <v>288</v>
      </c>
      <c r="K126" s="73">
        <v>234</v>
      </c>
      <c r="L126" s="73">
        <v>628</v>
      </c>
      <c r="M126" s="73">
        <v>15</v>
      </c>
      <c r="N126" s="73">
        <v>2099</v>
      </c>
      <c r="O126" s="73">
        <v>332</v>
      </c>
      <c r="P126" s="73">
        <v>1330</v>
      </c>
      <c r="Q126" s="73">
        <v>739</v>
      </c>
      <c r="R126" s="73">
        <v>679</v>
      </c>
      <c r="S126" s="73">
        <v>1685</v>
      </c>
      <c r="T126" s="73">
        <v>880</v>
      </c>
      <c r="U126" s="73">
        <v>776</v>
      </c>
      <c r="V126" s="73">
        <v>70</v>
      </c>
      <c r="W126" s="73">
        <v>13726</v>
      </c>
    </row>
    <row r="127" spans="1:23" x14ac:dyDescent="0.3">
      <c r="A127" s="83"/>
      <c r="B127" s="83"/>
      <c r="C127" s="83"/>
      <c r="D127" s="83" t="s">
        <v>164</v>
      </c>
      <c r="E127" s="83"/>
      <c r="F127" s="73">
        <v>12378</v>
      </c>
      <c r="G127" s="73">
        <v>3730</v>
      </c>
      <c r="H127" s="73">
        <v>4041</v>
      </c>
      <c r="I127" s="73">
        <v>4817</v>
      </c>
      <c r="J127" s="73">
        <v>2494</v>
      </c>
      <c r="K127" s="73">
        <v>2422</v>
      </c>
      <c r="L127" s="73">
        <v>1106</v>
      </c>
      <c r="M127" s="73">
        <v>382</v>
      </c>
      <c r="N127" s="73">
        <v>23694</v>
      </c>
      <c r="O127" s="73">
        <v>2167</v>
      </c>
      <c r="P127" s="73">
        <v>2822</v>
      </c>
      <c r="Q127" s="73">
        <v>3650</v>
      </c>
      <c r="R127" s="73">
        <v>2634</v>
      </c>
      <c r="S127" s="73">
        <v>2791</v>
      </c>
      <c r="T127" s="73">
        <v>4227</v>
      </c>
      <c r="U127" s="73">
        <v>4404</v>
      </c>
      <c r="V127" s="73">
        <v>658</v>
      </c>
      <c r="W127" s="73">
        <v>78417</v>
      </c>
    </row>
    <row r="128" spans="1:23" x14ac:dyDescent="0.3">
      <c r="A128" s="83"/>
      <c r="B128" s="83" t="s">
        <v>165</v>
      </c>
      <c r="C128" s="83"/>
      <c r="D128" s="83"/>
      <c r="E128" s="83"/>
      <c r="F128" s="73">
        <v>4931</v>
      </c>
      <c r="G128" s="73">
        <v>8890</v>
      </c>
      <c r="H128" s="73">
        <v>2033</v>
      </c>
      <c r="I128" s="73">
        <v>5296</v>
      </c>
      <c r="J128" s="73">
        <v>1826</v>
      </c>
      <c r="K128" s="73">
        <v>1646</v>
      </c>
      <c r="L128" s="73">
        <v>2171</v>
      </c>
      <c r="M128" s="73">
        <v>165</v>
      </c>
      <c r="N128" s="73">
        <v>11282</v>
      </c>
      <c r="O128" s="73">
        <v>1723</v>
      </c>
      <c r="P128" s="73">
        <v>2737</v>
      </c>
      <c r="Q128" s="73">
        <v>2978</v>
      </c>
      <c r="R128" s="73">
        <v>2205</v>
      </c>
      <c r="S128" s="73">
        <v>4874</v>
      </c>
      <c r="T128" s="73">
        <v>5038</v>
      </c>
      <c r="U128" s="73">
        <v>5478</v>
      </c>
      <c r="V128" s="73">
        <v>645</v>
      </c>
      <c r="W128" s="73">
        <v>63918</v>
      </c>
    </row>
    <row r="129" spans="1:23" x14ac:dyDescent="0.3">
      <c r="A129" s="83"/>
      <c r="B129" s="83"/>
      <c r="C129" s="83" t="s">
        <v>166</v>
      </c>
      <c r="D129" s="83"/>
      <c r="E129" s="83"/>
      <c r="F129" s="73">
        <v>538</v>
      </c>
      <c r="G129" s="73">
        <v>388</v>
      </c>
      <c r="H129" s="73">
        <v>181</v>
      </c>
      <c r="I129" s="73">
        <v>329</v>
      </c>
      <c r="J129" s="73">
        <v>177</v>
      </c>
      <c r="K129" s="73">
        <v>185</v>
      </c>
      <c r="L129" s="73">
        <v>148</v>
      </c>
      <c r="M129" s="73">
        <v>37</v>
      </c>
      <c r="N129" s="73">
        <v>1954</v>
      </c>
      <c r="O129" s="73">
        <v>312</v>
      </c>
      <c r="P129" s="73">
        <v>367</v>
      </c>
      <c r="Q129" s="73">
        <v>502</v>
      </c>
      <c r="R129" s="73">
        <v>287</v>
      </c>
      <c r="S129" s="73">
        <v>362</v>
      </c>
      <c r="T129" s="73">
        <v>743</v>
      </c>
      <c r="U129" s="73">
        <v>616</v>
      </c>
      <c r="V129" s="73">
        <v>155</v>
      </c>
      <c r="W129" s="73">
        <v>7281</v>
      </c>
    </row>
    <row r="130" spans="1:23" x14ac:dyDescent="0.3">
      <c r="A130" s="83"/>
      <c r="B130" s="83"/>
      <c r="C130" s="83"/>
      <c r="D130" s="83"/>
      <c r="E130" s="83" t="s">
        <v>167</v>
      </c>
      <c r="F130" s="73">
        <v>525</v>
      </c>
      <c r="G130" s="73">
        <v>373</v>
      </c>
      <c r="H130" s="73">
        <v>176</v>
      </c>
      <c r="I130" s="73">
        <v>319</v>
      </c>
      <c r="J130" s="73">
        <v>170</v>
      </c>
      <c r="K130" s="73">
        <v>175</v>
      </c>
      <c r="L130" s="73">
        <v>143</v>
      </c>
      <c r="M130" s="73">
        <v>34</v>
      </c>
      <c r="N130" s="73">
        <v>1825</v>
      </c>
      <c r="O130" s="73">
        <v>294</v>
      </c>
      <c r="P130" s="73">
        <v>330</v>
      </c>
      <c r="Q130" s="73">
        <v>476</v>
      </c>
      <c r="R130" s="73">
        <v>273</v>
      </c>
      <c r="S130" s="73">
        <v>348</v>
      </c>
      <c r="T130" s="73">
        <v>689</v>
      </c>
      <c r="U130" s="73">
        <v>596</v>
      </c>
      <c r="V130" s="73">
        <v>147</v>
      </c>
      <c r="W130" s="73">
        <v>6893</v>
      </c>
    </row>
    <row r="131" spans="1:23" x14ac:dyDescent="0.3">
      <c r="A131" s="83"/>
      <c r="B131" s="83"/>
      <c r="C131" s="83"/>
      <c r="D131" s="83"/>
      <c r="E131" s="83" t="s">
        <v>168</v>
      </c>
      <c r="F131" s="73">
        <v>11</v>
      </c>
      <c r="G131" s="73">
        <v>4</v>
      </c>
      <c r="H131" s="73">
        <v>3</v>
      </c>
      <c r="I131" s="73">
        <v>3</v>
      </c>
      <c r="J131" s="73">
        <v>4</v>
      </c>
      <c r="K131" s="73">
        <v>4</v>
      </c>
      <c r="L131" s="73">
        <v>2</v>
      </c>
      <c r="M131" s="73">
        <v>2</v>
      </c>
      <c r="N131" s="73">
        <v>77</v>
      </c>
      <c r="O131" s="73">
        <v>7</v>
      </c>
      <c r="P131" s="73">
        <v>20</v>
      </c>
      <c r="Q131" s="73">
        <v>9</v>
      </c>
      <c r="R131" s="73">
        <v>8</v>
      </c>
      <c r="S131" s="73">
        <v>10</v>
      </c>
      <c r="T131" s="73">
        <v>25</v>
      </c>
      <c r="U131" s="73">
        <v>9</v>
      </c>
      <c r="V131" s="73">
        <v>4</v>
      </c>
      <c r="W131" s="73">
        <v>202</v>
      </c>
    </row>
    <row r="132" spans="1:23" x14ac:dyDescent="0.3">
      <c r="A132" s="83"/>
      <c r="B132" s="83"/>
      <c r="C132" s="83"/>
      <c r="D132" s="83"/>
      <c r="E132" s="83" t="s">
        <v>169</v>
      </c>
      <c r="F132" s="73">
        <v>2</v>
      </c>
      <c r="G132" s="73">
        <v>11</v>
      </c>
      <c r="H132" s="73">
        <v>2</v>
      </c>
      <c r="I132" s="73">
        <v>7</v>
      </c>
      <c r="J132" s="73">
        <v>3</v>
      </c>
      <c r="K132" s="73">
        <v>6</v>
      </c>
      <c r="L132" s="73">
        <v>3</v>
      </c>
      <c r="M132" s="73">
        <v>1</v>
      </c>
      <c r="N132" s="73">
        <v>52</v>
      </c>
      <c r="O132" s="73">
        <v>11</v>
      </c>
      <c r="P132" s="73">
        <v>17</v>
      </c>
      <c r="Q132" s="73">
        <v>17</v>
      </c>
      <c r="R132" s="73">
        <v>6</v>
      </c>
      <c r="S132" s="73">
        <v>4</v>
      </c>
      <c r="T132" s="73">
        <v>29</v>
      </c>
      <c r="U132" s="73">
        <v>11</v>
      </c>
      <c r="V132" s="73">
        <v>4</v>
      </c>
      <c r="W132" s="73">
        <v>186</v>
      </c>
    </row>
    <row r="133" spans="1:23" x14ac:dyDescent="0.3">
      <c r="A133" s="83"/>
      <c r="B133" s="83"/>
      <c r="C133" s="83" t="s">
        <v>170</v>
      </c>
      <c r="D133" s="83"/>
      <c r="E133" s="83"/>
      <c r="F133" s="73">
        <v>973</v>
      </c>
      <c r="G133" s="73">
        <v>7632</v>
      </c>
      <c r="H133" s="73">
        <v>690</v>
      </c>
      <c r="I133" s="73">
        <v>3704</v>
      </c>
      <c r="J133" s="73">
        <v>893</v>
      </c>
      <c r="K133" s="73">
        <v>624</v>
      </c>
      <c r="L133" s="73">
        <v>1467</v>
      </c>
      <c r="M133" s="73">
        <v>41</v>
      </c>
      <c r="N133" s="73">
        <v>4031</v>
      </c>
      <c r="O133" s="73">
        <v>558</v>
      </c>
      <c r="P133" s="73">
        <v>1570</v>
      </c>
      <c r="Q133" s="73">
        <v>1538</v>
      </c>
      <c r="R133" s="73">
        <v>1110</v>
      </c>
      <c r="S133" s="73">
        <v>3653</v>
      </c>
      <c r="T133" s="73">
        <v>3166</v>
      </c>
      <c r="U133" s="73">
        <v>3517</v>
      </c>
      <c r="V133" s="73">
        <v>118</v>
      </c>
      <c r="W133" s="73">
        <v>35285</v>
      </c>
    </row>
    <row r="134" spans="1:23" x14ac:dyDescent="0.3">
      <c r="A134" s="83"/>
      <c r="B134" s="83"/>
      <c r="C134" s="83"/>
      <c r="D134" s="83"/>
      <c r="E134" s="83" t="s">
        <v>171</v>
      </c>
      <c r="F134" s="73">
        <v>17</v>
      </c>
      <c r="G134" s="73">
        <v>53</v>
      </c>
      <c r="H134" s="73">
        <v>8</v>
      </c>
      <c r="I134" s="73">
        <v>13</v>
      </c>
      <c r="J134" s="73">
        <v>13</v>
      </c>
      <c r="K134" s="73">
        <v>7</v>
      </c>
      <c r="L134" s="73">
        <v>7</v>
      </c>
      <c r="M134" s="73">
        <v>0</v>
      </c>
      <c r="N134" s="73">
        <v>47</v>
      </c>
      <c r="O134" s="73">
        <v>14</v>
      </c>
      <c r="P134" s="73">
        <v>17</v>
      </c>
      <c r="Q134" s="73">
        <v>19</v>
      </c>
      <c r="R134" s="73">
        <v>18</v>
      </c>
      <c r="S134" s="73">
        <v>44</v>
      </c>
      <c r="T134" s="73">
        <v>28</v>
      </c>
      <c r="U134" s="73">
        <v>36</v>
      </c>
      <c r="V134" s="73">
        <v>1</v>
      </c>
      <c r="W134" s="73">
        <v>342</v>
      </c>
    </row>
    <row r="135" spans="1:23" x14ac:dyDescent="0.3">
      <c r="A135" s="83"/>
      <c r="B135" s="83"/>
      <c r="C135" s="83"/>
      <c r="D135" s="83"/>
      <c r="E135" s="83" t="s">
        <v>172</v>
      </c>
      <c r="F135" s="73">
        <v>21</v>
      </c>
      <c r="G135" s="73">
        <v>60</v>
      </c>
      <c r="H135" s="73">
        <v>4</v>
      </c>
      <c r="I135" s="73">
        <v>24</v>
      </c>
      <c r="J135" s="73">
        <v>3</v>
      </c>
      <c r="K135" s="73">
        <v>3</v>
      </c>
      <c r="L135" s="73">
        <v>8</v>
      </c>
      <c r="M135" s="73">
        <v>0</v>
      </c>
      <c r="N135" s="73">
        <v>107</v>
      </c>
      <c r="O135" s="73">
        <v>2</v>
      </c>
      <c r="P135" s="73">
        <v>3</v>
      </c>
      <c r="Q135" s="73">
        <v>6</v>
      </c>
      <c r="R135" s="73">
        <v>7</v>
      </c>
      <c r="S135" s="73">
        <v>27</v>
      </c>
      <c r="T135" s="73">
        <v>6</v>
      </c>
      <c r="U135" s="73">
        <v>8</v>
      </c>
      <c r="V135" s="73">
        <v>0</v>
      </c>
      <c r="W135" s="73">
        <v>289</v>
      </c>
    </row>
    <row r="136" spans="1:23" x14ac:dyDescent="0.3">
      <c r="A136" s="83"/>
      <c r="B136" s="83"/>
      <c r="C136" s="83"/>
      <c r="D136" s="83"/>
      <c r="E136" s="83" t="s">
        <v>173</v>
      </c>
      <c r="F136" s="73">
        <v>935</v>
      </c>
      <c r="G136" s="73">
        <v>7519</v>
      </c>
      <c r="H136" s="73">
        <v>678</v>
      </c>
      <c r="I136" s="73">
        <v>3667</v>
      </c>
      <c r="J136" s="73">
        <v>877</v>
      </c>
      <c r="K136" s="73">
        <v>614</v>
      </c>
      <c r="L136" s="73">
        <v>1452</v>
      </c>
      <c r="M136" s="73">
        <v>41</v>
      </c>
      <c r="N136" s="73">
        <v>3877</v>
      </c>
      <c r="O136" s="73">
        <v>542</v>
      </c>
      <c r="P136" s="73">
        <v>1550</v>
      </c>
      <c r="Q136" s="73">
        <v>1513</v>
      </c>
      <c r="R136" s="73">
        <v>1085</v>
      </c>
      <c r="S136" s="73">
        <v>3582</v>
      </c>
      <c r="T136" s="73">
        <v>3132</v>
      </c>
      <c r="U136" s="73">
        <v>3473</v>
      </c>
      <c r="V136" s="73">
        <v>117</v>
      </c>
      <c r="W136" s="73">
        <v>34654</v>
      </c>
    </row>
    <row r="137" spans="1:23" x14ac:dyDescent="0.3">
      <c r="A137" s="83"/>
      <c r="B137" s="83"/>
      <c r="C137" s="83" t="s">
        <v>174</v>
      </c>
      <c r="D137" s="83"/>
      <c r="E137" s="83"/>
      <c r="F137" s="73">
        <v>3420</v>
      </c>
      <c r="G137" s="73">
        <v>870</v>
      </c>
      <c r="H137" s="73">
        <v>1162</v>
      </c>
      <c r="I137" s="73">
        <v>1263</v>
      </c>
      <c r="J137" s="73">
        <v>756</v>
      </c>
      <c r="K137" s="73">
        <v>837</v>
      </c>
      <c r="L137" s="73">
        <v>556</v>
      </c>
      <c r="M137" s="73">
        <v>87</v>
      </c>
      <c r="N137" s="73">
        <v>5297</v>
      </c>
      <c r="O137" s="73">
        <v>853</v>
      </c>
      <c r="P137" s="73">
        <v>800</v>
      </c>
      <c r="Q137" s="73">
        <v>938</v>
      </c>
      <c r="R137" s="73">
        <v>808</v>
      </c>
      <c r="S137" s="73">
        <v>859</v>
      </c>
      <c r="T137" s="73">
        <v>1129</v>
      </c>
      <c r="U137" s="73">
        <v>1345</v>
      </c>
      <c r="V137" s="73">
        <v>372</v>
      </c>
      <c r="W137" s="73">
        <v>21352</v>
      </c>
    </row>
    <row r="138" spans="1:23" x14ac:dyDescent="0.3">
      <c r="A138" s="83"/>
      <c r="B138" s="83"/>
      <c r="C138" s="83"/>
      <c r="D138" s="83" t="s">
        <v>175</v>
      </c>
      <c r="E138" s="83"/>
      <c r="F138" s="73">
        <v>1199</v>
      </c>
      <c r="G138" s="73">
        <v>492</v>
      </c>
      <c r="H138" s="73">
        <v>584</v>
      </c>
      <c r="I138" s="73">
        <v>603</v>
      </c>
      <c r="J138" s="73">
        <v>431</v>
      </c>
      <c r="K138" s="73">
        <v>448</v>
      </c>
      <c r="L138" s="73">
        <v>374</v>
      </c>
      <c r="M138" s="73">
        <v>76</v>
      </c>
      <c r="N138" s="73">
        <v>2900</v>
      </c>
      <c r="O138" s="73">
        <v>546</v>
      </c>
      <c r="P138" s="73">
        <v>530</v>
      </c>
      <c r="Q138" s="73">
        <v>632</v>
      </c>
      <c r="R138" s="73">
        <v>509</v>
      </c>
      <c r="S138" s="73">
        <v>552</v>
      </c>
      <c r="T138" s="73">
        <v>725</v>
      </c>
      <c r="U138" s="73">
        <v>851</v>
      </c>
      <c r="V138" s="73">
        <v>261</v>
      </c>
      <c r="W138" s="73">
        <v>11713</v>
      </c>
    </row>
    <row r="139" spans="1:23" x14ac:dyDescent="0.3">
      <c r="A139" s="83"/>
      <c r="B139" s="83"/>
      <c r="C139" s="83"/>
      <c r="D139" s="83" t="s">
        <v>176</v>
      </c>
      <c r="E139" s="83"/>
      <c r="F139" s="73">
        <v>95</v>
      </c>
      <c r="G139" s="73">
        <v>11</v>
      </c>
      <c r="H139" s="73">
        <v>38</v>
      </c>
      <c r="I139" s="73">
        <v>36</v>
      </c>
      <c r="J139" s="73">
        <v>28</v>
      </c>
      <c r="K139" s="73">
        <v>15</v>
      </c>
      <c r="L139" s="73">
        <v>2</v>
      </c>
      <c r="M139" s="73">
        <v>1</v>
      </c>
      <c r="N139" s="73">
        <v>155</v>
      </c>
      <c r="O139" s="73">
        <v>15</v>
      </c>
      <c r="P139" s="73">
        <v>7</v>
      </c>
      <c r="Q139" s="73">
        <v>14</v>
      </c>
      <c r="R139" s="73">
        <v>13</v>
      </c>
      <c r="S139" s="73">
        <v>16</v>
      </c>
      <c r="T139" s="73">
        <v>14</v>
      </c>
      <c r="U139" s="73">
        <v>27</v>
      </c>
      <c r="V139" s="73">
        <v>9</v>
      </c>
      <c r="W139" s="73">
        <v>496</v>
      </c>
    </row>
    <row r="140" spans="1:23" x14ac:dyDescent="0.3">
      <c r="A140" s="83"/>
      <c r="B140" s="83"/>
      <c r="C140" s="83"/>
      <c r="D140" s="83" t="s">
        <v>177</v>
      </c>
      <c r="E140" s="83"/>
      <c r="F140" s="73">
        <v>0</v>
      </c>
      <c r="G140" s="73">
        <v>0</v>
      </c>
      <c r="H140" s="73">
        <v>0</v>
      </c>
      <c r="I140" s="73">
        <v>0</v>
      </c>
      <c r="J140" s="73">
        <v>0</v>
      </c>
      <c r="K140" s="73">
        <v>0</v>
      </c>
      <c r="L140" s="73">
        <v>0</v>
      </c>
      <c r="M140" s="73">
        <v>0</v>
      </c>
      <c r="N140" s="73">
        <v>0</v>
      </c>
      <c r="O140" s="73">
        <v>0</v>
      </c>
      <c r="P140" s="73">
        <v>0</v>
      </c>
      <c r="Q140" s="73">
        <v>0</v>
      </c>
      <c r="R140" s="73">
        <v>0</v>
      </c>
      <c r="S140" s="73">
        <v>1</v>
      </c>
      <c r="T140" s="73">
        <v>0</v>
      </c>
      <c r="U140" s="73">
        <v>0</v>
      </c>
      <c r="V140" s="73">
        <v>0</v>
      </c>
      <c r="W140" s="73">
        <v>1</v>
      </c>
    </row>
    <row r="141" spans="1:23" x14ac:dyDescent="0.3">
      <c r="A141" s="83"/>
      <c r="B141" s="83"/>
      <c r="C141" s="83"/>
      <c r="D141" s="83" t="s">
        <v>178</v>
      </c>
      <c r="E141" s="83"/>
      <c r="F141" s="73">
        <v>0</v>
      </c>
      <c r="G141" s="73">
        <v>0</v>
      </c>
      <c r="H141" s="73">
        <v>0</v>
      </c>
      <c r="I141" s="73">
        <v>0</v>
      </c>
      <c r="J141" s="73">
        <v>0</v>
      </c>
      <c r="K141" s="73">
        <v>0</v>
      </c>
      <c r="L141" s="73">
        <v>0</v>
      </c>
      <c r="M141" s="73">
        <v>0</v>
      </c>
      <c r="N141" s="73">
        <v>5</v>
      </c>
      <c r="O141" s="73">
        <v>0</v>
      </c>
      <c r="P141" s="73">
        <v>0</v>
      </c>
      <c r="Q141" s="73">
        <v>0</v>
      </c>
      <c r="R141" s="73">
        <v>0</v>
      </c>
      <c r="S141" s="73">
        <v>0</v>
      </c>
      <c r="T141" s="73">
        <v>0</v>
      </c>
      <c r="U141" s="73">
        <v>1</v>
      </c>
      <c r="V141" s="73">
        <v>0</v>
      </c>
      <c r="W141" s="73">
        <v>6</v>
      </c>
    </row>
    <row r="142" spans="1:23" x14ac:dyDescent="0.3">
      <c r="A142" s="83"/>
      <c r="B142" s="83"/>
      <c r="C142" s="83"/>
      <c r="D142" s="83" t="s">
        <v>179</v>
      </c>
      <c r="E142" s="83"/>
      <c r="F142" s="73">
        <v>2126</v>
      </c>
      <c r="G142" s="73">
        <v>367</v>
      </c>
      <c r="H142" s="73">
        <v>540</v>
      </c>
      <c r="I142" s="73">
        <v>624</v>
      </c>
      <c r="J142" s="73">
        <v>297</v>
      </c>
      <c r="K142" s="73">
        <v>374</v>
      </c>
      <c r="L142" s="73">
        <v>180</v>
      </c>
      <c r="M142" s="73">
        <v>10</v>
      </c>
      <c r="N142" s="73">
        <v>2237</v>
      </c>
      <c r="O142" s="73">
        <v>292</v>
      </c>
      <c r="P142" s="73">
        <v>263</v>
      </c>
      <c r="Q142" s="73">
        <v>292</v>
      </c>
      <c r="R142" s="73">
        <v>286</v>
      </c>
      <c r="S142" s="73">
        <v>290</v>
      </c>
      <c r="T142" s="73">
        <v>390</v>
      </c>
      <c r="U142" s="73">
        <v>466</v>
      </c>
      <c r="V142" s="73">
        <v>102</v>
      </c>
      <c r="W142" s="73">
        <v>9136</v>
      </c>
    </row>
  </sheetData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DB620-F716-4BC2-A3AD-8ADBF74B1AF7}">
  <dimension ref="A1:W142"/>
  <sheetViews>
    <sheetView tabSelected="1" topLeftCell="A28" workbookViewId="0">
      <selection activeCell="A3" sqref="A3"/>
    </sheetView>
  </sheetViews>
  <sheetFormatPr defaultColWidth="9" defaultRowHeight="13.5" x14ac:dyDescent="0.3"/>
  <cols>
    <col min="1" max="4" width="1.375" style="19" customWidth="1"/>
    <col min="5" max="5" width="24.25" style="19" bestFit="1" customWidth="1"/>
    <col min="6" max="9" width="10.75" style="19" bestFit="1" customWidth="1"/>
    <col min="10" max="12" width="9.375" style="19" bestFit="1" customWidth="1"/>
    <col min="13" max="13" width="10.25" style="19" bestFit="1" customWidth="1"/>
    <col min="14" max="14" width="10.75" style="19" bestFit="1" customWidth="1"/>
    <col min="15" max="16" width="9.375" style="19" bestFit="1" customWidth="1"/>
    <col min="17" max="17" width="10.75" style="19" bestFit="1" customWidth="1"/>
    <col min="18" max="18" width="9.375" style="19" bestFit="1" customWidth="1"/>
    <col min="19" max="21" width="10.75" style="19" bestFit="1" customWidth="1"/>
    <col min="22" max="22" width="9.375" style="19" bestFit="1" customWidth="1"/>
    <col min="23" max="23" width="11.75" style="19" bestFit="1" customWidth="1"/>
    <col min="24" max="16384" width="9" style="19"/>
  </cols>
  <sheetData>
    <row r="1" spans="1:23" x14ac:dyDescent="0.3">
      <c r="A1" s="18" t="s">
        <v>183</v>
      </c>
    </row>
    <row r="2" spans="1:23" x14ac:dyDescent="0.15">
      <c r="A2" s="27" t="s">
        <v>598</v>
      </c>
      <c r="B2" s="20"/>
    </row>
    <row r="3" spans="1:23" x14ac:dyDescent="0.3">
      <c r="A3" s="21"/>
      <c r="B3" s="21"/>
      <c r="C3" s="21"/>
      <c r="D3" s="21"/>
      <c r="E3" s="21" t="s">
        <v>22</v>
      </c>
      <c r="F3" s="22" t="s">
        <v>23</v>
      </c>
      <c r="G3" s="22" t="s">
        <v>24</v>
      </c>
      <c r="H3" s="22" t="s">
        <v>25</v>
      </c>
      <c r="I3" s="22" t="s">
        <v>26</v>
      </c>
      <c r="J3" s="22" t="s">
        <v>27</v>
      </c>
      <c r="K3" s="22" t="s">
        <v>28</v>
      </c>
      <c r="L3" s="22" t="s">
        <v>29</v>
      </c>
      <c r="M3" s="22" t="s">
        <v>30</v>
      </c>
      <c r="N3" s="22" t="s">
        <v>31</v>
      </c>
      <c r="O3" s="22" t="s">
        <v>32</v>
      </c>
      <c r="P3" s="22" t="s">
        <v>33</v>
      </c>
      <c r="Q3" s="22" t="s">
        <v>34</v>
      </c>
      <c r="R3" s="22" t="s">
        <v>35</v>
      </c>
      <c r="S3" s="22" t="s">
        <v>36</v>
      </c>
      <c r="T3" s="22" t="s">
        <v>37</v>
      </c>
      <c r="U3" s="22" t="s">
        <v>38</v>
      </c>
      <c r="V3" s="22" t="s">
        <v>39</v>
      </c>
      <c r="W3" s="23" t="s">
        <v>40</v>
      </c>
    </row>
    <row r="4" spans="1:23" x14ac:dyDescent="0.3">
      <c r="A4" s="24" t="s">
        <v>41</v>
      </c>
      <c r="B4" s="24"/>
      <c r="C4" s="24"/>
      <c r="D4" s="24"/>
      <c r="E4" s="24"/>
      <c r="F4" s="73">
        <v>2940892</v>
      </c>
      <c r="G4" s="73">
        <v>1291017</v>
      </c>
      <c r="H4" s="73">
        <v>1164674</v>
      </c>
      <c r="I4" s="73">
        <v>1314692</v>
      </c>
      <c r="J4" s="73">
        <v>657323</v>
      </c>
      <c r="K4" s="73">
        <v>655077</v>
      </c>
      <c r="L4" s="73">
        <v>552178</v>
      </c>
      <c r="M4" s="73">
        <v>171127</v>
      </c>
      <c r="N4" s="73">
        <v>5754125</v>
      </c>
      <c r="O4" s="73">
        <v>777815</v>
      </c>
      <c r="P4" s="73">
        <v>825569</v>
      </c>
      <c r="Q4" s="73">
        <v>1104402</v>
      </c>
      <c r="R4" s="73">
        <v>903221</v>
      </c>
      <c r="S4" s="73">
        <v>944149</v>
      </c>
      <c r="T4" s="73">
        <v>1419411</v>
      </c>
      <c r="U4" s="73">
        <v>1664094</v>
      </c>
      <c r="V4" s="73">
        <v>381920</v>
      </c>
      <c r="W4" s="73">
        <v>22521686</v>
      </c>
    </row>
    <row r="5" spans="1:23" x14ac:dyDescent="0.3">
      <c r="A5" s="24"/>
      <c r="B5" s="24" t="s">
        <v>42</v>
      </c>
      <c r="C5" s="24"/>
      <c r="D5" s="24"/>
      <c r="E5" s="24"/>
      <c r="F5" s="73">
        <v>2582001</v>
      </c>
      <c r="G5" s="73">
        <v>1103130</v>
      </c>
      <c r="H5" s="73">
        <v>1000105</v>
      </c>
      <c r="I5" s="73">
        <v>1115094</v>
      </c>
      <c r="J5" s="73">
        <v>561016</v>
      </c>
      <c r="K5" s="73">
        <v>562220</v>
      </c>
      <c r="L5" s="73">
        <v>478098</v>
      </c>
      <c r="M5" s="73">
        <v>152377</v>
      </c>
      <c r="N5" s="73">
        <v>4887915</v>
      </c>
      <c r="O5" s="73">
        <v>603797</v>
      </c>
      <c r="P5" s="73">
        <v>656498</v>
      </c>
      <c r="Q5" s="73">
        <v>863739</v>
      </c>
      <c r="R5" s="73">
        <v>704687</v>
      </c>
      <c r="S5" s="73">
        <v>688393</v>
      </c>
      <c r="T5" s="73">
        <v>1082408</v>
      </c>
      <c r="U5" s="73">
        <v>1351899</v>
      </c>
      <c r="V5" s="73">
        <v>293193</v>
      </c>
      <c r="W5" s="73">
        <v>18686570</v>
      </c>
    </row>
    <row r="6" spans="1:23" x14ac:dyDescent="0.3">
      <c r="A6" s="24"/>
      <c r="B6" s="24"/>
      <c r="C6" s="24" t="s">
        <v>43</v>
      </c>
      <c r="D6" s="24"/>
      <c r="E6" s="24"/>
      <c r="F6" s="73">
        <v>1826340</v>
      </c>
      <c r="G6" s="73">
        <v>779132</v>
      </c>
      <c r="H6" s="73">
        <v>709375</v>
      </c>
      <c r="I6" s="73">
        <v>749613</v>
      </c>
      <c r="J6" s="73">
        <v>385685</v>
      </c>
      <c r="K6" s="73">
        <v>397052</v>
      </c>
      <c r="L6" s="73">
        <v>318995</v>
      </c>
      <c r="M6" s="73">
        <v>106151</v>
      </c>
      <c r="N6" s="73">
        <v>3303367</v>
      </c>
      <c r="O6" s="73">
        <v>392716</v>
      </c>
      <c r="P6" s="73">
        <v>442416</v>
      </c>
      <c r="Q6" s="73">
        <v>577958</v>
      </c>
      <c r="R6" s="73">
        <v>471130</v>
      </c>
      <c r="S6" s="73">
        <v>453680</v>
      </c>
      <c r="T6" s="73">
        <v>747723</v>
      </c>
      <c r="U6" s="73">
        <v>951289</v>
      </c>
      <c r="V6" s="73">
        <v>192507</v>
      </c>
      <c r="W6" s="73">
        <v>12805129</v>
      </c>
    </row>
    <row r="7" spans="1:23" x14ac:dyDescent="0.3">
      <c r="A7" s="24"/>
      <c r="B7" s="24"/>
      <c r="C7" s="24"/>
      <c r="D7" s="24" t="s">
        <v>44</v>
      </c>
      <c r="E7" s="24"/>
      <c r="F7" s="73">
        <v>1413761</v>
      </c>
      <c r="G7" s="73">
        <v>625934</v>
      </c>
      <c r="H7" s="73">
        <v>577436</v>
      </c>
      <c r="I7" s="73">
        <v>598520</v>
      </c>
      <c r="J7" s="73">
        <v>334041</v>
      </c>
      <c r="K7" s="73">
        <v>350779</v>
      </c>
      <c r="L7" s="73">
        <v>293985</v>
      </c>
      <c r="M7" s="73">
        <v>91511</v>
      </c>
      <c r="N7" s="73">
        <v>2803322</v>
      </c>
      <c r="O7" s="73">
        <v>356130</v>
      </c>
      <c r="P7" s="73">
        <v>400078</v>
      </c>
      <c r="Q7" s="73">
        <v>523939</v>
      </c>
      <c r="R7" s="73">
        <v>418279</v>
      </c>
      <c r="S7" s="73">
        <v>410694</v>
      </c>
      <c r="T7" s="73">
        <v>687480</v>
      </c>
      <c r="U7" s="73">
        <v>844338</v>
      </c>
      <c r="V7" s="73">
        <v>173297</v>
      </c>
      <c r="W7" s="73">
        <v>10903524</v>
      </c>
    </row>
    <row r="8" spans="1:23" x14ac:dyDescent="0.3">
      <c r="A8" s="24"/>
      <c r="B8" s="24"/>
      <c r="C8" s="24"/>
      <c r="D8" s="24"/>
      <c r="E8" s="24" t="s">
        <v>45</v>
      </c>
      <c r="F8" s="73">
        <v>12484</v>
      </c>
      <c r="G8" s="73">
        <v>7235</v>
      </c>
      <c r="H8" s="73">
        <v>7579</v>
      </c>
      <c r="I8" s="73">
        <v>8388</v>
      </c>
      <c r="J8" s="73">
        <v>2769</v>
      </c>
      <c r="K8" s="73">
        <v>4685</v>
      </c>
      <c r="L8" s="73">
        <v>3903</v>
      </c>
      <c r="M8" s="73">
        <v>829</v>
      </c>
      <c r="N8" s="73">
        <v>30868</v>
      </c>
      <c r="O8" s="73">
        <v>6880</v>
      </c>
      <c r="P8" s="73">
        <v>5716</v>
      </c>
      <c r="Q8" s="73">
        <v>7265</v>
      </c>
      <c r="R8" s="73">
        <v>5576</v>
      </c>
      <c r="S8" s="73">
        <v>6061</v>
      </c>
      <c r="T8" s="73">
        <v>13889</v>
      </c>
      <c r="U8" s="73">
        <v>17979</v>
      </c>
      <c r="V8" s="73">
        <v>3715</v>
      </c>
      <c r="W8" s="73">
        <v>145821</v>
      </c>
    </row>
    <row r="9" spans="1:23" x14ac:dyDescent="0.3">
      <c r="A9" s="24"/>
      <c r="B9" s="24"/>
      <c r="C9" s="24"/>
      <c r="D9" s="24"/>
      <c r="E9" s="24" t="s">
        <v>46</v>
      </c>
      <c r="F9" s="73">
        <v>153677</v>
      </c>
      <c r="G9" s="73">
        <v>87524</v>
      </c>
      <c r="H9" s="73">
        <v>76905</v>
      </c>
      <c r="I9" s="73">
        <v>109011</v>
      </c>
      <c r="J9" s="73">
        <v>37689</v>
      </c>
      <c r="K9" s="73">
        <v>53875</v>
      </c>
      <c r="L9" s="73">
        <v>51413</v>
      </c>
      <c r="M9" s="73">
        <v>15896</v>
      </c>
      <c r="N9" s="73">
        <v>467978</v>
      </c>
      <c r="O9" s="73">
        <v>77285</v>
      </c>
      <c r="P9" s="73">
        <v>69443</v>
      </c>
      <c r="Q9" s="73">
        <v>87706</v>
      </c>
      <c r="R9" s="73">
        <v>55155</v>
      </c>
      <c r="S9" s="73">
        <v>57069</v>
      </c>
      <c r="T9" s="73">
        <v>117333</v>
      </c>
      <c r="U9" s="73">
        <v>157911</v>
      </c>
      <c r="V9" s="73">
        <v>33434</v>
      </c>
      <c r="W9" s="73">
        <v>1709304</v>
      </c>
    </row>
    <row r="10" spans="1:23" x14ac:dyDescent="0.3">
      <c r="A10" s="24"/>
      <c r="B10" s="24"/>
      <c r="C10" s="24"/>
      <c r="D10" s="24"/>
      <c r="E10" s="24" t="s">
        <v>47</v>
      </c>
      <c r="F10" s="73">
        <v>96993</v>
      </c>
      <c r="G10" s="73">
        <v>38731</v>
      </c>
      <c r="H10" s="73">
        <v>35430</v>
      </c>
      <c r="I10" s="73">
        <v>41696</v>
      </c>
      <c r="J10" s="73">
        <v>16809</v>
      </c>
      <c r="K10" s="73">
        <v>22403</v>
      </c>
      <c r="L10" s="73">
        <v>16971</v>
      </c>
      <c r="M10" s="73">
        <v>5199</v>
      </c>
      <c r="N10" s="73">
        <v>176585</v>
      </c>
      <c r="O10" s="73">
        <v>22728</v>
      </c>
      <c r="P10" s="73">
        <v>24655</v>
      </c>
      <c r="Q10" s="73">
        <v>32227</v>
      </c>
      <c r="R10" s="73">
        <v>26647</v>
      </c>
      <c r="S10" s="73">
        <v>25038</v>
      </c>
      <c r="T10" s="73">
        <v>44621</v>
      </c>
      <c r="U10" s="73">
        <v>53688</v>
      </c>
      <c r="V10" s="73">
        <v>13591</v>
      </c>
      <c r="W10" s="73">
        <v>694012</v>
      </c>
    </row>
    <row r="11" spans="1:23" x14ac:dyDescent="0.3">
      <c r="A11" s="24"/>
      <c r="B11" s="24"/>
      <c r="C11" s="24"/>
      <c r="D11" s="24"/>
      <c r="E11" s="24" t="s">
        <v>48</v>
      </c>
      <c r="F11" s="73">
        <v>735845</v>
      </c>
      <c r="G11" s="73">
        <v>335071</v>
      </c>
      <c r="H11" s="73">
        <v>301458</v>
      </c>
      <c r="I11" s="73">
        <v>302879</v>
      </c>
      <c r="J11" s="73">
        <v>182458</v>
      </c>
      <c r="K11" s="73">
        <v>190225</v>
      </c>
      <c r="L11" s="73">
        <v>141683</v>
      </c>
      <c r="M11" s="73">
        <v>48821</v>
      </c>
      <c r="N11" s="73">
        <v>1467239</v>
      </c>
      <c r="O11" s="73">
        <v>177386</v>
      </c>
      <c r="P11" s="73">
        <v>210457</v>
      </c>
      <c r="Q11" s="73">
        <v>271711</v>
      </c>
      <c r="R11" s="73">
        <v>227502</v>
      </c>
      <c r="S11" s="73">
        <v>212868</v>
      </c>
      <c r="T11" s="73">
        <v>342538</v>
      </c>
      <c r="U11" s="73">
        <v>419214</v>
      </c>
      <c r="V11" s="73">
        <v>84755</v>
      </c>
      <c r="W11" s="73">
        <v>5652110</v>
      </c>
    </row>
    <row r="12" spans="1:23" x14ac:dyDescent="0.3">
      <c r="A12" s="24"/>
      <c r="B12" s="24"/>
      <c r="C12" s="24"/>
      <c r="D12" s="24"/>
      <c r="E12" s="24" t="s">
        <v>49</v>
      </c>
      <c r="F12" s="73">
        <v>157854</v>
      </c>
      <c r="G12" s="73">
        <v>62941</v>
      </c>
      <c r="H12" s="73">
        <v>58376</v>
      </c>
      <c r="I12" s="73">
        <v>57292</v>
      </c>
      <c r="J12" s="73">
        <v>34739</v>
      </c>
      <c r="K12" s="73">
        <v>32688</v>
      </c>
      <c r="L12" s="73">
        <v>30769</v>
      </c>
      <c r="M12" s="73">
        <v>9988</v>
      </c>
      <c r="N12" s="73">
        <v>274500</v>
      </c>
      <c r="O12" s="73">
        <v>29750</v>
      </c>
      <c r="P12" s="73">
        <v>35826</v>
      </c>
      <c r="Q12" s="73">
        <v>48134</v>
      </c>
      <c r="R12" s="73">
        <v>39382</v>
      </c>
      <c r="S12" s="73">
        <v>38877</v>
      </c>
      <c r="T12" s="73">
        <v>60021</v>
      </c>
      <c r="U12" s="73">
        <v>75942</v>
      </c>
      <c r="V12" s="73">
        <v>11967</v>
      </c>
      <c r="W12" s="73">
        <v>1059046</v>
      </c>
    </row>
    <row r="13" spans="1:23" x14ac:dyDescent="0.3">
      <c r="A13" s="24"/>
      <c r="B13" s="24"/>
      <c r="C13" s="24"/>
      <c r="D13" s="24"/>
      <c r="E13" s="24" t="s">
        <v>50</v>
      </c>
      <c r="F13" s="73">
        <v>130596</v>
      </c>
      <c r="G13" s="73">
        <v>45379</v>
      </c>
      <c r="H13" s="73">
        <v>50089</v>
      </c>
      <c r="I13" s="73">
        <v>39296</v>
      </c>
      <c r="J13" s="73">
        <v>36670</v>
      </c>
      <c r="K13" s="73">
        <v>27716</v>
      </c>
      <c r="L13" s="73">
        <v>26990</v>
      </c>
      <c r="M13" s="73">
        <v>6434</v>
      </c>
      <c r="N13" s="73">
        <v>205145</v>
      </c>
      <c r="O13" s="73">
        <v>23843</v>
      </c>
      <c r="P13" s="73">
        <v>30516</v>
      </c>
      <c r="Q13" s="73">
        <v>42542</v>
      </c>
      <c r="R13" s="73">
        <v>37409</v>
      </c>
      <c r="S13" s="73">
        <v>41039</v>
      </c>
      <c r="T13" s="73">
        <v>60877</v>
      </c>
      <c r="U13" s="73">
        <v>63026</v>
      </c>
      <c r="V13" s="73">
        <v>8073</v>
      </c>
      <c r="W13" s="73">
        <v>875640</v>
      </c>
    </row>
    <row r="14" spans="1:23" x14ac:dyDescent="0.3">
      <c r="A14" s="24"/>
      <c r="B14" s="24"/>
      <c r="C14" s="24"/>
      <c r="D14" s="24"/>
      <c r="E14" s="24" t="s">
        <v>51</v>
      </c>
      <c r="F14" s="73">
        <v>87546</v>
      </c>
      <c r="G14" s="73">
        <v>33055</v>
      </c>
      <c r="H14" s="73">
        <v>31629</v>
      </c>
      <c r="I14" s="73">
        <v>25775</v>
      </c>
      <c r="J14" s="73">
        <v>16248</v>
      </c>
      <c r="K14" s="73">
        <v>13604</v>
      </c>
      <c r="L14" s="73">
        <v>15991</v>
      </c>
      <c r="M14" s="73">
        <v>3136</v>
      </c>
      <c r="N14" s="73">
        <v>124918</v>
      </c>
      <c r="O14" s="73">
        <v>12792</v>
      </c>
      <c r="P14" s="73">
        <v>16242</v>
      </c>
      <c r="Q14" s="73">
        <v>23505</v>
      </c>
      <c r="R14" s="73">
        <v>18093</v>
      </c>
      <c r="S14" s="73">
        <v>20807</v>
      </c>
      <c r="T14" s="73">
        <v>32874</v>
      </c>
      <c r="U14" s="73">
        <v>38844</v>
      </c>
      <c r="V14" s="73">
        <v>9070</v>
      </c>
      <c r="W14" s="73">
        <v>524129</v>
      </c>
    </row>
    <row r="15" spans="1:23" x14ac:dyDescent="0.3">
      <c r="A15" s="24"/>
      <c r="B15" s="24"/>
      <c r="C15" s="24"/>
      <c r="D15" s="24"/>
      <c r="E15" s="24" t="s">
        <v>52</v>
      </c>
      <c r="F15" s="73">
        <v>33938</v>
      </c>
      <c r="G15" s="73">
        <v>13880</v>
      </c>
      <c r="H15" s="73">
        <v>13774</v>
      </c>
      <c r="I15" s="73">
        <v>12267</v>
      </c>
      <c r="J15" s="73">
        <v>5876</v>
      </c>
      <c r="K15" s="73">
        <v>4942</v>
      </c>
      <c r="L15" s="73">
        <v>5432</v>
      </c>
      <c r="M15" s="73">
        <v>1007</v>
      </c>
      <c r="N15" s="73">
        <v>49171</v>
      </c>
      <c r="O15" s="73">
        <v>4675</v>
      </c>
      <c r="P15" s="73">
        <v>6315</v>
      </c>
      <c r="Q15" s="73">
        <v>9359</v>
      </c>
      <c r="R15" s="73">
        <v>7572</v>
      </c>
      <c r="S15" s="73">
        <v>7697</v>
      </c>
      <c r="T15" s="73">
        <v>13280</v>
      </c>
      <c r="U15" s="73">
        <v>15230</v>
      </c>
      <c r="V15" s="73">
        <v>5335</v>
      </c>
      <c r="W15" s="73">
        <v>209750</v>
      </c>
    </row>
    <row r="16" spans="1:23" x14ac:dyDescent="0.3">
      <c r="A16" s="24"/>
      <c r="B16" s="24"/>
      <c r="C16" s="24"/>
      <c r="D16" s="24"/>
      <c r="E16" s="24" t="s">
        <v>53</v>
      </c>
      <c r="F16" s="73">
        <v>459</v>
      </c>
      <c r="G16" s="73">
        <v>142</v>
      </c>
      <c r="H16" s="73">
        <v>111</v>
      </c>
      <c r="I16" s="73">
        <v>135</v>
      </c>
      <c r="J16" s="73">
        <v>61</v>
      </c>
      <c r="K16" s="73">
        <v>87</v>
      </c>
      <c r="L16" s="73">
        <v>67</v>
      </c>
      <c r="M16" s="73">
        <v>14</v>
      </c>
      <c r="N16" s="73">
        <v>665</v>
      </c>
      <c r="O16" s="73">
        <v>95</v>
      </c>
      <c r="P16" s="73">
        <v>108</v>
      </c>
      <c r="Q16" s="73">
        <v>155</v>
      </c>
      <c r="R16" s="73">
        <v>136</v>
      </c>
      <c r="S16" s="73">
        <v>116</v>
      </c>
      <c r="T16" s="73">
        <v>187</v>
      </c>
      <c r="U16" s="73">
        <v>193</v>
      </c>
      <c r="V16" s="73">
        <v>58</v>
      </c>
      <c r="W16" s="73">
        <v>2789</v>
      </c>
    </row>
    <row r="17" spans="1:23" x14ac:dyDescent="0.3">
      <c r="A17" s="24"/>
      <c r="B17" s="24"/>
      <c r="C17" s="24"/>
      <c r="D17" s="24"/>
      <c r="E17" s="24" t="s">
        <v>54</v>
      </c>
      <c r="F17" s="73">
        <v>1121</v>
      </c>
      <c r="G17" s="73">
        <v>434</v>
      </c>
      <c r="H17" s="73">
        <v>479</v>
      </c>
      <c r="I17" s="73">
        <v>357</v>
      </c>
      <c r="J17" s="73">
        <v>188</v>
      </c>
      <c r="K17" s="73">
        <v>139</v>
      </c>
      <c r="L17" s="73">
        <v>193</v>
      </c>
      <c r="M17" s="73">
        <v>28</v>
      </c>
      <c r="N17" s="73">
        <v>1630</v>
      </c>
      <c r="O17" s="73">
        <v>167</v>
      </c>
      <c r="P17" s="73">
        <v>208</v>
      </c>
      <c r="Q17" s="73">
        <v>338</v>
      </c>
      <c r="R17" s="73">
        <v>227</v>
      </c>
      <c r="S17" s="73">
        <v>281</v>
      </c>
      <c r="T17" s="73">
        <v>527</v>
      </c>
      <c r="U17" s="73">
        <v>611</v>
      </c>
      <c r="V17" s="73">
        <v>68</v>
      </c>
      <c r="W17" s="73">
        <v>6996</v>
      </c>
    </row>
    <row r="18" spans="1:23" x14ac:dyDescent="0.3">
      <c r="A18" s="24"/>
      <c r="B18" s="24"/>
      <c r="C18" s="24"/>
      <c r="D18" s="24"/>
      <c r="E18" s="24" t="s">
        <v>55</v>
      </c>
      <c r="F18" s="73">
        <v>2820</v>
      </c>
      <c r="G18" s="73">
        <v>1266</v>
      </c>
      <c r="H18" s="73">
        <v>1209</v>
      </c>
      <c r="I18" s="73">
        <v>1260</v>
      </c>
      <c r="J18" s="73">
        <v>336</v>
      </c>
      <c r="K18" s="73">
        <v>262</v>
      </c>
      <c r="L18" s="73">
        <v>496</v>
      </c>
      <c r="M18" s="73">
        <v>74</v>
      </c>
      <c r="N18" s="73">
        <v>3697</v>
      </c>
      <c r="O18" s="73">
        <v>292</v>
      </c>
      <c r="P18" s="73">
        <v>403</v>
      </c>
      <c r="Q18" s="73">
        <v>654</v>
      </c>
      <c r="R18" s="73">
        <v>442</v>
      </c>
      <c r="S18" s="73">
        <v>443</v>
      </c>
      <c r="T18" s="73">
        <v>1014</v>
      </c>
      <c r="U18" s="73">
        <v>1324</v>
      </c>
      <c r="V18" s="73">
        <v>756</v>
      </c>
      <c r="W18" s="73">
        <v>16748</v>
      </c>
    </row>
    <row r="19" spans="1:23" x14ac:dyDescent="0.3">
      <c r="A19" s="24"/>
      <c r="B19" s="24"/>
      <c r="C19" s="24"/>
      <c r="D19" s="24"/>
      <c r="E19" s="24" t="s">
        <v>56</v>
      </c>
      <c r="F19" s="73">
        <v>3</v>
      </c>
      <c r="G19" s="73">
        <v>0</v>
      </c>
      <c r="H19" s="73">
        <v>0</v>
      </c>
      <c r="I19" s="73">
        <v>4</v>
      </c>
      <c r="J19" s="73">
        <v>1</v>
      </c>
      <c r="K19" s="73">
        <v>0</v>
      </c>
      <c r="L19" s="73">
        <v>0</v>
      </c>
      <c r="M19" s="73">
        <v>0</v>
      </c>
      <c r="N19" s="73">
        <v>4</v>
      </c>
      <c r="O19" s="73">
        <v>0</v>
      </c>
      <c r="P19" s="73">
        <v>2</v>
      </c>
      <c r="Q19" s="73">
        <v>3</v>
      </c>
      <c r="R19" s="73">
        <v>0</v>
      </c>
      <c r="S19" s="73">
        <v>1</v>
      </c>
      <c r="T19" s="73">
        <v>5</v>
      </c>
      <c r="U19" s="73">
        <v>2</v>
      </c>
      <c r="V19" s="73">
        <v>0</v>
      </c>
      <c r="W19" s="73">
        <v>25</v>
      </c>
    </row>
    <row r="20" spans="1:23" x14ac:dyDescent="0.3">
      <c r="A20" s="24"/>
      <c r="B20" s="24"/>
      <c r="C20" s="24"/>
      <c r="D20" s="24"/>
      <c r="E20" s="24" t="s">
        <v>57</v>
      </c>
      <c r="F20" s="73">
        <v>425</v>
      </c>
      <c r="G20" s="73">
        <v>276</v>
      </c>
      <c r="H20" s="73">
        <v>397</v>
      </c>
      <c r="I20" s="73">
        <v>160</v>
      </c>
      <c r="J20" s="73">
        <v>197</v>
      </c>
      <c r="K20" s="73">
        <v>153</v>
      </c>
      <c r="L20" s="73">
        <v>77</v>
      </c>
      <c r="M20" s="73">
        <v>85</v>
      </c>
      <c r="N20" s="73">
        <v>922</v>
      </c>
      <c r="O20" s="73">
        <v>237</v>
      </c>
      <c r="P20" s="73">
        <v>187</v>
      </c>
      <c r="Q20" s="73">
        <v>340</v>
      </c>
      <c r="R20" s="73">
        <v>138</v>
      </c>
      <c r="S20" s="73">
        <v>397</v>
      </c>
      <c r="T20" s="73">
        <v>314</v>
      </c>
      <c r="U20" s="73">
        <v>374</v>
      </c>
      <c r="V20" s="73">
        <v>2475</v>
      </c>
      <c r="W20" s="73">
        <v>7154</v>
      </c>
    </row>
    <row r="21" spans="1:23" x14ac:dyDescent="0.3">
      <c r="A21" s="24"/>
      <c r="B21" s="24"/>
      <c r="C21" s="24"/>
      <c r="D21" s="24" t="s">
        <v>58</v>
      </c>
      <c r="E21" s="24"/>
      <c r="F21" s="73">
        <v>412579</v>
      </c>
      <c r="G21" s="73">
        <v>153198</v>
      </c>
      <c r="H21" s="73">
        <v>131939</v>
      </c>
      <c r="I21" s="73">
        <v>151093</v>
      </c>
      <c r="J21" s="73">
        <v>51644</v>
      </c>
      <c r="K21" s="73">
        <v>46273</v>
      </c>
      <c r="L21" s="73">
        <v>25010</v>
      </c>
      <c r="M21" s="73">
        <v>14640</v>
      </c>
      <c r="N21" s="73">
        <v>500045</v>
      </c>
      <c r="O21" s="73">
        <v>36586</v>
      </c>
      <c r="P21" s="73">
        <v>42338</v>
      </c>
      <c r="Q21" s="73">
        <v>54019</v>
      </c>
      <c r="R21" s="73">
        <v>52851</v>
      </c>
      <c r="S21" s="73">
        <v>42986</v>
      </c>
      <c r="T21" s="73">
        <v>60243</v>
      </c>
      <c r="U21" s="73">
        <v>106951</v>
      </c>
      <c r="V21" s="73">
        <v>19210</v>
      </c>
      <c r="W21" s="73">
        <v>1901605</v>
      </c>
    </row>
    <row r="22" spans="1:23" x14ac:dyDescent="0.3">
      <c r="A22" s="24"/>
      <c r="B22" s="24"/>
      <c r="C22" s="24"/>
      <c r="D22" s="24"/>
      <c r="E22" s="24" t="s">
        <v>59</v>
      </c>
      <c r="F22" s="73">
        <v>658</v>
      </c>
      <c r="G22" s="73">
        <v>122</v>
      </c>
      <c r="H22" s="73">
        <v>61</v>
      </c>
      <c r="I22" s="73">
        <v>149</v>
      </c>
      <c r="J22" s="73">
        <v>34</v>
      </c>
      <c r="K22" s="73">
        <v>52</v>
      </c>
      <c r="L22" s="73">
        <v>29</v>
      </c>
      <c r="M22" s="73">
        <v>23</v>
      </c>
      <c r="N22" s="73">
        <v>925</v>
      </c>
      <c r="O22" s="73">
        <v>49</v>
      </c>
      <c r="P22" s="73">
        <v>32</v>
      </c>
      <c r="Q22" s="73">
        <v>77</v>
      </c>
      <c r="R22" s="73">
        <v>41</v>
      </c>
      <c r="S22" s="73">
        <v>25</v>
      </c>
      <c r="T22" s="73">
        <v>55</v>
      </c>
      <c r="U22" s="73">
        <v>92</v>
      </c>
      <c r="V22" s="73">
        <v>45</v>
      </c>
      <c r="W22" s="73">
        <v>2469</v>
      </c>
    </row>
    <row r="23" spans="1:23" x14ac:dyDescent="0.3">
      <c r="A23" s="24"/>
      <c r="B23" s="24"/>
      <c r="C23" s="24"/>
      <c r="D23" s="24"/>
      <c r="E23" s="24" t="s">
        <v>60</v>
      </c>
      <c r="F23" s="73">
        <v>582</v>
      </c>
      <c r="G23" s="73">
        <v>76</v>
      </c>
      <c r="H23" s="73">
        <v>92</v>
      </c>
      <c r="I23" s="73">
        <v>108</v>
      </c>
      <c r="J23" s="73">
        <v>42</v>
      </c>
      <c r="K23" s="73">
        <v>44</v>
      </c>
      <c r="L23" s="73">
        <v>41</v>
      </c>
      <c r="M23" s="73">
        <v>13</v>
      </c>
      <c r="N23" s="73">
        <v>633</v>
      </c>
      <c r="O23" s="73">
        <v>51</v>
      </c>
      <c r="P23" s="73">
        <v>41</v>
      </c>
      <c r="Q23" s="73">
        <v>52</v>
      </c>
      <c r="R23" s="73">
        <v>26</v>
      </c>
      <c r="S23" s="73">
        <v>16</v>
      </c>
      <c r="T23" s="73">
        <v>55</v>
      </c>
      <c r="U23" s="73">
        <v>56</v>
      </c>
      <c r="V23" s="73">
        <v>35</v>
      </c>
      <c r="W23" s="73">
        <v>1963</v>
      </c>
    </row>
    <row r="24" spans="1:23" x14ac:dyDescent="0.3">
      <c r="A24" s="24"/>
      <c r="B24" s="24"/>
      <c r="C24" s="24"/>
      <c r="D24" s="24"/>
      <c r="E24" s="24" t="s">
        <v>61</v>
      </c>
      <c r="F24" s="73">
        <v>21496</v>
      </c>
      <c r="G24" s="73">
        <v>8809</v>
      </c>
      <c r="H24" s="73">
        <v>7544</v>
      </c>
      <c r="I24" s="73">
        <v>10761</v>
      </c>
      <c r="J24" s="73">
        <v>3791</v>
      </c>
      <c r="K24" s="73">
        <v>4087</v>
      </c>
      <c r="L24" s="73">
        <v>2442</v>
      </c>
      <c r="M24" s="73">
        <v>1627</v>
      </c>
      <c r="N24" s="73">
        <v>42591</v>
      </c>
      <c r="O24" s="73">
        <v>4883</v>
      </c>
      <c r="P24" s="73">
        <v>4591</v>
      </c>
      <c r="Q24" s="73">
        <v>6118</v>
      </c>
      <c r="R24" s="73">
        <v>4084</v>
      </c>
      <c r="S24" s="73">
        <v>4031</v>
      </c>
      <c r="T24" s="73">
        <v>6804</v>
      </c>
      <c r="U24" s="73">
        <v>9798</v>
      </c>
      <c r="V24" s="73">
        <v>2280</v>
      </c>
      <c r="W24" s="73">
        <v>145737</v>
      </c>
    </row>
    <row r="25" spans="1:23" x14ac:dyDescent="0.3">
      <c r="A25" s="24"/>
      <c r="B25" s="24"/>
      <c r="C25" s="24"/>
      <c r="D25" s="24"/>
      <c r="E25" s="24" t="s">
        <v>62</v>
      </c>
      <c r="F25" s="73">
        <v>202104</v>
      </c>
      <c r="G25" s="73">
        <v>77491</v>
      </c>
      <c r="H25" s="73">
        <v>65587</v>
      </c>
      <c r="I25" s="73">
        <v>86582</v>
      </c>
      <c r="J25" s="73">
        <v>25045</v>
      </c>
      <c r="K25" s="73">
        <v>23437</v>
      </c>
      <c r="L25" s="73">
        <v>12123</v>
      </c>
      <c r="M25" s="73">
        <v>7880</v>
      </c>
      <c r="N25" s="73">
        <v>250974</v>
      </c>
      <c r="O25" s="73">
        <v>17277</v>
      </c>
      <c r="P25" s="73">
        <v>20548</v>
      </c>
      <c r="Q25" s="73">
        <v>25311</v>
      </c>
      <c r="R25" s="73">
        <v>26153</v>
      </c>
      <c r="S25" s="73">
        <v>19545</v>
      </c>
      <c r="T25" s="73">
        <v>26453</v>
      </c>
      <c r="U25" s="73">
        <v>50661</v>
      </c>
      <c r="V25" s="73">
        <v>7996</v>
      </c>
      <c r="W25" s="73">
        <v>945167</v>
      </c>
    </row>
    <row r="26" spans="1:23" x14ac:dyDescent="0.3">
      <c r="A26" s="24"/>
      <c r="B26" s="24"/>
      <c r="C26" s="24"/>
      <c r="D26" s="24"/>
      <c r="E26" s="24" t="s">
        <v>63</v>
      </c>
      <c r="F26" s="73">
        <v>64432</v>
      </c>
      <c r="G26" s="73">
        <v>20213</v>
      </c>
      <c r="H26" s="73">
        <v>18279</v>
      </c>
      <c r="I26" s="73">
        <v>14866</v>
      </c>
      <c r="J26" s="73">
        <v>8439</v>
      </c>
      <c r="K26" s="73">
        <v>6985</v>
      </c>
      <c r="L26" s="73">
        <v>3659</v>
      </c>
      <c r="M26" s="73">
        <v>2488</v>
      </c>
      <c r="N26" s="73">
        <v>78781</v>
      </c>
      <c r="O26" s="73">
        <v>5278</v>
      </c>
      <c r="P26" s="73">
        <v>5843</v>
      </c>
      <c r="Q26" s="73">
        <v>7301</v>
      </c>
      <c r="R26" s="73">
        <v>7714</v>
      </c>
      <c r="S26" s="73">
        <v>6449</v>
      </c>
      <c r="T26" s="73">
        <v>10088</v>
      </c>
      <c r="U26" s="73">
        <v>14390</v>
      </c>
      <c r="V26" s="73">
        <v>1972</v>
      </c>
      <c r="W26" s="73">
        <v>277177</v>
      </c>
    </row>
    <row r="27" spans="1:23" x14ac:dyDescent="0.3">
      <c r="A27" s="24"/>
      <c r="B27" s="24"/>
      <c r="C27" s="24"/>
      <c r="D27" s="24"/>
      <c r="E27" s="24" t="s">
        <v>64</v>
      </c>
      <c r="F27" s="73">
        <v>52230</v>
      </c>
      <c r="G27" s="73">
        <v>24878</v>
      </c>
      <c r="H27" s="73">
        <v>22449</v>
      </c>
      <c r="I27" s="73">
        <v>22316</v>
      </c>
      <c r="J27" s="73">
        <v>7133</v>
      </c>
      <c r="K27" s="73">
        <v>5331</v>
      </c>
      <c r="L27" s="73">
        <v>2962</v>
      </c>
      <c r="M27" s="73">
        <v>1152</v>
      </c>
      <c r="N27" s="73">
        <v>55374</v>
      </c>
      <c r="O27" s="73">
        <v>3998</v>
      </c>
      <c r="P27" s="73">
        <v>5383</v>
      </c>
      <c r="Q27" s="73">
        <v>6668</v>
      </c>
      <c r="R27" s="73">
        <v>7442</v>
      </c>
      <c r="S27" s="73">
        <v>6091</v>
      </c>
      <c r="T27" s="73">
        <v>7395</v>
      </c>
      <c r="U27" s="73">
        <v>16118</v>
      </c>
      <c r="V27" s="73">
        <v>2363</v>
      </c>
      <c r="W27" s="73">
        <v>249283</v>
      </c>
    </row>
    <row r="28" spans="1:23" x14ac:dyDescent="0.3">
      <c r="A28" s="24"/>
      <c r="B28" s="24"/>
      <c r="C28" s="24"/>
      <c r="D28" s="24"/>
      <c r="E28" s="24" t="s">
        <v>65</v>
      </c>
      <c r="F28" s="73">
        <v>36744</v>
      </c>
      <c r="G28" s="73">
        <v>9241</v>
      </c>
      <c r="H28" s="73">
        <v>7315</v>
      </c>
      <c r="I28" s="73">
        <v>5535</v>
      </c>
      <c r="J28" s="73">
        <v>3493</v>
      </c>
      <c r="K28" s="73">
        <v>2902</v>
      </c>
      <c r="L28" s="73">
        <v>1730</v>
      </c>
      <c r="M28" s="73">
        <v>675</v>
      </c>
      <c r="N28" s="73">
        <v>34341</v>
      </c>
      <c r="O28" s="73">
        <v>2171</v>
      </c>
      <c r="P28" s="73">
        <v>2528</v>
      </c>
      <c r="Q28" s="73">
        <v>3640</v>
      </c>
      <c r="R28" s="73">
        <v>3183</v>
      </c>
      <c r="S28" s="73">
        <v>2897</v>
      </c>
      <c r="T28" s="73">
        <v>4337</v>
      </c>
      <c r="U28" s="73">
        <v>6169</v>
      </c>
      <c r="V28" s="73">
        <v>1095</v>
      </c>
      <c r="W28" s="73">
        <v>127996</v>
      </c>
    </row>
    <row r="29" spans="1:23" x14ac:dyDescent="0.3">
      <c r="A29" s="24"/>
      <c r="B29" s="24"/>
      <c r="C29" s="24"/>
      <c r="D29" s="24"/>
      <c r="E29" s="24" t="s">
        <v>66</v>
      </c>
      <c r="F29" s="73">
        <v>11756</v>
      </c>
      <c r="G29" s="73">
        <v>5784</v>
      </c>
      <c r="H29" s="73">
        <v>4933</v>
      </c>
      <c r="I29" s="73">
        <v>4794</v>
      </c>
      <c r="J29" s="73">
        <v>1420</v>
      </c>
      <c r="K29" s="73">
        <v>1206</v>
      </c>
      <c r="L29" s="73">
        <v>858</v>
      </c>
      <c r="M29" s="73">
        <v>293</v>
      </c>
      <c r="N29" s="73">
        <v>13845</v>
      </c>
      <c r="O29" s="73">
        <v>1116</v>
      </c>
      <c r="P29" s="73">
        <v>1424</v>
      </c>
      <c r="Q29" s="73">
        <v>1818</v>
      </c>
      <c r="R29" s="73">
        <v>1946</v>
      </c>
      <c r="S29" s="73">
        <v>1467</v>
      </c>
      <c r="T29" s="73">
        <v>2124</v>
      </c>
      <c r="U29" s="73">
        <v>4092</v>
      </c>
      <c r="V29" s="73">
        <v>827</v>
      </c>
      <c r="W29" s="73">
        <v>59703</v>
      </c>
    </row>
    <row r="30" spans="1:23" x14ac:dyDescent="0.3">
      <c r="A30" s="24"/>
      <c r="B30" s="24"/>
      <c r="C30" s="24"/>
      <c r="D30" s="24"/>
      <c r="E30" s="24" t="s">
        <v>67</v>
      </c>
      <c r="F30" s="73">
        <v>4546</v>
      </c>
      <c r="G30" s="73">
        <v>1475</v>
      </c>
      <c r="H30" s="73">
        <v>1199</v>
      </c>
      <c r="I30" s="73">
        <v>1432</v>
      </c>
      <c r="J30" s="73">
        <v>651</v>
      </c>
      <c r="K30" s="73">
        <v>409</v>
      </c>
      <c r="L30" s="73">
        <v>270</v>
      </c>
      <c r="M30" s="73">
        <v>84</v>
      </c>
      <c r="N30" s="73">
        <v>4931</v>
      </c>
      <c r="O30" s="73">
        <v>388</v>
      </c>
      <c r="P30" s="73">
        <v>497</v>
      </c>
      <c r="Q30" s="73">
        <v>658</v>
      </c>
      <c r="R30" s="73">
        <v>611</v>
      </c>
      <c r="S30" s="73">
        <v>629</v>
      </c>
      <c r="T30" s="73">
        <v>719</v>
      </c>
      <c r="U30" s="73">
        <v>1166</v>
      </c>
      <c r="V30" s="73">
        <v>266</v>
      </c>
      <c r="W30" s="73">
        <v>19931</v>
      </c>
    </row>
    <row r="31" spans="1:23" x14ac:dyDescent="0.3">
      <c r="A31" s="24"/>
      <c r="B31" s="24"/>
      <c r="C31" s="24"/>
      <c r="D31" s="24"/>
      <c r="E31" s="24" t="s">
        <v>68</v>
      </c>
      <c r="F31" s="73">
        <v>5935</v>
      </c>
      <c r="G31" s="73">
        <v>1711</v>
      </c>
      <c r="H31" s="73">
        <v>1503</v>
      </c>
      <c r="I31" s="73">
        <v>1041</v>
      </c>
      <c r="J31" s="73">
        <v>526</v>
      </c>
      <c r="K31" s="73">
        <v>416</v>
      </c>
      <c r="L31" s="73">
        <v>282</v>
      </c>
      <c r="M31" s="73">
        <v>76</v>
      </c>
      <c r="N31" s="73">
        <v>5555</v>
      </c>
      <c r="O31" s="73">
        <v>384</v>
      </c>
      <c r="P31" s="73">
        <v>497</v>
      </c>
      <c r="Q31" s="73">
        <v>653</v>
      </c>
      <c r="R31" s="73">
        <v>578</v>
      </c>
      <c r="S31" s="73">
        <v>613</v>
      </c>
      <c r="T31" s="73">
        <v>753</v>
      </c>
      <c r="U31" s="73">
        <v>1513</v>
      </c>
      <c r="V31" s="73">
        <v>283</v>
      </c>
      <c r="W31" s="73">
        <v>22319</v>
      </c>
    </row>
    <row r="32" spans="1:23" x14ac:dyDescent="0.3">
      <c r="A32" s="24"/>
      <c r="B32" s="24"/>
      <c r="C32" s="24"/>
      <c r="D32" s="24"/>
      <c r="E32" s="24" t="s">
        <v>69</v>
      </c>
      <c r="F32" s="73">
        <v>6698</v>
      </c>
      <c r="G32" s="73">
        <v>2445</v>
      </c>
      <c r="H32" s="73">
        <v>1691</v>
      </c>
      <c r="I32" s="73">
        <v>1806</v>
      </c>
      <c r="J32" s="73">
        <v>490</v>
      </c>
      <c r="K32" s="73">
        <v>448</v>
      </c>
      <c r="L32" s="73">
        <v>324</v>
      </c>
      <c r="M32" s="73">
        <v>98</v>
      </c>
      <c r="N32" s="73">
        <v>6129</v>
      </c>
      <c r="O32" s="73">
        <v>430</v>
      </c>
      <c r="P32" s="73">
        <v>535</v>
      </c>
      <c r="Q32" s="73">
        <v>757</v>
      </c>
      <c r="R32" s="73">
        <v>631</v>
      </c>
      <c r="S32" s="73">
        <v>595</v>
      </c>
      <c r="T32" s="73">
        <v>721</v>
      </c>
      <c r="U32" s="73">
        <v>1717</v>
      </c>
      <c r="V32" s="73">
        <v>462</v>
      </c>
      <c r="W32" s="73">
        <v>25977</v>
      </c>
    </row>
    <row r="33" spans="1:23" x14ac:dyDescent="0.3">
      <c r="A33" s="24"/>
      <c r="B33" s="24"/>
      <c r="C33" s="24"/>
      <c r="D33" s="24"/>
      <c r="E33" s="24" t="s">
        <v>70</v>
      </c>
      <c r="F33" s="73">
        <v>0</v>
      </c>
      <c r="G33" s="73">
        <v>0</v>
      </c>
      <c r="H33" s="73">
        <v>0</v>
      </c>
      <c r="I33" s="73">
        <v>0</v>
      </c>
      <c r="J33" s="73">
        <v>0</v>
      </c>
      <c r="K33" s="73">
        <v>0</v>
      </c>
      <c r="L33" s="73">
        <v>0</v>
      </c>
      <c r="M33" s="73">
        <v>0</v>
      </c>
      <c r="N33" s="73">
        <v>0</v>
      </c>
      <c r="O33" s="73">
        <v>0</v>
      </c>
      <c r="P33" s="73">
        <v>0</v>
      </c>
      <c r="Q33" s="73">
        <v>0</v>
      </c>
      <c r="R33" s="73">
        <v>0</v>
      </c>
      <c r="S33" s="73">
        <v>0</v>
      </c>
      <c r="T33" s="73">
        <v>0</v>
      </c>
      <c r="U33" s="73">
        <v>0</v>
      </c>
      <c r="V33" s="73">
        <v>0</v>
      </c>
      <c r="W33" s="73">
        <v>0</v>
      </c>
    </row>
    <row r="34" spans="1:23" x14ac:dyDescent="0.3">
      <c r="A34" s="24"/>
      <c r="B34" s="24"/>
      <c r="C34" s="24"/>
      <c r="D34" s="24"/>
      <c r="E34" s="24" t="s">
        <v>71</v>
      </c>
      <c r="F34" s="73">
        <v>5398</v>
      </c>
      <c r="G34" s="73">
        <v>953</v>
      </c>
      <c r="H34" s="73">
        <v>1286</v>
      </c>
      <c r="I34" s="73">
        <v>1703</v>
      </c>
      <c r="J34" s="73">
        <v>580</v>
      </c>
      <c r="K34" s="73">
        <v>956</v>
      </c>
      <c r="L34" s="73">
        <v>290</v>
      </c>
      <c r="M34" s="73">
        <v>231</v>
      </c>
      <c r="N34" s="73">
        <v>5966</v>
      </c>
      <c r="O34" s="73">
        <v>561</v>
      </c>
      <c r="P34" s="73">
        <v>419</v>
      </c>
      <c r="Q34" s="73">
        <v>966</v>
      </c>
      <c r="R34" s="73">
        <v>442</v>
      </c>
      <c r="S34" s="73">
        <v>628</v>
      </c>
      <c r="T34" s="73">
        <v>739</v>
      </c>
      <c r="U34" s="73">
        <v>1179</v>
      </c>
      <c r="V34" s="73">
        <v>1586</v>
      </c>
      <c r="W34" s="73">
        <v>23883</v>
      </c>
    </row>
    <row r="35" spans="1:23" x14ac:dyDescent="0.3">
      <c r="A35" s="24"/>
      <c r="B35" s="24"/>
      <c r="C35" s="24" t="s">
        <v>72</v>
      </c>
      <c r="D35" s="24"/>
      <c r="E35" s="24"/>
      <c r="F35" s="73">
        <v>9048</v>
      </c>
      <c r="G35" s="73">
        <v>2649</v>
      </c>
      <c r="H35" s="73">
        <v>2449</v>
      </c>
      <c r="I35" s="73">
        <v>5403</v>
      </c>
      <c r="J35" s="73">
        <v>1781</v>
      </c>
      <c r="K35" s="73">
        <v>1826</v>
      </c>
      <c r="L35" s="73">
        <v>1070</v>
      </c>
      <c r="M35" s="73">
        <v>339</v>
      </c>
      <c r="N35" s="73">
        <v>16107</v>
      </c>
      <c r="O35" s="73">
        <v>2023</v>
      </c>
      <c r="P35" s="73">
        <v>2109</v>
      </c>
      <c r="Q35" s="73">
        <v>2632</v>
      </c>
      <c r="R35" s="73">
        <v>1759</v>
      </c>
      <c r="S35" s="73">
        <v>1860</v>
      </c>
      <c r="T35" s="73">
        <v>2797</v>
      </c>
      <c r="U35" s="73">
        <v>3831</v>
      </c>
      <c r="V35" s="73">
        <v>820</v>
      </c>
      <c r="W35" s="73">
        <v>58503</v>
      </c>
    </row>
    <row r="36" spans="1:23" x14ac:dyDescent="0.3">
      <c r="A36" s="24"/>
      <c r="B36" s="24"/>
      <c r="C36" s="24"/>
      <c r="D36" s="24"/>
      <c r="E36" s="24" t="s">
        <v>73</v>
      </c>
      <c r="F36" s="73">
        <v>8636</v>
      </c>
      <c r="G36" s="73">
        <v>2518</v>
      </c>
      <c r="H36" s="73">
        <v>2305</v>
      </c>
      <c r="I36" s="73">
        <v>5262</v>
      </c>
      <c r="J36" s="73">
        <v>1656</v>
      </c>
      <c r="K36" s="73">
        <v>1742</v>
      </c>
      <c r="L36" s="73">
        <v>1027</v>
      </c>
      <c r="M36" s="73">
        <v>328</v>
      </c>
      <c r="N36" s="73">
        <v>15240</v>
      </c>
      <c r="O36" s="73">
        <v>1865</v>
      </c>
      <c r="P36" s="73">
        <v>1950</v>
      </c>
      <c r="Q36" s="73">
        <v>2449</v>
      </c>
      <c r="R36" s="73">
        <v>1572</v>
      </c>
      <c r="S36" s="73">
        <v>1661</v>
      </c>
      <c r="T36" s="73">
        <v>2560</v>
      </c>
      <c r="U36" s="73">
        <v>3663</v>
      </c>
      <c r="V36" s="73">
        <v>728</v>
      </c>
      <c r="W36" s="73">
        <v>55162</v>
      </c>
    </row>
    <row r="37" spans="1:23" x14ac:dyDescent="0.3">
      <c r="A37" s="24"/>
      <c r="B37" s="24"/>
      <c r="C37" s="24"/>
      <c r="D37" s="24"/>
      <c r="E37" s="24" t="s">
        <v>74</v>
      </c>
      <c r="F37" s="73">
        <v>7</v>
      </c>
      <c r="G37" s="73">
        <v>6</v>
      </c>
      <c r="H37" s="73">
        <v>3</v>
      </c>
      <c r="I37" s="73">
        <v>3</v>
      </c>
      <c r="J37" s="73">
        <v>1</v>
      </c>
      <c r="K37" s="73">
        <v>3</v>
      </c>
      <c r="L37" s="73">
        <v>0</v>
      </c>
      <c r="M37" s="73">
        <v>0</v>
      </c>
      <c r="N37" s="73">
        <v>10</v>
      </c>
      <c r="O37" s="73">
        <v>1</v>
      </c>
      <c r="P37" s="73">
        <v>2</v>
      </c>
      <c r="Q37" s="73">
        <v>0</v>
      </c>
      <c r="R37" s="73">
        <v>3</v>
      </c>
      <c r="S37" s="73">
        <v>1</v>
      </c>
      <c r="T37" s="73">
        <v>2</v>
      </c>
      <c r="U37" s="73">
        <v>0</v>
      </c>
      <c r="V37" s="73">
        <v>1</v>
      </c>
      <c r="W37" s="73">
        <v>43</v>
      </c>
    </row>
    <row r="38" spans="1:23" x14ac:dyDescent="0.3">
      <c r="A38" s="24"/>
      <c r="B38" s="24"/>
      <c r="C38" s="24"/>
      <c r="D38" s="24"/>
      <c r="E38" s="24" t="s">
        <v>75</v>
      </c>
      <c r="F38" s="73">
        <v>386</v>
      </c>
      <c r="G38" s="73">
        <v>121</v>
      </c>
      <c r="H38" s="73">
        <v>136</v>
      </c>
      <c r="I38" s="73">
        <v>133</v>
      </c>
      <c r="J38" s="73">
        <v>119</v>
      </c>
      <c r="K38" s="73">
        <v>78</v>
      </c>
      <c r="L38" s="73">
        <v>41</v>
      </c>
      <c r="M38" s="73">
        <v>10</v>
      </c>
      <c r="N38" s="73">
        <v>808</v>
      </c>
      <c r="O38" s="73">
        <v>146</v>
      </c>
      <c r="P38" s="73">
        <v>155</v>
      </c>
      <c r="Q38" s="73">
        <v>176</v>
      </c>
      <c r="R38" s="73">
        <v>174</v>
      </c>
      <c r="S38" s="73">
        <v>192</v>
      </c>
      <c r="T38" s="73">
        <v>228</v>
      </c>
      <c r="U38" s="73">
        <v>162</v>
      </c>
      <c r="V38" s="73">
        <v>88</v>
      </c>
      <c r="W38" s="73">
        <v>3153</v>
      </c>
    </row>
    <row r="39" spans="1:23" x14ac:dyDescent="0.3">
      <c r="A39" s="24"/>
      <c r="B39" s="24"/>
      <c r="C39" s="24"/>
      <c r="D39" s="24"/>
      <c r="E39" s="24" t="s">
        <v>76</v>
      </c>
      <c r="F39" s="73">
        <v>17</v>
      </c>
      <c r="G39" s="73">
        <v>2</v>
      </c>
      <c r="H39" s="73">
        <v>2</v>
      </c>
      <c r="I39" s="73">
        <v>4</v>
      </c>
      <c r="J39" s="73">
        <v>5</v>
      </c>
      <c r="K39" s="73">
        <v>3</v>
      </c>
      <c r="L39" s="73">
        <v>2</v>
      </c>
      <c r="M39" s="73">
        <v>1</v>
      </c>
      <c r="N39" s="73">
        <v>28</v>
      </c>
      <c r="O39" s="73">
        <v>10</v>
      </c>
      <c r="P39" s="73">
        <v>2</v>
      </c>
      <c r="Q39" s="73">
        <v>6</v>
      </c>
      <c r="R39" s="73">
        <v>8</v>
      </c>
      <c r="S39" s="73">
        <v>6</v>
      </c>
      <c r="T39" s="73">
        <v>7</v>
      </c>
      <c r="U39" s="73">
        <v>6</v>
      </c>
      <c r="V39" s="73">
        <v>3</v>
      </c>
      <c r="W39" s="73">
        <v>112</v>
      </c>
    </row>
    <row r="40" spans="1:23" x14ac:dyDescent="0.3">
      <c r="A40" s="24"/>
      <c r="B40" s="24"/>
      <c r="C40" s="24"/>
      <c r="D40" s="24"/>
      <c r="E40" s="24" t="s">
        <v>77</v>
      </c>
      <c r="F40" s="73">
        <v>0</v>
      </c>
      <c r="G40" s="73">
        <v>1</v>
      </c>
      <c r="H40" s="73">
        <v>0</v>
      </c>
      <c r="I40" s="73">
        <v>0</v>
      </c>
      <c r="J40" s="73">
        <v>0</v>
      </c>
      <c r="K40" s="73">
        <v>0</v>
      </c>
      <c r="L40" s="73">
        <v>0</v>
      </c>
      <c r="M40" s="73">
        <v>0</v>
      </c>
      <c r="N40" s="73">
        <v>1</v>
      </c>
      <c r="O40" s="73">
        <v>0</v>
      </c>
      <c r="P40" s="73">
        <v>0</v>
      </c>
      <c r="Q40" s="73">
        <v>1</v>
      </c>
      <c r="R40" s="73">
        <v>0</v>
      </c>
      <c r="S40" s="73">
        <v>0</v>
      </c>
      <c r="T40" s="73">
        <v>0</v>
      </c>
      <c r="U40" s="73">
        <v>0</v>
      </c>
      <c r="V40" s="73">
        <v>0</v>
      </c>
      <c r="W40" s="73">
        <v>3</v>
      </c>
    </row>
    <row r="41" spans="1:23" x14ac:dyDescent="0.3">
      <c r="A41" s="24"/>
      <c r="B41" s="24"/>
      <c r="C41" s="24"/>
      <c r="D41" s="24"/>
      <c r="E41" s="24" t="s">
        <v>78</v>
      </c>
      <c r="F41" s="73">
        <v>2</v>
      </c>
      <c r="G41" s="73">
        <v>1</v>
      </c>
      <c r="H41" s="73">
        <v>3</v>
      </c>
      <c r="I41" s="73">
        <v>1</v>
      </c>
      <c r="J41" s="73">
        <v>0</v>
      </c>
      <c r="K41" s="73">
        <v>0</v>
      </c>
      <c r="L41" s="73">
        <v>0</v>
      </c>
      <c r="M41" s="73">
        <v>0</v>
      </c>
      <c r="N41" s="73">
        <v>20</v>
      </c>
      <c r="O41" s="73">
        <v>1</v>
      </c>
      <c r="P41" s="73">
        <v>0</v>
      </c>
      <c r="Q41" s="73">
        <v>0</v>
      </c>
      <c r="R41" s="73">
        <v>2</v>
      </c>
      <c r="S41" s="73">
        <v>0</v>
      </c>
      <c r="T41" s="73">
        <v>0</v>
      </c>
      <c r="U41" s="73">
        <v>0</v>
      </c>
      <c r="V41" s="73">
        <v>0</v>
      </c>
      <c r="W41" s="73">
        <v>30</v>
      </c>
    </row>
    <row r="42" spans="1:23" x14ac:dyDescent="0.3">
      <c r="A42" s="24"/>
      <c r="B42" s="24"/>
      <c r="C42" s="24"/>
      <c r="D42" s="24"/>
      <c r="E42" s="24" t="s">
        <v>79</v>
      </c>
      <c r="F42" s="73">
        <v>0</v>
      </c>
      <c r="G42" s="73">
        <v>0</v>
      </c>
      <c r="H42" s="73">
        <v>0</v>
      </c>
      <c r="I42" s="73">
        <v>0</v>
      </c>
      <c r="J42" s="73">
        <v>0</v>
      </c>
      <c r="K42" s="73">
        <v>0</v>
      </c>
      <c r="L42" s="73">
        <v>0</v>
      </c>
      <c r="M42" s="73">
        <v>0</v>
      </c>
      <c r="N42" s="73">
        <v>0</v>
      </c>
      <c r="O42" s="73">
        <v>0</v>
      </c>
      <c r="P42" s="73">
        <v>0</v>
      </c>
      <c r="Q42" s="73">
        <v>0</v>
      </c>
      <c r="R42" s="73">
        <v>0</v>
      </c>
      <c r="S42" s="73">
        <v>0</v>
      </c>
      <c r="T42" s="73">
        <v>0</v>
      </c>
      <c r="U42" s="73">
        <v>0</v>
      </c>
      <c r="V42" s="73">
        <v>0</v>
      </c>
      <c r="W42" s="73">
        <v>0</v>
      </c>
    </row>
    <row r="43" spans="1:23" x14ac:dyDescent="0.3">
      <c r="A43" s="24"/>
      <c r="B43" s="24"/>
      <c r="C43" s="24"/>
      <c r="D43" s="24"/>
      <c r="E43" s="24" t="s">
        <v>80</v>
      </c>
      <c r="F43" s="73">
        <v>0</v>
      </c>
      <c r="G43" s="73">
        <v>0</v>
      </c>
      <c r="H43" s="73">
        <v>0</v>
      </c>
      <c r="I43" s="73">
        <v>0</v>
      </c>
      <c r="J43" s="73">
        <v>0</v>
      </c>
      <c r="K43" s="73">
        <v>0</v>
      </c>
      <c r="L43" s="73">
        <v>0</v>
      </c>
      <c r="M43" s="73">
        <v>0</v>
      </c>
      <c r="N43" s="73">
        <v>0</v>
      </c>
      <c r="O43" s="73">
        <v>0</v>
      </c>
      <c r="P43" s="73">
        <v>0</v>
      </c>
      <c r="Q43" s="73">
        <v>0</v>
      </c>
      <c r="R43" s="73">
        <v>0</v>
      </c>
      <c r="S43" s="73">
        <v>0</v>
      </c>
      <c r="T43" s="73">
        <v>0</v>
      </c>
      <c r="U43" s="73">
        <v>0</v>
      </c>
      <c r="V43" s="73">
        <v>0</v>
      </c>
      <c r="W43" s="73">
        <v>0</v>
      </c>
    </row>
    <row r="44" spans="1:23" x14ac:dyDescent="0.3">
      <c r="A44" s="24"/>
      <c r="B44" s="24"/>
      <c r="C44" s="24" t="s">
        <v>81</v>
      </c>
      <c r="D44" s="24"/>
      <c r="E44" s="24"/>
      <c r="F44" s="73">
        <v>596330</v>
      </c>
      <c r="G44" s="73">
        <v>266174</v>
      </c>
      <c r="H44" s="73">
        <v>240141</v>
      </c>
      <c r="I44" s="73">
        <v>289897</v>
      </c>
      <c r="J44" s="73">
        <v>140537</v>
      </c>
      <c r="K44" s="73">
        <v>129769</v>
      </c>
      <c r="L44" s="73">
        <v>135782</v>
      </c>
      <c r="M44" s="73">
        <v>36678</v>
      </c>
      <c r="N44" s="73">
        <v>1238487</v>
      </c>
      <c r="O44" s="73">
        <v>172537</v>
      </c>
      <c r="P44" s="73">
        <v>172263</v>
      </c>
      <c r="Q44" s="73">
        <v>227506</v>
      </c>
      <c r="R44" s="73">
        <v>191147</v>
      </c>
      <c r="S44" s="73">
        <v>191088</v>
      </c>
      <c r="T44" s="73">
        <v>274092</v>
      </c>
      <c r="U44" s="73">
        <v>325138</v>
      </c>
      <c r="V44" s="73">
        <v>82687</v>
      </c>
      <c r="W44" s="73">
        <v>4710253</v>
      </c>
    </row>
    <row r="45" spans="1:23" x14ac:dyDescent="0.3">
      <c r="A45" s="24"/>
      <c r="B45" s="24"/>
      <c r="C45" s="24"/>
      <c r="D45" s="24"/>
      <c r="E45" s="24" t="s">
        <v>82</v>
      </c>
      <c r="F45" s="73">
        <v>4875</v>
      </c>
      <c r="G45" s="73">
        <v>1543</v>
      </c>
      <c r="H45" s="73">
        <v>1337</v>
      </c>
      <c r="I45" s="73">
        <v>3980</v>
      </c>
      <c r="J45" s="73">
        <v>658</v>
      </c>
      <c r="K45" s="73">
        <v>828</v>
      </c>
      <c r="L45" s="73">
        <v>390</v>
      </c>
      <c r="M45" s="73">
        <v>265</v>
      </c>
      <c r="N45" s="73">
        <v>9459</v>
      </c>
      <c r="O45" s="73">
        <v>934</v>
      </c>
      <c r="P45" s="73">
        <v>934</v>
      </c>
      <c r="Q45" s="73">
        <v>1271</v>
      </c>
      <c r="R45" s="73">
        <v>970</v>
      </c>
      <c r="S45" s="73">
        <v>650</v>
      </c>
      <c r="T45" s="73">
        <v>935</v>
      </c>
      <c r="U45" s="73">
        <v>2059</v>
      </c>
      <c r="V45" s="73">
        <v>454</v>
      </c>
      <c r="W45" s="73">
        <v>31542</v>
      </c>
    </row>
    <row r="46" spans="1:23" x14ac:dyDescent="0.3">
      <c r="A46" s="24"/>
      <c r="B46" s="24"/>
      <c r="C46" s="24"/>
      <c r="D46" s="24"/>
      <c r="E46" s="24" t="s">
        <v>83</v>
      </c>
      <c r="F46" s="73">
        <v>376973</v>
      </c>
      <c r="G46" s="73">
        <v>173665</v>
      </c>
      <c r="H46" s="73">
        <v>154689</v>
      </c>
      <c r="I46" s="73">
        <v>193683</v>
      </c>
      <c r="J46" s="73">
        <v>95478</v>
      </c>
      <c r="K46" s="73">
        <v>89539</v>
      </c>
      <c r="L46" s="73">
        <v>85301</v>
      </c>
      <c r="M46" s="73">
        <v>25488</v>
      </c>
      <c r="N46" s="73">
        <v>831226</v>
      </c>
      <c r="O46" s="73">
        <v>112746</v>
      </c>
      <c r="P46" s="73">
        <v>116602</v>
      </c>
      <c r="Q46" s="73">
        <v>151119</v>
      </c>
      <c r="R46" s="73">
        <v>130294</v>
      </c>
      <c r="S46" s="73">
        <v>129909</v>
      </c>
      <c r="T46" s="73">
        <v>180509</v>
      </c>
      <c r="U46" s="73">
        <v>223185</v>
      </c>
      <c r="V46" s="73">
        <v>53354</v>
      </c>
      <c r="W46" s="73">
        <v>3123760</v>
      </c>
    </row>
    <row r="47" spans="1:23" x14ac:dyDescent="0.3">
      <c r="A47" s="24"/>
      <c r="B47" s="24"/>
      <c r="C47" s="24"/>
      <c r="D47" s="24"/>
      <c r="E47" s="24" t="s">
        <v>84</v>
      </c>
      <c r="F47" s="73">
        <v>116813</v>
      </c>
      <c r="G47" s="73">
        <v>50968</v>
      </c>
      <c r="H47" s="73">
        <v>45000</v>
      </c>
      <c r="I47" s="73">
        <v>51020</v>
      </c>
      <c r="J47" s="73">
        <v>26549</v>
      </c>
      <c r="K47" s="73">
        <v>24205</v>
      </c>
      <c r="L47" s="73">
        <v>35269</v>
      </c>
      <c r="M47" s="73">
        <v>6902</v>
      </c>
      <c r="N47" s="73">
        <v>243036</v>
      </c>
      <c r="O47" s="73">
        <v>36385</v>
      </c>
      <c r="P47" s="73">
        <v>33358</v>
      </c>
      <c r="Q47" s="73">
        <v>46692</v>
      </c>
      <c r="R47" s="73">
        <v>37272</v>
      </c>
      <c r="S47" s="73">
        <v>37424</v>
      </c>
      <c r="T47" s="73">
        <v>58537</v>
      </c>
      <c r="U47" s="73">
        <v>63665</v>
      </c>
      <c r="V47" s="73">
        <v>14770</v>
      </c>
      <c r="W47" s="73">
        <v>927865</v>
      </c>
    </row>
    <row r="48" spans="1:23" x14ac:dyDescent="0.3">
      <c r="A48" s="24"/>
      <c r="B48" s="24"/>
      <c r="C48" s="24"/>
      <c r="D48" s="24"/>
      <c r="E48" s="24" t="s">
        <v>85</v>
      </c>
      <c r="F48" s="73">
        <v>65431</v>
      </c>
      <c r="G48" s="73">
        <v>29297</v>
      </c>
      <c r="H48" s="73">
        <v>27953</v>
      </c>
      <c r="I48" s="73">
        <v>30962</v>
      </c>
      <c r="J48" s="73">
        <v>13594</v>
      </c>
      <c r="K48" s="73">
        <v>10880</v>
      </c>
      <c r="L48" s="73">
        <v>9887</v>
      </c>
      <c r="M48" s="73">
        <v>2783</v>
      </c>
      <c r="N48" s="73">
        <v>113034</v>
      </c>
      <c r="O48" s="73">
        <v>17289</v>
      </c>
      <c r="P48" s="73">
        <v>16373</v>
      </c>
      <c r="Q48" s="73">
        <v>21696</v>
      </c>
      <c r="R48" s="73">
        <v>17467</v>
      </c>
      <c r="S48" s="73">
        <v>18511</v>
      </c>
      <c r="T48" s="73">
        <v>27676</v>
      </c>
      <c r="U48" s="73">
        <v>28154</v>
      </c>
      <c r="V48" s="73">
        <v>8166</v>
      </c>
      <c r="W48" s="73">
        <v>459153</v>
      </c>
    </row>
    <row r="49" spans="1:23" x14ac:dyDescent="0.3">
      <c r="A49" s="24"/>
      <c r="B49" s="24"/>
      <c r="C49" s="24"/>
      <c r="D49" s="24"/>
      <c r="E49" s="24" t="s">
        <v>86</v>
      </c>
      <c r="F49" s="73">
        <v>11576</v>
      </c>
      <c r="G49" s="73">
        <v>2567</v>
      </c>
      <c r="H49" s="73">
        <v>2519</v>
      </c>
      <c r="I49" s="73">
        <v>2527</v>
      </c>
      <c r="J49" s="73">
        <v>966</v>
      </c>
      <c r="K49" s="73">
        <v>984</v>
      </c>
      <c r="L49" s="73">
        <v>710</v>
      </c>
      <c r="M49" s="73">
        <v>289</v>
      </c>
      <c r="N49" s="73">
        <v>13123</v>
      </c>
      <c r="O49" s="73">
        <v>1161</v>
      </c>
      <c r="P49" s="73">
        <v>956</v>
      </c>
      <c r="Q49" s="73">
        <v>1401</v>
      </c>
      <c r="R49" s="73">
        <v>1077</v>
      </c>
      <c r="S49" s="73">
        <v>925</v>
      </c>
      <c r="T49" s="73">
        <v>1384</v>
      </c>
      <c r="U49" s="73">
        <v>1904</v>
      </c>
      <c r="V49" s="73">
        <v>724</v>
      </c>
      <c r="W49" s="73">
        <v>44793</v>
      </c>
    </row>
    <row r="50" spans="1:23" x14ac:dyDescent="0.3">
      <c r="A50" s="24"/>
      <c r="B50" s="24"/>
      <c r="C50" s="24"/>
      <c r="D50" s="24"/>
      <c r="E50" s="24" t="s">
        <v>87</v>
      </c>
      <c r="F50" s="73">
        <v>17090</v>
      </c>
      <c r="G50" s="73">
        <v>6323</v>
      </c>
      <c r="H50" s="73">
        <v>4818</v>
      </c>
      <c r="I50" s="73">
        <v>6217</v>
      </c>
      <c r="J50" s="73">
        <v>1715</v>
      </c>
      <c r="K50" s="73">
        <v>1745</v>
      </c>
      <c r="L50" s="73">
        <v>2089</v>
      </c>
      <c r="M50" s="73">
        <v>597</v>
      </c>
      <c r="N50" s="73">
        <v>22629</v>
      </c>
      <c r="O50" s="73">
        <v>2090</v>
      </c>
      <c r="P50" s="73">
        <v>2375</v>
      </c>
      <c r="Q50" s="73">
        <v>3096</v>
      </c>
      <c r="R50" s="73">
        <v>2879</v>
      </c>
      <c r="S50" s="73">
        <v>1907</v>
      </c>
      <c r="T50" s="73">
        <v>2825</v>
      </c>
      <c r="U50" s="73">
        <v>3917</v>
      </c>
      <c r="V50" s="73">
        <v>1352</v>
      </c>
      <c r="W50" s="73">
        <v>83664</v>
      </c>
    </row>
    <row r="51" spans="1:23" x14ac:dyDescent="0.3">
      <c r="A51" s="24"/>
      <c r="B51" s="24"/>
      <c r="C51" s="24"/>
      <c r="D51" s="24"/>
      <c r="E51" s="24" t="s">
        <v>88</v>
      </c>
      <c r="F51" s="73">
        <v>1</v>
      </c>
      <c r="G51" s="73">
        <v>0</v>
      </c>
      <c r="H51" s="73">
        <v>0</v>
      </c>
      <c r="I51" s="73">
        <v>0</v>
      </c>
      <c r="J51" s="73">
        <v>0</v>
      </c>
      <c r="K51" s="73">
        <v>0</v>
      </c>
      <c r="L51" s="73">
        <v>0</v>
      </c>
      <c r="M51" s="73">
        <v>0</v>
      </c>
      <c r="N51" s="73">
        <v>1</v>
      </c>
      <c r="O51" s="73">
        <v>0</v>
      </c>
      <c r="P51" s="73">
        <v>0</v>
      </c>
      <c r="Q51" s="73">
        <v>0</v>
      </c>
      <c r="R51" s="73">
        <v>0</v>
      </c>
      <c r="S51" s="73">
        <v>1</v>
      </c>
      <c r="T51" s="73">
        <v>0</v>
      </c>
      <c r="U51" s="73">
        <v>0</v>
      </c>
      <c r="V51" s="73">
        <v>0</v>
      </c>
      <c r="W51" s="73">
        <v>3</v>
      </c>
    </row>
    <row r="52" spans="1:23" x14ac:dyDescent="0.3">
      <c r="A52" s="24"/>
      <c r="B52" s="24"/>
      <c r="C52" s="24"/>
      <c r="D52" s="24"/>
      <c r="E52" s="24" t="s">
        <v>89</v>
      </c>
      <c r="F52" s="73">
        <v>3571</v>
      </c>
      <c r="G52" s="73">
        <v>1811</v>
      </c>
      <c r="H52" s="73">
        <v>3825</v>
      </c>
      <c r="I52" s="73">
        <v>1508</v>
      </c>
      <c r="J52" s="73">
        <v>1577</v>
      </c>
      <c r="K52" s="73">
        <v>1588</v>
      </c>
      <c r="L52" s="73">
        <v>2136</v>
      </c>
      <c r="M52" s="73">
        <v>354</v>
      </c>
      <c r="N52" s="73">
        <v>5979</v>
      </c>
      <c r="O52" s="73">
        <v>1932</v>
      </c>
      <c r="P52" s="73">
        <v>1665</v>
      </c>
      <c r="Q52" s="73">
        <v>2231</v>
      </c>
      <c r="R52" s="73">
        <v>1188</v>
      </c>
      <c r="S52" s="73">
        <v>1761</v>
      </c>
      <c r="T52" s="73">
        <v>2226</v>
      </c>
      <c r="U52" s="73">
        <v>2254</v>
      </c>
      <c r="V52" s="73">
        <v>3867</v>
      </c>
      <c r="W52" s="73">
        <v>39473</v>
      </c>
    </row>
    <row r="53" spans="1:23" x14ac:dyDescent="0.3">
      <c r="A53" s="24"/>
      <c r="B53" s="24"/>
      <c r="C53" s="24" t="s">
        <v>90</v>
      </c>
      <c r="D53" s="24"/>
      <c r="E53" s="24"/>
      <c r="F53" s="73">
        <v>150283</v>
      </c>
      <c r="G53" s="73">
        <v>55175</v>
      </c>
      <c r="H53" s="73">
        <v>48140</v>
      </c>
      <c r="I53" s="73">
        <v>70181</v>
      </c>
      <c r="J53" s="73">
        <v>33013</v>
      </c>
      <c r="K53" s="73">
        <v>33573</v>
      </c>
      <c r="L53" s="73">
        <v>22251</v>
      </c>
      <c r="M53" s="73">
        <v>9209</v>
      </c>
      <c r="N53" s="73">
        <v>329954</v>
      </c>
      <c r="O53" s="73">
        <v>36521</v>
      </c>
      <c r="P53" s="73">
        <v>39710</v>
      </c>
      <c r="Q53" s="73">
        <v>55643</v>
      </c>
      <c r="R53" s="73">
        <v>40651</v>
      </c>
      <c r="S53" s="73">
        <v>41765</v>
      </c>
      <c r="T53" s="73">
        <v>57796</v>
      </c>
      <c r="U53" s="73">
        <v>71641</v>
      </c>
      <c r="V53" s="73">
        <v>17179</v>
      </c>
      <c r="W53" s="73">
        <v>1112685</v>
      </c>
    </row>
    <row r="54" spans="1:23" x14ac:dyDescent="0.3">
      <c r="A54" s="24"/>
      <c r="B54" s="24"/>
      <c r="C54" s="24"/>
      <c r="D54" s="24"/>
      <c r="E54" s="24" t="s">
        <v>91</v>
      </c>
      <c r="F54" s="73">
        <v>10083</v>
      </c>
      <c r="G54" s="73">
        <v>4730</v>
      </c>
      <c r="H54" s="73">
        <v>3547</v>
      </c>
      <c r="I54" s="73">
        <v>6666</v>
      </c>
      <c r="J54" s="73">
        <v>2424</v>
      </c>
      <c r="K54" s="73">
        <v>2804</v>
      </c>
      <c r="L54" s="73">
        <v>1860</v>
      </c>
      <c r="M54" s="73">
        <v>779</v>
      </c>
      <c r="N54" s="73">
        <v>29154</v>
      </c>
      <c r="O54" s="73">
        <v>3863</v>
      </c>
      <c r="P54" s="73">
        <v>3965</v>
      </c>
      <c r="Q54" s="73">
        <v>5313</v>
      </c>
      <c r="R54" s="73">
        <v>3791</v>
      </c>
      <c r="S54" s="73">
        <v>3260</v>
      </c>
      <c r="T54" s="73">
        <v>4323</v>
      </c>
      <c r="U54" s="73">
        <v>6398</v>
      </c>
      <c r="V54" s="73">
        <v>1366</v>
      </c>
      <c r="W54" s="73">
        <v>94326</v>
      </c>
    </row>
    <row r="55" spans="1:23" x14ac:dyDescent="0.3">
      <c r="A55" s="24"/>
      <c r="B55" s="24"/>
      <c r="C55" s="24"/>
      <c r="D55" s="24"/>
      <c r="E55" s="24" t="s">
        <v>92</v>
      </c>
      <c r="F55" s="73">
        <v>69126</v>
      </c>
      <c r="G55" s="73">
        <v>27837</v>
      </c>
      <c r="H55" s="73">
        <v>24785</v>
      </c>
      <c r="I55" s="73">
        <v>33291</v>
      </c>
      <c r="J55" s="73">
        <v>17724</v>
      </c>
      <c r="K55" s="73">
        <v>16708</v>
      </c>
      <c r="L55" s="73">
        <v>11309</v>
      </c>
      <c r="M55" s="73">
        <v>4490</v>
      </c>
      <c r="N55" s="73">
        <v>157200</v>
      </c>
      <c r="O55" s="73">
        <v>18800</v>
      </c>
      <c r="P55" s="73">
        <v>18554</v>
      </c>
      <c r="Q55" s="73">
        <v>25384</v>
      </c>
      <c r="R55" s="73">
        <v>20511</v>
      </c>
      <c r="S55" s="73">
        <v>20902</v>
      </c>
      <c r="T55" s="73">
        <v>29225</v>
      </c>
      <c r="U55" s="73">
        <v>36520</v>
      </c>
      <c r="V55" s="73">
        <v>9580</v>
      </c>
      <c r="W55" s="73">
        <v>541946</v>
      </c>
    </row>
    <row r="56" spans="1:23" x14ac:dyDescent="0.3">
      <c r="A56" s="24"/>
      <c r="B56" s="24"/>
      <c r="C56" s="24"/>
      <c r="D56" s="24"/>
      <c r="E56" s="24" t="s">
        <v>93</v>
      </c>
      <c r="F56" s="73">
        <v>53457</v>
      </c>
      <c r="G56" s="73">
        <v>17099</v>
      </c>
      <c r="H56" s="73">
        <v>14649</v>
      </c>
      <c r="I56" s="73">
        <v>24655</v>
      </c>
      <c r="J56" s="73">
        <v>10323</v>
      </c>
      <c r="K56" s="73">
        <v>11120</v>
      </c>
      <c r="L56" s="73">
        <v>7219</v>
      </c>
      <c r="M56" s="73">
        <v>3170</v>
      </c>
      <c r="N56" s="73">
        <v>119310</v>
      </c>
      <c r="O56" s="73">
        <v>11341</v>
      </c>
      <c r="P56" s="73">
        <v>14083</v>
      </c>
      <c r="Q56" s="73">
        <v>20321</v>
      </c>
      <c r="R56" s="73">
        <v>13298</v>
      </c>
      <c r="S56" s="73">
        <v>13962</v>
      </c>
      <c r="T56" s="73">
        <v>18775</v>
      </c>
      <c r="U56" s="73">
        <v>22778</v>
      </c>
      <c r="V56" s="73">
        <v>3566</v>
      </c>
      <c r="W56" s="73">
        <v>379126</v>
      </c>
    </row>
    <row r="57" spans="1:23" x14ac:dyDescent="0.3">
      <c r="A57" s="24"/>
      <c r="B57" s="24"/>
      <c r="C57" s="24"/>
      <c r="D57" s="24"/>
      <c r="E57" s="24" t="s">
        <v>94</v>
      </c>
      <c r="F57" s="73">
        <v>8173</v>
      </c>
      <c r="G57" s="73">
        <v>2913</v>
      </c>
      <c r="H57" s="73">
        <v>2184</v>
      </c>
      <c r="I57" s="73">
        <v>2775</v>
      </c>
      <c r="J57" s="73">
        <v>1294</v>
      </c>
      <c r="K57" s="73">
        <v>1520</v>
      </c>
      <c r="L57" s="73">
        <v>987</v>
      </c>
      <c r="M57" s="73">
        <v>262</v>
      </c>
      <c r="N57" s="73">
        <v>11416</v>
      </c>
      <c r="O57" s="73">
        <v>1301</v>
      </c>
      <c r="P57" s="73">
        <v>1325</v>
      </c>
      <c r="Q57" s="73">
        <v>2320</v>
      </c>
      <c r="R57" s="73">
        <v>1627</v>
      </c>
      <c r="S57" s="73">
        <v>1970</v>
      </c>
      <c r="T57" s="73">
        <v>3196</v>
      </c>
      <c r="U57" s="73">
        <v>3462</v>
      </c>
      <c r="V57" s="73">
        <v>675</v>
      </c>
      <c r="W57" s="73">
        <v>47400</v>
      </c>
    </row>
    <row r="58" spans="1:23" x14ac:dyDescent="0.3">
      <c r="A58" s="24"/>
      <c r="B58" s="24"/>
      <c r="C58" s="24"/>
      <c r="D58" s="24"/>
      <c r="E58" s="24" t="s">
        <v>95</v>
      </c>
      <c r="F58" s="73">
        <v>7444</v>
      </c>
      <c r="G58" s="73">
        <v>1914</v>
      </c>
      <c r="H58" s="73">
        <v>1485</v>
      </c>
      <c r="I58" s="73">
        <v>2221</v>
      </c>
      <c r="J58" s="73">
        <v>765</v>
      </c>
      <c r="K58" s="73">
        <v>815</v>
      </c>
      <c r="L58" s="73">
        <v>595</v>
      </c>
      <c r="M58" s="73">
        <v>293</v>
      </c>
      <c r="N58" s="73">
        <v>9970</v>
      </c>
      <c r="O58" s="73">
        <v>694</v>
      </c>
      <c r="P58" s="73">
        <v>973</v>
      </c>
      <c r="Q58" s="73">
        <v>1452</v>
      </c>
      <c r="R58" s="73">
        <v>762</v>
      </c>
      <c r="S58" s="73">
        <v>874</v>
      </c>
      <c r="T58" s="73">
        <v>1457</v>
      </c>
      <c r="U58" s="73">
        <v>1659</v>
      </c>
      <c r="V58" s="73">
        <v>367</v>
      </c>
      <c r="W58" s="73">
        <v>33740</v>
      </c>
    </row>
    <row r="59" spans="1:23" x14ac:dyDescent="0.3">
      <c r="A59" s="24"/>
      <c r="B59" s="24"/>
      <c r="C59" s="24"/>
      <c r="D59" s="24"/>
      <c r="E59" s="24" t="s">
        <v>96</v>
      </c>
      <c r="F59" s="73">
        <v>503</v>
      </c>
      <c r="G59" s="73">
        <v>95</v>
      </c>
      <c r="H59" s="73">
        <v>80</v>
      </c>
      <c r="I59" s="73">
        <v>127</v>
      </c>
      <c r="J59" s="73">
        <v>67</v>
      </c>
      <c r="K59" s="73">
        <v>60</v>
      </c>
      <c r="L59" s="73">
        <v>22</v>
      </c>
      <c r="M59" s="73">
        <v>13</v>
      </c>
      <c r="N59" s="73">
        <v>614</v>
      </c>
      <c r="O59" s="73">
        <v>63</v>
      </c>
      <c r="P59" s="73">
        <v>63</v>
      </c>
      <c r="Q59" s="73">
        <v>83</v>
      </c>
      <c r="R59" s="73">
        <v>69</v>
      </c>
      <c r="S59" s="73">
        <v>68</v>
      </c>
      <c r="T59" s="73">
        <v>88</v>
      </c>
      <c r="U59" s="73">
        <v>90</v>
      </c>
      <c r="V59" s="73">
        <v>43</v>
      </c>
      <c r="W59" s="73">
        <v>2148</v>
      </c>
    </row>
    <row r="60" spans="1:23" x14ac:dyDescent="0.3">
      <c r="A60" s="24"/>
      <c r="B60" s="24"/>
      <c r="C60" s="24"/>
      <c r="D60" s="24"/>
      <c r="E60" s="24" t="s">
        <v>97</v>
      </c>
      <c r="F60" s="73">
        <v>10</v>
      </c>
      <c r="G60" s="73">
        <v>5</v>
      </c>
      <c r="H60" s="73">
        <v>6</v>
      </c>
      <c r="I60" s="73">
        <v>25</v>
      </c>
      <c r="J60" s="73">
        <v>0</v>
      </c>
      <c r="K60" s="73">
        <v>7</v>
      </c>
      <c r="L60" s="73">
        <v>3</v>
      </c>
      <c r="M60" s="73">
        <v>0</v>
      </c>
      <c r="N60" s="73">
        <v>27</v>
      </c>
      <c r="O60" s="73">
        <v>6</v>
      </c>
      <c r="P60" s="73">
        <v>6</v>
      </c>
      <c r="Q60" s="73">
        <v>6</v>
      </c>
      <c r="R60" s="73">
        <v>1</v>
      </c>
      <c r="S60" s="73">
        <v>3</v>
      </c>
      <c r="T60" s="73">
        <v>10</v>
      </c>
      <c r="U60" s="73">
        <v>4</v>
      </c>
      <c r="V60" s="73">
        <v>14</v>
      </c>
      <c r="W60" s="73">
        <v>133</v>
      </c>
    </row>
    <row r="61" spans="1:23" x14ac:dyDescent="0.3">
      <c r="A61" s="24"/>
      <c r="B61" s="24"/>
      <c r="C61" s="24"/>
      <c r="D61" s="24"/>
      <c r="E61" s="24" t="s">
        <v>98</v>
      </c>
      <c r="F61" s="73">
        <v>1487</v>
      </c>
      <c r="G61" s="73">
        <v>582</v>
      </c>
      <c r="H61" s="73">
        <v>1404</v>
      </c>
      <c r="I61" s="73">
        <v>421</v>
      </c>
      <c r="J61" s="73">
        <v>416</v>
      </c>
      <c r="K61" s="73">
        <v>539</v>
      </c>
      <c r="L61" s="73">
        <v>256</v>
      </c>
      <c r="M61" s="73">
        <v>202</v>
      </c>
      <c r="N61" s="73">
        <v>2263</v>
      </c>
      <c r="O61" s="73">
        <v>453</v>
      </c>
      <c r="P61" s="73">
        <v>741</v>
      </c>
      <c r="Q61" s="73">
        <v>764</v>
      </c>
      <c r="R61" s="73">
        <v>592</v>
      </c>
      <c r="S61" s="73">
        <v>726</v>
      </c>
      <c r="T61" s="73">
        <v>722</v>
      </c>
      <c r="U61" s="73">
        <v>730</v>
      </c>
      <c r="V61" s="73">
        <v>1568</v>
      </c>
      <c r="W61" s="73">
        <v>13866</v>
      </c>
    </row>
    <row r="62" spans="1:23" x14ac:dyDescent="0.3">
      <c r="A62" s="24"/>
      <c r="B62" s="24" t="s">
        <v>99</v>
      </c>
      <c r="C62" s="24"/>
      <c r="D62" s="24"/>
      <c r="E62" s="24"/>
      <c r="F62" s="73">
        <v>87315</v>
      </c>
      <c r="G62" s="73">
        <v>34631</v>
      </c>
      <c r="H62" s="73">
        <v>25605</v>
      </c>
      <c r="I62" s="73">
        <v>36779</v>
      </c>
      <c r="J62" s="73">
        <v>16934</v>
      </c>
      <c r="K62" s="73">
        <v>17560</v>
      </c>
      <c r="L62" s="73">
        <v>12148</v>
      </c>
      <c r="M62" s="73">
        <v>3740</v>
      </c>
      <c r="N62" s="73">
        <v>168018</v>
      </c>
      <c r="O62" s="73">
        <v>23995</v>
      </c>
      <c r="P62" s="73">
        <v>24676</v>
      </c>
      <c r="Q62" s="73">
        <v>34773</v>
      </c>
      <c r="R62" s="73">
        <v>27031</v>
      </c>
      <c r="S62" s="73">
        <v>29905</v>
      </c>
      <c r="T62" s="73">
        <v>40958</v>
      </c>
      <c r="U62" s="73">
        <v>44257</v>
      </c>
      <c r="V62" s="73">
        <v>11179</v>
      </c>
      <c r="W62" s="73">
        <v>639504</v>
      </c>
    </row>
    <row r="63" spans="1:23" x14ac:dyDescent="0.3">
      <c r="A63" s="24"/>
      <c r="B63" s="24"/>
      <c r="C63" s="24" t="s">
        <v>100</v>
      </c>
      <c r="D63" s="24"/>
      <c r="E63" s="24"/>
      <c r="F63" s="73">
        <v>84156</v>
      </c>
      <c r="G63" s="73">
        <v>33471</v>
      </c>
      <c r="H63" s="73">
        <v>24191</v>
      </c>
      <c r="I63" s="73">
        <v>35536</v>
      </c>
      <c r="J63" s="73">
        <v>15930</v>
      </c>
      <c r="K63" s="73">
        <v>16578</v>
      </c>
      <c r="L63" s="73">
        <v>11565</v>
      </c>
      <c r="M63" s="73">
        <v>3380</v>
      </c>
      <c r="N63" s="73">
        <v>160495</v>
      </c>
      <c r="O63" s="73">
        <v>22815</v>
      </c>
      <c r="P63" s="73">
        <v>23453</v>
      </c>
      <c r="Q63" s="73">
        <v>33046</v>
      </c>
      <c r="R63" s="73">
        <v>25930</v>
      </c>
      <c r="S63" s="73">
        <v>28782</v>
      </c>
      <c r="T63" s="73">
        <v>38993</v>
      </c>
      <c r="U63" s="73">
        <v>42446</v>
      </c>
      <c r="V63" s="73">
        <v>10860</v>
      </c>
      <c r="W63" s="73">
        <v>611627</v>
      </c>
    </row>
    <row r="64" spans="1:23" x14ac:dyDescent="0.3">
      <c r="A64" s="24"/>
      <c r="B64" s="24"/>
      <c r="C64" s="24"/>
      <c r="D64" s="24" t="s">
        <v>101</v>
      </c>
      <c r="E64" s="24"/>
      <c r="F64" s="73">
        <v>0</v>
      </c>
      <c r="G64" s="73">
        <v>0</v>
      </c>
      <c r="H64" s="73">
        <v>0</v>
      </c>
      <c r="I64" s="73">
        <v>0</v>
      </c>
      <c r="J64" s="73">
        <v>0</v>
      </c>
      <c r="K64" s="73">
        <v>0</v>
      </c>
      <c r="L64" s="73">
        <v>0</v>
      </c>
      <c r="M64" s="73">
        <v>0</v>
      </c>
      <c r="N64" s="73">
        <v>0</v>
      </c>
      <c r="O64" s="73">
        <v>0</v>
      </c>
      <c r="P64" s="73">
        <v>0</v>
      </c>
      <c r="Q64" s="73">
        <v>0</v>
      </c>
      <c r="R64" s="73">
        <v>0</v>
      </c>
      <c r="S64" s="73">
        <v>0</v>
      </c>
      <c r="T64" s="73">
        <v>0</v>
      </c>
      <c r="U64" s="73">
        <v>0</v>
      </c>
      <c r="V64" s="73">
        <v>0</v>
      </c>
      <c r="W64" s="73">
        <v>0</v>
      </c>
    </row>
    <row r="65" spans="1:23" x14ac:dyDescent="0.3">
      <c r="A65" s="24"/>
      <c r="B65" s="24"/>
      <c r="C65" s="24"/>
      <c r="D65" s="24" t="s">
        <v>102</v>
      </c>
      <c r="E65" s="24"/>
      <c r="F65" s="73">
        <v>0</v>
      </c>
      <c r="G65" s="73">
        <v>0</v>
      </c>
      <c r="H65" s="73">
        <v>0</v>
      </c>
      <c r="I65" s="73">
        <v>0</v>
      </c>
      <c r="J65" s="73">
        <v>0</v>
      </c>
      <c r="K65" s="73">
        <v>0</v>
      </c>
      <c r="L65" s="73">
        <v>0</v>
      </c>
      <c r="M65" s="73">
        <v>0</v>
      </c>
      <c r="N65" s="73">
        <v>1</v>
      </c>
      <c r="O65" s="73">
        <v>0</v>
      </c>
      <c r="P65" s="73">
        <v>0</v>
      </c>
      <c r="Q65" s="73">
        <v>0</v>
      </c>
      <c r="R65" s="73">
        <v>0</v>
      </c>
      <c r="S65" s="73">
        <v>0</v>
      </c>
      <c r="T65" s="73">
        <v>0</v>
      </c>
      <c r="U65" s="73">
        <v>0</v>
      </c>
      <c r="V65" s="73">
        <v>0</v>
      </c>
      <c r="W65" s="73">
        <v>1</v>
      </c>
    </row>
    <row r="66" spans="1:23" x14ac:dyDescent="0.3">
      <c r="A66" s="24"/>
      <c r="B66" s="24"/>
      <c r="C66" s="24"/>
      <c r="D66" s="24" t="s">
        <v>103</v>
      </c>
      <c r="E66" s="24"/>
      <c r="F66" s="73">
        <v>0</v>
      </c>
      <c r="G66" s="73">
        <v>0</v>
      </c>
      <c r="H66" s="73">
        <v>0</v>
      </c>
      <c r="I66" s="73">
        <v>0</v>
      </c>
      <c r="J66" s="73">
        <v>0</v>
      </c>
      <c r="K66" s="73">
        <v>0</v>
      </c>
      <c r="L66" s="73">
        <v>0</v>
      </c>
      <c r="M66" s="73">
        <v>0</v>
      </c>
      <c r="N66" s="73">
        <v>0</v>
      </c>
      <c r="O66" s="73">
        <v>0</v>
      </c>
      <c r="P66" s="73">
        <v>0</v>
      </c>
      <c r="Q66" s="73">
        <v>0</v>
      </c>
      <c r="R66" s="73">
        <v>0</v>
      </c>
      <c r="S66" s="73">
        <v>0</v>
      </c>
      <c r="T66" s="73">
        <v>0</v>
      </c>
      <c r="U66" s="73">
        <v>0</v>
      </c>
      <c r="V66" s="73">
        <v>0</v>
      </c>
      <c r="W66" s="73">
        <v>0</v>
      </c>
    </row>
    <row r="67" spans="1:23" x14ac:dyDescent="0.3">
      <c r="A67" s="24"/>
      <c r="B67" s="24"/>
      <c r="C67" s="24"/>
      <c r="D67" s="24" t="s">
        <v>104</v>
      </c>
      <c r="E67" s="24"/>
      <c r="F67" s="73">
        <v>0</v>
      </c>
      <c r="G67" s="73">
        <v>0</v>
      </c>
      <c r="H67" s="73">
        <v>0</v>
      </c>
      <c r="I67" s="73">
        <v>0</v>
      </c>
      <c r="J67" s="73">
        <v>0</v>
      </c>
      <c r="K67" s="73">
        <v>0</v>
      </c>
      <c r="L67" s="73">
        <v>0</v>
      </c>
      <c r="M67" s="73">
        <v>0</v>
      </c>
      <c r="N67" s="73">
        <v>0</v>
      </c>
      <c r="O67" s="73">
        <v>0</v>
      </c>
      <c r="P67" s="73">
        <v>0</v>
      </c>
      <c r="Q67" s="73">
        <v>0</v>
      </c>
      <c r="R67" s="73">
        <v>0</v>
      </c>
      <c r="S67" s="73">
        <v>0</v>
      </c>
      <c r="T67" s="73">
        <v>0</v>
      </c>
      <c r="U67" s="73">
        <v>0</v>
      </c>
      <c r="V67" s="73">
        <v>0</v>
      </c>
      <c r="W67" s="73">
        <v>0</v>
      </c>
    </row>
    <row r="68" spans="1:23" x14ac:dyDescent="0.3">
      <c r="A68" s="24"/>
      <c r="B68" s="24"/>
      <c r="C68" s="24"/>
      <c r="D68" s="24" t="s">
        <v>105</v>
      </c>
      <c r="E68" s="24"/>
      <c r="F68" s="73">
        <v>0</v>
      </c>
      <c r="G68" s="73">
        <v>0</v>
      </c>
      <c r="H68" s="73">
        <v>0</v>
      </c>
      <c r="I68" s="73">
        <v>0</v>
      </c>
      <c r="J68" s="73">
        <v>0</v>
      </c>
      <c r="K68" s="73">
        <v>0</v>
      </c>
      <c r="L68" s="73">
        <v>0</v>
      </c>
      <c r="M68" s="73">
        <v>0</v>
      </c>
      <c r="N68" s="73">
        <v>0</v>
      </c>
      <c r="O68" s="73">
        <v>0</v>
      </c>
      <c r="P68" s="73">
        <v>0</v>
      </c>
      <c r="Q68" s="73">
        <v>0</v>
      </c>
      <c r="R68" s="73">
        <v>0</v>
      </c>
      <c r="S68" s="73">
        <v>0</v>
      </c>
      <c r="T68" s="73">
        <v>0</v>
      </c>
      <c r="U68" s="73">
        <v>0</v>
      </c>
      <c r="V68" s="73">
        <v>0</v>
      </c>
      <c r="W68" s="73">
        <v>0</v>
      </c>
    </row>
    <row r="69" spans="1:23" x14ac:dyDescent="0.3">
      <c r="A69" s="24"/>
      <c r="B69" s="24"/>
      <c r="C69" s="24"/>
      <c r="D69" s="24" t="s">
        <v>106</v>
      </c>
      <c r="E69" s="24"/>
      <c r="F69" s="73">
        <v>0</v>
      </c>
      <c r="G69" s="73">
        <v>0</v>
      </c>
      <c r="H69" s="73">
        <v>0</v>
      </c>
      <c r="I69" s="73">
        <v>0</v>
      </c>
      <c r="J69" s="73">
        <v>0</v>
      </c>
      <c r="K69" s="73">
        <v>0</v>
      </c>
      <c r="L69" s="73">
        <v>0</v>
      </c>
      <c r="M69" s="73">
        <v>0</v>
      </c>
      <c r="N69" s="73">
        <v>0</v>
      </c>
      <c r="O69" s="73">
        <v>0</v>
      </c>
      <c r="P69" s="73">
        <v>0</v>
      </c>
      <c r="Q69" s="73">
        <v>0</v>
      </c>
      <c r="R69" s="73">
        <v>0</v>
      </c>
      <c r="S69" s="73">
        <v>0</v>
      </c>
      <c r="T69" s="73">
        <v>0</v>
      </c>
      <c r="U69" s="73">
        <v>0</v>
      </c>
      <c r="V69" s="73">
        <v>0</v>
      </c>
      <c r="W69" s="73">
        <v>0</v>
      </c>
    </row>
    <row r="70" spans="1:23" x14ac:dyDescent="0.3">
      <c r="A70" s="24"/>
      <c r="B70" s="24"/>
      <c r="C70" s="24"/>
      <c r="D70" s="24" t="s">
        <v>107</v>
      </c>
      <c r="E70" s="24"/>
      <c r="F70" s="73">
        <v>84156</v>
      </c>
      <c r="G70" s="73">
        <v>33471</v>
      </c>
      <c r="H70" s="73">
        <v>24191</v>
      </c>
      <c r="I70" s="73">
        <v>35536</v>
      </c>
      <c r="J70" s="73">
        <v>15930</v>
      </c>
      <c r="K70" s="73">
        <v>16578</v>
      </c>
      <c r="L70" s="73">
        <v>11565</v>
      </c>
      <c r="M70" s="73">
        <v>3380</v>
      </c>
      <c r="N70" s="73">
        <v>160494</v>
      </c>
      <c r="O70" s="73">
        <v>22815</v>
      </c>
      <c r="P70" s="73">
        <v>23453</v>
      </c>
      <c r="Q70" s="73">
        <v>33046</v>
      </c>
      <c r="R70" s="73">
        <v>25930</v>
      </c>
      <c r="S70" s="73">
        <v>28782</v>
      </c>
      <c r="T70" s="73">
        <v>38993</v>
      </c>
      <c r="U70" s="73">
        <v>42446</v>
      </c>
      <c r="V70" s="73">
        <v>10860</v>
      </c>
      <c r="W70" s="73">
        <v>611626</v>
      </c>
    </row>
    <row r="71" spans="1:23" x14ac:dyDescent="0.3">
      <c r="A71" s="24"/>
      <c r="B71" s="24"/>
      <c r="C71" s="24"/>
      <c r="D71" s="24"/>
      <c r="E71" s="24" t="s">
        <v>108</v>
      </c>
      <c r="F71" s="73">
        <v>79950</v>
      </c>
      <c r="G71" s="73">
        <v>31232</v>
      </c>
      <c r="H71" s="73">
        <v>22205</v>
      </c>
      <c r="I71" s="73">
        <v>33685</v>
      </c>
      <c r="J71" s="73">
        <v>14813</v>
      </c>
      <c r="K71" s="73">
        <v>15451</v>
      </c>
      <c r="L71" s="73">
        <v>10434</v>
      </c>
      <c r="M71" s="73">
        <v>3174</v>
      </c>
      <c r="N71" s="73">
        <v>150701</v>
      </c>
      <c r="O71" s="73">
        <v>21066</v>
      </c>
      <c r="P71" s="73">
        <v>21760</v>
      </c>
      <c r="Q71" s="73">
        <v>30532</v>
      </c>
      <c r="R71" s="73">
        <v>24304</v>
      </c>
      <c r="S71" s="73">
        <v>26691</v>
      </c>
      <c r="T71" s="73">
        <v>35412</v>
      </c>
      <c r="U71" s="73">
        <v>39006</v>
      </c>
      <c r="V71" s="73">
        <v>10129</v>
      </c>
      <c r="W71" s="73">
        <v>570545</v>
      </c>
    </row>
    <row r="72" spans="1:23" x14ac:dyDescent="0.3">
      <c r="A72" s="24"/>
      <c r="B72" s="24"/>
      <c r="C72" s="24"/>
      <c r="D72" s="24"/>
      <c r="E72" s="24" t="s">
        <v>109</v>
      </c>
      <c r="F72" s="73">
        <v>1434</v>
      </c>
      <c r="G72" s="73">
        <v>693</v>
      </c>
      <c r="H72" s="73">
        <v>689</v>
      </c>
      <c r="I72" s="73">
        <v>622</v>
      </c>
      <c r="J72" s="73">
        <v>449</v>
      </c>
      <c r="K72" s="73">
        <v>464</v>
      </c>
      <c r="L72" s="73">
        <v>411</v>
      </c>
      <c r="M72" s="73">
        <v>86</v>
      </c>
      <c r="N72" s="73">
        <v>3569</v>
      </c>
      <c r="O72" s="73">
        <v>681</v>
      </c>
      <c r="P72" s="73">
        <v>631</v>
      </c>
      <c r="Q72" s="73">
        <v>934</v>
      </c>
      <c r="R72" s="73">
        <v>679</v>
      </c>
      <c r="S72" s="73">
        <v>948</v>
      </c>
      <c r="T72" s="73">
        <v>1130</v>
      </c>
      <c r="U72" s="73">
        <v>1135</v>
      </c>
      <c r="V72" s="73">
        <v>317</v>
      </c>
      <c r="W72" s="73">
        <v>14872</v>
      </c>
    </row>
    <row r="73" spans="1:23" x14ac:dyDescent="0.3">
      <c r="A73" s="24"/>
      <c r="B73" s="24"/>
      <c r="C73" s="24"/>
      <c r="D73" s="24"/>
      <c r="E73" s="24" t="s">
        <v>110</v>
      </c>
      <c r="F73" s="73">
        <v>823</v>
      </c>
      <c r="G73" s="73">
        <v>400</v>
      </c>
      <c r="H73" s="73">
        <v>354</v>
      </c>
      <c r="I73" s="73">
        <v>352</v>
      </c>
      <c r="J73" s="73">
        <v>265</v>
      </c>
      <c r="K73" s="73">
        <v>237</v>
      </c>
      <c r="L73" s="73">
        <v>248</v>
      </c>
      <c r="M73" s="73">
        <v>38</v>
      </c>
      <c r="N73" s="73">
        <v>1854</v>
      </c>
      <c r="O73" s="73">
        <v>440</v>
      </c>
      <c r="P73" s="73">
        <v>387</v>
      </c>
      <c r="Q73" s="73">
        <v>579</v>
      </c>
      <c r="R73" s="73">
        <v>425</v>
      </c>
      <c r="S73" s="73">
        <v>535</v>
      </c>
      <c r="T73" s="73">
        <v>707</v>
      </c>
      <c r="U73" s="73">
        <v>669</v>
      </c>
      <c r="V73" s="73">
        <v>197</v>
      </c>
      <c r="W73" s="73">
        <v>8510</v>
      </c>
    </row>
    <row r="74" spans="1:23" x14ac:dyDescent="0.3">
      <c r="A74" s="24"/>
      <c r="B74" s="24"/>
      <c r="C74" s="24"/>
      <c r="D74" s="24"/>
      <c r="E74" s="24" t="s">
        <v>111</v>
      </c>
      <c r="F74" s="73">
        <v>1891</v>
      </c>
      <c r="G74" s="73">
        <v>1108</v>
      </c>
      <c r="H74" s="73">
        <v>882</v>
      </c>
      <c r="I74" s="73">
        <v>840</v>
      </c>
      <c r="J74" s="73">
        <v>394</v>
      </c>
      <c r="K74" s="73">
        <v>419</v>
      </c>
      <c r="L74" s="73">
        <v>452</v>
      </c>
      <c r="M74" s="73">
        <v>82</v>
      </c>
      <c r="N74" s="73">
        <v>4140</v>
      </c>
      <c r="O74" s="73">
        <v>611</v>
      </c>
      <c r="P74" s="73">
        <v>656</v>
      </c>
      <c r="Q74" s="73">
        <v>985</v>
      </c>
      <c r="R74" s="73">
        <v>517</v>
      </c>
      <c r="S74" s="73">
        <v>593</v>
      </c>
      <c r="T74" s="73">
        <v>1627</v>
      </c>
      <c r="U74" s="73">
        <v>1573</v>
      </c>
      <c r="V74" s="73">
        <v>209</v>
      </c>
      <c r="W74" s="73">
        <v>16979</v>
      </c>
    </row>
    <row r="75" spans="1:23" x14ac:dyDescent="0.3">
      <c r="A75" s="24"/>
      <c r="B75" s="24"/>
      <c r="C75" s="24"/>
      <c r="D75" s="24"/>
      <c r="E75" s="24" t="s">
        <v>112</v>
      </c>
      <c r="F75" s="73">
        <v>58</v>
      </c>
      <c r="G75" s="73">
        <v>38</v>
      </c>
      <c r="H75" s="73">
        <v>61</v>
      </c>
      <c r="I75" s="73">
        <v>37</v>
      </c>
      <c r="J75" s="73">
        <v>9</v>
      </c>
      <c r="K75" s="73">
        <v>7</v>
      </c>
      <c r="L75" s="73">
        <v>20</v>
      </c>
      <c r="M75" s="73">
        <v>0</v>
      </c>
      <c r="N75" s="73">
        <v>230</v>
      </c>
      <c r="O75" s="73">
        <v>17</v>
      </c>
      <c r="P75" s="73">
        <v>19</v>
      </c>
      <c r="Q75" s="73">
        <v>16</v>
      </c>
      <c r="R75" s="73">
        <v>5</v>
      </c>
      <c r="S75" s="73">
        <v>15</v>
      </c>
      <c r="T75" s="73">
        <v>117</v>
      </c>
      <c r="U75" s="73">
        <v>63</v>
      </c>
      <c r="V75" s="73">
        <v>8</v>
      </c>
      <c r="W75" s="73">
        <v>720</v>
      </c>
    </row>
    <row r="76" spans="1:23" x14ac:dyDescent="0.3">
      <c r="A76" s="24"/>
      <c r="B76" s="24"/>
      <c r="C76" s="24" t="s">
        <v>113</v>
      </c>
      <c r="D76" s="24"/>
      <c r="E76" s="24"/>
      <c r="F76" s="73">
        <v>3159</v>
      </c>
      <c r="G76" s="73">
        <v>1160</v>
      </c>
      <c r="H76" s="73">
        <v>1414</v>
      </c>
      <c r="I76" s="73">
        <v>1243</v>
      </c>
      <c r="J76" s="73">
        <v>1004</v>
      </c>
      <c r="K76" s="73">
        <v>982</v>
      </c>
      <c r="L76" s="73">
        <v>583</v>
      </c>
      <c r="M76" s="73">
        <v>360</v>
      </c>
      <c r="N76" s="73">
        <v>7523</v>
      </c>
      <c r="O76" s="73">
        <v>1180</v>
      </c>
      <c r="P76" s="73">
        <v>1223</v>
      </c>
      <c r="Q76" s="73">
        <v>1727</v>
      </c>
      <c r="R76" s="73">
        <v>1101</v>
      </c>
      <c r="S76" s="73">
        <v>1123</v>
      </c>
      <c r="T76" s="73">
        <v>1965</v>
      </c>
      <c r="U76" s="73">
        <v>1811</v>
      </c>
      <c r="V76" s="73">
        <v>319</v>
      </c>
      <c r="W76" s="73">
        <v>27877</v>
      </c>
    </row>
    <row r="77" spans="1:23" x14ac:dyDescent="0.3">
      <c r="A77" s="24"/>
      <c r="B77" s="24"/>
      <c r="C77" s="24"/>
      <c r="D77" s="24" t="s">
        <v>114</v>
      </c>
      <c r="E77" s="24"/>
      <c r="F77" s="73">
        <v>803</v>
      </c>
      <c r="G77" s="73">
        <v>357</v>
      </c>
      <c r="H77" s="73">
        <v>235</v>
      </c>
      <c r="I77" s="73">
        <v>180</v>
      </c>
      <c r="J77" s="73">
        <v>255</v>
      </c>
      <c r="K77" s="73">
        <v>136</v>
      </c>
      <c r="L77" s="73">
        <v>84</v>
      </c>
      <c r="M77" s="73">
        <v>13</v>
      </c>
      <c r="N77" s="73">
        <v>826</v>
      </c>
      <c r="O77" s="73">
        <v>170</v>
      </c>
      <c r="P77" s="73">
        <v>150</v>
      </c>
      <c r="Q77" s="73">
        <v>208</v>
      </c>
      <c r="R77" s="73">
        <v>190</v>
      </c>
      <c r="S77" s="73">
        <v>212</v>
      </c>
      <c r="T77" s="73">
        <v>259</v>
      </c>
      <c r="U77" s="73">
        <v>353</v>
      </c>
      <c r="V77" s="73">
        <v>36</v>
      </c>
      <c r="W77" s="73">
        <v>4467</v>
      </c>
    </row>
    <row r="78" spans="1:23" x14ac:dyDescent="0.3">
      <c r="A78" s="24"/>
      <c r="B78" s="24"/>
      <c r="C78" s="24"/>
      <c r="D78" s="24" t="s">
        <v>115</v>
      </c>
      <c r="E78" s="24"/>
      <c r="F78" s="73">
        <v>7</v>
      </c>
      <c r="G78" s="73">
        <v>5</v>
      </c>
      <c r="H78" s="73">
        <v>3</v>
      </c>
      <c r="I78" s="73">
        <v>2</v>
      </c>
      <c r="J78" s="73">
        <v>3</v>
      </c>
      <c r="K78" s="73">
        <v>4</v>
      </c>
      <c r="L78" s="73">
        <v>0</v>
      </c>
      <c r="M78" s="73">
        <v>0</v>
      </c>
      <c r="N78" s="73">
        <v>21</v>
      </c>
      <c r="O78" s="73">
        <v>3</v>
      </c>
      <c r="P78" s="73">
        <v>3</v>
      </c>
      <c r="Q78" s="73">
        <v>6</v>
      </c>
      <c r="R78" s="73">
        <v>6</v>
      </c>
      <c r="S78" s="73">
        <v>6</v>
      </c>
      <c r="T78" s="73">
        <v>13</v>
      </c>
      <c r="U78" s="73">
        <v>6</v>
      </c>
      <c r="V78" s="73">
        <v>1</v>
      </c>
      <c r="W78" s="73">
        <v>89</v>
      </c>
    </row>
    <row r="79" spans="1:23" x14ac:dyDescent="0.3">
      <c r="A79" s="24"/>
      <c r="B79" s="24"/>
      <c r="C79" s="24"/>
      <c r="D79" s="24" t="s">
        <v>116</v>
      </c>
      <c r="E79" s="24"/>
      <c r="F79" s="73">
        <v>3</v>
      </c>
      <c r="G79" s="73">
        <v>0</v>
      </c>
      <c r="H79" s="73">
        <v>0</v>
      </c>
      <c r="I79" s="73">
        <v>0</v>
      </c>
      <c r="J79" s="73">
        <v>1</v>
      </c>
      <c r="K79" s="73">
        <v>0</v>
      </c>
      <c r="L79" s="73">
        <v>0</v>
      </c>
      <c r="M79" s="73">
        <v>0</v>
      </c>
      <c r="N79" s="73">
        <v>2</v>
      </c>
      <c r="O79" s="73">
        <v>0</v>
      </c>
      <c r="P79" s="73">
        <v>0</v>
      </c>
      <c r="Q79" s="73">
        <v>0</v>
      </c>
      <c r="R79" s="73">
        <v>0</v>
      </c>
      <c r="S79" s="73">
        <v>1</v>
      </c>
      <c r="T79" s="73">
        <v>1</v>
      </c>
      <c r="U79" s="73">
        <v>1</v>
      </c>
      <c r="V79" s="73">
        <v>1</v>
      </c>
      <c r="W79" s="73">
        <v>10</v>
      </c>
    </row>
    <row r="80" spans="1:23" x14ac:dyDescent="0.3">
      <c r="A80" s="24"/>
      <c r="B80" s="24"/>
      <c r="C80" s="24"/>
      <c r="D80" s="24" t="s">
        <v>117</v>
      </c>
      <c r="E80" s="24"/>
      <c r="F80" s="73">
        <v>21</v>
      </c>
      <c r="G80" s="73">
        <v>0</v>
      </c>
      <c r="H80" s="73">
        <v>1</v>
      </c>
      <c r="I80" s="73">
        <v>1</v>
      </c>
      <c r="J80" s="73">
        <v>2</v>
      </c>
      <c r="K80" s="73">
        <v>2</v>
      </c>
      <c r="L80" s="73">
        <v>4</v>
      </c>
      <c r="M80" s="73">
        <v>1</v>
      </c>
      <c r="N80" s="73">
        <v>14</v>
      </c>
      <c r="O80" s="73">
        <v>2</v>
      </c>
      <c r="P80" s="73">
        <v>2</v>
      </c>
      <c r="Q80" s="73">
        <v>0</v>
      </c>
      <c r="R80" s="73">
        <v>2</v>
      </c>
      <c r="S80" s="73">
        <v>3</v>
      </c>
      <c r="T80" s="73">
        <v>1</v>
      </c>
      <c r="U80" s="73">
        <v>2</v>
      </c>
      <c r="V80" s="73">
        <v>1</v>
      </c>
      <c r="W80" s="73">
        <v>59</v>
      </c>
    </row>
    <row r="81" spans="1:23" x14ac:dyDescent="0.3">
      <c r="A81" s="24"/>
      <c r="B81" s="24"/>
      <c r="C81" s="24"/>
      <c r="D81" s="24" t="s">
        <v>118</v>
      </c>
      <c r="E81" s="24"/>
      <c r="F81" s="73">
        <v>1299</v>
      </c>
      <c r="G81" s="73">
        <v>451</v>
      </c>
      <c r="H81" s="73">
        <v>856</v>
      </c>
      <c r="I81" s="73">
        <v>643</v>
      </c>
      <c r="J81" s="73">
        <v>492</v>
      </c>
      <c r="K81" s="73">
        <v>562</v>
      </c>
      <c r="L81" s="73">
        <v>298</v>
      </c>
      <c r="M81" s="73">
        <v>298</v>
      </c>
      <c r="N81" s="73">
        <v>4689</v>
      </c>
      <c r="O81" s="73">
        <v>692</v>
      </c>
      <c r="P81" s="73">
        <v>748</v>
      </c>
      <c r="Q81" s="73">
        <v>1119</v>
      </c>
      <c r="R81" s="73">
        <v>581</v>
      </c>
      <c r="S81" s="73">
        <v>570</v>
      </c>
      <c r="T81" s="73">
        <v>1190</v>
      </c>
      <c r="U81" s="73">
        <v>976</v>
      </c>
      <c r="V81" s="73">
        <v>129</v>
      </c>
      <c r="W81" s="73">
        <v>15593</v>
      </c>
    </row>
    <row r="82" spans="1:23" x14ac:dyDescent="0.3">
      <c r="A82" s="24"/>
      <c r="B82" s="24"/>
      <c r="C82" s="24"/>
      <c r="D82" s="24" t="s">
        <v>119</v>
      </c>
      <c r="E82" s="24"/>
      <c r="F82" s="73">
        <v>1026</v>
      </c>
      <c r="G82" s="73">
        <v>347</v>
      </c>
      <c r="H82" s="73">
        <v>319</v>
      </c>
      <c r="I82" s="73">
        <v>417</v>
      </c>
      <c r="J82" s="73">
        <v>251</v>
      </c>
      <c r="K82" s="73">
        <v>278</v>
      </c>
      <c r="L82" s="73">
        <v>197</v>
      </c>
      <c r="M82" s="73">
        <v>48</v>
      </c>
      <c r="N82" s="73">
        <v>1971</v>
      </c>
      <c r="O82" s="73">
        <v>313</v>
      </c>
      <c r="P82" s="73">
        <v>320</v>
      </c>
      <c r="Q82" s="73">
        <v>394</v>
      </c>
      <c r="R82" s="73">
        <v>322</v>
      </c>
      <c r="S82" s="73">
        <v>331</v>
      </c>
      <c r="T82" s="73">
        <v>501</v>
      </c>
      <c r="U82" s="73">
        <v>473</v>
      </c>
      <c r="V82" s="73">
        <v>151</v>
      </c>
      <c r="W82" s="73">
        <v>7659</v>
      </c>
    </row>
    <row r="83" spans="1:23" x14ac:dyDescent="0.3">
      <c r="A83" s="24"/>
      <c r="B83" s="24" t="s">
        <v>120</v>
      </c>
      <c r="C83" s="24"/>
      <c r="D83" s="24"/>
      <c r="E83" s="24"/>
      <c r="F83" s="73">
        <v>267951</v>
      </c>
      <c r="G83" s="73">
        <v>151295</v>
      </c>
      <c r="H83" s="73">
        <v>137478</v>
      </c>
      <c r="I83" s="73">
        <v>160596</v>
      </c>
      <c r="J83" s="73">
        <v>78289</v>
      </c>
      <c r="K83" s="73">
        <v>74217</v>
      </c>
      <c r="L83" s="73">
        <v>61146</v>
      </c>
      <c r="M83" s="73">
        <v>14741</v>
      </c>
      <c r="N83" s="73">
        <v>688478</v>
      </c>
      <c r="O83" s="73">
        <v>148279</v>
      </c>
      <c r="P83" s="73">
        <v>142678</v>
      </c>
      <c r="Q83" s="73">
        <v>203683</v>
      </c>
      <c r="R83" s="73">
        <v>169624</v>
      </c>
      <c r="S83" s="73">
        <v>223291</v>
      </c>
      <c r="T83" s="73">
        <v>293101</v>
      </c>
      <c r="U83" s="73">
        <v>264898</v>
      </c>
      <c r="V83" s="73">
        <v>76857</v>
      </c>
      <c r="W83" s="73">
        <v>3156602</v>
      </c>
    </row>
    <row r="84" spans="1:23" x14ac:dyDescent="0.3">
      <c r="A84" s="24"/>
      <c r="B84" s="24"/>
      <c r="C84" s="24" t="s">
        <v>121</v>
      </c>
      <c r="D84" s="24"/>
      <c r="E84" s="24"/>
      <c r="F84" s="73">
        <v>170876</v>
      </c>
      <c r="G84" s="73">
        <v>109158</v>
      </c>
      <c r="H84" s="73">
        <v>91575</v>
      </c>
      <c r="I84" s="73">
        <v>109043</v>
      </c>
      <c r="J84" s="73">
        <v>54744</v>
      </c>
      <c r="K84" s="73">
        <v>49416</v>
      </c>
      <c r="L84" s="73">
        <v>44313</v>
      </c>
      <c r="M84" s="73">
        <v>10712</v>
      </c>
      <c r="N84" s="73">
        <v>490328</v>
      </c>
      <c r="O84" s="73">
        <v>111462</v>
      </c>
      <c r="P84" s="73">
        <v>108090</v>
      </c>
      <c r="Q84" s="73">
        <v>159037</v>
      </c>
      <c r="R84" s="73">
        <v>131796</v>
      </c>
      <c r="S84" s="73">
        <v>181689</v>
      </c>
      <c r="T84" s="73">
        <v>224524</v>
      </c>
      <c r="U84" s="73">
        <v>204722</v>
      </c>
      <c r="V84" s="73">
        <v>58115</v>
      </c>
      <c r="W84" s="73">
        <v>2309600</v>
      </c>
    </row>
    <row r="85" spans="1:23" x14ac:dyDescent="0.3">
      <c r="A85" s="24"/>
      <c r="B85" s="24"/>
      <c r="C85" s="24"/>
      <c r="D85" s="24" t="s">
        <v>122</v>
      </c>
      <c r="E85" s="24"/>
      <c r="F85" s="73">
        <v>22825</v>
      </c>
      <c r="G85" s="73">
        <v>12647</v>
      </c>
      <c r="H85" s="73">
        <v>12352</v>
      </c>
      <c r="I85" s="73">
        <v>18301</v>
      </c>
      <c r="J85" s="73">
        <v>8348</v>
      </c>
      <c r="K85" s="73">
        <v>9182</v>
      </c>
      <c r="L85" s="73">
        <v>5182</v>
      </c>
      <c r="M85" s="73">
        <v>2066</v>
      </c>
      <c r="N85" s="73">
        <v>80681</v>
      </c>
      <c r="O85" s="73">
        <v>21332</v>
      </c>
      <c r="P85" s="73">
        <v>17901</v>
      </c>
      <c r="Q85" s="73">
        <v>23579</v>
      </c>
      <c r="R85" s="73">
        <v>18591</v>
      </c>
      <c r="S85" s="73">
        <v>18801</v>
      </c>
      <c r="T85" s="73">
        <v>24679</v>
      </c>
      <c r="U85" s="73">
        <v>24591</v>
      </c>
      <c r="V85" s="73">
        <v>7898</v>
      </c>
      <c r="W85" s="73">
        <v>328956</v>
      </c>
    </row>
    <row r="86" spans="1:23" x14ac:dyDescent="0.3">
      <c r="A86" s="24"/>
      <c r="B86" s="24"/>
      <c r="C86" s="24"/>
      <c r="D86" s="24" t="s">
        <v>123</v>
      </c>
      <c r="E86" s="24"/>
      <c r="F86" s="73">
        <v>148051</v>
      </c>
      <c r="G86" s="73">
        <v>96511</v>
      </c>
      <c r="H86" s="73">
        <v>79223</v>
      </c>
      <c r="I86" s="73">
        <v>90742</v>
      </c>
      <c r="J86" s="73">
        <v>46396</v>
      </c>
      <c r="K86" s="73">
        <v>40234</v>
      </c>
      <c r="L86" s="73">
        <v>39131</v>
      </c>
      <c r="M86" s="73">
        <v>8646</v>
      </c>
      <c r="N86" s="73">
        <v>409647</v>
      </c>
      <c r="O86" s="73">
        <v>90130</v>
      </c>
      <c r="P86" s="73">
        <v>90189</v>
      </c>
      <c r="Q86" s="73">
        <v>135458</v>
      </c>
      <c r="R86" s="73">
        <v>113205</v>
      </c>
      <c r="S86" s="73">
        <v>162888</v>
      </c>
      <c r="T86" s="73">
        <v>199845</v>
      </c>
      <c r="U86" s="73">
        <v>180131</v>
      </c>
      <c r="V86" s="73">
        <v>50217</v>
      </c>
      <c r="W86" s="73">
        <v>1980644</v>
      </c>
    </row>
    <row r="87" spans="1:23" x14ac:dyDescent="0.3">
      <c r="A87" s="24"/>
      <c r="B87" s="24"/>
      <c r="C87" s="24"/>
      <c r="D87" s="24"/>
      <c r="E87" s="24" t="s">
        <v>124</v>
      </c>
      <c r="F87" s="73">
        <v>126813</v>
      </c>
      <c r="G87" s="73">
        <v>82362</v>
      </c>
      <c r="H87" s="73">
        <v>69358</v>
      </c>
      <c r="I87" s="73">
        <v>76616</v>
      </c>
      <c r="J87" s="73">
        <v>39295</v>
      </c>
      <c r="K87" s="73">
        <v>34978</v>
      </c>
      <c r="L87" s="73">
        <v>34230</v>
      </c>
      <c r="M87" s="73">
        <v>7337</v>
      </c>
      <c r="N87" s="73">
        <v>337740</v>
      </c>
      <c r="O87" s="73">
        <v>79231</v>
      </c>
      <c r="P87" s="73">
        <v>78747</v>
      </c>
      <c r="Q87" s="73">
        <v>116434</v>
      </c>
      <c r="R87" s="73">
        <v>98244</v>
      </c>
      <c r="S87" s="73">
        <v>143194</v>
      </c>
      <c r="T87" s="73">
        <v>178669</v>
      </c>
      <c r="U87" s="73">
        <v>155555</v>
      </c>
      <c r="V87" s="73">
        <v>45548</v>
      </c>
      <c r="W87" s="73">
        <v>1704351</v>
      </c>
    </row>
    <row r="88" spans="1:23" x14ac:dyDescent="0.3">
      <c r="A88" s="24"/>
      <c r="B88" s="24"/>
      <c r="C88" s="24"/>
      <c r="D88" s="24"/>
      <c r="E88" s="24" t="s">
        <v>125</v>
      </c>
      <c r="F88" s="73">
        <v>14621</v>
      </c>
      <c r="G88" s="73">
        <v>8338</v>
      </c>
      <c r="H88" s="73">
        <v>5841</v>
      </c>
      <c r="I88" s="73">
        <v>8719</v>
      </c>
      <c r="J88" s="73">
        <v>3602</v>
      </c>
      <c r="K88" s="73">
        <v>2750</v>
      </c>
      <c r="L88" s="73">
        <v>2101</v>
      </c>
      <c r="M88" s="73">
        <v>550</v>
      </c>
      <c r="N88" s="73">
        <v>40001</v>
      </c>
      <c r="O88" s="73">
        <v>4742</v>
      </c>
      <c r="P88" s="73">
        <v>4597</v>
      </c>
      <c r="Q88" s="73">
        <v>7665</v>
      </c>
      <c r="R88" s="73">
        <v>6422</v>
      </c>
      <c r="S88" s="73">
        <v>7923</v>
      </c>
      <c r="T88" s="73">
        <v>9188</v>
      </c>
      <c r="U88" s="73">
        <v>11639</v>
      </c>
      <c r="V88" s="73">
        <v>2471</v>
      </c>
      <c r="W88" s="73">
        <v>141170</v>
      </c>
    </row>
    <row r="89" spans="1:23" x14ac:dyDescent="0.3">
      <c r="A89" s="24"/>
      <c r="B89" s="24"/>
      <c r="C89" s="24"/>
      <c r="D89" s="24"/>
      <c r="E89" s="24" t="s">
        <v>126</v>
      </c>
      <c r="F89" s="73">
        <v>3333</v>
      </c>
      <c r="G89" s="73">
        <v>2697</v>
      </c>
      <c r="H89" s="73">
        <v>2434</v>
      </c>
      <c r="I89" s="73">
        <v>2685</v>
      </c>
      <c r="J89" s="73">
        <v>1828</v>
      </c>
      <c r="K89" s="73">
        <v>1332</v>
      </c>
      <c r="L89" s="73">
        <v>1087</v>
      </c>
      <c r="M89" s="73">
        <v>349</v>
      </c>
      <c r="N89" s="73">
        <v>18447</v>
      </c>
      <c r="O89" s="73">
        <v>3140</v>
      </c>
      <c r="P89" s="73">
        <v>3468</v>
      </c>
      <c r="Q89" s="73">
        <v>5553</v>
      </c>
      <c r="R89" s="73">
        <v>4201</v>
      </c>
      <c r="S89" s="73">
        <v>5802</v>
      </c>
      <c r="T89" s="73">
        <v>6023</v>
      </c>
      <c r="U89" s="73">
        <v>6238</v>
      </c>
      <c r="V89" s="73">
        <v>1159</v>
      </c>
      <c r="W89" s="73">
        <v>69776</v>
      </c>
    </row>
    <row r="90" spans="1:23" x14ac:dyDescent="0.3">
      <c r="A90" s="24"/>
      <c r="B90" s="24"/>
      <c r="C90" s="24"/>
      <c r="D90" s="24"/>
      <c r="E90" s="24" t="s">
        <v>127</v>
      </c>
      <c r="F90" s="73">
        <v>2141</v>
      </c>
      <c r="G90" s="73">
        <v>2013</v>
      </c>
      <c r="H90" s="73">
        <v>1215</v>
      </c>
      <c r="I90" s="73">
        <v>1674</v>
      </c>
      <c r="J90" s="73">
        <v>1150</v>
      </c>
      <c r="K90" s="73">
        <v>880</v>
      </c>
      <c r="L90" s="73">
        <v>1074</v>
      </c>
      <c r="M90" s="73">
        <v>277</v>
      </c>
      <c r="N90" s="73">
        <v>9510</v>
      </c>
      <c r="O90" s="73">
        <v>2386</v>
      </c>
      <c r="P90" s="73">
        <v>2609</v>
      </c>
      <c r="Q90" s="73">
        <v>4113</v>
      </c>
      <c r="R90" s="73">
        <v>3074</v>
      </c>
      <c r="S90" s="73">
        <v>4275</v>
      </c>
      <c r="T90" s="73">
        <v>4474</v>
      </c>
      <c r="U90" s="73">
        <v>4950</v>
      </c>
      <c r="V90" s="73">
        <v>718</v>
      </c>
      <c r="W90" s="73">
        <v>46533</v>
      </c>
    </row>
    <row r="91" spans="1:23" x14ac:dyDescent="0.3">
      <c r="A91" s="24"/>
      <c r="B91" s="24"/>
      <c r="C91" s="24"/>
      <c r="D91" s="24"/>
      <c r="E91" s="24" t="s">
        <v>128</v>
      </c>
      <c r="F91" s="73">
        <v>283</v>
      </c>
      <c r="G91" s="73">
        <v>252</v>
      </c>
      <c r="H91" s="73">
        <v>130</v>
      </c>
      <c r="I91" s="73">
        <v>150</v>
      </c>
      <c r="J91" s="73">
        <v>145</v>
      </c>
      <c r="K91" s="73">
        <v>96</v>
      </c>
      <c r="L91" s="73">
        <v>141</v>
      </c>
      <c r="M91" s="73">
        <v>33</v>
      </c>
      <c r="N91" s="73">
        <v>1003</v>
      </c>
      <c r="O91" s="73">
        <v>219</v>
      </c>
      <c r="P91" s="73">
        <v>238</v>
      </c>
      <c r="Q91" s="73">
        <v>466</v>
      </c>
      <c r="R91" s="73">
        <v>365</v>
      </c>
      <c r="S91" s="73">
        <v>501</v>
      </c>
      <c r="T91" s="73">
        <v>418</v>
      </c>
      <c r="U91" s="73">
        <v>470</v>
      </c>
      <c r="V91" s="73">
        <v>65</v>
      </c>
      <c r="W91" s="73">
        <v>4975</v>
      </c>
    </row>
    <row r="92" spans="1:23" x14ac:dyDescent="0.3">
      <c r="A92" s="24"/>
      <c r="B92" s="24"/>
      <c r="C92" s="24"/>
      <c r="D92" s="24"/>
      <c r="E92" s="24" t="s">
        <v>129</v>
      </c>
      <c r="F92" s="73">
        <v>297</v>
      </c>
      <c r="G92" s="73">
        <v>201</v>
      </c>
      <c r="H92" s="73">
        <v>56</v>
      </c>
      <c r="I92" s="73">
        <v>148</v>
      </c>
      <c r="J92" s="73">
        <v>123</v>
      </c>
      <c r="K92" s="73">
        <v>27</v>
      </c>
      <c r="L92" s="73">
        <v>77</v>
      </c>
      <c r="M92" s="73">
        <v>9</v>
      </c>
      <c r="N92" s="73">
        <v>558</v>
      </c>
      <c r="O92" s="73">
        <v>83</v>
      </c>
      <c r="P92" s="73">
        <v>80</v>
      </c>
      <c r="Q92" s="73">
        <v>186</v>
      </c>
      <c r="R92" s="73">
        <v>168</v>
      </c>
      <c r="S92" s="73">
        <v>246</v>
      </c>
      <c r="T92" s="73">
        <v>186</v>
      </c>
      <c r="U92" s="73">
        <v>231</v>
      </c>
      <c r="V92" s="73">
        <v>28</v>
      </c>
      <c r="W92" s="73">
        <v>2704</v>
      </c>
    </row>
    <row r="93" spans="1:23" x14ac:dyDescent="0.3">
      <c r="A93" s="24"/>
      <c r="B93" s="24"/>
      <c r="C93" s="24"/>
      <c r="D93" s="24"/>
      <c r="E93" s="24" t="s">
        <v>130</v>
      </c>
      <c r="F93" s="73">
        <v>563</v>
      </c>
      <c r="G93" s="73">
        <v>648</v>
      </c>
      <c r="H93" s="73">
        <v>189</v>
      </c>
      <c r="I93" s="73">
        <v>750</v>
      </c>
      <c r="J93" s="73">
        <v>253</v>
      </c>
      <c r="K93" s="73">
        <v>171</v>
      </c>
      <c r="L93" s="73">
        <v>421</v>
      </c>
      <c r="M93" s="73">
        <v>91</v>
      </c>
      <c r="N93" s="73">
        <v>2388</v>
      </c>
      <c r="O93" s="73">
        <v>329</v>
      </c>
      <c r="P93" s="73">
        <v>450</v>
      </c>
      <c r="Q93" s="73">
        <v>1041</v>
      </c>
      <c r="R93" s="73">
        <v>731</v>
      </c>
      <c r="S93" s="73">
        <v>947</v>
      </c>
      <c r="T93" s="73">
        <v>887</v>
      </c>
      <c r="U93" s="73">
        <v>1048</v>
      </c>
      <c r="V93" s="73">
        <v>228</v>
      </c>
      <c r="W93" s="73">
        <v>11135</v>
      </c>
    </row>
    <row r="94" spans="1:23" x14ac:dyDescent="0.3">
      <c r="A94" s="24"/>
      <c r="B94" s="24"/>
      <c r="C94" s="24" t="s">
        <v>131</v>
      </c>
      <c r="D94" s="24"/>
      <c r="E94" s="24"/>
      <c r="F94" s="73">
        <v>1366</v>
      </c>
      <c r="G94" s="73">
        <v>855</v>
      </c>
      <c r="H94" s="73">
        <v>1005</v>
      </c>
      <c r="I94" s="73">
        <v>902</v>
      </c>
      <c r="J94" s="73">
        <v>449</v>
      </c>
      <c r="K94" s="73">
        <v>620</v>
      </c>
      <c r="L94" s="73">
        <v>1038</v>
      </c>
      <c r="M94" s="73">
        <v>361</v>
      </c>
      <c r="N94" s="73">
        <v>5443</v>
      </c>
      <c r="O94" s="73">
        <v>4411</v>
      </c>
      <c r="P94" s="73">
        <v>3952</v>
      </c>
      <c r="Q94" s="73">
        <v>5263</v>
      </c>
      <c r="R94" s="73">
        <v>3919</v>
      </c>
      <c r="S94" s="73">
        <v>5305</v>
      </c>
      <c r="T94" s="73">
        <v>9567</v>
      </c>
      <c r="U94" s="73">
        <v>6268</v>
      </c>
      <c r="V94" s="73">
        <v>1578</v>
      </c>
      <c r="W94" s="73">
        <v>52302</v>
      </c>
    </row>
    <row r="95" spans="1:23" x14ac:dyDescent="0.3">
      <c r="A95" s="24"/>
      <c r="B95" s="24"/>
      <c r="C95" s="24"/>
      <c r="D95" s="24"/>
      <c r="E95" s="24" t="s">
        <v>132</v>
      </c>
      <c r="F95" s="73">
        <v>448</v>
      </c>
      <c r="G95" s="73">
        <v>477</v>
      </c>
      <c r="H95" s="73">
        <v>372</v>
      </c>
      <c r="I95" s="73">
        <v>295</v>
      </c>
      <c r="J95" s="73">
        <v>219</v>
      </c>
      <c r="K95" s="73">
        <v>314</v>
      </c>
      <c r="L95" s="73">
        <v>812</v>
      </c>
      <c r="M95" s="73">
        <v>223</v>
      </c>
      <c r="N95" s="73">
        <v>2457</v>
      </c>
      <c r="O95" s="73">
        <v>3230</v>
      </c>
      <c r="P95" s="73">
        <v>2794</v>
      </c>
      <c r="Q95" s="73">
        <v>3307</v>
      </c>
      <c r="R95" s="73">
        <v>2478</v>
      </c>
      <c r="S95" s="73">
        <v>3297</v>
      </c>
      <c r="T95" s="73">
        <v>6144</v>
      </c>
      <c r="U95" s="73">
        <v>4542</v>
      </c>
      <c r="V95" s="73">
        <v>902</v>
      </c>
      <c r="W95" s="73">
        <v>32311</v>
      </c>
    </row>
    <row r="96" spans="1:23" x14ac:dyDescent="0.3">
      <c r="A96" s="24"/>
      <c r="B96" s="24"/>
      <c r="C96" s="24"/>
      <c r="D96" s="24"/>
      <c r="E96" s="24" t="s">
        <v>133</v>
      </c>
      <c r="F96" s="73">
        <v>813</v>
      </c>
      <c r="G96" s="73">
        <v>286</v>
      </c>
      <c r="H96" s="73">
        <v>519</v>
      </c>
      <c r="I96" s="73">
        <v>521</v>
      </c>
      <c r="J96" s="73">
        <v>186</v>
      </c>
      <c r="K96" s="73">
        <v>241</v>
      </c>
      <c r="L96" s="73">
        <v>169</v>
      </c>
      <c r="M96" s="73">
        <v>58</v>
      </c>
      <c r="N96" s="73">
        <v>1994</v>
      </c>
      <c r="O96" s="73">
        <v>777</v>
      </c>
      <c r="P96" s="73">
        <v>723</v>
      </c>
      <c r="Q96" s="73">
        <v>1056</v>
      </c>
      <c r="R96" s="73">
        <v>964</v>
      </c>
      <c r="S96" s="73">
        <v>1343</v>
      </c>
      <c r="T96" s="73">
        <v>2419</v>
      </c>
      <c r="U96" s="73">
        <v>1239</v>
      </c>
      <c r="V96" s="73">
        <v>349</v>
      </c>
      <c r="W96" s="73">
        <v>13657</v>
      </c>
    </row>
    <row r="97" spans="1:23" x14ac:dyDescent="0.3">
      <c r="A97" s="24"/>
      <c r="B97" s="24"/>
      <c r="C97" s="24"/>
      <c r="D97" s="24"/>
      <c r="E97" s="24" t="s">
        <v>134</v>
      </c>
      <c r="F97" s="73">
        <v>98</v>
      </c>
      <c r="G97" s="73">
        <v>82</v>
      </c>
      <c r="H97" s="73">
        <v>106</v>
      </c>
      <c r="I97" s="73">
        <v>76</v>
      </c>
      <c r="J97" s="73">
        <v>40</v>
      </c>
      <c r="K97" s="73">
        <v>61</v>
      </c>
      <c r="L97" s="73">
        <v>56</v>
      </c>
      <c r="M97" s="73">
        <v>78</v>
      </c>
      <c r="N97" s="73">
        <v>971</v>
      </c>
      <c r="O97" s="73">
        <v>394</v>
      </c>
      <c r="P97" s="73">
        <v>428</v>
      </c>
      <c r="Q97" s="73">
        <v>885</v>
      </c>
      <c r="R97" s="73">
        <v>457</v>
      </c>
      <c r="S97" s="73">
        <v>650</v>
      </c>
      <c r="T97" s="73">
        <v>988</v>
      </c>
      <c r="U97" s="73">
        <v>479</v>
      </c>
      <c r="V97" s="73">
        <v>321</v>
      </c>
      <c r="W97" s="73">
        <v>6170</v>
      </c>
    </row>
    <row r="98" spans="1:23" x14ac:dyDescent="0.3">
      <c r="A98" s="24"/>
      <c r="B98" s="24"/>
      <c r="C98" s="24"/>
      <c r="D98" s="24"/>
      <c r="E98" s="24" t="s">
        <v>135</v>
      </c>
      <c r="F98" s="73">
        <v>7</v>
      </c>
      <c r="G98" s="73">
        <v>10</v>
      </c>
      <c r="H98" s="73">
        <v>8</v>
      </c>
      <c r="I98" s="73">
        <v>10</v>
      </c>
      <c r="J98" s="73">
        <v>4</v>
      </c>
      <c r="K98" s="73">
        <v>4</v>
      </c>
      <c r="L98" s="73">
        <v>1</v>
      </c>
      <c r="M98" s="73">
        <v>2</v>
      </c>
      <c r="N98" s="73">
        <v>21</v>
      </c>
      <c r="O98" s="73">
        <v>10</v>
      </c>
      <c r="P98" s="73">
        <v>7</v>
      </c>
      <c r="Q98" s="73">
        <v>15</v>
      </c>
      <c r="R98" s="73">
        <v>20</v>
      </c>
      <c r="S98" s="73">
        <v>15</v>
      </c>
      <c r="T98" s="73">
        <v>16</v>
      </c>
      <c r="U98" s="73">
        <v>8</v>
      </c>
      <c r="V98" s="73">
        <v>6</v>
      </c>
      <c r="W98" s="73">
        <v>164</v>
      </c>
    </row>
    <row r="99" spans="1:23" x14ac:dyDescent="0.3">
      <c r="A99" s="24"/>
      <c r="B99" s="24"/>
      <c r="C99" s="24" t="s">
        <v>136</v>
      </c>
      <c r="D99" s="24"/>
      <c r="E99" s="24"/>
      <c r="F99" s="73">
        <v>51073</v>
      </c>
      <c r="G99" s="73">
        <v>21184</v>
      </c>
      <c r="H99" s="73">
        <v>22788</v>
      </c>
      <c r="I99" s="73">
        <v>27329</v>
      </c>
      <c r="J99" s="73">
        <v>11415</v>
      </c>
      <c r="K99" s="73">
        <v>12084</v>
      </c>
      <c r="L99" s="73">
        <v>8010</v>
      </c>
      <c r="M99" s="73">
        <v>1506</v>
      </c>
      <c r="N99" s="73">
        <v>86735</v>
      </c>
      <c r="O99" s="73">
        <v>14549</v>
      </c>
      <c r="P99" s="73">
        <v>13328</v>
      </c>
      <c r="Q99" s="73">
        <v>15303</v>
      </c>
      <c r="R99" s="73">
        <v>14458</v>
      </c>
      <c r="S99" s="73">
        <v>14766</v>
      </c>
      <c r="T99" s="73">
        <v>28020</v>
      </c>
      <c r="U99" s="73">
        <v>26432</v>
      </c>
      <c r="V99" s="73">
        <v>8394</v>
      </c>
      <c r="W99" s="73">
        <v>377374</v>
      </c>
    </row>
    <row r="100" spans="1:23" x14ac:dyDescent="0.3">
      <c r="A100" s="24"/>
      <c r="B100" s="24"/>
      <c r="C100" s="24"/>
      <c r="D100" s="24"/>
      <c r="E100" s="24" t="s">
        <v>137</v>
      </c>
      <c r="F100" s="73">
        <v>50687</v>
      </c>
      <c r="G100" s="73">
        <v>21011</v>
      </c>
      <c r="H100" s="73">
        <v>22608</v>
      </c>
      <c r="I100" s="73">
        <v>27152</v>
      </c>
      <c r="J100" s="73">
        <v>11303</v>
      </c>
      <c r="K100" s="73">
        <v>11961</v>
      </c>
      <c r="L100" s="73">
        <v>7971</v>
      </c>
      <c r="M100" s="73">
        <v>1485</v>
      </c>
      <c r="N100" s="73">
        <v>85621</v>
      </c>
      <c r="O100" s="73">
        <v>14352</v>
      </c>
      <c r="P100" s="73">
        <v>13150</v>
      </c>
      <c r="Q100" s="73">
        <v>15050</v>
      </c>
      <c r="R100" s="73">
        <v>14245</v>
      </c>
      <c r="S100" s="73">
        <v>14507</v>
      </c>
      <c r="T100" s="73">
        <v>27733</v>
      </c>
      <c r="U100" s="73">
        <v>26197</v>
      </c>
      <c r="V100" s="73">
        <v>8315</v>
      </c>
      <c r="W100" s="73">
        <v>373348</v>
      </c>
    </row>
    <row r="101" spans="1:23" x14ac:dyDescent="0.3">
      <c r="A101" s="24"/>
      <c r="B101" s="24"/>
      <c r="C101" s="24"/>
      <c r="D101" s="24"/>
      <c r="E101" s="24" t="s">
        <v>138</v>
      </c>
      <c r="F101" s="73">
        <v>385</v>
      </c>
      <c r="G101" s="73">
        <v>171</v>
      </c>
      <c r="H101" s="73">
        <v>178</v>
      </c>
      <c r="I101" s="73">
        <v>175</v>
      </c>
      <c r="J101" s="73">
        <v>109</v>
      </c>
      <c r="K101" s="73">
        <v>120</v>
      </c>
      <c r="L101" s="73">
        <v>39</v>
      </c>
      <c r="M101" s="73">
        <v>21</v>
      </c>
      <c r="N101" s="73">
        <v>1098</v>
      </c>
      <c r="O101" s="73">
        <v>195</v>
      </c>
      <c r="P101" s="73">
        <v>173</v>
      </c>
      <c r="Q101" s="73">
        <v>244</v>
      </c>
      <c r="R101" s="73">
        <v>204</v>
      </c>
      <c r="S101" s="73">
        <v>253</v>
      </c>
      <c r="T101" s="73">
        <v>272</v>
      </c>
      <c r="U101" s="73">
        <v>233</v>
      </c>
      <c r="V101" s="73">
        <v>78</v>
      </c>
      <c r="W101" s="73">
        <v>3948</v>
      </c>
    </row>
    <row r="102" spans="1:23" x14ac:dyDescent="0.3">
      <c r="A102" s="24"/>
      <c r="B102" s="24"/>
      <c r="C102" s="24"/>
      <c r="D102" s="24"/>
      <c r="E102" s="24" t="s">
        <v>139</v>
      </c>
      <c r="F102" s="73">
        <v>1</v>
      </c>
      <c r="G102" s="73">
        <v>2</v>
      </c>
      <c r="H102" s="73">
        <v>2</v>
      </c>
      <c r="I102" s="73">
        <v>2</v>
      </c>
      <c r="J102" s="73">
        <v>3</v>
      </c>
      <c r="K102" s="73">
        <v>3</v>
      </c>
      <c r="L102" s="73">
        <v>0</v>
      </c>
      <c r="M102" s="73">
        <v>0</v>
      </c>
      <c r="N102" s="73">
        <v>16</v>
      </c>
      <c r="O102" s="73">
        <v>2</v>
      </c>
      <c r="P102" s="73">
        <v>5</v>
      </c>
      <c r="Q102" s="73">
        <v>9</v>
      </c>
      <c r="R102" s="73">
        <v>9</v>
      </c>
      <c r="S102" s="73">
        <v>6</v>
      </c>
      <c r="T102" s="73">
        <v>15</v>
      </c>
      <c r="U102" s="73">
        <v>2</v>
      </c>
      <c r="V102" s="73">
        <v>1</v>
      </c>
      <c r="W102" s="73">
        <v>78</v>
      </c>
    </row>
    <row r="103" spans="1:23" x14ac:dyDescent="0.3">
      <c r="A103" s="24"/>
      <c r="B103" s="24"/>
      <c r="C103" s="24" t="s">
        <v>140</v>
      </c>
      <c r="D103" s="24"/>
      <c r="E103" s="24"/>
      <c r="F103" s="73">
        <v>44636</v>
      </c>
      <c r="G103" s="73">
        <v>20098</v>
      </c>
      <c r="H103" s="73">
        <v>22110</v>
      </c>
      <c r="I103" s="73">
        <v>23322</v>
      </c>
      <c r="J103" s="73">
        <v>11681</v>
      </c>
      <c r="K103" s="73">
        <v>12097</v>
      </c>
      <c r="L103" s="73">
        <v>7785</v>
      </c>
      <c r="M103" s="73">
        <v>2162</v>
      </c>
      <c r="N103" s="73">
        <v>105972</v>
      </c>
      <c r="O103" s="73">
        <v>17857</v>
      </c>
      <c r="P103" s="73">
        <v>17308</v>
      </c>
      <c r="Q103" s="73">
        <v>24080</v>
      </c>
      <c r="R103" s="73">
        <v>19451</v>
      </c>
      <c r="S103" s="73">
        <v>21531</v>
      </c>
      <c r="T103" s="73">
        <v>30990</v>
      </c>
      <c r="U103" s="73">
        <v>27476</v>
      </c>
      <c r="V103" s="73">
        <v>8770</v>
      </c>
      <c r="W103" s="73">
        <v>417326</v>
      </c>
    </row>
    <row r="104" spans="1:23" x14ac:dyDescent="0.3">
      <c r="A104" s="24"/>
      <c r="B104" s="24"/>
      <c r="C104" s="24"/>
      <c r="D104" s="24" t="s">
        <v>141</v>
      </c>
      <c r="E104" s="24"/>
      <c r="F104" s="73">
        <v>914</v>
      </c>
      <c r="G104" s="73">
        <v>441</v>
      </c>
      <c r="H104" s="73">
        <v>546</v>
      </c>
      <c r="I104" s="73">
        <v>349</v>
      </c>
      <c r="J104" s="73">
        <v>398</v>
      </c>
      <c r="K104" s="73">
        <v>216</v>
      </c>
      <c r="L104" s="73">
        <v>220</v>
      </c>
      <c r="M104" s="73">
        <v>57</v>
      </c>
      <c r="N104" s="73">
        <v>1930</v>
      </c>
      <c r="O104" s="73">
        <v>702</v>
      </c>
      <c r="P104" s="73">
        <v>468</v>
      </c>
      <c r="Q104" s="73">
        <v>787</v>
      </c>
      <c r="R104" s="73">
        <v>666</v>
      </c>
      <c r="S104" s="73">
        <v>1450</v>
      </c>
      <c r="T104" s="73">
        <v>1277</v>
      </c>
      <c r="U104" s="73">
        <v>918</v>
      </c>
      <c r="V104" s="73">
        <v>212</v>
      </c>
      <c r="W104" s="73">
        <v>11551</v>
      </c>
    </row>
    <row r="105" spans="1:23" x14ac:dyDescent="0.3">
      <c r="A105" s="24"/>
      <c r="B105" s="24"/>
      <c r="C105" s="24"/>
      <c r="D105" s="24" t="s">
        <v>142</v>
      </c>
      <c r="E105" s="24"/>
      <c r="F105" s="73">
        <v>68</v>
      </c>
      <c r="G105" s="73">
        <v>77</v>
      </c>
      <c r="H105" s="73">
        <v>20</v>
      </c>
      <c r="I105" s="73">
        <v>72</v>
      </c>
      <c r="J105" s="73">
        <v>12</v>
      </c>
      <c r="K105" s="73">
        <v>13</v>
      </c>
      <c r="L105" s="73">
        <v>23</v>
      </c>
      <c r="M105" s="73">
        <v>8</v>
      </c>
      <c r="N105" s="73">
        <v>172</v>
      </c>
      <c r="O105" s="73">
        <v>81</v>
      </c>
      <c r="P105" s="73">
        <v>52</v>
      </c>
      <c r="Q105" s="73">
        <v>38</v>
      </c>
      <c r="R105" s="73">
        <v>58</v>
      </c>
      <c r="S105" s="73">
        <v>55</v>
      </c>
      <c r="T105" s="73">
        <v>70</v>
      </c>
      <c r="U105" s="73">
        <v>64</v>
      </c>
      <c r="V105" s="73">
        <v>4</v>
      </c>
      <c r="W105" s="73">
        <v>887</v>
      </c>
    </row>
    <row r="106" spans="1:23" x14ac:dyDescent="0.3">
      <c r="A106" s="24"/>
      <c r="B106" s="24"/>
      <c r="C106" s="24"/>
      <c r="D106" s="24" t="s">
        <v>143</v>
      </c>
      <c r="E106" s="24"/>
      <c r="F106" s="73">
        <v>42</v>
      </c>
      <c r="G106" s="73">
        <v>16</v>
      </c>
      <c r="H106" s="73">
        <v>10</v>
      </c>
      <c r="I106" s="73">
        <v>35</v>
      </c>
      <c r="J106" s="73">
        <v>9</v>
      </c>
      <c r="K106" s="73">
        <v>8</v>
      </c>
      <c r="L106" s="73">
        <v>15</v>
      </c>
      <c r="M106" s="73">
        <v>3</v>
      </c>
      <c r="N106" s="73">
        <v>98</v>
      </c>
      <c r="O106" s="73">
        <v>52</v>
      </c>
      <c r="P106" s="73">
        <v>44</v>
      </c>
      <c r="Q106" s="73">
        <v>36</v>
      </c>
      <c r="R106" s="73">
        <v>29</v>
      </c>
      <c r="S106" s="73">
        <v>104</v>
      </c>
      <c r="T106" s="73">
        <v>63</v>
      </c>
      <c r="U106" s="73">
        <v>25</v>
      </c>
      <c r="V106" s="73">
        <v>12</v>
      </c>
      <c r="W106" s="73">
        <v>601</v>
      </c>
    </row>
    <row r="107" spans="1:23" x14ac:dyDescent="0.3">
      <c r="A107" s="24"/>
      <c r="B107" s="24"/>
      <c r="C107" s="24"/>
      <c r="D107" s="24" t="s">
        <v>144</v>
      </c>
      <c r="E107" s="24"/>
      <c r="F107" s="73">
        <v>43</v>
      </c>
      <c r="G107" s="73">
        <v>27</v>
      </c>
      <c r="H107" s="73">
        <v>15</v>
      </c>
      <c r="I107" s="73">
        <v>54</v>
      </c>
      <c r="J107" s="73">
        <v>37</v>
      </c>
      <c r="K107" s="73">
        <v>98</v>
      </c>
      <c r="L107" s="73">
        <v>91</v>
      </c>
      <c r="M107" s="73">
        <v>10</v>
      </c>
      <c r="N107" s="73">
        <v>216</v>
      </c>
      <c r="O107" s="73">
        <v>91</v>
      </c>
      <c r="P107" s="73">
        <v>136</v>
      </c>
      <c r="Q107" s="73">
        <v>148</v>
      </c>
      <c r="R107" s="73">
        <v>138</v>
      </c>
      <c r="S107" s="73">
        <v>173</v>
      </c>
      <c r="T107" s="73">
        <v>138</v>
      </c>
      <c r="U107" s="73">
        <v>108</v>
      </c>
      <c r="V107" s="73">
        <v>18</v>
      </c>
      <c r="W107" s="73">
        <v>1541</v>
      </c>
    </row>
    <row r="108" spans="1:23" x14ac:dyDescent="0.3">
      <c r="A108" s="24"/>
      <c r="B108" s="24"/>
      <c r="C108" s="24"/>
      <c r="D108" s="24" t="s">
        <v>145</v>
      </c>
      <c r="E108" s="24"/>
      <c r="F108" s="73">
        <v>12394</v>
      </c>
      <c r="G108" s="73">
        <v>6529</v>
      </c>
      <c r="H108" s="73">
        <v>6284</v>
      </c>
      <c r="I108" s="73">
        <v>6319</v>
      </c>
      <c r="J108" s="73">
        <v>3799</v>
      </c>
      <c r="K108" s="73">
        <v>3740</v>
      </c>
      <c r="L108" s="73">
        <v>1888</v>
      </c>
      <c r="M108" s="73">
        <v>481</v>
      </c>
      <c r="N108" s="73">
        <v>28517</v>
      </c>
      <c r="O108" s="73">
        <v>4633</v>
      </c>
      <c r="P108" s="73">
        <v>4424</v>
      </c>
      <c r="Q108" s="73">
        <v>5318</v>
      </c>
      <c r="R108" s="73">
        <v>5219</v>
      </c>
      <c r="S108" s="73">
        <v>4989</v>
      </c>
      <c r="T108" s="73">
        <v>7410</v>
      </c>
      <c r="U108" s="73">
        <v>7052</v>
      </c>
      <c r="V108" s="73">
        <v>2640</v>
      </c>
      <c r="W108" s="73">
        <v>111636</v>
      </c>
    </row>
    <row r="109" spans="1:23" x14ac:dyDescent="0.3">
      <c r="A109" s="24"/>
      <c r="B109" s="24"/>
      <c r="C109" s="24"/>
      <c r="D109" s="24" t="s">
        <v>146</v>
      </c>
      <c r="E109" s="24"/>
      <c r="F109" s="73">
        <v>60</v>
      </c>
      <c r="G109" s="73">
        <v>7</v>
      </c>
      <c r="H109" s="73">
        <v>18</v>
      </c>
      <c r="I109" s="73">
        <v>16</v>
      </c>
      <c r="J109" s="73">
        <v>15</v>
      </c>
      <c r="K109" s="73">
        <v>12</v>
      </c>
      <c r="L109" s="73">
        <v>3</v>
      </c>
      <c r="M109" s="73">
        <v>4</v>
      </c>
      <c r="N109" s="73">
        <v>100</v>
      </c>
      <c r="O109" s="73">
        <v>26</v>
      </c>
      <c r="P109" s="73">
        <v>36</v>
      </c>
      <c r="Q109" s="73">
        <v>59</v>
      </c>
      <c r="R109" s="73">
        <v>111</v>
      </c>
      <c r="S109" s="73">
        <v>82</v>
      </c>
      <c r="T109" s="73">
        <v>86</v>
      </c>
      <c r="U109" s="73">
        <v>63</v>
      </c>
      <c r="V109" s="73">
        <v>9</v>
      </c>
      <c r="W109" s="73">
        <v>707</v>
      </c>
    </row>
    <row r="110" spans="1:23" x14ac:dyDescent="0.3">
      <c r="A110" s="24"/>
      <c r="B110" s="24"/>
      <c r="C110" s="24"/>
      <c r="D110" s="24" t="s">
        <v>147</v>
      </c>
      <c r="E110" s="24"/>
      <c r="F110" s="73">
        <v>526</v>
      </c>
      <c r="G110" s="73">
        <v>444</v>
      </c>
      <c r="H110" s="73">
        <v>363</v>
      </c>
      <c r="I110" s="73">
        <v>467</v>
      </c>
      <c r="J110" s="73">
        <v>179</v>
      </c>
      <c r="K110" s="73">
        <v>183</v>
      </c>
      <c r="L110" s="73">
        <v>198</v>
      </c>
      <c r="M110" s="73">
        <v>58</v>
      </c>
      <c r="N110" s="73">
        <v>2128</v>
      </c>
      <c r="O110" s="73">
        <v>776</v>
      </c>
      <c r="P110" s="73">
        <v>719</v>
      </c>
      <c r="Q110" s="73">
        <v>957</v>
      </c>
      <c r="R110" s="73">
        <v>731</v>
      </c>
      <c r="S110" s="73">
        <v>979</v>
      </c>
      <c r="T110" s="73">
        <v>1250</v>
      </c>
      <c r="U110" s="73">
        <v>1100</v>
      </c>
      <c r="V110" s="73">
        <v>206</v>
      </c>
      <c r="W110" s="73">
        <v>11264</v>
      </c>
    </row>
    <row r="111" spans="1:23" x14ac:dyDescent="0.3">
      <c r="A111" s="24"/>
      <c r="B111" s="24"/>
      <c r="C111" s="24"/>
      <c r="D111" s="24"/>
      <c r="E111" s="24" t="s">
        <v>148</v>
      </c>
      <c r="F111" s="73">
        <v>34</v>
      </c>
      <c r="G111" s="73">
        <v>7</v>
      </c>
      <c r="H111" s="73">
        <v>5</v>
      </c>
      <c r="I111" s="73">
        <v>16</v>
      </c>
      <c r="J111" s="73">
        <v>0</v>
      </c>
      <c r="K111" s="73">
        <v>10</v>
      </c>
      <c r="L111" s="73">
        <v>10</v>
      </c>
      <c r="M111" s="73">
        <v>0</v>
      </c>
      <c r="N111" s="73">
        <v>34</v>
      </c>
      <c r="O111" s="73">
        <v>6</v>
      </c>
      <c r="P111" s="73">
        <v>17</v>
      </c>
      <c r="Q111" s="73">
        <v>14</v>
      </c>
      <c r="R111" s="73">
        <v>7</v>
      </c>
      <c r="S111" s="73">
        <v>10</v>
      </c>
      <c r="T111" s="73">
        <v>9</v>
      </c>
      <c r="U111" s="73">
        <v>8</v>
      </c>
      <c r="V111" s="73">
        <v>5</v>
      </c>
      <c r="W111" s="73">
        <v>192</v>
      </c>
    </row>
    <row r="112" spans="1:23" x14ac:dyDescent="0.3">
      <c r="A112" s="24"/>
      <c r="B112" s="24"/>
      <c r="C112" s="24"/>
      <c r="D112" s="24"/>
      <c r="E112" s="24" t="s">
        <v>149</v>
      </c>
      <c r="F112" s="73">
        <v>7</v>
      </c>
      <c r="G112" s="73">
        <v>0</v>
      </c>
      <c r="H112" s="73">
        <v>2</v>
      </c>
      <c r="I112" s="73">
        <v>3</v>
      </c>
      <c r="J112" s="73">
        <v>2</v>
      </c>
      <c r="K112" s="73">
        <v>1</v>
      </c>
      <c r="L112" s="73">
        <v>1</v>
      </c>
      <c r="M112" s="73">
        <v>0</v>
      </c>
      <c r="N112" s="73">
        <v>15</v>
      </c>
      <c r="O112" s="73">
        <v>1</v>
      </c>
      <c r="P112" s="73">
        <v>3</v>
      </c>
      <c r="Q112" s="73">
        <v>2</v>
      </c>
      <c r="R112" s="73">
        <v>5</v>
      </c>
      <c r="S112" s="73">
        <v>4</v>
      </c>
      <c r="T112" s="73">
        <v>2</v>
      </c>
      <c r="U112" s="73">
        <v>4</v>
      </c>
      <c r="V112" s="73">
        <v>1</v>
      </c>
      <c r="W112" s="73">
        <v>53</v>
      </c>
    </row>
    <row r="113" spans="1:23" x14ac:dyDescent="0.3">
      <c r="A113" s="24"/>
      <c r="B113" s="24"/>
      <c r="C113" s="24"/>
      <c r="D113" s="24"/>
      <c r="E113" s="24" t="s">
        <v>150</v>
      </c>
      <c r="F113" s="73">
        <v>435</v>
      </c>
      <c r="G113" s="73">
        <v>384</v>
      </c>
      <c r="H113" s="73">
        <v>326</v>
      </c>
      <c r="I113" s="73">
        <v>362</v>
      </c>
      <c r="J113" s="73">
        <v>157</v>
      </c>
      <c r="K113" s="73">
        <v>147</v>
      </c>
      <c r="L113" s="73">
        <v>169</v>
      </c>
      <c r="M113" s="73">
        <v>55</v>
      </c>
      <c r="N113" s="73">
        <v>1799</v>
      </c>
      <c r="O113" s="73">
        <v>678</v>
      </c>
      <c r="P113" s="73">
        <v>625</v>
      </c>
      <c r="Q113" s="73">
        <v>823</v>
      </c>
      <c r="R113" s="73">
        <v>619</v>
      </c>
      <c r="S113" s="73">
        <v>855</v>
      </c>
      <c r="T113" s="73">
        <v>1134</v>
      </c>
      <c r="U113" s="73">
        <v>990</v>
      </c>
      <c r="V113" s="73">
        <v>176</v>
      </c>
      <c r="W113" s="73">
        <v>9734</v>
      </c>
    </row>
    <row r="114" spans="1:23" x14ac:dyDescent="0.3">
      <c r="A114" s="24"/>
      <c r="B114" s="24"/>
      <c r="C114" s="24"/>
      <c r="D114" s="24"/>
      <c r="E114" s="24" t="s">
        <v>151</v>
      </c>
      <c r="F114" s="73">
        <v>0</v>
      </c>
      <c r="G114" s="73">
        <v>1</v>
      </c>
      <c r="H114" s="73">
        <v>1</v>
      </c>
      <c r="I114" s="73">
        <v>1</v>
      </c>
      <c r="J114" s="73">
        <v>1</v>
      </c>
      <c r="K114" s="73">
        <v>0</v>
      </c>
      <c r="L114" s="73">
        <v>0</v>
      </c>
      <c r="M114" s="73">
        <v>0</v>
      </c>
      <c r="N114" s="73">
        <v>9</v>
      </c>
      <c r="O114" s="73">
        <v>2</v>
      </c>
      <c r="P114" s="73">
        <v>2</v>
      </c>
      <c r="Q114" s="73">
        <v>0</v>
      </c>
      <c r="R114" s="73">
        <v>0</v>
      </c>
      <c r="S114" s="73">
        <v>2</v>
      </c>
      <c r="T114" s="73">
        <v>2</v>
      </c>
      <c r="U114" s="73">
        <v>3</v>
      </c>
      <c r="V114" s="73">
        <v>1</v>
      </c>
      <c r="W114" s="73">
        <v>25</v>
      </c>
    </row>
    <row r="115" spans="1:23" x14ac:dyDescent="0.3">
      <c r="A115" s="24"/>
      <c r="B115" s="24"/>
      <c r="C115" s="24"/>
      <c r="D115" s="24"/>
      <c r="E115" s="24" t="s">
        <v>152</v>
      </c>
      <c r="F115" s="73">
        <v>50</v>
      </c>
      <c r="G115" s="73">
        <v>52</v>
      </c>
      <c r="H115" s="73">
        <v>29</v>
      </c>
      <c r="I115" s="73">
        <v>85</v>
      </c>
      <c r="J115" s="73">
        <v>19</v>
      </c>
      <c r="K115" s="73">
        <v>25</v>
      </c>
      <c r="L115" s="73">
        <v>18</v>
      </c>
      <c r="M115" s="73">
        <v>3</v>
      </c>
      <c r="N115" s="73">
        <v>271</v>
      </c>
      <c r="O115" s="73">
        <v>89</v>
      </c>
      <c r="P115" s="73">
        <v>72</v>
      </c>
      <c r="Q115" s="73">
        <v>118</v>
      </c>
      <c r="R115" s="73">
        <v>100</v>
      </c>
      <c r="S115" s="73">
        <v>108</v>
      </c>
      <c r="T115" s="73">
        <v>103</v>
      </c>
      <c r="U115" s="73">
        <v>95</v>
      </c>
      <c r="V115" s="73">
        <v>23</v>
      </c>
      <c r="W115" s="73">
        <v>1260</v>
      </c>
    </row>
    <row r="116" spans="1:23" x14ac:dyDescent="0.3">
      <c r="A116" s="24"/>
      <c r="B116" s="24"/>
      <c r="C116" s="24"/>
      <c r="D116" s="24" t="s">
        <v>153</v>
      </c>
      <c r="E116" s="24"/>
      <c r="F116" s="73">
        <v>567</v>
      </c>
      <c r="G116" s="73">
        <v>233</v>
      </c>
      <c r="H116" s="73">
        <v>192</v>
      </c>
      <c r="I116" s="73">
        <v>375</v>
      </c>
      <c r="J116" s="73">
        <v>65</v>
      </c>
      <c r="K116" s="73">
        <v>111</v>
      </c>
      <c r="L116" s="73">
        <v>175</v>
      </c>
      <c r="M116" s="73">
        <v>45</v>
      </c>
      <c r="N116" s="73">
        <v>1406</v>
      </c>
      <c r="O116" s="73">
        <v>446</v>
      </c>
      <c r="P116" s="73">
        <v>426</v>
      </c>
      <c r="Q116" s="73">
        <v>593</v>
      </c>
      <c r="R116" s="73">
        <v>470</v>
      </c>
      <c r="S116" s="73">
        <v>501</v>
      </c>
      <c r="T116" s="73">
        <v>701</v>
      </c>
      <c r="U116" s="73">
        <v>552</v>
      </c>
      <c r="V116" s="73">
        <v>244</v>
      </c>
      <c r="W116" s="73">
        <v>7102</v>
      </c>
    </row>
    <row r="117" spans="1:23" x14ac:dyDescent="0.3">
      <c r="A117" s="24"/>
      <c r="B117" s="24"/>
      <c r="C117" s="24"/>
      <c r="D117" s="24"/>
      <c r="E117" s="24" t="s">
        <v>154</v>
      </c>
      <c r="F117" s="73">
        <v>3</v>
      </c>
      <c r="G117" s="73">
        <v>2</v>
      </c>
      <c r="H117" s="73">
        <v>1</v>
      </c>
      <c r="I117" s="73">
        <v>3</v>
      </c>
      <c r="J117" s="73">
        <v>1</v>
      </c>
      <c r="K117" s="73">
        <v>2</v>
      </c>
      <c r="L117" s="73">
        <v>0</v>
      </c>
      <c r="M117" s="73">
        <v>1</v>
      </c>
      <c r="N117" s="73">
        <v>15</v>
      </c>
      <c r="O117" s="73">
        <v>3</v>
      </c>
      <c r="P117" s="73">
        <v>1</v>
      </c>
      <c r="Q117" s="73">
        <v>5</v>
      </c>
      <c r="R117" s="73">
        <v>5</v>
      </c>
      <c r="S117" s="73">
        <v>0</v>
      </c>
      <c r="T117" s="73">
        <v>7</v>
      </c>
      <c r="U117" s="73">
        <v>3</v>
      </c>
      <c r="V117" s="73">
        <v>1</v>
      </c>
      <c r="W117" s="73">
        <v>53</v>
      </c>
    </row>
    <row r="118" spans="1:23" x14ac:dyDescent="0.3">
      <c r="A118" s="24"/>
      <c r="B118" s="24"/>
      <c r="C118" s="24"/>
      <c r="D118" s="24"/>
      <c r="E118" s="24" t="s">
        <v>155</v>
      </c>
      <c r="F118" s="73">
        <v>19</v>
      </c>
      <c r="G118" s="73">
        <v>16</v>
      </c>
      <c r="H118" s="73">
        <v>23</v>
      </c>
      <c r="I118" s="73">
        <v>28</v>
      </c>
      <c r="J118" s="73">
        <v>9</v>
      </c>
      <c r="K118" s="73">
        <v>9</v>
      </c>
      <c r="L118" s="73">
        <v>10</v>
      </c>
      <c r="M118" s="73">
        <v>4</v>
      </c>
      <c r="N118" s="73">
        <v>133</v>
      </c>
      <c r="O118" s="73">
        <v>37</v>
      </c>
      <c r="P118" s="73">
        <v>50</v>
      </c>
      <c r="Q118" s="73">
        <v>57</v>
      </c>
      <c r="R118" s="73">
        <v>28</v>
      </c>
      <c r="S118" s="73">
        <v>29</v>
      </c>
      <c r="T118" s="73">
        <v>42</v>
      </c>
      <c r="U118" s="73">
        <v>41</v>
      </c>
      <c r="V118" s="73">
        <v>38</v>
      </c>
      <c r="W118" s="73">
        <v>573</v>
      </c>
    </row>
    <row r="119" spans="1:23" x14ac:dyDescent="0.3">
      <c r="A119" s="24"/>
      <c r="B119" s="24"/>
      <c r="C119" s="24"/>
      <c r="D119" s="24"/>
      <c r="E119" s="24" t="s">
        <v>156</v>
      </c>
      <c r="F119" s="73">
        <v>2</v>
      </c>
      <c r="G119" s="73">
        <v>2</v>
      </c>
      <c r="H119" s="73">
        <v>3</v>
      </c>
      <c r="I119" s="73">
        <v>7</v>
      </c>
      <c r="J119" s="73">
        <v>2</v>
      </c>
      <c r="K119" s="73">
        <v>2</v>
      </c>
      <c r="L119" s="73">
        <v>3</v>
      </c>
      <c r="M119" s="73">
        <v>0</v>
      </c>
      <c r="N119" s="73">
        <v>23</v>
      </c>
      <c r="O119" s="73">
        <v>3</v>
      </c>
      <c r="P119" s="73">
        <v>5</v>
      </c>
      <c r="Q119" s="73">
        <v>12</v>
      </c>
      <c r="R119" s="73">
        <v>4</v>
      </c>
      <c r="S119" s="73">
        <v>2</v>
      </c>
      <c r="T119" s="73">
        <v>5</v>
      </c>
      <c r="U119" s="73">
        <v>3</v>
      </c>
      <c r="V119" s="73">
        <v>0</v>
      </c>
      <c r="W119" s="73">
        <v>78</v>
      </c>
    </row>
    <row r="120" spans="1:23" x14ac:dyDescent="0.3">
      <c r="A120" s="24"/>
      <c r="B120" s="24"/>
      <c r="C120" s="24"/>
      <c r="D120" s="24"/>
      <c r="E120" s="24" t="s">
        <v>157</v>
      </c>
      <c r="F120" s="73">
        <v>543</v>
      </c>
      <c r="G120" s="73">
        <v>213</v>
      </c>
      <c r="H120" s="73">
        <v>165</v>
      </c>
      <c r="I120" s="73">
        <v>337</v>
      </c>
      <c r="J120" s="73">
        <v>53</v>
      </c>
      <c r="K120" s="73">
        <v>98</v>
      </c>
      <c r="L120" s="73">
        <v>162</v>
      </c>
      <c r="M120" s="73">
        <v>40</v>
      </c>
      <c r="N120" s="73">
        <v>1235</v>
      </c>
      <c r="O120" s="73">
        <v>403</v>
      </c>
      <c r="P120" s="73">
        <v>370</v>
      </c>
      <c r="Q120" s="73">
        <v>519</v>
      </c>
      <c r="R120" s="73">
        <v>433</v>
      </c>
      <c r="S120" s="73">
        <v>470</v>
      </c>
      <c r="T120" s="73">
        <v>647</v>
      </c>
      <c r="U120" s="73">
        <v>505</v>
      </c>
      <c r="V120" s="73">
        <v>205</v>
      </c>
      <c r="W120" s="73">
        <v>6398</v>
      </c>
    </row>
    <row r="121" spans="1:23" x14ac:dyDescent="0.3">
      <c r="A121" s="24"/>
      <c r="B121" s="24"/>
      <c r="C121" s="24"/>
      <c r="D121" s="24" t="s">
        <v>158</v>
      </c>
      <c r="E121" s="24"/>
      <c r="F121" s="73">
        <v>3207</v>
      </c>
      <c r="G121" s="73">
        <v>2263</v>
      </c>
      <c r="H121" s="73">
        <v>1843</v>
      </c>
      <c r="I121" s="73">
        <v>2411</v>
      </c>
      <c r="J121" s="73">
        <v>1222</v>
      </c>
      <c r="K121" s="73">
        <v>1615</v>
      </c>
      <c r="L121" s="73">
        <v>1614</v>
      </c>
      <c r="M121" s="73">
        <v>506</v>
      </c>
      <c r="N121" s="73">
        <v>12208</v>
      </c>
      <c r="O121" s="73">
        <v>1939</v>
      </c>
      <c r="P121" s="73">
        <v>2383</v>
      </c>
      <c r="Q121" s="73">
        <v>4068</v>
      </c>
      <c r="R121" s="73">
        <v>1996</v>
      </c>
      <c r="S121" s="73">
        <v>2177</v>
      </c>
      <c r="T121" s="73">
        <v>3559</v>
      </c>
      <c r="U121" s="73">
        <v>3018</v>
      </c>
      <c r="V121" s="73">
        <v>346</v>
      </c>
      <c r="W121" s="73">
        <v>46375</v>
      </c>
    </row>
    <row r="122" spans="1:23" x14ac:dyDescent="0.3">
      <c r="A122" s="24"/>
      <c r="B122" s="24"/>
      <c r="C122" s="24"/>
      <c r="D122" s="24"/>
      <c r="E122" s="24" t="s">
        <v>159</v>
      </c>
      <c r="F122" s="73">
        <v>695</v>
      </c>
      <c r="G122" s="73">
        <v>312</v>
      </c>
      <c r="H122" s="73">
        <v>475</v>
      </c>
      <c r="I122" s="73">
        <v>535</v>
      </c>
      <c r="J122" s="73">
        <v>284</v>
      </c>
      <c r="K122" s="73">
        <v>386</v>
      </c>
      <c r="L122" s="73">
        <v>208</v>
      </c>
      <c r="M122" s="73">
        <v>176</v>
      </c>
      <c r="N122" s="73">
        <v>2907</v>
      </c>
      <c r="O122" s="73">
        <v>365</v>
      </c>
      <c r="P122" s="73">
        <v>483</v>
      </c>
      <c r="Q122" s="73">
        <v>594</v>
      </c>
      <c r="R122" s="73">
        <v>299</v>
      </c>
      <c r="S122" s="73">
        <v>305</v>
      </c>
      <c r="T122" s="73">
        <v>536</v>
      </c>
      <c r="U122" s="73">
        <v>562</v>
      </c>
      <c r="V122" s="73">
        <v>41</v>
      </c>
      <c r="W122" s="73">
        <v>9163</v>
      </c>
    </row>
    <row r="123" spans="1:23" x14ac:dyDescent="0.3">
      <c r="A123" s="24"/>
      <c r="B123" s="24"/>
      <c r="C123" s="24"/>
      <c r="D123" s="24"/>
      <c r="E123" s="24" t="s">
        <v>160</v>
      </c>
      <c r="F123" s="73">
        <v>27</v>
      </c>
      <c r="G123" s="73">
        <v>27</v>
      </c>
      <c r="H123" s="73">
        <v>15</v>
      </c>
      <c r="I123" s="73">
        <v>40</v>
      </c>
      <c r="J123" s="73">
        <v>14</v>
      </c>
      <c r="K123" s="73">
        <v>9</v>
      </c>
      <c r="L123" s="73">
        <v>21</v>
      </c>
      <c r="M123" s="73">
        <v>8</v>
      </c>
      <c r="N123" s="73">
        <v>206</v>
      </c>
      <c r="O123" s="73">
        <v>38</v>
      </c>
      <c r="P123" s="73">
        <v>54</v>
      </c>
      <c r="Q123" s="73">
        <v>65</v>
      </c>
      <c r="R123" s="73">
        <v>40</v>
      </c>
      <c r="S123" s="73">
        <v>71</v>
      </c>
      <c r="T123" s="73">
        <v>98</v>
      </c>
      <c r="U123" s="73">
        <v>111</v>
      </c>
      <c r="V123" s="73">
        <v>3</v>
      </c>
      <c r="W123" s="73">
        <v>847</v>
      </c>
    </row>
    <row r="124" spans="1:23" x14ac:dyDescent="0.3">
      <c r="A124" s="24"/>
      <c r="B124" s="24"/>
      <c r="C124" s="24"/>
      <c r="D124" s="24"/>
      <c r="E124" s="24" t="s">
        <v>161</v>
      </c>
      <c r="F124" s="73">
        <v>208</v>
      </c>
      <c r="G124" s="73">
        <v>205</v>
      </c>
      <c r="H124" s="73">
        <v>103</v>
      </c>
      <c r="I124" s="73">
        <v>155</v>
      </c>
      <c r="J124" s="73">
        <v>54</v>
      </c>
      <c r="K124" s="73">
        <v>130</v>
      </c>
      <c r="L124" s="73">
        <v>129</v>
      </c>
      <c r="M124" s="73">
        <v>16</v>
      </c>
      <c r="N124" s="73">
        <v>651</v>
      </c>
      <c r="O124" s="73">
        <v>118</v>
      </c>
      <c r="P124" s="73">
        <v>144</v>
      </c>
      <c r="Q124" s="73">
        <v>284</v>
      </c>
      <c r="R124" s="73">
        <v>160</v>
      </c>
      <c r="S124" s="73">
        <v>214</v>
      </c>
      <c r="T124" s="73">
        <v>267</v>
      </c>
      <c r="U124" s="73">
        <v>398</v>
      </c>
      <c r="V124" s="73">
        <v>27</v>
      </c>
      <c r="W124" s="73">
        <v>3263</v>
      </c>
    </row>
    <row r="125" spans="1:23" x14ac:dyDescent="0.3">
      <c r="A125" s="24"/>
      <c r="B125" s="24"/>
      <c r="C125" s="24"/>
      <c r="D125" s="24"/>
      <c r="E125" s="24" t="s">
        <v>162</v>
      </c>
      <c r="F125" s="73">
        <v>36</v>
      </c>
      <c r="G125" s="73">
        <v>687</v>
      </c>
      <c r="H125" s="73">
        <v>17</v>
      </c>
      <c r="I125" s="73">
        <v>129</v>
      </c>
      <c r="J125" s="73">
        <v>15</v>
      </c>
      <c r="K125" s="73">
        <v>77</v>
      </c>
      <c r="L125" s="73">
        <v>346</v>
      </c>
      <c r="M125" s="73">
        <v>6</v>
      </c>
      <c r="N125" s="73">
        <v>482</v>
      </c>
      <c r="O125" s="73">
        <v>4</v>
      </c>
      <c r="P125" s="73">
        <v>234</v>
      </c>
      <c r="Q125" s="73">
        <v>330</v>
      </c>
      <c r="R125" s="73">
        <v>171</v>
      </c>
      <c r="S125" s="73">
        <v>133</v>
      </c>
      <c r="T125" s="73">
        <v>365</v>
      </c>
      <c r="U125" s="73">
        <v>248</v>
      </c>
      <c r="V125" s="73">
        <v>8</v>
      </c>
      <c r="W125" s="73">
        <v>3288</v>
      </c>
    </row>
    <row r="126" spans="1:23" x14ac:dyDescent="0.3">
      <c r="A126" s="24"/>
      <c r="B126" s="24"/>
      <c r="C126" s="24"/>
      <c r="D126" s="24"/>
      <c r="E126" s="24" t="s">
        <v>163</v>
      </c>
      <c r="F126" s="73">
        <v>2241</v>
      </c>
      <c r="G126" s="73">
        <v>1032</v>
      </c>
      <c r="H126" s="73">
        <v>1233</v>
      </c>
      <c r="I126" s="73">
        <v>1552</v>
      </c>
      <c r="J126" s="73">
        <v>855</v>
      </c>
      <c r="K126" s="73">
        <v>1013</v>
      </c>
      <c r="L126" s="73">
        <v>910</v>
      </c>
      <c r="M126" s="73">
        <v>300</v>
      </c>
      <c r="N126" s="73">
        <v>7962</v>
      </c>
      <c r="O126" s="73">
        <v>1414</v>
      </c>
      <c r="P126" s="73">
        <v>1468</v>
      </c>
      <c r="Q126" s="73">
        <v>2795</v>
      </c>
      <c r="R126" s="73">
        <v>1326</v>
      </c>
      <c r="S126" s="73">
        <v>1454</v>
      </c>
      <c r="T126" s="73">
        <v>2293</v>
      </c>
      <c r="U126" s="73">
        <v>1699</v>
      </c>
      <c r="V126" s="73">
        <v>267</v>
      </c>
      <c r="W126" s="73">
        <v>29814</v>
      </c>
    </row>
    <row r="127" spans="1:23" x14ac:dyDescent="0.3">
      <c r="A127" s="24"/>
      <c r="B127" s="24"/>
      <c r="C127" s="24"/>
      <c r="D127" s="24" t="s">
        <v>164</v>
      </c>
      <c r="E127" s="24"/>
      <c r="F127" s="73">
        <v>26815</v>
      </c>
      <c r="G127" s="73">
        <v>10061</v>
      </c>
      <c r="H127" s="73">
        <v>12819</v>
      </c>
      <c r="I127" s="73">
        <v>13224</v>
      </c>
      <c r="J127" s="73">
        <v>5945</v>
      </c>
      <c r="K127" s="73">
        <v>6101</v>
      </c>
      <c r="L127" s="73">
        <v>3558</v>
      </c>
      <c r="M127" s="73">
        <v>990</v>
      </c>
      <c r="N127" s="73">
        <v>59197</v>
      </c>
      <c r="O127" s="73">
        <v>9111</v>
      </c>
      <c r="P127" s="73">
        <v>8620</v>
      </c>
      <c r="Q127" s="73">
        <v>12076</v>
      </c>
      <c r="R127" s="73">
        <v>10033</v>
      </c>
      <c r="S127" s="73">
        <v>11021</v>
      </c>
      <c r="T127" s="73">
        <v>16436</v>
      </c>
      <c r="U127" s="73">
        <v>14576</v>
      </c>
      <c r="V127" s="73">
        <v>5079</v>
      </c>
      <c r="W127" s="73">
        <v>225662</v>
      </c>
    </row>
    <row r="128" spans="1:23" x14ac:dyDescent="0.3">
      <c r="A128" s="24"/>
      <c r="B128" s="24" t="s">
        <v>165</v>
      </c>
      <c r="C128" s="24"/>
      <c r="D128" s="24"/>
      <c r="E128" s="24"/>
      <c r="F128" s="73">
        <v>3625</v>
      </c>
      <c r="G128" s="73">
        <v>1961</v>
      </c>
      <c r="H128" s="73">
        <v>1486</v>
      </c>
      <c r="I128" s="73">
        <v>2223</v>
      </c>
      <c r="J128" s="73">
        <v>1084</v>
      </c>
      <c r="K128" s="73">
        <v>1080</v>
      </c>
      <c r="L128" s="73">
        <v>786</v>
      </c>
      <c r="M128" s="73">
        <v>269</v>
      </c>
      <c r="N128" s="73">
        <v>9714</v>
      </c>
      <c r="O128" s="73">
        <v>1744</v>
      </c>
      <c r="P128" s="73">
        <v>1717</v>
      </c>
      <c r="Q128" s="73">
        <v>2207</v>
      </c>
      <c r="R128" s="73">
        <v>1879</v>
      </c>
      <c r="S128" s="73">
        <v>2560</v>
      </c>
      <c r="T128" s="73">
        <v>2944</v>
      </c>
      <c r="U128" s="73">
        <v>3040</v>
      </c>
      <c r="V128" s="73">
        <v>691</v>
      </c>
      <c r="W128" s="73">
        <v>39010</v>
      </c>
    </row>
    <row r="129" spans="1:23" x14ac:dyDescent="0.3">
      <c r="A129" s="24"/>
      <c r="B129" s="24"/>
      <c r="C129" s="24" t="s">
        <v>166</v>
      </c>
      <c r="D129" s="24"/>
      <c r="E129" s="24"/>
      <c r="F129" s="73">
        <v>241</v>
      </c>
      <c r="G129" s="73">
        <v>140</v>
      </c>
      <c r="H129" s="73">
        <v>125</v>
      </c>
      <c r="I129" s="73">
        <v>115</v>
      </c>
      <c r="J129" s="73">
        <v>116</v>
      </c>
      <c r="K129" s="73">
        <v>91</v>
      </c>
      <c r="L129" s="73">
        <v>50</v>
      </c>
      <c r="M129" s="73">
        <v>25</v>
      </c>
      <c r="N129" s="73">
        <v>925</v>
      </c>
      <c r="O129" s="73">
        <v>259</v>
      </c>
      <c r="P129" s="73">
        <v>221</v>
      </c>
      <c r="Q129" s="73">
        <v>304</v>
      </c>
      <c r="R129" s="73">
        <v>303</v>
      </c>
      <c r="S129" s="73">
        <v>416</v>
      </c>
      <c r="T129" s="73">
        <v>586</v>
      </c>
      <c r="U129" s="73">
        <v>391</v>
      </c>
      <c r="V129" s="73">
        <v>94</v>
      </c>
      <c r="W129" s="73">
        <v>4402</v>
      </c>
    </row>
    <row r="130" spans="1:23" x14ac:dyDescent="0.3">
      <c r="A130" s="24"/>
      <c r="B130" s="24"/>
      <c r="C130" s="24"/>
      <c r="D130" s="24"/>
      <c r="E130" s="24" t="s">
        <v>167</v>
      </c>
      <c r="F130" s="73">
        <v>229</v>
      </c>
      <c r="G130" s="73">
        <v>136</v>
      </c>
      <c r="H130" s="73">
        <v>116</v>
      </c>
      <c r="I130" s="73">
        <v>112</v>
      </c>
      <c r="J130" s="73">
        <v>116</v>
      </c>
      <c r="K130" s="73">
        <v>86</v>
      </c>
      <c r="L130" s="73">
        <v>50</v>
      </c>
      <c r="M130" s="73">
        <v>24</v>
      </c>
      <c r="N130" s="73">
        <v>878</v>
      </c>
      <c r="O130" s="73">
        <v>249</v>
      </c>
      <c r="P130" s="73">
        <v>217</v>
      </c>
      <c r="Q130" s="73">
        <v>292</v>
      </c>
      <c r="R130" s="73">
        <v>299</v>
      </c>
      <c r="S130" s="73">
        <v>411</v>
      </c>
      <c r="T130" s="73">
        <v>570</v>
      </c>
      <c r="U130" s="73">
        <v>384</v>
      </c>
      <c r="V130" s="73">
        <v>92</v>
      </c>
      <c r="W130" s="73">
        <v>4261</v>
      </c>
    </row>
    <row r="131" spans="1:23" x14ac:dyDescent="0.3">
      <c r="A131" s="24"/>
      <c r="B131" s="24"/>
      <c r="C131" s="24"/>
      <c r="D131" s="24"/>
      <c r="E131" s="24" t="s">
        <v>168</v>
      </c>
      <c r="F131" s="73">
        <v>12</v>
      </c>
      <c r="G131" s="73">
        <v>4</v>
      </c>
      <c r="H131" s="73">
        <v>6</v>
      </c>
      <c r="I131" s="73">
        <v>1</v>
      </c>
      <c r="J131" s="73">
        <v>0</v>
      </c>
      <c r="K131" s="73">
        <v>4</v>
      </c>
      <c r="L131" s="73">
        <v>0</v>
      </c>
      <c r="M131" s="73">
        <v>1</v>
      </c>
      <c r="N131" s="73">
        <v>41</v>
      </c>
      <c r="O131" s="73">
        <v>3</v>
      </c>
      <c r="P131" s="73">
        <v>2</v>
      </c>
      <c r="Q131" s="73">
        <v>10</v>
      </c>
      <c r="R131" s="73">
        <v>2</v>
      </c>
      <c r="S131" s="73">
        <v>3</v>
      </c>
      <c r="T131" s="73">
        <v>16</v>
      </c>
      <c r="U131" s="73">
        <v>6</v>
      </c>
      <c r="V131" s="73">
        <v>2</v>
      </c>
      <c r="W131" s="73">
        <v>113</v>
      </c>
    </row>
    <row r="132" spans="1:23" x14ac:dyDescent="0.3">
      <c r="A132" s="24"/>
      <c r="B132" s="24"/>
      <c r="C132" s="24"/>
      <c r="D132" s="24"/>
      <c r="E132" s="24" t="s">
        <v>169</v>
      </c>
      <c r="F132" s="73">
        <v>0</v>
      </c>
      <c r="G132" s="73">
        <v>0</v>
      </c>
      <c r="H132" s="73">
        <v>3</v>
      </c>
      <c r="I132" s="73">
        <v>2</v>
      </c>
      <c r="J132" s="73">
        <v>0</v>
      </c>
      <c r="K132" s="73">
        <v>1</v>
      </c>
      <c r="L132" s="73">
        <v>0</v>
      </c>
      <c r="M132" s="73">
        <v>0</v>
      </c>
      <c r="N132" s="73">
        <v>6</v>
      </c>
      <c r="O132" s="73">
        <v>7</v>
      </c>
      <c r="P132" s="73">
        <v>2</v>
      </c>
      <c r="Q132" s="73">
        <v>2</v>
      </c>
      <c r="R132" s="73">
        <v>2</v>
      </c>
      <c r="S132" s="73">
        <v>2</v>
      </c>
      <c r="T132" s="73">
        <v>0</v>
      </c>
      <c r="U132" s="73">
        <v>1</v>
      </c>
      <c r="V132" s="73">
        <v>0</v>
      </c>
      <c r="W132" s="73">
        <v>28</v>
      </c>
    </row>
    <row r="133" spans="1:23" x14ac:dyDescent="0.3">
      <c r="A133" s="24"/>
      <c r="B133" s="24"/>
      <c r="C133" s="24" t="s">
        <v>170</v>
      </c>
      <c r="D133" s="24"/>
      <c r="E133" s="24"/>
      <c r="F133" s="73">
        <v>303</v>
      </c>
      <c r="G133" s="73">
        <v>461</v>
      </c>
      <c r="H133" s="73">
        <v>91</v>
      </c>
      <c r="I133" s="73">
        <v>372</v>
      </c>
      <c r="J133" s="73">
        <v>129</v>
      </c>
      <c r="K133" s="73">
        <v>132</v>
      </c>
      <c r="L133" s="73">
        <v>124</v>
      </c>
      <c r="M133" s="73">
        <v>18</v>
      </c>
      <c r="N133" s="73">
        <v>777</v>
      </c>
      <c r="O133" s="73">
        <v>73</v>
      </c>
      <c r="P133" s="73">
        <v>150</v>
      </c>
      <c r="Q133" s="73">
        <v>264</v>
      </c>
      <c r="R133" s="73">
        <v>243</v>
      </c>
      <c r="S133" s="73">
        <v>515</v>
      </c>
      <c r="T133" s="73">
        <v>325</v>
      </c>
      <c r="U133" s="73">
        <v>451</v>
      </c>
      <c r="V133" s="73">
        <v>11</v>
      </c>
      <c r="W133" s="73">
        <v>4439</v>
      </c>
    </row>
    <row r="134" spans="1:23" x14ac:dyDescent="0.3">
      <c r="A134" s="24"/>
      <c r="B134" s="24"/>
      <c r="C134" s="24"/>
      <c r="D134" s="24"/>
      <c r="E134" s="24" t="s">
        <v>171</v>
      </c>
      <c r="F134" s="73">
        <v>25</v>
      </c>
      <c r="G134" s="73">
        <v>6</v>
      </c>
      <c r="H134" s="73">
        <v>4</v>
      </c>
      <c r="I134" s="73">
        <v>7</v>
      </c>
      <c r="J134" s="73">
        <v>6</v>
      </c>
      <c r="K134" s="73">
        <v>4</v>
      </c>
      <c r="L134" s="73">
        <v>3</v>
      </c>
      <c r="M134" s="73">
        <v>0</v>
      </c>
      <c r="N134" s="73">
        <v>35</v>
      </c>
      <c r="O134" s="73">
        <v>15</v>
      </c>
      <c r="P134" s="73">
        <v>8</v>
      </c>
      <c r="Q134" s="73">
        <v>14</v>
      </c>
      <c r="R134" s="73">
        <v>7</v>
      </c>
      <c r="S134" s="73">
        <v>16</v>
      </c>
      <c r="T134" s="73">
        <v>27</v>
      </c>
      <c r="U134" s="73">
        <v>17</v>
      </c>
      <c r="V134" s="73">
        <v>2</v>
      </c>
      <c r="W134" s="73">
        <v>196</v>
      </c>
    </row>
    <row r="135" spans="1:23" x14ac:dyDescent="0.3">
      <c r="A135" s="24"/>
      <c r="B135" s="24"/>
      <c r="C135" s="24"/>
      <c r="D135" s="24"/>
      <c r="E135" s="24" t="s">
        <v>172</v>
      </c>
      <c r="F135" s="73">
        <v>7</v>
      </c>
      <c r="G135" s="73">
        <v>18</v>
      </c>
      <c r="H135" s="73">
        <v>0</v>
      </c>
      <c r="I135" s="73">
        <v>11</v>
      </c>
      <c r="J135" s="73">
        <v>3</v>
      </c>
      <c r="K135" s="73">
        <v>2</v>
      </c>
      <c r="L135" s="73">
        <v>2</v>
      </c>
      <c r="M135" s="73">
        <v>0</v>
      </c>
      <c r="N135" s="73">
        <v>27</v>
      </c>
      <c r="O135" s="73">
        <v>1</v>
      </c>
      <c r="P135" s="73">
        <v>1</v>
      </c>
      <c r="Q135" s="73">
        <v>0</v>
      </c>
      <c r="R135" s="73">
        <v>6</v>
      </c>
      <c r="S135" s="73">
        <v>12</v>
      </c>
      <c r="T135" s="73">
        <v>2</v>
      </c>
      <c r="U135" s="73">
        <v>14</v>
      </c>
      <c r="V135" s="73">
        <v>0</v>
      </c>
      <c r="W135" s="73">
        <v>106</v>
      </c>
    </row>
    <row r="136" spans="1:23" x14ac:dyDescent="0.3">
      <c r="A136" s="24"/>
      <c r="B136" s="24"/>
      <c r="C136" s="24"/>
      <c r="D136" s="24"/>
      <c r="E136" s="24" t="s">
        <v>173</v>
      </c>
      <c r="F136" s="73">
        <v>271</v>
      </c>
      <c r="G136" s="73">
        <v>437</v>
      </c>
      <c r="H136" s="73">
        <v>87</v>
      </c>
      <c r="I136" s="73">
        <v>354</v>
      </c>
      <c r="J136" s="73">
        <v>120</v>
      </c>
      <c r="K136" s="73">
        <v>126</v>
      </c>
      <c r="L136" s="73">
        <v>119</v>
      </c>
      <c r="M136" s="73">
        <v>18</v>
      </c>
      <c r="N136" s="73">
        <v>715</v>
      </c>
      <c r="O136" s="73">
        <v>57</v>
      </c>
      <c r="P136" s="73">
        <v>141</v>
      </c>
      <c r="Q136" s="73">
        <v>250</v>
      </c>
      <c r="R136" s="73">
        <v>230</v>
      </c>
      <c r="S136" s="73">
        <v>487</v>
      </c>
      <c r="T136" s="73">
        <v>296</v>
      </c>
      <c r="U136" s="73">
        <v>420</v>
      </c>
      <c r="V136" s="73">
        <v>9</v>
      </c>
      <c r="W136" s="73">
        <v>4137</v>
      </c>
    </row>
    <row r="137" spans="1:23" x14ac:dyDescent="0.3">
      <c r="A137" s="24"/>
      <c r="B137" s="24"/>
      <c r="C137" s="24" t="s">
        <v>174</v>
      </c>
      <c r="D137" s="24"/>
      <c r="E137" s="24"/>
      <c r="F137" s="73">
        <v>3081</v>
      </c>
      <c r="G137" s="73">
        <v>1360</v>
      </c>
      <c r="H137" s="73">
        <v>1270</v>
      </c>
      <c r="I137" s="73">
        <v>1736</v>
      </c>
      <c r="J137" s="73">
        <v>839</v>
      </c>
      <c r="K137" s="73">
        <v>857</v>
      </c>
      <c r="L137" s="73">
        <v>612</v>
      </c>
      <c r="M137" s="73">
        <v>226</v>
      </c>
      <c r="N137" s="73">
        <v>8012</v>
      </c>
      <c r="O137" s="73">
        <v>1412</v>
      </c>
      <c r="P137" s="73">
        <v>1346</v>
      </c>
      <c r="Q137" s="73">
        <v>1639</v>
      </c>
      <c r="R137" s="73">
        <v>1333</v>
      </c>
      <c r="S137" s="73">
        <v>1629</v>
      </c>
      <c r="T137" s="73">
        <v>2033</v>
      </c>
      <c r="U137" s="73">
        <v>2198</v>
      </c>
      <c r="V137" s="73">
        <v>586</v>
      </c>
      <c r="W137" s="73">
        <v>30169</v>
      </c>
    </row>
    <row r="138" spans="1:23" x14ac:dyDescent="0.3">
      <c r="A138" s="24"/>
      <c r="B138" s="24"/>
      <c r="C138" s="24"/>
      <c r="D138" s="24" t="s">
        <v>175</v>
      </c>
      <c r="E138" s="24"/>
      <c r="F138" s="73">
        <v>1076</v>
      </c>
      <c r="G138" s="73">
        <v>542</v>
      </c>
      <c r="H138" s="73">
        <v>449</v>
      </c>
      <c r="I138" s="73">
        <v>791</v>
      </c>
      <c r="J138" s="73">
        <v>323</v>
      </c>
      <c r="K138" s="73">
        <v>319</v>
      </c>
      <c r="L138" s="73">
        <v>152</v>
      </c>
      <c r="M138" s="73">
        <v>55</v>
      </c>
      <c r="N138" s="73">
        <v>3170</v>
      </c>
      <c r="O138" s="73">
        <v>607</v>
      </c>
      <c r="P138" s="73">
        <v>574</v>
      </c>
      <c r="Q138" s="73">
        <v>582</v>
      </c>
      <c r="R138" s="73">
        <v>592</v>
      </c>
      <c r="S138" s="73">
        <v>645</v>
      </c>
      <c r="T138" s="73">
        <v>754</v>
      </c>
      <c r="U138" s="73">
        <v>920</v>
      </c>
      <c r="V138" s="73">
        <v>350</v>
      </c>
      <c r="W138" s="73">
        <v>11901</v>
      </c>
    </row>
    <row r="139" spans="1:23" x14ac:dyDescent="0.3">
      <c r="A139" s="24"/>
      <c r="B139" s="24"/>
      <c r="C139" s="24"/>
      <c r="D139" s="24" t="s">
        <v>176</v>
      </c>
      <c r="E139" s="24"/>
      <c r="F139" s="73">
        <v>7</v>
      </c>
      <c r="G139" s="73">
        <v>1</v>
      </c>
      <c r="H139" s="73">
        <v>1</v>
      </c>
      <c r="I139" s="73">
        <v>3</v>
      </c>
      <c r="J139" s="73">
        <v>3</v>
      </c>
      <c r="K139" s="73">
        <v>4</v>
      </c>
      <c r="L139" s="73">
        <v>4</v>
      </c>
      <c r="M139" s="73">
        <v>1</v>
      </c>
      <c r="N139" s="73">
        <v>18</v>
      </c>
      <c r="O139" s="73">
        <v>4</v>
      </c>
      <c r="P139" s="73">
        <v>4</v>
      </c>
      <c r="Q139" s="73">
        <v>7</v>
      </c>
      <c r="R139" s="73">
        <v>5</v>
      </c>
      <c r="S139" s="73">
        <v>5</v>
      </c>
      <c r="T139" s="73">
        <v>6</v>
      </c>
      <c r="U139" s="73">
        <v>5</v>
      </c>
      <c r="V139" s="73">
        <v>1</v>
      </c>
      <c r="W139" s="73">
        <v>79</v>
      </c>
    </row>
    <row r="140" spans="1:23" x14ac:dyDescent="0.3">
      <c r="A140" s="24"/>
      <c r="B140" s="24"/>
      <c r="C140" s="24"/>
      <c r="D140" s="24" t="s">
        <v>177</v>
      </c>
      <c r="E140" s="24"/>
      <c r="F140" s="73">
        <v>0</v>
      </c>
      <c r="G140" s="73">
        <v>0</v>
      </c>
      <c r="H140" s="73">
        <v>0</v>
      </c>
      <c r="I140" s="73">
        <v>0</v>
      </c>
      <c r="J140" s="73">
        <v>0</v>
      </c>
      <c r="K140" s="73">
        <v>0</v>
      </c>
      <c r="L140" s="73">
        <v>0</v>
      </c>
      <c r="M140" s="73">
        <v>0</v>
      </c>
      <c r="N140" s="73">
        <v>0</v>
      </c>
      <c r="O140" s="73">
        <v>0</v>
      </c>
      <c r="P140" s="73">
        <v>1</v>
      </c>
      <c r="Q140" s="73">
        <v>0</v>
      </c>
      <c r="R140" s="73">
        <v>0</v>
      </c>
      <c r="S140" s="73">
        <v>0</v>
      </c>
      <c r="T140" s="73">
        <v>0</v>
      </c>
      <c r="U140" s="73">
        <v>0</v>
      </c>
      <c r="V140" s="73">
        <v>0</v>
      </c>
      <c r="W140" s="73">
        <v>1</v>
      </c>
    </row>
    <row r="141" spans="1:23" x14ac:dyDescent="0.3">
      <c r="A141" s="24"/>
      <c r="B141" s="24"/>
      <c r="C141" s="24"/>
      <c r="D141" s="24" t="s">
        <v>178</v>
      </c>
      <c r="E141" s="24"/>
      <c r="F141" s="73">
        <v>290</v>
      </c>
      <c r="G141" s="73">
        <v>113</v>
      </c>
      <c r="H141" s="73">
        <v>173</v>
      </c>
      <c r="I141" s="73">
        <v>143</v>
      </c>
      <c r="J141" s="73">
        <v>86</v>
      </c>
      <c r="K141" s="73">
        <v>131</v>
      </c>
      <c r="L141" s="73">
        <v>57</v>
      </c>
      <c r="M141" s="73">
        <v>44</v>
      </c>
      <c r="N141" s="73">
        <v>1132</v>
      </c>
      <c r="O141" s="73">
        <v>142</v>
      </c>
      <c r="P141" s="73">
        <v>203</v>
      </c>
      <c r="Q141" s="73">
        <v>251</v>
      </c>
      <c r="R141" s="73">
        <v>129</v>
      </c>
      <c r="S141" s="73">
        <v>147</v>
      </c>
      <c r="T141" s="73">
        <v>269</v>
      </c>
      <c r="U141" s="73">
        <v>236</v>
      </c>
      <c r="V141" s="73">
        <v>41</v>
      </c>
      <c r="W141" s="73">
        <v>3587</v>
      </c>
    </row>
    <row r="142" spans="1:23" x14ac:dyDescent="0.3">
      <c r="A142" s="24"/>
      <c r="B142" s="24"/>
      <c r="C142" s="24"/>
      <c r="D142" s="24" t="s">
        <v>179</v>
      </c>
      <c r="E142" s="24"/>
      <c r="F142" s="73">
        <v>1708</v>
      </c>
      <c r="G142" s="73">
        <v>704</v>
      </c>
      <c r="H142" s="73">
        <v>647</v>
      </c>
      <c r="I142" s="73">
        <v>799</v>
      </c>
      <c r="J142" s="73">
        <v>427</v>
      </c>
      <c r="K142" s="73">
        <v>403</v>
      </c>
      <c r="L142" s="73">
        <v>399</v>
      </c>
      <c r="M142" s="73">
        <v>126</v>
      </c>
      <c r="N142" s="73">
        <v>3692</v>
      </c>
      <c r="O142" s="73">
        <v>659</v>
      </c>
      <c r="P142" s="73">
        <v>564</v>
      </c>
      <c r="Q142" s="73">
        <v>799</v>
      </c>
      <c r="R142" s="73">
        <v>607</v>
      </c>
      <c r="S142" s="73">
        <v>832</v>
      </c>
      <c r="T142" s="73">
        <v>1004</v>
      </c>
      <c r="U142" s="73">
        <v>1037</v>
      </c>
      <c r="V142" s="73">
        <v>194</v>
      </c>
      <c r="W142" s="73">
        <v>14601</v>
      </c>
    </row>
  </sheetData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D4FCE-0CA8-4858-ABA7-5AE9C9784AA6}">
  <dimension ref="A2:I60"/>
  <sheetViews>
    <sheetView workbookViewId="0">
      <selection activeCell="I4" sqref="I4"/>
    </sheetView>
  </sheetViews>
  <sheetFormatPr defaultColWidth="9" defaultRowHeight="16.5" x14ac:dyDescent="0.3"/>
  <cols>
    <col min="1" max="1" width="9" style="7"/>
    <col min="2" max="2" width="22.875" style="7" bestFit="1" customWidth="1"/>
    <col min="3" max="3" width="10.875" style="7" bestFit="1" customWidth="1"/>
    <col min="4" max="4" width="10.875" style="7" customWidth="1"/>
    <col min="5" max="5" width="14.625" style="7" customWidth="1"/>
    <col min="6" max="7" width="11" style="7" bestFit="1" customWidth="1"/>
    <col min="8" max="8" width="19.125" style="7" customWidth="1"/>
    <col min="9" max="9" width="21.5" style="7" customWidth="1"/>
    <col min="10" max="16384" width="9" style="7"/>
  </cols>
  <sheetData>
    <row r="2" spans="2:9" x14ac:dyDescent="0.3">
      <c r="B2" s="6" t="s">
        <v>13</v>
      </c>
      <c r="C2" s="6" t="s">
        <v>188</v>
      </c>
      <c r="D2" s="6"/>
      <c r="E2" s="55" t="s">
        <v>562</v>
      </c>
    </row>
    <row r="3" spans="2:9" x14ac:dyDescent="0.3">
      <c r="B3" s="45" t="s">
        <v>180</v>
      </c>
      <c r="C3" s="28">
        <f>G4/$F$4</f>
        <v>1.6927182001066918E-3</v>
      </c>
      <c r="D3" s="9"/>
      <c r="E3" s="56"/>
      <c r="F3" s="57" t="s">
        <v>188</v>
      </c>
      <c r="G3" s="57" t="s">
        <v>180</v>
      </c>
      <c r="H3" s="57" t="s">
        <v>181</v>
      </c>
      <c r="I3" s="57" t="s">
        <v>189</v>
      </c>
    </row>
    <row r="4" spans="2:9" x14ac:dyDescent="0.3">
      <c r="B4" s="45" t="s">
        <v>181</v>
      </c>
      <c r="C4" s="28">
        <f>H4/$F$4</f>
        <v>5.7437620698501154E-2</v>
      </c>
      <c r="D4" s="9"/>
      <c r="E4" s="58" t="s">
        <v>13</v>
      </c>
      <c r="F4" s="59">
        <f>DV_total!W5</f>
        <v>19860955</v>
      </c>
      <c r="G4" s="59">
        <f>DV_gov!W5</f>
        <v>33619</v>
      </c>
      <c r="H4" s="59">
        <f>DV_indst!W5</f>
        <v>1140766</v>
      </c>
      <c r="I4" s="59">
        <f>DV_consumer!W5</f>
        <v>18686570</v>
      </c>
    </row>
    <row r="5" spans="2:9" x14ac:dyDescent="0.3">
      <c r="B5" s="46" t="s">
        <v>10</v>
      </c>
      <c r="C5" s="28">
        <f>I4/$F$4</f>
        <v>0.94086966110139214</v>
      </c>
      <c r="D5" s="9"/>
      <c r="E5" s="58" t="s">
        <v>14</v>
      </c>
      <c r="F5" s="59">
        <f>DV_total!W62</f>
        <v>783842</v>
      </c>
      <c r="G5" s="59">
        <f>DV_gov!W62</f>
        <v>23938</v>
      </c>
      <c r="H5" s="59">
        <f>DV_indst!W62</f>
        <v>120400</v>
      </c>
      <c r="I5" s="59">
        <f>DV_consumer!W62</f>
        <v>639504</v>
      </c>
    </row>
    <row r="6" spans="2:9" x14ac:dyDescent="0.3">
      <c r="B6" s="46" t="s">
        <v>9</v>
      </c>
      <c r="C6" s="28">
        <v>0</v>
      </c>
      <c r="D6" s="9"/>
      <c r="E6" s="58" t="s">
        <v>15</v>
      </c>
      <c r="F6" s="59">
        <f>SUM(DV_total!$W$85,DV_total!$W$87:$W$89,DV_total!$W$95:$W$96,DV_total!$W$100:$W$101,DV_total!$W$130:$W$131,DV_total!$W$134:$W$135)</f>
        <v>2871075</v>
      </c>
      <c r="G6" s="59">
        <f>SUM(DV_gov!$W$85,DV_gov!$W$87:$W$89,DV_gov!$W$95:$W$96,DV_gov!$W$100:$W$101,DV_gov!$W$130:$W$131,DV_gov!$W$134:$W$135)</f>
        <v>18002</v>
      </c>
      <c r="H6" s="59">
        <f>SUM(DV_indst!$W$85,DV_indst!$W$87:$W$89,DV_indst!$W$95:$W$96,DV_indst!$W$100:$W$101,DV_indst!$W$130:$W$131,DV_indst!$W$134:$W$135)</f>
        <v>180880</v>
      </c>
      <c r="I6" s="59">
        <f>SUM(DV_consumer!$W$85,DV_consumer!$W$87:$W$89,DV_consumer!$W$95:$W$96,DV_consumer!$W$100:$W$101,DV_consumer!$W$130:$W$131,DV_consumer!$W$134:$W$135)</f>
        <v>2672193</v>
      </c>
    </row>
    <row r="7" spans="2:9" x14ac:dyDescent="0.3">
      <c r="B7" s="8"/>
      <c r="C7" s="28"/>
      <c r="D7" s="9"/>
      <c r="E7" s="58" t="s">
        <v>16</v>
      </c>
      <c r="F7" s="59">
        <f>SUM(DV_total!$W$90:$W$93,DV_total!$W$97:$W$98,DV_total!$W$102,DV_total!$W$104:$W$110,DV_total!$W$116,DV_total!$W$121,DV_total!$W$127,DV_total!$W$132,DV_total!$W$136,DV_total!$W$138:$W$142)</f>
        <v>850107</v>
      </c>
      <c r="G7" s="59">
        <f>SUM(DV_gov!$W$90:$W$93,DV_gov!$W$97:$W$98,DV_gov!$W$102,DV_gov!$W$104:$W$110,DV_gov!$W$116,DV_gov!$W$121,DV_gov!$W$127,DV_gov!$W$132,DV_gov!$W$136,DV_gov!$W$138:$W$142)</f>
        <v>18398</v>
      </c>
      <c r="H7" s="59">
        <f>SUM(DV_indst!$W$90:$W$93,DV_indst!$W$97:$W$98,DV_indst!$W$102,DV_indst!$W$104:$W$110,DV_indst!$W$116,DV_indst!$W$121,DV_indst!$W$127,DV_indst!$W$132,DV_indst!$W$136,DV_indst!$W$138:$W$142)</f>
        <v>308290</v>
      </c>
      <c r="I7" s="59">
        <f>SUM(DV_consumer!$W$90:$W$93,DV_consumer!$W$97:$W$98,DV_consumer!$W$102,DV_consumer!$W$104:$W$110,DV_consumer!$W$116,DV_consumer!$W$121,DV_consumer!$W$127,DV_consumer!$W$132,DV_consumer!$W$136,DV_consumer!$W$138:$W$142)</f>
        <v>523419</v>
      </c>
    </row>
    <row r="8" spans="2:9" x14ac:dyDescent="0.3">
      <c r="B8" s="6" t="s">
        <v>14</v>
      </c>
      <c r="C8" s="28"/>
      <c r="D8" s="9"/>
    </row>
    <row r="9" spans="2:9" x14ac:dyDescent="0.3">
      <c r="B9" s="45" t="s">
        <v>180</v>
      </c>
      <c r="C9" s="28">
        <f>G5/$F$5</f>
        <v>3.0539317872734555E-2</v>
      </c>
      <c r="D9" s="9"/>
    </row>
    <row r="10" spans="2:9" x14ac:dyDescent="0.3">
      <c r="B10" s="45" t="s">
        <v>181</v>
      </c>
      <c r="C10" s="28">
        <f>H5/$F$5</f>
        <v>0.15360238415394939</v>
      </c>
      <c r="D10" s="9"/>
    </row>
    <row r="11" spans="2:9" x14ac:dyDescent="0.3">
      <c r="B11" s="46" t="s">
        <v>10</v>
      </c>
      <c r="C11" s="28">
        <f>I5/$F$5</f>
        <v>0.8158582979733161</v>
      </c>
      <c r="D11" s="9"/>
    </row>
    <row r="12" spans="2:9" x14ac:dyDescent="0.3">
      <c r="B12" s="46" t="s">
        <v>9</v>
      </c>
      <c r="C12" s="28">
        <v>0</v>
      </c>
      <c r="D12" s="9"/>
    </row>
    <row r="13" spans="2:9" x14ac:dyDescent="0.3">
      <c r="B13" s="8"/>
      <c r="C13" s="28"/>
      <c r="D13" s="9"/>
    </row>
    <row r="14" spans="2:9" x14ac:dyDescent="0.3">
      <c r="B14" s="6" t="s">
        <v>15</v>
      </c>
      <c r="C14" s="28"/>
      <c r="D14" s="9"/>
    </row>
    <row r="15" spans="2:9" x14ac:dyDescent="0.3">
      <c r="B15" s="45" t="s">
        <v>180</v>
      </c>
      <c r="C15" s="28">
        <f>G6/$F$6</f>
        <v>6.270125301498568E-3</v>
      </c>
      <c r="D15" s="9"/>
    </row>
    <row r="16" spans="2:9" x14ac:dyDescent="0.3">
      <c r="B16" s="45" t="s">
        <v>181</v>
      </c>
      <c r="C16" s="28">
        <f>H6/$F$6</f>
        <v>6.3000792386127144E-2</v>
      </c>
      <c r="D16" s="9"/>
    </row>
    <row r="17" spans="1:7" x14ac:dyDescent="0.3">
      <c r="B17" s="46" t="s">
        <v>10</v>
      </c>
      <c r="C17" s="28">
        <f>I6/$F$6</f>
        <v>0.93072908231237428</v>
      </c>
      <c r="D17" s="9"/>
    </row>
    <row r="18" spans="1:7" x14ac:dyDescent="0.3">
      <c r="B18" s="46" t="s">
        <v>9</v>
      </c>
      <c r="C18" s="28">
        <v>0</v>
      </c>
      <c r="D18" s="9"/>
      <c r="G18" s="12"/>
    </row>
    <row r="19" spans="1:7" x14ac:dyDescent="0.3">
      <c r="B19" s="8"/>
      <c r="C19" s="28"/>
      <c r="D19" s="9"/>
      <c r="G19" s="12"/>
    </row>
    <row r="20" spans="1:7" x14ac:dyDescent="0.3">
      <c r="B20" s="6" t="s">
        <v>16</v>
      </c>
      <c r="C20" s="28"/>
      <c r="D20" s="9"/>
      <c r="F20"/>
      <c r="G20"/>
    </row>
    <row r="21" spans="1:7" x14ac:dyDescent="0.3">
      <c r="B21" s="45" t="s">
        <v>180</v>
      </c>
      <c r="C21" s="28">
        <f>G7/$F$7</f>
        <v>2.1641981538794527E-2</v>
      </c>
      <c r="D21" s="9"/>
      <c r="F21"/>
    </row>
    <row r="22" spans="1:7" x14ac:dyDescent="0.3">
      <c r="B22" s="45" t="s">
        <v>181</v>
      </c>
      <c r="C22" s="28">
        <f>H7/$F$7</f>
        <v>0.36264846660479211</v>
      </c>
      <c r="D22" s="9"/>
      <c r="F22" s="13"/>
    </row>
    <row r="23" spans="1:7" x14ac:dyDescent="0.3">
      <c r="B23" s="46" t="s">
        <v>10</v>
      </c>
      <c r="C23" s="28">
        <f>I7/$F$7</f>
        <v>0.61570955185641341</v>
      </c>
      <c r="D23" s="9"/>
      <c r="F23"/>
    </row>
    <row r="24" spans="1:7" x14ac:dyDescent="0.3">
      <c r="B24" s="46" t="s">
        <v>9</v>
      </c>
      <c r="C24" s="28">
        <v>0</v>
      </c>
      <c r="D24" s="9"/>
      <c r="F24"/>
    </row>
    <row r="25" spans="1:7" x14ac:dyDescent="0.3">
      <c r="B25" s="8"/>
      <c r="C25" s="9"/>
      <c r="D25" s="9"/>
      <c r="F25"/>
    </row>
    <row r="26" spans="1:7" x14ac:dyDescent="0.3">
      <c r="D26"/>
      <c r="F26"/>
    </row>
    <row r="27" spans="1:7" x14ac:dyDescent="0.3">
      <c r="A27"/>
      <c r="B27"/>
      <c r="C27"/>
      <c r="D27"/>
    </row>
    <row r="28" spans="1:7" x14ac:dyDescent="0.3">
      <c r="A28" s="10"/>
      <c r="B28" s="11"/>
      <c r="C28"/>
      <c r="D28"/>
    </row>
    <row r="29" spans="1:7" x14ac:dyDescent="0.3">
      <c r="A29" s="10"/>
      <c r="B29" s="2"/>
      <c r="C29" s="12"/>
      <c r="D29" s="12"/>
      <c r="E29"/>
      <c r="F29"/>
    </row>
    <row r="30" spans="1:7" x14ac:dyDescent="0.3">
      <c r="A30" s="10"/>
      <c r="B30" s="2"/>
      <c r="C30" s="12"/>
      <c r="D30" s="12"/>
      <c r="F30"/>
    </row>
    <row r="31" spans="1:7" x14ac:dyDescent="0.3">
      <c r="F31"/>
    </row>
    <row r="33" spans="2:6" x14ac:dyDescent="0.3">
      <c r="C33"/>
      <c r="D33" s="12"/>
    </row>
    <row r="34" spans="2:6" x14ac:dyDescent="0.3">
      <c r="C34"/>
      <c r="D34" s="12"/>
    </row>
    <row r="40" spans="2:6" x14ac:dyDescent="0.3">
      <c r="B40"/>
      <c r="C40" s="16"/>
      <c r="D40" s="16"/>
    </row>
    <row r="41" spans="2:6" x14ac:dyDescent="0.3">
      <c r="B41"/>
      <c r="C41" s="16"/>
      <c r="D41" s="16"/>
      <c r="E41" s="15"/>
      <c r="F41"/>
    </row>
    <row r="42" spans="2:6" x14ac:dyDescent="0.3">
      <c r="B42"/>
      <c r="C42" s="16"/>
      <c r="D42" s="16"/>
      <c r="E42" s="15"/>
      <c r="F42"/>
    </row>
    <row r="43" spans="2:6" x14ac:dyDescent="0.3">
      <c r="B43"/>
      <c r="C43" s="16"/>
      <c r="D43" s="16"/>
      <c r="E43"/>
    </row>
    <row r="44" spans="2:6" x14ac:dyDescent="0.3">
      <c r="B44"/>
      <c r="C44" s="16"/>
      <c r="D44" s="16"/>
      <c r="E44"/>
    </row>
    <row r="45" spans="2:6" x14ac:dyDescent="0.3">
      <c r="B45"/>
      <c r="C45" s="16"/>
      <c r="D45" s="16"/>
      <c r="E45" s="17"/>
    </row>
    <row r="46" spans="2:6" x14ac:dyDescent="0.3">
      <c r="B46"/>
      <c r="C46" s="16"/>
      <c r="D46" s="16"/>
      <c r="E46" s="15"/>
    </row>
    <row r="47" spans="2:6" x14ac:dyDescent="0.3">
      <c r="B47"/>
      <c r="C47" s="16"/>
      <c r="D47" s="16"/>
      <c r="E47" s="17"/>
    </row>
    <row r="48" spans="2:6" x14ac:dyDescent="0.3">
      <c r="B48"/>
      <c r="C48" s="14"/>
      <c r="D48" s="14"/>
      <c r="E48" s="15"/>
    </row>
    <row r="49" spans="2:5" x14ac:dyDescent="0.3">
      <c r="B49"/>
      <c r="C49" s="16"/>
      <c r="D49" s="16"/>
      <c r="E49"/>
    </row>
    <row r="50" spans="2:5" x14ac:dyDescent="0.3">
      <c r="B50"/>
      <c r="C50" s="16"/>
      <c r="D50" s="16"/>
      <c r="E50"/>
    </row>
    <row r="51" spans="2:5" x14ac:dyDescent="0.3">
      <c r="B51"/>
      <c r="C51" s="16"/>
      <c r="D51" s="16"/>
      <c r="E51" s="17"/>
    </row>
    <row r="52" spans="2:5" x14ac:dyDescent="0.3">
      <c r="B52"/>
      <c r="C52" s="16"/>
      <c r="D52" s="16"/>
      <c r="E52" s="17"/>
    </row>
    <row r="53" spans="2:5" x14ac:dyDescent="0.3">
      <c r="B53"/>
      <c r="C53" s="16"/>
      <c r="D53" s="16"/>
      <c r="E53" s="17"/>
    </row>
    <row r="54" spans="2:5" x14ac:dyDescent="0.3">
      <c r="B54"/>
      <c r="C54" s="16"/>
      <c r="D54" s="16"/>
      <c r="E54" s="15"/>
    </row>
    <row r="55" spans="2:5" x14ac:dyDescent="0.3">
      <c r="B55"/>
      <c r="C55" s="16"/>
      <c r="D55" s="16"/>
      <c r="E55"/>
    </row>
    <row r="56" spans="2:5" x14ac:dyDescent="0.3">
      <c r="B56"/>
      <c r="C56" s="16"/>
      <c r="D56" s="16"/>
      <c r="E56" s="17"/>
    </row>
    <row r="57" spans="2:5" x14ac:dyDescent="0.3">
      <c r="B57"/>
      <c r="C57" s="16"/>
      <c r="D57" s="16"/>
      <c r="E57" s="17"/>
    </row>
    <row r="58" spans="2:5" x14ac:dyDescent="0.3">
      <c r="B58"/>
      <c r="C58" s="16"/>
      <c r="D58" s="16"/>
      <c r="E58" s="15"/>
    </row>
    <row r="59" spans="2:5" x14ac:dyDescent="0.3">
      <c r="B59"/>
      <c r="C59" s="12"/>
      <c r="D59" s="12"/>
      <c r="E59" s="15"/>
    </row>
    <row r="60" spans="2:5" x14ac:dyDescent="0.3">
      <c r="E60"/>
    </row>
  </sheetData>
  <phoneticPr fontId="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9A370-9AB7-4168-963F-71E730C9EBA0}">
  <dimension ref="A2:L78"/>
  <sheetViews>
    <sheetView topLeftCell="A33" workbookViewId="0">
      <selection activeCell="F50" sqref="F50"/>
    </sheetView>
  </sheetViews>
  <sheetFormatPr defaultColWidth="9" defaultRowHeight="13.5" x14ac:dyDescent="0.3"/>
  <cols>
    <col min="1" max="1" width="9" style="34"/>
    <col min="2" max="2" width="11.25" style="34" customWidth="1"/>
    <col min="3" max="3" width="10.375" style="34" customWidth="1"/>
    <col min="4" max="4" width="7.5" style="34" customWidth="1"/>
    <col min="5" max="5" width="11" style="34" customWidth="1"/>
    <col min="6" max="6" width="8.875" style="34" customWidth="1"/>
    <col min="7" max="10" width="9.375" style="34" customWidth="1"/>
    <col min="11" max="16384" width="9" style="34"/>
  </cols>
  <sheetData>
    <row r="2" spans="2:12" x14ac:dyDescent="0.3">
      <c r="I2" s="53" t="s">
        <v>562</v>
      </c>
    </row>
    <row r="3" spans="2:12" x14ac:dyDescent="0.3">
      <c r="B3" s="36"/>
      <c r="C3" s="36" t="s">
        <v>194</v>
      </c>
      <c r="D3" s="36" t="s">
        <v>195</v>
      </c>
      <c r="E3" s="36" t="s">
        <v>196</v>
      </c>
      <c r="F3" s="36" t="s">
        <v>197</v>
      </c>
      <c r="G3" s="36" t="s">
        <v>198</v>
      </c>
      <c r="H3" s="38"/>
      <c r="I3" s="35"/>
      <c r="J3" s="36" t="s">
        <v>267</v>
      </c>
      <c r="K3" s="36" t="s">
        <v>264</v>
      </c>
      <c r="L3" s="36" t="s">
        <v>265</v>
      </c>
    </row>
    <row r="4" spans="2:12" x14ac:dyDescent="0.3">
      <c r="B4" s="90" t="s">
        <v>200</v>
      </c>
      <c r="C4" s="91" t="s">
        <v>201</v>
      </c>
      <c r="D4" s="90" t="s">
        <v>199</v>
      </c>
      <c r="E4" s="35" t="s">
        <v>202</v>
      </c>
      <c r="F4" s="35">
        <v>3</v>
      </c>
      <c r="G4" s="90"/>
      <c r="H4" s="37"/>
      <c r="I4" s="90" t="s">
        <v>18</v>
      </c>
      <c r="J4" s="42" t="s">
        <v>180</v>
      </c>
      <c r="K4" s="35">
        <f>SUM($F$62:$G$65)</f>
        <v>199</v>
      </c>
      <c r="L4" s="43">
        <f>K4/$K$8</f>
        <v>0.24209245742092458</v>
      </c>
    </row>
    <row r="5" spans="2:12" x14ac:dyDescent="0.3">
      <c r="B5" s="90"/>
      <c r="C5" s="91"/>
      <c r="D5" s="90"/>
      <c r="E5" s="35" t="s">
        <v>204</v>
      </c>
      <c r="F5" s="35">
        <v>10</v>
      </c>
      <c r="G5" s="90"/>
      <c r="H5" s="37"/>
      <c r="I5" s="90"/>
      <c r="J5" s="42" t="s">
        <v>12</v>
      </c>
      <c r="K5" s="35">
        <f>SUM($F$61:$G$61,$F$66:$G$66)+SUM($F$12,$F$25,$F$31,$F$34,$F$37,$F$41,$F$43,$F$45,$F$49,$F$51:$G$58)</f>
        <v>615</v>
      </c>
      <c r="L5" s="43">
        <f t="shared" ref="L5:L7" si="0">K5/$K$8</f>
        <v>0.74817518248175185</v>
      </c>
    </row>
    <row r="6" spans="2:12" x14ac:dyDescent="0.3">
      <c r="B6" s="90"/>
      <c r="C6" s="91"/>
      <c r="D6" s="90"/>
      <c r="E6" s="35" t="s">
        <v>206</v>
      </c>
      <c r="F6" s="35">
        <v>44</v>
      </c>
      <c r="G6" s="90"/>
      <c r="H6" s="37"/>
      <c r="I6" s="90"/>
      <c r="J6" s="42" t="s">
        <v>189</v>
      </c>
      <c r="K6" s="35">
        <f>E72</f>
        <v>8</v>
      </c>
      <c r="L6" s="43">
        <f t="shared" si="0"/>
        <v>9.7323600973236012E-3</v>
      </c>
    </row>
    <row r="7" spans="2:12" x14ac:dyDescent="0.3">
      <c r="B7" s="90"/>
      <c r="C7" s="91"/>
      <c r="D7" s="90"/>
      <c r="E7" s="35" t="s">
        <v>207</v>
      </c>
      <c r="F7" s="35">
        <v>10</v>
      </c>
      <c r="G7" s="90"/>
      <c r="H7" s="37"/>
      <c r="I7" s="90"/>
      <c r="J7" s="42" t="s">
        <v>263</v>
      </c>
      <c r="K7" s="35">
        <v>0</v>
      </c>
      <c r="L7" s="43">
        <f t="shared" si="0"/>
        <v>0</v>
      </c>
    </row>
    <row r="8" spans="2:12" x14ac:dyDescent="0.3">
      <c r="B8" s="90"/>
      <c r="C8" s="91"/>
      <c r="D8" s="90"/>
      <c r="E8" s="35" t="s">
        <v>208</v>
      </c>
      <c r="F8" s="35">
        <v>31</v>
      </c>
      <c r="G8" s="90"/>
      <c r="H8" s="37"/>
      <c r="I8" s="90"/>
      <c r="J8" s="33" t="s">
        <v>266</v>
      </c>
      <c r="K8" s="35">
        <f>SUM($K$4:$K$7)</f>
        <v>822</v>
      </c>
      <c r="L8" s="43"/>
    </row>
    <row r="9" spans="2:12" x14ac:dyDescent="0.3">
      <c r="B9" s="90"/>
      <c r="C9" s="91"/>
      <c r="D9" s="90"/>
      <c r="E9" s="35" t="s">
        <v>209</v>
      </c>
      <c r="F9" s="35">
        <v>29</v>
      </c>
      <c r="G9" s="90"/>
      <c r="H9" s="37"/>
      <c r="I9" s="90" t="s">
        <v>19</v>
      </c>
      <c r="J9" s="42" t="s">
        <v>180</v>
      </c>
      <c r="K9" s="35">
        <v>0</v>
      </c>
      <c r="L9" s="43">
        <f>K9/$K$13</f>
        <v>0</v>
      </c>
    </row>
    <row r="10" spans="2:12" x14ac:dyDescent="0.3">
      <c r="B10" s="90"/>
      <c r="C10" s="91"/>
      <c r="D10" s="90"/>
      <c r="E10" s="35" t="s">
        <v>210</v>
      </c>
      <c r="F10" s="35">
        <v>10</v>
      </c>
      <c r="G10" s="90"/>
      <c r="H10" s="37"/>
      <c r="I10" s="90"/>
      <c r="J10" s="42" t="s">
        <v>12</v>
      </c>
      <c r="K10" s="35">
        <f>SUM($F$16,$F$29,$F$47)</f>
        <v>36</v>
      </c>
      <c r="L10" s="43">
        <f t="shared" ref="L10:L12" si="1">K10/$K$13</f>
        <v>1</v>
      </c>
    </row>
    <row r="11" spans="2:12" x14ac:dyDescent="0.3">
      <c r="B11" s="90"/>
      <c r="C11" s="91"/>
      <c r="D11" s="90"/>
      <c r="E11" s="35" t="s">
        <v>211</v>
      </c>
      <c r="F11" s="35">
        <v>10</v>
      </c>
      <c r="G11" s="90"/>
      <c r="H11" s="37"/>
      <c r="I11" s="90"/>
      <c r="J11" s="42" t="s">
        <v>189</v>
      </c>
      <c r="K11" s="35">
        <v>0</v>
      </c>
      <c r="L11" s="43">
        <f t="shared" si="1"/>
        <v>0</v>
      </c>
    </row>
    <row r="12" spans="2:12" x14ac:dyDescent="0.3">
      <c r="B12" s="90"/>
      <c r="C12" s="91"/>
      <c r="D12" s="90"/>
      <c r="E12" s="35" t="s">
        <v>212</v>
      </c>
      <c r="F12" s="35">
        <f>SUM($F$4:$F$11)</f>
        <v>147</v>
      </c>
      <c r="G12" s="90"/>
      <c r="H12" s="37"/>
      <c r="I12" s="90"/>
      <c r="J12" s="42" t="s">
        <v>263</v>
      </c>
      <c r="K12" s="35">
        <v>0</v>
      </c>
      <c r="L12" s="43">
        <f t="shared" si="1"/>
        <v>0</v>
      </c>
    </row>
    <row r="13" spans="2:12" x14ac:dyDescent="0.3">
      <c r="B13" s="90"/>
      <c r="C13" s="91"/>
      <c r="D13" s="90" t="s">
        <v>203</v>
      </c>
      <c r="E13" s="35" t="s">
        <v>213</v>
      </c>
      <c r="F13" s="35">
        <v>4</v>
      </c>
      <c r="G13" s="90"/>
      <c r="H13" s="37"/>
      <c r="I13" s="90"/>
      <c r="J13" s="33" t="s">
        <v>266</v>
      </c>
      <c r="K13" s="35">
        <f>SUM($K$9:$K$12)</f>
        <v>36</v>
      </c>
      <c r="L13" s="43"/>
    </row>
    <row r="14" spans="2:12" ht="16.5" customHeight="1" x14ac:dyDescent="0.3">
      <c r="B14" s="90"/>
      <c r="C14" s="91"/>
      <c r="D14" s="90"/>
      <c r="E14" s="35" t="s">
        <v>214</v>
      </c>
      <c r="F14" s="35">
        <v>7</v>
      </c>
      <c r="G14" s="90"/>
      <c r="H14" s="37"/>
      <c r="I14" s="90" t="s">
        <v>262</v>
      </c>
      <c r="J14" s="90"/>
      <c r="K14" s="35">
        <f>SUM($K$8,$K$13)</f>
        <v>858</v>
      </c>
      <c r="L14" s="35"/>
    </row>
    <row r="15" spans="2:12" x14ac:dyDescent="0.3">
      <c r="B15" s="90"/>
      <c r="C15" s="91"/>
      <c r="D15" s="90"/>
      <c r="E15" s="35" t="s">
        <v>215</v>
      </c>
      <c r="F15" s="35">
        <v>12</v>
      </c>
      <c r="G15" s="90"/>
      <c r="H15" s="37"/>
      <c r="I15" s="37"/>
      <c r="J15" s="37"/>
    </row>
    <row r="16" spans="2:12" x14ac:dyDescent="0.3">
      <c r="B16" s="90"/>
      <c r="C16" s="91"/>
      <c r="D16" s="90"/>
      <c r="E16" s="35" t="s">
        <v>212</v>
      </c>
      <c r="F16" s="35">
        <f>SUM($F$13:$F$15)</f>
        <v>23</v>
      </c>
      <c r="G16" s="90"/>
      <c r="H16" s="37"/>
      <c r="I16" s="37"/>
      <c r="J16" s="37"/>
    </row>
    <row r="17" spans="2:10" x14ac:dyDescent="0.3">
      <c r="B17" s="90"/>
      <c r="C17" s="91" t="s">
        <v>216</v>
      </c>
      <c r="D17" s="90" t="s">
        <v>199</v>
      </c>
      <c r="E17" s="35" t="s">
        <v>202</v>
      </c>
      <c r="F17" s="35">
        <v>2</v>
      </c>
      <c r="G17" s="90"/>
      <c r="H17" s="37"/>
      <c r="I17" s="37"/>
      <c r="J17" s="37"/>
    </row>
    <row r="18" spans="2:10" x14ac:dyDescent="0.3">
      <c r="B18" s="90"/>
      <c r="C18" s="91"/>
      <c r="D18" s="90"/>
      <c r="E18" s="35" t="s">
        <v>217</v>
      </c>
      <c r="F18" s="35">
        <v>9</v>
      </c>
      <c r="G18" s="90"/>
      <c r="H18" s="37"/>
      <c r="I18" s="37"/>
      <c r="J18" s="37"/>
    </row>
    <row r="19" spans="2:10" x14ac:dyDescent="0.3">
      <c r="B19" s="90"/>
      <c r="C19" s="91"/>
      <c r="D19" s="90"/>
      <c r="E19" s="35" t="s">
        <v>218</v>
      </c>
      <c r="F19" s="35">
        <v>6</v>
      </c>
      <c r="G19" s="90"/>
      <c r="H19" s="37"/>
      <c r="I19" s="37"/>
      <c r="J19" s="37"/>
    </row>
    <row r="20" spans="2:10" x14ac:dyDescent="0.3">
      <c r="B20" s="90"/>
      <c r="C20" s="91"/>
      <c r="D20" s="90"/>
      <c r="E20" s="35" t="s">
        <v>219</v>
      </c>
      <c r="F20" s="35">
        <v>19</v>
      </c>
      <c r="G20" s="90"/>
      <c r="H20" s="37"/>
      <c r="I20" s="37"/>
      <c r="J20" s="37"/>
    </row>
    <row r="21" spans="2:10" x14ac:dyDescent="0.3">
      <c r="B21" s="90"/>
      <c r="C21" s="91"/>
      <c r="D21" s="90"/>
      <c r="E21" s="35" t="s">
        <v>220</v>
      </c>
      <c r="F21" s="35">
        <v>15</v>
      </c>
      <c r="G21" s="90"/>
      <c r="H21" s="37"/>
      <c r="I21" s="37"/>
      <c r="J21" s="37"/>
    </row>
    <row r="22" spans="2:10" x14ac:dyDescent="0.3">
      <c r="B22" s="90"/>
      <c r="C22" s="91"/>
      <c r="D22" s="90"/>
      <c r="E22" s="35" t="s">
        <v>221</v>
      </c>
      <c r="F22" s="35">
        <v>7</v>
      </c>
      <c r="G22" s="90"/>
      <c r="H22" s="37"/>
      <c r="I22" s="37"/>
      <c r="J22" s="37"/>
    </row>
    <row r="23" spans="2:10" x14ac:dyDescent="0.3">
      <c r="B23" s="90"/>
      <c r="C23" s="91"/>
      <c r="D23" s="90"/>
      <c r="E23" s="35" t="s">
        <v>210</v>
      </c>
      <c r="F23" s="35">
        <v>6</v>
      </c>
      <c r="G23" s="90"/>
      <c r="H23" s="37"/>
      <c r="I23" s="37"/>
      <c r="J23" s="37"/>
    </row>
    <row r="24" spans="2:10" x14ac:dyDescent="0.3">
      <c r="B24" s="90"/>
      <c r="C24" s="91"/>
      <c r="D24" s="90"/>
      <c r="E24" s="35" t="s">
        <v>222</v>
      </c>
      <c r="F24" s="35">
        <v>10</v>
      </c>
      <c r="G24" s="90"/>
      <c r="H24" s="37"/>
      <c r="I24" s="37"/>
      <c r="J24" s="37"/>
    </row>
    <row r="25" spans="2:10" x14ac:dyDescent="0.3">
      <c r="B25" s="90"/>
      <c r="C25" s="91"/>
      <c r="D25" s="90"/>
      <c r="E25" s="35" t="s">
        <v>212</v>
      </c>
      <c r="F25" s="35">
        <f>SUM($F$17:$F$24)</f>
        <v>74</v>
      </c>
      <c r="G25" s="90"/>
      <c r="H25" s="37"/>
      <c r="I25" s="37"/>
      <c r="J25" s="37"/>
    </row>
    <row r="26" spans="2:10" x14ac:dyDescent="0.3">
      <c r="B26" s="90"/>
      <c r="C26" s="91"/>
      <c r="D26" s="90" t="s">
        <v>203</v>
      </c>
      <c r="E26" s="35" t="s">
        <v>213</v>
      </c>
      <c r="F26" s="35">
        <v>9</v>
      </c>
      <c r="G26" s="90"/>
      <c r="H26" s="37"/>
      <c r="I26" s="37"/>
      <c r="J26" s="37"/>
    </row>
    <row r="27" spans="2:10" x14ac:dyDescent="0.3">
      <c r="B27" s="90"/>
      <c r="C27" s="91"/>
      <c r="D27" s="90"/>
      <c r="E27" s="35" t="s">
        <v>223</v>
      </c>
      <c r="F27" s="35">
        <v>1</v>
      </c>
      <c r="G27" s="90"/>
      <c r="H27" s="37"/>
      <c r="I27" s="37"/>
      <c r="J27" s="37"/>
    </row>
    <row r="28" spans="2:10" x14ac:dyDescent="0.3">
      <c r="B28" s="90"/>
      <c r="C28" s="91"/>
      <c r="D28" s="90"/>
      <c r="E28" s="35" t="s">
        <v>202</v>
      </c>
      <c r="F28" s="35">
        <v>2</v>
      </c>
      <c r="G28" s="90"/>
      <c r="H28" s="37"/>
      <c r="I28" s="37"/>
      <c r="J28" s="37"/>
    </row>
    <row r="29" spans="2:10" x14ac:dyDescent="0.3">
      <c r="B29" s="90"/>
      <c r="C29" s="91"/>
      <c r="D29" s="90"/>
      <c r="E29" s="35" t="s">
        <v>212</v>
      </c>
      <c r="F29" s="35">
        <f>SUM($F$26:$F$28)</f>
        <v>12</v>
      </c>
      <c r="G29" s="90"/>
      <c r="H29" s="37"/>
      <c r="I29" s="37"/>
      <c r="J29" s="37"/>
    </row>
    <row r="30" spans="2:10" x14ac:dyDescent="0.3">
      <c r="B30" s="90"/>
      <c r="C30" s="91" t="s">
        <v>224</v>
      </c>
      <c r="D30" s="90" t="s">
        <v>199</v>
      </c>
      <c r="E30" s="35" t="s">
        <v>225</v>
      </c>
      <c r="F30" s="35">
        <v>45</v>
      </c>
      <c r="G30" s="90"/>
      <c r="H30" s="37"/>
      <c r="I30" s="37"/>
      <c r="J30" s="37"/>
    </row>
    <row r="31" spans="2:10" x14ac:dyDescent="0.3">
      <c r="B31" s="90"/>
      <c r="C31" s="91"/>
      <c r="D31" s="90"/>
      <c r="E31" s="35" t="s">
        <v>212</v>
      </c>
      <c r="F31" s="35">
        <v>45</v>
      </c>
      <c r="G31" s="90"/>
      <c r="H31" s="37"/>
      <c r="I31" s="37"/>
      <c r="J31" s="37"/>
    </row>
    <row r="32" spans="2:10" x14ac:dyDescent="0.3">
      <c r="B32" s="90"/>
      <c r="C32" s="91" t="s">
        <v>226</v>
      </c>
      <c r="D32" s="90" t="s">
        <v>199</v>
      </c>
      <c r="E32" s="35" t="s">
        <v>225</v>
      </c>
      <c r="F32" s="35">
        <v>22</v>
      </c>
      <c r="G32" s="90"/>
      <c r="H32" s="37"/>
      <c r="I32" s="37"/>
      <c r="J32" s="37"/>
    </row>
    <row r="33" spans="2:10" x14ac:dyDescent="0.3">
      <c r="B33" s="90"/>
      <c r="C33" s="91"/>
      <c r="D33" s="90"/>
      <c r="E33" s="35" t="s">
        <v>217</v>
      </c>
      <c r="F33" s="35">
        <v>4</v>
      </c>
      <c r="G33" s="90"/>
      <c r="H33" s="37"/>
      <c r="I33" s="37"/>
      <c r="J33" s="37"/>
    </row>
    <row r="34" spans="2:10" x14ac:dyDescent="0.3">
      <c r="B34" s="90"/>
      <c r="C34" s="91"/>
      <c r="D34" s="90"/>
      <c r="E34" s="35" t="s">
        <v>212</v>
      </c>
      <c r="F34" s="35">
        <f>SUM($F$32:$F$33)</f>
        <v>26</v>
      </c>
      <c r="G34" s="90"/>
      <c r="H34" s="37"/>
      <c r="I34" s="37"/>
      <c r="J34" s="37"/>
    </row>
    <row r="35" spans="2:10" x14ac:dyDescent="0.3">
      <c r="B35" s="90"/>
      <c r="C35" s="91" t="s">
        <v>227</v>
      </c>
      <c r="D35" s="90" t="s">
        <v>199</v>
      </c>
      <c r="E35" s="35" t="s">
        <v>221</v>
      </c>
      <c r="F35" s="35">
        <v>8</v>
      </c>
      <c r="G35" s="90"/>
      <c r="H35" s="37"/>
      <c r="I35" s="37"/>
      <c r="J35" s="37"/>
    </row>
    <row r="36" spans="2:10" x14ac:dyDescent="0.3">
      <c r="B36" s="90"/>
      <c r="C36" s="91"/>
      <c r="D36" s="90"/>
      <c r="E36" s="35" t="s">
        <v>228</v>
      </c>
      <c r="F36" s="35">
        <v>18</v>
      </c>
      <c r="G36" s="90"/>
      <c r="H36" s="37"/>
      <c r="I36" s="37"/>
      <c r="J36" s="37"/>
    </row>
    <row r="37" spans="2:10" x14ac:dyDescent="0.3">
      <c r="B37" s="90"/>
      <c r="C37" s="91"/>
      <c r="D37" s="90"/>
      <c r="E37" s="35" t="s">
        <v>212</v>
      </c>
      <c r="F37" s="35">
        <f>SUM($F$35:$F$36)</f>
        <v>26</v>
      </c>
      <c r="G37" s="90"/>
      <c r="H37" s="37"/>
      <c r="I37" s="37"/>
      <c r="J37" s="37"/>
    </row>
    <row r="38" spans="2:10" x14ac:dyDescent="0.3">
      <c r="B38" s="90"/>
      <c r="C38" s="91" t="s">
        <v>229</v>
      </c>
      <c r="D38" s="90" t="s">
        <v>199</v>
      </c>
      <c r="E38" s="35" t="s">
        <v>230</v>
      </c>
      <c r="F38" s="35">
        <v>19</v>
      </c>
      <c r="G38" s="90"/>
      <c r="H38" s="37"/>
      <c r="I38" s="37"/>
      <c r="J38" s="37"/>
    </row>
    <row r="39" spans="2:10" x14ac:dyDescent="0.3">
      <c r="B39" s="90"/>
      <c r="C39" s="91"/>
      <c r="D39" s="90"/>
      <c r="E39" s="35" t="s">
        <v>225</v>
      </c>
      <c r="F39" s="35">
        <v>2</v>
      </c>
      <c r="G39" s="90"/>
      <c r="H39" s="37"/>
      <c r="I39" s="37"/>
      <c r="J39" s="37"/>
    </row>
    <row r="40" spans="2:10" x14ac:dyDescent="0.3">
      <c r="B40" s="90"/>
      <c r="C40" s="91"/>
      <c r="D40" s="90"/>
      <c r="E40" s="35" t="s">
        <v>231</v>
      </c>
      <c r="F40" s="35">
        <v>2</v>
      </c>
      <c r="G40" s="90"/>
      <c r="H40" s="37"/>
      <c r="I40" s="37"/>
      <c r="J40" s="37"/>
    </row>
    <row r="41" spans="2:10" x14ac:dyDescent="0.3">
      <c r="B41" s="90"/>
      <c r="C41" s="91"/>
      <c r="D41" s="90"/>
      <c r="E41" s="35" t="s">
        <v>212</v>
      </c>
      <c r="F41" s="35">
        <f>SUM($F$38:$F$40)</f>
        <v>23</v>
      </c>
      <c r="G41" s="90"/>
      <c r="H41" s="37"/>
      <c r="I41" s="37"/>
      <c r="J41" s="37"/>
    </row>
    <row r="42" spans="2:10" x14ac:dyDescent="0.3">
      <c r="B42" s="90"/>
      <c r="C42" s="91" t="s">
        <v>232</v>
      </c>
      <c r="D42" s="90" t="s">
        <v>199</v>
      </c>
      <c r="E42" s="35" t="s">
        <v>225</v>
      </c>
      <c r="F42" s="35">
        <v>28</v>
      </c>
      <c r="G42" s="90"/>
      <c r="H42" s="37"/>
      <c r="I42" s="37"/>
      <c r="J42" s="37"/>
    </row>
    <row r="43" spans="2:10" x14ac:dyDescent="0.3">
      <c r="B43" s="90"/>
      <c r="C43" s="91"/>
      <c r="D43" s="90"/>
      <c r="E43" s="35" t="s">
        <v>212</v>
      </c>
      <c r="F43" s="35">
        <v>28</v>
      </c>
      <c r="G43" s="90"/>
      <c r="H43" s="37"/>
      <c r="I43" s="37"/>
      <c r="J43" s="37"/>
    </row>
    <row r="44" spans="2:10" x14ac:dyDescent="0.3">
      <c r="B44" s="90"/>
      <c r="C44" s="91" t="s">
        <v>233</v>
      </c>
      <c r="D44" s="90" t="s">
        <v>199</v>
      </c>
      <c r="E44" s="35" t="s">
        <v>228</v>
      </c>
      <c r="F44" s="35">
        <v>7</v>
      </c>
      <c r="G44" s="90"/>
      <c r="H44" s="37"/>
      <c r="I44" s="37"/>
      <c r="J44" s="37"/>
    </row>
    <row r="45" spans="2:10" x14ac:dyDescent="0.3">
      <c r="B45" s="90"/>
      <c r="C45" s="91"/>
      <c r="D45" s="90"/>
      <c r="E45" s="35" t="s">
        <v>212</v>
      </c>
      <c r="F45" s="35">
        <v>7</v>
      </c>
      <c r="G45" s="90"/>
      <c r="H45" s="37"/>
      <c r="I45" s="37"/>
      <c r="J45" s="37"/>
    </row>
    <row r="46" spans="2:10" x14ac:dyDescent="0.3">
      <c r="B46" s="90"/>
      <c r="C46" s="91" t="s">
        <v>234</v>
      </c>
      <c r="D46" s="90" t="s">
        <v>203</v>
      </c>
      <c r="E46" s="35" t="s">
        <v>235</v>
      </c>
      <c r="F46" s="35">
        <v>1</v>
      </c>
      <c r="G46" s="90"/>
      <c r="H46" s="37"/>
      <c r="I46" s="37"/>
      <c r="J46" s="37"/>
    </row>
    <row r="47" spans="2:10" x14ac:dyDescent="0.3">
      <c r="B47" s="90"/>
      <c r="C47" s="91"/>
      <c r="D47" s="90"/>
      <c r="E47" s="35" t="s">
        <v>212</v>
      </c>
      <c r="F47" s="35">
        <v>1</v>
      </c>
      <c r="G47" s="90"/>
      <c r="H47" s="37"/>
      <c r="I47" s="37"/>
      <c r="J47" s="37"/>
    </row>
    <row r="48" spans="2:10" x14ac:dyDescent="0.3">
      <c r="B48" s="90"/>
      <c r="C48" s="91" t="s">
        <v>236</v>
      </c>
      <c r="D48" s="90" t="s">
        <v>199</v>
      </c>
      <c r="E48" s="35" t="s">
        <v>225</v>
      </c>
      <c r="F48" s="35">
        <v>2</v>
      </c>
      <c r="G48" s="90"/>
      <c r="H48" s="37"/>
      <c r="I48" s="37"/>
      <c r="J48" s="37"/>
    </row>
    <row r="49" spans="2:10" x14ac:dyDescent="0.3">
      <c r="B49" s="90"/>
      <c r="C49" s="91"/>
      <c r="D49" s="90"/>
      <c r="E49" s="35" t="s">
        <v>212</v>
      </c>
      <c r="F49" s="35">
        <v>2</v>
      </c>
      <c r="G49" s="90"/>
      <c r="H49" s="37"/>
      <c r="I49" s="37"/>
      <c r="J49" s="37"/>
    </row>
    <row r="50" spans="2:10" x14ac:dyDescent="0.3">
      <c r="B50" s="90"/>
      <c r="C50" s="90" t="s">
        <v>212</v>
      </c>
      <c r="D50" s="90"/>
      <c r="E50" s="90"/>
      <c r="F50" s="35">
        <f>SUM($F$12,$F$16,$F$25,$F$29,$F$31,$F$34,$F$37,$F$41,$F$43,$F$45,$F$47,$F$49)</f>
        <v>414</v>
      </c>
      <c r="G50" s="90"/>
      <c r="H50" s="37"/>
      <c r="I50" s="37"/>
      <c r="J50" s="37"/>
    </row>
    <row r="51" spans="2:10" x14ac:dyDescent="0.3">
      <c r="B51" s="90" t="s">
        <v>20</v>
      </c>
      <c r="C51" s="93" t="s">
        <v>237</v>
      </c>
      <c r="D51" s="93"/>
      <c r="E51" s="93"/>
      <c r="F51" s="35">
        <v>2</v>
      </c>
      <c r="G51" s="35">
        <v>1</v>
      </c>
    </row>
    <row r="52" spans="2:10" x14ac:dyDescent="0.3">
      <c r="B52" s="90"/>
      <c r="C52" s="93" t="s">
        <v>201</v>
      </c>
      <c r="D52" s="93"/>
      <c r="E52" s="93"/>
      <c r="F52" s="35">
        <v>3</v>
      </c>
      <c r="G52" s="35">
        <v>5</v>
      </c>
    </row>
    <row r="53" spans="2:10" x14ac:dyDescent="0.3">
      <c r="B53" s="90"/>
      <c r="C53" s="93" t="s">
        <v>238</v>
      </c>
      <c r="D53" s="93"/>
      <c r="E53" s="93"/>
      <c r="F53" s="35">
        <v>2</v>
      </c>
      <c r="G53" s="35"/>
    </row>
    <row r="54" spans="2:10" x14ac:dyDescent="0.3">
      <c r="B54" s="90"/>
      <c r="C54" s="93" t="s">
        <v>239</v>
      </c>
      <c r="D54" s="93"/>
      <c r="E54" s="93"/>
      <c r="F54" s="35">
        <v>1</v>
      </c>
      <c r="G54" s="35"/>
    </row>
    <row r="55" spans="2:10" x14ac:dyDescent="0.3">
      <c r="B55" s="90"/>
      <c r="C55" s="93" t="s">
        <v>240</v>
      </c>
      <c r="D55" s="93"/>
      <c r="E55" s="93"/>
      <c r="F55" s="35">
        <v>1</v>
      </c>
      <c r="G55" s="35">
        <v>3</v>
      </c>
    </row>
    <row r="56" spans="2:10" x14ac:dyDescent="0.3">
      <c r="B56" s="90"/>
      <c r="C56" s="93" t="s">
        <v>241</v>
      </c>
      <c r="D56" s="93"/>
      <c r="E56" s="93"/>
      <c r="F56" s="35"/>
      <c r="G56" s="35">
        <v>4</v>
      </c>
    </row>
    <row r="57" spans="2:10" x14ac:dyDescent="0.3">
      <c r="B57" s="90"/>
      <c r="C57" s="93" t="s">
        <v>242</v>
      </c>
      <c r="D57" s="93"/>
      <c r="E57" s="93"/>
      <c r="F57" s="35">
        <v>4</v>
      </c>
      <c r="G57" s="35">
        <v>1</v>
      </c>
    </row>
    <row r="58" spans="2:10" x14ac:dyDescent="0.3">
      <c r="B58" s="90"/>
      <c r="C58" s="93" t="s">
        <v>243</v>
      </c>
      <c r="D58" s="93"/>
      <c r="E58" s="93"/>
      <c r="F58" s="35">
        <v>2</v>
      </c>
      <c r="G58" s="35"/>
    </row>
    <row r="59" spans="2:10" x14ac:dyDescent="0.3">
      <c r="B59" s="90"/>
      <c r="C59" s="90" t="s">
        <v>212</v>
      </c>
      <c r="D59" s="90"/>
      <c r="E59" s="90"/>
      <c r="F59" s="35">
        <f>SUM($F$51:$F$58)</f>
        <v>15</v>
      </c>
      <c r="G59" s="35">
        <f>SUM($G$51:$G$58)</f>
        <v>14</v>
      </c>
    </row>
    <row r="60" spans="2:10" x14ac:dyDescent="0.3">
      <c r="B60" s="92" t="s">
        <v>244</v>
      </c>
      <c r="C60" s="92"/>
      <c r="D60" s="92"/>
      <c r="E60" s="92"/>
      <c r="F60" s="35">
        <f>SUM($F$50,$F$59)</f>
        <v>429</v>
      </c>
      <c r="G60" s="35">
        <f>$G$59</f>
        <v>14</v>
      </c>
    </row>
    <row r="61" spans="2:10" x14ac:dyDescent="0.3">
      <c r="B61" s="36" t="s">
        <v>245</v>
      </c>
      <c r="C61" s="93" t="s">
        <v>246</v>
      </c>
      <c r="D61" s="93"/>
      <c r="E61" s="93"/>
      <c r="F61" s="35">
        <v>83</v>
      </c>
      <c r="G61" s="35">
        <v>94</v>
      </c>
    </row>
    <row r="62" spans="2:10" x14ac:dyDescent="0.3">
      <c r="B62" s="92" t="s">
        <v>257</v>
      </c>
      <c r="C62" s="94" t="s">
        <v>247</v>
      </c>
      <c r="D62" s="94"/>
      <c r="E62" s="94"/>
      <c r="F62" s="35">
        <v>111</v>
      </c>
      <c r="G62" s="35">
        <v>3</v>
      </c>
    </row>
    <row r="63" spans="2:10" x14ac:dyDescent="0.3">
      <c r="B63" s="92"/>
      <c r="C63" s="94" t="s">
        <v>248</v>
      </c>
      <c r="D63" s="94"/>
      <c r="E63" s="94"/>
      <c r="F63" s="35"/>
      <c r="G63" s="35">
        <v>2</v>
      </c>
    </row>
    <row r="64" spans="2:10" x14ac:dyDescent="0.3">
      <c r="B64" s="92"/>
      <c r="C64" s="94" t="s">
        <v>249</v>
      </c>
      <c r="D64" s="94"/>
      <c r="E64" s="94"/>
      <c r="F64" s="35">
        <v>2</v>
      </c>
      <c r="G64" s="35"/>
    </row>
    <row r="65" spans="1:9" x14ac:dyDescent="0.3">
      <c r="B65" s="92"/>
      <c r="C65" s="94" t="s">
        <v>250</v>
      </c>
      <c r="D65" s="94"/>
      <c r="E65" s="94"/>
      <c r="F65" s="35">
        <v>1</v>
      </c>
      <c r="G65" s="35">
        <v>80</v>
      </c>
    </row>
    <row r="66" spans="1:9" x14ac:dyDescent="0.3">
      <c r="B66" s="92"/>
      <c r="C66" s="93" t="s">
        <v>251</v>
      </c>
      <c r="D66" s="93"/>
      <c r="E66" s="93"/>
      <c r="F66" s="35">
        <v>19</v>
      </c>
      <c r="G66" s="35">
        <v>12</v>
      </c>
    </row>
    <row r="67" spans="1:9" x14ac:dyDescent="0.3">
      <c r="B67" s="92"/>
      <c r="C67" s="92" t="s">
        <v>212</v>
      </c>
      <c r="D67" s="92"/>
      <c r="E67" s="92"/>
      <c r="F67" s="35">
        <f>SUM($F$62:$F$66)</f>
        <v>133</v>
      </c>
      <c r="G67" s="35">
        <f>SUM($G$62:$G$66)</f>
        <v>97</v>
      </c>
    </row>
    <row r="68" spans="1:9" x14ac:dyDescent="0.3">
      <c r="B68" s="92" t="s">
        <v>252</v>
      </c>
      <c r="C68" s="92"/>
      <c r="D68" s="92"/>
      <c r="E68" s="92"/>
      <c r="F68" s="35">
        <f>SUM($F$67,$F$60,$F$61)</f>
        <v>645</v>
      </c>
      <c r="G68" s="35">
        <f>SUM($G$67,$G$61,$G$60)</f>
        <v>205</v>
      </c>
      <c r="I68" s="34">
        <f>SUM($F$68:$G$68)</f>
        <v>850</v>
      </c>
    </row>
    <row r="70" spans="1:9" ht="14.25" thickBot="1" x14ac:dyDescent="0.35">
      <c r="B70" s="34" t="s">
        <v>566</v>
      </c>
    </row>
    <row r="71" spans="1:9" x14ac:dyDescent="0.3">
      <c r="B71" s="64" t="s">
        <v>253</v>
      </c>
      <c r="C71" s="65" t="s">
        <v>255</v>
      </c>
      <c r="D71" s="65" t="s">
        <v>256</v>
      </c>
      <c r="E71" s="66" t="s">
        <v>205</v>
      </c>
    </row>
    <row r="72" spans="1:9" ht="14.25" thickBot="1" x14ac:dyDescent="0.35">
      <c r="B72" s="67" t="s">
        <v>254</v>
      </c>
      <c r="C72" s="68">
        <v>3</v>
      </c>
      <c r="D72" s="68">
        <v>5</v>
      </c>
      <c r="E72" s="69">
        <v>8</v>
      </c>
      <c r="G72" s="38" t="s">
        <v>262</v>
      </c>
      <c r="H72" s="38"/>
      <c r="I72" s="34">
        <f>SUM($I$68,$E$72)</f>
        <v>858</v>
      </c>
    </row>
    <row r="74" spans="1:9" x14ac:dyDescent="0.3">
      <c r="A74" s="44" t="s">
        <v>17</v>
      </c>
    </row>
    <row r="75" spans="1:9" x14ac:dyDescent="0.3">
      <c r="A75" s="34" t="s">
        <v>258</v>
      </c>
    </row>
    <row r="76" spans="1:9" x14ac:dyDescent="0.3">
      <c r="A76" s="39" t="s">
        <v>259</v>
      </c>
      <c r="B76" s="39"/>
    </row>
    <row r="77" spans="1:9" x14ac:dyDescent="0.3">
      <c r="A77" s="40" t="s">
        <v>261</v>
      </c>
      <c r="B77" s="40"/>
      <c r="C77" s="40"/>
      <c r="D77" s="40"/>
    </row>
    <row r="78" spans="1:9" x14ac:dyDescent="0.3">
      <c r="A78" s="41" t="s">
        <v>260</v>
      </c>
      <c r="B78" s="41"/>
    </row>
  </sheetData>
  <mergeCells count="48">
    <mergeCell ref="C67:E67"/>
    <mergeCell ref="B62:B67"/>
    <mergeCell ref="I14:J14"/>
    <mergeCell ref="I4:I8"/>
    <mergeCell ref="I9:I13"/>
    <mergeCell ref="C61:E61"/>
    <mergeCell ref="C62:E62"/>
    <mergeCell ref="C63:E63"/>
    <mergeCell ref="C64:E64"/>
    <mergeCell ref="C65:E65"/>
    <mergeCell ref="C66:E66"/>
    <mergeCell ref="C48:C49"/>
    <mergeCell ref="D48:D49"/>
    <mergeCell ref="C50:E50"/>
    <mergeCell ref="C42:C43"/>
    <mergeCell ref="D42:D43"/>
    <mergeCell ref="C35:C37"/>
    <mergeCell ref="D35:D37"/>
    <mergeCell ref="C38:C41"/>
    <mergeCell ref="D38:D41"/>
    <mergeCell ref="B68:E68"/>
    <mergeCell ref="C51:E51"/>
    <mergeCell ref="C52:E52"/>
    <mergeCell ref="C53:E53"/>
    <mergeCell ref="C54:E54"/>
    <mergeCell ref="C55:E55"/>
    <mergeCell ref="C56:E56"/>
    <mergeCell ref="C57:E57"/>
    <mergeCell ref="B51:B59"/>
    <mergeCell ref="C59:E59"/>
    <mergeCell ref="B60:E60"/>
    <mergeCell ref="C58:E58"/>
    <mergeCell ref="B4:B50"/>
    <mergeCell ref="C4:C16"/>
    <mergeCell ref="D4:D12"/>
    <mergeCell ref="G4:G50"/>
    <mergeCell ref="D13:D16"/>
    <mergeCell ref="C17:C29"/>
    <mergeCell ref="D17:D25"/>
    <mergeCell ref="D26:D29"/>
    <mergeCell ref="C30:C31"/>
    <mergeCell ref="D30:D31"/>
    <mergeCell ref="C44:C45"/>
    <mergeCell ref="D44:D45"/>
    <mergeCell ref="C46:C47"/>
    <mergeCell ref="D46:D47"/>
    <mergeCell ref="C32:C34"/>
    <mergeCell ref="D32:D34"/>
  </mergeCells>
  <phoneticPr fontId="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2E117-3464-4F39-89AE-BEEF9E4245BB}">
  <dimension ref="A1:V323"/>
  <sheetViews>
    <sheetView workbookViewId="0">
      <selection activeCell="F16" sqref="F16"/>
    </sheetView>
  </sheetViews>
  <sheetFormatPr defaultColWidth="9" defaultRowHeight="13.5" x14ac:dyDescent="0.3"/>
  <cols>
    <col min="1" max="1" width="8.25" style="50" bestFit="1" customWidth="1"/>
    <col min="2" max="2" width="14.375" style="50" bestFit="1" customWidth="1"/>
    <col min="3" max="3" width="8.5" style="50" bestFit="1" customWidth="1"/>
    <col min="4" max="4" width="7.625" style="50" bestFit="1" customWidth="1"/>
    <col min="5" max="6" width="8.5" style="50" bestFit="1" customWidth="1"/>
    <col min="7" max="7" width="7.625" style="50" bestFit="1" customWidth="1"/>
    <col min="8" max="8" width="6.75" style="50" bestFit="1" customWidth="1"/>
    <col min="9" max="9" width="5.25" style="50" bestFit="1" customWidth="1"/>
    <col min="10" max="11" width="6.75" style="50" bestFit="1" customWidth="1"/>
    <col min="12" max="12" width="5.25" style="50" bestFit="1" customWidth="1"/>
    <col min="13" max="13" width="8.5" style="50" bestFit="1" customWidth="1"/>
    <col min="14" max="14" width="7.625" style="50" bestFit="1" customWidth="1"/>
    <col min="15" max="16" width="8.5" style="50" bestFit="1" customWidth="1"/>
    <col min="17" max="17" width="7.625" style="50" bestFit="1" customWidth="1"/>
    <col min="18" max="16384" width="9" style="50"/>
  </cols>
  <sheetData>
    <row r="1" spans="1:22" s="49" customFormat="1" x14ac:dyDescent="0.3">
      <c r="E1" s="49" t="s">
        <v>268</v>
      </c>
      <c r="F1" s="49" t="s">
        <v>269</v>
      </c>
      <c r="G1" s="49" t="s">
        <v>270</v>
      </c>
      <c r="I1" s="49" t="s">
        <v>271</v>
      </c>
    </row>
    <row r="2" spans="1:22" s="49" customFormat="1" x14ac:dyDescent="0.3">
      <c r="A2" s="49" t="s">
        <v>272</v>
      </c>
      <c r="B2" s="88" t="s">
        <v>599</v>
      </c>
      <c r="S2" s="54" t="s">
        <v>561</v>
      </c>
    </row>
    <row r="3" spans="1:22" ht="15" customHeight="1" x14ac:dyDescent="0.3">
      <c r="A3" s="96" t="s">
        <v>273</v>
      </c>
      <c r="B3" s="96" t="s">
        <v>274</v>
      </c>
      <c r="C3" s="96" t="s">
        <v>275</v>
      </c>
      <c r="D3" s="96"/>
      <c r="E3" s="96"/>
      <c r="F3" s="96"/>
      <c r="G3" s="96"/>
      <c r="H3" s="96" t="s">
        <v>276</v>
      </c>
      <c r="I3" s="96"/>
      <c r="J3" s="96"/>
      <c r="K3" s="96"/>
      <c r="L3" s="96"/>
      <c r="M3" s="96" t="s">
        <v>277</v>
      </c>
      <c r="N3" s="96"/>
      <c r="O3" s="96"/>
      <c r="P3" s="96"/>
      <c r="Q3" s="96"/>
      <c r="S3" s="47"/>
      <c r="T3" s="33" t="s">
        <v>267</v>
      </c>
      <c r="U3" s="33" t="s">
        <v>264</v>
      </c>
      <c r="V3" s="33" t="s">
        <v>265</v>
      </c>
    </row>
    <row r="4" spans="1:22" ht="15" customHeight="1" x14ac:dyDescent="0.3">
      <c r="A4" s="96"/>
      <c r="B4" s="96"/>
      <c r="C4" s="51" t="s">
        <v>278</v>
      </c>
      <c r="D4" s="51" t="s">
        <v>279</v>
      </c>
      <c r="E4" s="51" t="s">
        <v>280</v>
      </c>
      <c r="F4" s="51" t="s">
        <v>281</v>
      </c>
      <c r="G4" s="51" t="s">
        <v>282</v>
      </c>
      <c r="H4" s="51" t="s">
        <v>278</v>
      </c>
      <c r="I4" s="51" t="s">
        <v>279</v>
      </c>
      <c r="J4" s="51" t="s">
        <v>280</v>
      </c>
      <c r="K4" s="51" t="s">
        <v>281</v>
      </c>
      <c r="L4" s="51" t="s">
        <v>282</v>
      </c>
      <c r="M4" s="51" t="s">
        <v>278</v>
      </c>
      <c r="N4" s="51" t="s">
        <v>279</v>
      </c>
      <c r="O4" s="51" t="s">
        <v>280</v>
      </c>
      <c r="P4" s="51" t="s">
        <v>281</v>
      </c>
      <c r="Q4" s="51" t="s">
        <v>282</v>
      </c>
      <c r="S4" s="90" t="s">
        <v>18</v>
      </c>
      <c r="T4" s="42" t="s">
        <v>180</v>
      </c>
      <c r="U4" s="47">
        <f>H5</f>
        <v>7682</v>
      </c>
      <c r="V4" s="48">
        <f>U4/$U$8</f>
        <v>1.0568078953812459E-2</v>
      </c>
    </row>
    <row r="5" spans="1:22" ht="15" customHeight="1" x14ac:dyDescent="0.3">
      <c r="A5" s="51"/>
      <c r="B5" s="51"/>
      <c r="C5" s="51">
        <f t="shared" ref="C5:Q5" si="0">SUM(C$32,C$50,C$61,C$74,C$81,C$88,C$95,C$98,C$160,C$180,C$197,C$220,C$237,C$261,C$290,C$319,C$323)</f>
        <v>726906</v>
      </c>
      <c r="D5" s="51">
        <f t="shared" si="0"/>
        <v>40276</v>
      </c>
      <c r="E5" s="51">
        <f t="shared" si="0"/>
        <v>233090</v>
      </c>
      <c r="F5" s="51">
        <f t="shared" si="0"/>
        <v>404347</v>
      </c>
      <c r="G5" s="51">
        <f t="shared" si="0"/>
        <v>49193</v>
      </c>
      <c r="H5" s="51">
        <f t="shared" si="0"/>
        <v>7682</v>
      </c>
      <c r="I5" s="51">
        <f t="shared" si="0"/>
        <v>718</v>
      </c>
      <c r="J5" s="51">
        <f t="shared" si="0"/>
        <v>1407</v>
      </c>
      <c r="K5" s="51">
        <f t="shared" si="0"/>
        <v>5291</v>
      </c>
      <c r="L5" s="51">
        <f t="shared" si="0"/>
        <v>266</v>
      </c>
      <c r="M5" s="51">
        <f t="shared" si="0"/>
        <v>719224</v>
      </c>
      <c r="N5" s="51">
        <f t="shared" si="0"/>
        <v>39558</v>
      </c>
      <c r="O5" s="51">
        <f t="shared" si="0"/>
        <v>231683</v>
      </c>
      <c r="P5" s="51">
        <f t="shared" si="0"/>
        <v>399056</v>
      </c>
      <c r="Q5" s="51">
        <f t="shared" si="0"/>
        <v>48927</v>
      </c>
      <c r="S5" s="90"/>
      <c r="T5" s="42" t="s">
        <v>12</v>
      </c>
      <c r="U5" s="47">
        <v>0</v>
      </c>
      <c r="V5" s="48">
        <f t="shared" ref="V5:V8" si="1">U5/$U$8</f>
        <v>0</v>
      </c>
    </row>
    <row r="6" spans="1:22" x14ac:dyDescent="0.3">
      <c r="A6" s="95" t="s">
        <v>23</v>
      </c>
      <c r="B6" s="52" t="s">
        <v>283</v>
      </c>
      <c r="C6" s="87">
        <v>18230</v>
      </c>
      <c r="D6" s="87">
        <v>809</v>
      </c>
      <c r="E6" s="87">
        <v>4156</v>
      </c>
      <c r="F6" s="87">
        <v>11262</v>
      </c>
      <c r="G6" s="87">
        <v>2003</v>
      </c>
      <c r="H6" s="87">
        <v>320</v>
      </c>
      <c r="I6" s="87">
        <v>21</v>
      </c>
      <c r="J6" s="87">
        <v>61</v>
      </c>
      <c r="K6" s="87">
        <v>232</v>
      </c>
      <c r="L6" s="87">
        <v>6</v>
      </c>
      <c r="M6" s="87">
        <v>17910</v>
      </c>
      <c r="N6" s="87">
        <v>788</v>
      </c>
      <c r="O6" s="87">
        <v>4095</v>
      </c>
      <c r="P6" s="87">
        <v>11030</v>
      </c>
      <c r="Q6" s="87">
        <v>1997</v>
      </c>
      <c r="S6" s="90"/>
      <c r="T6" s="42" t="s">
        <v>189</v>
      </c>
      <c r="U6" s="47">
        <f>M5</f>
        <v>719224</v>
      </c>
      <c r="V6" s="48">
        <f t="shared" si="1"/>
        <v>0.98943192104618749</v>
      </c>
    </row>
    <row r="7" spans="1:22" x14ac:dyDescent="0.3">
      <c r="A7" s="95"/>
      <c r="B7" s="52" t="s">
        <v>284</v>
      </c>
      <c r="C7" s="87">
        <v>17170</v>
      </c>
      <c r="D7" s="87">
        <v>818</v>
      </c>
      <c r="E7" s="87">
        <v>5625</v>
      </c>
      <c r="F7" s="87">
        <v>9584</v>
      </c>
      <c r="G7" s="87">
        <v>1143</v>
      </c>
      <c r="H7" s="87">
        <v>144</v>
      </c>
      <c r="I7" s="87">
        <v>17</v>
      </c>
      <c r="J7" s="87">
        <v>25</v>
      </c>
      <c r="K7" s="87">
        <v>102</v>
      </c>
      <c r="L7" s="87">
        <v>0</v>
      </c>
      <c r="M7" s="87">
        <v>17026</v>
      </c>
      <c r="N7" s="87">
        <v>801</v>
      </c>
      <c r="O7" s="87">
        <v>5600</v>
      </c>
      <c r="P7" s="87">
        <v>9482</v>
      </c>
      <c r="Q7" s="87">
        <v>1143</v>
      </c>
      <c r="S7" s="90"/>
      <c r="T7" s="42" t="s">
        <v>263</v>
      </c>
      <c r="U7" s="47">
        <v>0</v>
      </c>
      <c r="V7" s="48">
        <f t="shared" si="1"/>
        <v>0</v>
      </c>
    </row>
    <row r="8" spans="1:22" x14ac:dyDescent="0.3">
      <c r="A8" s="95"/>
      <c r="B8" s="52" t="s">
        <v>285</v>
      </c>
      <c r="C8" s="87">
        <v>22302</v>
      </c>
      <c r="D8" s="87">
        <v>715</v>
      </c>
      <c r="E8" s="87">
        <v>7724</v>
      </c>
      <c r="F8" s="87">
        <v>12734</v>
      </c>
      <c r="G8" s="87">
        <v>1129</v>
      </c>
      <c r="H8" s="87">
        <v>59</v>
      </c>
      <c r="I8" s="87">
        <v>4</v>
      </c>
      <c r="J8" s="87">
        <v>2</v>
      </c>
      <c r="K8" s="87">
        <v>52</v>
      </c>
      <c r="L8" s="87">
        <v>1</v>
      </c>
      <c r="M8" s="87">
        <v>22243</v>
      </c>
      <c r="N8" s="87">
        <v>711</v>
      </c>
      <c r="O8" s="87">
        <v>7722</v>
      </c>
      <c r="P8" s="87">
        <v>12682</v>
      </c>
      <c r="Q8" s="87">
        <v>1128</v>
      </c>
      <c r="S8" s="90"/>
      <c r="T8" s="33" t="s">
        <v>266</v>
      </c>
      <c r="U8" s="47">
        <f>C5</f>
        <v>726906</v>
      </c>
      <c r="V8" s="48">
        <f t="shared" si="1"/>
        <v>1</v>
      </c>
    </row>
    <row r="9" spans="1:22" x14ac:dyDescent="0.3">
      <c r="A9" s="95"/>
      <c r="B9" s="52" t="s">
        <v>286</v>
      </c>
      <c r="C9" s="87">
        <v>19170</v>
      </c>
      <c r="D9" s="87">
        <v>938</v>
      </c>
      <c r="E9" s="87">
        <v>6043</v>
      </c>
      <c r="F9" s="87">
        <v>10755</v>
      </c>
      <c r="G9" s="87">
        <v>1434</v>
      </c>
      <c r="H9" s="87">
        <v>168</v>
      </c>
      <c r="I9" s="87">
        <v>4</v>
      </c>
      <c r="J9" s="87">
        <v>31</v>
      </c>
      <c r="K9" s="87">
        <v>132</v>
      </c>
      <c r="L9" s="87">
        <v>1</v>
      </c>
      <c r="M9" s="87">
        <v>19002</v>
      </c>
      <c r="N9" s="87">
        <v>934</v>
      </c>
      <c r="O9" s="87">
        <v>6012</v>
      </c>
      <c r="P9" s="87">
        <v>10623</v>
      </c>
      <c r="Q9" s="87">
        <v>1433</v>
      </c>
    </row>
    <row r="10" spans="1:22" x14ac:dyDescent="0.3">
      <c r="A10" s="95"/>
      <c r="B10" s="52" t="s">
        <v>287</v>
      </c>
      <c r="C10" s="87">
        <v>25142</v>
      </c>
      <c r="D10" s="87">
        <v>1054</v>
      </c>
      <c r="E10" s="87">
        <v>9037</v>
      </c>
      <c r="F10" s="87">
        <v>13687</v>
      </c>
      <c r="G10" s="87">
        <v>1364</v>
      </c>
      <c r="H10" s="87">
        <v>244</v>
      </c>
      <c r="I10" s="87">
        <v>15</v>
      </c>
      <c r="J10" s="87">
        <v>141</v>
      </c>
      <c r="K10" s="87">
        <v>87</v>
      </c>
      <c r="L10" s="87">
        <v>1</v>
      </c>
      <c r="M10" s="87">
        <v>24898</v>
      </c>
      <c r="N10" s="87">
        <v>1039</v>
      </c>
      <c r="O10" s="87">
        <v>8896</v>
      </c>
      <c r="P10" s="87">
        <v>13600</v>
      </c>
      <c r="Q10" s="87">
        <v>1363</v>
      </c>
      <c r="S10" s="70" t="s">
        <v>587</v>
      </c>
    </row>
    <row r="11" spans="1:22" x14ac:dyDescent="0.3">
      <c r="A11" s="95"/>
      <c r="B11" s="52" t="s">
        <v>288</v>
      </c>
      <c r="C11" s="87">
        <v>18639</v>
      </c>
      <c r="D11" s="87">
        <v>731</v>
      </c>
      <c r="E11" s="87">
        <v>6903</v>
      </c>
      <c r="F11" s="87">
        <v>9247</v>
      </c>
      <c r="G11" s="87">
        <v>1758</v>
      </c>
      <c r="H11" s="87">
        <v>188</v>
      </c>
      <c r="I11" s="87">
        <v>8</v>
      </c>
      <c r="J11" s="87">
        <v>10</v>
      </c>
      <c r="K11" s="87">
        <v>169</v>
      </c>
      <c r="L11" s="87">
        <v>1</v>
      </c>
      <c r="M11" s="87">
        <v>18451</v>
      </c>
      <c r="N11" s="87">
        <v>723</v>
      </c>
      <c r="O11" s="87">
        <v>6893</v>
      </c>
      <c r="P11" s="87">
        <v>9078</v>
      </c>
      <c r="Q11" s="87">
        <v>1757</v>
      </c>
      <c r="S11" s="50" t="s">
        <v>588</v>
      </c>
    </row>
    <row r="12" spans="1:22" x14ac:dyDescent="0.3">
      <c r="A12" s="95"/>
      <c r="B12" s="52" t="s">
        <v>289</v>
      </c>
      <c r="C12" s="87">
        <v>15898</v>
      </c>
      <c r="D12" s="87">
        <v>891</v>
      </c>
      <c r="E12" s="87">
        <v>4699</v>
      </c>
      <c r="F12" s="87">
        <v>9337</v>
      </c>
      <c r="G12" s="87">
        <v>971</v>
      </c>
      <c r="H12" s="87">
        <v>205</v>
      </c>
      <c r="I12" s="87">
        <v>10</v>
      </c>
      <c r="J12" s="87">
        <v>4</v>
      </c>
      <c r="K12" s="87">
        <v>191</v>
      </c>
      <c r="L12" s="87">
        <v>0</v>
      </c>
      <c r="M12" s="87">
        <v>15693</v>
      </c>
      <c r="N12" s="87">
        <v>881</v>
      </c>
      <c r="O12" s="87">
        <v>4695</v>
      </c>
      <c r="P12" s="87">
        <v>9146</v>
      </c>
      <c r="Q12" s="87">
        <v>971</v>
      </c>
    </row>
    <row r="13" spans="1:22" x14ac:dyDescent="0.3">
      <c r="A13" s="95"/>
      <c r="B13" s="52" t="s">
        <v>290</v>
      </c>
      <c r="C13" s="87">
        <v>11907</v>
      </c>
      <c r="D13" s="87">
        <v>637</v>
      </c>
      <c r="E13" s="87">
        <v>3714</v>
      </c>
      <c r="F13" s="87">
        <v>6970</v>
      </c>
      <c r="G13" s="87">
        <v>586</v>
      </c>
      <c r="H13" s="87">
        <v>28</v>
      </c>
      <c r="I13" s="87">
        <v>2</v>
      </c>
      <c r="J13" s="87">
        <v>14</v>
      </c>
      <c r="K13" s="87">
        <v>12</v>
      </c>
      <c r="L13" s="87">
        <v>0</v>
      </c>
      <c r="M13" s="87">
        <v>11879</v>
      </c>
      <c r="N13" s="87">
        <v>635</v>
      </c>
      <c r="O13" s="87">
        <v>3700</v>
      </c>
      <c r="P13" s="87">
        <v>6958</v>
      </c>
      <c r="Q13" s="87">
        <v>586</v>
      </c>
    </row>
    <row r="14" spans="1:22" x14ac:dyDescent="0.3">
      <c r="A14" s="95"/>
      <c r="B14" s="52" t="s">
        <v>291</v>
      </c>
      <c r="C14" s="87">
        <v>15139</v>
      </c>
      <c r="D14" s="87">
        <v>657</v>
      </c>
      <c r="E14" s="87">
        <v>4783</v>
      </c>
      <c r="F14" s="87">
        <v>8648</v>
      </c>
      <c r="G14" s="87">
        <v>1051</v>
      </c>
      <c r="H14" s="87">
        <v>60</v>
      </c>
      <c r="I14" s="87">
        <v>1</v>
      </c>
      <c r="J14" s="87">
        <v>26</v>
      </c>
      <c r="K14" s="87">
        <v>32</v>
      </c>
      <c r="L14" s="87">
        <v>1</v>
      </c>
      <c r="M14" s="87">
        <v>15079</v>
      </c>
      <c r="N14" s="87">
        <v>656</v>
      </c>
      <c r="O14" s="87">
        <v>4757</v>
      </c>
      <c r="P14" s="87">
        <v>8616</v>
      </c>
      <c r="Q14" s="87">
        <v>1050</v>
      </c>
    </row>
    <row r="15" spans="1:22" x14ac:dyDescent="0.3">
      <c r="A15" s="95"/>
      <c r="B15" s="52" t="s">
        <v>292</v>
      </c>
      <c r="C15" s="87">
        <v>14997</v>
      </c>
      <c r="D15" s="87">
        <v>580</v>
      </c>
      <c r="E15" s="87">
        <v>5765</v>
      </c>
      <c r="F15" s="87">
        <v>7475</v>
      </c>
      <c r="G15" s="87">
        <v>1177</v>
      </c>
      <c r="H15" s="87">
        <v>149</v>
      </c>
      <c r="I15" s="87">
        <v>4</v>
      </c>
      <c r="J15" s="87">
        <v>6</v>
      </c>
      <c r="K15" s="87">
        <v>138</v>
      </c>
      <c r="L15" s="87">
        <v>1</v>
      </c>
      <c r="M15" s="87">
        <v>14848</v>
      </c>
      <c r="N15" s="87">
        <v>576</v>
      </c>
      <c r="O15" s="87">
        <v>5759</v>
      </c>
      <c r="P15" s="87">
        <v>7337</v>
      </c>
      <c r="Q15" s="87">
        <v>1176</v>
      </c>
    </row>
    <row r="16" spans="1:22" x14ac:dyDescent="0.3">
      <c r="A16" s="95"/>
      <c r="B16" s="52" t="s">
        <v>293</v>
      </c>
      <c r="C16" s="87">
        <v>23995</v>
      </c>
      <c r="D16" s="87">
        <v>996</v>
      </c>
      <c r="E16" s="87">
        <v>6451</v>
      </c>
      <c r="F16" s="87">
        <v>15203</v>
      </c>
      <c r="G16" s="87">
        <v>1345</v>
      </c>
      <c r="H16" s="87">
        <v>188</v>
      </c>
      <c r="I16" s="87">
        <v>8</v>
      </c>
      <c r="J16" s="87">
        <v>17</v>
      </c>
      <c r="K16" s="87">
        <v>161</v>
      </c>
      <c r="L16" s="87">
        <v>2</v>
      </c>
      <c r="M16" s="87">
        <v>23807</v>
      </c>
      <c r="N16" s="87">
        <v>988</v>
      </c>
      <c r="O16" s="87">
        <v>6434</v>
      </c>
      <c r="P16" s="87">
        <v>15042</v>
      </c>
      <c r="Q16" s="87">
        <v>1343</v>
      </c>
    </row>
    <row r="17" spans="1:17" x14ac:dyDescent="0.3">
      <c r="A17" s="95"/>
      <c r="B17" s="52" t="s">
        <v>294</v>
      </c>
      <c r="C17" s="87">
        <v>15334</v>
      </c>
      <c r="D17" s="87">
        <v>800</v>
      </c>
      <c r="E17" s="87">
        <v>4454</v>
      </c>
      <c r="F17" s="87">
        <v>8523</v>
      </c>
      <c r="G17" s="87">
        <v>1557</v>
      </c>
      <c r="H17" s="87">
        <v>192</v>
      </c>
      <c r="I17" s="87">
        <v>10</v>
      </c>
      <c r="J17" s="87">
        <v>91</v>
      </c>
      <c r="K17" s="87">
        <v>88</v>
      </c>
      <c r="L17" s="87">
        <v>3</v>
      </c>
      <c r="M17" s="87">
        <v>15142</v>
      </c>
      <c r="N17" s="87">
        <v>790</v>
      </c>
      <c r="O17" s="87">
        <v>4363</v>
      </c>
      <c r="P17" s="87">
        <v>8435</v>
      </c>
      <c r="Q17" s="87">
        <v>1554</v>
      </c>
    </row>
    <row r="18" spans="1:17" x14ac:dyDescent="0.3">
      <c r="A18" s="95"/>
      <c r="B18" s="52" t="s">
        <v>295</v>
      </c>
      <c r="C18" s="87">
        <v>17596</v>
      </c>
      <c r="D18" s="87">
        <v>987</v>
      </c>
      <c r="E18" s="87">
        <v>5628</v>
      </c>
      <c r="F18" s="87">
        <v>9743</v>
      </c>
      <c r="G18" s="87">
        <v>1238</v>
      </c>
      <c r="H18" s="87">
        <v>171</v>
      </c>
      <c r="I18" s="87">
        <v>5</v>
      </c>
      <c r="J18" s="87">
        <v>20</v>
      </c>
      <c r="K18" s="87">
        <v>145</v>
      </c>
      <c r="L18" s="87">
        <v>1</v>
      </c>
      <c r="M18" s="87">
        <v>17425</v>
      </c>
      <c r="N18" s="87">
        <v>982</v>
      </c>
      <c r="O18" s="87">
        <v>5608</v>
      </c>
      <c r="P18" s="87">
        <v>9598</v>
      </c>
      <c r="Q18" s="87">
        <v>1237</v>
      </c>
    </row>
    <row r="19" spans="1:17" x14ac:dyDescent="0.3">
      <c r="A19" s="95"/>
      <c r="B19" s="52" t="s">
        <v>296</v>
      </c>
      <c r="C19" s="87">
        <v>15132</v>
      </c>
      <c r="D19" s="87">
        <v>638</v>
      </c>
      <c r="E19" s="87">
        <v>5193</v>
      </c>
      <c r="F19" s="87">
        <v>8291</v>
      </c>
      <c r="G19" s="87">
        <v>1010</v>
      </c>
      <c r="H19" s="87">
        <v>155</v>
      </c>
      <c r="I19" s="87">
        <v>3</v>
      </c>
      <c r="J19" s="87">
        <v>35</v>
      </c>
      <c r="K19" s="87">
        <v>117</v>
      </c>
      <c r="L19" s="87">
        <v>0</v>
      </c>
      <c r="M19" s="87">
        <v>14977</v>
      </c>
      <c r="N19" s="87">
        <v>635</v>
      </c>
      <c r="O19" s="87">
        <v>5158</v>
      </c>
      <c r="P19" s="87">
        <v>8174</v>
      </c>
      <c r="Q19" s="87">
        <v>1010</v>
      </c>
    </row>
    <row r="20" spans="1:17" x14ac:dyDescent="0.3">
      <c r="A20" s="95"/>
      <c r="B20" s="52" t="s">
        <v>297</v>
      </c>
      <c r="C20" s="87">
        <v>12518</v>
      </c>
      <c r="D20" s="87">
        <v>631</v>
      </c>
      <c r="E20" s="87">
        <v>3539</v>
      </c>
      <c r="F20" s="87">
        <v>5692</v>
      </c>
      <c r="G20" s="87">
        <v>2656</v>
      </c>
      <c r="H20" s="87">
        <v>294</v>
      </c>
      <c r="I20" s="87">
        <v>16</v>
      </c>
      <c r="J20" s="87">
        <v>77</v>
      </c>
      <c r="K20" s="87">
        <v>194</v>
      </c>
      <c r="L20" s="87">
        <v>7</v>
      </c>
      <c r="M20" s="87">
        <v>12224</v>
      </c>
      <c r="N20" s="87">
        <v>615</v>
      </c>
      <c r="O20" s="87">
        <v>3462</v>
      </c>
      <c r="P20" s="87">
        <v>5498</v>
      </c>
      <c r="Q20" s="87">
        <v>2649</v>
      </c>
    </row>
    <row r="21" spans="1:17" x14ac:dyDescent="0.3">
      <c r="A21" s="95"/>
      <c r="B21" s="52" t="s">
        <v>298</v>
      </c>
      <c r="C21" s="87">
        <v>20008</v>
      </c>
      <c r="D21" s="87">
        <v>847</v>
      </c>
      <c r="E21" s="87">
        <v>5040</v>
      </c>
      <c r="F21" s="87">
        <v>12762</v>
      </c>
      <c r="G21" s="87">
        <v>1359</v>
      </c>
      <c r="H21" s="87">
        <v>114</v>
      </c>
      <c r="I21" s="87">
        <v>58</v>
      </c>
      <c r="J21" s="87">
        <v>29</v>
      </c>
      <c r="K21" s="87">
        <v>26</v>
      </c>
      <c r="L21" s="87">
        <v>1</v>
      </c>
      <c r="M21" s="87">
        <v>19894</v>
      </c>
      <c r="N21" s="87">
        <v>789</v>
      </c>
      <c r="O21" s="87">
        <v>5011</v>
      </c>
      <c r="P21" s="87">
        <v>12736</v>
      </c>
      <c r="Q21" s="87">
        <v>1358</v>
      </c>
    </row>
    <row r="22" spans="1:17" x14ac:dyDescent="0.3">
      <c r="A22" s="95"/>
      <c r="B22" s="52" t="s">
        <v>299</v>
      </c>
      <c r="C22" s="87">
        <v>26527</v>
      </c>
      <c r="D22" s="87">
        <v>873</v>
      </c>
      <c r="E22" s="87">
        <v>6756</v>
      </c>
      <c r="F22" s="87">
        <v>17220</v>
      </c>
      <c r="G22" s="87">
        <v>1678</v>
      </c>
      <c r="H22" s="87">
        <v>229</v>
      </c>
      <c r="I22" s="87">
        <v>4</v>
      </c>
      <c r="J22" s="87">
        <v>42</v>
      </c>
      <c r="K22" s="87">
        <v>182</v>
      </c>
      <c r="L22" s="87">
        <v>1</v>
      </c>
      <c r="M22" s="87">
        <v>26298</v>
      </c>
      <c r="N22" s="87">
        <v>869</v>
      </c>
      <c r="O22" s="87">
        <v>6714</v>
      </c>
      <c r="P22" s="87">
        <v>17038</v>
      </c>
      <c r="Q22" s="87">
        <v>1677</v>
      </c>
    </row>
    <row r="23" spans="1:17" x14ac:dyDescent="0.3">
      <c r="A23" s="95"/>
      <c r="B23" s="52" t="s">
        <v>300</v>
      </c>
      <c r="C23" s="87">
        <v>20813</v>
      </c>
      <c r="D23" s="87">
        <v>1270</v>
      </c>
      <c r="E23" s="87">
        <v>7385</v>
      </c>
      <c r="F23" s="87">
        <v>10456</v>
      </c>
      <c r="G23" s="87">
        <v>1702</v>
      </c>
      <c r="H23" s="87">
        <v>199</v>
      </c>
      <c r="I23" s="87">
        <v>11</v>
      </c>
      <c r="J23" s="87">
        <v>58</v>
      </c>
      <c r="K23" s="87">
        <v>129</v>
      </c>
      <c r="L23" s="87">
        <v>1</v>
      </c>
      <c r="M23" s="87">
        <v>20614</v>
      </c>
      <c r="N23" s="87">
        <v>1259</v>
      </c>
      <c r="O23" s="87">
        <v>7327</v>
      </c>
      <c r="P23" s="87">
        <v>10327</v>
      </c>
      <c r="Q23" s="87">
        <v>1701</v>
      </c>
    </row>
    <row r="24" spans="1:17" x14ac:dyDescent="0.3">
      <c r="A24" s="95"/>
      <c r="B24" s="52" t="s">
        <v>301</v>
      </c>
      <c r="C24" s="87">
        <v>21000</v>
      </c>
      <c r="D24" s="87">
        <v>771</v>
      </c>
      <c r="E24" s="87">
        <v>6193</v>
      </c>
      <c r="F24" s="87">
        <v>13080</v>
      </c>
      <c r="G24" s="87">
        <v>956</v>
      </c>
      <c r="H24" s="87">
        <v>157</v>
      </c>
      <c r="I24" s="87">
        <v>21</v>
      </c>
      <c r="J24" s="87">
        <v>20</v>
      </c>
      <c r="K24" s="87">
        <v>115</v>
      </c>
      <c r="L24" s="87">
        <v>1</v>
      </c>
      <c r="M24" s="87">
        <v>20843</v>
      </c>
      <c r="N24" s="87">
        <v>750</v>
      </c>
      <c r="O24" s="87">
        <v>6173</v>
      </c>
      <c r="P24" s="87">
        <v>12965</v>
      </c>
      <c r="Q24" s="87">
        <v>955</v>
      </c>
    </row>
    <row r="25" spans="1:17" x14ac:dyDescent="0.3">
      <c r="A25" s="95"/>
      <c r="B25" s="52" t="s">
        <v>302</v>
      </c>
      <c r="C25" s="87">
        <v>17038</v>
      </c>
      <c r="D25" s="87">
        <v>876</v>
      </c>
      <c r="E25" s="87">
        <v>6430</v>
      </c>
      <c r="F25" s="87">
        <v>8687</v>
      </c>
      <c r="G25" s="87">
        <v>1045</v>
      </c>
      <c r="H25" s="87">
        <v>155</v>
      </c>
      <c r="I25" s="87">
        <v>14</v>
      </c>
      <c r="J25" s="87">
        <v>52</v>
      </c>
      <c r="K25" s="87">
        <v>88</v>
      </c>
      <c r="L25" s="87">
        <v>1</v>
      </c>
      <c r="M25" s="87">
        <v>16883</v>
      </c>
      <c r="N25" s="87">
        <v>862</v>
      </c>
      <c r="O25" s="87">
        <v>6378</v>
      </c>
      <c r="P25" s="87">
        <v>8599</v>
      </c>
      <c r="Q25" s="87">
        <v>1044</v>
      </c>
    </row>
    <row r="26" spans="1:17" x14ac:dyDescent="0.3">
      <c r="A26" s="95"/>
      <c r="B26" s="52" t="s">
        <v>303</v>
      </c>
      <c r="C26" s="87">
        <v>16769</v>
      </c>
      <c r="D26" s="87">
        <v>606</v>
      </c>
      <c r="E26" s="87">
        <v>5352</v>
      </c>
      <c r="F26" s="87">
        <v>9152</v>
      </c>
      <c r="G26" s="87">
        <v>1659</v>
      </c>
      <c r="H26" s="87">
        <v>199</v>
      </c>
      <c r="I26" s="87">
        <v>12</v>
      </c>
      <c r="J26" s="87">
        <v>61</v>
      </c>
      <c r="K26" s="87">
        <v>122</v>
      </c>
      <c r="L26" s="87">
        <v>4</v>
      </c>
      <c r="M26" s="87">
        <v>16570</v>
      </c>
      <c r="N26" s="87">
        <v>594</v>
      </c>
      <c r="O26" s="87">
        <v>5291</v>
      </c>
      <c r="P26" s="87">
        <v>9030</v>
      </c>
      <c r="Q26" s="87">
        <v>1655</v>
      </c>
    </row>
    <row r="27" spans="1:17" x14ac:dyDescent="0.3">
      <c r="A27" s="95"/>
      <c r="B27" s="52" t="s">
        <v>304</v>
      </c>
      <c r="C27" s="87">
        <v>21277</v>
      </c>
      <c r="D27" s="87">
        <v>915</v>
      </c>
      <c r="E27" s="87">
        <v>6588</v>
      </c>
      <c r="F27" s="87">
        <v>12425</v>
      </c>
      <c r="G27" s="87">
        <v>1349</v>
      </c>
      <c r="H27" s="87">
        <v>127</v>
      </c>
      <c r="I27" s="87">
        <v>17</v>
      </c>
      <c r="J27" s="87">
        <v>16</v>
      </c>
      <c r="K27" s="87">
        <v>90</v>
      </c>
      <c r="L27" s="87">
        <v>4</v>
      </c>
      <c r="M27" s="87">
        <v>21150</v>
      </c>
      <c r="N27" s="87">
        <v>898</v>
      </c>
      <c r="O27" s="87">
        <v>6572</v>
      </c>
      <c r="P27" s="87">
        <v>12335</v>
      </c>
      <c r="Q27" s="87">
        <v>1345</v>
      </c>
    </row>
    <row r="28" spans="1:17" x14ac:dyDescent="0.3">
      <c r="A28" s="95"/>
      <c r="B28" s="52" t="s">
        <v>305</v>
      </c>
      <c r="C28" s="87">
        <v>13212</v>
      </c>
      <c r="D28" s="87">
        <v>482</v>
      </c>
      <c r="E28" s="87">
        <v>3743</v>
      </c>
      <c r="F28" s="87">
        <v>8088</v>
      </c>
      <c r="G28" s="87">
        <v>899</v>
      </c>
      <c r="H28" s="87">
        <v>450</v>
      </c>
      <c r="I28" s="87">
        <v>24</v>
      </c>
      <c r="J28" s="87">
        <v>36</v>
      </c>
      <c r="K28" s="87">
        <v>273</v>
      </c>
      <c r="L28" s="87">
        <v>117</v>
      </c>
      <c r="M28" s="87">
        <v>12762</v>
      </c>
      <c r="N28" s="87">
        <v>458</v>
      </c>
      <c r="O28" s="87">
        <v>3707</v>
      </c>
      <c r="P28" s="87">
        <v>7815</v>
      </c>
      <c r="Q28" s="87">
        <v>782</v>
      </c>
    </row>
    <row r="29" spans="1:17" x14ac:dyDescent="0.3">
      <c r="A29" s="95"/>
      <c r="B29" s="52" t="s">
        <v>306</v>
      </c>
      <c r="C29" s="87">
        <v>14428</v>
      </c>
      <c r="D29" s="87">
        <v>615</v>
      </c>
      <c r="E29" s="87">
        <v>4008</v>
      </c>
      <c r="F29" s="87">
        <v>8880</v>
      </c>
      <c r="G29" s="87">
        <v>925</v>
      </c>
      <c r="H29" s="87">
        <v>240</v>
      </c>
      <c r="I29" s="87">
        <v>34</v>
      </c>
      <c r="J29" s="87">
        <v>51</v>
      </c>
      <c r="K29" s="87">
        <v>153</v>
      </c>
      <c r="L29" s="87">
        <v>2</v>
      </c>
      <c r="M29" s="87">
        <v>14188</v>
      </c>
      <c r="N29" s="87">
        <v>581</v>
      </c>
      <c r="O29" s="87">
        <v>3957</v>
      </c>
      <c r="P29" s="87">
        <v>8727</v>
      </c>
      <c r="Q29" s="87">
        <v>923</v>
      </c>
    </row>
    <row r="30" spans="1:17" x14ac:dyDescent="0.3">
      <c r="A30" s="95"/>
      <c r="B30" s="52" t="s">
        <v>307</v>
      </c>
      <c r="C30" s="87">
        <v>24749</v>
      </c>
      <c r="D30" s="87">
        <v>866</v>
      </c>
      <c r="E30" s="87">
        <v>9691</v>
      </c>
      <c r="F30" s="87">
        <v>12880</v>
      </c>
      <c r="G30" s="87">
        <v>1312</v>
      </c>
      <c r="H30" s="87">
        <v>119</v>
      </c>
      <c r="I30" s="87">
        <v>6</v>
      </c>
      <c r="J30" s="87">
        <v>17</v>
      </c>
      <c r="K30" s="87">
        <v>95</v>
      </c>
      <c r="L30" s="87">
        <v>1</v>
      </c>
      <c r="M30" s="87">
        <v>24630</v>
      </c>
      <c r="N30" s="87">
        <v>860</v>
      </c>
      <c r="O30" s="87">
        <v>9674</v>
      </c>
      <c r="P30" s="87">
        <v>12785</v>
      </c>
      <c r="Q30" s="87">
        <v>1311</v>
      </c>
    </row>
    <row r="31" spans="1:17" x14ac:dyDescent="0.3">
      <c r="A31" s="95"/>
      <c r="B31" s="52" t="s">
        <v>308</v>
      </c>
      <c r="C31" s="87">
        <v>12</v>
      </c>
      <c r="D31" s="87">
        <v>0</v>
      </c>
      <c r="E31" s="87">
        <v>7</v>
      </c>
      <c r="F31" s="87">
        <v>5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0</v>
      </c>
      <c r="M31" s="87">
        <v>12</v>
      </c>
      <c r="N31" s="87">
        <v>0</v>
      </c>
      <c r="O31" s="87">
        <v>7</v>
      </c>
      <c r="P31" s="87">
        <v>5</v>
      </c>
      <c r="Q31" s="87">
        <v>0</v>
      </c>
    </row>
    <row r="32" spans="1:17" x14ac:dyDescent="0.3">
      <c r="A32" s="95"/>
      <c r="B32" s="52" t="s">
        <v>309</v>
      </c>
      <c r="C32" s="87">
        <v>459002</v>
      </c>
      <c r="D32" s="87">
        <v>20003</v>
      </c>
      <c r="E32" s="87">
        <v>144907</v>
      </c>
      <c r="F32" s="87">
        <v>260786</v>
      </c>
      <c r="G32" s="87">
        <v>33306</v>
      </c>
      <c r="H32" s="87">
        <v>4554</v>
      </c>
      <c r="I32" s="87">
        <v>329</v>
      </c>
      <c r="J32" s="87">
        <v>942</v>
      </c>
      <c r="K32" s="87">
        <v>3125</v>
      </c>
      <c r="L32" s="87">
        <v>158</v>
      </c>
      <c r="M32" s="87">
        <v>454448</v>
      </c>
      <c r="N32" s="87">
        <v>19674</v>
      </c>
      <c r="O32" s="87">
        <v>143965</v>
      </c>
      <c r="P32" s="87">
        <v>257661</v>
      </c>
      <c r="Q32" s="87">
        <v>33148</v>
      </c>
    </row>
    <row r="33" spans="1:17" x14ac:dyDescent="0.3">
      <c r="A33" s="95" t="s">
        <v>24</v>
      </c>
      <c r="B33" s="52" t="s">
        <v>286</v>
      </c>
      <c r="C33" s="87">
        <v>6152</v>
      </c>
      <c r="D33" s="87">
        <v>381</v>
      </c>
      <c r="E33" s="87">
        <v>2055</v>
      </c>
      <c r="F33" s="87">
        <v>3344</v>
      </c>
      <c r="G33" s="87">
        <v>372</v>
      </c>
      <c r="H33" s="87">
        <v>73</v>
      </c>
      <c r="I33" s="87">
        <v>2</v>
      </c>
      <c r="J33" s="87">
        <v>11</v>
      </c>
      <c r="K33" s="87">
        <v>59</v>
      </c>
      <c r="L33" s="87">
        <v>1</v>
      </c>
      <c r="M33" s="87">
        <v>6079</v>
      </c>
      <c r="N33" s="87">
        <v>379</v>
      </c>
      <c r="O33" s="87">
        <v>2044</v>
      </c>
      <c r="P33" s="87">
        <v>3285</v>
      </c>
      <c r="Q33" s="87">
        <v>371</v>
      </c>
    </row>
    <row r="34" spans="1:17" x14ac:dyDescent="0.3">
      <c r="A34" s="95"/>
      <c r="B34" s="52" t="s">
        <v>310</v>
      </c>
      <c r="C34" s="87">
        <v>8409</v>
      </c>
      <c r="D34" s="87">
        <v>383</v>
      </c>
      <c r="E34" s="87">
        <v>2279</v>
      </c>
      <c r="F34" s="87">
        <v>5319</v>
      </c>
      <c r="G34" s="87">
        <v>428</v>
      </c>
      <c r="H34" s="87">
        <v>98</v>
      </c>
      <c r="I34" s="87">
        <v>12</v>
      </c>
      <c r="J34" s="87">
        <v>8</v>
      </c>
      <c r="K34" s="87">
        <v>75</v>
      </c>
      <c r="L34" s="87">
        <v>3</v>
      </c>
      <c r="M34" s="87">
        <v>8311</v>
      </c>
      <c r="N34" s="87">
        <v>371</v>
      </c>
      <c r="O34" s="87">
        <v>2271</v>
      </c>
      <c r="P34" s="87">
        <v>5244</v>
      </c>
      <c r="Q34" s="87">
        <v>425</v>
      </c>
    </row>
    <row r="35" spans="1:17" x14ac:dyDescent="0.3">
      <c r="A35" s="95"/>
      <c r="B35" s="52" t="s">
        <v>311</v>
      </c>
      <c r="C35" s="87">
        <v>5680</v>
      </c>
      <c r="D35" s="87">
        <v>298</v>
      </c>
      <c r="E35" s="87">
        <v>1634</v>
      </c>
      <c r="F35" s="87">
        <v>3320</v>
      </c>
      <c r="G35" s="87">
        <v>428</v>
      </c>
      <c r="H35" s="87">
        <v>73</v>
      </c>
      <c r="I35" s="87">
        <v>10</v>
      </c>
      <c r="J35" s="87">
        <v>7</v>
      </c>
      <c r="K35" s="87">
        <v>56</v>
      </c>
      <c r="L35" s="87">
        <v>0</v>
      </c>
      <c r="M35" s="87">
        <v>5607</v>
      </c>
      <c r="N35" s="87">
        <v>288</v>
      </c>
      <c r="O35" s="87">
        <v>1627</v>
      </c>
      <c r="P35" s="87">
        <v>3264</v>
      </c>
      <c r="Q35" s="87">
        <v>428</v>
      </c>
    </row>
    <row r="36" spans="1:17" x14ac:dyDescent="0.3">
      <c r="A36" s="95"/>
      <c r="B36" s="52" t="s">
        <v>312</v>
      </c>
      <c r="C36" s="87">
        <v>10903</v>
      </c>
      <c r="D36" s="87">
        <v>512</v>
      </c>
      <c r="E36" s="87">
        <v>2674</v>
      </c>
      <c r="F36" s="87">
        <v>6987</v>
      </c>
      <c r="G36" s="87">
        <v>730</v>
      </c>
      <c r="H36" s="87">
        <v>34</v>
      </c>
      <c r="I36" s="87">
        <v>3</v>
      </c>
      <c r="J36" s="87">
        <v>10</v>
      </c>
      <c r="K36" s="87">
        <v>21</v>
      </c>
      <c r="L36" s="87">
        <v>0</v>
      </c>
      <c r="M36" s="87">
        <v>10869</v>
      </c>
      <c r="N36" s="87">
        <v>509</v>
      </c>
      <c r="O36" s="87">
        <v>2664</v>
      </c>
      <c r="P36" s="87">
        <v>6966</v>
      </c>
      <c r="Q36" s="87">
        <v>730</v>
      </c>
    </row>
    <row r="37" spans="1:17" x14ac:dyDescent="0.3">
      <c r="A37" s="95"/>
      <c r="B37" s="52" t="s">
        <v>313</v>
      </c>
      <c r="C37" s="87">
        <v>4445</v>
      </c>
      <c r="D37" s="87">
        <v>239</v>
      </c>
      <c r="E37" s="87">
        <v>997</v>
      </c>
      <c r="F37" s="87">
        <v>2968</v>
      </c>
      <c r="G37" s="87">
        <v>241</v>
      </c>
      <c r="H37" s="87">
        <v>76</v>
      </c>
      <c r="I37" s="87">
        <v>8</v>
      </c>
      <c r="J37" s="87">
        <v>29</v>
      </c>
      <c r="K37" s="87">
        <v>38</v>
      </c>
      <c r="L37" s="87">
        <v>1</v>
      </c>
      <c r="M37" s="87">
        <v>4369</v>
      </c>
      <c r="N37" s="87">
        <v>231</v>
      </c>
      <c r="O37" s="87">
        <v>968</v>
      </c>
      <c r="P37" s="87">
        <v>2930</v>
      </c>
      <c r="Q37" s="87">
        <v>240</v>
      </c>
    </row>
    <row r="38" spans="1:17" x14ac:dyDescent="0.3">
      <c r="A38" s="95"/>
      <c r="B38" s="52" t="s">
        <v>314</v>
      </c>
      <c r="C38" s="87">
        <v>8830</v>
      </c>
      <c r="D38" s="87">
        <v>439</v>
      </c>
      <c r="E38" s="87">
        <v>2356</v>
      </c>
      <c r="F38" s="87">
        <v>5444</v>
      </c>
      <c r="G38" s="87">
        <v>591</v>
      </c>
      <c r="H38" s="87">
        <v>79</v>
      </c>
      <c r="I38" s="87">
        <v>5</v>
      </c>
      <c r="J38" s="87">
        <v>1</v>
      </c>
      <c r="K38" s="87">
        <v>72</v>
      </c>
      <c r="L38" s="87">
        <v>1</v>
      </c>
      <c r="M38" s="87">
        <v>8751</v>
      </c>
      <c r="N38" s="87">
        <v>434</v>
      </c>
      <c r="O38" s="87">
        <v>2355</v>
      </c>
      <c r="P38" s="87">
        <v>5372</v>
      </c>
      <c r="Q38" s="87">
        <v>590</v>
      </c>
    </row>
    <row r="39" spans="1:17" x14ac:dyDescent="0.3">
      <c r="A39" s="95"/>
      <c r="B39" s="52" t="s">
        <v>315</v>
      </c>
      <c r="C39" s="87">
        <v>17744</v>
      </c>
      <c r="D39" s="87">
        <v>619</v>
      </c>
      <c r="E39" s="87">
        <v>5931</v>
      </c>
      <c r="F39" s="87">
        <v>10186</v>
      </c>
      <c r="G39" s="87">
        <v>1008</v>
      </c>
      <c r="H39" s="87">
        <v>132</v>
      </c>
      <c r="I39" s="87">
        <v>17</v>
      </c>
      <c r="J39" s="87">
        <v>23</v>
      </c>
      <c r="K39" s="87">
        <v>90</v>
      </c>
      <c r="L39" s="87">
        <v>2</v>
      </c>
      <c r="M39" s="87">
        <v>17612</v>
      </c>
      <c r="N39" s="87">
        <v>602</v>
      </c>
      <c r="O39" s="87">
        <v>5908</v>
      </c>
      <c r="P39" s="87">
        <v>10096</v>
      </c>
      <c r="Q39" s="87">
        <v>1006</v>
      </c>
    </row>
    <row r="40" spans="1:17" x14ac:dyDescent="0.3">
      <c r="A40" s="95"/>
      <c r="B40" s="52" t="s">
        <v>316</v>
      </c>
      <c r="C40" s="87">
        <v>8838</v>
      </c>
      <c r="D40" s="87">
        <v>423</v>
      </c>
      <c r="E40" s="87">
        <v>2393</v>
      </c>
      <c r="F40" s="87">
        <v>5497</v>
      </c>
      <c r="G40" s="87">
        <v>525</v>
      </c>
      <c r="H40" s="87">
        <v>72</v>
      </c>
      <c r="I40" s="87">
        <v>20</v>
      </c>
      <c r="J40" s="87">
        <v>4</v>
      </c>
      <c r="K40" s="87">
        <v>48</v>
      </c>
      <c r="L40" s="87">
        <v>0</v>
      </c>
      <c r="M40" s="87">
        <v>8766</v>
      </c>
      <c r="N40" s="87">
        <v>403</v>
      </c>
      <c r="O40" s="87">
        <v>2389</v>
      </c>
      <c r="P40" s="87">
        <v>5449</v>
      </c>
      <c r="Q40" s="87">
        <v>525</v>
      </c>
    </row>
    <row r="41" spans="1:17" x14ac:dyDescent="0.3">
      <c r="A41" s="95"/>
      <c r="B41" s="52" t="s">
        <v>317</v>
      </c>
      <c r="C41" s="87">
        <v>10474</v>
      </c>
      <c r="D41" s="87">
        <v>605</v>
      </c>
      <c r="E41" s="87">
        <v>2960</v>
      </c>
      <c r="F41" s="87">
        <v>6449</v>
      </c>
      <c r="G41" s="87">
        <v>460</v>
      </c>
      <c r="H41" s="87">
        <v>146</v>
      </c>
      <c r="I41" s="87">
        <v>27</v>
      </c>
      <c r="J41" s="87">
        <v>19</v>
      </c>
      <c r="K41" s="87">
        <v>100</v>
      </c>
      <c r="L41" s="87">
        <v>0</v>
      </c>
      <c r="M41" s="87">
        <v>10328</v>
      </c>
      <c r="N41" s="87">
        <v>578</v>
      </c>
      <c r="O41" s="87">
        <v>2941</v>
      </c>
      <c r="P41" s="87">
        <v>6349</v>
      </c>
      <c r="Q41" s="87">
        <v>460</v>
      </c>
    </row>
    <row r="42" spans="1:17" x14ac:dyDescent="0.3">
      <c r="A42" s="95"/>
      <c r="B42" s="52" t="s">
        <v>318</v>
      </c>
      <c r="C42" s="87">
        <v>12068</v>
      </c>
      <c r="D42" s="87">
        <v>544</v>
      </c>
      <c r="E42" s="87">
        <v>2878</v>
      </c>
      <c r="F42" s="87">
        <v>7928</v>
      </c>
      <c r="G42" s="87">
        <v>718</v>
      </c>
      <c r="H42" s="87">
        <v>90</v>
      </c>
      <c r="I42" s="87">
        <v>10</v>
      </c>
      <c r="J42" s="87">
        <v>2</v>
      </c>
      <c r="K42" s="87">
        <v>78</v>
      </c>
      <c r="L42" s="87">
        <v>0</v>
      </c>
      <c r="M42" s="87">
        <v>11978</v>
      </c>
      <c r="N42" s="87">
        <v>534</v>
      </c>
      <c r="O42" s="87">
        <v>2876</v>
      </c>
      <c r="P42" s="87">
        <v>7850</v>
      </c>
      <c r="Q42" s="87">
        <v>718</v>
      </c>
    </row>
    <row r="43" spans="1:17" x14ac:dyDescent="0.3">
      <c r="A43" s="95"/>
      <c r="B43" s="52" t="s">
        <v>319</v>
      </c>
      <c r="C43" s="87">
        <v>6261</v>
      </c>
      <c r="D43" s="87">
        <v>236</v>
      </c>
      <c r="E43" s="87">
        <v>1669</v>
      </c>
      <c r="F43" s="87">
        <v>4101</v>
      </c>
      <c r="G43" s="87">
        <v>255</v>
      </c>
      <c r="H43" s="87">
        <v>9</v>
      </c>
      <c r="I43" s="87">
        <v>1</v>
      </c>
      <c r="J43" s="87">
        <v>6</v>
      </c>
      <c r="K43" s="87">
        <v>2</v>
      </c>
      <c r="L43" s="87">
        <v>0</v>
      </c>
      <c r="M43" s="87">
        <v>6252</v>
      </c>
      <c r="N43" s="87">
        <v>235</v>
      </c>
      <c r="O43" s="87">
        <v>1663</v>
      </c>
      <c r="P43" s="87">
        <v>4099</v>
      </c>
      <c r="Q43" s="87">
        <v>255</v>
      </c>
    </row>
    <row r="44" spans="1:17" x14ac:dyDescent="0.3">
      <c r="A44" s="95"/>
      <c r="B44" s="52" t="s">
        <v>320</v>
      </c>
      <c r="C44" s="87">
        <v>6977</v>
      </c>
      <c r="D44" s="87">
        <v>332</v>
      </c>
      <c r="E44" s="87">
        <v>1893</v>
      </c>
      <c r="F44" s="87">
        <v>4238</v>
      </c>
      <c r="G44" s="87">
        <v>514</v>
      </c>
      <c r="H44" s="87">
        <v>104</v>
      </c>
      <c r="I44" s="87">
        <v>5</v>
      </c>
      <c r="J44" s="87">
        <v>0</v>
      </c>
      <c r="K44" s="87">
        <v>99</v>
      </c>
      <c r="L44" s="87">
        <v>0</v>
      </c>
      <c r="M44" s="87">
        <v>6873</v>
      </c>
      <c r="N44" s="87">
        <v>327</v>
      </c>
      <c r="O44" s="87">
        <v>1893</v>
      </c>
      <c r="P44" s="87">
        <v>4139</v>
      </c>
      <c r="Q44" s="87">
        <v>514</v>
      </c>
    </row>
    <row r="45" spans="1:17" x14ac:dyDescent="0.3">
      <c r="A45" s="95"/>
      <c r="B45" s="52" t="s">
        <v>321</v>
      </c>
      <c r="C45" s="87">
        <v>6951</v>
      </c>
      <c r="D45" s="87">
        <v>277</v>
      </c>
      <c r="E45" s="87">
        <v>1662</v>
      </c>
      <c r="F45" s="87">
        <v>4471</v>
      </c>
      <c r="G45" s="87">
        <v>541</v>
      </c>
      <c r="H45" s="87">
        <v>143</v>
      </c>
      <c r="I45" s="87">
        <v>4</v>
      </c>
      <c r="J45" s="87">
        <v>5</v>
      </c>
      <c r="K45" s="87">
        <v>98</v>
      </c>
      <c r="L45" s="87">
        <v>36</v>
      </c>
      <c r="M45" s="87">
        <v>6808</v>
      </c>
      <c r="N45" s="87">
        <v>273</v>
      </c>
      <c r="O45" s="87">
        <v>1657</v>
      </c>
      <c r="P45" s="87">
        <v>4373</v>
      </c>
      <c r="Q45" s="87">
        <v>505</v>
      </c>
    </row>
    <row r="46" spans="1:17" x14ac:dyDescent="0.3">
      <c r="A46" s="95"/>
      <c r="B46" s="52" t="s">
        <v>322</v>
      </c>
      <c r="C46" s="87">
        <v>6439</v>
      </c>
      <c r="D46" s="87">
        <v>221</v>
      </c>
      <c r="E46" s="87">
        <v>1572</v>
      </c>
      <c r="F46" s="87">
        <v>4373</v>
      </c>
      <c r="G46" s="87">
        <v>273</v>
      </c>
      <c r="H46" s="87">
        <v>53</v>
      </c>
      <c r="I46" s="87">
        <v>6</v>
      </c>
      <c r="J46" s="87">
        <v>4</v>
      </c>
      <c r="K46" s="87">
        <v>43</v>
      </c>
      <c r="L46" s="87">
        <v>0</v>
      </c>
      <c r="M46" s="87">
        <v>6386</v>
      </c>
      <c r="N46" s="87">
        <v>215</v>
      </c>
      <c r="O46" s="87">
        <v>1568</v>
      </c>
      <c r="P46" s="87">
        <v>4330</v>
      </c>
      <c r="Q46" s="87">
        <v>273</v>
      </c>
    </row>
    <row r="47" spans="1:17" x14ac:dyDescent="0.3">
      <c r="A47" s="95"/>
      <c r="B47" s="52" t="s">
        <v>306</v>
      </c>
      <c r="C47" s="87">
        <v>2917</v>
      </c>
      <c r="D47" s="87">
        <v>101</v>
      </c>
      <c r="E47" s="87">
        <v>697</v>
      </c>
      <c r="F47" s="87">
        <v>1988</v>
      </c>
      <c r="G47" s="87">
        <v>131</v>
      </c>
      <c r="H47" s="87">
        <v>95</v>
      </c>
      <c r="I47" s="87">
        <v>1</v>
      </c>
      <c r="J47" s="87">
        <v>20</v>
      </c>
      <c r="K47" s="87">
        <v>74</v>
      </c>
      <c r="L47" s="87">
        <v>0</v>
      </c>
      <c r="M47" s="87">
        <v>2822</v>
      </c>
      <c r="N47" s="87">
        <v>100</v>
      </c>
      <c r="O47" s="87">
        <v>677</v>
      </c>
      <c r="P47" s="87">
        <v>1914</v>
      </c>
      <c r="Q47" s="87">
        <v>131</v>
      </c>
    </row>
    <row r="48" spans="1:17" x14ac:dyDescent="0.3">
      <c r="A48" s="95"/>
      <c r="B48" s="52" t="s">
        <v>323</v>
      </c>
      <c r="C48" s="87">
        <v>13056</v>
      </c>
      <c r="D48" s="87">
        <v>587</v>
      </c>
      <c r="E48" s="87">
        <v>3260</v>
      </c>
      <c r="F48" s="87">
        <v>8133</v>
      </c>
      <c r="G48" s="87">
        <v>1076</v>
      </c>
      <c r="H48" s="87">
        <v>99</v>
      </c>
      <c r="I48" s="87">
        <v>13</v>
      </c>
      <c r="J48" s="87">
        <v>0</v>
      </c>
      <c r="K48" s="87">
        <v>85</v>
      </c>
      <c r="L48" s="87">
        <v>1</v>
      </c>
      <c r="M48" s="87">
        <v>12957</v>
      </c>
      <c r="N48" s="87">
        <v>574</v>
      </c>
      <c r="O48" s="87">
        <v>3260</v>
      </c>
      <c r="P48" s="87">
        <v>8048</v>
      </c>
      <c r="Q48" s="87">
        <v>1075</v>
      </c>
    </row>
    <row r="49" spans="1:17" x14ac:dyDescent="0.3">
      <c r="A49" s="95"/>
      <c r="B49" s="52" t="s">
        <v>324</v>
      </c>
      <c r="C49" s="87">
        <v>14</v>
      </c>
      <c r="D49" s="87">
        <v>0</v>
      </c>
      <c r="E49" s="87">
        <v>10</v>
      </c>
      <c r="F49" s="87">
        <v>4</v>
      </c>
      <c r="G49" s="87">
        <v>0</v>
      </c>
      <c r="H49" s="87">
        <v>0</v>
      </c>
      <c r="I49" s="87">
        <v>0</v>
      </c>
      <c r="J49" s="87">
        <v>0</v>
      </c>
      <c r="K49" s="87">
        <v>0</v>
      </c>
      <c r="L49" s="87">
        <v>0</v>
      </c>
      <c r="M49" s="87">
        <v>14</v>
      </c>
      <c r="N49" s="87">
        <v>0</v>
      </c>
      <c r="O49" s="87">
        <v>10</v>
      </c>
      <c r="P49" s="87">
        <v>4</v>
      </c>
      <c r="Q49" s="87">
        <v>0</v>
      </c>
    </row>
    <row r="50" spans="1:17" x14ac:dyDescent="0.3">
      <c r="A50" s="95"/>
      <c r="B50" s="52" t="s">
        <v>309</v>
      </c>
      <c r="C50" s="87">
        <v>136158</v>
      </c>
      <c r="D50" s="87">
        <v>6197</v>
      </c>
      <c r="E50" s="87">
        <v>36920</v>
      </c>
      <c r="F50" s="87">
        <v>84750</v>
      </c>
      <c r="G50" s="87">
        <v>8291</v>
      </c>
      <c r="H50" s="87">
        <v>1376</v>
      </c>
      <c r="I50" s="87">
        <v>144</v>
      </c>
      <c r="J50" s="87">
        <v>149</v>
      </c>
      <c r="K50" s="87">
        <v>1038</v>
      </c>
      <c r="L50" s="87">
        <v>45</v>
      </c>
      <c r="M50" s="87">
        <v>134782</v>
      </c>
      <c r="N50" s="87">
        <v>6053</v>
      </c>
      <c r="O50" s="87">
        <v>36771</v>
      </c>
      <c r="P50" s="87">
        <v>83712</v>
      </c>
      <c r="Q50" s="87">
        <v>8246</v>
      </c>
    </row>
    <row r="51" spans="1:17" ht="16.5" customHeight="1" x14ac:dyDescent="0.3">
      <c r="A51" s="97" t="s">
        <v>25</v>
      </c>
      <c r="B51" s="52" t="s">
        <v>589</v>
      </c>
      <c r="C51" s="87">
        <v>10020</v>
      </c>
      <c r="D51" s="87">
        <v>720</v>
      </c>
      <c r="E51" s="87">
        <v>4663</v>
      </c>
      <c r="F51" s="87">
        <v>4153</v>
      </c>
      <c r="G51" s="87">
        <v>484</v>
      </c>
      <c r="H51" s="87">
        <v>53</v>
      </c>
      <c r="I51" s="87">
        <v>6</v>
      </c>
      <c r="J51" s="87">
        <v>31</v>
      </c>
      <c r="K51" s="87">
        <v>16</v>
      </c>
      <c r="L51" s="87">
        <v>0</v>
      </c>
      <c r="M51" s="87">
        <v>9967</v>
      </c>
      <c r="N51" s="87">
        <v>714</v>
      </c>
      <c r="O51" s="87">
        <v>4632</v>
      </c>
      <c r="P51" s="87">
        <v>4137</v>
      </c>
      <c r="Q51" s="87">
        <v>484</v>
      </c>
    </row>
    <row r="52" spans="1:17" x14ac:dyDescent="0.3">
      <c r="A52" s="98"/>
      <c r="B52" s="52" t="s">
        <v>312</v>
      </c>
      <c r="C52" s="87">
        <v>22750</v>
      </c>
      <c r="D52" s="87">
        <v>2020</v>
      </c>
      <c r="E52" s="87">
        <v>8417</v>
      </c>
      <c r="F52" s="87">
        <v>11043</v>
      </c>
      <c r="G52" s="87">
        <v>1270</v>
      </c>
      <c r="H52" s="87">
        <v>198</v>
      </c>
      <c r="I52" s="87">
        <v>25</v>
      </c>
      <c r="J52" s="87">
        <v>15</v>
      </c>
      <c r="K52" s="87">
        <v>158</v>
      </c>
      <c r="L52" s="87">
        <v>0</v>
      </c>
      <c r="M52" s="87">
        <v>22552</v>
      </c>
      <c r="N52" s="87">
        <v>1995</v>
      </c>
      <c r="O52" s="87">
        <v>8402</v>
      </c>
      <c r="P52" s="87">
        <v>10885</v>
      </c>
      <c r="Q52" s="87">
        <v>1270</v>
      </c>
    </row>
    <row r="53" spans="1:17" x14ac:dyDescent="0.3">
      <c r="A53" s="98"/>
      <c r="B53" s="52" t="s">
        <v>325</v>
      </c>
      <c r="C53" s="87">
        <v>12281</v>
      </c>
      <c r="D53" s="87">
        <v>1205</v>
      </c>
      <c r="E53" s="87">
        <v>4746</v>
      </c>
      <c r="F53" s="87">
        <v>5675</v>
      </c>
      <c r="G53" s="87">
        <v>655</v>
      </c>
      <c r="H53" s="87">
        <v>142</v>
      </c>
      <c r="I53" s="87">
        <v>38</v>
      </c>
      <c r="J53" s="87">
        <v>52</v>
      </c>
      <c r="K53" s="87">
        <v>52</v>
      </c>
      <c r="L53" s="87">
        <v>0</v>
      </c>
      <c r="M53" s="87">
        <v>12139</v>
      </c>
      <c r="N53" s="87">
        <v>1167</v>
      </c>
      <c r="O53" s="87">
        <v>4694</v>
      </c>
      <c r="P53" s="87">
        <v>5623</v>
      </c>
      <c r="Q53" s="87">
        <v>655</v>
      </c>
    </row>
    <row r="54" spans="1:17" x14ac:dyDescent="0.3">
      <c r="A54" s="98"/>
      <c r="B54" s="52" t="s">
        <v>326</v>
      </c>
      <c r="C54" s="87">
        <v>19003</v>
      </c>
      <c r="D54" s="87">
        <v>1303</v>
      </c>
      <c r="E54" s="87">
        <v>9880</v>
      </c>
      <c r="F54" s="87">
        <v>6877</v>
      </c>
      <c r="G54" s="87">
        <v>943</v>
      </c>
      <c r="H54" s="87">
        <v>163</v>
      </c>
      <c r="I54" s="87">
        <v>16</v>
      </c>
      <c r="J54" s="87">
        <v>32</v>
      </c>
      <c r="K54" s="87">
        <v>115</v>
      </c>
      <c r="L54" s="87">
        <v>0</v>
      </c>
      <c r="M54" s="87">
        <v>18840</v>
      </c>
      <c r="N54" s="87">
        <v>1287</v>
      </c>
      <c r="O54" s="87">
        <v>9848</v>
      </c>
      <c r="P54" s="87">
        <v>6762</v>
      </c>
      <c r="Q54" s="87">
        <v>943</v>
      </c>
    </row>
    <row r="55" spans="1:17" x14ac:dyDescent="0.3">
      <c r="A55" s="98"/>
      <c r="B55" s="52" t="s">
        <v>313</v>
      </c>
      <c r="C55" s="87">
        <v>22506</v>
      </c>
      <c r="D55" s="87">
        <v>2288</v>
      </c>
      <c r="E55" s="87">
        <v>7489</v>
      </c>
      <c r="F55" s="87">
        <v>11581</v>
      </c>
      <c r="G55" s="87">
        <v>1148</v>
      </c>
      <c r="H55" s="87">
        <v>258</v>
      </c>
      <c r="I55" s="87">
        <v>63</v>
      </c>
      <c r="J55" s="87">
        <v>31</v>
      </c>
      <c r="K55" s="87">
        <v>161</v>
      </c>
      <c r="L55" s="87">
        <v>3</v>
      </c>
      <c r="M55" s="87">
        <v>22248</v>
      </c>
      <c r="N55" s="87">
        <v>2225</v>
      </c>
      <c r="O55" s="87">
        <v>7458</v>
      </c>
      <c r="P55" s="87">
        <v>11420</v>
      </c>
      <c r="Q55" s="87">
        <v>1145</v>
      </c>
    </row>
    <row r="56" spans="1:17" x14ac:dyDescent="0.3">
      <c r="A56" s="98"/>
      <c r="B56" s="52" t="s">
        <v>316</v>
      </c>
      <c r="C56" s="87">
        <v>30711</v>
      </c>
      <c r="D56" s="87">
        <v>1303</v>
      </c>
      <c r="E56" s="87">
        <v>15275</v>
      </c>
      <c r="F56" s="87">
        <v>13590</v>
      </c>
      <c r="G56" s="87">
        <v>543</v>
      </c>
      <c r="H56" s="87">
        <v>84</v>
      </c>
      <c r="I56" s="87">
        <v>5</v>
      </c>
      <c r="J56" s="87">
        <v>18</v>
      </c>
      <c r="K56" s="87">
        <v>61</v>
      </c>
      <c r="L56" s="87">
        <v>0</v>
      </c>
      <c r="M56" s="87">
        <v>30627</v>
      </c>
      <c r="N56" s="87">
        <v>1298</v>
      </c>
      <c r="O56" s="87">
        <v>15257</v>
      </c>
      <c r="P56" s="87">
        <v>13529</v>
      </c>
      <c r="Q56" s="87">
        <v>543</v>
      </c>
    </row>
    <row r="57" spans="1:17" x14ac:dyDescent="0.3">
      <c r="A57" s="98"/>
      <c r="B57" s="52" t="s">
        <v>319</v>
      </c>
      <c r="C57" s="87">
        <v>11761</v>
      </c>
      <c r="D57" s="87">
        <v>1039</v>
      </c>
      <c r="E57" s="87">
        <v>3985</v>
      </c>
      <c r="F57" s="87">
        <v>5648</v>
      </c>
      <c r="G57" s="87">
        <v>1089</v>
      </c>
      <c r="H57" s="87">
        <v>208</v>
      </c>
      <c r="I57" s="87">
        <v>7</v>
      </c>
      <c r="J57" s="87">
        <v>17</v>
      </c>
      <c r="K57" s="87">
        <v>154</v>
      </c>
      <c r="L57" s="87">
        <v>30</v>
      </c>
      <c r="M57" s="87">
        <v>11553</v>
      </c>
      <c r="N57" s="87">
        <v>1032</v>
      </c>
      <c r="O57" s="87">
        <v>3968</v>
      </c>
      <c r="P57" s="87">
        <v>5494</v>
      </c>
      <c r="Q57" s="87">
        <v>1059</v>
      </c>
    </row>
    <row r="58" spans="1:17" x14ac:dyDescent="0.3">
      <c r="A58" s="98"/>
      <c r="B58" s="52" t="s">
        <v>327</v>
      </c>
      <c r="C58" s="87">
        <v>7817</v>
      </c>
      <c r="D58" s="87">
        <v>551</v>
      </c>
      <c r="E58" s="87">
        <v>3406</v>
      </c>
      <c r="F58" s="87">
        <v>3609</v>
      </c>
      <c r="G58" s="87">
        <v>251</v>
      </c>
      <c r="H58" s="87">
        <v>106</v>
      </c>
      <c r="I58" s="87">
        <v>13</v>
      </c>
      <c r="J58" s="87">
        <v>6</v>
      </c>
      <c r="K58" s="87">
        <v>86</v>
      </c>
      <c r="L58" s="87">
        <v>1</v>
      </c>
      <c r="M58" s="87">
        <v>7711</v>
      </c>
      <c r="N58" s="87">
        <v>538</v>
      </c>
      <c r="O58" s="87">
        <v>3400</v>
      </c>
      <c r="P58" s="87">
        <v>3523</v>
      </c>
      <c r="Q58" s="87">
        <v>250</v>
      </c>
    </row>
    <row r="59" spans="1:17" x14ac:dyDescent="0.3">
      <c r="A59" s="98"/>
      <c r="B59" s="52" t="s">
        <v>306</v>
      </c>
      <c r="C59" s="87">
        <v>151</v>
      </c>
      <c r="D59" s="87">
        <v>0</v>
      </c>
      <c r="E59" s="87">
        <v>135</v>
      </c>
      <c r="F59" s="87">
        <v>14</v>
      </c>
      <c r="G59" s="87">
        <v>2</v>
      </c>
      <c r="H59" s="87">
        <v>0</v>
      </c>
      <c r="I59" s="87">
        <v>0</v>
      </c>
      <c r="J59" s="87">
        <v>0</v>
      </c>
      <c r="K59" s="87">
        <v>0</v>
      </c>
      <c r="L59" s="87">
        <v>0</v>
      </c>
      <c r="M59" s="87">
        <v>151</v>
      </c>
      <c r="N59" s="87">
        <v>0</v>
      </c>
      <c r="O59" s="87">
        <v>135</v>
      </c>
      <c r="P59" s="87">
        <v>14</v>
      </c>
      <c r="Q59" s="87">
        <v>2</v>
      </c>
    </row>
    <row r="60" spans="1:17" x14ac:dyDescent="0.3">
      <c r="A60" s="98"/>
      <c r="B60" s="52" t="s">
        <v>328</v>
      </c>
      <c r="C60" s="87">
        <v>137000</v>
      </c>
      <c r="D60" s="87">
        <v>10429</v>
      </c>
      <c r="E60" s="87">
        <v>57996</v>
      </c>
      <c r="F60" s="87">
        <v>62190</v>
      </c>
      <c r="G60" s="87">
        <v>6385</v>
      </c>
      <c r="H60" s="87">
        <v>1212</v>
      </c>
      <c r="I60" s="87">
        <v>173</v>
      </c>
      <c r="J60" s="87">
        <v>202</v>
      </c>
      <c r="K60" s="87">
        <v>803</v>
      </c>
      <c r="L60" s="87">
        <v>34</v>
      </c>
      <c r="M60" s="87">
        <v>135788</v>
      </c>
      <c r="N60" s="87">
        <v>10256</v>
      </c>
      <c r="O60" s="87">
        <v>57794</v>
      </c>
      <c r="P60" s="87">
        <v>61387</v>
      </c>
      <c r="Q60" s="87">
        <v>6351</v>
      </c>
    </row>
    <row r="61" spans="1:17" x14ac:dyDescent="0.3">
      <c r="A61" s="99"/>
      <c r="B61" s="52" t="s">
        <v>309</v>
      </c>
      <c r="C61" s="87">
        <v>6711</v>
      </c>
      <c r="D61" s="87">
        <v>344</v>
      </c>
      <c r="E61" s="87">
        <v>4196</v>
      </c>
      <c r="F61" s="87">
        <v>1975</v>
      </c>
      <c r="G61" s="87">
        <v>196</v>
      </c>
      <c r="H61" s="87">
        <v>58</v>
      </c>
      <c r="I61" s="87">
        <v>0</v>
      </c>
      <c r="J61" s="87">
        <v>6</v>
      </c>
      <c r="K61" s="87">
        <v>51</v>
      </c>
      <c r="L61" s="87">
        <v>1</v>
      </c>
      <c r="M61" s="87">
        <v>6653</v>
      </c>
      <c r="N61" s="87">
        <v>344</v>
      </c>
      <c r="O61" s="87">
        <v>4190</v>
      </c>
      <c r="P61" s="87">
        <v>1924</v>
      </c>
      <c r="Q61" s="87">
        <v>195</v>
      </c>
    </row>
    <row r="62" spans="1:17" x14ac:dyDescent="0.3">
      <c r="A62" s="95" t="s">
        <v>26</v>
      </c>
      <c r="B62" s="52" t="s">
        <v>329</v>
      </c>
      <c r="C62" s="87">
        <v>7823</v>
      </c>
      <c r="D62" s="87">
        <v>326</v>
      </c>
      <c r="E62" s="87">
        <v>2997</v>
      </c>
      <c r="F62" s="87">
        <v>3950</v>
      </c>
      <c r="G62" s="87">
        <v>550</v>
      </c>
      <c r="H62" s="87">
        <v>67</v>
      </c>
      <c r="I62" s="87">
        <v>0</v>
      </c>
      <c r="J62" s="87">
        <v>0</v>
      </c>
      <c r="K62" s="87">
        <v>67</v>
      </c>
      <c r="L62" s="87">
        <v>0</v>
      </c>
      <c r="M62" s="87">
        <v>7756</v>
      </c>
      <c r="N62" s="87">
        <v>326</v>
      </c>
      <c r="O62" s="87">
        <v>2997</v>
      </c>
      <c r="P62" s="87">
        <v>3883</v>
      </c>
      <c r="Q62" s="87">
        <v>550</v>
      </c>
    </row>
    <row r="63" spans="1:17" x14ac:dyDescent="0.3">
      <c r="A63" s="95"/>
      <c r="B63" s="52" t="s">
        <v>330</v>
      </c>
      <c r="C63" s="87">
        <v>1279</v>
      </c>
      <c r="D63" s="87">
        <v>1</v>
      </c>
      <c r="E63" s="87">
        <v>1010</v>
      </c>
      <c r="F63" s="87">
        <v>252</v>
      </c>
      <c r="G63" s="87">
        <v>16</v>
      </c>
      <c r="H63" s="87">
        <v>1</v>
      </c>
      <c r="I63" s="87">
        <v>1</v>
      </c>
      <c r="J63" s="87">
        <v>0</v>
      </c>
      <c r="K63" s="87">
        <v>0</v>
      </c>
      <c r="L63" s="87">
        <v>0</v>
      </c>
      <c r="M63" s="87">
        <v>1278</v>
      </c>
      <c r="N63" s="87">
        <v>0</v>
      </c>
      <c r="O63" s="87">
        <v>1010</v>
      </c>
      <c r="P63" s="87">
        <v>252</v>
      </c>
      <c r="Q63" s="87">
        <v>16</v>
      </c>
    </row>
    <row r="64" spans="1:17" x14ac:dyDescent="0.3">
      <c r="A64" s="95"/>
      <c r="B64" s="52" t="s">
        <v>312</v>
      </c>
      <c r="C64" s="87">
        <v>13488</v>
      </c>
      <c r="D64" s="87">
        <v>648</v>
      </c>
      <c r="E64" s="87">
        <v>4490</v>
      </c>
      <c r="F64" s="87">
        <v>7303</v>
      </c>
      <c r="G64" s="87">
        <v>1047</v>
      </c>
      <c r="H64" s="87">
        <v>277</v>
      </c>
      <c r="I64" s="87">
        <v>0</v>
      </c>
      <c r="J64" s="87">
        <v>28</v>
      </c>
      <c r="K64" s="87">
        <v>219</v>
      </c>
      <c r="L64" s="87">
        <v>30</v>
      </c>
      <c r="M64" s="87">
        <v>13211</v>
      </c>
      <c r="N64" s="87">
        <v>648</v>
      </c>
      <c r="O64" s="87">
        <v>4462</v>
      </c>
      <c r="P64" s="87">
        <v>7084</v>
      </c>
      <c r="Q64" s="87">
        <v>1017</v>
      </c>
    </row>
    <row r="65" spans="1:17" x14ac:dyDescent="0.3">
      <c r="A65" s="95"/>
      <c r="B65" s="52" t="s">
        <v>331</v>
      </c>
      <c r="C65" s="87">
        <v>1977</v>
      </c>
      <c r="D65" s="87">
        <v>138</v>
      </c>
      <c r="E65" s="87">
        <v>699</v>
      </c>
      <c r="F65" s="87">
        <v>1055</v>
      </c>
      <c r="G65" s="87">
        <v>85</v>
      </c>
      <c r="H65" s="87">
        <v>2</v>
      </c>
      <c r="I65" s="87">
        <v>0</v>
      </c>
      <c r="J65" s="87">
        <v>1</v>
      </c>
      <c r="K65" s="87">
        <v>1</v>
      </c>
      <c r="L65" s="87">
        <v>0</v>
      </c>
      <c r="M65" s="87">
        <v>1975</v>
      </c>
      <c r="N65" s="87">
        <v>138</v>
      </c>
      <c r="O65" s="87">
        <v>698</v>
      </c>
      <c r="P65" s="87">
        <v>1054</v>
      </c>
      <c r="Q65" s="87">
        <v>85</v>
      </c>
    </row>
    <row r="66" spans="1:17" x14ac:dyDescent="0.3">
      <c r="A66" s="95"/>
      <c r="B66" s="52" t="s">
        <v>313</v>
      </c>
      <c r="C66" s="87">
        <v>11794</v>
      </c>
      <c r="D66" s="87">
        <v>550</v>
      </c>
      <c r="E66" s="87">
        <v>4108</v>
      </c>
      <c r="F66" s="87">
        <v>6328</v>
      </c>
      <c r="G66" s="87">
        <v>808</v>
      </c>
      <c r="H66" s="87">
        <v>29</v>
      </c>
      <c r="I66" s="87">
        <v>1</v>
      </c>
      <c r="J66" s="87">
        <v>18</v>
      </c>
      <c r="K66" s="87">
        <v>10</v>
      </c>
      <c r="L66" s="87">
        <v>0</v>
      </c>
      <c r="M66" s="87">
        <v>11765</v>
      </c>
      <c r="N66" s="87">
        <v>549</v>
      </c>
      <c r="O66" s="87">
        <v>4090</v>
      </c>
      <c r="P66" s="87">
        <v>6318</v>
      </c>
      <c r="Q66" s="87">
        <v>808</v>
      </c>
    </row>
    <row r="67" spans="1:17" x14ac:dyDescent="0.3">
      <c r="A67" s="95"/>
      <c r="B67" s="52" t="s">
        <v>332</v>
      </c>
      <c r="C67" s="87">
        <v>12547</v>
      </c>
      <c r="D67" s="87">
        <v>648</v>
      </c>
      <c r="E67" s="87">
        <v>4618</v>
      </c>
      <c r="F67" s="87">
        <v>6465</v>
      </c>
      <c r="G67" s="87">
        <v>816</v>
      </c>
      <c r="H67" s="87">
        <v>119</v>
      </c>
      <c r="I67" s="87">
        <v>4</v>
      </c>
      <c r="J67" s="87">
        <v>9</v>
      </c>
      <c r="K67" s="87">
        <v>104</v>
      </c>
      <c r="L67" s="87">
        <v>2</v>
      </c>
      <c r="M67" s="87">
        <v>12428</v>
      </c>
      <c r="N67" s="87">
        <v>644</v>
      </c>
      <c r="O67" s="87">
        <v>4609</v>
      </c>
      <c r="P67" s="87">
        <v>6361</v>
      </c>
      <c r="Q67" s="87">
        <v>814</v>
      </c>
    </row>
    <row r="68" spans="1:17" x14ac:dyDescent="0.3">
      <c r="A68" s="95"/>
      <c r="B68" s="52" t="s">
        <v>333</v>
      </c>
      <c r="C68" s="87">
        <v>12563</v>
      </c>
      <c r="D68" s="87">
        <v>672</v>
      </c>
      <c r="E68" s="87">
        <v>3658</v>
      </c>
      <c r="F68" s="87">
        <v>6931</v>
      </c>
      <c r="G68" s="87">
        <v>1302</v>
      </c>
      <c r="H68" s="87">
        <v>150</v>
      </c>
      <c r="I68" s="87">
        <v>1</v>
      </c>
      <c r="J68" s="87">
        <v>14</v>
      </c>
      <c r="K68" s="87">
        <v>134</v>
      </c>
      <c r="L68" s="87">
        <v>1</v>
      </c>
      <c r="M68" s="87">
        <v>12413</v>
      </c>
      <c r="N68" s="87">
        <v>671</v>
      </c>
      <c r="O68" s="87">
        <v>3644</v>
      </c>
      <c r="P68" s="87">
        <v>6797</v>
      </c>
      <c r="Q68" s="87">
        <v>1301</v>
      </c>
    </row>
    <row r="69" spans="1:17" x14ac:dyDescent="0.3">
      <c r="A69" s="95"/>
      <c r="B69" s="52" t="s">
        <v>319</v>
      </c>
      <c r="C69" s="87">
        <v>5878</v>
      </c>
      <c r="D69" s="87">
        <v>305</v>
      </c>
      <c r="E69" s="87">
        <v>1656</v>
      </c>
      <c r="F69" s="87">
        <v>3202</v>
      </c>
      <c r="G69" s="87">
        <v>715</v>
      </c>
      <c r="H69" s="87">
        <v>148</v>
      </c>
      <c r="I69" s="87">
        <v>0</v>
      </c>
      <c r="J69" s="87">
        <v>0</v>
      </c>
      <c r="K69" s="87">
        <v>148</v>
      </c>
      <c r="L69" s="87">
        <v>0</v>
      </c>
      <c r="M69" s="87">
        <v>5730</v>
      </c>
      <c r="N69" s="87">
        <v>305</v>
      </c>
      <c r="O69" s="87">
        <v>1656</v>
      </c>
      <c r="P69" s="87">
        <v>3054</v>
      </c>
      <c r="Q69" s="87">
        <v>715</v>
      </c>
    </row>
    <row r="70" spans="1:17" x14ac:dyDescent="0.3">
      <c r="A70" s="95"/>
      <c r="B70" s="52" t="s">
        <v>334</v>
      </c>
      <c r="C70" s="87">
        <v>1073</v>
      </c>
      <c r="D70" s="87">
        <v>94</v>
      </c>
      <c r="E70" s="87">
        <v>420</v>
      </c>
      <c r="F70" s="87">
        <v>515</v>
      </c>
      <c r="G70" s="87">
        <v>44</v>
      </c>
      <c r="H70" s="87">
        <v>32</v>
      </c>
      <c r="I70" s="87">
        <v>5</v>
      </c>
      <c r="J70" s="87">
        <v>15</v>
      </c>
      <c r="K70" s="87">
        <v>12</v>
      </c>
      <c r="L70" s="87">
        <v>0</v>
      </c>
      <c r="M70" s="87">
        <v>1041</v>
      </c>
      <c r="N70" s="87">
        <v>89</v>
      </c>
      <c r="O70" s="87">
        <v>405</v>
      </c>
      <c r="P70" s="87">
        <v>503</v>
      </c>
      <c r="Q70" s="87">
        <v>44</v>
      </c>
    </row>
    <row r="71" spans="1:17" x14ac:dyDescent="0.3">
      <c r="A71" s="95"/>
      <c r="B71" s="52" t="s">
        <v>335</v>
      </c>
      <c r="C71" s="87">
        <v>4245</v>
      </c>
      <c r="D71" s="87">
        <v>270</v>
      </c>
      <c r="E71" s="87">
        <v>1588</v>
      </c>
      <c r="F71" s="87">
        <v>2068</v>
      </c>
      <c r="G71" s="87">
        <v>319</v>
      </c>
      <c r="H71" s="87">
        <v>122</v>
      </c>
      <c r="I71" s="87">
        <v>1</v>
      </c>
      <c r="J71" s="87">
        <v>101</v>
      </c>
      <c r="K71" s="87">
        <v>20</v>
      </c>
      <c r="L71" s="87">
        <v>0</v>
      </c>
      <c r="M71" s="87">
        <v>4123</v>
      </c>
      <c r="N71" s="87">
        <v>269</v>
      </c>
      <c r="O71" s="87">
        <v>1487</v>
      </c>
      <c r="P71" s="87">
        <v>2048</v>
      </c>
      <c r="Q71" s="87">
        <v>319</v>
      </c>
    </row>
    <row r="72" spans="1:17" x14ac:dyDescent="0.3">
      <c r="A72" s="95"/>
      <c r="B72" s="52" t="s">
        <v>306</v>
      </c>
      <c r="C72" s="87">
        <v>42</v>
      </c>
      <c r="D72" s="87">
        <v>0</v>
      </c>
      <c r="E72" s="87">
        <v>25</v>
      </c>
      <c r="F72" s="87">
        <v>15</v>
      </c>
      <c r="G72" s="87">
        <v>2</v>
      </c>
      <c r="H72" s="87">
        <v>1</v>
      </c>
      <c r="I72" s="87">
        <v>0</v>
      </c>
      <c r="J72" s="87">
        <v>0</v>
      </c>
      <c r="K72" s="87">
        <v>1</v>
      </c>
      <c r="L72" s="87">
        <v>0</v>
      </c>
      <c r="M72" s="87">
        <v>41</v>
      </c>
      <c r="N72" s="87">
        <v>0</v>
      </c>
      <c r="O72" s="87">
        <v>25</v>
      </c>
      <c r="P72" s="87">
        <v>14</v>
      </c>
      <c r="Q72" s="87">
        <v>2</v>
      </c>
    </row>
    <row r="73" spans="1:17" x14ac:dyDescent="0.3">
      <c r="A73" s="95"/>
      <c r="B73" s="52" t="s">
        <v>336</v>
      </c>
      <c r="C73" s="87">
        <v>79420</v>
      </c>
      <c r="D73" s="87">
        <v>3996</v>
      </c>
      <c r="E73" s="87">
        <v>29465</v>
      </c>
      <c r="F73" s="87">
        <v>40059</v>
      </c>
      <c r="G73" s="87">
        <v>5900</v>
      </c>
      <c r="H73" s="87">
        <v>1006</v>
      </c>
      <c r="I73" s="87">
        <v>13</v>
      </c>
      <c r="J73" s="87">
        <v>192</v>
      </c>
      <c r="K73" s="87">
        <v>767</v>
      </c>
      <c r="L73" s="87">
        <v>34</v>
      </c>
      <c r="M73" s="87">
        <v>78414</v>
      </c>
      <c r="N73" s="87">
        <v>3983</v>
      </c>
      <c r="O73" s="87">
        <v>29273</v>
      </c>
      <c r="P73" s="87">
        <v>39292</v>
      </c>
      <c r="Q73" s="87">
        <v>5866</v>
      </c>
    </row>
    <row r="74" spans="1:17" x14ac:dyDescent="0.3">
      <c r="A74" s="95"/>
      <c r="B74" s="52" t="s">
        <v>309</v>
      </c>
      <c r="C74" s="87">
        <v>8594</v>
      </c>
      <c r="D74" s="87">
        <v>456</v>
      </c>
      <c r="E74" s="87">
        <v>2803</v>
      </c>
      <c r="F74" s="87">
        <v>4706</v>
      </c>
      <c r="G74" s="87">
        <v>629</v>
      </c>
      <c r="H74" s="87">
        <v>120</v>
      </c>
      <c r="I74" s="87">
        <v>2</v>
      </c>
      <c r="J74" s="87">
        <v>12</v>
      </c>
      <c r="K74" s="87">
        <v>96</v>
      </c>
      <c r="L74" s="87">
        <v>10</v>
      </c>
      <c r="M74" s="87">
        <v>8474</v>
      </c>
      <c r="N74" s="87">
        <v>454</v>
      </c>
      <c r="O74" s="87">
        <v>2791</v>
      </c>
      <c r="P74" s="87">
        <v>4610</v>
      </c>
      <c r="Q74" s="87">
        <v>619</v>
      </c>
    </row>
    <row r="75" spans="1:17" x14ac:dyDescent="0.3">
      <c r="A75" s="95" t="s">
        <v>27</v>
      </c>
      <c r="B75" s="52" t="s">
        <v>337</v>
      </c>
      <c r="C75" s="87">
        <v>5924</v>
      </c>
      <c r="D75" s="87">
        <v>317</v>
      </c>
      <c r="E75" s="87">
        <v>2339</v>
      </c>
      <c r="F75" s="87">
        <v>2977</v>
      </c>
      <c r="G75" s="87">
        <v>291</v>
      </c>
      <c r="H75" s="87">
        <v>8</v>
      </c>
      <c r="I75" s="87">
        <v>1</v>
      </c>
      <c r="J75" s="87">
        <v>0</v>
      </c>
      <c r="K75" s="87">
        <v>7</v>
      </c>
      <c r="L75" s="87">
        <v>0</v>
      </c>
      <c r="M75" s="87">
        <v>5916</v>
      </c>
      <c r="N75" s="87">
        <v>316</v>
      </c>
      <c r="O75" s="87">
        <v>2339</v>
      </c>
      <c r="P75" s="87">
        <v>2970</v>
      </c>
      <c r="Q75" s="87">
        <v>291</v>
      </c>
    </row>
    <row r="76" spans="1:17" x14ac:dyDescent="0.3">
      <c r="A76" s="95"/>
      <c r="B76" s="52" t="s">
        <v>312</v>
      </c>
      <c r="C76" s="87">
        <v>4225</v>
      </c>
      <c r="D76" s="87">
        <v>243</v>
      </c>
      <c r="E76" s="87">
        <v>1755</v>
      </c>
      <c r="F76" s="87">
        <v>2055</v>
      </c>
      <c r="G76" s="87">
        <v>172</v>
      </c>
      <c r="H76" s="87">
        <v>102</v>
      </c>
      <c r="I76" s="87">
        <v>2</v>
      </c>
      <c r="J76" s="87">
        <v>4</v>
      </c>
      <c r="K76" s="87">
        <v>96</v>
      </c>
      <c r="L76" s="87">
        <v>0</v>
      </c>
      <c r="M76" s="87">
        <v>4123</v>
      </c>
      <c r="N76" s="87">
        <v>241</v>
      </c>
      <c r="O76" s="87">
        <v>1751</v>
      </c>
      <c r="P76" s="87">
        <v>1959</v>
      </c>
      <c r="Q76" s="87">
        <v>172</v>
      </c>
    </row>
    <row r="77" spans="1:17" x14ac:dyDescent="0.3">
      <c r="A77" s="95"/>
      <c r="B77" s="52" t="s">
        <v>313</v>
      </c>
      <c r="C77" s="87">
        <v>14719</v>
      </c>
      <c r="D77" s="87">
        <v>631</v>
      </c>
      <c r="E77" s="87">
        <v>6244</v>
      </c>
      <c r="F77" s="87">
        <v>7188</v>
      </c>
      <c r="G77" s="87">
        <v>656</v>
      </c>
      <c r="H77" s="87">
        <v>173</v>
      </c>
      <c r="I77" s="87">
        <v>12</v>
      </c>
      <c r="J77" s="87">
        <v>20</v>
      </c>
      <c r="K77" s="87">
        <v>141</v>
      </c>
      <c r="L77" s="87">
        <v>0</v>
      </c>
      <c r="M77" s="87">
        <v>14546</v>
      </c>
      <c r="N77" s="87">
        <v>619</v>
      </c>
      <c r="O77" s="87">
        <v>6224</v>
      </c>
      <c r="P77" s="87">
        <v>7047</v>
      </c>
      <c r="Q77" s="87">
        <v>656</v>
      </c>
    </row>
    <row r="78" spans="1:17" x14ac:dyDescent="0.3">
      <c r="A78" s="95"/>
      <c r="B78" s="52" t="s">
        <v>316</v>
      </c>
      <c r="C78" s="87">
        <v>7319</v>
      </c>
      <c r="D78" s="87">
        <v>327</v>
      </c>
      <c r="E78" s="87">
        <v>2744</v>
      </c>
      <c r="F78" s="87">
        <v>3834</v>
      </c>
      <c r="G78" s="87">
        <v>414</v>
      </c>
      <c r="H78" s="87">
        <v>93</v>
      </c>
      <c r="I78" s="87">
        <v>3</v>
      </c>
      <c r="J78" s="87">
        <v>14</v>
      </c>
      <c r="K78" s="87">
        <v>76</v>
      </c>
      <c r="L78" s="87">
        <v>0</v>
      </c>
      <c r="M78" s="87">
        <v>7226</v>
      </c>
      <c r="N78" s="87">
        <v>324</v>
      </c>
      <c r="O78" s="87">
        <v>2730</v>
      </c>
      <c r="P78" s="87">
        <v>3758</v>
      </c>
      <c r="Q78" s="87">
        <v>414</v>
      </c>
    </row>
    <row r="79" spans="1:17" x14ac:dyDescent="0.3">
      <c r="A79" s="95"/>
      <c r="B79" s="52" t="s">
        <v>319</v>
      </c>
      <c r="C79" s="87">
        <v>1</v>
      </c>
      <c r="D79" s="87">
        <v>0</v>
      </c>
      <c r="E79" s="87">
        <v>0</v>
      </c>
      <c r="F79" s="87">
        <v>1</v>
      </c>
      <c r="G79" s="87">
        <v>0</v>
      </c>
      <c r="H79" s="87">
        <v>0</v>
      </c>
      <c r="I79" s="87">
        <v>0</v>
      </c>
      <c r="J79" s="87">
        <v>0</v>
      </c>
      <c r="K79" s="87">
        <v>0</v>
      </c>
      <c r="L79" s="87">
        <v>0</v>
      </c>
      <c r="M79" s="87">
        <v>1</v>
      </c>
      <c r="N79" s="87">
        <v>0</v>
      </c>
      <c r="O79" s="87">
        <v>0</v>
      </c>
      <c r="P79" s="87">
        <v>1</v>
      </c>
      <c r="Q79" s="87">
        <v>0</v>
      </c>
    </row>
    <row r="80" spans="1:17" x14ac:dyDescent="0.3">
      <c r="A80" s="95"/>
      <c r="B80" s="52" t="s">
        <v>338</v>
      </c>
      <c r="C80" s="87">
        <v>40782</v>
      </c>
      <c r="D80" s="87">
        <v>1974</v>
      </c>
      <c r="E80" s="87">
        <v>15885</v>
      </c>
      <c r="F80" s="87">
        <v>20761</v>
      </c>
      <c r="G80" s="87">
        <v>2162</v>
      </c>
      <c r="H80" s="87">
        <v>496</v>
      </c>
      <c r="I80" s="87">
        <v>20</v>
      </c>
      <c r="J80" s="87">
        <v>50</v>
      </c>
      <c r="K80" s="87">
        <v>416</v>
      </c>
      <c r="L80" s="87">
        <v>10</v>
      </c>
      <c r="M80" s="87">
        <v>40286</v>
      </c>
      <c r="N80" s="87">
        <v>1954</v>
      </c>
      <c r="O80" s="87">
        <v>15835</v>
      </c>
      <c r="P80" s="87">
        <v>20345</v>
      </c>
      <c r="Q80" s="87">
        <v>2152</v>
      </c>
    </row>
    <row r="81" spans="1:17" x14ac:dyDescent="0.3">
      <c r="A81" s="95"/>
      <c r="B81" s="52" t="s">
        <v>309</v>
      </c>
      <c r="C81" s="87">
        <v>6409</v>
      </c>
      <c r="D81" s="87">
        <v>587</v>
      </c>
      <c r="E81" s="87">
        <v>2351</v>
      </c>
      <c r="F81" s="87">
        <v>3070</v>
      </c>
      <c r="G81" s="87">
        <v>401</v>
      </c>
      <c r="H81" s="87">
        <v>47</v>
      </c>
      <c r="I81" s="87">
        <v>6</v>
      </c>
      <c r="J81" s="87">
        <v>4</v>
      </c>
      <c r="K81" s="87">
        <v>37</v>
      </c>
      <c r="L81" s="87">
        <v>0</v>
      </c>
      <c r="M81" s="87">
        <v>6362</v>
      </c>
      <c r="N81" s="87">
        <v>581</v>
      </c>
      <c r="O81" s="87">
        <v>2347</v>
      </c>
      <c r="P81" s="87">
        <v>3033</v>
      </c>
      <c r="Q81" s="87">
        <v>401</v>
      </c>
    </row>
    <row r="82" spans="1:17" x14ac:dyDescent="0.3">
      <c r="A82" s="95" t="s">
        <v>28</v>
      </c>
      <c r="B82" s="52" t="s">
        <v>339</v>
      </c>
      <c r="C82" s="87">
        <v>8312</v>
      </c>
      <c r="D82" s="87">
        <v>768</v>
      </c>
      <c r="E82" s="87">
        <v>2438</v>
      </c>
      <c r="F82" s="87">
        <v>4607</v>
      </c>
      <c r="G82" s="87">
        <v>499</v>
      </c>
      <c r="H82" s="87">
        <v>68</v>
      </c>
      <c r="I82" s="87">
        <v>0</v>
      </c>
      <c r="J82" s="87">
        <v>8</v>
      </c>
      <c r="K82" s="87">
        <v>60</v>
      </c>
      <c r="L82" s="87">
        <v>0</v>
      </c>
      <c r="M82" s="87">
        <v>8244</v>
      </c>
      <c r="N82" s="87">
        <v>768</v>
      </c>
      <c r="O82" s="87">
        <v>2430</v>
      </c>
      <c r="P82" s="87">
        <v>4547</v>
      </c>
      <c r="Q82" s="87">
        <v>499</v>
      </c>
    </row>
    <row r="83" spans="1:17" x14ac:dyDescent="0.3">
      <c r="A83" s="95"/>
      <c r="B83" s="52" t="s">
        <v>313</v>
      </c>
      <c r="C83" s="87">
        <v>10159</v>
      </c>
      <c r="D83" s="87">
        <v>890</v>
      </c>
      <c r="E83" s="87">
        <v>2624</v>
      </c>
      <c r="F83" s="87">
        <v>5609</v>
      </c>
      <c r="G83" s="87">
        <v>1036</v>
      </c>
      <c r="H83" s="87">
        <v>186</v>
      </c>
      <c r="I83" s="87">
        <v>14</v>
      </c>
      <c r="J83" s="87">
        <v>20</v>
      </c>
      <c r="K83" s="87">
        <v>141</v>
      </c>
      <c r="L83" s="87">
        <v>11</v>
      </c>
      <c r="M83" s="87">
        <v>9973</v>
      </c>
      <c r="N83" s="87">
        <v>876</v>
      </c>
      <c r="O83" s="87">
        <v>2604</v>
      </c>
      <c r="P83" s="87">
        <v>5468</v>
      </c>
      <c r="Q83" s="87">
        <v>1025</v>
      </c>
    </row>
    <row r="84" spans="1:17" x14ac:dyDescent="0.3">
      <c r="A84" s="95"/>
      <c r="B84" s="52" t="s">
        <v>319</v>
      </c>
      <c r="C84" s="87">
        <v>6902</v>
      </c>
      <c r="D84" s="87">
        <v>575</v>
      </c>
      <c r="E84" s="87">
        <v>1772</v>
      </c>
      <c r="F84" s="87">
        <v>3709</v>
      </c>
      <c r="G84" s="87">
        <v>846</v>
      </c>
      <c r="H84" s="87">
        <v>89</v>
      </c>
      <c r="I84" s="87">
        <v>9</v>
      </c>
      <c r="J84" s="87">
        <v>12</v>
      </c>
      <c r="K84" s="87">
        <v>68</v>
      </c>
      <c r="L84" s="87">
        <v>0</v>
      </c>
      <c r="M84" s="87">
        <v>6813</v>
      </c>
      <c r="N84" s="87">
        <v>566</v>
      </c>
      <c r="O84" s="87">
        <v>1760</v>
      </c>
      <c r="P84" s="87">
        <v>3641</v>
      </c>
      <c r="Q84" s="87">
        <v>846</v>
      </c>
    </row>
    <row r="85" spans="1:17" x14ac:dyDescent="0.3">
      <c r="A85" s="95"/>
      <c r="B85" s="52" t="s">
        <v>340</v>
      </c>
      <c r="C85" s="87">
        <v>7457</v>
      </c>
      <c r="D85" s="87">
        <v>785</v>
      </c>
      <c r="E85" s="87">
        <v>2242</v>
      </c>
      <c r="F85" s="87">
        <v>3903</v>
      </c>
      <c r="G85" s="87">
        <v>527</v>
      </c>
      <c r="H85" s="87">
        <v>101</v>
      </c>
      <c r="I85" s="87">
        <v>4</v>
      </c>
      <c r="J85" s="87">
        <v>22</v>
      </c>
      <c r="K85" s="87">
        <v>75</v>
      </c>
      <c r="L85" s="87">
        <v>0</v>
      </c>
      <c r="M85" s="87">
        <v>7356</v>
      </c>
      <c r="N85" s="87">
        <v>781</v>
      </c>
      <c r="O85" s="87">
        <v>2220</v>
      </c>
      <c r="P85" s="87">
        <v>3828</v>
      </c>
      <c r="Q85" s="87">
        <v>527</v>
      </c>
    </row>
    <row r="86" spans="1:17" x14ac:dyDescent="0.3">
      <c r="A86" s="95"/>
      <c r="B86" s="52" t="s">
        <v>306</v>
      </c>
      <c r="C86" s="87">
        <v>3</v>
      </c>
      <c r="D86" s="87">
        <v>0</v>
      </c>
      <c r="E86" s="87">
        <v>1</v>
      </c>
      <c r="F86" s="87">
        <v>2</v>
      </c>
      <c r="G86" s="87">
        <v>0</v>
      </c>
      <c r="H86" s="87">
        <v>0</v>
      </c>
      <c r="I86" s="87">
        <v>0</v>
      </c>
      <c r="J86" s="87">
        <v>0</v>
      </c>
      <c r="K86" s="87">
        <v>0</v>
      </c>
      <c r="L86" s="87">
        <v>0</v>
      </c>
      <c r="M86" s="87">
        <v>3</v>
      </c>
      <c r="N86" s="87">
        <v>0</v>
      </c>
      <c r="O86" s="87">
        <v>1</v>
      </c>
      <c r="P86" s="87">
        <v>2</v>
      </c>
      <c r="Q86" s="87">
        <v>0</v>
      </c>
    </row>
    <row r="87" spans="1:17" x14ac:dyDescent="0.3">
      <c r="A87" s="95"/>
      <c r="B87" s="52" t="s">
        <v>341</v>
      </c>
      <c r="C87" s="87">
        <v>39242</v>
      </c>
      <c r="D87" s="87">
        <v>3605</v>
      </c>
      <c r="E87" s="87">
        <v>11428</v>
      </c>
      <c r="F87" s="87">
        <v>20900</v>
      </c>
      <c r="G87" s="87">
        <v>3309</v>
      </c>
      <c r="H87" s="87">
        <v>491</v>
      </c>
      <c r="I87" s="87">
        <v>33</v>
      </c>
      <c r="J87" s="87">
        <v>66</v>
      </c>
      <c r="K87" s="87">
        <v>381</v>
      </c>
      <c r="L87" s="87">
        <v>11</v>
      </c>
      <c r="M87" s="87">
        <v>38751</v>
      </c>
      <c r="N87" s="87">
        <v>3572</v>
      </c>
      <c r="O87" s="87">
        <v>11362</v>
      </c>
      <c r="P87" s="87">
        <v>20519</v>
      </c>
      <c r="Q87" s="87">
        <v>3298</v>
      </c>
    </row>
    <row r="88" spans="1:17" x14ac:dyDescent="0.3">
      <c r="A88" s="95"/>
      <c r="B88" s="52" t="s">
        <v>309</v>
      </c>
      <c r="C88" s="87">
        <v>10700</v>
      </c>
      <c r="D88" s="87">
        <v>605</v>
      </c>
      <c r="E88" s="87">
        <v>2581</v>
      </c>
      <c r="F88" s="87">
        <v>6747</v>
      </c>
      <c r="G88" s="87">
        <v>767</v>
      </c>
      <c r="H88" s="87">
        <v>119</v>
      </c>
      <c r="I88" s="87">
        <v>17</v>
      </c>
      <c r="J88" s="87">
        <v>8</v>
      </c>
      <c r="K88" s="87">
        <v>94</v>
      </c>
      <c r="L88" s="87">
        <v>0</v>
      </c>
      <c r="M88" s="87">
        <v>10581</v>
      </c>
      <c r="N88" s="87">
        <v>588</v>
      </c>
      <c r="O88" s="87">
        <v>2573</v>
      </c>
      <c r="P88" s="87">
        <v>6653</v>
      </c>
      <c r="Q88" s="87">
        <v>767</v>
      </c>
    </row>
    <row r="89" spans="1:17" x14ac:dyDescent="0.3">
      <c r="A89" s="95" t="s">
        <v>29</v>
      </c>
      <c r="B89" s="52" t="s">
        <v>312</v>
      </c>
      <c r="C89" s="87">
        <v>25638</v>
      </c>
      <c r="D89" s="87">
        <v>1538</v>
      </c>
      <c r="E89" s="87">
        <v>2525</v>
      </c>
      <c r="F89" s="87">
        <v>21039</v>
      </c>
      <c r="G89" s="87">
        <v>536</v>
      </c>
      <c r="H89" s="87">
        <v>115</v>
      </c>
      <c r="I89" s="87">
        <v>46</v>
      </c>
      <c r="J89" s="87">
        <v>12</v>
      </c>
      <c r="K89" s="87">
        <v>57</v>
      </c>
      <c r="L89" s="87">
        <v>0</v>
      </c>
      <c r="M89" s="87">
        <v>25523</v>
      </c>
      <c r="N89" s="87">
        <v>1492</v>
      </c>
      <c r="O89" s="87">
        <v>2513</v>
      </c>
      <c r="P89" s="87">
        <v>20982</v>
      </c>
      <c r="Q89" s="87">
        <v>536</v>
      </c>
    </row>
    <row r="90" spans="1:17" x14ac:dyDescent="0.3">
      <c r="A90" s="95"/>
      <c r="B90" s="52" t="s">
        <v>313</v>
      </c>
      <c r="C90" s="87">
        <v>10538</v>
      </c>
      <c r="D90" s="87">
        <v>485</v>
      </c>
      <c r="E90" s="87">
        <v>1677</v>
      </c>
      <c r="F90" s="87">
        <v>7588</v>
      </c>
      <c r="G90" s="87">
        <v>788</v>
      </c>
      <c r="H90" s="87">
        <v>21</v>
      </c>
      <c r="I90" s="87">
        <v>2</v>
      </c>
      <c r="J90" s="87">
        <v>10</v>
      </c>
      <c r="K90" s="87">
        <v>9</v>
      </c>
      <c r="L90" s="87">
        <v>0</v>
      </c>
      <c r="M90" s="87">
        <v>10517</v>
      </c>
      <c r="N90" s="87">
        <v>483</v>
      </c>
      <c r="O90" s="87">
        <v>1667</v>
      </c>
      <c r="P90" s="87">
        <v>7579</v>
      </c>
      <c r="Q90" s="87">
        <v>788</v>
      </c>
    </row>
    <row r="91" spans="1:17" x14ac:dyDescent="0.3">
      <c r="A91" s="95"/>
      <c r="B91" s="52" t="s">
        <v>316</v>
      </c>
      <c r="C91" s="87">
        <v>7449</v>
      </c>
      <c r="D91" s="87">
        <v>432</v>
      </c>
      <c r="E91" s="87">
        <v>2187</v>
      </c>
      <c r="F91" s="87">
        <v>4338</v>
      </c>
      <c r="G91" s="87">
        <v>492</v>
      </c>
      <c r="H91" s="87">
        <v>91</v>
      </c>
      <c r="I91" s="87">
        <v>19</v>
      </c>
      <c r="J91" s="87">
        <v>15</v>
      </c>
      <c r="K91" s="87">
        <v>57</v>
      </c>
      <c r="L91" s="87">
        <v>0</v>
      </c>
      <c r="M91" s="87">
        <v>7358</v>
      </c>
      <c r="N91" s="87">
        <v>413</v>
      </c>
      <c r="O91" s="87">
        <v>2172</v>
      </c>
      <c r="P91" s="87">
        <v>4281</v>
      </c>
      <c r="Q91" s="87">
        <v>492</v>
      </c>
    </row>
    <row r="92" spans="1:17" x14ac:dyDescent="0.3">
      <c r="A92" s="95"/>
      <c r="B92" s="52" t="s">
        <v>342</v>
      </c>
      <c r="C92" s="87">
        <v>9861</v>
      </c>
      <c r="D92" s="87">
        <v>575</v>
      </c>
      <c r="E92" s="87">
        <v>2834</v>
      </c>
      <c r="F92" s="87">
        <v>5784</v>
      </c>
      <c r="G92" s="87">
        <v>668</v>
      </c>
      <c r="H92" s="87">
        <v>122</v>
      </c>
      <c r="I92" s="87">
        <v>15</v>
      </c>
      <c r="J92" s="87">
        <v>1</v>
      </c>
      <c r="K92" s="87">
        <v>95</v>
      </c>
      <c r="L92" s="87">
        <v>11</v>
      </c>
      <c r="M92" s="87">
        <v>9739</v>
      </c>
      <c r="N92" s="87">
        <v>560</v>
      </c>
      <c r="O92" s="87">
        <v>2833</v>
      </c>
      <c r="P92" s="87">
        <v>5689</v>
      </c>
      <c r="Q92" s="87">
        <v>657</v>
      </c>
    </row>
    <row r="93" spans="1:17" x14ac:dyDescent="0.3">
      <c r="A93" s="95"/>
      <c r="B93" s="52" t="s">
        <v>306</v>
      </c>
      <c r="C93" s="87">
        <v>313</v>
      </c>
      <c r="D93" s="87">
        <v>0</v>
      </c>
      <c r="E93" s="87">
        <v>250</v>
      </c>
      <c r="F93" s="87">
        <v>63</v>
      </c>
      <c r="G93" s="87">
        <v>0</v>
      </c>
      <c r="H93" s="87">
        <v>3</v>
      </c>
      <c r="I93" s="87">
        <v>0</v>
      </c>
      <c r="J93" s="87">
        <v>3</v>
      </c>
      <c r="K93" s="87">
        <v>0</v>
      </c>
      <c r="L93" s="87">
        <v>0</v>
      </c>
      <c r="M93" s="87">
        <v>310</v>
      </c>
      <c r="N93" s="87">
        <v>0</v>
      </c>
      <c r="O93" s="87">
        <v>247</v>
      </c>
      <c r="P93" s="87">
        <v>63</v>
      </c>
      <c r="Q93" s="87">
        <v>0</v>
      </c>
    </row>
    <row r="94" spans="1:17" x14ac:dyDescent="0.3">
      <c r="A94" s="95"/>
      <c r="B94" s="52" t="s">
        <v>343</v>
      </c>
      <c r="C94" s="87">
        <v>64499</v>
      </c>
      <c r="D94" s="87">
        <v>3635</v>
      </c>
      <c r="E94" s="87">
        <v>12054</v>
      </c>
      <c r="F94" s="87">
        <v>45559</v>
      </c>
      <c r="G94" s="87">
        <v>3251</v>
      </c>
      <c r="H94" s="87">
        <v>471</v>
      </c>
      <c r="I94" s="87">
        <v>99</v>
      </c>
      <c r="J94" s="87">
        <v>49</v>
      </c>
      <c r="K94" s="87">
        <v>312</v>
      </c>
      <c r="L94" s="87">
        <v>11</v>
      </c>
      <c r="M94" s="87">
        <v>64028</v>
      </c>
      <c r="N94" s="87">
        <v>3536</v>
      </c>
      <c r="O94" s="87">
        <v>12005</v>
      </c>
      <c r="P94" s="87">
        <v>45247</v>
      </c>
      <c r="Q94" s="87">
        <v>3240</v>
      </c>
    </row>
    <row r="95" spans="1:17" x14ac:dyDescent="0.3">
      <c r="A95" s="95"/>
      <c r="B95" s="52" t="s">
        <v>309</v>
      </c>
      <c r="C95" s="87">
        <v>11667</v>
      </c>
      <c r="D95" s="87">
        <v>776</v>
      </c>
      <c r="E95" s="87">
        <v>5323</v>
      </c>
      <c r="F95" s="87">
        <v>4847</v>
      </c>
      <c r="G95" s="87">
        <v>721</v>
      </c>
      <c r="H95" s="87">
        <v>128</v>
      </c>
      <c r="I95" s="87">
        <v>7</v>
      </c>
      <c r="J95" s="87">
        <v>10</v>
      </c>
      <c r="K95" s="87">
        <v>105</v>
      </c>
      <c r="L95" s="87">
        <v>6</v>
      </c>
      <c r="M95" s="87">
        <v>11539</v>
      </c>
      <c r="N95" s="87">
        <v>769</v>
      </c>
      <c r="O95" s="87">
        <v>5313</v>
      </c>
      <c r="P95" s="87">
        <v>4742</v>
      </c>
      <c r="Q95" s="87">
        <v>715</v>
      </c>
    </row>
    <row r="96" spans="1:17" x14ac:dyDescent="0.3">
      <c r="A96" s="95" t="s">
        <v>344</v>
      </c>
      <c r="B96" s="52" t="s">
        <v>345</v>
      </c>
      <c r="C96" s="87">
        <v>0</v>
      </c>
      <c r="D96" s="87">
        <v>0</v>
      </c>
      <c r="E96" s="87">
        <v>0</v>
      </c>
      <c r="F96" s="87">
        <v>0</v>
      </c>
      <c r="G96" s="87">
        <v>0</v>
      </c>
      <c r="H96" s="87">
        <v>0</v>
      </c>
      <c r="I96" s="87">
        <v>0</v>
      </c>
      <c r="J96" s="87">
        <v>0</v>
      </c>
      <c r="K96" s="87">
        <v>0</v>
      </c>
      <c r="L96" s="87">
        <v>0</v>
      </c>
      <c r="M96" s="87">
        <v>0</v>
      </c>
      <c r="N96" s="87">
        <v>0</v>
      </c>
      <c r="O96" s="87">
        <v>0</v>
      </c>
      <c r="P96" s="87">
        <v>0</v>
      </c>
      <c r="Q96" s="87">
        <v>0</v>
      </c>
    </row>
    <row r="97" spans="1:17" x14ac:dyDescent="0.3">
      <c r="A97" s="95"/>
      <c r="B97" s="52" t="s">
        <v>346</v>
      </c>
      <c r="C97" s="87">
        <v>11667</v>
      </c>
      <c r="D97" s="87">
        <v>776</v>
      </c>
      <c r="E97" s="87">
        <v>5323</v>
      </c>
      <c r="F97" s="87">
        <v>4847</v>
      </c>
      <c r="G97" s="87">
        <v>721</v>
      </c>
      <c r="H97" s="87">
        <v>128</v>
      </c>
      <c r="I97" s="87">
        <v>7</v>
      </c>
      <c r="J97" s="87">
        <v>10</v>
      </c>
      <c r="K97" s="87">
        <v>105</v>
      </c>
      <c r="L97" s="87">
        <v>6</v>
      </c>
      <c r="M97" s="87">
        <v>11539</v>
      </c>
      <c r="N97" s="87">
        <v>769</v>
      </c>
      <c r="O97" s="87">
        <v>5313</v>
      </c>
      <c r="P97" s="87">
        <v>4742</v>
      </c>
      <c r="Q97" s="87">
        <v>715</v>
      </c>
    </row>
    <row r="98" spans="1:17" x14ac:dyDescent="0.3">
      <c r="A98" s="95"/>
      <c r="B98" s="52" t="s">
        <v>309</v>
      </c>
      <c r="C98" s="87">
        <v>3794</v>
      </c>
      <c r="D98" s="87">
        <v>322</v>
      </c>
      <c r="E98" s="87">
        <v>1380</v>
      </c>
      <c r="F98" s="87">
        <v>1904</v>
      </c>
      <c r="G98" s="87">
        <v>188</v>
      </c>
      <c r="H98" s="87">
        <v>68</v>
      </c>
      <c r="I98" s="87">
        <v>6</v>
      </c>
      <c r="J98" s="87">
        <v>4</v>
      </c>
      <c r="K98" s="87">
        <v>57</v>
      </c>
      <c r="L98" s="87">
        <v>1</v>
      </c>
      <c r="M98" s="87">
        <v>3726</v>
      </c>
      <c r="N98" s="87">
        <v>316</v>
      </c>
      <c r="O98" s="87">
        <v>1376</v>
      </c>
      <c r="P98" s="87">
        <v>1847</v>
      </c>
      <c r="Q98" s="87">
        <v>187</v>
      </c>
    </row>
    <row r="99" spans="1:17" x14ac:dyDescent="0.3">
      <c r="A99" s="95" t="s">
        <v>31</v>
      </c>
      <c r="B99" s="52" t="s">
        <v>347</v>
      </c>
      <c r="C99" s="87">
        <v>2</v>
      </c>
      <c r="D99" s="87">
        <v>0</v>
      </c>
      <c r="E99" s="87">
        <v>1</v>
      </c>
      <c r="F99" s="87">
        <v>1</v>
      </c>
      <c r="G99" s="87">
        <v>0</v>
      </c>
      <c r="H99" s="87">
        <v>0</v>
      </c>
      <c r="I99" s="87">
        <v>0</v>
      </c>
      <c r="J99" s="87">
        <v>0</v>
      </c>
      <c r="K99" s="87">
        <v>0</v>
      </c>
      <c r="L99" s="87">
        <v>0</v>
      </c>
      <c r="M99" s="87">
        <v>2</v>
      </c>
      <c r="N99" s="87">
        <v>0</v>
      </c>
      <c r="O99" s="87">
        <v>1</v>
      </c>
      <c r="P99" s="87">
        <v>1</v>
      </c>
      <c r="Q99" s="87">
        <v>0</v>
      </c>
    </row>
    <row r="100" spans="1:17" x14ac:dyDescent="0.3">
      <c r="A100" s="95"/>
      <c r="B100" s="52" t="s">
        <v>348</v>
      </c>
      <c r="C100" s="87">
        <v>16315</v>
      </c>
      <c r="D100" s="87">
        <v>711</v>
      </c>
      <c r="E100" s="87">
        <v>4436</v>
      </c>
      <c r="F100" s="87">
        <v>9713</v>
      </c>
      <c r="G100" s="87">
        <v>1455</v>
      </c>
      <c r="H100" s="87">
        <v>153</v>
      </c>
      <c r="I100" s="87">
        <v>22</v>
      </c>
      <c r="J100" s="87">
        <v>6</v>
      </c>
      <c r="K100" s="87">
        <v>123</v>
      </c>
      <c r="L100" s="87">
        <v>2</v>
      </c>
      <c r="M100" s="87">
        <v>16162</v>
      </c>
      <c r="N100" s="87">
        <v>689</v>
      </c>
      <c r="O100" s="87">
        <v>4430</v>
      </c>
      <c r="P100" s="87">
        <v>9590</v>
      </c>
      <c r="Q100" s="87">
        <v>1453</v>
      </c>
    </row>
    <row r="101" spans="1:17" x14ac:dyDescent="0.3">
      <c r="A101" s="95"/>
      <c r="B101" s="52" t="s">
        <v>349</v>
      </c>
      <c r="C101" s="87">
        <v>11</v>
      </c>
      <c r="D101" s="87">
        <v>0</v>
      </c>
      <c r="E101" s="87">
        <v>6</v>
      </c>
      <c r="F101" s="87">
        <v>5</v>
      </c>
      <c r="G101" s="87">
        <v>0</v>
      </c>
      <c r="H101" s="87">
        <v>0</v>
      </c>
      <c r="I101" s="87">
        <v>0</v>
      </c>
      <c r="J101" s="87">
        <v>0</v>
      </c>
      <c r="K101" s="87">
        <v>0</v>
      </c>
      <c r="L101" s="87">
        <v>0</v>
      </c>
      <c r="M101" s="87">
        <v>11</v>
      </c>
      <c r="N101" s="87">
        <v>0</v>
      </c>
      <c r="O101" s="87">
        <v>6</v>
      </c>
      <c r="P101" s="87">
        <v>5</v>
      </c>
      <c r="Q101" s="87">
        <v>0</v>
      </c>
    </row>
    <row r="102" spans="1:17" x14ac:dyDescent="0.3">
      <c r="A102" s="95"/>
      <c r="B102" s="52" t="s">
        <v>350</v>
      </c>
      <c r="C102" s="87">
        <v>6051</v>
      </c>
      <c r="D102" s="87">
        <v>374</v>
      </c>
      <c r="E102" s="87">
        <v>1508</v>
      </c>
      <c r="F102" s="87">
        <v>3401</v>
      </c>
      <c r="G102" s="87">
        <v>768</v>
      </c>
      <c r="H102" s="87">
        <v>128</v>
      </c>
      <c r="I102" s="87">
        <v>0</v>
      </c>
      <c r="J102" s="87">
        <v>6</v>
      </c>
      <c r="K102" s="87">
        <v>121</v>
      </c>
      <c r="L102" s="87">
        <v>1</v>
      </c>
      <c r="M102" s="87">
        <v>5923</v>
      </c>
      <c r="N102" s="87">
        <v>374</v>
      </c>
      <c r="O102" s="87">
        <v>1502</v>
      </c>
      <c r="P102" s="87">
        <v>3280</v>
      </c>
      <c r="Q102" s="87">
        <v>767</v>
      </c>
    </row>
    <row r="103" spans="1:17" x14ac:dyDescent="0.3">
      <c r="A103" s="95"/>
      <c r="B103" s="52" t="s">
        <v>351</v>
      </c>
      <c r="C103" s="87">
        <v>5351</v>
      </c>
      <c r="D103" s="87">
        <v>256</v>
      </c>
      <c r="E103" s="87">
        <v>1415</v>
      </c>
      <c r="F103" s="87">
        <v>3046</v>
      </c>
      <c r="G103" s="87">
        <v>634</v>
      </c>
      <c r="H103" s="87">
        <v>8</v>
      </c>
      <c r="I103" s="87">
        <v>0</v>
      </c>
      <c r="J103" s="87">
        <v>1</v>
      </c>
      <c r="K103" s="87">
        <v>6</v>
      </c>
      <c r="L103" s="87">
        <v>1</v>
      </c>
      <c r="M103" s="87">
        <v>5343</v>
      </c>
      <c r="N103" s="87">
        <v>256</v>
      </c>
      <c r="O103" s="87">
        <v>1414</v>
      </c>
      <c r="P103" s="87">
        <v>3040</v>
      </c>
      <c r="Q103" s="87">
        <v>633</v>
      </c>
    </row>
    <row r="104" spans="1:17" x14ac:dyDescent="0.3">
      <c r="A104" s="95"/>
      <c r="B104" s="52" t="s">
        <v>352</v>
      </c>
      <c r="C104" s="87">
        <v>1148</v>
      </c>
      <c r="D104" s="87">
        <v>115</v>
      </c>
      <c r="E104" s="87">
        <v>249</v>
      </c>
      <c r="F104" s="87">
        <v>621</v>
      </c>
      <c r="G104" s="87">
        <v>163</v>
      </c>
      <c r="H104" s="87">
        <v>29</v>
      </c>
      <c r="I104" s="87">
        <v>17</v>
      </c>
      <c r="J104" s="87">
        <v>1</v>
      </c>
      <c r="K104" s="87">
        <v>10</v>
      </c>
      <c r="L104" s="87">
        <v>1</v>
      </c>
      <c r="M104" s="87">
        <v>1119</v>
      </c>
      <c r="N104" s="87">
        <v>98</v>
      </c>
      <c r="O104" s="87">
        <v>248</v>
      </c>
      <c r="P104" s="87">
        <v>611</v>
      </c>
      <c r="Q104" s="87">
        <v>162</v>
      </c>
    </row>
    <row r="105" spans="1:17" x14ac:dyDescent="0.3">
      <c r="A105" s="95"/>
      <c r="B105" s="52" t="s">
        <v>353</v>
      </c>
      <c r="C105" s="87">
        <v>10816</v>
      </c>
      <c r="D105" s="87">
        <v>439</v>
      </c>
      <c r="E105" s="87">
        <v>3588</v>
      </c>
      <c r="F105" s="87">
        <v>6138</v>
      </c>
      <c r="G105" s="87">
        <v>651</v>
      </c>
      <c r="H105" s="87">
        <v>108</v>
      </c>
      <c r="I105" s="87">
        <v>4</v>
      </c>
      <c r="J105" s="87">
        <v>25</v>
      </c>
      <c r="K105" s="87">
        <v>77</v>
      </c>
      <c r="L105" s="87">
        <v>2</v>
      </c>
      <c r="M105" s="87">
        <v>10708</v>
      </c>
      <c r="N105" s="87">
        <v>435</v>
      </c>
      <c r="O105" s="87">
        <v>3563</v>
      </c>
      <c r="P105" s="87">
        <v>6061</v>
      </c>
      <c r="Q105" s="87">
        <v>649</v>
      </c>
    </row>
    <row r="106" spans="1:17" x14ac:dyDescent="0.3">
      <c r="A106" s="95"/>
      <c r="B106" s="52" t="s">
        <v>354</v>
      </c>
      <c r="C106" s="87">
        <v>13429</v>
      </c>
      <c r="D106" s="87">
        <v>564</v>
      </c>
      <c r="E106" s="87">
        <v>4757</v>
      </c>
      <c r="F106" s="87">
        <v>6810</v>
      </c>
      <c r="G106" s="87">
        <v>1298</v>
      </c>
      <c r="H106" s="87">
        <v>112</v>
      </c>
      <c r="I106" s="87">
        <v>2</v>
      </c>
      <c r="J106" s="87">
        <v>8</v>
      </c>
      <c r="K106" s="87">
        <v>98</v>
      </c>
      <c r="L106" s="87">
        <v>4</v>
      </c>
      <c r="M106" s="87">
        <v>13317</v>
      </c>
      <c r="N106" s="87">
        <v>562</v>
      </c>
      <c r="O106" s="87">
        <v>4749</v>
      </c>
      <c r="P106" s="87">
        <v>6712</v>
      </c>
      <c r="Q106" s="87">
        <v>1294</v>
      </c>
    </row>
    <row r="107" spans="1:17" x14ac:dyDescent="0.3">
      <c r="A107" s="95"/>
      <c r="B107" s="52" t="s">
        <v>355</v>
      </c>
      <c r="C107" s="87">
        <v>7338</v>
      </c>
      <c r="D107" s="87">
        <v>326</v>
      </c>
      <c r="E107" s="87">
        <v>2236</v>
      </c>
      <c r="F107" s="87">
        <v>4237</v>
      </c>
      <c r="G107" s="87">
        <v>539</v>
      </c>
      <c r="H107" s="87">
        <v>105</v>
      </c>
      <c r="I107" s="87">
        <v>7</v>
      </c>
      <c r="J107" s="87">
        <v>27</v>
      </c>
      <c r="K107" s="87">
        <v>68</v>
      </c>
      <c r="L107" s="87">
        <v>3</v>
      </c>
      <c r="M107" s="87">
        <v>7233</v>
      </c>
      <c r="N107" s="87">
        <v>319</v>
      </c>
      <c r="O107" s="87">
        <v>2209</v>
      </c>
      <c r="P107" s="87">
        <v>4169</v>
      </c>
      <c r="Q107" s="87">
        <v>536</v>
      </c>
    </row>
    <row r="108" spans="1:17" x14ac:dyDescent="0.3">
      <c r="A108" s="95"/>
      <c r="B108" s="52" t="s">
        <v>356</v>
      </c>
      <c r="C108" s="87">
        <v>5337</v>
      </c>
      <c r="D108" s="87">
        <v>268</v>
      </c>
      <c r="E108" s="87">
        <v>1474</v>
      </c>
      <c r="F108" s="87">
        <v>3146</v>
      </c>
      <c r="G108" s="87">
        <v>449</v>
      </c>
      <c r="H108" s="87">
        <v>107</v>
      </c>
      <c r="I108" s="87">
        <v>0</v>
      </c>
      <c r="J108" s="87">
        <v>16</v>
      </c>
      <c r="K108" s="87">
        <v>89</v>
      </c>
      <c r="L108" s="87">
        <v>2</v>
      </c>
      <c r="M108" s="87">
        <v>5230</v>
      </c>
      <c r="N108" s="87">
        <v>268</v>
      </c>
      <c r="O108" s="87">
        <v>1458</v>
      </c>
      <c r="P108" s="87">
        <v>3057</v>
      </c>
      <c r="Q108" s="87">
        <v>447</v>
      </c>
    </row>
    <row r="109" spans="1:17" x14ac:dyDescent="0.3">
      <c r="A109" s="95"/>
      <c r="B109" s="52" t="s">
        <v>357</v>
      </c>
      <c r="C109" s="87">
        <v>26</v>
      </c>
      <c r="D109" s="87">
        <v>0</v>
      </c>
      <c r="E109" s="87">
        <v>22</v>
      </c>
      <c r="F109" s="87">
        <v>0</v>
      </c>
      <c r="G109" s="87">
        <v>4</v>
      </c>
      <c r="H109" s="87">
        <v>0</v>
      </c>
      <c r="I109" s="87">
        <v>0</v>
      </c>
      <c r="J109" s="87">
        <v>0</v>
      </c>
      <c r="K109" s="87">
        <v>0</v>
      </c>
      <c r="L109" s="87">
        <v>0</v>
      </c>
      <c r="M109" s="87">
        <v>26</v>
      </c>
      <c r="N109" s="87">
        <v>0</v>
      </c>
      <c r="O109" s="87">
        <v>22</v>
      </c>
      <c r="P109" s="87">
        <v>0</v>
      </c>
      <c r="Q109" s="87">
        <v>4</v>
      </c>
    </row>
    <row r="110" spans="1:17" x14ac:dyDescent="0.3">
      <c r="A110" s="95"/>
      <c r="B110" s="52" t="s">
        <v>358</v>
      </c>
      <c r="C110" s="87">
        <v>15903</v>
      </c>
      <c r="D110" s="87">
        <v>700</v>
      </c>
      <c r="E110" s="87">
        <v>7098</v>
      </c>
      <c r="F110" s="87">
        <v>6841</v>
      </c>
      <c r="G110" s="87">
        <v>1264</v>
      </c>
      <c r="H110" s="87">
        <v>142</v>
      </c>
      <c r="I110" s="87">
        <v>4</v>
      </c>
      <c r="J110" s="87">
        <v>18</v>
      </c>
      <c r="K110" s="87">
        <v>118</v>
      </c>
      <c r="L110" s="87">
        <v>2</v>
      </c>
      <c r="M110" s="87">
        <v>15761</v>
      </c>
      <c r="N110" s="87">
        <v>696</v>
      </c>
      <c r="O110" s="87">
        <v>7080</v>
      </c>
      <c r="P110" s="87">
        <v>6723</v>
      </c>
      <c r="Q110" s="87">
        <v>1262</v>
      </c>
    </row>
    <row r="111" spans="1:17" x14ac:dyDescent="0.3">
      <c r="A111" s="95"/>
      <c r="B111" s="52" t="s">
        <v>359</v>
      </c>
      <c r="C111" s="87">
        <v>20197</v>
      </c>
      <c r="D111" s="87">
        <v>770</v>
      </c>
      <c r="E111" s="87">
        <v>5973</v>
      </c>
      <c r="F111" s="87">
        <v>11409</v>
      </c>
      <c r="G111" s="87">
        <v>2045</v>
      </c>
      <c r="H111" s="87">
        <v>180</v>
      </c>
      <c r="I111" s="87">
        <v>14</v>
      </c>
      <c r="J111" s="87">
        <v>18</v>
      </c>
      <c r="K111" s="87">
        <v>145</v>
      </c>
      <c r="L111" s="87">
        <v>3</v>
      </c>
      <c r="M111" s="87">
        <v>20017</v>
      </c>
      <c r="N111" s="87">
        <v>756</v>
      </c>
      <c r="O111" s="87">
        <v>5955</v>
      </c>
      <c r="P111" s="87">
        <v>11264</v>
      </c>
      <c r="Q111" s="87">
        <v>2042</v>
      </c>
    </row>
    <row r="112" spans="1:17" x14ac:dyDescent="0.3">
      <c r="A112" s="95"/>
      <c r="B112" s="52" t="s">
        <v>360</v>
      </c>
      <c r="C112" s="87">
        <v>5782</v>
      </c>
      <c r="D112" s="87">
        <v>188</v>
      </c>
      <c r="E112" s="87">
        <v>3609</v>
      </c>
      <c r="F112" s="87">
        <v>1735</v>
      </c>
      <c r="G112" s="87">
        <v>250</v>
      </c>
      <c r="H112" s="87">
        <v>91</v>
      </c>
      <c r="I112" s="87">
        <v>0</v>
      </c>
      <c r="J112" s="87">
        <v>37</v>
      </c>
      <c r="K112" s="87">
        <v>53</v>
      </c>
      <c r="L112" s="87">
        <v>1</v>
      </c>
      <c r="M112" s="87">
        <v>5691</v>
      </c>
      <c r="N112" s="87">
        <v>188</v>
      </c>
      <c r="O112" s="87">
        <v>3572</v>
      </c>
      <c r="P112" s="87">
        <v>1682</v>
      </c>
      <c r="Q112" s="87">
        <v>249</v>
      </c>
    </row>
    <row r="113" spans="1:17" x14ac:dyDescent="0.3">
      <c r="A113" s="95"/>
      <c r="B113" s="52" t="s">
        <v>361</v>
      </c>
      <c r="C113" s="87">
        <v>25333</v>
      </c>
      <c r="D113" s="87">
        <v>1136</v>
      </c>
      <c r="E113" s="87">
        <v>7510</v>
      </c>
      <c r="F113" s="87">
        <v>14947</v>
      </c>
      <c r="G113" s="87">
        <v>1740</v>
      </c>
      <c r="H113" s="87">
        <v>227</v>
      </c>
      <c r="I113" s="87">
        <v>1</v>
      </c>
      <c r="J113" s="87">
        <v>29</v>
      </c>
      <c r="K113" s="87">
        <v>189</v>
      </c>
      <c r="L113" s="87">
        <v>8</v>
      </c>
      <c r="M113" s="87">
        <v>25106</v>
      </c>
      <c r="N113" s="87">
        <v>1135</v>
      </c>
      <c r="O113" s="87">
        <v>7481</v>
      </c>
      <c r="P113" s="87">
        <v>14758</v>
      </c>
      <c r="Q113" s="87">
        <v>1732</v>
      </c>
    </row>
    <row r="114" spans="1:17" x14ac:dyDescent="0.3">
      <c r="A114" s="95"/>
      <c r="B114" s="52" t="s">
        <v>362</v>
      </c>
      <c r="C114" s="87">
        <v>512</v>
      </c>
      <c r="D114" s="87">
        <v>0</v>
      </c>
      <c r="E114" s="87">
        <v>333</v>
      </c>
      <c r="F114" s="87">
        <v>179</v>
      </c>
      <c r="G114" s="87">
        <v>0</v>
      </c>
      <c r="H114" s="87">
        <v>0</v>
      </c>
      <c r="I114" s="87">
        <v>0</v>
      </c>
      <c r="J114" s="87">
        <v>0</v>
      </c>
      <c r="K114" s="87">
        <v>0</v>
      </c>
      <c r="L114" s="87">
        <v>0</v>
      </c>
      <c r="M114" s="87">
        <v>512</v>
      </c>
      <c r="N114" s="87">
        <v>0</v>
      </c>
      <c r="O114" s="87">
        <v>333</v>
      </c>
      <c r="P114" s="87">
        <v>179</v>
      </c>
      <c r="Q114" s="87">
        <v>0</v>
      </c>
    </row>
    <row r="115" spans="1:17" x14ac:dyDescent="0.3">
      <c r="A115" s="95"/>
      <c r="B115" s="52" t="s">
        <v>363</v>
      </c>
      <c r="C115" s="87">
        <v>444</v>
      </c>
      <c r="D115" s="87">
        <v>0</v>
      </c>
      <c r="E115" s="87">
        <v>269</v>
      </c>
      <c r="F115" s="87">
        <v>175</v>
      </c>
      <c r="G115" s="87">
        <v>0</v>
      </c>
      <c r="H115" s="87">
        <v>2</v>
      </c>
      <c r="I115" s="87">
        <v>0</v>
      </c>
      <c r="J115" s="87">
        <v>2</v>
      </c>
      <c r="K115" s="87">
        <v>0</v>
      </c>
      <c r="L115" s="87">
        <v>0</v>
      </c>
      <c r="M115" s="87">
        <v>442</v>
      </c>
      <c r="N115" s="87">
        <v>0</v>
      </c>
      <c r="O115" s="87">
        <v>267</v>
      </c>
      <c r="P115" s="87">
        <v>175</v>
      </c>
      <c r="Q115" s="87">
        <v>0</v>
      </c>
    </row>
    <row r="116" spans="1:17" x14ac:dyDescent="0.3">
      <c r="A116" s="95"/>
      <c r="B116" s="52" t="s">
        <v>364</v>
      </c>
      <c r="C116" s="87">
        <v>1365</v>
      </c>
      <c r="D116" s="87">
        <v>0</v>
      </c>
      <c r="E116" s="87">
        <v>869</v>
      </c>
      <c r="F116" s="87">
        <v>495</v>
      </c>
      <c r="G116" s="87">
        <v>1</v>
      </c>
      <c r="H116" s="87">
        <v>9</v>
      </c>
      <c r="I116" s="87">
        <v>0</v>
      </c>
      <c r="J116" s="87">
        <v>7</v>
      </c>
      <c r="K116" s="87">
        <v>2</v>
      </c>
      <c r="L116" s="87">
        <v>0</v>
      </c>
      <c r="M116" s="87">
        <v>1356</v>
      </c>
      <c r="N116" s="87">
        <v>0</v>
      </c>
      <c r="O116" s="87">
        <v>862</v>
      </c>
      <c r="P116" s="87">
        <v>493</v>
      </c>
      <c r="Q116" s="87">
        <v>1</v>
      </c>
    </row>
    <row r="117" spans="1:17" x14ac:dyDescent="0.3">
      <c r="A117" s="95"/>
      <c r="B117" s="52" t="s">
        <v>365</v>
      </c>
      <c r="C117" s="87">
        <v>5544</v>
      </c>
      <c r="D117" s="87">
        <v>255</v>
      </c>
      <c r="E117" s="87">
        <v>1435</v>
      </c>
      <c r="F117" s="87">
        <v>2896</v>
      </c>
      <c r="G117" s="87">
        <v>958</v>
      </c>
      <c r="H117" s="87">
        <v>122</v>
      </c>
      <c r="I117" s="87">
        <v>0</v>
      </c>
      <c r="J117" s="87">
        <v>12</v>
      </c>
      <c r="K117" s="87">
        <v>104</v>
      </c>
      <c r="L117" s="87">
        <v>6</v>
      </c>
      <c r="M117" s="87">
        <v>5422</v>
      </c>
      <c r="N117" s="87">
        <v>255</v>
      </c>
      <c r="O117" s="87">
        <v>1423</v>
      </c>
      <c r="P117" s="87">
        <v>2792</v>
      </c>
      <c r="Q117" s="87">
        <v>952</v>
      </c>
    </row>
    <row r="118" spans="1:17" x14ac:dyDescent="0.3">
      <c r="A118" s="95"/>
      <c r="B118" s="52" t="s">
        <v>366</v>
      </c>
      <c r="C118" s="87">
        <v>10628</v>
      </c>
      <c r="D118" s="87">
        <v>302</v>
      </c>
      <c r="E118" s="87">
        <v>3895</v>
      </c>
      <c r="F118" s="87">
        <v>5803</v>
      </c>
      <c r="G118" s="87">
        <v>628</v>
      </c>
      <c r="H118" s="87">
        <v>139</v>
      </c>
      <c r="I118" s="87">
        <v>1</v>
      </c>
      <c r="J118" s="87">
        <v>22</v>
      </c>
      <c r="K118" s="87">
        <v>116</v>
      </c>
      <c r="L118" s="87">
        <v>0</v>
      </c>
      <c r="M118" s="87">
        <v>10489</v>
      </c>
      <c r="N118" s="87">
        <v>301</v>
      </c>
      <c r="O118" s="87">
        <v>3873</v>
      </c>
      <c r="P118" s="87">
        <v>5687</v>
      </c>
      <c r="Q118" s="87">
        <v>628</v>
      </c>
    </row>
    <row r="119" spans="1:17" x14ac:dyDescent="0.3">
      <c r="A119" s="95"/>
      <c r="B119" s="52" t="s">
        <v>367</v>
      </c>
      <c r="C119" s="87">
        <v>10691</v>
      </c>
      <c r="D119" s="87">
        <v>258</v>
      </c>
      <c r="E119" s="87">
        <v>4010</v>
      </c>
      <c r="F119" s="87">
        <v>5881</v>
      </c>
      <c r="G119" s="87">
        <v>542</v>
      </c>
      <c r="H119" s="87">
        <v>19</v>
      </c>
      <c r="I119" s="87">
        <v>1</v>
      </c>
      <c r="J119" s="87">
        <v>15</v>
      </c>
      <c r="K119" s="87">
        <v>3</v>
      </c>
      <c r="L119" s="87">
        <v>0</v>
      </c>
      <c r="M119" s="87">
        <v>10672</v>
      </c>
      <c r="N119" s="87">
        <v>257</v>
      </c>
      <c r="O119" s="87">
        <v>3995</v>
      </c>
      <c r="P119" s="87">
        <v>5878</v>
      </c>
      <c r="Q119" s="87">
        <v>542</v>
      </c>
    </row>
    <row r="120" spans="1:17" x14ac:dyDescent="0.3">
      <c r="A120" s="95"/>
      <c r="B120" s="52" t="s">
        <v>368</v>
      </c>
      <c r="C120" s="87">
        <v>2</v>
      </c>
      <c r="D120" s="87">
        <v>0</v>
      </c>
      <c r="E120" s="87">
        <v>2</v>
      </c>
      <c r="F120" s="87">
        <v>0</v>
      </c>
      <c r="G120" s="87">
        <v>0</v>
      </c>
      <c r="H120" s="87">
        <v>0</v>
      </c>
      <c r="I120" s="87">
        <v>0</v>
      </c>
      <c r="J120" s="87">
        <v>0</v>
      </c>
      <c r="K120" s="87">
        <v>0</v>
      </c>
      <c r="L120" s="87">
        <v>0</v>
      </c>
      <c r="M120" s="87">
        <v>2</v>
      </c>
      <c r="N120" s="87">
        <v>0</v>
      </c>
      <c r="O120" s="87">
        <v>2</v>
      </c>
      <c r="P120" s="87">
        <v>0</v>
      </c>
      <c r="Q120" s="87">
        <v>0</v>
      </c>
    </row>
    <row r="121" spans="1:17" x14ac:dyDescent="0.3">
      <c r="A121" s="95"/>
      <c r="B121" s="52" t="s">
        <v>369</v>
      </c>
      <c r="C121" s="87">
        <v>9091</v>
      </c>
      <c r="D121" s="87">
        <v>498</v>
      </c>
      <c r="E121" s="87">
        <v>2522</v>
      </c>
      <c r="F121" s="87">
        <v>5207</v>
      </c>
      <c r="G121" s="87">
        <v>864</v>
      </c>
      <c r="H121" s="87">
        <v>68</v>
      </c>
      <c r="I121" s="87">
        <v>3</v>
      </c>
      <c r="J121" s="87">
        <v>8</v>
      </c>
      <c r="K121" s="87">
        <v>55</v>
      </c>
      <c r="L121" s="87">
        <v>2</v>
      </c>
      <c r="M121" s="87">
        <v>9023</v>
      </c>
      <c r="N121" s="87">
        <v>495</v>
      </c>
      <c r="O121" s="87">
        <v>2514</v>
      </c>
      <c r="P121" s="87">
        <v>5152</v>
      </c>
      <c r="Q121" s="87">
        <v>862</v>
      </c>
    </row>
    <row r="122" spans="1:17" x14ac:dyDescent="0.3">
      <c r="A122" s="95"/>
      <c r="B122" s="52" t="s">
        <v>370</v>
      </c>
      <c r="C122" s="87">
        <v>5147</v>
      </c>
      <c r="D122" s="87">
        <v>255</v>
      </c>
      <c r="E122" s="87">
        <v>1423</v>
      </c>
      <c r="F122" s="87">
        <v>2796</v>
      </c>
      <c r="G122" s="87">
        <v>673</v>
      </c>
      <c r="H122" s="87">
        <v>38</v>
      </c>
      <c r="I122" s="87">
        <v>3</v>
      </c>
      <c r="J122" s="87">
        <v>22</v>
      </c>
      <c r="K122" s="87">
        <v>10</v>
      </c>
      <c r="L122" s="87">
        <v>3</v>
      </c>
      <c r="M122" s="87">
        <v>5109</v>
      </c>
      <c r="N122" s="87">
        <v>252</v>
      </c>
      <c r="O122" s="87">
        <v>1401</v>
      </c>
      <c r="P122" s="87">
        <v>2786</v>
      </c>
      <c r="Q122" s="87">
        <v>670</v>
      </c>
    </row>
    <row r="123" spans="1:17" x14ac:dyDescent="0.3">
      <c r="A123" s="95"/>
      <c r="B123" s="52" t="s">
        <v>371</v>
      </c>
      <c r="C123" s="87">
        <v>6434</v>
      </c>
      <c r="D123" s="87">
        <v>315</v>
      </c>
      <c r="E123" s="87">
        <v>1928</v>
      </c>
      <c r="F123" s="87">
        <v>3680</v>
      </c>
      <c r="G123" s="87">
        <v>511</v>
      </c>
      <c r="H123" s="87">
        <v>127</v>
      </c>
      <c r="I123" s="87">
        <v>3</v>
      </c>
      <c r="J123" s="87">
        <v>6</v>
      </c>
      <c r="K123" s="87">
        <v>105</v>
      </c>
      <c r="L123" s="87">
        <v>13</v>
      </c>
      <c r="M123" s="87">
        <v>6307</v>
      </c>
      <c r="N123" s="87">
        <v>312</v>
      </c>
      <c r="O123" s="87">
        <v>1922</v>
      </c>
      <c r="P123" s="87">
        <v>3575</v>
      </c>
      <c r="Q123" s="87">
        <v>498</v>
      </c>
    </row>
    <row r="124" spans="1:17" x14ac:dyDescent="0.3">
      <c r="A124" s="95"/>
      <c r="B124" s="52" t="s">
        <v>372</v>
      </c>
      <c r="C124" s="87">
        <v>6034</v>
      </c>
      <c r="D124" s="87">
        <v>333</v>
      </c>
      <c r="E124" s="87">
        <v>1854</v>
      </c>
      <c r="F124" s="87">
        <v>3463</v>
      </c>
      <c r="G124" s="87">
        <v>384</v>
      </c>
      <c r="H124" s="87">
        <v>118</v>
      </c>
      <c r="I124" s="87">
        <v>1</v>
      </c>
      <c r="J124" s="87">
        <v>40</v>
      </c>
      <c r="K124" s="87">
        <v>77</v>
      </c>
      <c r="L124" s="87">
        <v>0</v>
      </c>
      <c r="M124" s="87">
        <v>5916</v>
      </c>
      <c r="N124" s="87">
        <v>332</v>
      </c>
      <c r="O124" s="87">
        <v>1814</v>
      </c>
      <c r="P124" s="87">
        <v>3386</v>
      </c>
      <c r="Q124" s="87">
        <v>384</v>
      </c>
    </row>
    <row r="125" spans="1:17" x14ac:dyDescent="0.3">
      <c r="A125" s="95"/>
      <c r="B125" s="52" t="s">
        <v>373</v>
      </c>
      <c r="C125" s="87">
        <v>13933</v>
      </c>
      <c r="D125" s="87">
        <v>762</v>
      </c>
      <c r="E125" s="87">
        <v>4024</v>
      </c>
      <c r="F125" s="87">
        <v>8024</v>
      </c>
      <c r="G125" s="87">
        <v>1123</v>
      </c>
      <c r="H125" s="87">
        <v>127</v>
      </c>
      <c r="I125" s="87">
        <v>3</v>
      </c>
      <c r="J125" s="87">
        <v>2</v>
      </c>
      <c r="K125" s="87">
        <v>118</v>
      </c>
      <c r="L125" s="87">
        <v>4</v>
      </c>
      <c r="M125" s="87">
        <v>13806</v>
      </c>
      <c r="N125" s="87">
        <v>759</v>
      </c>
      <c r="O125" s="87">
        <v>4022</v>
      </c>
      <c r="P125" s="87">
        <v>7906</v>
      </c>
      <c r="Q125" s="87">
        <v>1119</v>
      </c>
    </row>
    <row r="126" spans="1:17" x14ac:dyDescent="0.3">
      <c r="A126" s="95"/>
      <c r="B126" s="52" t="s">
        <v>374</v>
      </c>
      <c r="C126" s="87">
        <v>4</v>
      </c>
      <c r="D126" s="87">
        <v>0</v>
      </c>
      <c r="E126" s="87">
        <v>2</v>
      </c>
      <c r="F126" s="87">
        <v>2</v>
      </c>
      <c r="G126" s="87">
        <v>0</v>
      </c>
      <c r="H126" s="87">
        <v>0</v>
      </c>
      <c r="I126" s="87">
        <v>0</v>
      </c>
      <c r="J126" s="87">
        <v>0</v>
      </c>
      <c r="K126" s="87">
        <v>0</v>
      </c>
      <c r="L126" s="87">
        <v>0</v>
      </c>
      <c r="M126" s="87">
        <v>4</v>
      </c>
      <c r="N126" s="87">
        <v>0</v>
      </c>
      <c r="O126" s="87">
        <v>2</v>
      </c>
      <c r="P126" s="87">
        <v>2</v>
      </c>
      <c r="Q126" s="87">
        <v>0</v>
      </c>
    </row>
    <row r="127" spans="1:17" x14ac:dyDescent="0.3">
      <c r="A127" s="95"/>
      <c r="B127" s="52" t="s">
        <v>375</v>
      </c>
      <c r="C127" s="87">
        <v>9324</v>
      </c>
      <c r="D127" s="87">
        <v>322</v>
      </c>
      <c r="E127" s="87">
        <v>3538</v>
      </c>
      <c r="F127" s="87">
        <v>4883</v>
      </c>
      <c r="G127" s="87">
        <v>581</v>
      </c>
      <c r="H127" s="87">
        <v>241</v>
      </c>
      <c r="I127" s="87">
        <v>3</v>
      </c>
      <c r="J127" s="87">
        <v>66</v>
      </c>
      <c r="K127" s="87">
        <v>170</v>
      </c>
      <c r="L127" s="87">
        <v>2</v>
      </c>
      <c r="M127" s="87">
        <v>9083</v>
      </c>
      <c r="N127" s="87">
        <v>319</v>
      </c>
      <c r="O127" s="87">
        <v>3472</v>
      </c>
      <c r="P127" s="87">
        <v>4713</v>
      </c>
      <c r="Q127" s="87">
        <v>579</v>
      </c>
    </row>
    <row r="128" spans="1:17" x14ac:dyDescent="0.3">
      <c r="A128" s="95"/>
      <c r="B128" s="52" t="s">
        <v>376</v>
      </c>
      <c r="C128" s="87">
        <v>9323</v>
      </c>
      <c r="D128" s="87">
        <v>353</v>
      </c>
      <c r="E128" s="87">
        <v>3141</v>
      </c>
      <c r="F128" s="87">
        <v>5201</v>
      </c>
      <c r="G128" s="87">
        <v>628</v>
      </c>
      <c r="H128" s="87">
        <v>23</v>
      </c>
      <c r="I128" s="87">
        <v>0</v>
      </c>
      <c r="J128" s="87">
        <v>8</v>
      </c>
      <c r="K128" s="87">
        <v>10</v>
      </c>
      <c r="L128" s="87">
        <v>5</v>
      </c>
      <c r="M128" s="87">
        <v>9300</v>
      </c>
      <c r="N128" s="87">
        <v>353</v>
      </c>
      <c r="O128" s="87">
        <v>3133</v>
      </c>
      <c r="P128" s="87">
        <v>5191</v>
      </c>
      <c r="Q128" s="87">
        <v>623</v>
      </c>
    </row>
    <row r="129" spans="1:17" x14ac:dyDescent="0.3">
      <c r="A129" s="95"/>
      <c r="B129" s="52" t="s">
        <v>377</v>
      </c>
      <c r="C129" s="87">
        <v>3</v>
      </c>
      <c r="D129" s="87">
        <v>0</v>
      </c>
      <c r="E129" s="87">
        <v>3</v>
      </c>
      <c r="F129" s="87">
        <v>0</v>
      </c>
      <c r="G129" s="87">
        <v>0</v>
      </c>
      <c r="H129" s="87">
        <v>0</v>
      </c>
      <c r="I129" s="87">
        <v>0</v>
      </c>
      <c r="J129" s="87">
        <v>0</v>
      </c>
      <c r="K129" s="87">
        <v>0</v>
      </c>
      <c r="L129" s="87">
        <v>0</v>
      </c>
      <c r="M129" s="87">
        <v>3</v>
      </c>
      <c r="N129" s="87">
        <v>0</v>
      </c>
      <c r="O129" s="87">
        <v>3</v>
      </c>
      <c r="P129" s="87">
        <v>0</v>
      </c>
      <c r="Q129" s="87">
        <v>0</v>
      </c>
    </row>
    <row r="130" spans="1:17" x14ac:dyDescent="0.3">
      <c r="A130" s="95"/>
      <c r="B130" s="52" t="s">
        <v>378</v>
      </c>
      <c r="C130" s="87">
        <v>11092</v>
      </c>
      <c r="D130" s="87">
        <v>521</v>
      </c>
      <c r="E130" s="87">
        <v>5218</v>
      </c>
      <c r="F130" s="87">
        <v>4709</v>
      </c>
      <c r="G130" s="87">
        <v>644</v>
      </c>
      <c r="H130" s="87">
        <v>136</v>
      </c>
      <c r="I130" s="87">
        <v>0</v>
      </c>
      <c r="J130" s="87">
        <v>48</v>
      </c>
      <c r="K130" s="87">
        <v>86</v>
      </c>
      <c r="L130" s="87">
        <v>2</v>
      </c>
      <c r="M130" s="87">
        <v>10956</v>
      </c>
      <c r="N130" s="87">
        <v>521</v>
      </c>
      <c r="O130" s="87">
        <v>5170</v>
      </c>
      <c r="P130" s="87">
        <v>4623</v>
      </c>
      <c r="Q130" s="87">
        <v>642</v>
      </c>
    </row>
    <row r="131" spans="1:17" x14ac:dyDescent="0.3">
      <c r="A131" s="95"/>
      <c r="B131" s="52" t="s">
        <v>379</v>
      </c>
      <c r="C131" s="87">
        <v>63</v>
      </c>
      <c r="D131" s="87">
        <v>0</v>
      </c>
      <c r="E131" s="87">
        <v>62</v>
      </c>
      <c r="F131" s="87">
        <v>1</v>
      </c>
      <c r="G131" s="87">
        <v>0</v>
      </c>
      <c r="H131" s="87">
        <v>0</v>
      </c>
      <c r="I131" s="87">
        <v>0</v>
      </c>
      <c r="J131" s="87">
        <v>0</v>
      </c>
      <c r="K131" s="87">
        <v>0</v>
      </c>
      <c r="L131" s="87">
        <v>0</v>
      </c>
      <c r="M131" s="87">
        <v>63</v>
      </c>
      <c r="N131" s="87">
        <v>0</v>
      </c>
      <c r="O131" s="87">
        <v>62</v>
      </c>
      <c r="P131" s="87">
        <v>1</v>
      </c>
      <c r="Q131" s="87">
        <v>0</v>
      </c>
    </row>
    <row r="132" spans="1:17" x14ac:dyDescent="0.3">
      <c r="A132" s="95"/>
      <c r="B132" s="52" t="s">
        <v>380</v>
      </c>
      <c r="C132" s="87">
        <v>6629</v>
      </c>
      <c r="D132" s="87">
        <v>248</v>
      </c>
      <c r="E132" s="87">
        <v>2987</v>
      </c>
      <c r="F132" s="87">
        <v>2854</v>
      </c>
      <c r="G132" s="87">
        <v>540</v>
      </c>
      <c r="H132" s="87">
        <v>176</v>
      </c>
      <c r="I132" s="87">
        <v>0</v>
      </c>
      <c r="J132" s="87">
        <v>42</v>
      </c>
      <c r="K132" s="87">
        <v>132</v>
      </c>
      <c r="L132" s="87">
        <v>2</v>
      </c>
      <c r="M132" s="87">
        <v>6453</v>
      </c>
      <c r="N132" s="87">
        <v>248</v>
      </c>
      <c r="O132" s="87">
        <v>2945</v>
      </c>
      <c r="P132" s="87">
        <v>2722</v>
      </c>
      <c r="Q132" s="87">
        <v>538</v>
      </c>
    </row>
    <row r="133" spans="1:17" x14ac:dyDescent="0.3">
      <c r="A133" s="95"/>
      <c r="B133" s="52" t="s">
        <v>381</v>
      </c>
      <c r="C133" s="87">
        <v>8231</v>
      </c>
      <c r="D133" s="87">
        <v>306</v>
      </c>
      <c r="E133" s="87">
        <v>3157</v>
      </c>
      <c r="F133" s="87">
        <v>4266</v>
      </c>
      <c r="G133" s="87">
        <v>502</v>
      </c>
      <c r="H133" s="87">
        <v>25</v>
      </c>
      <c r="I133" s="87">
        <v>0</v>
      </c>
      <c r="J133" s="87">
        <v>18</v>
      </c>
      <c r="K133" s="87">
        <v>5</v>
      </c>
      <c r="L133" s="87">
        <v>2</v>
      </c>
      <c r="M133" s="87">
        <v>8206</v>
      </c>
      <c r="N133" s="87">
        <v>306</v>
      </c>
      <c r="O133" s="87">
        <v>3139</v>
      </c>
      <c r="P133" s="87">
        <v>4261</v>
      </c>
      <c r="Q133" s="87">
        <v>500</v>
      </c>
    </row>
    <row r="134" spans="1:17" x14ac:dyDescent="0.3">
      <c r="A134" s="95"/>
      <c r="B134" s="52" t="s">
        <v>382</v>
      </c>
      <c r="C134" s="87">
        <v>24</v>
      </c>
      <c r="D134" s="87">
        <v>0</v>
      </c>
      <c r="E134" s="87">
        <v>15</v>
      </c>
      <c r="F134" s="87">
        <v>9</v>
      </c>
      <c r="G134" s="87">
        <v>0</v>
      </c>
      <c r="H134" s="87">
        <v>2</v>
      </c>
      <c r="I134" s="87">
        <v>0</v>
      </c>
      <c r="J134" s="87">
        <v>1</v>
      </c>
      <c r="K134" s="87">
        <v>1</v>
      </c>
      <c r="L134" s="87">
        <v>0</v>
      </c>
      <c r="M134" s="87">
        <v>22</v>
      </c>
      <c r="N134" s="87">
        <v>0</v>
      </c>
      <c r="O134" s="87">
        <v>14</v>
      </c>
      <c r="P134" s="87">
        <v>8</v>
      </c>
      <c r="Q134" s="87">
        <v>0</v>
      </c>
    </row>
    <row r="135" spans="1:17" x14ac:dyDescent="0.3">
      <c r="A135" s="95"/>
      <c r="B135" s="52" t="s">
        <v>383</v>
      </c>
      <c r="C135" s="87">
        <v>8950</v>
      </c>
      <c r="D135" s="87">
        <v>365</v>
      </c>
      <c r="E135" s="87">
        <v>3389</v>
      </c>
      <c r="F135" s="87">
        <v>4575</v>
      </c>
      <c r="G135" s="87">
        <v>621</v>
      </c>
      <c r="H135" s="87">
        <v>8</v>
      </c>
      <c r="I135" s="87">
        <v>2</v>
      </c>
      <c r="J135" s="87">
        <v>0</v>
      </c>
      <c r="K135" s="87">
        <v>5</v>
      </c>
      <c r="L135" s="87">
        <v>1</v>
      </c>
      <c r="M135" s="87">
        <v>8942</v>
      </c>
      <c r="N135" s="87">
        <v>363</v>
      </c>
      <c r="O135" s="87">
        <v>3389</v>
      </c>
      <c r="P135" s="87">
        <v>4570</v>
      </c>
      <c r="Q135" s="87">
        <v>620</v>
      </c>
    </row>
    <row r="136" spans="1:17" x14ac:dyDescent="0.3">
      <c r="A136" s="95"/>
      <c r="B136" s="52" t="s">
        <v>384</v>
      </c>
      <c r="C136" s="87">
        <v>5696</v>
      </c>
      <c r="D136" s="87">
        <v>581</v>
      </c>
      <c r="E136" s="87">
        <v>2085</v>
      </c>
      <c r="F136" s="87">
        <v>2599</v>
      </c>
      <c r="G136" s="87">
        <v>431</v>
      </c>
      <c r="H136" s="87">
        <v>107</v>
      </c>
      <c r="I136" s="87">
        <v>3</v>
      </c>
      <c r="J136" s="87">
        <v>11</v>
      </c>
      <c r="K136" s="87">
        <v>90</v>
      </c>
      <c r="L136" s="87">
        <v>3</v>
      </c>
      <c r="M136" s="87">
        <v>5589</v>
      </c>
      <c r="N136" s="87">
        <v>578</v>
      </c>
      <c r="O136" s="87">
        <v>2074</v>
      </c>
      <c r="P136" s="87">
        <v>2509</v>
      </c>
      <c r="Q136" s="87">
        <v>428</v>
      </c>
    </row>
    <row r="137" spans="1:17" x14ac:dyDescent="0.3">
      <c r="A137" s="95"/>
      <c r="B137" s="52" t="s">
        <v>385</v>
      </c>
      <c r="C137" s="87">
        <v>217</v>
      </c>
      <c r="D137" s="87">
        <v>0</v>
      </c>
      <c r="E137" s="87">
        <v>209</v>
      </c>
      <c r="F137" s="87">
        <v>8</v>
      </c>
      <c r="G137" s="87">
        <v>0</v>
      </c>
      <c r="H137" s="87">
        <v>7</v>
      </c>
      <c r="I137" s="87">
        <v>0</v>
      </c>
      <c r="J137" s="87">
        <v>7</v>
      </c>
      <c r="K137" s="87">
        <v>0</v>
      </c>
      <c r="L137" s="87">
        <v>0</v>
      </c>
      <c r="M137" s="87">
        <v>210</v>
      </c>
      <c r="N137" s="87">
        <v>0</v>
      </c>
      <c r="O137" s="87">
        <v>202</v>
      </c>
      <c r="P137" s="87">
        <v>8</v>
      </c>
      <c r="Q137" s="87">
        <v>0</v>
      </c>
    </row>
    <row r="138" spans="1:17" x14ac:dyDescent="0.3">
      <c r="A138" s="95"/>
      <c r="B138" s="52" t="s">
        <v>386</v>
      </c>
      <c r="C138" s="87">
        <v>6223</v>
      </c>
      <c r="D138" s="87">
        <v>476</v>
      </c>
      <c r="E138" s="87">
        <v>2970</v>
      </c>
      <c r="F138" s="87">
        <v>2430</v>
      </c>
      <c r="G138" s="87">
        <v>347</v>
      </c>
      <c r="H138" s="87">
        <v>133</v>
      </c>
      <c r="I138" s="87">
        <v>11</v>
      </c>
      <c r="J138" s="87">
        <v>45</v>
      </c>
      <c r="K138" s="87">
        <v>74</v>
      </c>
      <c r="L138" s="87">
        <v>3</v>
      </c>
      <c r="M138" s="87">
        <v>6090</v>
      </c>
      <c r="N138" s="87">
        <v>465</v>
      </c>
      <c r="O138" s="87">
        <v>2925</v>
      </c>
      <c r="P138" s="87">
        <v>2356</v>
      </c>
      <c r="Q138" s="87">
        <v>344</v>
      </c>
    </row>
    <row r="139" spans="1:17" x14ac:dyDescent="0.3">
      <c r="A139" s="95"/>
      <c r="B139" s="52" t="s">
        <v>387</v>
      </c>
      <c r="C139" s="87">
        <v>3131</v>
      </c>
      <c r="D139" s="87">
        <v>184</v>
      </c>
      <c r="E139" s="87">
        <v>1545</v>
      </c>
      <c r="F139" s="87">
        <v>1302</v>
      </c>
      <c r="G139" s="87">
        <v>100</v>
      </c>
      <c r="H139" s="87">
        <v>40</v>
      </c>
      <c r="I139" s="87">
        <v>1</v>
      </c>
      <c r="J139" s="87">
        <v>0</v>
      </c>
      <c r="K139" s="87">
        <v>38</v>
      </c>
      <c r="L139" s="87">
        <v>1</v>
      </c>
      <c r="M139" s="87">
        <v>3091</v>
      </c>
      <c r="N139" s="87">
        <v>183</v>
      </c>
      <c r="O139" s="87">
        <v>1545</v>
      </c>
      <c r="P139" s="87">
        <v>1264</v>
      </c>
      <c r="Q139" s="87">
        <v>99</v>
      </c>
    </row>
    <row r="140" spans="1:17" x14ac:dyDescent="0.3">
      <c r="A140" s="95"/>
      <c r="B140" s="52" t="s">
        <v>388</v>
      </c>
      <c r="C140" s="87">
        <v>7139</v>
      </c>
      <c r="D140" s="87">
        <v>320</v>
      </c>
      <c r="E140" s="87">
        <v>2333</v>
      </c>
      <c r="F140" s="87">
        <v>3913</v>
      </c>
      <c r="G140" s="87">
        <v>573</v>
      </c>
      <c r="H140" s="87">
        <v>96</v>
      </c>
      <c r="I140" s="87">
        <v>0</v>
      </c>
      <c r="J140" s="87">
        <v>33</v>
      </c>
      <c r="K140" s="87">
        <v>60</v>
      </c>
      <c r="L140" s="87">
        <v>3</v>
      </c>
      <c r="M140" s="87">
        <v>7043</v>
      </c>
      <c r="N140" s="87">
        <v>320</v>
      </c>
      <c r="O140" s="87">
        <v>2300</v>
      </c>
      <c r="P140" s="87">
        <v>3853</v>
      </c>
      <c r="Q140" s="87">
        <v>570</v>
      </c>
    </row>
    <row r="141" spans="1:17" x14ac:dyDescent="0.3">
      <c r="A141" s="95"/>
      <c r="B141" s="52" t="s">
        <v>389</v>
      </c>
      <c r="C141" s="87">
        <v>2</v>
      </c>
      <c r="D141" s="87">
        <v>0</v>
      </c>
      <c r="E141" s="87">
        <v>1</v>
      </c>
      <c r="F141" s="87">
        <v>1</v>
      </c>
      <c r="G141" s="87">
        <v>0</v>
      </c>
      <c r="H141" s="87">
        <v>0</v>
      </c>
      <c r="I141" s="87">
        <v>0</v>
      </c>
      <c r="J141" s="87">
        <v>0</v>
      </c>
      <c r="K141" s="87">
        <v>0</v>
      </c>
      <c r="L141" s="87">
        <v>0</v>
      </c>
      <c r="M141" s="87">
        <v>2</v>
      </c>
      <c r="N141" s="87">
        <v>0</v>
      </c>
      <c r="O141" s="87">
        <v>1</v>
      </c>
      <c r="P141" s="87">
        <v>1</v>
      </c>
      <c r="Q141" s="87">
        <v>0</v>
      </c>
    </row>
    <row r="142" spans="1:17" x14ac:dyDescent="0.3">
      <c r="A142" s="95"/>
      <c r="B142" s="52" t="s">
        <v>390</v>
      </c>
      <c r="C142" s="87">
        <v>228</v>
      </c>
      <c r="D142" s="87">
        <v>0</v>
      </c>
      <c r="E142" s="87">
        <v>177</v>
      </c>
      <c r="F142" s="87">
        <v>51</v>
      </c>
      <c r="G142" s="87">
        <v>0</v>
      </c>
      <c r="H142" s="87">
        <v>4</v>
      </c>
      <c r="I142" s="87">
        <v>0</v>
      </c>
      <c r="J142" s="87">
        <v>4</v>
      </c>
      <c r="K142" s="87">
        <v>0</v>
      </c>
      <c r="L142" s="87">
        <v>0</v>
      </c>
      <c r="M142" s="87">
        <v>224</v>
      </c>
      <c r="N142" s="87">
        <v>0</v>
      </c>
      <c r="O142" s="87">
        <v>173</v>
      </c>
      <c r="P142" s="87">
        <v>51</v>
      </c>
      <c r="Q142" s="87">
        <v>0</v>
      </c>
    </row>
    <row r="143" spans="1:17" x14ac:dyDescent="0.3">
      <c r="A143" s="95"/>
      <c r="B143" s="52" t="s">
        <v>391</v>
      </c>
      <c r="C143" s="87">
        <v>7017</v>
      </c>
      <c r="D143" s="87">
        <v>359</v>
      </c>
      <c r="E143" s="87">
        <v>1869</v>
      </c>
      <c r="F143" s="87">
        <v>3751</v>
      </c>
      <c r="G143" s="87">
        <v>1038</v>
      </c>
      <c r="H143" s="87">
        <v>56</v>
      </c>
      <c r="I143" s="87">
        <v>5</v>
      </c>
      <c r="J143" s="87">
        <v>41</v>
      </c>
      <c r="K143" s="87">
        <v>7</v>
      </c>
      <c r="L143" s="87">
        <v>3</v>
      </c>
      <c r="M143" s="87">
        <v>6961</v>
      </c>
      <c r="N143" s="87">
        <v>354</v>
      </c>
      <c r="O143" s="87">
        <v>1828</v>
      </c>
      <c r="P143" s="87">
        <v>3744</v>
      </c>
      <c r="Q143" s="87">
        <v>1035</v>
      </c>
    </row>
    <row r="144" spans="1:17" x14ac:dyDescent="0.3">
      <c r="A144" s="95"/>
      <c r="B144" s="52" t="s">
        <v>392</v>
      </c>
      <c r="C144" s="87">
        <v>4021</v>
      </c>
      <c r="D144" s="87">
        <v>192</v>
      </c>
      <c r="E144" s="87">
        <v>940</v>
      </c>
      <c r="F144" s="87">
        <v>2219</v>
      </c>
      <c r="G144" s="87">
        <v>670</v>
      </c>
      <c r="H144" s="87">
        <v>69</v>
      </c>
      <c r="I144" s="87">
        <v>0</v>
      </c>
      <c r="J144" s="87">
        <v>1</v>
      </c>
      <c r="K144" s="87">
        <v>68</v>
      </c>
      <c r="L144" s="87">
        <v>0</v>
      </c>
      <c r="M144" s="87">
        <v>3952</v>
      </c>
      <c r="N144" s="87">
        <v>192</v>
      </c>
      <c r="O144" s="87">
        <v>939</v>
      </c>
      <c r="P144" s="87">
        <v>2151</v>
      </c>
      <c r="Q144" s="87">
        <v>670</v>
      </c>
    </row>
    <row r="145" spans="1:17" x14ac:dyDescent="0.3">
      <c r="A145" s="95"/>
      <c r="B145" s="52" t="s">
        <v>393</v>
      </c>
      <c r="C145" s="87">
        <v>10111</v>
      </c>
      <c r="D145" s="87">
        <v>453</v>
      </c>
      <c r="E145" s="87">
        <v>4189</v>
      </c>
      <c r="F145" s="87">
        <v>4672</v>
      </c>
      <c r="G145" s="87">
        <v>797</v>
      </c>
      <c r="H145" s="87">
        <v>189</v>
      </c>
      <c r="I145" s="87">
        <v>8</v>
      </c>
      <c r="J145" s="87">
        <v>19</v>
      </c>
      <c r="K145" s="87">
        <v>157</v>
      </c>
      <c r="L145" s="87">
        <v>5</v>
      </c>
      <c r="M145" s="87">
        <v>9922</v>
      </c>
      <c r="N145" s="87">
        <v>445</v>
      </c>
      <c r="O145" s="87">
        <v>4170</v>
      </c>
      <c r="P145" s="87">
        <v>4515</v>
      </c>
      <c r="Q145" s="87">
        <v>792</v>
      </c>
    </row>
    <row r="146" spans="1:17" x14ac:dyDescent="0.3">
      <c r="A146" s="95"/>
      <c r="B146" s="52" t="s">
        <v>394</v>
      </c>
      <c r="C146" s="87">
        <v>3249</v>
      </c>
      <c r="D146" s="87">
        <v>184</v>
      </c>
      <c r="E146" s="87">
        <v>1158</v>
      </c>
      <c r="F146" s="87">
        <v>1564</v>
      </c>
      <c r="G146" s="87">
        <v>343</v>
      </c>
      <c r="H146" s="87">
        <v>10</v>
      </c>
      <c r="I146" s="87">
        <v>0</v>
      </c>
      <c r="J146" s="87">
        <v>3</v>
      </c>
      <c r="K146" s="87">
        <v>6</v>
      </c>
      <c r="L146" s="87">
        <v>1</v>
      </c>
      <c r="M146" s="87">
        <v>3239</v>
      </c>
      <c r="N146" s="87">
        <v>184</v>
      </c>
      <c r="O146" s="87">
        <v>1155</v>
      </c>
      <c r="P146" s="87">
        <v>1558</v>
      </c>
      <c r="Q146" s="87">
        <v>342</v>
      </c>
    </row>
    <row r="147" spans="1:17" x14ac:dyDescent="0.3">
      <c r="A147" s="95"/>
      <c r="B147" s="52" t="s">
        <v>395</v>
      </c>
      <c r="C147" s="87">
        <v>16445</v>
      </c>
      <c r="D147" s="87">
        <v>645</v>
      </c>
      <c r="E147" s="87">
        <v>7107</v>
      </c>
      <c r="F147" s="87">
        <v>7539</v>
      </c>
      <c r="G147" s="87">
        <v>1154</v>
      </c>
      <c r="H147" s="87">
        <v>164</v>
      </c>
      <c r="I147" s="87">
        <v>1</v>
      </c>
      <c r="J147" s="87">
        <v>33</v>
      </c>
      <c r="K147" s="87">
        <v>120</v>
      </c>
      <c r="L147" s="87">
        <v>10</v>
      </c>
      <c r="M147" s="87">
        <v>16281</v>
      </c>
      <c r="N147" s="87">
        <v>644</v>
      </c>
      <c r="O147" s="87">
        <v>7074</v>
      </c>
      <c r="P147" s="87">
        <v>7419</v>
      </c>
      <c r="Q147" s="87">
        <v>1144</v>
      </c>
    </row>
    <row r="148" spans="1:17" x14ac:dyDescent="0.3">
      <c r="A148" s="95"/>
      <c r="B148" s="52" t="s">
        <v>396</v>
      </c>
      <c r="C148" s="87">
        <v>11280</v>
      </c>
      <c r="D148" s="87">
        <v>771</v>
      </c>
      <c r="E148" s="87">
        <v>5090</v>
      </c>
      <c r="F148" s="87">
        <v>4629</v>
      </c>
      <c r="G148" s="87">
        <v>790</v>
      </c>
      <c r="H148" s="87">
        <v>111</v>
      </c>
      <c r="I148" s="87">
        <v>3</v>
      </c>
      <c r="J148" s="87">
        <v>23</v>
      </c>
      <c r="K148" s="87">
        <v>84</v>
      </c>
      <c r="L148" s="87">
        <v>1</v>
      </c>
      <c r="M148" s="87">
        <v>11169</v>
      </c>
      <c r="N148" s="87">
        <v>768</v>
      </c>
      <c r="O148" s="87">
        <v>5067</v>
      </c>
      <c r="P148" s="87">
        <v>4545</v>
      </c>
      <c r="Q148" s="87">
        <v>789</v>
      </c>
    </row>
    <row r="149" spans="1:17" x14ac:dyDescent="0.3">
      <c r="A149" s="95"/>
      <c r="B149" s="52" t="s">
        <v>397</v>
      </c>
      <c r="C149" s="87">
        <v>15942</v>
      </c>
      <c r="D149" s="87">
        <v>735</v>
      </c>
      <c r="E149" s="87">
        <v>6854</v>
      </c>
      <c r="F149" s="87">
        <v>7089</v>
      </c>
      <c r="G149" s="87">
        <v>1264</v>
      </c>
      <c r="H149" s="87">
        <v>248</v>
      </c>
      <c r="I149" s="87">
        <v>3</v>
      </c>
      <c r="J149" s="87">
        <v>107</v>
      </c>
      <c r="K149" s="87">
        <v>136</v>
      </c>
      <c r="L149" s="87">
        <v>2</v>
      </c>
      <c r="M149" s="87">
        <v>15694</v>
      </c>
      <c r="N149" s="87">
        <v>732</v>
      </c>
      <c r="O149" s="87">
        <v>6747</v>
      </c>
      <c r="P149" s="87">
        <v>6953</v>
      </c>
      <c r="Q149" s="87">
        <v>1262</v>
      </c>
    </row>
    <row r="150" spans="1:17" x14ac:dyDescent="0.3">
      <c r="A150" s="95"/>
      <c r="B150" s="52" t="s">
        <v>398</v>
      </c>
      <c r="C150" s="87">
        <v>1</v>
      </c>
      <c r="D150" s="87">
        <v>0</v>
      </c>
      <c r="E150" s="87">
        <v>0</v>
      </c>
      <c r="F150" s="87">
        <v>1</v>
      </c>
      <c r="G150" s="87">
        <v>0</v>
      </c>
      <c r="H150" s="87">
        <v>0</v>
      </c>
      <c r="I150" s="87">
        <v>0</v>
      </c>
      <c r="J150" s="87">
        <v>0</v>
      </c>
      <c r="K150" s="87">
        <v>0</v>
      </c>
      <c r="L150" s="87">
        <v>0</v>
      </c>
      <c r="M150" s="87">
        <v>1</v>
      </c>
      <c r="N150" s="87">
        <v>0</v>
      </c>
      <c r="O150" s="87">
        <v>0</v>
      </c>
      <c r="P150" s="87">
        <v>1</v>
      </c>
      <c r="Q150" s="87">
        <v>0</v>
      </c>
    </row>
    <row r="151" spans="1:17" x14ac:dyDescent="0.3">
      <c r="A151" s="95"/>
      <c r="B151" s="52" t="s">
        <v>399</v>
      </c>
      <c r="C151" s="87">
        <v>20556</v>
      </c>
      <c r="D151" s="87">
        <v>1575</v>
      </c>
      <c r="E151" s="87">
        <v>7530</v>
      </c>
      <c r="F151" s="87">
        <v>9494</v>
      </c>
      <c r="G151" s="87">
        <v>1957</v>
      </c>
      <c r="H151" s="87">
        <v>193</v>
      </c>
      <c r="I151" s="87">
        <v>18</v>
      </c>
      <c r="J151" s="87">
        <v>10</v>
      </c>
      <c r="K151" s="87">
        <v>159</v>
      </c>
      <c r="L151" s="87">
        <v>6</v>
      </c>
      <c r="M151" s="87">
        <v>20363</v>
      </c>
      <c r="N151" s="87">
        <v>1557</v>
      </c>
      <c r="O151" s="87">
        <v>7520</v>
      </c>
      <c r="P151" s="87">
        <v>9335</v>
      </c>
      <c r="Q151" s="87">
        <v>1951</v>
      </c>
    </row>
    <row r="152" spans="1:17" x14ac:dyDescent="0.3">
      <c r="A152" s="95"/>
      <c r="B152" s="52" t="s">
        <v>400</v>
      </c>
      <c r="C152" s="87">
        <v>1</v>
      </c>
      <c r="D152" s="87">
        <v>0</v>
      </c>
      <c r="E152" s="87">
        <v>1</v>
      </c>
      <c r="F152" s="87">
        <v>0</v>
      </c>
      <c r="G152" s="87">
        <v>0</v>
      </c>
      <c r="H152" s="87">
        <v>0</v>
      </c>
      <c r="I152" s="87">
        <v>0</v>
      </c>
      <c r="J152" s="87">
        <v>0</v>
      </c>
      <c r="K152" s="87">
        <v>0</v>
      </c>
      <c r="L152" s="87">
        <v>0</v>
      </c>
      <c r="M152" s="87">
        <v>1</v>
      </c>
      <c r="N152" s="87">
        <v>0</v>
      </c>
      <c r="O152" s="87">
        <v>1</v>
      </c>
      <c r="P152" s="87">
        <v>0</v>
      </c>
      <c r="Q152" s="87">
        <v>0</v>
      </c>
    </row>
    <row r="153" spans="1:17" x14ac:dyDescent="0.3">
      <c r="A153" s="95"/>
      <c r="B153" s="52" t="s">
        <v>400</v>
      </c>
      <c r="C153" s="87">
        <v>25</v>
      </c>
      <c r="D153" s="87">
        <v>0</v>
      </c>
      <c r="E153" s="87">
        <v>24</v>
      </c>
      <c r="F153" s="87">
        <v>1</v>
      </c>
      <c r="G153" s="87">
        <v>0</v>
      </c>
      <c r="H153" s="87">
        <v>0</v>
      </c>
      <c r="I153" s="87">
        <v>0</v>
      </c>
      <c r="J153" s="87">
        <v>0</v>
      </c>
      <c r="K153" s="87">
        <v>0</v>
      </c>
      <c r="L153" s="87">
        <v>0</v>
      </c>
      <c r="M153" s="87">
        <v>25</v>
      </c>
      <c r="N153" s="87">
        <v>0</v>
      </c>
      <c r="O153" s="87">
        <v>24</v>
      </c>
      <c r="P153" s="87">
        <v>1</v>
      </c>
      <c r="Q153" s="87">
        <v>0</v>
      </c>
    </row>
    <row r="154" spans="1:17" x14ac:dyDescent="0.3">
      <c r="A154" s="95"/>
      <c r="B154" s="52" t="s">
        <v>401</v>
      </c>
      <c r="C154" s="87">
        <v>9963</v>
      </c>
      <c r="D154" s="87">
        <v>402</v>
      </c>
      <c r="E154" s="87">
        <v>5244</v>
      </c>
      <c r="F154" s="87">
        <v>3969</v>
      </c>
      <c r="G154" s="87">
        <v>348</v>
      </c>
      <c r="H154" s="87">
        <v>218</v>
      </c>
      <c r="I154" s="87">
        <v>8</v>
      </c>
      <c r="J154" s="87">
        <v>104</v>
      </c>
      <c r="K154" s="87">
        <v>102</v>
      </c>
      <c r="L154" s="87">
        <v>4</v>
      </c>
      <c r="M154" s="87">
        <v>9745</v>
      </c>
      <c r="N154" s="87">
        <v>394</v>
      </c>
      <c r="O154" s="87">
        <v>5140</v>
      </c>
      <c r="P154" s="87">
        <v>3867</v>
      </c>
      <c r="Q154" s="87">
        <v>344</v>
      </c>
    </row>
    <row r="155" spans="1:17" x14ac:dyDescent="0.3">
      <c r="A155" s="95"/>
      <c r="B155" s="52" t="s">
        <v>402</v>
      </c>
      <c r="C155" s="87">
        <v>8257</v>
      </c>
      <c r="D155" s="87">
        <v>481</v>
      </c>
      <c r="E155" s="87">
        <v>1918</v>
      </c>
      <c r="F155" s="87">
        <v>4923</v>
      </c>
      <c r="G155" s="87">
        <v>935</v>
      </c>
      <c r="H155" s="87">
        <v>94</v>
      </c>
      <c r="I155" s="87">
        <v>4</v>
      </c>
      <c r="J155" s="87">
        <v>1</v>
      </c>
      <c r="K155" s="87">
        <v>87</v>
      </c>
      <c r="L155" s="87">
        <v>2</v>
      </c>
      <c r="M155" s="87">
        <v>8163</v>
      </c>
      <c r="N155" s="87">
        <v>477</v>
      </c>
      <c r="O155" s="87">
        <v>1917</v>
      </c>
      <c r="P155" s="87">
        <v>4836</v>
      </c>
      <c r="Q155" s="87">
        <v>933</v>
      </c>
    </row>
    <row r="156" spans="1:17" x14ac:dyDescent="0.3">
      <c r="A156" s="95"/>
      <c r="B156" s="52" t="s">
        <v>403</v>
      </c>
      <c r="C156" s="87">
        <v>16</v>
      </c>
      <c r="D156" s="87">
        <v>0</v>
      </c>
      <c r="E156" s="87">
        <v>8</v>
      </c>
      <c r="F156" s="87">
        <v>8</v>
      </c>
      <c r="G156" s="87">
        <v>0</v>
      </c>
      <c r="H156" s="87">
        <v>0</v>
      </c>
      <c r="I156" s="87">
        <v>0</v>
      </c>
      <c r="J156" s="87">
        <v>0</v>
      </c>
      <c r="K156" s="87">
        <v>0</v>
      </c>
      <c r="L156" s="87">
        <v>0</v>
      </c>
      <c r="M156" s="87">
        <v>16</v>
      </c>
      <c r="N156" s="87">
        <v>0</v>
      </c>
      <c r="O156" s="87">
        <v>8</v>
      </c>
      <c r="P156" s="87">
        <v>8</v>
      </c>
      <c r="Q156" s="87">
        <v>0</v>
      </c>
    </row>
    <row r="157" spans="1:17" x14ac:dyDescent="0.3">
      <c r="A157" s="95"/>
      <c r="B157" s="52" t="s">
        <v>404</v>
      </c>
      <c r="C157" s="87">
        <v>21366</v>
      </c>
      <c r="D157" s="87">
        <v>835</v>
      </c>
      <c r="E157" s="87">
        <v>7594</v>
      </c>
      <c r="F157" s="87">
        <v>10779</v>
      </c>
      <c r="G157" s="87">
        <v>2158</v>
      </c>
      <c r="H157" s="87">
        <v>305</v>
      </c>
      <c r="I157" s="87">
        <v>10</v>
      </c>
      <c r="J157" s="87">
        <v>38</v>
      </c>
      <c r="K157" s="87">
        <v>250</v>
      </c>
      <c r="L157" s="87">
        <v>7</v>
      </c>
      <c r="M157" s="87">
        <v>21061</v>
      </c>
      <c r="N157" s="87">
        <v>825</v>
      </c>
      <c r="O157" s="87">
        <v>7556</v>
      </c>
      <c r="P157" s="87">
        <v>10529</v>
      </c>
      <c r="Q157" s="87">
        <v>2151</v>
      </c>
    </row>
    <row r="158" spans="1:17" x14ac:dyDescent="0.3">
      <c r="A158" s="95"/>
      <c r="B158" s="52" t="s">
        <v>405</v>
      </c>
      <c r="C158" s="87">
        <v>6183</v>
      </c>
      <c r="D158" s="87">
        <v>0</v>
      </c>
      <c r="E158" s="87">
        <v>5306</v>
      </c>
      <c r="F158" s="87">
        <v>867</v>
      </c>
      <c r="G158" s="87">
        <v>10</v>
      </c>
      <c r="H158" s="87">
        <v>9</v>
      </c>
      <c r="I158" s="87">
        <v>0</v>
      </c>
      <c r="J158" s="87">
        <v>5</v>
      </c>
      <c r="K158" s="87">
        <v>4</v>
      </c>
      <c r="L158" s="87">
        <v>0</v>
      </c>
      <c r="M158" s="87">
        <v>6174</v>
      </c>
      <c r="N158" s="87">
        <v>0</v>
      </c>
      <c r="O158" s="87">
        <v>5301</v>
      </c>
      <c r="P158" s="87">
        <v>863</v>
      </c>
      <c r="Q158" s="87">
        <v>10</v>
      </c>
    </row>
    <row r="159" spans="1:17" x14ac:dyDescent="0.3">
      <c r="A159" s="95"/>
      <c r="B159" s="52" t="s">
        <v>406</v>
      </c>
      <c r="C159" s="87">
        <v>417370</v>
      </c>
      <c r="D159" s="87">
        <v>19455</v>
      </c>
      <c r="E159" s="87">
        <v>153490</v>
      </c>
      <c r="F159" s="87">
        <v>210862</v>
      </c>
      <c r="G159" s="87">
        <v>33563</v>
      </c>
      <c r="H159" s="87">
        <v>4891</v>
      </c>
      <c r="I159" s="87">
        <v>172</v>
      </c>
      <c r="J159" s="87">
        <v>1000</v>
      </c>
      <c r="K159" s="87">
        <v>3595</v>
      </c>
      <c r="L159" s="87">
        <v>124</v>
      </c>
      <c r="M159" s="87">
        <v>412479</v>
      </c>
      <c r="N159" s="87">
        <v>19283</v>
      </c>
      <c r="O159" s="87">
        <v>152490</v>
      </c>
      <c r="P159" s="87">
        <v>207267</v>
      </c>
      <c r="Q159" s="87">
        <v>33439</v>
      </c>
    </row>
    <row r="160" spans="1:17" x14ac:dyDescent="0.3">
      <c r="A160" s="95"/>
      <c r="B160" s="52" t="s">
        <v>309</v>
      </c>
      <c r="C160" s="87">
        <v>9558</v>
      </c>
      <c r="D160" s="87">
        <v>953</v>
      </c>
      <c r="E160" s="87">
        <v>3377</v>
      </c>
      <c r="F160" s="87">
        <v>4679</v>
      </c>
      <c r="G160" s="87">
        <v>549</v>
      </c>
      <c r="H160" s="87">
        <v>112</v>
      </c>
      <c r="I160" s="87">
        <v>8</v>
      </c>
      <c r="J160" s="87">
        <v>8</v>
      </c>
      <c r="K160" s="87">
        <v>91</v>
      </c>
      <c r="L160" s="87">
        <v>5</v>
      </c>
      <c r="M160" s="87">
        <v>9446</v>
      </c>
      <c r="N160" s="87">
        <v>945</v>
      </c>
      <c r="O160" s="87">
        <v>3369</v>
      </c>
      <c r="P160" s="87">
        <v>4588</v>
      </c>
      <c r="Q160" s="87">
        <v>544</v>
      </c>
    </row>
    <row r="161" spans="1:17" x14ac:dyDescent="0.3">
      <c r="A161" s="95" t="s">
        <v>32</v>
      </c>
      <c r="B161" s="52" t="s">
        <v>407</v>
      </c>
      <c r="C161" s="87">
        <v>2595</v>
      </c>
      <c r="D161" s="87">
        <v>195</v>
      </c>
      <c r="E161" s="87">
        <v>1095</v>
      </c>
      <c r="F161" s="87">
        <v>1241</v>
      </c>
      <c r="G161" s="87">
        <v>64</v>
      </c>
      <c r="H161" s="87">
        <v>12</v>
      </c>
      <c r="I161" s="87">
        <v>1</v>
      </c>
      <c r="J161" s="87">
        <v>1</v>
      </c>
      <c r="K161" s="87">
        <v>8</v>
      </c>
      <c r="L161" s="87">
        <v>2</v>
      </c>
      <c r="M161" s="87">
        <v>2583</v>
      </c>
      <c r="N161" s="87">
        <v>194</v>
      </c>
      <c r="O161" s="87">
        <v>1094</v>
      </c>
      <c r="P161" s="87">
        <v>1233</v>
      </c>
      <c r="Q161" s="87">
        <v>62</v>
      </c>
    </row>
    <row r="162" spans="1:17" x14ac:dyDescent="0.3">
      <c r="A162" s="95"/>
      <c r="B162" s="52" t="s">
        <v>408</v>
      </c>
      <c r="C162" s="87">
        <v>3301</v>
      </c>
      <c r="D162" s="87">
        <v>285</v>
      </c>
      <c r="E162" s="87">
        <v>1230</v>
      </c>
      <c r="F162" s="87">
        <v>1596</v>
      </c>
      <c r="G162" s="87">
        <v>190</v>
      </c>
      <c r="H162" s="87">
        <v>36</v>
      </c>
      <c r="I162" s="87">
        <v>0</v>
      </c>
      <c r="J162" s="87">
        <v>1</v>
      </c>
      <c r="K162" s="87">
        <v>33</v>
      </c>
      <c r="L162" s="87">
        <v>2</v>
      </c>
      <c r="M162" s="87">
        <v>3265</v>
      </c>
      <c r="N162" s="87">
        <v>285</v>
      </c>
      <c r="O162" s="87">
        <v>1229</v>
      </c>
      <c r="P162" s="87">
        <v>1563</v>
      </c>
      <c r="Q162" s="87">
        <v>188</v>
      </c>
    </row>
    <row r="163" spans="1:17" x14ac:dyDescent="0.3">
      <c r="A163" s="95"/>
      <c r="B163" s="52" t="s">
        <v>409</v>
      </c>
      <c r="C163" s="87">
        <v>3147</v>
      </c>
      <c r="D163" s="87">
        <v>280</v>
      </c>
      <c r="E163" s="87">
        <v>1019</v>
      </c>
      <c r="F163" s="87">
        <v>1741</v>
      </c>
      <c r="G163" s="87">
        <v>107</v>
      </c>
      <c r="H163" s="87">
        <v>68</v>
      </c>
      <c r="I163" s="87">
        <v>14</v>
      </c>
      <c r="J163" s="87">
        <v>3</v>
      </c>
      <c r="K163" s="87">
        <v>49</v>
      </c>
      <c r="L163" s="87">
        <v>2</v>
      </c>
      <c r="M163" s="87">
        <v>3079</v>
      </c>
      <c r="N163" s="87">
        <v>266</v>
      </c>
      <c r="O163" s="87">
        <v>1016</v>
      </c>
      <c r="P163" s="87">
        <v>1692</v>
      </c>
      <c r="Q163" s="87">
        <v>105</v>
      </c>
    </row>
    <row r="164" spans="1:17" x14ac:dyDescent="0.3">
      <c r="A164" s="95"/>
      <c r="B164" s="52" t="s">
        <v>410</v>
      </c>
      <c r="C164" s="87">
        <v>3580</v>
      </c>
      <c r="D164" s="87">
        <v>282</v>
      </c>
      <c r="E164" s="87">
        <v>1199</v>
      </c>
      <c r="F164" s="87">
        <v>1873</v>
      </c>
      <c r="G164" s="87">
        <v>226</v>
      </c>
      <c r="H164" s="87">
        <v>58</v>
      </c>
      <c r="I164" s="87">
        <v>4</v>
      </c>
      <c r="J164" s="87">
        <v>6</v>
      </c>
      <c r="K164" s="87">
        <v>45</v>
      </c>
      <c r="L164" s="87">
        <v>3</v>
      </c>
      <c r="M164" s="87">
        <v>3522</v>
      </c>
      <c r="N164" s="87">
        <v>278</v>
      </c>
      <c r="O164" s="87">
        <v>1193</v>
      </c>
      <c r="P164" s="87">
        <v>1828</v>
      </c>
      <c r="Q164" s="87">
        <v>223</v>
      </c>
    </row>
    <row r="165" spans="1:17" x14ac:dyDescent="0.3">
      <c r="A165" s="95"/>
      <c r="B165" s="52" t="s">
        <v>411</v>
      </c>
      <c r="C165" s="87">
        <v>1180</v>
      </c>
      <c r="D165" s="87">
        <v>131</v>
      </c>
      <c r="E165" s="87">
        <v>482</v>
      </c>
      <c r="F165" s="87">
        <v>534</v>
      </c>
      <c r="G165" s="87">
        <v>33</v>
      </c>
      <c r="H165" s="87">
        <v>20</v>
      </c>
      <c r="I165" s="87">
        <v>1</v>
      </c>
      <c r="J165" s="87">
        <v>0</v>
      </c>
      <c r="K165" s="87">
        <v>19</v>
      </c>
      <c r="L165" s="87">
        <v>0</v>
      </c>
      <c r="M165" s="87">
        <v>1160</v>
      </c>
      <c r="N165" s="87">
        <v>130</v>
      </c>
      <c r="O165" s="87">
        <v>482</v>
      </c>
      <c r="P165" s="87">
        <v>515</v>
      </c>
      <c r="Q165" s="87">
        <v>33</v>
      </c>
    </row>
    <row r="166" spans="1:17" x14ac:dyDescent="0.3">
      <c r="A166" s="95"/>
      <c r="B166" s="52" t="s">
        <v>412</v>
      </c>
      <c r="C166" s="87">
        <v>2164</v>
      </c>
      <c r="D166" s="87">
        <v>183</v>
      </c>
      <c r="E166" s="87">
        <v>875</v>
      </c>
      <c r="F166" s="87">
        <v>1010</v>
      </c>
      <c r="G166" s="87">
        <v>96</v>
      </c>
      <c r="H166" s="87">
        <v>24</v>
      </c>
      <c r="I166" s="87">
        <v>1</v>
      </c>
      <c r="J166" s="87">
        <v>0</v>
      </c>
      <c r="K166" s="87">
        <v>23</v>
      </c>
      <c r="L166" s="87">
        <v>0</v>
      </c>
      <c r="M166" s="87">
        <v>2140</v>
      </c>
      <c r="N166" s="87">
        <v>182</v>
      </c>
      <c r="O166" s="87">
        <v>875</v>
      </c>
      <c r="P166" s="87">
        <v>987</v>
      </c>
      <c r="Q166" s="87">
        <v>96</v>
      </c>
    </row>
    <row r="167" spans="1:17" x14ac:dyDescent="0.3">
      <c r="A167" s="95"/>
      <c r="B167" s="52" t="s">
        <v>413</v>
      </c>
      <c r="C167" s="87">
        <v>2631</v>
      </c>
      <c r="D167" s="87">
        <v>174</v>
      </c>
      <c r="E167" s="87">
        <v>1433</v>
      </c>
      <c r="F167" s="87">
        <v>933</v>
      </c>
      <c r="G167" s="87">
        <v>91</v>
      </c>
      <c r="H167" s="87">
        <v>41</v>
      </c>
      <c r="I167" s="87">
        <v>0</v>
      </c>
      <c r="J167" s="87">
        <v>12</v>
      </c>
      <c r="K167" s="87">
        <v>28</v>
      </c>
      <c r="L167" s="87">
        <v>1</v>
      </c>
      <c r="M167" s="87">
        <v>2590</v>
      </c>
      <c r="N167" s="87">
        <v>174</v>
      </c>
      <c r="O167" s="87">
        <v>1421</v>
      </c>
      <c r="P167" s="87">
        <v>905</v>
      </c>
      <c r="Q167" s="87">
        <v>90</v>
      </c>
    </row>
    <row r="168" spans="1:17" x14ac:dyDescent="0.3">
      <c r="A168" s="95"/>
      <c r="B168" s="52" t="s">
        <v>414</v>
      </c>
      <c r="C168" s="87">
        <v>12407</v>
      </c>
      <c r="D168" s="87">
        <v>763</v>
      </c>
      <c r="E168" s="87">
        <v>4426</v>
      </c>
      <c r="F168" s="87">
        <v>6260</v>
      </c>
      <c r="G168" s="87">
        <v>958</v>
      </c>
      <c r="H168" s="87">
        <v>148</v>
      </c>
      <c r="I168" s="87">
        <v>6</v>
      </c>
      <c r="J168" s="87">
        <v>6</v>
      </c>
      <c r="K168" s="87">
        <v>127</v>
      </c>
      <c r="L168" s="87">
        <v>9</v>
      </c>
      <c r="M168" s="87">
        <v>12259</v>
      </c>
      <c r="N168" s="87">
        <v>757</v>
      </c>
      <c r="O168" s="87">
        <v>4420</v>
      </c>
      <c r="P168" s="87">
        <v>6133</v>
      </c>
      <c r="Q168" s="87">
        <v>949</v>
      </c>
    </row>
    <row r="169" spans="1:17" x14ac:dyDescent="0.3">
      <c r="A169" s="95"/>
      <c r="B169" s="52" t="s">
        <v>415</v>
      </c>
      <c r="C169" s="87">
        <v>1772</v>
      </c>
      <c r="D169" s="87">
        <v>153</v>
      </c>
      <c r="E169" s="87">
        <v>700</v>
      </c>
      <c r="F169" s="87">
        <v>851</v>
      </c>
      <c r="G169" s="87">
        <v>68</v>
      </c>
      <c r="H169" s="87">
        <v>35</v>
      </c>
      <c r="I169" s="87">
        <v>2</v>
      </c>
      <c r="J169" s="87">
        <v>3</v>
      </c>
      <c r="K169" s="87">
        <v>28</v>
      </c>
      <c r="L169" s="87">
        <v>2</v>
      </c>
      <c r="M169" s="87">
        <v>1737</v>
      </c>
      <c r="N169" s="87">
        <v>151</v>
      </c>
      <c r="O169" s="87">
        <v>697</v>
      </c>
      <c r="P169" s="87">
        <v>823</v>
      </c>
      <c r="Q169" s="87">
        <v>66</v>
      </c>
    </row>
    <row r="170" spans="1:17" x14ac:dyDescent="0.3">
      <c r="A170" s="95"/>
      <c r="B170" s="52" t="s">
        <v>416</v>
      </c>
      <c r="C170" s="87">
        <v>2159</v>
      </c>
      <c r="D170" s="87">
        <v>135</v>
      </c>
      <c r="E170" s="87">
        <v>1098</v>
      </c>
      <c r="F170" s="87">
        <v>862</v>
      </c>
      <c r="G170" s="87">
        <v>64</v>
      </c>
      <c r="H170" s="87">
        <v>48</v>
      </c>
      <c r="I170" s="87">
        <v>4</v>
      </c>
      <c r="J170" s="87">
        <v>0</v>
      </c>
      <c r="K170" s="87">
        <v>43</v>
      </c>
      <c r="L170" s="87">
        <v>1</v>
      </c>
      <c r="M170" s="87">
        <v>2111</v>
      </c>
      <c r="N170" s="87">
        <v>131</v>
      </c>
      <c r="O170" s="87">
        <v>1098</v>
      </c>
      <c r="P170" s="87">
        <v>819</v>
      </c>
      <c r="Q170" s="87">
        <v>63</v>
      </c>
    </row>
    <row r="171" spans="1:17" x14ac:dyDescent="0.3">
      <c r="A171" s="95"/>
      <c r="B171" s="52" t="s">
        <v>417</v>
      </c>
      <c r="C171" s="87">
        <v>3275</v>
      </c>
      <c r="D171" s="87">
        <v>193</v>
      </c>
      <c r="E171" s="87">
        <v>1578</v>
      </c>
      <c r="F171" s="87">
        <v>1390</v>
      </c>
      <c r="G171" s="87">
        <v>114</v>
      </c>
      <c r="H171" s="87">
        <v>31</v>
      </c>
      <c r="I171" s="87">
        <v>0</v>
      </c>
      <c r="J171" s="87">
        <v>2</v>
      </c>
      <c r="K171" s="87">
        <v>29</v>
      </c>
      <c r="L171" s="87">
        <v>0</v>
      </c>
      <c r="M171" s="87">
        <v>3244</v>
      </c>
      <c r="N171" s="87">
        <v>193</v>
      </c>
      <c r="O171" s="87">
        <v>1576</v>
      </c>
      <c r="P171" s="87">
        <v>1361</v>
      </c>
      <c r="Q171" s="87">
        <v>114</v>
      </c>
    </row>
    <row r="172" spans="1:17" x14ac:dyDescent="0.3">
      <c r="A172" s="95"/>
      <c r="B172" s="52" t="s">
        <v>418</v>
      </c>
      <c r="C172" s="87">
        <v>8459</v>
      </c>
      <c r="D172" s="87">
        <v>744</v>
      </c>
      <c r="E172" s="87">
        <v>2267</v>
      </c>
      <c r="F172" s="87">
        <v>4739</v>
      </c>
      <c r="G172" s="87">
        <v>709</v>
      </c>
      <c r="H172" s="87">
        <v>102</v>
      </c>
      <c r="I172" s="87">
        <v>4</v>
      </c>
      <c r="J172" s="87">
        <v>2</v>
      </c>
      <c r="K172" s="87">
        <v>90</v>
      </c>
      <c r="L172" s="87">
        <v>6</v>
      </c>
      <c r="M172" s="87">
        <v>8357</v>
      </c>
      <c r="N172" s="87">
        <v>740</v>
      </c>
      <c r="O172" s="87">
        <v>2265</v>
      </c>
      <c r="P172" s="87">
        <v>4649</v>
      </c>
      <c r="Q172" s="87">
        <v>703</v>
      </c>
    </row>
    <row r="173" spans="1:17" x14ac:dyDescent="0.3">
      <c r="A173" s="95"/>
      <c r="B173" s="52" t="s">
        <v>419</v>
      </c>
      <c r="C173" s="87">
        <v>1145</v>
      </c>
      <c r="D173" s="87">
        <v>65</v>
      </c>
      <c r="E173" s="87">
        <v>340</v>
      </c>
      <c r="F173" s="87">
        <v>667</v>
      </c>
      <c r="G173" s="87">
        <v>73</v>
      </c>
      <c r="H173" s="87">
        <v>22</v>
      </c>
      <c r="I173" s="87">
        <v>0</v>
      </c>
      <c r="J173" s="87">
        <v>0</v>
      </c>
      <c r="K173" s="87">
        <v>22</v>
      </c>
      <c r="L173" s="87">
        <v>0</v>
      </c>
      <c r="M173" s="87">
        <v>1123</v>
      </c>
      <c r="N173" s="87">
        <v>65</v>
      </c>
      <c r="O173" s="87">
        <v>340</v>
      </c>
      <c r="P173" s="87">
        <v>645</v>
      </c>
      <c r="Q173" s="87">
        <v>73</v>
      </c>
    </row>
    <row r="174" spans="1:17" x14ac:dyDescent="0.3">
      <c r="A174" s="95"/>
      <c r="B174" s="52" t="s">
        <v>420</v>
      </c>
      <c r="C174" s="87">
        <v>2383</v>
      </c>
      <c r="D174" s="87">
        <v>256</v>
      </c>
      <c r="E174" s="87">
        <v>873</v>
      </c>
      <c r="F174" s="87">
        <v>1102</v>
      </c>
      <c r="G174" s="87">
        <v>152</v>
      </c>
      <c r="H174" s="87">
        <v>44</v>
      </c>
      <c r="I174" s="87">
        <v>0</v>
      </c>
      <c r="J174" s="87">
        <v>4</v>
      </c>
      <c r="K174" s="87">
        <v>38</v>
      </c>
      <c r="L174" s="87">
        <v>2</v>
      </c>
      <c r="M174" s="87">
        <v>2339</v>
      </c>
      <c r="N174" s="87">
        <v>256</v>
      </c>
      <c r="O174" s="87">
        <v>869</v>
      </c>
      <c r="P174" s="87">
        <v>1064</v>
      </c>
      <c r="Q174" s="87">
        <v>150</v>
      </c>
    </row>
    <row r="175" spans="1:17" x14ac:dyDescent="0.3">
      <c r="A175" s="95"/>
      <c r="B175" s="52" t="s">
        <v>421</v>
      </c>
      <c r="C175" s="87">
        <v>3139</v>
      </c>
      <c r="D175" s="87">
        <v>345</v>
      </c>
      <c r="E175" s="87">
        <v>1066</v>
      </c>
      <c r="F175" s="87">
        <v>1548</v>
      </c>
      <c r="G175" s="87">
        <v>180</v>
      </c>
      <c r="H175" s="87">
        <v>71</v>
      </c>
      <c r="I175" s="87">
        <v>3</v>
      </c>
      <c r="J175" s="87">
        <v>3</v>
      </c>
      <c r="K175" s="87">
        <v>63</v>
      </c>
      <c r="L175" s="87">
        <v>2</v>
      </c>
      <c r="M175" s="87">
        <v>3068</v>
      </c>
      <c r="N175" s="87">
        <v>342</v>
      </c>
      <c r="O175" s="87">
        <v>1063</v>
      </c>
      <c r="P175" s="87">
        <v>1485</v>
      </c>
      <c r="Q175" s="87">
        <v>178</v>
      </c>
    </row>
    <row r="176" spans="1:17" x14ac:dyDescent="0.3">
      <c r="A176" s="95"/>
      <c r="B176" s="52" t="s">
        <v>422</v>
      </c>
      <c r="C176" s="87">
        <v>1264</v>
      </c>
      <c r="D176" s="87">
        <v>175</v>
      </c>
      <c r="E176" s="87">
        <v>425</v>
      </c>
      <c r="F176" s="87">
        <v>615</v>
      </c>
      <c r="G176" s="87">
        <v>49</v>
      </c>
      <c r="H176" s="87">
        <v>27</v>
      </c>
      <c r="I176" s="87">
        <v>2</v>
      </c>
      <c r="J176" s="87">
        <v>0</v>
      </c>
      <c r="K176" s="87">
        <v>25</v>
      </c>
      <c r="L176" s="87">
        <v>0</v>
      </c>
      <c r="M176" s="87">
        <v>1237</v>
      </c>
      <c r="N176" s="87">
        <v>173</v>
      </c>
      <c r="O176" s="87">
        <v>425</v>
      </c>
      <c r="P176" s="87">
        <v>590</v>
      </c>
      <c r="Q176" s="87">
        <v>49</v>
      </c>
    </row>
    <row r="177" spans="1:17" x14ac:dyDescent="0.3">
      <c r="A177" s="95"/>
      <c r="B177" s="52" t="s">
        <v>423</v>
      </c>
      <c r="C177" s="87">
        <v>2699</v>
      </c>
      <c r="D177" s="87">
        <v>309</v>
      </c>
      <c r="E177" s="87">
        <v>994</v>
      </c>
      <c r="F177" s="87">
        <v>1287</v>
      </c>
      <c r="G177" s="87">
        <v>109</v>
      </c>
      <c r="H177" s="87">
        <v>56</v>
      </c>
      <c r="I177" s="87">
        <v>5</v>
      </c>
      <c r="J177" s="87">
        <v>4</v>
      </c>
      <c r="K177" s="87">
        <v>47</v>
      </c>
      <c r="L177" s="87">
        <v>0</v>
      </c>
      <c r="M177" s="87">
        <v>2643</v>
      </c>
      <c r="N177" s="87">
        <v>304</v>
      </c>
      <c r="O177" s="87">
        <v>990</v>
      </c>
      <c r="P177" s="87">
        <v>1240</v>
      </c>
      <c r="Q177" s="87">
        <v>109</v>
      </c>
    </row>
    <row r="178" spans="1:17" x14ac:dyDescent="0.3">
      <c r="A178" s="95"/>
      <c r="B178" s="52" t="s">
        <v>424</v>
      </c>
      <c r="C178" s="87">
        <v>79</v>
      </c>
      <c r="D178" s="87">
        <v>0</v>
      </c>
      <c r="E178" s="87">
        <v>71</v>
      </c>
      <c r="F178" s="87">
        <v>7</v>
      </c>
      <c r="G178" s="87">
        <v>1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79</v>
      </c>
      <c r="N178" s="87">
        <v>0</v>
      </c>
      <c r="O178" s="87">
        <v>71</v>
      </c>
      <c r="P178" s="87">
        <v>7</v>
      </c>
      <c r="Q178" s="87">
        <v>1</v>
      </c>
    </row>
    <row r="179" spans="1:17" x14ac:dyDescent="0.3">
      <c r="A179" s="95"/>
      <c r="B179" s="52" t="s">
        <v>425</v>
      </c>
      <c r="C179" s="87">
        <v>66937</v>
      </c>
      <c r="D179" s="87">
        <v>5621</v>
      </c>
      <c r="E179" s="87">
        <v>24548</v>
      </c>
      <c r="F179" s="87">
        <v>32935</v>
      </c>
      <c r="G179" s="87">
        <v>3833</v>
      </c>
      <c r="H179" s="87">
        <v>955</v>
      </c>
      <c r="I179" s="87">
        <v>55</v>
      </c>
      <c r="J179" s="87">
        <v>55</v>
      </c>
      <c r="K179" s="87">
        <v>808</v>
      </c>
      <c r="L179" s="87">
        <v>37</v>
      </c>
      <c r="M179" s="87">
        <v>65982</v>
      </c>
      <c r="N179" s="87">
        <v>5566</v>
      </c>
      <c r="O179" s="87">
        <v>24493</v>
      </c>
      <c r="P179" s="87">
        <v>32127</v>
      </c>
      <c r="Q179" s="87">
        <v>3796</v>
      </c>
    </row>
    <row r="180" spans="1:17" x14ac:dyDescent="0.3">
      <c r="A180" s="95"/>
      <c r="B180" s="52" t="s">
        <v>309</v>
      </c>
      <c r="C180" s="87">
        <v>4595</v>
      </c>
      <c r="D180" s="87">
        <v>407</v>
      </c>
      <c r="E180" s="87">
        <v>2456</v>
      </c>
      <c r="F180" s="87">
        <v>1624</v>
      </c>
      <c r="G180" s="87">
        <v>108</v>
      </c>
      <c r="H180" s="87">
        <v>110</v>
      </c>
      <c r="I180" s="87">
        <v>2</v>
      </c>
      <c r="J180" s="87">
        <v>50</v>
      </c>
      <c r="K180" s="87">
        <v>55</v>
      </c>
      <c r="L180" s="87">
        <v>3</v>
      </c>
      <c r="M180" s="87">
        <v>4485</v>
      </c>
      <c r="N180" s="87">
        <v>405</v>
      </c>
      <c r="O180" s="87">
        <v>2406</v>
      </c>
      <c r="P180" s="87">
        <v>1569</v>
      </c>
      <c r="Q180" s="87">
        <v>105</v>
      </c>
    </row>
    <row r="181" spans="1:17" x14ac:dyDescent="0.3">
      <c r="A181" s="95" t="s">
        <v>33</v>
      </c>
      <c r="B181" s="52" t="s">
        <v>426</v>
      </c>
      <c r="C181" s="87">
        <v>1977</v>
      </c>
      <c r="D181" s="87">
        <v>208</v>
      </c>
      <c r="E181" s="87">
        <v>767</v>
      </c>
      <c r="F181" s="87">
        <v>937</v>
      </c>
      <c r="G181" s="87">
        <v>65</v>
      </c>
      <c r="H181" s="87">
        <v>72</v>
      </c>
      <c r="I181" s="87">
        <v>9</v>
      </c>
      <c r="J181" s="87">
        <v>18</v>
      </c>
      <c r="K181" s="87">
        <v>42</v>
      </c>
      <c r="L181" s="87">
        <v>3</v>
      </c>
      <c r="M181" s="87">
        <v>1905</v>
      </c>
      <c r="N181" s="87">
        <v>199</v>
      </c>
      <c r="O181" s="87">
        <v>749</v>
      </c>
      <c r="P181" s="87">
        <v>895</v>
      </c>
      <c r="Q181" s="87">
        <v>62</v>
      </c>
    </row>
    <row r="182" spans="1:17" x14ac:dyDescent="0.3">
      <c r="A182" s="95"/>
      <c r="B182" s="52" t="s">
        <v>427</v>
      </c>
      <c r="C182" s="87">
        <v>4539</v>
      </c>
      <c r="D182" s="87">
        <v>601</v>
      </c>
      <c r="E182" s="87">
        <v>1796</v>
      </c>
      <c r="F182" s="87">
        <v>2052</v>
      </c>
      <c r="G182" s="87">
        <v>90</v>
      </c>
      <c r="H182" s="87">
        <v>50</v>
      </c>
      <c r="I182" s="87">
        <v>0</v>
      </c>
      <c r="J182" s="87">
        <v>17</v>
      </c>
      <c r="K182" s="87">
        <v>32</v>
      </c>
      <c r="L182" s="87">
        <v>1</v>
      </c>
      <c r="M182" s="87">
        <v>4489</v>
      </c>
      <c r="N182" s="87">
        <v>601</v>
      </c>
      <c r="O182" s="87">
        <v>1779</v>
      </c>
      <c r="P182" s="87">
        <v>2020</v>
      </c>
      <c r="Q182" s="87">
        <v>89</v>
      </c>
    </row>
    <row r="183" spans="1:17" x14ac:dyDescent="0.3">
      <c r="A183" s="95"/>
      <c r="B183" s="52" t="s">
        <v>428</v>
      </c>
      <c r="C183" s="87">
        <v>5162</v>
      </c>
      <c r="D183" s="87">
        <v>767</v>
      </c>
      <c r="E183" s="87">
        <v>2085</v>
      </c>
      <c r="F183" s="87">
        <v>2226</v>
      </c>
      <c r="G183" s="87">
        <v>84</v>
      </c>
      <c r="H183" s="87">
        <v>86</v>
      </c>
      <c r="I183" s="87">
        <v>2</v>
      </c>
      <c r="J183" s="87">
        <v>17</v>
      </c>
      <c r="K183" s="87">
        <v>66</v>
      </c>
      <c r="L183" s="87">
        <v>1</v>
      </c>
      <c r="M183" s="87">
        <v>5076</v>
      </c>
      <c r="N183" s="87">
        <v>765</v>
      </c>
      <c r="O183" s="87">
        <v>2068</v>
      </c>
      <c r="P183" s="87">
        <v>2160</v>
      </c>
      <c r="Q183" s="87">
        <v>83</v>
      </c>
    </row>
    <row r="184" spans="1:17" x14ac:dyDescent="0.3">
      <c r="A184" s="95"/>
      <c r="B184" s="52" t="s">
        <v>429</v>
      </c>
      <c r="C184" s="87">
        <v>5879</v>
      </c>
      <c r="D184" s="87">
        <v>736</v>
      </c>
      <c r="E184" s="87">
        <v>2398</v>
      </c>
      <c r="F184" s="87">
        <v>2631</v>
      </c>
      <c r="G184" s="87">
        <v>114</v>
      </c>
      <c r="H184" s="87">
        <v>53</v>
      </c>
      <c r="I184" s="87">
        <v>3</v>
      </c>
      <c r="J184" s="87">
        <v>10</v>
      </c>
      <c r="K184" s="87">
        <v>39</v>
      </c>
      <c r="L184" s="87">
        <v>1</v>
      </c>
      <c r="M184" s="87">
        <v>5826</v>
      </c>
      <c r="N184" s="87">
        <v>733</v>
      </c>
      <c r="O184" s="87">
        <v>2388</v>
      </c>
      <c r="P184" s="87">
        <v>2592</v>
      </c>
      <c r="Q184" s="87">
        <v>113</v>
      </c>
    </row>
    <row r="185" spans="1:17" x14ac:dyDescent="0.3">
      <c r="A185" s="95"/>
      <c r="B185" s="52" t="s">
        <v>430</v>
      </c>
      <c r="C185" s="87">
        <v>9476</v>
      </c>
      <c r="D185" s="87">
        <v>534</v>
      </c>
      <c r="E185" s="87">
        <v>5317</v>
      </c>
      <c r="F185" s="87">
        <v>3291</v>
      </c>
      <c r="G185" s="87">
        <v>334</v>
      </c>
      <c r="H185" s="87">
        <v>133</v>
      </c>
      <c r="I185" s="87">
        <v>2</v>
      </c>
      <c r="J185" s="87">
        <v>45</v>
      </c>
      <c r="K185" s="87">
        <v>84</v>
      </c>
      <c r="L185" s="87">
        <v>2</v>
      </c>
      <c r="M185" s="87">
        <v>9343</v>
      </c>
      <c r="N185" s="87">
        <v>532</v>
      </c>
      <c r="O185" s="87">
        <v>5272</v>
      </c>
      <c r="P185" s="87">
        <v>3207</v>
      </c>
      <c r="Q185" s="87">
        <v>332</v>
      </c>
    </row>
    <row r="186" spans="1:17" x14ac:dyDescent="0.3">
      <c r="A186" s="95"/>
      <c r="B186" s="52" t="s">
        <v>431</v>
      </c>
      <c r="C186" s="87">
        <v>6152</v>
      </c>
      <c r="D186" s="87">
        <v>495</v>
      </c>
      <c r="E186" s="87">
        <v>2553</v>
      </c>
      <c r="F186" s="87">
        <v>2808</v>
      </c>
      <c r="G186" s="87">
        <v>296</v>
      </c>
      <c r="H186" s="87">
        <v>74</v>
      </c>
      <c r="I186" s="87">
        <v>3</v>
      </c>
      <c r="J186" s="87">
        <v>18</v>
      </c>
      <c r="K186" s="87">
        <v>50</v>
      </c>
      <c r="L186" s="87">
        <v>3</v>
      </c>
      <c r="M186" s="87">
        <v>6078</v>
      </c>
      <c r="N186" s="87">
        <v>492</v>
      </c>
      <c r="O186" s="87">
        <v>2535</v>
      </c>
      <c r="P186" s="87">
        <v>2758</v>
      </c>
      <c r="Q186" s="87">
        <v>293</v>
      </c>
    </row>
    <row r="187" spans="1:17" x14ac:dyDescent="0.3">
      <c r="A187" s="95"/>
      <c r="B187" s="52" t="s">
        <v>432</v>
      </c>
      <c r="C187" s="87">
        <v>2074</v>
      </c>
      <c r="D187" s="87">
        <v>185</v>
      </c>
      <c r="E187" s="87">
        <v>896</v>
      </c>
      <c r="F187" s="87">
        <v>883</v>
      </c>
      <c r="G187" s="87">
        <v>110</v>
      </c>
      <c r="H187" s="87">
        <v>29</v>
      </c>
      <c r="I187" s="87">
        <v>10</v>
      </c>
      <c r="J187" s="87">
        <v>12</v>
      </c>
      <c r="K187" s="87">
        <v>7</v>
      </c>
      <c r="L187" s="87">
        <v>0</v>
      </c>
      <c r="M187" s="87">
        <v>2045</v>
      </c>
      <c r="N187" s="87">
        <v>175</v>
      </c>
      <c r="O187" s="87">
        <v>884</v>
      </c>
      <c r="P187" s="87">
        <v>876</v>
      </c>
      <c r="Q187" s="87">
        <v>110</v>
      </c>
    </row>
    <row r="188" spans="1:17" x14ac:dyDescent="0.3">
      <c r="A188" s="95"/>
      <c r="B188" s="52" t="s">
        <v>433</v>
      </c>
      <c r="C188" s="87">
        <v>5216</v>
      </c>
      <c r="D188" s="87">
        <v>337</v>
      </c>
      <c r="E188" s="87">
        <v>2399</v>
      </c>
      <c r="F188" s="87">
        <v>2238</v>
      </c>
      <c r="G188" s="87">
        <v>242</v>
      </c>
      <c r="H188" s="87">
        <v>66</v>
      </c>
      <c r="I188" s="87">
        <v>3</v>
      </c>
      <c r="J188" s="87">
        <v>14</v>
      </c>
      <c r="K188" s="87">
        <v>47</v>
      </c>
      <c r="L188" s="87">
        <v>2</v>
      </c>
      <c r="M188" s="87">
        <v>5150</v>
      </c>
      <c r="N188" s="87">
        <v>334</v>
      </c>
      <c r="O188" s="87">
        <v>2385</v>
      </c>
      <c r="P188" s="87">
        <v>2191</v>
      </c>
      <c r="Q188" s="87">
        <v>240</v>
      </c>
    </row>
    <row r="189" spans="1:17" x14ac:dyDescent="0.3">
      <c r="A189" s="95"/>
      <c r="B189" s="52" t="s">
        <v>434</v>
      </c>
      <c r="C189" s="87">
        <v>855</v>
      </c>
      <c r="D189" s="87">
        <v>3</v>
      </c>
      <c r="E189" s="87">
        <v>549</v>
      </c>
      <c r="F189" s="87">
        <v>302</v>
      </c>
      <c r="G189" s="87">
        <v>1</v>
      </c>
      <c r="H189" s="87">
        <v>10</v>
      </c>
      <c r="I189" s="87">
        <v>3</v>
      </c>
      <c r="J189" s="87">
        <v>3</v>
      </c>
      <c r="K189" s="87">
        <v>4</v>
      </c>
      <c r="L189" s="87">
        <v>0</v>
      </c>
      <c r="M189" s="87">
        <v>845</v>
      </c>
      <c r="N189" s="87">
        <v>0</v>
      </c>
      <c r="O189" s="87">
        <v>546</v>
      </c>
      <c r="P189" s="87">
        <v>298</v>
      </c>
      <c r="Q189" s="87">
        <v>1</v>
      </c>
    </row>
    <row r="190" spans="1:17" x14ac:dyDescent="0.3">
      <c r="A190" s="95"/>
      <c r="B190" s="52" t="s">
        <v>435</v>
      </c>
      <c r="C190" s="87">
        <v>9072</v>
      </c>
      <c r="D190" s="87">
        <v>431</v>
      </c>
      <c r="E190" s="87">
        <v>4130</v>
      </c>
      <c r="F190" s="87">
        <v>4014</v>
      </c>
      <c r="G190" s="87">
        <v>497</v>
      </c>
      <c r="H190" s="87">
        <v>58</v>
      </c>
      <c r="I190" s="87">
        <v>2</v>
      </c>
      <c r="J190" s="87">
        <v>21</v>
      </c>
      <c r="K190" s="87">
        <v>34</v>
      </c>
      <c r="L190" s="87">
        <v>1</v>
      </c>
      <c r="M190" s="87">
        <v>9014</v>
      </c>
      <c r="N190" s="87">
        <v>429</v>
      </c>
      <c r="O190" s="87">
        <v>4109</v>
      </c>
      <c r="P190" s="87">
        <v>3980</v>
      </c>
      <c r="Q190" s="87">
        <v>496</v>
      </c>
    </row>
    <row r="191" spans="1:17" x14ac:dyDescent="0.3">
      <c r="A191" s="95"/>
      <c r="B191" s="52" t="s">
        <v>436</v>
      </c>
      <c r="C191" s="87">
        <v>7348</v>
      </c>
      <c r="D191" s="87">
        <v>375</v>
      </c>
      <c r="E191" s="87">
        <v>3009</v>
      </c>
      <c r="F191" s="87">
        <v>3510</v>
      </c>
      <c r="G191" s="87">
        <v>454</v>
      </c>
      <c r="H191" s="87">
        <v>22</v>
      </c>
      <c r="I191" s="87">
        <v>8</v>
      </c>
      <c r="J191" s="87">
        <v>10</v>
      </c>
      <c r="K191" s="87">
        <v>4</v>
      </c>
      <c r="L191" s="87">
        <v>0</v>
      </c>
      <c r="M191" s="87">
        <v>7326</v>
      </c>
      <c r="N191" s="87">
        <v>367</v>
      </c>
      <c r="O191" s="87">
        <v>2999</v>
      </c>
      <c r="P191" s="87">
        <v>3506</v>
      </c>
      <c r="Q191" s="87">
        <v>454</v>
      </c>
    </row>
    <row r="192" spans="1:17" x14ac:dyDescent="0.3">
      <c r="A192" s="95"/>
      <c r="B192" s="52" t="s">
        <v>437</v>
      </c>
      <c r="C192" s="87">
        <v>7629</v>
      </c>
      <c r="D192" s="87">
        <v>375</v>
      </c>
      <c r="E192" s="87">
        <v>3053</v>
      </c>
      <c r="F192" s="87">
        <v>3642</v>
      </c>
      <c r="G192" s="87">
        <v>559</v>
      </c>
      <c r="H192" s="87">
        <v>120</v>
      </c>
      <c r="I192" s="87">
        <v>2</v>
      </c>
      <c r="J192" s="87">
        <v>1</v>
      </c>
      <c r="K192" s="87">
        <v>104</v>
      </c>
      <c r="L192" s="87">
        <v>13</v>
      </c>
      <c r="M192" s="87">
        <v>7509</v>
      </c>
      <c r="N192" s="87">
        <v>373</v>
      </c>
      <c r="O192" s="87">
        <v>3052</v>
      </c>
      <c r="P192" s="87">
        <v>3538</v>
      </c>
      <c r="Q192" s="87">
        <v>546</v>
      </c>
    </row>
    <row r="193" spans="1:17" x14ac:dyDescent="0.3">
      <c r="A193" s="95"/>
      <c r="B193" s="52" t="s">
        <v>438</v>
      </c>
      <c r="C193" s="87">
        <v>11406</v>
      </c>
      <c r="D193" s="87">
        <v>473</v>
      </c>
      <c r="E193" s="87">
        <v>4913</v>
      </c>
      <c r="F193" s="87">
        <v>5324</v>
      </c>
      <c r="G193" s="87">
        <v>696</v>
      </c>
      <c r="H193" s="87">
        <v>175</v>
      </c>
      <c r="I193" s="87">
        <v>3</v>
      </c>
      <c r="J193" s="87">
        <v>16</v>
      </c>
      <c r="K193" s="87">
        <v>155</v>
      </c>
      <c r="L193" s="87">
        <v>1</v>
      </c>
      <c r="M193" s="87">
        <v>11231</v>
      </c>
      <c r="N193" s="87">
        <v>470</v>
      </c>
      <c r="O193" s="87">
        <v>4897</v>
      </c>
      <c r="P193" s="87">
        <v>5169</v>
      </c>
      <c r="Q193" s="87">
        <v>695</v>
      </c>
    </row>
    <row r="194" spans="1:17" x14ac:dyDescent="0.3">
      <c r="A194" s="95"/>
      <c r="B194" s="52" t="s">
        <v>439</v>
      </c>
      <c r="C194" s="87">
        <v>10930</v>
      </c>
      <c r="D194" s="87">
        <v>1066</v>
      </c>
      <c r="E194" s="87">
        <v>4323</v>
      </c>
      <c r="F194" s="87">
        <v>5085</v>
      </c>
      <c r="G194" s="87">
        <v>456</v>
      </c>
      <c r="H194" s="87">
        <v>161</v>
      </c>
      <c r="I194" s="87">
        <v>21</v>
      </c>
      <c r="J194" s="87">
        <v>16</v>
      </c>
      <c r="K194" s="87">
        <v>120</v>
      </c>
      <c r="L194" s="87">
        <v>4</v>
      </c>
      <c r="M194" s="87">
        <v>10769</v>
      </c>
      <c r="N194" s="87">
        <v>1045</v>
      </c>
      <c r="O194" s="87">
        <v>4307</v>
      </c>
      <c r="P194" s="87">
        <v>4965</v>
      </c>
      <c r="Q194" s="87">
        <v>452</v>
      </c>
    </row>
    <row r="195" spans="1:17" x14ac:dyDescent="0.3">
      <c r="A195" s="95"/>
      <c r="B195" s="52" t="s">
        <v>440</v>
      </c>
      <c r="C195" s="87">
        <v>98</v>
      </c>
      <c r="D195" s="87">
        <v>0</v>
      </c>
      <c r="E195" s="87">
        <v>77</v>
      </c>
      <c r="F195" s="87">
        <v>21</v>
      </c>
      <c r="G195" s="87">
        <v>0</v>
      </c>
      <c r="H195" s="87">
        <v>1</v>
      </c>
      <c r="I195" s="87">
        <v>0</v>
      </c>
      <c r="J195" s="87">
        <v>1</v>
      </c>
      <c r="K195" s="87">
        <v>0</v>
      </c>
      <c r="L195" s="87">
        <v>0</v>
      </c>
      <c r="M195" s="87">
        <v>97</v>
      </c>
      <c r="N195" s="87">
        <v>0</v>
      </c>
      <c r="O195" s="87">
        <v>76</v>
      </c>
      <c r="P195" s="87">
        <v>21</v>
      </c>
      <c r="Q195" s="87">
        <v>0</v>
      </c>
    </row>
    <row r="196" spans="1:17" x14ac:dyDescent="0.3">
      <c r="A196" s="95"/>
      <c r="B196" s="52" t="s">
        <v>441</v>
      </c>
      <c r="C196" s="87">
        <v>92408</v>
      </c>
      <c r="D196" s="87">
        <v>6993</v>
      </c>
      <c r="E196" s="87">
        <v>40721</v>
      </c>
      <c r="F196" s="87">
        <v>40588</v>
      </c>
      <c r="G196" s="87">
        <v>4106</v>
      </c>
      <c r="H196" s="87">
        <v>1220</v>
      </c>
      <c r="I196" s="87">
        <v>73</v>
      </c>
      <c r="J196" s="87">
        <v>269</v>
      </c>
      <c r="K196" s="87">
        <v>843</v>
      </c>
      <c r="L196" s="87">
        <v>35</v>
      </c>
      <c r="M196" s="87">
        <v>91188</v>
      </c>
      <c r="N196" s="87">
        <v>6920</v>
      </c>
      <c r="O196" s="87">
        <v>40452</v>
      </c>
      <c r="P196" s="87">
        <v>39745</v>
      </c>
      <c r="Q196" s="87">
        <v>4071</v>
      </c>
    </row>
    <row r="197" spans="1:17" x14ac:dyDescent="0.3">
      <c r="A197" s="95"/>
      <c r="B197" s="52" t="s">
        <v>309</v>
      </c>
      <c r="C197" s="87">
        <v>733</v>
      </c>
      <c r="D197" s="87">
        <v>52</v>
      </c>
      <c r="E197" s="87">
        <v>218</v>
      </c>
      <c r="F197" s="87">
        <v>380</v>
      </c>
      <c r="G197" s="87">
        <v>83</v>
      </c>
      <c r="H197" s="87">
        <v>4</v>
      </c>
      <c r="I197" s="87">
        <v>0</v>
      </c>
      <c r="J197" s="87">
        <v>0</v>
      </c>
      <c r="K197" s="87">
        <v>4</v>
      </c>
      <c r="L197" s="87">
        <v>0</v>
      </c>
      <c r="M197" s="87">
        <v>729</v>
      </c>
      <c r="N197" s="87">
        <v>52</v>
      </c>
      <c r="O197" s="87">
        <v>218</v>
      </c>
      <c r="P197" s="87">
        <v>376</v>
      </c>
      <c r="Q197" s="87">
        <v>83</v>
      </c>
    </row>
    <row r="198" spans="1:17" x14ac:dyDescent="0.3">
      <c r="A198" s="95" t="s">
        <v>34</v>
      </c>
      <c r="B198" s="52" t="s">
        <v>442</v>
      </c>
      <c r="C198" s="87">
        <v>10594</v>
      </c>
      <c r="D198" s="87">
        <v>660</v>
      </c>
      <c r="E198" s="87">
        <v>5792</v>
      </c>
      <c r="F198" s="87">
        <v>3877</v>
      </c>
      <c r="G198" s="87">
        <v>265</v>
      </c>
      <c r="H198" s="87">
        <v>110</v>
      </c>
      <c r="I198" s="87">
        <v>2</v>
      </c>
      <c r="J198" s="87">
        <v>40</v>
      </c>
      <c r="K198" s="87">
        <v>66</v>
      </c>
      <c r="L198" s="87">
        <v>2</v>
      </c>
      <c r="M198" s="87">
        <v>10484</v>
      </c>
      <c r="N198" s="87">
        <v>658</v>
      </c>
      <c r="O198" s="87">
        <v>5752</v>
      </c>
      <c r="P198" s="87">
        <v>3811</v>
      </c>
      <c r="Q198" s="87">
        <v>263</v>
      </c>
    </row>
    <row r="199" spans="1:17" x14ac:dyDescent="0.3">
      <c r="A199" s="95"/>
      <c r="B199" s="52" t="s">
        <v>443</v>
      </c>
      <c r="C199" s="87">
        <v>6727</v>
      </c>
      <c r="D199" s="87">
        <v>560</v>
      </c>
      <c r="E199" s="87">
        <v>3044</v>
      </c>
      <c r="F199" s="87">
        <v>2964</v>
      </c>
      <c r="G199" s="87">
        <v>159</v>
      </c>
      <c r="H199" s="87">
        <v>111</v>
      </c>
      <c r="I199" s="87">
        <v>50</v>
      </c>
      <c r="J199" s="87">
        <v>23</v>
      </c>
      <c r="K199" s="87">
        <v>36</v>
      </c>
      <c r="L199" s="87">
        <v>2</v>
      </c>
      <c r="M199" s="87">
        <v>6616</v>
      </c>
      <c r="N199" s="87">
        <v>510</v>
      </c>
      <c r="O199" s="87">
        <v>3021</v>
      </c>
      <c r="P199" s="87">
        <v>2928</v>
      </c>
      <c r="Q199" s="87">
        <v>157</v>
      </c>
    </row>
    <row r="200" spans="1:17" x14ac:dyDescent="0.3">
      <c r="A200" s="95"/>
      <c r="B200" s="52" t="s">
        <v>444</v>
      </c>
      <c r="C200" s="87">
        <v>10</v>
      </c>
      <c r="D200" s="87">
        <v>0</v>
      </c>
      <c r="E200" s="87">
        <v>8</v>
      </c>
      <c r="F200" s="87">
        <v>2</v>
      </c>
      <c r="G200" s="87">
        <v>0</v>
      </c>
      <c r="H200" s="87">
        <v>2</v>
      </c>
      <c r="I200" s="87">
        <v>0</v>
      </c>
      <c r="J200" s="87">
        <v>2</v>
      </c>
      <c r="K200" s="87">
        <v>0</v>
      </c>
      <c r="L200" s="87">
        <v>0</v>
      </c>
      <c r="M200" s="87">
        <v>8</v>
      </c>
      <c r="N200" s="87">
        <v>0</v>
      </c>
      <c r="O200" s="87">
        <v>6</v>
      </c>
      <c r="P200" s="87">
        <v>2</v>
      </c>
      <c r="Q200" s="87">
        <v>0</v>
      </c>
    </row>
    <row r="201" spans="1:17" x14ac:dyDescent="0.3">
      <c r="A201" s="95"/>
      <c r="B201" s="52" t="s">
        <v>445</v>
      </c>
      <c r="C201" s="87">
        <v>9899</v>
      </c>
      <c r="D201" s="87">
        <v>781</v>
      </c>
      <c r="E201" s="87">
        <v>4272</v>
      </c>
      <c r="F201" s="87">
        <v>4581</v>
      </c>
      <c r="G201" s="87">
        <v>265</v>
      </c>
      <c r="H201" s="87">
        <v>113</v>
      </c>
      <c r="I201" s="87">
        <v>2</v>
      </c>
      <c r="J201" s="87">
        <v>7</v>
      </c>
      <c r="K201" s="87">
        <v>102</v>
      </c>
      <c r="L201" s="87">
        <v>2</v>
      </c>
      <c r="M201" s="87">
        <v>9786</v>
      </c>
      <c r="N201" s="87">
        <v>779</v>
      </c>
      <c r="O201" s="87">
        <v>4265</v>
      </c>
      <c r="P201" s="87">
        <v>4479</v>
      </c>
      <c r="Q201" s="87">
        <v>263</v>
      </c>
    </row>
    <row r="202" spans="1:17" x14ac:dyDescent="0.3">
      <c r="A202" s="95"/>
      <c r="B202" s="52" t="s">
        <v>446</v>
      </c>
      <c r="C202" s="87">
        <v>1732</v>
      </c>
      <c r="D202" s="87">
        <v>0</v>
      </c>
      <c r="E202" s="87">
        <v>1310</v>
      </c>
      <c r="F202" s="87">
        <v>416</v>
      </c>
      <c r="G202" s="87">
        <v>6</v>
      </c>
      <c r="H202" s="87">
        <v>31</v>
      </c>
      <c r="I202" s="87">
        <v>0</v>
      </c>
      <c r="J202" s="87">
        <v>29</v>
      </c>
      <c r="K202" s="87">
        <v>2</v>
      </c>
      <c r="L202" s="87">
        <v>0</v>
      </c>
      <c r="M202" s="87">
        <v>1701</v>
      </c>
      <c r="N202" s="87">
        <v>0</v>
      </c>
      <c r="O202" s="87">
        <v>1281</v>
      </c>
      <c r="P202" s="87">
        <v>414</v>
      </c>
      <c r="Q202" s="87">
        <v>6</v>
      </c>
    </row>
    <row r="203" spans="1:17" x14ac:dyDescent="0.3">
      <c r="A203" s="95"/>
      <c r="B203" s="52" t="s">
        <v>447</v>
      </c>
      <c r="C203" s="87">
        <v>10382</v>
      </c>
      <c r="D203" s="87">
        <v>798</v>
      </c>
      <c r="E203" s="87">
        <v>4289</v>
      </c>
      <c r="F203" s="87">
        <v>4794</v>
      </c>
      <c r="G203" s="87">
        <v>501</v>
      </c>
      <c r="H203" s="87">
        <v>143</v>
      </c>
      <c r="I203" s="87">
        <v>6</v>
      </c>
      <c r="J203" s="87">
        <v>41</v>
      </c>
      <c r="K203" s="87">
        <v>94</v>
      </c>
      <c r="L203" s="87">
        <v>2</v>
      </c>
      <c r="M203" s="87">
        <v>10239</v>
      </c>
      <c r="N203" s="87">
        <v>792</v>
      </c>
      <c r="O203" s="87">
        <v>4248</v>
      </c>
      <c r="P203" s="87">
        <v>4700</v>
      </c>
      <c r="Q203" s="87">
        <v>499</v>
      </c>
    </row>
    <row r="204" spans="1:17" x14ac:dyDescent="0.3">
      <c r="A204" s="95"/>
      <c r="B204" s="52" t="s">
        <v>448</v>
      </c>
      <c r="C204" s="87">
        <v>6632</v>
      </c>
      <c r="D204" s="87">
        <v>560</v>
      </c>
      <c r="E204" s="87">
        <v>2783</v>
      </c>
      <c r="F204" s="87">
        <v>3075</v>
      </c>
      <c r="G204" s="87">
        <v>214</v>
      </c>
      <c r="H204" s="87">
        <v>92</v>
      </c>
      <c r="I204" s="87">
        <v>1</v>
      </c>
      <c r="J204" s="87">
        <v>25</v>
      </c>
      <c r="K204" s="87">
        <v>64</v>
      </c>
      <c r="L204" s="87">
        <v>2</v>
      </c>
      <c r="M204" s="87">
        <v>6540</v>
      </c>
      <c r="N204" s="87">
        <v>559</v>
      </c>
      <c r="O204" s="87">
        <v>2758</v>
      </c>
      <c r="P204" s="87">
        <v>3011</v>
      </c>
      <c r="Q204" s="87">
        <v>212</v>
      </c>
    </row>
    <row r="205" spans="1:17" x14ac:dyDescent="0.3">
      <c r="A205" s="95"/>
      <c r="B205" s="52" t="s">
        <v>449</v>
      </c>
      <c r="C205" s="87">
        <v>7341</v>
      </c>
      <c r="D205" s="87">
        <v>517</v>
      </c>
      <c r="E205" s="87">
        <v>3887</v>
      </c>
      <c r="F205" s="87">
        <v>2752</v>
      </c>
      <c r="G205" s="87">
        <v>185</v>
      </c>
      <c r="H205" s="87">
        <v>85</v>
      </c>
      <c r="I205" s="87">
        <v>0</v>
      </c>
      <c r="J205" s="87">
        <v>28</v>
      </c>
      <c r="K205" s="87">
        <v>55</v>
      </c>
      <c r="L205" s="87">
        <v>2</v>
      </c>
      <c r="M205" s="87">
        <v>7256</v>
      </c>
      <c r="N205" s="87">
        <v>517</v>
      </c>
      <c r="O205" s="87">
        <v>3859</v>
      </c>
      <c r="P205" s="87">
        <v>2697</v>
      </c>
      <c r="Q205" s="87">
        <v>183</v>
      </c>
    </row>
    <row r="206" spans="1:17" x14ac:dyDescent="0.3">
      <c r="A206" s="95"/>
      <c r="B206" s="52" t="s">
        <v>450</v>
      </c>
      <c r="C206" s="87">
        <v>143</v>
      </c>
      <c r="D206" s="87">
        <v>0</v>
      </c>
      <c r="E206" s="87">
        <v>77</v>
      </c>
      <c r="F206" s="87">
        <v>66</v>
      </c>
      <c r="G206" s="87">
        <v>0</v>
      </c>
      <c r="H206" s="87">
        <v>0</v>
      </c>
      <c r="I206" s="87">
        <v>0</v>
      </c>
      <c r="J206" s="87">
        <v>0</v>
      </c>
      <c r="K206" s="87">
        <v>0</v>
      </c>
      <c r="L206" s="87">
        <v>0</v>
      </c>
      <c r="M206" s="87">
        <v>143</v>
      </c>
      <c r="N206" s="87">
        <v>0</v>
      </c>
      <c r="O206" s="87">
        <v>77</v>
      </c>
      <c r="P206" s="87">
        <v>66</v>
      </c>
      <c r="Q206" s="87">
        <v>0</v>
      </c>
    </row>
    <row r="207" spans="1:17" x14ac:dyDescent="0.3">
      <c r="A207" s="95"/>
      <c r="B207" s="52" t="s">
        <v>451</v>
      </c>
      <c r="C207" s="87">
        <v>12683</v>
      </c>
      <c r="D207" s="87">
        <v>1363</v>
      </c>
      <c r="E207" s="87">
        <v>5647</v>
      </c>
      <c r="F207" s="87">
        <v>5199</v>
      </c>
      <c r="G207" s="87">
        <v>474</v>
      </c>
      <c r="H207" s="87">
        <v>286</v>
      </c>
      <c r="I207" s="87">
        <v>90</v>
      </c>
      <c r="J207" s="87">
        <v>73</v>
      </c>
      <c r="K207" s="87">
        <v>120</v>
      </c>
      <c r="L207" s="87">
        <v>3</v>
      </c>
      <c r="M207" s="87">
        <v>12397</v>
      </c>
      <c r="N207" s="87">
        <v>1273</v>
      </c>
      <c r="O207" s="87">
        <v>5574</v>
      </c>
      <c r="P207" s="87">
        <v>5079</v>
      </c>
      <c r="Q207" s="87">
        <v>471</v>
      </c>
    </row>
    <row r="208" spans="1:17" x14ac:dyDescent="0.3">
      <c r="A208" s="95"/>
      <c r="B208" s="52" t="s">
        <v>452</v>
      </c>
      <c r="C208" s="87">
        <v>5240</v>
      </c>
      <c r="D208" s="87">
        <v>362</v>
      </c>
      <c r="E208" s="87">
        <v>2614</v>
      </c>
      <c r="F208" s="87">
        <v>2109</v>
      </c>
      <c r="G208" s="87">
        <v>155</v>
      </c>
      <c r="H208" s="87">
        <v>51</v>
      </c>
      <c r="I208" s="87">
        <v>2</v>
      </c>
      <c r="J208" s="87">
        <v>3</v>
      </c>
      <c r="K208" s="87">
        <v>44</v>
      </c>
      <c r="L208" s="87">
        <v>2</v>
      </c>
      <c r="M208" s="87">
        <v>5189</v>
      </c>
      <c r="N208" s="87">
        <v>360</v>
      </c>
      <c r="O208" s="87">
        <v>2611</v>
      </c>
      <c r="P208" s="87">
        <v>2065</v>
      </c>
      <c r="Q208" s="87">
        <v>153</v>
      </c>
    </row>
    <row r="209" spans="1:17" x14ac:dyDescent="0.3">
      <c r="A209" s="95"/>
      <c r="B209" s="52" t="s">
        <v>453</v>
      </c>
      <c r="C209" s="87">
        <v>12725</v>
      </c>
      <c r="D209" s="87">
        <v>554</v>
      </c>
      <c r="E209" s="87">
        <v>5754</v>
      </c>
      <c r="F209" s="87">
        <v>5658</v>
      </c>
      <c r="G209" s="87">
        <v>759</v>
      </c>
      <c r="H209" s="87">
        <v>179</v>
      </c>
      <c r="I209" s="87">
        <v>13</v>
      </c>
      <c r="J209" s="87">
        <v>58</v>
      </c>
      <c r="K209" s="87">
        <v>103</v>
      </c>
      <c r="L209" s="87">
        <v>5</v>
      </c>
      <c r="M209" s="87">
        <v>12546</v>
      </c>
      <c r="N209" s="87">
        <v>541</v>
      </c>
      <c r="O209" s="87">
        <v>5696</v>
      </c>
      <c r="P209" s="87">
        <v>5555</v>
      </c>
      <c r="Q209" s="87">
        <v>754</v>
      </c>
    </row>
    <row r="210" spans="1:17" x14ac:dyDescent="0.3">
      <c r="A210" s="95"/>
      <c r="B210" s="52" t="s">
        <v>454</v>
      </c>
      <c r="C210" s="87">
        <v>312</v>
      </c>
      <c r="D210" s="87">
        <v>1</v>
      </c>
      <c r="E210" s="87">
        <v>234</v>
      </c>
      <c r="F210" s="87">
        <v>75</v>
      </c>
      <c r="G210" s="87">
        <v>2</v>
      </c>
      <c r="H210" s="87">
        <v>5</v>
      </c>
      <c r="I210" s="87">
        <v>1</v>
      </c>
      <c r="J210" s="87">
        <v>4</v>
      </c>
      <c r="K210" s="87">
        <v>0</v>
      </c>
      <c r="L210" s="87">
        <v>0</v>
      </c>
      <c r="M210" s="87">
        <v>307</v>
      </c>
      <c r="N210" s="87">
        <v>0</v>
      </c>
      <c r="O210" s="87">
        <v>230</v>
      </c>
      <c r="P210" s="87">
        <v>75</v>
      </c>
      <c r="Q210" s="87">
        <v>2</v>
      </c>
    </row>
    <row r="211" spans="1:17" x14ac:dyDescent="0.3">
      <c r="A211" s="95"/>
      <c r="B211" s="52" t="s">
        <v>455</v>
      </c>
      <c r="C211" s="87">
        <v>8162</v>
      </c>
      <c r="D211" s="87">
        <v>509</v>
      </c>
      <c r="E211" s="87">
        <v>4290</v>
      </c>
      <c r="F211" s="87">
        <v>3148</v>
      </c>
      <c r="G211" s="87">
        <v>215</v>
      </c>
      <c r="H211" s="87">
        <v>117</v>
      </c>
      <c r="I211" s="87">
        <v>1</v>
      </c>
      <c r="J211" s="87">
        <v>38</v>
      </c>
      <c r="K211" s="87">
        <v>76</v>
      </c>
      <c r="L211" s="87">
        <v>2</v>
      </c>
      <c r="M211" s="87">
        <v>8045</v>
      </c>
      <c r="N211" s="87">
        <v>508</v>
      </c>
      <c r="O211" s="87">
        <v>4252</v>
      </c>
      <c r="P211" s="87">
        <v>3072</v>
      </c>
      <c r="Q211" s="87">
        <v>213</v>
      </c>
    </row>
    <row r="212" spans="1:17" x14ac:dyDescent="0.3">
      <c r="A212" s="95"/>
      <c r="B212" s="52" t="s">
        <v>456</v>
      </c>
      <c r="C212" s="87">
        <v>29</v>
      </c>
      <c r="D212" s="87">
        <v>0</v>
      </c>
      <c r="E212" s="87">
        <v>26</v>
      </c>
      <c r="F212" s="87">
        <v>2</v>
      </c>
      <c r="G212" s="87">
        <v>1</v>
      </c>
      <c r="H212" s="87">
        <v>0</v>
      </c>
      <c r="I212" s="87">
        <v>0</v>
      </c>
      <c r="J212" s="87">
        <v>0</v>
      </c>
      <c r="K212" s="87">
        <v>0</v>
      </c>
      <c r="L212" s="87">
        <v>0</v>
      </c>
      <c r="M212" s="87">
        <v>29</v>
      </c>
      <c r="N212" s="87">
        <v>0</v>
      </c>
      <c r="O212" s="87">
        <v>26</v>
      </c>
      <c r="P212" s="87">
        <v>2</v>
      </c>
      <c r="Q212" s="87">
        <v>1</v>
      </c>
    </row>
    <row r="213" spans="1:17" x14ac:dyDescent="0.3">
      <c r="A213" s="95"/>
      <c r="B213" s="52" t="s">
        <v>457</v>
      </c>
      <c r="C213" s="87">
        <v>11514</v>
      </c>
      <c r="D213" s="87">
        <v>420</v>
      </c>
      <c r="E213" s="87">
        <v>5282</v>
      </c>
      <c r="F213" s="87">
        <v>5134</v>
      </c>
      <c r="G213" s="87">
        <v>678</v>
      </c>
      <c r="H213" s="87">
        <v>154</v>
      </c>
      <c r="I213" s="87">
        <v>8</v>
      </c>
      <c r="J213" s="87">
        <v>44</v>
      </c>
      <c r="K213" s="87">
        <v>98</v>
      </c>
      <c r="L213" s="87">
        <v>4</v>
      </c>
      <c r="M213" s="87">
        <v>11360</v>
      </c>
      <c r="N213" s="87">
        <v>412</v>
      </c>
      <c r="O213" s="87">
        <v>5238</v>
      </c>
      <c r="P213" s="87">
        <v>5036</v>
      </c>
      <c r="Q213" s="87">
        <v>674</v>
      </c>
    </row>
    <row r="214" spans="1:17" x14ac:dyDescent="0.3">
      <c r="A214" s="95"/>
      <c r="B214" s="52" t="s">
        <v>458</v>
      </c>
      <c r="C214" s="87">
        <v>12676</v>
      </c>
      <c r="D214" s="87">
        <v>430</v>
      </c>
      <c r="E214" s="87">
        <v>5256</v>
      </c>
      <c r="F214" s="87">
        <v>6023</v>
      </c>
      <c r="G214" s="87">
        <v>967</v>
      </c>
      <c r="H214" s="87">
        <v>127</v>
      </c>
      <c r="I214" s="87">
        <v>6</v>
      </c>
      <c r="J214" s="87">
        <v>7</v>
      </c>
      <c r="K214" s="87">
        <v>112</v>
      </c>
      <c r="L214" s="87">
        <v>2</v>
      </c>
      <c r="M214" s="87">
        <v>12549</v>
      </c>
      <c r="N214" s="87">
        <v>424</v>
      </c>
      <c r="O214" s="87">
        <v>5249</v>
      </c>
      <c r="P214" s="87">
        <v>5911</v>
      </c>
      <c r="Q214" s="87">
        <v>965</v>
      </c>
    </row>
    <row r="215" spans="1:17" x14ac:dyDescent="0.3">
      <c r="A215" s="95"/>
      <c r="B215" s="52" t="s">
        <v>459</v>
      </c>
      <c r="C215" s="87">
        <v>4379</v>
      </c>
      <c r="D215" s="87">
        <v>472</v>
      </c>
      <c r="E215" s="87">
        <v>2679</v>
      </c>
      <c r="F215" s="87">
        <v>1141</v>
      </c>
      <c r="G215" s="87">
        <v>87</v>
      </c>
      <c r="H215" s="87">
        <v>59</v>
      </c>
      <c r="I215" s="87">
        <v>6</v>
      </c>
      <c r="J215" s="87">
        <v>12</v>
      </c>
      <c r="K215" s="87">
        <v>39</v>
      </c>
      <c r="L215" s="87">
        <v>2</v>
      </c>
      <c r="M215" s="87">
        <v>4320</v>
      </c>
      <c r="N215" s="87">
        <v>466</v>
      </c>
      <c r="O215" s="87">
        <v>2667</v>
      </c>
      <c r="P215" s="87">
        <v>1102</v>
      </c>
      <c r="Q215" s="87">
        <v>85</v>
      </c>
    </row>
    <row r="216" spans="1:17" x14ac:dyDescent="0.3">
      <c r="A216" s="95"/>
      <c r="B216" s="52" t="s">
        <v>460</v>
      </c>
      <c r="C216" s="87">
        <v>5688</v>
      </c>
      <c r="D216" s="87">
        <v>370</v>
      </c>
      <c r="E216" s="87">
        <v>2889</v>
      </c>
      <c r="F216" s="87">
        <v>2292</v>
      </c>
      <c r="G216" s="87">
        <v>137</v>
      </c>
      <c r="H216" s="87">
        <v>70</v>
      </c>
      <c r="I216" s="87">
        <v>1</v>
      </c>
      <c r="J216" s="87">
        <v>6</v>
      </c>
      <c r="K216" s="87">
        <v>61</v>
      </c>
      <c r="L216" s="87">
        <v>2</v>
      </c>
      <c r="M216" s="87">
        <v>5618</v>
      </c>
      <c r="N216" s="87">
        <v>369</v>
      </c>
      <c r="O216" s="87">
        <v>2883</v>
      </c>
      <c r="P216" s="87">
        <v>2231</v>
      </c>
      <c r="Q216" s="87">
        <v>135</v>
      </c>
    </row>
    <row r="217" spans="1:17" x14ac:dyDescent="0.3">
      <c r="A217" s="95"/>
      <c r="B217" s="52" t="s">
        <v>461</v>
      </c>
      <c r="C217" s="87">
        <v>9065</v>
      </c>
      <c r="D217" s="87">
        <v>774</v>
      </c>
      <c r="E217" s="87">
        <v>4236</v>
      </c>
      <c r="F217" s="87">
        <v>3796</v>
      </c>
      <c r="G217" s="87">
        <v>259</v>
      </c>
      <c r="H217" s="87">
        <v>76</v>
      </c>
      <c r="I217" s="87">
        <v>5</v>
      </c>
      <c r="J217" s="87">
        <v>7</v>
      </c>
      <c r="K217" s="87">
        <v>62</v>
      </c>
      <c r="L217" s="87">
        <v>2</v>
      </c>
      <c r="M217" s="87">
        <v>8989</v>
      </c>
      <c r="N217" s="87">
        <v>769</v>
      </c>
      <c r="O217" s="87">
        <v>4229</v>
      </c>
      <c r="P217" s="87">
        <v>3734</v>
      </c>
      <c r="Q217" s="87">
        <v>257</v>
      </c>
    </row>
    <row r="218" spans="1:17" x14ac:dyDescent="0.3">
      <c r="A218" s="95"/>
      <c r="B218" s="52" t="s">
        <v>462</v>
      </c>
      <c r="C218" s="87">
        <v>299</v>
      </c>
      <c r="D218" s="87">
        <v>1</v>
      </c>
      <c r="E218" s="87">
        <v>214</v>
      </c>
      <c r="F218" s="87">
        <v>83</v>
      </c>
      <c r="G218" s="87">
        <v>1</v>
      </c>
      <c r="H218" s="87">
        <v>1</v>
      </c>
      <c r="I218" s="87">
        <v>0</v>
      </c>
      <c r="J218" s="87">
        <v>1</v>
      </c>
      <c r="K218" s="87">
        <v>0</v>
      </c>
      <c r="L218" s="87">
        <v>0</v>
      </c>
      <c r="M218" s="87">
        <v>298</v>
      </c>
      <c r="N218" s="87">
        <v>1</v>
      </c>
      <c r="O218" s="87">
        <v>213</v>
      </c>
      <c r="P218" s="87">
        <v>83</v>
      </c>
      <c r="Q218" s="87">
        <v>1</v>
      </c>
    </row>
    <row r="219" spans="1:17" x14ac:dyDescent="0.3">
      <c r="A219" s="95"/>
      <c r="B219" s="52" t="s">
        <v>463</v>
      </c>
      <c r="C219" s="87">
        <v>136965</v>
      </c>
      <c r="D219" s="87">
        <v>9184</v>
      </c>
      <c r="E219" s="87">
        <v>64801</v>
      </c>
      <c r="F219" s="87">
        <v>57567</v>
      </c>
      <c r="G219" s="87">
        <v>5413</v>
      </c>
      <c r="H219" s="87">
        <v>1816</v>
      </c>
      <c r="I219" s="87">
        <v>194</v>
      </c>
      <c r="J219" s="87">
        <v>448</v>
      </c>
      <c r="K219" s="87">
        <v>1138</v>
      </c>
      <c r="L219" s="87">
        <v>36</v>
      </c>
      <c r="M219" s="87">
        <v>135149</v>
      </c>
      <c r="N219" s="87">
        <v>8990</v>
      </c>
      <c r="O219" s="87">
        <v>64353</v>
      </c>
      <c r="P219" s="87">
        <v>56429</v>
      </c>
      <c r="Q219" s="87">
        <v>5377</v>
      </c>
    </row>
    <row r="220" spans="1:17" x14ac:dyDescent="0.3">
      <c r="A220" s="95"/>
      <c r="B220" s="52" t="s">
        <v>309</v>
      </c>
      <c r="C220" s="87">
        <v>5105</v>
      </c>
      <c r="D220" s="87">
        <v>528</v>
      </c>
      <c r="E220" s="87">
        <v>2470</v>
      </c>
      <c r="F220" s="87">
        <v>2028</v>
      </c>
      <c r="G220" s="87">
        <v>79</v>
      </c>
      <c r="H220" s="87">
        <v>67</v>
      </c>
      <c r="I220" s="87">
        <v>2</v>
      </c>
      <c r="J220" s="87">
        <v>12</v>
      </c>
      <c r="K220" s="87">
        <v>53</v>
      </c>
      <c r="L220" s="87">
        <v>0</v>
      </c>
      <c r="M220" s="87">
        <v>5038</v>
      </c>
      <c r="N220" s="87">
        <v>526</v>
      </c>
      <c r="O220" s="87">
        <v>2458</v>
      </c>
      <c r="P220" s="87">
        <v>1975</v>
      </c>
      <c r="Q220" s="87">
        <v>79</v>
      </c>
    </row>
    <row r="221" spans="1:17" x14ac:dyDescent="0.3">
      <c r="A221" s="95" t="s">
        <v>35</v>
      </c>
      <c r="B221" s="52" t="s">
        <v>464</v>
      </c>
      <c r="C221" s="87">
        <v>10933</v>
      </c>
      <c r="D221" s="87">
        <v>839</v>
      </c>
      <c r="E221" s="87">
        <v>4808</v>
      </c>
      <c r="F221" s="87">
        <v>4817</v>
      </c>
      <c r="G221" s="87">
        <v>469</v>
      </c>
      <c r="H221" s="87">
        <v>156</v>
      </c>
      <c r="I221" s="87">
        <v>4</v>
      </c>
      <c r="J221" s="87">
        <v>45</v>
      </c>
      <c r="K221" s="87">
        <v>104</v>
      </c>
      <c r="L221" s="87">
        <v>3</v>
      </c>
      <c r="M221" s="87">
        <v>10777</v>
      </c>
      <c r="N221" s="87">
        <v>835</v>
      </c>
      <c r="O221" s="87">
        <v>4763</v>
      </c>
      <c r="P221" s="87">
        <v>4713</v>
      </c>
      <c r="Q221" s="87">
        <v>466</v>
      </c>
    </row>
    <row r="222" spans="1:17" x14ac:dyDescent="0.3">
      <c r="A222" s="95"/>
      <c r="B222" s="52" t="s">
        <v>465</v>
      </c>
      <c r="C222" s="87">
        <v>8550</v>
      </c>
      <c r="D222" s="87">
        <v>434</v>
      </c>
      <c r="E222" s="87">
        <v>4973</v>
      </c>
      <c r="F222" s="87">
        <v>3003</v>
      </c>
      <c r="G222" s="87">
        <v>140</v>
      </c>
      <c r="H222" s="87">
        <v>85</v>
      </c>
      <c r="I222" s="87">
        <v>0</v>
      </c>
      <c r="J222" s="87">
        <v>11</v>
      </c>
      <c r="K222" s="87">
        <v>72</v>
      </c>
      <c r="L222" s="87">
        <v>2</v>
      </c>
      <c r="M222" s="87">
        <v>8465</v>
      </c>
      <c r="N222" s="87">
        <v>434</v>
      </c>
      <c r="O222" s="87">
        <v>4962</v>
      </c>
      <c r="P222" s="87">
        <v>2931</v>
      </c>
      <c r="Q222" s="87">
        <v>138</v>
      </c>
    </row>
    <row r="223" spans="1:17" x14ac:dyDescent="0.3">
      <c r="A223" s="95"/>
      <c r="B223" s="52" t="s">
        <v>466</v>
      </c>
      <c r="C223" s="87">
        <v>7062</v>
      </c>
      <c r="D223" s="87">
        <v>616</v>
      </c>
      <c r="E223" s="87">
        <v>3191</v>
      </c>
      <c r="F223" s="87">
        <v>3049</v>
      </c>
      <c r="G223" s="87">
        <v>206</v>
      </c>
      <c r="H223" s="87">
        <v>110</v>
      </c>
      <c r="I223" s="87">
        <v>25</v>
      </c>
      <c r="J223" s="87">
        <v>27</v>
      </c>
      <c r="K223" s="87">
        <v>56</v>
      </c>
      <c r="L223" s="87">
        <v>2</v>
      </c>
      <c r="M223" s="87">
        <v>6952</v>
      </c>
      <c r="N223" s="87">
        <v>591</v>
      </c>
      <c r="O223" s="87">
        <v>3164</v>
      </c>
      <c r="P223" s="87">
        <v>2993</v>
      </c>
      <c r="Q223" s="87">
        <v>204</v>
      </c>
    </row>
    <row r="224" spans="1:17" x14ac:dyDescent="0.3">
      <c r="A224" s="95"/>
      <c r="B224" s="52" t="s">
        <v>467</v>
      </c>
      <c r="C224" s="87">
        <v>2154</v>
      </c>
      <c r="D224" s="87">
        <v>243</v>
      </c>
      <c r="E224" s="87">
        <v>794</v>
      </c>
      <c r="F224" s="87">
        <v>1060</v>
      </c>
      <c r="G224" s="87">
        <v>57</v>
      </c>
      <c r="H224" s="87">
        <v>53</v>
      </c>
      <c r="I224" s="87">
        <v>2</v>
      </c>
      <c r="J224" s="87">
        <v>17</v>
      </c>
      <c r="K224" s="87">
        <v>34</v>
      </c>
      <c r="L224" s="87">
        <v>0</v>
      </c>
      <c r="M224" s="87">
        <v>2101</v>
      </c>
      <c r="N224" s="87">
        <v>241</v>
      </c>
      <c r="O224" s="87">
        <v>777</v>
      </c>
      <c r="P224" s="87">
        <v>1026</v>
      </c>
      <c r="Q224" s="87">
        <v>57</v>
      </c>
    </row>
    <row r="225" spans="1:17" x14ac:dyDescent="0.3">
      <c r="A225" s="95"/>
      <c r="B225" s="52" t="s">
        <v>468</v>
      </c>
      <c r="C225" s="87">
        <v>5622</v>
      </c>
      <c r="D225" s="87">
        <v>414</v>
      </c>
      <c r="E225" s="87">
        <v>2907</v>
      </c>
      <c r="F225" s="87">
        <v>2222</v>
      </c>
      <c r="G225" s="87">
        <v>79</v>
      </c>
      <c r="H225" s="87">
        <v>64</v>
      </c>
      <c r="I225" s="87">
        <v>11</v>
      </c>
      <c r="J225" s="87">
        <v>9</v>
      </c>
      <c r="K225" s="87">
        <v>44</v>
      </c>
      <c r="L225" s="87">
        <v>0</v>
      </c>
      <c r="M225" s="87">
        <v>5558</v>
      </c>
      <c r="N225" s="87">
        <v>403</v>
      </c>
      <c r="O225" s="87">
        <v>2898</v>
      </c>
      <c r="P225" s="87">
        <v>2178</v>
      </c>
      <c r="Q225" s="87">
        <v>79</v>
      </c>
    </row>
    <row r="226" spans="1:17" x14ac:dyDescent="0.3">
      <c r="A226" s="95"/>
      <c r="B226" s="52" t="s">
        <v>469</v>
      </c>
      <c r="C226" s="87">
        <v>2623</v>
      </c>
      <c r="D226" s="87">
        <v>402</v>
      </c>
      <c r="E226" s="87">
        <v>1042</v>
      </c>
      <c r="F226" s="87">
        <v>1126</v>
      </c>
      <c r="G226" s="87">
        <v>53</v>
      </c>
      <c r="H226" s="87">
        <v>29</v>
      </c>
      <c r="I226" s="87">
        <v>1</v>
      </c>
      <c r="J226" s="87">
        <v>4</v>
      </c>
      <c r="K226" s="87">
        <v>24</v>
      </c>
      <c r="L226" s="87">
        <v>0</v>
      </c>
      <c r="M226" s="87">
        <v>2594</v>
      </c>
      <c r="N226" s="87">
        <v>401</v>
      </c>
      <c r="O226" s="87">
        <v>1038</v>
      </c>
      <c r="P226" s="87">
        <v>1102</v>
      </c>
      <c r="Q226" s="87">
        <v>53</v>
      </c>
    </row>
    <row r="227" spans="1:17" x14ac:dyDescent="0.3">
      <c r="A227" s="95"/>
      <c r="B227" s="52" t="s">
        <v>470</v>
      </c>
      <c r="C227" s="87">
        <v>5885</v>
      </c>
      <c r="D227" s="87">
        <v>345</v>
      </c>
      <c r="E227" s="87">
        <v>2798</v>
      </c>
      <c r="F227" s="87">
        <v>2536</v>
      </c>
      <c r="G227" s="87">
        <v>206</v>
      </c>
      <c r="H227" s="87">
        <v>86</v>
      </c>
      <c r="I227" s="87">
        <v>6</v>
      </c>
      <c r="J227" s="87">
        <v>14</v>
      </c>
      <c r="K227" s="87">
        <v>63</v>
      </c>
      <c r="L227" s="87">
        <v>3</v>
      </c>
      <c r="M227" s="87">
        <v>5799</v>
      </c>
      <c r="N227" s="87">
        <v>339</v>
      </c>
      <c r="O227" s="87">
        <v>2784</v>
      </c>
      <c r="P227" s="87">
        <v>2473</v>
      </c>
      <c r="Q227" s="87">
        <v>203</v>
      </c>
    </row>
    <row r="228" spans="1:17" x14ac:dyDescent="0.3">
      <c r="A228" s="95"/>
      <c r="B228" s="52" t="s">
        <v>471</v>
      </c>
      <c r="C228" s="87">
        <v>14183</v>
      </c>
      <c r="D228" s="87">
        <v>854</v>
      </c>
      <c r="E228" s="87">
        <v>6884</v>
      </c>
      <c r="F228" s="87">
        <v>6023</v>
      </c>
      <c r="G228" s="87">
        <v>422</v>
      </c>
      <c r="H228" s="87">
        <v>125</v>
      </c>
      <c r="I228" s="87">
        <v>3</v>
      </c>
      <c r="J228" s="87">
        <v>18</v>
      </c>
      <c r="K228" s="87">
        <v>102</v>
      </c>
      <c r="L228" s="87">
        <v>2</v>
      </c>
      <c r="M228" s="87">
        <v>14058</v>
      </c>
      <c r="N228" s="87">
        <v>851</v>
      </c>
      <c r="O228" s="87">
        <v>6866</v>
      </c>
      <c r="P228" s="87">
        <v>5921</v>
      </c>
      <c r="Q228" s="87">
        <v>420</v>
      </c>
    </row>
    <row r="229" spans="1:17" x14ac:dyDescent="0.3">
      <c r="A229" s="95"/>
      <c r="B229" s="52" t="s">
        <v>472</v>
      </c>
      <c r="C229" s="87">
        <v>2576</v>
      </c>
      <c r="D229" s="87">
        <v>192</v>
      </c>
      <c r="E229" s="87">
        <v>1178</v>
      </c>
      <c r="F229" s="87">
        <v>1167</v>
      </c>
      <c r="G229" s="87">
        <v>39</v>
      </c>
      <c r="H229" s="87">
        <v>71</v>
      </c>
      <c r="I229" s="87">
        <v>1</v>
      </c>
      <c r="J229" s="87">
        <v>18</v>
      </c>
      <c r="K229" s="87">
        <v>52</v>
      </c>
      <c r="L229" s="87">
        <v>0</v>
      </c>
      <c r="M229" s="87">
        <v>2505</v>
      </c>
      <c r="N229" s="87">
        <v>191</v>
      </c>
      <c r="O229" s="87">
        <v>1160</v>
      </c>
      <c r="P229" s="87">
        <v>1115</v>
      </c>
      <c r="Q229" s="87">
        <v>39</v>
      </c>
    </row>
    <row r="230" spans="1:17" x14ac:dyDescent="0.3">
      <c r="A230" s="95"/>
      <c r="B230" s="52" t="s">
        <v>473</v>
      </c>
      <c r="C230" s="87">
        <v>1850</v>
      </c>
      <c r="D230" s="87">
        <v>212</v>
      </c>
      <c r="E230" s="87">
        <v>822</v>
      </c>
      <c r="F230" s="87">
        <v>770</v>
      </c>
      <c r="G230" s="87">
        <v>46</v>
      </c>
      <c r="H230" s="87">
        <v>68</v>
      </c>
      <c r="I230" s="87">
        <v>1</v>
      </c>
      <c r="J230" s="87">
        <v>37</v>
      </c>
      <c r="K230" s="87">
        <v>30</v>
      </c>
      <c r="L230" s="87">
        <v>0</v>
      </c>
      <c r="M230" s="87">
        <v>1782</v>
      </c>
      <c r="N230" s="87">
        <v>211</v>
      </c>
      <c r="O230" s="87">
        <v>785</v>
      </c>
      <c r="P230" s="87">
        <v>740</v>
      </c>
      <c r="Q230" s="87">
        <v>46</v>
      </c>
    </row>
    <row r="231" spans="1:17" x14ac:dyDescent="0.3">
      <c r="A231" s="95"/>
      <c r="B231" s="52" t="s">
        <v>474</v>
      </c>
      <c r="C231" s="87">
        <v>11389</v>
      </c>
      <c r="D231" s="87">
        <v>611</v>
      </c>
      <c r="E231" s="87">
        <v>6130</v>
      </c>
      <c r="F231" s="87">
        <v>4148</v>
      </c>
      <c r="G231" s="87">
        <v>500</v>
      </c>
      <c r="H231" s="87">
        <v>143</v>
      </c>
      <c r="I231" s="87">
        <v>15</v>
      </c>
      <c r="J231" s="87">
        <v>24</v>
      </c>
      <c r="K231" s="87">
        <v>104</v>
      </c>
      <c r="L231" s="87">
        <v>0</v>
      </c>
      <c r="M231" s="87">
        <v>11246</v>
      </c>
      <c r="N231" s="87">
        <v>596</v>
      </c>
      <c r="O231" s="87">
        <v>6106</v>
      </c>
      <c r="P231" s="87">
        <v>4044</v>
      </c>
      <c r="Q231" s="87">
        <v>500</v>
      </c>
    </row>
    <row r="232" spans="1:17" x14ac:dyDescent="0.3">
      <c r="A232" s="95"/>
      <c r="B232" s="52" t="s">
        <v>475</v>
      </c>
      <c r="C232" s="87">
        <v>13116</v>
      </c>
      <c r="D232" s="87">
        <v>625</v>
      </c>
      <c r="E232" s="87">
        <v>7291</v>
      </c>
      <c r="F232" s="87">
        <v>4641</v>
      </c>
      <c r="G232" s="87">
        <v>559</v>
      </c>
      <c r="H232" s="87">
        <v>155</v>
      </c>
      <c r="I232" s="87">
        <v>12</v>
      </c>
      <c r="J232" s="87">
        <v>39</v>
      </c>
      <c r="K232" s="87">
        <v>91</v>
      </c>
      <c r="L232" s="87">
        <v>13</v>
      </c>
      <c r="M232" s="87">
        <v>12961</v>
      </c>
      <c r="N232" s="87">
        <v>613</v>
      </c>
      <c r="O232" s="87">
        <v>7252</v>
      </c>
      <c r="P232" s="87">
        <v>4550</v>
      </c>
      <c r="Q232" s="87">
        <v>546</v>
      </c>
    </row>
    <row r="233" spans="1:17" x14ac:dyDescent="0.3">
      <c r="A233" s="95"/>
      <c r="B233" s="52" t="s">
        <v>476</v>
      </c>
      <c r="C233" s="87">
        <v>7849</v>
      </c>
      <c r="D233" s="87">
        <v>505</v>
      </c>
      <c r="E233" s="87">
        <v>4058</v>
      </c>
      <c r="F233" s="87">
        <v>3127</v>
      </c>
      <c r="G233" s="87">
        <v>159</v>
      </c>
      <c r="H233" s="87">
        <v>94</v>
      </c>
      <c r="I233" s="87">
        <v>6</v>
      </c>
      <c r="J233" s="87">
        <v>17</v>
      </c>
      <c r="K233" s="87">
        <v>69</v>
      </c>
      <c r="L233" s="87">
        <v>2</v>
      </c>
      <c r="M233" s="87">
        <v>7755</v>
      </c>
      <c r="N233" s="87">
        <v>499</v>
      </c>
      <c r="O233" s="87">
        <v>4041</v>
      </c>
      <c r="P233" s="87">
        <v>3058</v>
      </c>
      <c r="Q233" s="87">
        <v>157</v>
      </c>
    </row>
    <row r="234" spans="1:17" x14ac:dyDescent="0.3">
      <c r="A234" s="95"/>
      <c r="B234" s="52" t="s">
        <v>477</v>
      </c>
      <c r="C234" s="87">
        <v>1644</v>
      </c>
      <c r="D234" s="87">
        <v>209</v>
      </c>
      <c r="E234" s="87">
        <v>634</v>
      </c>
      <c r="F234" s="87">
        <v>761</v>
      </c>
      <c r="G234" s="87">
        <v>40</v>
      </c>
      <c r="H234" s="87">
        <v>49</v>
      </c>
      <c r="I234" s="87">
        <v>1</v>
      </c>
      <c r="J234" s="87">
        <v>11</v>
      </c>
      <c r="K234" s="87">
        <v>37</v>
      </c>
      <c r="L234" s="87">
        <v>0</v>
      </c>
      <c r="M234" s="87">
        <v>1595</v>
      </c>
      <c r="N234" s="87">
        <v>208</v>
      </c>
      <c r="O234" s="87">
        <v>623</v>
      </c>
      <c r="P234" s="87">
        <v>724</v>
      </c>
      <c r="Q234" s="87">
        <v>40</v>
      </c>
    </row>
    <row r="235" spans="1:17" x14ac:dyDescent="0.3">
      <c r="A235" s="95"/>
      <c r="B235" s="52" t="s">
        <v>478</v>
      </c>
      <c r="C235" s="87">
        <v>0</v>
      </c>
      <c r="D235" s="87">
        <v>0</v>
      </c>
      <c r="E235" s="87">
        <v>0</v>
      </c>
      <c r="F235" s="87">
        <v>0</v>
      </c>
      <c r="G235" s="87">
        <v>0</v>
      </c>
      <c r="H235" s="87">
        <v>0</v>
      </c>
      <c r="I235" s="87">
        <v>0</v>
      </c>
      <c r="J235" s="87">
        <v>0</v>
      </c>
      <c r="K235" s="87">
        <v>0</v>
      </c>
      <c r="L235" s="87">
        <v>0</v>
      </c>
      <c r="M235" s="87">
        <v>0</v>
      </c>
      <c r="N235" s="87">
        <v>0</v>
      </c>
      <c r="O235" s="87">
        <v>0</v>
      </c>
      <c r="P235" s="87">
        <v>0</v>
      </c>
      <c r="Q235" s="87">
        <v>0</v>
      </c>
    </row>
    <row r="236" spans="1:17" x14ac:dyDescent="0.3">
      <c r="A236" s="95"/>
      <c r="B236" s="52" t="s">
        <v>479</v>
      </c>
      <c r="C236" s="87">
        <v>100541</v>
      </c>
      <c r="D236" s="87">
        <v>7029</v>
      </c>
      <c r="E236" s="87">
        <v>49980</v>
      </c>
      <c r="F236" s="87">
        <v>40478</v>
      </c>
      <c r="G236" s="87">
        <v>3054</v>
      </c>
      <c r="H236" s="87">
        <v>1355</v>
      </c>
      <c r="I236" s="87">
        <v>90</v>
      </c>
      <c r="J236" s="87">
        <v>303</v>
      </c>
      <c r="K236" s="87">
        <v>935</v>
      </c>
      <c r="L236" s="87">
        <v>27</v>
      </c>
      <c r="M236" s="87">
        <v>99186</v>
      </c>
      <c r="N236" s="87">
        <v>6939</v>
      </c>
      <c r="O236" s="87">
        <v>49677</v>
      </c>
      <c r="P236" s="87">
        <v>39543</v>
      </c>
      <c r="Q236" s="87">
        <v>3027</v>
      </c>
    </row>
    <row r="237" spans="1:17" x14ac:dyDescent="0.3">
      <c r="A237" s="95"/>
      <c r="B237" s="52" t="s">
        <v>309</v>
      </c>
      <c r="C237" s="87">
        <v>3758</v>
      </c>
      <c r="D237" s="87">
        <v>328</v>
      </c>
      <c r="E237" s="87">
        <v>1981</v>
      </c>
      <c r="F237" s="87">
        <v>1399</v>
      </c>
      <c r="G237" s="87">
        <v>50</v>
      </c>
      <c r="H237" s="87">
        <v>59</v>
      </c>
      <c r="I237" s="87">
        <v>0</v>
      </c>
      <c r="J237" s="87">
        <v>13</v>
      </c>
      <c r="K237" s="87">
        <v>44</v>
      </c>
      <c r="L237" s="87">
        <v>2</v>
      </c>
      <c r="M237" s="87">
        <v>3699</v>
      </c>
      <c r="N237" s="87">
        <v>328</v>
      </c>
      <c r="O237" s="87">
        <v>1968</v>
      </c>
      <c r="P237" s="87">
        <v>1355</v>
      </c>
      <c r="Q237" s="87">
        <v>48</v>
      </c>
    </row>
    <row r="238" spans="1:17" x14ac:dyDescent="0.3">
      <c r="A238" s="95" t="s">
        <v>36</v>
      </c>
      <c r="B238" s="52" t="s">
        <v>480</v>
      </c>
      <c r="C238" s="87">
        <v>7115</v>
      </c>
      <c r="D238" s="87">
        <v>407</v>
      </c>
      <c r="E238" s="87">
        <v>3807</v>
      </c>
      <c r="F238" s="87">
        <v>2753</v>
      </c>
      <c r="G238" s="87">
        <v>148</v>
      </c>
      <c r="H238" s="87">
        <v>134</v>
      </c>
      <c r="I238" s="87">
        <v>3</v>
      </c>
      <c r="J238" s="87">
        <v>66</v>
      </c>
      <c r="K238" s="87">
        <v>62</v>
      </c>
      <c r="L238" s="87">
        <v>3</v>
      </c>
      <c r="M238" s="87">
        <v>6981</v>
      </c>
      <c r="N238" s="87">
        <v>404</v>
      </c>
      <c r="O238" s="87">
        <v>3741</v>
      </c>
      <c r="P238" s="87">
        <v>2691</v>
      </c>
      <c r="Q238" s="87">
        <v>145</v>
      </c>
    </row>
    <row r="239" spans="1:17" x14ac:dyDescent="0.3">
      <c r="A239" s="95"/>
      <c r="B239" s="52" t="s">
        <v>481</v>
      </c>
      <c r="C239" s="87">
        <v>3063</v>
      </c>
      <c r="D239" s="87">
        <v>328</v>
      </c>
      <c r="E239" s="87">
        <v>1576</v>
      </c>
      <c r="F239" s="87">
        <v>1092</v>
      </c>
      <c r="G239" s="87">
        <v>67</v>
      </c>
      <c r="H239" s="87">
        <v>71</v>
      </c>
      <c r="I239" s="87">
        <v>0</v>
      </c>
      <c r="J239" s="87">
        <v>32</v>
      </c>
      <c r="K239" s="87">
        <v>39</v>
      </c>
      <c r="L239" s="87">
        <v>0</v>
      </c>
      <c r="M239" s="87">
        <v>2992</v>
      </c>
      <c r="N239" s="87">
        <v>328</v>
      </c>
      <c r="O239" s="87">
        <v>1544</v>
      </c>
      <c r="P239" s="87">
        <v>1053</v>
      </c>
      <c r="Q239" s="87">
        <v>67</v>
      </c>
    </row>
    <row r="240" spans="1:17" x14ac:dyDescent="0.3">
      <c r="A240" s="95"/>
      <c r="B240" s="52" t="s">
        <v>482</v>
      </c>
      <c r="C240" s="87">
        <v>6639</v>
      </c>
      <c r="D240" s="87">
        <v>460</v>
      </c>
      <c r="E240" s="87">
        <v>2699</v>
      </c>
      <c r="F240" s="87">
        <v>3195</v>
      </c>
      <c r="G240" s="87">
        <v>285</v>
      </c>
      <c r="H240" s="87">
        <v>102</v>
      </c>
      <c r="I240" s="87">
        <v>9</v>
      </c>
      <c r="J240" s="87">
        <v>21</v>
      </c>
      <c r="K240" s="87">
        <v>70</v>
      </c>
      <c r="L240" s="87">
        <v>2</v>
      </c>
      <c r="M240" s="87">
        <v>6537</v>
      </c>
      <c r="N240" s="87">
        <v>451</v>
      </c>
      <c r="O240" s="87">
        <v>2678</v>
      </c>
      <c r="P240" s="87">
        <v>3125</v>
      </c>
      <c r="Q240" s="87">
        <v>283</v>
      </c>
    </row>
    <row r="241" spans="1:17" x14ac:dyDescent="0.3">
      <c r="A241" s="95"/>
      <c r="B241" s="52" t="s">
        <v>483</v>
      </c>
      <c r="C241" s="87">
        <v>3354</v>
      </c>
      <c r="D241" s="87">
        <v>417</v>
      </c>
      <c r="E241" s="87">
        <v>1751</v>
      </c>
      <c r="F241" s="87">
        <v>1140</v>
      </c>
      <c r="G241" s="87">
        <v>46</v>
      </c>
      <c r="H241" s="87">
        <v>41</v>
      </c>
      <c r="I241" s="87">
        <v>0</v>
      </c>
      <c r="J241" s="87">
        <v>17</v>
      </c>
      <c r="K241" s="87">
        <v>24</v>
      </c>
      <c r="L241" s="87">
        <v>0</v>
      </c>
      <c r="M241" s="87">
        <v>3313</v>
      </c>
      <c r="N241" s="87">
        <v>417</v>
      </c>
      <c r="O241" s="87">
        <v>1734</v>
      </c>
      <c r="P241" s="87">
        <v>1116</v>
      </c>
      <c r="Q241" s="87">
        <v>46</v>
      </c>
    </row>
    <row r="242" spans="1:17" x14ac:dyDescent="0.3">
      <c r="A242" s="95"/>
      <c r="B242" s="52" t="s">
        <v>484</v>
      </c>
      <c r="C242" s="87">
        <v>9022</v>
      </c>
      <c r="D242" s="87">
        <v>653</v>
      </c>
      <c r="E242" s="87">
        <v>4413</v>
      </c>
      <c r="F242" s="87">
        <v>3680</v>
      </c>
      <c r="G242" s="87">
        <v>276</v>
      </c>
      <c r="H242" s="87">
        <v>117</v>
      </c>
      <c r="I242" s="87">
        <v>8</v>
      </c>
      <c r="J242" s="87">
        <v>27</v>
      </c>
      <c r="K242" s="87">
        <v>79</v>
      </c>
      <c r="L242" s="87">
        <v>3</v>
      </c>
      <c r="M242" s="87">
        <v>8905</v>
      </c>
      <c r="N242" s="87">
        <v>645</v>
      </c>
      <c r="O242" s="87">
        <v>4386</v>
      </c>
      <c r="P242" s="87">
        <v>3601</v>
      </c>
      <c r="Q242" s="87">
        <v>273</v>
      </c>
    </row>
    <row r="243" spans="1:17" x14ac:dyDescent="0.3">
      <c r="A243" s="95"/>
      <c r="B243" s="52" t="s">
        <v>485</v>
      </c>
      <c r="C243" s="87">
        <v>3762</v>
      </c>
      <c r="D243" s="87">
        <v>476</v>
      </c>
      <c r="E243" s="87">
        <v>1832</v>
      </c>
      <c r="F243" s="87">
        <v>1377</v>
      </c>
      <c r="G243" s="87">
        <v>77</v>
      </c>
      <c r="H243" s="87">
        <v>50</v>
      </c>
      <c r="I243" s="87">
        <v>0</v>
      </c>
      <c r="J243" s="87">
        <v>13</v>
      </c>
      <c r="K243" s="87">
        <v>35</v>
      </c>
      <c r="L243" s="87">
        <v>2</v>
      </c>
      <c r="M243" s="87">
        <v>3712</v>
      </c>
      <c r="N243" s="87">
        <v>476</v>
      </c>
      <c r="O243" s="87">
        <v>1819</v>
      </c>
      <c r="P243" s="87">
        <v>1342</v>
      </c>
      <c r="Q243" s="87">
        <v>75</v>
      </c>
    </row>
    <row r="244" spans="1:17" x14ac:dyDescent="0.3">
      <c r="A244" s="95"/>
      <c r="B244" s="52" t="s">
        <v>486</v>
      </c>
      <c r="C244" s="87">
        <v>8557</v>
      </c>
      <c r="D244" s="87">
        <v>290</v>
      </c>
      <c r="E244" s="87">
        <v>3793</v>
      </c>
      <c r="F244" s="87">
        <v>4195</v>
      </c>
      <c r="G244" s="87">
        <v>279</v>
      </c>
      <c r="H244" s="87">
        <v>159</v>
      </c>
      <c r="I244" s="87">
        <v>0</v>
      </c>
      <c r="J244" s="87">
        <v>56</v>
      </c>
      <c r="K244" s="87">
        <v>100</v>
      </c>
      <c r="L244" s="87">
        <v>3</v>
      </c>
      <c r="M244" s="87">
        <v>8398</v>
      </c>
      <c r="N244" s="87">
        <v>290</v>
      </c>
      <c r="O244" s="87">
        <v>3737</v>
      </c>
      <c r="P244" s="87">
        <v>4095</v>
      </c>
      <c r="Q244" s="87">
        <v>276</v>
      </c>
    </row>
    <row r="245" spans="1:17" x14ac:dyDescent="0.3">
      <c r="A245" s="95"/>
      <c r="B245" s="52" t="s">
        <v>487</v>
      </c>
      <c r="C245" s="87">
        <v>4676</v>
      </c>
      <c r="D245" s="87">
        <v>292</v>
      </c>
      <c r="E245" s="87">
        <v>2474</v>
      </c>
      <c r="F245" s="87">
        <v>1795</v>
      </c>
      <c r="G245" s="87">
        <v>115</v>
      </c>
      <c r="H245" s="87">
        <v>89</v>
      </c>
      <c r="I245" s="87">
        <v>11</v>
      </c>
      <c r="J245" s="87">
        <v>9</v>
      </c>
      <c r="K245" s="87">
        <v>66</v>
      </c>
      <c r="L245" s="87">
        <v>3</v>
      </c>
      <c r="M245" s="87">
        <v>4587</v>
      </c>
      <c r="N245" s="87">
        <v>281</v>
      </c>
      <c r="O245" s="87">
        <v>2465</v>
      </c>
      <c r="P245" s="87">
        <v>1729</v>
      </c>
      <c r="Q245" s="87">
        <v>112</v>
      </c>
    </row>
    <row r="246" spans="1:17" x14ac:dyDescent="0.3">
      <c r="A246" s="95"/>
      <c r="B246" s="52" t="s">
        <v>488</v>
      </c>
      <c r="C246" s="87">
        <v>4975</v>
      </c>
      <c r="D246" s="87">
        <v>339</v>
      </c>
      <c r="E246" s="87">
        <v>3030</v>
      </c>
      <c r="F246" s="87">
        <v>1561</v>
      </c>
      <c r="G246" s="87">
        <v>45</v>
      </c>
      <c r="H246" s="87">
        <v>64</v>
      </c>
      <c r="I246" s="87">
        <v>4</v>
      </c>
      <c r="J246" s="87">
        <v>18</v>
      </c>
      <c r="K246" s="87">
        <v>40</v>
      </c>
      <c r="L246" s="87">
        <v>2</v>
      </c>
      <c r="M246" s="87">
        <v>4911</v>
      </c>
      <c r="N246" s="87">
        <v>335</v>
      </c>
      <c r="O246" s="87">
        <v>3012</v>
      </c>
      <c r="P246" s="87">
        <v>1521</v>
      </c>
      <c r="Q246" s="87">
        <v>43</v>
      </c>
    </row>
    <row r="247" spans="1:17" x14ac:dyDescent="0.3">
      <c r="A247" s="95"/>
      <c r="B247" s="52" t="s">
        <v>489</v>
      </c>
      <c r="C247" s="87">
        <v>11098</v>
      </c>
      <c r="D247" s="87">
        <v>559</v>
      </c>
      <c r="E247" s="87">
        <v>5050</v>
      </c>
      <c r="F247" s="87">
        <v>4978</v>
      </c>
      <c r="G247" s="87">
        <v>511</v>
      </c>
      <c r="H247" s="87">
        <v>139</v>
      </c>
      <c r="I247" s="87">
        <v>11</v>
      </c>
      <c r="J247" s="87">
        <v>18</v>
      </c>
      <c r="K247" s="87">
        <v>107</v>
      </c>
      <c r="L247" s="87">
        <v>3</v>
      </c>
      <c r="M247" s="87">
        <v>10959</v>
      </c>
      <c r="N247" s="87">
        <v>548</v>
      </c>
      <c r="O247" s="87">
        <v>5032</v>
      </c>
      <c r="P247" s="87">
        <v>4871</v>
      </c>
      <c r="Q247" s="87">
        <v>508</v>
      </c>
    </row>
    <row r="248" spans="1:17" x14ac:dyDescent="0.3">
      <c r="A248" s="95"/>
      <c r="B248" s="52" t="s">
        <v>490</v>
      </c>
      <c r="C248" s="87">
        <v>2836</v>
      </c>
      <c r="D248" s="87">
        <v>64</v>
      </c>
      <c r="E248" s="87">
        <v>1203</v>
      </c>
      <c r="F248" s="87">
        <v>1525</v>
      </c>
      <c r="G248" s="87">
        <v>44</v>
      </c>
      <c r="H248" s="87">
        <v>59</v>
      </c>
      <c r="I248" s="87">
        <v>0</v>
      </c>
      <c r="J248" s="87">
        <v>14</v>
      </c>
      <c r="K248" s="87">
        <v>45</v>
      </c>
      <c r="L248" s="87">
        <v>0</v>
      </c>
      <c r="M248" s="87">
        <v>2777</v>
      </c>
      <c r="N248" s="87">
        <v>64</v>
      </c>
      <c r="O248" s="87">
        <v>1189</v>
      </c>
      <c r="P248" s="87">
        <v>1480</v>
      </c>
      <c r="Q248" s="87">
        <v>44</v>
      </c>
    </row>
    <row r="249" spans="1:17" x14ac:dyDescent="0.3">
      <c r="A249" s="95"/>
      <c r="B249" s="52" t="s">
        <v>491</v>
      </c>
      <c r="C249" s="87">
        <v>10072</v>
      </c>
      <c r="D249" s="87">
        <v>558</v>
      </c>
      <c r="E249" s="87">
        <v>3786</v>
      </c>
      <c r="F249" s="87">
        <v>5238</v>
      </c>
      <c r="G249" s="87">
        <v>490</v>
      </c>
      <c r="H249" s="87">
        <v>225</v>
      </c>
      <c r="I249" s="87">
        <v>42</v>
      </c>
      <c r="J249" s="87">
        <v>39</v>
      </c>
      <c r="K249" s="87">
        <v>140</v>
      </c>
      <c r="L249" s="87">
        <v>4</v>
      </c>
      <c r="M249" s="87">
        <v>9847</v>
      </c>
      <c r="N249" s="87">
        <v>516</v>
      </c>
      <c r="O249" s="87">
        <v>3747</v>
      </c>
      <c r="P249" s="87">
        <v>5098</v>
      </c>
      <c r="Q249" s="87">
        <v>486</v>
      </c>
    </row>
    <row r="250" spans="1:17" x14ac:dyDescent="0.3">
      <c r="A250" s="95"/>
      <c r="B250" s="52" t="s">
        <v>492</v>
      </c>
      <c r="C250" s="87">
        <v>6640</v>
      </c>
      <c r="D250" s="87">
        <v>358</v>
      </c>
      <c r="E250" s="87">
        <v>4176</v>
      </c>
      <c r="F250" s="87">
        <v>2019</v>
      </c>
      <c r="G250" s="87">
        <v>87</v>
      </c>
      <c r="H250" s="87">
        <v>73</v>
      </c>
      <c r="I250" s="87">
        <v>1</v>
      </c>
      <c r="J250" s="87">
        <v>25</v>
      </c>
      <c r="K250" s="87">
        <v>45</v>
      </c>
      <c r="L250" s="87">
        <v>2</v>
      </c>
      <c r="M250" s="87">
        <v>6567</v>
      </c>
      <c r="N250" s="87">
        <v>357</v>
      </c>
      <c r="O250" s="87">
        <v>4151</v>
      </c>
      <c r="P250" s="87">
        <v>1974</v>
      </c>
      <c r="Q250" s="87">
        <v>85</v>
      </c>
    </row>
    <row r="251" spans="1:17" x14ac:dyDescent="0.3">
      <c r="A251" s="95"/>
      <c r="B251" s="52" t="s">
        <v>493</v>
      </c>
      <c r="C251" s="87">
        <v>4724</v>
      </c>
      <c r="D251" s="87">
        <v>454</v>
      </c>
      <c r="E251" s="87">
        <v>2248</v>
      </c>
      <c r="F251" s="87">
        <v>1926</v>
      </c>
      <c r="G251" s="87">
        <v>96</v>
      </c>
      <c r="H251" s="87">
        <v>78</v>
      </c>
      <c r="I251" s="87">
        <v>0</v>
      </c>
      <c r="J251" s="87">
        <v>18</v>
      </c>
      <c r="K251" s="87">
        <v>58</v>
      </c>
      <c r="L251" s="87">
        <v>2</v>
      </c>
      <c r="M251" s="87">
        <v>4646</v>
      </c>
      <c r="N251" s="87">
        <v>454</v>
      </c>
      <c r="O251" s="87">
        <v>2230</v>
      </c>
      <c r="P251" s="87">
        <v>1868</v>
      </c>
      <c r="Q251" s="87">
        <v>94</v>
      </c>
    </row>
    <row r="252" spans="1:17" x14ac:dyDescent="0.3">
      <c r="A252" s="95"/>
      <c r="B252" s="52" t="s">
        <v>494</v>
      </c>
      <c r="C252" s="87">
        <v>3466</v>
      </c>
      <c r="D252" s="87">
        <v>205</v>
      </c>
      <c r="E252" s="87">
        <v>1720</v>
      </c>
      <c r="F252" s="87">
        <v>1484</v>
      </c>
      <c r="G252" s="87">
        <v>57</v>
      </c>
      <c r="H252" s="87">
        <v>140</v>
      </c>
      <c r="I252" s="87">
        <v>4</v>
      </c>
      <c r="J252" s="87">
        <v>81</v>
      </c>
      <c r="K252" s="87">
        <v>55</v>
      </c>
      <c r="L252" s="87">
        <v>0</v>
      </c>
      <c r="M252" s="87">
        <v>3326</v>
      </c>
      <c r="N252" s="87">
        <v>201</v>
      </c>
      <c r="O252" s="87">
        <v>1639</v>
      </c>
      <c r="P252" s="87">
        <v>1429</v>
      </c>
      <c r="Q252" s="87">
        <v>57</v>
      </c>
    </row>
    <row r="253" spans="1:17" x14ac:dyDescent="0.3">
      <c r="A253" s="95"/>
      <c r="B253" s="52" t="s">
        <v>495</v>
      </c>
      <c r="C253" s="87">
        <v>3114</v>
      </c>
      <c r="D253" s="87">
        <v>282</v>
      </c>
      <c r="E253" s="87">
        <v>1380</v>
      </c>
      <c r="F253" s="87">
        <v>1368</v>
      </c>
      <c r="G253" s="87">
        <v>84</v>
      </c>
      <c r="H253" s="87">
        <v>74</v>
      </c>
      <c r="I253" s="87">
        <v>3</v>
      </c>
      <c r="J253" s="87">
        <v>29</v>
      </c>
      <c r="K253" s="87">
        <v>40</v>
      </c>
      <c r="L253" s="87">
        <v>2</v>
      </c>
      <c r="M253" s="87">
        <v>3040</v>
      </c>
      <c r="N253" s="87">
        <v>279</v>
      </c>
      <c r="O253" s="87">
        <v>1351</v>
      </c>
      <c r="P253" s="87">
        <v>1328</v>
      </c>
      <c r="Q253" s="87">
        <v>82</v>
      </c>
    </row>
    <row r="254" spans="1:17" x14ac:dyDescent="0.3">
      <c r="A254" s="95"/>
      <c r="B254" s="52" t="s">
        <v>496</v>
      </c>
      <c r="C254" s="87">
        <v>3230</v>
      </c>
      <c r="D254" s="87">
        <v>292</v>
      </c>
      <c r="E254" s="87">
        <v>1401</v>
      </c>
      <c r="F254" s="87">
        <v>1463</v>
      </c>
      <c r="G254" s="87">
        <v>74</v>
      </c>
      <c r="H254" s="87">
        <v>51</v>
      </c>
      <c r="I254" s="87">
        <v>2</v>
      </c>
      <c r="J254" s="87">
        <v>5</v>
      </c>
      <c r="K254" s="87">
        <v>43</v>
      </c>
      <c r="L254" s="87">
        <v>1</v>
      </c>
      <c r="M254" s="87">
        <v>3179</v>
      </c>
      <c r="N254" s="87">
        <v>290</v>
      </c>
      <c r="O254" s="87">
        <v>1396</v>
      </c>
      <c r="P254" s="87">
        <v>1420</v>
      </c>
      <c r="Q254" s="87">
        <v>73</v>
      </c>
    </row>
    <row r="255" spans="1:17" x14ac:dyDescent="0.3">
      <c r="A255" s="95"/>
      <c r="B255" s="52" t="s">
        <v>497</v>
      </c>
      <c r="C255" s="87">
        <v>2549</v>
      </c>
      <c r="D255" s="87">
        <v>162</v>
      </c>
      <c r="E255" s="87">
        <v>1096</v>
      </c>
      <c r="F255" s="87">
        <v>1246</v>
      </c>
      <c r="G255" s="87">
        <v>45</v>
      </c>
      <c r="H255" s="87">
        <v>40</v>
      </c>
      <c r="I255" s="87">
        <v>0</v>
      </c>
      <c r="J255" s="87">
        <v>2</v>
      </c>
      <c r="K255" s="87">
        <v>38</v>
      </c>
      <c r="L255" s="87">
        <v>0</v>
      </c>
      <c r="M255" s="87">
        <v>2509</v>
      </c>
      <c r="N255" s="87">
        <v>162</v>
      </c>
      <c r="O255" s="87">
        <v>1094</v>
      </c>
      <c r="P255" s="87">
        <v>1208</v>
      </c>
      <c r="Q255" s="87">
        <v>45</v>
      </c>
    </row>
    <row r="256" spans="1:17" x14ac:dyDescent="0.3">
      <c r="A256" s="95"/>
      <c r="B256" s="52" t="s">
        <v>498</v>
      </c>
      <c r="C256" s="87">
        <v>4990</v>
      </c>
      <c r="D256" s="87">
        <v>371</v>
      </c>
      <c r="E256" s="87">
        <v>2975</v>
      </c>
      <c r="F256" s="87">
        <v>1577</v>
      </c>
      <c r="G256" s="87">
        <v>67</v>
      </c>
      <c r="H256" s="87">
        <v>58</v>
      </c>
      <c r="I256" s="87">
        <v>3</v>
      </c>
      <c r="J256" s="87">
        <v>26</v>
      </c>
      <c r="K256" s="87">
        <v>27</v>
      </c>
      <c r="L256" s="87">
        <v>2</v>
      </c>
      <c r="M256" s="87">
        <v>4932</v>
      </c>
      <c r="N256" s="87">
        <v>368</v>
      </c>
      <c r="O256" s="87">
        <v>2949</v>
      </c>
      <c r="P256" s="87">
        <v>1550</v>
      </c>
      <c r="Q256" s="87">
        <v>65</v>
      </c>
    </row>
    <row r="257" spans="1:17" x14ac:dyDescent="0.3">
      <c r="A257" s="95"/>
      <c r="B257" s="52" t="s">
        <v>499</v>
      </c>
      <c r="C257" s="87">
        <v>6783</v>
      </c>
      <c r="D257" s="87">
        <v>195</v>
      </c>
      <c r="E257" s="87">
        <v>3823</v>
      </c>
      <c r="F257" s="87">
        <v>2674</v>
      </c>
      <c r="G257" s="87">
        <v>91</v>
      </c>
      <c r="H257" s="87">
        <v>129</v>
      </c>
      <c r="I257" s="87">
        <v>1</v>
      </c>
      <c r="J257" s="87">
        <v>51</v>
      </c>
      <c r="K257" s="87">
        <v>75</v>
      </c>
      <c r="L257" s="87">
        <v>2</v>
      </c>
      <c r="M257" s="87">
        <v>6654</v>
      </c>
      <c r="N257" s="87">
        <v>194</v>
      </c>
      <c r="O257" s="87">
        <v>3772</v>
      </c>
      <c r="P257" s="87">
        <v>2599</v>
      </c>
      <c r="Q257" s="87">
        <v>89</v>
      </c>
    </row>
    <row r="258" spans="1:17" x14ac:dyDescent="0.3">
      <c r="A258" s="95"/>
      <c r="B258" s="52" t="s">
        <v>500</v>
      </c>
      <c r="C258" s="87">
        <v>3383</v>
      </c>
      <c r="D258" s="87">
        <v>245</v>
      </c>
      <c r="E258" s="87">
        <v>1965</v>
      </c>
      <c r="F258" s="87">
        <v>1104</v>
      </c>
      <c r="G258" s="87">
        <v>69</v>
      </c>
      <c r="H258" s="87">
        <v>91</v>
      </c>
      <c r="I258" s="87">
        <v>27</v>
      </c>
      <c r="J258" s="87">
        <v>16</v>
      </c>
      <c r="K258" s="87">
        <v>46</v>
      </c>
      <c r="L258" s="87">
        <v>2</v>
      </c>
      <c r="M258" s="87">
        <v>3292</v>
      </c>
      <c r="N258" s="87">
        <v>218</v>
      </c>
      <c r="O258" s="87">
        <v>1949</v>
      </c>
      <c r="P258" s="87">
        <v>1058</v>
      </c>
      <c r="Q258" s="87">
        <v>67</v>
      </c>
    </row>
    <row r="259" spans="1:17" x14ac:dyDescent="0.3">
      <c r="A259" s="95"/>
      <c r="B259" s="52" t="s">
        <v>501</v>
      </c>
      <c r="C259" s="87">
        <v>1377</v>
      </c>
      <c r="D259" s="87">
        <v>0</v>
      </c>
      <c r="E259" s="87">
        <v>1085</v>
      </c>
      <c r="F259" s="87">
        <v>206</v>
      </c>
      <c r="G259" s="87">
        <v>86</v>
      </c>
      <c r="H259" s="87">
        <v>23</v>
      </c>
      <c r="I259" s="87">
        <v>0</v>
      </c>
      <c r="J259" s="87">
        <v>22</v>
      </c>
      <c r="K259" s="87">
        <v>1</v>
      </c>
      <c r="L259" s="87">
        <v>0</v>
      </c>
      <c r="M259" s="87">
        <v>1354</v>
      </c>
      <c r="N259" s="87">
        <v>0</v>
      </c>
      <c r="O259" s="87">
        <v>1063</v>
      </c>
      <c r="P259" s="87">
        <v>205</v>
      </c>
      <c r="Q259" s="87">
        <v>86</v>
      </c>
    </row>
    <row r="260" spans="1:17" x14ac:dyDescent="0.3">
      <c r="A260" s="95"/>
      <c r="B260" s="52" t="s">
        <v>502</v>
      </c>
      <c r="C260" s="87">
        <v>119183</v>
      </c>
      <c r="D260" s="87">
        <v>7735</v>
      </c>
      <c r="E260" s="87">
        <v>59264</v>
      </c>
      <c r="F260" s="87">
        <v>48995</v>
      </c>
      <c r="G260" s="87">
        <v>3189</v>
      </c>
      <c r="H260" s="87">
        <v>2066</v>
      </c>
      <c r="I260" s="87">
        <v>129</v>
      </c>
      <c r="J260" s="87">
        <v>618</v>
      </c>
      <c r="K260" s="87">
        <v>1279</v>
      </c>
      <c r="L260" s="87">
        <v>40</v>
      </c>
      <c r="M260" s="87">
        <v>117117</v>
      </c>
      <c r="N260" s="87">
        <v>7606</v>
      </c>
      <c r="O260" s="87">
        <v>58646</v>
      </c>
      <c r="P260" s="87">
        <v>47716</v>
      </c>
      <c r="Q260" s="87">
        <v>3149</v>
      </c>
    </row>
    <row r="261" spans="1:17" x14ac:dyDescent="0.3">
      <c r="A261" s="95"/>
      <c r="B261" s="52" t="s">
        <v>309</v>
      </c>
      <c r="C261" s="87">
        <v>13715</v>
      </c>
      <c r="D261" s="87">
        <v>843</v>
      </c>
      <c r="E261" s="87">
        <v>6428</v>
      </c>
      <c r="F261" s="87">
        <v>5699</v>
      </c>
      <c r="G261" s="87">
        <v>745</v>
      </c>
      <c r="H261" s="87">
        <v>146</v>
      </c>
      <c r="I261" s="87">
        <v>4</v>
      </c>
      <c r="J261" s="87">
        <v>33</v>
      </c>
      <c r="K261" s="87">
        <v>105</v>
      </c>
      <c r="L261" s="87">
        <v>4</v>
      </c>
      <c r="M261" s="87">
        <v>13569</v>
      </c>
      <c r="N261" s="87">
        <v>839</v>
      </c>
      <c r="O261" s="87">
        <v>6395</v>
      </c>
      <c r="P261" s="87">
        <v>5594</v>
      </c>
      <c r="Q261" s="87">
        <v>741</v>
      </c>
    </row>
    <row r="262" spans="1:17" x14ac:dyDescent="0.3">
      <c r="A262" s="95" t="s">
        <v>37</v>
      </c>
      <c r="B262" s="52" t="s">
        <v>503</v>
      </c>
      <c r="C262" s="87">
        <v>14860</v>
      </c>
      <c r="D262" s="87">
        <v>1061</v>
      </c>
      <c r="E262" s="87">
        <v>6099</v>
      </c>
      <c r="F262" s="87">
        <v>7116</v>
      </c>
      <c r="G262" s="87">
        <v>584</v>
      </c>
      <c r="H262" s="87">
        <v>170</v>
      </c>
      <c r="I262" s="87">
        <v>12</v>
      </c>
      <c r="J262" s="87">
        <v>19</v>
      </c>
      <c r="K262" s="87">
        <v>131</v>
      </c>
      <c r="L262" s="87">
        <v>8</v>
      </c>
      <c r="M262" s="87">
        <v>14690</v>
      </c>
      <c r="N262" s="87">
        <v>1049</v>
      </c>
      <c r="O262" s="87">
        <v>6080</v>
      </c>
      <c r="P262" s="87">
        <v>6985</v>
      </c>
      <c r="Q262" s="87">
        <v>576</v>
      </c>
    </row>
    <row r="263" spans="1:17" x14ac:dyDescent="0.3">
      <c r="A263" s="95"/>
      <c r="B263" s="52" t="s">
        <v>504</v>
      </c>
      <c r="C263" s="87">
        <v>4228</v>
      </c>
      <c r="D263" s="87">
        <v>300</v>
      </c>
      <c r="E263" s="87">
        <v>2236</v>
      </c>
      <c r="F263" s="87">
        <v>1596</v>
      </c>
      <c r="G263" s="87">
        <v>96</v>
      </c>
      <c r="H263" s="87">
        <v>56</v>
      </c>
      <c r="I263" s="87">
        <v>0</v>
      </c>
      <c r="J263" s="87">
        <v>20</v>
      </c>
      <c r="K263" s="87">
        <v>35</v>
      </c>
      <c r="L263" s="87">
        <v>1</v>
      </c>
      <c r="M263" s="87">
        <v>4172</v>
      </c>
      <c r="N263" s="87">
        <v>300</v>
      </c>
      <c r="O263" s="87">
        <v>2216</v>
      </c>
      <c r="P263" s="87">
        <v>1561</v>
      </c>
      <c r="Q263" s="87">
        <v>95</v>
      </c>
    </row>
    <row r="264" spans="1:17" x14ac:dyDescent="0.3">
      <c r="A264" s="95"/>
      <c r="B264" s="52" t="s">
        <v>505</v>
      </c>
      <c r="C264" s="87">
        <v>16834</v>
      </c>
      <c r="D264" s="87">
        <v>1156</v>
      </c>
      <c r="E264" s="87">
        <v>6698</v>
      </c>
      <c r="F264" s="87">
        <v>7936</v>
      </c>
      <c r="G264" s="87">
        <v>1044</v>
      </c>
      <c r="H264" s="87">
        <v>193</v>
      </c>
      <c r="I264" s="87">
        <v>54</v>
      </c>
      <c r="J264" s="87">
        <v>10</v>
      </c>
      <c r="K264" s="87">
        <v>123</v>
      </c>
      <c r="L264" s="87">
        <v>6</v>
      </c>
      <c r="M264" s="87">
        <v>16641</v>
      </c>
      <c r="N264" s="87">
        <v>1102</v>
      </c>
      <c r="O264" s="87">
        <v>6688</v>
      </c>
      <c r="P264" s="87">
        <v>7813</v>
      </c>
      <c r="Q264" s="87">
        <v>1038</v>
      </c>
    </row>
    <row r="265" spans="1:17" x14ac:dyDescent="0.3">
      <c r="A265" s="95"/>
      <c r="B265" s="52" t="s">
        <v>506</v>
      </c>
      <c r="C265" s="87">
        <v>3015</v>
      </c>
      <c r="D265" s="87">
        <v>299</v>
      </c>
      <c r="E265" s="87">
        <v>1493</v>
      </c>
      <c r="F265" s="87">
        <v>1160</v>
      </c>
      <c r="G265" s="87">
        <v>63</v>
      </c>
      <c r="H265" s="87">
        <v>36</v>
      </c>
      <c r="I265" s="87">
        <v>0</v>
      </c>
      <c r="J265" s="87">
        <v>7</v>
      </c>
      <c r="K265" s="87">
        <v>28</v>
      </c>
      <c r="L265" s="87">
        <v>1</v>
      </c>
      <c r="M265" s="87">
        <v>2979</v>
      </c>
      <c r="N265" s="87">
        <v>299</v>
      </c>
      <c r="O265" s="87">
        <v>1486</v>
      </c>
      <c r="P265" s="87">
        <v>1132</v>
      </c>
      <c r="Q265" s="87">
        <v>62</v>
      </c>
    </row>
    <row r="266" spans="1:17" x14ac:dyDescent="0.3">
      <c r="A266" s="95"/>
      <c r="B266" s="52" t="s">
        <v>507</v>
      </c>
      <c r="C266" s="87">
        <v>10231</v>
      </c>
      <c r="D266" s="87">
        <v>1313</v>
      </c>
      <c r="E266" s="87">
        <v>4590</v>
      </c>
      <c r="F266" s="87">
        <v>3927</v>
      </c>
      <c r="G266" s="87">
        <v>401</v>
      </c>
      <c r="H266" s="87">
        <v>83</v>
      </c>
      <c r="I266" s="87">
        <v>1</v>
      </c>
      <c r="J266" s="87">
        <v>24</v>
      </c>
      <c r="K266" s="87">
        <v>55</v>
      </c>
      <c r="L266" s="87">
        <v>3</v>
      </c>
      <c r="M266" s="87">
        <v>10148</v>
      </c>
      <c r="N266" s="87">
        <v>1312</v>
      </c>
      <c r="O266" s="87">
        <v>4566</v>
      </c>
      <c r="P266" s="87">
        <v>3872</v>
      </c>
      <c r="Q266" s="87">
        <v>398</v>
      </c>
    </row>
    <row r="267" spans="1:17" x14ac:dyDescent="0.3">
      <c r="A267" s="95"/>
      <c r="B267" s="52" t="s">
        <v>508</v>
      </c>
      <c r="C267" s="87">
        <v>6433</v>
      </c>
      <c r="D267" s="87">
        <v>864</v>
      </c>
      <c r="E267" s="87">
        <v>2701</v>
      </c>
      <c r="F267" s="87">
        <v>2666</v>
      </c>
      <c r="G267" s="87">
        <v>202</v>
      </c>
      <c r="H267" s="87">
        <v>57</v>
      </c>
      <c r="I267" s="87">
        <v>7</v>
      </c>
      <c r="J267" s="87">
        <v>5</v>
      </c>
      <c r="K267" s="87">
        <v>43</v>
      </c>
      <c r="L267" s="87">
        <v>2</v>
      </c>
      <c r="M267" s="87">
        <v>6376</v>
      </c>
      <c r="N267" s="87">
        <v>857</v>
      </c>
      <c r="O267" s="87">
        <v>2696</v>
      </c>
      <c r="P267" s="87">
        <v>2623</v>
      </c>
      <c r="Q267" s="87">
        <v>200</v>
      </c>
    </row>
    <row r="268" spans="1:17" x14ac:dyDescent="0.3">
      <c r="A268" s="95"/>
      <c r="B268" s="52" t="s">
        <v>509</v>
      </c>
      <c r="C268" s="87">
        <v>2920</v>
      </c>
      <c r="D268" s="87">
        <v>406</v>
      </c>
      <c r="E268" s="87">
        <v>1615</v>
      </c>
      <c r="F268" s="87">
        <v>853</v>
      </c>
      <c r="G268" s="87">
        <v>46</v>
      </c>
      <c r="H268" s="87">
        <v>104</v>
      </c>
      <c r="I268" s="87">
        <v>3</v>
      </c>
      <c r="J268" s="87">
        <v>66</v>
      </c>
      <c r="K268" s="87">
        <v>34</v>
      </c>
      <c r="L268" s="87">
        <v>1</v>
      </c>
      <c r="M268" s="87">
        <v>2816</v>
      </c>
      <c r="N268" s="87">
        <v>403</v>
      </c>
      <c r="O268" s="87">
        <v>1549</v>
      </c>
      <c r="P268" s="87">
        <v>819</v>
      </c>
      <c r="Q268" s="87">
        <v>45</v>
      </c>
    </row>
    <row r="269" spans="1:17" x14ac:dyDescent="0.3">
      <c r="A269" s="95"/>
      <c r="B269" s="52" t="s">
        <v>510</v>
      </c>
      <c r="C269" s="87">
        <v>15965</v>
      </c>
      <c r="D269" s="87">
        <v>1293</v>
      </c>
      <c r="E269" s="87">
        <v>9397</v>
      </c>
      <c r="F269" s="87">
        <v>5035</v>
      </c>
      <c r="G269" s="87">
        <v>240</v>
      </c>
      <c r="H269" s="87">
        <v>117</v>
      </c>
      <c r="I269" s="87">
        <v>4</v>
      </c>
      <c r="J269" s="87">
        <v>34</v>
      </c>
      <c r="K269" s="87">
        <v>75</v>
      </c>
      <c r="L269" s="87">
        <v>4</v>
      </c>
      <c r="M269" s="87">
        <v>15848</v>
      </c>
      <c r="N269" s="87">
        <v>1289</v>
      </c>
      <c r="O269" s="87">
        <v>9363</v>
      </c>
      <c r="P269" s="87">
        <v>4960</v>
      </c>
      <c r="Q269" s="87">
        <v>236</v>
      </c>
    </row>
    <row r="270" spans="1:17" x14ac:dyDescent="0.3">
      <c r="A270" s="95"/>
      <c r="B270" s="52" t="s">
        <v>511</v>
      </c>
      <c r="C270" s="87">
        <v>8034</v>
      </c>
      <c r="D270" s="87">
        <v>419</v>
      </c>
      <c r="E270" s="87">
        <v>5233</v>
      </c>
      <c r="F270" s="87">
        <v>2248</v>
      </c>
      <c r="G270" s="87">
        <v>134</v>
      </c>
      <c r="H270" s="87">
        <v>85</v>
      </c>
      <c r="I270" s="87">
        <v>0</v>
      </c>
      <c r="J270" s="87">
        <v>41</v>
      </c>
      <c r="K270" s="87">
        <v>43</v>
      </c>
      <c r="L270" s="87">
        <v>1</v>
      </c>
      <c r="M270" s="87">
        <v>7949</v>
      </c>
      <c r="N270" s="87">
        <v>419</v>
      </c>
      <c r="O270" s="87">
        <v>5192</v>
      </c>
      <c r="P270" s="87">
        <v>2205</v>
      </c>
      <c r="Q270" s="87">
        <v>133</v>
      </c>
    </row>
    <row r="271" spans="1:17" x14ac:dyDescent="0.3">
      <c r="A271" s="95"/>
      <c r="B271" s="52" t="s">
        <v>512</v>
      </c>
      <c r="C271" s="87">
        <v>1</v>
      </c>
      <c r="D271" s="87">
        <v>0</v>
      </c>
      <c r="E271" s="87">
        <v>0</v>
      </c>
      <c r="F271" s="87">
        <v>1</v>
      </c>
      <c r="G271" s="87">
        <v>0</v>
      </c>
      <c r="H271" s="87">
        <v>0</v>
      </c>
      <c r="I271" s="87">
        <v>0</v>
      </c>
      <c r="J271" s="87">
        <v>0</v>
      </c>
      <c r="K271" s="87">
        <v>0</v>
      </c>
      <c r="L271" s="87">
        <v>0</v>
      </c>
      <c r="M271" s="87">
        <v>1</v>
      </c>
      <c r="N271" s="87">
        <v>0</v>
      </c>
      <c r="O271" s="87">
        <v>0</v>
      </c>
      <c r="P271" s="87">
        <v>1</v>
      </c>
      <c r="Q271" s="87">
        <v>0</v>
      </c>
    </row>
    <row r="272" spans="1:17" x14ac:dyDescent="0.3">
      <c r="A272" s="95"/>
      <c r="B272" s="52" t="s">
        <v>513</v>
      </c>
      <c r="C272" s="87">
        <v>10564</v>
      </c>
      <c r="D272" s="87">
        <v>806</v>
      </c>
      <c r="E272" s="87">
        <v>4290</v>
      </c>
      <c r="F272" s="87">
        <v>5151</v>
      </c>
      <c r="G272" s="87">
        <v>317</v>
      </c>
      <c r="H272" s="87">
        <v>137</v>
      </c>
      <c r="I272" s="87">
        <v>7</v>
      </c>
      <c r="J272" s="87">
        <v>31</v>
      </c>
      <c r="K272" s="87">
        <v>96</v>
      </c>
      <c r="L272" s="87">
        <v>3</v>
      </c>
      <c r="M272" s="87">
        <v>10427</v>
      </c>
      <c r="N272" s="87">
        <v>799</v>
      </c>
      <c r="O272" s="87">
        <v>4259</v>
      </c>
      <c r="P272" s="87">
        <v>5055</v>
      </c>
      <c r="Q272" s="87">
        <v>314</v>
      </c>
    </row>
    <row r="273" spans="1:17" x14ac:dyDescent="0.3">
      <c r="A273" s="95"/>
      <c r="B273" s="52" t="s">
        <v>514</v>
      </c>
      <c r="C273" s="87">
        <v>4248</v>
      </c>
      <c r="D273" s="87">
        <v>441</v>
      </c>
      <c r="E273" s="87">
        <v>1697</v>
      </c>
      <c r="F273" s="87">
        <v>2068</v>
      </c>
      <c r="G273" s="87">
        <v>42</v>
      </c>
      <c r="H273" s="87">
        <v>54</v>
      </c>
      <c r="I273" s="87">
        <v>0</v>
      </c>
      <c r="J273" s="87">
        <v>17</v>
      </c>
      <c r="K273" s="87">
        <v>35</v>
      </c>
      <c r="L273" s="87">
        <v>2</v>
      </c>
      <c r="M273" s="87">
        <v>4194</v>
      </c>
      <c r="N273" s="87">
        <v>441</v>
      </c>
      <c r="O273" s="87">
        <v>1680</v>
      </c>
      <c r="P273" s="87">
        <v>2033</v>
      </c>
      <c r="Q273" s="87">
        <v>40</v>
      </c>
    </row>
    <row r="274" spans="1:17" x14ac:dyDescent="0.3">
      <c r="A274" s="95"/>
      <c r="B274" s="52" t="s">
        <v>515</v>
      </c>
      <c r="C274" s="87">
        <v>1973</v>
      </c>
      <c r="D274" s="87">
        <v>351</v>
      </c>
      <c r="E274" s="87">
        <v>909</v>
      </c>
      <c r="F274" s="87">
        <v>677</v>
      </c>
      <c r="G274" s="87">
        <v>36</v>
      </c>
      <c r="H274" s="87">
        <v>76</v>
      </c>
      <c r="I274" s="87">
        <v>0</v>
      </c>
      <c r="J274" s="87">
        <v>47</v>
      </c>
      <c r="K274" s="87">
        <v>28</v>
      </c>
      <c r="L274" s="87">
        <v>1</v>
      </c>
      <c r="M274" s="87">
        <v>1897</v>
      </c>
      <c r="N274" s="87">
        <v>351</v>
      </c>
      <c r="O274" s="87">
        <v>862</v>
      </c>
      <c r="P274" s="87">
        <v>649</v>
      </c>
      <c r="Q274" s="87">
        <v>35</v>
      </c>
    </row>
    <row r="275" spans="1:17" x14ac:dyDescent="0.3">
      <c r="A275" s="95"/>
      <c r="B275" s="52" t="s">
        <v>516</v>
      </c>
      <c r="C275" s="87">
        <v>48</v>
      </c>
      <c r="D275" s="87">
        <v>0</v>
      </c>
      <c r="E275" s="87">
        <v>46</v>
      </c>
      <c r="F275" s="87">
        <v>2</v>
      </c>
      <c r="G275" s="87">
        <v>0</v>
      </c>
      <c r="H275" s="87">
        <v>0</v>
      </c>
      <c r="I275" s="87">
        <v>0</v>
      </c>
      <c r="J275" s="87">
        <v>0</v>
      </c>
      <c r="K275" s="87">
        <v>0</v>
      </c>
      <c r="L275" s="87">
        <v>0</v>
      </c>
      <c r="M275" s="87">
        <v>48</v>
      </c>
      <c r="N275" s="87">
        <v>0</v>
      </c>
      <c r="O275" s="87">
        <v>46</v>
      </c>
      <c r="P275" s="87">
        <v>2</v>
      </c>
      <c r="Q275" s="87">
        <v>0</v>
      </c>
    </row>
    <row r="276" spans="1:17" x14ac:dyDescent="0.3">
      <c r="A276" s="95"/>
      <c r="B276" s="52" t="s">
        <v>517</v>
      </c>
      <c r="C276" s="87">
        <v>7276</v>
      </c>
      <c r="D276" s="87">
        <v>749</v>
      </c>
      <c r="E276" s="87">
        <v>2937</v>
      </c>
      <c r="F276" s="87">
        <v>3375</v>
      </c>
      <c r="G276" s="87">
        <v>215</v>
      </c>
      <c r="H276" s="87">
        <v>66</v>
      </c>
      <c r="I276" s="87">
        <v>1</v>
      </c>
      <c r="J276" s="87">
        <v>10</v>
      </c>
      <c r="K276" s="87">
        <v>53</v>
      </c>
      <c r="L276" s="87">
        <v>2</v>
      </c>
      <c r="M276" s="87">
        <v>7210</v>
      </c>
      <c r="N276" s="87">
        <v>748</v>
      </c>
      <c r="O276" s="87">
        <v>2927</v>
      </c>
      <c r="P276" s="87">
        <v>3322</v>
      </c>
      <c r="Q276" s="87">
        <v>213</v>
      </c>
    </row>
    <row r="277" spans="1:17" x14ac:dyDescent="0.3">
      <c r="A277" s="95"/>
      <c r="B277" s="52" t="s">
        <v>518</v>
      </c>
      <c r="C277" s="87">
        <v>7</v>
      </c>
      <c r="D277" s="87">
        <v>0</v>
      </c>
      <c r="E277" s="87">
        <v>4</v>
      </c>
      <c r="F277" s="87">
        <v>3</v>
      </c>
      <c r="G277" s="87">
        <v>0</v>
      </c>
      <c r="H277" s="87">
        <v>0</v>
      </c>
      <c r="I277" s="87">
        <v>0</v>
      </c>
      <c r="J277" s="87">
        <v>0</v>
      </c>
      <c r="K277" s="87">
        <v>0</v>
      </c>
      <c r="L277" s="87">
        <v>0</v>
      </c>
      <c r="M277" s="87">
        <v>7</v>
      </c>
      <c r="N277" s="87">
        <v>0</v>
      </c>
      <c r="O277" s="87">
        <v>4</v>
      </c>
      <c r="P277" s="87">
        <v>3</v>
      </c>
      <c r="Q277" s="87">
        <v>0</v>
      </c>
    </row>
    <row r="278" spans="1:17" x14ac:dyDescent="0.3">
      <c r="A278" s="95"/>
      <c r="B278" s="52" t="s">
        <v>519</v>
      </c>
      <c r="C278" s="87">
        <v>9468</v>
      </c>
      <c r="D278" s="87">
        <v>589</v>
      </c>
      <c r="E278" s="87">
        <v>4794</v>
      </c>
      <c r="F278" s="87">
        <v>3876</v>
      </c>
      <c r="G278" s="87">
        <v>209</v>
      </c>
      <c r="H278" s="87">
        <v>91</v>
      </c>
      <c r="I278" s="87">
        <v>3</v>
      </c>
      <c r="J278" s="87">
        <v>5</v>
      </c>
      <c r="K278" s="87">
        <v>80</v>
      </c>
      <c r="L278" s="87">
        <v>3</v>
      </c>
      <c r="M278" s="87">
        <v>9377</v>
      </c>
      <c r="N278" s="87">
        <v>586</v>
      </c>
      <c r="O278" s="87">
        <v>4789</v>
      </c>
      <c r="P278" s="87">
        <v>3796</v>
      </c>
      <c r="Q278" s="87">
        <v>206</v>
      </c>
    </row>
    <row r="279" spans="1:17" x14ac:dyDescent="0.3">
      <c r="A279" s="95"/>
      <c r="B279" s="52" t="s">
        <v>520</v>
      </c>
      <c r="C279" s="87">
        <v>6467</v>
      </c>
      <c r="D279" s="87">
        <v>508</v>
      </c>
      <c r="E279" s="87">
        <v>3193</v>
      </c>
      <c r="F279" s="87">
        <v>2656</v>
      </c>
      <c r="G279" s="87">
        <v>110</v>
      </c>
      <c r="H279" s="87">
        <v>56</v>
      </c>
      <c r="I279" s="87">
        <v>2</v>
      </c>
      <c r="J279" s="87">
        <v>15</v>
      </c>
      <c r="K279" s="87">
        <v>38</v>
      </c>
      <c r="L279" s="87">
        <v>1</v>
      </c>
      <c r="M279" s="87">
        <v>6411</v>
      </c>
      <c r="N279" s="87">
        <v>506</v>
      </c>
      <c r="O279" s="87">
        <v>3178</v>
      </c>
      <c r="P279" s="87">
        <v>2618</v>
      </c>
      <c r="Q279" s="87">
        <v>109</v>
      </c>
    </row>
    <row r="280" spans="1:17" x14ac:dyDescent="0.3">
      <c r="A280" s="95"/>
      <c r="B280" s="52" t="s">
        <v>521</v>
      </c>
      <c r="C280" s="87">
        <v>1756</v>
      </c>
      <c r="D280" s="87">
        <v>32</v>
      </c>
      <c r="E280" s="87">
        <v>792</v>
      </c>
      <c r="F280" s="87">
        <v>918</v>
      </c>
      <c r="G280" s="87">
        <v>14</v>
      </c>
      <c r="H280" s="87">
        <v>41</v>
      </c>
      <c r="I280" s="87">
        <v>1</v>
      </c>
      <c r="J280" s="87">
        <v>10</v>
      </c>
      <c r="K280" s="87">
        <v>30</v>
      </c>
      <c r="L280" s="87">
        <v>0</v>
      </c>
      <c r="M280" s="87">
        <v>1715</v>
      </c>
      <c r="N280" s="87">
        <v>31</v>
      </c>
      <c r="O280" s="87">
        <v>782</v>
      </c>
      <c r="P280" s="87">
        <v>888</v>
      </c>
      <c r="Q280" s="87">
        <v>14</v>
      </c>
    </row>
    <row r="281" spans="1:17" x14ac:dyDescent="0.3">
      <c r="A281" s="95"/>
      <c r="B281" s="52" t="s">
        <v>522</v>
      </c>
      <c r="C281" s="87">
        <v>5444</v>
      </c>
      <c r="D281" s="87">
        <v>433</v>
      </c>
      <c r="E281" s="87">
        <v>3164</v>
      </c>
      <c r="F281" s="87">
        <v>1726</v>
      </c>
      <c r="G281" s="87">
        <v>121</v>
      </c>
      <c r="H281" s="87">
        <v>65</v>
      </c>
      <c r="I281" s="87">
        <v>1</v>
      </c>
      <c r="J281" s="87">
        <v>21</v>
      </c>
      <c r="K281" s="87">
        <v>40</v>
      </c>
      <c r="L281" s="87">
        <v>3</v>
      </c>
      <c r="M281" s="87">
        <v>5379</v>
      </c>
      <c r="N281" s="87">
        <v>432</v>
      </c>
      <c r="O281" s="87">
        <v>3143</v>
      </c>
      <c r="P281" s="87">
        <v>1686</v>
      </c>
      <c r="Q281" s="87">
        <v>118</v>
      </c>
    </row>
    <row r="282" spans="1:17" x14ac:dyDescent="0.3">
      <c r="A282" s="95"/>
      <c r="B282" s="52" t="s">
        <v>523</v>
      </c>
      <c r="C282" s="87">
        <v>6806</v>
      </c>
      <c r="D282" s="87">
        <v>665</v>
      </c>
      <c r="E282" s="87">
        <v>3156</v>
      </c>
      <c r="F282" s="87">
        <v>2897</v>
      </c>
      <c r="G282" s="87">
        <v>88</v>
      </c>
      <c r="H282" s="87">
        <v>62</v>
      </c>
      <c r="I282" s="87">
        <v>2</v>
      </c>
      <c r="J282" s="87">
        <v>7</v>
      </c>
      <c r="K282" s="87">
        <v>51</v>
      </c>
      <c r="L282" s="87">
        <v>2</v>
      </c>
      <c r="M282" s="87">
        <v>6744</v>
      </c>
      <c r="N282" s="87">
        <v>663</v>
      </c>
      <c r="O282" s="87">
        <v>3149</v>
      </c>
      <c r="P282" s="87">
        <v>2846</v>
      </c>
      <c r="Q282" s="87">
        <v>86</v>
      </c>
    </row>
    <row r="283" spans="1:17" x14ac:dyDescent="0.3">
      <c r="A283" s="95"/>
      <c r="B283" s="52" t="s">
        <v>524</v>
      </c>
      <c r="C283" s="87">
        <v>5431</v>
      </c>
      <c r="D283" s="87">
        <v>481</v>
      </c>
      <c r="E283" s="87">
        <v>2751</v>
      </c>
      <c r="F283" s="87">
        <v>2040</v>
      </c>
      <c r="G283" s="87">
        <v>159</v>
      </c>
      <c r="H283" s="87">
        <v>34</v>
      </c>
      <c r="I283" s="87">
        <v>1</v>
      </c>
      <c r="J283" s="87">
        <v>1</v>
      </c>
      <c r="K283" s="87">
        <v>31</v>
      </c>
      <c r="L283" s="87">
        <v>1</v>
      </c>
      <c r="M283" s="87">
        <v>5397</v>
      </c>
      <c r="N283" s="87">
        <v>480</v>
      </c>
      <c r="O283" s="87">
        <v>2750</v>
      </c>
      <c r="P283" s="87">
        <v>2009</v>
      </c>
      <c r="Q283" s="87">
        <v>158</v>
      </c>
    </row>
    <row r="284" spans="1:17" x14ac:dyDescent="0.3">
      <c r="A284" s="95"/>
      <c r="B284" s="52" t="s">
        <v>525</v>
      </c>
      <c r="C284" s="87">
        <v>1938</v>
      </c>
      <c r="D284" s="87">
        <v>249</v>
      </c>
      <c r="E284" s="87">
        <v>701</v>
      </c>
      <c r="F284" s="87">
        <v>929</v>
      </c>
      <c r="G284" s="87">
        <v>59</v>
      </c>
      <c r="H284" s="87">
        <v>51</v>
      </c>
      <c r="I284" s="87">
        <v>4</v>
      </c>
      <c r="J284" s="87">
        <v>17</v>
      </c>
      <c r="K284" s="87">
        <v>29</v>
      </c>
      <c r="L284" s="87">
        <v>1</v>
      </c>
      <c r="M284" s="87">
        <v>1887</v>
      </c>
      <c r="N284" s="87">
        <v>245</v>
      </c>
      <c r="O284" s="87">
        <v>684</v>
      </c>
      <c r="P284" s="87">
        <v>900</v>
      </c>
      <c r="Q284" s="87">
        <v>58</v>
      </c>
    </row>
    <row r="285" spans="1:17" x14ac:dyDescent="0.3">
      <c r="A285" s="95"/>
      <c r="B285" s="52" t="s">
        <v>526</v>
      </c>
      <c r="C285" s="87">
        <v>5928</v>
      </c>
      <c r="D285" s="87">
        <v>477</v>
      </c>
      <c r="E285" s="87">
        <v>2216</v>
      </c>
      <c r="F285" s="87">
        <v>2929</v>
      </c>
      <c r="G285" s="87">
        <v>306</v>
      </c>
      <c r="H285" s="87">
        <v>77</v>
      </c>
      <c r="I285" s="87">
        <v>1</v>
      </c>
      <c r="J285" s="87">
        <v>7</v>
      </c>
      <c r="K285" s="87">
        <v>67</v>
      </c>
      <c r="L285" s="87">
        <v>2</v>
      </c>
      <c r="M285" s="87">
        <v>5851</v>
      </c>
      <c r="N285" s="87">
        <v>476</v>
      </c>
      <c r="O285" s="87">
        <v>2209</v>
      </c>
      <c r="P285" s="87">
        <v>2862</v>
      </c>
      <c r="Q285" s="87">
        <v>304</v>
      </c>
    </row>
    <row r="286" spans="1:17" x14ac:dyDescent="0.3">
      <c r="A286" s="95"/>
      <c r="B286" s="52" t="s">
        <v>527</v>
      </c>
      <c r="C286" s="87">
        <v>13112</v>
      </c>
      <c r="D286" s="87">
        <v>872</v>
      </c>
      <c r="E286" s="87">
        <v>4479</v>
      </c>
      <c r="F286" s="87">
        <v>7188</v>
      </c>
      <c r="G286" s="87">
        <v>573</v>
      </c>
      <c r="H286" s="87">
        <v>159</v>
      </c>
      <c r="I286" s="87">
        <v>6</v>
      </c>
      <c r="J286" s="87">
        <v>36</v>
      </c>
      <c r="K286" s="87">
        <v>114</v>
      </c>
      <c r="L286" s="87">
        <v>3</v>
      </c>
      <c r="M286" s="87">
        <v>12953</v>
      </c>
      <c r="N286" s="87">
        <v>866</v>
      </c>
      <c r="O286" s="87">
        <v>4443</v>
      </c>
      <c r="P286" s="87">
        <v>7074</v>
      </c>
      <c r="Q286" s="87">
        <v>570</v>
      </c>
    </row>
    <row r="287" spans="1:17" x14ac:dyDescent="0.3">
      <c r="A287" s="95"/>
      <c r="B287" s="52" t="s">
        <v>528</v>
      </c>
      <c r="C287" s="87">
        <v>11231</v>
      </c>
      <c r="D287" s="87">
        <v>813</v>
      </c>
      <c r="E287" s="87">
        <v>3704</v>
      </c>
      <c r="F287" s="87">
        <v>6061</v>
      </c>
      <c r="G287" s="87">
        <v>653</v>
      </c>
      <c r="H287" s="87">
        <v>99</v>
      </c>
      <c r="I287" s="87">
        <v>10</v>
      </c>
      <c r="J287" s="87">
        <v>14</v>
      </c>
      <c r="K287" s="87">
        <v>70</v>
      </c>
      <c r="L287" s="87">
        <v>5</v>
      </c>
      <c r="M287" s="87">
        <v>11132</v>
      </c>
      <c r="N287" s="87">
        <v>803</v>
      </c>
      <c r="O287" s="87">
        <v>3690</v>
      </c>
      <c r="P287" s="87">
        <v>5991</v>
      </c>
      <c r="Q287" s="87">
        <v>648</v>
      </c>
    </row>
    <row r="288" spans="1:17" x14ac:dyDescent="0.3">
      <c r="A288" s="95"/>
      <c r="B288" s="52" t="s">
        <v>529</v>
      </c>
      <c r="C288" s="87">
        <v>1217</v>
      </c>
      <c r="D288" s="87">
        <v>0</v>
      </c>
      <c r="E288" s="87">
        <v>958</v>
      </c>
      <c r="F288" s="87">
        <v>250</v>
      </c>
      <c r="G288" s="87">
        <v>9</v>
      </c>
      <c r="H288" s="87">
        <v>9</v>
      </c>
      <c r="I288" s="87">
        <v>0</v>
      </c>
      <c r="J288" s="87">
        <v>7</v>
      </c>
      <c r="K288" s="87">
        <v>2</v>
      </c>
      <c r="L288" s="87">
        <v>0</v>
      </c>
      <c r="M288" s="87">
        <v>1208</v>
      </c>
      <c r="N288" s="87">
        <v>0</v>
      </c>
      <c r="O288" s="87">
        <v>951</v>
      </c>
      <c r="P288" s="87">
        <v>248</v>
      </c>
      <c r="Q288" s="87">
        <v>9</v>
      </c>
    </row>
    <row r="289" spans="1:17" x14ac:dyDescent="0.3">
      <c r="A289" s="95"/>
      <c r="B289" s="52" t="s">
        <v>530</v>
      </c>
      <c r="C289" s="87">
        <v>189150</v>
      </c>
      <c r="D289" s="87">
        <v>15420</v>
      </c>
      <c r="E289" s="87">
        <v>86281</v>
      </c>
      <c r="F289" s="87">
        <v>80983</v>
      </c>
      <c r="G289" s="87">
        <v>6466</v>
      </c>
      <c r="H289" s="87">
        <v>2124</v>
      </c>
      <c r="I289" s="87">
        <v>124</v>
      </c>
      <c r="J289" s="87">
        <v>504</v>
      </c>
      <c r="K289" s="87">
        <v>1436</v>
      </c>
      <c r="L289" s="87">
        <v>60</v>
      </c>
      <c r="M289" s="87">
        <v>187026</v>
      </c>
      <c r="N289" s="87">
        <v>15296</v>
      </c>
      <c r="O289" s="87">
        <v>85777</v>
      </c>
      <c r="P289" s="87">
        <v>79547</v>
      </c>
      <c r="Q289" s="87">
        <v>6406</v>
      </c>
    </row>
    <row r="290" spans="1:17" x14ac:dyDescent="0.3">
      <c r="A290" s="95"/>
      <c r="B290" s="52" t="s">
        <v>309</v>
      </c>
      <c r="C290" s="87">
        <v>61</v>
      </c>
      <c r="D290" s="87">
        <v>0</v>
      </c>
      <c r="E290" s="87">
        <v>49</v>
      </c>
      <c r="F290" s="87">
        <v>12</v>
      </c>
      <c r="G290" s="87">
        <v>0</v>
      </c>
      <c r="H290" s="87">
        <v>1</v>
      </c>
      <c r="I290" s="87">
        <v>0</v>
      </c>
      <c r="J290" s="87">
        <v>1</v>
      </c>
      <c r="K290" s="87">
        <v>0</v>
      </c>
      <c r="L290" s="87">
        <v>0</v>
      </c>
      <c r="M290" s="87">
        <v>60</v>
      </c>
      <c r="N290" s="87">
        <v>0</v>
      </c>
      <c r="O290" s="87">
        <v>48</v>
      </c>
      <c r="P290" s="87">
        <v>12</v>
      </c>
      <c r="Q290" s="87">
        <v>0</v>
      </c>
    </row>
    <row r="291" spans="1:17" x14ac:dyDescent="0.3">
      <c r="A291" s="95" t="s">
        <v>38</v>
      </c>
      <c r="B291" s="52" t="s">
        <v>531</v>
      </c>
      <c r="C291" s="87">
        <v>17972</v>
      </c>
      <c r="D291" s="87">
        <v>681</v>
      </c>
      <c r="E291" s="87">
        <v>2447</v>
      </c>
      <c r="F291" s="87">
        <v>13866</v>
      </c>
      <c r="G291" s="87">
        <v>978</v>
      </c>
      <c r="H291" s="87">
        <v>132</v>
      </c>
      <c r="I291" s="87">
        <v>4</v>
      </c>
      <c r="J291" s="87">
        <v>13</v>
      </c>
      <c r="K291" s="87">
        <v>111</v>
      </c>
      <c r="L291" s="87">
        <v>4</v>
      </c>
      <c r="M291" s="87">
        <v>17840</v>
      </c>
      <c r="N291" s="87">
        <v>677</v>
      </c>
      <c r="O291" s="87">
        <v>2434</v>
      </c>
      <c r="P291" s="87">
        <v>13755</v>
      </c>
      <c r="Q291" s="87">
        <v>974</v>
      </c>
    </row>
    <row r="292" spans="1:17" x14ac:dyDescent="0.3">
      <c r="A292" s="95"/>
      <c r="B292" s="52" t="s">
        <v>532</v>
      </c>
      <c r="C292" s="87">
        <v>7873</v>
      </c>
      <c r="D292" s="87">
        <v>1216</v>
      </c>
      <c r="E292" s="87">
        <v>3280</v>
      </c>
      <c r="F292" s="87">
        <v>3189</v>
      </c>
      <c r="G292" s="87">
        <v>188</v>
      </c>
      <c r="H292" s="87">
        <v>100</v>
      </c>
      <c r="I292" s="87">
        <v>3</v>
      </c>
      <c r="J292" s="87">
        <v>21</v>
      </c>
      <c r="K292" s="87">
        <v>76</v>
      </c>
      <c r="L292" s="87">
        <v>0</v>
      </c>
      <c r="M292" s="87">
        <v>7773</v>
      </c>
      <c r="N292" s="87">
        <v>1213</v>
      </c>
      <c r="O292" s="87">
        <v>3259</v>
      </c>
      <c r="P292" s="87">
        <v>3113</v>
      </c>
      <c r="Q292" s="87">
        <v>188</v>
      </c>
    </row>
    <row r="293" spans="1:17" x14ac:dyDescent="0.3">
      <c r="A293" s="95"/>
      <c r="B293" s="52" t="s">
        <v>533</v>
      </c>
      <c r="C293" s="87">
        <v>5240</v>
      </c>
      <c r="D293" s="87">
        <v>451</v>
      </c>
      <c r="E293" s="87">
        <v>2363</v>
      </c>
      <c r="F293" s="87">
        <v>2345</v>
      </c>
      <c r="G293" s="87">
        <v>81</v>
      </c>
      <c r="H293" s="87">
        <v>96</v>
      </c>
      <c r="I293" s="87">
        <v>2</v>
      </c>
      <c r="J293" s="87">
        <v>32</v>
      </c>
      <c r="K293" s="87">
        <v>61</v>
      </c>
      <c r="L293" s="87">
        <v>1</v>
      </c>
      <c r="M293" s="87">
        <v>5144</v>
      </c>
      <c r="N293" s="87">
        <v>449</v>
      </c>
      <c r="O293" s="87">
        <v>2331</v>
      </c>
      <c r="P293" s="87">
        <v>2284</v>
      </c>
      <c r="Q293" s="87">
        <v>80</v>
      </c>
    </row>
    <row r="294" spans="1:17" x14ac:dyDescent="0.3">
      <c r="A294" s="95"/>
      <c r="B294" s="52" t="s">
        <v>408</v>
      </c>
      <c r="C294" s="87">
        <v>18147</v>
      </c>
      <c r="D294" s="87">
        <v>857</v>
      </c>
      <c r="E294" s="87">
        <v>6794</v>
      </c>
      <c r="F294" s="87">
        <v>9352</v>
      </c>
      <c r="G294" s="87">
        <v>1144</v>
      </c>
      <c r="H294" s="87">
        <v>286</v>
      </c>
      <c r="I294" s="87">
        <v>53</v>
      </c>
      <c r="J294" s="87">
        <v>70</v>
      </c>
      <c r="K294" s="87">
        <v>159</v>
      </c>
      <c r="L294" s="87">
        <v>4</v>
      </c>
      <c r="M294" s="87">
        <v>17861</v>
      </c>
      <c r="N294" s="87">
        <v>804</v>
      </c>
      <c r="O294" s="87">
        <v>6724</v>
      </c>
      <c r="P294" s="87">
        <v>9193</v>
      </c>
      <c r="Q294" s="87">
        <v>1140</v>
      </c>
    </row>
    <row r="295" spans="1:17" x14ac:dyDescent="0.3">
      <c r="A295" s="95"/>
      <c r="B295" s="52" t="s">
        <v>534</v>
      </c>
      <c r="C295" s="87">
        <v>3035</v>
      </c>
      <c r="D295" s="87">
        <v>412</v>
      </c>
      <c r="E295" s="87">
        <v>917</v>
      </c>
      <c r="F295" s="87">
        <v>1622</v>
      </c>
      <c r="G295" s="87">
        <v>84</v>
      </c>
      <c r="H295" s="87">
        <v>54</v>
      </c>
      <c r="I295" s="87">
        <v>1</v>
      </c>
      <c r="J295" s="87">
        <v>13</v>
      </c>
      <c r="K295" s="87">
        <v>40</v>
      </c>
      <c r="L295" s="87">
        <v>0</v>
      </c>
      <c r="M295" s="87">
        <v>2981</v>
      </c>
      <c r="N295" s="87">
        <v>411</v>
      </c>
      <c r="O295" s="87">
        <v>904</v>
      </c>
      <c r="P295" s="87">
        <v>1582</v>
      </c>
      <c r="Q295" s="87">
        <v>84</v>
      </c>
    </row>
    <row r="296" spans="1:17" x14ac:dyDescent="0.3">
      <c r="A296" s="95"/>
      <c r="B296" s="52" t="s">
        <v>535</v>
      </c>
      <c r="C296" s="87">
        <v>1</v>
      </c>
      <c r="D296" s="87">
        <v>0</v>
      </c>
      <c r="E296" s="87">
        <v>0</v>
      </c>
      <c r="F296" s="87">
        <v>1</v>
      </c>
      <c r="G296" s="87">
        <v>0</v>
      </c>
      <c r="H296" s="87">
        <v>0</v>
      </c>
      <c r="I296" s="87">
        <v>0</v>
      </c>
      <c r="J296" s="87">
        <v>0</v>
      </c>
      <c r="K296" s="87">
        <v>0</v>
      </c>
      <c r="L296" s="87">
        <v>0</v>
      </c>
      <c r="M296" s="87">
        <v>1</v>
      </c>
      <c r="N296" s="87">
        <v>0</v>
      </c>
      <c r="O296" s="87">
        <v>0</v>
      </c>
      <c r="P296" s="87">
        <v>1</v>
      </c>
      <c r="Q296" s="87">
        <v>0</v>
      </c>
    </row>
    <row r="297" spans="1:17" x14ac:dyDescent="0.3">
      <c r="A297" s="95"/>
      <c r="B297" s="52" t="s">
        <v>536</v>
      </c>
      <c r="C297" s="87">
        <v>98</v>
      </c>
      <c r="D297" s="87">
        <v>0</v>
      </c>
      <c r="E297" s="87">
        <v>62</v>
      </c>
      <c r="F297" s="87">
        <v>36</v>
      </c>
      <c r="G297" s="87">
        <v>0</v>
      </c>
      <c r="H297" s="87">
        <v>1</v>
      </c>
      <c r="I297" s="87">
        <v>0</v>
      </c>
      <c r="J297" s="87">
        <v>1</v>
      </c>
      <c r="K297" s="87">
        <v>0</v>
      </c>
      <c r="L297" s="87">
        <v>0</v>
      </c>
      <c r="M297" s="87">
        <v>97</v>
      </c>
      <c r="N297" s="87">
        <v>0</v>
      </c>
      <c r="O297" s="87">
        <v>61</v>
      </c>
      <c r="P297" s="87">
        <v>36</v>
      </c>
      <c r="Q297" s="87">
        <v>0</v>
      </c>
    </row>
    <row r="298" spans="1:17" x14ac:dyDescent="0.3">
      <c r="A298" s="95"/>
      <c r="B298" s="52" t="s">
        <v>537</v>
      </c>
      <c r="C298" s="87">
        <v>10088</v>
      </c>
      <c r="D298" s="87">
        <v>586</v>
      </c>
      <c r="E298" s="87">
        <v>4541</v>
      </c>
      <c r="F298" s="87">
        <v>4676</v>
      </c>
      <c r="G298" s="87">
        <v>285</v>
      </c>
      <c r="H298" s="87">
        <v>104</v>
      </c>
      <c r="I298" s="87">
        <v>3</v>
      </c>
      <c r="J298" s="87">
        <v>25</v>
      </c>
      <c r="K298" s="87">
        <v>74</v>
      </c>
      <c r="L298" s="87">
        <v>2</v>
      </c>
      <c r="M298" s="87">
        <v>9984</v>
      </c>
      <c r="N298" s="87">
        <v>583</v>
      </c>
      <c r="O298" s="87">
        <v>4516</v>
      </c>
      <c r="P298" s="87">
        <v>4602</v>
      </c>
      <c r="Q298" s="87">
        <v>283</v>
      </c>
    </row>
    <row r="299" spans="1:17" x14ac:dyDescent="0.3">
      <c r="A299" s="95"/>
      <c r="B299" s="52" t="s">
        <v>538</v>
      </c>
      <c r="C299" s="87">
        <v>1</v>
      </c>
      <c r="D299" s="87">
        <v>0</v>
      </c>
      <c r="E299" s="87">
        <v>1</v>
      </c>
      <c r="F299" s="87">
        <v>0</v>
      </c>
      <c r="G299" s="87">
        <v>0</v>
      </c>
      <c r="H299" s="87">
        <v>0</v>
      </c>
      <c r="I299" s="87">
        <v>0</v>
      </c>
      <c r="J299" s="87">
        <v>0</v>
      </c>
      <c r="K299" s="87">
        <v>0</v>
      </c>
      <c r="L299" s="87">
        <v>0</v>
      </c>
      <c r="M299" s="87">
        <v>1</v>
      </c>
      <c r="N299" s="87">
        <v>0</v>
      </c>
      <c r="O299" s="87">
        <v>1</v>
      </c>
      <c r="P299" s="87">
        <v>0</v>
      </c>
      <c r="Q299" s="87">
        <v>0</v>
      </c>
    </row>
    <row r="300" spans="1:17" x14ac:dyDescent="0.3">
      <c r="A300" s="95"/>
      <c r="B300" s="52" t="s">
        <v>539</v>
      </c>
      <c r="C300" s="87">
        <v>6477</v>
      </c>
      <c r="D300" s="87">
        <v>469</v>
      </c>
      <c r="E300" s="87">
        <v>2561</v>
      </c>
      <c r="F300" s="87">
        <v>3152</v>
      </c>
      <c r="G300" s="87">
        <v>295</v>
      </c>
      <c r="H300" s="87">
        <v>88</v>
      </c>
      <c r="I300" s="87">
        <v>0</v>
      </c>
      <c r="J300" s="87">
        <v>11</v>
      </c>
      <c r="K300" s="87">
        <v>73</v>
      </c>
      <c r="L300" s="87">
        <v>4</v>
      </c>
      <c r="M300" s="87">
        <v>6389</v>
      </c>
      <c r="N300" s="87">
        <v>469</v>
      </c>
      <c r="O300" s="87">
        <v>2550</v>
      </c>
      <c r="P300" s="87">
        <v>3079</v>
      </c>
      <c r="Q300" s="87">
        <v>291</v>
      </c>
    </row>
    <row r="301" spans="1:17" x14ac:dyDescent="0.3">
      <c r="A301" s="95"/>
      <c r="B301" s="52" t="s">
        <v>540</v>
      </c>
      <c r="C301" s="87">
        <v>2155</v>
      </c>
      <c r="D301" s="87">
        <v>174</v>
      </c>
      <c r="E301" s="87">
        <v>741</v>
      </c>
      <c r="F301" s="87">
        <v>1155</v>
      </c>
      <c r="G301" s="87">
        <v>85</v>
      </c>
      <c r="H301" s="87">
        <v>48</v>
      </c>
      <c r="I301" s="87">
        <v>4</v>
      </c>
      <c r="J301" s="87">
        <v>5</v>
      </c>
      <c r="K301" s="87">
        <v>39</v>
      </c>
      <c r="L301" s="87">
        <v>0</v>
      </c>
      <c r="M301" s="87">
        <v>2107</v>
      </c>
      <c r="N301" s="87">
        <v>170</v>
      </c>
      <c r="O301" s="87">
        <v>736</v>
      </c>
      <c r="P301" s="87">
        <v>1116</v>
      </c>
      <c r="Q301" s="87">
        <v>85</v>
      </c>
    </row>
    <row r="302" spans="1:17" x14ac:dyDescent="0.3">
      <c r="A302" s="95"/>
      <c r="B302" s="52" t="s">
        <v>541</v>
      </c>
      <c r="C302" s="87">
        <v>9824</v>
      </c>
      <c r="D302" s="87">
        <v>394</v>
      </c>
      <c r="E302" s="87">
        <v>3508</v>
      </c>
      <c r="F302" s="87">
        <v>5134</v>
      </c>
      <c r="G302" s="87">
        <v>788</v>
      </c>
      <c r="H302" s="87">
        <v>134</v>
      </c>
      <c r="I302" s="87">
        <v>1</v>
      </c>
      <c r="J302" s="87">
        <v>29</v>
      </c>
      <c r="K302" s="87">
        <v>102</v>
      </c>
      <c r="L302" s="87">
        <v>2</v>
      </c>
      <c r="M302" s="87">
        <v>9690</v>
      </c>
      <c r="N302" s="87">
        <v>393</v>
      </c>
      <c r="O302" s="87">
        <v>3479</v>
      </c>
      <c r="P302" s="87">
        <v>5032</v>
      </c>
      <c r="Q302" s="87">
        <v>786</v>
      </c>
    </row>
    <row r="303" spans="1:17" x14ac:dyDescent="0.3">
      <c r="A303" s="95"/>
      <c r="B303" s="52" t="s">
        <v>542</v>
      </c>
      <c r="C303" s="87">
        <v>3146</v>
      </c>
      <c r="D303" s="87">
        <v>348</v>
      </c>
      <c r="E303" s="87">
        <v>1226</v>
      </c>
      <c r="F303" s="87">
        <v>1446</v>
      </c>
      <c r="G303" s="87">
        <v>126</v>
      </c>
      <c r="H303" s="87">
        <v>39</v>
      </c>
      <c r="I303" s="87">
        <v>2</v>
      </c>
      <c r="J303" s="87">
        <v>0</v>
      </c>
      <c r="K303" s="87">
        <v>36</v>
      </c>
      <c r="L303" s="87">
        <v>1</v>
      </c>
      <c r="M303" s="87">
        <v>3107</v>
      </c>
      <c r="N303" s="87">
        <v>346</v>
      </c>
      <c r="O303" s="87">
        <v>1226</v>
      </c>
      <c r="P303" s="87">
        <v>1410</v>
      </c>
      <c r="Q303" s="87">
        <v>125</v>
      </c>
    </row>
    <row r="304" spans="1:17" x14ac:dyDescent="0.3">
      <c r="A304" s="95"/>
      <c r="B304" s="52" t="s">
        <v>543</v>
      </c>
      <c r="C304" s="87">
        <v>11907</v>
      </c>
      <c r="D304" s="87">
        <v>815</v>
      </c>
      <c r="E304" s="87">
        <v>4006</v>
      </c>
      <c r="F304" s="87">
        <v>6387</v>
      </c>
      <c r="G304" s="87">
        <v>699</v>
      </c>
      <c r="H304" s="87">
        <v>136</v>
      </c>
      <c r="I304" s="87">
        <v>5</v>
      </c>
      <c r="J304" s="87">
        <v>19</v>
      </c>
      <c r="K304" s="87">
        <v>109</v>
      </c>
      <c r="L304" s="87">
        <v>3</v>
      </c>
      <c r="M304" s="87">
        <v>11771</v>
      </c>
      <c r="N304" s="87">
        <v>810</v>
      </c>
      <c r="O304" s="87">
        <v>3987</v>
      </c>
      <c r="P304" s="87">
        <v>6278</v>
      </c>
      <c r="Q304" s="87">
        <v>696</v>
      </c>
    </row>
    <row r="305" spans="1:17" x14ac:dyDescent="0.3">
      <c r="A305" s="95"/>
      <c r="B305" s="52" t="s">
        <v>544</v>
      </c>
      <c r="C305" s="87">
        <v>6582</v>
      </c>
      <c r="D305" s="87">
        <v>439</v>
      </c>
      <c r="E305" s="87">
        <v>3256</v>
      </c>
      <c r="F305" s="87">
        <v>2742</v>
      </c>
      <c r="G305" s="87">
        <v>145</v>
      </c>
      <c r="H305" s="87">
        <v>70</v>
      </c>
      <c r="I305" s="87">
        <v>2</v>
      </c>
      <c r="J305" s="87">
        <v>14</v>
      </c>
      <c r="K305" s="87">
        <v>53</v>
      </c>
      <c r="L305" s="87">
        <v>1</v>
      </c>
      <c r="M305" s="87">
        <v>6512</v>
      </c>
      <c r="N305" s="87">
        <v>437</v>
      </c>
      <c r="O305" s="87">
        <v>3242</v>
      </c>
      <c r="P305" s="87">
        <v>2689</v>
      </c>
      <c r="Q305" s="87">
        <v>144</v>
      </c>
    </row>
    <row r="306" spans="1:17" x14ac:dyDescent="0.3">
      <c r="A306" s="95"/>
      <c r="B306" s="52" t="s">
        <v>545</v>
      </c>
      <c r="C306" s="87">
        <v>7</v>
      </c>
      <c r="D306" s="87">
        <v>0</v>
      </c>
      <c r="E306" s="87">
        <v>5</v>
      </c>
      <c r="F306" s="87">
        <v>2</v>
      </c>
      <c r="G306" s="87">
        <v>0</v>
      </c>
      <c r="H306" s="87">
        <v>0</v>
      </c>
      <c r="I306" s="87">
        <v>0</v>
      </c>
      <c r="J306" s="87">
        <v>0</v>
      </c>
      <c r="K306" s="87">
        <v>0</v>
      </c>
      <c r="L306" s="87">
        <v>0</v>
      </c>
      <c r="M306" s="87">
        <v>7</v>
      </c>
      <c r="N306" s="87">
        <v>0</v>
      </c>
      <c r="O306" s="87">
        <v>5</v>
      </c>
      <c r="P306" s="87">
        <v>2</v>
      </c>
      <c r="Q306" s="87">
        <v>0</v>
      </c>
    </row>
    <row r="307" spans="1:17" x14ac:dyDescent="0.3">
      <c r="A307" s="95"/>
      <c r="B307" s="52" t="s">
        <v>546</v>
      </c>
      <c r="C307" s="87">
        <v>7287</v>
      </c>
      <c r="D307" s="87">
        <v>477</v>
      </c>
      <c r="E307" s="87">
        <v>2199</v>
      </c>
      <c r="F307" s="87">
        <v>4245</v>
      </c>
      <c r="G307" s="87">
        <v>366</v>
      </c>
      <c r="H307" s="87">
        <v>76</v>
      </c>
      <c r="I307" s="87">
        <v>5</v>
      </c>
      <c r="J307" s="87">
        <v>6</v>
      </c>
      <c r="K307" s="87">
        <v>65</v>
      </c>
      <c r="L307" s="87">
        <v>0</v>
      </c>
      <c r="M307" s="87">
        <v>7211</v>
      </c>
      <c r="N307" s="87">
        <v>472</v>
      </c>
      <c r="O307" s="87">
        <v>2193</v>
      </c>
      <c r="P307" s="87">
        <v>4180</v>
      </c>
      <c r="Q307" s="87">
        <v>366</v>
      </c>
    </row>
    <row r="308" spans="1:17" x14ac:dyDescent="0.3">
      <c r="A308" s="95"/>
      <c r="B308" s="52" t="s">
        <v>547</v>
      </c>
      <c r="C308" s="87">
        <v>6250</v>
      </c>
      <c r="D308" s="87">
        <v>352</v>
      </c>
      <c r="E308" s="87">
        <v>2141</v>
      </c>
      <c r="F308" s="87">
        <v>3440</v>
      </c>
      <c r="G308" s="87">
        <v>317</v>
      </c>
      <c r="H308" s="87">
        <v>65</v>
      </c>
      <c r="I308" s="87">
        <v>6</v>
      </c>
      <c r="J308" s="87">
        <v>3</v>
      </c>
      <c r="K308" s="87">
        <v>56</v>
      </c>
      <c r="L308" s="87">
        <v>0</v>
      </c>
      <c r="M308" s="87">
        <v>6185</v>
      </c>
      <c r="N308" s="87">
        <v>346</v>
      </c>
      <c r="O308" s="87">
        <v>2138</v>
      </c>
      <c r="P308" s="87">
        <v>3384</v>
      </c>
      <c r="Q308" s="87">
        <v>317</v>
      </c>
    </row>
    <row r="309" spans="1:17" x14ac:dyDescent="0.3">
      <c r="A309" s="95"/>
      <c r="B309" s="52" t="s">
        <v>548</v>
      </c>
      <c r="C309" s="87">
        <v>6256</v>
      </c>
      <c r="D309" s="87">
        <v>393</v>
      </c>
      <c r="E309" s="87">
        <v>2074</v>
      </c>
      <c r="F309" s="87">
        <v>3393</v>
      </c>
      <c r="G309" s="87">
        <v>396</v>
      </c>
      <c r="H309" s="87">
        <v>134</v>
      </c>
      <c r="I309" s="87">
        <v>6</v>
      </c>
      <c r="J309" s="87">
        <v>10</v>
      </c>
      <c r="K309" s="87">
        <v>118</v>
      </c>
      <c r="L309" s="87">
        <v>0</v>
      </c>
      <c r="M309" s="87">
        <v>6122</v>
      </c>
      <c r="N309" s="87">
        <v>387</v>
      </c>
      <c r="O309" s="87">
        <v>2064</v>
      </c>
      <c r="P309" s="87">
        <v>3275</v>
      </c>
      <c r="Q309" s="87">
        <v>396</v>
      </c>
    </row>
    <row r="310" spans="1:17" x14ac:dyDescent="0.3">
      <c r="A310" s="95"/>
      <c r="B310" s="52" t="s">
        <v>549</v>
      </c>
      <c r="C310" s="87">
        <v>9802</v>
      </c>
      <c r="D310" s="87">
        <v>565</v>
      </c>
      <c r="E310" s="87">
        <v>3811</v>
      </c>
      <c r="F310" s="87">
        <v>4843</v>
      </c>
      <c r="G310" s="87">
        <v>583</v>
      </c>
      <c r="H310" s="87">
        <v>59</v>
      </c>
      <c r="I310" s="87">
        <v>16</v>
      </c>
      <c r="J310" s="87">
        <v>16</v>
      </c>
      <c r="K310" s="87">
        <v>17</v>
      </c>
      <c r="L310" s="87">
        <v>10</v>
      </c>
      <c r="M310" s="87">
        <v>9743</v>
      </c>
      <c r="N310" s="87">
        <v>549</v>
      </c>
      <c r="O310" s="87">
        <v>3795</v>
      </c>
      <c r="P310" s="87">
        <v>4826</v>
      </c>
      <c r="Q310" s="87">
        <v>573</v>
      </c>
    </row>
    <row r="311" spans="1:17" x14ac:dyDescent="0.3">
      <c r="A311" s="95"/>
      <c r="B311" s="52" t="s">
        <v>550</v>
      </c>
      <c r="C311" s="87">
        <v>6286</v>
      </c>
      <c r="D311" s="87">
        <v>574</v>
      </c>
      <c r="E311" s="87">
        <v>1531</v>
      </c>
      <c r="F311" s="87">
        <v>3729</v>
      </c>
      <c r="G311" s="87">
        <v>452</v>
      </c>
      <c r="H311" s="87">
        <v>89</v>
      </c>
      <c r="I311" s="87">
        <v>3</v>
      </c>
      <c r="J311" s="87">
        <v>30</v>
      </c>
      <c r="K311" s="87">
        <v>56</v>
      </c>
      <c r="L311" s="87">
        <v>0</v>
      </c>
      <c r="M311" s="87">
        <v>6197</v>
      </c>
      <c r="N311" s="87">
        <v>571</v>
      </c>
      <c r="O311" s="87">
        <v>1501</v>
      </c>
      <c r="P311" s="87">
        <v>3673</v>
      </c>
      <c r="Q311" s="87">
        <v>452</v>
      </c>
    </row>
    <row r="312" spans="1:17" x14ac:dyDescent="0.3">
      <c r="A312" s="95"/>
      <c r="B312" s="52" t="s">
        <v>551</v>
      </c>
      <c r="C312" s="87">
        <v>7268</v>
      </c>
      <c r="D312" s="87">
        <v>335</v>
      </c>
      <c r="E312" s="87">
        <v>2196</v>
      </c>
      <c r="F312" s="87">
        <v>4414</v>
      </c>
      <c r="G312" s="87">
        <v>323</v>
      </c>
      <c r="H312" s="87">
        <v>114</v>
      </c>
      <c r="I312" s="87">
        <v>10</v>
      </c>
      <c r="J312" s="87">
        <v>20</v>
      </c>
      <c r="K312" s="87">
        <v>82</v>
      </c>
      <c r="L312" s="87">
        <v>2</v>
      </c>
      <c r="M312" s="87">
        <v>7154</v>
      </c>
      <c r="N312" s="87">
        <v>325</v>
      </c>
      <c r="O312" s="87">
        <v>2176</v>
      </c>
      <c r="P312" s="87">
        <v>4332</v>
      </c>
      <c r="Q312" s="87">
        <v>321</v>
      </c>
    </row>
    <row r="313" spans="1:17" x14ac:dyDescent="0.3">
      <c r="A313" s="95"/>
      <c r="B313" s="52" t="s">
        <v>552</v>
      </c>
      <c r="C313" s="87">
        <v>4741</v>
      </c>
      <c r="D313" s="87">
        <v>473</v>
      </c>
      <c r="E313" s="87">
        <v>2074</v>
      </c>
      <c r="F313" s="87">
        <v>2094</v>
      </c>
      <c r="G313" s="87">
        <v>100</v>
      </c>
      <c r="H313" s="87">
        <v>86</v>
      </c>
      <c r="I313" s="87">
        <v>3</v>
      </c>
      <c r="J313" s="87">
        <v>34</v>
      </c>
      <c r="K313" s="87">
        <v>48</v>
      </c>
      <c r="L313" s="87">
        <v>1</v>
      </c>
      <c r="M313" s="87">
        <v>4655</v>
      </c>
      <c r="N313" s="87">
        <v>470</v>
      </c>
      <c r="O313" s="87">
        <v>2040</v>
      </c>
      <c r="P313" s="87">
        <v>2046</v>
      </c>
      <c r="Q313" s="87">
        <v>99</v>
      </c>
    </row>
    <row r="314" spans="1:17" x14ac:dyDescent="0.3">
      <c r="A314" s="95"/>
      <c r="B314" s="52" t="s">
        <v>553</v>
      </c>
      <c r="C314" s="87">
        <v>6497</v>
      </c>
      <c r="D314" s="87">
        <v>305</v>
      </c>
      <c r="E314" s="87">
        <v>3819</v>
      </c>
      <c r="F314" s="87">
        <v>2251</v>
      </c>
      <c r="G314" s="87">
        <v>122</v>
      </c>
      <c r="H314" s="87">
        <v>64</v>
      </c>
      <c r="I314" s="87">
        <v>1</v>
      </c>
      <c r="J314" s="87">
        <v>11</v>
      </c>
      <c r="K314" s="87">
        <v>51</v>
      </c>
      <c r="L314" s="87">
        <v>1</v>
      </c>
      <c r="M314" s="87">
        <v>6433</v>
      </c>
      <c r="N314" s="87">
        <v>304</v>
      </c>
      <c r="O314" s="87">
        <v>3808</v>
      </c>
      <c r="P314" s="87">
        <v>2200</v>
      </c>
      <c r="Q314" s="87">
        <v>121</v>
      </c>
    </row>
    <row r="315" spans="1:17" x14ac:dyDescent="0.3">
      <c r="A315" s="95"/>
      <c r="B315" s="52" t="s">
        <v>554</v>
      </c>
      <c r="C315" s="87">
        <v>3018</v>
      </c>
      <c r="D315" s="87">
        <v>452</v>
      </c>
      <c r="E315" s="87">
        <v>865</v>
      </c>
      <c r="F315" s="87">
        <v>1609</v>
      </c>
      <c r="G315" s="87">
        <v>92</v>
      </c>
      <c r="H315" s="87">
        <v>73</v>
      </c>
      <c r="I315" s="87">
        <v>13</v>
      </c>
      <c r="J315" s="87">
        <v>2</v>
      </c>
      <c r="K315" s="87">
        <v>58</v>
      </c>
      <c r="L315" s="87">
        <v>0</v>
      </c>
      <c r="M315" s="87">
        <v>2945</v>
      </c>
      <c r="N315" s="87">
        <v>439</v>
      </c>
      <c r="O315" s="87">
        <v>863</v>
      </c>
      <c r="P315" s="87">
        <v>1551</v>
      </c>
      <c r="Q315" s="87">
        <v>92</v>
      </c>
    </row>
    <row r="316" spans="1:17" x14ac:dyDescent="0.3">
      <c r="A316" s="95"/>
      <c r="B316" s="52" t="s">
        <v>555</v>
      </c>
      <c r="C316" s="87">
        <v>5185</v>
      </c>
      <c r="D316" s="87">
        <v>537</v>
      </c>
      <c r="E316" s="87">
        <v>2246</v>
      </c>
      <c r="F316" s="87">
        <v>2289</v>
      </c>
      <c r="G316" s="87">
        <v>113</v>
      </c>
      <c r="H316" s="87">
        <v>95</v>
      </c>
      <c r="I316" s="87">
        <v>4</v>
      </c>
      <c r="J316" s="87">
        <v>23</v>
      </c>
      <c r="K316" s="87">
        <v>68</v>
      </c>
      <c r="L316" s="87">
        <v>0</v>
      </c>
      <c r="M316" s="87">
        <v>5090</v>
      </c>
      <c r="N316" s="87">
        <v>533</v>
      </c>
      <c r="O316" s="87">
        <v>2223</v>
      </c>
      <c r="P316" s="87">
        <v>2221</v>
      </c>
      <c r="Q316" s="87">
        <v>113</v>
      </c>
    </row>
    <row r="317" spans="1:17" x14ac:dyDescent="0.3">
      <c r="A317" s="95"/>
      <c r="B317" s="52" t="s">
        <v>556</v>
      </c>
      <c r="C317" s="87">
        <v>308</v>
      </c>
      <c r="D317" s="87">
        <v>0</v>
      </c>
      <c r="E317" s="87">
        <v>223</v>
      </c>
      <c r="F317" s="87">
        <v>82</v>
      </c>
      <c r="G317" s="87">
        <v>3</v>
      </c>
      <c r="H317" s="87">
        <v>0</v>
      </c>
      <c r="I317" s="87">
        <v>0</v>
      </c>
      <c r="J317" s="87">
        <v>0</v>
      </c>
      <c r="K317" s="87">
        <v>0</v>
      </c>
      <c r="L317" s="87">
        <v>0</v>
      </c>
      <c r="M317" s="87">
        <v>308</v>
      </c>
      <c r="N317" s="87">
        <v>0</v>
      </c>
      <c r="O317" s="87">
        <v>223</v>
      </c>
      <c r="P317" s="87">
        <v>82</v>
      </c>
      <c r="Q317" s="87">
        <v>3</v>
      </c>
    </row>
    <row r="318" spans="1:17" x14ac:dyDescent="0.3">
      <c r="A318" s="95"/>
      <c r="B318" s="52" t="s">
        <v>557</v>
      </c>
      <c r="C318" s="87">
        <v>165512</v>
      </c>
      <c r="D318" s="87">
        <v>11305</v>
      </c>
      <c r="E318" s="87">
        <v>58936</v>
      </c>
      <c r="F318" s="87">
        <v>87506</v>
      </c>
      <c r="G318" s="87">
        <v>7765</v>
      </c>
      <c r="H318" s="87">
        <v>2144</v>
      </c>
      <c r="I318" s="87">
        <v>147</v>
      </c>
      <c r="J318" s="87">
        <v>409</v>
      </c>
      <c r="K318" s="87">
        <v>1552</v>
      </c>
      <c r="L318" s="87">
        <v>36</v>
      </c>
      <c r="M318" s="87">
        <v>163368</v>
      </c>
      <c r="N318" s="87">
        <v>11158</v>
      </c>
      <c r="O318" s="87">
        <v>58527</v>
      </c>
      <c r="P318" s="87">
        <v>85954</v>
      </c>
      <c r="Q318" s="87">
        <v>7729</v>
      </c>
    </row>
    <row r="319" spans="1:17" x14ac:dyDescent="0.3">
      <c r="A319" s="95"/>
      <c r="B319" s="52" t="s">
        <v>309</v>
      </c>
      <c r="C319" s="87">
        <v>13007</v>
      </c>
      <c r="D319" s="87">
        <v>2893</v>
      </c>
      <c r="E319" s="87">
        <v>4713</v>
      </c>
      <c r="F319" s="87">
        <v>4969</v>
      </c>
      <c r="G319" s="87">
        <v>432</v>
      </c>
      <c r="H319" s="87">
        <v>221</v>
      </c>
      <c r="I319" s="87">
        <v>82</v>
      </c>
      <c r="J319" s="87">
        <v>45</v>
      </c>
      <c r="K319" s="87">
        <v>89</v>
      </c>
      <c r="L319" s="87">
        <v>5</v>
      </c>
      <c r="M319" s="87">
        <v>12786</v>
      </c>
      <c r="N319" s="87">
        <v>2811</v>
      </c>
      <c r="O319" s="87">
        <v>4668</v>
      </c>
      <c r="P319" s="87">
        <v>4880</v>
      </c>
      <c r="Q319" s="87">
        <v>427</v>
      </c>
    </row>
    <row r="320" spans="1:17" x14ac:dyDescent="0.3">
      <c r="A320" s="95" t="s">
        <v>39</v>
      </c>
      <c r="B320" s="52" t="s">
        <v>558</v>
      </c>
      <c r="C320" s="87">
        <v>20144</v>
      </c>
      <c r="D320" s="87">
        <v>4030</v>
      </c>
      <c r="E320" s="87">
        <v>5910</v>
      </c>
      <c r="F320" s="87">
        <v>9066</v>
      </c>
      <c r="G320" s="87">
        <v>1138</v>
      </c>
      <c r="H320" s="87">
        <v>283</v>
      </c>
      <c r="I320" s="87">
        <v>57</v>
      </c>
      <c r="J320" s="87">
        <v>30</v>
      </c>
      <c r="K320" s="87">
        <v>177</v>
      </c>
      <c r="L320" s="87">
        <v>19</v>
      </c>
      <c r="M320" s="87">
        <v>19861</v>
      </c>
      <c r="N320" s="87">
        <v>3973</v>
      </c>
      <c r="O320" s="87">
        <v>5880</v>
      </c>
      <c r="P320" s="87">
        <v>8889</v>
      </c>
      <c r="Q320" s="87">
        <v>1119</v>
      </c>
    </row>
    <row r="321" spans="1:17" x14ac:dyDescent="0.3">
      <c r="A321" s="95"/>
      <c r="B321" s="52" t="s">
        <v>559</v>
      </c>
      <c r="C321" s="87">
        <v>22</v>
      </c>
      <c r="D321" s="87">
        <v>0</v>
      </c>
      <c r="E321" s="87">
        <v>19</v>
      </c>
      <c r="F321" s="87">
        <v>3</v>
      </c>
      <c r="G321" s="87">
        <v>0</v>
      </c>
      <c r="H321" s="87">
        <v>1</v>
      </c>
      <c r="I321" s="87">
        <v>0</v>
      </c>
      <c r="J321" s="87">
        <v>1</v>
      </c>
      <c r="K321" s="87">
        <v>0</v>
      </c>
      <c r="L321" s="87">
        <v>0</v>
      </c>
      <c r="M321" s="87">
        <v>21</v>
      </c>
      <c r="N321" s="87">
        <v>0</v>
      </c>
      <c r="O321" s="87">
        <v>18</v>
      </c>
      <c r="P321" s="87">
        <v>3</v>
      </c>
      <c r="Q321" s="87">
        <v>0</v>
      </c>
    </row>
    <row r="322" spans="1:17" x14ac:dyDescent="0.3">
      <c r="A322" s="95"/>
      <c r="B322" s="52" t="s">
        <v>560</v>
      </c>
      <c r="C322" s="87">
        <v>33173</v>
      </c>
      <c r="D322" s="87">
        <v>6923</v>
      </c>
      <c r="E322" s="87">
        <v>10642</v>
      </c>
      <c r="F322" s="87">
        <v>14038</v>
      </c>
      <c r="G322" s="87">
        <v>1570</v>
      </c>
      <c r="H322" s="87">
        <v>505</v>
      </c>
      <c r="I322" s="87">
        <v>139</v>
      </c>
      <c r="J322" s="87">
        <v>76</v>
      </c>
      <c r="K322" s="87">
        <v>266</v>
      </c>
      <c r="L322" s="87">
        <v>24</v>
      </c>
      <c r="M322" s="87">
        <v>32668</v>
      </c>
      <c r="N322" s="87">
        <v>6784</v>
      </c>
      <c r="O322" s="87">
        <v>10566</v>
      </c>
      <c r="P322" s="87">
        <v>13772</v>
      </c>
      <c r="Q322" s="87">
        <v>1546</v>
      </c>
    </row>
    <row r="323" spans="1:17" x14ac:dyDescent="0.3">
      <c r="A323" s="95"/>
      <c r="B323" s="52" t="s">
        <v>309</v>
      </c>
      <c r="C323" s="72">
        <v>33339</v>
      </c>
      <c r="D323" s="72">
        <v>4982</v>
      </c>
      <c r="E323" s="72">
        <v>10937</v>
      </c>
      <c r="F323" s="72">
        <v>14772</v>
      </c>
      <c r="G323" s="72">
        <v>2648</v>
      </c>
      <c r="H323" s="72">
        <v>492</v>
      </c>
      <c r="I323" s="72">
        <v>109</v>
      </c>
      <c r="J323" s="72">
        <v>110</v>
      </c>
      <c r="K323" s="72">
        <v>247</v>
      </c>
      <c r="L323" s="72">
        <v>26</v>
      </c>
      <c r="M323" s="72">
        <v>32847</v>
      </c>
      <c r="N323" s="72">
        <v>4873</v>
      </c>
      <c r="O323" s="72">
        <v>10827</v>
      </c>
      <c r="P323" s="72">
        <v>14525</v>
      </c>
      <c r="Q323" s="72">
        <v>2622</v>
      </c>
    </row>
  </sheetData>
  <mergeCells count="23">
    <mergeCell ref="M3:Q3"/>
    <mergeCell ref="A6:A32"/>
    <mergeCell ref="A89:A95"/>
    <mergeCell ref="A3:A4"/>
    <mergeCell ref="B3:B4"/>
    <mergeCell ref="C3:G3"/>
    <mergeCell ref="H3:L3"/>
    <mergeCell ref="A51:A61"/>
    <mergeCell ref="A238:A261"/>
    <mergeCell ref="A262:A290"/>
    <mergeCell ref="A291:A319"/>
    <mergeCell ref="A320:A323"/>
    <mergeCell ref="S4:S8"/>
    <mergeCell ref="A96:A98"/>
    <mergeCell ref="A99:A160"/>
    <mergeCell ref="A161:A180"/>
    <mergeCell ref="A181:A197"/>
    <mergeCell ref="A198:A220"/>
    <mergeCell ref="A221:A237"/>
    <mergeCell ref="A33:A50"/>
    <mergeCell ref="A62:A74"/>
    <mergeCell ref="A75:A81"/>
    <mergeCell ref="A82:A88"/>
  </mergeCells>
  <phoneticPr fontId="9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E7"/>
  <sheetViews>
    <sheetView workbookViewId="0">
      <selection activeCell="E15" sqref="E15"/>
    </sheetView>
  </sheetViews>
  <sheetFormatPr defaultRowHeight="16.5" x14ac:dyDescent="0.3"/>
  <cols>
    <col min="1" max="1" width="15.25" customWidth="1"/>
    <col min="2" max="2" width="15.75" customWidth="1"/>
    <col min="3" max="3" width="17.25" customWidth="1"/>
    <col min="4" max="4" width="16.875" customWidth="1"/>
    <col min="5" max="5" width="18" customWidth="1"/>
  </cols>
  <sheetData>
    <row r="1" spans="1:5" s="3" customFormat="1" ht="49.5" x14ac:dyDescent="0.3">
      <c r="A1" s="5" t="s">
        <v>11</v>
      </c>
      <c r="B1" s="4" t="s">
        <v>8</v>
      </c>
      <c r="C1" s="4" t="s">
        <v>12</v>
      </c>
      <c r="D1" s="4" t="s">
        <v>10</v>
      </c>
      <c r="E1" s="4" t="s">
        <v>9</v>
      </c>
    </row>
    <row r="2" spans="1:5" x14ac:dyDescent="0.3">
      <c r="A2" t="s">
        <v>2</v>
      </c>
      <c r="B2">
        <f>DV_Cal!C3</f>
        <v>1.6927182001066918E-3</v>
      </c>
      <c r="C2">
        <f>DV_Cal!C4</f>
        <v>5.7437620698501154E-2</v>
      </c>
      <c r="D2">
        <f>DV_Cal!C5</f>
        <v>0.94086966110139214</v>
      </c>
      <c r="E2">
        <v>0</v>
      </c>
    </row>
    <row r="3" spans="1:5" x14ac:dyDescent="0.3">
      <c r="A3" t="s">
        <v>3</v>
      </c>
      <c r="B3">
        <f>DV_Cal!C9</f>
        <v>3.0539317872734555E-2</v>
      </c>
      <c r="C3">
        <f>DV_Cal!C10</f>
        <v>0.15360238415394939</v>
      </c>
      <c r="D3">
        <f>DV_Cal!C11</f>
        <v>0.8158582979733161</v>
      </c>
      <c r="E3">
        <v>0</v>
      </c>
    </row>
    <row r="4" spans="1:5" x14ac:dyDescent="0.3">
      <c r="A4" t="s">
        <v>4</v>
      </c>
      <c r="B4">
        <f>Aircraft!L4</f>
        <v>0.24209245742092458</v>
      </c>
      <c r="C4">
        <f>Aircraft!L5</f>
        <v>0.74817518248175185</v>
      </c>
      <c r="D4">
        <f>Aircraft!L6</f>
        <v>9.7323600973236012E-3</v>
      </c>
      <c r="E4">
        <v>0</v>
      </c>
    </row>
    <row r="5" spans="1:5" x14ac:dyDescent="0.3">
      <c r="A5" t="s">
        <v>5</v>
      </c>
      <c r="B5">
        <v>1</v>
      </c>
      <c r="C5">
        <v>0</v>
      </c>
      <c r="D5">
        <v>0</v>
      </c>
      <c r="E5">
        <v>0</v>
      </c>
    </row>
    <row r="6" spans="1:5" x14ac:dyDescent="0.3">
      <c r="A6" t="s">
        <v>6</v>
      </c>
      <c r="B6">
        <v>0</v>
      </c>
      <c r="C6">
        <v>1</v>
      </c>
      <c r="D6">
        <v>0</v>
      </c>
      <c r="E6">
        <v>0</v>
      </c>
    </row>
    <row r="7" spans="1:5" x14ac:dyDescent="0.3">
      <c r="A7" t="s">
        <v>7</v>
      </c>
      <c r="B7">
        <f>Motorbikes!V4</f>
        <v>1.0568078953812459E-2</v>
      </c>
      <c r="C7">
        <f>Motorbikes!V5</f>
        <v>0</v>
      </c>
      <c r="D7">
        <f>Motorbikes!V6</f>
        <v>0.98943192104618749</v>
      </c>
      <c r="E7">
        <v>0</v>
      </c>
    </row>
  </sheetData>
  <phoneticPr fontId="9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E7"/>
  <sheetViews>
    <sheetView workbookViewId="0"/>
  </sheetViews>
  <sheetFormatPr defaultRowHeight="16.5" x14ac:dyDescent="0.3"/>
  <cols>
    <col min="1" max="1" width="15.25" customWidth="1"/>
    <col min="2" max="4" width="15.75" customWidth="1"/>
    <col min="5" max="5" width="19.75" customWidth="1"/>
  </cols>
  <sheetData>
    <row r="1" spans="1:5" ht="49.5" x14ac:dyDescent="0.3">
      <c r="A1" s="5" t="s">
        <v>11</v>
      </c>
      <c r="B1" s="4" t="s">
        <v>8</v>
      </c>
      <c r="C1" s="4" t="s">
        <v>12</v>
      </c>
      <c r="D1" s="4" t="s">
        <v>10</v>
      </c>
      <c r="E1" s="4" t="s">
        <v>9</v>
      </c>
    </row>
    <row r="2" spans="1:5" x14ac:dyDescent="0.3">
      <c r="A2" t="s">
        <v>2</v>
      </c>
      <c r="B2">
        <f>DV_Cal!C15</f>
        <v>6.270125301498568E-3</v>
      </c>
      <c r="C2">
        <f>DV_Cal!C16</f>
        <v>6.3000792386127144E-2</v>
      </c>
      <c r="D2">
        <f>DV_Cal!C17</f>
        <v>0.93072908231237428</v>
      </c>
      <c r="E2">
        <v>0</v>
      </c>
    </row>
    <row r="3" spans="1:5" x14ac:dyDescent="0.3">
      <c r="A3" t="s">
        <v>3</v>
      </c>
      <c r="B3">
        <f>DV_Cal!C21</f>
        <v>2.1641981538794527E-2</v>
      </c>
      <c r="C3">
        <f>DV_Cal!C22</f>
        <v>0.36264846660479211</v>
      </c>
      <c r="D3">
        <f>DV_Cal!C23</f>
        <v>0.61570955185641341</v>
      </c>
      <c r="E3">
        <v>0</v>
      </c>
    </row>
    <row r="4" spans="1:5" x14ac:dyDescent="0.3">
      <c r="A4" t="s">
        <v>4</v>
      </c>
      <c r="B4">
        <f>Aircraft!L9</f>
        <v>0</v>
      </c>
      <c r="C4">
        <f>Aircraft!L10</f>
        <v>1</v>
      </c>
      <c r="D4">
        <f>Aircraft!L11</f>
        <v>0</v>
      </c>
      <c r="E4">
        <v>0</v>
      </c>
    </row>
    <row r="5" spans="1:5" x14ac:dyDescent="0.3">
      <c r="A5" t="s">
        <v>5</v>
      </c>
      <c r="B5">
        <v>1</v>
      </c>
      <c r="C5">
        <v>0</v>
      </c>
      <c r="D5">
        <v>0</v>
      </c>
      <c r="E5">
        <v>0</v>
      </c>
    </row>
    <row r="6" spans="1:5" x14ac:dyDescent="0.3">
      <c r="A6" t="s">
        <v>6</v>
      </c>
      <c r="B6">
        <v>0</v>
      </c>
      <c r="C6">
        <v>1</v>
      </c>
      <c r="D6">
        <v>0</v>
      </c>
      <c r="E6">
        <v>0</v>
      </c>
    </row>
    <row r="7" spans="1:5" x14ac:dyDescent="0.3">
      <c r="A7" t="s">
        <v>7</v>
      </c>
      <c r="B7">
        <v>0</v>
      </c>
      <c r="C7">
        <v>0</v>
      </c>
      <c r="D7">
        <v>1</v>
      </c>
      <c r="E7">
        <v>0</v>
      </c>
    </row>
  </sheetData>
  <phoneticPr fontId="9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35D49D-9315-4BFF-AC3B-F500D54889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f4d404-d193-41dc-bb72-733c1e7742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F1CC49A-82C3-479C-823C-85DBB0C18D2F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40f4d404-d193-41dc-bb72-733c1e774208"/>
    <ds:schemaRef ds:uri="http://purl.org/dc/terms/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97C32C62-B2D8-45E8-95CE-19338F9A2D1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About</vt:lpstr>
      <vt:lpstr>DV_total</vt:lpstr>
      <vt:lpstr>DV_gov</vt:lpstr>
      <vt:lpstr>DV_indst</vt:lpstr>
      <vt:lpstr>DV_consumer</vt:lpstr>
      <vt:lpstr>DV_Cal</vt:lpstr>
      <vt:lpstr>Aircraft</vt:lpstr>
      <vt:lpstr>Motorbikes</vt:lpstr>
      <vt:lpstr>FoVObE-passengers</vt:lpstr>
      <vt:lpstr>FoVObE-freight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공용계정2</cp:lastModifiedBy>
  <dcterms:created xsi:type="dcterms:W3CDTF">2014-04-12T22:49:27Z</dcterms:created>
  <dcterms:modified xsi:type="dcterms:W3CDTF">2026-01-07T08:22:12Z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