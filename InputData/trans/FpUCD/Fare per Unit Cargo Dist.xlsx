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er\Dropbox\kjh\2025\02. EPS\EI\251120_메일회신\"/>
    </mc:Choice>
  </mc:AlternateContent>
  <xr:revisionPtr revIDLastSave="0" documentId="13_ncr:1_{D9C04484-12CF-4441-86A2-C3535C10DF78}" xr6:coauthVersionLast="47" xr6:coauthVersionMax="47" xr10:uidLastSave="{00000000-0000-0000-0000-000000000000}"/>
  <bookViews>
    <workbookView xWindow="-120" yWindow="-120" windowWidth="29040" windowHeight="15720" tabRatio="792" firstSheet="2" activeTab="4" xr2:uid="{69D2862E-7C4D-429C-A805-9E79FE08C6A7}"/>
  </bookViews>
  <sheets>
    <sheet name="About" sheetId="3" r:id="rId1"/>
    <sheet name="시도별 산업별 총괄" sheetId="1" r:id="rId2"/>
    <sheet name="국내국제여객_수송수단별" sheetId="4" r:id="rId3"/>
    <sheet name="공공요금" sheetId="11" r:id="rId4"/>
    <sheet name="Calcs" sheetId="7" r:id="rId5"/>
    <sheet name="FpUCD-passenger" sheetId="5" r:id="rId6"/>
    <sheet name="FpUCD-freight" sheetId="6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D4" i="5"/>
  <c r="E4" i="5" s="1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AF4" i="5" s="1"/>
  <c r="D5" i="5"/>
  <c r="E5" i="5" s="1"/>
  <c r="F5" i="5" s="1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AF5" i="5" s="1"/>
  <c r="B5" i="7"/>
  <c r="C5" i="7"/>
  <c r="C5" i="5"/>
  <c r="C3" i="5"/>
  <c r="B5" i="5"/>
  <c r="B3" i="5"/>
  <c r="C4" i="7"/>
  <c r="C3" i="7"/>
  <c r="B3" i="7"/>
  <c r="D5" i="7" l="1"/>
  <c r="B4" i="7"/>
  <c r="D18" i="11"/>
  <c r="F18" i="11"/>
  <c r="D4" i="7" l="1"/>
  <c r="E4" i="7" s="1"/>
  <c r="E5" i="7"/>
  <c r="B4" i="5" s="1"/>
  <c r="C4" i="5" s="1"/>
  <c r="D3" i="7"/>
  <c r="E3" i="7" s="1"/>
</calcChain>
</file>

<file path=xl/sharedStrings.xml><?xml version="1.0" encoding="utf-8"?>
<sst xmlns="http://schemas.openxmlformats.org/spreadsheetml/2006/main" count="232" uniqueCount="122">
  <si>
    <t>시점</t>
  </si>
  <si>
    <t>항목</t>
  </si>
  <si>
    <t>전국</t>
  </si>
  <si>
    <t>총계</t>
  </si>
  <si>
    <t>육상운송 및 파이프라인 운송업</t>
  </si>
  <si>
    <t>수상 운송업</t>
  </si>
  <si>
    <t>항공 운송업</t>
  </si>
  <si>
    <t>창고 및 운송관련 서비스업</t>
  </si>
  <si>
    <t>2020</t>
  </si>
  <si>
    <t>기업체수 (개)</t>
  </si>
  <si>
    <t/>
  </si>
  <si>
    <t>종사자수 (명)</t>
  </si>
  <si>
    <t>급여액 (백만원)</t>
  </si>
  <si>
    <t>운송수단 및 창고수 (수)</t>
  </si>
  <si>
    <t>X</t>
  </si>
  <si>
    <t>매출액 (백만원)</t>
  </si>
  <si>
    <t>영업비용 (백만원)</t>
  </si>
  <si>
    <t>부가가치 (백만원)</t>
  </si>
  <si>
    <t>유형자산 (백만원)</t>
  </si>
  <si>
    <t>2021</t>
  </si>
  <si>
    <t>2022</t>
  </si>
  <si>
    <t>2023</t>
  </si>
  <si>
    <t xml:space="preserve">[년] 2020~2023  </t>
  </si>
  <si>
    <t>「운수업조사」, 국가데이터처</t>
  </si>
  <si>
    <t>https://kosis.kr/statHtml/statHtml.do?orgId=101&amp;tblId=DT_1I202001&amp;conn_path=I3</t>
  </si>
  <si>
    <t>FpUCD Fares per Unit Cargo Distance</t>
    <phoneticPr fontId="5" type="noConversion"/>
  </si>
  <si>
    <t>Source:</t>
  </si>
  <si>
    <t>bus</t>
  </si>
  <si>
    <t>We assume fares remain constant in the future after adjustment for inflation</t>
  </si>
  <si>
    <t>(i.e. they rise at the rate of inflation).</t>
  </si>
  <si>
    <t xml:space="preserve">[년] 2020~2022  </t>
  </si>
  <si>
    <t>「교통부문수송실적보고」, 국토교통부</t>
  </si>
  <si>
    <t>https://kosis.kr/statHtml/statHtml.do?orgId=116&amp;tblId=DT_MLTM_5376&amp;conn_path=I3</t>
  </si>
  <si>
    <t>Notes</t>
    <phoneticPr fontId="5" type="noConversion"/>
  </si>
  <si>
    <t>구분(1)(1)</t>
  </si>
  <si>
    <t>구분(2)(1)</t>
  </si>
  <si>
    <t>국내</t>
  </si>
  <si>
    <t>국내 합계(인)</t>
  </si>
  <si>
    <t>철도(인)</t>
  </si>
  <si>
    <t>지하철(인)</t>
  </si>
  <si>
    <t>공로(인)</t>
  </si>
  <si>
    <t>해운(인)</t>
  </si>
  <si>
    <t>항공(인)</t>
  </si>
  <si>
    <t>국내 합계(인-키로)</t>
  </si>
  <si>
    <t>철도(인-키로)</t>
  </si>
  <si>
    <t>지하철(인-키로)</t>
  </si>
  <si>
    <t>공로(인-키로)</t>
  </si>
  <si>
    <t>해운(인-키로)</t>
  </si>
  <si>
    <t>항공(인-키로)</t>
  </si>
  <si>
    <t>국제</t>
  </si>
  <si>
    <t>-</t>
  </si>
  <si>
    <t>국제 합계(인)</t>
  </si>
  <si>
    <t>국제 합계(인-키로)</t>
  </si>
  <si>
    <r>
      <t>국내</t>
    </r>
    <r>
      <rPr>
        <b/>
        <sz val="11"/>
        <color theme="1"/>
        <rFont val="Yu Gothic"/>
        <family val="2"/>
        <charset val="128"/>
      </rPr>
      <t>・</t>
    </r>
    <r>
      <rPr>
        <b/>
        <sz val="11"/>
        <color theme="1"/>
        <rFont val="맑은 고딕"/>
        <family val="2"/>
        <scheme val="minor"/>
      </rPr>
      <t>국제여객 연도별 수송수단별 이용현황</t>
    </r>
    <phoneticPr fontId="5" type="noConversion"/>
  </si>
  <si>
    <t>시도별/산업별 총괄 매출액 통계</t>
    <phoneticPr fontId="5" type="noConversion"/>
  </si>
  <si>
    <t>$/passenger*mile</t>
  </si>
  <si>
    <t>LDVs</t>
  </si>
  <si>
    <t>HDVs</t>
  </si>
  <si>
    <t>aircraft</t>
  </si>
  <si>
    <t>rail</t>
  </si>
  <si>
    <t>ships</t>
  </si>
  <si>
    <t>motorbikes</t>
  </si>
  <si>
    <t>$/ton*mile</t>
  </si>
  <si>
    <t>commuter rail</t>
  </si>
  <si>
    <t>aircraft</t>
    <phoneticPr fontId="5" type="noConversion"/>
  </si>
  <si>
    <t>avg passenger trip length(km)</t>
    <phoneticPr fontId="5" type="noConversion"/>
  </si>
  <si>
    <t>fare / passenger-km(원/km)</t>
    <phoneticPr fontId="5" type="noConversion"/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</si>
  <si>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</si>
  <si>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</si>
  <si>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</si>
  <si>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</si>
  <si>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</si>
  <si>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</si>
  <si>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</si>
  <si>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</si>
  <si>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</si>
  <si>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</si>
  <si>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</si>
  <si>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</si>
  <si>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</si>
  <si>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</si>
  <si>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</si>
  <si>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</si>
  <si>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번호</t>
  </si>
  <si>
    <t>지역</t>
  </si>
  <si>
    <t>전철료(성인)카드</t>
  </si>
  <si>
    <t>전철료(성인)현금</t>
  </si>
  <si>
    <t>시내버스(성인)카드</t>
  </si>
  <si>
    <t>시내버스(성인)현금</t>
  </si>
  <si>
    <t>택시료(중형)</t>
  </si>
  <si>
    <t>도시가스료(가정,취사)소비자요금</t>
  </si>
  <si>
    <t>도시가스료(가정,취사)도매요금</t>
  </si>
  <si>
    <t>도시가스료(가정,취사)소매요금</t>
  </si>
  <si>
    <t>상수도료(가정용)</t>
  </si>
  <si>
    <t>하수도료(가정용)</t>
  </si>
  <si>
    <t>쓰래기봉투(20L)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</si>
  <si>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</si>
  <si>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</si>
  <si>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</si>
  <si>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</si>
  <si>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</si>
  <si>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</si>
  <si>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</si>
  <si>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</si>
  <si>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</si>
  <si>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</si>
  <si>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</si>
  <si>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</si>
  <si>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</si>
  <si>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</si>
  <si>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</si>
  <si>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</si>
  <si>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https://www.price.go.kr/tprice/portal/servicepriceinfo/publicutilitypirce/publicUtilityPirceList.do#</t>
  </si>
  <si>
    <t>한국소비자원 참가격 정보서비스</t>
    <phoneticPr fontId="5" type="noConversion"/>
  </si>
  <si>
    <t>공공 요금</t>
    <phoneticPr fontId="5" type="noConversion"/>
  </si>
  <si>
    <t>2020년도 원달러 환율</t>
    <phoneticPr fontId="5" type="noConversion"/>
  </si>
  <si>
    <t>1mile</t>
    <phoneticPr fontId="5" type="noConversion"/>
  </si>
  <si>
    <t>fare/ passenger-mile(dollar/mile)</t>
    <phoneticPr fontId="5" type="noConversion"/>
  </si>
  <si>
    <t>average fare(원)</t>
    <phoneticPr fontId="5" type="noConversion"/>
  </si>
  <si>
    <t>In the Korean context, bus indicators are estimated using urban bus service data.</t>
  </si>
  <si>
    <t>Rail indicators are computed based on the average fare of metropolitan subway systems.</t>
  </si>
  <si>
    <t>Aviation indicators are calculated using aggregate revenue figures.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</si>
</sst>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7" formatCode="_-* #,##0.00_-;\-* #,##0.00_-;_-* &quot;-&quot;_-;_-@_-"/>
  </numFmts>
  <fonts count="1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theme="1"/>
      <name val="Yu Gothic"/>
      <family val="2"/>
      <charset val="128"/>
    </font>
    <font>
      <sz val="11"/>
      <color theme="1"/>
      <name val="맑은 고딕"/>
      <family val="2"/>
      <scheme val="minor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0" borderId="0"/>
    <xf numFmtId="0" fontId="1" fillId="0" borderId="0">
      <alignment vertical="center"/>
    </xf>
    <xf numFmtId="0" fontId="9" fillId="0" borderId="0" applyNumberFormat="0" applyFont="0" applyFill="0" applyBorder="0" applyAlignment="0" applyProtection="0"/>
  </cellStyleXfs>
  <cellXfs count="33">
    <xf numFmtId="0" fontId="0" fillId="0" borderId="0" xfId="0">
      <alignment vertical="center"/>
    </xf>
    <xf numFmtId="0" fontId="0" fillId="3" borderId="2" xfId="0" applyFill="1" applyBorder="1" applyAlignment="1"/>
    <xf numFmtId="3" fontId="0" fillId="0" borderId="2" xfId="0" applyNumberFormat="1" applyBorder="1" applyAlignment="1">
      <alignment horizontal="right"/>
    </xf>
    <xf numFmtId="0" fontId="0" fillId="4" borderId="4" xfId="0" applyFill="1" applyBorder="1" applyAlignment="1"/>
    <xf numFmtId="0" fontId="0" fillId="4" borderId="2" xfId="0" applyFill="1" applyBorder="1" applyAlignment="1"/>
    <xf numFmtId="0" fontId="0" fillId="4" borderId="3" xfId="0" applyFill="1" applyBorder="1" applyAlignment="1"/>
    <xf numFmtId="0" fontId="0" fillId="4" borderId="1" xfId="0" applyFill="1" applyBorder="1" applyAlignment="1"/>
    <xf numFmtId="0" fontId="0" fillId="0" borderId="0" xfId="0" applyAlignment="1">
      <alignment horizontal="left"/>
    </xf>
    <xf numFmtId="0" fontId="0" fillId="2" borderId="2" xfId="0" applyFill="1" applyBorder="1">
      <alignment vertical="center"/>
    </xf>
    <xf numFmtId="0" fontId="4" fillId="0" borderId="0" xfId="0" applyFont="1" applyAlignment="1"/>
    <xf numFmtId="0" fontId="0" fillId="0" borderId="0" xfId="0" applyAlignment="1"/>
    <xf numFmtId="0" fontId="4" fillId="5" borderId="0" xfId="0" applyFont="1" applyFill="1" applyAlignment="1"/>
    <xf numFmtId="0" fontId="6" fillId="0" borderId="0" xfId="0" applyFont="1" applyAlignment="1">
      <alignment horizontal="left"/>
    </xf>
    <xf numFmtId="0" fontId="8" fillId="0" borderId="0" xfId="3"/>
    <xf numFmtId="0" fontId="8" fillId="0" borderId="0" xfId="3" applyAlignment="1">
      <alignment horizontal="right"/>
    </xf>
    <xf numFmtId="2" fontId="8" fillId="0" borderId="0" xfId="3" applyNumberFormat="1"/>
    <xf numFmtId="0" fontId="4" fillId="0" borderId="0" xfId="0" applyFont="1" applyAlignment="1">
      <alignment horizontal="right"/>
    </xf>
    <xf numFmtId="3" fontId="0" fillId="6" borderId="2" xfId="0" applyNumberFormat="1" applyFill="1" applyBorder="1" applyAlignment="1">
      <alignment horizontal="right"/>
    </xf>
    <xf numFmtId="3" fontId="0" fillId="7" borderId="2" xfId="0" applyNumberFormat="1" applyFill="1" applyBorder="1" applyAlignment="1">
      <alignment horizontal="right"/>
    </xf>
    <xf numFmtId="0" fontId="9" fillId="0" borderId="0" xfId="5" applyNumberFormat="1" applyFont="1" applyFill="1" applyBorder="1" applyAlignment="1"/>
    <xf numFmtId="0" fontId="9" fillId="0" borderId="0" xfId="5" applyNumberFormat="1" applyFont="1" applyFill="1" applyBorder="1" applyAlignment="1">
      <alignment horizontal="center"/>
    </xf>
    <xf numFmtId="0" fontId="9" fillId="8" borderId="0" xfId="5" applyNumberFormat="1" applyFont="1" applyFill="1" applyBorder="1" applyAlignment="1">
      <alignment horizontal="center"/>
    </xf>
    <xf numFmtId="0" fontId="9" fillId="9" borderId="0" xfId="5" applyNumberFormat="1" applyFont="1" applyFill="1" applyBorder="1" applyAlignment="1">
      <alignment horizontal="center"/>
    </xf>
    <xf numFmtId="0" fontId="8" fillId="0" borderId="0" xfId="2" applyFont="1" applyAlignment="1">
      <alignment horizontal="left" vertical="center"/>
    </xf>
    <xf numFmtId="41" fontId="0" fillId="0" borderId="0" xfId="1" applyFont="1">
      <alignment vertical="center"/>
    </xf>
    <xf numFmtId="177" fontId="0" fillId="0" borderId="0" xfId="1" applyNumberFormat="1" applyFont="1">
      <alignment vertical="center"/>
    </xf>
    <xf numFmtId="41" fontId="0" fillId="0" borderId="0" xfId="1" applyFont="1" applyAlignment="1"/>
    <xf numFmtId="177" fontId="0" fillId="0" borderId="0" xfId="1" applyNumberFormat="1" applyFont="1" applyAlignment="1"/>
    <xf numFmtId="0" fontId="0" fillId="2" borderId="2" xfId="0" applyFill="1" applyBorder="1">
      <alignment vertical="center"/>
    </xf>
    <xf numFmtId="0" fontId="0" fillId="3" borderId="2" xfId="0" applyFill="1" applyBorder="1" applyAlignment="1"/>
    <xf numFmtId="3" fontId="0" fillId="0" borderId="2" xfId="0" applyNumberFormat="1" applyFill="1" applyBorder="1" applyAlignment="1">
      <alignment horizontal="right"/>
    </xf>
    <xf numFmtId="3" fontId="0" fillId="10" borderId="2" xfId="0" applyNumberFormat="1" applyFill="1" applyBorder="1" applyAlignment="1">
      <alignment horizontal="right"/>
    </xf>
    <xf numFmtId="3" fontId="0" fillId="11" borderId="2" xfId="0" applyNumberFormat="1" applyFill="1" applyBorder="1" applyAlignment="1">
      <alignment horizontal="right"/>
    </xf>
  </cellXfs>
  <cellStyles count="6">
    <cellStyle name="쉼표 [0]" xfId="1" builtinId="6"/>
    <cellStyle name="표준" xfId="0" builtinId="0"/>
    <cellStyle name="표준 2" xfId="3" xr:uid="{F27352C2-7158-468E-A5ED-AC7CD3C774C4}"/>
    <cellStyle name="표준 3" xfId="4" xr:uid="{6D21D350-1B0C-48B0-AFB8-F19E18BA6E0D}"/>
    <cellStyle name="표준 4" xfId="5" xr:uid="{B561EDCA-A80F-447A-A948-E435BD3D4F24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90EB-D80C-4AB9-96E9-1BB4F50227AB}">
  <dimension ref="A1:C24"/>
  <sheetViews>
    <sheetView workbookViewId="0">
      <selection activeCell="B8" sqref="B8"/>
    </sheetView>
  </sheetViews>
  <sheetFormatPr defaultRowHeight="16.5" x14ac:dyDescent="0.3"/>
  <cols>
    <col min="1" max="1" width="15.375" customWidth="1"/>
    <col min="2" max="2" width="49.125" customWidth="1"/>
  </cols>
  <sheetData>
    <row r="1" spans="1:3" x14ac:dyDescent="0.3">
      <c r="A1" s="9" t="s">
        <v>25</v>
      </c>
      <c r="B1" s="10"/>
      <c r="C1" s="10"/>
    </row>
    <row r="2" spans="1:3" x14ac:dyDescent="0.3">
      <c r="A2" s="10"/>
      <c r="B2" s="10"/>
      <c r="C2" s="10"/>
    </row>
    <row r="3" spans="1:3" x14ac:dyDescent="0.3">
      <c r="A3" s="9" t="s">
        <v>26</v>
      </c>
      <c r="B3" s="11" t="s">
        <v>54</v>
      </c>
      <c r="C3" s="10"/>
    </row>
    <row r="4" spans="1:3" x14ac:dyDescent="0.3">
      <c r="A4" s="7"/>
      <c r="B4" s="7" t="s">
        <v>22</v>
      </c>
    </row>
    <row r="5" spans="1:3" x14ac:dyDescent="0.3">
      <c r="A5" s="7"/>
      <c r="B5" s="7" t="s">
        <v>23</v>
      </c>
    </row>
    <row r="6" spans="1:3" x14ac:dyDescent="0.3">
      <c r="A6" s="7"/>
      <c r="B6" s="7" t="s">
        <v>24</v>
      </c>
    </row>
    <row r="7" spans="1:3" x14ac:dyDescent="0.3">
      <c r="A7" s="7"/>
      <c r="B7" s="7"/>
    </row>
    <row r="8" spans="1:3" ht="18" x14ac:dyDescent="0.35">
      <c r="A8" s="10"/>
      <c r="B8" s="11" t="s">
        <v>53</v>
      </c>
      <c r="C8" s="10"/>
    </row>
    <row r="9" spans="1:3" x14ac:dyDescent="0.3">
      <c r="A9" s="7"/>
      <c r="B9" s="7" t="s">
        <v>30</v>
      </c>
      <c r="C9" s="10"/>
    </row>
    <row r="10" spans="1:3" x14ac:dyDescent="0.3">
      <c r="A10" s="7"/>
      <c r="B10" s="7" t="s">
        <v>31</v>
      </c>
      <c r="C10" s="10"/>
    </row>
    <row r="11" spans="1:3" x14ac:dyDescent="0.3">
      <c r="A11" s="7"/>
      <c r="B11" s="7" t="s">
        <v>32</v>
      </c>
      <c r="C11" s="10"/>
    </row>
    <row r="12" spans="1:3" x14ac:dyDescent="0.3">
      <c r="A12" s="7"/>
      <c r="B12" s="7"/>
      <c r="C12" s="10"/>
    </row>
    <row r="13" spans="1:3" x14ac:dyDescent="0.3">
      <c r="A13" s="7"/>
      <c r="B13" s="11" t="s">
        <v>114</v>
      </c>
      <c r="C13" s="10"/>
    </row>
    <row r="14" spans="1:3" x14ac:dyDescent="0.3">
      <c r="A14" s="7"/>
      <c r="B14" s="9" t="s">
        <v>113</v>
      </c>
      <c r="C14" s="10"/>
    </row>
    <row r="15" spans="1:3" x14ac:dyDescent="0.3">
      <c r="A15" s="7"/>
      <c r="B15" s="23">
        <v>2020</v>
      </c>
      <c r="C15" s="10"/>
    </row>
    <row r="16" spans="1:3" x14ac:dyDescent="0.3">
      <c r="A16" s="10"/>
      <c r="B16" s="10" t="s">
        <v>112</v>
      </c>
      <c r="C16" s="10"/>
    </row>
    <row r="17" spans="1:3" x14ac:dyDescent="0.3">
      <c r="A17" s="12" t="s">
        <v>33</v>
      </c>
      <c r="B17" s="10"/>
      <c r="C17" s="10"/>
    </row>
    <row r="18" spans="1:3" x14ac:dyDescent="0.3">
      <c r="A18" s="10" t="s">
        <v>28</v>
      </c>
      <c r="B18" s="10"/>
      <c r="C18" s="10"/>
    </row>
    <row r="19" spans="1:3" x14ac:dyDescent="0.3">
      <c r="A19" s="10" t="s">
        <v>29</v>
      </c>
      <c r="B19" s="10"/>
      <c r="C19" s="10"/>
    </row>
    <row r="20" spans="1:3" x14ac:dyDescent="0.3">
      <c r="A20" s="10"/>
      <c r="B20" s="10"/>
      <c r="C20" s="10"/>
    </row>
    <row r="21" spans="1:3" x14ac:dyDescent="0.3">
      <c r="A21" t="s">
        <v>119</v>
      </c>
    </row>
    <row r="22" spans="1:3" x14ac:dyDescent="0.3">
      <c r="A22" t="s">
        <v>120</v>
      </c>
    </row>
    <row r="23" spans="1:3" x14ac:dyDescent="0.3">
      <c r="A23" t="s">
        <v>121</v>
      </c>
    </row>
    <row r="24" spans="1:3" x14ac:dyDescent="0.3">
      <c r="A24" s="10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workbookViewId="0">
      <selection sqref="A1:A2"/>
    </sheetView>
  </sheetViews>
  <sheetFormatPr defaultColWidth="20.625" defaultRowHeight="16.5" x14ac:dyDescent="0.3"/>
  <cols>
    <col min="4" max="4" width="30.875" customWidth="1"/>
    <col min="5" max="5" width="24.875" customWidth="1"/>
    <col min="6" max="6" width="23.875" customWidth="1"/>
    <col min="7" max="7" width="26.875" customWidth="1"/>
  </cols>
  <sheetData>
    <row r="1" spans="1:7" ht="20.100000000000001" customHeight="1" x14ac:dyDescent="0.3">
      <c r="A1" s="28" t="s">
        <v>0</v>
      </c>
      <c r="B1" s="28" t="s">
        <v>1</v>
      </c>
      <c r="C1" s="29" t="s">
        <v>2</v>
      </c>
      <c r="D1" s="29" t="s">
        <v>2</v>
      </c>
      <c r="E1" s="29" t="s">
        <v>2</v>
      </c>
      <c r="F1" s="29" t="s">
        <v>2</v>
      </c>
      <c r="G1" s="29" t="s">
        <v>2</v>
      </c>
    </row>
    <row r="2" spans="1:7" ht="20.100000000000001" customHeight="1" x14ac:dyDescent="0.3">
      <c r="A2" s="29" t="s">
        <v>0</v>
      </c>
      <c r="B2" s="29" t="s">
        <v>1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0.100000000000001" customHeight="1" x14ac:dyDescent="0.3">
      <c r="A3" s="3" t="s">
        <v>8</v>
      </c>
      <c r="B3" s="3" t="s">
        <v>9</v>
      </c>
      <c r="C3" s="2">
        <v>552517</v>
      </c>
      <c r="D3" s="2">
        <v>528405</v>
      </c>
      <c r="E3" s="2">
        <v>1140</v>
      </c>
      <c r="F3" s="2">
        <v>55</v>
      </c>
      <c r="G3" s="2">
        <v>22917</v>
      </c>
    </row>
    <row r="4" spans="1:7" ht="20.100000000000001" customHeight="1" x14ac:dyDescent="0.3">
      <c r="A4" s="5" t="s">
        <v>10</v>
      </c>
      <c r="B4" s="3" t="s">
        <v>11</v>
      </c>
      <c r="C4" s="2">
        <v>1228340</v>
      </c>
      <c r="D4" s="2">
        <v>988478</v>
      </c>
      <c r="E4" s="2">
        <v>25289</v>
      </c>
      <c r="F4" s="2">
        <v>35455</v>
      </c>
      <c r="G4" s="2">
        <v>179118</v>
      </c>
    </row>
    <row r="5" spans="1:7" ht="20.100000000000001" customHeight="1" x14ac:dyDescent="0.3">
      <c r="A5" s="5" t="s">
        <v>10</v>
      </c>
      <c r="B5" s="3" t="s">
        <v>12</v>
      </c>
      <c r="C5" s="2">
        <v>29620733</v>
      </c>
      <c r="D5" s="2">
        <v>20044299</v>
      </c>
      <c r="E5" s="2">
        <v>1346178</v>
      </c>
      <c r="F5" s="2">
        <v>2068923</v>
      </c>
      <c r="G5" s="2">
        <v>6161333</v>
      </c>
    </row>
    <row r="6" spans="1:7" ht="20.100000000000001" customHeight="1" x14ac:dyDescent="0.3">
      <c r="A6" s="5" t="s">
        <v>10</v>
      </c>
      <c r="B6" s="3" t="s">
        <v>13</v>
      </c>
      <c r="C6" s="2" t="s">
        <v>14</v>
      </c>
      <c r="D6" s="2">
        <v>786651</v>
      </c>
      <c r="E6" s="2">
        <v>3397</v>
      </c>
      <c r="F6" s="2">
        <v>870</v>
      </c>
      <c r="G6" s="2">
        <v>12331</v>
      </c>
    </row>
    <row r="7" spans="1:7" ht="20.100000000000001" customHeight="1" x14ac:dyDescent="0.3">
      <c r="A7" s="5" t="s">
        <v>10</v>
      </c>
      <c r="B7" s="3" t="s">
        <v>15</v>
      </c>
      <c r="C7" s="2">
        <v>152356515</v>
      </c>
      <c r="D7" s="2">
        <v>68628417</v>
      </c>
      <c r="E7" s="2">
        <v>28452968</v>
      </c>
      <c r="F7" s="2">
        <v>12678146</v>
      </c>
      <c r="G7" s="2">
        <v>42596984</v>
      </c>
    </row>
    <row r="8" spans="1:7" ht="20.100000000000001" customHeight="1" x14ac:dyDescent="0.3">
      <c r="A8" s="5" t="s">
        <v>10</v>
      </c>
      <c r="B8" s="3" t="s">
        <v>16</v>
      </c>
      <c r="C8" s="2">
        <v>143511083</v>
      </c>
      <c r="D8" s="2">
        <v>65530490</v>
      </c>
      <c r="E8" s="2">
        <v>25711933</v>
      </c>
      <c r="F8" s="2">
        <v>13225181</v>
      </c>
      <c r="G8" s="2">
        <v>39043479</v>
      </c>
    </row>
    <row r="9" spans="1:7" ht="20.100000000000001" customHeight="1" x14ac:dyDescent="0.3">
      <c r="A9" s="5" t="s">
        <v>10</v>
      </c>
      <c r="B9" s="3" t="s">
        <v>17</v>
      </c>
      <c r="C9" s="2">
        <v>60151993</v>
      </c>
      <c r="D9" s="2">
        <v>32855877</v>
      </c>
      <c r="E9" s="2">
        <v>7201908</v>
      </c>
      <c r="F9" s="2">
        <v>5261499</v>
      </c>
      <c r="G9" s="2">
        <v>14832709</v>
      </c>
    </row>
    <row r="10" spans="1:7" ht="20.100000000000001" customHeight="1" x14ac:dyDescent="0.3">
      <c r="A10" s="5" t="s">
        <v>10</v>
      </c>
      <c r="B10" s="3" t="s">
        <v>18</v>
      </c>
      <c r="C10" s="2">
        <v>177194593</v>
      </c>
      <c r="D10" s="2">
        <v>71848793</v>
      </c>
      <c r="E10" s="2">
        <v>30253568</v>
      </c>
      <c r="F10" s="2">
        <v>25187186</v>
      </c>
      <c r="G10" s="2">
        <v>49905046</v>
      </c>
    </row>
    <row r="11" spans="1:7" ht="20.100000000000001" customHeight="1" x14ac:dyDescent="0.3">
      <c r="A11" s="3" t="s">
        <v>19</v>
      </c>
      <c r="B11" s="3" t="s">
        <v>9</v>
      </c>
      <c r="C11" s="2">
        <v>574568</v>
      </c>
      <c r="D11" s="2">
        <v>550650</v>
      </c>
      <c r="E11" s="2">
        <v>970</v>
      </c>
      <c r="F11" s="2">
        <v>68</v>
      </c>
      <c r="G11" s="2">
        <v>22880</v>
      </c>
    </row>
    <row r="12" spans="1:7" ht="20.100000000000001" customHeight="1" x14ac:dyDescent="0.3">
      <c r="A12" s="5" t="s">
        <v>10</v>
      </c>
      <c r="B12" s="3" t="s">
        <v>11</v>
      </c>
      <c r="C12" s="2">
        <v>1316013</v>
      </c>
      <c r="D12" s="2">
        <v>1040199</v>
      </c>
      <c r="E12" s="2">
        <v>25014</v>
      </c>
      <c r="F12" s="2">
        <v>36119</v>
      </c>
      <c r="G12" s="2">
        <v>214681</v>
      </c>
    </row>
    <row r="13" spans="1:7" ht="20.100000000000001" customHeight="1" x14ac:dyDescent="0.3">
      <c r="A13" s="5" t="s">
        <v>10</v>
      </c>
      <c r="B13" s="3" t="s">
        <v>12</v>
      </c>
      <c r="C13" s="2">
        <v>33082482</v>
      </c>
      <c r="D13" s="2">
        <v>21541839</v>
      </c>
      <c r="E13" s="2">
        <v>1498557</v>
      </c>
      <c r="F13" s="2">
        <v>1537838</v>
      </c>
      <c r="G13" s="2">
        <v>8504248</v>
      </c>
    </row>
    <row r="14" spans="1:7" ht="20.100000000000001" customHeight="1" x14ac:dyDescent="0.3">
      <c r="A14" s="5" t="s">
        <v>10</v>
      </c>
      <c r="B14" s="3" t="s">
        <v>13</v>
      </c>
      <c r="C14" s="2" t="s">
        <v>14</v>
      </c>
      <c r="D14" s="2">
        <v>812902</v>
      </c>
      <c r="E14" s="2">
        <v>3266</v>
      </c>
      <c r="F14" s="2">
        <v>605</v>
      </c>
      <c r="G14" s="2">
        <v>11980</v>
      </c>
    </row>
    <row r="15" spans="1:7" ht="20.100000000000001" customHeight="1" x14ac:dyDescent="0.3">
      <c r="A15" s="5" t="s">
        <v>10</v>
      </c>
      <c r="B15" s="3" t="s">
        <v>15</v>
      </c>
      <c r="C15" s="2">
        <v>194035288</v>
      </c>
      <c r="D15" s="2">
        <v>76185589</v>
      </c>
      <c r="E15" s="2">
        <v>46509601</v>
      </c>
      <c r="F15" s="2">
        <v>14803559</v>
      </c>
      <c r="G15" s="2">
        <v>56536539</v>
      </c>
    </row>
    <row r="16" spans="1:7" ht="20.100000000000001" customHeight="1" x14ac:dyDescent="0.3">
      <c r="A16" s="5" t="s">
        <v>10</v>
      </c>
      <c r="B16" s="3" t="s">
        <v>16</v>
      </c>
      <c r="C16" s="2">
        <v>168908250</v>
      </c>
      <c r="D16" s="2">
        <v>71234756</v>
      </c>
      <c r="E16" s="2">
        <v>32584016</v>
      </c>
      <c r="F16" s="2">
        <v>13837961</v>
      </c>
      <c r="G16" s="2">
        <v>51251516</v>
      </c>
    </row>
    <row r="17" spans="1:7" ht="20.100000000000001" customHeight="1" x14ac:dyDescent="0.3">
      <c r="A17" s="5" t="s">
        <v>10</v>
      </c>
      <c r="B17" s="3" t="s">
        <v>17</v>
      </c>
      <c r="C17" s="2">
        <v>84363843</v>
      </c>
      <c r="D17" s="2">
        <v>36837867</v>
      </c>
      <c r="E17" s="2">
        <v>21165977</v>
      </c>
      <c r="F17" s="2">
        <v>6202989</v>
      </c>
      <c r="G17" s="2">
        <v>20157010</v>
      </c>
    </row>
    <row r="18" spans="1:7" ht="20.100000000000001" customHeight="1" x14ac:dyDescent="0.3">
      <c r="A18" s="5" t="s">
        <v>10</v>
      </c>
      <c r="B18" s="3" t="s">
        <v>18</v>
      </c>
      <c r="C18" s="2">
        <v>186009006</v>
      </c>
      <c r="D18" s="2">
        <v>77970074</v>
      </c>
      <c r="E18" s="2">
        <v>35669940</v>
      </c>
      <c r="F18" s="2">
        <v>24412818</v>
      </c>
      <c r="G18" s="2">
        <v>47956174</v>
      </c>
    </row>
    <row r="19" spans="1:7" ht="20.100000000000001" customHeight="1" x14ac:dyDescent="0.3">
      <c r="A19" s="3" t="s">
        <v>20</v>
      </c>
      <c r="B19" s="3" t="s">
        <v>9</v>
      </c>
      <c r="C19" s="2">
        <v>598404</v>
      </c>
      <c r="D19" s="2">
        <v>573996</v>
      </c>
      <c r="E19" s="2">
        <v>935</v>
      </c>
      <c r="F19" s="2">
        <v>72</v>
      </c>
      <c r="G19" s="2">
        <v>23401</v>
      </c>
    </row>
    <row r="20" spans="1:7" ht="20.100000000000001" customHeight="1" x14ac:dyDescent="0.3">
      <c r="A20" s="5" t="s">
        <v>10</v>
      </c>
      <c r="B20" s="3" t="s">
        <v>11</v>
      </c>
      <c r="C20" s="2">
        <v>1337919</v>
      </c>
      <c r="D20" s="2">
        <v>1052027</v>
      </c>
      <c r="E20" s="2">
        <v>26142</v>
      </c>
      <c r="F20" s="2">
        <v>37598</v>
      </c>
      <c r="G20" s="2">
        <v>222152</v>
      </c>
    </row>
    <row r="21" spans="1:7" ht="20.100000000000001" customHeight="1" x14ac:dyDescent="0.3">
      <c r="A21" s="5" t="s">
        <v>10</v>
      </c>
      <c r="B21" s="3" t="s">
        <v>12</v>
      </c>
      <c r="C21" s="2">
        <v>34499081</v>
      </c>
      <c r="D21" s="2">
        <v>21537912</v>
      </c>
      <c r="E21" s="2">
        <v>1700081</v>
      </c>
      <c r="F21" s="2">
        <v>1916106</v>
      </c>
      <c r="G21" s="2">
        <v>9344982</v>
      </c>
    </row>
    <row r="22" spans="1:7" ht="20.100000000000001" customHeight="1" x14ac:dyDescent="0.3">
      <c r="A22" s="5" t="s">
        <v>10</v>
      </c>
      <c r="B22" s="3" t="s">
        <v>13</v>
      </c>
      <c r="C22" s="2" t="s">
        <v>14</v>
      </c>
      <c r="D22" s="2">
        <v>830836</v>
      </c>
      <c r="E22" s="2">
        <v>3409</v>
      </c>
      <c r="F22" s="2">
        <v>734</v>
      </c>
      <c r="G22" s="2">
        <v>13011</v>
      </c>
    </row>
    <row r="23" spans="1:7" ht="20.100000000000001" customHeight="1" x14ac:dyDescent="0.3">
      <c r="A23" s="5" t="s">
        <v>10</v>
      </c>
      <c r="B23" s="3" t="s">
        <v>15</v>
      </c>
      <c r="C23" s="2">
        <v>232486026</v>
      </c>
      <c r="D23" s="2">
        <v>81864100</v>
      </c>
      <c r="E23" s="2">
        <v>63358709</v>
      </c>
      <c r="F23" s="2">
        <v>23377314</v>
      </c>
      <c r="G23" s="2">
        <v>63885903</v>
      </c>
    </row>
    <row r="24" spans="1:7" ht="20.100000000000001" customHeight="1" x14ac:dyDescent="0.3">
      <c r="A24" s="5" t="s">
        <v>10</v>
      </c>
      <c r="B24" s="3" t="s">
        <v>16</v>
      </c>
      <c r="C24" s="2">
        <v>194927519</v>
      </c>
      <c r="D24" s="2">
        <v>73736059</v>
      </c>
      <c r="E24" s="2">
        <v>43683316</v>
      </c>
      <c r="F24" s="2">
        <v>19329218</v>
      </c>
      <c r="G24" s="2">
        <v>58178926</v>
      </c>
    </row>
    <row r="25" spans="1:7" ht="20.100000000000001" customHeight="1" x14ac:dyDescent="0.3">
      <c r="A25" s="5" t="s">
        <v>10</v>
      </c>
      <c r="B25" s="3" t="s">
        <v>17</v>
      </c>
      <c r="C25" s="2">
        <v>101145646</v>
      </c>
      <c r="D25" s="2">
        <v>40485732</v>
      </c>
      <c r="E25" s="2">
        <v>28253103</v>
      </c>
      <c r="F25" s="2">
        <v>10199347</v>
      </c>
      <c r="G25" s="2">
        <v>22207464</v>
      </c>
    </row>
    <row r="26" spans="1:7" ht="20.100000000000001" customHeight="1" x14ac:dyDescent="0.3">
      <c r="A26" s="5" t="s">
        <v>10</v>
      </c>
      <c r="B26" s="3" t="s">
        <v>18</v>
      </c>
      <c r="C26" s="2">
        <v>223258071</v>
      </c>
      <c r="D26" s="2">
        <v>85275211</v>
      </c>
      <c r="E26" s="2">
        <v>41388966</v>
      </c>
      <c r="F26" s="2">
        <v>50010129</v>
      </c>
      <c r="G26" s="2">
        <v>46583765</v>
      </c>
    </row>
    <row r="27" spans="1:7" ht="20.100000000000001" customHeight="1" x14ac:dyDescent="0.3">
      <c r="A27" s="3" t="s">
        <v>21</v>
      </c>
      <c r="B27" s="3" t="s">
        <v>9</v>
      </c>
      <c r="C27" s="2">
        <v>612506</v>
      </c>
      <c r="D27" s="2">
        <v>587949</v>
      </c>
      <c r="E27" s="2">
        <v>913</v>
      </c>
      <c r="F27" s="2">
        <v>77</v>
      </c>
      <c r="G27" s="2">
        <v>23567</v>
      </c>
    </row>
    <row r="28" spans="1:7" ht="20.100000000000001" customHeight="1" x14ac:dyDescent="0.3">
      <c r="A28" s="5" t="s">
        <v>10</v>
      </c>
      <c r="B28" s="3" t="s">
        <v>11</v>
      </c>
      <c r="C28" s="2">
        <v>1378170</v>
      </c>
      <c r="D28" s="2">
        <v>1086950</v>
      </c>
      <c r="E28" s="2">
        <v>26405</v>
      </c>
      <c r="F28" s="2">
        <v>40635</v>
      </c>
      <c r="G28" s="2">
        <v>224180</v>
      </c>
    </row>
    <row r="29" spans="1:7" ht="20.100000000000001" customHeight="1" x14ac:dyDescent="0.3">
      <c r="A29" s="5" t="s">
        <v>10</v>
      </c>
      <c r="B29" s="3" t="s">
        <v>12</v>
      </c>
      <c r="C29" s="2">
        <v>38213672</v>
      </c>
      <c r="D29" s="2">
        <v>23804458</v>
      </c>
      <c r="E29" s="2">
        <v>1782519</v>
      </c>
      <c r="F29" s="2">
        <v>2699222</v>
      </c>
      <c r="G29" s="2">
        <v>9927473</v>
      </c>
    </row>
    <row r="30" spans="1:7" ht="20.100000000000001" customHeight="1" x14ac:dyDescent="0.3">
      <c r="A30" s="5" t="s">
        <v>10</v>
      </c>
      <c r="B30" s="3" t="s">
        <v>13</v>
      </c>
      <c r="C30" s="2" t="s">
        <v>14</v>
      </c>
      <c r="D30" s="2">
        <v>833156</v>
      </c>
      <c r="E30" s="2">
        <v>3286</v>
      </c>
      <c r="F30" s="2">
        <v>1469</v>
      </c>
      <c r="G30" s="2">
        <v>12919</v>
      </c>
    </row>
    <row r="31" spans="1:7" ht="20.100000000000001" customHeight="1" x14ac:dyDescent="0.3">
      <c r="A31" s="5" t="s">
        <v>10</v>
      </c>
      <c r="B31" s="3" t="s">
        <v>15</v>
      </c>
      <c r="C31" s="2">
        <v>226620439</v>
      </c>
      <c r="D31" s="2">
        <v>88633390</v>
      </c>
      <c r="E31" s="2">
        <v>44184079</v>
      </c>
      <c r="F31" s="2">
        <v>29101509</v>
      </c>
      <c r="G31" s="2">
        <v>64701461</v>
      </c>
    </row>
    <row r="32" spans="1:7" ht="20.100000000000001" customHeight="1" x14ac:dyDescent="0.3">
      <c r="A32" s="5" t="s">
        <v>10</v>
      </c>
      <c r="B32" s="3" t="s">
        <v>16</v>
      </c>
      <c r="C32" s="2">
        <v>201231658</v>
      </c>
      <c r="D32" s="2">
        <v>78045664</v>
      </c>
      <c r="E32" s="2">
        <v>39572889</v>
      </c>
      <c r="F32" s="2">
        <v>25373878</v>
      </c>
      <c r="G32" s="2">
        <v>58239227</v>
      </c>
    </row>
    <row r="33" spans="1:7" ht="20.100000000000001" customHeight="1" x14ac:dyDescent="0.3">
      <c r="A33" s="5" t="s">
        <v>10</v>
      </c>
      <c r="B33" s="3" t="s">
        <v>17</v>
      </c>
      <c r="C33" s="2">
        <v>97258044</v>
      </c>
      <c r="D33" s="2">
        <v>46324001</v>
      </c>
      <c r="E33" s="2">
        <v>14291505</v>
      </c>
      <c r="F33" s="2">
        <v>11671403</v>
      </c>
      <c r="G33" s="2">
        <v>24971135</v>
      </c>
    </row>
    <row r="34" spans="1:7" ht="20.100000000000001" customHeight="1" x14ac:dyDescent="0.3">
      <c r="A34" s="6" t="s">
        <v>10</v>
      </c>
      <c r="B34" s="4" t="s">
        <v>18</v>
      </c>
      <c r="C34" s="2">
        <v>226426949</v>
      </c>
      <c r="D34" s="2">
        <v>77449840</v>
      </c>
      <c r="E34" s="2">
        <v>49658798</v>
      </c>
      <c r="F34" s="2">
        <v>45926350</v>
      </c>
      <c r="G34" s="2">
        <v>53391961</v>
      </c>
    </row>
  </sheetData>
  <mergeCells count="3">
    <mergeCell ref="A1:A2"/>
    <mergeCell ref="B1:B2"/>
    <mergeCell ref="C1:G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381A4-2D71-45FC-AE82-5DA06BBB0DD4}">
  <dimension ref="A1:E19"/>
  <sheetViews>
    <sheetView workbookViewId="0">
      <selection activeCell="C11" sqref="C11"/>
    </sheetView>
  </sheetViews>
  <sheetFormatPr defaultColWidth="20.625" defaultRowHeight="16.5" x14ac:dyDescent="0.3"/>
  <sheetData>
    <row r="1" spans="1:5" ht="20.100000000000001" customHeight="1" x14ac:dyDescent="0.3">
      <c r="A1" s="8" t="s">
        <v>34</v>
      </c>
      <c r="B1" s="8" t="s">
        <v>35</v>
      </c>
      <c r="C1" s="1" t="s">
        <v>8</v>
      </c>
      <c r="D1" s="1" t="s">
        <v>19</v>
      </c>
      <c r="E1" s="1" t="s">
        <v>20</v>
      </c>
    </row>
    <row r="2" spans="1:5" ht="20.100000000000001" customHeight="1" x14ac:dyDescent="0.3">
      <c r="A2" s="3" t="s">
        <v>36</v>
      </c>
      <c r="B2" s="3" t="s">
        <v>37</v>
      </c>
      <c r="C2" s="2">
        <v>29197761446</v>
      </c>
      <c r="D2" s="2">
        <v>34144137927</v>
      </c>
      <c r="E2" s="2">
        <v>36479707292</v>
      </c>
    </row>
    <row r="3" spans="1:5" ht="20.100000000000001" customHeight="1" x14ac:dyDescent="0.3">
      <c r="A3" s="5" t="s">
        <v>10</v>
      </c>
      <c r="B3" s="3" t="s">
        <v>38</v>
      </c>
      <c r="C3" s="30">
        <v>1122872106</v>
      </c>
      <c r="D3" s="2">
        <v>1170748511</v>
      </c>
      <c r="E3" s="2">
        <v>1362258852</v>
      </c>
    </row>
    <row r="4" spans="1:5" ht="20.100000000000001" customHeight="1" x14ac:dyDescent="0.3">
      <c r="A4" s="5" t="s">
        <v>10</v>
      </c>
      <c r="B4" s="3" t="s">
        <v>39</v>
      </c>
      <c r="C4" s="17">
        <v>2677581971</v>
      </c>
      <c r="D4" s="2">
        <v>2759947980</v>
      </c>
      <c r="E4" s="2">
        <v>3112596526</v>
      </c>
    </row>
    <row r="5" spans="1:5" ht="20.100000000000001" customHeight="1" x14ac:dyDescent="0.3">
      <c r="A5" s="5" t="s">
        <v>10</v>
      </c>
      <c r="B5" s="3" t="s">
        <v>40</v>
      </c>
      <c r="C5" s="32">
        <v>25361540491</v>
      </c>
      <c r="D5" s="2">
        <v>30168830445</v>
      </c>
      <c r="E5" s="2">
        <v>31954532164</v>
      </c>
    </row>
    <row r="6" spans="1:5" ht="20.100000000000001" customHeight="1" x14ac:dyDescent="0.3">
      <c r="A6" s="5" t="s">
        <v>10</v>
      </c>
      <c r="B6" s="3" t="s">
        <v>41</v>
      </c>
      <c r="C6" s="2">
        <v>10602840</v>
      </c>
      <c r="D6" s="2">
        <v>11464345</v>
      </c>
      <c r="E6" s="2">
        <v>13991454</v>
      </c>
    </row>
    <row r="7" spans="1:5" ht="20.100000000000001" customHeight="1" x14ac:dyDescent="0.3">
      <c r="A7" s="5" t="s">
        <v>10</v>
      </c>
      <c r="B7" s="3" t="s">
        <v>42</v>
      </c>
      <c r="C7" s="18">
        <v>25164038</v>
      </c>
      <c r="D7" s="2">
        <v>33146646</v>
      </c>
      <c r="E7" s="2">
        <v>36328296</v>
      </c>
    </row>
    <row r="8" spans="1:5" ht="20.100000000000001" customHeight="1" x14ac:dyDescent="0.3">
      <c r="A8" s="5" t="s">
        <v>10</v>
      </c>
      <c r="B8" s="3" t="s">
        <v>43</v>
      </c>
      <c r="C8" s="2">
        <v>408094908873</v>
      </c>
      <c r="D8" s="2">
        <v>445722187486</v>
      </c>
      <c r="E8" s="2">
        <v>483286662529</v>
      </c>
    </row>
    <row r="9" spans="1:5" ht="20.100000000000001" customHeight="1" x14ac:dyDescent="0.3">
      <c r="A9" s="5" t="s">
        <v>10</v>
      </c>
      <c r="B9" s="3" t="s">
        <v>44</v>
      </c>
      <c r="C9" s="30">
        <v>35942446897</v>
      </c>
      <c r="D9" s="2">
        <v>38434251499</v>
      </c>
      <c r="E9" s="2">
        <v>46417530593</v>
      </c>
    </row>
    <row r="10" spans="1:5" ht="20.100000000000001" customHeight="1" x14ac:dyDescent="0.3">
      <c r="A10" s="5" t="s">
        <v>10</v>
      </c>
      <c r="B10" s="3" t="s">
        <v>45</v>
      </c>
      <c r="C10" s="17">
        <v>31124738517</v>
      </c>
      <c r="D10" s="2">
        <v>31901021016</v>
      </c>
      <c r="E10" s="2">
        <v>36482000000</v>
      </c>
    </row>
    <row r="11" spans="1:5" ht="20.100000000000001" customHeight="1" x14ac:dyDescent="0.3">
      <c r="A11" s="5" t="s">
        <v>10</v>
      </c>
      <c r="B11" s="3" t="s">
        <v>46</v>
      </c>
      <c r="C11" s="32">
        <v>330991511549</v>
      </c>
      <c r="D11" s="2">
        <v>362395073453</v>
      </c>
      <c r="E11" s="2">
        <v>385788166100</v>
      </c>
    </row>
    <row r="12" spans="1:5" ht="20.100000000000001" customHeight="1" x14ac:dyDescent="0.3">
      <c r="A12" s="5" t="s">
        <v>10</v>
      </c>
      <c r="B12" s="3" t="s">
        <v>47</v>
      </c>
      <c r="C12" s="2">
        <v>547833019</v>
      </c>
      <c r="D12" s="2">
        <v>639353558</v>
      </c>
      <c r="E12" s="2">
        <v>911486671</v>
      </c>
    </row>
    <row r="13" spans="1:5" ht="20.100000000000001" customHeight="1" x14ac:dyDescent="0.3">
      <c r="A13" s="5" t="s">
        <v>10</v>
      </c>
      <c r="B13" s="3" t="s">
        <v>48</v>
      </c>
      <c r="C13" s="31">
        <v>9488378891</v>
      </c>
      <c r="D13" s="2">
        <v>12352487960</v>
      </c>
      <c r="E13" s="2">
        <v>13687479166</v>
      </c>
    </row>
    <row r="14" spans="1:5" ht="20.100000000000001" customHeight="1" x14ac:dyDescent="0.3">
      <c r="A14" s="3" t="s">
        <v>49</v>
      </c>
      <c r="B14" s="3" t="s">
        <v>41</v>
      </c>
      <c r="C14" s="2">
        <v>168812</v>
      </c>
      <c r="D14" s="2">
        <v>0</v>
      </c>
      <c r="E14" s="2">
        <v>0</v>
      </c>
    </row>
    <row r="15" spans="1:5" ht="20.100000000000001" customHeight="1" x14ac:dyDescent="0.3">
      <c r="A15" s="5" t="s">
        <v>10</v>
      </c>
      <c r="B15" s="3" t="s">
        <v>42</v>
      </c>
      <c r="C15" s="18">
        <v>14239922</v>
      </c>
      <c r="D15" s="2">
        <v>3209364</v>
      </c>
      <c r="E15" s="2">
        <v>19499920</v>
      </c>
    </row>
    <row r="16" spans="1:5" ht="20.100000000000001" customHeight="1" x14ac:dyDescent="0.3">
      <c r="A16" s="5" t="s">
        <v>10</v>
      </c>
      <c r="B16" s="3" t="s">
        <v>47</v>
      </c>
      <c r="C16" s="2" t="s">
        <v>50</v>
      </c>
      <c r="D16" s="2" t="s">
        <v>50</v>
      </c>
      <c r="E16" s="2">
        <v>0</v>
      </c>
    </row>
    <row r="17" spans="1:5" ht="20.100000000000001" customHeight="1" x14ac:dyDescent="0.3">
      <c r="A17" s="5" t="s">
        <v>10</v>
      </c>
      <c r="B17" s="3" t="s">
        <v>48</v>
      </c>
      <c r="C17" s="31">
        <v>52825973790</v>
      </c>
      <c r="D17" s="2">
        <v>19425504763</v>
      </c>
      <c r="E17" s="2">
        <v>93185602310</v>
      </c>
    </row>
    <row r="18" spans="1:5" ht="20.100000000000001" customHeight="1" x14ac:dyDescent="0.3">
      <c r="A18" s="5" t="s">
        <v>10</v>
      </c>
      <c r="B18" s="3" t="s">
        <v>51</v>
      </c>
      <c r="C18" s="2">
        <v>14408734</v>
      </c>
      <c r="D18" s="2">
        <v>3209364</v>
      </c>
      <c r="E18" s="2">
        <v>19499920</v>
      </c>
    </row>
    <row r="19" spans="1:5" ht="20.100000000000001" customHeight="1" x14ac:dyDescent="0.3">
      <c r="A19" s="6" t="s">
        <v>10</v>
      </c>
      <c r="B19" s="4" t="s">
        <v>52</v>
      </c>
      <c r="C19" s="2">
        <v>52825973790</v>
      </c>
      <c r="D19" s="2">
        <v>19425504763</v>
      </c>
      <c r="E19" s="2">
        <v>93185602310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8812D-CF2F-409C-854A-5291E4EF174D}">
  <dimension ref="A1:M18"/>
  <sheetViews>
    <sheetView workbookViewId="0"/>
  </sheetViews>
  <sheetFormatPr defaultColWidth="8.625" defaultRowHeight="12.75" x14ac:dyDescent="0.2"/>
  <cols>
    <col min="1" max="2" width="8.625" style="19"/>
    <col min="3" max="3" width="13.125" style="19" customWidth="1"/>
    <col min="4" max="4" width="12.375" style="19" customWidth="1"/>
    <col min="5" max="6" width="18.375" style="19" bestFit="1" customWidth="1"/>
    <col min="7" max="16384" width="8.625" style="19"/>
  </cols>
  <sheetData>
    <row r="1" spans="1:13" x14ac:dyDescent="0.2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19" t="s">
        <v>88</v>
      </c>
      <c r="G1" s="19" t="s">
        <v>89</v>
      </c>
      <c r="H1" s="19" t="s">
        <v>90</v>
      </c>
      <c r="I1" s="19" t="s">
        <v>91</v>
      </c>
      <c r="J1" s="19" t="s">
        <v>92</v>
      </c>
      <c r="K1" s="19" t="s">
        <v>93</v>
      </c>
      <c r="L1" s="19" t="s">
        <v>94</v>
      </c>
      <c r="M1" s="19" t="s">
        <v>95</v>
      </c>
    </row>
    <row r="2" spans="1:13" x14ac:dyDescent="0.2">
      <c r="A2" s="19" t="s">
        <v>96</v>
      </c>
      <c r="B2" s="20" t="s">
        <v>67</v>
      </c>
      <c r="C2" s="21">
        <v>1250</v>
      </c>
      <c r="D2" s="21">
        <v>1350</v>
      </c>
      <c r="E2" s="20">
        <v>1200</v>
      </c>
      <c r="F2" s="20">
        <v>1300</v>
      </c>
      <c r="G2" s="20">
        <v>3800</v>
      </c>
      <c r="H2" s="20">
        <v>7340</v>
      </c>
      <c r="I2" s="21">
        <v>6671</v>
      </c>
      <c r="J2" s="20">
        <v>669</v>
      </c>
      <c r="K2" s="21">
        <v>8280</v>
      </c>
      <c r="L2" s="20">
        <v>8000</v>
      </c>
      <c r="M2" s="20">
        <v>490</v>
      </c>
    </row>
    <row r="3" spans="1:13" x14ac:dyDescent="0.2">
      <c r="A3" s="19" t="s">
        <v>97</v>
      </c>
      <c r="B3" s="20" t="s">
        <v>71</v>
      </c>
      <c r="C3" s="21">
        <v>1250</v>
      </c>
      <c r="D3" s="22">
        <v>1400</v>
      </c>
      <c r="E3" s="20">
        <v>1250</v>
      </c>
      <c r="F3" s="20">
        <v>1400</v>
      </c>
      <c r="G3" s="21">
        <v>3300</v>
      </c>
      <c r="H3" s="21">
        <v>7246</v>
      </c>
      <c r="I3" s="21">
        <v>6671</v>
      </c>
      <c r="J3" s="21">
        <v>575</v>
      </c>
      <c r="K3" s="20">
        <v>11600</v>
      </c>
      <c r="L3" s="20">
        <v>7200</v>
      </c>
      <c r="M3" s="20">
        <v>740</v>
      </c>
    </row>
    <row r="4" spans="1:13" x14ac:dyDescent="0.2">
      <c r="A4" s="19" t="s">
        <v>98</v>
      </c>
      <c r="B4" s="20" t="s">
        <v>69</v>
      </c>
      <c r="C4" s="21">
        <v>1250</v>
      </c>
      <c r="D4" s="22">
        <v>1400</v>
      </c>
      <c r="E4" s="20">
        <v>1250</v>
      </c>
      <c r="F4" s="20">
        <v>1400</v>
      </c>
      <c r="G4" s="21">
        <v>3300</v>
      </c>
      <c r="H4" s="20">
        <v>7410</v>
      </c>
      <c r="I4" s="21">
        <v>6671</v>
      </c>
      <c r="J4" s="20">
        <v>739</v>
      </c>
      <c r="K4" s="20">
        <v>12060</v>
      </c>
      <c r="L4" s="20">
        <v>9800</v>
      </c>
      <c r="M4" s="20">
        <v>560</v>
      </c>
    </row>
    <row r="5" spans="1:13" x14ac:dyDescent="0.2">
      <c r="A5" s="19" t="s">
        <v>99</v>
      </c>
      <c r="B5" s="20" t="s">
        <v>72</v>
      </c>
      <c r="C5" s="21">
        <v>1250</v>
      </c>
      <c r="D5" s="22">
        <v>1400</v>
      </c>
      <c r="E5" s="20">
        <v>1250</v>
      </c>
      <c r="F5" s="20">
        <v>1400</v>
      </c>
      <c r="G5" s="21">
        <v>3300</v>
      </c>
      <c r="H5" s="20">
        <v>7359</v>
      </c>
      <c r="I5" s="21">
        <v>6671</v>
      </c>
      <c r="J5" s="20">
        <v>688</v>
      </c>
      <c r="K5" s="20">
        <v>10060</v>
      </c>
      <c r="L5" s="20">
        <v>7400</v>
      </c>
      <c r="M5" s="20">
        <v>660</v>
      </c>
    </row>
    <row r="6" spans="1:13" x14ac:dyDescent="0.2">
      <c r="A6" s="19" t="s">
        <v>100</v>
      </c>
      <c r="B6" s="20" t="s">
        <v>68</v>
      </c>
      <c r="C6" s="22">
        <v>1300</v>
      </c>
      <c r="D6" s="22">
        <v>1400</v>
      </c>
      <c r="E6" s="20">
        <v>1200</v>
      </c>
      <c r="F6" s="20">
        <v>1300</v>
      </c>
      <c r="G6" s="21">
        <v>3300</v>
      </c>
      <c r="H6" s="20">
        <v>7818</v>
      </c>
      <c r="I6" s="21">
        <v>6671</v>
      </c>
      <c r="J6" s="20">
        <v>1147</v>
      </c>
      <c r="K6" s="22">
        <v>16200</v>
      </c>
      <c r="L6" s="20">
        <v>10300</v>
      </c>
      <c r="M6" s="22">
        <v>792</v>
      </c>
    </row>
    <row r="7" spans="1:13" x14ac:dyDescent="0.2">
      <c r="A7" s="19" t="s">
        <v>101</v>
      </c>
      <c r="B7" s="20" t="s">
        <v>73</v>
      </c>
      <c r="C7" s="20" t="s">
        <v>50</v>
      </c>
      <c r="D7" s="20" t="s">
        <v>50</v>
      </c>
      <c r="E7" s="20">
        <v>1250</v>
      </c>
      <c r="F7" s="20">
        <v>1300</v>
      </c>
      <c r="G7" s="21">
        <v>3300</v>
      </c>
      <c r="H7" s="20">
        <v>8515</v>
      </c>
      <c r="I7" s="20">
        <v>7592</v>
      </c>
      <c r="J7" s="20">
        <v>923</v>
      </c>
      <c r="K7" s="20">
        <v>14250</v>
      </c>
      <c r="L7" s="22">
        <v>11000</v>
      </c>
      <c r="M7" s="20">
        <v>600</v>
      </c>
    </row>
    <row r="8" spans="1:13" x14ac:dyDescent="0.2">
      <c r="A8" s="19" t="s">
        <v>102</v>
      </c>
      <c r="B8" s="20" t="s">
        <v>70</v>
      </c>
      <c r="C8" s="21">
        <v>1250</v>
      </c>
      <c r="D8" s="21">
        <v>1350</v>
      </c>
      <c r="E8" s="20">
        <v>1250</v>
      </c>
      <c r="F8" s="20">
        <v>1270</v>
      </c>
      <c r="G8" s="20">
        <v>3610</v>
      </c>
      <c r="H8" s="20">
        <v>8371</v>
      </c>
      <c r="I8" s="20">
        <v>7592</v>
      </c>
      <c r="J8" s="20">
        <v>779</v>
      </c>
      <c r="K8" s="20">
        <v>10390</v>
      </c>
      <c r="L8" s="20">
        <v>8300</v>
      </c>
      <c r="M8" s="20">
        <v>646</v>
      </c>
    </row>
    <row r="9" spans="1:13" x14ac:dyDescent="0.2">
      <c r="A9" s="19" t="s">
        <v>103</v>
      </c>
      <c r="B9" s="20" t="s">
        <v>75</v>
      </c>
      <c r="C9" s="20" t="s">
        <v>50</v>
      </c>
      <c r="D9" s="20" t="s">
        <v>50</v>
      </c>
      <c r="E9" s="20">
        <v>1252</v>
      </c>
      <c r="F9" s="20">
        <v>1378</v>
      </c>
      <c r="G9" s="20">
        <v>3344</v>
      </c>
      <c r="H9" s="20">
        <v>8568</v>
      </c>
      <c r="I9" s="21">
        <v>6671</v>
      </c>
      <c r="J9" s="20">
        <v>1897</v>
      </c>
      <c r="K9" s="20">
        <v>12966</v>
      </c>
      <c r="L9" s="20">
        <v>6364</v>
      </c>
      <c r="M9" s="20">
        <v>408</v>
      </c>
    </row>
    <row r="10" spans="1:13" x14ac:dyDescent="0.2">
      <c r="A10" s="19" t="s">
        <v>104</v>
      </c>
      <c r="B10" s="20" t="s">
        <v>74</v>
      </c>
      <c r="C10" s="20" t="s">
        <v>50</v>
      </c>
      <c r="D10" s="20" t="s">
        <v>50</v>
      </c>
      <c r="E10" s="22">
        <v>1450</v>
      </c>
      <c r="F10" s="20">
        <v>1500</v>
      </c>
      <c r="G10" s="20">
        <v>3800</v>
      </c>
      <c r="H10" s="20">
        <v>7488</v>
      </c>
      <c r="I10" s="21">
        <v>6671</v>
      </c>
      <c r="J10" s="20">
        <v>817</v>
      </c>
      <c r="K10" s="20">
        <v>11616</v>
      </c>
      <c r="L10" s="20">
        <v>9102</v>
      </c>
      <c r="M10" s="20">
        <v>574</v>
      </c>
    </row>
    <row r="11" spans="1:13" x14ac:dyDescent="0.2">
      <c r="A11" s="19" t="s">
        <v>105</v>
      </c>
      <c r="B11" s="20" t="s">
        <v>81</v>
      </c>
      <c r="C11" s="20" t="s">
        <v>50</v>
      </c>
      <c r="D11" s="20" t="s">
        <v>50</v>
      </c>
      <c r="E11" s="20">
        <v>1264</v>
      </c>
      <c r="F11" s="20">
        <v>1350</v>
      </c>
      <c r="G11" s="22">
        <v>3906</v>
      </c>
      <c r="H11" s="20">
        <v>8119</v>
      </c>
      <c r="I11" s="21">
        <v>6671</v>
      </c>
      <c r="J11" s="20">
        <v>1448</v>
      </c>
      <c r="K11" s="20">
        <v>13701</v>
      </c>
      <c r="L11" s="20">
        <v>6374</v>
      </c>
      <c r="M11" s="20">
        <v>506</v>
      </c>
    </row>
    <row r="12" spans="1:13" x14ac:dyDescent="0.2">
      <c r="A12" s="19" t="s">
        <v>106</v>
      </c>
      <c r="B12" s="20" t="s">
        <v>80</v>
      </c>
      <c r="C12" s="20" t="s">
        <v>50</v>
      </c>
      <c r="D12" s="20" t="s">
        <v>50</v>
      </c>
      <c r="E12" s="20">
        <v>1192</v>
      </c>
      <c r="F12" s="20">
        <v>1270</v>
      </c>
      <c r="G12" s="21">
        <v>3300</v>
      </c>
      <c r="H12" s="20">
        <v>7985</v>
      </c>
      <c r="I12" s="21">
        <v>6671</v>
      </c>
      <c r="J12" s="20">
        <v>1314</v>
      </c>
      <c r="K12" s="20">
        <v>11995</v>
      </c>
      <c r="L12" s="21">
        <v>5027</v>
      </c>
      <c r="M12" s="21">
        <v>332</v>
      </c>
    </row>
    <row r="13" spans="1:13" x14ac:dyDescent="0.2">
      <c r="A13" s="19" t="s">
        <v>107</v>
      </c>
      <c r="B13" s="20" t="s">
        <v>79</v>
      </c>
      <c r="C13" s="20" t="s">
        <v>50</v>
      </c>
      <c r="D13" s="20" t="s">
        <v>50</v>
      </c>
      <c r="E13" s="20">
        <v>1100</v>
      </c>
      <c r="F13" s="21">
        <v>1134</v>
      </c>
      <c r="G13" s="20">
        <v>3636</v>
      </c>
      <c r="H13" s="20">
        <v>9150</v>
      </c>
      <c r="I13" s="20">
        <v>7592</v>
      </c>
      <c r="J13" s="20">
        <v>1558</v>
      </c>
      <c r="K13" s="20">
        <v>12473</v>
      </c>
      <c r="L13" s="20">
        <v>5183</v>
      </c>
      <c r="M13" s="21">
        <v>332</v>
      </c>
    </row>
    <row r="14" spans="1:13" x14ac:dyDescent="0.2">
      <c r="A14" s="19" t="s">
        <v>108</v>
      </c>
      <c r="B14" s="20" t="s">
        <v>78</v>
      </c>
      <c r="C14" s="20" t="s">
        <v>50</v>
      </c>
      <c r="D14" s="20" t="s">
        <v>50</v>
      </c>
      <c r="E14" s="21">
        <v>1082</v>
      </c>
      <c r="F14" s="20">
        <v>1154</v>
      </c>
      <c r="G14" s="20">
        <v>3700</v>
      </c>
      <c r="H14" s="20">
        <v>8117</v>
      </c>
      <c r="I14" s="20">
        <v>6901</v>
      </c>
      <c r="J14" s="20">
        <v>1216</v>
      </c>
      <c r="K14" s="20">
        <v>14907</v>
      </c>
      <c r="L14" s="20">
        <v>6508</v>
      </c>
      <c r="M14" s="20">
        <v>399</v>
      </c>
    </row>
    <row r="15" spans="1:13" x14ac:dyDescent="0.2">
      <c r="A15" s="19" t="s">
        <v>109</v>
      </c>
      <c r="B15" s="20" t="s">
        <v>77</v>
      </c>
      <c r="C15" s="20" t="s">
        <v>50</v>
      </c>
      <c r="D15" s="20" t="s">
        <v>50</v>
      </c>
      <c r="E15" s="20">
        <v>1423</v>
      </c>
      <c r="F15" s="22">
        <v>1527</v>
      </c>
      <c r="G15" s="20">
        <v>3313</v>
      </c>
      <c r="H15" s="20">
        <v>7313</v>
      </c>
      <c r="I15" s="21">
        <v>6671</v>
      </c>
      <c r="J15" s="20">
        <v>642</v>
      </c>
      <c r="K15" s="20">
        <v>14146</v>
      </c>
      <c r="L15" s="20">
        <v>6820</v>
      </c>
      <c r="M15" s="20">
        <v>386</v>
      </c>
    </row>
    <row r="16" spans="1:13" x14ac:dyDescent="0.2">
      <c r="A16" s="19" t="s">
        <v>110</v>
      </c>
      <c r="B16" s="20" t="s">
        <v>76</v>
      </c>
      <c r="C16" s="20" t="s">
        <v>50</v>
      </c>
      <c r="D16" s="20" t="s">
        <v>50</v>
      </c>
      <c r="E16" s="20">
        <v>1400</v>
      </c>
      <c r="F16" s="20">
        <v>1500</v>
      </c>
      <c r="G16" s="21">
        <v>3300</v>
      </c>
      <c r="H16" s="20">
        <v>7975</v>
      </c>
      <c r="I16" s="21">
        <v>6671</v>
      </c>
      <c r="J16" s="20">
        <v>1304</v>
      </c>
      <c r="K16" s="20">
        <v>13402</v>
      </c>
      <c r="L16" s="20">
        <v>7616</v>
      </c>
      <c r="M16" s="20">
        <v>336</v>
      </c>
    </row>
    <row r="17" spans="1:13" x14ac:dyDescent="0.2">
      <c r="A17" s="19" t="s">
        <v>111</v>
      </c>
      <c r="B17" s="20" t="s">
        <v>82</v>
      </c>
      <c r="C17" s="20" t="s">
        <v>50</v>
      </c>
      <c r="D17" s="20" t="s">
        <v>50</v>
      </c>
      <c r="E17" s="20">
        <v>1150</v>
      </c>
      <c r="F17" s="20">
        <v>1200</v>
      </c>
      <c r="G17" s="21">
        <v>3300</v>
      </c>
      <c r="H17" s="22">
        <v>10182</v>
      </c>
      <c r="I17" s="22">
        <v>7600</v>
      </c>
      <c r="J17" s="22">
        <v>2583</v>
      </c>
      <c r="K17" s="20">
        <v>8970</v>
      </c>
      <c r="L17" s="20">
        <v>7600</v>
      </c>
      <c r="M17" s="20">
        <v>700</v>
      </c>
    </row>
    <row r="18" spans="1:13" x14ac:dyDescent="0.2">
      <c r="D18" s="19">
        <f>AVERAGE(C2:D17)</f>
        <v>1320.8333333333333</v>
      </c>
      <c r="F18" s="19">
        <f>AVERAGE(E2:F17)</f>
        <v>1292.0625</v>
      </c>
    </row>
  </sheetData>
  <phoneticPr fontId="5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5C8B-CB9B-4F1A-AC5F-69AE227A9F6A}">
  <dimension ref="A2:E9"/>
  <sheetViews>
    <sheetView tabSelected="1" workbookViewId="0">
      <selection activeCell="E5" sqref="E5"/>
    </sheetView>
  </sheetViews>
  <sheetFormatPr defaultRowHeight="16.5" x14ac:dyDescent="0.3"/>
  <cols>
    <col min="1" max="1" width="14.25" customWidth="1"/>
    <col min="2" max="2" width="10.25" customWidth="1"/>
    <col min="3" max="3" width="14.625" customWidth="1"/>
    <col min="4" max="4" width="28.25" bestFit="1" customWidth="1"/>
    <col min="5" max="5" width="33.25" bestFit="1" customWidth="1"/>
  </cols>
  <sheetData>
    <row r="2" spans="1:5" x14ac:dyDescent="0.3">
      <c r="A2" s="10"/>
      <c r="B2" s="16" t="s">
        <v>118</v>
      </c>
      <c r="C2" s="16" t="s">
        <v>65</v>
      </c>
      <c r="D2" s="16" t="s">
        <v>66</v>
      </c>
      <c r="E2" s="16" t="s">
        <v>117</v>
      </c>
    </row>
    <row r="3" spans="1:5" x14ac:dyDescent="0.3">
      <c r="A3" s="10" t="s">
        <v>63</v>
      </c>
      <c r="B3" s="26">
        <f>공공요금!D18</f>
        <v>1320.8333333333333</v>
      </c>
      <c r="C3" s="27">
        <f>국내국제여객_수송수단별!C10/국내국제여객_수송수단별!C4</f>
        <v>11.624196328665823</v>
      </c>
      <c r="D3" s="26">
        <f>B3/C3</f>
        <v>113.62792712611841</v>
      </c>
      <c r="E3" s="25">
        <f>D3*$B$9/$B$8</f>
        <v>0.15495802749016813</v>
      </c>
    </row>
    <row r="4" spans="1:5" x14ac:dyDescent="0.3">
      <c r="A4" s="10" t="s">
        <v>27</v>
      </c>
      <c r="B4" s="26">
        <f>공공요금!F18</f>
        <v>1292.0625</v>
      </c>
      <c r="C4" s="27">
        <f>국내국제여객_수송수단별!C11/국내국제여객_수송수단별!C5</f>
        <v>13.050922977902635</v>
      </c>
      <c r="D4" s="26">
        <f>B4/C4</f>
        <v>99.00161867384206</v>
      </c>
      <c r="E4" s="25">
        <f t="shared" ref="E4:E5" si="0">D4*$B$9/$B$8</f>
        <v>0.13501166426282604</v>
      </c>
    </row>
    <row r="5" spans="1:5" x14ac:dyDescent="0.3">
      <c r="A5" t="s">
        <v>64</v>
      </c>
      <c r="B5" s="24">
        <f>'시도별 산업별 총괄'!F7/SUM(국내국제여객_수송수단별!C7,국내국제여객_수송수단별!C15)*1000000</f>
        <v>321748.0172043622</v>
      </c>
      <c r="C5" s="25">
        <f>SUM(국내국제여객_수송수단별!C13,국내국제여객_수송수단별!C17)/SUM(국내국제여객_수송수단별!C7,국내국제여객_수송수단별!C15)</f>
        <v>1581.4236102412042</v>
      </c>
      <c r="D5" s="24">
        <f>B5/C5</f>
        <v>203.4546690214699</v>
      </c>
      <c r="E5" s="25">
        <f t="shared" si="0"/>
        <v>0.2774576197296944</v>
      </c>
    </row>
    <row r="8" spans="1:5" x14ac:dyDescent="0.3">
      <c r="A8" t="s">
        <v>115</v>
      </c>
      <c r="B8">
        <v>1180.0999999999999</v>
      </c>
    </row>
    <row r="9" spans="1:5" x14ac:dyDescent="0.3">
      <c r="A9" t="s">
        <v>116</v>
      </c>
      <c r="B9">
        <v>1.60934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556D4-1829-4A5D-8E04-163A1BC3003C}">
  <sheetPr>
    <tabColor theme="4" tint="-0.249977111117893"/>
  </sheetPr>
  <dimension ref="A1:AF7"/>
  <sheetViews>
    <sheetView workbookViewId="0">
      <selection activeCell="G29" sqref="G29"/>
    </sheetView>
  </sheetViews>
  <sheetFormatPr defaultColWidth="8.625" defaultRowHeight="16.5" x14ac:dyDescent="0.3"/>
  <cols>
    <col min="1" max="1" width="19.25" style="13" customWidth="1"/>
    <col min="2" max="3" width="9.125" style="13" customWidth="1"/>
    <col min="4" max="16384" width="8.625" style="13"/>
  </cols>
  <sheetData>
    <row r="1" spans="1:32" x14ac:dyDescent="0.3">
      <c r="A1" s="13" t="s">
        <v>55</v>
      </c>
      <c r="B1" s="14">
        <v>2020</v>
      </c>
      <c r="C1" s="14">
        <v>2021</v>
      </c>
      <c r="D1" s="14">
        <v>2022</v>
      </c>
      <c r="E1" s="14">
        <v>2023</v>
      </c>
      <c r="F1" s="14">
        <v>2024</v>
      </c>
      <c r="G1" s="14">
        <v>2025</v>
      </c>
      <c r="H1" s="14">
        <v>2026</v>
      </c>
      <c r="I1" s="14">
        <v>2027</v>
      </c>
      <c r="J1" s="14">
        <v>2028</v>
      </c>
      <c r="K1" s="14">
        <v>2029</v>
      </c>
      <c r="L1" s="14">
        <v>2030</v>
      </c>
      <c r="M1" s="14">
        <v>2031</v>
      </c>
      <c r="N1" s="14">
        <v>2032</v>
      </c>
      <c r="O1" s="14">
        <v>2033</v>
      </c>
      <c r="P1" s="14">
        <v>2034</v>
      </c>
      <c r="Q1" s="14">
        <v>2035</v>
      </c>
      <c r="R1" s="14">
        <v>2036</v>
      </c>
      <c r="S1" s="14">
        <v>2037</v>
      </c>
      <c r="T1" s="14">
        <v>2038</v>
      </c>
      <c r="U1" s="14">
        <v>2039</v>
      </c>
      <c r="V1" s="14">
        <v>2040</v>
      </c>
      <c r="W1" s="14">
        <v>2041</v>
      </c>
      <c r="X1" s="14">
        <v>2042</v>
      </c>
      <c r="Y1" s="14">
        <v>2043</v>
      </c>
      <c r="Z1" s="14">
        <v>2044</v>
      </c>
      <c r="AA1" s="14">
        <v>2045</v>
      </c>
      <c r="AB1" s="14">
        <v>2046</v>
      </c>
      <c r="AC1" s="14">
        <v>2047</v>
      </c>
      <c r="AD1" s="14">
        <v>2048</v>
      </c>
      <c r="AE1" s="14">
        <v>2049</v>
      </c>
      <c r="AF1" s="14">
        <v>2050</v>
      </c>
    </row>
    <row r="2" spans="1:32" x14ac:dyDescent="0.3">
      <c r="A2" s="13" t="s">
        <v>56</v>
      </c>
      <c r="B2" s="13">
        <v>0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</row>
    <row r="3" spans="1:32" x14ac:dyDescent="0.3">
      <c r="A3" s="13" t="s">
        <v>57</v>
      </c>
      <c r="B3" s="15">
        <f>Calcs!E4</f>
        <v>0.13501166426282604</v>
      </c>
      <c r="C3" s="15">
        <f>B3</f>
        <v>0.13501166426282604</v>
      </c>
      <c r="D3" s="15">
        <f t="shared" ref="D3:AF3" si="0">C3</f>
        <v>0.13501166426282604</v>
      </c>
      <c r="E3" s="15">
        <f t="shared" si="0"/>
        <v>0.13501166426282604</v>
      </c>
      <c r="F3" s="15">
        <f t="shared" si="0"/>
        <v>0.13501166426282604</v>
      </c>
      <c r="G3" s="15">
        <f t="shared" si="0"/>
        <v>0.13501166426282604</v>
      </c>
      <c r="H3" s="15">
        <f t="shared" si="0"/>
        <v>0.13501166426282604</v>
      </c>
      <c r="I3" s="15">
        <f t="shared" si="0"/>
        <v>0.13501166426282604</v>
      </c>
      <c r="J3" s="15">
        <f t="shared" si="0"/>
        <v>0.13501166426282604</v>
      </c>
      <c r="K3" s="15">
        <f t="shared" si="0"/>
        <v>0.13501166426282604</v>
      </c>
      <c r="L3" s="15">
        <f t="shared" si="0"/>
        <v>0.13501166426282604</v>
      </c>
      <c r="M3" s="15">
        <f t="shared" si="0"/>
        <v>0.13501166426282604</v>
      </c>
      <c r="N3" s="15">
        <f t="shared" si="0"/>
        <v>0.13501166426282604</v>
      </c>
      <c r="O3" s="15">
        <f t="shared" si="0"/>
        <v>0.13501166426282604</v>
      </c>
      <c r="P3" s="15">
        <f t="shared" si="0"/>
        <v>0.13501166426282604</v>
      </c>
      <c r="Q3" s="15">
        <f t="shared" si="0"/>
        <v>0.13501166426282604</v>
      </c>
      <c r="R3" s="15">
        <f t="shared" si="0"/>
        <v>0.13501166426282604</v>
      </c>
      <c r="S3" s="15">
        <f t="shared" si="0"/>
        <v>0.13501166426282604</v>
      </c>
      <c r="T3" s="15">
        <f t="shared" si="0"/>
        <v>0.13501166426282604</v>
      </c>
      <c r="U3" s="15">
        <f t="shared" si="0"/>
        <v>0.13501166426282604</v>
      </c>
      <c r="V3" s="15">
        <f t="shared" si="0"/>
        <v>0.13501166426282604</v>
      </c>
      <c r="W3" s="15">
        <f t="shared" si="0"/>
        <v>0.13501166426282604</v>
      </c>
      <c r="X3" s="15">
        <f t="shared" si="0"/>
        <v>0.13501166426282604</v>
      </c>
      <c r="Y3" s="15">
        <f t="shared" si="0"/>
        <v>0.13501166426282604</v>
      </c>
      <c r="Z3" s="15">
        <f t="shared" si="0"/>
        <v>0.13501166426282604</v>
      </c>
      <c r="AA3" s="15">
        <f t="shared" si="0"/>
        <v>0.13501166426282604</v>
      </c>
      <c r="AB3" s="15">
        <f t="shared" si="0"/>
        <v>0.13501166426282604</v>
      </c>
      <c r="AC3" s="15">
        <f t="shared" si="0"/>
        <v>0.13501166426282604</v>
      </c>
      <c r="AD3" s="15">
        <f t="shared" si="0"/>
        <v>0.13501166426282604</v>
      </c>
      <c r="AE3" s="15">
        <f t="shared" si="0"/>
        <v>0.13501166426282604</v>
      </c>
      <c r="AF3" s="15">
        <f t="shared" si="0"/>
        <v>0.13501166426282604</v>
      </c>
    </row>
    <row r="4" spans="1:32" x14ac:dyDescent="0.3">
      <c r="A4" s="13" t="s">
        <v>58</v>
      </c>
      <c r="B4" s="15">
        <f>Calcs!E5</f>
        <v>0.2774576197296944</v>
      </c>
      <c r="C4" s="15">
        <f>B4</f>
        <v>0.2774576197296944</v>
      </c>
      <c r="D4" s="15">
        <f t="shared" ref="D4:AF4" si="1">C4</f>
        <v>0.2774576197296944</v>
      </c>
      <c r="E4" s="15">
        <f t="shared" si="1"/>
        <v>0.2774576197296944</v>
      </c>
      <c r="F4" s="15">
        <f t="shared" si="1"/>
        <v>0.2774576197296944</v>
      </c>
      <c r="G4" s="15">
        <f t="shared" si="1"/>
        <v>0.2774576197296944</v>
      </c>
      <c r="H4" s="15">
        <f t="shared" si="1"/>
        <v>0.2774576197296944</v>
      </c>
      <c r="I4" s="15">
        <f t="shared" si="1"/>
        <v>0.2774576197296944</v>
      </c>
      <c r="J4" s="15">
        <f t="shared" si="1"/>
        <v>0.2774576197296944</v>
      </c>
      <c r="K4" s="15">
        <f t="shared" si="1"/>
        <v>0.2774576197296944</v>
      </c>
      <c r="L4" s="15">
        <f t="shared" si="1"/>
        <v>0.2774576197296944</v>
      </c>
      <c r="M4" s="15">
        <f t="shared" si="1"/>
        <v>0.2774576197296944</v>
      </c>
      <c r="N4" s="15">
        <f t="shared" si="1"/>
        <v>0.2774576197296944</v>
      </c>
      <c r="O4" s="15">
        <f t="shared" si="1"/>
        <v>0.2774576197296944</v>
      </c>
      <c r="P4" s="15">
        <f t="shared" si="1"/>
        <v>0.2774576197296944</v>
      </c>
      <c r="Q4" s="15">
        <f t="shared" si="1"/>
        <v>0.2774576197296944</v>
      </c>
      <c r="R4" s="15">
        <f t="shared" si="1"/>
        <v>0.2774576197296944</v>
      </c>
      <c r="S4" s="15">
        <f t="shared" si="1"/>
        <v>0.2774576197296944</v>
      </c>
      <c r="T4" s="15">
        <f t="shared" si="1"/>
        <v>0.2774576197296944</v>
      </c>
      <c r="U4" s="15">
        <f t="shared" si="1"/>
        <v>0.2774576197296944</v>
      </c>
      <c r="V4" s="15">
        <f t="shared" si="1"/>
        <v>0.2774576197296944</v>
      </c>
      <c r="W4" s="15">
        <f t="shared" si="1"/>
        <v>0.2774576197296944</v>
      </c>
      <c r="X4" s="15">
        <f t="shared" si="1"/>
        <v>0.2774576197296944</v>
      </c>
      <c r="Y4" s="15">
        <f t="shared" si="1"/>
        <v>0.2774576197296944</v>
      </c>
      <c r="Z4" s="15">
        <f t="shared" si="1"/>
        <v>0.2774576197296944</v>
      </c>
      <c r="AA4" s="15">
        <f t="shared" si="1"/>
        <v>0.2774576197296944</v>
      </c>
      <c r="AB4" s="15">
        <f t="shared" si="1"/>
        <v>0.2774576197296944</v>
      </c>
      <c r="AC4" s="15">
        <f t="shared" si="1"/>
        <v>0.2774576197296944</v>
      </c>
      <c r="AD4" s="15">
        <f t="shared" si="1"/>
        <v>0.2774576197296944</v>
      </c>
      <c r="AE4" s="15">
        <f t="shared" si="1"/>
        <v>0.2774576197296944</v>
      </c>
      <c r="AF4" s="15">
        <f t="shared" si="1"/>
        <v>0.2774576197296944</v>
      </c>
    </row>
    <row r="5" spans="1:32" x14ac:dyDescent="0.3">
      <c r="A5" s="13" t="s">
        <v>59</v>
      </c>
      <c r="B5" s="15">
        <f>Calcs!E3</f>
        <v>0.15495802749016813</v>
      </c>
      <c r="C5" s="15">
        <f>B5</f>
        <v>0.15495802749016813</v>
      </c>
      <c r="D5" s="15">
        <f t="shared" ref="D5:AF5" si="2">C5</f>
        <v>0.15495802749016813</v>
      </c>
      <c r="E5" s="15">
        <f t="shared" si="2"/>
        <v>0.15495802749016813</v>
      </c>
      <c r="F5" s="15">
        <f t="shared" si="2"/>
        <v>0.15495802749016813</v>
      </c>
      <c r="G5" s="15">
        <f t="shared" si="2"/>
        <v>0.15495802749016813</v>
      </c>
      <c r="H5" s="15">
        <f t="shared" si="2"/>
        <v>0.15495802749016813</v>
      </c>
      <c r="I5" s="15">
        <f t="shared" si="2"/>
        <v>0.15495802749016813</v>
      </c>
      <c r="J5" s="15">
        <f t="shared" si="2"/>
        <v>0.15495802749016813</v>
      </c>
      <c r="K5" s="15">
        <f t="shared" si="2"/>
        <v>0.15495802749016813</v>
      </c>
      <c r="L5" s="15">
        <f t="shared" si="2"/>
        <v>0.15495802749016813</v>
      </c>
      <c r="M5" s="15">
        <f t="shared" si="2"/>
        <v>0.15495802749016813</v>
      </c>
      <c r="N5" s="15">
        <f t="shared" si="2"/>
        <v>0.15495802749016813</v>
      </c>
      <c r="O5" s="15">
        <f t="shared" si="2"/>
        <v>0.15495802749016813</v>
      </c>
      <c r="P5" s="15">
        <f t="shared" si="2"/>
        <v>0.15495802749016813</v>
      </c>
      <c r="Q5" s="15">
        <f t="shared" si="2"/>
        <v>0.15495802749016813</v>
      </c>
      <c r="R5" s="15">
        <f t="shared" si="2"/>
        <v>0.15495802749016813</v>
      </c>
      <c r="S5" s="15">
        <f t="shared" si="2"/>
        <v>0.15495802749016813</v>
      </c>
      <c r="T5" s="15">
        <f t="shared" si="2"/>
        <v>0.15495802749016813</v>
      </c>
      <c r="U5" s="15">
        <f t="shared" si="2"/>
        <v>0.15495802749016813</v>
      </c>
      <c r="V5" s="15">
        <f t="shared" si="2"/>
        <v>0.15495802749016813</v>
      </c>
      <c r="W5" s="15">
        <f t="shared" si="2"/>
        <v>0.15495802749016813</v>
      </c>
      <c r="X5" s="15">
        <f t="shared" si="2"/>
        <v>0.15495802749016813</v>
      </c>
      <c r="Y5" s="15">
        <f t="shared" si="2"/>
        <v>0.15495802749016813</v>
      </c>
      <c r="Z5" s="15">
        <f t="shared" si="2"/>
        <v>0.15495802749016813</v>
      </c>
      <c r="AA5" s="15">
        <f t="shared" si="2"/>
        <v>0.15495802749016813</v>
      </c>
      <c r="AB5" s="15">
        <f t="shared" si="2"/>
        <v>0.15495802749016813</v>
      </c>
      <c r="AC5" s="15">
        <f t="shared" si="2"/>
        <v>0.15495802749016813</v>
      </c>
      <c r="AD5" s="15">
        <f t="shared" si="2"/>
        <v>0.15495802749016813</v>
      </c>
      <c r="AE5" s="15">
        <f t="shared" si="2"/>
        <v>0.15495802749016813</v>
      </c>
      <c r="AF5" s="15">
        <f t="shared" si="2"/>
        <v>0.15495802749016813</v>
      </c>
    </row>
    <row r="6" spans="1:32" x14ac:dyDescent="0.3">
      <c r="A6" s="13" t="s">
        <v>60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</row>
    <row r="7" spans="1:32" x14ac:dyDescent="0.3">
      <c r="A7" s="13" t="s">
        <v>61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7B89D-13C1-4EBA-9BDC-85C143ABDFA0}">
  <sheetPr>
    <tabColor theme="4" tint="-0.249977111117893"/>
  </sheetPr>
  <dimension ref="A1:AF7"/>
  <sheetViews>
    <sheetView workbookViewId="0"/>
  </sheetViews>
  <sheetFormatPr defaultColWidth="8.625" defaultRowHeight="16.5" x14ac:dyDescent="0.3"/>
  <cols>
    <col min="1" max="1" width="19.25" style="13" customWidth="1"/>
    <col min="2" max="3" width="9.125" style="13" customWidth="1"/>
    <col min="4" max="16384" width="8.625" style="13"/>
  </cols>
  <sheetData>
    <row r="1" spans="1:32" x14ac:dyDescent="0.3">
      <c r="A1" s="13" t="s">
        <v>62</v>
      </c>
      <c r="B1" s="14">
        <v>2020</v>
      </c>
      <c r="C1" s="14">
        <v>2021</v>
      </c>
      <c r="D1" s="14">
        <v>2022</v>
      </c>
      <c r="E1" s="14">
        <v>2023</v>
      </c>
      <c r="F1" s="14">
        <v>2024</v>
      </c>
      <c r="G1" s="14">
        <v>2025</v>
      </c>
      <c r="H1" s="14">
        <v>2026</v>
      </c>
      <c r="I1" s="14">
        <v>2027</v>
      </c>
      <c r="J1" s="14">
        <v>2028</v>
      </c>
      <c r="K1" s="14">
        <v>2029</v>
      </c>
      <c r="L1" s="14">
        <v>2030</v>
      </c>
      <c r="M1" s="14">
        <v>2031</v>
      </c>
      <c r="N1" s="14">
        <v>2032</v>
      </c>
      <c r="O1" s="14">
        <v>2033</v>
      </c>
      <c r="P1" s="14">
        <v>2034</v>
      </c>
      <c r="Q1" s="14">
        <v>2035</v>
      </c>
      <c r="R1" s="14">
        <v>2036</v>
      </c>
      <c r="S1" s="14">
        <v>2037</v>
      </c>
      <c r="T1" s="14">
        <v>2038</v>
      </c>
      <c r="U1" s="14">
        <v>2039</v>
      </c>
      <c r="V1" s="14">
        <v>2040</v>
      </c>
      <c r="W1" s="14">
        <v>2041</v>
      </c>
      <c r="X1" s="14">
        <v>2042</v>
      </c>
      <c r="Y1" s="14">
        <v>2043</v>
      </c>
      <c r="Z1" s="14">
        <v>2044</v>
      </c>
      <c r="AA1" s="14">
        <v>2045</v>
      </c>
      <c r="AB1" s="14">
        <v>2046</v>
      </c>
      <c r="AC1" s="14">
        <v>2047</v>
      </c>
      <c r="AD1" s="14">
        <v>2048</v>
      </c>
      <c r="AE1" s="14">
        <v>2049</v>
      </c>
      <c r="AF1" s="14">
        <v>2050</v>
      </c>
    </row>
    <row r="2" spans="1:32" x14ac:dyDescent="0.3">
      <c r="A2" s="13" t="s">
        <v>56</v>
      </c>
      <c r="B2" s="13">
        <v>0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</row>
    <row r="3" spans="1:32" x14ac:dyDescent="0.3">
      <c r="A3" s="13" t="s">
        <v>57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</row>
    <row r="4" spans="1:32" x14ac:dyDescent="0.3">
      <c r="A4" s="13" t="s">
        <v>58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</row>
    <row r="5" spans="1:32" x14ac:dyDescent="0.3">
      <c r="A5" s="13" t="s">
        <v>59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</row>
    <row r="6" spans="1:32" x14ac:dyDescent="0.3">
      <c r="A6" s="13" t="s">
        <v>60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</row>
    <row r="7" spans="1:32" x14ac:dyDescent="0.3">
      <c r="A7" s="13" t="s">
        <v>61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About</vt:lpstr>
      <vt:lpstr>시도별 산업별 총괄</vt:lpstr>
      <vt:lpstr>국내국제여객_수송수단별</vt:lpstr>
      <vt:lpstr>공공요금</vt:lpstr>
      <vt:lpstr>Calcs</vt:lpstr>
      <vt:lpstr>FpUCD-passenger</vt:lpstr>
      <vt:lpstr>FpUCD-freight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공용계정2</cp:lastModifiedBy>
  <dcterms:created xsi:type="dcterms:W3CDTF">2025-11-20T09:41:36Z</dcterms:created>
  <dcterms:modified xsi:type="dcterms:W3CDTF">2025-11-21T05:24:09Z</dcterms:modified>
</cp:coreProperties>
</file>