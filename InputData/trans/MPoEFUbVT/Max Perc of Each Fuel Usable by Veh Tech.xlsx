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7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United States\US-eps\InputData\trans\MPoEFUbVT\"/>
    </mc:Choice>
  </mc:AlternateContent>
  <xr:revisionPtr revIDLastSave="0" documentId="13_ncr:1_{35587AEF-2951-48D6-9B27-58F0C542E9C5}" xr6:coauthVersionLast="47" xr6:coauthVersionMax="47" xr10:uidLastSave="{00000000-0000-0000-0000-000000000000}"/>
  <bookViews>
    <workbookView xWindow="15450" yWindow="1035" windowWidth="13140" windowHeight="16215" firstSheet="43" activeTab="43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50" l="1"/>
  <c r="Z11" i="50"/>
  <c r="AA11" i="50"/>
  <c r="AB11" i="50"/>
  <c r="AC11" i="50"/>
  <c r="AD11" i="50"/>
  <c r="AE11" i="50"/>
  <c r="AF11" i="50"/>
  <c r="AG11" i="50"/>
  <c r="AH11" i="50"/>
  <c r="AI11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X11" i="50"/>
  <c r="Y11" i="50"/>
  <c r="E7" i="116"/>
  <c r="D7" i="116"/>
  <c r="C7" i="116"/>
  <c r="B7" i="116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16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16"/>
  <c r="U7" i="104"/>
  <c r="U7" i="92"/>
  <c r="U6" i="91"/>
  <c r="U6" i="85"/>
  <c r="U6" i="97"/>
  <c r="M6" i="115"/>
  <c r="M6" i="103"/>
  <c r="M7" i="110"/>
  <c r="M6" i="109"/>
  <c r="M6" i="97"/>
  <c r="M7" i="116"/>
  <c r="M7" i="104"/>
  <c r="M7" i="92"/>
  <c r="M6" i="91"/>
  <c r="M6" i="85"/>
  <c r="M7" i="98"/>
  <c r="M7" i="86"/>
  <c r="P6" i="109"/>
  <c r="P6" i="97"/>
  <c r="P7" i="92"/>
  <c r="P6" i="91"/>
  <c r="P6" i="115"/>
  <c r="P7" i="116"/>
  <c r="P7" i="104"/>
  <c r="P6" i="85"/>
  <c r="P6" i="103"/>
  <c r="P7" i="110"/>
  <c r="P7" i="98"/>
  <c r="P7" i="86"/>
  <c r="W7" i="110"/>
  <c r="W7" i="98"/>
  <c r="W7" i="86"/>
  <c r="W7" i="11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16"/>
  <c r="T7" i="104"/>
  <c r="T7" i="92"/>
  <c r="T6" i="85"/>
  <c r="L6" i="91"/>
  <c r="L6" i="115"/>
  <c r="L6" i="103"/>
  <c r="L7" i="86"/>
  <c r="L6" i="97"/>
  <c r="L6" i="109"/>
  <c r="L7" i="110"/>
  <c r="L7" i="98"/>
  <c r="L7" i="116"/>
  <c r="L7" i="104"/>
  <c r="L7" i="92"/>
  <c r="L6" i="85"/>
  <c r="K7" i="116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16"/>
  <c r="R7" i="104"/>
  <c r="R7" i="92"/>
  <c r="R6" i="103"/>
  <c r="R6" i="115"/>
  <c r="R6" i="91"/>
  <c r="R6" i="109"/>
  <c r="R6" i="97"/>
  <c r="R7" i="86"/>
  <c r="R6" i="85"/>
  <c r="J7" i="116"/>
  <c r="J7" i="104"/>
  <c r="J7" i="92"/>
  <c r="J7" i="98"/>
  <c r="J7" i="86"/>
  <c r="J6" i="115"/>
  <c r="J6" i="91"/>
  <c r="J6" i="103"/>
  <c r="J6" i="109"/>
  <c r="J6" i="97"/>
  <c r="J7" i="110"/>
  <c r="J6" i="85"/>
  <c r="S7" i="116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16"/>
  <c r="Y7" i="104"/>
  <c r="Y7" i="110"/>
  <c r="Y7" i="98"/>
  <c r="Y7" i="86"/>
  <c r="Y7" i="92"/>
  <c r="Y6" i="85"/>
  <c r="Y6" i="115"/>
  <c r="Q6" i="109"/>
  <c r="Q6" i="97"/>
  <c r="Q7" i="116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16"/>
  <c r="I7" i="104"/>
  <c r="I6" i="103"/>
  <c r="H7" i="104"/>
  <c r="H6" i="109"/>
  <c r="H6" i="97"/>
  <c r="H7" i="116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16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116"/>
  <c r="O7" i="86"/>
  <c r="G7" i="110"/>
  <c r="G7" i="98"/>
  <c r="G6" i="97"/>
  <c r="G6" i="109"/>
  <c r="G6" i="85"/>
  <c r="G7" i="92"/>
  <c r="G7" i="116"/>
  <c r="G6" i="115"/>
  <c r="G6" i="103"/>
  <c r="G6" i="91"/>
  <c r="G7" i="104"/>
  <c r="G7" i="86"/>
  <c r="N7" i="11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116"/>
  <c r="F7" i="92"/>
  <c r="Z6" i="91" l="1"/>
  <c r="Z7" i="116"/>
  <c r="Z7" i="104"/>
  <c r="Z7" i="92"/>
  <c r="Z7" i="110"/>
  <c r="Z7" i="98"/>
  <c r="Z6" i="115"/>
  <c r="Z6" i="109"/>
  <c r="Z6" i="97"/>
  <c r="Z6" i="103"/>
  <c r="Z7" i="86"/>
  <c r="Z6" i="85"/>
  <c r="AA7" i="116" l="1"/>
  <c r="AA7" i="104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16"/>
  <c r="AB7" i="104"/>
  <c r="AB7" i="92"/>
  <c r="AB6" i="85"/>
  <c r="AB6" i="91"/>
  <c r="AB6" i="97"/>
  <c r="AC6" i="115" l="1"/>
  <c r="AC6" i="103"/>
  <c r="AC6" i="91"/>
  <c r="AC6" i="85"/>
  <c r="AC7" i="86"/>
  <c r="AC6" i="97"/>
  <c r="AC7" i="116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7" i="116"/>
  <c r="AD6" i="115"/>
  <c r="AD6" i="103"/>
  <c r="AD6" i="91"/>
  <c r="AD7" i="104"/>
  <c r="AE7" i="110" l="1"/>
  <c r="AE7" i="98"/>
  <c r="AE7" i="92"/>
  <c r="AE6" i="109"/>
  <c r="AE6" i="97"/>
  <c r="AE6" i="85"/>
  <c r="AE7" i="116"/>
  <c r="AE6" i="115"/>
  <c r="AE6" i="103"/>
  <c r="AE6" i="91"/>
  <c r="AE7" i="86"/>
  <c r="AE7" i="104"/>
  <c r="AF6" i="103" l="1"/>
  <c r="AF6" i="109"/>
  <c r="AF6" i="97"/>
  <c r="AF7" i="116"/>
  <c r="AF7" i="104"/>
  <c r="AF7" i="92"/>
  <c r="AF6" i="85"/>
  <c r="AF6" i="115"/>
  <c r="AF7" i="110"/>
  <c r="AF7" i="98"/>
  <c r="AF7" i="86"/>
  <c r="AF6" i="91"/>
  <c r="AG6" i="109" l="1"/>
  <c r="AG6" i="97"/>
  <c r="AG6" i="115"/>
  <c r="AG7" i="116"/>
  <c r="AG6" i="103"/>
  <c r="AG6" i="85"/>
  <c r="AG7" i="110"/>
  <c r="AG7" i="98"/>
  <c r="AG7" i="86"/>
  <c r="AG7" i="104"/>
  <c r="AG7" i="92"/>
  <c r="AG6" i="91"/>
  <c r="AH7" i="116" l="1"/>
  <c r="AH7" i="104"/>
  <c r="AH7" i="92"/>
  <c r="AH7" i="86"/>
  <c r="AH6" i="115"/>
  <c r="AH6" i="103"/>
  <c r="AH6" i="91"/>
  <c r="AH6" i="109"/>
  <c r="AH6" i="97"/>
  <c r="AH7" i="110"/>
  <c r="AH7" i="98"/>
  <c r="AH6" i="85"/>
  <c r="AI7" i="116" l="1"/>
  <c r="AI7" i="104"/>
  <c r="AI7" i="92"/>
  <c r="AI6" i="115"/>
  <c r="AI7" i="98"/>
  <c r="AI6" i="103"/>
  <c r="AI7" i="110"/>
  <c r="AI7" i="86"/>
  <c r="AI6" i="109"/>
  <c r="AI6" i="97"/>
  <c r="AI6" i="85"/>
  <c r="AI6" i="91"/>
</calcChain>
</file>

<file path=xl/sharedStrings.xml><?xml version="1.0" encoding="utf-8"?>
<sst xmlns="http://schemas.openxmlformats.org/spreadsheetml/2006/main" count="858" uniqueCount="76">
  <si>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</si>
  <si>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</si>
  <si>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</si>
  <si>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</si>
  <si>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</si>
  <si>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</si>
  <si>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</si>
  <si>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</si>
  <si>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</si>
  <si>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</si>
  <si>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</si>
  <si>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</si>
  <si>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</si>
  <si>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</si>
  <si>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</si>
  <si>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</si>
  <si>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</si>
  <si>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</si>
  <si>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</si>
  <si>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</si>
  <si>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</si>
  <si>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</si>
  <si>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</si>
  <si>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</si>
  <si>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</si>
  <si>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Note that the U.S. blend wall (allowable ethanol mix) today is 15% for new vehicles,</t>
  </si>
  <si>
    <t>Biofuel Gasoline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</si>
  <si>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</si>
  <si>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</si>
  <si>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</si>
  <si>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</si>
  <si>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</si>
  <si>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</si>
  <si>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</si>
  <si>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</si>
  <si>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</si>
  <si>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</si>
  <si>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</si>
  <si>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</si>
  <si>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</si>
  <si>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</si>
  <si>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</si>
  <si>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</si>
  <si>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</si>
  <si>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</si>
  <si>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</si>
  <si>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</si>
  <si>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</si>
  <si>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</si>
  <si>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</si>
  <si>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</si>
  <si>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</si>
  <si>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</si>
  <si>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</si>
  <si>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</si>
  <si>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</si>
  <si>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</si>
  <si>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</si>
  <si>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</si>
  <si>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ships, rail</t>
  </si>
  <si>
    <t>assumed to be the same as aircraft</t>
  </si>
  <si>
    <t>except for biofuel, where we use data from sources specified above.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</si>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</sst>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8"/>
    <xf numFmtId="0" fontId="0" fillId="0" borderId="0" xfId="0" applyFill="1"/>
    <xf numFmtId="1" fontId="0" fillId="0" borderId="0" xfId="0" applyNumberFormat="1"/>
    <xf numFmtId="0" fontId="0" fillId="0" borderId="0" xfId="0" applyFon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opLeftCell="A4" workbookViewId="0">
      <selection activeCell="B22" sqref="B22"/>
    </sheetView>
  </sheetViews>
  <sheetFormatPr defaultRowHeight="15" x14ac:dyDescent="0.25"/>
  <cols>
    <col min="2" max="2" width="69.28515625" customWidth="1"/>
  </cols>
  <sheetData>
    <row r="1" spans="1:12" x14ac:dyDescent="0.25">
      <c r="A1" s="1" t="s">
        <v>12</v>
      </c>
    </row>
    <row r="2" spans="1:12" x14ac:dyDescent="0.25">
      <c r="E2" s="6"/>
      <c r="F2" s="6"/>
      <c r="G2" s="6"/>
      <c r="H2" s="6"/>
      <c r="I2" s="6"/>
      <c r="J2" s="6"/>
      <c r="K2" s="6"/>
      <c r="L2" s="6"/>
    </row>
    <row r="3" spans="1:12" x14ac:dyDescent="0.25">
      <c r="A3" s="1" t="s">
        <v>0</v>
      </c>
      <c r="B3" s="2" t="s">
        <v>13</v>
      </c>
      <c r="E3" s="6"/>
      <c r="F3" s="6"/>
      <c r="G3" s="6"/>
      <c r="H3" s="6"/>
      <c r="I3" s="6"/>
      <c r="J3" s="6"/>
      <c r="K3" s="6"/>
      <c r="L3" s="6"/>
    </row>
    <row r="4" spans="1:12" x14ac:dyDescent="0.25">
      <c r="B4" t="s">
        <v>18</v>
      </c>
      <c r="E4" s="6"/>
      <c r="F4" s="6"/>
      <c r="G4" s="6"/>
      <c r="H4" s="6"/>
      <c r="I4" s="6"/>
      <c r="J4" s="6"/>
      <c r="K4" s="6"/>
      <c r="L4" s="6"/>
    </row>
    <row r="5" spans="1:12" x14ac:dyDescent="0.25">
      <c r="B5" s="3">
        <v>2017</v>
      </c>
      <c r="E5" s="6"/>
      <c r="F5" s="6"/>
      <c r="G5" s="6"/>
      <c r="H5" s="6"/>
      <c r="I5" s="6"/>
      <c r="J5" s="6"/>
      <c r="K5" s="6"/>
      <c r="L5" s="6"/>
    </row>
    <row r="6" spans="1:12" x14ac:dyDescent="0.25">
      <c r="B6" t="s">
        <v>19</v>
      </c>
      <c r="E6" s="6"/>
      <c r="F6" s="6"/>
      <c r="G6" s="6"/>
      <c r="H6" s="6"/>
      <c r="I6" s="6"/>
      <c r="J6" s="6"/>
      <c r="K6" s="6"/>
      <c r="L6" s="6"/>
    </row>
    <row r="7" spans="1:12" x14ac:dyDescent="0.25">
      <c r="B7" t="s">
        <v>20</v>
      </c>
      <c r="E7" s="6"/>
      <c r="F7" s="6"/>
      <c r="G7" s="6"/>
      <c r="H7" s="6"/>
      <c r="I7" s="6"/>
      <c r="J7" s="6"/>
      <c r="K7" s="6"/>
      <c r="L7" s="6"/>
    </row>
    <row r="8" spans="1:12" x14ac:dyDescent="0.25">
      <c r="B8" t="s">
        <v>21</v>
      </c>
      <c r="E8" s="6"/>
      <c r="F8" s="6"/>
      <c r="G8" s="6"/>
      <c r="H8" s="6"/>
      <c r="I8" s="6"/>
      <c r="J8" s="6"/>
      <c r="K8" s="6"/>
      <c r="L8" s="6"/>
    </row>
    <row r="9" spans="1:12" x14ac:dyDescent="0.25">
      <c r="E9" s="6"/>
      <c r="F9" s="6"/>
      <c r="G9" s="6"/>
      <c r="H9" s="6"/>
      <c r="I9" s="6"/>
      <c r="J9" s="6"/>
      <c r="K9" s="6"/>
      <c r="L9" s="6"/>
    </row>
    <row r="10" spans="1:12" x14ac:dyDescent="0.25">
      <c r="B10" s="2" t="s">
        <v>54</v>
      </c>
      <c r="E10" s="6"/>
      <c r="F10" s="6"/>
      <c r="G10" s="6"/>
      <c r="H10" s="6"/>
      <c r="I10" s="6"/>
      <c r="J10" s="6"/>
      <c r="K10" s="6"/>
      <c r="L10" s="6"/>
    </row>
    <row r="11" spans="1:12" x14ac:dyDescent="0.25">
      <c r="B11" t="s">
        <v>9</v>
      </c>
      <c r="E11" s="6"/>
      <c r="F11" s="6"/>
      <c r="G11" s="6"/>
      <c r="H11" s="6"/>
      <c r="I11" s="6"/>
      <c r="J11" s="6"/>
      <c r="K11" s="6"/>
      <c r="L11" s="6"/>
    </row>
    <row r="12" spans="1:12" x14ac:dyDescent="0.25">
      <c r="B12" s="3" t="s">
        <v>33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B13" t="s">
        <v>34</v>
      </c>
      <c r="E13" s="6"/>
      <c r="F13" s="6"/>
      <c r="G13" s="6"/>
      <c r="H13" s="6"/>
      <c r="I13" s="6"/>
      <c r="J13" s="6"/>
      <c r="K13" s="6"/>
      <c r="L13" s="6"/>
    </row>
    <row r="14" spans="1:12" x14ac:dyDescent="0.25">
      <c r="B14" t="s">
        <v>35</v>
      </c>
    </row>
    <row r="16" spans="1:12" x14ac:dyDescent="0.25">
      <c r="B16" s="2" t="s">
        <v>55</v>
      </c>
    </row>
    <row r="17" spans="1:2" x14ac:dyDescent="0.25">
      <c r="B17" t="s">
        <v>50</v>
      </c>
    </row>
    <row r="18" spans="1:2" x14ac:dyDescent="0.25">
      <c r="B18" s="10">
        <v>44317</v>
      </c>
    </row>
    <row r="19" spans="1:2" x14ac:dyDescent="0.25">
      <c r="B19" t="s">
        <v>74</v>
      </c>
    </row>
    <row r="20" spans="1:2" x14ac:dyDescent="0.25">
      <c r="B20" s="5" t="s">
        <v>73</v>
      </c>
    </row>
    <row r="21" spans="1:2" x14ac:dyDescent="0.25">
      <c r="B21" t="s">
        <v>75</v>
      </c>
    </row>
    <row r="23" spans="1:2" x14ac:dyDescent="0.25">
      <c r="B23" s="2" t="s">
        <v>56</v>
      </c>
    </row>
    <row r="24" spans="1:2" x14ac:dyDescent="0.25">
      <c r="B24" t="s">
        <v>52</v>
      </c>
    </row>
    <row r="25" spans="1:2" x14ac:dyDescent="0.25">
      <c r="B25" s="3">
        <v>2016</v>
      </c>
    </row>
    <row r="26" spans="1:2" x14ac:dyDescent="0.25">
      <c r="B26" s="5" t="s">
        <v>51</v>
      </c>
    </row>
    <row r="27" spans="1:2" x14ac:dyDescent="0.25">
      <c r="B27" t="s">
        <v>53</v>
      </c>
    </row>
    <row r="29" spans="1:2" x14ac:dyDescent="0.25">
      <c r="B29" s="2" t="s">
        <v>57</v>
      </c>
    </row>
    <row r="30" spans="1:2" x14ac:dyDescent="0.25">
      <c r="B30" t="s">
        <v>39</v>
      </c>
    </row>
    <row r="32" spans="1:2" x14ac:dyDescent="0.25">
      <c r="A32" s="1" t="s">
        <v>1</v>
      </c>
    </row>
    <row r="33" spans="1:1" x14ac:dyDescent="0.25">
      <c r="A33" s="8" t="s">
        <v>70</v>
      </c>
    </row>
    <row r="34" spans="1:1" x14ac:dyDescent="0.25">
      <c r="A34" s="1"/>
    </row>
    <row r="35" spans="1:1" x14ac:dyDescent="0.25">
      <c r="A35" t="s">
        <v>36</v>
      </c>
    </row>
    <row r="36" spans="1:1" x14ac:dyDescent="0.25">
      <c r="A36" t="s">
        <v>10</v>
      </c>
    </row>
    <row r="37" spans="1:1" x14ac:dyDescent="0.25">
      <c r="A37" t="s">
        <v>37</v>
      </c>
    </row>
    <row r="38" spans="1:1" x14ac:dyDescent="0.25">
      <c r="A38" t="s">
        <v>11</v>
      </c>
    </row>
    <row r="39" spans="1:1" x14ac:dyDescent="0.25">
      <c r="A39" t="s">
        <v>40</v>
      </c>
    </row>
    <row r="41" spans="1:1" x14ac:dyDescent="0.25">
      <c r="A41" s="1" t="s">
        <v>26</v>
      </c>
    </row>
    <row r="42" spans="1:1" x14ac:dyDescent="0.25">
      <c r="A42" t="s">
        <v>14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t="s">
        <v>17</v>
      </c>
    </row>
    <row r="47" spans="1:1" x14ac:dyDescent="0.25">
      <c r="A47" t="s">
        <v>25</v>
      </c>
    </row>
    <row r="48" spans="1:1" x14ac:dyDescent="0.25">
      <c r="A48" t="s">
        <v>22</v>
      </c>
    </row>
    <row r="49" spans="1:1" x14ac:dyDescent="0.25">
      <c r="A49" t="s">
        <v>23</v>
      </c>
    </row>
    <row r="50" spans="1:1" x14ac:dyDescent="0.25">
      <c r="A50" t="s">
        <v>24</v>
      </c>
    </row>
    <row r="52" spans="1:1" x14ac:dyDescent="0.25">
      <c r="A52" s="1" t="s">
        <v>27</v>
      </c>
    </row>
    <row r="53" spans="1:1" x14ac:dyDescent="0.25">
      <c r="A53" t="s">
        <v>28</v>
      </c>
    </row>
    <row r="54" spans="1:1" x14ac:dyDescent="0.25">
      <c r="A54" t="s">
        <v>29</v>
      </c>
    </row>
    <row r="55" spans="1:1" x14ac:dyDescent="0.25">
      <c r="A55" t="s">
        <v>30</v>
      </c>
    </row>
    <row r="56" spans="1:1" x14ac:dyDescent="0.25">
      <c r="A56" t="s">
        <v>31</v>
      </c>
    </row>
    <row r="57" spans="1:1" x14ac:dyDescent="0.25">
      <c r="A57" t="s">
        <v>32</v>
      </c>
    </row>
    <row r="59" spans="1:1" x14ac:dyDescent="0.25">
      <c r="A59" s="1" t="s">
        <v>42</v>
      </c>
    </row>
    <row r="60" spans="1:1" x14ac:dyDescent="0.25">
      <c r="A60" t="s">
        <v>43</v>
      </c>
    </row>
    <row r="61" spans="1:1" x14ac:dyDescent="0.25">
      <c r="A61" t="s">
        <v>45</v>
      </c>
    </row>
    <row r="62" spans="1:1" x14ac:dyDescent="0.25">
      <c r="A62" t="s">
        <v>44</v>
      </c>
    </row>
    <row r="63" spans="1:1" x14ac:dyDescent="0.25">
      <c r="A63" t="s">
        <v>46</v>
      </c>
    </row>
    <row r="64" spans="1:1" x14ac:dyDescent="0.25">
      <c r="A64" t="s">
        <v>47</v>
      </c>
    </row>
    <row r="66" spans="1:1" x14ac:dyDescent="0.25">
      <c r="A66" s="1" t="s">
        <v>38</v>
      </c>
    </row>
    <row r="67" spans="1:1" x14ac:dyDescent="0.25">
      <c r="A67" t="s">
        <v>41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2" spans="1:1" x14ac:dyDescent="0.25">
      <c r="A72" s="1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4"/>
  <sheetViews>
    <sheetView workbookViewId="0">
      <selection activeCell="A11" sqref="A11"/>
    </sheetView>
  </sheetViews>
  <sheetFormatPr defaultRowHeight="15" x14ac:dyDescent="0.25"/>
  <sheetData>
    <row r="1" spans="1:35" x14ac:dyDescent="0.25">
      <c r="A1" s="1" t="s">
        <v>49</v>
      </c>
    </row>
    <row r="2" spans="1:35" x14ac:dyDescent="0.25">
      <c r="A2">
        <v>0.15</v>
      </c>
      <c r="B2" t="s">
        <v>6</v>
      </c>
    </row>
    <row r="3" spans="1:35" x14ac:dyDescent="0.25">
      <c r="A3">
        <v>1</v>
      </c>
      <c r="B3" t="s">
        <v>8</v>
      </c>
    </row>
    <row r="5" spans="1:35" x14ac:dyDescent="0.25">
      <c r="A5" s="1" t="s">
        <v>48</v>
      </c>
    </row>
    <row r="6" spans="1:35" x14ac:dyDescent="0.25">
      <c r="A6">
        <v>2030</v>
      </c>
      <c r="B6">
        <v>2050</v>
      </c>
    </row>
    <row r="7" spans="1:35" x14ac:dyDescent="0.25">
      <c r="A7">
        <v>0.15</v>
      </c>
      <c r="B7">
        <v>0.45</v>
      </c>
    </row>
    <row r="9" spans="1:35" x14ac:dyDescent="0.25">
      <c r="A9" s="1" t="s">
        <v>58</v>
      </c>
    </row>
    <row r="10" spans="1:35" x14ac:dyDescent="0.25">
      <c r="A10">
        <v>2016</v>
      </c>
      <c r="B10">
        <v>2017</v>
      </c>
      <c r="C10">
        <v>2018</v>
      </c>
      <c r="D10">
        <v>2019</v>
      </c>
      <c r="E10">
        <v>2020</v>
      </c>
      <c r="F10">
        <v>2021</v>
      </c>
      <c r="G10">
        <v>2022</v>
      </c>
      <c r="H10">
        <v>2023</v>
      </c>
      <c r="I10">
        <v>2024</v>
      </c>
      <c r="J10">
        <v>2025</v>
      </c>
      <c r="K10">
        <v>2026</v>
      </c>
      <c r="L10">
        <v>2027</v>
      </c>
      <c r="M10">
        <v>2028</v>
      </c>
      <c r="N10">
        <v>2029</v>
      </c>
      <c r="O10">
        <v>2030</v>
      </c>
      <c r="P10">
        <v>2031</v>
      </c>
      <c r="Q10">
        <v>2032</v>
      </c>
      <c r="R10">
        <v>2033</v>
      </c>
      <c r="S10">
        <v>2034</v>
      </c>
      <c r="T10">
        <v>2035</v>
      </c>
      <c r="U10">
        <v>2036</v>
      </c>
      <c r="V10">
        <v>2037</v>
      </c>
      <c r="W10">
        <v>2038</v>
      </c>
      <c r="X10">
        <v>2039</v>
      </c>
      <c r="Y10">
        <v>2040</v>
      </c>
      <c r="Z10">
        <v>2041</v>
      </c>
      <c r="AA10">
        <v>2042</v>
      </c>
      <c r="AB10">
        <v>2043</v>
      </c>
      <c r="AC10">
        <v>2044</v>
      </c>
      <c r="AD10">
        <v>2045</v>
      </c>
      <c r="AE10">
        <v>2046</v>
      </c>
      <c r="AF10">
        <v>2047</v>
      </c>
      <c r="AG10">
        <v>2048</v>
      </c>
      <c r="AH10">
        <v>2049</v>
      </c>
      <c r="AI10">
        <v>2050</v>
      </c>
    </row>
    <row r="11" spans="1:35" x14ac:dyDescent="0.25">
      <c r="A11">
        <v>0</v>
      </c>
      <c r="B11">
        <v>0</v>
      </c>
      <c r="C11">
        <v>0</v>
      </c>
      <c r="D11">
        <v>0</v>
      </c>
      <c r="E11" s="7">
        <v>0</v>
      </c>
      <c r="F11" s="7">
        <v>0</v>
      </c>
      <c r="G11">
        <f t="shared" ref="G11:AI11" si="0">_xlfn.FORECAST.LINEAR(G10,$A$7:$B$7,$A$6:$B$6)</f>
        <v>3.0000000000001137E-2</v>
      </c>
      <c r="H11">
        <f t="shared" si="0"/>
        <v>4.5000000000001705E-2</v>
      </c>
      <c r="I11">
        <f t="shared" si="0"/>
        <v>6.0000000000002274E-2</v>
      </c>
      <c r="J11">
        <f t="shared" si="0"/>
        <v>7.5000000000002842E-2</v>
      </c>
      <c r="K11">
        <f t="shared" si="0"/>
        <v>9.0000000000003411E-2</v>
      </c>
      <c r="L11">
        <f t="shared" si="0"/>
        <v>0.10500000000000043</v>
      </c>
      <c r="M11">
        <f t="shared" si="0"/>
        <v>0.12000000000000099</v>
      </c>
      <c r="N11">
        <f t="shared" si="0"/>
        <v>0.13500000000000156</v>
      </c>
      <c r="O11">
        <f t="shared" si="0"/>
        <v>0.15000000000000213</v>
      </c>
      <c r="P11">
        <f t="shared" si="0"/>
        <v>0.1650000000000027</v>
      </c>
      <c r="Q11">
        <f t="shared" si="0"/>
        <v>0.18000000000000327</v>
      </c>
      <c r="R11">
        <f t="shared" si="0"/>
        <v>0.19500000000000028</v>
      </c>
      <c r="S11">
        <f t="shared" si="0"/>
        <v>0.21000000000000085</v>
      </c>
      <c r="T11">
        <f t="shared" si="0"/>
        <v>0.22500000000000142</v>
      </c>
      <c r="U11">
        <f t="shared" si="0"/>
        <v>0.24000000000000199</v>
      </c>
      <c r="V11">
        <f t="shared" si="0"/>
        <v>0.25500000000000256</v>
      </c>
      <c r="W11">
        <f t="shared" si="0"/>
        <v>0.27000000000000313</v>
      </c>
      <c r="X11">
        <f t="shared" si="0"/>
        <v>0.28500000000000014</v>
      </c>
      <c r="Y11">
        <f t="shared" si="0"/>
        <v>0.30000000000000071</v>
      </c>
      <c r="Z11">
        <f t="shared" si="0"/>
        <v>0.31500000000000128</v>
      </c>
      <c r="AA11">
        <f t="shared" si="0"/>
        <v>0.33000000000000185</v>
      </c>
      <c r="AB11">
        <f t="shared" si="0"/>
        <v>0.34500000000000242</v>
      </c>
      <c r="AC11">
        <f t="shared" si="0"/>
        <v>0.36000000000000298</v>
      </c>
      <c r="AD11">
        <f t="shared" si="0"/>
        <v>0.375</v>
      </c>
      <c r="AE11">
        <f t="shared" si="0"/>
        <v>0.39000000000000057</v>
      </c>
      <c r="AF11">
        <f t="shared" si="0"/>
        <v>0.40500000000000114</v>
      </c>
      <c r="AG11">
        <f t="shared" si="0"/>
        <v>0.42000000000000171</v>
      </c>
      <c r="AH11">
        <f t="shared" si="0"/>
        <v>0.43500000000000227</v>
      </c>
      <c r="AI11">
        <f t="shared" si="0"/>
        <v>0.45000000000000284</v>
      </c>
    </row>
    <row r="13" spans="1:35" x14ac:dyDescent="0.25">
      <c r="A13" s="1" t="s">
        <v>59</v>
      </c>
    </row>
    <row r="14" spans="1:35" x14ac:dyDescent="0.25">
      <c r="A14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defaultRowHeight="15" x14ac:dyDescent="0.25"/>
  <cols>
    <col min="1" max="1" width="23.285156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>max_biodsl</f>
        <v>1</v>
      </c>
      <c r="C7">
        <f>max_biodsl</f>
        <v>1</v>
      </c>
      <c r="D7">
        <f>max_biodsl</f>
        <v>1</v>
      </c>
      <c r="E7">
        <f>max_biodsl</f>
        <v>1</v>
      </c>
      <c r="F7">
        <f>max_biodsl</f>
        <v>1</v>
      </c>
      <c r="G7">
        <f>max_biodsl</f>
        <v>1</v>
      </c>
      <c r="H7">
        <f>max_biodsl</f>
        <v>1</v>
      </c>
      <c r="I7">
        <f>max_biodsl</f>
        <v>1</v>
      </c>
      <c r="J7">
        <f>max_biodsl</f>
        <v>1</v>
      </c>
      <c r="K7">
        <f>max_biodsl</f>
        <v>1</v>
      </c>
      <c r="L7">
        <f>max_biodsl</f>
        <v>1</v>
      </c>
      <c r="M7">
        <f>max_biodsl</f>
        <v>1</v>
      </c>
      <c r="N7">
        <f>max_biodsl</f>
        <v>1</v>
      </c>
      <c r="O7">
        <f>max_biodsl</f>
        <v>1</v>
      </c>
      <c r="P7">
        <f>max_biodsl</f>
        <v>1</v>
      </c>
      <c r="Q7">
        <f>max_biodsl</f>
        <v>1</v>
      </c>
      <c r="R7">
        <f>max_biodsl</f>
        <v>1</v>
      </c>
      <c r="S7">
        <f>max_biodsl</f>
        <v>1</v>
      </c>
      <c r="T7">
        <f>max_biodsl</f>
        <v>1</v>
      </c>
      <c r="U7">
        <f>max_biodsl</f>
        <v>1</v>
      </c>
      <c r="V7">
        <f>max_biodsl</f>
        <v>1</v>
      </c>
      <c r="W7">
        <f>max_biodsl</f>
        <v>1</v>
      </c>
      <c r="X7">
        <f>max_biodsl</f>
        <v>1</v>
      </c>
      <c r="Y7">
        <f>max_biodsl</f>
        <v>1</v>
      </c>
      <c r="Z7">
        <f>max_biodsl</f>
        <v>1</v>
      </c>
      <c r="AA7">
        <f>max_biodsl</f>
        <v>1</v>
      </c>
      <c r="AB7">
        <f>max_biodsl</f>
        <v>1</v>
      </c>
      <c r="AC7">
        <f>max_biodsl</f>
        <v>1</v>
      </c>
      <c r="AD7">
        <f>max_biodsl</f>
        <v>1</v>
      </c>
      <c r="AE7">
        <f>max_biodsl</f>
        <v>1</v>
      </c>
      <c r="AF7">
        <f>max_biodsl</f>
        <v>1</v>
      </c>
      <c r="AG7">
        <f>max_biodsl</f>
        <v>1</v>
      </c>
      <c r="AH7">
        <f>max_biodsl</f>
        <v>1</v>
      </c>
      <c r="AI7">
        <f>max_biodsl</f>
        <v>1</v>
      </c>
      <c r="AJ7">
        <f>max_biodsl</f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>max_biodsl</f>
        <v>1</v>
      </c>
      <c r="C7">
        <f>max_biodsl</f>
        <v>1</v>
      </c>
      <c r="D7">
        <f>max_biodsl</f>
        <v>1</v>
      </c>
      <c r="E7">
        <f>max_biodsl</f>
        <v>1</v>
      </c>
      <c r="F7">
        <f>max_biodsl</f>
        <v>1</v>
      </c>
      <c r="G7">
        <f>max_biodsl</f>
        <v>1</v>
      </c>
      <c r="H7">
        <f>max_biodsl</f>
        <v>1</v>
      </c>
      <c r="I7">
        <f>max_biodsl</f>
        <v>1</v>
      </c>
      <c r="J7">
        <f>max_biodsl</f>
        <v>1</v>
      </c>
      <c r="K7">
        <f>max_biodsl</f>
        <v>1</v>
      </c>
      <c r="L7">
        <f>max_biodsl</f>
        <v>1</v>
      </c>
      <c r="M7">
        <f>max_biodsl</f>
        <v>1</v>
      </c>
      <c r="N7">
        <f>max_biodsl</f>
        <v>1</v>
      </c>
      <c r="O7">
        <f>max_biodsl</f>
        <v>1</v>
      </c>
      <c r="P7">
        <f>max_biodsl</f>
        <v>1</v>
      </c>
      <c r="Q7">
        <f>max_biodsl</f>
        <v>1</v>
      </c>
      <c r="R7">
        <f>max_biodsl</f>
        <v>1</v>
      </c>
      <c r="S7">
        <f>max_biodsl</f>
        <v>1</v>
      </c>
      <c r="T7">
        <f>max_biodsl</f>
        <v>1</v>
      </c>
      <c r="U7">
        <f>max_biodsl</f>
        <v>1</v>
      </c>
      <c r="V7">
        <f>max_biodsl</f>
        <v>1</v>
      </c>
      <c r="W7">
        <f>max_biodsl</f>
        <v>1</v>
      </c>
      <c r="X7">
        <f>max_biodsl</f>
        <v>1</v>
      </c>
      <c r="Y7">
        <f>max_biodsl</f>
        <v>1</v>
      </c>
      <c r="Z7">
        <f>max_biodsl</f>
        <v>1</v>
      </c>
      <c r="AA7">
        <f>max_biodsl</f>
        <v>1</v>
      </c>
      <c r="AB7">
        <f>max_biodsl</f>
        <v>1</v>
      </c>
      <c r="AC7">
        <f>max_biodsl</f>
        <v>1</v>
      </c>
      <c r="AD7">
        <f>max_biodsl</f>
        <v>1</v>
      </c>
      <c r="AE7">
        <f>max_biodsl</f>
        <v>1</v>
      </c>
      <c r="AF7">
        <f>max_biodsl</f>
        <v>1</v>
      </c>
      <c r="AG7">
        <f>max_biodsl</f>
        <v>1</v>
      </c>
      <c r="AH7">
        <f>max_biodsl</f>
        <v>1</v>
      </c>
      <c r="AI7">
        <f>max_biodsl</f>
        <v>1</v>
      </c>
      <c r="AJ7">
        <f>max_biodsl</f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topLeftCell="S1" workbookViewId="0">
      <selection activeCell="AJ7" sqref="AJ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>max_biodsl</f>
        <v>1</v>
      </c>
      <c r="C7">
        <f>max_biodsl</f>
        <v>1</v>
      </c>
      <c r="D7">
        <f>max_biodsl</f>
        <v>1</v>
      </c>
      <c r="E7">
        <f>max_biodsl</f>
        <v>1</v>
      </c>
      <c r="F7">
        <f>max_biodsl</f>
        <v>1</v>
      </c>
      <c r="G7">
        <f>max_biodsl</f>
        <v>1</v>
      </c>
      <c r="H7">
        <f>max_biodsl</f>
        <v>1</v>
      </c>
      <c r="I7">
        <f>max_biodsl</f>
        <v>1</v>
      </c>
      <c r="J7">
        <f>max_biodsl</f>
        <v>1</v>
      </c>
      <c r="K7">
        <f>max_biodsl</f>
        <v>1</v>
      </c>
      <c r="L7">
        <f>max_biodsl</f>
        <v>1</v>
      </c>
      <c r="M7">
        <f>max_biodsl</f>
        <v>1</v>
      </c>
      <c r="N7">
        <f>max_biodsl</f>
        <v>1</v>
      </c>
      <c r="O7">
        <f>max_biodsl</f>
        <v>1</v>
      </c>
      <c r="P7">
        <f>max_biodsl</f>
        <v>1</v>
      </c>
      <c r="Q7">
        <f>max_biodsl</f>
        <v>1</v>
      </c>
      <c r="R7">
        <f>max_biodsl</f>
        <v>1</v>
      </c>
      <c r="S7">
        <f>max_biodsl</f>
        <v>1</v>
      </c>
      <c r="T7">
        <f>max_biodsl</f>
        <v>1</v>
      </c>
      <c r="U7">
        <f>max_biodsl</f>
        <v>1</v>
      </c>
      <c r="V7">
        <f>max_biodsl</f>
        <v>1</v>
      </c>
      <c r="W7">
        <f>max_biodsl</f>
        <v>1</v>
      </c>
      <c r="X7">
        <f>max_biodsl</f>
        <v>1</v>
      </c>
      <c r="Y7">
        <f>max_biodsl</f>
        <v>1</v>
      </c>
      <c r="Z7">
        <f>max_biodsl</f>
        <v>1</v>
      </c>
      <c r="AA7">
        <f>max_biodsl</f>
        <v>1</v>
      </c>
      <c r="AB7">
        <f>max_biodsl</f>
        <v>1</v>
      </c>
      <c r="AC7">
        <f>max_biodsl</f>
        <v>1</v>
      </c>
      <c r="AD7">
        <f>max_biodsl</f>
        <v>1</v>
      </c>
      <c r="AE7">
        <f>max_biodsl</f>
        <v>1</v>
      </c>
      <c r="AF7">
        <f>max_biodsl</f>
        <v>1</v>
      </c>
      <c r="AG7">
        <f>max_biodsl</f>
        <v>1</v>
      </c>
      <c r="AH7">
        <f>max_biodsl</f>
        <v>1</v>
      </c>
      <c r="AI7">
        <f>max_biodsl</f>
        <v>1</v>
      </c>
      <c r="AJ7">
        <f>max_biodsl</f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>max_biodsl</f>
        <v>1</v>
      </c>
      <c r="C7">
        <f>max_biodsl</f>
        <v>1</v>
      </c>
      <c r="D7">
        <f>max_biodsl</f>
        <v>1</v>
      </c>
      <c r="E7">
        <f>max_biodsl</f>
        <v>1</v>
      </c>
      <c r="F7">
        <f>max_biodsl</f>
        <v>1</v>
      </c>
      <c r="G7">
        <f>max_biodsl</f>
        <v>1</v>
      </c>
      <c r="H7">
        <f>max_biodsl</f>
        <v>1</v>
      </c>
      <c r="I7">
        <f>max_biodsl</f>
        <v>1</v>
      </c>
      <c r="J7">
        <f>max_biodsl</f>
        <v>1</v>
      </c>
      <c r="K7">
        <f>max_biodsl</f>
        <v>1</v>
      </c>
      <c r="L7">
        <f>max_biodsl</f>
        <v>1</v>
      </c>
      <c r="M7">
        <f>max_biodsl</f>
        <v>1</v>
      </c>
      <c r="N7">
        <f>max_biodsl</f>
        <v>1</v>
      </c>
      <c r="O7">
        <f>max_biodsl</f>
        <v>1</v>
      </c>
      <c r="P7">
        <f>max_biodsl</f>
        <v>1</v>
      </c>
      <c r="Q7">
        <f>max_biodsl</f>
        <v>1</v>
      </c>
      <c r="R7">
        <f>max_biodsl</f>
        <v>1</v>
      </c>
      <c r="S7">
        <f>max_biodsl</f>
        <v>1</v>
      </c>
      <c r="T7">
        <f>max_biodsl</f>
        <v>1</v>
      </c>
      <c r="U7">
        <f>max_biodsl</f>
        <v>1</v>
      </c>
      <c r="V7">
        <f>max_biodsl</f>
        <v>1</v>
      </c>
      <c r="W7">
        <f>max_biodsl</f>
        <v>1</v>
      </c>
      <c r="X7">
        <f>max_biodsl</f>
        <v>1</v>
      </c>
      <c r="Y7">
        <f>max_biodsl</f>
        <v>1</v>
      </c>
      <c r="Z7">
        <f>max_biodsl</f>
        <v>1</v>
      </c>
      <c r="AA7">
        <f>max_biodsl</f>
        <v>1</v>
      </c>
      <c r="AB7">
        <f>max_biodsl</f>
        <v>1</v>
      </c>
      <c r="AC7">
        <f>max_biodsl</f>
        <v>1</v>
      </c>
      <c r="AD7">
        <f>max_biodsl</f>
        <v>1</v>
      </c>
      <c r="AE7">
        <f>max_biodsl</f>
        <v>1</v>
      </c>
      <c r="AF7">
        <f>max_biodsl</f>
        <v>1</v>
      </c>
      <c r="AG7">
        <f>max_biodsl</f>
        <v>1</v>
      </c>
      <c r="AH7">
        <f>max_biodsl</f>
        <v>1</v>
      </c>
      <c r="AI7">
        <f>max_biodsl</f>
        <v>1</v>
      </c>
      <c r="AJ7">
        <f>max_biodsl</f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tabSelected="1"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Blends'!B$11</f>
        <v>0</v>
      </c>
      <c r="C6">
        <f>'Max Biofuel Blends'!C$11</f>
        <v>0</v>
      </c>
      <c r="D6">
        <f>'Max Biofuel Blends'!D$11</f>
        <v>0</v>
      </c>
      <c r="E6">
        <f>'Max Biofuel Blends'!E$11</f>
        <v>0</v>
      </c>
      <c r="F6">
        <f>'Max Biofuel Blends'!F$11</f>
        <v>0</v>
      </c>
      <c r="G6">
        <f>'Max Biofuel Blends'!G$11</f>
        <v>3.0000000000001137E-2</v>
      </c>
      <c r="H6">
        <f>'Max Biofuel Blends'!H$11</f>
        <v>4.5000000000001705E-2</v>
      </c>
      <c r="I6">
        <f>'Max Biofuel Blends'!I$11</f>
        <v>6.0000000000002274E-2</v>
      </c>
      <c r="J6">
        <f>'Max Biofuel Blends'!J$11</f>
        <v>7.5000000000002842E-2</v>
      </c>
      <c r="K6">
        <f>'Max Biofuel Blends'!K$11</f>
        <v>9.0000000000003411E-2</v>
      </c>
      <c r="L6">
        <f>'Max Biofuel Blends'!L$11</f>
        <v>0.10500000000000043</v>
      </c>
      <c r="M6">
        <f>'Max Biofuel Blends'!M$11</f>
        <v>0.12000000000000099</v>
      </c>
      <c r="N6">
        <f>'Max Biofuel Blends'!N$11</f>
        <v>0.13500000000000156</v>
      </c>
      <c r="O6">
        <f>'Max Biofuel Blends'!O$11</f>
        <v>0.15000000000000213</v>
      </c>
      <c r="P6">
        <f>'Max Biofuel Blends'!P$11</f>
        <v>0.1650000000000027</v>
      </c>
      <c r="Q6">
        <f>'Max Biofuel Blends'!Q$11</f>
        <v>0.18000000000000327</v>
      </c>
      <c r="R6">
        <f>'Max Biofuel Blends'!R$11</f>
        <v>0.19500000000000028</v>
      </c>
      <c r="S6">
        <f>'Max Biofuel Blends'!S$11</f>
        <v>0.21000000000000085</v>
      </c>
      <c r="T6">
        <f>'Max Biofuel Blends'!T$11</f>
        <v>0.22500000000000142</v>
      </c>
      <c r="U6">
        <f>'Max Biofuel Blends'!U$11</f>
        <v>0.24000000000000199</v>
      </c>
      <c r="V6">
        <f>'Max Biofuel Blends'!V$11</f>
        <v>0.25500000000000256</v>
      </c>
      <c r="W6">
        <f>'Max Biofuel Blends'!W$11</f>
        <v>0.27000000000000313</v>
      </c>
      <c r="X6">
        <f>'Max Biofuel Blends'!X$11</f>
        <v>0.28500000000000014</v>
      </c>
      <c r="Y6">
        <f>'Max Biofuel Blends'!Y$11</f>
        <v>0.30000000000000071</v>
      </c>
      <c r="Z6">
        <f>'Max Biofuel Blends'!Z$11</f>
        <v>0.31500000000000128</v>
      </c>
      <c r="AA6">
        <f>'Max Biofuel Blends'!AA$11</f>
        <v>0.33000000000000185</v>
      </c>
      <c r="AB6">
        <f>'Max Biofuel Blends'!AB$11</f>
        <v>0.34500000000000242</v>
      </c>
      <c r="AC6">
        <f>'Max Biofuel Blends'!AC$11</f>
        <v>0.36000000000000298</v>
      </c>
      <c r="AD6">
        <f>'Max Biofuel Blends'!AD$11</f>
        <v>0.375</v>
      </c>
      <c r="AE6">
        <f>'Max Biofuel Blends'!AE$11</f>
        <v>0.39000000000000057</v>
      </c>
      <c r="AF6">
        <f>'Max Biofuel Blends'!AF$11</f>
        <v>0.40500000000000114</v>
      </c>
      <c r="AG6">
        <f>'Max Biofuel Blends'!AG$11</f>
        <v>0.42000000000000171</v>
      </c>
      <c r="AH6">
        <f>'Max Biofuel Blends'!AH$11</f>
        <v>0.43500000000000227</v>
      </c>
      <c r="AI6">
        <f>'Max Biofuel Blends'!AI$11</f>
        <v>0.45000000000000284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Blends'!B$11</f>
        <v>0</v>
      </c>
      <c r="C7">
        <f>'Max Biofuel Blends'!C$11</f>
        <v>0</v>
      </c>
      <c r="D7">
        <f>'Max Biofuel Blends'!D$11</f>
        <v>0</v>
      </c>
      <c r="E7">
        <f>'Max Biofuel Blends'!E$11</f>
        <v>0</v>
      </c>
      <c r="F7">
        <f>'Max Biofuel Blends'!F$11</f>
        <v>0</v>
      </c>
      <c r="G7">
        <f>'Max Biofuel Blends'!G$11</f>
        <v>3.0000000000001137E-2</v>
      </c>
      <c r="H7">
        <f>'Max Biofuel Blends'!H$11</f>
        <v>4.5000000000001705E-2</v>
      </c>
      <c r="I7">
        <f>'Max Biofuel Blends'!I$11</f>
        <v>6.0000000000002274E-2</v>
      </c>
      <c r="J7">
        <f>'Max Biofuel Blends'!J$11</f>
        <v>7.5000000000002842E-2</v>
      </c>
      <c r="K7">
        <f>'Max Biofuel Blends'!K$11</f>
        <v>9.0000000000003411E-2</v>
      </c>
      <c r="L7">
        <f>'Max Biofuel Blends'!L$11</f>
        <v>0.10500000000000043</v>
      </c>
      <c r="M7">
        <f>'Max Biofuel Blends'!M$11</f>
        <v>0.12000000000000099</v>
      </c>
      <c r="N7">
        <f>'Max Biofuel Blends'!N$11</f>
        <v>0.13500000000000156</v>
      </c>
      <c r="O7">
        <f>'Max Biofuel Blends'!O$11</f>
        <v>0.15000000000000213</v>
      </c>
      <c r="P7">
        <f>'Max Biofuel Blends'!P$11</f>
        <v>0.1650000000000027</v>
      </c>
      <c r="Q7">
        <f>'Max Biofuel Blends'!Q$11</f>
        <v>0.18000000000000327</v>
      </c>
      <c r="R7">
        <f>'Max Biofuel Blends'!R$11</f>
        <v>0.19500000000000028</v>
      </c>
      <c r="S7">
        <f>'Max Biofuel Blends'!S$11</f>
        <v>0.21000000000000085</v>
      </c>
      <c r="T7">
        <f>'Max Biofuel Blends'!T$11</f>
        <v>0.22500000000000142</v>
      </c>
      <c r="U7">
        <f>'Max Biofuel Blends'!U$11</f>
        <v>0.24000000000000199</v>
      </c>
      <c r="V7">
        <f>'Max Biofuel Blends'!V$11</f>
        <v>0.25500000000000256</v>
      </c>
      <c r="W7">
        <f>'Max Biofuel Blends'!W$11</f>
        <v>0.27000000000000313</v>
      </c>
      <c r="X7">
        <f>'Max Biofuel Blends'!X$11</f>
        <v>0.28500000000000014</v>
      </c>
      <c r="Y7">
        <f>'Max Biofuel Blends'!Y$11</f>
        <v>0.30000000000000071</v>
      </c>
      <c r="Z7">
        <f>'Max Biofuel Blends'!Z$11</f>
        <v>0.31500000000000128</v>
      </c>
      <c r="AA7">
        <f>'Max Biofuel Blends'!AA$11</f>
        <v>0.33000000000000185</v>
      </c>
      <c r="AB7">
        <f>'Max Biofuel Blends'!AB$11</f>
        <v>0.34500000000000242</v>
      </c>
      <c r="AC7">
        <f>'Max Biofuel Blends'!AC$11</f>
        <v>0.36000000000000298</v>
      </c>
      <c r="AD7">
        <f>'Max Biofuel Blends'!AD$11</f>
        <v>0.375</v>
      </c>
      <c r="AE7">
        <f>'Max Biofuel Blends'!AE$11</f>
        <v>0.39000000000000057</v>
      </c>
      <c r="AF7">
        <f>'Max Biofuel Blends'!AF$11</f>
        <v>0.40500000000000114</v>
      </c>
      <c r="AG7">
        <f>'Max Biofuel Blends'!AG$11</f>
        <v>0.42000000000000171</v>
      </c>
      <c r="AH7">
        <f>'Max Biofuel Blends'!AH$11</f>
        <v>0.43500000000000227</v>
      </c>
      <c r="AI7">
        <f>'Max Biofuel Blends'!AI$11</f>
        <v>0.45000000000000284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9" t="s">
        <v>72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v>0.15</v>
      </c>
      <c r="C6" s="4">
        <v>0.15</v>
      </c>
      <c r="D6" s="4">
        <v>0.15</v>
      </c>
      <c r="E6" s="4">
        <v>0.15</v>
      </c>
      <c r="F6" s="4">
        <v>0.15</v>
      </c>
      <c r="G6" s="4">
        <v>0.15</v>
      </c>
      <c r="H6" s="4">
        <v>0.15</v>
      </c>
      <c r="I6" s="4">
        <v>0.15</v>
      </c>
      <c r="J6" s="4">
        <v>0.15</v>
      </c>
      <c r="K6" s="4">
        <v>0.15</v>
      </c>
      <c r="L6" s="4">
        <v>0.15</v>
      </c>
      <c r="M6" s="4">
        <v>0.15</v>
      </c>
      <c r="N6" s="4">
        <v>0.15</v>
      </c>
      <c r="O6" s="4">
        <v>0.15</v>
      </c>
      <c r="P6" s="4">
        <v>0.15</v>
      </c>
      <c r="Q6" s="4">
        <v>0.15</v>
      </c>
      <c r="R6" s="4">
        <v>0.15</v>
      </c>
      <c r="S6" s="4">
        <v>0.15</v>
      </c>
      <c r="T6" s="4">
        <v>0.15</v>
      </c>
      <c r="U6" s="4">
        <v>0.15</v>
      </c>
      <c r="V6" s="4">
        <v>0.15</v>
      </c>
      <c r="W6" s="4">
        <v>0.15</v>
      </c>
      <c r="X6" s="4">
        <v>0.15</v>
      </c>
      <c r="Y6" s="4">
        <v>0.15</v>
      </c>
      <c r="Z6" s="4">
        <v>0.15</v>
      </c>
      <c r="AA6" s="4">
        <v>0.15</v>
      </c>
      <c r="AB6" s="4">
        <v>0.15</v>
      </c>
      <c r="AC6" s="4">
        <v>0.15</v>
      </c>
      <c r="AD6" s="4">
        <v>0.15</v>
      </c>
      <c r="AE6" s="4">
        <v>0.15</v>
      </c>
      <c r="AF6" s="4">
        <v>0.15</v>
      </c>
      <c r="AG6" s="4">
        <v>0.15</v>
      </c>
      <c r="AH6" s="4">
        <v>0.15</v>
      </c>
      <c r="AI6" s="4">
        <v>0.15</v>
      </c>
      <c r="AJ6" s="4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v>0.15</v>
      </c>
      <c r="C6" s="4">
        <v>0.15</v>
      </c>
      <c r="D6" s="4">
        <v>0.15</v>
      </c>
      <c r="E6" s="4">
        <v>0.15</v>
      </c>
      <c r="F6" s="4">
        <v>0.15</v>
      </c>
      <c r="G6" s="4">
        <v>0.15</v>
      </c>
      <c r="H6" s="4">
        <v>0.15</v>
      </c>
      <c r="I6" s="4">
        <v>0.15</v>
      </c>
      <c r="J6" s="4">
        <v>0.15</v>
      </c>
      <c r="K6" s="4">
        <v>0.15</v>
      </c>
      <c r="L6" s="4">
        <v>0.15</v>
      </c>
      <c r="M6" s="4">
        <v>0.15</v>
      </c>
      <c r="N6" s="4">
        <v>0.15</v>
      </c>
      <c r="O6" s="4">
        <v>0.15</v>
      </c>
      <c r="P6" s="4">
        <v>0.15</v>
      </c>
      <c r="Q6" s="4">
        <v>0.15</v>
      </c>
      <c r="R6" s="4">
        <v>0.15</v>
      </c>
      <c r="S6" s="4">
        <v>0.15</v>
      </c>
      <c r="T6" s="4">
        <v>0.15</v>
      </c>
      <c r="U6" s="4">
        <v>0.15</v>
      </c>
      <c r="V6" s="4">
        <v>0.15</v>
      </c>
      <c r="W6" s="4">
        <v>0.15</v>
      </c>
      <c r="X6" s="4">
        <v>0.15</v>
      </c>
      <c r="Y6" s="4">
        <v>0.15</v>
      </c>
      <c r="Z6" s="4">
        <v>0.15</v>
      </c>
      <c r="AA6" s="4">
        <v>0.15</v>
      </c>
      <c r="AB6" s="4">
        <v>0.15</v>
      </c>
      <c r="AC6" s="4">
        <v>0.15</v>
      </c>
      <c r="AD6" s="4">
        <v>0.15</v>
      </c>
      <c r="AE6" s="4">
        <v>0.15</v>
      </c>
      <c r="AF6" s="4">
        <v>0.15</v>
      </c>
      <c r="AG6" s="4">
        <v>0.15</v>
      </c>
      <c r="AH6" s="4">
        <v>0.15</v>
      </c>
      <c r="AI6" s="4">
        <v>0.15</v>
      </c>
      <c r="AJ6" s="4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>max_biodsl</f>
        <v>1</v>
      </c>
      <c r="C7">
        <f>max_biodsl</f>
        <v>1</v>
      </c>
      <c r="D7">
        <f>max_biodsl</f>
        <v>1</v>
      </c>
      <c r="E7">
        <f>max_biodsl</f>
        <v>1</v>
      </c>
      <c r="F7">
        <f>max_biodsl</f>
        <v>1</v>
      </c>
      <c r="G7">
        <f>max_biodsl</f>
        <v>1</v>
      </c>
      <c r="H7">
        <f>max_biodsl</f>
        <v>1</v>
      </c>
      <c r="I7">
        <f>max_biodsl</f>
        <v>1</v>
      </c>
      <c r="J7">
        <f>max_biodsl</f>
        <v>1</v>
      </c>
      <c r="K7">
        <f>max_biodsl</f>
        <v>1</v>
      </c>
      <c r="L7">
        <f>max_biodsl</f>
        <v>1</v>
      </c>
      <c r="M7">
        <f>max_biodsl</f>
        <v>1</v>
      </c>
      <c r="N7">
        <f>max_biodsl</f>
        <v>1</v>
      </c>
      <c r="O7">
        <f>max_biodsl</f>
        <v>1</v>
      </c>
      <c r="P7">
        <f>max_biodsl</f>
        <v>1</v>
      </c>
      <c r="Q7">
        <f>max_biodsl</f>
        <v>1</v>
      </c>
      <c r="R7">
        <f>max_biodsl</f>
        <v>1</v>
      </c>
      <c r="S7">
        <f>max_biodsl</f>
        <v>1</v>
      </c>
      <c r="T7">
        <f>max_biodsl</f>
        <v>1</v>
      </c>
      <c r="U7">
        <f>max_biodsl</f>
        <v>1</v>
      </c>
      <c r="V7">
        <f>max_biodsl</f>
        <v>1</v>
      </c>
      <c r="W7">
        <f>max_biodsl</f>
        <v>1</v>
      </c>
      <c r="X7">
        <f>max_biodsl</f>
        <v>1</v>
      </c>
      <c r="Y7">
        <f>max_biodsl</f>
        <v>1</v>
      </c>
      <c r="Z7">
        <f>max_biodsl</f>
        <v>1</v>
      </c>
      <c r="AA7">
        <f>max_biodsl</f>
        <v>1</v>
      </c>
      <c r="AB7">
        <f>max_biodsl</f>
        <v>1</v>
      </c>
      <c r="AC7">
        <f>max_biodsl</f>
        <v>1</v>
      </c>
      <c r="AD7">
        <f>max_biodsl</f>
        <v>1</v>
      </c>
      <c r="AE7">
        <f>max_biodsl</f>
        <v>1</v>
      </c>
      <c r="AF7">
        <f>max_biodsl</f>
        <v>1</v>
      </c>
      <c r="AG7">
        <f>max_biodsl</f>
        <v>1</v>
      </c>
      <c r="AH7">
        <f>max_biodsl</f>
        <v>1</v>
      </c>
      <c r="AI7">
        <f>max_biodsl</f>
        <v>1</v>
      </c>
      <c r="AJ7">
        <f>max_biodsl</f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 s="4">
        <v>0.55000000000000004</v>
      </c>
      <c r="C2" s="4">
        <v>0.55000000000000004</v>
      </c>
      <c r="D2" s="4">
        <v>0.55000000000000004</v>
      </c>
      <c r="E2" s="4">
        <v>0.55000000000000004</v>
      </c>
      <c r="F2" s="4">
        <v>0.55000000000000004</v>
      </c>
      <c r="G2" s="4">
        <v>0.55000000000000004</v>
      </c>
      <c r="H2" s="4">
        <v>0.55000000000000004</v>
      </c>
      <c r="I2" s="4">
        <v>0.55000000000000004</v>
      </c>
      <c r="J2" s="4">
        <v>0.55000000000000004</v>
      </c>
      <c r="K2" s="4">
        <v>0.55000000000000004</v>
      </c>
      <c r="L2" s="4">
        <v>0.55000000000000004</v>
      </c>
      <c r="M2" s="4">
        <v>0.55000000000000004</v>
      </c>
      <c r="N2" s="4">
        <v>0.55000000000000004</v>
      </c>
      <c r="O2" s="4">
        <v>0.55000000000000004</v>
      </c>
      <c r="P2" s="4">
        <v>0.55000000000000004</v>
      </c>
      <c r="Q2" s="4">
        <v>0.55000000000000004</v>
      </c>
      <c r="R2" s="4">
        <v>0.55000000000000004</v>
      </c>
      <c r="S2" s="4">
        <v>0.55000000000000004</v>
      </c>
      <c r="T2" s="4">
        <v>0.55000000000000004</v>
      </c>
      <c r="U2" s="4">
        <v>0.55000000000000004</v>
      </c>
      <c r="V2" s="4">
        <v>0.55000000000000004</v>
      </c>
      <c r="W2" s="4">
        <v>0.55000000000000004</v>
      </c>
      <c r="X2" s="4">
        <v>0.55000000000000004</v>
      </c>
      <c r="Y2" s="4">
        <v>0.55000000000000004</v>
      </c>
      <c r="Z2" s="4">
        <v>0.55000000000000004</v>
      </c>
      <c r="AA2" s="4">
        <v>0.55000000000000004</v>
      </c>
      <c r="AB2" s="4">
        <v>0.55000000000000004</v>
      </c>
      <c r="AC2" s="4">
        <v>0.55000000000000004</v>
      </c>
      <c r="AD2" s="4">
        <v>0.55000000000000004</v>
      </c>
      <c r="AE2" s="4">
        <v>0.55000000000000004</v>
      </c>
      <c r="AF2" s="4">
        <v>0.55000000000000004</v>
      </c>
      <c r="AG2" s="4">
        <v>0.55000000000000004</v>
      </c>
      <c r="AH2" s="4">
        <v>0.55000000000000004</v>
      </c>
      <c r="AI2" s="4">
        <v>0.55000000000000004</v>
      </c>
      <c r="AJ2" s="4">
        <v>0.55000000000000004</v>
      </c>
    </row>
    <row r="3" spans="1:36" x14ac:dyDescent="0.25">
      <c r="A3" t="s">
        <v>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</row>
    <row r="4" spans="1:36" x14ac:dyDescent="0.25">
      <c r="A4" t="s">
        <v>4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</row>
    <row r="5" spans="1:36" x14ac:dyDescent="0.25">
      <c r="A5" t="s">
        <v>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</row>
    <row r="6" spans="1:36" x14ac:dyDescent="0.25">
      <c r="A6" t="s">
        <v>6</v>
      </c>
      <c r="B6" s="4">
        <f>max_biogas</f>
        <v>0.15</v>
      </c>
      <c r="C6" s="4">
        <f>max_biogas</f>
        <v>0.15</v>
      </c>
      <c r="D6" s="4">
        <f>max_biogas</f>
        <v>0.15</v>
      </c>
      <c r="E6" s="4">
        <f>max_biogas</f>
        <v>0.15</v>
      </c>
      <c r="F6" s="4">
        <f>max_biogas</f>
        <v>0.15</v>
      </c>
      <c r="G6" s="4">
        <f>max_biogas</f>
        <v>0.15</v>
      </c>
      <c r="H6" s="4">
        <f>max_biogas</f>
        <v>0.15</v>
      </c>
      <c r="I6" s="4">
        <f>max_biogas</f>
        <v>0.15</v>
      </c>
      <c r="J6" s="4">
        <f>max_biogas</f>
        <v>0.15</v>
      </c>
      <c r="K6" s="4">
        <f>max_biogas</f>
        <v>0.15</v>
      </c>
      <c r="L6" s="4">
        <f>max_biogas</f>
        <v>0.15</v>
      </c>
      <c r="M6" s="4">
        <f>max_biogas</f>
        <v>0.15</v>
      </c>
      <c r="N6" s="4">
        <f>max_biogas</f>
        <v>0.15</v>
      </c>
      <c r="O6" s="4">
        <f>max_biogas</f>
        <v>0.15</v>
      </c>
      <c r="P6" s="4">
        <f>max_biogas</f>
        <v>0.15</v>
      </c>
      <c r="Q6" s="4">
        <f>max_biogas</f>
        <v>0.15</v>
      </c>
      <c r="R6" s="4">
        <f>max_biogas</f>
        <v>0.15</v>
      </c>
      <c r="S6" s="4">
        <f>max_biogas</f>
        <v>0.15</v>
      </c>
      <c r="T6" s="4">
        <f>max_biogas</f>
        <v>0.15</v>
      </c>
      <c r="U6" s="4">
        <f>max_biogas</f>
        <v>0.15</v>
      </c>
      <c r="V6" s="4">
        <f>max_biogas</f>
        <v>0.15</v>
      </c>
      <c r="W6" s="4">
        <f>max_biogas</f>
        <v>0.15</v>
      </c>
      <c r="X6" s="4">
        <f>max_biogas</f>
        <v>0.15</v>
      </c>
      <c r="Y6" s="4">
        <f>max_biogas</f>
        <v>0.15</v>
      </c>
      <c r="Z6" s="4">
        <f>max_biogas</f>
        <v>0.15</v>
      </c>
      <c r="AA6" s="4">
        <f>max_biogas</f>
        <v>0.15</v>
      </c>
      <c r="AB6" s="4">
        <f>max_biogas</f>
        <v>0.15</v>
      </c>
      <c r="AC6" s="4">
        <f>max_biogas</f>
        <v>0.15</v>
      </c>
      <c r="AD6" s="4">
        <f>max_biogas</f>
        <v>0.15</v>
      </c>
      <c r="AE6" s="4">
        <f>max_biogas</f>
        <v>0.15</v>
      </c>
      <c r="AF6" s="4">
        <f>max_biogas</f>
        <v>0.15</v>
      </c>
      <c r="AG6" s="4">
        <f>max_biogas</f>
        <v>0.15</v>
      </c>
      <c r="AH6" s="4">
        <f>max_biogas</f>
        <v>0.15</v>
      </c>
      <c r="AI6" s="4">
        <f>max_biogas</f>
        <v>0.15</v>
      </c>
      <c r="AJ6" s="4">
        <f>max_biogas</f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9" t="s">
        <v>71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495BF6-69AC-4AA7-B9BC-C0197B7331A0}"/>
</file>

<file path=customXml/itemProps2.xml><?xml version="1.0" encoding="utf-8"?>
<ds:datastoreItem xmlns:ds="http://schemas.openxmlformats.org/officeDocument/2006/customXml" ds:itemID="{DADECA78-9081-454F-9789-7875E418A29B}"/>
</file>

<file path=customXml/itemProps3.xml><?xml version="1.0" encoding="utf-8"?>
<ds:datastoreItem xmlns:ds="http://schemas.openxmlformats.org/officeDocument/2006/customXml" ds:itemID="{173514CF-3CE4-4DE3-83AA-53DE44969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2021-06-29T16:48:45Z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