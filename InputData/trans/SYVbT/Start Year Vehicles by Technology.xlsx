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SYVbT\"/>
    </mc:Choice>
  </mc:AlternateContent>
  <xr:revisionPtr revIDLastSave="0" documentId="13_ncr:1_{D2699851-B8FA-4E1C-A705-E5011E565461}" xr6:coauthVersionLast="47" xr6:coauthVersionMax="47" xr10:uidLastSave="{00000000-0000-0000-0000-000000000000}"/>
  <bookViews>
    <workbookView xWindow="696" yWindow="372" windowWidth="15276" windowHeight="12672" firstSheet="1" activeTab="1" xr2:uid="{00000000-000D-0000-FFFF-FFFF00000000}"/>
  </bookViews>
  <sheets>
    <sheet name="About" sheetId="1" r:id="rId1"/>
    <sheet name="DV-per fuel" sheetId="16" r:id="rId2"/>
    <sheet name="DV-Regis" sheetId="23" r:id="rId3"/>
    <sheet name="DV" sheetId="27" r:id="rId4"/>
    <sheet name="Rail-subway" sheetId="29" r:id="rId5"/>
    <sheet name="Rail" sheetId="21" r:id="rId6"/>
    <sheet name="Aircraft" sheetId="19" r:id="rId7"/>
    <sheet name="Ships" sheetId="20" r:id="rId8"/>
    <sheet name="Motorbikes" sheetId="17" r:id="rId9"/>
    <sheet name="Cal" sheetId="22" r:id="rId10"/>
    <sheet name="SYVbT-passenger" sheetId="2" r:id="rId11"/>
    <sheet name="SYVbT-freight" sheetId="4" r:id="rId12"/>
  </sheets>
  <externalReferences>
    <externalReference r:id="rId13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fuel'!$W$276:$W$562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2" l="1"/>
  <c r="D29" i="17"/>
  <c r="D7" i="2" s="1"/>
  <c r="D28" i="17"/>
  <c r="E9" i="20"/>
  <c r="D9" i="20"/>
  <c r="C9" i="20"/>
  <c r="E6" i="2"/>
  <c r="D4" i="22" l="1"/>
  <c r="D8" i="22"/>
  <c r="C22" i="27" s="1"/>
  <c r="E28" i="29" l="1"/>
  <c r="C8" i="29"/>
  <c r="H27" i="29" l="1"/>
  <c r="I27" i="29" s="1"/>
  <c r="D27" i="29"/>
  <c r="H26" i="29"/>
  <c r="I26" i="29" s="1"/>
  <c r="D26" i="29"/>
  <c r="H25" i="29"/>
  <c r="I25" i="29" s="1"/>
  <c r="D25" i="29"/>
  <c r="H24" i="29"/>
  <c r="I24" i="29" s="1"/>
  <c r="D24" i="29"/>
  <c r="F23" i="29"/>
  <c r="H23" i="29" s="1"/>
  <c r="D23" i="29"/>
  <c r="F22" i="29"/>
  <c r="H22" i="29" s="1"/>
  <c r="I22" i="29" s="1"/>
  <c r="D22" i="29"/>
  <c r="F21" i="29"/>
  <c r="H21" i="29" s="1"/>
  <c r="D21" i="29"/>
  <c r="F20" i="29"/>
  <c r="H20" i="29" s="1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D6" i="29"/>
  <c r="H5" i="29"/>
  <c r="I5" i="29" s="1"/>
  <c r="H4" i="29"/>
  <c r="I4" i="29" s="1"/>
  <c r="D4" i="29"/>
  <c r="D28" i="29" l="1"/>
  <c r="I21" i="29"/>
  <c r="C29" i="29"/>
  <c r="I23" i="29"/>
  <c r="D42" i="21" l="1"/>
  <c r="D41" i="21"/>
  <c r="D40" i="21"/>
  <c r="D39" i="21"/>
  <c r="D37" i="21"/>
  <c r="D36" i="21"/>
  <c r="D35" i="21"/>
  <c r="D34" i="21"/>
  <c r="D33" i="21"/>
  <c r="D32" i="21"/>
  <c r="D31" i="21"/>
  <c r="D30" i="21"/>
  <c r="D29" i="21"/>
  <c r="B5" i="4" l="1"/>
  <c r="E5" i="2"/>
  <c r="E5" i="4"/>
  <c r="B5" i="2"/>
  <c r="G67" i="19"/>
  <c r="F67" i="19"/>
  <c r="G59" i="19"/>
  <c r="G60" i="19" s="1"/>
  <c r="F59" i="19"/>
  <c r="F41" i="19"/>
  <c r="F37" i="19"/>
  <c r="F34" i="19"/>
  <c r="F29" i="19"/>
  <c r="K20" i="19" s="1"/>
  <c r="E4" i="4" s="1"/>
  <c r="F25" i="19"/>
  <c r="K19" i="19"/>
  <c r="K18" i="19"/>
  <c r="F16" i="19"/>
  <c r="F12" i="19"/>
  <c r="K6" i="19"/>
  <c r="K4" i="19"/>
  <c r="K10" i="19" l="1"/>
  <c r="K17" i="19"/>
  <c r="G68" i="19"/>
  <c r="F50" i="19"/>
  <c r="F60" i="19" s="1"/>
  <c r="F68" i="19" s="1"/>
  <c r="K13" i="19"/>
  <c r="L10" i="19" s="1"/>
  <c r="K5" i="19"/>
  <c r="K21" i="19" l="1"/>
  <c r="E4" i="2"/>
  <c r="L11" i="19"/>
  <c r="L9" i="19"/>
  <c r="L12" i="19"/>
  <c r="K8" i="19"/>
  <c r="K14" i="19" l="1"/>
  <c r="L7" i="19"/>
  <c r="L6" i="19"/>
  <c r="L4" i="19"/>
  <c r="L5" i="19"/>
  <c r="G19" i="22" l="1"/>
  <c r="H21" i="22" l="1"/>
  <c r="H19" i="22"/>
  <c r="E6" i="4" s="1"/>
  <c r="H20" i="22"/>
  <c r="D6" i="4" l="1"/>
  <c r="D6" i="2"/>
  <c r="G6" i="4"/>
  <c r="G6" i="2"/>
  <c r="D20" i="22"/>
  <c r="D21" i="22"/>
  <c r="D22" i="22"/>
  <c r="D23" i="22"/>
  <c r="D19" i="2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D5" i="22" s="1"/>
  <c r="I4" i="22"/>
  <c r="H4" i="22"/>
  <c r="G4" i="22"/>
  <c r="F4" i="22"/>
  <c r="E4" i="22"/>
  <c r="C4" i="22"/>
  <c r="J5" i="22" l="1"/>
  <c r="J9" i="22"/>
  <c r="E5" i="22"/>
  <c r="C9" i="22"/>
  <c r="F5" i="22"/>
  <c r="E9" i="22"/>
  <c r="H5" i="22"/>
  <c r="F9" i="22"/>
  <c r="C5" i="22"/>
  <c r="I5" i="22"/>
  <c r="H9" i="22"/>
  <c r="C35" i="27" l="1"/>
  <c r="G3" i="4" s="1"/>
  <c r="C26" i="27"/>
  <c r="G2" i="4" s="1"/>
  <c r="C17" i="27"/>
  <c r="G3" i="2" s="1"/>
  <c r="C8" i="27"/>
  <c r="G2" i="2" s="1"/>
  <c r="C4" i="27"/>
  <c r="C2" i="2" s="1"/>
  <c r="C13" i="27"/>
  <c r="C3" i="2" s="1"/>
  <c r="C2" i="4"/>
  <c r="C3" i="4"/>
  <c r="C24" i="27"/>
  <c r="E2" i="4" s="1"/>
  <c r="C33" i="27"/>
  <c r="E3" i="4" s="1"/>
  <c r="C6" i="27"/>
  <c r="E2" i="2" s="1"/>
  <c r="C15" i="27"/>
  <c r="E3" i="2" s="1"/>
  <c r="C3" i="27"/>
  <c r="B2" i="2" s="1"/>
  <c r="C12" i="27"/>
  <c r="B3" i="2" s="1"/>
  <c r="C32" i="27"/>
  <c r="D3" i="4" s="1"/>
  <c r="C23" i="27"/>
  <c r="D2" i="4" s="1"/>
  <c r="C21" i="27"/>
  <c r="B2" i="4" s="1"/>
  <c r="C30" i="27"/>
  <c r="B3" i="4" s="1"/>
  <c r="C18" i="27"/>
  <c r="H3" i="2" s="1"/>
  <c r="C9" i="27"/>
  <c r="H2" i="2" s="1"/>
  <c r="C7" i="27"/>
  <c r="F2" i="2" s="1"/>
  <c r="C16" i="27"/>
  <c r="F3" i="2" s="1"/>
  <c r="C5" i="27"/>
  <c r="D2" i="2" s="1"/>
  <c r="C14" i="27"/>
  <c r="D3" i="2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03E2F49-F244-49BB-9EF8-1066C4F3451E}" name="121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<sst xmlns="http://schemas.openxmlformats.org/spreadsheetml/2006/main" count="2034" uniqueCount="1054">
  <si>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</si>
  <si>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</si>
  <si>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</si>
  <si>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</si>
  <si>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</si>
  <si>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</si>
  <si>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</si>
  <si>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</si>
  <si>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</si>
  <si>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</si>
  <si>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</si>
  <si>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</si>
  <si>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</si>
  <si>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</si>
  <si>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</si>
  <si>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</si>
  <si>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</si>
  <si>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</si>
  <si>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</si>
  <si>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</si>
  <si>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</si>
  <si>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</si>
  <si>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</si>
  <si>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</si>
  <si>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Pocket aviation status 2020</t>
    <phoneticPr fontId="37" type="noConversion"/>
  </si>
  <si>
    <t>https://www.airportal.go.kr/e-book/ecatalog5.jsp?Dir=38&amp;catimage=&amp;start=&amp;cate=&amp;callmode=normal&amp;eclang=ko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</si>
  <si>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</si>
  <si>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</si>
  <si>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</si>
  <si>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</si>
  <si>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</si>
  <si>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</si>
  <si>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</si>
  <si>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</si>
  <si>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</si>
  <si>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</si>
  <si>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</si>
  <si>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National transport statistics 2019</t>
    <phoneticPr fontId="37" type="noConversion"/>
  </si>
  <si>
    <t>https://www.ktdb.go.kr/www/selectPblcteWebList.do?key=39&amp;pageUnit=10&amp;pageIndex=1&amp;searchCnd=all</t>
    <phoneticPr fontId="37" type="noConversion"/>
  </si>
  <si>
    <t>Page 284, Oil consumption of the domestic transport sector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</si>
  <si>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</si>
  <si>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</si>
  <si>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</si>
  <si>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</si>
  <si>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</si>
  <si>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</si>
  <si>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</si>
  <si>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</si>
  <si>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</si>
  <si>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</si>
  <si>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</si>
  <si>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</si>
  <si>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</si>
  <si>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</si>
  <si>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</si>
  <si>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</si>
  <si>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</si>
  <si>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</si>
  <si>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</si>
  <si>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</si>
  <si>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</si>
  <si>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</si>
  <si>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</si>
  <si>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</si>
  <si>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</si>
  <si>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</si>
  <si>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</si>
  <si>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</si>
  <si>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</si>
  <si>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</si>
  <si>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</si>
  <si>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</si>
  <si>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</si>
  <si>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</si>
  <si>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</si>
  <si>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</si>
  <si>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</si>
  <si>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</si>
  <si>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</si>
  <si>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</si>
  <si>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</si>
  <si>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</si>
  <si>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</si>
  <si>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</si>
  <si>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</si>
  <si>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</si>
  <si>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</si>
  <si>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</si>
  <si>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</si>
  <si>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</si>
  <si>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</si>
  <si>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</si>
  <si>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</si>
  <si>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</si>
  <si>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</si>
  <si>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</si>
  <si>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</si>
  <si>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</si>
  <si>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</si>
  <si>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</si>
  <si>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</si>
  <si>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</si>
  <si>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</si>
  <si>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</si>
  <si>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</si>
  <si>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</si>
  <si>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</si>
  <si>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</si>
  <si>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</si>
  <si>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</si>
  <si>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</si>
  <si>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</si>
  <si>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</si>
  <si>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</si>
  <si>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</si>
  <si>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</si>
  <si>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</si>
  <si>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</si>
  <si>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</si>
  <si>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</si>
  <si>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</si>
  <si>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</si>
  <si>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</si>
  <si>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</si>
  <si>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</si>
  <si>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</si>
  <si>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</si>
  <si>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</si>
  <si>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</si>
  <si>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</si>
  <si>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</si>
  <si>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</si>
  <si>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</si>
  <si>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</si>
  <si>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</si>
  <si>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</si>
  <si>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</si>
  <si>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</si>
  <si>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</si>
  <si>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</si>
  <si>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</si>
  <si>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</si>
  <si>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</si>
  <si>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</si>
  <si>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</si>
  <si>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</si>
  <si>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</si>
  <si>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</si>
  <si>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</si>
  <si>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</si>
  <si>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</si>
  <si>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</si>
  <si>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</si>
  <si>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</si>
  <si>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</si>
  <si>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</si>
  <si>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</si>
  <si>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</si>
  <si>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</si>
  <si>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</si>
  <si>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</si>
  <si>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</si>
  <si>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</si>
  <si>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</si>
  <si>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</si>
  <si>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</si>
  <si>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</si>
  <si>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</si>
  <si>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</si>
  <si>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</si>
  <si>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</si>
  <si>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</si>
  <si>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</si>
  <si>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</si>
  <si>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</si>
  <si>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</si>
  <si>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</si>
  <si>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</si>
  <si>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</si>
  <si>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</si>
  <si>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</si>
  <si>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</si>
  <si>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</si>
  <si>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</si>
  <si>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</si>
  <si>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</si>
  <si>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</si>
  <si>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</si>
  <si>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</si>
  <si>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</si>
  <si>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</si>
  <si>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</si>
  <si>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</si>
  <si>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</si>
  <si>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</si>
  <si>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</si>
  <si>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</si>
  <si>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</si>
  <si>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</si>
  <si>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</si>
  <si>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</si>
  <si>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</si>
  <si>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</si>
  <si>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</si>
  <si>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</si>
  <si>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</si>
  <si>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</si>
  <si>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</si>
  <si>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</si>
  <si>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</si>
  <si>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</si>
  <si>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</si>
  <si>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</si>
  <si>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</si>
  <si>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</si>
  <si>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</si>
  <si>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</si>
  <si>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</si>
  <si>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</si>
  <si>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</si>
  <si>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</si>
  <si>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</si>
  <si>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</si>
  <si>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</si>
  <si>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</si>
  <si>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</si>
  <si>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</si>
  <si>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</si>
  <si>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</si>
  <si>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</si>
  <si>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</si>
  <si>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</si>
  <si>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</si>
  <si>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</si>
  <si>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</si>
  <si>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</si>
  <si>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</si>
  <si>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</si>
  <si>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</si>
  <si>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</si>
  <si>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</si>
  <si>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</si>
  <si>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</si>
  <si>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</si>
  <si>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</si>
  <si>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</si>
  <si>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</si>
  <si>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</si>
  <si>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</si>
  <si>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</si>
  <si>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</si>
  <si>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</si>
  <si>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</si>
  <si>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</si>
  <si>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</si>
  <si>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</si>
  <si>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</si>
  <si>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</si>
  <si>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</si>
  <si>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</si>
  <si>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</si>
  <si>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</si>
  <si>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</si>
  <si>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</si>
  <si>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</si>
  <si>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</si>
  <si>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</si>
  <si>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</si>
  <si>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</si>
  <si>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</si>
  <si>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</si>
  <si>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</si>
  <si>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</si>
  <si>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</si>
  <si>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</si>
  <si>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</si>
  <si>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</si>
  <si>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</si>
  <si>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</si>
  <si>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</si>
  <si>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</si>
  <si>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</si>
  <si>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</si>
  <si>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</si>
  <si>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</si>
  <si>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</si>
  <si>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</si>
  <si>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</si>
  <si>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</si>
  <si>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</si>
  <si>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</si>
  <si>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</si>
  <si>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</si>
  <si>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</si>
  <si>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</si>
  <si>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</si>
  <si>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10or6or4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</si>
  <si>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</si>
  <si>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</si>
  <si>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</si>
  <si>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</si>
  <si>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</si>
  <si>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</si>
  <si>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</si>
  <si>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</si>
  <si>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</si>
  <si>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</si>
  <si>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</si>
  <si>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</si>
  <si>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</si>
  <si>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</si>
  <si>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</si>
  <si>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</si>
  <si>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</si>
  <si>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</si>
  <si>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</si>
  <si>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</si>
  <si>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</si>
  <si>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</si>
  <si>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</si>
  <si>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</si>
  <si>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</si>
  <si>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</si>
  <si>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</si>
  <si>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</si>
  <si>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</si>
  <si>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</si>
  <si>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</si>
  <si>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</si>
  <si>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</si>
  <si>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</si>
  <si>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</si>
  <si>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</si>
  <si>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</si>
  <si>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</si>
  <si>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</si>
  <si>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</si>
  <si>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</si>
  <si>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</si>
  <si>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</si>
  <si>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</si>
  <si>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</si>
  <si>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</si>
  <si>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</si>
  <si>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</si>
  <si>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</si>
  <si>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</si>
  <si>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</si>
  <si>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</si>
  <si>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</si>
  <si>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</si>
  <si>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</si>
  <si>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</si>
  <si>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</si>
  <si>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</si>
  <si>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</si>
  <si>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</si>
  <si>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</si>
  <si>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</si>
  <si>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</si>
  <si>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</si>
  <si>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</si>
  <si>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</si>
  <si>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</si>
  <si>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</si>
  <si>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</si>
  <si>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열차보유 현황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</si>
  <si>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</si>
  <si>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</si>
  <si>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</si>
  <si>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</si>
  <si>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</si>
  <si>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</si>
  <si>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</si>
  <si>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</si>
  <si>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</si>
  <si>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</si>
  <si>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</si>
  <si>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</si>
  <si>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</si>
  <si>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</si>
  <si>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</si>
  <si>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</si>
  <si>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</si>
  <si>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</si>
  <si>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</si>
  <si>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</si>
  <si>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</si>
  <si>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37" type="noConversion"/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</si>
  <si>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</si>
  <si>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</si>
  <si>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</si>
  <si>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</si>
  <si>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</si>
  <si>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</si>
  <si>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</si>
  <si>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</si>
  <si>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</si>
  <si>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</si>
  <si>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2019 구분별 편성수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</si>
  <si>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</si>
  <si>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</si>
  <si>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</si>
  <si>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</si>
  <si>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</si>
  <si>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</si>
  <si>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</si>
  <si>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</si>
  <si>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</si>
  <si>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</si>
  <si>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</si>
  <si>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</si>
  <si>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</si>
  <si>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</si>
  <si>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</si>
  <si>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</si>
  <si>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</si>
  <si>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</si>
  <si>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KTX-산천의 사용량 = 2019년 기준 KTX 소계 - KTX 도입량 - 22</t>
    <phoneticPr fontId="37" type="noConversion"/>
  </si>
  <si>
    <t>SR 사에서 KTX-산천차량 22편성 대여하여 사용중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</si>
  <si>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</si>
  <si>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</si>
  <si>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</si>
  <si>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</si>
  <si>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</si>
  <si>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</si>
  <si>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</si>
  <si>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</si>
  <si>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</si>
  <si>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</si>
  <si>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</si>
  <si>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</si>
  <si>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</si>
  <si>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</si>
  <si>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</si>
  <si>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</si>
  <si>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</si>
  <si>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</si>
  <si>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</si>
  <si>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</si>
  <si>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</si>
  <si>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</si>
  <si>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</si>
  <si>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</si>
  <si>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</si>
  <si>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</si>
  <si>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</si>
  <si>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</si>
  <si>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</si>
  <si>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</si>
  <si>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</si>
  <si>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</si>
  <si>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</si>
  <si>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</si>
  <si>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</si>
  <si>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</si>
  <si>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</si>
  <si>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</si>
  <si>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</si>
  <si>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</si>
  <si>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</si>
  <si>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</si>
  <si>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</si>
  <si>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</si>
  <si>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</si>
  <si>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</si>
  <si>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</si>
  <si>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</si>
  <si>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</si>
  <si>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</si>
  <si>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</si>
  <si>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</si>
  <si>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</si>
  <si>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</si>
  <si>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</si>
  <si>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</si>
  <si>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</si>
  <si>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</si>
  <si>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</si>
  <si>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</si>
  <si>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</si>
  <si>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</si>
  <si>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써니항공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</si>
  <si>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</si>
  <si>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</si>
  <si>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</si>
  <si>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</si>
  <si>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</si>
  <si>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</si>
  <si>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</si>
  <si>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</si>
  <si>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</si>
  <si>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</si>
  <si>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</si>
  <si>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</si>
  <si>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</si>
  <si>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</si>
  <si>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</si>
  <si>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</si>
  <si>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</si>
  <si>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</si>
  <si>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</si>
  <si>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</si>
  <si>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</si>
  <si>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</si>
  <si>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</si>
  <si>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</si>
  <si>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</si>
  <si>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</si>
  <si>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</si>
  <si>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</si>
  <si>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</si>
  <si>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</si>
  <si>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</si>
  <si>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</si>
  <si>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</si>
  <si>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</si>
  <si>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</si>
  <si>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</si>
  <si>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</si>
  <si>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</si>
  <si>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</si>
  <si>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</si>
  <si>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</si>
  <si>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</si>
  <si>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</si>
  <si>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</si>
  <si>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</si>
  <si>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</si>
  <si>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</si>
  <si>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</si>
  <si>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</si>
  <si>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</si>
  <si>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</si>
  <si>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</si>
  <si>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</si>
  <si>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</si>
  <si>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</si>
  <si>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</si>
  <si>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</si>
  <si>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</si>
  <si>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</si>
  <si>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</si>
  <si>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</si>
  <si>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</si>
  <si>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</si>
  <si>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</si>
  <si>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</si>
  <si>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</si>
  <si>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</si>
  <si>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</si>
  <si>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</si>
  <si>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</si>
  <si>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</si>
  <si>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</si>
  <si>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</si>
  <si>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</si>
  <si>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</si>
  <si>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</si>
  <si>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</si>
  <si>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</si>
  <si>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</si>
  <si>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</si>
  <si>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</si>
  <si>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</si>
  <si>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</si>
  <si>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</si>
  <si>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</si>
  <si>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</si>
  <si>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</si>
  <si>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</si>
  <si>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</si>
  <si>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</si>
  <si>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</si>
  <si>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</si>
  <si>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</si>
  <si>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</si>
  <si>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</si>
  <si>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</si>
  <si>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</si>
  <si>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</si>
  <si>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</si>
  <si>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</si>
  <si>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</si>
  <si>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</si>
  <si>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</si>
  <si>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</si>
  <si>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</si>
  <si>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</si>
  <si>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</si>
  <si>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</si>
  <si>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</si>
  <si>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</si>
  <si>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</si>
  <si>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</si>
  <si>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</si>
  <si>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</si>
  <si>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</si>
  <si>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</si>
  <si>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</si>
  <si>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</si>
  <si>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</si>
  <si>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</si>
  <si>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</si>
  <si>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</si>
  <si>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</si>
  <si>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</si>
  <si>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</si>
  <si>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</si>
  <si>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</si>
  <si>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</si>
  <si>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</si>
  <si>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</si>
  <si>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</si>
  <si>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</si>
  <si>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</si>
  <si>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</si>
  <si>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</si>
  <si>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</si>
  <si>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</si>
  <si>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</si>
  <si>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</si>
  <si>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</si>
  <si>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</si>
  <si>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</si>
  <si>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</si>
  <si>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</si>
  <si>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</si>
  <si>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</si>
  <si>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</si>
  <si>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</si>
  <si>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</si>
  <si>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</si>
  <si>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</si>
  <si>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</si>
  <si>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</si>
  <si>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</si>
  <si>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</si>
  <si>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</si>
  <si>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</si>
  <si>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</si>
  <si>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</si>
  <si>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</si>
  <si>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</si>
  <si>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</si>
  <si>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</si>
  <si>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</si>
  <si>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</si>
  <si>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</si>
  <si>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</si>
  <si>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</si>
  <si>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</si>
  <si>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</si>
  <si>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</si>
  <si>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</si>
  <si>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</si>
  <si>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</si>
  <si>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</si>
  <si>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</si>
  <si>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</si>
  <si>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</si>
  <si>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</si>
  <si>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</si>
  <si>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</si>
  <si>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</si>
  <si>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</si>
  <si>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</si>
  <si>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</si>
  <si>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</si>
  <si>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</si>
  <si>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</si>
  <si>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</si>
  <si>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</si>
  <si>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</si>
  <si>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</si>
  <si>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</si>
  <si>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</si>
  <si>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</si>
  <si>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</si>
  <si>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</si>
  <si>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</si>
  <si>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</si>
  <si>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</si>
  <si>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</si>
  <si>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</si>
  <si>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</si>
  <si>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</si>
  <si>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</si>
  <si>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</si>
  <si>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</si>
  <si>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</si>
  <si>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</si>
  <si>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</si>
  <si>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</si>
  <si>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</si>
  <si>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</si>
  <si>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</si>
  <si>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</si>
  <si>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</si>
  <si>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</si>
  <si>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</si>
  <si>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</si>
  <si>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</si>
  <si>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</si>
  <si>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</si>
  <si>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</si>
  <si>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</si>
  <si>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</si>
  <si>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</si>
  <si>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</si>
  <si>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</si>
  <si>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</si>
  <si>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</si>
  <si>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</si>
  <si>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</si>
  <si>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</si>
  <si>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</si>
  <si>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</si>
  <si>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</si>
  <si>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</si>
  <si>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</si>
  <si>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</si>
  <si>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</si>
  <si>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</si>
  <si>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</si>
  <si>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</si>
  <si>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</si>
  <si>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</si>
  <si>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</si>
  <si>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</si>
  <si>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</si>
  <si>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</si>
  <si>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</si>
  <si>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</si>
  <si>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</si>
  <si>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</si>
  <si>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</si>
  <si>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</si>
  <si>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</si>
  <si>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</si>
  <si>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</si>
  <si>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</si>
  <si>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</si>
  <si>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</si>
  <si>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</si>
  <si>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</si>
  <si>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</si>
  <si>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</si>
  <si>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</si>
  <si>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</si>
  <si>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</si>
  <si>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</si>
  <si>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</si>
  <si>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</si>
  <si>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</si>
  <si>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</si>
  <si>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</si>
  <si>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</si>
  <si>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</si>
  <si>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</si>
  <si>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</si>
  <si>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</si>
  <si>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</si>
  <si>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</si>
  <si>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</si>
  <si>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</si>
  <si>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</si>
  <si>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</si>
  <si>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</si>
  <si>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</si>
  <si>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</si>
  <si>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</si>
  <si>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</si>
  <si>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</si>
  <si>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</si>
  <si>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</si>
  <si>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</si>
  <si>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</si>
  <si>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</si>
  <si>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</si>
  <si>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</si>
  <si>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</si>
  <si>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</si>
  <si>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</si>
  <si>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</si>
  <si>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</si>
  <si>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</si>
  <si>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</si>
  <si>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</si>
  <si>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</si>
  <si>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</si>
  <si>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</si>
  <si>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</si>
  <si>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</si>
  <si>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</si>
  <si>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</si>
  <si>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</si>
  <si>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</si>
  <si>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</si>
  <si>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</si>
  <si>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</si>
  <si>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</si>
  <si>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</si>
  <si>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</si>
  <si>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</si>
  <si>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</si>
  <si>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</si>
  <si>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</si>
  <si>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</si>
  <si>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</si>
  <si>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</si>
  <si>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</si>
  <si>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</si>
  <si>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</si>
  <si>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</si>
  <si>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</si>
  <si>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</si>
  <si>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</si>
  <si>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</si>
  <si>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</si>
  <si>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</si>
  <si>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</si>
  <si>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</si>
  <si>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</si>
  <si>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</si>
  <si>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</si>
  <si>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</si>
  <si>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</si>
  <si>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</si>
  <si>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</si>
  <si>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</si>
  <si>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</si>
  <si>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</si>
  <si>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</si>
  <si>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</si>
  <si>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</si>
  <si>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</si>
  <si>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</si>
  <si>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</si>
  <si>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</si>
  <si>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</si>
  <si>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</si>
  <si>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</si>
  <si>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</si>
  <si>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석유기반</t>
    <phoneticPr fontId="37" type="noConversion"/>
  </si>
  <si>
    <t>디젤</t>
    <phoneticPr fontId="37" type="noConversion"/>
  </si>
  <si>
    <t>가솔린</t>
    <phoneticPr fontId="37" type="noConversion"/>
  </si>
  <si>
    <t>중유</t>
    <phoneticPr fontId="37" type="noConversion"/>
  </si>
  <si>
    <t>LPG</t>
    <phoneticPr fontId="37" type="noConversion"/>
  </si>
  <si>
    <t>선박은 대부분 중유를 사용하지만, 결과 시트 구분상 중유가 없어 그와 정제온도가 비슷한 디젤로 가정했음</t>
    <phoneticPr fontId="37" type="noConversion"/>
  </si>
  <si>
    <t>기타연료도 디젤로 가정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</si>
  <si>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</si>
  <si>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</si>
  <si>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</si>
  <si>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</si>
  <si>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</si>
  <si>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</si>
  <si>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</si>
  <si>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</si>
  <si>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</si>
  <si>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</si>
  <si>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2020년 12월</t>
    <phoneticPr fontId="37" type="noConversion"/>
  </si>
  <si>
    <t>2019년 12월</t>
    <phoneticPr fontId="37" type="noConversion"/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</si>
  <si>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</si>
  <si>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</si>
  <si>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</si>
  <si>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</si>
  <si>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</si>
  <si>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</si>
  <si>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</si>
  <si>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</si>
  <si>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</si>
  <si>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</si>
  <si>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</si>
  <si>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</si>
  <si>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</si>
  <si>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</si>
  <si>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</si>
  <si>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</si>
  <si>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</si>
  <si>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</si>
  <si>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</si>
  <si>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</si>
  <si>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</si>
  <si>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</si>
  <si>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</si>
  <si>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</si>
  <si>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</si>
  <si>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</si>
  <si>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</si>
  <si>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</si>
  <si>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</si>
  <si>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</si>
  <si>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</si>
  <si>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</si>
  <si>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</si>
  <si>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</si>
  <si>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</si>
  <si>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</si>
  <si>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</si>
  <si>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</si>
  <si>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</si>
  <si>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</si>
  <si>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</si>
  <si>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</si>
  <si>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</si>
  <si>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</si>
  <si>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</si>
  <si>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</si>
  <si>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</si>
  <si>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</si>
  <si>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</si>
  <si>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</si>
  <si>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</si>
  <si>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</si>
  <si>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</si>
  <si>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</si>
  <si>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</si>
  <si>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</si>
  <si>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</si>
  <si>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</si>
  <si>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</si>
  <si>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</si>
  <si>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</si>
  <si>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</si>
  <si>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</si>
  <si>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</si>
  <si>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</si>
  <si>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</si>
  <si>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</si>
  <si>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</si>
  <si>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</si>
  <si>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</si>
  <si>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</si>
  <si>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</si>
  <si>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</si>
  <si>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</si>
  <si>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</si>
  <si>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</si>
  <si>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</si>
  <si>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</si>
  <si>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</si>
  <si>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</si>
  <si>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</si>
  <si>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</si>
  <si>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</si>
  <si>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</si>
  <si>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</si>
  <si>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</si>
  <si>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</si>
  <si>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</si>
  <si>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</si>
  <si>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</si>
  <si>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</si>
  <si>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</si>
  <si>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</si>
  <si>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</si>
  <si>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</si>
  <si>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</si>
  <si>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</si>
  <si>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</si>
  <si>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</si>
  <si>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</si>
  <si>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</si>
  <si>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</si>
  <si>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</si>
  <si>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</si>
  <si>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</si>
  <si>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</si>
  <si>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</si>
  <si>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</si>
  <si>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</si>
  <si>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</si>
  <si>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</si>
  <si>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</si>
  <si>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</si>
  <si>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</si>
  <si>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</si>
  <si>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</si>
  <si>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</si>
  <si>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</si>
  <si>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</si>
  <si>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</si>
  <si>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</si>
  <si>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</si>
  <si>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</si>
  <si>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</si>
  <si>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</si>
  <si>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</si>
  <si>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</si>
  <si>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</si>
  <si>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</si>
  <si>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</si>
  <si>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</si>
  <si>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</si>
  <si>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</si>
  <si>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</si>
  <si>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</si>
  <si>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</si>
  <si>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</si>
  <si>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</si>
  <si>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</si>
  <si>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</si>
  <si>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</si>
  <si>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</si>
  <si>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</si>
  <si>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</si>
  <si>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</si>
  <si>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</si>
  <si>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</si>
  <si>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</si>
  <si>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</si>
  <si>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</si>
  <si>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</si>
  <si>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</si>
  <si>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</si>
  <si>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</si>
  <si>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</si>
  <si>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</si>
  <si>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</si>
  <si>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</si>
  <si>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</si>
  <si>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Most ships use heavy oil, but since there is no heavy oil in the result sheet classification, diesel with a similar refining temperature was assumed.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</si>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</sst>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0_ "/>
    <numFmt numFmtId="169" formatCode="0_);[Red]\(0\)"/>
  </numFmts>
  <fonts count="8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theme="1"/>
      <name val="굴림"/>
      <family val="3"/>
      <charset val="129"/>
    </font>
    <font>
      <sz val="10"/>
      <color indexed="8"/>
      <name val="굴림"/>
      <family val="3"/>
      <charset val="129"/>
    </font>
  </fonts>
  <fills count="7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</borders>
  <cellStyleXfs count="376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5" fontId="17" fillId="0" borderId="6" applyNumberFormat="0" applyFill="0">
      <alignment horizontal="right"/>
    </xf>
    <xf numFmtId="166" fontId="18" fillId="0" borderId="6">
      <alignment horizontal="right" vertical="center"/>
    </xf>
    <xf numFmtId="49" fontId="19" fillId="0" borderId="6">
      <alignment horizontal="left" vertical="center"/>
    </xf>
    <xf numFmtId="165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5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</cellStyleXfs>
  <cellXfs count="187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7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7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8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/>
    </xf>
    <xf numFmtId="168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7" fontId="40" fillId="30" borderId="34" xfId="0" applyNumberFormat="1" applyFont="1" applyFill="1" applyBorder="1" applyAlignment="1">
      <alignment vertical="center"/>
    </xf>
    <xf numFmtId="167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68" fontId="0" fillId="30" borderId="0" xfId="0" applyNumberFormat="1" applyFill="1"/>
    <xf numFmtId="167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69" fontId="0" fillId="0" borderId="0" xfId="0" applyNumberFormat="1"/>
    <xf numFmtId="0" fontId="60" fillId="0" borderId="0" xfId="143" applyFont="1" applyAlignment="1">
      <alignment horizontal="left" vertical="center"/>
    </xf>
    <xf numFmtId="0" fontId="78" fillId="27" borderId="18" xfId="3757" applyFont="1" applyFill="1" applyBorder="1" applyAlignment="1">
      <alignment horizontal="center" vertical="center"/>
    </xf>
    <xf numFmtId="164" fontId="79" fillId="27" borderId="18" xfId="2876" applyFont="1" applyFill="1" applyBorder="1">
      <alignment vertical="center"/>
    </xf>
    <xf numFmtId="164" fontId="79" fillId="0" borderId="18" xfId="2876" applyFont="1" applyFill="1" applyBorder="1">
      <alignment vertical="center"/>
    </xf>
    <xf numFmtId="164" fontId="79" fillId="0" borderId="18" xfId="2876" applyFont="1" applyBorder="1">
      <alignment vertical="center"/>
    </xf>
    <xf numFmtId="49" fontId="53" fillId="0" borderId="0" xfId="0" applyNumberFormat="1" applyFont="1" applyAlignment="1">
      <alignment horizontal="left"/>
    </xf>
    <xf numFmtId="164" fontId="79" fillId="0" borderId="18" xfId="3763" applyFont="1" applyBorder="1">
      <alignment vertical="center"/>
    </xf>
    <xf numFmtId="0" fontId="79" fillId="0" borderId="18" xfId="3757" applyFont="1" applyBorder="1">
      <alignment vertical="center"/>
    </xf>
    <xf numFmtId="164" fontId="52" fillId="0" borderId="18" xfId="141" applyFont="1" applyBorder="1" applyAlignment="1">
      <alignment horizontal="left"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164" fontId="52" fillId="34" borderId="18" xfId="141" applyFont="1" applyFill="1" applyBorder="1">
      <alignment vertical="center"/>
    </xf>
    <xf numFmtId="164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7" fontId="58" fillId="0" borderId="18" xfId="0" applyNumberFormat="1" applyFont="1" applyBorder="1" applyAlignment="1">
      <alignment vertical="center"/>
    </xf>
    <xf numFmtId="167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7" fontId="58" fillId="0" borderId="22" xfId="0" applyNumberFormat="1" applyFont="1" applyBorder="1" applyAlignment="1">
      <alignment vertical="center"/>
    </xf>
    <xf numFmtId="167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67" fontId="77" fillId="30" borderId="24" xfId="0" applyNumberFormat="1" applyFont="1" applyFill="1" applyBorder="1" applyAlignment="1">
      <alignment vertical="center"/>
    </xf>
    <xf numFmtId="167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40" fillId="33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3764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2" connectionId="3" xr16:uid="{54632EE4-941B-4BC5-9FCF-8F05B6ED2DC2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pageUnit=10&amp;pageIndex=1&amp;searchCnd=al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-book/ecatalog5.jsp?Dir=38&amp;catimage=&amp;start=&amp;cate=&amp;callmode=normal&amp;eclang=ko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opLeftCell="F13" workbookViewId="0">
      <selection activeCell="B41" sqref="B41"/>
    </sheetView>
  </sheetViews>
  <sheetFormatPr defaultColWidth="9" defaultRowHeight="14.4"/>
  <cols>
    <col min="1" max="1" width="9" style="6"/>
    <col min="2" max="2" width="9" style="6" customWidth="1"/>
    <col min="3" max="16384" width="9" style="6"/>
  </cols>
  <sheetData>
    <row r="1" spans="1:12">
      <c r="A1" s="14" t="s">
        <v>0</v>
      </c>
    </row>
    <row r="3" spans="1:12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</row>
    <row r="4" spans="1:12">
      <c r="B4" s="15" t="s">
        <v>4</v>
      </c>
      <c r="I4" s="15" t="s">
        <v>5</v>
      </c>
    </row>
    <row r="5" spans="1:12">
      <c r="B5" s="142">
        <v>2020</v>
      </c>
      <c r="I5" s="15">
        <v>2020</v>
      </c>
    </row>
    <row r="6" spans="1:12">
      <c r="B6" s="144" t="s">
        <v>858</v>
      </c>
      <c r="I6" s="15" t="s">
        <v>6</v>
      </c>
    </row>
    <row r="7" spans="1:12">
      <c r="B7" s="18" t="s">
        <v>7</v>
      </c>
      <c r="I7" s="18" t="s">
        <v>8</v>
      </c>
    </row>
    <row r="8" spans="1:12">
      <c r="B8" s="15" t="s">
        <v>9</v>
      </c>
    </row>
    <row r="9" spans="1:12">
      <c r="B9" s="15"/>
    </row>
    <row r="10" spans="1:12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2">
      <c r="B11" s="15" t="s">
        <v>12</v>
      </c>
      <c r="I11" s="15" t="s">
        <v>13</v>
      </c>
    </row>
    <row r="12" spans="1:12">
      <c r="B12" s="15">
        <v>2021</v>
      </c>
      <c r="I12" s="15">
        <v>2019</v>
      </c>
    </row>
    <row r="13" spans="1:12">
      <c r="B13" s="16" t="s">
        <v>14</v>
      </c>
      <c r="I13" s="15" t="s">
        <v>15</v>
      </c>
    </row>
    <row r="14" spans="1:12">
      <c r="B14" s="18" t="s">
        <v>16</v>
      </c>
      <c r="I14" s="18" t="s">
        <v>17</v>
      </c>
    </row>
    <row r="15" spans="1:12">
      <c r="B15" s="15" t="s">
        <v>18</v>
      </c>
      <c r="I15" s="15"/>
    </row>
    <row r="16" spans="1:12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2020</v>
      </c>
      <c r="I19" s="18" t="s">
        <v>23</v>
      </c>
      <c r="R19"/>
      <c r="S19"/>
      <c r="T19"/>
    </row>
    <row r="20" spans="2:22">
      <c r="B20" s="15" t="s">
        <v>24</v>
      </c>
      <c r="R20" s="108"/>
      <c r="S20" s="107"/>
      <c r="T20"/>
    </row>
    <row r="21" spans="2:22">
      <c r="B21" s="18" t="s">
        <v>25</v>
      </c>
      <c r="R21"/>
      <c r="S21"/>
      <c r="T21"/>
    </row>
    <row r="22" spans="2:22">
      <c r="B22" s="15" t="s">
        <v>26</v>
      </c>
    </row>
    <row r="23" spans="2:22">
      <c r="B23" s="15"/>
      <c r="U23"/>
      <c r="V23"/>
    </row>
    <row r="24" spans="2:22">
      <c r="B24" s="78" t="s">
        <v>27</v>
      </c>
      <c r="C24" s="79"/>
      <c r="D24" s="79"/>
      <c r="E24" s="79"/>
      <c r="I24" s="112" t="s">
        <v>28</v>
      </c>
      <c r="J24" s="112"/>
      <c r="K24" s="112"/>
      <c r="L24" s="112"/>
    </row>
    <row r="25" spans="2:22">
      <c r="B25" s="15" t="s">
        <v>29</v>
      </c>
      <c r="I25" s="6" t="s">
        <v>30</v>
      </c>
    </row>
    <row r="26" spans="2:22">
      <c r="B26" s="142">
        <v>2020</v>
      </c>
      <c r="I26" s="6">
        <v>2020</v>
      </c>
    </row>
    <row r="27" spans="2:22">
      <c r="B27" s="15" t="s">
        <v>31</v>
      </c>
      <c r="I27" s="6" t="s">
        <v>28</v>
      </c>
    </row>
    <row r="28" spans="2:22">
      <c r="B28" s="18" t="s">
        <v>32</v>
      </c>
      <c r="I28" s="17" t="s">
        <v>33</v>
      </c>
    </row>
    <row r="29" spans="2:22">
      <c r="B29" s="15" t="s">
        <v>34</v>
      </c>
    </row>
    <row r="30" spans="2:22">
      <c r="B30" s="15"/>
    </row>
    <row r="31" spans="2:22">
      <c r="B31" s="78" t="s">
        <v>35</v>
      </c>
      <c r="C31" s="79"/>
      <c r="D31" s="79"/>
      <c r="E31" s="79"/>
      <c r="J31" s="13"/>
      <c r="K31" s="13"/>
      <c r="L31" s="13"/>
    </row>
    <row r="32" spans="2:22">
      <c r="B32" s="15" t="s">
        <v>36</v>
      </c>
    </row>
    <row r="33" spans="1:12">
      <c r="B33" s="15">
        <v>2020</v>
      </c>
    </row>
    <row r="34" spans="1:12">
      <c r="B34" s="15" t="s">
        <v>37</v>
      </c>
    </row>
    <row r="35" spans="1:12">
      <c r="B35" s="18" t="s">
        <v>38</v>
      </c>
    </row>
    <row r="36" spans="1:12">
      <c r="B36" s="15" t="s">
        <v>39</v>
      </c>
    </row>
    <row r="37" spans="1:12">
      <c r="B37" s="15"/>
    </row>
    <row r="38" spans="1:12">
      <c r="B38" s="78" t="s">
        <v>40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41</v>
      </c>
    </row>
    <row r="42" spans="1:12">
      <c r="B42" s="18" t="s">
        <v>7</v>
      </c>
    </row>
    <row r="43" spans="1:12">
      <c r="B43" s="15" t="s">
        <v>42</v>
      </c>
    </row>
    <row r="45" spans="1:12">
      <c r="A45" s="13" t="s">
        <v>43</v>
      </c>
    </row>
    <row r="46" spans="1:12">
      <c r="A46" s="6" t="s">
        <v>44</v>
      </c>
    </row>
    <row r="47" spans="1:12">
      <c r="A47" s="6" t="s">
        <v>45</v>
      </c>
    </row>
    <row r="49" spans="1:2">
      <c r="A49" s="6" t="s">
        <v>46</v>
      </c>
    </row>
    <row r="50" spans="1:2">
      <c r="A50" s="6" t="s">
        <v>47</v>
      </c>
    </row>
    <row r="51" spans="1:2">
      <c r="A51" s="6" t="s">
        <v>48</v>
      </c>
    </row>
    <row r="52" spans="1:2">
      <c r="A52" s="6" t="s">
        <v>49</v>
      </c>
    </row>
    <row r="54" spans="1:2">
      <c r="A54" s="6" t="s">
        <v>50</v>
      </c>
    </row>
    <row r="55" spans="1:2">
      <c r="A55" s="6" t="s">
        <v>51</v>
      </c>
    </row>
    <row r="56" spans="1:2">
      <c r="A56" s="6" t="s">
        <v>52</v>
      </c>
    </row>
    <row r="58" spans="1:2">
      <c r="A58" s="6" t="s">
        <v>53</v>
      </c>
      <c r="B58" s="6">
        <v>2019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W294"/>
  <sheetViews>
    <sheetView tabSelected="1" topLeftCell="A195" workbookViewId="0">
      <selection activeCell="Z197" sqref="Z197"/>
    </sheetView>
  </sheetViews>
  <sheetFormatPr defaultColWidth="9" defaultRowHeight="13.8"/>
  <cols>
    <col min="1" max="3" width="9" style="20"/>
    <col min="4" max="5" width="11.44140625" style="20" hidden="1" customWidth="1"/>
    <col min="6" max="6" width="10.77734375" style="20" hidden="1" customWidth="1"/>
    <col min="7" max="7" width="11.44140625" style="20" hidden="1" customWidth="1"/>
    <col min="8" max="10" width="9.88671875" style="20" hidden="1" customWidth="1"/>
    <col min="11" max="12" width="11.44140625" style="20" hidden="1" customWidth="1"/>
    <col min="13" max="17" width="9.88671875" style="20" hidden="1" customWidth="1"/>
    <col min="18" max="19" width="11.44140625" style="20" hidden="1" customWidth="1"/>
    <col min="20" max="20" width="9.88671875" style="20" hidden="1" customWidth="1"/>
    <col min="21" max="21" width="12.44140625" style="20" bestFit="1" customWidth="1"/>
    <col min="22" max="22" width="11.44140625" style="20" bestFit="1" customWidth="1"/>
    <col min="23" max="23" width="12.44140625" style="20" bestFit="1" customWidth="1"/>
    <col min="24" max="16384" width="9" style="20"/>
  </cols>
  <sheetData>
    <row r="1" spans="1:23" ht="15" customHeight="1">
      <c r="A1" s="19"/>
      <c r="B1" s="19"/>
      <c r="C1" s="19"/>
      <c r="D1" s="19" t="s">
        <v>54</v>
      </c>
      <c r="E1" s="19" t="s">
        <v>55</v>
      </c>
      <c r="F1" s="19" t="s">
        <v>56</v>
      </c>
      <c r="G1" s="19" t="s">
        <v>57</v>
      </c>
      <c r="H1" s="19" t="s">
        <v>58</v>
      </c>
      <c r="I1" s="19"/>
      <c r="J1" s="19" t="s">
        <v>59</v>
      </c>
      <c r="K1" s="19"/>
      <c r="L1" s="19"/>
      <c r="M1" s="19"/>
      <c r="N1" s="19"/>
    </row>
    <row r="2" spans="1:23" ht="15" customHeight="1">
      <c r="A2" s="19" t="s">
        <v>1039</v>
      </c>
      <c r="B2" s="132" t="s">
        <v>859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3" ht="15" customHeight="1">
      <c r="A3" s="21" t="s">
        <v>1038</v>
      </c>
      <c r="B3" s="21" t="s">
        <v>1040</v>
      </c>
      <c r="C3" s="21"/>
      <c r="D3" s="22" t="s">
        <v>60</v>
      </c>
      <c r="E3" s="22" t="s">
        <v>61</v>
      </c>
      <c r="F3" s="22" t="s">
        <v>62</v>
      </c>
      <c r="G3" s="22" t="s">
        <v>63</v>
      </c>
      <c r="H3" s="22" t="s">
        <v>64</v>
      </c>
      <c r="I3" s="22" t="s">
        <v>65</v>
      </c>
      <c r="J3" s="22" t="s">
        <v>66</v>
      </c>
      <c r="K3" s="22" t="s">
        <v>67</v>
      </c>
      <c r="L3" s="22" t="s">
        <v>68</v>
      </c>
      <c r="M3" s="22" t="s">
        <v>69</v>
      </c>
      <c r="N3" s="22" t="s">
        <v>70</v>
      </c>
      <c r="O3" s="23" t="s">
        <v>71</v>
      </c>
      <c r="P3" s="23" t="s">
        <v>72</v>
      </c>
      <c r="Q3" s="23" t="s">
        <v>73</v>
      </c>
      <c r="R3" s="23" t="s">
        <v>74</v>
      </c>
      <c r="S3" s="23" t="s">
        <v>75</v>
      </c>
      <c r="T3" s="23" t="s">
        <v>76</v>
      </c>
      <c r="U3" s="23" t="s">
        <v>1012</v>
      </c>
      <c r="V3" s="145" t="s">
        <v>1012</v>
      </c>
      <c r="W3" s="23" t="s">
        <v>1012</v>
      </c>
    </row>
    <row r="4" spans="1:23" ht="15" customHeight="1">
      <c r="A4" s="21"/>
      <c r="B4" s="21" t="s">
        <v>1041</v>
      </c>
      <c r="C4" s="21" t="s">
        <v>57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860</v>
      </c>
      <c r="V4" s="146" t="s">
        <v>861</v>
      </c>
      <c r="W4" s="24" t="s">
        <v>862</v>
      </c>
    </row>
    <row r="5" spans="1:23" ht="15" customHeight="1">
      <c r="A5" s="25" t="s">
        <v>1042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147"/>
      <c r="W5" s="27"/>
    </row>
    <row r="6" spans="1:23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147"/>
      <c r="W6" s="27"/>
    </row>
    <row r="7" spans="1:23" ht="15" customHeight="1">
      <c r="A7" s="26" t="s">
        <v>1029</v>
      </c>
      <c r="B7" s="26" t="s">
        <v>78</v>
      </c>
      <c r="C7" s="26" t="s">
        <v>1035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  <c r="V7" s="148">
        <v>10982274</v>
      </c>
      <c r="W7" s="28">
        <v>10594148</v>
      </c>
    </row>
    <row r="8" spans="1:23" ht="15" customHeight="1">
      <c r="A8" s="26"/>
      <c r="B8" s="26"/>
      <c r="C8" s="26" t="s">
        <v>1036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  <c r="V8" s="148">
        <v>404842</v>
      </c>
      <c r="W8" s="28">
        <v>349425</v>
      </c>
    </row>
    <row r="9" spans="1:23" ht="15" customHeight="1">
      <c r="B9" s="26"/>
      <c r="C9" s="26" t="s">
        <v>1037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  <c r="V9" s="148">
        <v>11387116</v>
      </c>
      <c r="W9" s="28">
        <v>10943573</v>
      </c>
    </row>
    <row r="10" spans="1:23" ht="15" customHeight="1">
      <c r="A10" s="26" t="s">
        <v>1030</v>
      </c>
      <c r="B10" s="26" t="s">
        <v>81</v>
      </c>
      <c r="C10" s="26" t="s">
        <v>1035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  <c r="V10" s="148">
        <v>4804</v>
      </c>
      <c r="W10" s="28">
        <v>4574</v>
      </c>
    </row>
    <row r="11" spans="1:23" ht="15" customHeight="1">
      <c r="B11" s="26"/>
      <c r="C11" s="26" t="s">
        <v>1036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  <c r="V11" s="148">
        <v>88</v>
      </c>
      <c r="W11" s="28">
        <v>63</v>
      </c>
    </row>
    <row r="12" spans="1:23" ht="15" customHeight="1">
      <c r="A12" s="26"/>
      <c r="C12" s="26" t="s">
        <v>1037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  <c r="V12" s="148">
        <v>4892</v>
      </c>
      <c r="W12" s="28">
        <v>4637</v>
      </c>
    </row>
    <row r="13" spans="1:23" ht="15" customHeight="1">
      <c r="A13" s="26" t="s">
        <v>1031</v>
      </c>
      <c r="B13" s="26" t="s">
        <v>82</v>
      </c>
      <c r="C13" s="26" t="s">
        <v>1035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  <c r="V13" s="148">
        <v>18380</v>
      </c>
      <c r="W13" s="28">
        <v>12491</v>
      </c>
    </row>
    <row r="14" spans="1:23" ht="15" customHeight="1">
      <c r="B14" s="26"/>
      <c r="C14" s="26" t="s">
        <v>1036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  <c r="V14" s="148">
        <v>19</v>
      </c>
      <c r="W14" s="28">
        <v>18</v>
      </c>
    </row>
    <row r="15" spans="1:23" ht="15" customHeight="1">
      <c r="A15" s="26"/>
      <c r="B15" s="26"/>
      <c r="C15" s="26" t="s">
        <v>1037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  <c r="V15" s="148">
        <v>18399</v>
      </c>
      <c r="W15" s="28">
        <v>12509</v>
      </c>
    </row>
    <row r="16" spans="1:23" ht="15" customHeight="1">
      <c r="A16" s="26" t="s">
        <v>1032</v>
      </c>
      <c r="B16" s="26" t="s">
        <v>83</v>
      </c>
      <c r="C16" s="26" t="s">
        <v>1035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  <c r="V16" s="148">
        <v>64</v>
      </c>
      <c r="W16" s="28">
        <v>57</v>
      </c>
    </row>
    <row r="17" spans="1:23" ht="15" customHeight="1">
      <c r="B17" s="26"/>
      <c r="C17" s="26" t="s">
        <v>1036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  <c r="V17" s="148">
        <v>13</v>
      </c>
      <c r="W17" s="28">
        <v>3</v>
      </c>
    </row>
    <row r="18" spans="1:23" ht="15" customHeight="1">
      <c r="A18" s="26"/>
      <c r="B18" s="26"/>
      <c r="C18" s="26" t="s">
        <v>1037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  <c r="V18" s="148">
        <v>77</v>
      </c>
      <c r="W18" s="28">
        <v>60</v>
      </c>
    </row>
    <row r="19" spans="1:23" ht="15" customHeight="1">
      <c r="A19" s="26" t="s">
        <v>1033</v>
      </c>
      <c r="B19" s="26" t="s">
        <v>84</v>
      </c>
      <c r="C19" s="26" t="s">
        <v>1035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  <c r="V19" s="148">
        <v>11005522</v>
      </c>
      <c r="W19" s="28">
        <v>10611270</v>
      </c>
    </row>
    <row r="20" spans="1:23" ht="15" customHeight="1">
      <c r="A20" s="26"/>
      <c r="B20" s="26"/>
      <c r="C20" s="26" t="s">
        <v>1036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  <c r="V20" s="148">
        <v>404962</v>
      </c>
      <c r="W20" s="28">
        <v>349509</v>
      </c>
    </row>
    <row r="21" spans="1:23" ht="15" customHeight="1">
      <c r="A21" s="26"/>
      <c r="B21" s="26"/>
      <c r="C21" s="26" t="s">
        <v>1037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  <c r="V21" s="148">
        <v>11410484</v>
      </c>
      <c r="W21" s="28">
        <v>10960779</v>
      </c>
    </row>
    <row r="22" spans="1:23" ht="15" customHeight="1">
      <c r="A22" s="25" t="s">
        <v>85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147"/>
      <c r="W22" s="27"/>
    </row>
    <row r="23" spans="1:23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147"/>
      <c r="W23" s="27"/>
    </row>
    <row r="24" spans="1:23" ht="15" customHeight="1">
      <c r="A24" s="26" t="s">
        <v>1029</v>
      </c>
      <c r="B24" s="26" t="s">
        <v>78</v>
      </c>
      <c r="C24" s="26" t="s">
        <v>79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  <c r="V24" s="148">
        <v>5594558</v>
      </c>
      <c r="W24" s="28">
        <v>5541397</v>
      </c>
    </row>
    <row r="25" spans="1:23" ht="15" customHeight="1">
      <c r="A25" s="26"/>
      <c r="B25" s="26"/>
      <c r="C25" s="26" t="s">
        <v>80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  <c r="V25" s="148">
        <v>281363</v>
      </c>
      <c r="W25" s="28">
        <v>275529</v>
      </c>
    </row>
    <row r="26" spans="1:23" ht="15" customHeight="1">
      <c r="B26" s="26"/>
      <c r="C26" s="26" t="s">
        <v>77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  <c r="V26" s="148">
        <v>5875921</v>
      </c>
      <c r="W26" s="28">
        <v>5816926</v>
      </c>
    </row>
    <row r="27" spans="1:23" ht="15" customHeight="1">
      <c r="A27" s="26" t="s">
        <v>1030</v>
      </c>
      <c r="B27" s="26" t="s">
        <v>81</v>
      </c>
      <c r="C27" s="26" t="s">
        <v>79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  <c r="V27" s="148">
        <v>575973</v>
      </c>
      <c r="W27" s="28">
        <v>596331</v>
      </c>
    </row>
    <row r="28" spans="1:23" ht="15" customHeight="1">
      <c r="B28" s="26"/>
      <c r="C28" s="26" t="s">
        <v>80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  <c r="V28" s="148">
        <v>87210</v>
      </c>
      <c r="W28" s="28">
        <v>92750</v>
      </c>
    </row>
    <row r="29" spans="1:23" ht="15" customHeight="1">
      <c r="A29" s="26"/>
      <c r="B29" s="26"/>
      <c r="C29" s="26" t="s">
        <v>77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  <c r="V29" s="148">
        <v>663183</v>
      </c>
      <c r="W29" s="28">
        <v>689081</v>
      </c>
    </row>
    <row r="30" spans="1:23" ht="15" customHeight="1">
      <c r="A30" s="26" t="s">
        <v>1031</v>
      </c>
      <c r="B30" s="26" t="s">
        <v>82</v>
      </c>
      <c r="C30" s="26" t="s">
        <v>79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  <c r="V30" s="148">
        <v>2999129</v>
      </c>
      <c r="W30" s="28">
        <v>3010492</v>
      </c>
    </row>
    <row r="31" spans="1:23" ht="15" customHeight="1">
      <c r="B31" s="26"/>
      <c r="C31" s="26" t="s">
        <v>80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  <c r="V31" s="148">
        <v>352501</v>
      </c>
      <c r="W31" s="28">
        <v>347478</v>
      </c>
    </row>
    <row r="32" spans="1:23" ht="15" customHeight="1">
      <c r="A32" s="26"/>
      <c r="B32" s="26"/>
      <c r="C32" s="26" t="s">
        <v>77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  <c r="V32" s="148">
        <v>3351630</v>
      </c>
      <c r="W32" s="28">
        <v>3357970</v>
      </c>
    </row>
    <row r="33" spans="1:23" ht="15" customHeight="1">
      <c r="A33" s="26" t="s">
        <v>1032</v>
      </c>
      <c r="B33" s="26" t="s">
        <v>83</v>
      </c>
      <c r="C33" s="26" t="s">
        <v>79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  <c r="V33" s="148">
        <v>37636</v>
      </c>
      <c r="W33" s="28">
        <v>31179</v>
      </c>
    </row>
    <row r="34" spans="1:23" ht="15" customHeight="1">
      <c r="B34" s="26"/>
      <c r="C34" s="26" t="s">
        <v>80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  <c r="V34" s="148">
        <v>63754</v>
      </c>
      <c r="W34" s="28">
        <v>62387</v>
      </c>
    </row>
    <row r="35" spans="1:23" ht="15" customHeight="1">
      <c r="A35" s="26"/>
      <c r="B35" s="26"/>
      <c r="C35" s="26" t="s">
        <v>77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  <c r="V35" s="148">
        <v>101390</v>
      </c>
      <c r="W35" s="28">
        <v>93566</v>
      </c>
    </row>
    <row r="36" spans="1:23" ht="15" customHeight="1">
      <c r="A36" s="26" t="s">
        <v>1033</v>
      </c>
      <c r="B36" s="26" t="s">
        <v>84</v>
      </c>
      <c r="C36" s="26" t="s">
        <v>79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  <c r="V36" s="148">
        <v>9207296</v>
      </c>
      <c r="W36" s="28">
        <v>9179399</v>
      </c>
    </row>
    <row r="37" spans="1:23" ht="15" customHeight="1">
      <c r="A37" s="26"/>
      <c r="B37" s="26"/>
      <c r="C37" s="26" t="s">
        <v>80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  <c r="V37" s="148">
        <v>784828</v>
      </c>
      <c r="W37" s="28">
        <v>778144</v>
      </c>
    </row>
    <row r="38" spans="1:23" ht="15" customHeight="1">
      <c r="A38" s="26"/>
      <c r="B38" s="26"/>
      <c r="C38" s="26" t="s">
        <v>77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  <c r="V38" s="148">
        <v>9992124</v>
      </c>
      <c r="W38" s="28">
        <v>9957543</v>
      </c>
    </row>
    <row r="39" spans="1:23" ht="15" customHeight="1">
      <c r="A39" s="25" t="s">
        <v>1043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147"/>
      <c r="W39" s="27"/>
    </row>
    <row r="40" spans="1:23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147"/>
      <c r="W40" s="27"/>
    </row>
    <row r="41" spans="1:23" ht="15" customHeight="1">
      <c r="A41" s="26" t="s">
        <v>1029</v>
      </c>
      <c r="B41" s="26" t="s">
        <v>78</v>
      </c>
      <c r="C41" s="26" t="s">
        <v>1035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  <c r="V41" s="148">
        <v>1397560</v>
      </c>
      <c r="W41" s="28">
        <v>1404661</v>
      </c>
    </row>
    <row r="42" spans="1:23" ht="15" customHeight="1">
      <c r="A42" s="26"/>
      <c r="B42" s="26"/>
      <c r="C42" s="26" t="s">
        <v>1034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  <c r="V42" s="148">
        <v>391807</v>
      </c>
      <c r="W42" s="28">
        <v>406799</v>
      </c>
    </row>
    <row r="43" spans="1:23" ht="15" customHeight="1">
      <c r="B43" s="26"/>
      <c r="C43" s="26" t="s">
        <v>1012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  <c r="V43" s="148">
        <v>1789367</v>
      </c>
      <c r="W43" s="28">
        <v>1811460</v>
      </c>
    </row>
    <row r="44" spans="1:23" ht="15" customHeight="1">
      <c r="A44" s="26" t="s">
        <v>1030</v>
      </c>
      <c r="B44" s="26" t="s">
        <v>81</v>
      </c>
      <c r="C44" s="26" t="s">
        <v>1035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  <c r="V44" s="148">
        <v>66385</v>
      </c>
      <c r="W44" s="28">
        <v>70421</v>
      </c>
    </row>
    <row r="45" spans="1:23" ht="15" customHeight="1">
      <c r="B45" s="26"/>
      <c r="C45" s="26" t="s">
        <v>1034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  <c r="V45" s="148">
        <v>1226</v>
      </c>
      <c r="W45" s="28">
        <v>1009</v>
      </c>
    </row>
    <row r="46" spans="1:23" ht="15" customHeight="1">
      <c r="A46" s="26"/>
      <c r="B46" s="26"/>
      <c r="C46" s="26" t="s">
        <v>1012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  <c r="V46" s="148">
        <v>67611</v>
      </c>
      <c r="W46" s="28">
        <v>71430</v>
      </c>
    </row>
    <row r="47" spans="1:23" ht="15" customHeight="1">
      <c r="A47" s="26" t="s">
        <v>1031</v>
      </c>
      <c r="B47" s="26" t="s">
        <v>82</v>
      </c>
      <c r="C47" s="26" t="s">
        <v>1035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  <c r="V47" s="148">
        <v>109894</v>
      </c>
      <c r="W47" s="28">
        <v>108983</v>
      </c>
    </row>
    <row r="48" spans="1:23" ht="15" customHeight="1">
      <c r="B48" s="26"/>
      <c r="C48" s="26" t="s">
        <v>1034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  <c r="V48" s="148">
        <v>12177</v>
      </c>
      <c r="W48" s="28">
        <v>12595</v>
      </c>
    </row>
    <row r="49" spans="1:23" ht="15" customHeight="1">
      <c r="A49" s="26"/>
      <c r="B49" s="26"/>
      <c r="C49" s="26" t="s">
        <v>1012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  <c r="V49" s="148">
        <v>122071</v>
      </c>
      <c r="W49" s="28">
        <v>121578</v>
      </c>
    </row>
    <row r="50" spans="1:23" ht="15" customHeight="1">
      <c r="A50" s="26" t="s">
        <v>1032</v>
      </c>
      <c r="B50" s="26" t="s">
        <v>83</v>
      </c>
      <c r="C50" s="26" t="s">
        <v>1035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  <c r="V50" s="148">
        <v>288</v>
      </c>
      <c r="W50" s="28">
        <v>187</v>
      </c>
    </row>
    <row r="51" spans="1:23" ht="15" customHeight="1">
      <c r="B51" s="26"/>
      <c r="C51" s="26" t="s">
        <v>1034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  <c r="V51" s="148">
        <v>70</v>
      </c>
      <c r="W51" s="28">
        <v>75</v>
      </c>
    </row>
    <row r="52" spans="1:23" ht="15" customHeight="1">
      <c r="A52" s="26"/>
      <c r="B52" s="26"/>
      <c r="C52" s="26" t="s">
        <v>1012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  <c r="V52" s="148">
        <v>358</v>
      </c>
      <c r="W52" s="28">
        <v>262</v>
      </c>
    </row>
    <row r="53" spans="1:23" ht="15" customHeight="1">
      <c r="A53" s="26" t="s">
        <v>1033</v>
      </c>
      <c r="B53" s="26" t="s">
        <v>84</v>
      </c>
      <c r="C53" s="26" t="s">
        <v>1035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  <c r="V53" s="148">
        <v>1574127</v>
      </c>
      <c r="W53" s="28">
        <v>1584252</v>
      </c>
    </row>
    <row r="54" spans="1:23" ht="15" customHeight="1">
      <c r="A54" s="26"/>
      <c r="B54" s="26"/>
      <c r="C54" s="26" t="s">
        <v>1034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  <c r="V54" s="148">
        <v>405280</v>
      </c>
      <c r="W54" s="28">
        <v>420478</v>
      </c>
    </row>
    <row r="55" spans="1:23" ht="15" customHeight="1">
      <c r="A55" s="26"/>
      <c r="B55" s="26"/>
      <c r="C55" s="26" t="s">
        <v>1012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  <c r="V55" s="148">
        <v>1979407</v>
      </c>
      <c r="W55" s="28">
        <v>2004730</v>
      </c>
    </row>
    <row r="56" spans="1:23" ht="15" customHeight="1">
      <c r="A56" s="25" t="s">
        <v>86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147"/>
      <c r="W56" s="27"/>
    </row>
    <row r="57" spans="1:23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147"/>
      <c r="W57" s="27"/>
    </row>
    <row r="58" spans="1:23" ht="15" customHeight="1">
      <c r="A58" s="26" t="s">
        <v>1029</v>
      </c>
      <c r="B58" s="26" t="s">
        <v>78</v>
      </c>
      <c r="C58" s="26" t="s">
        <v>1035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  <c r="V58" s="148">
        <v>1</v>
      </c>
      <c r="W58" s="28">
        <v>0</v>
      </c>
    </row>
    <row r="59" spans="1:23" ht="15" customHeight="1">
      <c r="A59" s="26"/>
      <c r="B59" s="26"/>
      <c r="C59" s="26" t="s">
        <v>1034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  <c r="V59" s="148">
        <v>0</v>
      </c>
      <c r="W59" s="28">
        <v>0</v>
      </c>
    </row>
    <row r="60" spans="1:23" ht="15" customHeight="1">
      <c r="B60" s="26"/>
      <c r="C60" s="26" t="s">
        <v>1012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  <c r="V60" s="148">
        <v>1</v>
      </c>
      <c r="W60" s="28">
        <v>0</v>
      </c>
    </row>
    <row r="61" spans="1:23" ht="15" customHeight="1">
      <c r="A61" s="26" t="s">
        <v>1030</v>
      </c>
      <c r="B61" s="26" t="s">
        <v>81</v>
      </c>
      <c r="C61" s="26" t="s">
        <v>1035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  <c r="V61" s="148">
        <v>0</v>
      </c>
      <c r="W61" s="28">
        <v>0</v>
      </c>
    </row>
    <row r="62" spans="1:23" ht="15" customHeight="1">
      <c r="B62" s="26"/>
      <c r="C62" s="26" t="s">
        <v>1034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148">
        <v>0</v>
      </c>
      <c r="W62" s="28">
        <v>0</v>
      </c>
    </row>
    <row r="63" spans="1:23" ht="15" customHeight="1">
      <c r="A63" s="26"/>
      <c r="B63" s="26"/>
      <c r="C63" s="26" t="s">
        <v>1012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  <c r="V63" s="148">
        <v>0</v>
      </c>
      <c r="W63" s="28">
        <v>0</v>
      </c>
    </row>
    <row r="64" spans="1:23" ht="15" customHeight="1">
      <c r="A64" s="26" t="s">
        <v>1031</v>
      </c>
      <c r="B64" s="26" t="s">
        <v>82</v>
      </c>
      <c r="C64" s="26" t="s">
        <v>1035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148">
        <v>0</v>
      </c>
      <c r="W64" s="28">
        <v>0</v>
      </c>
    </row>
    <row r="65" spans="1:23" ht="15" customHeight="1">
      <c r="B65" s="26"/>
      <c r="C65" s="26" t="s">
        <v>1034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  <c r="V65" s="148">
        <v>1</v>
      </c>
      <c r="W65" s="28">
        <v>1</v>
      </c>
    </row>
    <row r="66" spans="1:23" ht="15" customHeight="1">
      <c r="A66" s="26"/>
      <c r="B66" s="26"/>
      <c r="C66" s="26" t="s">
        <v>1012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  <c r="V66" s="148">
        <v>1</v>
      </c>
      <c r="W66" s="28">
        <v>1</v>
      </c>
    </row>
    <row r="67" spans="1:23" ht="15" customHeight="1">
      <c r="A67" s="26" t="s">
        <v>1032</v>
      </c>
      <c r="B67" s="26" t="s">
        <v>83</v>
      </c>
      <c r="C67" s="26" t="s">
        <v>1035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  <c r="V67" s="148">
        <v>0</v>
      </c>
      <c r="W67" s="28">
        <v>0</v>
      </c>
    </row>
    <row r="68" spans="1:23" ht="15" customHeight="1">
      <c r="B68" s="26"/>
      <c r="C68" s="26" t="s">
        <v>1034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148">
        <v>0</v>
      </c>
      <c r="W68" s="28">
        <v>0</v>
      </c>
    </row>
    <row r="69" spans="1:23" ht="15" customHeight="1">
      <c r="A69" s="26"/>
      <c r="B69" s="26"/>
      <c r="C69" s="26" t="s">
        <v>1012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148">
        <v>0</v>
      </c>
      <c r="W69" s="28">
        <v>0</v>
      </c>
    </row>
    <row r="70" spans="1:23" ht="15" customHeight="1">
      <c r="A70" s="26" t="s">
        <v>1033</v>
      </c>
      <c r="B70" s="26" t="s">
        <v>84</v>
      </c>
      <c r="C70" s="26" t="s">
        <v>1035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  <c r="V70" s="148">
        <v>1</v>
      </c>
      <c r="W70" s="28">
        <v>0</v>
      </c>
    </row>
    <row r="71" spans="1:23" ht="15" customHeight="1">
      <c r="A71" s="26"/>
      <c r="B71" s="26" t="s">
        <v>84</v>
      </c>
      <c r="C71" s="26" t="s">
        <v>1034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  <c r="V71" s="148">
        <v>1</v>
      </c>
      <c r="W71" s="28">
        <v>1</v>
      </c>
    </row>
    <row r="72" spans="1:23" ht="15" customHeight="1">
      <c r="A72" s="26"/>
      <c r="B72" s="26" t="s">
        <v>84</v>
      </c>
      <c r="C72" s="26" t="s">
        <v>1012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  <c r="V72" s="148">
        <v>2</v>
      </c>
      <c r="W72" s="28">
        <v>1</v>
      </c>
    </row>
    <row r="73" spans="1:23" ht="15" customHeight="1">
      <c r="A73" s="25" t="s">
        <v>1044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147"/>
      <c r="W73" s="27"/>
    </row>
    <row r="74" spans="1:23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147"/>
      <c r="W74" s="27"/>
    </row>
    <row r="75" spans="1:23" ht="15" customHeight="1">
      <c r="A75" s="26" t="s">
        <v>1029</v>
      </c>
      <c r="B75" s="26" t="s">
        <v>78</v>
      </c>
      <c r="C75" s="26" t="s">
        <v>1035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  <c r="V75" s="148">
        <v>99305</v>
      </c>
      <c r="W75" s="28">
        <v>74300</v>
      </c>
    </row>
    <row r="76" spans="1:23" ht="15" customHeight="1">
      <c r="A76" s="26"/>
      <c r="B76" s="26"/>
      <c r="C76" s="26" t="s">
        <v>1034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  <c r="V76" s="148">
        <v>18311</v>
      </c>
      <c r="W76" s="28">
        <v>13626</v>
      </c>
    </row>
    <row r="77" spans="1:23" ht="15" customHeight="1">
      <c r="B77" s="26"/>
      <c r="C77" s="26" t="s">
        <v>1012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  <c r="V77" s="148">
        <v>117616</v>
      </c>
      <c r="W77" s="28">
        <v>87926</v>
      </c>
    </row>
    <row r="78" spans="1:23" ht="15" customHeight="1">
      <c r="A78" s="26" t="s">
        <v>1030</v>
      </c>
      <c r="B78" s="26" t="s">
        <v>81</v>
      </c>
      <c r="C78" s="26" t="s">
        <v>1035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  <c r="V78" s="148">
        <v>128</v>
      </c>
      <c r="W78" s="28">
        <v>28</v>
      </c>
    </row>
    <row r="79" spans="1:23" ht="15" customHeight="1">
      <c r="B79" s="26"/>
      <c r="C79" s="26" t="s">
        <v>1034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  <c r="V79" s="148">
        <v>1709</v>
      </c>
      <c r="W79" s="28">
        <v>800</v>
      </c>
    </row>
    <row r="80" spans="1:23" ht="15" customHeight="1">
      <c r="A80" s="26"/>
      <c r="B80" s="26"/>
      <c r="C80" s="26" t="s">
        <v>1012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  <c r="V80" s="148">
        <v>1837</v>
      </c>
      <c r="W80" s="28">
        <v>828</v>
      </c>
    </row>
    <row r="81" spans="1:23" ht="15" customHeight="1">
      <c r="A81" s="26" t="s">
        <v>1031</v>
      </c>
      <c r="B81" s="26" t="s">
        <v>82</v>
      </c>
      <c r="C81" s="26" t="s">
        <v>1035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  <c r="V81" s="148">
        <v>12875</v>
      </c>
      <c r="W81" s="28">
        <v>1114</v>
      </c>
    </row>
    <row r="82" spans="1:23" ht="15" customHeight="1">
      <c r="B82" s="26"/>
      <c r="C82" s="26" t="s">
        <v>1034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  <c r="V82" s="148">
        <v>2561</v>
      </c>
      <c r="W82" s="28">
        <v>26</v>
      </c>
    </row>
    <row r="83" spans="1:23" ht="15" customHeight="1">
      <c r="A83" s="26"/>
      <c r="B83" s="26"/>
      <c r="C83" s="26" t="s">
        <v>1012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  <c r="V83" s="148">
        <v>15436</v>
      </c>
      <c r="W83" s="28">
        <v>1140</v>
      </c>
    </row>
    <row r="84" spans="1:23" ht="15" customHeight="1">
      <c r="A84" s="26" t="s">
        <v>1032</v>
      </c>
      <c r="B84" s="26" t="s">
        <v>83</v>
      </c>
      <c r="C84" s="26" t="s">
        <v>1035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  <c r="V84" s="148">
        <v>73</v>
      </c>
      <c r="W84" s="28">
        <v>24</v>
      </c>
    </row>
    <row r="85" spans="1:23" ht="15" customHeight="1">
      <c r="B85" s="26"/>
      <c r="C85" s="26" t="s">
        <v>1034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148">
        <v>0</v>
      </c>
      <c r="W85" s="28">
        <v>0</v>
      </c>
    </row>
    <row r="86" spans="1:23" ht="15" customHeight="1">
      <c r="A86" s="26"/>
      <c r="B86" s="26"/>
      <c r="C86" s="26" t="s">
        <v>1012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  <c r="V86" s="148">
        <v>73</v>
      </c>
      <c r="W86" s="28">
        <v>24</v>
      </c>
    </row>
    <row r="87" spans="1:23" ht="15" customHeight="1">
      <c r="A87" s="26" t="s">
        <v>1033</v>
      </c>
      <c r="B87" s="26" t="s">
        <v>84</v>
      </c>
      <c r="C87" s="26" t="s">
        <v>1035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  <c r="V87" s="148">
        <v>112381</v>
      </c>
      <c r="W87" s="28">
        <v>75466</v>
      </c>
    </row>
    <row r="88" spans="1:23" ht="15" customHeight="1">
      <c r="A88" s="26"/>
      <c r="B88" s="26"/>
      <c r="C88" s="26" t="s">
        <v>1034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  <c r="V88" s="148">
        <v>22581</v>
      </c>
      <c r="W88" s="28">
        <v>14452</v>
      </c>
    </row>
    <row r="89" spans="1:23" ht="15" customHeight="1">
      <c r="A89" s="26"/>
      <c r="B89" s="26"/>
      <c r="C89" s="26" t="s">
        <v>1012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  <c r="V89" s="148">
        <v>134962</v>
      </c>
      <c r="W89" s="28">
        <v>89918</v>
      </c>
    </row>
    <row r="90" spans="1:23" ht="15" customHeight="1">
      <c r="A90" s="25" t="s">
        <v>87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147"/>
      <c r="W90" s="27"/>
    </row>
    <row r="91" spans="1:23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147"/>
      <c r="W91" s="27"/>
    </row>
    <row r="92" spans="1:23" ht="15" customHeight="1">
      <c r="A92" s="26" t="s">
        <v>1029</v>
      </c>
      <c r="B92" s="26" t="s">
        <v>78</v>
      </c>
      <c r="C92" s="26" t="s">
        <v>1035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148">
        <v>0</v>
      </c>
      <c r="W92" s="28">
        <v>0</v>
      </c>
    </row>
    <row r="93" spans="1:23" ht="15" customHeight="1">
      <c r="A93" s="26"/>
      <c r="B93" s="26"/>
      <c r="C93" s="26" t="s">
        <v>1034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148">
        <v>0</v>
      </c>
      <c r="W93" s="28">
        <v>0</v>
      </c>
    </row>
    <row r="94" spans="1:23" ht="15" customHeight="1">
      <c r="B94" s="26"/>
      <c r="C94" s="26" t="s">
        <v>1012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  <c r="V94" s="148">
        <v>0</v>
      </c>
      <c r="W94" s="28">
        <v>0</v>
      </c>
    </row>
    <row r="95" spans="1:23" ht="15" customHeight="1">
      <c r="A95" s="26" t="s">
        <v>1030</v>
      </c>
      <c r="B95" s="26" t="s">
        <v>81</v>
      </c>
      <c r="C95" s="26" t="s">
        <v>1035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  <c r="V95" s="148">
        <v>0</v>
      </c>
      <c r="W95" s="28">
        <v>0</v>
      </c>
    </row>
    <row r="96" spans="1:23" ht="15" customHeight="1">
      <c r="B96" s="26"/>
      <c r="C96" s="26" t="s">
        <v>1034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148">
        <v>0</v>
      </c>
      <c r="W96" s="28">
        <v>0</v>
      </c>
    </row>
    <row r="97" spans="1:23" ht="15" customHeight="1">
      <c r="A97" s="26"/>
      <c r="B97" s="26"/>
      <c r="C97" s="26" t="s">
        <v>1012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148">
        <v>0</v>
      </c>
      <c r="W97" s="28">
        <v>0</v>
      </c>
    </row>
    <row r="98" spans="1:23" ht="15" customHeight="1">
      <c r="A98" s="26" t="s">
        <v>1031</v>
      </c>
      <c r="B98" s="26" t="s">
        <v>82</v>
      </c>
      <c r="C98" s="26" t="s">
        <v>1035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  <c r="V98" s="148">
        <v>0</v>
      </c>
      <c r="W98" s="28">
        <v>0</v>
      </c>
    </row>
    <row r="99" spans="1:23" ht="15" customHeight="1">
      <c r="B99" s="26"/>
      <c r="C99" s="26" t="s">
        <v>1034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148">
        <v>0</v>
      </c>
      <c r="W99" s="28">
        <v>0</v>
      </c>
    </row>
    <row r="100" spans="1:23" ht="15" customHeight="1">
      <c r="A100" s="26"/>
      <c r="B100" s="26"/>
      <c r="C100" s="26" t="s">
        <v>1012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148">
        <v>0</v>
      </c>
      <c r="W100" s="28">
        <v>0</v>
      </c>
    </row>
    <row r="101" spans="1:23" ht="15" customHeight="1">
      <c r="A101" s="26" t="s">
        <v>1032</v>
      </c>
      <c r="B101" s="26" t="s">
        <v>83</v>
      </c>
      <c r="C101" s="26" t="s">
        <v>1035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  <c r="V101" s="148">
        <v>1</v>
      </c>
      <c r="W101" s="28">
        <v>1</v>
      </c>
    </row>
    <row r="102" spans="1:23" ht="15" customHeight="1">
      <c r="B102" s="26"/>
      <c r="C102" s="26" t="s">
        <v>1034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148">
        <v>0</v>
      </c>
      <c r="W102" s="28">
        <v>0</v>
      </c>
    </row>
    <row r="103" spans="1:23" ht="15" customHeight="1">
      <c r="A103" s="26"/>
      <c r="B103" s="26"/>
      <c r="C103" s="26" t="s">
        <v>1012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  <c r="V103" s="148">
        <v>1</v>
      </c>
      <c r="W103" s="28">
        <v>1</v>
      </c>
    </row>
    <row r="104" spans="1:23" ht="15" customHeight="1">
      <c r="A104" s="26" t="s">
        <v>1033</v>
      </c>
      <c r="B104" s="26" t="s">
        <v>84</v>
      </c>
      <c r="C104" s="26" t="s">
        <v>1035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  <c r="V104" s="148">
        <v>1</v>
      </c>
      <c r="W104" s="28">
        <v>1</v>
      </c>
    </row>
    <row r="105" spans="1:23" ht="15" customHeight="1">
      <c r="A105" s="26"/>
      <c r="B105" s="26"/>
      <c r="C105" s="26" t="s">
        <v>1034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148">
        <v>0</v>
      </c>
      <c r="W105" s="28">
        <v>0</v>
      </c>
    </row>
    <row r="106" spans="1:23" ht="15" customHeight="1">
      <c r="A106" s="26"/>
      <c r="B106" s="26"/>
      <c r="C106" s="26" t="s">
        <v>1012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  <c r="V106" s="148">
        <v>1</v>
      </c>
      <c r="W106" s="28">
        <v>1</v>
      </c>
    </row>
    <row r="107" spans="1:23" ht="15" customHeight="1">
      <c r="A107" s="25" t="s">
        <v>1046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147"/>
      <c r="W107" s="27"/>
    </row>
    <row r="108" spans="1:23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147"/>
      <c r="W108" s="27"/>
    </row>
    <row r="109" spans="1:23" ht="15" customHeight="1">
      <c r="A109" s="26" t="s">
        <v>1029</v>
      </c>
      <c r="B109" s="26" t="s">
        <v>78</v>
      </c>
      <c r="C109" s="26" t="s">
        <v>1035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  <c r="V109" s="148">
        <v>0</v>
      </c>
      <c r="W109" s="28">
        <v>0</v>
      </c>
    </row>
    <row r="110" spans="1:23" ht="15" customHeight="1">
      <c r="A110" s="26"/>
      <c r="B110" s="26"/>
      <c r="C110" s="26" t="s">
        <v>1034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  <c r="V110" s="148">
        <v>0</v>
      </c>
      <c r="W110" s="28">
        <v>0</v>
      </c>
    </row>
    <row r="111" spans="1:23" ht="15" customHeight="1">
      <c r="B111" s="26"/>
      <c r="C111" s="26" t="s">
        <v>1012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148">
        <v>0</v>
      </c>
      <c r="W111" s="28">
        <v>0</v>
      </c>
    </row>
    <row r="112" spans="1:23" ht="15" customHeight="1">
      <c r="A112" s="26" t="s">
        <v>1030</v>
      </c>
      <c r="B112" s="26" t="s">
        <v>81</v>
      </c>
      <c r="C112" s="26" t="s">
        <v>1035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148">
        <v>0</v>
      </c>
      <c r="W112" s="28">
        <v>0</v>
      </c>
    </row>
    <row r="113" spans="1:23" ht="15" customHeight="1">
      <c r="B113" s="26"/>
      <c r="C113" s="26" t="s">
        <v>1034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148">
        <v>0</v>
      </c>
      <c r="W113" s="28">
        <v>0</v>
      </c>
    </row>
    <row r="114" spans="1:23" ht="15" customHeight="1">
      <c r="A114" s="26"/>
      <c r="B114" s="26"/>
      <c r="C114" s="26" t="s">
        <v>1012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  <c r="V114" s="148">
        <v>0</v>
      </c>
      <c r="W114" s="28">
        <v>0</v>
      </c>
    </row>
    <row r="115" spans="1:23" ht="15" customHeight="1">
      <c r="A115" s="26" t="s">
        <v>1031</v>
      </c>
      <c r="B115" s="26" t="s">
        <v>82</v>
      </c>
      <c r="C115" s="26" t="s">
        <v>1035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  <c r="V115" s="148">
        <v>0</v>
      </c>
      <c r="W115" s="28">
        <v>0</v>
      </c>
    </row>
    <row r="116" spans="1:23" ht="15" customHeight="1">
      <c r="B116" s="26"/>
      <c r="C116" s="26" t="s">
        <v>1034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  <c r="V116" s="148">
        <v>0</v>
      </c>
      <c r="W116" s="28">
        <v>0</v>
      </c>
    </row>
    <row r="117" spans="1:23" ht="15" customHeight="1">
      <c r="A117" s="26"/>
      <c r="B117" s="26"/>
      <c r="C117" s="26" t="s">
        <v>1012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  <c r="V117" s="148">
        <v>0</v>
      </c>
      <c r="W117" s="28">
        <v>0</v>
      </c>
    </row>
    <row r="118" spans="1:23" ht="15" customHeight="1">
      <c r="A118" s="26" t="s">
        <v>1032</v>
      </c>
      <c r="B118" s="26" t="s">
        <v>83</v>
      </c>
      <c r="C118" s="26" t="s">
        <v>1035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  <c r="V118" s="148">
        <v>0</v>
      </c>
      <c r="W118" s="28">
        <v>0</v>
      </c>
    </row>
    <row r="119" spans="1:23" ht="15" customHeight="1">
      <c r="B119" s="26"/>
      <c r="C119" s="26" t="s">
        <v>1034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  <c r="V119" s="148">
        <v>0</v>
      </c>
      <c r="W119" s="28">
        <v>0</v>
      </c>
    </row>
    <row r="120" spans="1:23" ht="15" customHeight="1">
      <c r="A120" s="26"/>
      <c r="B120" s="26"/>
      <c r="C120" s="26" t="s">
        <v>1012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  <c r="V120" s="148">
        <v>0</v>
      </c>
      <c r="W120" s="28">
        <v>0</v>
      </c>
    </row>
    <row r="121" spans="1:23" ht="15" customHeight="1">
      <c r="A121" s="26" t="s">
        <v>1033</v>
      </c>
      <c r="B121" s="26" t="s">
        <v>84</v>
      </c>
      <c r="C121" s="26" t="s">
        <v>1035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148">
        <v>0</v>
      </c>
      <c r="W121" s="28">
        <v>0</v>
      </c>
    </row>
    <row r="122" spans="1:23" ht="15" customHeight="1">
      <c r="A122" s="26"/>
      <c r="B122" s="26"/>
      <c r="C122" s="26" t="s">
        <v>1034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  <c r="V122" s="148">
        <v>0</v>
      </c>
      <c r="W122" s="28">
        <v>0</v>
      </c>
    </row>
    <row r="123" spans="1:23" ht="15" customHeight="1">
      <c r="A123" s="26"/>
      <c r="B123" s="26"/>
      <c r="C123" s="26" t="s">
        <v>1012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  <c r="V123" s="148">
        <v>0</v>
      </c>
      <c r="W123" s="28">
        <v>0</v>
      </c>
    </row>
    <row r="124" spans="1:23" ht="15" customHeight="1">
      <c r="A124" s="25" t="s">
        <v>88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147"/>
      <c r="W124" s="27"/>
    </row>
    <row r="125" spans="1:23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147"/>
      <c r="W125" s="27"/>
    </row>
    <row r="126" spans="1:23" ht="15" customHeight="1">
      <c r="A126" s="26" t="s">
        <v>1029</v>
      </c>
      <c r="B126" s="26" t="s">
        <v>78</v>
      </c>
      <c r="C126" s="26" t="s">
        <v>1035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  <c r="V126" s="148">
        <v>5331</v>
      </c>
      <c r="W126" s="28">
        <v>6108</v>
      </c>
    </row>
    <row r="127" spans="1:23" ht="15" customHeight="1">
      <c r="A127" s="26"/>
      <c r="B127" s="26"/>
      <c r="C127" s="26" t="s">
        <v>1034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  <c r="V127" s="148">
        <v>160</v>
      </c>
      <c r="W127" s="28">
        <v>205</v>
      </c>
    </row>
    <row r="128" spans="1:23" ht="15" customHeight="1">
      <c r="B128" s="26"/>
      <c r="C128" s="26" t="s">
        <v>1012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  <c r="V128" s="148">
        <v>5491</v>
      </c>
      <c r="W128" s="28">
        <v>6313</v>
      </c>
    </row>
    <row r="129" spans="1:23" ht="15" customHeight="1">
      <c r="A129" s="26" t="s">
        <v>1030</v>
      </c>
      <c r="B129" s="26" t="s">
        <v>81</v>
      </c>
      <c r="C129" s="26" t="s">
        <v>1035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  <c r="V129" s="148">
        <v>369</v>
      </c>
      <c r="W129" s="28">
        <v>348</v>
      </c>
    </row>
    <row r="130" spans="1:23" ht="15" customHeight="1">
      <c r="B130" s="26"/>
      <c r="C130" s="26" t="s">
        <v>1034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  <c r="V130" s="148">
        <v>29720</v>
      </c>
      <c r="W130" s="28">
        <v>30273</v>
      </c>
    </row>
    <row r="131" spans="1:23" ht="15" customHeight="1">
      <c r="A131" s="26"/>
      <c r="B131" s="26"/>
      <c r="C131" s="26" t="s">
        <v>1012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  <c r="V131" s="148">
        <v>30089</v>
      </c>
      <c r="W131" s="28">
        <v>30621</v>
      </c>
    </row>
    <row r="132" spans="1:23" ht="15" customHeight="1">
      <c r="A132" s="26" t="s">
        <v>1031</v>
      </c>
      <c r="B132" s="26" t="s">
        <v>82</v>
      </c>
      <c r="C132" s="26" t="s">
        <v>1035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  <c r="V132" s="148">
        <v>1337</v>
      </c>
      <c r="W132" s="28">
        <v>1200</v>
      </c>
    </row>
    <row r="133" spans="1:23" ht="15" customHeight="1">
      <c r="B133" s="26"/>
      <c r="C133" s="26" t="s">
        <v>1034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  <c r="V133" s="148">
        <v>20</v>
      </c>
      <c r="W133" s="28">
        <v>10</v>
      </c>
    </row>
    <row r="134" spans="1:23" ht="15" customHeight="1">
      <c r="A134" s="26"/>
      <c r="B134" s="26"/>
      <c r="C134" s="26" t="s">
        <v>1012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  <c r="V134" s="148">
        <v>1357</v>
      </c>
      <c r="W134" s="28">
        <v>1210</v>
      </c>
    </row>
    <row r="135" spans="1:23" ht="15" customHeight="1">
      <c r="A135" s="26" t="s">
        <v>1032</v>
      </c>
      <c r="B135" s="26" t="s">
        <v>83</v>
      </c>
      <c r="C135" s="26" t="s">
        <v>1035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  <c r="V135" s="148">
        <v>2</v>
      </c>
      <c r="W135" s="28">
        <v>3</v>
      </c>
    </row>
    <row r="136" spans="1:23" ht="15" customHeight="1">
      <c r="B136" s="26"/>
      <c r="C136" s="26" t="s">
        <v>1034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  <c r="V136" s="148">
        <v>1</v>
      </c>
      <c r="W136" s="28">
        <v>0</v>
      </c>
    </row>
    <row r="137" spans="1:23" ht="15" customHeight="1">
      <c r="A137" s="26"/>
      <c r="B137" s="26"/>
      <c r="C137" s="26" t="s">
        <v>1012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  <c r="V137" s="148">
        <v>3</v>
      </c>
      <c r="W137" s="28">
        <v>3</v>
      </c>
    </row>
    <row r="138" spans="1:23" ht="15" customHeight="1">
      <c r="A138" s="26" t="s">
        <v>1033</v>
      </c>
      <c r="B138" s="26" t="s">
        <v>84</v>
      </c>
      <c r="C138" s="26" t="s">
        <v>1035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  <c r="V138" s="148">
        <v>7039</v>
      </c>
      <c r="W138" s="28">
        <v>7659</v>
      </c>
    </row>
    <row r="139" spans="1:23" ht="15" customHeight="1">
      <c r="A139" s="26"/>
      <c r="B139" s="26"/>
      <c r="C139" s="26" t="s">
        <v>1034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  <c r="V139" s="148">
        <v>29901</v>
      </c>
      <c r="W139" s="28">
        <v>30488</v>
      </c>
    </row>
    <row r="140" spans="1:23" ht="15" customHeight="1">
      <c r="A140" s="26"/>
      <c r="B140" s="26"/>
      <c r="C140" s="26" t="s">
        <v>1012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  <c r="V140" s="148">
        <v>36940</v>
      </c>
      <c r="W140" s="28">
        <v>38147</v>
      </c>
    </row>
    <row r="141" spans="1:23" ht="15" customHeight="1">
      <c r="A141" s="25" t="s">
        <v>89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147"/>
      <c r="W141" s="27"/>
    </row>
    <row r="142" spans="1:23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147"/>
      <c r="W142" s="27"/>
    </row>
    <row r="143" spans="1:23" ht="15" customHeight="1">
      <c r="A143" s="26" t="s">
        <v>1029</v>
      </c>
      <c r="B143" s="26" t="s">
        <v>78</v>
      </c>
      <c r="C143" s="26" t="s">
        <v>1035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  <c r="V143" s="148">
        <v>1</v>
      </c>
      <c r="W143" s="28">
        <v>0</v>
      </c>
    </row>
    <row r="144" spans="1:23" ht="15" customHeight="1">
      <c r="A144" s="26"/>
      <c r="B144" s="26"/>
      <c r="C144" s="26" t="s">
        <v>1034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  <c r="V144" s="148">
        <v>0</v>
      </c>
      <c r="W144" s="28">
        <v>0</v>
      </c>
    </row>
    <row r="145" spans="1:23" ht="15" customHeight="1">
      <c r="B145" s="26"/>
      <c r="C145" s="26" t="s">
        <v>1012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  <c r="V145" s="148">
        <v>1</v>
      </c>
      <c r="W145" s="28">
        <v>0</v>
      </c>
    </row>
    <row r="146" spans="1:23" ht="15" customHeight="1">
      <c r="A146" s="26" t="s">
        <v>1030</v>
      </c>
      <c r="B146" s="26" t="s">
        <v>81</v>
      </c>
      <c r="C146" s="26" t="s">
        <v>1035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  <c r="V146" s="148">
        <v>0</v>
      </c>
      <c r="W146" s="28">
        <v>0</v>
      </c>
    </row>
    <row r="147" spans="1:23" ht="15" customHeight="1">
      <c r="B147" s="26"/>
      <c r="C147" s="26" t="s">
        <v>1034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  <c r="V147" s="148">
        <v>1</v>
      </c>
      <c r="W147" s="28">
        <v>1</v>
      </c>
    </row>
    <row r="148" spans="1:23" ht="15" customHeight="1">
      <c r="A148" s="26"/>
      <c r="B148" s="26"/>
      <c r="C148" s="26" t="s">
        <v>1012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  <c r="V148" s="148">
        <v>1</v>
      </c>
      <c r="W148" s="28">
        <v>1</v>
      </c>
    </row>
    <row r="149" spans="1:23" ht="15" customHeight="1">
      <c r="A149" s="26" t="s">
        <v>1031</v>
      </c>
      <c r="B149" s="26" t="s">
        <v>82</v>
      </c>
      <c r="C149" s="26" t="s">
        <v>1035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  <c r="V149" s="148">
        <v>5</v>
      </c>
      <c r="W149" s="28">
        <v>3</v>
      </c>
    </row>
    <row r="150" spans="1:23" ht="15" customHeight="1">
      <c r="B150" s="26"/>
      <c r="C150" s="26" t="s">
        <v>1034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  <c r="V150" s="148">
        <v>0</v>
      </c>
      <c r="W150" s="28">
        <v>0</v>
      </c>
    </row>
    <row r="151" spans="1:23" ht="15" customHeight="1">
      <c r="A151" s="26"/>
      <c r="B151" s="26"/>
      <c r="C151" s="26" t="s">
        <v>1012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  <c r="V151" s="148">
        <v>5</v>
      </c>
      <c r="W151" s="28">
        <v>3</v>
      </c>
    </row>
    <row r="152" spans="1:23" ht="15" customHeight="1">
      <c r="A152" s="26" t="s">
        <v>1032</v>
      </c>
      <c r="B152" s="26" t="s">
        <v>83</v>
      </c>
      <c r="C152" s="26" t="s">
        <v>1035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148">
        <v>0</v>
      </c>
      <c r="W152" s="28">
        <v>0</v>
      </c>
    </row>
    <row r="153" spans="1:23" ht="15" customHeight="1">
      <c r="B153" s="26"/>
      <c r="C153" s="26" t="s">
        <v>1034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  <c r="V153" s="148">
        <v>1</v>
      </c>
      <c r="W153" s="28">
        <v>1</v>
      </c>
    </row>
    <row r="154" spans="1:23" ht="15" customHeight="1">
      <c r="A154" s="26"/>
      <c r="B154" s="26"/>
      <c r="C154" s="26" t="s">
        <v>1012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  <c r="V154" s="148">
        <v>1</v>
      </c>
      <c r="W154" s="28">
        <v>1</v>
      </c>
    </row>
    <row r="155" spans="1:23" ht="15" customHeight="1">
      <c r="A155" s="26" t="s">
        <v>1033</v>
      </c>
      <c r="B155" s="26" t="s">
        <v>84</v>
      </c>
      <c r="C155" s="26" t="s">
        <v>1035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  <c r="V155" s="148">
        <v>6</v>
      </c>
      <c r="W155" s="28">
        <v>3</v>
      </c>
    </row>
    <row r="156" spans="1:23" ht="15" customHeight="1">
      <c r="A156" s="26"/>
      <c r="B156" s="26"/>
      <c r="C156" s="26" t="s">
        <v>1034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  <c r="V156" s="148">
        <v>2</v>
      </c>
      <c r="W156" s="28">
        <v>2</v>
      </c>
    </row>
    <row r="157" spans="1:23" ht="15" customHeight="1">
      <c r="A157" s="26"/>
      <c r="B157" s="26"/>
      <c r="C157" s="26" t="s">
        <v>1012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  <c r="V157" s="148">
        <v>8</v>
      </c>
      <c r="W157" s="28">
        <v>5</v>
      </c>
    </row>
    <row r="158" spans="1:23" ht="15" customHeight="1">
      <c r="A158" s="25" t="s">
        <v>1045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147"/>
      <c r="W158" s="27"/>
    </row>
    <row r="159" spans="1:23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147"/>
      <c r="W159" s="27"/>
    </row>
    <row r="160" spans="1:23" ht="15" customHeight="1">
      <c r="A160" s="26" t="s">
        <v>1029</v>
      </c>
      <c r="B160" s="26" t="s">
        <v>78</v>
      </c>
      <c r="C160" s="26" t="s">
        <v>1035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  <c r="V160" s="148">
        <v>606362</v>
      </c>
      <c r="W160" s="28">
        <v>461438</v>
      </c>
    </row>
    <row r="161" spans="1:23" ht="15" customHeight="1">
      <c r="A161" s="26"/>
      <c r="B161" s="26"/>
      <c r="C161" s="26" t="s">
        <v>1034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  <c r="V161" s="148">
        <v>43360</v>
      </c>
      <c r="W161" s="28">
        <v>26690</v>
      </c>
    </row>
    <row r="162" spans="1:23" ht="15" customHeight="1">
      <c r="B162" s="26"/>
      <c r="C162" s="26" t="s">
        <v>1012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  <c r="V162" s="148">
        <v>649722</v>
      </c>
      <c r="W162" s="28">
        <v>488128</v>
      </c>
    </row>
    <row r="163" spans="1:23" ht="15" customHeight="1">
      <c r="A163" s="26" t="s">
        <v>1030</v>
      </c>
      <c r="B163" s="26" t="s">
        <v>81</v>
      </c>
      <c r="C163" s="26" t="s">
        <v>1035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  <c r="V163" s="148">
        <v>0</v>
      </c>
      <c r="W163" s="28">
        <v>0</v>
      </c>
    </row>
    <row r="164" spans="1:23" ht="15" customHeight="1">
      <c r="B164" s="26"/>
      <c r="C164" s="26" t="s">
        <v>1034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  <c r="V164" s="148">
        <v>0</v>
      </c>
      <c r="W164" s="28">
        <v>0</v>
      </c>
    </row>
    <row r="165" spans="1:23" ht="15" customHeight="1">
      <c r="A165" s="26"/>
      <c r="B165" s="26"/>
      <c r="C165" s="26" t="s">
        <v>1012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  <c r="V165" s="148">
        <v>0</v>
      </c>
      <c r="W165" s="28">
        <v>0</v>
      </c>
    </row>
    <row r="166" spans="1:23" ht="15" customHeight="1">
      <c r="A166" s="26" t="s">
        <v>1031</v>
      </c>
      <c r="B166" s="26" t="s">
        <v>82</v>
      </c>
      <c r="C166" s="26" t="s">
        <v>1035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  <c r="V166" s="148">
        <v>7</v>
      </c>
      <c r="W166" s="28">
        <v>0</v>
      </c>
    </row>
    <row r="167" spans="1:23" ht="15" customHeight="1">
      <c r="B167" s="26"/>
      <c r="C167" s="26" t="s">
        <v>1034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148">
        <v>0</v>
      </c>
      <c r="W167" s="28">
        <v>0</v>
      </c>
    </row>
    <row r="168" spans="1:23" ht="15" customHeight="1">
      <c r="A168" s="26"/>
      <c r="B168" s="26"/>
      <c r="C168" s="26" t="s">
        <v>1012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  <c r="V168" s="148">
        <v>7</v>
      </c>
      <c r="W168" s="28">
        <v>0</v>
      </c>
    </row>
    <row r="169" spans="1:23" ht="15" customHeight="1">
      <c r="A169" s="26" t="s">
        <v>1032</v>
      </c>
      <c r="B169" s="26" t="s">
        <v>83</v>
      </c>
      <c r="C169" s="26" t="s">
        <v>1035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  <c r="V169" s="148">
        <v>0</v>
      </c>
      <c r="W169" s="28">
        <v>0</v>
      </c>
    </row>
    <row r="170" spans="1:23" ht="15" customHeight="1">
      <c r="B170" s="26"/>
      <c r="C170" s="26" t="s">
        <v>1034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  <c r="V170" s="148">
        <v>0</v>
      </c>
      <c r="W170" s="28">
        <v>0</v>
      </c>
    </row>
    <row r="171" spans="1:23" ht="15" customHeight="1">
      <c r="A171" s="26"/>
      <c r="B171" s="26"/>
      <c r="C171" s="26" t="s">
        <v>1012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  <c r="V171" s="148">
        <v>0</v>
      </c>
      <c r="W171" s="28">
        <v>0</v>
      </c>
    </row>
    <row r="172" spans="1:23" ht="15" customHeight="1">
      <c r="A172" s="26" t="s">
        <v>1033</v>
      </c>
      <c r="B172" s="26" t="s">
        <v>84</v>
      </c>
      <c r="C172" s="26" t="s">
        <v>1035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  <c r="V172" s="148">
        <v>606369</v>
      </c>
      <c r="W172" s="28">
        <v>461438</v>
      </c>
    </row>
    <row r="173" spans="1:23" ht="15" customHeight="1">
      <c r="A173" s="26"/>
      <c r="B173" s="26"/>
      <c r="C173" s="26" t="s">
        <v>1034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  <c r="V173" s="148">
        <v>43360</v>
      </c>
      <c r="W173" s="28">
        <v>26690</v>
      </c>
    </row>
    <row r="174" spans="1:23" ht="15" customHeight="1">
      <c r="A174" s="26"/>
      <c r="B174" s="26"/>
      <c r="C174" s="26" t="s">
        <v>1012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  <c r="V174" s="148">
        <v>649729</v>
      </c>
      <c r="W174" s="28">
        <v>488128</v>
      </c>
    </row>
    <row r="175" spans="1:23" ht="15" customHeight="1">
      <c r="A175" s="25" t="s">
        <v>1047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147"/>
      <c r="W175" s="27"/>
    </row>
    <row r="176" spans="1:23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147"/>
      <c r="W176" s="27"/>
    </row>
    <row r="177" spans="1:23" ht="15" customHeight="1">
      <c r="A177" s="26" t="s">
        <v>1029</v>
      </c>
      <c r="B177" s="26" t="s">
        <v>78</v>
      </c>
      <c r="C177" s="26" t="s">
        <v>1035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  <c r="V177" s="148">
        <v>7514</v>
      </c>
      <c r="W177" s="28">
        <v>572</v>
      </c>
    </row>
    <row r="178" spans="1:23" ht="15" customHeight="1">
      <c r="A178" s="26"/>
      <c r="B178" s="26"/>
      <c r="C178" s="26" t="s">
        <v>1034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  <c r="V178" s="148">
        <v>546</v>
      </c>
      <c r="W178" s="28">
        <v>21</v>
      </c>
    </row>
    <row r="179" spans="1:23" ht="15" customHeight="1">
      <c r="B179" s="26"/>
      <c r="C179" s="26" t="s">
        <v>1012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  <c r="V179" s="148">
        <v>8060</v>
      </c>
      <c r="W179" s="28">
        <v>593</v>
      </c>
    </row>
    <row r="180" spans="1:23" ht="15" customHeight="1">
      <c r="A180" s="26" t="s">
        <v>1030</v>
      </c>
      <c r="B180" s="26" t="s">
        <v>81</v>
      </c>
      <c r="C180" s="26" t="s">
        <v>1035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  <c r="V180" s="148">
        <v>3</v>
      </c>
      <c r="W180" s="28">
        <v>4</v>
      </c>
    </row>
    <row r="181" spans="1:23" ht="15" customHeight="1">
      <c r="B181" s="26"/>
      <c r="C181" s="26" t="s">
        <v>1034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  <c r="V181" s="148">
        <v>4</v>
      </c>
      <c r="W181" s="28">
        <v>5</v>
      </c>
    </row>
    <row r="182" spans="1:23" ht="15" customHeight="1">
      <c r="A182" s="26"/>
      <c r="B182" s="26"/>
      <c r="C182" s="26" t="s">
        <v>1012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  <c r="V182" s="148">
        <v>7</v>
      </c>
      <c r="W182" s="28">
        <v>9</v>
      </c>
    </row>
    <row r="183" spans="1:23" ht="15" customHeight="1">
      <c r="A183" s="26" t="s">
        <v>1031</v>
      </c>
      <c r="B183" s="26" t="s">
        <v>82</v>
      </c>
      <c r="C183" s="26" t="s">
        <v>1035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  <c r="V183" s="148">
        <v>5</v>
      </c>
      <c r="W183" s="28">
        <v>0</v>
      </c>
    </row>
    <row r="184" spans="1:23" ht="15" customHeight="1">
      <c r="B184" s="26"/>
      <c r="C184" s="26" t="s">
        <v>1034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  <c r="V184" s="148">
        <v>1</v>
      </c>
      <c r="W184" s="28">
        <v>0</v>
      </c>
    </row>
    <row r="185" spans="1:23" ht="15" customHeight="1">
      <c r="A185" s="26"/>
      <c r="B185" s="26"/>
      <c r="C185" s="26" t="s">
        <v>1012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  <c r="V185" s="148">
        <v>6</v>
      </c>
      <c r="W185" s="28">
        <v>0</v>
      </c>
    </row>
    <row r="186" spans="1:23" ht="15" customHeight="1">
      <c r="A186" s="26" t="s">
        <v>1032</v>
      </c>
      <c r="B186" s="26" t="s">
        <v>83</v>
      </c>
      <c r="C186" s="26" t="s">
        <v>1035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  <c r="V186" s="148">
        <v>0</v>
      </c>
      <c r="W186" s="28">
        <v>0</v>
      </c>
    </row>
    <row r="187" spans="1:23" ht="15" customHeight="1">
      <c r="B187" s="26"/>
      <c r="C187" s="26" t="s">
        <v>1034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  <c r="V187" s="148">
        <v>0</v>
      </c>
      <c r="W187" s="28">
        <v>0</v>
      </c>
    </row>
    <row r="188" spans="1:23" ht="15" customHeight="1">
      <c r="A188" s="26"/>
      <c r="B188" s="26"/>
      <c r="C188" s="26" t="s">
        <v>1012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  <c r="V188" s="148">
        <v>0</v>
      </c>
      <c r="W188" s="28">
        <v>0</v>
      </c>
    </row>
    <row r="189" spans="1:23" ht="15" customHeight="1">
      <c r="A189" s="26" t="s">
        <v>1033</v>
      </c>
      <c r="B189" s="26" t="s">
        <v>84</v>
      </c>
      <c r="C189" s="26" t="s">
        <v>1035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  <c r="V189" s="148">
        <v>7522</v>
      </c>
      <c r="W189" s="28">
        <v>576</v>
      </c>
    </row>
    <row r="190" spans="1:23" ht="15" customHeight="1">
      <c r="A190" s="26"/>
      <c r="B190" s="26"/>
      <c r="C190" s="26" t="s">
        <v>1034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  <c r="V190" s="148">
        <v>551</v>
      </c>
      <c r="W190" s="28">
        <v>26</v>
      </c>
    </row>
    <row r="191" spans="1:23" ht="15" customHeight="1">
      <c r="A191" s="26"/>
      <c r="B191" s="26"/>
      <c r="C191" s="26" t="s">
        <v>1012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  <c r="V191" s="148">
        <v>8073</v>
      </c>
      <c r="W191" s="28">
        <v>602</v>
      </c>
    </row>
    <row r="192" spans="1:23" ht="15" customHeight="1">
      <c r="A192" s="25" t="s">
        <v>1048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147"/>
      <c r="W192" s="27"/>
    </row>
    <row r="193" spans="1:23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147"/>
      <c r="W193" s="27"/>
    </row>
    <row r="194" spans="1:23" ht="15" customHeight="1">
      <c r="A194" s="26" t="s">
        <v>1029</v>
      </c>
      <c r="B194" s="26" t="s">
        <v>78</v>
      </c>
      <c r="C194" s="26" t="s">
        <v>1035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  <c r="V194" s="148">
        <v>16217</v>
      </c>
      <c r="W194" s="28">
        <v>16924</v>
      </c>
    </row>
    <row r="195" spans="1:23" ht="15" customHeight="1">
      <c r="A195" s="26"/>
      <c r="B195" s="26"/>
      <c r="C195" s="26" t="s">
        <v>1034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  <c r="V195" s="148">
        <v>116</v>
      </c>
      <c r="W195" s="28">
        <v>66</v>
      </c>
    </row>
    <row r="196" spans="1:23" ht="15" customHeight="1">
      <c r="B196" s="26"/>
      <c r="C196" s="26" t="s">
        <v>1012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  <c r="V196" s="148">
        <v>16333</v>
      </c>
      <c r="W196" s="28">
        <v>16990</v>
      </c>
    </row>
    <row r="197" spans="1:23" ht="15" customHeight="1">
      <c r="A197" s="26" t="s">
        <v>1030</v>
      </c>
      <c r="B197" s="26" t="s">
        <v>81</v>
      </c>
      <c r="C197" s="26" t="s">
        <v>1035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  <c r="V197" s="148">
        <v>0</v>
      </c>
      <c r="W197" s="28">
        <v>0</v>
      </c>
    </row>
    <row r="198" spans="1:23" ht="15" customHeight="1">
      <c r="B198" s="26"/>
      <c r="C198" s="26" t="s">
        <v>1034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  <c r="V198" s="148">
        <v>0</v>
      </c>
      <c r="W198" s="28">
        <v>0</v>
      </c>
    </row>
    <row r="199" spans="1:23" ht="15" customHeight="1">
      <c r="A199" s="26"/>
      <c r="B199" s="26"/>
      <c r="C199" s="26" t="s">
        <v>1012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  <c r="V199" s="148">
        <v>0</v>
      </c>
      <c r="W199" s="28">
        <v>0</v>
      </c>
    </row>
    <row r="200" spans="1:23" ht="15" customHeight="1">
      <c r="A200" s="26" t="s">
        <v>1031</v>
      </c>
      <c r="B200" s="26" t="s">
        <v>82</v>
      </c>
      <c r="C200" s="26" t="s">
        <v>1035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  <c r="V200" s="148">
        <v>0</v>
      </c>
      <c r="W200" s="28">
        <v>0</v>
      </c>
    </row>
    <row r="201" spans="1:23" ht="15" customHeight="1">
      <c r="B201" s="26"/>
      <c r="C201" s="26" t="s">
        <v>1034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  <c r="V201" s="148">
        <v>0</v>
      </c>
      <c r="W201" s="28">
        <v>0</v>
      </c>
    </row>
    <row r="202" spans="1:23" ht="15" customHeight="1">
      <c r="A202" s="26"/>
      <c r="B202" s="26"/>
      <c r="C202" s="26" t="s">
        <v>1012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  <c r="V202" s="148">
        <v>0</v>
      </c>
      <c r="W202" s="28">
        <v>0</v>
      </c>
    </row>
    <row r="203" spans="1:23" ht="15" customHeight="1">
      <c r="A203" s="26" t="s">
        <v>1032</v>
      </c>
      <c r="B203" s="26" t="s">
        <v>83</v>
      </c>
      <c r="C203" s="26" t="s">
        <v>1035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  <c r="V203" s="148">
        <v>0</v>
      </c>
      <c r="W203" s="28">
        <v>0</v>
      </c>
    </row>
    <row r="204" spans="1:23" ht="15" customHeight="1">
      <c r="B204" s="26"/>
      <c r="C204" s="26" t="s">
        <v>1034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  <c r="V204" s="148">
        <v>0</v>
      </c>
      <c r="W204" s="28">
        <v>0</v>
      </c>
    </row>
    <row r="205" spans="1:23" ht="15" customHeight="1">
      <c r="A205" s="26"/>
      <c r="B205" s="26"/>
      <c r="C205" s="26" t="s">
        <v>1012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  <c r="V205" s="148">
        <v>0</v>
      </c>
      <c r="W205" s="28">
        <v>0</v>
      </c>
    </row>
    <row r="206" spans="1:23" ht="15" customHeight="1">
      <c r="A206" s="26" t="s">
        <v>1033</v>
      </c>
      <c r="B206" s="26" t="s">
        <v>84</v>
      </c>
      <c r="C206" s="26" t="s">
        <v>1035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  <c r="V206" s="148">
        <v>16217</v>
      </c>
      <c r="W206" s="28">
        <v>16924</v>
      </c>
    </row>
    <row r="207" spans="1:23" ht="15" customHeight="1">
      <c r="A207" s="26"/>
      <c r="B207" s="26"/>
      <c r="C207" s="26" t="s">
        <v>1034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  <c r="V207" s="148">
        <v>116</v>
      </c>
      <c r="W207" s="28">
        <v>66</v>
      </c>
    </row>
    <row r="208" spans="1:23" ht="15" customHeight="1">
      <c r="A208" s="26"/>
      <c r="B208" s="26"/>
      <c r="C208" s="26" t="s">
        <v>1012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  <c r="V208" s="148">
        <v>16333</v>
      </c>
      <c r="W208" s="28">
        <v>16990</v>
      </c>
    </row>
    <row r="209" spans="1:23" ht="15" customHeight="1">
      <c r="A209" s="25" t="s">
        <v>1049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147"/>
      <c r="W209" s="27"/>
    </row>
    <row r="210" spans="1:23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147"/>
      <c r="W210" s="27"/>
    </row>
    <row r="211" spans="1:23" ht="15" customHeight="1">
      <c r="A211" s="26" t="s">
        <v>1029</v>
      </c>
      <c r="B211" s="26" t="s">
        <v>78</v>
      </c>
      <c r="C211" s="26" t="s">
        <v>1035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148">
        <v>0</v>
      </c>
      <c r="W211" s="28">
        <v>0</v>
      </c>
    </row>
    <row r="212" spans="1:23" ht="15" customHeight="1">
      <c r="A212" s="26"/>
      <c r="B212" s="26"/>
      <c r="C212" s="26" t="s">
        <v>1034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148">
        <v>0</v>
      </c>
      <c r="W212" s="28">
        <v>0</v>
      </c>
    </row>
    <row r="213" spans="1:23" ht="15" customHeight="1">
      <c r="B213" s="26"/>
      <c r="C213" s="26" t="s">
        <v>1012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148">
        <v>0</v>
      </c>
      <c r="W213" s="28">
        <v>0</v>
      </c>
    </row>
    <row r="214" spans="1:23" ht="15" customHeight="1">
      <c r="A214" s="26" t="s">
        <v>1030</v>
      </c>
      <c r="B214" s="26" t="s">
        <v>81</v>
      </c>
      <c r="C214" s="26" t="s">
        <v>1035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  <c r="V214" s="148">
        <v>1</v>
      </c>
      <c r="W214" s="28">
        <v>1</v>
      </c>
    </row>
    <row r="215" spans="1:23" ht="15" customHeight="1">
      <c r="B215" s="26"/>
      <c r="C215" s="26" t="s">
        <v>1034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  <c r="V215" s="148">
        <v>325</v>
      </c>
      <c r="W215" s="28">
        <v>326</v>
      </c>
    </row>
    <row r="216" spans="1:23" ht="15" customHeight="1">
      <c r="A216" s="26"/>
      <c r="B216" s="26"/>
      <c r="C216" s="26" t="s">
        <v>1012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  <c r="V216" s="148">
        <v>326</v>
      </c>
      <c r="W216" s="28">
        <v>327</v>
      </c>
    </row>
    <row r="217" spans="1:23" ht="15" customHeight="1">
      <c r="A217" s="26" t="s">
        <v>1031</v>
      </c>
      <c r="B217" s="26" t="s">
        <v>82</v>
      </c>
      <c r="C217" s="26" t="s">
        <v>1035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  <c r="V217" s="148">
        <v>0</v>
      </c>
      <c r="W217" s="28">
        <v>0</v>
      </c>
    </row>
    <row r="218" spans="1:23" ht="15" customHeight="1">
      <c r="B218" s="26"/>
      <c r="C218" s="26" t="s">
        <v>1034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  <c r="V218" s="148">
        <v>0</v>
      </c>
      <c r="W218" s="28">
        <v>0</v>
      </c>
    </row>
    <row r="219" spans="1:23" ht="15" customHeight="1">
      <c r="A219" s="26"/>
      <c r="B219" s="26"/>
      <c r="C219" s="26" t="s">
        <v>1012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  <c r="V219" s="148">
        <v>0</v>
      </c>
      <c r="W219" s="28">
        <v>0</v>
      </c>
    </row>
    <row r="220" spans="1:23" ht="15" customHeight="1">
      <c r="A220" s="26" t="s">
        <v>1032</v>
      </c>
      <c r="B220" s="26" t="s">
        <v>83</v>
      </c>
      <c r="C220" s="26" t="s">
        <v>1035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  <c r="V220" s="148">
        <v>0</v>
      </c>
      <c r="W220" s="28">
        <v>0</v>
      </c>
    </row>
    <row r="221" spans="1:23" ht="15" customHeight="1">
      <c r="B221" s="26"/>
      <c r="C221" s="26" t="s">
        <v>1034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  <c r="V221" s="148">
        <v>0</v>
      </c>
      <c r="W221" s="28">
        <v>0</v>
      </c>
    </row>
    <row r="222" spans="1:23" ht="15" customHeight="1">
      <c r="A222" s="26"/>
      <c r="B222" s="26"/>
      <c r="C222" s="26" t="s">
        <v>1012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  <c r="V222" s="148">
        <v>0</v>
      </c>
      <c r="W222" s="28">
        <v>0</v>
      </c>
    </row>
    <row r="223" spans="1:23" ht="15" customHeight="1">
      <c r="A223" s="26" t="s">
        <v>1033</v>
      </c>
      <c r="B223" s="26" t="s">
        <v>84</v>
      </c>
      <c r="C223" s="26" t="s">
        <v>1035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  <c r="V223" s="148">
        <v>1</v>
      </c>
      <c r="W223" s="28">
        <v>1</v>
      </c>
    </row>
    <row r="224" spans="1:23" ht="15" customHeight="1">
      <c r="A224" s="26"/>
      <c r="B224" s="26"/>
      <c r="C224" s="26" t="s">
        <v>1034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  <c r="V224" s="148">
        <v>325</v>
      </c>
      <c r="W224" s="28">
        <v>326</v>
      </c>
    </row>
    <row r="225" spans="1:23" ht="15" customHeight="1">
      <c r="A225" s="26"/>
      <c r="B225" s="26"/>
      <c r="C225" s="26" t="s">
        <v>1012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  <c r="V225" s="148">
        <v>326</v>
      </c>
      <c r="W225" s="28">
        <v>327</v>
      </c>
    </row>
    <row r="226" spans="1:23" ht="15" customHeight="1">
      <c r="A226" s="25" t="s">
        <v>1050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147"/>
      <c r="W226" s="27"/>
    </row>
    <row r="227" spans="1:23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147"/>
      <c r="W227" s="27"/>
    </row>
    <row r="228" spans="1:23" ht="15" customHeight="1">
      <c r="A228" s="26" t="s">
        <v>1029</v>
      </c>
      <c r="B228" s="26" t="s">
        <v>78</v>
      </c>
      <c r="C228" s="26" t="s">
        <v>1035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  <c r="V228" s="148">
        <v>0</v>
      </c>
      <c r="W228" s="28">
        <v>0</v>
      </c>
    </row>
    <row r="229" spans="1:23" ht="15" customHeight="1">
      <c r="A229" s="26"/>
      <c r="B229" s="26"/>
      <c r="C229" s="26" t="s">
        <v>1034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  <c r="V229" s="148">
        <v>0</v>
      </c>
      <c r="W229" s="28">
        <v>0</v>
      </c>
    </row>
    <row r="230" spans="1:23" ht="15" customHeight="1">
      <c r="B230" s="26"/>
      <c r="C230" s="26" t="s">
        <v>1012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  <c r="V230" s="148">
        <v>0</v>
      </c>
      <c r="W230" s="28">
        <v>0</v>
      </c>
    </row>
    <row r="231" spans="1:23" ht="15" customHeight="1">
      <c r="A231" s="26" t="s">
        <v>1030</v>
      </c>
      <c r="B231" s="26" t="s">
        <v>81</v>
      </c>
      <c r="C231" s="26" t="s">
        <v>1035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  <c r="V231" s="148">
        <v>0</v>
      </c>
      <c r="W231" s="28">
        <v>0</v>
      </c>
    </row>
    <row r="232" spans="1:23" ht="15" customHeight="1">
      <c r="B232" s="26"/>
      <c r="C232" s="26" t="s">
        <v>1034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  <c r="V232" s="148">
        <v>0</v>
      </c>
      <c r="W232" s="28">
        <v>0</v>
      </c>
    </row>
    <row r="233" spans="1:23" ht="15" customHeight="1">
      <c r="A233" s="26"/>
      <c r="B233" s="26"/>
      <c r="C233" s="26" t="s">
        <v>1012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  <c r="V233" s="148">
        <v>0</v>
      </c>
      <c r="W233" s="28">
        <v>0</v>
      </c>
    </row>
    <row r="234" spans="1:23" ht="15" customHeight="1">
      <c r="A234" s="26" t="s">
        <v>1031</v>
      </c>
      <c r="B234" s="26" t="s">
        <v>82</v>
      </c>
      <c r="C234" s="26" t="s">
        <v>1035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  <c r="V234" s="148">
        <v>0</v>
      </c>
      <c r="W234" s="28">
        <v>0</v>
      </c>
    </row>
    <row r="235" spans="1:23" ht="15" customHeight="1">
      <c r="B235" s="26"/>
      <c r="C235" s="26" t="s">
        <v>1034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  <c r="V235" s="148">
        <v>0</v>
      </c>
      <c r="W235" s="28">
        <v>0</v>
      </c>
    </row>
    <row r="236" spans="1:23" ht="15" customHeight="1">
      <c r="A236" s="26"/>
      <c r="B236" s="26"/>
      <c r="C236" s="26" t="s">
        <v>1012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  <c r="V236" s="148">
        <v>0</v>
      </c>
      <c r="W236" s="28">
        <v>0</v>
      </c>
    </row>
    <row r="237" spans="1:23" ht="15" customHeight="1">
      <c r="A237" s="26" t="s">
        <v>1032</v>
      </c>
      <c r="B237" s="26" t="s">
        <v>83</v>
      </c>
      <c r="C237" s="26" t="s">
        <v>1035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  <c r="V237" s="148">
        <v>0</v>
      </c>
      <c r="W237" s="28">
        <v>0</v>
      </c>
    </row>
    <row r="238" spans="1:23" ht="15" customHeight="1">
      <c r="B238" s="26"/>
      <c r="C238" s="26" t="s">
        <v>1034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  <c r="V238" s="148">
        <v>0</v>
      </c>
      <c r="W238" s="28">
        <v>0</v>
      </c>
    </row>
    <row r="239" spans="1:23" ht="15" customHeight="1">
      <c r="A239" s="26"/>
      <c r="B239" s="26"/>
      <c r="C239" s="26" t="s">
        <v>1012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  <c r="V239" s="148">
        <v>0</v>
      </c>
      <c r="W239" s="28">
        <v>0</v>
      </c>
    </row>
    <row r="240" spans="1:23" ht="15" customHeight="1">
      <c r="A240" s="26" t="s">
        <v>1033</v>
      </c>
      <c r="B240" s="26" t="s">
        <v>84</v>
      </c>
      <c r="C240" s="26" t="s">
        <v>1035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  <c r="V240" s="148">
        <v>0</v>
      </c>
      <c r="W240" s="28">
        <v>0</v>
      </c>
    </row>
    <row r="241" spans="1:23" ht="15" customHeight="1">
      <c r="A241" s="26"/>
      <c r="B241" s="26"/>
      <c r="C241" s="26" t="s">
        <v>1034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  <c r="V241" s="148">
        <v>0</v>
      </c>
      <c r="W241" s="28">
        <v>0</v>
      </c>
    </row>
    <row r="242" spans="1:23" ht="15" customHeight="1">
      <c r="A242" s="26"/>
      <c r="B242" s="26"/>
      <c r="C242" s="26" t="s">
        <v>1012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  <c r="V242" s="148">
        <v>0</v>
      </c>
      <c r="W242" s="28">
        <v>0</v>
      </c>
    </row>
    <row r="243" spans="1:23" ht="15" customHeight="1">
      <c r="A243" s="25" t="s">
        <v>1051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147"/>
      <c r="W243" s="27"/>
    </row>
    <row r="244" spans="1:23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147"/>
      <c r="W244" s="27"/>
    </row>
    <row r="245" spans="1:23" ht="15" customHeight="1">
      <c r="A245" s="26" t="s">
        <v>1029</v>
      </c>
      <c r="B245" s="26" t="s">
        <v>78</v>
      </c>
      <c r="C245" s="26" t="s">
        <v>1035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  <c r="V245" s="148">
        <v>10571</v>
      </c>
      <c r="W245" s="28">
        <v>4980</v>
      </c>
    </row>
    <row r="246" spans="1:23" ht="15" customHeight="1">
      <c r="A246" s="26"/>
      <c r="B246" s="26"/>
      <c r="C246" s="26" t="s">
        <v>1034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  <c r="V246" s="148">
        <v>260</v>
      </c>
      <c r="W246" s="28">
        <v>88</v>
      </c>
    </row>
    <row r="247" spans="1:23" ht="15" customHeight="1">
      <c r="B247" s="26"/>
      <c r="C247" s="26" t="s">
        <v>1012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  <c r="V247" s="148">
        <v>10831</v>
      </c>
      <c r="W247" s="28">
        <v>5068</v>
      </c>
    </row>
    <row r="248" spans="1:23" ht="15" customHeight="1">
      <c r="A248" s="26" t="s">
        <v>1030</v>
      </c>
      <c r="B248" s="26" t="s">
        <v>81</v>
      </c>
      <c r="C248" s="26" t="s">
        <v>1035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  <c r="V248" s="148">
        <v>5</v>
      </c>
      <c r="W248" s="28">
        <v>2</v>
      </c>
    </row>
    <row r="249" spans="1:23" ht="15" customHeight="1">
      <c r="B249" s="26"/>
      <c r="C249" s="26" t="s">
        <v>1034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  <c r="V249" s="148">
        <v>70</v>
      </c>
      <c r="W249" s="28">
        <v>13</v>
      </c>
    </row>
    <row r="250" spans="1:23" ht="15" customHeight="1">
      <c r="A250" s="26"/>
      <c r="B250" s="26"/>
      <c r="C250" s="26" t="s">
        <v>1012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  <c r="V250" s="148">
        <v>75</v>
      </c>
      <c r="W250" s="28">
        <v>15</v>
      </c>
    </row>
    <row r="251" spans="1:23" ht="15" customHeight="1">
      <c r="A251" s="26" t="s">
        <v>1031</v>
      </c>
      <c r="B251" s="26" t="s">
        <v>82</v>
      </c>
      <c r="C251" s="26" t="s">
        <v>1035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  <c r="V251" s="148">
        <v>0</v>
      </c>
      <c r="W251" s="28">
        <v>0</v>
      </c>
    </row>
    <row r="252" spans="1:23" ht="15" customHeight="1">
      <c r="B252" s="26"/>
      <c r="C252" s="26" t="s">
        <v>1034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  <c r="V252" s="148">
        <v>0</v>
      </c>
      <c r="W252" s="28">
        <v>0</v>
      </c>
    </row>
    <row r="253" spans="1:23" ht="15" customHeight="1">
      <c r="A253" s="26"/>
      <c r="B253" s="26"/>
      <c r="C253" s="26" t="s">
        <v>1012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  <c r="V253" s="148">
        <v>0</v>
      </c>
      <c r="W253" s="28">
        <v>0</v>
      </c>
    </row>
    <row r="254" spans="1:23" ht="15" customHeight="1">
      <c r="A254" s="26" t="s">
        <v>1032</v>
      </c>
      <c r="B254" s="26" t="s">
        <v>83</v>
      </c>
      <c r="C254" s="26" t="s">
        <v>1035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  <c r="V254" s="148">
        <v>0</v>
      </c>
      <c r="W254" s="28">
        <v>0</v>
      </c>
    </row>
    <row r="255" spans="1:23" ht="15" customHeight="1">
      <c r="B255" s="26"/>
      <c r="C255" s="26" t="s">
        <v>1034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  <c r="V255" s="148">
        <v>0</v>
      </c>
      <c r="W255" s="28">
        <v>0</v>
      </c>
    </row>
    <row r="256" spans="1:23" ht="15" customHeight="1">
      <c r="A256" s="26"/>
      <c r="B256" s="26"/>
      <c r="C256" s="26" t="s">
        <v>1012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  <c r="V256" s="148">
        <v>0</v>
      </c>
      <c r="W256" s="28">
        <v>0</v>
      </c>
    </row>
    <row r="257" spans="1:23" ht="15" customHeight="1">
      <c r="A257" s="26" t="s">
        <v>1033</v>
      </c>
      <c r="B257" s="26" t="s">
        <v>84</v>
      </c>
      <c r="C257" s="26" t="s">
        <v>1035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  <c r="V257" s="148">
        <v>10576</v>
      </c>
      <c r="W257" s="28">
        <v>4982</v>
      </c>
    </row>
    <row r="258" spans="1:23" ht="15" customHeight="1">
      <c r="A258" s="26"/>
      <c r="B258" s="26"/>
      <c r="C258" s="26" t="s">
        <v>1034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  <c r="V258" s="148">
        <v>330</v>
      </c>
      <c r="W258" s="28">
        <v>101</v>
      </c>
    </row>
    <row r="259" spans="1:23" ht="15" customHeight="1">
      <c r="A259" s="26"/>
      <c r="B259" s="26"/>
      <c r="C259" s="26" t="s">
        <v>1012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  <c r="V259" s="148">
        <v>10906</v>
      </c>
      <c r="W259" s="28">
        <v>5083</v>
      </c>
    </row>
    <row r="260" spans="1:23" ht="15" customHeight="1">
      <c r="A260" s="29" t="s">
        <v>1052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147"/>
      <c r="W260" s="27"/>
    </row>
    <row r="261" spans="1:23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147"/>
      <c r="W261" s="27"/>
    </row>
    <row r="262" spans="1:23" ht="15" customHeight="1">
      <c r="A262" s="26" t="s">
        <v>1029</v>
      </c>
      <c r="B262" s="7" t="s">
        <v>78</v>
      </c>
      <c r="C262" s="26" t="s">
        <v>1035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  <c r="V262" s="148">
        <v>495</v>
      </c>
      <c r="W262" s="28">
        <v>539</v>
      </c>
    </row>
    <row r="263" spans="1:23" ht="15" customHeight="1">
      <c r="A263" s="26"/>
      <c r="B263" s="7"/>
      <c r="C263" s="26" t="s">
        <v>1034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  <c r="V263" s="148">
        <v>1</v>
      </c>
      <c r="W263" s="28">
        <v>1</v>
      </c>
    </row>
    <row r="264" spans="1:23" ht="15" customHeight="1">
      <c r="B264" s="7"/>
      <c r="C264" s="26" t="s">
        <v>1012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  <c r="V264" s="148">
        <v>496</v>
      </c>
      <c r="W264" s="28">
        <v>540</v>
      </c>
    </row>
    <row r="265" spans="1:23" ht="15" customHeight="1">
      <c r="A265" s="26" t="s">
        <v>1030</v>
      </c>
      <c r="B265" s="7" t="s">
        <v>81</v>
      </c>
      <c r="C265" s="26" t="s">
        <v>1035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  <c r="V265" s="148">
        <v>15774</v>
      </c>
      <c r="W265" s="28">
        <v>14799</v>
      </c>
    </row>
    <row r="266" spans="1:23" ht="15" customHeight="1">
      <c r="B266" s="7"/>
      <c r="C266" s="26" t="s">
        <v>1034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  <c r="V266" s="148">
        <v>47</v>
      </c>
      <c r="W266" s="28">
        <v>51</v>
      </c>
    </row>
    <row r="267" spans="1:23" ht="15" customHeight="1">
      <c r="A267" s="26"/>
      <c r="B267" s="7"/>
      <c r="C267" s="26" t="s">
        <v>1012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  <c r="V267" s="148">
        <v>15821</v>
      </c>
      <c r="W267" s="28">
        <v>14850</v>
      </c>
    </row>
    <row r="268" spans="1:23" ht="15" customHeight="1">
      <c r="A268" s="26" t="s">
        <v>1031</v>
      </c>
      <c r="B268" s="7" t="s">
        <v>82</v>
      </c>
      <c r="C268" s="26" t="s">
        <v>1035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  <c r="V268" s="148">
        <v>48361</v>
      </c>
      <c r="W268" s="28">
        <v>41891</v>
      </c>
    </row>
    <row r="269" spans="1:23" ht="15" customHeight="1">
      <c r="B269" s="7"/>
      <c r="C269" s="26" t="s">
        <v>1034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  <c r="V269" s="148">
        <v>57972</v>
      </c>
      <c r="W269" s="28">
        <v>56284</v>
      </c>
    </row>
    <row r="270" spans="1:23" ht="15" customHeight="1">
      <c r="A270" s="26"/>
      <c r="B270" s="7"/>
      <c r="C270" s="26" t="s">
        <v>1012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  <c r="V270" s="148">
        <v>106333</v>
      </c>
      <c r="W270" s="28">
        <v>98175</v>
      </c>
    </row>
    <row r="271" spans="1:23" ht="15" customHeight="1">
      <c r="A271" s="26" t="s">
        <v>1032</v>
      </c>
      <c r="B271" s="7" t="s">
        <v>83</v>
      </c>
      <c r="C271" s="26" t="s">
        <v>1035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  <c r="V271" s="148">
        <v>3955</v>
      </c>
      <c r="W271" s="28">
        <v>1459</v>
      </c>
    </row>
    <row r="272" spans="1:23" ht="15" customHeight="1">
      <c r="B272" s="7"/>
      <c r="C272" s="26" t="s">
        <v>1034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  <c r="V272" s="148">
        <v>79</v>
      </c>
      <c r="W272" s="28">
        <v>88</v>
      </c>
    </row>
    <row r="273" spans="1:23" ht="15" customHeight="1">
      <c r="A273" s="26"/>
      <c r="B273" s="7"/>
      <c r="C273" s="26" t="s">
        <v>1012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  <c r="V273" s="148">
        <v>4034</v>
      </c>
      <c r="W273" s="28">
        <v>1547</v>
      </c>
    </row>
    <row r="274" spans="1:23" ht="15" customHeight="1">
      <c r="A274" s="26" t="s">
        <v>1033</v>
      </c>
      <c r="B274" s="7" t="s">
        <v>84</v>
      </c>
      <c r="C274" s="26" t="s">
        <v>1035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  <c r="V274" s="148">
        <v>68585</v>
      </c>
      <c r="W274" s="28">
        <v>58688</v>
      </c>
    </row>
    <row r="275" spans="1:23" ht="15" customHeight="1">
      <c r="A275" s="7"/>
      <c r="B275" s="7"/>
      <c r="C275" s="26" t="s">
        <v>1034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  <c r="V275" s="148">
        <v>58099</v>
      </c>
      <c r="W275" s="28">
        <v>56424</v>
      </c>
    </row>
    <row r="276" spans="1:23" ht="15" customHeight="1">
      <c r="A276" s="7"/>
      <c r="B276" s="7"/>
      <c r="C276" s="26" t="s">
        <v>1012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  <c r="V276" s="148">
        <v>126684</v>
      </c>
      <c r="W276" s="28">
        <v>115112</v>
      </c>
    </row>
    <row r="277" spans="1:23" ht="15" customHeight="1">
      <c r="A277" s="29" t="s">
        <v>1053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147"/>
      <c r="W277" s="27"/>
    </row>
    <row r="278" spans="1:23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147"/>
      <c r="W278" s="27"/>
    </row>
    <row r="279" spans="1:23" ht="15" customHeight="1">
      <c r="A279" s="26" t="s">
        <v>1029</v>
      </c>
      <c r="B279" s="7" t="s">
        <v>78</v>
      </c>
      <c r="C279" s="26" t="s">
        <v>1035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  <c r="V279" s="148">
        <v>18720189</v>
      </c>
      <c r="W279" s="28">
        <v>18105067</v>
      </c>
    </row>
    <row r="280" spans="1:23" ht="15" customHeight="1">
      <c r="A280" s="26"/>
      <c r="B280" s="7"/>
      <c r="C280" s="26" t="s">
        <v>1034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  <c r="V280" s="148">
        <v>1140766</v>
      </c>
      <c r="W280" s="28">
        <v>1072450</v>
      </c>
    </row>
    <row r="281" spans="1:23" ht="15" customHeight="1">
      <c r="B281" s="7"/>
      <c r="C281" s="26" t="s">
        <v>1012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  <c r="V281" s="148">
        <v>19860955</v>
      </c>
      <c r="W281" s="28">
        <v>19177517</v>
      </c>
    </row>
    <row r="282" spans="1:23" ht="15" customHeight="1">
      <c r="A282" s="26" t="s">
        <v>1030</v>
      </c>
      <c r="B282" s="7" t="s">
        <v>81</v>
      </c>
      <c r="C282" s="26" t="s">
        <v>1035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  <c r="V282" s="148">
        <v>663442</v>
      </c>
      <c r="W282" s="28">
        <v>686508</v>
      </c>
    </row>
    <row r="283" spans="1:23" ht="15" customHeight="1">
      <c r="B283" s="7"/>
      <c r="C283" s="26" t="s">
        <v>1034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  <c r="V283" s="148">
        <v>120400</v>
      </c>
      <c r="W283" s="28">
        <v>125291</v>
      </c>
    </row>
    <row r="284" spans="1:23" ht="15" customHeight="1">
      <c r="A284" s="26"/>
      <c r="B284" s="7"/>
      <c r="C284" s="26" t="s">
        <v>1012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  <c r="V284" s="148">
        <v>783842</v>
      </c>
      <c r="W284" s="28">
        <v>811799</v>
      </c>
    </row>
    <row r="285" spans="1:23" ht="15" customHeight="1">
      <c r="A285" s="26" t="s">
        <v>1031</v>
      </c>
      <c r="B285" s="7" t="s">
        <v>82</v>
      </c>
      <c r="C285" s="26" t="s">
        <v>1035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  <c r="V285" s="148">
        <v>3189993</v>
      </c>
      <c r="W285" s="28">
        <v>3176174</v>
      </c>
    </row>
    <row r="286" spans="1:23" ht="15" customHeight="1">
      <c r="B286" s="7"/>
      <c r="C286" s="26" t="s">
        <v>1034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  <c r="V286" s="148">
        <v>425252</v>
      </c>
      <c r="W286" s="28">
        <v>416412</v>
      </c>
    </row>
    <row r="287" spans="1:23" ht="15" customHeight="1">
      <c r="A287" s="26"/>
      <c r="B287" s="7"/>
      <c r="C287" s="26" t="s">
        <v>1012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  <c r="V287" s="148">
        <v>3615245</v>
      </c>
      <c r="W287" s="28">
        <v>3592586</v>
      </c>
    </row>
    <row r="288" spans="1:23" ht="15" customHeight="1">
      <c r="A288" s="26" t="s">
        <v>1032</v>
      </c>
      <c r="B288" s="7" t="s">
        <v>83</v>
      </c>
      <c r="C288" s="26" t="s">
        <v>1035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  <c r="V288" s="148">
        <v>42019</v>
      </c>
      <c r="W288" s="28">
        <v>32910</v>
      </c>
    </row>
    <row r="289" spans="1:23" ht="15" customHeight="1">
      <c r="B289" s="7"/>
      <c r="C289" s="26" t="s">
        <v>1034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  <c r="V289" s="148">
        <v>63918</v>
      </c>
      <c r="W289" s="28">
        <v>62554</v>
      </c>
    </row>
    <row r="290" spans="1:23" ht="15" customHeight="1">
      <c r="A290" s="26"/>
      <c r="B290" s="7"/>
      <c r="C290" s="26" t="s">
        <v>1012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  <c r="V290" s="148">
        <v>105937</v>
      </c>
      <c r="W290" s="28">
        <v>95464</v>
      </c>
    </row>
    <row r="291" spans="1:23" ht="15" customHeight="1">
      <c r="A291" s="26" t="s">
        <v>1033</v>
      </c>
      <c r="B291" s="7" t="s">
        <v>84</v>
      </c>
      <c r="C291" s="26" t="s">
        <v>1035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  <c r="V291" s="148">
        <v>22615643</v>
      </c>
      <c r="W291" s="28">
        <v>22000659</v>
      </c>
    </row>
    <row r="292" spans="1:23" ht="15" customHeight="1">
      <c r="A292" s="7"/>
      <c r="B292" s="7"/>
      <c r="C292" s="26" t="s">
        <v>1034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  <c r="V292" s="148">
        <v>1750336</v>
      </c>
      <c r="W292" s="28">
        <v>1676707</v>
      </c>
    </row>
    <row r="293" spans="1:23" ht="15" customHeight="1">
      <c r="A293" s="7"/>
      <c r="B293" s="7"/>
      <c r="C293" s="26" t="s">
        <v>1012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  <c r="V293" s="148">
        <v>24365979</v>
      </c>
      <c r="W293" s="28">
        <v>23677366</v>
      </c>
    </row>
    <row r="294" spans="1:23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W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P147"/>
  <sheetViews>
    <sheetView workbookViewId="0">
      <selection activeCell="E25" sqref="E25"/>
    </sheetView>
  </sheetViews>
  <sheetFormatPr defaultColWidth="9" defaultRowHeight="13.8"/>
  <cols>
    <col min="1" max="3" width="9" style="19"/>
    <col min="4" max="4" width="19.33203125" style="19" customWidth="1"/>
    <col min="5" max="5" width="3.44140625" style="19" customWidth="1"/>
    <col min="6" max="7" width="1.44140625" style="19" customWidth="1"/>
    <col min="8" max="8" width="23.21875" style="19" customWidth="1"/>
    <col min="9" max="9" width="12.44140625" style="19" bestFit="1" customWidth="1"/>
    <col min="10" max="10" width="11.33203125" style="19" bestFit="1" customWidth="1"/>
    <col min="11" max="16384" width="9" style="19"/>
  </cols>
  <sheetData>
    <row r="1" spans="3:16">
      <c r="D1" s="31" t="s">
        <v>91</v>
      </c>
    </row>
    <row r="2" spans="3:16">
      <c r="D2" s="149" t="s">
        <v>863</v>
      </c>
      <c r="E2" s="32"/>
    </row>
    <row r="3" spans="3:16">
      <c r="D3" s="21"/>
      <c r="E3" s="21"/>
      <c r="F3" s="21"/>
      <c r="G3" s="21"/>
      <c r="H3" s="21" t="s">
        <v>1011</v>
      </c>
      <c r="I3" s="33" t="s">
        <v>1012</v>
      </c>
      <c r="J3" s="19">
        <v>2020.12</v>
      </c>
      <c r="K3" s="19">
        <v>2019.12</v>
      </c>
    </row>
    <row r="4" spans="3:16">
      <c r="C4" s="19" t="s">
        <v>888</v>
      </c>
      <c r="D4" s="26" t="s">
        <v>90</v>
      </c>
      <c r="E4" s="26"/>
      <c r="F4" s="26"/>
      <c r="G4" s="26"/>
      <c r="H4" s="26"/>
      <c r="I4" s="28">
        <v>24365979</v>
      </c>
      <c r="J4" s="150">
        <v>24365979</v>
      </c>
      <c r="K4" s="28">
        <v>23677366</v>
      </c>
      <c r="M4" s="151" t="s">
        <v>1015</v>
      </c>
      <c r="N4" s="151"/>
      <c r="O4" s="151"/>
      <c r="P4" s="151"/>
    </row>
    <row r="5" spans="3:16">
      <c r="C5" s="19" t="s">
        <v>889</v>
      </c>
      <c r="D5" s="26"/>
      <c r="E5" s="26" t="s">
        <v>93</v>
      </c>
      <c r="F5" s="26"/>
      <c r="G5" s="26"/>
      <c r="H5" s="26"/>
      <c r="I5" s="152">
        <v>19860955</v>
      </c>
      <c r="J5" s="150">
        <v>19860955</v>
      </c>
      <c r="K5" s="152">
        <v>19177517</v>
      </c>
      <c r="M5" s="151" t="s">
        <v>93</v>
      </c>
      <c r="N5" s="151"/>
      <c r="O5" s="151"/>
      <c r="P5" s="151"/>
    </row>
    <row r="6" spans="3:16">
      <c r="C6" s="19" t="s">
        <v>890</v>
      </c>
      <c r="D6" s="26"/>
      <c r="E6" s="26"/>
      <c r="F6" s="26" t="s">
        <v>94</v>
      </c>
      <c r="G6" s="26"/>
      <c r="H6" s="26"/>
      <c r="I6" s="153">
        <v>13627521</v>
      </c>
      <c r="J6" s="150">
        <v>13627521</v>
      </c>
      <c r="K6" s="153">
        <v>13426436</v>
      </c>
      <c r="M6" s="151" t="s">
        <v>1014</v>
      </c>
      <c r="N6" s="151" t="s">
        <v>94</v>
      </c>
      <c r="O6" s="151"/>
      <c r="P6" s="151"/>
    </row>
    <row r="7" spans="3:16">
      <c r="C7" s="19" t="s">
        <v>891</v>
      </c>
      <c r="D7" s="26"/>
      <c r="E7" s="26"/>
      <c r="F7" s="26"/>
      <c r="G7" s="26" t="s">
        <v>95</v>
      </c>
      <c r="H7" s="26"/>
      <c r="I7" s="152">
        <v>11689470</v>
      </c>
      <c r="J7" s="150">
        <v>11689470</v>
      </c>
      <c r="K7" s="152">
        <v>11634606</v>
      </c>
      <c r="M7" s="151"/>
      <c r="N7" s="151" t="s">
        <v>1013</v>
      </c>
      <c r="O7" s="151" t="s">
        <v>95</v>
      </c>
      <c r="P7" s="151"/>
    </row>
    <row r="8" spans="3:16">
      <c r="C8" s="19" t="s">
        <v>875</v>
      </c>
      <c r="D8" s="26"/>
      <c r="E8" s="26"/>
      <c r="F8" s="26"/>
      <c r="G8" s="26"/>
      <c r="H8" s="26" t="s">
        <v>96</v>
      </c>
      <c r="I8" s="154">
        <v>146185</v>
      </c>
      <c r="J8" s="150">
        <v>146185</v>
      </c>
      <c r="K8" s="154">
        <v>183311</v>
      </c>
      <c r="M8" s="151"/>
      <c r="N8" s="151"/>
      <c r="O8" s="151" t="s">
        <v>875</v>
      </c>
      <c r="P8" s="151" t="s">
        <v>96</v>
      </c>
    </row>
    <row r="9" spans="3:16">
      <c r="C9" s="19" t="s">
        <v>876</v>
      </c>
      <c r="D9" s="26"/>
      <c r="E9" s="26"/>
      <c r="F9" s="26"/>
      <c r="G9" s="26"/>
      <c r="H9" s="26" t="s">
        <v>97</v>
      </c>
      <c r="I9" s="154">
        <v>1763118</v>
      </c>
      <c r="J9" s="150">
        <v>1763118</v>
      </c>
      <c r="K9" s="154">
        <v>1707951</v>
      </c>
      <c r="M9" s="151"/>
      <c r="N9" s="151"/>
      <c r="O9" s="151" t="s">
        <v>876</v>
      </c>
      <c r="P9" s="151" t="s">
        <v>97</v>
      </c>
    </row>
    <row r="10" spans="3:16">
      <c r="C10" s="19" t="s">
        <v>877</v>
      </c>
      <c r="D10" s="26"/>
      <c r="E10" s="26"/>
      <c r="F10" s="26"/>
      <c r="G10" s="26"/>
      <c r="H10" s="26" t="s">
        <v>98</v>
      </c>
      <c r="I10" s="154">
        <v>705219</v>
      </c>
      <c r="J10" s="150">
        <v>705219</v>
      </c>
      <c r="K10" s="154">
        <v>796964</v>
      </c>
      <c r="M10" s="151"/>
      <c r="N10" s="151"/>
      <c r="O10" s="151" t="s">
        <v>877</v>
      </c>
      <c r="P10" s="151" t="s">
        <v>98</v>
      </c>
    </row>
    <row r="11" spans="3:16">
      <c r="C11" s="19" t="s">
        <v>878</v>
      </c>
      <c r="D11" s="26"/>
      <c r="E11" s="26"/>
      <c r="F11" s="26"/>
      <c r="G11" s="26"/>
      <c r="H11" s="26" t="s">
        <v>99</v>
      </c>
      <c r="I11" s="154">
        <v>6114232</v>
      </c>
      <c r="J11" s="150">
        <v>6114232</v>
      </c>
      <c r="K11" s="154">
        <v>6158984</v>
      </c>
      <c r="M11" s="151"/>
      <c r="N11" s="151"/>
      <c r="O11" s="151" t="s">
        <v>878</v>
      </c>
      <c r="P11" s="151" t="s">
        <v>99</v>
      </c>
    </row>
    <row r="12" spans="3:16">
      <c r="C12" s="19" t="s">
        <v>879</v>
      </c>
      <c r="D12" s="26"/>
      <c r="E12" s="26"/>
      <c r="F12" s="26"/>
      <c r="G12" s="26"/>
      <c r="H12" s="26" t="s">
        <v>100</v>
      </c>
      <c r="I12" s="155">
        <v>1146082</v>
      </c>
      <c r="J12" s="150">
        <v>1146082</v>
      </c>
      <c r="K12" s="155">
        <v>985505</v>
      </c>
      <c r="M12" s="151"/>
      <c r="N12" s="151"/>
      <c r="O12" s="151" t="s">
        <v>879</v>
      </c>
      <c r="P12" s="151" t="s">
        <v>100</v>
      </c>
    </row>
    <row r="13" spans="3:16">
      <c r="C13" s="19" t="s">
        <v>880</v>
      </c>
      <c r="D13" s="26"/>
      <c r="E13" s="26"/>
      <c r="F13" s="26"/>
      <c r="G13" s="26"/>
      <c r="H13" s="26" t="s">
        <v>101</v>
      </c>
      <c r="I13" s="155">
        <v>983921</v>
      </c>
      <c r="J13" s="150">
        <v>983921</v>
      </c>
      <c r="K13" s="155">
        <v>999171</v>
      </c>
      <c r="M13" s="151"/>
      <c r="N13" s="151"/>
      <c r="O13" s="151" t="s">
        <v>880</v>
      </c>
      <c r="P13" s="151" t="s">
        <v>101</v>
      </c>
    </row>
    <row r="14" spans="3:16">
      <c r="C14" s="19" t="s">
        <v>881</v>
      </c>
      <c r="D14" s="26"/>
      <c r="E14" s="26"/>
      <c r="F14" s="26"/>
      <c r="G14" s="26"/>
      <c r="H14" s="26" t="s">
        <v>102</v>
      </c>
      <c r="I14" s="155">
        <v>561245</v>
      </c>
      <c r="J14" s="150">
        <v>561245</v>
      </c>
      <c r="K14" s="155">
        <v>546579</v>
      </c>
      <c r="M14" s="151"/>
      <c r="N14" s="151"/>
      <c r="O14" s="151" t="s">
        <v>881</v>
      </c>
      <c r="P14" s="151" t="s">
        <v>102</v>
      </c>
    </row>
    <row r="15" spans="3:16">
      <c r="C15" s="19" t="s">
        <v>882</v>
      </c>
      <c r="D15" s="26"/>
      <c r="E15" s="26"/>
      <c r="F15" s="26"/>
      <c r="G15" s="26"/>
      <c r="H15" s="26" t="s">
        <v>103</v>
      </c>
      <c r="I15" s="155">
        <v>230840</v>
      </c>
      <c r="J15" s="150">
        <v>230840</v>
      </c>
      <c r="K15" s="155">
        <v>219271</v>
      </c>
      <c r="M15" s="151"/>
      <c r="N15" s="151"/>
      <c r="O15" s="151" t="s">
        <v>882</v>
      </c>
      <c r="P15" s="151" t="s">
        <v>103</v>
      </c>
    </row>
    <row r="16" spans="3:16">
      <c r="C16" s="19" t="s">
        <v>883</v>
      </c>
      <c r="D16" s="26"/>
      <c r="E16" s="26"/>
      <c r="F16" s="26"/>
      <c r="G16" s="26"/>
      <c r="H16" s="26" t="s">
        <v>104</v>
      </c>
      <c r="I16" s="155">
        <v>2792</v>
      </c>
      <c r="J16" s="150">
        <v>2792</v>
      </c>
      <c r="K16" s="155">
        <v>3378</v>
      </c>
      <c r="M16" s="151"/>
      <c r="N16" s="151"/>
      <c r="O16" s="151" t="s">
        <v>883</v>
      </c>
      <c r="P16" s="151" t="s">
        <v>104</v>
      </c>
    </row>
    <row r="17" spans="3:16">
      <c r="C17" s="19" t="s">
        <v>884</v>
      </c>
      <c r="D17" s="26"/>
      <c r="E17" s="26"/>
      <c r="F17" s="26"/>
      <c r="G17" s="26"/>
      <c r="H17" s="26" t="s">
        <v>105</v>
      </c>
      <c r="I17" s="155">
        <v>7003</v>
      </c>
      <c r="J17" s="150">
        <v>7003</v>
      </c>
      <c r="K17" s="155">
        <v>7149</v>
      </c>
      <c r="M17" s="151"/>
      <c r="N17" s="151"/>
      <c r="O17" s="151" t="s">
        <v>884</v>
      </c>
      <c r="P17" s="151" t="s">
        <v>105</v>
      </c>
    </row>
    <row r="18" spans="3:16">
      <c r="C18" s="19" t="s">
        <v>885</v>
      </c>
      <c r="D18" s="26"/>
      <c r="E18" s="26"/>
      <c r="F18" s="26"/>
      <c r="G18" s="26"/>
      <c r="H18" s="26" t="s">
        <v>106</v>
      </c>
      <c r="I18" s="155">
        <v>18352</v>
      </c>
      <c r="J18" s="150">
        <v>18352</v>
      </c>
      <c r="K18" s="155">
        <v>17070</v>
      </c>
      <c r="M18" s="151"/>
      <c r="N18" s="151"/>
      <c r="O18" s="151" t="s">
        <v>885</v>
      </c>
      <c r="P18" s="151" t="s">
        <v>106</v>
      </c>
    </row>
    <row r="19" spans="3:16">
      <c r="C19" s="19" t="s">
        <v>886</v>
      </c>
      <c r="D19" s="26"/>
      <c r="E19" s="26"/>
      <c r="F19" s="26"/>
      <c r="G19" s="26"/>
      <c r="H19" s="26" t="s">
        <v>107</v>
      </c>
      <c r="I19" s="154">
        <v>30</v>
      </c>
      <c r="J19" s="150">
        <v>30</v>
      </c>
      <c r="K19" s="154">
        <v>31</v>
      </c>
      <c r="M19" s="151"/>
      <c r="N19" s="151"/>
      <c r="O19" s="151" t="s">
        <v>886</v>
      </c>
      <c r="P19" s="151" t="s">
        <v>107</v>
      </c>
    </row>
    <row r="20" spans="3:16">
      <c r="C20" s="19" t="s">
        <v>887</v>
      </c>
      <c r="D20" s="26"/>
      <c r="E20" s="26"/>
      <c r="F20" s="26"/>
      <c r="G20" s="26"/>
      <c r="H20" s="26" t="s">
        <v>108</v>
      </c>
      <c r="I20" s="154">
        <v>10451</v>
      </c>
      <c r="J20" s="150">
        <v>10451</v>
      </c>
      <c r="K20" s="154">
        <v>9242</v>
      </c>
      <c r="M20" s="151"/>
      <c r="N20" s="151"/>
      <c r="O20" s="151" t="s">
        <v>887</v>
      </c>
      <c r="P20" s="151" t="s">
        <v>108</v>
      </c>
    </row>
    <row r="21" spans="3:16">
      <c r="C21" s="19" t="s">
        <v>905</v>
      </c>
      <c r="D21" s="26"/>
      <c r="E21" s="26"/>
      <c r="F21" s="26"/>
      <c r="G21" s="26" t="s">
        <v>109</v>
      </c>
      <c r="H21" s="26"/>
      <c r="I21" s="27">
        <v>1938051</v>
      </c>
      <c r="J21" s="150">
        <v>1938051</v>
      </c>
      <c r="K21" s="27">
        <v>1791830</v>
      </c>
      <c r="M21" s="151"/>
      <c r="N21" s="151"/>
      <c r="O21" s="151" t="s">
        <v>109</v>
      </c>
      <c r="P21" s="151"/>
    </row>
    <row r="22" spans="3:16">
      <c r="C22" s="19" t="s">
        <v>892</v>
      </c>
      <c r="D22" s="26"/>
      <c r="E22" s="26"/>
      <c r="F22" s="26"/>
      <c r="G22" s="26"/>
      <c r="H22" s="26" t="s">
        <v>110</v>
      </c>
      <c r="I22" s="154">
        <v>2469</v>
      </c>
      <c r="J22" s="150">
        <v>2469</v>
      </c>
      <c r="K22" s="154">
        <v>2496</v>
      </c>
      <c r="M22" s="151"/>
      <c r="N22" s="151"/>
      <c r="O22" s="151"/>
      <c r="P22" s="151" t="s">
        <v>110</v>
      </c>
    </row>
    <row r="23" spans="3:16">
      <c r="C23" s="19" t="s">
        <v>893</v>
      </c>
      <c r="D23" s="26"/>
      <c r="E23" s="26"/>
      <c r="F23" s="26"/>
      <c r="G23" s="26"/>
      <c r="H23" s="26" t="s">
        <v>111</v>
      </c>
      <c r="I23" s="154">
        <v>1963</v>
      </c>
      <c r="J23" s="150">
        <v>1963</v>
      </c>
      <c r="K23" s="154">
        <v>1969</v>
      </c>
      <c r="M23" s="151"/>
      <c r="N23" s="151"/>
      <c r="O23" s="151"/>
      <c r="P23" s="151" t="s">
        <v>111</v>
      </c>
    </row>
    <row r="24" spans="3:16">
      <c r="C24" s="19" t="s">
        <v>894</v>
      </c>
      <c r="D24" s="26"/>
      <c r="E24" s="26"/>
      <c r="F24" s="26"/>
      <c r="G24" s="26"/>
      <c r="H24" s="26" t="s">
        <v>112</v>
      </c>
      <c r="I24" s="154">
        <v>149213</v>
      </c>
      <c r="J24" s="150">
        <v>149213</v>
      </c>
      <c r="K24" s="154">
        <v>138013</v>
      </c>
      <c r="M24" s="151"/>
      <c r="N24" s="151"/>
      <c r="O24" s="151"/>
      <c r="P24" s="151" t="s">
        <v>112</v>
      </c>
    </row>
    <row r="25" spans="3:16">
      <c r="C25" s="19" t="s">
        <v>895</v>
      </c>
      <c r="D25" s="26"/>
      <c r="E25" s="26"/>
      <c r="F25" s="26"/>
      <c r="G25" s="26"/>
      <c r="H25" s="26" t="s">
        <v>113</v>
      </c>
      <c r="I25" s="154">
        <v>964949</v>
      </c>
      <c r="J25" s="150">
        <v>964949</v>
      </c>
      <c r="K25" s="154">
        <v>865470</v>
      </c>
      <c r="M25" s="151"/>
      <c r="N25" s="151"/>
      <c r="O25" s="151"/>
      <c r="P25" s="151" t="s">
        <v>113</v>
      </c>
    </row>
    <row r="26" spans="3:16">
      <c r="C26" s="19" t="s">
        <v>896</v>
      </c>
      <c r="D26" s="26"/>
      <c r="E26" s="26"/>
      <c r="F26" s="26"/>
      <c r="G26" s="26"/>
      <c r="H26" s="26" t="s">
        <v>114</v>
      </c>
      <c r="I26" s="155">
        <v>280102</v>
      </c>
      <c r="J26" s="150">
        <v>280102</v>
      </c>
      <c r="K26" s="155">
        <v>273985</v>
      </c>
      <c r="M26" s="151"/>
      <c r="N26" s="151"/>
      <c r="O26" s="151"/>
      <c r="P26" s="151" t="s">
        <v>114</v>
      </c>
    </row>
    <row r="27" spans="3:16">
      <c r="C27" s="19" t="s">
        <v>897</v>
      </c>
      <c r="D27" s="26"/>
      <c r="E27" s="26"/>
      <c r="F27" s="26"/>
      <c r="G27" s="26"/>
      <c r="H27" s="26" t="s">
        <v>115</v>
      </c>
      <c r="I27" s="155">
        <v>252821</v>
      </c>
      <c r="J27" s="150">
        <v>252821</v>
      </c>
      <c r="K27" s="155">
        <v>234898</v>
      </c>
      <c r="M27" s="151"/>
      <c r="N27" s="151"/>
      <c r="O27" s="151"/>
      <c r="P27" s="151" t="s">
        <v>115</v>
      </c>
    </row>
    <row r="28" spans="3:16">
      <c r="C28" s="19" t="s">
        <v>898</v>
      </c>
      <c r="D28" s="26"/>
      <c r="E28" s="26"/>
      <c r="F28" s="26"/>
      <c r="G28" s="26"/>
      <c r="H28" s="26" t="s">
        <v>116</v>
      </c>
      <c r="I28" s="155">
        <v>128341</v>
      </c>
      <c r="J28" s="150">
        <v>128341</v>
      </c>
      <c r="K28" s="155">
        <v>132043</v>
      </c>
      <c r="M28" s="151"/>
      <c r="N28" s="151"/>
      <c r="O28" s="151"/>
      <c r="P28" s="151" t="s">
        <v>116</v>
      </c>
    </row>
    <row r="29" spans="3:16">
      <c r="C29" s="19" t="s">
        <v>899</v>
      </c>
      <c r="D29" s="26"/>
      <c r="E29" s="26"/>
      <c r="F29" s="26"/>
      <c r="G29" s="26"/>
      <c r="H29" s="26" t="s">
        <v>117</v>
      </c>
      <c r="I29" s="155">
        <v>60285</v>
      </c>
      <c r="J29" s="150">
        <v>60285</v>
      </c>
      <c r="K29" s="155">
        <v>58013</v>
      </c>
      <c r="M29" s="151"/>
      <c r="N29" s="151"/>
      <c r="O29" s="151"/>
      <c r="P29" s="151" t="s">
        <v>117</v>
      </c>
    </row>
    <row r="30" spans="3:16">
      <c r="C30" s="19" t="s">
        <v>900</v>
      </c>
      <c r="D30" s="26"/>
      <c r="E30" s="26"/>
      <c r="F30" s="26"/>
      <c r="G30" s="26"/>
      <c r="H30" s="26" t="s">
        <v>118</v>
      </c>
      <c r="I30" s="155">
        <v>19969</v>
      </c>
      <c r="J30" s="150">
        <v>19969</v>
      </c>
      <c r="K30" s="155">
        <v>20953</v>
      </c>
      <c r="M30" s="151"/>
      <c r="N30" s="151"/>
      <c r="O30" s="151"/>
      <c r="P30" s="151" t="s">
        <v>118</v>
      </c>
    </row>
    <row r="31" spans="3:16">
      <c r="C31" s="19" t="s">
        <v>901</v>
      </c>
      <c r="D31" s="26"/>
      <c r="E31" s="26"/>
      <c r="F31" s="26"/>
      <c r="G31" s="26"/>
      <c r="H31" s="26" t="s">
        <v>119</v>
      </c>
      <c r="I31" s="155">
        <v>22420</v>
      </c>
      <c r="J31" s="150">
        <v>22420</v>
      </c>
      <c r="K31" s="155">
        <v>23290</v>
      </c>
      <c r="M31" s="151"/>
      <c r="N31" s="151"/>
      <c r="O31" s="151"/>
      <c r="P31" s="151" t="s">
        <v>119</v>
      </c>
    </row>
    <row r="32" spans="3:16">
      <c r="C32" s="19" t="s">
        <v>902</v>
      </c>
      <c r="D32" s="26"/>
      <c r="E32" s="26"/>
      <c r="F32" s="26"/>
      <c r="G32" s="26"/>
      <c r="H32" s="26" t="s">
        <v>120</v>
      </c>
      <c r="I32" s="155">
        <v>26121</v>
      </c>
      <c r="J32" s="150">
        <v>26121</v>
      </c>
      <c r="K32" s="155">
        <v>25643</v>
      </c>
      <c r="M32" s="151"/>
      <c r="N32" s="151"/>
      <c r="O32" s="151"/>
      <c r="P32" s="151" t="s">
        <v>120</v>
      </c>
    </row>
    <row r="33" spans="3:16">
      <c r="C33" s="19" t="s">
        <v>903</v>
      </c>
      <c r="D33" s="26"/>
      <c r="E33" s="26"/>
      <c r="F33" s="26"/>
      <c r="G33" s="26"/>
      <c r="H33" s="26" t="s">
        <v>121</v>
      </c>
      <c r="I33" s="154">
        <v>0</v>
      </c>
      <c r="J33" s="150">
        <v>0</v>
      </c>
      <c r="K33" s="154">
        <v>0</v>
      </c>
      <c r="M33" s="151"/>
      <c r="N33" s="151"/>
      <c r="O33" s="151"/>
      <c r="P33" s="151" t="s">
        <v>121</v>
      </c>
    </row>
    <row r="34" spans="3:16">
      <c r="C34" s="19" t="s">
        <v>904</v>
      </c>
      <c r="D34" s="26"/>
      <c r="E34" s="26"/>
      <c r="F34" s="26"/>
      <c r="G34" s="26"/>
      <c r="H34" s="26" t="s">
        <v>122</v>
      </c>
      <c r="I34" s="154">
        <v>29398</v>
      </c>
      <c r="J34" s="150">
        <v>29398</v>
      </c>
      <c r="K34" s="154">
        <v>15057</v>
      </c>
      <c r="M34" s="151"/>
      <c r="N34" s="151"/>
      <c r="O34" s="151"/>
      <c r="P34" s="151" t="s">
        <v>122</v>
      </c>
    </row>
    <row r="35" spans="3:16">
      <c r="C35" s="19" t="s">
        <v>914</v>
      </c>
      <c r="D35" s="26"/>
      <c r="E35" s="26"/>
      <c r="F35" s="26" t="s">
        <v>123</v>
      </c>
      <c r="G35" s="26"/>
      <c r="H35" s="26"/>
      <c r="I35" s="28">
        <v>76936</v>
      </c>
      <c r="J35" s="150">
        <v>76936</v>
      </c>
      <c r="K35" s="28">
        <v>72132</v>
      </c>
      <c r="M35" s="151" t="s">
        <v>914</v>
      </c>
      <c r="N35" s="151" t="s">
        <v>123</v>
      </c>
      <c r="O35" s="151"/>
      <c r="P35" s="151"/>
    </row>
    <row r="36" spans="3:16">
      <c r="C36" s="19" t="s">
        <v>906</v>
      </c>
      <c r="D36" s="26"/>
      <c r="E36" s="26"/>
      <c r="F36" s="26"/>
      <c r="G36" s="26"/>
      <c r="H36" s="26" t="s">
        <v>124</v>
      </c>
      <c r="I36" s="154">
        <v>72950</v>
      </c>
      <c r="J36" s="150">
        <v>72950</v>
      </c>
      <c r="K36" s="154">
        <v>68070</v>
      </c>
      <c r="M36" s="151"/>
      <c r="N36" s="151"/>
      <c r="O36" s="151" t="s">
        <v>906</v>
      </c>
      <c r="P36" s="151" t="s">
        <v>124</v>
      </c>
    </row>
    <row r="37" spans="3:16">
      <c r="C37" s="19" t="s">
        <v>907</v>
      </c>
      <c r="D37" s="26"/>
      <c r="E37" s="26"/>
      <c r="F37" s="26"/>
      <c r="G37" s="26"/>
      <c r="H37" s="26" t="s">
        <v>125</v>
      </c>
      <c r="I37" s="154">
        <v>43</v>
      </c>
      <c r="J37" s="150">
        <v>43</v>
      </c>
      <c r="K37" s="154">
        <v>45</v>
      </c>
      <c r="M37" s="151"/>
      <c r="N37" s="151"/>
      <c r="O37" s="151" t="s">
        <v>907</v>
      </c>
      <c r="P37" s="151" t="s">
        <v>125</v>
      </c>
    </row>
    <row r="38" spans="3:16">
      <c r="C38" s="19" t="s">
        <v>908</v>
      </c>
      <c r="D38" s="26"/>
      <c r="E38" s="26"/>
      <c r="F38" s="26"/>
      <c r="G38" s="26"/>
      <c r="H38" s="26" t="s">
        <v>126</v>
      </c>
      <c r="I38" s="155">
        <v>3158</v>
      </c>
      <c r="J38" s="150">
        <v>3158</v>
      </c>
      <c r="K38" s="155">
        <v>3202</v>
      </c>
      <c r="M38" s="151"/>
      <c r="N38" s="151"/>
      <c r="O38" s="151" t="s">
        <v>908</v>
      </c>
      <c r="P38" s="151" t="s">
        <v>126</v>
      </c>
    </row>
    <row r="39" spans="3:16">
      <c r="C39" s="19" t="s">
        <v>909</v>
      </c>
      <c r="D39" s="26"/>
      <c r="E39" s="26"/>
      <c r="F39" s="26"/>
      <c r="G39" s="26"/>
      <c r="H39" s="26" t="s">
        <v>127</v>
      </c>
      <c r="I39" s="155">
        <v>239</v>
      </c>
      <c r="J39" s="150">
        <v>239</v>
      </c>
      <c r="K39" s="155">
        <v>217</v>
      </c>
      <c r="M39" s="151"/>
      <c r="N39" s="151"/>
      <c r="O39" s="151" t="s">
        <v>909</v>
      </c>
      <c r="P39" s="151" t="s">
        <v>127</v>
      </c>
    </row>
    <row r="40" spans="3:16">
      <c r="C40" s="19" t="s">
        <v>910</v>
      </c>
      <c r="D40" s="26"/>
      <c r="E40" s="26"/>
      <c r="F40" s="26"/>
      <c r="G40" s="26"/>
      <c r="H40" s="26" t="s">
        <v>128</v>
      </c>
      <c r="I40" s="155">
        <v>60</v>
      </c>
      <c r="J40" s="150">
        <v>60</v>
      </c>
      <c r="K40" s="155">
        <v>63</v>
      </c>
      <c r="M40" s="151"/>
      <c r="N40" s="151"/>
      <c r="O40" s="151" t="s">
        <v>910</v>
      </c>
      <c r="P40" s="151" t="s">
        <v>128</v>
      </c>
    </row>
    <row r="41" spans="3:16">
      <c r="C41" s="19" t="s">
        <v>911</v>
      </c>
      <c r="D41" s="26"/>
      <c r="E41" s="26"/>
      <c r="F41" s="26"/>
      <c r="G41" s="26"/>
      <c r="H41" s="26" t="s">
        <v>129</v>
      </c>
      <c r="I41" s="155">
        <v>486</v>
      </c>
      <c r="J41" s="150">
        <v>486</v>
      </c>
      <c r="K41" s="155">
        <v>535</v>
      </c>
      <c r="M41" s="151"/>
      <c r="N41" s="151"/>
      <c r="O41" s="151" t="s">
        <v>911</v>
      </c>
      <c r="P41" s="151" t="s">
        <v>129</v>
      </c>
    </row>
    <row r="42" spans="3:16">
      <c r="C42" s="19" t="s">
        <v>912</v>
      </c>
      <c r="D42" s="26"/>
      <c r="E42" s="26"/>
      <c r="F42" s="26"/>
      <c r="G42" s="26"/>
      <c r="H42" s="26" t="s">
        <v>130</v>
      </c>
      <c r="I42" s="154">
        <v>0</v>
      </c>
      <c r="J42" s="150">
        <v>0</v>
      </c>
      <c r="K42" s="154">
        <v>0</v>
      </c>
      <c r="M42" s="151"/>
      <c r="N42" s="151"/>
      <c r="O42" s="151" t="s">
        <v>912</v>
      </c>
      <c r="P42" s="151" t="s">
        <v>130</v>
      </c>
    </row>
    <row r="43" spans="3:16">
      <c r="C43" s="19" t="s">
        <v>913</v>
      </c>
      <c r="D43" s="26"/>
      <c r="E43" s="26"/>
      <c r="F43" s="26"/>
      <c r="G43" s="26"/>
      <c r="H43" s="26" t="s">
        <v>131</v>
      </c>
      <c r="I43" s="154">
        <v>0</v>
      </c>
      <c r="J43" s="150">
        <v>0</v>
      </c>
      <c r="K43" s="154">
        <v>0</v>
      </c>
      <c r="M43" s="151"/>
      <c r="N43" s="151"/>
      <c r="O43" s="151" t="s">
        <v>913</v>
      </c>
      <c r="P43" s="151" t="s">
        <v>131</v>
      </c>
    </row>
    <row r="44" spans="3:16">
      <c r="C44" s="19" t="s">
        <v>923</v>
      </c>
      <c r="D44" s="26"/>
      <c r="E44" s="26"/>
      <c r="F44" s="26" t="s">
        <v>132</v>
      </c>
      <c r="G44" s="26"/>
      <c r="H44" s="26"/>
      <c r="I44" s="27">
        <v>4927216</v>
      </c>
      <c r="J44" s="150">
        <v>4927216</v>
      </c>
      <c r="K44" s="27">
        <v>4557850</v>
      </c>
      <c r="M44" s="151"/>
      <c r="N44" s="151" t="s">
        <v>132</v>
      </c>
      <c r="O44" s="151"/>
      <c r="P44" s="151"/>
    </row>
    <row r="45" spans="3:16">
      <c r="C45" s="19" t="s">
        <v>915</v>
      </c>
      <c r="D45" s="26"/>
      <c r="E45" s="26"/>
      <c r="F45" s="26"/>
      <c r="G45" s="26"/>
      <c r="H45" s="26" t="s">
        <v>133</v>
      </c>
      <c r="I45" s="154">
        <v>32827</v>
      </c>
      <c r="J45" s="150">
        <v>32827</v>
      </c>
      <c r="K45" s="154">
        <v>8413</v>
      </c>
      <c r="M45" s="151"/>
      <c r="N45" s="151"/>
      <c r="O45" s="151" t="s">
        <v>915</v>
      </c>
      <c r="P45" s="151" t="s">
        <v>133</v>
      </c>
    </row>
    <row r="46" spans="3:16">
      <c r="C46" s="19" t="s">
        <v>916</v>
      </c>
      <c r="D46" s="26"/>
      <c r="E46" s="26"/>
      <c r="F46" s="26"/>
      <c r="G46" s="26"/>
      <c r="H46" s="26" t="s">
        <v>134</v>
      </c>
      <c r="I46" s="154">
        <v>3269202</v>
      </c>
      <c r="J46" s="150">
        <v>3269202</v>
      </c>
      <c r="K46" s="154">
        <v>3092398</v>
      </c>
      <c r="M46" s="151"/>
      <c r="N46" s="151"/>
      <c r="O46" s="151" t="s">
        <v>916</v>
      </c>
      <c r="P46" s="151" t="s">
        <v>134</v>
      </c>
    </row>
    <row r="47" spans="3:16">
      <c r="C47" s="19" t="s">
        <v>917</v>
      </c>
      <c r="D47" s="26"/>
      <c r="E47" s="26"/>
      <c r="F47" s="26"/>
      <c r="G47" s="26"/>
      <c r="H47" s="26" t="s">
        <v>135</v>
      </c>
      <c r="I47" s="155">
        <v>971998</v>
      </c>
      <c r="J47" s="150">
        <v>971998</v>
      </c>
      <c r="K47" s="155">
        <v>876191</v>
      </c>
      <c r="M47" s="151"/>
      <c r="N47" s="151"/>
      <c r="O47" s="151" t="s">
        <v>917</v>
      </c>
      <c r="P47" s="151" t="s">
        <v>135</v>
      </c>
    </row>
    <row r="48" spans="3:16">
      <c r="C48" s="19" t="s">
        <v>918</v>
      </c>
      <c r="D48" s="26"/>
      <c r="E48" s="26"/>
      <c r="F48" s="26"/>
      <c r="G48" s="26"/>
      <c r="H48" s="26" t="s">
        <v>136</v>
      </c>
      <c r="I48" s="155">
        <v>472657</v>
      </c>
      <c r="J48" s="150">
        <v>472657</v>
      </c>
      <c r="K48" s="155">
        <v>457486</v>
      </c>
      <c r="M48" s="151"/>
      <c r="N48" s="151"/>
      <c r="O48" s="151" t="s">
        <v>918</v>
      </c>
      <c r="P48" s="151" t="s">
        <v>136</v>
      </c>
    </row>
    <row r="49" spans="3:16">
      <c r="C49" s="19" t="s">
        <v>919</v>
      </c>
      <c r="D49" s="26"/>
      <c r="E49" s="26"/>
      <c r="F49" s="26"/>
      <c r="G49" s="26"/>
      <c r="H49" s="26" t="s">
        <v>137</v>
      </c>
      <c r="I49" s="155">
        <v>46478</v>
      </c>
      <c r="J49" s="150">
        <v>46478</v>
      </c>
      <c r="K49" s="155">
        <v>38448</v>
      </c>
      <c r="M49" s="151"/>
      <c r="N49" s="151"/>
      <c r="O49" s="151" t="s">
        <v>919</v>
      </c>
      <c r="P49" s="151" t="s">
        <v>137</v>
      </c>
    </row>
    <row r="50" spans="3:16">
      <c r="C50" s="19" t="s">
        <v>920</v>
      </c>
      <c r="D50" s="26"/>
      <c r="E50" s="26"/>
      <c r="F50" s="26"/>
      <c r="G50" s="26"/>
      <c r="H50" s="26" t="s">
        <v>138</v>
      </c>
      <c r="I50" s="155">
        <v>88510</v>
      </c>
      <c r="J50" s="150">
        <v>88510</v>
      </c>
      <c r="K50" s="155">
        <v>54690</v>
      </c>
      <c r="M50" s="151"/>
      <c r="N50" s="151"/>
      <c r="O50" s="151" t="s">
        <v>920</v>
      </c>
      <c r="P50" s="151" t="s">
        <v>138</v>
      </c>
    </row>
    <row r="51" spans="3:16">
      <c r="C51" s="19" t="s">
        <v>921</v>
      </c>
      <c r="D51" s="26"/>
      <c r="E51" s="26"/>
      <c r="F51" s="26"/>
      <c r="G51" s="26"/>
      <c r="H51" s="26" t="s">
        <v>139</v>
      </c>
      <c r="I51" s="154">
        <v>3</v>
      </c>
      <c r="J51" s="150">
        <v>3</v>
      </c>
      <c r="K51" s="154">
        <v>1</v>
      </c>
      <c r="M51" s="151"/>
      <c r="N51" s="151"/>
      <c r="O51" s="151" t="s">
        <v>921</v>
      </c>
      <c r="P51" s="151" t="s">
        <v>139</v>
      </c>
    </row>
    <row r="52" spans="3:16">
      <c r="C52" s="19" t="s">
        <v>922</v>
      </c>
      <c r="D52" s="26"/>
      <c r="E52" s="26"/>
      <c r="F52" s="26"/>
      <c r="G52" s="26"/>
      <c r="H52" s="26" t="s">
        <v>140</v>
      </c>
      <c r="I52" s="154">
        <v>45541</v>
      </c>
      <c r="J52" s="150">
        <v>45541</v>
      </c>
      <c r="K52" s="154">
        <v>30223</v>
      </c>
      <c r="M52" s="151"/>
      <c r="N52" s="151"/>
      <c r="O52" s="151" t="s">
        <v>922</v>
      </c>
      <c r="P52" s="151" t="s">
        <v>140</v>
      </c>
    </row>
    <row r="53" spans="3:16">
      <c r="C53" s="19" t="s">
        <v>932</v>
      </c>
      <c r="D53" s="26"/>
      <c r="E53" s="26"/>
      <c r="F53" s="26" t="s">
        <v>141</v>
      </c>
      <c r="G53" s="26"/>
      <c r="H53" s="26"/>
      <c r="I53" s="27">
        <v>1229282</v>
      </c>
      <c r="J53" s="150">
        <v>1229282</v>
      </c>
      <c r="K53" s="27">
        <v>1121099</v>
      </c>
      <c r="M53" s="151"/>
      <c r="N53" s="151" t="s">
        <v>141</v>
      </c>
      <c r="O53" s="151"/>
      <c r="P53" s="151"/>
    </row>
    <row r="54" spans="3:16">
      <c r="C54" s="19" t="s">
        <v>930</v>
      </c>
      <c r="D54" s="26"/>
      <c r="E54" s="26"/>
      <c r="F54" s="26"/>
      <c r="G54" s="26"/>
      <c r="H54" s="26" t="s">
        <v>142</v>
      </c>
      <c r="I54" s="154">
        <v>105816</v>
      </c>
      <c r="J54" s="150">
        <v>105816</v>
      </c>
      <c r="K54" s="154">
        <v>47404</v>
      </c>
      <c r="M54" s="151"/>
      <c r="N54" s="151"/>
      <c r="O54" s="151" t="s">
        <v>930</v>
      </c>
      <c r="P54" s="151" t="s">
        <v>142</v>
      </c>
    </row>
    <row r="55" spans="3:16">
      <c r="C55" s="19" t="s">
        <v>924</v>
      </c>
      <c r="D55" s="26"/>
      <c r="E55" s="26"/>
      <c r="F55" s="26"/>
      <c r="G55" s="26"/>
      <c r="H55" s="26" t="s">
        <v>143</v>
      </c>
      <c r="I55" s="154">
        <v>572188</v>
      </c>
      <c r="J55" s="150">
        <v>572188</v>
      </c>
      <c r="K55" s="154">
        <v>563610</v>
      </c>
      <c r="M55" s="151"/>
      <c r="N55" s="151"/>
      <c r="O55" s="151" t="s">
        <v>924</v>
      </c>
      <c r="P55" s="151" t="s">
        <v>143</v>
      </c>
    </row>
    <row r="56" spans="3:16">
      <c r="C56" s="19" t="s">
        <v>925</v>
      </c>
      <c r="D56" s="26"/>
      <c r="E56" s="26"/>
      <c r="F56" s="26"/>
      <c r="G56" s="26"/>
      <c r="H56" s="26" t="s">
        <v>144</v>
      </c>
      <c r="I56" s="155">
        <v>447550</v>
      </c>
      <c r="J56" s="150">
        <v>447550</v>
      </c>
      <c r="K56" s="155">
        <v>399136</v>
      </c>
      <c r="M56" s="151"/>
      <c r="N56" s="151"/>
      <c r="O56" s="151" t="s">
        <v>925</v>
      </c>
      <c r="P56" s="151" t="s">
        <v>144</v>
      </c>
    </row>
    <row r="57" spans="3:16">
      <c r="C57" s="19" t="s">
        <v>926</v>
      </c>
      <c r="D57" s="26"/>
      <c r="E57" s="26"/>
      <c r="F57" s="26"/>
      <c r="G57" s="26"/>
      <c r="H57" s="26" t="s">
        <v>145</v>
      </c>
      <c r="I57" s="155">
        <v>47492</v>
      </c>
      <c r="J57" s="150">
        <v>47492</v>
      </c>
      <c r="K57" s="155">
        <v>64801</v>
      </c>
      <c r="M57" s="151"/>
      <c r="N57" s="151"/>
      <c r="O57" s="151" t="s">
        <v>926</v>
      </c>
      <c r="P57" s="151" t="s">
        <v>145</v>
      </c>
    </row>
    <row r="58" spans="3:16">
      <c r="C58" s="19" t="s">
        <v>927</v>
      </c>
      <c r="D58" s="26"/>
      <c r="E58" s="26"/>
      <c r="F58" s="26"/>
      <c r="G58" s="26"/>
      <c r="H58" s="26" t="s">
        <v>146</v>
      </c>
      <c r="I58" s="155">
        <v>37226</v>
      </c>
      <c r="J58" s="150">
        <v>37226</v>
      </c>
      <c r="K58" s="155">
        <v>30594</v>
      </c>
      <c r="M58" s="151"/>
      <c r="N58" s="151"/>
      <c r="O58" s="151" t="s">
        <v>927</v>
      </c>
      <c r="P58" s="151" t="s">
        <v>146</v>
      </c>
    </row>
    <row r="59" spans="3:16">
      <c r="C59" s="19" t="s">
        <v>928</v>
      </c>
      <c r="D59" s="26"/>
      <c r="E59" s="26"/>
      <c r="F59" s="26"/>
      <c r="G59" s="26"/>
      <c r="H59" s="26" t="s">
        <v>147</v>
      </c>
      <c r="I59" s="155">
        <v>2219</v>
      </c>
      <c r="J59" s="150">
        <v>2219</v>
      </c>
      <c r="K59" s="155">
        <v>2248</v>
      </c>
      <c r="M59" s="151"/>
      <c r="N59" s="151"/>
      <c r="O59" s="151" t="s">
        <v>928</v>
      </c>
      <c r="P59" s="151" t="s">
        <v>147</v>
      </c>
    </row>
    <row r="60" spans="3:16">
      <c r="C60" s="19" t="s">
        <v>929</v>
      </c>
      <c r="D60" s="26"/>
      <c r="E60" s="26"/>
      <c r="F60" s="26"/>
      <c r="G60" s="26"/>
      <c r="H60" s="26" t="s">
        <v>148</v>
      </c>
      <c r="I60" s="154">
        <v>136</v>
      </c>
      <c r="J60" s="150">
        <v>136</v>
      </c>
      <c r="K60" s="154">
        <v>48</v>
      </c>
      <c r="M60" s="151"/>
      <c r="N60" s="151"/>
      <c r="O60" s="151" t="s">
        <v>929</v>
      </c>
      <c r="P60" s="151" t="s">
        <v>148</v>
      </c>
    </row>
    <row r="61" spans="3:16">
      <c r="C61" s="19" t="s">
        <v>931</v>
      </c>
      <c r="D61" s="26"/>
      <c r="E61" s="26"/>
      <c r="F61" s="26"/>
      <c r="G61" s="26"/>
      <c r="H61" s="26" t="s">
        <v>149</v>
      </c>
      <c r="I61" s="154">
        <v>16655</v>
      </c>
      <c r="J61" s="150">
        <v>16655</v>
      </c>
      <c r="K61" s="154">
        <v>13258</v>
      </c>
      <c r="M61" s="151"/>
      <c r="N61" s="151"/>
      <c r="O61" s="151" t="s">
        <v>931</v>
      </c>
      <c r="P61" s="151" t="s">
        <v>149</v>
      </c>
    </row>
    <row r="62" spans="3:16">
      <c r="C62" s="19" t="s">
        <v>933</v>
      </c>
      <c r="D62" s="26"/>
      <c r="E62" s="26" t="s">
        <v>150</v>
      </c>
      <c r="F62" s="26"/>
      <c r="G62" s="26"/>
      <c r="H62" s="26"/>
      <c r="I62" s="27">
        <v>783842</v>
      </c>
      <c r="J62" s="150">
        <v>783842</v>
      </c>
      <c r="K62" s="27">
        <v>811799</v>
      </c>
      <c r="M62" s="151" t="s">
        <v>150</v>
      </c>
      <c r="N62" s="151"/>
      <c r="O62" s="151"/>
      <c r="P62" s="151"/>
    </row>
    <row r="63" spans="3:16">
      <c r="C63" s="19" t="s">
        <v>940</v>
      </c>
      <c r="D63" s="26"/>
      <c r="E63" s="26"/>
      <c r="F63" s="26" t="s">
        <v>151</v>
      </c>
      <c r="G63" s="26"/>
      <c r="H63" s="26"/>
      <c r="I63" s="28">
        <v>746870</v>
      </c>
      <c r="J63" s="150">
        <v>746870</v>
      </c>
      <c r="K63" s="28">
        <v>776984</v>
      </c>
      <c r="M63" s="151"/>
      <c r="N63" s="151" t="s">
        <v>151</v>
      </c>
      <c r="O63" s="151"/>
      <c r="P63" s="151"/>
    </row>
    <row r="64" spans="3:16">
      <c r="C64" s="19" t="s">
        <v>934</v>
      </c>
      <c r="D64" s="26"/>
      <c r="E64" s="26"/>
      <c r="F64" s="26"/>
      <c r="G64" s="26" t="s">
        <v>152</v>
      </c>
      <c r="H64" s="26"/>
      <c r="I64" s="155">
        <v>42182</v>
      </c>
      <c r="J64" s="150">
        <v>42182</v>
      </c>
      <c r="K64" s="155">
        <v>43137</v>
      </c>
      <c r="M64" s="151"/>
      <c r="N64" s="151"/>
      <c r="O64" s="151" t="s">
        <v>152</v>
      </c>
      <c r="P64" s="151" t="s">
        <v>934</v>
      </c>
    </row>
    <row r="65" spans="3:16">
      <c r="C65" s="19" t="s">
        <v>935</v>
      </c>
      <c r="D65" s="26"/>
      <c r="E65" s="26"/>
      <c r="F65" s="26"/>
      <c r="G65" s="26" t="s">
        <v>153</v>
      </c>
      <c r="H65" s="26"/>
      <c r="I65" s="155">
        <v>24283</v>
      </c>
      <c r="J65" s="150">
        <v>24283</v>
      </c>
      <c r="K65" s="155">
        <v>24525</v>
      </c>
      <c r="M65" s="151"/>
      <c r="N65" s="151"/>
      <c r="O65" s="151" t="s">
        <v>153</v>
      </c>
      <c r="P65" s="151" t="s">
        <v>935</v>
      </c>
    </row>
    <row r="66" spans="3:16">
      <c r="C66" s="19" t="s">
        <v>936</v>
      </c>
      <c r="D66" s="26"/>
      <c r="E66" s="26"/>
      <c r="F66" s="26"/>
      <c r="G66" s="26" t="s">
        <v>154</v>
      </c>
      <c r="H66" s="26"/>
      <c r="I66" s="155">
        <v>40287</v>
      </c>
      <c r="J66" s="150">
        <v>40287</v>
      </c>
      <c r="K66" s="155">
        <v>40952</v>
      </c>
      <c r="M66" s="151"/>
      <c r="N66" s="151"/>
      <c r="O66" s="151" t="s">
        <v>154</v>
      </c>
      <c r="P66" s="151" t="s">
        <v>936</v>
      </c>
    </row>
    <row r="67" spans="3:16">
      <c r="C67" s="19" t="s">
        <v>937</v>
      </c>
      <c r="D67" s="26"/>
      <c r="E67" s="26"/>
      <c r="F67" s="26"/>
      <c r="G67" s="26" t="s">
        <v>155</v>
      </c>
      <c r="H67" s="26"/>
      <c r="I67" s="155">
        <v>24</v>
      </c>
      <c r="J67" s="150">
        <v>24</v>
      </c>
      <c r="K67" s="155">
        <v>36</v>
      </c>
      <c r="M67" s="151"/>
      <c r="N67" s="151"/>
      <c r="O67" s="151" t="s">
        <v>155</v>
      </c>
      <c r="P67" s="151" t="s">
        <v>937</v>
      </c>
    </row>
    <row r="68" spans="3:16">
      <c r="C68" s="19" t="s">
        <v>938</v>
      </c>
      <c r="D68" s="26"/>
      <c r="E68" s="26"/>
      <c r="F68" s="26"/>
      <c r="G68" s="26" t="s">
        <v>156</v>
      </c>
      <c r="H68" s="26"/>
      <c r="I68" s="28">
        <v>0</v>
      </c>
      <c r="J68" s="150">
        <v>0</v>
      </c>
      <c r="K68" s="28">
        <v>0</v>
      </c>
      <c r="M68" s="151"/>
      <c r="N68" s="151"/>
      <c r="O68" s="151" t="s">
        <v>156</v>
      </c>
      <c r="P68" s="151" t="s">
        <v>938</v>
      </c>
    </row>
    <row r="69" spans="3:16">
      <c r="C69" s="19" t="s">
        <v>939</v>
      </c>
      <c r="D69" s="26"/>
      <c r="E69" s="26"/>
      <c r="F69" s="26"/>
      <c r="G69" s="26" t="s">
        <v>157</v>
      </c>
      <c r="H69" s="26"/>
      <c r="I69" s="28">
        <v>0</v>
      </c>
      <c r="J69" s="150">
        <v>0</v>
      </c>
      <c r="K69" s="28">
        <v>0</v>
      </c>
      <c r="M69" s="151"/>
      <c r="N69" s="151"/>
      <c r="O69" s="151" t="s">
        <v>157</v>
      </c>
      <c r="P69" s="151" t="s">
        <v>939</v>
      </c>
    </row>
    <row r="70" spans="3:16">
      <c r="C70" s="19" t="s">
        <v>941</v>
      </c>
      <c r="D70" s="26"/>
      <c r="E70" s="26"/>
      <c r="F70" s="26"/>
      <c r="G70" s="26" t="s">
        <v>158</v>
      </c>
      <c r="H70" s="26"/>
      <c r="I70" s="28">
        <v>640094</v>
      </c>
      <c r="J70" s="150">
        <v>640094</v>
      </c>
      <c r="K70" s="28">
        <v>668334</v>
      </c>
      <c r="M70" s="151"/>
      <c r="N70" s="151"/>
      <c r="O70" s="151" t="s">
        <v>158</v>
      </c>
      <c r="P70" s="151" t="s">
        <v>1016</v>
      </c>
    </row>
    <row r="71" spans="3:16">
      <c r="C71" s="19" t="s">
        <v>942</v>
      </c>
      <c r="D71" s="26"/>
      <c r="E71" s="26"/>
      <c r="F71" s="26"/>
      <c r="G71" s="26"/>
      <c r="H71" s="26" t="s">
        <v>159</v>
      </c>
      <c r="I71" s="154">
        <v>593704</v>
      </c>
      <c r="J71" s="150">
        <v>593704</v>
      </c>
      <c r="K71" s="154">
        <v>621706</v>
      </c>
      <c r="M71" s="151"/>
      <c r="N71" s="151"/>
      <c r="O71" s="151"/>
      <c r="P71" s="151" t="s">
        <v>1017</v>
      </c>
    </row>
    <row r="72" spans="3:16">
      <c r="C72" s="19" t="s">
        <v>943</v>
      </c>
      <c r="D72" s="26"/>
      <c r="E72" s="26"/>
      <c r="F72" s="26"/>
      <c r="G72" s="26"/>
      <c r="H72" s="26" t="s">
        <v>160</v>
      </c>
      <c r="I72" s="154">
        <v>16313</v>
      </c>
      <c r="J72" s="150">
        <v>16313</v>
      </c>
      <c r="K72" s="154">
        <v>15994</v>
      </c>
      <c r="M72" s="151"/>
      <c r="N72" s="151"/>
      <c r="O72" s="151" t="s">
        <v>1018</v>
      </c>
      <c r="P72" s="151" t="s">
        <v>160</v>
      </c>
    </row>
    <row r="73" spans="3:16">
      <c r="C73" s="19" t="s">
        <v>944</v>
      </c>
      <c r="D73" s="26"/>
      <c r="E73" s="26"/>
      <c r="F73" s="26"/>
      <c r="G73" s="26"/>
      <c r="H73" s="26" t="s">
        <v>161</v>
      </c>
      <c r="I73" s="154">
        <v>10680</v>
      </c>
      <c r="J73" s="150">
        <v>10680</v>
      </c>
      <c r="K73" s="154">
        <v>10735</v>
      </c>
      <c r="M73" s="151"/>
      <c r="N73" s="151"/>
      <c r="O73" s="151" t="s">
        <v>1019</v>
      </c>
      <c r="P73" s="151" t="s">
        <v>161</v>
      </c>
    </row>
    <row r="74" spans="3:16">
      <c r="C74" s="19" t="s">
        <v>945</v>
      </c>
      <c r="D74" s="26"/>
      <c r="E74" s="26"/>
      <c r="F74" s="26"/>
      <c r="G74" s="26"/>
      <c r="H74" s="26" t="s">
        <v>162</v>
      </c>
      <c r="I74" s="155">
        <v>18642</v>
      </c>
      <c r="J74" s="150">
        <v>18642</v>
      </c>
      <c r="K74" s="155">
        <v>19171</v>
      </c>
      <c r="M74" s="151"/>
      <c r="N74" s="151"/>
      <c r="O74" s="151" t="s">
        <v>1020</v>
      </c>
      <c r="P74" s="151" t="s">
        <v>162</v>
      </c>
    </row>
    <row r="75" spans="3:16">
      <c r="C75" s="19" t="s">
        <v>946</v>
      </c>
      <c r="D75" s="26"/>
      <c r="E75" s="26"/>
      <c r="F75" s="26"/>
      <c r="G75" s="26"/>
      <c r="H75" s="26" t="s">
        <v>163</v>
      </c>
      <c r="I75" s="155">
        <v>755</v>
      </c>
      <c r="J75" s="150">
        <v>755</v>
      </c>
      <c r="K75" s="155">
        <v>728</v>
      </c>
      <c r="M75" s="151"/>
      <c r="N75" s="151"/>
      <c r="O75" s="151" t="s">
        <v>1021</v>
      </c>
      <c r="P75" s="151" t="s">
        <v>163</v>
      </c>
    </row>
    <row r="76" spans="3:16">
      <c r="D76" s="26"/>
      <c r="E76" s="26"/>
      <c r="F76" s="26" t="s">
        <v>164</v>
      </c>
      <c r="G76" s="26"/>
      <c r="H76" s="26"/>
      <c r="I76" s="28">
        <v>36972</v>
      </c>
      <c r="J76" s="150">
        <v>36972</v>
      </c>
      <c r="K76" s="28">
        <v>34815</v>
      </c>
      <c r="M76" s="151"/>
      <c r="N76" s="151" t="s">
        <v>164</v>
      </c>
      <c r="O76" s="151"/>
      <c r="P76" s="151"/>
    </row>
    <row r="77" spans="3:16">
      <c r="C77" s="19" t="s">
        <v>952</v>
      </c>
      <c r="D77" s="26"/>
      <c r="E77" s="26"/>
      <c r="F77" s="26"/>
      <c r="G77" s="26" t="s">
        <v>165</v>
      </c>
      <c r="H77" s="26"/>
      <c r="I77" s="154">
        <v>6287</v>
      </c>
      <c r="J77" s="150">
        <v>6287</v>
      </c>
      <c r="K77" s="154">
        <v>6069</v>
      </c>
      <c r="M77" s="151"/>
      <c r="N77" s="151"/>
      <c r="O77" s="151" t="s">
        <v>165</v>
      </c>
      <c r="P77" s="151" t="s">
        <v>952</v>
      </c>
    </row>
    <row r="78" spans="3:16">
      <c r="C78" s="19" t="s">
        <v>953</v>
      </c>
      <c r="D78" s="26"/>
      <c r="E78" s="26"/>
      <c r="F78" s="26"/>
      <c r="G78" s="26" t="s">
        <v>166</v>
      </c>
      <c r="H78" s="26"/>
      <c r="I78" s="154">
        <v>428</v>
      </c>
      <c r="J78" s="150">
        <v>428</v>
      </c>
      <c r="K78" s="154">
        <v>454</v>
      </c>
      <c r="M78" s="151"/>
      <c r="N78" s="151"/>
      <c r="O78" s="151" t="s">
        <v>166</v>
      </c>
      <c r="P78" s="151" t="s">
        <v>953</v>
      </c>
    </row>
    <row r="79" spans="3:16">
      <c r="C79" s="19" t="s">
        <v>954</v>
      </c>
      <c r="D79" s="26"/>
      <c r="E79" s="26"/>
      <c r="F79" s="26"/>
      <c r="G79" s="26" t="s">
        <v>167</v>
      </c>
      <c r="H79" s="26"/>
      <c r="I79" s="155">
        <v>10</v>
      </c>
      <c r="J79" s="150">
        <v>10</v>
      </c>
      <c r="K79" s="155">
        <v>10</v>
      </c>
      <c r="M79" s="151"/>
      <c r="N79" s="151"/>
      <c r="O79" s="151" t="s">
        <v>167</v>
      </c>
      <c r="P79" s="151" t="s">
        <v>954</v>
      </c>
    </row>
    <row r="80" spans="3:16">
      <c r="C80" s="19" t="s">
        <v>955</v>
      </c>
      <c r="D80" s="26"/>
      <c r="E80" s="26"/>
      <c r="F80" s="26"/>
      <c r="G80" s="26" t="s">
        <v>168</v>
      </c>
      <c r="H80" s="26"/>
      <c r="I80" s="155">
        <v>69</v>
      </c>
      <c r="J80" s="150">
        <v>69</v>
      </c>
      <c r="K80" s="155">
        <v>73</v>
      </c>
      <c r="M80" s="151"/>
      <c r="N80" s="151"/>
      <c r="O80" s="151" t="s">
        <v>168</v>
      </c>
      <c r="P80" s="151" t="s">
        <v>955</v>
      </c>
    </row>
    <row r="81" spans="3:16">
      <c r="C81" s="19" t="s">
        <v>956</v>
      </c>
      <c r="D81" s="26"/>
      <c r="E81" s="26"/>
      <c r="F81" s="26"/>
      <c r="G81" s="26" t="s">
        <v>169</v>
      </c>
      <c r="H81" s="26"/>
      <c r="I81" s="155">
        <v>15665</v>
      </c>
      <c r="J81" s="150">
        <v>15665</v>
      </c>
      <c r="K81" s="155">
        <v>14695</v>
      </c>
      <c r="M81" s="151"/>
      <c r="N81" s="151"/>
      <c r="O81" s="151" t="s">
        <v>169</v>
      </c>
      <c r="P81" s="151" t="s">
        <v>956</v>
      </c>
    </row>
    <row r="82" spans="3:16">
      <c r="C82" s="19" t="s">
        <v>957</v>
      </c>
      <c r="D82" s="26"/>
      <c r="E82" s="26"/>
      <c r="F82" s="26"/>
      <c r="G82" s="26" t="s">
        <v>170</v>
      </c>
      <c r="H82" s="26"/>
      <c r="I82" s="155">
        <v>14513</v>
      </c>
      <c r="J82" s="150">
        <v>14513</v>
      </c>
      <c r="K82" s="155">
        <v>13514</v>
      </c>
      <c r="M82" s="151"/>
      <c r="N82" s="151"/>
      <c r="O82" s="151" t="s">
        <v>170</v>
      </c>
      <c r="P82" s="151" t="s">
        <v>957</v>
      </c>
    </row>
    <row r="83" spans="3:16">
      <c r="C83" s="19" t="s">
        <v>958</v>
      </c>
      <c r="D83" s="26"/>
      <c r="E83" s="26" t="s">
        <v>171</v>
      </c>
      <c r="F83" s="26"/>
      <c r="G83" s="26"/>
      <c r="H83" s="26"/>
      <c r="I83" s="28">
        <v>3615245</v>
      </c>
      <c r="J83" s="150">
        <v>3615245</v>
      </c>
      <c r="K83" s="28">
        <v>3592586</v>
      </c>
      <c r="M83" s="151" t="s">
        <v>171</v>
      </c>
      <c r="N83" s="151"/>
      <c r="O83" s="151"/>
      <c r="P83" s="151" t="s">
        <v>958</v>
      </c>
    </row>
    <row r="84" spans="3:16">
      <c r="D84" s="26"/>
      <c r="E84" s="26"/>
      <c r="F84" s="26" t="s">
        <v>172</v>
      </c>
      <c r="G84" s="26"/>
      <c r="H84" s="26"/>
      <c r="I84" s="28">
        <v>2574857</v>
      </c>
      <c r="J84" s="150">
        <v>2574857</v>
      </c>
      <c r="K84" s="28">
        <v>2547598</v>
      </c>
      <c r="M84" s="151"/>
      <c r="N84" s="151" t="s">
        <v>172</v>
      </c>
      <c r="O84" s="151"/>
      <c r="P84" s="151"/>
    </row>
    <row r="85" spans="3:16">
      <c r="C85" s="19" t="s">
        <v>959</v>
      </c>
      <c r="D85" s="26"/>
      <c r="E85" s="26"/>
      <c r="F85" s="26"/>
      <c r="G85" s="26" t="s">
        <v>173</v>
      </c>
      <c r="H85" s="26"/>
      <c r="I85" s="156">
        <v>333040</v>
      </c>
      <c r="J85" s="150">
        <v>333040</v>
      </c>
      <c r="K85" s="156">
        <v>309178</v>
      </c>
      <c r="M85" s="151"/>
      <c r="N85" s="151"/>
      <c r="O85" s="151" t="s">
        <v>173</v>
      </c>
      <c r="P85" s="151"/>
    </row>
    <row r="86" spans="3:16">
      <c r="C86" s="19" t="s">
        <v>960</v>
      </c>
      <c r="D86" s="26"/>
      <c r="E86" s="26"/>
      <c r="F86" s="26"/>
      <c r="G86" s="26" t="s">
        <v>174</v>
      </c>
      <c r="H86" s="26"/>
      <c r="I86" s="156">
        <v>2241817</v>
      </c>
      <c r="J86" s="150">
        <v>2241817</v>
      </c>
      <c r="K86" s="156">
        <v>2238420</v>
      </c>
      <c r="M86" s="151"/>
      <c r="N86" s="151"/>
      <c r="O86" s="151" t="s">
        <v>174</v>
      </c>
      <c r="P86" s="151"/>
    </row>
    <row r="87" spans="3:16">
      <c r="C87" s="19" t="s">
        <v>961</v>
      </c>
      <c r="D87" s="26"/>
      <c r="E87" s="26"/>
      <c r="F87" s="26"/>
      <c r="G87" s="26"/>
      <c r="H87" s="26" t="s">
        <v>175</v>
      </c>
      <c r="I87" s="156">
        <v>1787347</v>
      </c>
      <c r="J87" s="150">
        <v>1787347</v>
      </c>
      <c r="K87" s="156">
        <v>1779618</v>
      </c>
      <c r="M87" s="151"/>
      <c r="N87" s="151"/>
      <c r="O87" s="151" t="s">
        <v>961</v>
      </c>
      <c r="P87" s="151" t="s">
        <v>175</v>
      </c>
    </row>
    <row r="88" spans="3:16">
      <c r="C88" s="19" t="s">
        <v>962</v>
      </c>
      <c r="D88" s="26"/>
      <c r="E88" s="26"/>
      <c r="F88" s="26"/>
      <c r="G88" s="26"/>
      <c r="H88" s="26" t="s">
        <v>176</v>
      </c>
      <c r="I88" s="156">
        <v>170571</v>
      </c>
      <c r="J88" s="150">
        <v>170571</v>
      </c>
      <c r="K88" s="156">
        <v>174183</v>
      </c>
      <c r="M88" s="151"/>
      <c r="N88" s="151"/>
      <c r="O88" s="151" t="s">
        <v>962</v>
      </c>
      <c r="P88" s="151" t="s">
        <v>176</v>
      </c>
    </row>
    <row r="89" spans="3:16">
      <c r="C89" s="19" t="s">
        <v>963</v>
      </c>
      <c r="D89" s="26"/>
      <c r="E89" s="26"/>
      <c r="F89" s="26"/>
      <c r="G89" s="26"/>
      <c r="H89" s="26" t="s">
        <v>177</v>
      </c>
      <c r="I89" s="156">
        <v>130627</v>
      </c>
      <c r="J89" s="150">
        <v>130627</v>
      </c>
      <c r="K89" s="156">
        <v>131632</v>
      </c>
      <c r="M89" s="151"/>
      <c r="N89" s="151"/>
      <c r="O89" s="151" t="s">
        <v>963</v>
      </c>
      <c r="P89" s="151" t="s">
        <v>177</v>
      </c>
    </row>
    <row r="90" spans="3:16">
      <c r="C90" s="19" t="s">
        <v>964</v>
      </c>
      <c r="D90" s="26"/>
      <c r="E90" s="26"/>
      <c r="F90" s="26"/>
      <c r="G90" s="26"/>
      <c r="H90" s="26" t="s">
        <v>178</v>
      </c>
      <c r="I90" s="157">
        <v>74425</v>
      </c>
      <c r="J90" s="150">
        <v>74425</v>
      </c>
      <c r="K90" s="157">
        <v>75068</v>
      </c>
      <c r="M90" s="151"/>
      <c r="N90" s="151"/>
      <c r="O90" s="151" t="s">
        <v>964</v>
      </c>
      <c r="P90" s="151" t="s">
        <v>178</v>
      </c>
    </row>
    <row r="91" spans="3:16">
      <c r="C91" s="19" t="s">
        <v>965</v>
      </c>
      <c r="D91" s="26"/>
      <c r="E91" s="26"/>
      <c r="F91" s="26"/>
      <c r="G91" s="26"/>
      <c r="H91" s="26" t="s">
        <v>179</v>
      </c>
      <c r="I91" s="157">
        <v>14941</v>
      </c>
      <c r="J91" s="150">
        <v>14941</v>
      </c>
      <c r="K91" s="157">
        <v>13203</v>
      </c>
      <c r="M91" s="151"/>
      <c r="N91" s="151"/>
      <c r="O91" s="151" t="s">
        <v>965</v>
      </c>
      <c r="P91" s="151" t="s">
        <v>179</v>
      </c>
    </row>
    <row r="92" spans="3:16">
      <c r="C92" s="19" t="s">
        <v>966</v>
      </c>
      <c r="D92" s="26"/>
      <c r="E92" s="26"/>
      <c r="F92" s="26"/>
      <c r="G92" s="26"/>
      <c r="H92" s="26" t="s">
        <v>180</v>
      </c>
      <c r="I92" s="157">
        <v>7354</v>
      </c>
      <c r="J92" s="150">
        <v>7354</v>
      </c>
      <c r="K92" s="157">
        <v>7824</v>
      </c>
      <c r="M92" s="151"/>
      <c r="N92" s="151"/>
      <c r="O92" s="151" t="s">
        <v>966</v>
      </c>
      <c r="P92" s="151" t="s">
        <v>180</v>
      </c>
    </row>
    <row r="93" spans="3:16">
      <c r="C93" s="19" t="s">
        <v>967</v>
      </c>
      <c r="D93" s="26"/>
      <c r="E93" s="26"/>
      <c r="F93" s="26"/>
      <c r="G93" s="26"/>
      <c r="H93" s="26" t="s">
        <v>181</v>
      </c>
      <c r="I93" s="157">
        <v>56552</v>
      </c>
      <c r="J93" s="150">
        <v>56552</v>
      </c>
      <c r="K93" s="157">
        <v>56892</v>
      </c>
      <c r="M93" s="151"/>
      <c r="N93" s="151"/>
      <c r="O93" s="151" t="s">
        <v>967</v>
      </c>
      <c r="P93" s="151" t="s">
        <v>181</v>
      </c>
    </row>
    <row r="94" spans="3:16">
      <c r="C94" s="19" t="s">
        <v>968</v>
      </c>
      <c r="D94" s="26"/>
      <c r="E94" s="26"/>
      <c r="F94" s="26" t="s">
        <v>182</v>
      </c>
      <c r="G94" s="26"/>
      <c r="H94" s="26"/>
      <c r="I94" s="28">
        <v>55089</v>
      </c>
      <c r="J94" s="150">
        <v>55089</v>
      </c>
      <c r="K94" s="28">
        <v>55068</v>
      </c>
      <c r="M94" s="151"/>
      <c r="N94" s="151" t="s">
        <v>182</v>
      </c>
      <c r="O94" s="151"/>
      <c r="P94" s="151"/>
    </row>
    <row r="95" spans="3:16">
      <c r="C95" s="19" t="s">
        <v>969</v>
      </c>
      <c r="D95" s="26"/>
      <c r="E95" s="26"/>
      <c r="F95" s="26"/>
      <c r="G95" s="26"/>
      <c r="H95" s="26" t="s">
        <v>183</v>
      </c>
      <c r="I95" s="156">
        <v>32795</v>
      </c>
      <c r="J95" s="150">
        <v>32795</v>
      </c>
      <c r="K95" s="156">
        <v>32396</v>
      </c>
      <c r="M95" s="151"/>
      <c r="N95" s="151"/>
      <c r="O95" s="151"/>
      <c r="P95" s="151" t="s">
        <v>183</v>
      </c>
    </row>
    <row r="96" spans="3:16">
      <c r="C96" s="19" t="s">
        <v>970</v>
      </c>
      <c r="D96" s="26"/>
      <c r="E96" s="26"/>
      <c r="F96" s="26"/>
      <c r="G96" s="26"/>
      <c r="H96" s="26" t="s">
        <v>184</v>
      </c>
      <c r="I96" s="156">
        <v>14871</v>
      </c>
      <c r="J96" s="150">
        <v>14871</v>
      </c>
      <c r="K96" s="156">
        <v>15324</v>
      </c>
      <c r="M96" s="151"/>
      <c r="N96" s="151"/>
      <c r="O96" s="151"/>
      <c r="P96" s="151" t="s">
        <v>184</v>
      </c>
    </row>
    <row r="97" spans="3:16">
      <c r="C97" s="19" t="s">
        <v>971</v>
      </c>
      <c r="D97" s="26"/>
      <c r="E97" s="26"/>
      <c r="F97" s="26"/>
      <c r="G97" s="26"/>
      <c r="H97" s="26" t="s">
        <v>185</v>
      </c>
      <c r="I97" s="157">
        <v>7061</v>
      </c>
      <c r="J97" s="150">
        <v>7061</v>
      </c>
      <c r="K97" s="157">
        <v>6967</v>
      </c>
      <c r="M97" s="151"/>
      <c r="N97" s="151"/>
      <c r="O97" s="151"/>
      <c r="P97" s="151" t="s">
        <v>185</v>
      </c>
    </row>
    <row r="98" spans="3:16">
      <c r="C98" s="19" t="s">
        <v>972</v>
      </c>
      <c r="D98" s="26"/>
      <c r="E98" s="26"/>
      <c r="F98" s="26"/>
      <c r="G98" s="26"/>
      <c r="H98" s="26" t="s">
        <v>186</v>
      </c>
      <c r="I98" s="157">
        <v>362</v>
      </c>
      <c r="J98" s="150">
        <v>362</v>
      </c>
      <c r="K98" s="157">
        <v>381</v>
      </c>
      <c r="M98" s="151"/>
      <c r="N98" s="151"/>
      <c r="O98" s="151"/>
      <c r="P98" s="151" t="s">
        <v>186</v>
      </c>
    </row>
    <row r="99" spans="3:16">
      <c r="C99" s="19" t="s">
        <v>976</v>
      </c>
      <c r="D99" s="26"/>
      <c r="E99" s="26"/>
      <c r="F99" s="26" t="s">
        <v>187</v>
      </c>
      <c r="G99" s="26"/>
      <c r="H99" s="26"/>
      <c r="I99" s="28">
        <v>389491</v>
      </c>
      <c r="J99" s="150">
        <v>389491</v>
      </c>
      <c r="K99" s="28">
        <v>421081</v>
      </c>
      <c r="M99" s="151"/>
      <c r="N99" s="151" t="s">
        <v>187</v>
      </c>
      <c r="O99" s="151"/>
      <c r="P99" s="151"/>
    </row>
    <row r="100" spans="3:16">
      <c r="C100" s="19" t="s">
        <v>973</v>
      </c>
      <c r="D100" s="26"/>
      <c r="E100" s="26"/>
      <c r="F100" s="26"/>
      <c r="G100" s="26"/>
      <c r="H100" s="26" t="s">
        <v>188</v>
      </c>
      <c r="I100" s="156">
        <v>384960</v>
      </c>
      <c r="J100" s="150">
        <v>384960</v>
      </c>
      <c r="K100" s="156">
        <v>416907</v>
      </c>
      <c r="M100" s="151"/>
      <c r="N100" s="151"/>
      <c r="O100" s="151"/>
      <c r="P100" s="151" t="s">
        <v>188</v>
      </c>
    </row>
    <row r="101" spans="3:16">
      <c r="C101" s="19" t="s">
        <v>974</v>
      </c>
      <c r="D101" s="26"/>
      <c r="E101" s="26"/>
      <c r="F101" s="26"/>
      <c r="G101" s="26"/>
      <c r="H101" s="26" t="s">
        <v>189</v>
      </c>
      <c r="I101" s="156">
        <v>4337</v>
      </c>
      <c r="J101" s="150">
        <v>4337</v>
      </c>
      <c r="K101" s="156">
        <v>3964</v>
      </c>
      <c r="M101" s="151"/>
      <c r="N101" s="151"/>
      <c r="O101" s="151"/>
      <c r="P101" s="151" t="s">
        <v>189</v>
      </c>
    </row>
    <row r="102" spans="3:16">
      <c r="C102" s="19" t="s">
        <v>975</v>
      </c>
      <c r="D102" s="26"/>
      <c r="E102" s="26"/>
      <c r="F102" s="26"/>
      <c r="G102" s="26"/>
      <c r="H102" s="26" t="s">
        <v>190</v>
      </c>
      <c r="I102" s="157">
        <v>194</v>
      </c>
      <c r="J102" s="150">
        <v>194</v>
      </c>
      <c r="K102" s="157">
        <v>210</v>
      </c>
      <c r="M102" s="151"/>
      <c r="N102" s="151"/>
      <c r="O102" s="151"/>
      <c r="P102" s="151" t="s">
        <v>190</v>
      </c>
    </row>
    <row r="103" spans="3:16">
      <c r="C103" s="19" t="s">
        <v>983</v>
      </c>
      <c r="D103" s="26"/>
      <c r="E103" s="26"/>
      <c r="F103" s="26" t="s">
        <v>191</v>
      </c>
      <c r="G103" s="26"/>
      <c r="H103" s="26"/>
      <c r="I103" s="28">
        <v>595808</v>
      </c>
      <c r="J103" s="150">
        <v>595808</v>
      </c>
      <c r="K103" s="28">
        <v>568839</v>
      </c>
      <c r="M103" s="151"/>
      <c r="N103" s="151" t="s">
        <v>191</v>
      </c>
      <c r="O103" s="151"/>
      <c r="P103" s="151"/>
    </row>
    <row r="104" spans="3:16">
      <c r="C104" s="19" t="s">
        <v>977</v>
      </c>
      <c r="D104" s="26"/>
      <c r="E104" s="26"/>
      <c r="F104" s="26"/>
      <c r="G104" s="26" t="s">
        <v>192</v>
      </c>
      <c r="H104" s="26"/>
      <c r="I104" s="157">
        <v>14595</v>
      </c>
      <c r="J104" s="150">
        <v>14595</v>
      </c>
      <c r="K104" s="157">
        <v>14875</v>
      </c>
      <c r="M104" s="151"/>
      <c r="N104" s="151"/>
      <c r="O104" s="151" t="s">
        <v>192</v>
      </c>
      <c r="P104" s="151"/>
    </row>
    <row r="105" spans="3:16">
      <c r="C105" s="19" t="s">
        <v>978</v>
      </c>
      <c r="D105" s="26"/>
      <c r="E105" s="26"/>
      <c r="F105" s="26"/>
      <c r="G105" s="26" t="s">
        <v>193</v>
      </c>
      <c r="H105" s="26"/>
      <c r="I105" s="157">
        <v>2042</v>
      </c>
      <c r="J105" s="150">
        <v>2042</v>
      </c>
      <c r="K105" s="157">
        <v>1922</v>
      </c>
      <c r="M105" s="151"/>
      <c r="N105" s="151"/>
      <c r="O105" s="151" t="s">
        <v>193</v>
      </c>
      <c r="P105" s="151"/>
    </row>
    <row r="106" spans="3:16">
      <c r="C106" s="19" t="s">
        <v>979</v>
      </c>
      <c r="D106" s="26"/>
      <c r="E106" s="26"/>
      <c r="F106" s="26"/>
      <c r="G106" s="26" t="s">
        <v>194</v>
      </c>
      <c r="H106" s="26"/>
      <c r="I106" s="157">
        <v>1330</v>
      </c>
      <c r="J106" s="150">
        <v>1330</v>
      </c>
      <c r="K106" s="157">
        <v>1232</v>
      </c>
      <c r="M106" s="151"/>
      <c r="N106" s="151"/>
      <c r="O106" s="151" t="s">
        <v>194</v>
      </c>
      <c r="P106" s="151"/>
    </row>
    <row r="107" spans="3:16">
      <c r="C107" s="19" t="s">
        <v>980</v>
      </c>
      <c r="D107" s="26"/>
      <c r="E107" s="26"/>
      <c r="F107" s="26"/>
      <c r="G107" s="26" t="s">
        <v>195</v>
      </c>
      <c r="H107" s="26"/>
      <c r="I107" s="157">
        <v>4632</v>
      </c>
      <c r="J107" s="150">
        <v>4632</v>
      </c>
      <c r="K107" s="157">
        <v>4489</v>
      </c>
      <c r="M107" s="151"/>
      <c r="N107" s="151"/>
      <c r="O107" s="151" t="s">
        <v>195</v>
      </c>
      <c r="P107" s="151"/>
    </row>
    <row r="108" spans="3:16">
      <c r="C108" s="19" t="s">
        <v>981</v>
      </c>
      <c r="D108" s="26"/>
      <c r="E108" s="26"/>
      <c r="F108" s="26"/>
      <c r="G108" s="26" t="s">
        <v>196</v>
      </c>
      <c r="H108" s="26"/>
      <c r="I108" s="157">
        <v>131150</v>
      </c>
      <c r="J108" s="150">
        <v>131150</v>
      </c>
      <c r="K108" s="157">
        <v>129468</v>
      </c>
      <c r="M108" s="151"/>
      <c r="N108" s="151"/>
      <c r="O108" s="151" t="s">
        <v>196</v>
      </c>
      <c r="P108" s="151"/>
    </row>
    <row r="109" spans="3:16">
      <c r="C109" s="19" t="s">
        <v>982</v>
      </c>
      <c r="D109" s="26"/>
      <c r="E109" s="26"/>
      <c r="F109" s="26"/>
      <c r="G109" s="26" t="s">
        <v>197</v>
      </c>
      <c r="H109" s="26"/>
      <c r="I109" s="157">
        <v>2237</v>
      </c>
      <c r="J109" s="150">
        <v>2237</v>
      </c>
      <c r="K109" s="157">
        <v>2122</v>
      </c>
      <c r="M109" s="151"/>
      <c r="N109" s="151"/>
      <c r="O109" s="151" t="s">
        <v>197</v>
      </c>
      <c r="P109" s="151"/>
    </row>
    <row r="110" spans="3:16">
      <c r="C110" s="19" t="s">
        <v>989</v>
      </c>
      <c r="D110" s="26"/>
      <c r="E110" s="26"/>
      <c r="F110" s="26"/>
      <c r="G110" s="26" t="s">
        <v>198</v>
      </c>
      <c r="H110" s="26"/>
      <c r="I110" s="157">
        <v>14480</v>
      </c>
      <c r="J110" s="150">
        <v>14480</v>
      </c>
      <c r="K110" s="157">
        <v>14791</v>
      </c>
      <c r="M110" s="151"/>
      <c r="N110" s="151"/>
      <c r="O110" s="151" t="s">
        <v>198</v>
      </c>
      <c r="P110" s="151"/>
    </row>
    <row r="111" spans="3:16">
      <c r="C111" s="19" t="s">
        <v>984</v>
      </c>
      <c r="D111" s="26"/>
      <c r="E111" s="26"/>
      <c r="F111" s="26"/>
      <c r="G111" s="26"/>
      <c r="H111" s="26" t="s">
        <v>199</v>
      </c>
      <c r="I111" s="28">
        <v>294</v>
      </c>
      <c r="J111" s="150">
        <v>294</v>
      </c>
      <c r="K111" s="28">
        <v>294</v>
      </c>
      <c r="M111" s="151"/>
      <c r="N111" s="151"/>
      <c r="O111" s="151"/>
      <c r="P111" s="151" t="s">
        <v>199</v>
      </c>
    </row>
    <row r="112" spans="3:16">
      <c r="C112" s="19" t="s">
        <v>985</v>
      </c>
      <c r="D112" s="26"/>
      <c r="E112" s="26"/>
      <c r="F112" s="26"/>
      <c r="G112" s="26"/>
      <c r="H112" s="26" t="s">
        <v>200</v>
      </c>
      <c r="I112" s="28">
        <v>87</v>
      </c>
      <c r="J112" s="150">
        <v>87</v>
      </c>
      <c r="K112" s="28">
        <v>88</v>
      </c>
      <c r="M112" s="151"/>
      <c r="N112" s="151"/>
      <c r="O112" s="151"/>
      <c r="P112" s="151" t="s">
        <v>200</v>
      </c>
    </row>
    <row r="113" spans="3:16">
      <c r="C113" s="19" t="s">
        <v>986</v>
      </c>
      <c r="D113" s="26"/>
      <c r="E113" s="26"/>
      <c r="F113" s="26"/>
      <c r="G113" s="26"/>
      <c r="H113" s="26" t="s">
        <v>201</v>
      </c>
      <c r="I113" s="28">
        <v>12228</v>
      </c>
      <c r="J113" s="150">
        <v>12228</v>
      </c>
      <c r="K113" s="28">
        <v>12385</v>
      </c>
      <c r="M113" s="151"/>
      <c r="N113" s="151"/>
      <c r="O113" s="151"/>
      <c r="P113" s="151" t="s">
        <v>201</v>
      </c>
    </row>
    <row r="114" spans="3:16">
      <c r="C114" s="19" t="s">
        <v>987</v>
      </c>
      <c r="D114" s="26"/>
      <c r="E114" s="26"/>
      <c r="F114" s="26"/>
      <c r="G114" s="26"/>
      <c r="H114" s="26" t="s">
        <v>202</v>
      </c>
      <c r="I114" s="28">
        <v>45</v>
      </c>
      <c r="J114" s="150">
        <v>45</v>
      </c>
      <c r="K114" s="28">
        <v>44</v>
      </c>
      <c r="M114" s="151"/>
      <c r="N114" s="151"/>
      <c r="O114" s="151"/>
      <c r="P114" s="151" t="s">
        <v>202</v>
      </c>
    </row>
    <row r="115" spans="3:16">
      <c r="C115" s="19" t="s">
        <v>988</v>
      </c>
      <c r="D115" s="26"/>
      <c r="E115" s="26"/>
      <c r="F115" s="26"/>
      <c r="G115" s="26"/>
      <c r="H115" s="26" t="s">
        <v>203</v>
      </c>
      <c r="I115" s="28">
        <v>1826</v>
      </c>
      <c r="J115" s="150">
        <v>1826</v>
      </c>
      <c r="K115" s="28">
        <v>1980</v>
      </c>
      <c r="M115" s="151"/>
      <c r="N115" s="151"/>
      <c r="O115" s="151"/>
      <c r="P115" s="151" t="s">
        <v>203</v>
      </c>
    </row>
    <row r="116" spans="3:16">
      <c r="D116" s="26"/>
      <c r="E116" s="26"/>
      <c r="F116" s="26"/>
      <c r="G116" s="26" t="s">
        <v>204</v>
      </c>
      <c r="H116" s="26"/>
      <c r="I116" s="157">
        <v>9536</v>
      </c>
      <c r="J116" s="150">
        <v>9536</v>
      </c>
      <c r="K116" s="157">
        <v>9325</v>
      </c>
      <c r="M116" s="151"/>
      <c r="N116" s="151"/>
      <c r="O116" s="151" t="s">
        <v>204</v>
      </c>
      <c r="P116" s="151"/>
    </row>
    <row r="117" spans="3:16">
      <c r="C117" s="19" t="s">
        <v>990</v>
      </c>
      <c r="D117" s="26"/>
      <c r="E117" s="26"/>
      <c r="F117" s="26"/>
      <c r="G117" s="26"/>
      <c r="H117" s="26" t="s">
        <v>205</v>
      </c>
      <c r="I117" s="28">
        <v>270</v>
      </c>
      <c r="J117" s="150">
        <v>270</v>
      </c>
      <c r="K117" s="28">
        <v>262</v>
      </c>
      <c r="M117" s="151"/>
      <c r="N117" s="151"/>
      <c r="O117" s="151"/>
      <c r="P117" s="151" t="s">
        <v>205</v>
      </c>
    </row>
    <row r="118" spans="3:16">
      <c r="C118" s="19" t="s">
        <v>991</v>
      </c>
      <c r="D118" s="26"/>
      <c r="E118" s="26"/>
      <c r="F118" s="26"/>
      <c r="G118" s="26"/>
      <c r="H118" s="26" t="s">
        <v>206</v>
      </c>
      <c r="I118" s="28">
        <v>647</v>
      </c>
      <c r="J118" s="150">
        <v>647</v>
      </c>
      <c r="K118" s="28">
        <v>531</v>
      </c>
      <c r="M118" s="151"/>
      <c r="N118" s="151"/>
      <c r="O118" s="151"/>
      <c r="P118" s="151" t="s">
        <v>206</v>
      </c>
    </row>
    <row r="119" spans="3:16">
      <c r="C119" s="19" t="s">
        <v>992</v>
      </c>
      <c r="D119" s="26"/>
      <c r="E119" s="26"/>
      <c r="F119" s="26"/>
      <c r="G119" s="26"/>
      <c r="H119" s="26" t="s">
        <v>207</v>
      </c>
      <c r="I119" s="28">
        <v>245</v>
      </c>
      <c r="J119" s="150">
        <v>245</v>
      </c>
      <c r="K119" s="28">
        <v>213</v>
      </c>
      <c r="M119" s="151"/>
      <c r="N119" s="151"/>
      <c r="O119" s="151"/>
      <c r="P119" s="151" t="s">
        <v>207</v>
      </c>
    </row>
    <row r="120" spans="3:16">
      <c r="C120" s="19" t="s">
        <v>993</v>
      </c>
      <c r="D120" s="26"/>
      <c r="E120" s="26"/>
      <c r="F120" s="26"/>
      <c r="G120" s="26"/>
      <c r="H120" s="26" t="s">
        <v>208</v>
      </c>
      <c r="I120" s="28">
        <v>8374</v>
      </c>
      <c r="J120" s="150">
        <v>8374</v>
      </c>
      <c r="K120" s="28">
        <v>8319</v>
      </c>
      <c r="M120" s="151"/>
      <c r="N120" s="151"/>
      <c r="O120" s="151"/>
      <c r="P120" s="151" t="s">
        <v>208</v>
      </c>
    </row>
    <row r="121" spans="3:16">
      <c r="C121" s="19" t="s">
        <v>999</v>
      </c>
      <c r="D121" s="26"/>
      <c r="E121" s="26"/>
      <c r="F121" s="26"/>
      <c r="G121" s="26" t="s">
        <v>209</v>
      </c>
      <c r="H121" s="26"/>
      <c r="I121" s="157">
        <v>104827</v>
      </c>
      <c r="J121" s="150">
        <v>104827</v>
      </c>
      <c r="K121" s="157">
        <v>96639</v>
      </c>
      <c r="M121" s="151"/>
      <c r="N121" s="151"/>
      <c r="O121" s="151" t="s">
        <v>209</v>
      </c>
      <c r="P121" s="151"/>
    </row>
    <row r="122" spans="3:16">
      <c r="C122" s="19" t="s">
        <v>994</v>
      </c>
      <c r="D122" s="26"/>
      <c r="E122" s="26"/>
      <c r="F122" s="26"/>
      <c r="G122" s="26"/>
      <c r="H122" s="26" t="s">
        <v>210</v>
      </c>
      <c r="I122" s="28">
        <v>10701</v>
      </c>
      <c r="J122" s="150">
        <v>10701</v>
      </c>
      <c r="K122" s="28">
        <v>8366</v>
      </c>
      <c r="M122" s="151"/>
      <c r="N122" s="151"/>
      <c r="O122" s="151"/>
      <c r="P122" s="151" t="s">
        <v>210</v>
      </c>
    </row>
    <row r="123" spans="3:16">
      <c r="C123" s="19" t="s">
        <v>995</v>
      </c>
      <c r="D123" s="26"/>
      <c r="E123" s="26"/>
      <c r="F123" s="26"/>
      <c r="G123" s="26"/>
      <c r="H123" s="26" t="s">
        <v>211</v>
      </c>
      <c r="I123" s="28">
        <v>4153</v>
      </c>
      <c r="J123" s="150">
        <v>4153</v>
      </c>
      <c r="K123" s="28">
        <v>4034</v>
      </c>
      <c r="M123" s="151"/>
      <c r="N123" s="151"/>
      <c r="O123" s="151"/>
      <c r="P123" s="151" t="s">
        <v>211</v>
      </c>
    </row>
    <row r="124" spans="3:16">
      <c r="C124" s="19" t="s">
        <v>996</v>
      </c>
      <c r="D124" s="26"/>
      <c r="E124" s="26"/>
      <c r="F124" s="26"/>
      <c r="G124" s="26"/>
      <c r="H124" s="26" t="s">
        <v>212</v>
      </c>
      <c r="I124" s="28">
        <v>12951</v>
      </c>
      <c r="J124" s="150">
        <v>12951</v>
      </c>
      <c r="K124" s="28">
        <v>12936</v>
      </c>
      <c r="M124" s="151"/>
      <c r="N124" s="151"/>
      <c r="O124" s="151"/>
      <c r="P124" s="151" t="s">
        <v>212</v>
      </c>
    </row>
    <row r="125" spans="3:16">
      <c r="C125" s="19" t="s">
        <v>997</v>
      </c>
      <c r="D125" s="26"/>
      <c r="E125" s="26"/>
      <c r="F125" s="26"/>
      <c r="G125" s="26"/>
      <c r="H125" s="26" t="s">
        <v>213</v>
      </c>
      <c r="I125" s="28">
        <v>32595</v>
      </c>
      <c r="J125" s="150">
        <v>32595</v>
      </c>
      <c r="K125" s="28">
        <v>30188</v>
      </c>
      <c r="M125" s="151"/>
      <c r="N125" s="151"/>
      <c r="O125" s="151"/>
      <c r="P125" s="151" t="s">
        <v>213</v>
      </c>
    </row>
    <row r="126" spans="3:16">
      <c r="C126" s="19" t="s">
        <v>998</v>
      </c>
      <c r="D126" s="26"/>
      <c r="E126" s="26"/>
      <c r="F126" s="26"/>
      <c r="G126" s="26"/>
      <c r="H126" s="26" t="s">
        <v>214</v>
      </c>
      <c r="I126" s="28">
        <v>44427</v>
      </c>
      <c r="J126" s="150">
        <v>44427</v>
      </c>
      <c r="K126" s="28">
        <v>41115</v>
      </c>
      <c r="M126" s="151"/>
      <c r="N126" s="151"/>
      <c r="O126" s="151"/>
      <c r="P126" s="151" t="s">
        <v>214</v>
      </c>
    </row>
    <row r="127" spans="3:16">
      <c r="C127" s="19" t="s">
        <v>1003</v>
      </c>
      <c r="D127" s="26"/>
      <c r="E127" s="26"/>
      <c r="F127" s="26"/>
      <c r="G127" s="26" t="s">
        <v>215</v>
      </c>
      <c r="H127" s="26"/>
      <c r="I127" s="157">
        <v>310979</v>
      </c>
      <c r="J127" s="150">
        <v>310979</v>
      </c>
      <c r="K127" s="157">
        <v>293976</v>
      </c>
      <c r="M127" s="151"/>
      <c r="N127" s="151"/>
      <c r="O127" s="151" t="s">
        <v>215</v>
      </c>
      <c r="P127" s="151"/>
    </row>
    <row r="128" spans="3:16">
      <c r="C128" s="19" t="s">
        <v>1004</v>
      </c>
      <c r="D128" s="26"/>
      <c r="E128" s="26" t="s">
        <v>216</v>
      </c>
      <c r="F128" s="26"/>
      <c r="G128" s="26"/>
      <c r="H128" s="26"/>
      <c r="I128" s="28">
        <v>105937</v>
      </c>
      <c r="J128" s="150">
        <v>105937</v>
      </c>
      <c r="K128" s="28">
        <v>95464</v>
      </c>
      <c r="M128" s="151" t="s">
        <v>216</v>
      </c>
      <c r="N128" s="151"/>
      <c r="O128" s="151"/>
      <c r="P128" s="151"/>
    </row>
    <row r="129" spans="3:16">
      <c r="C129" s="19" t="s">
        <v>1005</v>
      </c>
      <c r="D129" s="26"/>
      <c r="E129" s="26"/>
      <c r="F129" s="26" t="s">
        <v>217</v>
      </c>
      <c r="G129" s="26"/>
      <c r="H129" s="26"/>
      <c r="I129" s="28">
        <v>11800</v>
      </c>
      <c r="J129" s="150">
        <v>11800</v>
      </c>
      <c r="K129" s="28">
        <v>12141</v>
      </c>
      <c r="M129" s="151"/>
      <c r="N129" s="151" t="s">
        <v>217</v>
      </c>
      <c r="O129" s="151"/>
      <c r="P129" s="151"/>
    </row>
    <row r="130" spans="3:16">
      <c r="C130" s="19" t="s">
        <v>1000</v>
      </c>
      <c r="D130" s="26"/>
      <c r="E130" s="26"/>
      <c r="F130" s="26"/>
      <c r="G130" s="26"/>
      <c r="H130" s="26" t="s">
        <v>218</v>
      </c>
      <c r="I130" s="156">
        <v>11258</v>
      </c>
      <c r="J130" s="150">
        <v>11258</v>
      </c>
      <c r="K130" s="156">
        <v>11613</v>
      </c>
      <c r="M130" s="151"/>
      <c r="N130" s="151"/>
      <c r="O130" s="151"/>
      <c r="P130" s="151" t="s">
        <v>218</v>
      </c>
    </row>
    <row r="131" spans="3:16">
      <c r="C131" s="19" t="s">
        <v>1001</v>
      </c>
      <c r="D131" s="26"/>
      <c r="E131" s="26"/>
      <c r="F131" s="26"/>
      <c r="G131" s="26"/>
      <c r="H131" s="26" t="s">
        <v>219</v>
      </c>
      <c r="I131" s="156">
        <v>325</v>
      </c>
      <c r="J131" s="150">
        <v>325</v>
      </c>
      <c r="K131" s="156">
        <v>328</v>
      </c>
      <c r="M131" s="151"/>
      <c r="N131" s="151"/>
      <c r="O131" s="151"/>
      <c r="P131" s="151" t="s">
        <v>219</v>
      </c>
    </row>
    <row r="132" spans="3:16">
      <c r="C132" s="19" t="s">
        <v>1002</v>
      </c>
      <c r="D132" s="26"/>
      <c r="E132" s="26"/>
      <c r="F132" s="26"/>
      <c r="G132" s="26"/>
      <c r="H132" s="26" t="s">
        <v>220</v>
      </c>
      <c r="I132" s="157">
        <v>217</v>
      </c>
      <c r="J132" s="150">
        <v>217</v>
      </c>
      <c r="K132" s="157">
        <v>200</v>
      </c>
      <c r="M132" s="151"/>
      <c r="N132" s="151"/>
      <c r="O132" s="151"/>
      <c r="P132" s="151" t="s">
        <v>220</v>
      </c>
    </row>
    <row r="133" spans="3:16">
      <c r="C133" s="19" t="s">
        <v>1006</v>
      </c>
      <c r="D133" s="26"/>
      <c r="E133" s="26"/>
      <c r="F133" s="26" t="s">
        <v>221</v>
      </c>
      <c r="G133" s="26"/>
      <c r="H133" s="26"/>
      <c r="I133" s="28">
        <v>39781</v>
      </c>
      <c r="J133" s="150">
        <v>39781</v>
      </c>
      <c r="K133" s="28">
        <v>39348</v>
      </c>
      <c r="M133" s="151"/>
      <c r="N133" s="151" t="s">
        <v>221</v>
      </c>
      <c r="O133" s="151"/>
      <c r="P133" s="151"/>
    </row>
    <row r="134" spans="3:16">
      <c r="C134" s="19" t="s">
        <v>1007</v>
      </c>
      <c r="D134" s="26"/>
      <c r="E134" s="26"/>
      <c r="F134" s="26"/>
      <c r="G134" s="26"/>
      <c r="H134" s="26" t="s">
        <v>222</v>
      </c>
      <c r="I134" s="156">
        <v>549</v>
      </c>
      <c r="J134" s="150">
        <v>549</v>
      </c>
      <c r="K134" s="156">
        <v>597</v>
      </c>
      <c r="M134" s="151"/>
      <c r="N134" s="151"/>
      <c r="O134" s="151"/>
      <c r="P134" s="151" t="s">
        <v>222</v>
      </c>
    </row>
    <row r="135" spans="3:16">
      <c r="C135" s="19" t="s">
        <v>1008</v>
      </c>
      <c r="D135" s="26"/>
      <c r="E135" s="26"/>
      <c r="F135" s="26"/>
      <c r="G135" s="26"/>
      <c r="H135" s="26" t="s">
        <v>223</v>
      </c>
      <c r="I135" s="156">
        <v>395</v>
      </c>
      <c r="J135" s="150">
        <v>395</v>
      </c>
      <c r="K135" s="156">
        <v>405</v>
      </c>
      <c r="M135" s="151"/>
      <c r="N135" s="151"/>
      <c r="O135" s="151"/>
      <c r="P135" s="151" t="s">
        <v>223</v>
      </c>
    </row>
    <row r="136" spans="3:16">
      <c r="C136" s="19" t="s">
        <v>1009</v>
      </c>
      <c r="D136" s="26"/>
      <c r="E136" s="26"/>
      <c r="F136" s="26"/>
      <c r="G136" s="26"/>
      <c r="H136" s="26" t="s">
        <v>224</v>
      </c>
      <c r="I136" s="157">
        <v>38837</v>
      </c>
      <c r="J136" s="150">
        <v>38837</v>
      </c>
      <c r="K136" s="157">
        <v>38346</v>
      </c>
      <c r="M136" s="151"/>
      <c r="N136" s="151"/>
      <c r="O136" s="151"/>
      <c r="P136" s="151" t="s">
        <v>224</v>
      </c>
    </row>
    <row r="137" spans="3:16">
      <c r="C137" s="19" t="s">
        <v>1010</v>
      </c>
      <c r="D137" s="26"/>
      <c r="E137" s="26"/>
      <c r="F137" s="26" t="s">
        <v>225</v>
      </c>
      <c r="G137" s="26"/>
      <c r="H137" s="26"/>
      <c r="I137" s="28">
        <v>54356</v>
      </c>
      <c r="J137" s="150">
        <v>54356</v>
      </c>
      <c r="K137" s="28">
        <v>43975</v>
      </c>
      <c r="M137" s="151"/>
      <c r="N137" s="151" t="s">
        <v>864</v>
      </c>
      <c r="O137" s="151"/>
      <c r="P137" s="151"/>
    </row>
    <row r="138" spans="3:16">
      <c r="C138" s="19" t="s">
        <v>947</v>
      </c>
      <c r="D138" s="26"/>
      <c r="E138" s="26"/>
      <c r="F138" s="26"/>
      <c r="G138" s="26" t="s">
        <v>226</v>
      </c>
      <c r="H138" s="26"/>
      <c r="I138" s="157">
        <v>23969</v>
      </c>
      <c r="J138" s="150">
        <v>23969</v>
      </c>
      <c r="K138" s="157">
        <v>22085</v>
      </c>
      <c r="M138" s="151"/>
      <c r="N138" s="151"/>
      <c r="O138" s="151" t="s">
        <v>865</v>
      </c>
      <c r="P138" s="151"/>
    </row>
    <row r="139" spans="3:16">
      <c r="C139" s="19" t="s">
        <v>948</v>
      </c>
      <c r="D139" s="26"/>
      <c r="E139" s="26"/>
      <c r="F139" s="26"/>
      <c r="G139" s="26" t="s">
        <v>227</v>
      </c>
      <c r="H139" s="26"/>
      <c r="I139" s="157">
        <v>1031</v>
      </c>
      <c r="J139" s="150">
        <v>1031</v>
      </c>
      <c r="K139" s="157">
        <v>1016</v>
      </c>
      <c r="M139" s="151"/>
      <c r="N139" s="151"/>
      <c r="O139" s="151" t="s">
        <v>866</v>
      </c>
      <c r="P139" s="151"/>
    </row>
    <row r="140" spans="3:16">
      <c r="C140" s="19" t="s">
        <v>949</v>
      </c>
      <c r="D140" s="26"/>
      <c r="E140" s="26"/>
      <c r="F140" s="26"/>
      <c r="G140" s="26" t="s">
        <v>228</v>
      </c>
      <c r="H140" s="26"/>
      <c r="I140" s="157">
        <v>2</v>
      </c>
      <c r="J140" s="150">
        <v>2</v>
      </c>
      <c r="K140" s="157">
        <v>2</v>
      </c>
      <c r="M140" s="151"/>
      <c r="N140" s="151"/>
      <c r="O140" s="151" t="s">
        <v>867</v>
      </c>
      <c r="P140" s="151"/>
    </row>
    <row r="141" spans="3:16">
      <c r="C141" s="19" t="s">
        <v>950</v>
      </c>
      <c r="D141" s="26"/>
      <c r="E141" s="26"/>
      <c r="F141" s="26"/>
      <c r="G141" s="26" t="s">
        <v>229</v>
      </c>
      <c r="H141" s="26"/>
      <c r="I141" s="157">
        <v>3804</v>
      </c>
      <c r="J141" s="150">
        <v>3804</v>
      </c>
      <c r="K141" s="157">
        <v>1311</v>
      </c>
      <c r="M141" s="151"/>
      <c r="N141" s="151"/>
      <c r="O141" s="151" t="s">
        <v>868</v>
      </c>
      <c r="P141" s="151"/>
    </row>
    <row r="142" spans="3:16">
      <c r="C142" s="19" t="s">
        <v>951</v>
      </c>
      <c r="D142" s="26"/>
      <c r="E142" s="26"/>
      <c r="F142" s="26"/>
      <c r="G142" s="26" t="s">
        <v>230</v>
      </c>
      <c r="H142" s="26"/>
      <c r="I142" s="157">
        <v>25550</v>
      </c>
      <c r="J142" s="150">
        <v>25550</v>
      </c>
      <c r="K142" s="157">
        <v>19561</v>
      </c>
      <c r="M142" s="151"/>
      <c r="N142" s="151"/>
      <c r="O142" s="151" t="s">
        <v>869</v>
      </c>
      <c r="P142" s="151"/>
    </row>
    <row r="143" spans="3:16" ht="14.4" thickBot="1"/>
    <row r="144" spans="3:16" s="6" customFormat="1" ht="14.4">
      <c r="D144" s="103" t="s">
        <v>231</v>
      </c>
      <c r="E144" s="99"/>
    </row>
    <row r="145" spans="4:5" s="6" customFormat="1" ht="14.4">
      <c r="D145" s="104" t="s">
        <v>232</v>
      </c>
      <c r="E145" s="100"/>
    </row>
    <row r="146" spans="4:5" s="6" customFormat="1" ht="14.4">
      <c r="D146" s="105" t="s">
        <v>233</v>
      </c>
      <c r="E146" s="101"/>
    </row>
    <row r="147" spans="4:5" s="6" customFormat="1" ht="15" thickBot="1">
      <c r="D147" s="106" t="s">
        <v>234</v>
      </c>
      <c r="E147" s="102"/>
    </row>
  </sheetData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>
      <selection activeCell="C5" sqref="C5"/>
    </sheetView>
  </sheetViews>
  <sheetFormatPr defaultColWidth="9" defaultRowHeight="14.4"/>
  <cols>
    <col min="1" max="1" width="9" style="6"/>
    <col min="2" max="2" width="25.21875" style="6" customWidth="1"/>
    <col min="3" max="3" width="10.88671875" style="6" bestFit="1" customWidth="1"/>
    <col min="4" max="16384" width="9" style="6"/>
  </cols>
  <sheetData>
    <row r="2" spans="2:3">
      <c r="B2" s="10" t="s">
        <v>231</v>
      </c>
      <c r="C2" s="10">
        <v>2019</v>
      </c>
    </row>
    <row r="3" spans="2:3">
      <c r="B3" s="11" t="s">
        <v>235</v>
      </c>
      <c r="C3" s="12">
        <f>Cal!$C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84650.742266925648</v>
      </c>
    </row>
    <row r="4" spans="2:3">
      <c r="B4" s="11" t="s">
        <v>236</v>
      </c>
      <c r="C4" s="12">
        <f>Cal!$D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25214.586997392125</v>
      </c>
    </row>
    <row r="5" spans="2:3">
      <c r="B5" s="11" t="s">
        <v>237</v>
      </c>
      <c r="C5" s="12">
        <f>Cal!$E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8072982.1194173032</v>
      </c>
    </row>
    <row r="6" spans="2:3">
      <c r="B6" s="11" t="s">
        <v>238</v>
      </c>
      <c r="C6" s="12">
        <f>Cal!$F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4633956.5131107848</v>
      </c>
    </row>
    <row r="7" spans="2:3">
      <c r="B7" s="11" t="s">
        <v>239</v>
      </c>
      <c r="C7" s="12">
        <f>Cal!$G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477958.89831224794</v>
      </c>
    </row>
    <row r="8" spans="2:3">
      <c r="B8" s="11" t="s">
        <v>240</v>
      </c>
      <c r="C8" s="12">
        <f>Cal!$H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1315953.270937951</v>
      </c>
    </row>
    <row r="9" spans="2:3">
      <c r="B9" s="11" t="s">
        <v>241</v>
      </c>
      <c r="C9" s="12">
        <f>Cal!$I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7728.5710293009906</v>
      </c>
    </row>
    <row r="10" spans="2:3">
      <c r="C10" s="12"/>
    </row>
    <row r="11" spans="2:3">
      <c r="B11" s="10" t="s">
        <v>232</v>
      </c>
      <c r="C11" s="12"/>
    </row>
    <row r="12" spans="2:3">
      <c r="B12" s="11" t="s">
        <v>235</v>
      </c>
      <c r="C12" s="12">
        <f>Cal!$C$5*SUM('DV-Regis'!$I$12:$I$18,'DV-Regis'!$I$26:$I$32,'DV-Regis'!$I$38:$I$41,'DV-Regis'!$I$47:$I$50,'DV-Regis'!$I$56:$I$59,'DV-Regis'!$I$64:$I$67,'DV-Regis'!$I$74:$I$75,'DV-Regis'!$I$79:$I$82)</f>
        <v>34802.257733074344</v>
      </c>
    </row>
    <row r="13" spans="2:3">
      <c r="B13" s="11" t="s">
        <v>236</v>
      </c>
      <c r="C13" s="12">
        <f>Cal!$D$5*SUM('DV-Regis'!$I$12:$I$18,'DV-Regis'!$I$26:$I$32,'DV-Regis'!$I$38:$I$41,'DV-Regis'!$I$47:$I$50,'DV-Regis'!$I$56:$I$59,'DV-Regis'!$I$64:$I$67,'DV-Regis'!$I$74:$I$75,'DV-Regis'!$I$79)</f>
        <v>10314.28274882044</v>
      </c>
    </row>
    <row r="14" spans="2:3">
      <c r="B14" s="11" t="s">
        <v>237</v>
      </c>
      <c r="C14" s="12">
        <f>Cal!$E$5*SUM('DV-Regis'!$I$12:$I$18,'DV-Regis'!$I$26:$I$32,'DV-Regis'!$I$38:$I$41,'DV-Regis'!$I$47:$I$50,'DV-Regis'!$I$56:$I$59,'DV-Regis'!$I$64:$I$67,'DV-Regis'!$I$74:$I$75,'DV-Regis'!$I$79)</f>
        <v>3302335.2797511155</v>
      </c>
    </row>
    <row r="15" spans="2:3">
      <c r="B15" s="11" t="s">
        <v>238</v>
      </c>
      <c r="C15" s="12">
        <f>Cal!$F$5*SUM('DV-Regis'!$I$12:$I$18,'DV-Regis'!$I$26:$I$32,'DV-Regis'!$I$38:$I$41,'DV-Regis'!$I$47:$I$50,'DV-Regis'!$I$56:$I$59,'DV-Regis'!$I$64:$I$67,'DV-Regis'!$I$74:$I$75,'DV-Regis'!$I$79)</f>
        <v>1895566.9480886636</v>
      </c>
    </row>
    <row r="16" spans="2:3">
      <c r="B16" s="11" t="s">
        <v>239</v>
      </c>
      <c r="C16" s="12">
        <f>Cal!$G$5*SUM('DV-Regis'!$I$12:$I$18,'DV-Regis'!$I$26:$I$32,'DV-Regis'!$I$38:$I$41,'DV-Regis'!$I$47:$I$50,'DV-Regis'!$I$56:$I$59,'DV-Regis'!$I$64:$I$67,'DV-Regis'!$I$74:$I$75,'DV-Regis'!$I$79)</f>
        <v>195513.93881712668</v>
      </c>
    </row>
    <row r="17" spans="2:3">
      <c r="B17" s="11" t="s">
        <v>240</v>
      </c>
      <c r="C17" s="12">
        <f>Cal!$H$5*SUM('DV-Regis'!$I$12:$I$18,'DV-Regis'!$I$26:$I$32,'DV-Regis'!$I$38:$I$41,'DV-Regis'!$I$47:$I$50,'DV-Regis'!$I$56:$I$59,'DV-Regis'!$I$64:$I$67,'DV-Regis'!$I$74:$I$75,'DV-Regis'!$I$79)</f>
        <v>538304.04289758822</v>
      </c>
    </row>
    <row r="18" spans="2:3">
      <c r="B18" s="11" t="s">
        <v>241</v>
      </c>
      <c r="C18" s="12">
        <f>Cal!$I$5*SUM('DV-Regis'!$I$12:$I$18,'DV-Regis'!$I$26:$I$32,'DV-Regis'!$I$38:$I$41,'DV-Regis'!$I$47:$I$50,'DV-Regis'!$I$56:$I$59,'DV-Regis'!$I$64:$I$67,'DV-Regis'!$I$74:$I$75,'DV-Regis'!$I$79)</f>
        <v>3161.4504274369956</v>
      </c>
    </row>
    <row r="19" spans="2:3">
      <c r="C19" s="12"/>
    </row>
    <row r="20" spans="2:3">
      <c r="B20" s="10" t="s">
        <v>242</v>
      </c>
      <c r="C20" s="12"/>
    </row>
    <row r="21" spans="2:3">
      <c r="B21" s="11" t="s">
        <v>235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3">
      <c r="B22" s="11" t="s">
        <v>236</v>
      </c>
      <c r="C22" s="129">
        <f>Cal!D8</f>
        <v>1366</v>
      </c>
    </row>
    <row r="23" spans="2:3">
      <c r="B23" s="11" t="s">
        <v>237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3">
      <c r="B24" s="11" t="s">
        <v>238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3">
      <c r="B25" s="11" t="s">
        <v>239</v>
      </c>
      <c r="C25" s="12">
        <f>Cal!$G$9*SUM('DV-Regis'!$I$85,'DV-Regis'!$I$87:$I$89,'DV-Regis'!$I$95:$I$96,'DV-Regis'!$I$100:$I$101,'DV-Regis'!$I$130:$I$131,'DV-Regis'!$I$134:$I$135)</f>
        <v>0</v>
      </c>
    </row>
    <row r="26" spans="2:3">
      <c r="B26" s="11" t="s">
        <v>240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3">
      <c r="B27" s="11" t="s">
        <v>241</v>
      </c>
      <c r="C27" s="12">
        <f>Cal!$I$9*SUM('DV-Regis'!$I$85,'DV-Regis'!$I$87:$I$89,'DV-Regis'!$I$95:$I$96,'DV-Regis'!$I$100:$I$101,'DV-Regis'!$I$130:$I$131,'DV-Regis'!$I$134:$I$135)</f>
        <v>0</v>
      </c>
    </row>
    <row r="28" spans="2:3">
      <c r="C28" s="12"/>
    </row>
    <row r="29" spans="2:3">
      <c r="B29" s="10" t="s">
        <v>243</v>
      </c>
      <c r="C29" s="12"/>
    </row>
    <row r="30" spans="2:3">
      <c r="B30" s="11" t="s">
        <v>235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3">
      <c r="B31" s="11" t="s">
        <v>236</v>
      </c>
      <c r="C31" s="129">
        <v>0</v>
      </c>
    </row>
    <row r="32" spans="2:3">
      <c r="B32" s="11" t="s">
        <v>237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238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239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240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241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43</v>
      </c>
    </row>
    <row r="39" spans="1:14">
      <c r="A39" s="130" t="s">
        <v>244</v>
      </c>
    </row>
    <row r="40" spans="1:14">
      <c r="A40" s="131" t="s">
        <v>245</v>
      </c>
    </row>
    <row r="41" spans="1:14">
      <c r="A41" s="13"/>
    </row>
    <row r="42" spans="1:14" ht="15" thickBot="1">
      <c r="A42" s="13" t="s">
        <v>246</v>
      </c>
    </row>
    <row r="43" spans="1:14" ht="15" thickBot="1">
      <c r="A43" s="13"/>
      <c r="B43" s="82" t="s">
        <v>247</v>
      </c>
      <c r="C43" s="83" t="s">
        <v>248</v>
      </c>
      <c r="D43" s="84" t="s">
        <v>249</v>
      </c>
    </row>
    <row r="44" spans="1:14" ht="15" thickBot="1">
      <c r="A44" s="13"/>
      <c r="B44" s="82" t="s">
        <v>250</v>
      </c>
      <c r="C44" s="83" t="s">
        <v>251</v>
      </c>
      <c r="D44" s="84" t="s">
        <v>252</v>
      </c>
    </row>
    <row r="45" spans="1:14">
      <c r="A45" s="13"/>
      <c r="B45" s="15" t="s">
        <v>253</v>
      </c>
      <c r="C45" s="80" t="s">
        <v>254</v>
      </c>
      <c r="D45" s="80"/>
    </row>
    <row r="46" spans="1:14">
      <c r="A46" s="13"/>
      <c r="B46" s="15" t="s">
        <v>255</v>
      </c>
      <c r="C46" s="80" t="s">
        <v>256</v>
      </c>
      <c r="D46" s="80"/>
    </row>
    <row r="47" spans="1:14" ht="15" thickBot="1">
      <c r="F47" s="80"/>
      <c r="J47" s="80"/>
    </row>
    <row r="48" spans="1:14">
      <c r="B48" s="174" t="s">
        <v>257</v>
      </c>
      <c r="C48" s="85" t="s">
        <v>258</v>
      </c>
      <c r="D48" s="86" t="s">
        <v>259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 ht="17.399999999999999">
      <c r="B49" s="175"/>
      <c r="C49" s="10" t="s">
        <v>260</v>
      </c>
      <c r="D49" s="88" t="s">
        <v>261</v>
      </c>
      <c r="E49" s="11"/>
      <c r="N49" s="89"/>
    </row>
    <row r="50" spans="2:14">
      <c r="B50" s="175"/>
      <c r="C50" s="90" t="s">
        <v>262</v>
      </c>
      <c r="D50" s="91" t="s">
        <v>263</v>
      </c>
      <c r="N50" s="89"/>
    </row>
    <row r="51" spans="2:14" ht="17.399999999999999">
      <c r="B51" s="175"/>
      <c r="C51" s="90" t="s">
        <v>264</v>
      </c>
      <c r="D51" s="88" t="s">
        <v>265</v>
      </c>
      <c r="N51" s="89"/>
    </row>
    <row r="52" spans="2:14" ht="18" thickBot="1">
      <c r="B52" s="176"/>
      <c r="C52" s="92" t="s">
        <v>266</v>
      </c>
      <c r="D52" s="93" t="s">
        <v>267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5" thickBot="1">
      <c r="C53" s="81"/>
    </row>
    <row r="54" spans="2:14">
      <c r="B54" s="174" t="s">
        <v>268</v>
      </c>
      <c r="C54" s="96" t="s">
        <v>258</v>
      </c>
      <c r="D54" s="86" t="s">
        <v>259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175"/>
      <c r="C55" s="90" t="s">
        <v>260</v>
      </c>
      <c r="D55" s="91" t="s">
        <v>269</v>
      </c>
      <c r="N55" s="89"/>
    </row>
    <row r="56" spans="2:14" ht="17.399999999999999">
      <c r="B56" s="175"/>
      <c r="C56" s="90" t="s">
        <v>262</v>
      </c>
      <c r="D56" s="88" t="s">
        <v>270</v>
      </c>
      <c r="N56" s="89"/>
    </row>
    <row r="57" spans="2:14">
      <c r="B57" s="175"/>
      <c r="C57" s="90" t="s">
        <v>264</v>
      </c>
      <c r="D57" s="91" t="s">
        <v>271</v>
      </c>
      <c r="N57" s="89"/>
    </row>
    <row r="58" spans="2:14" ht="18" thickBot="1">
      <c r="B58" s="176"/>
      <c r="C58" s="92" t="s">
        <v>266</v>
      </c>
      <c r="D58" s="93" t="s">
        <v>272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5" thickBot="1">
      <c r="C59" s="10"/>
    </row>
    <row r="60" spans="2:14">
      <c r="B60" s="174" t="s">
        <v>273</v>
      </c>
      <c r="C60" s="96" t="s">
        <v>258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175"/>
      <c r="C61" s="90" t="s">
        <v>260</v>
      </c>
      <c r="D61" s="91" t="s">
        <v>269</v>
      </c>
      <c r="N61" s="89"/>
    </row>
    <row r="62" spans="2:14">
      <c r="B62" s="175"/>
      <c r="C62" s="90" t="s">
        <v>262</v>
      </c>
      <c r="D62" s="91" t="s">
        <v>274</v>
      </c>
      <c r="E62" s="11"/>
      <c r="N62" s="89"/>
    </row>
    <row r="63" spans="2:14">
      <c r="B63" s="175"/>
      <c r="C63" s="90" t="s">
        <v>264</v>
      </c>
      <c r="D63" s="91" t="s">
        <v>275</v>
      </c>
      <c r="N63" s="89"/>
    </row>
    <row r="64" spans="2:14" ht="18" thickBot="1">
      <c r="B64" s="176"/>
      <c r="C64" s="92" t="s">
        <v>266</v>
      </c>
      <c r="D64" s="93" t="s">
        <v>276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5" thickBot="1">
      <c r="C65" s="81"/>
    </row>
    <row r="66" spans="2:14">
      <c r="B66" s="174" t="s">
        <v>277</v>
      </c>
      <c r="C66" s="96" t="s">
        <v>260</v>
      </c>
      <c r="D66" s="97" t="s">
        <v>269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175"/>
      <c r="C67" s="90" t="s">
        <v>262</v>
      </c>
      <c r="D67" s="91" t="s">
        <v>278</v>
      </c>
      <c r="N67" s="89"/>
    </row>
    <row r="68" spans="2:14" ht="17.399999999999999">
      <c r="B68" s="175"/>
      <c r="C68" s="90" t="s">
        <v>264</v>
      </c>
      <c r="D68" s="88" t="s">
        <v>279</v>
      </c>
      <c r="N68" s="89"/>
    </row>
    <row r="69" spans="2:14" ht="17.399999999999999">
      <c r="B69" s="175"/>
      <c r="C69" s="90" t="s">
        <v>266</v>
      </c>
      <c r="D69" s="88" t="s">
        <v>280</v>
      </c>
      <c r="N69" s="89"/>
    </row>
    <row r="70" spans="2:14" ht="15" thickBot="1">
      <c r="B70" s="176"/>
      <c r="C70" s="98" t="s">
        <v>281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2:M35"/>
  <sheetViews>
    <sheetView workbookViewId="0">
      <selection activeCell="H5" sqref="H5"/>
    </sheetView>
  </sheetViews>
  <sheetFormatPr defaultRowHeight="14.4"/>
  <cols>
    <col min="1" max="1" width="14" customWidth="1"/>
    <col min="5" max="5" width="15.88671875" customWidth="1"/>
    <col min="12" max="12" width="20.109375" customWidth="1"/>
  </cols>
  <sheetData>
    <row r="2" spans="1:13">
      <c r="B2" t="s">
        <v>282</v>
      </c>
      <c r="C2" t="s">
        <v>283</v>
      </c>
      <c r="D2" t="s">
        <v>284</v>
      </c>
      <c r="E2" t="s">
        <v>285</v>
      </c>
      <c r="F2" t="s">
        <v>286</v>
      </c>
      <c r="H2" t="s">
        <v>287</v>
      </c>
      <c r="I2" t="s">
        <v>288</v>
      </c>
    </row>
    <row r="3" spans="1:13">
      <c r="F3" t="s">
        <v>289</v>
      </c>
      <c r="G3" t="s">
        <v>290</v>
      </c>
      <c r="M3" t="s">
        <v>291</v>
      </c>
    </row>
    <row r="4" spans="1:13">
      <c r="A4" t="s">
        <v>292</v>
      </c>
      <c r="B4" s="108">
        <v>10</v>
      </c>
      <c r="C4" s="108">
        <v>160</v>
      </c>
      <c r="D4" s="108">
        <f>C4/B4</f>
        <v>16</v>
      </c>
      <c r="E4" s="109">
        <v>101188</v>
      </c>
      <c r="F4" s="108">
        <v>514</v>
      </c>
      <c r="G4" s="108">
        <v>464</v>
      </c>
      <c r="H4" s="108">
        <f>SUM(F4*5,G4*2)/7</f>
        <v>499.71428571428572</v>
      </c>
      <c r="I4" s="108">
        <f>E4/H4</f>
        <v>202.49170954831331</v>
      </c>
      <c r="J4" s="108"/>
      <c r="K4" s="108"/>
      <c r="L4" s="108" t="s">
        <v>293</v>
      </c>
      <c r="M4" s="107" t="s">
        <v>294</v>
      </c>
    </row>
    <row r="5" spans="1:13">
      <c r="A5" t="s">
        <v>295</v>
      </c>
      <c r="B5" s="108" t="s">
        <v>296</v>
      </c>
      <c r="C5" s="108">
        <v>794</v>
      </c>
      <c r="D5" s="108">
        <v>84</v>
      </c>
      <c r="E5" s="109">
        <v>562103</v>
      </c>
      <c r="F5">
        <v>947</v>
      </c>
      <c r="G5" s="108">
        <v>853</v>
      </c>
      <c r="H5" s="108">
        <f t="shared" ref="H5:H27" si="0">SUM(F5*5,G5*2)/7</f>
        <v>920.14285714285711</v>
      </c>
      <c r="I5" s="108">
        <f t="shared" ref="I5:I26" si="1">E5/H5</f>
        <v>610.88666356155875</v>
      </c>
      <c r="J5" s="108"/>
      <c r="K5" s="108"/>
      <c r="L5" s="108" t="s">
        <v>297</v>
      </c>
      <c r="M5" s="107" t="s">
        <v>298</v>
      </c>
    </row>
    <row r="6" spans="1:13">
      <c r="A6" t="s">
        <v>299</v>
      </c>
      <c r="B6" s="108">
        <v>10</v>
      </c>
      <c r="C6" s="108">
        <v>490</v>
      </c>
      <c r="D6" s="108">
        <f t="shared" ref="D6:D7" si="2">C6/B6</f>
        <v>49</v>
      </c>
      <c r="E6" s="109">
        <v>208987</v>
      </c>
      <c r="F6">
        <v>362</v>
      </c>
      <c r="G6" s="108">
        <v>350</v>
      </c>
      <c r="H6" s="108">
        <f t="shared" si="0"/>
        <v>358.57142857142856</v>
      </c>
      <c r="I6" s="108">
        <f t="shared" si="1"/>
        <v>582.83227091633466</v>
      </c>
      <c r="J6" s="108"/>
      <c r="K6" s="108"/>
      <c r="L6" s="108" t="s">
        <v>300</v>
      </c>
      <c r="M6" s="107" t="s">
        <v>301</v>
      </c>
    </row>
    <row r="7" spans="1:13">
      <c r="A7" t="s">
        <v>302</v>
      </c>
      <c r="B7" s="108">
        <v>10</v>
      </c>
      <c r="C7" s="108">
        <v>470</v>
      </c>
      <c r="D7" s="108">
        <f t="shared" si="2"/>
        <v>47</v>
      </c>
      <c r="E7" s="109">
        <v>210968</v>
      </c>
      <c r="F7" s="108">
        <v>453</v>
      </c>
      <c r="G7" s="108">
        <v>394</v>
      </c>
      <c r="H7" s="108">
        <f t="shared" si="0"/>
        <v>436.14285714285717</v>
      </c>
      <c r="I7" s="108">
        <f t="shared" si="1"/>
        <v>483.71306911234848</v>
      </c>
      <c r="J7" s="108"/>
      <c r="K7" s="108"/>
      <c r="L7" s="108" t="s">
        <v>303</v>
      </c>
      <c r="M7" t="s">
        <v>304</v>
      </c>
    </row>
    <row r="8" spans="1:13">
      <c r="A8" t="s">
        <v>305</v>
      </c>
      <c r="B8" s="108">
        <v>8</v>
      </c>
      <c r="C8" s="108">
        <f>640-12</f>
        <v>628</v>
      </c>
      <c r="D8" s="108">
        <f>C8/B8</f>
        <v>78.5</v>
      </c>
      <c r="E8" s="109">
        <v>223186</v>
      </c>
      <c r="F8" s="108">
        <v>431</v>
      </c>
      <c r="G8" s="108">
        <v>372</v>
      </c>
      <c r="H8" s="108">
        <f t="shared" si="0"/>
        <v>414.14285714285717</v>
      </c>
      <c r="I8" s="108">
        <f t="shared" si="1"/>
        <v>538.91065884787849</v>
      </c>
      <c r="J8" s="108"/>
      <c r="K8" s="108"/>
      <c r="L8" s="108"/>
      <c r="M8" s="107"/>
    </row>
    <row r="9" spans="1:13">
      <c r="A9" t="s">
        <v>306</v>
      </c>
      <c r="B9" s="108">
        <v>8</v>
      </c>
      <c r="C9" s="108">
        <v>312</v>
      </c>
      <c r="D9" s="108">
        <f t="shared" ref="D9:D27" si="3">C9/B9</f>
        <v>39</v>
      </c>
      <c r="E9" s="109">
        <v>130600</v>
      </c>
      <c r="F9" s="108">
        <v>330</v>
      </c>
      <c r="G9" s="108">
        <v>277</v>
      </c>
      <c r="H9" s="108">
        <f t="shared" si="0"/>
        <v>314.85714285714283</v>
      </c>
      <c r="I9" s="108">
        <f t="shared" si="1"/>
        <v>414.79128856624322</v>
      </c>
      <c r="J9" s="108"/>
      <c r="K9" s="108"/>
      <c r="L9" s="108"/>
    </row>
    <row r="10" spans="1:13">
      <c r="A10" t="s">
        <v>307</v>
      </c>
      <c r="B10" s="108">
        <v>8</v>
      </c>
      <c r="C10" s="108">
        <v>577</v>
      </c>
      <c r="D10" s="108">
        <f t="shared" si="3"/>
        <v>72.125</v>
      </c>
      <c r="E10" s="109">
        <v>261991</v>
      </c>
      <c r="F10" s="108">
        <v>415</v>
      </c>
      <c r="G10" s="108">
        <v>353</v>
      </c>
      <c r="H10" s="108">
        <f t="shared" si="0"/>
        <v>397.28571428571428</v>
      </c>
      <c r="I10" s="108">
        <f t="shared" si="1"/>
        <v>659.45235526788929</v>
      </c>
      <c r="J10" s="108"/>
      <c r="K10" s="108"/>
    </row>
    <row r="11" spans="1:13">
      <c r="A11" t="s">
        <v>308</v>
      </c>
      <c r="B11" s="108">
        <v>6</v>
      </c>
      <c r="C11" s="108">
        <v>120</v>
      </c>
      <c r="D11" s="108">
        <f t="shared" si="3"/>
        <v>20</v>
      </c>
      <c r="E11" s="109">
        <v>70133</v>
      </c>
      <c r="F11" s="108">
        <v>282</v>
      </c>
      <c r="G11" s="108">
        <v>270</v>
      </c>
      <c r="H11" s="108">
        <f t="shared" si="0"/>
        <v>278.57142857142856</v>
      </c>
      <c r="I11" s="108">
        <f t="shared" si="1"/>
        <v>251.75948717948719</v>
      </c>
      <c r="J11" s="108"/>
      <c r="K11" s="108"/>
      <c r="L11" s="108" t="s">
        <v>309</v>
      </c>
      <c r="M11" t="s">
        <v>310</v>
      </c>
    </row>
    <row r="12" spans="1:13">
      <c r="A12" t="s">
        <v>311</v>
      </c>
      <c r="B12" s="108">
        <v>6</v>
      </c>
      <c r="C12" s="108">
        <v>270</v>
      </c>
      <c r="D12" s="108">
        <f t="shared" si="3"/>
        <v>45</v>
      </c>
      <c r="E12" s="109">
        <v>130859</v>
      </c>
      <c r="F12" s="108">
        <v>502</v>
      </c>
      <c r="H12" s="108">
        <f>F12</f>
        <v>502</v>
      </c>
      <c r="I12" s="108">
        <f t="shared" si="1"/>
        <v>260.67529880478088</v>
      </c>
      <c r="J12" s="108"/>
      <c r="K12" s="108"/>
      <c r="L12" s="108" t="s">
        <v>312</v>
      </c>
      <c r="M12" s="107" t="s">
        <v>313</v>
      </c>
    </row>
    <row r="13" spans="1:13">
      <c r="A13" t="s">
        <v>314</v>
      </c>
      <c r="B13" s="108">
        <v>4</v>
      </c>
      <c r="C13" s="108">
        <v>84</v>
      </c>
      <c r="D13" s="108">
        <f t="shared" si="3"/>
        <v>21</v>
      </c>
      <c r="E13" s="109">
        <v>40262</v>
      </c>
      <c r="F13" s="108">
        <v>242</v>
      </c>
      <c r="G13" s="108">
        <v>218</v>
      </c>
      <c r="H13" s="108">
        <f t="shared" si="0"/>
        <v>235.14285714285714</v>
      </c>
      <c r="I13" s="108">
        <f t="shared" si="1"/>
        <v>171.22357229647631</v>
      </c>
      <c r="J13" s="108"/>
      <c r="K13" s="108"/>
      <c r="L13" s="108" t="s">
        <v>315</v>
      </c>
      <c r="M13" s="107" t="s">
        <v>316</v>
      </c>
    </row>
    <row r="14" spans="1:13">
      <c r="A14" t="s">
        <v>317</v>
      </c>
      <c r="B14" s="108">
        <v>8</v>
      </c>
      <c r="C14" s="108">
        <v>408</v>
      </c>
      <c r="D14" s="108">
        <f t="shared" si="3"/>
        <v>51</v>
      </c>
      <c r="E14" s="109">
        <v>173271</v>
      </c>
      <c r="F14">
        <v>364</v>
      </c>
      <c r="G14" s="108">
        <v>328</v>
      </c>
      <c r="H14" s="108">
        <f t="shared" si="0"/>
        <v>353.71428571428572</v>
      </c>
      <c r="I14" s="108">
        <f t="shared" si="1"/>
        <v>489.8614701130856</v>
      </c>
      <c r="J14" s="108"/>
      <c r="K14" s="108"/>
      <c r="L14" s="108" t="s">
        <v>318</v>
      </c>
      <c r="M14" s="107" t="s">
        <v>319</v>
      </c>
    </row>
    <row r="15" spans="1:13">
      <c r="A15" t="s">
        <v>320</v>
      </c>
      <c r="B15" s="108">
        <v>6</v>
      </c>
      <c r="C15" s="108">
        <v>336</v>
      </c>
      <c r="D15" s="108">
        <f t="shared" si="3"/>
        <v>56</v>
      </c>
      <c r="E15" s="109">
        <v>123856</v>
      </c>
      <c r="F15">
        <v>349</v>
      </c>
      <c r="G15" s="108">
        <v>305</v>
      </c>
      <c r="H15" s="108">
        <f t="shared" si="0"/>
        <v>336.42857142857144</v>
      </c>
      <c r="I15" s="108">
        <f t="shared" si="1"/>
        <v>368.14946921443737</v>
      </c>
      <c r="J15" s="108"/>
      <c r="K15" s="108"/>
      <c r="L15" s="108" t="s">
        <v>321</v>
      </c>
      <c r="M15" t="s">
        <v>322</v>
      </c>
    </row>
    <row r="16" spans="1:13">
      <c r="A16" t="s">
        <v>323</v>
      </c>
      <c r="B16" s="108">
        <v>4</v>
      </c>
      <c r="C16" s="108">
        <v>80</v>
      </c>
      <c r="D16" s="108">
        <f t="shared" si="3"/>
        <v>20</v>
      </c>
      <c r="E16" s="109">
        <v>34438</v>
      </c>
      <c r="F16">
        <v>320</v>
      </c>
      <c r="G16" s="108">
        <v>284</v>
      </c>
      <c r="H16" s="108">
        <f t="shared" si="0"/>
        <v>309.71428571428572</v>
      </c>
      <c r="I16" s="108">
        <f t="shared" si="1"/>
        <v>111.19280442804428</v>
      </c>
      <c r="J16" s="108"/>
      <c r="K16" s="108"/>
      <c r="L16" s="108"/>
    </row>
    <row r="17" spans="1:13">
      <c r="A17" t="s">
        <v>324</v>
      </c>
      <c r="B17" s="108">
        <v>6</v>
      </c>
      <c r="C17" s="108">
        <v>102</v>
      </c>
      <c r="D17" s="108">
        <f t="shared" si="3"/>
        <v>17</v>
      </c>
      <c r="E17" s="109">
        <v>10984</v>
      </c>
      <c r="F17">
        <v>310</v>
      </c>
      <c r="G17" s="108">
        <v>278</v>
      </c>
      <c r="H17" s="108">
        <f t="shared" si="0"/>
        <v>300.85714285714283</v>
      </c>
      <c r="I17" s="108">
        <f t="shared" si="1"/>
        <v>36.509021842355182</v>
      </c>
      <c r="J17" s="108"/>
      <c r="K17" s="108"/>
      <c r="L17" s="108" t="s">
        <v>325</v>
      </c>
      <c r="M17" t="s">
        <v>326</v>
      </c>
    </row>
    <row r="18" spans="1:13">
      <c r="A18" t="s">
        <v>327</v>
      </c>
      <c r="B18" s="108">
        <v>8</v>
      </c>
      <c r="C18" s="108">
        <v>272</v>
      </c>
      <c r="D18" s="108">
        <f t="shared" si="3"/>
        <v>34</v>
      </c>
      <c r="E18" s="109">
        <v>74427</v>
      </c>
      <c r="F18">
        <v>312</v>
      </c>
      <c r="G18" s="108">
        <v>272</v>
      </c>
      <c r="H18" s="108">
        <f t="shared" si="0"/>
        <v>300.57142857142856</v>
      </c>
      <c r="I18" s="108">
        <f t="shared" si="1"/>
        <v>247.61834600760457</v>
      </c>
      <c r="J18" s="108"/>
      <c r="K18" s="108"/>
      <c r="L18" s="108" t="s">
        <v>328</v>
      </c>
      <c r="M18" s="107" t="s">
        <v>329</v>
      </c>
    </row>
    <row r="19" spans="1:13">
      <c r="A19" t="s">
        <v>330</v>
      </c>
      <c r="B19" s="108">
        <v>2</v>
      </c>
      <c r="C19" s="108">
        <v>74</v>
      </c>
      <c r="D19" s="108">
        <f t="shared" si="3"/>
        <v>37</v>
      </c>
      <c r="E19" s="109">
        <v>41388</v>
      </c>
      <c r="F19">
        <v>460</v>
      </c>
      <c r="G19" s="108">
        <v>376</v>
      </c>
      <c r="H19" s="108">
        <f t="shared" si="0"/>
        <v>436</v>
      </c>
      <c r="I19" s="108">
        <f t="shared" si="1"/>
        <v>94.926605504587158</v>
      </c>
      <c r="J19" s="108"/>
      <c r="K19" s="108"/>
      <c r="L19" s="108" t="s">
        <v>331</v>
      </c>
      <c r="M19" s="107" t="s">
        <v>332</v>
      </c>
    </row>
    <row r="20" spans="1:13">
      <c r="A20" t="s">
        <v>333</v>
      </c>
      <c r="B20" s="108">
        <v>6</v>
      </c>
      <c r="C20" s="108">
        <v>204</v>
      </c>
      <c r="D20" s="108">
        <f t="shared" si="3"/>
        <v>34</v>
      </c>
      <c r="E20" s="109">
        <v>74572</v>
      </c>
      <c r="F20" s="108">
        <f>105112/365</f>
        <v>287.9780821917808</v>
      </c>
      <c r="H20" s="108">
        <f>F20</f>
        <v>287.9780821917808</v>
      </c>
      <c r="I20" s="108">
        <f t="shared" si="1"/>
        <v>258.9502625770607</v>
      </c>
      <c r="J20" s="108"/>
      <c r="K20" s="108"/>
      <c r="L20" s="108" t="s">
        <v>334</v>
      </c>
      <c r="M20" s="107" t="s">
        <v>335</v>
      </c>
    </row>
    <row r="21" spans="1:13">
      <c r="A21" t="s">
        <v>336</v>
      </c>
      <c r="B21" s="108">
        <v>6</v>
      </c>
      <c r="C21" s="108">
        <v>180</v>
      </c>
      <c r="D21" s="108">
        <f t="shared" si="3"/>
        <v>30</v>
      </c>
      <c r="E21" s="109">
        <v>64876</v>
      </c>
      <c r="F21" s="108">
        <f>96192/365</f>
        <v>263.53972602739725</v>
      </c>
      <c r="H21" s="108">
        <f t="shared" ref="H21:H22" si="4">F21</f>
        <v>263.53972602739725</v>
      </c>
      <c r="I21" s="108">
        <f t="shared" si="1"/>
        <v>246.1716151031271</v>
      </c>
      <c r="J21" s="108"/>
      <c r="K21" s="108"/>
      <c r="L21" s="108" t="s">
        <v>337</v>
      </c>
      <c r="M21" s="107" t="s">
        <v>338</v>
      </c>
    </row>
    <row r="22" spans="1:13">
      <c r="A22" t="s">
        <v>339</v>
      </c>
      <c r="B22" s="108">
        <v>3</v>
      </c>
      <c r="C22" s="108">
        <v>84</v>
      </c>
      <c r="D22" s="108">
        <f t="shared" si="3"/>
        <v>28</v>
      </c>
      <c r="E22" s="109">
        <v>28180</v>
      </c>
      <c r="F22" s="108">
        <f>111480/365</f>
        <v>305.42465753424659</v>
      </c>
      <c r="H22" s="108">
        <f t="shared" si="4"/>
        <v>305.42465753424659</v>
      </c>
      <c r="I22" s="108">
        <f t="shared" si="1"/>
        <v>92.264980265518474</v>
      </c>
      <c r="J22" s="108"/>
      <c r="K22" s="108"/>
      <c r="L22" s="108" t="s">
        <v>340</v>
      </c>
      <c r="M22" t="s">
        <v>341</v>
      </c>
    </row>
    <row r="23" spans="1:13">
      <c r="A23" t="s">
        <v>342</v>
      </c>
      <c r="B23" s="108">
        <v>4</v>
      </c>
      <c r="C23" s="108">
        <v>92</v>
      </c>
      <c r="D23" s="108">
        <f t="shared" si="3"/>
        <v>23</v>
      </c>
      <c r="E23" s="109">
        <v>19319</v>
      </c>
      <c r="F23" s="108">
        <f>G23*(F13/G13)</f>
        <v>224.23853211009174</v>
      </c>
      <c r="G23">
        <v>202</v>
      </c>
      <c r="H23" s="108">
        <f t="shared" si="0"/>
        <v>217.88466579292268</v>
      </c>
      <c r="I23" s="108">
        <f t="shared" si="1"/>
        <v>88.666175426777187</v>
      </c>
      <c r="J23" s="108"/>
      <c r="K23" s="108"/>
      <c r="L23" s="108" t="s">
        <v>343</v>
      </c>
      <c r="M23" s="107" t="s">
        <v>344</v>
      </c>
    </row>
    <row r="24" spans="1:13">
      <c r="A24" t="s">
        <v>345</v>
      </c>
      <c r="B24" s="108">
        <v>2</v>
      </c>
      <c r="C24" s="108">
        <v>50</v>
      </c>
      <c r="D24" s="108">
        <f t="shared" si="3"/>
        <v>25</v>
      </c>
      <c r="E24" s="109">
        <v>18480</v>
      </c>
      <c r="F24">
        <v>424</v>
      </c>
      <c r="H24" s="108">
        <f t="shared" si="0"/>
        <v>302.85714285714283</v>
      </c>
      <c r="I24" s="108">
        <f t="shared" si="1"/>
        <v>61.018867924528308</v>
      </c>
      <c r="J24" s="108"/>
      <c r="K24" s="108"/>
      <c r="L24" s="108" t="s">
        <v>346</v>
      </c>
      <c r="M24" s="107" t="s">
        <v>347</v>
      </c>
    </row>
    <row r="25" spans="1:13">
      <c r="A25" t="s">
        <v>348</v>
      </c>
      <c r="B25" s="108">
        <v>2</v>
      </c>
      <c r="C25" s="108">
        <v>30</v>
      </c>
      <c r="D25" s="108">
        <f t="shared" si="3"/>
        <v>15</v>
      </c>
      <c r="E25" s="109">
        <v>12953</v>
      </c>
      <c r="F25">
        <v>362</v>
      </c>
      <c r="H25" s="108">
        <f t="shared" si="0"/>
        <v>258.57142857142856</v>
      </c>
      <c r="I25" s="108">
        <f t="shared" si="1"/>
        <v>50.094475138121553</v>
      </c>
      <c r="J25" s="108"/>
      <c r="K25" s="108"/>
      <c r="L25" s="108" t="s">
        <v>349</v>
      </c>
      <c r="M25" s="107" t="s">
        <v>350</v>
      </c>
    </row>
    <row r="26" spans="1:13">
      <c r="A26" t="s">
        <v>351</v>
      </c>
      <c r="B26" s="108">
        <v>1</v>
      </c>
      <c r="C26" s="108">
        <v>30</v>
      </c>
      <c r="D26" s="108">
        <f t="shared" si="3"/>
        <v>30</v>
      </c>
      <c r="E26" s="109">
        <v>8848</v>
      </c>
      <c r="F26">
        <v>398</v>
      </c>
      <c r="H26" s="108">
        <f t="shared" si="0"/>
        <v>284.28571428571428</v>
      </c>
      <c r="I26" s="108">
        <f t="shared" si="1"/>
        <v>31.123618090452261</v>
      </c>
      <c r="J26" s="108"/>
      <c r="K26" s="108"/>
      <c r="L26" s="108" t="s">
        <v>352</v>
      </c>
      <c r="M26" s="107" t="s">
        <v>353</v>
      </c>
    </row>
    <row r="27" spans="1:13">
      <c r="A27" t="s">
        <v>354</v>
      </c>
      <c r="B27" s="108">
        <v>2</v>
      </c>
      <c r="C27" s="108">
        <v>36</v>
      </c>
      <c r="D27" s="108">
        <f t="shared" si="3"/>
        <v>18</v>
      </c>
      <c r="E27" s="109">
        <v>16157</v>
      </c>
      <c r="F27">
        <v>516</v>
      </c>
      <c r="H27" s="108">
        <f t="shared" si="0"/>
        <v>368.57142857142856</v>
      </c>
      <c r="I27" s="108">
        <f>E27/H27</f>
        <v>43.83682170542636</v>
      </c>
      <c r="J27" s="108"/>
      <c r="K27" s="108"/>
      <c r="L27" s="108" t="s">
        <v>355</v>
      </c>
      <c r="M27" s="107" t="s">
        <v>356</v>
      </c>
    </row>
    <row r="28" spans="1:13">
      <c r="A28" t="s">
        <v>357</v>
      </c>
      <c r="B28" s="108"/>
      <c r="C28">
        <v>5883</v>
      </c>
      <c r="D28" s="111">
        <f>SUM(D4:D27)</f>
        <v>889.625</v>
      </c>
      <c r="E28" s="109">
        <f>SUM($E$4:$E$27)</f>
        <v>2642026</v>
      </c>
      <c r="L28" s="108" t="s">
        <v>358</v>
      </c>
      <c r="M28" t="s">
        <v>359</v>
      </c>
    </row>
    <row r="29" spans="1:13">
      <c r="B29" s="110" t="s">
        <v>360</v>
      </c>
      <c r="C29" s="128">
        <f>SUMPRODUCT(D4:D27,I4:I27)/D28</f>
        <v>356.82478102755613</v>
      </c>
      <c r="L29" s="108" t="s">
        <v>361</v>
      </c>
      <c r="M29" t="s">
        <v>362</v>
      </c>
    </row>
    <row r="31" spans="1:13">
      <c r="L31" s="108"/>
      <c r="M31" s="107"/>
    </row>
    <row r="32" spans="1:13">
      <c r="A32" s="8" t="s">
        <v>43</v>
      </c>
    </row>
    <row r="33" spans="1:2">
      <c r="A33" t="s">
        <v>363</v>
      </c>
    </row>
    <row r="34" spans="1:2">
      <c r="A34" s="6" t="s">
        <v>364</v>
      </c>
      <c r="B34" s="6"/>
    </row>
    <row r="35" spans="1:2">
      <c r="A35" s="6" t="s">
        <v>365</v>
      </c>
      <c r="B35" s="6"/>
    </row>
  </sheetData>
  <phoneticPr fontId="37" type="noConversion"/>
  <hyperlinks>
    <hyperlink ref="M14" r:id="rId1" xr:uid="{7C037131-1B71-4BD1-8419-891ECEEB6EF4}"/>
    <hyperlink ref="M5" r:id="rId2" xr:uid="{78D3FDED-91BE-41A9-911E-CA89059EA125}"/>
    <hyperlink ref="M12" r:id="rId3" xr:uid="{97B68D76-903A-4FBA-99D0-3506CB53453A}"/>
    <hyperlink ref="M13" r:id="rId4" xr:uid="{7D1A2512-C264-4773-BB26-6CCD8D38C2B0}"/>
    <hyperlink ref="M18" r:id="rId5" xr:uid="{427A2D69-F81D-453A-A1A9-964FE6B7E132}"/>
    <hyperlink ref="M19" r:id="rId6" xr:uid="{D9CD2DBA-42E3-4138-A45C-89882F290EB6}"/>
    <hyperlink ref="M20" r:id="rId7" xr:uid="{F92C74D7-67C7-44CE-AC7C-3DBE54D082C7}"/>
    <hyperlink ref="M21" r:id="rId8" xr:uid="{E9527FA8-D11D-49B2-9D12-C106AF371F6B}"/>
    <hyperlink ref="M23" r:id="rId9" xr:uid="{68B8C6E9-9FEA-4D47-A3CC-9D8EFEC4F70C}"/>
    <hyperlink ref="M24" r:id="rId10" xr:uid="{8C550C46-7D26-4685-9D35-35539819EAFF}"/>
    <hyperlink ref="M25" r:id="rId11" xr:uid="{5152C9B2-2EE0-4F16-9C8D-72202EE1F7A1}"/>
    <hyperlink ref="M26" r:id="rId12" xr:uid="{99B26EE2-589D-4650-957A-D9AA9AAA926E}"/>
    <hyperlink ref="M27" r:id="rId13" xr:uid="{B1C14B6C-2919-4722-B4AE-452DBADEBFD6}"/>
    <hyperlink ref="M6" r:id="rId14" xr:uid="{B11A7F40-1D57-4AD1-B56F-160194EC9A1B}"/>
    <hyperlink ref="M4" r:id="rId15" xr:uid="{0C9A49A5-5998-40F1-A9CB-18E859F1974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W55"/>
  <sheetViews>
    <sheetView workbookViewId="0"/>
  </sheetViews>
  <sheetFormatPr defaultColWidth="9" defaultRowHeight="13.8"/>
  <cols>
    <col min="1" max="1" width="18.109375" style="20" customWidth="1"/>
    <col min="2" max="2" width="9" style="20"/>
    <col min="3" max="3" width="12.21875" style="20" customWidth="1"/>
    <col min="4" max="4" width="6.88671875" style="20" bestFit="1" customWidth="1"/>
    <col min="5" max="16384" width="9" style="20"/>
  </cols>
  <sheetData>
    <row r="1" spans="2:23">
      <c r="B1" s="37" t="s">
        <v>366</v>
      </c>
    </row>
    <row r="2" spans="2:23" ht="14.4">
      <c r="B2" s="41" t="s">
        <v>367</v>
      </c>
      <c r="C2" s="41" t="s">
        <v>368</v>
      </c>
      <c r="D2" s="117">
        <v>2000</v>
      </c>
      <c r="E2" s="117">
        <v>2001</v>
      </c>
      <c r="F2" s="117">
        <v>2002</v>
      </c>
      <c r="G2" s="117">
        <v>2003</v>
      </c>
      <c r="H2" s="117">
        <v>2004</v>
      </c>
      <c r="I2" s="117">
        <v>2005</v>
      </c>
      <c r="J2" s="117">
        <v>2006</v>
      </c>
      <c r="K2" s="117">
        <v>2007</v>
      </c>
      <c r="L2" s="117">
        <v>2008</v>
      </c>
      <c r="M2" s="117">
        <v>2009</v>
      </c>
      <c r="N2" s="117">
        <v>2010</v>
      </c>
      <c r="O2" s="117">
        <v>2011</v>
      </c>
      <c r="P2" s="117">
        <v>2012</v>
      </c>
      <c r="Q2" s="117">
        <v>2013</v>
      </c>
      <c r="R2" s="117">
        <v>2014</v>
      </c>
      <c r="S2" s="117">
        <v>2015</v>
      </c>
      <c r="T2" s="117">
        <v>2016</v>
      </c>
      <c r="U2" s="117">
        <v>2017</v>
      </c>
      <c r="V2" s="117">
        <v>2018</v>
      </c>
      <c r="W2" s="117">
        <v>2019</v>
      </c>
    </row>
    <row r="3" spans="2:23" ht="14.4">
      <c r="B3" s="44" t="s">
        <v>369</v>
      </c>
      <c r="C3" s="44" t="s">
        <v>84</v>
      </c>
      <c r="D3" s="45" t="s">
        <v>370</v>
      </c>
      <c r="E3" s="45" t="s">
        <v>370</v>
      </c>
      <c r="F3" s="45" t="s">
        <v>370</v>
      </c>
      <c r="G3" s="45">
        <v>340</v>
      </c>
      <c r="H3" s="45">
        <v>920</v>
      </c>
      <c r="I3" s="45">
        <v>920</v>
      </c>
      <c r="J3" s="45">
        <v>920</v>
      </c>
      <c r="K3" s="45">
        <v>920</v>
      </c>
      <c r="L3" s="45">
        <v>920</v>
      </c>
      <c r="M3" s="45">
        <v>920</v>
      </c>
      <c r="N3" s="45">
        <v>1110</v>
      </c>
      <c r="O3" s="45">
        <v>1110</v>
      </c>
      <c r="P3" s="45">
        <v>1160</v>
      </c>
      <c r="Q3" s="45">
        <v>1160</v>
      </c>
      <c r="R3" s="45">
        <v>1160</v>
      </c>
      <c r="S3" s="45">
        <v>1380</v>
      </c>
      <c r="T3" s="45">
        <v>1420</v>
      </c>
      <c r="U3" s="45">
        <v>1530</v>
      </c>
      <c r="V3" s="45">
        <v>1530</v>
      </c>
      <c r="W3" s="45">
        <v>1530</v>
      </c>
    </row>
    <row r="4" spans="2:23" ht="14.4">
      <c r="B4" s="44" t="s">
        <v>371</v>
      </c>
      <c r="C4" s="44" t="s">
        <v>84</v>
      </c>
      <c r="D4" s="45" t="s">
        <v>370</v>
      </c>
      <c r="E4" s="45" t="s">
        <v>370</v>
      </c>
      <c r="F4" s="45" t="s">
        <v>370</v>
      </c>
      <c r="G4" s="45" t="s">
        <v>370</v>
      </c>
      <c r="H4" s="45" t="s">
        <v>370</v>
      </c>
      <c r="I4" s="45" t="s">
        <v>370</v>
      </c>
      <c r="J4" s="45" t="s">
        <v>370</v>
      </c>
      <c r="K4" s="45" t="s">
        <v>370</v>
      </c>
      <c r="L4" s="45" t="s">
        <v>370</v>
      </c>
      <c r="M4" s="45" t="s">
        <v>370</v>
      </c>
      <c r="N4" s="45" t="s">
        <v>370</v>
      </c>
      <c r="O4" s="45" t="s">
        <v>370</v>
      </c>
      <c r="P4" s="45" t="s">
        <v>370</v>
      </c>
      <c r="Q4" s="45" t="s">
        <v>370</v>
      </c>
      <c r="R4" s="45" t="s">
        <v>370</v>
      </c>
      <c r="S4" s="45" t="s">
        <v>370</v>
      </c>
      <c r="T4" s="45">
        <v>100</v>
      </c>
      <c r="U4" s="45">
        <v>100</v>
      </c>
      <c r="V4" s="45">
        <v>100</v>
      </c>
      <c r="W4" s="45">
        <v>100</v>
      </c>
    </row>
    <row r="5" spans="2:23" ht="14.4">
      <c r="B5" s="44" t="s">
        <v>372</v>
      </c>
      <c r="C5" s="44" t="s">
        <v>373</v>
      </c>
      <c r="D5" s="45">
        <v>467</v>
      </c>
      <c r="E5" s="45">
        <v>482</v>
      </c>
      <c r="F5" s="45">
        <v>482</v>
      </c>
      <c r="G5" s="45">
        <v>468</v>
      </c>
      <c r="H5" s="45">
        <v>462</v>
      </c>
      <c r="I5" s="45">
        <v>455</v>
      </c>
      <c r="J5" s="45">
        <v>438</v>
      </c>
      <c r="K5" s="45">
        <v>422</v>
      </c>
      <c r="L5" s="45">
        <v>396</v>
      </c>
      <c r="M5" s="45">
        <v>335</v>
      </c>
      <c r="N5" s="45">
        <v>330</v>
      </c>
      <c r="O5" s="45">
        <v>321</v>
      </c>
      <c r="P5" s="45">
        <v>315</v>
      </c>
      <c r="Q5" s="45">
        <v>286</v>
      </c>
      <c r="R5" s="45">
        <v>309</v>
      </c>
      <c r="S5" s="45">
        <v>292</v>
      </c>
      <c r="T5" s="45">
        <v>288</v>
      </c>
      <c r="U5" s="45">
        <v>280</v>
      </c>
      <c r="V5" s="45">
        <v>265</v>
      </c>
      <c r="W5" s="45">
        <v>254</v>
      </c>
    </row>
    <row r="6" spans="2:23" ht="14.4">
      <c r="B6" s="46" t="s">
        <v>374</v>
      </c>
      <c r="C6" s="44" t="s">
        <v>375</v>
      </c>
      <c r="D6" s="45">
        <v>95</v>
      </c>
      <c r="E6" s="45">
        <v>96</v>
      </c>
      <c r="F6" s="45">
        <v>96</v>
      </c>
      <c r="G6" s="45">
        <v>106</v>
      </c>
      <c r="H6" s="45">
        <v>124</v>
      </c>
      <c r="I6" s="45">
        <v>131</v>
      </c>
      <c r="J6" s="45">
        <v>151</v>
      </c>
      <c r="K6" s="45">
        <v>151</v>
      </c>
      <c r="L6" s="45">
        <v>179</v>
      </c>
      <c r="M6" s="45">
        <v>179</v>
      </c>
      <c r="N6" s="45">
        <v>179</v>
      </c>
      <c r="O6" s="45">
        <v>177</v>
      </c>
      <c r="P6" s="45">
        <v>204</v>
      </c>
      <c r="Q6" s="45">
        <v>209</v>
      </c>
      <c r="R6" s="45">
        <v>200</v>
      </c>
      <c r="S6" s="45">
        <v>200</v>
      </c>
      <c r="T6" s="45">
        <v>195</v>
      </c>
      <c r="U6" s="45">
        <v>176</v>
      </c>
      <c r="V6" s="45">
        <v>175</v>
      </c>
      <c r="W6" s="45">
        <v>175</v>
      </c>
    </row>
    <row r="7" spans="2:23" ht="14.4">
      <c r="B7" s="46" t="s">
        <v>374</v>
      </c>
      <c r="C7" s="44" t="s">
        <v>376</v>
      </c>
      <c r="D7" s="45">
        <v>1</v>
      </c>
      <c r="E7" s="45">
        <v>1</v>
      </c>
      <c r="F7" s="45">
        <v>1</v>
      </c>
      <c r="G7" s="45">
        <v>1</v>
      </c>
      <c r="H7" s="45">
        <v>1</v>
      </c>
      <c r="I7" s="45">
        <v>1</v>
      </c>
      <c r="J7" s="45">
        <v>1</v>
      </c>
      <c r="K7" s="45">
        <v>1</v>
      </c>
      <c r="L7" s="45">
        <v>1</v>
      </c>
      <c r="M7" s="45" t="s">
        <v>370</v>
      </c>
      <c r="N7" s="45" t="s">
        <v>370</v>
      </c>
      <c r="O7" s="45" t="s">
        <v>370</v>
      </c>
      <c r="P7" s="45" t="s">
        <v>370</v>
      </c>
      <c r="Q7" s="45" t="s">
        <v>370</v>
      </c>
      <c r="R7" s="45" t="s">
        <v>370</v>
      </c>
      <c r="S7" s="45" t="s">
        <v>370</v>
      </c>
      <c r="T7" s="45" t="s">
        <v>370</v>
      </c>
      <c r="U7" s="45" t="s">
        <v>370</v>
      </c>
      <c r="V7" s="45" t="s">
        <v>370</v>
      </c>
      <c r="W7" s="45" t="s">
        <v>370</v>
      </c>
    </row>
    <row r="8" spans="2:23" ht="14.4">
      <c r="B8" s="44" t="s">
        <v>377</v>
      </c>
      <c r="C8" s="44" t="s">
        <v>378</v>
      </c>
      <c r="D8" s="45">
        <v>615</v>
      </c>
      <c r="E8" s="45">
        <v>610</v>
      </c>
      <c r="F8" s="45">
        <v>610</v>
      </c>
      <c r="G8" s="45">
        <v>606</v>
      </c>
      <c r="H8" s="45">
        <v>602</v>
      </c>
      <c r="I8" s="45">
        <v>592</v>
      </c>
      <c r="J8" s="45">
        <v>576</v>
      </c>
      <c r="K8" s="45">
        <v>566</v>
      </c>
      <c r="L8" s="45">
        <v>524</v>
      </c>
      <c r="M8" s="45">
        <v>500</v>
      </c>
      <c r="N8" s="45">
        <v>471</v>
      </c>
      <c r="O8" s="45">
        <v>444</v>
      </c>
      <c r="P8" s="45">
        <v>397</v>
      </c>
      <c r="Q8" s="45">
        <v>303</v>
      </c>
      <c r="R8" s="45">
        <v>204</v>
      </c>
      <c r="S8" s="45">
        <v>201</v>
      </c>
      <c r="T8" s="45">
        <v>178</v>
      </c>
      <c r="U8" s="45">
        <v>150</v>
      </c>
      <c r="V8" s="45">
        <v>150</v>
      </c>
      <c r="W8" s="45">
        <v>121</v>
      </c>
    </row>
    <row r="9" spans="2:23" ht="14.4">
      <c r="B9" s="46" t="s">
        <v>374</v>
      </c>
      <c r="C9" s="44" t="s">
        <v>379</v>
      </c>
      <c r="D9" s="45">
        <v>1674</v>
      </c>
      <c r="E9" s="45">
        <v>1672</v>
      </c>
      <c r="F9" s="45">
        <v>1662</v>
      </c>
      <c r="G9" s="45">
        <v>1858</v>
      </c>
      <c r="H9" s="45">
        <v>1824</v>
      </c>
      <c r="I9" s="45">
        <v>1850</v>
      </c>
      <c r="J9" s="45">
        <v>2086</v>
      </c>
      <c r="K9" s="45">
        <v>2086</v>
      </c>
      <c r="L9" s="45">
        <v>2088</v>
      </c>
      <c r="M9" s="45">
        <v>2184</v>
      </c>
      <c r="N9" s="45">
        <v>2287</v>
      </c>
      <c r="O9" s="45">
        <v>2344</v>
      </c>
      <c r="P9" s="45">
        <v>2381</v>
      </c>
      <c r="Q9" s="45">
        <v>2449</v>
      </c>
      <c r="R9" s="45">
        <v>2458</v>
      </c>
      <c r="S9" s="45">
        <v>2410</v>
      </c>
      <c r="T9" s="45">
        <v>2546</v>
      </c>
      <c r="U9" s="45">
        <v>2558</v>
      </c>
      <c r="V9" s="45">
        <v>2569</v>
      </c>
      <c r="W9" s="45">
        <v>2562</v>
      </c>
    </row>
    <row r="10" spans="2:23" ht="14.4">
      <c r="B10" s="46" t="s">
        <v>374</v>
      </c>
      <c r="C10" s="44" t="s">
        <v>380</v>
      </c>
      <c r="D10" s="45">
        <v>10</v>
      </c>
      <c r="E10" s="45" t="s">
        <v>370</v>
      </c>
      <c r="F10" s="45" t="s">
        <v>370</v>
      </c>
      <c r="G10" s="45" t="s">
        <v>370</v>
      </c>
      <c r="H10" s="45" t="s">
        <v>370</v>
      </c>
      <c r="I10" s="45" t="s">
        <v>370</v>
      </c>
      <c r="J10" s="45" t="s">
        <v>370</v>
      </c>
      <c r="K10" s="45" t="s">
        <v>370</v>
      </c>
      <c r="L10" s="45" t="s">
        <v>370</v>
      </c>
      <c r="M10" s="45" t="s">
        <v>370</v>
      </c>
      <c r="N10" s="45" t="s">
        <v>370</v>
      </c>
      <c r="O10" s="45" t="s">
        <v>370</v>
      </c>
      <c r="P10" s="45" t="s">
        <v>370</v>
      </c>
      <c r="Q10" s="45" t="s">
        <v>370</v>
      </c>
      <c r="R10" s="45" t="s">
        <v>370</v>
      </c>
      <c r="S10" s="45" t="s">
        <v>370</v>
      </c>
      <c r="T10" s="45" t="s">
        <v>370</v>
      </c>
      <c r="U10" s="45" t="s">
        <v>370</v>
      </c>
      <c r="V10" s="45" t="s">
        <v>370</v>
      </c>
      <c r="W10" s="45" t="s">
        <v>370</v>
      </c>
    </row>
    <row r="11" spans="2:23" ht="14.4">
      <c r="B11" s="46" t="s">
        <v>374</v>
      </c>
      <c r="C11" s="44" t="s">
        <v>381</v>
      </c>
      <c r="D11" s="45" t="s">
        <v>370</v>
      </c>
      <c r="E11" s="45" t="s">
        <v>370</v>
      </c>
      <c r="F11" s="45" t="s">
        <v>370</v>
      </c>
      <c r="G11" s="45" t="s">
        <v>370</v>
      </c>
      <c r="H11" s="45" t="s">
        <v>370</v>
      </c>
      <c r="I11" s="45" t="s">
        <v>370</v>
      </c>
      <c r="J11" s="45" t="s">
        <v>370</v>
      </c>
      <c r="K11" s="45" t="s">
        <v>370</v>
      </c>
      <c r="L11" s="45" t="s">
        <v>370</v>
      </c>
      <c r="M11" s="45">
        <v>32</v>
      </c>
      <c r="N11" s="45">
        <v>32</v>
      </c>
      <c r="O11" s="45">
        <v>32</v>
      </c>
      <c r="P11" s="45">
        <v>32</v>
      </c>
      <c r="Q11" s="45">
        <v>32</v>
      </c>
      <c r="R11" s="45">
        <v>166</v>
      </c>
      <c r="S11" s="45">
        <v>166</v>
      </c>
      <c r="T11" s="45">
        <v>166</v>
      </c>
      <c r="U11" s="45">
        <v>166</v>
      </c>
      <c r="V11" s="45">
        <v>166</v>
      </c>
      <c r="W11" s="45">
        <v>166</v>
      </c>
    </row>
    <row r="12" spans="2:23" ht="14.4">
      <c r="B12" s="46" t="s">
        <v>374</v>
      </c>
      <c r="C12" s="44" t="s">
        <v>382</v>
      </c>
      <c r="D12" s="45" t="s">
        <v>370</v>
      </c>
      <c r="E12" s="45" t="s">
        <v>370</v>
      </c>
      <c r="F12" s="45" t="s">
        <v>370</v>
      </c>
      <c r="G12" s="45" t="s">
        <v>370</v>
      </c>
      <c r="H12" s="45" t="s">
        <v>370</v>
      </c>
      <c r="I12" s="45" t="s">
        <v>370</v>
      </c>
      <c r="J12" s="45" t="s">
        <v>370</v>
      </c>
      <c r="K12" s="45" t="s">
        <v>370</v>
      </c>
      <c r="L12" s="45" t="s">
        <v>370</v>
      </c>
      <c r="M12" s="45" t="s">
        <v>370</v>
      </c>
      <c r="N12" s="45" t="s">
        <v>370</v>
      </c>
      <c r="O12" s="45">
        <v>16</v>
      </c>
      <c r="P12" s="45">
        <v>64</v>
      </c>
      <c r="Q12" s="45">
        <v>64</v>
      </c>
      <c r="R12" s="45">
        <v>64</v>
      </c>
      <c r="S12" s="45">
        <v>64</v>
      </c>
      <c r="T12" s="45">
        <v>64</v>
      </c>
      <c r="U12" s="45">
        <v>64</v>
      </c>
      <c r="V12" s="45">
        <v>64</v>
      </c>
      <c r="W12" s="45">
        <v>64</v>
      </c>
    </row>
    <row r="13" spans="2:23" ht="14.4">
      <c r="B13" s="44" t="s">
        <v>383</v>
      </c>
      <c r="C13" s="44" t="s">
        <v>84</v>
      </c>
      <c r="D13" s="45">
        <v>1455</v>
      </c>
      <c r="E13" s="45">
        <v>1421</v>
      </c>
      <c r="F13" s="45">
        <v>1454</v>
      </c>
      <c r="G13" s="45">
        <v>1495</v>
      </c>
      <c r="H13" s="45">
        <v>1294</v>
      </c>
      <c r="I13" s="45">
        <v>1272</v>
      </c>
      <c r="J13" s="45">
        <v>1251</v>
      </c>
      <c r="K13" s="45">
        <v>1226</v>
      </c>
      <c r="L13" s="45">
        <v>1207</v>
      </c>
      <c r="M13" s="45">
        <v>1167</v>
      </c>
      <c r="N13" s="45">
        <v>1127</v>
      </c>
      <c r="O13" s="45">
        <v>1080</v>
      </c>
      <c r="P13" s="45">
        <v>1020</v>
      </c>
      <c r="Q13" s="45">
        <v>1023</v>
      </c>
      <c r="R13" s="45">
        <v>958</v>
      </c>
      <c r="S13" s="45">
        <v>969</v>
      </c>
      <c r="T13" s="45">
        <v>921</v>
      </c>
      <c r="U13" s="45">
        <v>920</v>
      </c>
      <c r="V13" s="45">
        <v>909</v>
      </c>
      <c r="W13" s="45">
        <v>821</v>
      </c>
    </row>
    <row r="14" spans="2:23" ht="14.4">
      <c r="B14" s="44" t="s">
        <v>384</v>
      </c>
      <c r="C14" s="44" t="s">
        <v>84</v>
      </c>
      <c r="D14" s="45">
        <v>220</v>
      </c>
      <c r="E14" s="45">
        <v>220</v>
      </c>
      <c r="F14" s="45">
        <v>224</v>
      </c>
      <c r="G14" s="45">
        <v>222</v>
      </c>
      <c r="H14" s="45">
        <v>216</v>
      </c>
      <c r="I14" s="45">
        <v>202</v>
      </c>
      <c r="J14" s="45">
        <v>188</v>
      </c>
      <c r="K14" s="45">
        <v>185</v>
      </c>
      <c r="L14" s="45">
        <v>183</v>
      </c>
      <c r="M14" s="45">
        <v>179</v>
      </c>
      <c r="N14" s="45">
        <v>167</v>
      </c>
      <c r="O14" s="45">
        <v>156</v>
      </c>
      <c r="P14" s="45">
        <v>147</v>
      </c>
      <c r="Q14" s="45">
        <v>147</v>
      </c>
      <c r="R14" s="45">
        <v>133</v>
      </c>
      <c r="S14" s="45">
        <v>130</v>
      </c>
      <c r="T14" s="45">
        <v>116</v>
      </c>
      <c r="U14" s="45">
        <v>116</v>
      </c>
      <c r="V14" s="45">
        <v>113</v>
      </c>
      <c r="W14" s="45">
        <v>113</v>
      </c>
    </row>
    <row r="15" spans="2:23" ht="14.4">
      <c r="B15" s="44" t="s">
        <v>385</v>
      </c>
      <c r="C15" s="44" t="s">
        <v>84</v>
      </c>
      <c r="D15" s="45">
        <v>13224</v>
      </c>
      <c r="E15" s="45">
        <v>13413</v>
      </c>
      <c r="F15" s="45">
        <v>14113</v>
      </c>
      <c r="G15" s="45">
        <v>14450</v>
      </c>
      <c r="H15" s="45">
        <v>14286</v>
      </c>
      <c r="I15" s="45">
        <v>13817</v>
      </c>
      <c r="J15" s="45">
        <v>13178</v>
      </c>
      <c r="K15" s="45">
        <v>13183</v>
      </c>
      <c r="L15" s="45">
        <v>13105</v>
      </c>
      <c r="M15" s="45">
        <v>12843</v>
      </c>
      <c r="N15" s="45">
        <v>12755</v>
      </c>
      <c r="O15" s="45">
        <v>12705</v>
      </c>
      <c r="P15" s="45">
        <v>12570</v>
      </c>
      <c r="Q15" s="45">
        <v>12192</v>
      </c>
      <c r="R15" s="45">
        <v>11413</v>
      </c>
      <c r="S15" s="45">
        <v>11076</v>
      </c>
      <c r="T15" s="45">
        <v>11031</v>
      </c>
      <c r="U15" s="45">
        <v>10865</v>
      </c>
      <c r="V15" s="45">
        <v>10500</v>
      </c>
      <c r="W15" s="45">
        <v>10359</v>
      </c>
    </row>
    <row r="16" spans="2:23" ht="14.4">
      <c r="B16" s="44" t="s">
        <v>386</v>
      </c>
      <c r="C16" s="44" t="s">
        <v>84</v>
      </c>
      <c r="D16" s="45" t="s">
        <v>370</v>
      </c>
      <c r="E16" s="45" t="s">
        <v>370</v>
      </c>
      <c r="F16" s="45" t="s">
        <v>370</v>
      </c>
      <c r="G16" s="45" t="s">
        <v>370</v>
      </c>
      <c r="H16" s="45" t="s">
        <v>370</v>
      </c>
      <c r="I16" s="45" t="s">
        <v>370</v>
      </c>
      <c r="J16" s="45" t="s">
        <v>370</v>
      </c>
      <c r="K16" s="45" t="s">
        <v>370</v>
      </c>
      <c r="L16" s="45" t="s">
        <v>370</v>
      </c>
      <c r="M16" s="45" t="s">
        <v>370</v>
      </c>
      <c r="N16" s="45" t="s">
        <v>370</v>
      </c>
      <c r="O16" s="45" t="s">
        <v>370</v>
      </c>
      <c r="P16" s="45" t="s">
        <v>370</v>
      </c>
      <c r="Q16" s="45" t="s">
        <v>370</v>
      </c>
      <c r="R16" s="45" t="s">
        <v>370</v>
      </c>
      <c r="S16" s="45" t="s">
        <v>370</v>
      </c>
      <c r="T16" s="45" t="s">
        <v>370</v>
      </c>
      <c r="U16" s="45" t="s">
        <v>370</v>
      </c>
      <c r="V16" s="45" t="s">
        <v>370</v>
      </c>
      <c r="W16" s="45" t="s">
        <v>370</v>
      </c>
    </row>
    <row r="17" spans="1:23" ht="14.4">
      <c r="B17" s="47" t="s">
        <v>387</v>
      </c>
      <c r="C17" s="47" t="s">
        <v>84</v>
      </c>
      <c r="D17" s="45">
        <v>18</v>
      </c>
      <c r="E17" s="45">
        <v>19</v>
      </c>
      <c r="F17" s="45">
        <v>19</v>
      </c>
      <c r="G17" s="45">
        <v>18</v>
      </c>
      <c r="H17" s="45">
        <v>19</v>
      </c>
      <c r="I17" s="45">
        <v>19</v>
      </c>
      <c r="J17" s="45">
        <v>18</v>
      </c>
      <c r="K17" s="45">
        <v>19</v>
      </c>
      <c r="L17" s="45">
        <v>19</v>
      </c>
      <c r="M17" s="45">
        <v>19</v>
      </c>
      <c r="N17" s="45">
        <v>17</v>
      </c>
      <c r="O17" s="45">
        <v>16</v>
      </c>
      <c r="P17" s="45">
        <v>16</v>
      </c>
      <c r="Q17" s="45">
        <v>16</v>
      </c>
      <c r="R17" s="45">
        <v>16</v>
      </c>
      <c r="S17" s="45">
        <v>16</v>
      </c>
      <c r="T17" s="45">
        <v>16</v>
      </c>
      <c r="U17" s="45">
        <v>15</v>
      </c>
      <c r="V17" s="45">
        <v>15</v>
      </c>
      <c r="W17" s="45">
        <v>15</v>
      </c>
    </row>
    <row r="19" spans="1:23">
      <c r="B19" s="43" t="s">
        <v>388</v>
      </c>
    </row>
    <row r="20" spans="1:23">
      <c r="B20" s="57" t="s">
        <v>389</v>
      </c>
      <c r="C20" s="73">
        <v>20</v>
      </c>
      <c r="D20" s="7" t="s">
        <v>390</v>
      </c>
      <c r="E20" s="20">
        <v>920</v>
      </c>
      <c r="F20" s="20" t="s">
        <v>391</v>
      </c>
    </row>
    <row r="21" spans="1:23">
      <c r="B21" s="57" t="s">
        <v>392</v>
      </c>
      <c r="C21" s="73">
        <v>10</v>
      </c>
      <c r="D21" s="7" t="s">
        <v>390</v>
      </c>
    </row>
    <row r="22" spans="1:23">
      <c r="B22" s="57" t="s">
        <v>393</v>
      </c>
      <c r="C22" s="73">
        <v>10</v>
      </c>
      <c r="D22" s="7" t="s">
        <v>390</v>
      </c>
    </row>
    <row r="23" spans="1:23">
      <c r="B23" s="74" t="s">
        <v>394</v>
      </c>
      <c r="C23" s="75" t="s">
        <v>395</v>
      </c>
      <c r="D23" s="76" t="s">
        <v>390</v>
      </c>
      <c r="E23" s="49">
        <v>4</v>
      </c>
      <c r="F23" s="49" t="s">
        <v>396</v>
      </c>
    </row>
    <row r="24" spans="1:23">
      <c r="B24" s="74" t="s">
        <v>397</v>
      </c>
      <c r="C24" s="75" t="s">
        <v>398</v>
      </c>
      <c r="D24" s="76" t="s">
        <v>390</v>
      </c>
      <c r="E24" s="49">
        <v>6</v>
      </c>
      <c r="F24" s="49" t="s">
        <v>396</v>
      </c>
    </row>
    <row r="25" spans="1:23">
      <c r="B25" s="74" t="s">
        <v>250</v>
      </c>
      <c r="C25" s="75">
        <v>30</v>
      </c>
      <c r="D25" s="76" t="s">
        <v>390</v>
      </c>
      <c r="E25" s="49"/>
      <c r="F25" s="49" t="s">
        <v>396</v>
      </c>
    </row>
    <row r="26" spans="1:23">
      <c r="B26" s="63"/>
      <c r="C26" s="40"/>
    </row>
    <row r="27" spans="1:23">
      <c r="C27" s="20" t="s">
        <v>399</v>
      </c>
    </row>
    <row r="28" spans="1:23">
      <c r="B28" s="77"/>
      <c r="C28" s="77" t="s">
        <v>400</v>
      </c>
      <c r="D28" s="77">
        <v>2019</v>
      </c>
    </row>
    <row r="29" spans="1:23">
      <c r="A29" s="180" t="s">
        <v>235</v>
      </c>
      <c r="B29" s="177" t="s">
        <v>401</v>
      </c>
      <c r="C29" s="7" t="s">
        <v>389</v>
      </c>
      <c r="D29" s="7">
        <f>$E$20/$C$20</f>
        <v>46</v>
      </c>
      <c r="E29" s="177" t="s">
        <v>247</v>
      </c>
      <c r="F29" s="179" t="s">
        <v>402</v>
      </c>
    </row>
    <row r="30" spans="1:23">
      <c r="A30" s="180"/>
      <c r="B30" s="177"/>
      <c r="C30" s="7" t="s">
        <v>392</v>
      </c>
      <c r="D30" s="58">
        <f>(W3-$E$20)/$C$21-22</f>
        <v>39</v>
      </c>
      <c r="E30" s="177"/>
      <c r="F30" s="179"/>
    </row>
    <row r="31" spans="1:23">
      <c r="A31" s="180"/>
      <c r="B31" s="177"/>
      <c r="C31" s="7" t="s">
        <v>393</v>
      </c>
      <c r="D31" s="58">
        <f>32</f>
        <v>32</v>
      </c>
      <c r="E31" s="177"/>
      <c r="F31" s="179"/>
    </row>
    <row r="32" spans="1:23">
      <c r="A32" s="43" t="s">
        <v>238</v>
      </c>
      <c r="B32" s="7"/>
      <c r="C32" s="7" t="s">
        <v>403</v>
      </c>
      <c r="D32" s="58">
        <f>W5</f>
        <v>254</v>
      </c>
      <c r="E32" s="181" t="s">
        <v>404</v>
      </c>
      <c r="F32" s="114" t="s">
        <v>405</v>
      </c>
      <c r="G32" s="115" t="s">
        <v>406</v>
      </c>
    </row>
    <row r="33" spans="1:7">
      <c r="A33" s="43" t="s">
        <v>235</v>
      </c>
      <c r="B33" s="7"/>
      <c r="C33" s="7" t="s">
        <v>407</v>
      </c>
      <c r="D33" s="58">
        <f>W6</f>
        <v>175</v>
      </c>
      <c r="E33" s="181"/>
      <c r="F33" s="114" t="s">
        <v>405</v>
      </c>
      <c r="G33" s="115" t="s">
        <v>408</v>
      </c>
    </row>
    <row r="34" spans="1:7">
      <c r="A34" s="43" t="s">
        <v>238</v>
      </c>
      <c r="B34" s="57" t="s">
        <v>394</v>
      </c>
      <c r="C34" s="7" t="s">
        <v>409</v>
      </c>
      <c r="D34" s="48">
        <f>W8/$E$23</f>
        <v>30.25</v>
      </c>
      <c r="E34" s="177" t="s">
        <v>410</v>
      </c>
      <c r="F34" s="178" t="s">
        <v>405</v>
      </c>
    </row>
    <row r="35" spans="1:7">
      <c r="A35" s="180" t="s">
        <v>235</v>
      </c>
      <c r="B35" s="177" t="s">
        <v>397</v>
      </c>
      <c r="C35" s="7" t="s">
        <v>397</v>
      </c>
      <c r="D35" s="48">
        <f>W9/$E$24</f>
        <v>427</v>
      </c>
      <c r="E35" s="177"/>
      <c r="F35" s="178"/>
    </row>
    <row r="36" spans="1:7">
      <c r="A36" s="180"/>
      <c r="B36" s="177"/>
      <c r="C36" s="7" t="s">
        <v>411</v>
      </c>
      <c r="D36" s="48">
        <f>W11/$E$24</f>
        <v>27.666666666666668</v>
      </c>
      <c r="E36" s="177"/>
      <c r="F36" s="179" t="s">
        <v>402</v>
      </c>
    </row>
    <row r="37" spans="1:7">
      <c r="A37" s="180"/>
      <c r="B37" s="177"/>
      <c r="C37" s="7" t="s">
        <v>412</v>
      </c>
      <c r="D37" s="48">
        <f>W12/$E$24</f>
        <v>10.666666666666666</v>
      </c>
      <c r="E37" s="177"/>
      <c r="F37" s="179"/>
    </row>
    <row r="38" spans="1:7">
      <c r="B38" s="63"/>
      <c r="D38" s="42"/>
    </row>
    <row r="39" spans="1:7">
      <c r="B39" s="177" t="s">
        <v>413</v>
      </c>
      <c r="C39" s="7" t="s">
        <v>414</v>
      </c>
      <c r="D39" s="48">
        <f>W13</f>
        <v>821</v>
      </c>
    </row>
    <row r="40" spans="1:7">
      <c r="B40" s="177"/>
      <c r="C40" s="7" t="s">
        <v>415</v>
      </c>
      <c r="D40" s="48">
        <f>W14</f>
        <v>113</v>
      </c>
    </row>
    <row r="41" spans="1:7">
      <c r="B41" s="177"/>
      <c r="C41" s="7" t="s">
        <v>416</v>
      </c>
      <c r="D41" s="48">
        <f>W15</f>
        <v>10359</v>
      </c>
    </row>
    <row r="42" spans="1:7">
      <c r="B42" s="177"/>
      <c r="C42" s="7" t="s">
        <v>417</v>
      </c>
      <c r="D42" s="48">
        <f>W17</f>
        <v>15</v>
      </c>
    </row>
    <row r="44" spans="1:7">
      <c r="A44" s="37" t="s">
        <v>43</v>
      </c>
    </row>
    <row r="45" spans="1:7">
      <c r="A45" s="20" t="s">
        <v>418</v>
      </c>
    </row>
    <row r="46" spans="1:7">
      <c r="A46" s="31" t="s">
        <v>419</v>
      </c>
    </row>
    <row r="47" spans="1:7">
      <c r="B47" s="63"/>
      <c r="C47" s="40"/>
    </row>
    <row r="48" spans="1:7">
      <c r="A48" s="20" t="s">
        <v>420</v>
      </c>
      <c r="B48" s="63"/>
      <c r="C48" s="40"/>
    </row>
    <row r="49" spans="1:3">
      <c r="A49" s="20" t="s">
        <v>421</v>
      </c>
      <c r="B49" s="63"/>
      <c r="C49" s="40"/>
    </row>
    <row r="50" spans="1:3">
      <c r="A50" s="20" t="s">
        <v>422</v>
      </c>
    </row>
    <row r="52" spans="1:3">
      <c r="A52" s="20" t="s">
        <v>423</v>
      </c>
    </row>
    <row r="53" spans="1:3">
      <c r="A53" s="20" t="s">
        <v>424</v>
      </c>
    </row>
    <row r="54" spans="1:3">
      <c r="A54" s="20" t="s">
        <v>425</v>
      </c>
    </row>
    <row r="55" spans="1:3">
      <c r="A55" s="20" t="s">
        <v>426</v>
      </c>
    </row>
  </sheetData>
  <mergeCells count="11">
    <mergeCell ref="B39:B42"/>
    <mergeCell ref="F34:F35"/>
    <mergeCell ref="F29:F31"/>
    <mergeCell ref="A29:A31"/>
    <mergeCell ref="B29:B31"/>
    <mergeCell ref="E29:E31"/>
    <mergeCell ref="A35:A37"/>
    <mergeCell ref="B35:B37"/>
    <mergeCell ref="F36:F37"/>
    <mergeCell ref="E32:E33"/>
    <mergeCell ref="E34:E37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7"/>
  <sheetViews>
    <sheetView workbookViewId="0">
      <selection activeCell="A74" sqref="A74"/>
    </sheetView>
  </sheetViews>
  <sheetFormatPr defaultColWidth="9" defaultRowHeight="13.8"/>
  <cols>
    <col min="1" max="1" width="9" style="59"/>
    <col min="2" max="2" width="11.21875" style="59" customWidth="1"/>
    <col min="3" max="3" width="10.44140625" style="59" customWidth="1"/>
    <col min="4" max="4" width="7.44140625" style="59" customWidth="1"/>
    <col min="5" max="5" width="11" style="59" customWidth="1"/>
    <col min="6" max="6" width="8.88671875" style="59" customWidth="1"/>
    <col min="7" max="10" width="9.44140625" style="59" customWidth="1"/>
    <col min="11" max="16384" width="9" style="59"/>
  </cols>
  <sheetData>
    <row r="3" spans="2:12">
      <c r="B3" s="60"/>
      <c r="C3" s="60" t="s">
        <v>427</v>
      </c>
      <c r="D3" s="60" t="s">
        <v>428</v>
      </c>
      <c r="E3" s="60" t="s">
        <v>429</v>
      </c>
      <c r="F3" s="60" t="s">
        <v>430</v>
      </c>
      <c r="G3" s="60" t="s">
        <v>431</v>
      </c>
      <c r="H3" s="61"/>
      <c r="I3" s="62"/>
      <c r="J3" s="60" t="s">
        <v>432</v>
      </c>
      <c r="K3" s="60" t="s">
        <v>433</v>
      </c>
      <c r="L3" s="60" t="s">
        <v>434</v>
      </c>
    </row>
    <row r="4" spans="2:12">
      <c r="B4" s="177" t="s">
        <v>435</v>
      </c>
      <c r="C4" s="185" t="s">
        <v>436</v>
      </c>
      <c r="D4" s="177" t="s">
        <v>437</v>
      </c>
      <c r="E4" s="62" t="s">
        <v>438</v>
      </c>
      <c r="F4" s="62">
        <v>3</v>
      </c>
      <c r="G4" s="177"/>
      <c r="H4" s="63"/>
      <c r="I4" s="177" t="s">
        <v>247</v>
      </c>
      <c r="J4" s="64" t="s">
        <v>439</v>
      </c>
      <c r="K4" s="62">
        <f>SUM($F$62:$G$65)</f>
        <v>199</v>
      </c>
      <c r="L4" s="65">
        <f>K4/$K$8</f>
        <v>0.24209245742092458</v>
      </c>
    </row>
    <row r="5" spans="2:12">
      <c r="B5" s="177"/>
      <c r="C5" s="185"/>
      <c r="D5" s="177"/>
      <c r="E5" s="62" t="s">
        <v>440</v>
      </c>
      <c r="F5" s="62">
        <v>10</v>
      </c>
      <c r="G5" s="177"/>
      <c r="H5" s="63"/>
      <c r="I5" s="177"/>
      <c r="J5" s="64" t="s">
        <v>441</v>
      </c>
      <c r="K5" s="62">
        <f>SUM($F$61:$G$61,$F$66:$G$66)+SUM($F$12,$F$25,$F$31,$F$34,$F$37,$F$41,$F$43,$F$45,$F$49,$F$51:$G$58)</f>
        <v>615</v>
      </c>
      <c r="L5" s="65">
        <f t="shared" ref="L5:L7" si="0">K5/$K$8</f>
        <v>0.74817518248175185</v>
      </c>
    </row>
    <row r="6" spans="2:12">
      <c r="B6" s="177"/>
      <c r="C6" s="185"/>
      <c r="D6" s="177"/>
      <c r="E6" s="62" t="s">
        <v>442</v>
      </c>
      <c r="F6" s="62">
        <v>44</v>
      </c>
      <c r="G6" s="177"/>
      <c r="H6" s="63"/>
      <c r="I6" s="177"/>
      <c r="J6" s="64" t="s">
        <v>443</v>
      </c>
      <c r="K6" s="62">
        <f>E71</f>
        <v>8</v>
      </c>
      <c r="L6" s="65">
        <f t="shared" si="0"/>
        <v>9.7323600973236012E-3</v>
      </c>
    </row>
    <row r="7" spans="2:12">
      <c r="B7" s="177"/>
      <c r="C7" s="185"/>
      <c r="D7" s="177"/>
      <c r="E7" s="62" t="s">
        <v>444</v>
      </c>
      <c r="F7" s="62">
        <v>10</v>
      </c>
      <c r="G7" s="177"/>
      <c r="H7" s="63"/>
      <c r="I7" s="177"/>
      <c r="J7" s="64" t="s">
        <v>445</v>
      </c>
      <c r="K7" s="62">
        <v>0</v>
      </c>
      <c r="L7" s="65">
        <f t="shared" si="0"/>
        <v>0</v>
      </c>
    </row>
    <row r="8" spans="2:12">
      <c r="B8" s="177"/>
      <c r="C8" s="185"/>
      <c r="D8" s="177"/>
      <c r="E8" s="62" t="s">
        <v>446</v>
      </c>
      <c r="F8" s="62">
        <v>31</v>
      </c>
      <c r="G8" s="177"/>
      <c r="H8" s="63"/>
      <c r="I8" s="177"/>
      <c r="J8" s="57" t="s">
        <v>447</v>
      </c>
      <c r="K8" s="62">
        <f>SUM($K$4:$K$7)</f>
        <v>822</v>
      </c>
      <c r="L8" s="65"/>
    </row>
    <row r="9" spans="2:12">
      <c r="B9" s="177"/>
      <c r="C9" s="185"/>
      <c r="D9" s="177"/>
      <c r="E9" s="62" t="s">
        <v>448</v>
      </c>
      <c r="F9" s="62">
        <v>29</v>
      </c>
      <c r="G9" s="177"/>
      <c r="H9" s="63"/>
      <c r="I9" s="177" t="s">
        <v>250</v>
      </c>
      <c r="J9" s="64" t="s">
        <v>439</v>
      </c>
      <c r="K9" s="62">
        <v>0</v>
      </c>
      <c r="L9" s="65">
        <f>K9/$K$13</f>
        <v>0</v>
      </c>
    </row>
    <row r="10" spans="2:12">
      <c r="B10" s="177"/>
      <c r="C10" s="185"/>
      <c r="D10" s="177"/>
      <c r="E10" s="62" t="s">
        <v>449</v>
      </c>
      <c r="F10" s="62">
        <v>10</v>
      </c>
      <c r="G10" s="177"/>
      <c r="H10" s="63"/>
      <c r="I10" s="177"/>
      <c r="J10" s="64" t="s">
        <v>441</v>
      </c>
      <c r="K10" s="62">
        <f>SUM($F$16,$F$29,$F$47)</f>
        <v>36</v>
      </c>
      <c r="L10" s="65">
        <f t="shared" ref="L10:L12" si="1">K10/$K$13</f>
        <v>1</v>
      </c>
    </row>
    <row r="11" spans="2:12">
      <c r="B11" s="177"/>
      <c r="C11" s="185"/>
      <c r="D11" s="177"/>
      <c r="E11" s="62" t="s">
        <v>450</v>
      </c>
      <c r="F11" s="62">
        <v>10</v>
      </c>
      <c r="G11" s="177"/>
      <c r="H11" s="63"/>
      <c r="I11" s="177"/>
      <c r="J11" s="64" t="s">
        <v>443</v>
      </c>
      <c r="K11" s="62">
        <v>0</v>
      </c>
      <c r="L11" s="65">
        <f t="shared" si="1"/>
        <v>0</v>
      </c>
    </row>
    <row r="12" spans="2:12">
      <c r="B12" s="177"/>
      <c r="C12" s="185"/>
      <c r="D12" s="177"/>
      <c r="E12" s="62" t="s">
        <v>451</v>
      </c>
      <c r="F12" s="62">
        <f>SUM($F$4:$F$11)</f>
        <v>147</v>
      </c>
      <c r="G12" s="177"/>
      <c r="H12" s="63"/>
      <c r="I12" s="177"/>
      <c r="J12" s="64" t="s">
        <v>445</v>
      </c>
      <c r="K12" s="62">
        <v>0</v>
      </c>
      <c r="L12" s="65">
        <f t="shared" si="1"/>
        <v>0</v>
      </c>
    </row>
    <row r="13" spans="2:12">
      <c r="B13" s="177"/>
      <c r="C13" s="185"/>
      <c r="D13" s="177" t="s">
        <v>452</v>
      </c>
      <c r="E13" s="62" t="s">
        <v>453</v>
      </c>
      <c r="F13" s="62">
        <v>4</v>
      </c>
      <c r="G13" s="177"/>
      <c r="H13" s="63"/>
      <c r="I13" s="177"/>
      <c r="J13" s="57" t="s">
        <v>447</v>
      </c>
      <c r="K13" s="62">
        <f>SUM($K$9:$K$12)</f>
        <v>36</v>
      </c>
      <c r="L13" s="65"/>
    </row>
    <row r="14" spans="2:12" ht="16.5" customHeight="1">
      <c r="B14" s="177"/>
      <c r="C14" s="185"/>
      <c r="D14" s="177"/>
      <c r="E14" s="62" t="s">
        <v>454</v>
      </c>
      <c r="F14" s="62">
        <v>7</v>
      </c>
      <c r="G14" s="177"/>
      <c r="H14" s="63"/>
      <c r="I14" s="177" t="s">
        <v>455</v>
      </c>
      <c r="J14" s="177"/>
      <c r="K14" s="66">
        <f>SUM($K$8,$K$13)</f>
        <v>858</v>
      </c>
      <c r="L14" s="62"/>
    </row>
    <row r="15" spans="2:12">
      <c r="B15" s="177"/>
      <c r="C15" s="185"/>
      <c r="D15" s="177"/>
      <c r="E15" s="62" t="s">
        <v>456</v>
      </c>
      <c r="F15" s="62">
        <v>12</v>
      </c>
      <c r="G15" s="177"/>
      <c r="H15" s="63"/>
      <c r="I15" s="63"/>
      <c r="J15" s="63"/>
    </row>
    <row r="16" spans="2:12">
      <c r="B16" s="177"/>
      <c r="C16" s="185"/>
      <c r="D16" s="177"/>
      <c r="E16" s="62" t="s">
        <v>451</v>
      </c>
      <c r="F16" s="62">
        <f>SUM($F$13:$F$15)</f>
        <v>23</v>
      </c>
      <c r="G16" s="177"/>
      <c r="H16" s="63"/>
      <c r="I16" s="67" t="s">
        <v>457</v>
      </c>
      <c r="J16" s="34"/>
      <c r="K16" s="34">
        <v>2019</v>
      </c>
    </row>
    <row r="17" spans="2:11">
      <c r="B17" s="177"/>
      <c r="C17" s="185" t="s">
        <v>458</v>
      </c>
      <c r="D17" s="177" t="s">
        <v>437</v>
      </c>
      <c r="E17" s="62" t="s">
        <v>438</v>
      </c>
      <c r="F17" s="62">
        <v>2</v>
      </c>
      <c r="G17" s="177"/>
      <c r="H17" s="63"/>
      <c r="I17" s="182" t="s">
        <v>247</v>
      </c>
      <c r="J17" s="35" t="s">
        <v>437</v>
      </c>
      <c r="K17" s="35">
        <f>SUM(F12,F25,F31,F34,F37,F41,F43,F45,F49)</f>
        <v>378</v>
      </c>
    </row>
    <row r="18" spans="2:11">
      <c r="B18" s="177"/>
      <c r="C18" s="185"/>
      <c r="D18" s="177"/>
      <c r="E18" s="62" t="s">
        <v>459</v>
      </c>
      <c r="F18" s="62">
        <v>9</v>
      </c>
      <c r="G18" s="177"/>
      <c r="H18" s="63"/>
      <c r="I18" s="182"/>
      <c r="J18" s="35" t="s">
        <v>460</v>
      </c>
      <c r="K18" s="35">
        <f>SUM(F51:F58,F61:F66,E71)</f>
        <v>239</v>
      </c>
    </row>
    <row r="19" spans="2:11">
      <c r="B19" s="177"/>
      <c r="C19" s="185"/>
      <c r="D19" s="177"/>
      <c r="E19" s="62" t="s">
        <v>461</v>
      </c>
      <c r="F19" s="62">
        <v>6</v>
      </c>
      <c r="G19" s="177"/>
      <c r="H19" s="63"/>
      <c r="I19" s="182"/>
      <c r="J19" s="35" t="s">
        <v>462</v>
      </c>
      <c r="K19" s="35">
        <f>SUM(G51:G58,G61:G66)</f>
        <v>205</v>
      </c>
    </row>
    <row r="20" spans="2:11">
      <c r="B20" s="177"/>
      <c r="C20" s="185"/>
      <c r="D20" s="177"/>
      <c r="E20" s="62" t="s">
        <v>463</v>
      </c>
      <c r="F20" s="62">
        <v>19</v>
      </c>
      <c r="G20" s="177"/>
      <c r="H20" s="63"/>
      <c r="I20" s="57" t="s">
        <v>250</v>
      </c>
      <c r="J20" s="35" t="s">
        <v>452</v>
      </c>
      <c r="K20" s="35">
        <f>SUM(F29,F47,F16)</f>
        <v>36</v>
      </c>
    </row>
    <row r="21" spans="2:11">
      <c r="B21" s="177"/>
      <c r="C21" s="185"/>
      <c r="D21" s="177"/>
      <c r="E21" s="62" t="s">
        <v>464</v>
      </c>
      <c r="F21" s="62">
        <v>15</v>
      </c>
      <c r="G21" s="177"/>
      <c r="H21" s="63"/>
      <c r="I21" s="177" t="s">
        <v>455</v>
      </c>
      <c r="J21" s="177"/>
      <c r="K21" s="68">
        <f>SUM($K$17:$K$20)</f>
        <v>858</v>
      </c>
    </row>
    <row r="22" spans="2:11">
      <c r="B22" s="177"/>
      <c r="C22" s="185"/>
      <c r="D22" s="177"/>
      <c r="E22" s="62" t="s">
        <v>465</v>
      </c>
      <c r="F22" s="62">
        <v>7</v>
      </c>
      <c r="G22" s="177"/>
      <c r="H22" s="63"/>
      <c r="I22" s="63"/>
      <c r="J22" s="63"/>
    </row>
    <row r="23" spans="2:11">
      <c r="B23" s="177"/>
      <c r="C23" s="185"/>
      <c r="D23" s="177"/>
      <c r="E23" s="62" t="s">
        <v>449</v>
      </c>
      <c r="F23" s="62">
        <v>6</v>
      </c>
      <c r="G23" s="177"/>
      <c r="H23" s="63"/>
      <c r="I23" s="63"/>
      <c r="J23" s="63"/>
    </row>
    <row r="24" spans="2:11">
      <c r="B24" s="177"/>
      <c r="C24" s="185"/>
      <c r="D24" s="177"/>
      <c r="E24" s="62" t="s">
        <v>466</v>
      </c>
      <c r="F24" s="62">
        <v>10</v>
      </c>
      <c r="G24" s="177"/>
      <c r="H24" s="63"/>
      <c r="I24" s="63"/>
      <c r="J24" s="63"/>
    </row>
    <row r="25" spans="2:11">
      <c r="B25" s="177"/>
      <c r="C25" s="185"/>
      <c r="D25" s="177"/>
      <c r="E25" s="62" t="s">
        <v>451</v>
      </c>
      <c r="F25" s="62">
        <f>SUM($F$17:$F$24)</f>
        <v>74</v>
      </c>
      <c r="G25" s="177"/>
      <c r="H25" s="63"/>
      <c r="I25" s="63"/>
      <c r="J25" s="63"/>
    </row>
    <row r="26" spans="2:11">
      <c r="B26" s="177"/>
      <c r="C26" s="185"/>
      <c r="D26" s="177" t="s">
        <v>452</v>
      </c>
      <c r="E26" s="62" t="s">
        <v>453</v>
      </c>
      <c r="F26" s="62">
        <v>9</v>
      </c>
      <c r="G26" s="177"/>
      <c r="H26" s="63"/>
      <c r="I26" s="63"/>
      <c r="J26" s="63"/>
    </row>
    <row r="27" spans="2:11">
      <c r="B27" s="177"/>
      <c r="C27" s="185"/>
      <c r="D27" s="177"/>
      <c r="E27" s="62" t="s">
        <v>467</v>
      </c>
      <c r="F27" s="62">
        <v>1</v>
      </c>
      <c r="G27" s="177"/>
      <c r="H27" s="63"/>
      <c r="I27" s="63"/>
      <c r="J27" s="63"/>
    </row>
    <row r="28" spans="2:11">
      <c r="B28" s="177"/>
      <c r="C28" s="185"/>
      <c r="D28" s="177"/>
      <c r="E28" s="62" t="s">
        <v>438</v>
      </c>
      <c r="F28" s="62">
        <v>2</v>
      </c>
      <c r="G28" s="177"/>
      <c r="H28" s="63"/>
      <c r="I28" s="63"/>
      <c r="J28" s="63"/>
    </row>
    <row r="29" spans="2:11">
      <c r="B29" s="177"/>
      <c r="C29" s="185"/>
      <c r="D29" s="177"/>
      <c r="E29" s="62" t="s">
        <v>451</v>
      </c>
      <c r="F29" s="62">
        <f>SUM($F$26:$F$28)</f>
        <v>12</v>
      </c>
      <c r="G29" s="177"/>
      <c r="H29" s="63"/>
      <c r="I29" s="63"/>
      <c r="J29" s="63"/>
    </row>
    <row r="30" spans="2:11">
      <c r="B30" s="177"/>
      <c r="C30" s="185" t="s">
        <v>468</v>
      </c>
      <c r="D30" s="177" t="s">
        <v>437</v>
      </c>
      <c r="E30" s="62" t="s">
        <v>469</v>
      </c>
      <c r="F30" s="62">
        <v>45</v>
      </c>
      <c r="G30" s="177"/>
      <c r="H30" s="63"/>
      <c r="I30" s="63"/>
      <c r="J30" s="63"/>
    </row>
    <row r="31" spans="2:11">
      <c r="B31" s="177"/>
      <c r="C31" s="185"/>
      <c r="D31" s="177"/>
      <c r="E31" s="62" t="s">
        <v>451</v>
      </c>
      <c r="F31" s="62">
        <v>45</v>
      </c>
      <c r="G31" s="177"/>
      <c r="H31" s="63"/>
      <c r="I31" s="63"/>
      <c r="J31" s="63"/>
    </row>
    <row r="32" spans="2:11">
      <c r="B32" s="177"/>
      <c r="C32" s="185" t="s">
        <v>470</v>
      </c>
      <c r="D32" s="177" t="s">
        <v>437</v>
      </c>
      <c r="E32" s="62" t="s">
        <v>469</v>
      </c>
      <c r="F32" s="62">
        <v>22</v>
      </c>
      <c r="G32" s="177"/>
      <c r="H32" s="63"/>
      <c r="I32" s="63"/>
      <c r="J32" s="63"/>
    </row>
    <row r="33" spans="2:10">
      <c r="B33" s="177"/>
      <c r="C33" s="185"/>
      <c r="D33" s="177"/>
      <c r="E33" s="62" t="s">
        <v>459</v>
      </c>
      <c r="F33" s="62">
        <v>4</v>
      </c>
      <c r="G33" s="177"/>
      <c r="H33" s="63"/>
      <c r="I33" s="63"/>
      <c r="J33" s="63"/>
    </row>
    <row r="34" spans="2:10">
      <c r="B34" s="177"/>
      <c r="C34" s="185"/>
      <c r="D34" s="177"/>
      <c r="E34" s="62" t="s">
        <v>451</v>
      </c>
      <c r="F34" s="62">
        <f>SUM($F$32:$F$33)</f>
        <v>26</v>
      </c>
      <c r="G34" s="177"/>
      <c r="H34" s="63"/>
      <c r="I34" s="63"/>
      <c r="J34" s="63"/>
    </row>
    <row r="35" spans="2:10">
      <c r="B35" s="177"/>
      <c r="C35" s="185" t="s">
        <v>471</v>
      </c>
      <c r="D35" s="177" t="s">
        <v>437</v>
      </c>
      <c r="E35" s="62" t="s">
        <v>465</v>
      </c>
      <c r="F35" s="62">
        <v>8</v>
      </c>
      <c r="G35" s="177"/>
      <c r="H35" s="63"/>
      <c r="I35" s="63"/>
      <c r="J35" s="63"/>
    </row>
    <row r="36" spans="2:10">
      <c r="B36" s="177"/>
      <c r="C36" s="185"/>
      <c r="D36" s="177"/>
      <c r="E36" s="62" t="s">
        <v>472</v>
      </c>
      <c r="F36" s="62">
        <v>18</v>
      </c>
      <c r="G36" s="177"/>
      <c r="H36" s="63"/>
      <c r="I36" s="63"/>
      <c r="J36" s="63"/>
    </row>
    <row r="37" spans="2:10">
      <c r="B37" s="177"/>
      <c r="C37" s="185"/>
      <c r="D37" s="177"/>
      <c r="E37" s="62" t="s">
        <v>451</v>
      </c>
      <c r="F37" s="62">
        <f>SUM($F$35:$F$36)</f>
        <v>26</v>
      </c>
      <c r="G37" s="177"/>
      <c r="H37" s="63"/>
      <c r="I37" s="63"/>
      <c r="J37" s="63"/>
    </row>
    <row r="38" spans="2:10">
      <c r="B38" s="177"/>
      <c r="C38" s="185" t="s">
        <v>473</v>
      </c>
      <c r="D38" s="177" t="s">
        <v>437</v>
      </c>
      <c r="E38" s="62" t="s">
        <v>474</v>
      </c>
      <c r="F38" s="62">
        <v>19</v>
      </c>
      <c r="G38" s="177"/>
      <c r="H38" s="63"/>
      <c r="I38" s="63"/>
      <c r="J38" s="63"/>
    </row>
    <row r="39" spans="2:10">
      <c r="B39" s="177"/>
      <c r="C39" s="185"/>
      <c r="D39" s="177"/>
      <c r="E39" s="62" t="s">
        <v>469</v>
      </c>
      <c r="F39" s="62">
        <v>2</v>
      </c>
      <c r="G39" s="177"/>
      <c r="H39" s="63"/>
      <c r="I39" s="63"/>
      <c r="J39" s="63"/>
    </row>
    <row r="40" spans="2:10">
      <c r="B40" s="177"/>
      <c r="C40" s="185"/>
      <c r="D40" s="177"/>
      <c r="E40" s="62" t="s">
        <v>475</v>
      </c>
      <c r="F40" s="62">
        <v>2</v>
      </c>
      <c r="G40" s="177"/>
      <c r="H40" s="63"/>
      <c r="I40" s="63"/>
      <c r="J40" s="63"/>
    </row>
    <row r="41" spans="2:10">
      <c r="B41" s="177"/>
      <c r="C41" s="185"/>
      <c r="D41" s="177"/>
      <c r="E41" s="62" t="s">
        <v>451</v>
      </c>
      <c r="F41" s="62">
        <f>SUM($F$38:$F$40)</f>
        <v>23</v>
      </c>
      <c r="G41" s="177"/>
      <c r="H41" s="63"/>
      <c r="I41" s="63"/>
      <c r="J41" s="63"/>
    </row>
    <row r="42" spans="2:10">
      <c r="B42" s="177"/>
      <c r="C42" s="185" t="s">
        <v>476</v>
      </c>
      <c r="D42" s="177" t="s">
        <v>437</v>
      </c>
      <c r="E42" s="62" t="s">
        <v>469</v>
      </c>
      <c r="F42" s="62">
        <v>28</v>
      </c>
      <c r="G42" s="177"/>
      <c r="H42" s="63"/>
      <c r="I42" s="63"/>
      <c r="J42" s="63"/>
    </row>
    <row r="43" spans="2:10">
      <c r="B43" s="177"/>
      <c r="C43" s="185"/>
      <c r="D43" s="177"/>
      <c r="E43" s="62" t="s">
        <v>451</v>
      </c>
      <c r="F43" s="62">
        <v>28</v>
      </c>
      <c r="G43" s="177"/>
      <c r="H43" s="63"/>
      <c r="I43" s="63"/>
      <c r="J43" s="63"/>
    </row>
    <row r="44" spans="2:10">
      <c r="B44" s="177"/>
      <c r="C44" s="185" t="s">
        <v>477</v>
      </c>
      <c r="D44" s="177" t="s">
        <v>437</v>
      </c>
      <c r="E44" s="62" t="s">
        <v>472</v>
      </c>
      <c r="F44" s="62">
        <v>7</v>
      </c>
      <c r="G44" s="177"/>
      <c r="H44" s="63"/>
      <c r="I44" s="63"/>
      <c r="J44" s="63"/>
    </row>
    <row r="45" spans="2:10">
      <c r="B45" s="177"/>
      <c r="C45" s="185"/>
      <c r="D45" s="177"/>
      <c r="E45" s="62" t="s">
        <v>451</v>
      </c>
      <c r="F45" s="62">
        <v>7</v>
      </c>
      <c r="G45" s="177"/>
      <c r="H45" s="63"/>
      <c r="I45" s="63"/>
      <c r="J45" s="63"/>
    </row>
    <row r="46" spans="2:10">
      <c r="B46" s="177"/>
      <c r="C46" s="185" t="s">
        <v>478</v>
      </c>
      <c r="D46" s="177" t="s">
        <v>452</v>
      </c>
      <c r="E46" s="62" t="s">
        <v>479</v>
      </c>
      <c r="F46" s="62">
        <v>1</v>
      </c>
      <c r="G46" s="177"/>
      <c r="H46" s="63"/>
      <c r="I46" s="63"/>
      <c r="J46" s="63"/>
    </row>
    <row r="47" spans="2:10">
      <c r="B47" s="177"/>
      <c r="C47" s="185"/>
      <c r="D47" s="177"/>
      <c r="E47" s="62" t="s">
        <v>451</v>
      </c>
      <c r="F47" s="62">
        <v>1</v>
      </c>
      <c r="G47" s="177"/>
      <c r="H47" s="63"/>
      <c r="I47" s="63"/>
      <c r="J47" s="63"/>
    </row>
    <row r="48" spans="2:10">
      <c r="B48" s="177"/>
      <c r="C48" s="185" t="s">
        <v>480</v>
      </c>
      <c r="D48" s="177" t="s">
        <v>437</v>
      </c>
      <c r="E48" s="62" t="s">
        <v>469</v>
      </c>
      <c r="F48" s="62">
        <v>2</v>
      </c>
      <c r="G48" s="177"/>
      <c r="H48" s="63"/>
      <c r="I48" s="63"/>
      <c r="J48" s="63"/>
    </row>
    <row r="49" spans="2:10">
      <c r="B49" s="177"/>
      <c r="C49" s="185"/>
      <c r="D49" s="177"/>
      <c r="E49" s="62" t="s">
        <v>451</v>
      </c>
      <c r="F49" s="62">
        <v>2</v>
      </c>
      <c r="G49" s="177"/>
      <c r="H49" s="63"/>
      <c r="I49" s="63"/>
      <c r="J49" s="63"/>
    </row>
    <row r="50" spans="2:10">
      <c r="B50" s="177"/>
      <c r="C50" s="177" t="s">
        <v>451</v>
      </c>
      <c r="D50" s="177"/>
      <c r="E50" s="177"/>
      <c r="F50" s="62">
        <f>SUM($F$12,$F$16,$F$25,$F$29,$F$31,$F$34,$F$37,$F$41,$F$43,$F$45,$F$47,$F$49)</f>
        <v>414</v>
      </c>
      <c r="G50" s="177"/>
      <c r="H50" s="63"/>
      <c r="I50" s="63"/>
      <c r="J50" s="63"/>
    </row>
    <row r="51" spans="2:10">
      <c r="B51" s="177" t="s">
        <v>262</v>
      </c>
      <c r="C51" s="184" t="s">
        <v>481</v>
      </c>
      <c r="D51" s="184"/>
      <c r="E51" s="184"/>
      <c r="F51" s="62">
        <v>2</v>
      </c>
      <c r="G51" s="62">
        <v>1</v>
      </c>
      <c r="J51" s="63"/>
    </row>
    <row r="52" spans="2:10">
      <c r="B52" s="177"/>
      <c r="C52" s="184" t="s">
        <v>436</v>
      </c>
      <c r="D52" s="184"/>
      <c r="E52" s="184"/>
      <c r="F52" s="62">
        <v>3</v>
      </c>
      <c r="G52" s="62">
        <v>5</v>
      </c>
      <c r="J52" s="63"/>
    </row>
    <row r="53" spans="2:10">
      <c r="B53" s="177"/>
      <c r="C53" s="184" t="s">
        <v>482</v>
      </c>
      <c r="D53" s="184"/>
      <c r="E53" s="184"/>
      <c r="F53" s="62">
        <v>2</v>
      </c>
      <c r="G53" s="62"/>
    </row>
    <row r="54" spans="2:10">
      <c r="B54" s="177"/>
      <c r="C54" s="184" t="s">
        <v>483</v>
      </c>
      <c r="D54" s="184"/>
      <c r="E54" s="184"/>
      <c r="F54" s="62">
        <v>1</v>
      </c>
      <c r="G54" s="62"/>
    </row>
    <row r="55" spans="2:10">
      <c r="B55" s="177"/>
      <c r="C55" s="184" t="s">
        <v>484</v>
      </c>
      <c r="D55" s="184"/>
      <c r="E55" s="184"/>
      <c r="F55" s="62">
        <v>1</v>
      </c>
      <c r="G55" s="62">
        <v>3</v>
      </c>
    </row>
    <row r="56" spans="2:10">
      <c r="B56" s="177"/>
      <c r="C56" s="184" t="s">
        <v>485</v>
      </c>
      <c r="D56" s="184"/>
      <c r="E56" s="184"/>
      <c r="F56" s="62"/>
      <c r="G56" s="62">
        <v>4</v>
      </c>
    </row>
    <row r="57" spans="2:10">
      <c r="B57" s="177"/>
      <c r="C57" s="184" t="s">
        <v>486</v>
      </c>
      <c r="D57" s="184"/>
      <c r="E57" s="184"/>
      <c r="F57" s="62">
        <v>4</v>
      </c>
      <c r="G57" s="62">
        <v>1</v>
      </c>
    </row>
    <row r="58" spans="2:10">
      <c r="B58" s="177"/>
      <c r="C58" s="184" t="s">
        <v>487</v>
      </c>
      <c r="D58" s="184"/>
      <c r="E58" s="184"/>
      <c r="F58" s="62">
        <v>2</v>
      </c>
      <c r="G58" s="62"/>
    </row>
    <row r="59" spans="2:10">
      <c r="B59" s="177"/>
      <c r="C59" s="177" t="s">
        <v>451</v>
      </c>
      <c r="D59" s="177"/>
      <c r="E59" s="177"/>
      <c r="F59" s="62">
        <f>SUM($F$51:$F$58)</f>
        <v>15</v>
      </c>
      <c r="G59" s="62">
        <f>SUM($G$51:$G$58)</f>
        <v>14</v>
      </c>
    </row>
    <row r="60" spans="2:10">
      <c r="B60" s="182" t="s">
        <v>488</v>
      </c>
      <c r="C60" s="182"/>
      <c r="D60" s="182"/>
      <c r="E60" s="182"/>
      <c r="F60" s="62">
        <f>SUM($F$50,$F$59)</f>
        <v>429</v>
      </c>
      <c r="G60" s="62">
        <f>$G$59</f>
        <v>14</v>
      </c>
    </row>
    <row r="61" spans="2:10">
      <c r="B61" s="60" t="s">
        <v>489</v>
      </c>
      <c r="C61" s="184" t="s">
        <v>490</v>
      </c>
      <c r="D61" s="184"/>
      <c r="E61" s="184"/>
      <c r="F61" s="62">
        <v>83</v>
      </c>
      <c r="G61" s="62">
        <v>94</v>
      </c>
    </row>
    <row r="62" spans="2:10">
      <c r="B62" s="182" t="s">
        <v>491</v>
      </c>
      <c r="C62" s="183" t="s">
        <v>492</v>
      </c>
      <c r="D62" s="183"/>
      <c r="E62" s="183"/>
      <c r="F62" s="62">
        <v>111</v>
      </c>
      <c r="G62" s="62">
        <v>3</v>
      </c>
    </row>
    <row r="63" spans="2:10">
      <c r="B63" s="182"/>
      <c r="C63" s="183" t="s">
        <v>493</v>
      </c>
      <c r="D63" s="183"/>
      <c r="E63" s="183"/>
      <c r="F63" s="62"/>
      <c r="G63" s="62">
        <v>2</v>
      </c>
    </row>
    <row r="64" spans="2:10">
      <c r="B64" s="182"/>
      <c r="C64" s="183" t="s">
        <v>494</v>
      </c>
      <c r="D64" s="183"/>
      <c r="E64" s="183"/>
      <c r="F64" s="62">
        <v>2</v>
      </c>
      <c r="G64" s="62"/>
    </row>
    <row r="65" spans="1:8">
      <c r="B65" s="182"/>
      <c r="C65" s="183" t="s">
        <v>495</v>
      </c>
      <c r="D65" s="183"/>
      <c r="E65" s="183"/>
      <c r="F65" s="62">
        <v>1</v>
      </c>
      <c r="G65" s="62">
        <v>80</v>
      </c>
    </row>
    <row r="66" spans="1:8">
      <c r="B66" s="182"/>
      <c r="C66" s="184" t="s">
        <v>496</v>
      </c>
      <c r="D66" s="184"/>
      <c r="E66" s="184"/>
      <c r="F66" s="62">
        <v>19</v>
      </c>
      <c r="G66" s="62">
        <v>12</v>
      </c>
    </row>
    <row r="67" spans="1:8">
      <c r="B67" s="182"/>
      <c r="C67" s="182" t="s">
        <v>451</v>
      </c>
      <c r="D67" s="182"/>
      <c r="E67" s="182"/>
      <c r="F67" s="62">
        <f>SUM($F$62:$F$66)</f>
        <v>133</v>
      </c>
      <c r="G67" s="62">
        <f>SUM($G$62:$G$66)</f>
        <v>97</v>
      </c>
    </row>
    <row r="68" spans="1:8">
      <c r="B68" s="182" t="s">
        <v>497</v>
      </c>
      <c r="C68" s="182"/>
      <c r="D68" s="182"/>
      <c r="E68" s="182"/>
      <c r="F68" s="62">
        <f>SUM($F$67,$F$60,$F$61)</f>
        <v>645</v>
      </c>
      <c r="G68" s="62">
        <f>SUM($G$67,$G$61,$G$60)</f>
        <v>205</v>
      </c>
    </row>
    <row r="70" spans="1:8">
      <c r="B70" s="60" t="s">
        <v>400</v>
      </c>
      <c r="C70" s="69" t="s">
        <v>498</v>
      </c>
      <c r="D70" s="69" t="s">
        <v>499</v>
      </c>
      <c r="E70" s="60" t="s">
        <v>500</v>
      </c>
    </row>
    <row r="71" spans="1:8">
      <c r="B71" s="62" t="s">
        <v>501</v>
      </c>
      <c r="C71" s="62">
        <v>3</v>
      </c>
      <c r="D71" s="62">
        <v>5</v>
      </c>
      <c r="E71" s="62">
        <v>8</v>
      </c>
      <c r="G71" s="61"/>
      <c r="H71" s="61"/>
    </row>
    <row r="73" spans="1:8">
      <c r="A73" s="37" t="s">
        <v>43</v>
      </c>
    </row>
    <row r="74" spans="1:8">
      <c r="A74" s="59" t="s">
        <v>502</v>
      </c>
    </row>
    <row r="75" spans="1:8">
      <c r="A75" s="70" t="s">
        <v>503</v>
      </c>
      <c r="B75" s="70"/>
    </row>
    <row r="76" spans="1:8">
      <c r="A76" s="71" t="s">
        <v>504</v>
      </c>
      <c r="B76" s="71"/>
      <c r="C76" s="71"/>
      <c r="D76" s="71"/>
    </row>
    <row r="77" spans="1:8">
      <c r="A77" s="72" t="s">
        <v>505</v>
      </c>
      <c r="B77" s="72"/>
    </row>
  </sheetData>
  <mergeCells count="50">
    <mergeCell ref="C4:C16"/>
    <mergeCell ref="C17:C29"/>
    <mergeCell ref="D4:D12"/>
    <mergeCell ref="D13:D16"/>
    <mergeCell ref="D17:D25"/>
    <mergeCell ref="D26:D29"/>
    <mergeCell ref="C32:C34"/>
    <mergeCell ref="C35:C37"/>
    <mergeCell ref="C38:C41"/>
    <mergeCell ref="C42:C43"/>
    <mergeCell ref="C44:C45"/>
    <mergeCell ref="C50:E50"/>
    <mergeCell ref="B4:B50"/>
    <mergeCell ref="G4:G50"/>
    <mergeCell ref="C59:E59"/>
    <mergeCell ref="B51:B59"/>
    <mergeCell ref="C46:C47"/>
    <mergeCell ref="C48:C49"/>
    <mergeCell ref="D30:D31"/>
    <mergeCell ref="D32:D34"/>
    <mergeCell ref="D35:D37"/>
    <mergeCell ref="D38:D41"/>
    <mergeCell ref="D42:D43"/>
    <mergeCell ref="D44:D45"/>
    <mergeCell ref="D46:D47"/>
    <mergeCell ref="D48:D49"/>
    <mergeCell ref="C30:C31"/>
    <mergeCell ref="I4:I8"/>
    <mergeCell ref="I9:I13"/>
    <mergeCell ref="I14:J14"/>
    <mergeCell ref="I17:I19"/>
    <mergeCell ref="I21:J21"/>
    <mergeCell ref="C51:E51"/>
    <mergeCell ref="C52:E52"/>
    <mergeCell ref="C53:E53"/>
    <mergeCell ref="C54:E54"/>
    <mergeCell ref="C55:E55"/>
    <mergeCell ref="C56:E56"/>
    <mergeCell ref="C57:E57"/>
    <mergeCell ref="C58:E58"/>
    <mergeCell ref="B60:E60"/>
    <mergeCell ref="C61:E61"/>
    <mergeCell ref="B68:E68"/>
    <mergeCell ref="B62:B67"/>
    <mergeCell ref="C62:E62"/>
    <mergeCell ref="C63:E63"/>
    <mergeCell ref="C64:E64"/>
    <mergeCell ref="C65:E65"/>
    <mergeCell ref="C66:E66"/>
    <mergeCell ref="C67:E67"/>
  </mergeCells>
  <phoneticPr fontId="3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>
      <selection activeCell="H6" sqref="H6"/>
    </sheetView>
  </sheetViews>
  <sheetFormatPr defaultColWidth="9" defaultRowHeight="14.4"/>
  <cols>
    <col min="1" max="1" width="28.44140625" style="6" customWidth="1"/>
    <col min="2" max="2" width="13" style="6" bestFit="1" customWidth="1"/>
    <col min="3" max="16384" width="9" style="6"/>
  </cols>
  <sheetData>
    <row r="2" spans="1:40">
      <c r="B2" s="10" t="s">
        <v>400</v>
      </c>
      <c r="C2" s="140">
        <v>2020</v>
      </c>
      <c r="D2" s="6">
        <v>2020</v>
      </c>
      <c r="E2" s="6">
        <v>2019</v>
      </c>
    </row>
    <row r="3" spans="1:40">
      <c r="B3" s="54" t="s">
        <v>506</v>
      </c>
      <c r="C3" s="140">
        <v>328</v>
      </c>
      <c r="D3" s="6">
        <v>328</v>
      </c>
      <c r="E3" s="53">
        <v>328</v>
      </c>
    </row>
    <row r="4" spans="1:40">
      <c r="B4" s="54" t="s">
        <v>507</v>
      </c>
      <c r="C4" s="140">
        <v>657</v>
      </c>
      <c r="D4" s="6">
        <v>657</v>
      </c>
      <c r="E4" s="53">
        <v>654</v>
      </c>
    </row>
    <row r="5" spans="1:40">
      <c r="B5" s="54" t="s">
        <v>508</v>
      </c>
      <c r="C5" s="140">
        <v>778</v>
      </c>
      <c r="D5" s="6">
        <v>778</v>
      </c>
      <c r="E5" s="53">
        <v>753</v>
      </c>
    </row>
    <row r="6" spans="1:40">
      <c r="B6" s="10" t="s">
        <v>509</v>
      </c>
      <c r="C6" s="140"/>
      <c r="E6" s="6">
        <v>1194</v>
      </c>
    </row>
    <row r="7" spans="1:40">
      <c r="B7" s="10" t="s">
        <v>510</v>
      </c>
      <c r="C7" s="140"/>
      <c r="E7" s="6">
        <v>1804</v>
      </c>
    </row>
    <row r="8" spans="1:40">
      <c r="B8" s="10" t="s">
        <v>511</v>
      </c>
      <c r="C8" s="140">
        <v>7117</v>
      </c>
      <c r="D8" s="6">
        <v>7117</v>
      </c>
      <c r="E8" s="6">
        <v>4132</v>
      </c>
    </row>
    <row r="9" spans="1:40">
      <c r="B9" s="10" t="s">
        <v>497</v>
      </c>
      <c r="C9" s="140">
        <f>SUM(C$3:C$8)</f>
        <v>8880</v>
      </c>
      <c r="D9" s="6">
        <f>SUM(D$3:D$8)</f>
        <v>8880</v>
      </c>
      <c r="E9" s="6">
        <f>SUM(E$3:E$8)</f>
        <v>8865</v>
      </c>
    </row>
    <row r="10" spans="1:40">
      <c r="C10" s="158" t="s">
        <v>512</v>
      </c>
      <c r="D10" s="39" t="s">
        <v>512</v>
      </c>
      <c r="E10" s="39" t="s">
        <v>512</v>
      </c>
    </row>
    <row r="11" spans="1:40" ht="15" thickBot="1"/>
    <row r="12" spans="1:40" ht="15" thickBot="1">
      <c r="A12" s="13" t="s">
        <v>43</v>
      </c>
      <c r="L12" s="134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  <row r="13" spans="1:40" ht="15" thickBot="1">
      <c r="A13" s="113" t="s">
        <v>513</v>
      </c>
      <c r="L13" s="135" t="s">
        <v>514</v>
      </c>
      <c r="M13" s="135" t="s">
        <v>515</v>
      </c>
      <c r="N13" s="135" t="s">
        <v>516</v>
      </c>
      <c r="O13" s="135" t="s">
        <v>517</v>
      </c>
      <c r="P13" s="135" t="s">
        <v>518</v>
      </c>
      <c r="Q13" s="135" t="s">
        <v>519</v>
      </c>
      <c r="R13" s="135" t="s">
        <v>520</v>
      </c>
      <c r="S13" s="135" t="s">
        <v>521</v>
      </c>
      <c r="T13" s="135" t="s">
        <v>522</v>
      </c>
      <c r="U13" s="135" t="s">
        <v>523</v>
      </c>
      <c r="V13" s="135" t="s">
        <v>524</v>
      </c>
      <c r="W13" s="135" t="s">
        <v>525</v>
      </c>
      <c r="X13" s="135" t="s">
        <v>526</v>
      </c>
      <c r="Y13" s="135" t="s">
        <v>518</v>
      </c>
      <c r="Z13" s="135" t="s">
        <v>518</v>
      </c>
      <c r="AA13" s="135" t="s">
        <v>527</v>
      </c>
      <c r="AB13" s="135" t="s">
        <v>528</v>
      </c>
      <c r="AC13" s="135" t="s">
        <v>529</v>
      </c>
      <c r="AD13" s="135" t="s">
        <v>530</v>
      </c>
      <c r="AE13" s="135" t="s">
        <v>531</v>
      </c>
      <c r="AF13" s="135" t="s">
        <v>532</v>
      </c>
      <c r="AG13" s="135" t="s">
        <v>533</v>
      </c>
      <c r="AH13" s="135" t="s">
        <v>534</v>
      </c>
      <c r="AI13" s="135" t="s">
        <v>535</v>
      </c>
      <c r="AJ13" s="135" t="s">
        <v>536</v>
      </c>
      <c r="AK13" s="135" t="s">
        <v>528</v>
      </c>
      <c r="AL13" s="135" t="s">
        <v>537</v>
      </c>
      <c r="AM13" s="133"/>
      <c r="AN13" s="133"/>
    </row>
    <row r="14" spans="1:40" ht="15" thickBot="1">
      <c r="L14" s="136"/>
      <c r="M14" s="137" t="s">
        <v>538</v>
      </c>
      <c r="N14" s="135" t="s">
        <v>539</v>
      </c>
      <c r="O14" s="134" t="s">
        <v>540</v>
      </c>
      <c r="P14" s="134" t="s">
        <v>541</v>
      </c>
      <c r="Q14" s="134" t="s">
        <v>542</v>
      </c>
      <c r="R14" s="134" t="s">
        <v>543</v>
      </c>
      <c r="S14" s="134" t="s">
        <v>544</v>
      </c>
      <c r="T14" s="134" t="s">
        <v>545</v>
      </c>
      <c r="U14" s="134" t="s">
        <v>546</v>
      </c>
      <c r="V14" s="134" t="s">
        <v>547</v>
      </c>
      <c r="W14" s="134" t="s">
        <v>548</v>
      </c>
      <c r="X14" s="134" t="s">
        <v>549</v>
      </c>
      <c r="Y14" s="134" t="s">
        <v>541</v>
      </c>
      <c r="Z14" s="134" t="s">
        <v>550</v>
      </c>
      <c r="AA14" s="134" t="s">
        <v>551</v>
      </c>
      <c r="AB14" s="134" t="s">
        <v>552</v>
      </c>
      <c r="AC14" s="134" t="s">
        <v>553</v>
      </c>
      <c r="AD14" s="134" t="s">
        <v>546</v>
      </c>
      <c r="AE14" s="134" t="s">
        <v>554</v>
      </c>
      <c r="AF14" s="134" t="s">
        <v>555</v>
      </c>
      <c r="AG14" s="134" t="s">
        <v>556</v>
      </c>
      <c r="AH14" s="134" t="s">
        <v>541</v>
      </c>
      <c r="AI14" s="134" t="s">
        <v>542</v>
      </c>
      <c r="AJ14" s="134" t="s">
        <v>557</v>
      </c>
      <c r="AK14" s="134" t="s">
        <v>558</v>
      </c>
      <c r="AL14" s="134" t="s">
        <v>545</v>
      </c>
      <c r="AM14" s="134" t="s">
        <v>559</v>
      </c>
      <c r="AN14" s="134" t="s">
        <v>547</v>
      </c>
    </row>
    <row r="15" spans="1:40" ht="15" thickBot="1">
      <c r="A15" s="6" t="s">
        <v>560</v>
      </c>
      <c r="L15" s="136"/>
      <c r="M15" s="137" t="s">
        <v>561</v>
      </c>
      <c r="N15" s="135" t="s">
        <v>562</v>
      </c>
      <c r="O15" s="134" t="s">
        <v>544</v>
      </c>
      <c r="P15" s="134" t="s">
        <v>563</v>
      </c>
      <c r="Q15" s="134" t="s">
        <v>564</v>
      </c>
      <c r="R15" s="134" t="s">
        <v>565</v>
      </c>
      <c r="S15" s="134" t="s">
        <v>553</v>
      </c>
      <c r="T15" s="134" t="s">
        <v>566</v>
      </c>
      <c r="U15" s="134" t="s">
        <v>567</v>
      </c>
      <c r="V15" s="134" t="s">
        <v>564</v>
      </c>
      <c r="W15" s="134" t="s">
        <v>568</v>
      </c>
      <c r="X15" s="134" t="s">
        <v>544</v>
      </c>
      <c r="Y15" s="134" t="s">
        <v>569</v>
      </c>
      <c r="Z15" s="134" t="s">
        <v>570</v>
      </c>
      <c r="AA15" s="134" t="s">
        <v>571</v>
      </c>
      <c r="AB15" s="134" t="s">
        <v>545</v>
      </c>
      <c r="AC15" s="134" t="s">
        <v>572</v>
      </c>
      <c r="AD15" s="134" t="s">
        <v>567</v>
      </c>
      <c r="AE15" s="134" t="s">
        <v>570</v>
      </c>
      <c r="AF15" s="134" t="s">
        <v>573</v>
      </c>
      <c r="AG15" s="134" t="s">
        <v>574</v>
      </c>
      <c r="AH15" s="134" t="s">
        <v>575</v>
      </c>
      <c r="AI15" s="134" t="s">
        <v>570</v>
      </c>
      <c r="AJ15" s="134" t="s">
        <v>571</v>
      </c>
      <c r="AK15" s="134" t="s">
        <v>544</v>
      </c>
      <c r="AL15" s="134" t="s">
        <v>566</v>
      </c>
      <c r="AM15" s="134" t="s">
        <v>567</v>
      </c>
      <c r="AN15" s="134" t="s">
        <v>576</v>
      </c>
    </row>
    <row r="16" spans="1:40" ht="15" thickBot="1">
      <c r="A16" s="6" t="s">
        <v>577</v>
      </c>
      <c r="L16" s="136"/>
      <c r="M16" s="137" t="s">
        <v>578</v>
      </c>
      <c r="N16" s="135" t="s">
        <v>579</v>
      </c>
      <c r="O16" s="134" t="s">
        <v>580</v>
      </c>
      <c r="P16" s="134" t="s">
        <v>581</v>
      </c>
      <c r="Q16" s="134" t="s">
        <v>544</v>
      </c>
      <c r="R16" s="134" t="s">
        <v>582</v>
      </c>
      <c r="S16" s="134" t="s">
        <v>583</v>
      </c>
      <c r="T16" s="134" t="s">
        <v>576</v>
      </c>
      <c r="U16" s="134" t="s">
        <v>584</v>
      </c>
      <c r="V16" s="134" t="s">
        <v>585</v>
      </c>
      <c r="W16" s="134" t="s">
        <v>586</v>
      </c>
      <c r="X16" s="134" t="s">
        <v>580</v>
      </c>
      <c r="Y16" s="134" t="s">
        <v>587</v>
      </c>
      <c r="Z16" s="134" t="s">
        <v>574</v>
      </c>
      <c r="AA16" s="134" t="s">
        <v>588</v>
      </c>
      <c r="AB16" s="134" t="s">
        <v>583</v>
      </c>
      <c r="AC16" s="134" t="s">
        <v>576</v>
      </c>
      <c r="AD16" s="134" t="s">
        <v>575</v>
      </c>
      <c r="AE16" s="134" t="s">
        <v>589</v>
      </c>
      <c r="AF16" s="134" t="s">
        <v>590</v>
      </c>
      <c r="AG16" s="134" t="s">
        <v>591</v>
      </c>
      <c r="AH16" s="134" t="s">
        <v>580</v>
      </c>
      <c r="AI16" s="134" t="s">
        <v>556</v>
      </c>
      <c r="AJ16" s="134" t="s">
        <v>592</v>
      </c>
      <c r="AK16" s="134" t="s">
        <v>593</v>
      </c>
      <c r="AL16" s="134" t="s">
        <v>594</v>
      </c>
      <c r="AM16" s="134" t="s">
        <v>595</v>
      </c>
      <c r="AN16" s="134" t="s">
        <v>596</v>
      </c>
    </row>
    <row r="17" spans="1:40" ht="15" thickBot="1">
      <c r="L17" s="136"/>
      <c r="M17" s="137" t="s">
        <v>597</v>
      </c>
      <c r="N17" s="135" t="s">
        <v>598</v>
      </c>
      <c r="O17" s="134" t="s">
        <v>599</v>
      </c>
      <c r="P17" s="134" t="s">
        <v>564</v>
      </c>
      <c r="Q17" s="134" t="s">
        <v>570</v>
      </c>
      <c r="R17" s="134" t="s">
        <v>544</v>
      </c>
      <c r="S17" s="134" t="s">
        <v>550</v>
      </c>
      <c r="T17" s="134" t="s">
        <v>588</v>
      </c>
      <c r="U17" s="134" t="s">
        <v>600</v>
      </c>
      <c r="V17" s="134" t="s">
        <v>601</v>
      </c>
      <c r="W17" s="134" t="s">
        <v>602</v>
      </c>
      <c r="X17" s="134" t="s">
        <v>603</v>
      </c>
      <c r="Y17" s="134" t="s">
        <v>564</v>
      </c>
      <c r="Z17" s="134" t="s">
        <v>576</v>
      </c>
      <c r="AA17" s="134" t="s">
        <v>544</v>
      </c>
      <c r="AB17" s="134" t="s">
        <v>542</v>
      </c>
      <c r="AC17" s="134" t="s">
        <v>571</v>
      </c>
      <c r="AD17" s="134" t="s">
        <v>604</v>
      </c>
      <c r="AE17" s="134" t="s">
        <v>605</v>
      </c>
      <c r="AF17" s="134" t="s">
        <v>606</v>
      </c>
      <c r="AG17" s="134" t="s">
        <v>603</v>
      </c>
      <c r="AH17" s="134" t="s">
        <v>594</v>
      </c>
      <c r="AI17" s="134" t="s">
        <v>566</v>
      </c>
      <c r="AJ17" s="134" t="s">
        <v>544</v>
      </c>
      <c r="AK17" s="134" t="s">
        <v>558</v>
      </c>
      <c r="AL17" s="134" t="s">
        <v>571</v>
      </c>
      <c r="AM17" s="134" t="s">
        <v>607</v>
      </c>
      <c r="AN17" s="134" t="s">
        <v>605</v>
      </c>
    </row>
    <row r="18" spans="1:40" ht="15" thickBot="1">
      <c r="A18" s="14" t="s">
        <v>608</v>
      </c>
      <c r="L18" s="136"/>
      <c r="M18" s="137" t="s">
        <v>609</v>
      </c>
      <c r="N18" s="135" t="s">
        <v>610</v>
      </c>
      <c r="O18" s="134" t="s">
        <v>553</v>
      </c>
      <c r="P18" s="134" t="s">
        <v>541</v>
      </c>
      <c r="Q18" s="134" t="s">
        <v>611</v>
      </c>
      <c r="R18" s="134" t="s">
        <v>596</v>
      </c>
      <c r="S18" s="134" t="s">
        <v>612</v>
      </c>
      <c r="T18" s="134" t="s">
        <v>613</v>
      </c>
      <c r="U18" s="134" t="s">
        <v>614</v>
      </c>
      <c r="V18" s="134" t="s">
        <v>615</v>
      </c>
      <c r="W18" s="134" t="s">
        <v>616</v>
      </c>
      <c r="X18" s="134" t="s">
        <v>552</v>
      </c>
      <c r="Y18" s="134" t="s">
        <v>617</v>
      </c>
      <c r="Z18" s="134" t="s">
        <v>618</v>
      </c>
      <c r="AA18" s="134" t="s">
        <v>619</v>
      </c>
      <c r="AB18" s="134" t="s">
        <v>620</v>
      </c>
      <c r="AC18" s="134" t="s">
        <v>621</v>
      </c>
      <c r="AD18" s="134" t="s">
        <v>622</v>
      </c>
      <c r="AE18" s="134" t="s">
        <v>623</v>
      </c>
      <c r="AF18" s="134" t="s">
        <v>624</v>
      </c>
      <c r="AG18" s="134" t="s">
        <v>553</v>
      </c>
      <c r="AH18" s="134" t="s">
        <v>625</v>
      </c>
      <c r="AI18" s="134" t="s">
        <v>611</v>
      </c>
      <c r="AJ18" s="134" t="s">
        <v>626</v>
      </c>
      <c r="AK18" s="134" t="s">
        <v>612</v>
      </c>
      <c r="AL18" s="134" t="s">
        <v>627</v>
      </c>
      <c r="AM18" s="134" t="s">
        <v>628</v>
      </c>
      <c r="AN18" s="134" t="s">
        <v>629</v>
      </c>
    </row>
    <row r="19" spans="1:40" ht="15" thickBot="1">
      <c r="A19" s="6" t="s">
        <v>630</v>
      </c>
      <c r="B19" s="6">
        <v>1.4</v>
      </c>
      <c r="L19" s="136"/>
      <c r="M19" s="137" t="s">
        <v>631</v>
      </c>
      <c r="N19" s="135" t="s">
        <v>632</v>
      </c>
      <c r="O19" s="134" t="s">
        <v>633</v>
      </c>
      <c r="P19" s="134" t="s">
        <v>634</v>
      </c>
      <c r="Q19" s="134" t="s">
        <v>635</v>
      </c>
      <c r="R19" s="134" t="s">
        <v>636</v>
      </c>
      <c r="S19" s="134" t="s">
        <v>637</v>
      </c>
      <c r="T19" s="134" t="s">
        <v>638</v>
      </c>
      <c r="U19" s="134" t="s">
        <v>639</v>
      </c>
      <c r="V19" s="134" t="s">
        <v>640</v>
      </c>
      <c r="W19" s="134" t="s">
        <v>641</v>
      </c>
      <c r="X19" s="134" t="s">
        <v>642</v>
      </c>
      <c r="Y19" s="134" t="s">
        <v>643</v>
      </c>
      <c r="Z19" s="134" t="s">
        <v>644</v>
      </c>
      <c r="AA19" s="134" t="s">
        <v>645</v>
      </c>
      <c r="AB19" s="134" t="s">
        <v>646</v>
      </c>
      <c r="AC19" s="134" t="s">
        <v>638</v>
      </c>
      <c r="AD19" s="134" t="s">
        <v>647</v>
      </c>
      <c r="AE19" s="134" t="s">
        <v>640</v>
      </c>
      <c r="AF19" s="134" t="s">
        <v>648</v>
      </c>
      <c r="AG19" s="134" t="s">
        <v>649</v>
      </c>
      <c r="AH19" s="134" t="s">
        <v>650</v>
      </c>
      <c r="AI19" s="134" t="s">
        <v>651</v>
      </c>
      <c r="AJ19" s="134" t="s">
        <v>652</v>
      </c>
      <c r="AK19" s="134" t="s">
        <v>646</v>
      </c>
      <c r="AL19" s="134" t="s">
        <v>653</v>
      </c>
      <c r="AM19" s="134" t="s">
        <v>654</v>
      </c>
      <c r="AN19" s="134" t="s">
        <v>655</v>
      </c>
    </row>
    <row r="20" spans="1:40" ht="22.2" thickBot="1">
      <c r="A20" s="6" t="s">
        <v>656</v>
      </c>
      <c r="B20" s="6">
        <v>0.44</v>
      </c>
      <c r="L20" s="137" t="s">
        <v>657</v>
      </c>
      <c r="M20" s="137" t="s">
        <v>658</v>
      </c>
      <c r="N20" s="135" t="s">
        <v>659</v>
      </c>
      <c r="O20" s="134" t="s">
        <v>660</v>
      </c>
      <c r="P20" s="134" t="s">
        <v>661</v>
      </c>
      <c r="Q20" s="134" t="s">
        <v>662</v>
      </c>
      <c r="R20" s="134" t="s">
        <v>663</v>
      </c>
      <c r="S20" s="134" t="s">
        <v>664</v>
      </c>
      <c r="T20" s="134" t="s">
        <v>665</v>
      </c>
      <c r="U20" s="134" t="s">
        <v>666</v>
      </c>
      <c r="V20" s="134" t="s">
        <v>667</v>
      </c>
      <c r="W20" s="134" t="s">
        <v>668</v>
      </c>
      <c r="X20" s="134" t="s">
        <v>669</v>
      </c>
      <c r="Y20" s="134" t="s">
        <v>670</v>
      </c>
      <c r="Z20" s="134" t="s">
        <v>671</v>
      </c>
      <c r="AA20" s="134" t="s">
        <v>672</v>
      </c>
      <c r="AB20" s="134" t="s">
        <v>673</v>
      </c>
      <c r="AC20" s="134" t="s">
        <v>674</v>
      </c>
      <c r="AD20" s="134" t="s">
        <v>675</v>
      </c>
      <c r="AE20" s="134" t="s">
        <v>676</v>
      </c>
      <c r="AF20" s="134" t="s">
        <v>677</v>
      </c>
      <c r="AG20" s="134" t="s">
        <v>678</v>
      </c>
      <c r="AH20" s="134" t="s">
        <v>679</v>
      </c>
      <c r="AI20" s="134" t="s">
        <v>680</v>
      </c>
      <c r="AJ20" s="134" t="s">
        <v>681</v>
      </c>
      <c r="AK20" s="134" t="s">
        <v>682</v>
      </c>
      <c r="AL20" s="134" t="s">
        <v>683</v>
      </c>
      <c r="AM20" s="134" t="s">
        <v>684</v>
      </c>
      <c r="AN20" s="134" t="s">
        <v>685</v>
      </c>
    </row>
    <row r="21" spans="1:40" ht="15" thickBot="1">
      <c r="L21" s="136"/>
      <c r="M21" s="137" t="s">
        <v>538</v>
      </c>
      <c r="N21" s="135" t="s">
        <v>686</v>
      </c>
      <c r="O21" s="134" t="s">
        <v>687</v>
      </c>
      <c r="P21" s="134" t="s">
        <v>688</v>
      </c>
      <c r="Q21" s="134" t="s">
        <v>689</v>
      </c>
      <c r="R21" s="134" t="s">
        <v>690</v>
      </c>
      <c r="S21" s="134" t="s">
        <v>691</v>
      </c>
      <c r="T21" s="134" t="s">
        <v>692</v>
      </c>
      <c r="U21" s="134" t="s">
        <v>693</v>
      </c>
      <c r="V21" s="134" t="s">
        <v>694</v>
      </c>
      <c r="W21" s="134" t="s">
        <v>695</v>
      </c>
      <c r="X21" s="134" t="s">
        <v>696</v>
      </c>
      <c r="Y21" s="134" t="s">
        <v>688</v>
      </c>
      <c r="Z21" s="134" t="s">
        <v>697</v>
      </c>
      <c r="AA21" s="134" t="s">
        <v>698</v>
      </c>
      <c r="AB21" s="134" t="s">
        <v>699</v>
      </c>
      <c r="AC21" s="134" t="s">
        <v>700</v>
      </c>
      <c r="AD21" s="134" t="s">
        <v>693</v>
      </c>
      <c r="AE21" s="134" t="s">
        <v>701</v>
      </c>
      <c r="AF21" s="134" t="s">
        <v>702</v>
      </c>
      <c r="AG21" s="134" t="s">
        <v>703</v>
      </c>
      <c r="AH21" s="134" t="s">
        <v>704</v>
      </c>
      <c r="AI21" s="134" t="s">
        <v>705</v>
      </c>
      <c r="AJ21" s="134" t="s">
        <v>706</v>
      </c>
      <c r="AK21" s="134" t="s">
        <v>707</v>
      </c>
      <c r="AL21" s="134" t="s">
        <v>708</v>
      </c>
      <c r="AM21" s="134" t="s">
        <v>709</v>
      </c>
      <c r="AN21" s="134" t="s">
        <v>710</v>
      </c>
    </row>
    <row r="22" spans="1:40" ht="22.2" thickBot="1">
      <c r="L22" s="136"/>
      <c r="M22" s="137" t="s">
        <v>561</v>
      </c>
      <c r="N22" s="135" t="s">
        <v>711</v>
      </c>
      <c r="O22" s="134" t="s">
        <v>712</v>
      </c>
      <c r="P22" s="134" t="s">
        <v>713</v>
      </c>
      <c r="Q22" s="134" t="s">
        <v>714</v>
      </c>
      <c r="R22" s="134" t="s">
        <v>715</v>
      </c>
      <c r="S22" s="134" t="s">
        <v>716</v>
      </c>
      <c r="T22" s="134" t="s">
        <v>717</v>
      </c>
      <c r="U22" s="134" t="s">
        <v>718</v>
      </c>
      <c r="V22" s="134" t="s">
        <v>719</v>
      </c>
      <c r="W22" s="134" t="s">
        <v>720</v>
      </c>
      <c r="X22" s="134" t="s">
        <v>712</v>
      </c>
      <c r="Y22" s="134" t="s">
        <v>721</v>
      </c>
      <c r="Z22" s="134" t="s">
        <v>722</v>
      </c>
      <c r="AA22" s="134" t="s">
        <v>723</v>
      </c>
      <c r="AB22" s="134" t="s">
        <v>724</v>
      </c>
      <c r="AC22" s="134" t="s">
        <v>725</v>
      </c>
      <c r="AD22" s="134" t="s">
        <v>718</v>
      </c>
      <c r="AE22" s="134" t="s">
        <v>726</v>
      </c>
      <c r="AF22" s="134" t="s">
        <v>727</v>
      </c>
      <c r="AG22" s="134" t="s">
        <v>728</v>
      </c>
      <c r="AH22" s="134" t="s">
        <v>729</v>
      </c>
      <c r="AI22" s="134" t="s">
        <v>730</v>
      </c>
      <c r="AJ22" s="134" t="s">
        <v>731</v>
      </c>
      <c r="AK22" s="134" t="s">
        <v>732</v>
      </c>
      <c r="AL22" s="134" t="s">
        <v>733</v>
      </c>
      <c r="AM22" s="134" t="s">
        <v>734</v>
      </c>
      <c r="AN22" s="134" t="s">
        <v>735</v>
      </c>
    </row>
    <row r="23" spans="1:40" ht="22.2" thickBot="1">
      <c r="L23" s="136"/>
      <c r="M23" s="137" t="s">
        <v>578</v>
      </c>
      <c r="N23" s="135" t="s">
        <v>736</v>
      </c>
      <c r="O23" s="134" t="s">
        <v>737</v>
      </c>
      <c r="P23" s="134" t="s">
        <v>738</v>
      </c>
      <c r="Q23" s="134" t="s">
        <v>739</v>
      </c>
      <c r="R23" s="134" t="s">
        <v>740</v>
      </c>
      <c r="S23" s="134" t="s">
        <v>741</v>
      </c>
      <c r="T23" s="134" t="s">
        <v>742</v>
      </c>
      <c r="U23" s="134" t="s">
        <v>743</v>
      </c>
      <c r="V23" s="134" t="s">
        <v>744</v>
      </c>
      <c r="W23" s="134" t="s">
        <v>745</v>
      </c>
      <c r="X23" s="134" t="s">
        <v>746</v>
      </c>
      <c r="Y23" s="134" t="s">
        <v>747</v>
      </c>
      <c r="Z23" s="134" t="s">
        <v>748</v>
      </c>
      <c r="AA23" s="134" t="s">
        <v>749</v>
      </c>
      <c r="AB23" s="134" t="s">
        <v>750</v>
      </c>
      <c r="AC23" s="134" t="s">
        <v>751</v>
      </c>
      <c r="AD23" s="134" t="s">
        <v>752</v>
      </c>
      <c r="AE23" s="134" t="s">
        <v>753</v>
      </c>
      <c r="AF23" s="134" t="s">
        <v>754</v>
      </c>
      <c r="AG23" s="134" t="s">
        <v>755</v>
      </c>
      <c r="AH23" s="134" t="s">
        <v>756</v>
      </c>
      <c r="AI23" s="134" t="s">
        <v>757</v>
      </c>
      <c r="AJ23" s="134" t="s">
        <v>758</v>
      </c>
      <c r="AK23" s="134" t="s">
        <v>759</v>
      </c>
      <c r="AL23" s="134" t="s">
        <v>760</v>
      </c>
      <c r="AM23" s="134" t="s">
        <v>761</v>
      </c>
      <c r="AN23" s="134" t="s">
        <v>762</v>
      </c>
    </row>
    <row r="24" spans="1:40" ht="15" thickBot="1">
      <c r="L24" s="136"/>
      <c r="M24" s="137" t="s">
        <v>597</v>
      </c>
      <c r="N24" s="135" t="s">
        <v>763</v>
      </c>
      <c r="O24" s="134" t="s">
        <v>764</v>
      </c>
      <c r="P24" s="134" t="s">
        <v>765</v>
      </c>
      <c r="Q24" s="134" t="s">
        <v>766</v>
      </c>
      <c r="R24" s="134" t="s">
        <v>767</v>
      </c>
      <c r="S24" s="134" t="s">
        <v>768</v>
      </c>
      <c r="T24" s="134" t="s">
        <v>769</v>
      </c>
      <c r="U24" s="134" t="s">
        <v>770</v>
      </c>
      <c r="V24" s="134" t="s">
        <v>771</v>
      </c>
      <c r="W24" s="134" t="s">
        <v>772</v>
      </c>
      <c r="X24" s="134" t="s">
        <v>773</v>
      </c>
      <c r="Y24" s="134" t="s">
        <v>774</v>
      </c>
      <c r="Z24" s="134" t="s">
        <v>775</v>
      </c>
      <c r="AA24" s="134" t="s">
        <v>776</v>
      </c>
      <c r="AB24" s="134" t="s">
        <v>777</v>
      </c>
      <c r="AC24" s="134" t="s">
        <v>778</v>
      </c>
      <c r="AD24" s="134" t="s">
        <v>779</v>
      </c>
      <c r="AE24" s="134" t="s">
        <v>780</v>
      </c>
      <c r="AF24" s="134" t="s">
        <v>781</v>
      </c>
      <c r="AG24" s="134" t="s">
        <v>773</v>
      </c>
      <c r="AH24" s="134" t="s">
        <v>782</v>
      </c>
      <c r="AI24" s="134" t="s">
        <v>783</v>
      </c>
      <c r="AJ24" s="134" t="s">
        <v>776</v>
      </c>
      <c r="AK24" s="134" t="s">
        <v>784</v>
      </c>
      <c r="AL24" s="134" t="s">
        <v>785</v>
      </c>
      <c r="AM24" s="134" t="s">
        <v>786</v>
      </c>
      <c r="AN24" s="134" t="s">
        <v>787</v>
      </c>
    </row>
    <row r="25" spans="1:40" ht="22.2" thickBot="1">
      <c r="L25" s="136"/>
      <c r="M25" s="137" t="s">
        <v>609</v>
      </c>
      <c r="N25" s="135" t="s">
        <v>788</v>
      </c>
      <c r="O25" s="134" t="s">
        <v>789</v>
      </c>
      <c r="P25" s="134" t="s">
        <v>790</v>
      </c>
      <c r="Q25" s="134" t="s">
        <v>791</v>
      </c>
      <c r="R25" s="134" t="s">
        <v>792</v>
      </c>
      <c r="S25" s="134" t="s">
        <v>793</v>
      </c>
      <c r="T25" s="134" t="s">
        <v>794</v>
      </c>
      <c r="U25" s="134" t="s">
        <v>795</v>
      </c>
      <c r="V25" s="134" t="s">
        <v>796</v>
      </c>
      <c r="W25" s="134" t="s">
        <v>797</v>
      </c>
      <c r="X25" s="134" t="s">
        <v>798</v>
      </c>
      <c r="Y25" s="134" t="s">
        <v>799</v>
      </c>
      <c r="Z25" s="134" t="s">
        <v>800</v>
      </c>
      <c r="AA25" s="134" t="s">
        <v>801</v>
      </c>
      <c r="AB25" s="134" t="s">
        <v>802</v>
      </c>
      <c r="AC25" s="134" t="s">
        <v>803</v>
      </c>
      <c r="AD25" s="134" t="s">
        <v>804</v>
      </c>
      <c r="AE25" s="134" t="s">
        <v>805</v>
      </c>
      <c r="AF25" s="134" t="s">
        <v>806</v>
      </c>
      <c r="AG25" s="134" t="s">
        <v>807</v>
      </c>
      <c r="AH25" s="134" t="s">
        <v>808</v>
      </c>
      <c r="AI25" s="134" t="s">
        <v>809</v>
      </c>
      <c r="AJ25" s="134" t="s">
        <v>810</v>
      </c>
      <c r="AK25" s="134" t="s">
        <v>811</v>
      </c>
      <c r="AL25" s="134" t="s">
        <v>812</v>
      </c>
      <c r="AM25" s="134" t="s">
        <v>813</v>
      </c>
      <c r="AN25" s="134" t="s">
        <v>814</v>
      </c>
    </row>
    <row r="26" spans="1:40" ht="15" thickBot="1">
      <c r="L26" s="138"/>
      <c r="M26" s="139" t="s">
        <v>631</v>
      </c>
      <c r="N26" s="135" t="s">
        <v>815</v>
      </c>
      <c r="O26" s="134" t="s">
        <v>816</v>
      </c>
      <c r="P26" s="134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</sheetData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workbookViewId="0">
      <selection activeCell="I30" sqref="I30"/>
    </sheetView>
  </sheetViews>
  <sheetFormatPr defaultColWidth="9" defaultRowHeight="13.8"/>
  <cols>
    <col min="1" max="1" width="7.88671875" style="20" customWidth="1"/>
    <col min="2" max="2" width="9.44140625" style="20" customWidth="1"/>
    <col min="3" max="4" width="9.109375" style="20" bestFit="1" customWidth="1"/>
    <col min="5" max="5" width="9.88671875" style="20" bestFit="1" customWidth="1"/>
    <col min="6" max="6" width="8.441406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1875" style="20" customWidth="1"/>
    <col min="13" max="14" width="9.109375" style="20" bestFit="1" customWidth="1"/>
    <col min="15" max="15" width="9.88671875" style="20" bestFit="1" customWidth="1"/>
    <col min="16" max="16" width="8.44140625" style="20" bestFit="1" customWidth="1"/>
    <col min="17" max="17" width="16.44140625" style="20" bestFit="1" customWidth="1"/>
    <col min="18" max="16384" width="9" style="20"/>
  </cols>
  <sheetData>
    <row r="1" spans="1:18">
      <c r="D1" s="20" t="s">
        <v>54</v>
      </c>
      <c r="E1" s="20" t="s">
        <v>870</v>
      </c>
      <c r="F1" s="20" t="s">
        <v>817</v>
      </c>
      <c r="H1" s="20" t="s">
        <v>59</v>
      </c>
    </row>
    <row r="2" spans="1:18">
      <c r="A2" s="159" t="s">
        <v>871</v>
      </c>
      <c r="B2" s="141" t="s">
        <v>872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</row>
    <row r="3" spans="1:18">
      <c r="A3" s="160" t="s">
        <v>818</v>
      </c>
      <c r="B3" s="161" t="s">
        <v>77</v>
      </c>
      <c r="C3" s="162"/>
      <c r="D3" s="162"/>
      <c r="E3" s="162"/>
      <c r="F3" s="163"/>
      <c r="G3" s="161" t="s">
        <v>819</v>
      </c>
      <c r="H3" s="162"/>
      <c r="I3" s="162"/>
      <c r="J3" s="162"/>
      <c r="K3" s="163"/>
      <c r="L3" s="161" t="s">
        <v>820</v>
      </c>
      <c r="M3" s="162"/>
      <c r="N3" s="162"/>
      <c r="O3" s="162"/>
      <c r="P3" s="163"/>
    </row>
    <row r="4" spans="1:18">
      <c r="A4" s="160" t="s">
        <v>821</v>
      </c>
      <c r="B4" s="160" t="s">
        <v>84</v>
      </c>
      <c r="C4" s="160" t="s">
        <v>822</v>
      </c>
      <c r="D4" s="160" t="s">
        <v>823</v>
      </c>
      <c r="E4" s="160" t="s">
        <v>824</v>
      </c>
      <c r="F4" s="160" t="s">
        <v>825</v>
      </c>
      <c r="G4" s="160" t="s">
        <v>84</v>
      </c>
      <c r="H4" s="160" t="s">
        <v>822</v>
      </c>
      <c r="I4" s="160" t="s">
        <v>823</v>
      </c>
      <c r="J4" s="160" t="s">
        <v>824</v>
      </c>
      <c r="K4" s="160" t="s">
        <v>825</v>
      </c>
      <c r="L4" s="160" t="s">
        <v>84</v>
      </c>
      <c r="M4" s="160" t="s">
        <v>822</v>
      </c>
      <c r="N4" s="160" t="s">
        <v>823</v>
      </c>
      <c r="O4" s="160" t="s">
        <v>824</v>
      </c>
      <c r="P4" s="160" t="s">
        <v>825</v>
      </c>
    </row>
    <row r="5" spans="1:18">
      <c r="A5" s="164" t="s">
        <v>60</v>
      </c>
      <c r="B5" s="165">
        <v>459002</v>
      </c>
      <c r="C5" s="166">
        <v>20003</v>
      </c>
      <c r="D5" s="166">
        <v>144907</v>
      </c>
      <c r="E5" s="166">
        <v>260786</v>
      </c>
      <c r="F5" s="166">
        <v>33306</v>
      </c>
      <c r="G5" s="166">
        <v>4554</v>
      </c>
      <c r="H5" s="166">
        <v>329</v>
      </c>
      <c r="I5" s="166">
        <v>942</v>
      </c>
      <c r="J5" s="166">
        <v>3125</v>
      </c>
      <c r="K5" s="166">
        <v>158</v>
      </c>
      <c r="L5" s="166">
        <v>454448</v>
      </c>
      <c r="M5" s="166">
        <v>19674</v>
      </c>
      <c r="N5" s="166">
        <v>143965</v>
      </c>
      <c r="O5" s="166">
        <v>257661</v>
      </c>
      <c r="P5" s="166">
        <v>33148</v>
      </c>
      <c r="Q5" s="36"/>
      <c r="R5" s="36"/>
    </row>
    <row r="6" spans="1:18">
      <c r="A6" s="164" t="s">
        <v>61</v>
      </c>
      <c r="B6" s="165">
        <v>136158</v>
      </c>
      <c r="C6" s="166">
        <v>6197</v>
      </c>
      <c r="D6" s="166">
        <v>36920</v>
      </c>
      <c r="E6" s="166">
        <v>84750</v>
      </c>
      <c r="F6" s="166">
        <v>8291</v>
      </c>
      <c r="G6" s="166">
        <v>1376</v>
      </c>
      <c r="H6" s="166">
        <v>144</v>
      </c>
      <c r="I6" s="166">
        <v>149</v>
      </c>
      <c r="J6" s="166">
        <v>1038</v>
      </c>
      <c r="K6" s="166">
        <v>45</v>
      </c>
      <c r="L6" s="166">
        <v>134782</v>
      </c>
      <c r="M6" s="166">
        <v>6053</v>
      </c>
      <c r="N6" s="166">
        <v>36771</v>
      </c>
      <c r="O6" s="166">
        <v>83712</v>
      </c>
      <c r="P6" s="166">
        <v>8246</v>
      </c>
      <c r="Q6" s="36"/>
      <c r="R6" s="36"/>
    </row>
    <row r="7" spans="1:18">
      <c r="A7" s="164" t="s">
        <v>62</v>
      </c>
      <c r="B7" s="165">
        <v>137000</v>
      </c>
      <c r="C7" s="166">
        <v>10429</v>
      </c>
      <c r="D7" s="166">
        <v>57996</v>
      </c>
      <c r="E7" s="166">
        <v>62190</v>
      </c>
      <c r="F7" s="166">
        <v>6385</v>
      </c>
      <c r="G7" s="166">
        <v>1212</v>
      </c>
      <c r="H7" s="166">
        <v>173</v>
      </c>
      <c r="I7" s="166">
        <v>202</v>
      </c>
      <c r="J7" s="166">
        <v>803</v>
      </c>
      <c r="K7" s="166">
        <v>34</v>
      </c>
      <c r="L7" s="166">
        <v>135788</v>
      </c>
      <c r="M7" s="166">
        <v>10256</v>
      </c>
      <c r="N7" s="166">
        <v>57794</v>
      </c>
      <c r="O7" s="166">
        <v>61387</v>
      </c>
      <c r="P7" s="166">
        <v>6351</v>
      </c>
      <c r="Q7" s="36"/>
      <c r="R7" s="36"/>
    </row>
    <row r="8" spans="1:18">
      <c r="A8" s="164" t="s">
        <v>63</v>
      </c>
      <c r="B8" s="165">
        <v>79420</v>
      </c>
      <c r="C8" s="166">
        <v>3996</v>
      </c>
      <c r="D8" s="166">
        <v>29465</v>
      </c>
      <c r="E8" s="166">
        <v>40059</v>
      </c>
      <c r="F8" s="166">
        <v>5900</v>
      </c>
      <c r="G8" s="166">
        <v>1006</v>
      </c>
      <c r="H8" s="166">
        <v>13</v>
      </c>
      <c r="I8" s="166">
        <v>192</v>
      </c>
      <c r="J8" s="166">
        <v>767</v>
      </c>
      <c r="K8" s="166">
        <v>34</v>
      </c>
      <c r="L8" s="166">
        <v>78414</v>
      </c>
      <c r="M8" s="166">
        <v>3983</v>
      </c>
      <c r="N8" s="166">
        <v>29273</v>
      </c>
      <c r="O8" s="166">
        <v>39292</v>
      </c>
      <c r="P8" s="166">
        <v>5866</v>
      </c>
      <c r="Q8" s="36"/>
      <c r="R8" s="36"/>
    </row>
    <row r="9" spans="1:18">
      <c r="A9" s="164" t="s">
        <v>64</v>
      </c>
      <c r="B9" s="165">
        <v>40782</v>
      </c>
      <c r="C9" s="166">
        <v>1974</v>
      </c>
      <c r="D9" s="166">
        <v>15885</v>
      </c>
      <c r="E9" s="166">
        <v>20761</v>
      </c>
      <c r="F9" s="166">
        <v>2162</v>
      </c>
      <c r="G9" s="166">
        <v>496</v>
      </c>
      <c r="H9" s="166">
        <v>20</v>
      </c>
      <c r="I9" s="166">
        <v>50</v>
      </c>
      <c r="J9" s="166">
        <v>416</v>
      </c>
      <c r="K9" s="166">
        <v>10</v>
      </c>
      <c r="L9" s="166">
        <v>40286</v>
      </c>
      <c r="M9" s="166">
        <v>1954</v>
      </c>
      <c r="N9" s="166">
        <v>15835</v>
      </c>
      <c r="O9" s="166">
        <v>20345</v>
      </c>
      <c r="P9" s="166">
        <v>2152</v>
      </c>
      <c r="Q9" s="36"/>
      <c r="R9" s="36"/>
    </row>
    <row r="10" spans="1:18">
      <c r="A10" s="164" t="s">
        <v>65</v>
      </c>
      <c r="B10" s="165">
        <v>39242</v>
      </c>
      <c r="C10" s="166">
        <v>3605</v>
      </c>
      <c r="D10" s="166">
        <v>11428</v>
      </c>
      <c r="E10" s="166">
        <v>20900</v>
      </c>
      <c r="F10" s="166">
        <v>3309</v>
      </c>
      <c r="G10" s="166">
        <v>491</v>
      </c>
      <c r="H10" s="166">
        <v>33</v>
      </c>
      <c r="I10" s="166">
        <v>66</v>
      </c>
      <c r="J10" s="166">
        <v>381</v>
      </c>
      <c r="K10" s="166">
        <v>11</v>
      </c>
      <c r="L10" s="166">
        <v>38751</v>
      </c>
      <c r="M10" s="166">
        <v>3572</v>
      </c>
      <c r="N10" s="166">
        <v>11362</v>
      </c>
      <c r="O10" s="166">
        <v>20519</v>
      </c>
      <c r="P10" s="166">
        <v>3298</v>
      </c>
      <c r="Q10" s="36"/>
      <c r="R10" s="36"/>
    </row>
    <row r="11" spans="1:18">
      <c r="A11" s="164" t="s">
        <v>66</v>
      </c>
      <c r="B11" s="165">
        <v>64499</v>
      </c>
      <c r="C11" s="166">
        <v>3635</v>
      </c>
      <c r="D11" s="166">
        <v>12054</v>
      </c>
      <c r="E11" s="166">
        <v>45559</v>
      </c>
      <c r="F11" s="166">
        <v>3251</v>
      </c>
      <c r="G11" s="166">
        <v>471</v>
      </c>
      <c r="H11" s="166">
        <v>99</v>
      </c>
      <c r="I11" s="166">
        <v>49</v>
      </c>
      <c r="J11" s="166">
        <v>312</v>
      </c>
      <c r="K11" s="166">
        <v>11</v>
      </c>
      <c r="L11" s="166">
        <v>64028</v>
      </c>
      <c r="M11" s="166">
        <v>3536</v>
      </c>
      <c r="N11" s="166">
        <v>12005</v>
      </c>
      <c r="O11" s="166">
        <v>45247</v>
      </c>
      <c r="P11" s="166">
        <v>3240</v>
      </c>
      <c r="Q11" s="36"/>
      <c r="R11" s="36"/>
    </row>
    <row r="12" spans="1:18">
      <c r="A12" s="164" t="s">
        <v>826</v>
      </c>
      <c r="B12" s="165">
        <v>11667</v>
      </c>
      <c r="C12" s="166">
        <v>776</v>
      </c>
      <c r="D12" s="166">
        <v>5323</v>
      </c>
      <c r="E12" s="166">
        <v>4847</v>
      </c>
      <c r="F12" s="166">
        <v>721</v>
      </c>
      <c r="G12" s="166">
        <v>128</v>
      </c>
      <c r="H12" s="166">
        <v>7</v>
      </c>
      <c r="I12" s="166">
        <v>10</v>
      </c>
      <c r="J12" s="166">
        <v>105</v>
      </c>
      <c r="K12" s="166">
        <v>6</v>
      </c>
      <c r="L12" s="166">
        <v>11539</v>
      </c>
      <c r="M12" s="166">
        <v>769</v>
      </c>
      <c r="N12" s="166">
        <v>5313</v>
      </c>
      <c r="O12" s="166">
        <v>4742</v>
      </c>
      <c r="P12" s="166">
        <v>715</v>
      </c>
      <c r="Q12" s="36"/>
      <c r="R12" s="36"/>
    </row>
    <row r="13" spans="1:18">
      <c r="A13" s="164" t="s">
        <v>68</v>
      </c>
      <c r="B13" s="165">
        <v>417370</v>
      </c>
      <c r="C13" s="166">
        <v>19455</v>
      </c>
      <c r="D13" s="166">
        <v>153490</v>
      </c>
      <c r="E13" s="166">
        <v>210862</v>
      </c>
      <c r="F13" s="166">
        <v>33563</v>
      </c>
      <c r="G13" s="166">
        <v>4891</v>
      </c>
      <c r="H13" s="166">
        <v>172</v>
      </c>
      <c r="I13" s="166">
        <v>1000</v>
      </c>
      <c r="J13" s="166">
        <v>3595</v>
      </c>
      <c r="K13" s="166">
        <v>124</v>
      </c>
      <c r="L13" s="166">
        <v>412479</v>
      </c>
      <c r="M13" s="166">
        <v>19283</v>
      </c>
      <c r="N13" s="166">
        <v>152490</v>
      </c>
      <c r="O13" s="166">
        <v>207267</v>
      </c>
      <c r="P13" s="166">
        <v>33439</v>
      </c>
      <c r="Q13" s="36"/>
      <c r="R13" s="36"/>
    </row>
    <row r="14" spans="1:18">
      <c r="A14" s="164" t="s">
        <v>69</v>
      </c>
      <c r="B14" s="165">
        <v>66937</v>
      </c>
      <c r="C14" s="166">
        <v>5621</v>
      </c>
      <c r="D14" s="166">
        <v>24548</v>
      </c>
      <c r="E14" s="166">
        <v>32935</v>
      </c>
      <c r="F14" s="166">
        <v>3833</v>
      </c>
      <c r="G14" s="166">
        <v>955</v>
      </c>
      <c r="H14" s="166">
        <v>55</v>
      </c>
      <c r="I14" s="166">
        <v>55</v>
      </c>
      <c r="J14" s="166">
        <v>808</v>
      </c>
      <c r="K14" s="166">
        <v>37</v>
      </c>
      <c r="L14" s="166">
        <v>65982</v>
      </c>
      <c r="M14" s="166">
        <v>5566</v>
      </c>
      <c r="N14" s="166">
        <v>24493</v>
      </c>
      <c r="O14" s="166">
        <v>32127</v>
      </c>
      <c r="P14" s="166">
        <v>3796</v>
      </c>
      <c r="Q14" s="36"/>
      <c r="R14" s="36"/>
    </row>
    <row r="15" spans="1:18">
      <c r="A15" s="164" t="s">
        <v>70</v>
      </c>
      <c r="B15" s="165">
        <v>92408</v>
      </c>
      <c r="C15" s="166">
        <v>6993</v>
      </c>
      <c r="D15" s="166">
        <v>40721</v>
      </c>
      <c r="E15" s="166">
        <v>40588</v>
      </c>
      <c r="F15" s="166">
        <v>4106</v>
      </c>
      <c r="G15" s="166">
        <v>1220</v>
      </c>
      <c r="H15" s="166">
        <v>73</v>
      </c>
      <c r="I15" s="166">
        <v>269</v>
      </c>
      <c r="J15" s="166">
        <v>843</v>
      </c>
      <c r="K15" s="166">
        <v>35</v>
      </c>
      <c r="L15" s="166">
        <v>91188</v>
      </c>
      <c r="M15" s="166">
        <v>6920</v>
      </c>
      <c r="N15" s="166">
        <v>40452</v>
      </c>
      <c r="O15" s="166">
        <v>39745</v>
      </c>
      <c r="P15" s="166">
        <v>4071</v>
      </c>
      <c r="Q15" s="36"/>
      <c r="R15" s="36"/>
    </row>
    <row r="16" spans="1:18">
      <c r="A16" s="164" t="s">
        <v>71</v>
      </c>
      <c r="B16" s="165">
        <v>136965</v>
      </c>
      <c r="C16" s="166">
        <v>9184</v>
      </c>
      <c r="D16" s="166">
        <v>64801</v>
      </c>
      <c r="E16" s="166">
        <v>57567</v>
      </c>
      <c r="F16" s="166">
        <v>5413</v>
      </c>
      <c r="G16" s="166">
        <v>1816</v>
      </c>
      <c r="H16" s="166">
        <v>194</v>
      </c>
      <c r="I16" s="166">
        <v>448</v>
      </c>
      <c r="J16" s="166">
        <v>1138</v>
      </c>
      <c r="K16" s="166">
        <v>36</v>
      </c>
      <c r="L16" s="166">
        <v>135149</v>
      </c>
      <c r="M16" s="166">
        <v>8990</v>
      </c>
      <c r="N16" s="166">
        <v>64353</v>
      </c>
      <c r="O16" s="166">
        <v>56429</v>
      </c>
      <c r="P16" s="166">
        <v>5377</v>
      </c>
      <c r="Q16" s="36"/>
      <c r="R16" s="36"/>
    </row>
    <row r="17" spans="1:18">
      <c r="A17" s="164" t="s">
        <v>72</v>
      </c>
      <c r="B17" s="165">
        <v>100541</v>
      </c>
      <c r="C17" s="166">
        <v>7029</v>
      </c>
      <c r="D17" s="166">
        <v>49980</v>
      </c>
      <c r="E17" s="166">
        <v>40478</v>
      </c>
      <c r="F17" s="166">
        <v>3054</v>
      </c>
      <c r="G17" s="166">
        <v>1355</v>
      </c>
      <c r="H17" s="166">
        <v>90</v>
      </c>
      <c r="I17" s="166">
        <v>303</v>
      </c>
      <c r="J17" s="166">
        <v>935</v>
      </c>
      <c r="K17" s="166">
        <v>27</v>
      </c>
      <c r="L17" s="166">
        <v>99186</v>
      </c>
      <c r="M17" s="166">
        <v>6939</v>
      </c>
      <c r="N17" s="166">
        <v>49677</v>
      </c>
      <c r="O17" s="166">
        <v>39543</v>
      </c>
      <c r="P17" s="166">
        <v>3027</v>
      </c>
      <c r="Q17" s="36"/>
      <c r="R17" s="36"/>
    </row>
    <row r="18" spans="1:18">
      <c r="A18" s="164" t="s">
        <v>73</v>
      </c>
      <c r="B18" s="165">
        <v>119183</v>
      </c>
      <c r="C18" s="166">
        <v>7735</v>
      </c>
      <c r="D18" s="166">
        <v>59264</v>
      </c>
      <c r="E18" s="166">
        <v>48995</v>
      </c>
      <c r="F18" s="166">
        <v>3189</v>
      </c>
      <c r="G18" s="166">
        <v>2066</v>
      </c>
      <c r="H18" s="166">
        <v>129</v>
      </c>
      <c r="I18" s="166">
        <v>618</v>
      </c>
      <c r="J18" s="166">
        <v>1279</v>
      </c>
      <c r="K18" s="166">
        <v>40</v>
      </c>
      <c r="L18" s="166">
        <v>117117</v>
      </c>
      <c r="M18" s="166">
        <v>7606</v>
      </c>
      <c r="N18" s="166">
        <v>58646</v>
      </c>
      <c r="O18" s="166">
        <v>47716</v>
      </c>
      <c r="P18" s="166">
        <v>3149</v>
      </c>
      <c r="Q18" s="36"/>
      <c r="R18" s="36"/>
    </row>
    <row r="19" spans="1:18">
      <c r="A19" s="164" t="s">
        <v>74</v>
      </c>
      <c r="B19" s="165">
        <v>189150</v>
      </c>
      <c r="C19" s="166">
        <v>15420</v>
      </c>
      <c r="D19" s="166">
        <v>86281</v>
      </c>
      <c r="E19" s="166">
        <v>80983</v>
      </c>
      <c r="F19" s="166">
        <v>6466</v>
      </c>
      <c r="G19" s="166">
        <v>2124</v>
      </c>
      <c r="H19" s="166">
        <v>124</v>
      </c>
      <c r="I19" s="166">
        <v>504</v>
      </c>
      <c r="J19" s="166">
        <v>1436</v>
      </c>
      <c r="K19" s="166">
        <v>60</v>
      </c>
      <c r="L19" s="166">
        <v>187026</v>
      </c>
      <c r="M19" s="166">
        <v>15296</v>
      </c>
      <c r="N19" s="166">
        <v>85777</v>
      </c>
      <c r="O19" s="166">
        <v>79547</v>
      </c>
      <c r="P19" s="166">
        <v>6406</v>
      </c>
      <c r="Q19" s="36"/>
      <c r="R19" s="36"/>
    </row>
    <row r="20" spans="1:18">
      <c r="A20" s="164" t="s">
        <v>75</v>
      </c>
      <c r="B20" s="165">
        <v>165512</v>
      </c>
      <c r="C20" s="166">
        <v>11305</v>
      </c>
      <c r="D20" s="166">
        <v>58936</v>
      </c>
      <c r="E20" s="166">
        <v>87506</v>
      </c>
      <c r="F20" s="166">
        <v>7765</v>
      </c>
      <c r="G20" s="166">
        <v>2144</v>
      </c>
      <c r="H20" s="166">
        <v>147</v>
      </c>
      <c r="I20" s="166">
        <v>409</v>
      </c>
      <c r="J20" s="166">
        <v>1552</v>
      </c>
      <c r="K20" s="166">
        <v>36</v>
      </c>
      <c r="L20" s="166">
        <v>163368</v>
      </c>
      <c r="M20" s="166">
        <v>11158</v>
      </c>
      <c r="N20" s="166">
        <v>58527</v>
      </c>
      <c r="O20" s="166">
        <v>85954</v>
      </c>
      <c r="P20" s="166">
        <v>7729</v>
      </c>
      <c r="Q20" s="36"/>
      <c r="R20" s="36"/>
    </row>
    <row r="21" spans="1:18" ht="14.4" thickBot="1">
      <c r="A21" s="167" t="s">
        <v>76</v>
      </c>
      <c r="B21" s="168">
        <v>33173</v>
      </c>
      <c r="C21" s="169">
        <v>6923</v>
      </c>
      <c r="D21" s="169">
        <v>10642</v>
      </c>
      <c r="E21" s="169">
        <v>14038</v>
      </c>
      <c r="F21" s="169">
        <v>1570</v>
      </c>
      <c r="G21" s="169">
        <v>505</v>
      </c>
      <c r="H21" s="169">
        <v>139</v>
      </c>
      <c r="I21" s="169">
        <v>76</v>
      </c>
      <c r="J21" s="169">
        <v>266</v>
      </c>
      <c r="K21" s="169">
        <v>24</v>
      </c>
      <c r="L21" s="169">
        <v>32668</v>
      </c>
      <c r="M21" s="169">
        <v>6784</v>
      </c>
      <c r="N21" s="169">
        <v>10566</v>
      </c>
      <c r="O21" s="169">
        <v>13772</v>
      </c>
      <c r="P21" s="169">
        <v>1546</v>
      </c>
      <c r="Q21" s="36"/>
      <c r="R21" s="36"/>
    </row>
    <row r="22" spans="1:18" ht="14.4" thickBot="1">
      <c r="A22" s="170" t="s">
        <v>92</v>
      </c>
      <c r="B22" s="171">
        <v>2289009</v>
      </c>
      <c r="C22" s="172">
        <v>140280</v>
      </c>
      <c r="D22" s="172">
        <v>862641</v>
      </c>
      <c r="E22" s="172">
        <v>1153804</v>
      </c>
      <c r="F22" s="172">
        <v>132284</v>
      </c>
      <c r="G22" s="172">
        <v>26810</v>
      </c>
      <c r="H22" s="172">
        <v>1941</v>
      </c>
      <c r="I22" s="172">
        <v>5342</v>
      </c>
      <c r="J22" s="172">
        <v>18799</v>
      </c>
      <c r="K22" s="172">
        <v>728</v>
      </c>
      <c r="L22" s="172">
        <v>2262199</v>
      </c>
      <c r="M22" s="172">
        <v>138339</v>
      </c>
      <c r="N22" s="172">
        <v>857299</v>
      </c>
      <c r="O22" s="172">
        <v>1135005</v>
      </c>
      <c r="P22" s="172">
        <v>131556</v>
      </c>
      <c r="Q22" s="36"/>
      <c r="R22" s="36"/>
    </row>
    <row r="24" spans="1:18">
      <c r="A24" s="173" t="s">
        <v>873</v>
      </c>
    </row>
    <row r="25" spans="1:18">
      <c r="A25" s="173" t="s">
        <v>874</v>
      </c>
    </row>
    <row r="26" spans="1:18" ht="14.4" thickBot="1">
      <c r="R26" s="36"/>
    </row>
    <row r="27" spans="1:18">
      <c r="B27" s="118" t="s">
        <v>827</v>
      </c>
      <c r="C27" s="119"/>
      <c r="D27" s="120"/>
      <c r="F27" s="38"/>
      <c r="R27" s="36"/>
    </row>
    <row r="28" spans="1:18">
      <c r="B28" s="121" t="s">
        <v>828</v>
      </c>
      <c r="C28" s="20" t="s">
        <v>250</v>
      </c>
      <c r="D28" s="124">
        <f>SUM(D22:E22)</f>
        <v>2016445</v>
      </c>
      <c r="R28" s="36"/>
    </row>
    <row r="29" spans="1:18" ht="14.4" thickBot="1">
      <c r="B29" s="122" t="s">
        <v>829</v>
      </c>
      <c r="C29" s="123" t="s">
        <v>247</v>
      </c>
      <c r="D29" s="125">
        <f>SUM(C22,F22)</f>
        <v>272564</v>
      </c>
      <c r="R29" s="36"/>
    </row>
    <row r="30" spans="1:18">
      <c r="R30" s="36"/>
    </row>
    <row r="31" spans="1:18">
      <c r="A31" s="37" t="s">
        <v>43</v>
      </c>
      <c r="R31" s="36"/>
    </row>
    <row r="32" spans="1:18">
      <c r="A32" s="20" t="s">
        <v>830</v>
      </c>
      <c r="R32" s="36"/>
    </row>
    <row r="33" spans="1:18">
      <c r="A33" s="20" t="s">
        <v>831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K28"/>
  <sheetViews>
    <sheetView workbookViewId="0">
      <selection activeCell="G4" sqref="G4"/>
    </sheetView>
  </sheetViews>
  <sheetFormatPr defaultColWidth="9" defaultRowHeight="14.4"/>
  <cols>
    <col min="1" max="1" width="9" style="6"/>
    <col min="2" max="2" width="16.88671875" style="6" customWidth="1"/>
    <col min="3" max="3" width="18.44140625" style="6" bestFit="1" customWidth="1"/>
    <col min="4" max="4" width="16.77734375" style="6" bestFit="1" customWidth="1"/>
    <col min="5" max="5" width="16.21875" style="6" bestFit="1" customWidth="1"/>
    <col min="6" max="7" width="16.77734375" style="6" bestFit="1" customWidth="1"/>
    <col min="8" max="8" width="14.6640625" style="6" customWidth="1"/>
    <col min="9" max="16384" width="9" style="6"/>
  </cols>
  <sheetData>
    <row r="2" spans="1:11">
      <c r="A2" s="13"/>
    </row>
    <row r="3" spans="1:11">
      <c r="A3" s="13" t="s">
        <v>832</v>
      </c>
      <c r="B3" s="126" t="s">
        <v>247</v>
      </c>
      <c r="C3" s="50" t="s">
        <v>833</v>
      </c>
      <c r="D3" s="50" t="s">
        <v>236</v>
      </c>
      <c r="E3" s="50" t="s">
        <v>237</v>
      </c>
      <c r="F3" s="50" t="s">
        <v>238</v>
      </c>
      <c r="G3" s="50" t="s">
        <v>239</v>
      </c>
      <c r="H3" s="50" t="s">
        <v>240</v>
      </c>
      <c r="I3" s="50" t="s">
        <v>241</v>
      </c>
      <c r="J3" s="50" t="s">
        <v>455</v>
      </c>
    </row>
    <row r="4" spans="1:11">
      <c r="A4" s="13" t="s">
        <v>1027</v>
      </c>
      <c r="B4" s="13" t="s">
        <v>834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1028</v>
      </c>
      <c r="B5" s="13" t="s">
        <v>835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250</v>
      </c>
      <c r="C7" s="50" t="s">
        <v>833</v>
      </c>
      <c r="D7" s="50" t="s">
        <v>236</v>
      </c>
      <c r="E7" s="50" t="s">
        <v>237</v>
      </c>
      <c r="F7" s="50" t="s">
        <v>238</v>
      </c>
      <c r="G7" s="50" t="s">
        <v>239</v>
      </c>
      <c r="H7" s="50" t="s">
        <v>240</v>
      </c>
      <c r="I7" s="50" t="s">
        <v>241</v>
      </c>
      <c r="J7" s="50" t="s">
        <v>455</v>
      </c>
    </row>
    <row r="8" spans="1:11">
      <c r="A8" s="6" t="s">
        <v>1027</v>
      </c>
      <c r="B8" s="13" t="s">
        <v>834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1028</v>
      </c>
      <c r="B9" s="13" t="s">
        <v>835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43</v>
      </c>
    </row>
    <row r="12" spans="1:11">
      <c r="A12" s="6" t="s">
        <v>836</v>
      </c>
      <c r="F12" s="6" t="s">
        <v>1024</v>
      </c>
    </row>
    <row r="13" spans="1:11">
      <c r="A13" s="6" t="s">
        <v>837</v>
      </c>
      <c r="F13" s="6" t="s">
        <v>1025</v>
      </c>
    </row>
    <row r="14" spans="1:11">
      <c r="A14" s="127" t="s">
        <v>838</v>
      </c>
      <c r="F14" s="6" t="s">
        <v>1026</v>
      </c>
    </row>
    <row r="17" spans="1:8">
      <c r="A17" s="13" t="s">
        <v>839</v>
      </c>
      <c r="B17" s="6" t="s">
        <v>840</v>
      </c>
      <c r="C17" s="6" t="s">
        <v>1023</v>
      </c>
      <c r="F17" s="56" t="s">
        <v>841</v>
      </c>
    </row>
    <row r="18" spans="1:8">
      <c r="A18" s="53"/>
      <c r="B18" s="54">
        <v>2019</v>
      </c>
      <c r="C18" s="54" t="s">
        <v>842</v>
      </c>
      <c r="D18" s="54" t="s">
        <v>843</v>
      </c>
      <c r="F18" s="54">
        <v>2019</v>
      </c>
      <c r="G18" s="54" t="s">
        <v>842</v>
      </c>
      <c r="H18" s="54" t="s">
        <v>843</v>
      </c>
    </row>
    <row r="19" spans="1:8">
      <c r="A19" s="186" t="s">
        <v>844</v>
      </c>
      <c r="B19" s="54" t="s">
        <v>845</v>
      </c>
      <c r="C19" s="53">
        <v>3433</v>
      </c>
      <c r="D19" s="55">
        <f>C19/SUM($C$19:$C$23)</f>
        <v>0.20192929827657197</v>
      </c>
      <c r="E19" s="39"/>
      <c r="F19" s="54" t="s">
        <v>845</v>
      </c>
      <c r="G19" s="53">
        <f>C19+C21+C23</f>
        <v>16966</v>
      </c>
      <c r="H19" s="55">
        <f>G19/SUM($G$19:$G$21)</f>
        <v>0.99794129757073113</v>
      </c>
    </row>
    <row r="20" spans="1:8">
      <c r="A20" s="186"/>
      <c r="B20" s="54" t="s">
        <v>846</v>
      </c>
      <c r="C20" s="53">
        <v>25</v>
      </c>
      <c r="D20" s="55">
        <f t="shared" ref="D20:D23" si="0">C20/SUM($C$19:$C$23)</f>
        <v>1.4705017351920476E-3</v>
      </c>
      <c r="E20" s="39"/>
      <c r="F20" s="54" t="s">
        <v>846</v>
      </c>
      <c r="G20" s="53">
        <v>25</v>
      </c>
      <c r="H20" s="55">
        <f t="shared" ref="H20:H21" si="1">G20/SUM($G$19:$G$22)</f>
        <v>1.4705017351920476E-3</v>
      </c>
    </row>
    <row r="21" spans="1:8">
      <c r="A21" s="186"/>
      <c r="B21" s="54" t="s">
        <v>847</v>
      </c>
      <c r="C21" s="53">
        <v>12437</v>
      </c>
      <c r="D21" s="55">
        <f t="shared" si="0"/>
        <v>0.73154520322333982</v>
      </c>
      <c r="F21" s="54" t="s">
        <v>848</v>
      </c>
      <c r="G21" s="53">
        <v>10</v>
      </c>
      <c r="H21" s="55">
        <f t="shared" si="1"/>
        <v>5.8820069407681901E-4</v>
      </c>
    </row>
    <row r="22" spans="1:8">
      <c r="A22" s="186"/>
      <c r="B22" s="54" t="s">
        <v>848</v>
      </c>
      <c r="C22" s="53">
        <v>10</v>
      </c>
      <c r="D22" s="55">
        <f t="shared" si="0"/>
        <v>5.8820069407681901E-4</v>
      </c>
      <c r="F22" s="10"/>
      <c r="H22" s="52"/>
    </row>
    <row r="23" spans="1:8">
      <c r="A23" s="186"/>
      <c r="B23" s="54" t="s">
        <v>413</v>
      </c>
      <c r="C23" s="53">
        <v>1096</v>
      </c>
      <c r="D23" s="55">
        <f t="shared" si="0"/>
        <v>6.4466796070819357E-2</v>
      </c>
    </row>
    <row r="24" spans="1:8">
      <c r="B24" s="10"/>
    </row>
    <row r="25" spans="1:8">
      <c r="A25" s="13" t="s">
        <v>43</v>
      </c>
    </row>
    <row r="26" spans="1:8">
      <c r="A26" s="6" t="s">
        <v>849</v>
      </c>
    </row>
    <row r="27" spans="1:8">
      <c r="A27" s="6" t="s">
        <v>850</v>
      </c>
    </row>
    <row r="28" spans="1:8">
      <c r="A28" s="6" t="s">
        <v>1022</v>
      </c>
    </row>
  </sheetData>
  <mergeCells count="1">
    <mergeCell ref="A19:A23"/>
  </mergeCells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D14" sqref="D14"/>
    </sheetView>
  </sheetViews>
  <sheetFormatPr defaultRowHeight="14.4"/>
  <cols>
    <col min="1" max="1" width="16.88671875" customWidth="1"/>
    <col min="2" max="2" width="24.44140625" customWidth="1"/>
    <col min="3" max="3" width="20.88671875" customWidth="1"/>
    <col min="4" max="4" width="18.21875" customWidth="1"/>
    <col min="5" max="5" width="17.109375" customWidth="1"/>
    <col min="6" max="8" width="23.21875" customWidth="1"/>
    <col min="9" max="9" width="10" bestFit="1" customWidth="1"/>
    <col min="10" max="10" width="14.44140625" bestFit="1" customWidth="1"/>
  </cols>
  <sheetData>
    <row r="1" spans="1:8" ht="28.8">
      <c r="A1" s="3" t="s">
        <v>851</v>
      </c>
      <c r="B1" s="4" t="s">
        <v>833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DV!C$3</f>
        <v>84650.742266925648</v>
      </c>
      <c r="C2" s="1">
        <f>DV!C4</f>
        <v>25214.586997392125</v>
      </c>
      <c r="D2" s="1">
        <f>DV!C5</f>
        <v>8072982.1194173032</v>
      </c>
      <c r="E2" s="1">
        <f>DV!C6</f>
        <v>4633956.5131107848</v>
      </c>
      <c r="F2" s="1">
        <f>DV!C7</f>
        <v>477958.89831224794</v>
      </c>
      <c r="G2" s="1">
        <f>DV!C8</f>
        <v>1315953.270937951</v>
      </c>
      <c r="H2" s="1">
        <f>DV!C9</f>
        <v>7728.5710293009906</v>
      </c>
    </row>
    <row r="3" spans="1:8">
      <c r="A3" s="5" t="s">
        <v>853</v>
      </c>
      <c r="B3" s="1">
        <f>DV!C12</f>
        <v>34802.257733074344</v>
      </c>
      <c r="C3" s="1">
        <f>DV!C13</f>
        <v>10314.28274882044</v>
      </c>
      <c r="D3" s="1">
        <f>DV!C14</f>
        <v>3302335.2797511155</v>
      </c>
      <c r="E3" s="1">
        <f>DV!C15</f>
        <v>1895566.9480886636</v>
      </c>
      <c r="F3" s="1">
        <f>DV!C16</f>
        <v>195513.93881712668</v>
      </c>
      <c r="G3" s="1">
        <f>DV!C17</f>
        <v>538304.04289758822</v>
      </c>
      <c r="H3" s="1">
        <f>DV!C18</f>
        <v>3161.4504274369956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SUM(Aircraft!K17:K19)</f>
        <v>822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SUM(Rail!D34)+Rail!D32*0.5+'Rail-subway'!D28</f>
        <v>1046.875</v>
      </c>
      <c r="C5" s="1">
        <v>0</v>
      </c>
      <c r="D5" s="1">
        <v>0</v>
      </c>
      <c r="E5" s="1">
        <f>SUM(Rail!D29:D31,Rail!D35:D37)+Rail!D33*0.5</f>
        <v>669.83333333333326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43">
        <f>Ships!$C$3*Cal!H20</f>
        <v>0.4823245691429916</v>
      </c>
      <c r="E6" s="1">
        <f>Ships!C$3</f>
        <v>328</v>
      </c>
      <c r="F6" s="1">
        <v>0</v>
      </c>
      <c r="G6" s="1">
        <f>Ships!C$3*Cal!H21</f>
        <v>0.19292982765719663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D14" sqref="D14"/>
    </sheetView>
  </sheetViews>
  <sheetFormatPr defaultRowHeight="14.4"/>
  <cols>
    <col min="1" max="1" width="16.88671875" customWidth="1"/>
    <col min="2" max="2" width="24.44140625" customWidth="1"/>
    <col min="3" max="3" width="20.88671875" customWidth="1"/>
    <col min="4" max="4" width="18.21875" customWidth="1"/>
    <col min="5" max="5" width="17.109375" customWidth="1"/>
    <col min="6" max="8" width="23.21875" customWidth="1"/>
    <col min="9" max="9" width="10" bestFit="1" customWidth="1"/>
    <col min="10" max="10" width="14.44140625" bestFit="1" customWidth="1"/>
  </cols>
  <sheetData>
    <row r="1" spans="1:8" ht="28.8">
      <c r="A1" s="3" t="s">
        <v>851</v>
      </c>
      <c r="B1" s="4" t="s">
        <v>235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853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Rail!D33*0.5</f>
        <v>87.5</v>
      </c>
      <c r="C5" s="1">
        <v>0</v>
      </c>
      <c r="D5" s="1">
        <v>0</v>
      </c>
      <c r="E5" s="1">
        <f>Rail!D32*0.5</f>
        <v>127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">
        <f>SUM(Ships!C4:C5)*Cal!H20</f>
        <v>2.1101699900005881</v>
      </c>
      <c r="E6" s="1">
        <f>SUM(Ships!C4:C5)*Cal!H19*Ships!B20</f>
        <v>630.10013528615957</v>
      </c>
      <c r="F6" s="1">
        <v>0</v>
      </c>
      <c r="G6" s="1">
        <f>SUM(Ships!C4:C5)*Cal!H21</f>
        <v>0.8440679960002353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About</vt:lpstr>
      <vt:lpstr>DV-per fuel</vt:lpstr>
      <vt:lpstr>DV-Regis</vt:lpstr>
      <vt:lpstr>DV</vt:lpstr>
      <vt:lpstr>Rail-subway</vt:lpstr>
      <vt:lpstr>Rail</vt:lpstr>
      <vt:lpstr>Aircraft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  <vt:lpstr>'DV-per fuel'!_12_2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2017-06-22T21:46:10Z</dcterms:created>
  <dcterms:modified xsi:type="dcterms:W3CDTF">2025-10-22T03:53:50Z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