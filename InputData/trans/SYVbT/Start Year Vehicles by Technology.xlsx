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OBrien\Models\EPS\SK\eps-southkorea\InputData\trans\SYVbT\"/>
    </mc:Choice>
  </mc:AlternateContent>
  <xr:revisionPtr revIDLastSave="0" documentId="13_ncr:1_{82BE9A5B-A0AA-475D-A476-D07C95C22E63}" xr6:coauthVersionLast="47" xr6:coauthVersionMax="47" xr10:uidLastSave="{00000000-0000-0000-0000-000000000000}"/>
  <bookViews>
    <workbookView xWindow="210" yWindow="1365" windowWidth="25050" windowHeight="14940" tabRatio="763" firstSheet="3" activeTab="13" xr2:uid="{B06041E8-9A89-4377-8AB3-50A65CB423EB}"/>
  </bookViews>
  <sheets>
    <sheet name="About" sheetId="1" r:id="rId1"/>
    <sheet name="DV-per fuel" sheetId="16" r:id="rId2"/>
    <sheet name="Marklines for hybrid split" sheetId="30" r:id="rId3"/>
    <sheet name="DV-Regis" sheetId="23" r:id="rId4"/>
    <sheet name="DV" sheetId="27" r:id="rId5"/>
    <sheet name="Rail-subway" sheetId="29" r:id="rId6"/>
    <sheet name="Rail" sheetId="21" r:id="rId7"/>
    <sheet name="Aircraft" sheetId="19" r:id="rId8"/>
    <sheet name="Aricraft_Pocket Aviation" sheetId="31" r:id="rId9"/>
    <sheet name="Ships" sheetId="20" r:id="rId10"/>
    <sheet name="Motorbikes" sheetId="17" r:id="rId11"/>
    <sheet name="Cal" sheetId="22" r:id="rId12"/>
    <sheet name="SYVbT-passenger" sheetId="2" r:id="rId13"/>
    <sheet name="SYVbT-freight" sheetId="4" r:id="rId14"/>
  </sheets>
  <externalReferences>
    <externalReference r:id="rId15"/>
  </externalReferences>
  <definedNames>
    <definedName name="_12" localSheetId="1">'DV-per fuel'!$U$276:$U$562</definedName>
    <definedName name="_12_1" localSheetId="1">'DV-per fuel'!$U$276:$U$562</definedName>
    <definedName name="_12_2" localSheetId="1">'DV-per fuel'!#REF!</definedName>
    <definedName name="Eno_TM">'[1]1997  Table 1a Modified'!#REF!</definedName>
    <definedName name="Eno_Tons">'[1]1997  Table 1a Modified'!#REF!</definedName>
    <definedName name="Sum_T2">'[1]1997  Table 1a Modified'!#REF!</definedName>
    <definedName name="Sum_TTM">'[1]1997  Table 1a Modified'!#REF!</definedName>
    <definedName name="ti_tbl_50">#REF!</definedName>
    <definedName name="ti_tbl_6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4" l="1"/>
  <c r="E6" i="4"/>
  <c r="D6" i="4"/>
  <c r="K17" i="22"/>
  <c r="B16" i="20"/>
  <c r="B15" i="20"/>
  <c r="B13" i="20"/>
  <c r="A9" i="20"/>
  <c r="A8" i="20"/>
  <c r="A7" i="20"/>
  <c r="A6" i="20"/>
  <c r="A5" i="20"/>
  <c r="A4" i="20"/>
  <c r="A3" i="20"/>
  <c r="A2" i="20"/>
  <c r="I22" i="22"/>
  <c r="I21" i="22"/>
  <c r="I20" i="22"/>
  <c r="K17" i="19" l="1"/>
  <c r="K5" i="19"/>
  <c r="F51" i="19"/>
  <c r="F48" i="19"/>
  <c r="B5" i="2" l="1"/>
  <c r="D6" i="29"/>
  <c r="B6" i="29" s="1"/>
  <c r="I43" i="29" s="1"/>
  <c r="J43" i="29" s="1"/>
  <c r="D69" i="29"/>
  <c r="D70" i="29"/>
  <c r="D68" i="29"/>
  <c r="I54" i="29"/>
  <c r="J54" i="29" s="1"/>
  <c r="I53" i="29"/>
  <c r="J53" i="29" s="1"/>
  <c r="I52" i="29"/>
  <c r="J52" i="29" s="1"/>
  <c r="I51" i="29"/>
  <c r="J51" i="29" s="1"/>
  <c r="I50" i="29"/>
  <c r="J50" i="29" s="1"/>
  <c r="I49" i="29"/>
  <c r="J49" i="29" s="1"/>
  <c r="I48" i="29"/>
  <c r="J48" i="29" s="1"/>
  <c r="I47" i="29"/>
  <c r="J47" i="29" s="1"/>
  <c r="I46" i="29"/>
  <c r="J46" i="29" s="1"/>
  <c r="I44" i="29"/>
  <c r="J44" i="29" s="1"/>
  <c r="D35" i="21"/>
  <c r="D34" i="21"/>
  <c r="D33" i="21"/>
  <c r="I45" i="29" l="1"/>
  <c r="J45" i="29" s="1"/>
  <c r="J55" i="29" s="1"/>
  <c r="K20" i="22"/>
  <c r="K21" i="22"/>
  <c r="K22" i="22"/>
  <c r="L22" i="22" s="1"/>
  <c r="T6" i="30"/>
  <c r="T5" i="30"/>
  <c r="T2" i="30"/>
  <c r="H15" i="30"/>
  <c r="I15" i="30"/>
  <c r="J15" i="30"/>
  <c r="K15" i="30"/>
  <c r="L15" i="30"/>
  <c r="M15" i="30"/>
  <c r="N15" i="30"/>
  <c r="O15" i="30"/>
  <c r="P15" i="30"/>
  <c r="H16" i="30"/>
  <c r="I16" i="30"/>
  <c r="J16" i="30"/>
  <c r="K16" i="30"/>
  <c r="L16" i="30"/>
  <c r="M16" i="30"/>
  <c r="N16" i="30"/>
  <c r="O16" i="30"/>
  <c r="P16" i="30"/>
  <c r="H17" i="30"/>
  <c r="I17" i="30"/>
  <c r="J17" i="30"/>
  <c r="K17" i="30"/>
  <c r="L17" i="30"/>
  <c r="M17" i="30"/>
  <c r="N17" i="30"/>
  <c r="O17" i="30"/>
  <c r="P17" i="30"/>
  <c r="H18" i="30"/>
  <c r="I18" i="30"/>
  <c r="J18" i="30"/>
  <c r="K18" i="30"/>
  <c r="L18" i="30"/>
  <c r="M18" i="30"/>
  <c r="N18" i="30"/>
  <c r="O18" i="30"/>
  <c r="P18" i="30"/>
  <c r="H19" i="30"/>
  <c r="I19" i="30"/>
  <c r="J19" i="30"/>
  <c r="K19" i="30"/>
  <c r="L19" i="30"/>
  <c r="M19" i="30"/>
  <c r="N19" i="30"/>
  <c r="O19" i="30"/>
  <c r="P19" i="30"/>
  <c r="H20" i="30"/>
  <c r="I20" i="30"/>
  <c r="J20" i="30"/>
  <c r="K20" i="30"/>
  <c r="L20" i="30"/>
  <c r="M20" i="30"/>
  <c r="N20" i="30"/>
  <c r="O20" i="30"/>
  <c r="P20" i="30"/>
  <c r="H21" i="30"/>
  <c r="I21" i="30"/>
  <c r="J21" i="30"/>
  <c r="K21" i="30"/>
  <c r="L21" i="30"/>
  <c r="M21" i="30"/>
  <c r="N21" i="30"/>
  <c r="O21" i="30"/>
  <c r="P21" i="30"/>
  <c r="H22" i="30"/>
  <c r="I22" i="30"/>
  <c r="J22" i="30"/>
  <c r="K22" i="30"/>
  <c r="L22" i="30"/>
  <c r="M22" i="30"/>
  <c r="N22" i="30"/>
  <c r="O22" i="30"/>
  <c r="P22" i="30"/>
  <c r="G21" i="30"/>
  <c r="G16" i="30"/>
  <c r="G17" i="30"/>
  <c r="G18" i="30"/>
  <c r="G19" i="30"/>
  <c r="G20" i="30"/>
  <c r="G22" i="30"/>
  <c r="G15" i="30"/>
  <c r="D29" i="17"/>
  <c r="D7" i="2" s="1"/>
  <c r="D28" i="17"/>
  <c r="C9" i="20"/>
  <c r="E6" i="2"/>
  <c r="L21" i="22" l="1"/>
  <c r="L20" i="22"/>
  <c r="D4" i="22"/>
  <c r="D8" i="22"/>
  <c r="C22" i="27" s="1"/>
  <c r="E29" i="29" l="1"/>
  <c r="C9" i="29"/>
  <c r="H28" i="29" l="1"/>
  <c r="I28" i="29" s="1"/>
  <c r="D28" i="29"/>
  <c r="H27" i="29"/>
  <c r="I27" i="29" s="1"/>
  <c r="D27" i="29"/>
  <c r="H26" i="29"/>
  <c r="I26" i="29" s="1"/>
  <c r="D26" i="29"/>
  <c r="H25" i="29"/>
  <c r="I25" i="29" s="1"/>
  <c r="D25" i="29"/>
  <c r="F24" i="29"/>
  <c r="H24" i="29" s="1"/>
  <c r="D24" i="29"/>
  <c r="F23" i="29"/>
  <c r="H23" i="29" s="1"/>
  <c r="I23" i="29" s="1"/>
  <c r="D23" i="29"/>
  <c r="F22" i="29"/>
  <c r="H22" i="29" s="1"/>
  <c r="D22" i="29"/>
  <c r="F21" i="29"/>
  <c r="H21" i="29" s="1"/>
  <c r="I21" i="29" s="1"/>
  <c r="D21" i="29"/>
  <c r="H20" i="29"/>
  <c r="I20" i="29" s="1"/>
  <c r="D20" i="29"/>
  <c r="H19" i="29"/>
  <c r="I19" i="29" s="1"/>
  <c r="D19" i="29"/>
  <c r="H18" i="29"/>
  <c r="I18" i="29" s="1"/>
  <c r="D18" i="29"/>
  <c r="H17" i="29"/>
  <c r="I17" i="29" s="1"/>
  <c r="D17" i="29"/>
  <c r="H16" i="29"/>
  <c r="I16" i="29" s="1"/>
  <c r="D16" i="29"/>
  <c r="H15" i="29"/>
  <c r="I15" i="29" s="1"/>
  <c r="D15" i="29"/>
  <c r="H14" i="29"/>
  <c r="I14" i="29" s="1"/>
  <c r="D14" i="29"/>
  <c r="H13" i="29"/>
  <c r="I13" i="29" s="1"/>
  <c r="D13" i="29"/>
  <c r="H12" i="29"/>
  <c r="I12" i="29" s="1"/>
  <c r="D12" i="29"/>
  <c r="H11" i="29"/>
  <c r="I11" i="29" s="1"/>
  <c r="D11" i="29"/>
  <c r="H10" i="29"/>
  <c r="I10" i="29" s="1"/>
  <c r="D10" i="29"/>
  <c r="H9" i="29"/>
  <c r="I9" i="29" s="1"/>
  <c r="D9" i="29"/>
  <c r="H8" i="29"/>
  <c r="I8" i="29" s="1"/>
  <c r="D8" i="29"/>
  <c r="H7" i="29"/>
  <c r="I7" i="29" s="1"/>
  <c r="D7" i="29"/>
  <c r="H6" i="29"/>
  <c r="I6" i="29" s="1"/>
  <c r="H5" i="29"/>
  <c r="I5" i="29" s="1"/>
  <c r="D5" i="29"/>
  <c r="D29" i="29" l="1"/>
  <c r="I22" i="29"/>
  <c r="I24" i="29"/>
  <c r="C30" i="29" s="1"/>
  <c r="D46" i="21" l="1"/>
  <c r="D45" i="21"/>
  <c r="D44" i="21"/>
  <c r="D43" i="21"/>
  <c r="D41" i="21"/>
  <c r="D40" i="21"/>
  <c r="D39" i="21"/>
  <c r="D38" i="21"/>
  <c r="D37" i="21"/>
  <c r="D36" i="21"/>
  <c r="D32" i="21"/>
  <c r="E5" i="2" l="1"/>
  <c r="B5" i="4"/>
  <c r="E5" i="4"/>
  <c r="G68" i="19"/>
  <c r="F68" i="19"/>
  <c r="G60" i="19"/>
  <c r="G61" i="19" s="1"/>
  <c r="F60" i="19"/>
  <c r="F40" i="19"/>
  <c r="F36" i="19"/>
  <c r="F33" i="19"/>
  <c r="F28" i="19"/>
  <c r="F25" i="19"/>
  <c r="K19" i="19"/>
  <c r="K18" i="19"/>
  <c r="F16" i="19"/>
  <c r="F12" i="19"/>
  <c r="K6" i="19"/>
  <c r="K4" i="19"/>
  <c r="K20" i="19" l="1"/>
  <c r="E4" i="4" s="1"/>
  <c r="K10" i="19"/>
  <c r="K13" i="19" s="1"/>
  <c r="L10" i="19" s="1"/>
  <c r="G69" i="19"/>
  <c r="F61" i="19"/>
  <c r="F69" i="19" s="1"/>
  <c r="K21" i="19" l="1"/>
  <c r="E4" i="2"/>
  <c r="L11" i="19"/>
  <c r="L9" i="19"/>
  <c r="L12" i="19"/>
  <c r="K8" i="19"/>
  <c r="K14" i="19" l="1"/>
  <c r="L7" i="19"/>
  <c r="L6" i="19"/>
  <c r="L4" i="19"/>
  <c r="L5" i="19"/>
  <c r="D6" i="2" l="1"/>
  <c r="G6" i="2"/>
  <c r="C36" i="27" l="1"/>
  <c r="H3" i="4" s="1"/>
  <c r="C34" i="27"/>
  <c r="F3" i="4" s="1"/>
  <c r="C27" i="27"/>
  <c r="H2" i="4" s="1"/>
  <c r="C25" i="27"/>
  <c r="F2" i="4" s="1"/>
  <c r="J8" i="22"/>
  <c r="D9" i="22" s="1"/>
  <c r="H8" i="22"/>
  <c r="F8" i="22"/>
  <c r="E8" i="22"/>
  <c r="C8" i="22"/>
  <c r="J4" i="22"/>
  <c r="I4" i="22"/>
  <c r="H4" i="22"/>
  <c r="G4" i="22"/>
  <c r="F4" i="22"/>
  <c r="E4" i="22"/>
  <c r="C4" i="22"/>
  <c r="D5" i="22" l="1"/>
  <c r="G5" i="22"/>
  <c r="J5" i="22"/>
  <c r="J9" i="22"/>
  <c r="E5" i="22"/>
  <c r="C9" i="22"/>
  <c r="F5" i="22"/>
  <c r="E9" i="22"/>
  <c r="H5" i="22"/>
  <c r="F9" i="22"/>
  <c r="C5" i="22"/>
  <c r="I5" i="22"/>
  <c r="H9" i="22"/>
  <c r="C4" i="27" l="1"/>
  <c r="C2" i="2" s="1"/>
  <c r="C13" i="27"/>
  <c r="C3" i="2" s="1"/>
  <c r="C9" i="27"/>
  <c r="H2" i="2" s="1"/>
  <c r="C18" i="27"/>
  <c r="H3" i="2" s="1"/>
  <c r="C3" i="27"/>
  <c r="B2" i="2" s="1"/>
  <c r="C12" i="27"/>
  <c r="B3" i="2" s="1"/>
  <c r="C8" i="27"/>
  <c r="G2" i="2" s="1"/>
  <c r="C17" i="27"/>
  <c r="G3" i="2" s="1"/>
  <c r="C6" i="27"/>
  <c r="E2" i="2" s="1"/>
  <c r="C15" i="27"/>
  <c r="E3" i="2" s="1"/>
  <c r="C14" i="27"/>
  <c r="D3" i="2" s="1"/>
  <c r="C5" i="27"/>
  <c r="D2" i="2" s="1"/>
  <c r="C7" i="27"/>
  <c r="F2" i="2" s="1"/>
  <c r="C16" i="27"/>
  <c r="F3" i="2" s="1"/>
  <c r="C35" i="27"/>
  <c r="G3" i="4" s="1"/>
  <c r="C26" i="27"/>
  <c r="G2" i="4" s="1"/>
  <c r="C2" i="4"/>
  <c r="C3" i="4"/>
  <c r="C24" i="27"/>
  <c r="E2" i="4" s="1"/>
  <c r="C33" i="27"/>
  <c r="E3" i="4" s="1"/>
  <c r="C32" i="27"/>
  <c r="D3" i="4" s="1"/>
  <c r="C23" i="27"/>
  <c r="D2" i="4" s="1"/>
  <c r="C21" i="27"/>
  <c r="B2" i="4" s="1"/>
  <c r="C30" i="27"/>
  <c r="B3" i="4" s="1"/>
  <c r="D7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12" type="6" refreshedVersion="4" background="1" saveData="1">
    <textPr codePage="949" sourceFile="C:\Users\PYH\Documents\12.txt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A0EDAE0C-31D3-416F-94EF-057B3D60EDD9}" name="121" type="6" refreshedVersion="4" background="1" saveData="1">
    <textPr codePage="949" sourceFile="C:\Users\PYH\Documents\12.txt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<sst xmlns="http://schemas.openxmlformats.org/spreadsheetml/2006/main" count="4315" uniqueCount="1283">
  <si>
    <t>SYVbT Start Year Vehicles by Technology</t>
  </si>
  <si>
    <t>Sources:</t>
  </si>
  <si>
    <t>Vehicle registration statistics</t>
    <phoneticPr fontId="37" type="noConversion"/>
  </si>
  <si>
    <t>Train statistics</t>
    <phoneticPr fontId="37" type="noConversion"/>
  </si>
  <si>
    <t>Ministry of Land, Infrastructure and Transport</t>
    <phoneticPr fontId="37" type="noConversion"/>
  </si>
  <si>
    <t>Railway Operation Division, Railway Bureau</t>
    <phoneticPr fontId="37" type="noConversion"/>
  </si>
  <si>
    <t>Number of train owned by Railway Corporation</t>
    <phoneticPr fontId="37" type="noConversion"/>
  </si>
  <si>
    <t>http://stat.molit.go.kr/portal/cate/statFileView.do?hRsId=58&amp;hFormId=5</t>
    <phoneticPr fontId="37" type="noConversion"/>
  </si>
  <si>
    <t>https://kosis.kr/statHtml/statHtml.do?orgId=357&amp;tblId=DT_35701_71</t>
    <phoneticPr fontId="37" type="noConversion"/>
  </si>
  <si>
    <t>Sheet 5. Registration by model, 10. Registration by fuel type</t>
    <phoneticPr fontId="37" type="noConversion"/>
  </si>
  <si>
    <t>Vehicle classification</t>
    <phoneticPr fontId="37" type="noConversion"/>
  </si>
  <si>
    <t>Number of train owned by subway company</t>
    <phoneticPr fontId="37" type="noConversion"/>
  </si>
  <si>
    <t>Korea Ministry of Government Legislation</t>
    <phoneticPr fontId="37" type="noConversion"/>
  </si>
  <si>
    <t>KOSIS</t>
    <phoneticPr fontId="37" type="noConversion"/>
  </si>
  <si>
    <t>Motor VVehicle Management Act Enforcement Rules</t>
    <phoneticPr fontId="37" type="noConversion"/>
  </si>
  <si>
    <t>Vehicle ownership by age</t>
    <phoneticPr fontId="37" type="noConversion"/>
  </si>
  <si>
    <t>https://www.law.go.kr/LSW/lsBylInfoPLinkR.do?lsNm=%EC%9E%90%EB%8F%99%EC%B0%A8%EA%B4%80%EB%A6%AC%EB%B2%95+%EC%8B%9C%ED%96%89%EA%B7%9C%EC%B9%99&amp;bylEfYd=&amp;lsiSeq=127861&amp;bylBrNo=00&amp;bylCls=BE&amp;bylNo=0001#AJAX</t>
  </si>
  <si>
    <t>https://kosis.kr/statHtml/statHtml.do?tblId=DT_357001_A019&amp;orgId=357&amp;language=kor&amp;conn_path=&amp;vw_cd=&amp;list_id=</t>
    <phoneticPr fontId="37" type="noConversion"/>
  </si>
  <si>
    <t>Detailed classification by size</t>
    <phoneticPr fontId="37" type="noConversion"/>
  </si>
  <si>
    <t>Seoul Metropolitan Rapid Transit Corporation</t>
    <phoneticPr fontId="37" type="noConversion"/>
  </si>
  <si>
    <t>Aircraft ownership statistics</t>
    <phoneticPr fontId="37" type="noConversion"/>
  </si>
  <si>
    <t>Korea Civil Aviation Association</t>
    <phoneticPr fontId="37" type="noConversion"/>
  </si>
  <si>
    <t>Vehicle ownership of the subway line no. 1 ~ 8</t>
    <phoneticPr fontId="37" type="noConversion"/>
  </si>
  <si>
    <t>http://www.seoulmetro.co.kr/kr/page.do?menuIdx=513</t>
    <phoneticPr fontId="37" type="noConversion"/>
  </si>
  <si>
    <t>Page 83-85</t>
    <phoneticPr fontId="37" type="noConversion"/>
  </si>
  <si>
    <t>Ship registration statistics</t>
    <phoneticPr fontId="37" type="noConversion"/>
  </si>
  <si>
    <t>Number of passengers by subway</t>
    <phoneticPr fontId="37" type="noConversion"/>
  </si>
  <si>
    <t>Ministry of Oceans and Fisheries</t>
    <phoneticPr fontId="37" type="noConversion"/>
  </si>
  <si>
    <t>Transport statistics</t>
    <phoneticPr fontId="37" type="noConversion"/>
  </si>
  <si>
    <t>2020 Maritime and Fisheries Statistical Yearbook</t>
    <phoneticPr fontId="37" type="noConversion"/>
  </si>
  <si>
    <t>https://www.mof.go.kr/statPortal/bbs/publication/view.do?ntt_id=960&amp;pageIndex=&amp;searchType=&amp;searchQuery=</t>
    <phoneticPr fontId="37" type="noConversion"/>
  </si>
  <si>
    <t>http://stat.molit.go.kr/portal/cate/statFileView.do?hRsId=272&amp;hFormId=6197&amp;hSelectId=6197&amp;hPoint=00&amp;hAppr=1&amp;hDivEng=&amp;oFileName=&amp;rFileName=&amp;midpath=&amp;month_yn=N&amp;sFormId=6197&amp;sStart=2020&amp;sEnd=2020&amp;sStyleNum=1&amp;EXPORT=</t>
    <phoneticPr fontId="37" type="noConversion"/>
  </si>
  <si>
    <t>Page 464, All registered ships</t>
    <phoneticPr fontId="37" type="noConversion"/>
  </si>
  <si>
    <t>Classification of ship fuel</t>
    <phoneticPr fontId="37" type="noConversion"/>
  </si>
  <si>
    <t>The Korea Transport Institute</t>
    <phoneticPr fontId="37" type="noConversion"/>
  </si>
  <si>
    <t>Motorcycle registration</t>
    <phoneticPr fontId="37" type="noConversion"/>
  </si>
  <si>
    <t>Motorcycle regstration statistics 2019</t>
    <phoneticPr fontId="37" type="noConversion"/>
  </si>
  <si>
    <t>Sheet 1. Statistics by local government</t>
    <phoneticPr fontId="37" type="noConversion"/>
  </si>
  <si>
    <t>Notes</t>
    <phoneticPr fontId="37" type="noConversion"/>
  </si>
  <si>
    <t>Since there is no separate data for each type of vehicle and fuel, the DV sheet is created based on the registration status by vehicle type and fuel type.</t>
    <phoneticPr fontId="37" type="noConversion"/>
  </si>
  <si>
    <t>Vehicle classification standards are written in 'DV'.</t>
    <phoneticPr fontId="37" type="noConversion"/>
  </si>
  <si>
    <t xml:space="preserve">Subway data is included. </t>
    <phoneticPr fontId="37" type="noConversion"/>
  </si>
  <si>
    <t>Data based on KOSIS data and the Urban Railroad Corporation data of each local government.</t>
    <phoneticPr fontId="37" type="noConversion"/>
  </si>
  <si>
    <t>We assumed the ratio between itx (express railway) and normal railway.</t>
    <phoneticPr fontId="37" type="noConversion"/>
  </si>
  <si>
    <t>Detailed method is described in Rail</t>
    <phoneticPr fontId="37" type="noConversion"/>
  </si>
  <si>
    <t>Ships excluded fishing boats</t>
    <phoneticPr fontId="37" type="noConversion"/>
  </si>
  <si>
    <t>We add an adjustment factor for freight ships to align emissions with the inventory, as our</t>
  </si>
  <si>
    <t>source data results in emissions that are too high.</t>
  </si>
  <si>
    <t>Start Year</t>
  </si>
  <si>
    <t>&lt;</t>
  </si>
  <si>
    <t>연료별</t>
  </si>
  <si>
    <t>차종별</t>
  </si>
  <si>
    <t>용도별</t>
  </si>
  <si>
    <t>등록현황</t>
  </si>
  <si>
    <t>&gt;</t>
  </si>
  <si>
    <t>서울</t>
  </si>
  <si>
    <t>부산</t>
  </si>
  <si>
    <t>대구</t>
  </si>
  <si>
    <t>인천</t>
  </si>
  <si>
    <t>광주</t>
  </si>
  <si>
    <t>대전</t>
  </si>
  <si>
    <t>울산</t>
  </si>
  <si>
    <t>세종</t>
    <phoneticPr fontId="38" type="noConversion"/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</si>
  <si>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</si>
  <si>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</si>
  <si>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</si>
  <si>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</si>
  <si>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</si>
  <si>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</si>
  <si>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</si>
  <si>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</si>
  <si>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</si>
  <si>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계</t>
  </si>
  <si>
    <t>승용</t>
  </si>
  <si>
    <t>비사업용</t>
  </si>
  <si>
    <t>사업용</t>
  </si>
  <si>
    <t>승합</t>
  </si>
  <si>
    <t>화물</t>
  </si>
  <si>
    <t>특수</t>
  </si>
  <si>
    <t>소계</t>
  </si>
  <si>
    <t>경유</t>
  </si>
  <si>
    <t>등유</t>
  </si>
  <si>
    <t>알코올</t>
  </si>
  <si>
    <t>CNG</t>
  </si>
  <si>
    <t>LNG</t>
  </si>
  <si>
    <t>총계</t>
  </si>
  <si>
    <t>&lt; 자동차 등록현황(총 계) &gt;</t>
    <phoneticPr fontId="43" type="noConversion"/>
  </si>
  <si>
    <t>합계</t>
  </si>
  <si>
    <t>승용차합계</t>
  </si>
  <si>
    <t>승용일반형 계</t>
  </si>
  <si>
    <t>승용일반형 국산 소계</t>
  </si>
  <si>
    <t>승용일반형 국산 800CC미만</t>
  </si>
  <si>
    <t>승용일반형 국산 1000CC미만</t>
  </si>
  <si>
    <t>승용일반형 국산 1500CC미만</t>
  </si>
  <si>
    <t>승용일반형 국산 2000CC미만</t>
  </si>
  <si>
    <t>승용일반형 국산 2500CC미만</t>
  </si>
  <si>
    <t>승용일반형 국산 3000CC미만</t>
  </si>
  <si>
    <t>승용일반형 국산 3500CC미만</t>
  </si>
  <si>
    <t>승용일반형 국산 4000CC미만</t>
  </si>
  <si>
    <t>승용일반형 국산 4500CC미만</t>
  </si>
  <si>
    <t>승용일반형 국산 5000CC미만</t>
  </si>
  <si>
    <t>승용일반형 국산 5000CC이상</t>
  </si>
  <si>
    <t>승용일반형 국산 저속전기</t>
  </si>
  <si>
    <t>승용일반형 국산 전기</t>
  </si>
  <si>
    <t>승용일반형 외산 소계</t>
  </si>
  <si>
    <t>승용일반형 외산 800CC미만</t>
  </si>
  <si>
    <t>승용일반형 외산 1000CC미만</t>
  </si>
  <si>
    <t>승용일반형 외산 1500CC미만</t>
  </si>
  <si>
    <t>승용일반형 외산 2000CC미만</t>
  </si>
  <si>
    <t>승용일반형 외산 2500CC미만</t>
  </si>
  <si>
    <t>승용일반형 외산 3000CC미만</t>
  </si>
  <si>
    <t>승용일반형 외산 3500CC미만</t>
  </si>
  <si>
    <t>승용일반형 외산 4000CC미만</t>
  </si>
  <si>
    <t>승용일반형 외산 4500CC미만</t>
  </si>
  <si>
    <t>승용일반형 외산 5000CC미만</t>
  </si>
  <si>
    <t>승용일반형 외산 5000CC이상</t>
  </si>
  <si>
    <t>승용일반형 외산 저속전기</t>
  </si>
  <si>
    <t>승용일반형 외산 전기</t>
  </si>
  <si>
    <t>승용겸 화물 계</t>
  </si>
  <si>
    <t>승용겸 화물 1500CC미만</t>
  </si>
  <si>
    <t>승용겸 화물 2000CC미만</t>
  </si>
  <si>
    <t>승용겸 화물 2500CC미만</t>
  </si>
  <si>
    <t>승용겸 화물 3000CC미만</t>
  </si>
  <si>
    <t>승용겸 화물 3500CC미만</t>
  </si>
  <si>
    <t>승용겸 화물 3500CC이상</t>
  </si>
  <si>
    <t>승용겸 화물 저속전기</t>
  </si>
  <si>
    <t>승용겸 화물 전기</t>
  </si>
  <si>
    <t>승용다목적형 계</t>
  </si>
  <si>
    <t>승용다목적형 1500CC미만</t>
  </si>
  <si>
    <t>승용다목적형 2000CC미만</t>
  </si>
  <si>
    <t>승용다목적형 2500CC미만</t>
  </si>
  <si>
    <t>승용다목적형 3000CC미만</t>
  </si>
  <si>
    <t>승용다목적형 3500CC미만</t>
  </si>
  <si>
    <t>승용다목적형 3500CC이상</t>
  </si>
  <si>
    <t>승용다목적형 저속전기</t>
  </si>
  <si>
    <t>승용다목적형 전기</t>
  </si>
  <si>
    <t>승용기타형 계</t>
  </si>
  <si>
    <t>승용기타형 1500CC미만</t>
  </si>
  <si>
    <t>승용기타형 2000CC미만</t>
  </si>
  <si>
    <t>승용기타형 2500CC미만</t>
  </si>
  <si>
    <t>승용기타형 3000CC미만</t>
  </si>
  <si>
    <t>승용기타형 3500CC미만</t>
  </si>
  <si>
    <t>승용기타형 3500CC이상</t>
  </si>
  <si>
    <t>승용기타형 저속전기</t>
  </si>
  <si>
    <t>승용기타형 전기</t>
  </si>
  <si>
    <t>승합차 합계</t>
  </si>
  <si>
    <t>승합일반형 계</t>
  </si>
  <si>
    <t>시내버스</t>
  </si>
  <si>
    <t>시외버스</t>
  </si>
  <si>
    <t>전세버스</t>
  </si>
  <si>
    <t>고속버스</t>
  </si>
  <si>
    <t>농어촌버스</t>
  </si>
  <si>
    <t>마을버스</t>
  </si>
  <si>
    <t>승합일반기타형 계</t>
  </si>
  <si>
    <t>승합일반 15인 이하</t>
  </si>
  <si>
    <t>승합일반 25인 이하</t>
  </si>
  <si>
    <t>승합일반 35인 이하</t>
  </si>
  <si>
    <t>승합일반 50인 이하</t>
  </si>
  <si>
    <t>승합일반 51인 이상</t>
  </si>
  <si>
    <t>승합특수형 계</t>
  </si>
  <si>
    <t>구급차</t>
  </si>
  <si>
    <t>장의차</t>
  </si>
  <si>
    <t>헌혈, 채혈차</t>
  </si>
  <si>
    <t>방송, 보도용차</t>
  </si>
  <si>
    <t>승합피견인형</t>
  </si>
  <si>
    <t>승합특수형 기타</t>
  </si>
  <si>
    <t>화물자동차 합계</t>
  </si>
  <si>
    <t>화물일반형 계</t>
  </si>
  <si>
    <t>화물 픽업형</t>
  </si>
  <si>
    <t>화물카고형 계</t>
  </si>
  <si>
    <t>화물카고형 1톤 이하</t>
  </si>
  <si>
    <t>화물카고형 3톤 이하</t>
  </si>
  <si>
    <t>화물카고형 5톤 미만</t>
  </si>
  <si>
    <t>화물카고형 8톤 미만</t>
  </si>
  <si>
    <t>화물카고형 10톤 미만</t>
  </si>
  <si>
    <t>화물카고형 12톤 미만</t>
  </si>
  <si>
    <t>화물카고형 12톤 이상</t>
  </si>
  <si>
    <t>화물덤프형 계</t>
  </si>
  <si>
    <t>화물덤프형 1톤 이하</t>
  </si>
  <si>
    <t>화물덤프형 5톤 미만</t>
  </si>
  <si>
    <t>화물덤프형 12톤 미만</t>
  </si>
  <si>
    <t>화물덤프형 12톤 이상</t>
  </si>
  <si>
    <t>화물 밴형 계</t>
  </si>
  <si>
    <t>화물밴형 1톤 이하</t>
  </si>
  <si>
    <t>화물밴형 5톤 미만</t>
  </si>
  <si>
    <t>화물밴형 5톤 이상</t>
  </si>
  <si>
    <t>화물특수용도형 계</t>
  </si>
  <si>
    <t>화물특수용도형(청소자)</t>
  </si>
  <si>
    <t>화물특수용도형(노면청소차)</t>
  </si>
  <si>
    <t>화물특수용도형(살수차)</t>
  </si>
  <si>
    <t>화물특수용도형(소방차)</t>
  </si>
  <si>
    <t>화물특수용도형(냉장,냉동차)</t>
  </si>
  <si>
    <t>화물특수용도형(곡물,사료운반)</t>
  </si>
  <si>
    <t>유조차 소계</t>
  </si>
  <si>
    <t>유조차(항공유)</t>
  </si>
  <si>
    <t>유조차(휘발유)</t>
  </si>
  <si>
    <t>유조차(등유, 경유)</t>
  </si>
  <si>
    <t>유조차(방카C유)</t>
  </si>
  <si>
    <t>유조차(기타)</t>
  </si>
  <si>
    <t>탱크로리 소계</t>
  </si>
  <si>
    <t>탱크로리(식수, 음료)</t>
  </si>
  <si>
    <t>탱크로리(압축가스)</t>
  </si>
  <si>
    <t>탱크로리(화공약품)</t>
  </si>
  <si>
    <t>탱크로리(기타)</t>
  </si>
  <si>
    <t>피견인차 소계</t>
  </si>
  <si>
    <t>피견인차(적재함형)</t>
  </si>
  <si>
    <t>피견인차(저상형)</t>
  </si>
  <si>
    <t>피견인차(평판형)</t>
  </si>
  <si>
    <t>피견인차(콘테이너샤시)</t>
  </si>
  <si>
    <t>피견인차(기타)</t>
  </si>
  <si>
    <t>화물특수용도형(기타)</t>
  </si>
  <si>
    <t>특수자동차 합계</t>
  </si>
  <si>
    <t>구난차 계</t>
  </si>
  <si>
    <t>구난차 5톤 이하</t>
  </si>
  <si>
    <t>구난차 10톤 미만</t>
  </si>
  <si>
    <t>구난차 10톤 이상</t>
  </si>
  <si>
    <t>견인차 계</t>
  </si>
  <si>
    <t>견인차 5톤 이하</t>
  </si>
  <si>
    <t>견인차 10톤 미만</t>
  </si>
  <si>
    <t>견인차 10톤 이상</t>
  </si>
  <si>
    <t>특수작업형 계</t>
  </si>
  <si>
    <t>특수작업형(고소작업차)</t>
  </si>
  <si>
    <t>특수작업형(고가사다리소방차)</t>
  </si>
  <si>
    <t>특수작업형(오가크레인)</t>
  </si>
  <si>
    <t>특수작업형(피견인형)</t>
  </si>
  <si>
    <t>특수작업형(기타)</t>
  </si>
  <si>
    <t>passenger LDVs</t>
    <phoneticPr fontId="37" type="noConversion"/>
  </si>
  <si>
    <t>passenger HDVs</t>
    <phoneticPr fontId="37" type="noConversion"/>
  </si>
  <si>
    <t>freigt LDVs</t>
    <phoneticPr fontId="37" type="noConversion"/>
  </si>
  <si>
    <t>freigt HDVs</t>
    <phoneticPr fontId="37" type="noConversion"/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</si>
  <si>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</si>
  <si>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</si>
  <si>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</si>
  <si>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</si>
  <si>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</si>
  <si>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</si>
  <si>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</si>
  <si>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freight LDVs</t>
    <phoneticPr fontId="37" type="noConversion"/>
  </si>
  <si>
    <t>freight HDVs</t>
    <phoneticPr fontId="37" type="noConversion"/>
  </si>
  <si>
    <t>start year 기준, 규제로 인해 한국의 대형 천연가스 트럭은 존재하지 않는 것으로 추정된다. 2020년부터 대형트럭의 천연가스 차량 개조가 시작되었다.</t>
    <phoneticPr fontId="37" type="noConversion"/>
  </si>
  <si>
    <t>https://www.kogas.or.kr:9450/portal/selectBbsNttView.do?bbsNo=239&amp;key=2035&amp;nttNo=39355</t>
    <phoneticPr fontId="37" type="noConversion"/>
  </si>
  <si>
    <t>Category</t>
    <phoneticPr fontId="37" type="noConversion"/>
  </si>
  <si>
    <t>passenger</t>
    <phoneticPr fontId="37" type="noConversion"/>
  </si>
  <si>
    <t>승용</t>
    <phoneticPr fontId="37" type="noConversion"/>
  </si>
  <si>
    <t>승합</t>
    <phoneticPr fontId="37" type="noConversion"/>
  </si>
  <si>
    <t>freight</t>
    <phoneticPr fontId="37" type="noConversion"/>
  </si>
  <si>
    <t>화물소중형</t>
    <phoneticPr fontId="37" type="noConversion"/>
  </si>
  <si>
    <t>화물대형</t>
    <phoneticPr fontId="37" type="noConversion"/>
  </si>
  <si>
    <t>LDVs(Light Duty Vehicles)</t>
    <phoneticPr fontId="37" type="noConversion"/>
  </si>
  <si>
    <t>소중형차량</t>
    <phoneticPr fontId="37" type="noConversion"/>
  </si>
  <si>
    <t>HDVs(Heavy Duty Vehicles)</t>
    <phoneticPr fontId="37" type="noConversion"/>
  </si>
  <si>
    <t>대형차량(산업차량, 대형트럭)</t>
    <phoneticPr fontId="37" type="noConversion"/>
  </si>
  <si>
    <t>승용자동차구분기준</t>
    <phoneticPr fontId="37" type="noConversion"/>
  </si>
  <si>
    <t>규모</t>
    <phoneticPr fontId="37" type="noConversion"/>
  </si>
  <si>
    <t>분류기준</t>
    <phoneticPr fontId="37" type="noConversion"/>
  </si>
  <si>
    <t>경형</t>
    <phoneticPr fontId="37" type="noConversion"/>
  </si>
  <si>
    <r>
      <rPr>
        <sz val="11"/>
        <color rgb="FF202122"/>
        <rFont val="맑은 고딕"/>
        <family val="3"/>
        <charset val="129"/>
      </rPr>
      <t>배기량</t>
    </r>
    <r>
      <rPr>
        <sz val="11"/>
        <color rgb="FF202122"/>
        <rFont val="Arial"/>
        <family val="2"/>
      </rPr>
      <t xml:space="preserve"> 1,000</t>
    </r>
    <r>
      <rPr>
        <sz val="11"/>
        <color rgb="FF202122"/>
        <rFont val="맑은 고딕"/>
        <family val="3"/>
        <charset val="129"/>
      </rPr>
      <t>㏄미만으로서</t>
    </r>
    <r>
      <rPr>
        <sz val="11"/>
        <color rgb="FF202122"/>
        <rFont val="Arial"/>
        <family val="2"/>
      </rPr>
      <t xml:space="preserve"> </t>
    </r>
    <r>
      <rPr>
        <sz val="11"/>
        <color rgb="FF202122"/>
        <rFont val="맑은 고딕"/>
        <family val="3"/>
        <charset val="129"/>
      </rPr>
      <t>길이</t>
    </r>
    <r>
      <rPr>
        <sz val="11"/>
        <color rgb="FF202122"/>
        <rFont val="Arial"/>
        <family val="2"/>
      </rPr>
      <t xml:space="preserve"> 3.6m·</t>
    </r>
    <r>
      <rPr>
        <sz val="11"/>
        <color rgb="FF202122"/>
        <rFont val="맑은 고딕"/>
        <family val="3"/>
        <charset val="129"/>
      </rPr>
      <t>너비</t>
    </r>
    <r>
      <rPr>
        <sz val="11"/>
        <color rgb="FF202122"/>
        <rFont val="Arial"/>
        <family val="2"/>
      </rPr>
      <t xml:space="preserve"> 1.6m·</t>
    </r>
    <r>
      <rPr>
        <sz val="11"/>
        <color rgb="FF202122"/>
        <rFont val="맑은 고딕"/>
        <family val="3"/>
        <charset val="129"/>
      </rPr>
      <t>높이</t>
    </r>
    <r>
      <rPr>
        <sz val="11"/>
        <color rgb="FF202122"/>
        <rFont val="Arial"/>
        <family val="2"/>
      </rPr>
      <t xml:space="preserve"> 2.0m </t>
    </r>
    <r>
      <rPr>
        <sz val="11"/>
        <color rgb="FF202122"/>
        <rFont val="맑은 고딕"/>
        <family val="3"/>
        <charset val="129"/>
      </rPr>
      <t>이하인</t>
    </r>
    <r>
      <rPr>
        <sz val="11"/>
        <color rgb="FF202122"/>
        <rFont val="Arial"/>
        <family val="2"/>
      </rPr>
      <t xml:space="preserve"> </t>
    </r>
    <r>
      <rPr>
        <sz val="11"/>
        <color rgb="FF202122"/>
        <rFont val="맑은 고딕"/>
        <family val="3"/>
        <charset val="129"/>
      </rPr>
      <t>것</t>
    </r>
    <phoneticPr fontId="37" type="noConversion"/>
  </si>
  <si>
    <t>소형</t>
    <phoneticPr fontId="37" type="noConversion"/>
  </si>
  <si>
    <t>배기량이 1,600㏄미만인 것으로서 길이 4.7m, 너비 1.7m, 높이 2.0m 이하인 것</t>
  </si>
  <si>
    <t>중형</t>
    <phoneticPr fontId="37" type="noConversion"/>
  </si>
  <si>
    <r>
      <rPr>
        <sz val="11"/>
        <color rgb="FF202122"/>
        <rFont val="맑은 고딕"/>
        <family val="3"/>
        <charset val="129"/>
      </rPr>
      <t>배기량이</t>
    </r>
    <r>
      <rPr>
        <sz val="11"/>
        <color rgb="FF202122"/>
        <rFont val="Arial"/>
        <family val="2"/>
      </rPr>
      <t xml:space="preserve"> 1,600</t>
    </r>
    <r>
      <rPr>
        <sz val="11"/>
        <color rgb="FF202122"/>
        <rFont val="맑은 고딕"/>
        <family val="3"/>
        <charset val="129"/>
      </rPr>
      <t>㏄이상</t>
    </r>
    <r>
      <rPr>
        <sz val="11"/>
        <color rgb="FF202122"/>
        <rFont val="Arial"/>
        <family val="2"/>
      </rPr>
      <t xml:space="preserve"> 2,000</t>
    </r>
    <r>
      <rPr>
        <sz val="11"/>
        <color rgb="FF202122"/>
        <rFont val="맑은 고딕"/>
        <family val="3"/>
        <charset val="129"/>
      </rPr>
      <t>㏄미만이거나</t>
    </r>
    <r>
      <rPr>
        <sz val="11"/>
        <color rgb="FF202122"/>
        <rFont val="Arial"/>
        <family val="2"/>
      </rPr>
      <t xml:space="preserve"> </t>
    </r>
    <r>
      <rPr>
        <sz val="11"/>
        <color rgb="FF202122"/>
        <rFont val="맑은 고딕"/>
        <family val="3"/>
        <charset val="129"/>
      </rPr>
      <t>길이</t>
    </r>
    <r>
      <rPr>
        <sz val="11"/>
        <color rgb="FF202122"/>
        <rFont val="Arial"/>
        <family val="2"/>
      </rPr>
      <t>·</t>
    </r>
    <r>
      <rPr>
        <sz val="11"/>
        <color rgb="FF202122"/>
        <rFont val="맑은 고딕"/>
        <family val="3"/>
        <charset val="129"/>
      </rPr>
      <t>너비</t>
    </r>
    <r>
      <rPr>
        <sz val="11"/>
        <color rgb="FF202122"/>
        <rFont val="Arial"/>
        <family val="2"/>
      </rPr>
      <t>·</t>
    </r>
    <r>
      <rPr>
        <sz val="11"/>
        <color rgb="FF202122"/>
        <rFont val="맑은 고딕"/>
        <family val="3"/>
        <charset val="129"/>
      </rPr>
      <t>높이중</t>
    </r>
    <r>
      <rPr>
        <sz val="11"/>
        <color rgb="FF202122"/>
        <rFont val="Arial"/>
        <family val="2"/>
      </rPr>
      <t xml:space="preserve"> </t>
    </r>
    <r>
      <rPr>
        <sz val="11"/>
        <color rgb="FF202122"/>
        <rFont val="맑은 고딕"/>
        <family val="3"/>
        <charset val="129"/>
      </rPr>
      <t>어느</t>
    </r>
    <r>
      <rPr>
        <sz val="11"/>
        <color rgb="FF202122"/>
        <rFont val="Arial"/>
        <family val="2"/>
      </rPr>
      <t xml:space="preserve"> </t>
    </r>
    <r>
      <rPr>
        <sz val="11"/>
        <color rgb="FF202122"/>
        <rFont val="맑은 고딕"/>
        <family val="3"/>
        <charset val="129"/>
      </rPr>
      <t>하나라도</t>
    </r>
    <r>
      <rPr>
        <sz val="11"/>
        <color rgb="FF202122"/>
        <rFont val="Arial"/>
        <family val="2"/>
      </rPr>
      <t xml:space="preserve"> </t>
    </r>
    <r>
      <rPr>
        <sz val="11"/>
        <color rgb="FF202122"/>
        <rFont val="맑은 고딕"/>
        <family val="3"/>
        <charset val="129"/>
      </rPr>
      <t>소형을</t>
    </r>
    <r>
      <rPr>
        <sz val="11"/>
        <color rgb="FF202122"/>
        <rFont val="Arial"/>
        <family val="2"/>
      </rPr>
      <t xml:space="preserve"> </t>
    </r>
    <r>
      <rPr>
        <sz val="11"/>
        <color rgb="FF202122"/>
        <rFont val="맑은 고딕"/>
        <family val="3"/>
        <charset val="129"/>
      </rPr>
      <t>초과하는</t>
    </r>
    <r>
      <rPr>
        <sz val="11"/>
        <color rgb="FF202122"/>
        <rFont val="Arial"/>
        <family val="2"/>
      </rPr>
      <t xml:space="preserve"> </t>
    </r>
    <r>
      <rPr>
        <sz val="11"/>
        <color rgb="FF202122"/>
        <rFont val="맑은 고딕"/>
        <family val="3"/>
        <charset val="129"/>
      </rPr>
      <t>것</t>
    </r>
    <phoneticPr fontId="37" type="noConversion"/>
  </si>
  <si>
    <t>대형</t>
    <phoneticPr fontId="37" type="noConversion"/>
  </si>
  <si>
    <r>
      <rPr>
        <sz val="11"/>
        <color rgb="FFFF0000"/>
        <rFont val="맑은 고딕"/>
        <family val="3"/>
        <charset val="129"/>
      </rPr>
      <t>배기량이</t>
    </r>
    <r>
      <rPr>
        <sz val="11"/>
        <color rgb="FFFF0000"/>
        <rFont val="Arial"/>
        <family val="2"/>
      </rPr>
      <t xml:space="preserve"> 2,000</t>
    </r>
    <r>
      <rPr>
        <sz val="11"/>
        <color rgb="FFFF0000"/>
        <rFont val="맑은 고딕"/>
        <family val="3"/>
        <charset val="129"/>
      </rPr>
      <t>㏄이상이거나</t>
    </r>
    <r>
      <rPr>
        <sz val="11"/>
        <color rgb="FF202122"/>
        <rFont val="Arial"/>
        <family val="2"/>
      </rPr>
      <t xml:space="preserve">, </t>
    </r>
    <r>
      <rPr>
        <sz val="11"/>
        <color rgb="FF202122"/>
        <rFont val="맑은 고딕"/>
        <family val="3"/>
        <charset val="129"/>
      </rPr>
      <t>길이</t>
    </r>
    <r>
      <rPr>
        <sz val="11"/>
        <color rgb="FF202122"/>
        <rFont val="Arial"/>
        <family val="2"/>
      </rPr>
      <t>·</t>
    </r>
    <r>
      <rPr>
        <sz val="11"/>
        <color rgb="FF202122"/>
        <rFont val="맑은 고딕"/>
        <family val="3"/>
        <charset val="129"/>
      </rPr>
      <t>너비</t>
    </r>
    <r>
      <rPr>
        <sz val="11"/>
        <color rgb="FF202122"/>
        <rFont val="Arial"/>
        <family val="2"/>
      </rPr>
      <t>·</t>
    </r>
    <r>
      <rPr>
        <sz val="11"/>
        <color rgb="FF202122"/>
        <rFont val="맑은 고딕"/>
        <family val="3"/>
        <charset val="129"/>
      </rPr>
      <t>높이</t>
    </r>
    <r>
      <rPr>
        <sz val="11"/>
        <color rgb="FF202122"/>
        <rFont val="Arial"/>
        <family val="2"/>
      </rPr>
      <t xml:space="preserve"> </t>
    </r>
    <r>
      <rPr>
        <sz val="11"/>
        <color rgb="FF202122"/>
        <rFont val="맑은 고딕"/>
        <family val="3"/>
        <charset val="129"/>
      </rPr>
      <t>모두가</t>
    </r>
    <r>
      <rPr>
        <sz val="11"/>
        <color rgb="FF202122"/>
        <rFont val="Arial"/>
        <family val="2"/>
      </rPr>
      <t xml:space="preserve"> </t>
    </r>
    <r>
      <rPr>
        <sz val="11"/>
        <color rgb="FF202122"/>
        <rFont val="맑은 고딕"/>
        <family val="3"/>
        <charset val="129"/>
      </rPr>
      <t>소형을</t>
    </r>
    <r>
      <rPr>
        <sz val="11"/>
        <color rgb="FF202122"/>
        <rFont val="Arial"/>
        <family val="2"/>
      </rPr>
      <t xml:space="preserve"> </t>
    </r>
    <r>
      <rPr>
        <sz val="11"/>
        <color rgb="FF202122"/>
        <rFont val="맑은 고딕"/>
        <family val="3"/>
        <charset val="129"/>
      </rPr>
      <t>초과하는</t>
    </r>
    <r>
      <rPr>
        <sz val="11"/>
        <color rgb="FF202122"/>
        <rFont val="Arial"/>
        <family val="2"/>
      </rPr>
      <t xml:space="preserve"> </t>
    </r>
    <r>
      <rPr>
        <sz val="11"/>
        <color rgb="FF202122"/>
        <rFont val="맑은 고딕"/>
        <family val="3"/>
        <charset val="129"/>
      </rPr>
      <t>것</t>
    </r>
    <phoneticPr fontId="37" type="noConversion"/>
  </si>
  <si>
    <t>승합자동차구분기준</t>
    <phoneticPr fontId="37" type="noConversion"/>
  </si>
  <si>
    <t>배기량 1,000㏄미만으로서 길이 3.6m·너비 1.6m·높이 2.0m 이하인 것</t>
  </si>
  <si>
    <r>
      <rPr>
        <sz val="11"/>
        <color rgb="FF202122"/>
        <rFont val="맑은 고딕"/>
        <family val="3"/>
        <charset val="129"/>
      </rPr>
      <t>승차정원이</t>
    </r>
    <r>
      <rPr>
        <sz val="11"/>
        <color rgb="FF202122"/>
        <rFont val="Arial"/>
        <family val="2"/>
      </rPr>
      <t xml:space="preserve"> 15</t>
    </r>
    <r>
      <rPr>
        <sz val="11"/>
        <color rgb="FF202122"/>
        <rFont val="맑은 고딕"/>
        <family val="3"/>
        <charset val="129"/>
      </rPr>
      <t>인</t>
    </r>
    <r>
      <rPr>
        <sz val="11"/>
        <color rgb="FF202122"/>
        <rFont val="Arial"/>
        <family val="2"/>
      </rPr>
      <t xml:space="preserve"> </t>
    </r>
    <r>
      <rPr>
        <sz val="11"/>
        <color rgb="FF202122"/>
        <rFont val="맑은 고딕"/>
        <family val="3"/>
        <charset val="129"/>
      </rPr>
      <t>이하인</t>
    </r>
    <r>
      <rPr>
        <sz val="11"/>
        <color rgb="FF202122"/>
        <rFont val="Arial"/>
        <family val="2"/>
      </rPr>
      <t xml:space="preserve"> </t>
    </r>
    <r>
      <rPr>
        <sz val="11"/>
        <color rgb="FF202122"/>
        <rFont val="맑은 고딕"/>
        <family val="3"/>
        <charset val="129"/>
      </rPr>
      <t>것으로서</t>
    </r>
    <r>
      <rPr>
        <sz val="11"/>
        <color rgb="FF202122"/>
        <rFont val="Arial"/>
        <family val="2"/>
      </rPr>
      <t xml:space="preserve"> </t>
    </r>
    <r>
      <rPr>
        <sz val="11"/>
        <color rgb="FF202122"/>
        <rFont val="맑은 고딕"/>
        <family val="3"/>
        <charset val="129"/>
      </rPr>
      <t>길이</t>
    </r>
    <r>
      <rPr>
        <sz val="11"/>
        <color rgb="FF202122"/>
        <rFont val="Arial"/>
        <family val="2"/>
      </rPr>
      <t xml:space="preserve"> 4.7m, </t>
    </r>
    <r>
      <rPr>
        <sz val="11"/>
        <color rgb="FF202122"/>
        <rFont val="맑은 고딕"/>
        <family val="3"/>
        <charset val="129"/>
      </rPr>
      <t>너비</t>
    </r>
    <r>
      <rPr>
        <sz val="11"/>
        <color rgb="FF202122"/>
        <rFont val="Arial"/>
        <family val="2"/>
      </rPr>
      <t xml:space="preserve"> 1.7m, </t>
    </r>
    <r>
      <rPr>
        <sz val="11"/>
        <color rgb="FF202122"/>
        <rFont val="맑은 고딕"/>
        <family val="3"/>
        <charset val="129"/>
      </rPr>
      <t>높이</t>
    </r>
    <r>
      <rPr>
        <sz val="11"/>
        <color rgb="FF202122"/>
        <rFont val="Arial"/>
        <family val="2"/>
      </rPr>
      <t xml:space="preserve"> 2.0m </t>
    </r>
    <r>
      <rPr>
        <sz val="11"/>
        <color rgb="FF202122"/>
        <rFont val="맑은 고딕"/>
        <family val="3"/>
        <charset val="129"/>
      </rPr>
      <t>이하인</t>
    </r>
    <r>
      <rPr>
        <sz val="11"/>
        <color rgb="FF202122"/>
        <rFont val="Arial"/>
        <family val="2"/>
      </rPr>
      <t xml:space="preserve"> </t>
    </r>
    <r>
      <rPr>
        <sz val="11"/>
        <color rgb="FF202122"/>
        <rFont val="맑은 고딕"/>
        <family val="3"/>
        <charset val="129"/>
      </rPr>
      <t>것</t>
    </r>
    <phoneticPr fontId="37" type="noConversion"/>
  </si>
  <si>
    <t>승차정원이 16인 이상 35인 이하이거나, 길이·너비·높이중 어느 하나라도 소형을 초과하지만 길이는 9m 미만인 것</t>
  </si>
  <si>
    <r>
      <rPr>
        <sz val="11"/>
        <color rgb="FFFF0000"/>
        <rFont val="맑은 고딕"/>
        <family val="3"/>
        <charset val="129"/>
      </rPr>
      <t>승차정원이</t>
    </r>
    <r>
      <rPr>
        <sz val="11"/>
        <color rgb="FFFF0000"/>
        <rFont val="Arial"/>
        <family val="2"/>
      </rPr>
      <t xml:space="preserve"> 36</t>
    </r>
    <r>
      <rPr>
        <sz val="11"/>
        <color rgb="FFFF0000"/>
        <rFont val="맑은 고딕"/>
        <family val="3"/>
        <charset val="129"/>
      </rPr>
      <t>인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맑은 고딕"/>
        <family val="3"/>
        <charset val="129"/>
      </rPr>
      <t>이상이거나</t>
    </r>
    <r>
      <rPr>
        <sz val="11"/>
        <color rgb="FF202122"/>
        <rFont val="Arial"/>
        <family val="2"/>
      </rPr>
      <t xml:space="preserve">, </t>
    </r>
    <r>
      <rPr>
        <sz val="11"/>
        <color rgb="FF202122"/>
        <rFont val="맑은 고딕"/>
        <family val="3"/>
        <charset val="129"/>
      </rPr>
      <t>길이</t>
    </r>
    <r>
      <rPr>
        <sz val="11"/>
        <color rgb="FF202122"/>
        <rFont val="Arial"/>
        <family val="2"/>
      </rPr>
      <t>·</t>
    </r>
    <r>
      <rPr>
        <sz val="11"/>
        <color rgb="FF202122"/>
        <rFont val="맑은 고딕"/>
        <family val="3"/>
        <charset val="129"/>
      </rPr>
      <t>너비</t>
    </r>
    <r>
      <rPr>
        <sz val="11"/>
        <color rgb="FF202122"/>
        <rFont val="Arial"/>
        <family val="2"/>
      </rPr>
      <t>·</t>
    </r>
    <r>
      <rPr>
        <sz val="11"/>
        <color rgb="FF202122"/>
        <rFont val="맑은 고딕"/>
        <family val="3"/>
        <charset val="129"/>
      </rPr>
      <t>높이</t>
    </r>
    <r>
      <rPr>
        <sz val="11"/>
        <color rgb="FF202122"/>
        <rFont val="Arial"/>
        <family val="2"/>
      </rPr>
      <t xml:space="preserve"> </t>
    </r>
    <r>
      <rPr>
        <sz val="11"/>
        <color rgb="FF202122"/>
        <rFont val="맑은 고딕"/>
        <family val="3"/>
        <charset val="129"/>
      </rPr>
      <t>모두가</t>
    </r>
    <r>
      <rPr>
        <sz val="11"/>
        <color rgb="FF202122"/>
        <rFont val="Arial"/>
        <family val="2"/>
      </rPr>
      <t xml:space="preserve"> </t>
    </r>
    <r>
      <rPr>
        <sz val="11"/>
        <color rgb="FF202122"/>
        <rFont val="맑은 고딕"/>
        <family val="3"/>
        <charset val="129"/>
      </rPr>
      <t>소형을</t>
    </r>
    <r>
      <rPr>
        <sz val="11"/>
        <color rgb="FF202122"/>
        <rFont val="Arial"/>
        <family val="2"/>
      </rPr>
      <t xml:space="preserve"> </t>
    </r>
    <r>
      <rPr>
        <sz val="11"/>
        <color rgb="FF202122"/>
        <rFont val="맑은 고딕"/>
        <family val="3"/>
        <charset val="129"/>
      </rPr>
      <t>초과하고</t>
    </r>
    <r>
      <rPr>
        <sz val="11"/>
        <color rgb="FF202122"/>
        <rFont val="Arial"/>
        <family val="2"/>
      </rPr>
      <t xml:space="preserve"> </t>
    </r>
    <r>
      <rPr>
        <sz val="11"/>
        <color rgb="FF202122"/>
        <rFont val="맑은 고딕"/>
        <family val="3"/>
        <charset val="129"/>
      </rPr>
      <t>길이는</t>
    </r>
    <r>
      <rPr>
        <sz val="11"/>
        <color rgb="FF202122"/>
        <rFont val="Arial"/>
        <family val="2"/>
      </rPr>
      <t xml:space="preserve"> 9m </t>
    </r>
    <r>
      <rPr>
        <sz val="11"/>
        <color rgb="FF202122"/>
        <rFont val="맑은 고딕"/>
        <family val="3"/>
        <charset val="129"/>
      </rPr>
      <t>이상인</t>
    </r>
    <r>
      <rPr>
        <sz val="11"/>
        <color rgb="FF202122"/>
        <rFont val="Arial"/>
        <family val="2"/>
      </rPr>
      <t xml:space="preserve"> </t>
    </r>
    <r>
      <rPr>
        <sz val="11"/>
        <color rgb="FF202122"/>
        <rFont val="맑은 고딕"/>
        <family val="3"/>
        <charset val="129"/>
      </rPr>
      <t>것</t>
    </r>
    <phoneticPr fontId="37" type="noConversion"/>
  </si>
  <si>
    <t>화물자동차구분기준</t>
    <phoneticPr fontId="37" type="noConversion"/>
  </si>
  <si>
    <t>최대적재량이 1t 이하인 것으로서 총중량 3.5t 이하인 것</t>
  </si>
  <si>
    <t>최대적재량이 1t초과 5t 미만이거나, 총중량이 3.5t 초과 10t 미만인 것</t>
  </si>
  <si>
    <r>
      <rPr>
        <sz val="11"/>
        <color rgb="FFFF0000"/>
        <rFont val="맑은 고딕"/>
        <family val="3"/>
        <charset val="129"/>
      </rPr>
      <t>최대적재량이</t>
    </r>
    <r>
      <rPr>
        <sz val="11"/>
        <color rgb="FFFF0000"/>
        <rFont val="Arial"/>
        <family val="2"/>
      </rPr>
      <t xml:space="preserve"> 5t </t>
    </r>
    <r>
      <rPr>
        <sz val="11"/>
        <color rgb="FFFF0000"/>
        <rFont val="맑은 고딕"/>
        <family val="3"/>
        <charset val="129"/>
      </rPr>
      <t>이상이거나</t>
    </r>
    <r>
      <rPr>
        <sz val="11"/>
        <color rgb="FF202122"/>
        <rFont val="Arial"/>
        <family val="2"/>
      </rPr>
      <t xml:space="preserve">, </t>
    </r>
    <r>
      <rPr>
        <sz val="11"/>
        <color rgb="FF202122"/>
        <rFont val="맑은 고딕"/>
        <family val="3"/>
        <charset val="129"/>
      </rPr>
      <t>총중량이</t>
    </r>
    <r>
      <rPr>
        <sz val="11"/>
        <color rgb="FF202122"/>
        <rFont val="Arial"/>
        <family val="2"/>
      </rPr>
      <t xml:space="preserve"> 10t </t>
    </r>
    <r>
      <rPr>
        <sz val="11"/>
        <color rgb="FF202122"/>
        <rFont val="맑은 고딕"/>
        <family val="3"/>
        <charset val="129"/>
      </rPr>
      <t>이상인</t>
    </r>
    <r>
      <rPr>
        <sz val="11"/>
        <color rgb="FF202122"/>
        <rFont val="Arial"/>
        <family val="2"/>
      </rPr>
      <t xml:space="preserve"> </t>
    </r>
    <r>
      <rPr>
        <sz val="11"/>
        <color rgb="FF202122"/>
        <rFont val="맑은 고딕"/>
        <family val="3"/>
        <charset val="129"/>
      </rPr>
      <t>것</t>
    </r>
    <phoneticPr fontId="37" type="noConversion"/>
  </si>
  <si>
    <t>특수자동차구분기준</t>
    <phoneticPr fontId="37" type="noConversion"/>
  </si>
  <si>
    <t>총중량이 3.5t 이하인 것</t>
  </si>
  <si>
    <r>
      <rPr>
        <sz val="11"/>
        <color rgb="FF202122"/>
        <rFont val="맑은 고딕"/>
        <family val="3"/>
        <charset val="129"/>
      </rPr>
      <t>총중량이</t>
    </r>
    <r>
      <rPr>
        <sz val="11"/>
        <color rgb="FF202122"/>
        <rFont val="Arial"/>
        <family val="2"/>
      </rPr>
      <t xml:space="preserve"> 3.5t </t>
    </r>
    <r>
      <rPr>
        <sz val="11"/>
        <color rgb="FF202122"/>
        <rFont val="맑은 고딕"/>
        <family val="3"/>
        <charset val="129"/>
      </rPr>
      <t>초과</t>
    </r>
    <r>
      <rPr>
        <sz val="11"/>
        <color rgb="FF202122"/>
        <rFont val="Arial"/>
        <family val="2"/>
      </rPr>
      <t xml:space="preserve"> 10t </t>
    </r>
    <r>
      <rPr>
        <sz val="11"/>
        <color rgb="FF202122"/>
        <rFont val="맑은 고딕"/>
        <family val="3"/>
        <charset val="129"/>
      </rPr>
      <t>미만인</t>
    </r>
    <r>
      <rPr>
        <sz val="11"/>
        <color rgb="FF202122"/>
        <rFont val="Arial"/>
        <family val="2"/>
      </rPr>
      <t xml:space="preserve"> </t>
    </r>
    <r>
      <rPr>
        <sz val="11"/>
        <color rgb="FF202122"/>
        <rFont val="맑은 고딕"/>
        <family val="3"/>
        <charset val="129"/>
      </rPr>
      <t>것</t>
    </r>
    <phoneticPr fontId="37" type="noConversion"/>
  </si>
  <si>
    <r>
      <rPr>
        <sz val="11"/>
        <color rgb="FFFF0000"/>
        <rFont val="맑은 고딕"/>
        <family val="3"/>
        <charset val="129"/>
      </rPr>
      <t>총중량이</t>
    </r>
    <r>
      <rPr>
        <sz val="11"/>
        <color rgb="FFFF0000"/>
        <rFont val="Arial"/>
        <family val="2"/>
      </rPr>
      <t xml:space="preserve"> 10t </t>
    </r>
    <r>
      <rPr>
        <sz val="11"/>
        <color rgb="FFFF0000"/>
        <rFont val="맑은 고딕"/>
        <family val="3"/>
        <charset val="129"/>
      </rPr>
      <t>이상</t>
    </r>
    <r>
      <rPr>
        <sz val="11"/>
        <color rgb="FF202122"/>
        <rFont val="맑은 고딕"/>
        <family val="3"/>
        <charset val="129"/>
      </rPr>
      <t>인</t>
    </r>
    <r>
      <rPr>
        <sz val="11"/>
        <color rgb="FF202122"/>
        <rFont val="Arial"/>
        <family val="2"/>
      </rPr>
      <t xml:space="preserve"> </t>
    </r>
    <r>
      <rPr>
        <sz val="11"/>
        <color rgb="FF202122"/>
        <rFont val="맑은 고딕"/>
        <family val="3"/>
        <charset val="129"/>
      </rPr>
      <t>것</t>
    </r>
    <phoneticPr fontId="37" type="noConversion"/>
  </si>
  <si>
    <t>유조차, 탱크로리, 피견인차, 10톤 이상 특수차량, 특수작업형 차량은 대형화물차량(freight HDVs)으로 분류</t>
    <phoneticPr fontId="37" type="noConversion"/>
  </si>
  <si>
    <t>편성당</t>
    <phoneticPr fontId="43" type="noConversion"/>
  </si>
  <si>
    <t>보유량</t>
    <phoneticPr fontId="43" type="noConversion"/>
  </si>
  <si>
    <t>편성수</t>
    <phoneticPr fontId="43" type="noConversion"/>
  </si>
  <si>
    <t>수송인원(일평균)</t>
    <phoneticPr fontId="43" type="noConversion"/>
  </si>
  <si>
    <t>운행횟수</t>
    <phoneticPr fontId="43" type="noConversion"/>
  </si>
  <si>
    <t>평균운행횟수(일)</t>
    <phoneticPr fontId="43" type="noConversion"/>
  </si>
  <si>
    <t>하루 1편성당 이용객</t>
    <phoneticPr fontId="43" type="noConversion"/>
  </si>
  <si>
    <t>평일</t>
    <phoneticPr fontId="43" type="noConversion"/>
  </si>
  <si>
    <t>주말</t>
    <phoneticPr fontId="43" type="noConversion"/>
  </si>
  <si>
    <t>세부 출처</t>
    <phoneticPr fontId="43" type="noConversion"/>
  </si>
  <si>
    <t>서울 1호선</t>
    <phoneticPr fontId="43" type="noConversion"/>
  </si>
  <si>
    <t>서울 편성량수 참고</t>
    <phoneticPr fontId="37" type="noConversion"/>
  </si>
  <si>
    <t>http://webzine.seoulmetro.co.kr/enewspaper/articleview.php?master=&amp;aid=1771&amp;sid=73&amp;mvid=684</t>
    <phoneticPr fontId="37" type="noConversion"/>
  </si>
  <si>
    <t>서울 2호선</t>
    <phoneticPr fontId="43" type="noConversion"/>
  </si>
  <si>
    <t>서울 9호선 편성</t>
    <phoneticPr fontId="43" type="noConversion"/>
  </si>
  <si>
    <t>https://www.metro9.co.kr/site/homepage/menu/viewMenu?menuid=001005001003</t>
    <phoneticPr fontId="43" type="noConversion"/>
  </si>
  <si>
    <t>서울 3호선</t>
    <phoneticPr fontId="43" type="noConversion"/>
  </si>
  <si>
    <t>서울 9호선 수송인원</t>
    <phoneticPr fontId="43" type="noConversion"/>
  </si>
  <si>
    <t>https://kosis.kr/statHtml/statHtml.do?orgId=357&amp;tblId=DT_357001_A004&amp;vw_cd=&amp;list_id=&amp;seqNo=&amp;lang_mode=ko&amp;language=kor&amp;obj_var_id=&amp;itm_id=&amp;conn_path=</t>
    <phoneticPr fontId="43" type="noConversion"/>
  </si>
  <si>
    <t>서울 4호선</t>
    <phoneticPr fontId="43" type="noConversion"/>
  </si>
  <si>
    <t>서울 9호선 운행횟수</t>
    <phoneticPr fontId="43" type="noConversion"/>
  </si>
  <si>
    <t>https://news.seoul.go.kr/traffic/archives/1551</t>
  </si>
  <si>
    <t>서울 5호선</t>
    <phoneticPr fontId="43" type="noConversion"/>
  </si>
  <si>
    <t>서울 6호선</t>
    <phoneticPr fontId="43" type="noConversion"/>
  </si>
  <si>
    <t>서울 7호선</t>
    <phoneticPr fontId="43" type="noConversion"/>
  </si>
  <si>
    <t>서울 8호선</t>
    <phoneticPr fontId="43" type="noConversion"/>
  </si>
  <si>
    <t>대전 편성당 량수</t>
    <phoneticPr fontId="43" type="noConversion"/>
  </si>
  <si>
    <t>https://www.mk.co.kr/news/it/view/2021/05/440143/</t>
  </si>
  <si>
    <t>서울 9호선</t>
    <phoneticPr fontId="43" type="noConversion"/>
  </si>
  <si>
    <t>대전 수송실적</t>
    <phoneticPr fontId="43" type="noConversion"/>
  </si>
  <si>
    <t>https://www.djet.co.kr/kor/board.do?menuIdx=541&amp;bbsIdx=17410</t>
    <phoneticPr fontId="43" type="noConversion"/>
  </si>
  <si>
    <t>대전 1호선</t>
    <phoneticPr fontId="43" type="noConversion"/>
  </si>
  <si>
    <t>대전 운행횟수</t>
    <phoneticPr fontId="43" type="noConversion"/>
  </si>
  <si>
    <t>http://railway.or.kr/Papers_Conference/201611/pdf/KSR2016A066.pdf</t>
    <phoneticPr fontId="43" type="noConversion"/>
  </si>
  <si>
    <t>부산 1호선</t>
    <phoneticPr fontId="43" type="noConversion"/>
  </si>
  <si>
    <t>부산 전동차 제원</t>
    <phoneticPr fontId="43" type="noConversion"/>
  </si>
  <si>
    <t>https://www.humetro.busan.kr/homepage/chs/page/subLocation.do?menu_no=1001050403</t>
    <phoneticPr fontId="43" type="noConversion"/>
  </si>
  <si>
    <t>부산 2호선</t>
    <phoneticPr fontId="43" type="noConversion"/>
  </si>
  <si>
    <t>부산 수송실적</t>
    <phoneticPr fontId="43" type="noConversion"/>
  </si>
  <si>
    <t>http://www.kric.go.kr/jsp/industry/rss/citystapassList.jsp?q_org_cd=A010010023&amp;q_fdate=2019&amp;pageNo=2</t>
  </si>
  <si>
    <t>부산 3호선</t>
    <phoneticPr fontId="43" type="noConversion"/>
  </si>
  <si>
    <t>부산 4호선</t>
    <phoneticPr fontId="43" type="noConversion"/>
  </si>
  <si>
    <t>인천 전동차 제원</t>
    <phoneticPr fontId="43" type="noConversion"/>
  </si>
  <si>
    <t>https://www.ictr.or.kr/main/railway/major_facility/electric2.jsp</t>
  </si>
  <si>
    <t>인천 1호선</t>
    <phoneticPr fontId="43" type="noConversion"/>
  </si>
  <si>
    <t>인천 운행횟수</t>
    <phoneticPr fontId="43" type="noConversion"/>
  </si>
  <si>
    <t>https://www.ictr.or.kr/main/railway/intro.jsp</t>
    <phoneticPr fontId="43" type="noConversion"/>
  </si>
  <si>
    <t>인천 2호선</t>
    <phoneticPr fontId="43" type="noConversion"/>
  </si>
  <si>
    <t>인천 수송실적</t>
    <phoneticPr fontId="43" type="noConversion"/>
  </si>
  <si>
    <t>https://www.ictr.or.kr/main/bbs/bbsMsgDetail.do?msg_seq=201&amp;bcd=data&amp;pgno=4</t>
    <phoneticPr fontId="43" type="noConversion"/>
  </si>
  <si>
    <t>대구 1호선</t>
    <phoneticPr fontId="43" type="noConversion"/>
  </si>
  <si>
    <t>대구 장비현황</t>
    <phoneticPr fontId="43" type="noConversion"/>
  </si>
  <si>
    <t>http://www.dtro.or.kr/open_content_new/ko/sub_page/page.php?mnu_puid1=6&amp;mnu_uid=87&amp;mnu_puid2=81</t>
    <phoneticPr fontId="43" type="noConversion"/>
  </si>
  <si>
    <t>대구 2호선</t>
    <phoneticPr fontId="43" type="noConversion"/>
  </si>
  <si>
    <t>대구 2호선 운행실적</t>
    <phoneticPr fontId="43" type="noConversion"/>
  </si>
  <si>
    <t>https://www.data.go.kr/data/15060893/fileData.do</t>
    <phoneticPr fontId="43" type="noConversion"/>
  </si>
  <si>
    <t>대구 3호선</t>
    <phoneticPr fontId="43" type="noConversion"/>
  </si>
  <si>
    <t>대구 운행횟수</t>
    <phoneticPr fontId="43" type="noConversion"/>
  </si>
  <si>
    <t>공공데이터포털</t>
    <phoneticPr fontId="43" type="noConversion"/>
  </si>
  <si>
    <t>광주 1호선</t>
    <phoneticPr fontId="43" type="noConversion"/>
  </si>
  <si>
    <t>광주 전동차 제원</t>
    <phoneticPr fontId="43" type="noConversion"/>
  </si>
  <si>
    <t>https://www.data.go.kr/data/15048244/fileData.do</t>
    <phoneticPr fontId="43" type="noConversion"/>
  </si>
  <si>
    <t>부산-김해 경전철</t>
    <phoneticPr fontId="43" type="noConversion"/>
  </si>
  <si>
    <t>광주 운행횟수</t>
    <phoneticPr fontId="43" type="noConversion"/>
  </si>
  <si>
    <t>https://www.grtc.co.kr/msubway/board/view.do?rbsIdx=61&amp;idx=1092</t>
    <phoneticPr fontId="43" type="noConversion"/>
  </si>
  <si>
    <t>의정부 경전철</t>
    <phoneticPr fontId="43" type="noConversion"/>
  </si>
  <si>
    <t>부산-김해 운행횟수</t>
    <phoneticPr fontId="43" type="noConversion"/>
  </si>
  <si>
    <t>http://www2.humetro.busan.kr/homepage/cht/page/subLocation.do?menu_no=10010110</t>
    <phoneticPr fontId="43" type="noConversion"/>
  </si>
  <si>
    <t>용인경량전철</t>
    <phoneticPr fontId="43" type="noConversion"/>
  </si>
  <si>
    <t>부산-김해 편성수</t>
    <phoneticPr fontId="43" type="noConversion"/>
  </si>
  <si>
    <t>https://www.busan.go.kr/news/snsbusan01/view?bbsNo=1&amp;dataNo=34407&amp;srchThemeNo=64</t>
    <phoneticPr fontId="43" type="noConversion"/>
  </si>
  <si>
    <t>우이 신설경전철</t>
    <phoneticPr fontId="43" type="noConversion"/>
  </si>
  <si>
    <t>의정부 경전철 제원</t>
    <phoneticPr fontId="43" type="noConversion"/>
  </si>
  <si>
    <t>https://www.ulrt.co.kr/trains</t>
    <phoneticPr fontId="43" type="noConversion"/>
  </si>
  <si>
    <t>총계</t>
    <phoneticPr fontId="43" type="noConversion"/>
  </si>
  <si>
    <t>의정부 경전철 운행횟수</t>
    <phoneticPr fontId="43" type="noConversion"/>
  </si>
  <si>
    <t>https://blog.naver.com/hope_city/222102476669</t>
  </si>
  <si>
    <t>편성당 승객수</t>
    <phoneticPr fontId="43" type="noConversion"/>
  </si>
  <si>
    <t>우이신설선 운행횟수</t>
    <phoneticPr fontId="43" type="noConversion"/>
  </si>
  <si>
    <t>https://news.seoul.go.kr/citybuild/archives/229517</t>
  </si>
  <si>
    <t>2019.09.28 개통된 김포 골드라인은 제외</t>
    <phoneticPr fontId="37" type="noConversion"/>
  </si>
  <si>
    <t>광주는 대전의 운행횟수 비율 이용</t>
    <phoneticPr fontId="43" type="noConversion"/>
  </si>
  <si>
    <t>subway는 only psgr</t>
    <phoneticPr fontId="37" type="noConversion"/>
  </si>
  <si>
    <t>차종별(1)</t>
  </si>
  <si>
    <t>차종별(2)</t>
  </si>
  <si>
    <t>KTX</t>
  </si>
  <si>
    <t>-</t>
  </si>
  <si>
    <t>SRT</t>
  </si>
  <si>
    <t>기관차</t>
  </si>
  <si>
    <t>디젤 기관차</t>
  </si>
  <si>
    <t/>
  </si>
  <si>
    <t>전기기관차</t>
  </si>
  <si>
    <t>증기기관차</t>
  </si>
  <si>
    <t>동차</t>
  </si>
  <si>
    <t>디젤동차</t>
  </si>
  <si>
    <t>전기동차</t>
  </si>
  <si>
    <t>통일호 전기동차</t>
  </si>
  <si>
    <t>간선형 전기동차</t>
  </si>
  <si>
    <t>ITX- 청춘</t>
  </si>
  <si>
    <t>객차</t>
  </si>
  <si>
    <t>발전차</t>
  </si>
  <si>
    <t>화차</t>
  </si>
  <si>
    <t>난방차</t>
  </si>
  <si>
    <t>기중기</t>
  </si>
  <si>
    <t>KTX</t>
    <phoneticPr fontId="37" type="noConversion"/>
  </si>
  <si>
    <t>량</t>
    <phoneticPr fontId="37" type="noConversion"/>
  </si>
  <si>
    <t>KTX 고정수량</t>
    <phoneticPr fontId="37" type="noConversion"/>
  </si>
  <si>
    <t>KTX-산천</t>
    <phoneticPr fontId="37" type="noConversion"/>
  </si>
  <si>
    <t>SRT</t>
    <phoneticPr fontId="37" type="noConversion"/>
  </si>
  <si>
    <t>동차</t>
    <phoneticPr fontId="37" type="noConversion"/>
  </si>
  <si>
    <t>3,4</t>
    <phoneticPr fontId="37" type="noConversion"/>
  </si>
  <si>
    <t>가정치(fixed value)</t>
    <phoneticPr fontId="37" type="noConversion"/>
  </si>
  <si>
    <t>전기동차</t>
    <phoneticPr fontId="37" type="noConversion"/>
  </si>
  <si>
    <t>4,6,8</t>
    <phoneticPr fontId="37" type="noConversion"/>
  </si>
  <si>
    <t>구분</t>
    <phoneticPr fontId="37" type="noConversion"/>
  </si>
  <si>
    <t>고속철도</t>
    <phoneticPr fontId="37" type="noConversion"/>
  </si>
  <si>
    <t>고정편성</t>
    <phoneticPr fontId="37" type="noConversion"/>
  </si>
  <si>
    <t>디젤기관차</t>
    <phoneticPr fontId="37" type="noConversion"/>
  </si>
  <si>
    <t>freight&amp;
passenger</t>
    <phoneticPr fontId="37" type="noConversion"/>
  </si>
  <si>
    <t>유동편성</t>
    <phoneticPr fontId="37" type="noConversion"/>
  </si>
  <si>
    <t>50% passenger 가정</t>
    <phoneticPr fontId="37" type="noConversion"/>
  </si>
  <si>
    <t>전기기관차</t>
    <phoneticPr fontId="37" type="noConversion"/>
  </si>
  <si>
    <t>기관차에 객차나 화차를 연결하여 무궁화호, 새누리호나 화물주의 발주량에 따라 유동적으로 화물열차로 이용</t>
    <phoneticPr fontId="37" type="noConversion"/>
  </si>
  <si>
    <t>디젤동차</t>
    <phoneticPr fontId="37" type="noConversion"/>
  </si>
  <si>
    <t>passenger</t>
  </si>
  <si>
    <t>간선형전기동차(ITX-새마을)</t>
    <phoneticPr fontId="37" type="noConversion"/>
  </si>
  <si>
    <t>ITX-청춘(동차)</t>
    <phoneticPr fontId="37" type="noConversion"/>
  </si>
  <si>
    <t>기타</t>
    <phoneticPr fontId="37" type="noConversion"/>
  </si>
  <si>
    <t>객차</t>
    <phoneticPr fontId="37" type="noConversion"/>
  </si>
  <si>
    <t>발전차</t>
    <phoneticPr fontId="37" type="noConversion"/>
  </si>
  <si>
    <t>화차</t>
    <phoneticPr fontId="37" type="noConversion"/>
  </si>
  <si>
    <t>기중기</t>
    <phoneticPr fontId="37" type="noConversion"/>
  </si>
  <si>
    <t>기관차마다 낼 수 있는 출력(마력)이 다르고 이에 따라 견인할 수 있는 톤수가 다름</t>
    <phoneticPr fontId="37" type="noConversion"/>
  </si>
  <si>
    <t>구간별, 선로별로 견인할 수 있는 용량이 다름. 따라서 모두 반영하기 어렵기 때문에 가정치를 사용</t>
    <phoneticPr fontId="37" type="noConversion"/>
  </si>
  <si>
    <t>고속철도를 제외한 편성(ex, 1편성 30량)은 가정치를 통해 할당</t>
    <phoneticPr fontId="37" type="noConversion"/>
  </si>
  <si>
    <t>기관차에 의해 견인되는 발전차, 객차, 화차, 기중기는 편성수 산정에서 제외(부수적인 역할임)</t>
    <phoneticPr fontId="37" type="noConversion"/>
  </si>
  <si>
    <t>디젤기관차, 전기기관차는 각 1대를 1편성으로 사용</t>
    <phoneticPr fontId="37" type="noConversion"/>
  </si>
  <si>
    <t>일반열차(ex 무궁화호)는 고속열차나 우등열차와 다르게 정기적인 운행을 하지 않으며</t>
    <phoneticPr fontId="37" type="noConversion"/>
  </si>
  <si>
    <t>필요에 따라 기관차에 객차, 화차를 붙여 편성하기에 passenger, freight 할당할 때 50%씩 가정치 사용</t>
    <phoneticPr fontId="37" type="noConversion"/>
  </si>
  <si>
    <t>항공사</t>
    <phoneticPr fontId="37" type="noConversion"/>
  </si>
  <si>
    <t>용도</t>
    <phoneticPr fontId="37" type="noConversion"/>
  </si>
  <si>
    <t>기종</t>
    <phoneticPr fontId="37" type="noConversion"/>
  </si>
  <si>
    <t>비행기(수)</t>
    <phoneticPr fontId="37" type="noConversion"/>
  </si>
  <si>
    <t>회전익(수)</t>
    <phoneticPr fontId="37" type="noConversion"/>
  </si>
  <si>
    <t>class</t>
    <phoneticPr fontId="37" type="noConversion"/>
  </si>
  <si>
    <t>count</t>
    <phoneticPr fontId="37" type="noConversion"/>
  </si>
  <si>
    <t>unitless</t>
    <phoneticPr fontId="37" type="noConversion"/>
  </si>
  <si>
    <t>국내, 국제</t>
    <phoneticPr fontId="37" type="noConversion"/>
  </si>
  <si>
    <t>대한항공</t>
    <phoneticPr fontId="37" type="noConversion"/>
  </si>
  <si>
    <t>여객기</t>
    <phoneticPr fontId="37" type="noConversion"/>
  </si>
  <si>
    <t>B747-400</t>
    <phoneticPr fontId="37" type="noConversion"/>
  </si>
  <si>
    <t>government</t>
    <phoneticPr fontId="37" type="noConversion"/>
  </si>
  <si>
    <t>B747-8</t>
    <phoneticPr fontId="37" type="noConversion"/>
  </si>
  <si>
    <t>domestic industries</t>
  </si>
  <si>
    <t>B777-200/300/300ER</t>
    <phoneticPr fontId="37" type="noConversion"/>
  </si>
  <si>
    <t>labor and consumers</t>
    <phoneticPr fontId="37" type="noConversion"/>
  </si>
  <si>
    <t>B787-9</t>
    <phoneticPr fontId="37" type="noConversion"/>
  </si>
  <si>
    <t>foreign entities</t>
    <phoneticPr fontId="37" type="noConversion"/>
  </si>
  <si>
    <t>B737-800/900/900ER</t>
    <phoneticPr fontId="37" type="noConversion"/>
  </si>
  <si>
    <t>sum</t>
    <phoneticPr fontId="37" type="noConversion"/>
  </si>
  <si>
    <t>A330-200/300</t>
    <phoneticPr fontId="37" type="noConversion"/>
  </si>
  <si>
    <t>A380-800</t>
    <phoneticPr fontId="37" type="noConversion"/>
  </si>
  <si>
    <t>BD-500-1A11</t>
    <phoneticPr fontId="37" type="noConversion"/>
  </si>
  <si>
    <t>소계</t>
    <phoneticPr fontId="37" type="noConversion"/>
  </si>
  <si>
    <t>화물기</t>
    <phoneticPr fontId="37" type="noConversion"/>
  </si>
  <si>
    <t>B747-400F</t>
    <phoneticPr fontId="37" type="noConversion"/>
  </si>
  <si>
    <t>B747-8F</t>
    <phoneticPr fontId="37" type="noConversion"/>
  </si>
  <si>
    <t>total</t>
    <phoneticPr fontId="37" type="noConversion"/>
  </si>
  <si>
    <t>B777F</t>
    <phoneticPr fontId="37" type="noConversion"/>
  </si>
  <si>
    <t>result</t>
    <phoneticPr fontId="37" type="noConversion"/>
  </si>
  <si>
    <t>아시아나항공</t>
    <phoneticPr fontId="37" type="noConversion"/>
  </si>
  <si>
    <t>B777-200</t>
    <phoneticPr fontId="37" type="noConversion"/>
  </si>
  <si>
    <t>여객기 추가</t>
    <phoneticPr fontId="37" type="noConversion"/>
  </si>
  <si>
    <t>B767-300</t>
    <phoneticPr fontId="37" type="noConversion"/>
  </si>
  <si>
    <t>회전익</t>
    <phoneticPr fontId="37" type="noConversion"/>
  </si>
  <si>
    <t>A321-100/200</t>
    <phoneticPr fontId="37" type="noConversion"/>
  </si>
  <si>
    <t>A330-300</t>
    <phoneticPr fontId="37" type="noConversion"/>
  </si>
  <si>
    <t>A320-200</t>
    <phoneticPr fontId="37" type="noConversion"/>
  </si>
  <si>
    <t>A350-900</t>
    <phoneticPr fontId="37" type="noConversion"/>
  </si>
  <si>
    <t>B767-300F</t>
    <phoneticPr fontId="37" type="noConversion"/>
  </si>
  <si>
    <t>제주항공</t>
    <phoneticPr fontId="37" type="noConversion"/>
  </si>
  <si>
    <t>B737-800</t>
    <phoneticPr fontId="37" type="noConversion"/>
  </si>
  <si>
    <t>진에어</t>
    <phoneticPr fontId="37" type="noConversion"/>
  </si>
  <si>
    <t>에어부산</t>
    <phoneticPr fontId="37" type="noConversion"/>
  </si>
  <si>
    <t>A321-200</t>
    <phoneticPr fontId="37" type="noConversion"/>
  </si>
  <si>
    <t>이스타항공</t>
    <phoneticPr fontId="37" type="noConversion"/>
  </si>
  <si>
    <t>B737-8</t>
    <phoneticPr fontId="37" type="noConversion"/>
  </si>
  <si>
    <t>B737-900ER</t>
    <phoneticPr fontId="37" type="noConversion"/>
  </si>
  <si>
    <t>티웨이항공</t>
    <phoneticPr fontId="37" type="noConversion"/>
  </si>
  <si>
    <t>에어서울</t>
    <phoneticPr fontId="37" type="noConversion"/>
  </si>
  <si>
    <t>에어인천</t>
    <phoneticPr fontId="37" type="noConversion"/>
  </si>
  <si>
    <t>B737-400F</t>
    <phoneticPr fontId="37" type="noConversion"/>
  </si>
  <si>
    <t>플라이강원</t>
    <phoneticPr fontId="37" type="noConversion"/>
  </si>
  <si>
    <t>코리아익스프레스</t>
    <phoneticPr fontId="37" type="noConversion"/>
  </si>
  <si>
    <t>에어포항</t>
    <phoneticPr fontId="37" type="noConversion"/>
  </si>
  <si>
    <t>스타항공우주</t>
    <phoneticPr fontId="37" type="noConversion"/>
  </si>
  <si>
    <t>헬리코리아</t>
    <phoneticPr fontId="37" type="noConversion"/>
  </si>
  <si>
    <t>에어필립</t>
    <phoneticPr fontId="37" type="noConversion"/>
  </si>
  <si>
    <t>하이에어</t>
    <phoneticPr fontId="37" type="noConversion"/>
  </si>
  <si>
    <t>운송용소계</t>
    <phoneticPr fontId="37" type="noConversion"/>
  </si>
  <si>
    <t>사용사업</t>
    <phoneticPr fontId="37" type="noConversion"/>
  </si>
  <si>
    <t>홍익항공 등 59개사</t>
    <phoneticPr fontId="37" type="noConversion"/>
  </si>
  <si>
    <t>비사업</t>
    <phoneticPr fontId="37" type="noConversion"/>
  </si>
  <si>
    <t>교육기관</t>
    <phoneticPr fontId="37" type="noConversion"/>
  </si>
  <si>
    <t>보도기관</t>
    <phoneticPr fontId="37" type="noConversion"/>
  </si>
  <si>
    <t>정부기관(국토교통부)</t>
    <phoneticPr fontId="37" type="noConversion"/>
  </si>
  <si>
    <t>국가기관(소방/산림)</t>
    <phoneticPr fontId="37" type="noConversion"/>
  </si>
  <si>
    <t>기타(LG전자 등 18개사)</t>
    <phoneticPr fontId="37" type="noConversion"/>
  </si>
  <si>
    <t>총계</t>
    <phoneticPr fontId="37" type="noConversion"/>
  </si>
  <si>
    <t>소형항공</t>
    <phoneticPr fontId="37" type="noConversion"/>
  </si>
  <si>
    <t>자가용</t>
    <phoneticPr fontId="37" type="noConversion"/>
  </si>
  <si>
    <t>합계</t>
    <phoneticPr fontId="37" type="noConversion"/>
  </si>
  <si>
    <t>비즈니스(비행기)</t>
    <phoneticPr fontId="37" type="noConversion"/>
  </si>
  <si>
    <t>활공기, 비행선은 연료를 소모하지 않는다고 가정하고 제외</t>
    <phoneticPr fontId="37" type="noConversion"/>
  </si>
  <si>
    <t>gov: 비사업(기타 제외)</t>
    <phoneticPr fontId="37" type="noConversion"/>
  </si>
  <si>
    <t>indst: 국내, 국제, 소형(운송용사업)&amp; 사용사업&amp; 기타</t>
    <phoneticPr fontId="37" type="noConversion"/>
  </si>
  <si>
    <t>consumer: 표2 합계</t>
    <phoneticPr fontId="37" type="noConversion"/>
  </si>
  <si>
    <t>여객선</t>
    <phoneticPr fontId="37" type="noConversion"/>
  </si>
  <si>
    <t>화물선</t>
    <phoneticPr fontId="37" type="noConversion"/>
  </si>
  <si>
    <t>유조선</t>
    <phoneticPr fontId="37" type="noConversion"/>
  </si>
  <si>
    <t>예선</t>
    <phoneticPr fontId="37" type="noConversion"/>
  </si>
  <si>
    <t>부선</t>
    <phoneticPr fontId="37" type="noConversion"/>
  </si>
  <si>
    <t>기타선</t>
    <phoneticPr fontId="37" type="noConversion"/>
  </si>
  <si>
    <t>(척)</t>
    <phoneticPr fontId="37" type="noConversion"/>
  </si>
  <si>
    <t>여객선만 passenger로 구분, 화물선, 유조선은 freight로 구분 나머지는 제외</t>
    <phoneticPr fontId="37" type="noConversion"/>
  </si>
  <si>
    <t> 8,420</t>
  </si>
  <si>
    <t> 665</t>
  </si>
  <si>
    <t> 717</t>
  </si>
  <si>
    <t> 824</t>
  </si>
  <si>
    <t> 1,045</t>
  </si>
  <si>
    <t> 1,041</t>
  </si>
  <si>
    <t> 1,386</t>
  </si>
  <si>
    <t> 969</t>
  </si>
  <si>
    <t> 1,773</t>
  </si>
  <si>
    <t> 8,410</t>
  </si>
  <si>
    <t> 666</t>
  </si>
  <si>
    <t> 706</t>
  </si>
  <si>
    <t> 829</t>
  </si>
  <si>
    <t> 1,388</t>
  </si>
  <si>
    <t> 960</t>
  </si>
  <si>
    <t> 1,771</t>
  </si>
  <si>
    <t> 8,423</t>
  </si>
  <si>
    <t> 669</t>
  </si>
  <si>
    <t> 700</t>
  </si>
  <si>
    <t> 827</t>
  </si>
  <si>
    <t> 1,055</t>
  </si>
  <si>
    <t> 1,050</t>
  </si>
  <si>
    <t> 1,402</t>
  </si>
  <si>
    <t> 1,760</t>
  </si>
  <si>
    <t> 여객선</t>
  </si>
  <si>
    <t> 335</t>
  </si>
  <si>
    <t> 52</t>
  </si>
  <si>
    <t> 81</t>
  </si>
  <si>
    <t> 42</t>
  </si>
  <si>
    <t> 27</t>
  </si>
  <si>
    <t> 48</t>
  </si>
  <si>
    <t> 46</t>
  </si>
  <si>
    <t> 17</t>
  </si>
  <si>
    <t> 22</t>
  </si>
  <si>
    <t> 334</t>
  </si>
  <si>
    <t> 50</t>
  </si>
  <si>
    <t> 43</t>
  </si>
  <si>
    <t> 29</t>
  </si>
  <si>
    <t> 44</t>
  </si>
  <si>
    <t> 47</t>
  </si>
  <si>
    <t> 23</t>
  </si>
  <si>
    <t> 336</t>
  </si>
  <si>
    <t> 51</t>
  </si>
  <si>
    <t> 31</t>
  </si>
  <si>
    <t> 45</t>
  </si>
  <si>
    <t> 18</t>
  </si>
  <si>
    <t>예선(Tug-Boat)의 경우, 특수선박으로써 다른 선박의 이/접안용도로 사용되어 passenger or freight 에서 제외</t>
    <phoneticPr fontId="37" type="noConversion"/>
  </si>
  <si>
    <t> 화물선</t>
  </si>
  <si>
    <t> 671</t>
  </si>
  <si>
    <t> 74</t>
  </si>
  <si>
    <t> 105</t>
  </si>
  <si>
    <t> 135</t>
  </si>
  <si>
    <t> 102</t>
  </si>
  <si>
    <t> 55</t>
  </si>
  <si>
    <t> 667</t>
  </si>
  <si>
    <t> 72</t>
  </si>
  <si>
    <t> 106</t>
  </si>
  <si>
    <t> 134</t>
  </si>
  <si>
    <t> 100</t>
  </si>
  <si>
    <t> 668</t>
  </si>
  <si>
    <t> 49</t>
  </si>
  <si>
    <t> 70</t>
  </si>
  <si>
    <t> 104</t>
  </si>
  <si>
    <t>부선 또한, 대부분 자가 동력이 없으므로 제외</t>
    <phoneticPr fontId="37" type="noConversion"/>
  </si>
  <si>
    <t> 유조선</t>
  </si>
  <si>
    <t> 715</t>
  </si>
  <si>
    <t> 62</t>
  </si>
  <si>
    <t> 65</t>
  </si>
  <si>
    <t> 131</t>
  </si>
  <si>
    <t> 89</t>
  </si>
  <si>
    <t> 71</t>
  </si>
  <si>
    <t> 145</t>
  </si>
  <si>
    <t> 710</t>
  </si>
  <si>
    <t> 63</t>
  </si>
  <si>
    <t> 129</t>
  </si>
  <si>
    <t> 144</t>
  </si>
  <si>
    <t> 711</t>
  </si>
  <si>
    <t> 61</t>
  </si>
  <si>
    <t> 128</t>
  </si>
  <si>
    <t> 90</t>
  </si>
  <si>
    <t> 107</t>
  </si>
  <si>
    <t> 69</t>
  </si>
  <si>
    <t> 143</t>
  </si>
  <si>
    <t> 예선</t>
  </si>
  <si>
    <t> 1,077</t>
  </si>
  <si>
    <t> 59</t>
  </si>
  <si>
    <t> 130</t>
  </si>
  <si>
    <t> 457</t>
  </si>
  <si>
    <t> 1,075</t>
  </si>
  <si>
    <t> 58</t>
  </si>
  <si>
    <t> 126</t>
  </si>
  <si>
    <t> 458</t>
  </si>
  <si>
    <t> 1,079</t>
  </si>
  <si>
    <t> 127</t>
  </si>
  <si>
    <t>Inventory Adjustment</t>
  </si>
  <si>
    <t> 부선</t>
  </si>
  <si>
    <t> 1,610</t>
  </si>
  <si>
    <t> 109</t>
  </si>
  <si>
    <t> 174</t>
  </si>
  <si>
    <t> 392</t>
  </si>
  <si>
    <t> 216</t>
  </si>
  <si>
    <t> 448</t>
  </si>
  <si>
    <t> 1,607</t>
  </si>
  <si>
    <t> 82</t>
  </si>
  <si>
    <t> 108</t>
  </si>
  <si>
    <t> 146</t>
  </si>
  <si>
    <t> 176</t>
  </si>
  <si>
    <t> 390</t>
  </si>
  <si>
    <t> 217</t>
  </si>
  <si>
    <t> 444</t>
  </si>
  <si>
    <t> 1,609</t>
  </si>
  <si>
    <t> 78</t>
  </si>
  <si>
    <t> 148</t>
  </si>
  <si>
    <t> 399</t>
  </si>
  <si>
    <t> 212</t>
  </si>
  <si>
    <t> 442</t>
  </si>
  <si>
    <t>2016 shipping emissions (MMT)</t>
  </si>
  <si>
    <t> 기타</t>
  </si>
  <si>
    <t> 4,012</t>
  </si>
  <si>
    <t> 397</t>
  </si>
  <si>
    <t> 311</t>
  </si>
  <si>
    <t> 414</t>
  </si>
  <si>
    <t> 561</t>
  </si>
  <si>
    <t> 640</t>
  </si>
  <si>
    <t> 613</t>
  </si>
  <si>
    <t> 480</t>
  </si>
  <si>
    <t> 596</t>
  </si>
  <si>
    <t> 4,017</t>
  </si>
  <si>
    <t> 404</t>
  </si>
  <si>
    <t> 303</t>
  </si>
  <si>
    <t> 419</t>
  </si>
  <si>
    <t> 559</t>
  </si>
  <si>
    <t> 648</t>
  </si>
  <si>
    <t> 475</t>
  </si>
  <si>
    <t> 4,020</t>
  </si>
  <si>
    <t> 403</t>
  </si>
  <si>
    <t> 302</t>
  </si>
  <si>
    <t> 417</t>
  </si>
  <si>
    <t> 566</t>
  </si>
  <si>
    <t> 614</t>
  </si>
  <si>
    <t> 479</t>
  </si>
  <si>
    <t> 591</t>
  </si>
  <si>
    <t>adjustment factor</t>
  </si>
  <si>
    <t> 톤수 (톤)</t>
  </si>
  <si>
    <t> 합계</t>
  </si>
  <si>
    <t> 19,973,477</t>
  </si>
  <si>
    <t> 3,256,337</t>
  </si>
  <si>
    <t> 3,079,406</t>
  </si>
  <si>
    <t> 4,779,564</t>
  </si>
  <si>
    <t> 4,527,666</t>
  </si>
  <si>
    <t> 1,095,344</t>
  </si>
  <si>
    <t> 2,086,757</t>
  </si>
  <si>
    <t> 595,123</t>
  </si>
  <si>
    <t> 553,281</t>
  </si>
  <si>
    <t> 19,523,129</t>
  </si>
  <si>
    <t> 3,243,936</t>
  </si>
  <si>
    <t> 2,816,187</t>
  </si>
  <si>
    <t> 4,775,875</t>
  </si>
  <si>
    <t> 4,447,681</t>
  </si>
  <si>
    <t> 1,061,875</t>
  </si>
  <si>
    <t> 2,029,119</t>
  </si>
  <si>
    <t> 595,863</t>
  </si>
  <si>
    <t> 552,593</t>
  </si>
  <si>
    <t> 19,621,539</t>
  </si>
  <si>
    <t> 3,279,191</t>
  </si>
  <si>
    <t> 2,690,605</t>
  </si>
  <si>
    <t> 4,871,047</t>
  </si>
  <si>
    <t> 4,457,536</t>
  </si>
  <si>
    <t> 1,196,792</t>
  </si>
  <si>
    <t> 2,079,627</t>
  </si>
  <si>
    <t> 501,713</t>
  </si>
  <si>
    <t> 545,028</t>
  </si>
  <si>
    <t> 141,365</t>
  </si>
  <si>
    <t> 13,937</t>
  </si>
  <si>
    <t> 53,870</t>
  </si>
  <si>
    <t> 11,108</t>
  </si>
  <si>
    <t> 10,463</t>
  </si>
  <si>
    <t> 23,403</t>
  </si>
  <si>
    <t> 23,607</t>
  </si>
  <si>
    <t> 2,568</t>
  </si>
  <si>
    <t> 2,409</t>
  </si>
  <si>
    <t> 143,055</t>
  </si>
  <si>
    <t> 13,520</t>
  </si>
  <si>
    <t> 11,266</t>
  </si>
  <si>
    <t> 10,824</t>
  </si>
  <si>
    <t> 22,672</t>
  </si>
  <si>
    <t> 25,678</t>
  </si>
  <si>
    <t> 2,657</t>
  </si>
  <si>
    <t> 143,226</t>
  </si>
  <si>
    <t> 13,619</t>
  </si>
  <si>
    <t> 54,237</t>
  </si>
  <si>
    <t> 10,800</t>
  </si>
  <si>
    <t> 11,443</t>
  </si>
  <si>
    <t> 22,236</t>
  </si>
  <si>
    <t> 25,976</t>
  </si>
  <si>
    <t> 2,357</t>
  </si>
  <si>
    <t> 2,558</t>
  </si>
  <si>
    <t> 14,164,932</t>
  </si>
  <si>
    <t> 3,069,741</t>
  </si>
  <si>
    <t> 1,526,734</t>
  </si>
  <si>
    <t> 4,207,758</t>
  </si>
  <si>
    <t> 3,273,202</t>
  </si>
  <si>
    <t> 577,110</t>
  </si>
  <si>
    <t> 1,132,662</t>
  </si>
  <si>
    <t> 200,414</t>
  </si>
  <si>
    <t> 177,310</t>
  </si>
  <si>
    <t> 13,881,988</t>
  </si>
  <si>
    <t> 1,408,982</t>
  </si>
  <si>
    <t> 4,210,030</t>
  </si>
  <si>
    <t> 3,181,123</t>
  </si>
  <si>
    <t> 557,380</t>
  </si>
  <si>
    <t> 1,076,914</t>
  </si>
  <si>
    <t> 177,403</t>
  </si>
  <si>
    <t> 13,963,758</t>
  </si>
  <si>
    <t> 3,104,617</t>
  </si>
  <si>
    <t> 1,284,681</t>
  </si>
  <si>
    <t> 4,293,547</t>
  </si>
  <si>
    <t> 3,182,023</t>
  </si>
  <si>
    <t> 604,779</t>
  </si>
  <si>
    <t> 1,121,631</t>
  </si>
  <si>
    <t> 200,027</t>
  </si>
  <si>
    <t> 172,452</t>
  </si>
  <si>
    <t> 3,436,653</t>
  </si>
  <si>
    <t> 65,086</t>
  </si>
  <si>
    <t> 1,330,195</t>
  </si>
  <si>
    <t> 108,377</t>
  </si>
  <si>
    <t> 776,944</t>
  </si>
  <si>
    <t> 273,778</t>
  </si>
  <si>
    <t> 656,751</t>
  </si>
  <si>
    <t> 212,046</t>
  </si>
  <si>
    <t> 13,476</t>
  </si>
  <si>
    <t> 3,270,333</t>
  </si>
  <si>
    <t> 56,642</t>
  </si>
  <si>
    <t> 1,176,141</t>
  </si>
  <si>
    <t> 108,572</t>
  </si>
  <si>
    <t> 779,245</t>
  </si>
  <si>
    <t> 268,442</t>
  </si>
  <si>
    <t> 655,943</t>
  </si>
  <si>
    <t> 211,952</t>
  </si>
  <si>
    <t> 13,396</t>
  </si>
  <si>
    <t> 3,285,756</t>
  </si>
  <si>
    <t> 58,009</t>
  </si>
  <si>
    <t> 1,174,143</t>
  </si>
  <si>
    <t> 119,481</t>
  </si>
  <si>
    <t> 788,012</t>
  </si>
  <si>
    <t> 356,659</t>
  </si>
  <si>
    <t> 656,520</t>
  </si>
  <si>
    <t> 120,491</t>
  </si>
  <si>
    <t> 12,441</t>
  </si>
  <si>
    <t> 142,760</t>
  </si>
  <si>
    <t> 13,901</t>
  </si>
  <si>
    <t> 25,412</t>
  </si>
  <si>
    <t> 24,279</t>
  </si>
  <si>
    <t> 9,703</t>
  </si>
  <si>
    <t> 5,784</t>
  </si>
  <si>
    <t> 15,543</t>
  </si>
  <si>
    <t> 12,739</t>
  </si>
  <si>
    <t> 35,398</t>
  </si>
  <si>
    <t> 141,651</t>
  </si>
  <si>
    <t> 13,449</t>
  </si>
  <si>
    <t> 25,321</t>
  </si>
  <si>
    <t> 23,849</t>
  </si>
  <si>
    <t> 9,656</t>
  </si>
  <si>
    <t> 5,794</t>
  </si>
  <si>
    <t> 15,905</t>
  </si>
  <si>
    <t> 12,243</t>
  </si>
  <si>
    <t> 35,433</t>
  </si>
  <si>
    <t> 141,965</t>
  </si>
  <si>
    <t> 25,960</t>
  </si>
  <si>
    <t> 23,210</t>
  </si>
  <si>
    <t> 6,385</t>
  </si>
  <si>
    <t> 15,753</t>
  </si>
  <si>
    <t> 12,181</t>
  </si>
  <si>
    <t> 35,370</t>
  </si>
  <si>
    <t> 1,857,746</t>
  </si>
  <si>
    <t> 49,598</t>
  </si>
  <si>
    <t> 94,805</t>
  </si>
  <si>
    <t> 401,571</t>
  </si>
  <si>
    <t> 421,693</t>
  </si>
  <si>
    <t> 197,146</t>
  </si>
  <si>
    <t> 239,436</t>
  </si>
  <si>
    <t> 153,518</t>
  </si>
  <si>
    <t> 299,979</t>
  </si>
  <si>
    <t> 1,855,254</t>
  </si>
  <si>
    <t> 46,450</t>
  </si>
  <si>
    <t> 103,469</t>
  </si>
  <si>
    <t> 393,347</t>
  </si>
  <si>
    <t> 433,641</t>
  </si>
  <si>
    <t> 188,787</t>
  </si>
  <si>
    <t> 236,385</t>
  </si>
  <si>
    <t> 155,058</t>
  </si>
  <si>
    <t> 298,117</t>
  </si>
  <si>
    <t> 1,856,571</t>
  </si>
  <si>
    <t> 46,171</t>
  </si>
  <si>
    <t> 103,139</t>
  </si>
  <si>
    <t> 395,226</t>
  </si>
  <si>
    <t> 432,822</t>
  </si>
  <si>
    <t> 188,105</t>
  </si>
  <si>
    <t> 241,405</t>
  </si>
  <si>
    <t> 152,796</t>
  </si>
  <si>
    <t> 296,907</t>
  </si>
  <si>
    <t> 230,022</t>
  </si>
  <si>
    <t> 44,074</t>
  </si>
  <si>
    <t>통계표</t>
  </si>
  <si>
    <t>구분</t>
  </si>
  <si>
    <t>관용</t>
  </si>
  <si>
    <t>자가용</t>
  </si>
  <si>
    <t>시도명</t>
  </si>
  <si>
    <t>경형</t>
  </si>
  <si>
    <t>소형</t>
  </si>
  <si>
    <t>중형</t>
  </si>
  <si>
    <t>대형</t>
  </si>
  <si>
    <t>세종</t>
  </si>
  <si>
    <t>category</t>
    <phoneticPr fontId="37" type="noConversion"/>
  </si>
  <si>
    <t>중형, 소형</t>
    <phoneticPr fontId="37" type="noConversion"/>
  </si>
  <si>
    <t>경형, 대형</t>
    <phoneticPr fontId="37" type="noConversion"/>
  </si>
  <si>
    <t>한국의 오토바이는 배달오토바이가 대다수이며, 이를 별도로 등록하거나 구분한 자료는 찾을 수 없었음</t>
    <phoneticPr fontId="37" type="noConversion"/>
  </si>
  <si>
    <t>따라서 소형, 중형 오토바이는 배달용(freight) &amp; 경형, 대형은 레저용(passenger)으로 가정하여 목록을 구체화시킴</t>
    <phoneticPr fontId="37" type="noConversion"/>
  </si>
  <si>
    <t>DV</t>
    <phoneticPr fontId="37" type="noConversion"/>
  </si>
  <si>
    <t>battery electric vehicle</t>
    <phoneticPr fontId="37" type="noConversion"/>
  </si>
  <si>
    <t>연료별 수</t>
    <phoneticPr fontId="37" type="noConversion"/>
  </si>
  <si>
    <t>연료별 비율</t>
    <phoneticPr fontId="37" type="noConversion"/>
  </si>
  <si>
    <t>DV-per fuel sheet를 바탕으로 계산한 연료별 차량 비율로 이를 DV sheet에서 이용함</t>
    <phoneticPr fontId="37" type="noConversion"/>
  </si>
  <si>
    <t>비율이 100%가 아닌 이유는 연료별 구분 중 기타연료 차량들을 제외하고 산정하였기 때문이다.</t>
    <phoneticPr fontId="37" type="noConversion"/>
  </si>
  <si>
    <t>=&gt; natural gas = CNG + LNG</t>
    <phoneticPr fontId="37" type="noConversion"/>
  </si>
  <si>
    <t>ships</t>
    <phoneticPr fontId="37" type="noConversion"/>
  </si>
  <si>
    <t>선박 디젤, 가솔린별 비율 구분용도</t>
    <phoneticPr fontId="37" type="noConversion"/>
  </si>
  <si>
    <t>결과표 가정</t>
    <phoneticPr fontId="37" type="noConversion"/>
  </si>
  <si>
    <t>1000 Bbl</t>
    <phoneticPr fontId="37" type="noConversion"/>
  </si>
  <si>
    <t>비율</t>
    <phoneticPr fontId="37" type="noConversion"/>
  </si>
  <si>
    <t>디젤</t>
    <phoneticPr fontId="37" type="noConversion"/>
  </si>
  <si>
    <t>가솔린</t>
    <phoneticPr fontId="37" type="noConversion"/>
  </si>
  <si>
    <t>LPG</t>
    <phoneticPr fontId="37" type="noConversion"/>
  </si>
  <si>
    <t>Number of Vehicles</t>
  </si>
  <si>
    <t>LDVs</t>
  </si>
  <si>
    <t>HDVs</t>
  </si>
  <si>
    <t>aircraft</t>
  </si>
  <si>
    <t>rail</t>
  </si>
  <si>
    <t>ships</t>
  </si>
  <si>
    <t>motorbikes</t>
  </si>
  <si>
    <t>Vehicle registration statistics on Dec. 2020</t>
    <phoneticPr fontId="37" type="noConversion"/>
  </si>
  <si>
    <t>2025.07</t>
    <phoneticPr fontId="37" type="noConversion"/>
  </si>
  <si>
    <t>2020년 12월</t>
  </si>
  <si>
    <t>조회년월: 2025.07</t>
    <phoneticPr fontId="37" type="noConversion"/>
  </si>
  <si>
    <t>특수용도형 계</t>
  </si>
  <si>
    <t>특수용도형(고소작업차)</t>
  </si>
  <si>
    <t>특수용도형(고가사다리소방차)</t>
  </si>
  <si>
    <t>특수용도형(오가크레인)</t>
  </si>
  <si>
    <t>특수용도형(피견인형)</t>
  </si>
  <si>
    <t>특수용도형(기타)</t>
  </si>
  <si>
    <t>이륜차</t>
  </si>
  <si>
    <t>통계년월:</t>
  </si>
  <si>
    <t>2020.12</t>
  </si>
  <si>
    <t>※전월말 신고현황 :  2,287,836대</t>
  </si>
  <si>
    <t>※전월말 대비증감현황 :  1,173대</t>
  </si>
  <si>
    <t>General passenger vehicle, domestically produced, under 800cc</t>
  </si>
  <si>
    <t>General passenger vehicle, domestically produced, under 1000cc</t>
  </si>
  <si>
    <t>General passenger vehicle, domestically produced, under 1500cc</t>
  </si>
  <si>
    <t>General passenger vehicle, domestically produced, under 2000cc</t>
  </si>
  <si>
    <t>General passenger vehicle, domestically produced, under 2500cc</t>
  </si>
  <si>
    <t>General passenger vehicle, domestically produced, under 3000cc</t>
  </si>
  <si>
    <t>General passenger vehicle, domestically produced, under 3500cc</t>
  </si>
  <si>
    <t>General passenger vehicle, domestically produced, under 4000cc</t>
  </si>
  <si>
    <t>General passenger vehicle, domestically produced, under 4500cc</t>
  </si>
  <si>
    <t>General passenger vehicle, domestically produced, under 5000cc</t>
  </si>
  <si>
    <t>General passenger vehicle, domestically produced, over 5000cc</t>
  </si>
  <si>
    <t>General passenger vehicle, domestically produced, low-speed electric</t>
  </si>
  <si>
    <t>General passenger vehicle, domestically produced, electric</t>
  </si>
  <si>
    <t xml:space="preserve">Total </t>
  </si>
  <si>
    <t xml:space="preserve">Passenger Vehicle Total </t>
  </si>
  <si>
    <t xml:space="preserve">Passenger Vehicles (General) Total </t>
  </si>
  <si>
    <t>Passenger Vehicles (Domestic) Subtotal</t>
  </si>
  <si>
    <t>Passenger general vehicle, imported, under 800cc</t>
  </si>
  <si>
    <t>Passenger general vehicle, imported, under 1000cc</t>
  </si>
  <si>
    <t>Passenger general vehicle, imported, under 1500cc</t>
  </si>
  <si>
    <t>Passenger general vehicle, imported, under 2000cc</t>
  </si>
  <si>
    <t>Passenger general vehicle, imported, under 2500cc</t>
  </si>
  <si>
    <t>Passenger general vehicle, imported, under 3000cc</t>
  </si>
  <si>
    <t>Passenger general vehicle, imported, under 3500cc</t>
  </si>
  <si>
    <t>Passenger general vehicle, imported, under 4000cc</t>
  </si>
  <si>
    <t>Passenger general vehicle, imported, under 4500cc</t>
  </si>
  <si>
    <t>Passenger general vehicle, imported, under 5000cc</t>
  </si>
  <si>
    <t>Passenger general vehicle, imported, over 5000cc</t>
  </si>
  <si>
    <t>Passenger general vehicle, imported, low-speed electric</t>
  </si>
  <si>
    <t>Passenger general vehicle, imported, electric</t>
  </si>
  <si>
    <t>Passenger general type imported subtotal</t>
  </si>
  <si>
    <t>Passenger and cargo vehicles under 1500cc</t>
  </si>
  <si>
    <t>Passenger and cargo vehicles under 2000cc</t>
  </si>
  <si>
    <t>Passenger and cargo vehicles under 2500cc</t>
  </si>
  <si>
    <t>Passenger and cargo vehicles under 3000cc</t>
  </si>
  <si>
    <t>Passenger and cargo vehicles under 3500cc</t>
  </si>
  <si>
    <t>Passenger and cargo vehicles over 3500cc</t>
  </si>
  <si>
    <t>Passenger and cargo vehicles low-speed electric</t>
  </si>
  <si>
    <t>Passenger and cargo vehicles electric</t>
  </si>
  <si>
    <t>Passenger and cargo vehicle</t>
  </si>
  <si>
    <t>Passenger multi-purpose vehicle: less than 1500 cc</t>
  </si>
  <si>
    <t>Passenger multi-purpose vehicle: less than 2000 cc</t>
  </si>
  <si>
    <t>Passenger multi-purpose vehicle: less than 2500 cc</t>
  </si>
  <si>
    <t>Passenger multi-purpose vehicle: less than 3000 cc</t>
  </si>
  <si>
    <t>Passenger multi-purpose vehicle: less than 3500 cc</t>
  </si>
  <si>
    <t>Passenger multi-purpose vehicle: 3500 cc or more</t>
  </si>
  <si>
    <t>Passenger multi-purpose vehicle: low-speed electric</t>
  </si>
  <si>
    <t>Passenger multi-purpose vehicle: electric</t>
  </si>
  <si>
    <t>Passenger multipurpose type</t>
  </si>
  <si>
    <t>Other passenger vehicles: less than 2000 cc</t>
  </si>
  <si>
    <t>Other passenger vehicles: less than 2500 cc</t>
  </si>
  <si>
    <t>Other passenger vehicles: less than 3000 cc</t>
  </si>
  <si>
    <t>Other passenger vehicles: less than 3500 cc</t>
  </si>
  <si>
    <t>Other passenger vehicles: 3500 cc or more</t>
  </si>
  <si>
    <t>Other passenger vehicles: low-speed electric</t>
  </si>
  <si>
    <t>Other passenger vehicles: less than 1500 cc</t>
  </si>
  <si>
    <t>Other passenger vehicles: electric</t>
  </si>
  <si>
    <t>Passenger guitar type</t>
  </si>
  <si>
    <t>van total</t>
  </si>
  <si>
    <t>City Bus</t>
  </si>
  <si>
    <t>Intercity Bus</t>
  </si>
  <si>
    <t>Chartered Bus</t>
  </si>
  <si>
    <t>Express Bus</t>
  </si>
  <si>
    <t>Rural Bus</t>
  </si>
  <si>
    <t>Village Bus</t>
  </si>
  <si>
    <t>General type of shared bus</t>
  </si>
  <si>
    <t>General Other Types of Passenger Cars</t>
  </si>
  <si>
    <t>Passenger vans: 15 or fewer</t>
  </si>
  <si>
    <t>Passenger vans: 25 or fewer</t>
  </si>
  <si>
    <t>Passenger vans: 35 or fewer</t>
  </si>
  <si>
    <t>Passenger vans: 50 or fewer</t>
  </si>
  <si>
    <t>Passenger vans: 51 or more</t>
  </si>
  <si>
    <t>Special Operations (Aerial Work Platform)</t>
  </si>
  <si>
    <t>Special Operations (High-Rise Ladder Fire Truck)</t>
  </si>
  <si>
    <t>Special Operations (O-Gar Crane)</t>
  </si>
  <si>
    <t>Special Operations (Towed)</t>
  </si>
  <si>
    <t>Special Operations (Other)</t>
  </si>
  <si>
    <t>Ambulance</t>
  </si>
  <si>
    <t>Headcar</t>
  </si>
  <si>
    <t>Blood donation and blood collection vehicles</t>
  </si>
  <si>
    <t>Broadcast and press vehicles</t>
  </si>
  <si>
    <t>Towing vans</t>
  </si>
  <si>
    <t>Special vans</t>
  </si>
  <si>
    <t>Other</t>
  </si>
  <si>
    <t>Cargo pickup type</t>
  </si>
  <si>
    <t>Cargo cargo type</t>
  </si>
  <si>
    <t>Cargo Cargo Type: 1 ton or less</t>
  </si>
  <si>
    <t>Cargo Cargo Type: 3 ton or less</t>
  </si>
  <si>
    <t>Cargo Cargo Type: 5 ton or less</t>
  </si>
  <si>
    <t>Cargo Cargo Type: 8 ton or less</t>
  </si>
  <si>
    <t>Cargo Cargo Type: 10 ton or less</t>
  </si>
  <si>
    <t>Cargo Cargo Type: 12 ton or less</t>
  </si>
  <si>
    <t>Cargo Cargo Type: 12 ton or more</t>
  </si>
  <si>
    <t>Cargo dump type</t>
  </si>
  <si>
    <t>Cargo dump trucks: 1 ton or less</t>
  </si>
  <si>
    <t>Cargo dump trucks: 5 ton or less</t>
  </si>
  <si>
    <t>Cargo dump trucks: 12 ton or less</t>
  </si>
  <si>
    <t>Cargo dump trucks: 12 ton or more</t>
  </si>
  <si>
    <t>Cargo Van: 1 ton or less</t>
  </si>
  <si>
    <t>Cargo Van: 5 tons or less</t>
  </si>
  <si>
    <t>Cargo Van: 5 tons or more</t>
  </si>
  <si>
    <t>Cargo van type</t>
  </si>
  <si>
    <t>Special-purpose cargo vehicles (cleaners)</t>
  </si>
  <si>
    <t>Special-purpose cargo vehicles (road sweepers)</t>
  </si>
  <si>
    <t>Special-purpose cargo vehicles (water sprinklers)</t>
  </si>
  <si>
    <t>Special-purpose cargo vehicles (fire trucks)</t>
  </si>
  <si>
    <t>Special-purpose cargo vehicles (refrigerated and refrigerated trucks)</t>
  </si>
  <si>
    <t>Special-purpose cargo vehicles (grain and feed transport)</t>
  </si>
  <si>
    <t>Special cargo type</t>
  </si>
  <si>
    <t>Tanker (Aviation Fuel)</t>
  </si>
  <si>
    <t>Tanker (Gasoline)</t>
  </si>
  <si>
    <t>Tanker (Kerosene, Diesel)</t>
  </si>
  <si>
    <t>Tanker (Banker C)</t>
  </si>
  <si>
    <t>Tanker (Other)</t>
  </si>
  <si>
    <t>Tanker subtotal</t>
  </si>
  <si>
    <t>Tank Lorries (Drinking Water, Beverages)</t>
  </si>
  <si>
    <t>Tank Lorries (Compressed Gas)</t>
  </si>
  <si>
    <t>Tank Lorries (Chemicals)</t>
  </si>
  <si>
    <t>Tank Lorries (Other)</t>
  </si>
  <si>
    <t>Towed Vehicle (Loaded Type)</t>
  </si>
  <si>
    <t>Towed Vehicle (Low Floor)</t>
  </si>
  <si>
    <t>Towed Vehicle (Flatbed)</t>
  </si>
  <si>
    <t>Towed Vehicle (Container Chassis)</t>
  </si>
  <si>
    <t>Towed Vehicle (Other)</t>
  </si>
  <si>
    <t>Tow Vehicle Subtotal</t>
  </si>
  <si>
    <t>Rescue vehicles weighing 5 tons or less</t>
  </si>
  <si>
    <t>Rescue vehicles weighing less than 10 tons</t>
  </si>
  <si>
    <t>Rescue vehicles weighing 10 tons or more</t>
  </si>
  <si>
    <t>Special cargo type (other)</t>
  </si>
  <si>
    <t>Special automobile total</t>
  </si>
  <si>
    <t>Rescue car total</t>
  </si>
  <si>
    <t>Tow truck total</t>
  </si>
  <si>
    <t>Towing vehicles weighing 5 tons or less</t>
  </si>
  <si>
    <t>Towing vehicles weighing less than 10 tons</t>
  </si>
  <si>
    <t>Towing vehicles weighing 10 tons or more</t>
  </si>
  <si>
    <t>Special work type</t>
  </si>
  <si>
    <t>By car type</t>
  </si>
  <si>
    <t>Total</t>
  </si>
  <si>
    <t>Passenger general type domestic subtotal</t>
  </si>
  <si>
    <t>Passenger general type</t>
  </si>
  <si>
    <t>Total passenger cars</t>
  </si>
  <si>
    <t>Passenger Bus</t>
  </si>
  <si>
    <t>Other Types</t>
  </si>
  <si>
    <t>Passenger vans: 25 or fewer passengers</t>
  </si>
  <si>
    <t>Passenger vans: 35 or fewer passengers</t>
  </si>
  <si>
    <t>Passenger vans: 50 or fewer passengers</t>
  </si>
  <si>
    <t>Passenger vans: 51 or more passengers</t>
  </si>
  <si>
    <t>Marine diesel and gasoline ratio classification for each purpose</t>
  </si>
  <si>
    <t>This is the vehicle ratio by fuel type calculated based on the DV-per fuel sheet, and is used in the DV sheet.</t>
  </si>
  <si>
    <t>The ratio is not 100% because it excludes other fuel vehicles from the fuel type classification.</t>
  </si>
  <si>
    <t>=&gt; Natural gas = CNG + LNG</t>
  </si>
  <si>
    <t>Number by fuel</t>
  </si>
  <si>
    <t>Ratio by fuel</t>
  </si>
  <si>
    <t>Passenger</t>
  </si>
  <si>
    <t>Passenger Cargo</t>
  </si>
  <si>
    <t>Cargo</t>
  </si>
  <si>
    <t>Special Vehicles</t>
  </si>
  <si>
    <t>Subtotal</t>
  </si>
  <si>
    <t>Business</t>
  </si>
  <si>
    <t>Non-business</t>
  </si>
  <si>
    <t>business</t>
  </si>
  <si>
    <t>total</t>
  </si>
  <si>
    <t>by fuel</t>
  </si>
  <si>
    <t>View date</t>
  </si>
  <si>
    <t>By city/province</t>
  </si>
  <si>
    <t>By type</t>
  </si>
  <si>
    <t>gas</t>
  </si>
  <si>
    <t>LPG</t>
  </si>
  <si>
    <t>Electric</t>
  </si>
  <si>
    <t>Hybrid (gasoline + electric)</t>
  </si>
  <si>
    <t>solar</t>
  </si>
  <si>
    <t>Hybrid (diesel + electric)</t>
  </si>
  <si>
    <t>Hybrid (LPG + Electric)</t>
  </si>
  <si>
    <t>Hybrid (CNG+electric)</t>
  </si>
  <si>
    <t>Hybrid (LNG + Electric)</t>
  </si>
  <si>
    <t>hydrogen</t>
  </si>
  <si>
    <t>Other fuel</t>
  </si>
  <si>
    <t>Aggregate</t>
  </si>
  <si>
    <t>Country</t>
  </si>
  <si>
    <t>Group</t>
  </si>
  <si>
    <t>Maker/Brand</t>
  </si>
  <si>
    <t>Korea</t>
  </si>
  <si>
    <t>Toyota Group</t>
  </si>
  <si>
    <t>Toyota</t>
  </si>
  <si>
    <t>HV</t>
  </si>
  <si>
    <t>ICE</t>
  </si>
  <si>
    <t>N/A</t>
  </si>
  <si>
    <t>PHV</t>
  </si>
  <si>
    <t>Lexus</t>
  </si>
  <si>
    <t>EV</t>
  </si>
  <si>
    <t>VW Group</t>
  </si>
  <si>
    <t>VW</t>
  </si>
  <si>
    <t>Audi</t>
  </si>
  <si>
    <t>Porsche (2013-)</t>
  </si>
  <si>
    <t>Bentley</t>
  </si>
  <si>
    <t>Lamborghini</t>
  </si>
  <si>
    <t>Hyundai Kia Automotive Group</t>
  </si>
  <si>
    <t>Hyundai</t>
  </si>
  <si>
    <t>FCV</t>
  </si>
  <si>
    <t>Kia</t>
  </si>
  <si>
    <t>Genesis</t>
  </si>
  <si>
    <t>Stellantis</t>
  </si>
  <si>
    <t>Jeep (2021-)</t>
  </si>
  <si>
    <t>Maserati (2021-)</t>
  </si>
  <si>
    <t>MHV</t>
  </si>
  <si>
    <t>Peugeot (2021-)</t>
  </si>
  <si>
    <t>Citroen (2021-)</t>
  </si>
  <si>
    <t>DS (2021-)</t>
  </si>
  <si>
    <t>GM Group</t>
  </si>
  <si>
    <t>Chevrolet</t>
  </si>
  <si>
    <t>GMC</t>
  </si>
  <si>
    <t>Cadillac</t>
  </si>
  <si>
    <t>Damas</t>
  </si>
  <si>
    <t>Labo</t>
  </si>
  <si>
    <t>Ford Group</t>
  </si>
  <si>
    <t>Ford</t>
  </si>
  <si>
    <t>Lincoln</t>
  </si>
  <si>
    <t>Tesla</t>
  </si>
  <si>
    <t>Nissan</t>
  </si>
  <si>
    <t>Infiniti</t>
  </si>
  <si>
    <t>Honda</t>
  </si>
  <si>
    <t>Geely Holding Group</t>
  </si>
  <si>
    <t>Volvo Cars (2011-)</t>
  </si>
  <si>
    <t>MHV/PHV</t>
  </si>
  <si>
    <t>Polestar</t>
  </si>
  <si>
    <t>Mercedes-Benz Group</t>
  </si>
  <si>
    <t>Mercedes-Benz (2022-)</t>
  </si>
  <si>
    <t>Daimler Group (-2021)</t>
  </si>
  <si>
    <t>Mercedes-Benz (-2021)</t>
  </si>
  <si>
    <t>BMW Group</t>
  </si>
  <si>
    <t>BMW</t>
  </si>
  <si>
    <t>MINI</t>
  </si>
  <si>
    <t>Rolls-Royce</t>
  </si>
  <si>
    <t>PSA</t>
  </si>
  <si>
    <t>Peugeot (-2020)</t>
  </si>
  <si>
    <t>Citroen (-2020)</t>
  </si>
  <si>
    <t>Opel/Chevrolet (2018-20)</t>
  </si>
  <si>
    <t>DS (-2020)</t>
  </si>
  <si>
    <t>FCA</t>
  </si>
  <si>
    <t>Jeep (2009-20)</t>
  </si>
  <si>
    <t>Maserati (-2020)</t>
  </si>
  <si>
    <t>Renault</t>
  </si>
  <si>
    <t>Renault Samsung (-2021)</t>
  </si>
  <si>
    <t>Renault Korea</t>
  </si>
  <si>
    <t>Tata Group</t>
  </si>
  <si>
    <t>Land Rover (2008-)</t>
  </si>
  <si>
    <t>Jaguar (2008-)</t>
  </si>
  <si>
    <t>Tata/Daewoo</t>
  </si>
  <si>
    <t>Mahindra &amp; Mahindra</t>
  </si>
  <si>
    <t>Ssangyong (2011-)</t>
  </si>
  <si>
    <t>KG Group</t>
  </si>
  <si>
    <t>KGM</t>
  </si>
  <si>
    <t>Daewoo Bus Corporation</t>
  </si>
  <si>
    <t>Sales</t>
  </si>
  <si>
    <t>Powertrain</t>
  </si>
  <si>
    <t>Country / Region</t>
  </si>
  <si>
    <t>Source: Marklines</t>
  </si>
  <si>
    <t>PHEV breakdown</t>
  </si>
  <si>
    <t>Marklines</t>
  </si>
  <si>
    <t>Share:</t>
  </si>
  <si>
    <t>Hybrids --&gt; ICE</t>
  </si>
  <si>
    <t>Hybrids --&gt; PHEVs</t>
  </si>
  <si>
    <t>Hybrids+PHEVs</t>
  </si>
  <si>
    <t>산업종류별(1)</t>
  </si>
  <si>
    <t>산업종류별(2)</t>
  </si>
  <si>
    <t>제품별(1)</t>
  </si>
  <si>
    <t>2020</t>
  </si>
  <si>
    <t>수송별</t>
  </si>
  <si>
    <t>해운</t>
  </si>
  <si>
    <t>휘발유</t>
  </si>
  <si>
    <t>A중유</t>
  </si>
  <si>
    <t>B중유</t>
  </si>
  <si>
    <t>C중유</t>
  </si>
  <si>
    <t>용제</t>
  </si>
  <si>
    <t>부생연료유</t>
  </si>
  <si>
    <t>○ 통계표ID</t>
  </si>
  <si>
    <t>○ 통계표명</t>
  </si>
  <si>
    <t>○ 조회기간</t>
  </si>
  <si>
    <t>○ 출처</t>
  </si>
  <si>
    <t>○ 자료다운일자</t>
  </si>
  <si>
    <t>○ 통계표URL</t>
  </si>
  <si>
    <t>* KOSIS 개편 시 통계표 URL은 달라질 수 있음</t>
  </si>
  <si>
    <t>○ 단위</t>
  </si>
  <si>
    <t>천배럴</t>
  </si>
  <si>
    <t>근거</t>
  </si>
  <si>
    <t>휘발유 = 가솔린, 동일 연료</t>
  </si>
  <si>
    <t>중간 유분, 난방·항공유 계열. EPS에서는 디젤 계열로 처리</t>
  </si>
  <si>
    <t>경유 = 디젤, 동일 연료</t>
  </si>
  <si>
    <t>경유와 혼합 비율 높음, 선박·산업용 디젤 계열</t>
  </si>
  <si>
    <t>중질유이나 EPS에서는 디젤 계열로 통합 처리</t>
  </si>
  <si>
    <t>중질유(Residual Fuel Oil), 디젤 계열로 처리</t>
  </si>
  <si>
    <t>나프타·솔벤트 계열, 경질 유분으로 가솔린 계열로 분류</t>
  </si>
  <si>
    <t>동일</t>
  </si>
  <si>
    <t>석유화학 공정 부산물, 주로 중유 계열로 디젤에 포함</t>
  </si>
  <si>
    <t>EPS 분류기준</t>
    <phoneticPr fontId="37" type="noConversion"/>
  </si>
  <si>
    <t>Page 303, Oil consumption of the domestic transport sector</t>
    <phoneticPr fontId="37" type="noConversion"/>
  </si>
  <si>
    <t>National transport statistics 2021</t>
    <phoneticPr fontId="37" type="noConversion"/>
  </si>
  <si>
    <t>https://www.ktdb.go.kr/www/selectPblcteWebList.do?key=39&amp;searchLclasCode=PBL03</t>
    <phoneticPr fontId="37" type="noConversion"/>
  </si>
  <si>
    <t>연도별 차량 보유현황 (출처: 「한국철도통계」, 한국철도공사)</t>
    <phoneticPr fontId="37" type="noConversion"/>
  </si>
  <si>
    <t>고속철도차량</t>
  </si>
  <si>
    <t>KTX-이음</t>
  </si>
  <si>
    <t>2020 구분별 편성수</t>
    <phoneticPr fontId="37" type="noConversion"/>
  </si>
  <si>
    <t>(단위: 칸)</t>
    <phoneticPr fontId="37" type="noConversion"/>
  </si>
  <si>
    <t>reference: wikipedia (https://ko.wikipedia.org/wiki/KTX_(%EC%B0%A8%EB%9F%89))</t>
    <phoneticPr fontId="37" type="noConversion"/>
  </si>
  <si>
    <t>KTX-이음</t>
    <phoneticPr fontId="37" type="noConversion"/>
  </si>
  <si>
    <t>KTX-산천의 사용량 = (2020년 기준 KTX 소계 - KTX 도입량)/편성량 량수 - 22</t>
    <phoneticPr fontId="37" type="noConversion"/>
  </si>
  <si>
    <t>SRT = 2020년 기준 SRT 소계/편성당 량수 + 22</t>
    <phoneticPr fontId="37" type="noConversion"/>
  </si>
  <si>
    <t>* SR 사에서 KTX-산천차량 22편성 대여하여 사용중</t>
    <phoneticPr fontId="37" type="noConversion"/>
  </si>
  <si>
    <t>편성당 량수(칸수) 구분</t>
    <phoneticPr fontId="37" type="noConversion"/>
  </si>
  <si>
    <t>운영기관별(1)</t>
  </si>
  <si>
    <t>보유차량</t>
  </si>
  <si>
    <t>1~5년</t>
  </si>
  <si>
    <t>6~10년</t>
  </si>
  <si>
    <t>11~15년</t>
  </si>
  <si>
    <t>16~20년</t>
  </si>
  <si>
    <t>21~25년</t>
  </si>
  <si>
    <t>26년 이상</t>
  </si>
  <si>
    <t>서울교통공사</t>
  </si>
  <si>
    <t>서울시메트로9호선㈜</t>
  </si>
  <si>
    <t>서울교통공사9호선운영부문</t>
  </si>
  <si>
    <t>부산교통공사</t>
  </si>
  <si>
    <t>대구교통공사</t>
  </si>
  <si>
    <t>인천교통공사</t>
  </si>
  <si>
    <t>광주교통공사</t>
  </si>
  <si>
    <t>대전교통공사</t>
  </si>
  <si>
    <t>부산-김해경전철㈜</t>
  </si>
  <si>
    <t>의정부경량전철㈜</t>
  </si>
  <si>
    <t>용인경량전철㈜</t>
  </si>
  <si>
    <t>우이신설경전철㈜</t>
  </si>
  <si>
    <t>편성당 량수</t>
    <phoneticPr fontId="37" type="noConversion"/>
  </si>
  <si>
    <t>편성수</t>
    <phoneticPr fontId="37" type="noConversion"/>
  </si>
  <si>
    <t>DT_357001_CE001</t>
  </si>
  <si>
    <t>차령별 차량 보유현황</t>
  </si>
  <si>
    <t xml:space="preserve">[년] 2020~2020  </t>
  </si>
  <si>
    <t>「한국철도통계」, 한국철도공사</t>
  </si>
  <si>
    <t>2026.03.19 16:02</t>
  </si>
  <si>
    <t>https://kosis.kr/statHtml/statHtml.do?orgId=357&amp;tblId=DT_357001_CE001&amp;conn_path=I3</t>
  </si>
  <si>
    <t>칸</t>
  </si>
  <si>
    <t>신정지선</t>
    <phoneticPr fontId="37" type="noConversion"/>
  </si>
  <si>
    <t>성수지선</t>
    <phoneticPr fontId="37" type="noConversion"/>
  </si>
  <si>
    <t>외선내선 순환</t>
    <phoneticPr fontId="37" type="noConversion"/>
  </si>
  <si>
    <t>편수</t>
    <phoneticPr fontId="37" type="noConversion"/>
  </si>
  <si>
    <t>2호선 종류</t>
    <phoneticPr fontId="37" type="noConversion"/>
  </si>
  <si>
    <t>보유량</t>
    <phoneticPr fontId="37" type="noConversion"/>
  </si>
  <si>
    <t>*reference: https://ko.wikipedia.org/wiki/%EC%84%9C%EC%9A%B8_%EC%A7%80%ED%95%98%EC%B2%A0_2%ED%98%B8%EC%84%A0</t>
    <phoneticPr fontId="37" type="noConversion"/>
  </si>
  <si>
    <t>[Reference : 2019]</t>
    <phoneticPr fontId="37" type="noConversion"/>
  </si>
  <si>
    <t>* 참고: 2호선 편성당 량수 계산</t>
    <phoneticPr fontId="37" type="noConversion"/>
  </si>
  <si>
    <t>항공사</t>
  </si>
  <si>
    <t>용도</t>
  </si>
  <si>
    <t>기종</t>
  </si>
  <si>
    <t>대수</t>
  </si>
  <si>
    <t>20년 이하</t>
  </si>
  <si>
    <t>20년 초과</t>
  </si>
  <si>
    <t>평균기령</t>
  </si>
  <si>
    <t>대한항공</t>
  </si>
  <si>
    <t>여객기</t>
  </si>
  <si>
    <t>B747-400</t>
  </si>
  <si>
    <t>B747-8</t>
  </si>
  <si>
    <t>B777-200/300/300ER</t>
  </si>
  <si>
    <t>B787-9</t>
  </si>
  <si>
    <t>B737-800/900/900ER</t>
  </si>
  <si>
    <t>A330-200/300</t>
  </si>
  <si>
    <t>A380-800</t>
  </si>
  <si>
    <t>BD-500-1A11</t>
  </si>
  <si>
    <t>소 계</t>
  </si>
  <si>
    <t>화물기</t>
  </si>
  <si>
    <t>B747-400F</t>
  </si>
  <si>
    <t>B747-8F</t>
  </si>
  <si>
    <t>B777F</t>
  </si>
  <si>
    <t>합 계</t>
  </si>
  <si>
    <t>아시아나항공</t>
  </si>
  <si>
    <t>B777-200</t>
  </si>
  <si>
    <t>B767-300</t>
  </si>
  <si>
    <t>A321-100/200/200NEO</t>
  </si>
  <si>
    <t>A330-300</t>
  </si>
  <si>
    <t>A320-200</t>
  </si>
  <si>
    <t>A350-900</t>
  </si>
  <si>
    <t>B747-400/400F/100SF/400BDSF</t>
  </si>
  <si>
    <t>B767-300F</t>
  </si>
  <si>
    <t>제주항공</t>
  </si>
  <si>
    <t>B737-800</t>
  </si>
  <si>
    <t>진에어</t>
  </si>
  <si>
    <t>에어부산</t>
  </si>
  <si>
    <t>A321-200/200NEO</t>
  </si>
  <si>
    <t>이스타항공</t>
  </si>
  <si>
    <t>B737-8</t>
  </si>
  <si>
    <t>B737-900ER</t>
  </si>
  <si>
    <t>티웨이항공</t>
  </si>
  <si>
    <t>에어서울</t>
  </si>
  <si>
    <t>A321-200</t>
  </si>
  <si>
    <t>에어인천</t>
  </si>
  <si>
    <t>B737-400F</t>
  </si>
  <si>
    <t>플라이강원</t>
  </si>
  <si>
    <t>에어로케이</t>
  </si>
  <si>
    <t>총 계</t>
  </si>
  <si>
    <t>자료: 국토교통부 항공기술과</t>
  </si>
  <si>
    <t>기령별 항공기 현황 ('20.12월 기준)</t>
  </si>
  <si>
    <t>2) 업체별 항공기 현황 ('20.12월 기준)</t>
  </si>
  <si>
    <t>항공기 구분</t>
  </si>
  <si>
    <t>소유자</t>
  </si>
  <si>
    <t>비행기</t>
  </si>
  <si>
    <t>회전익</t>
  </si>
  <si>
    <t>비행선</t>
  </si>
  <si>
    <t>운송용</t>
  </si>
  <si>
    <t>국내·국제</t>
  </si>
  <si>
    <t>코리아익스프레스</t>
  </si>
  <si>
    <t>(주)더스카이</t>
  </si>
  <si>
    <t>에어포항</t>
  </si>
  <si>
    <t>스타항공우주</t>
  </si>
  <si>
    <t>헬리코리아</t>
  </si>
  <si>
    <t>에어필립</t>
  </si>
  <si>
    <t>하이에어</t>
  </si>
  <si>
    <t>운송용 소계</t>
  </si>
  <si>
    <t>사용사업</t>
  </si>
  <si>
    <t>교육기관(10)</t>
  </si>
  <si>
    <t>보도기관(2)</t>
  </si>
  <si>
    <t>정부기관(국토교통부)</t>
  </si>
  <si>
    <t>국가기관(소방/산림)</t>
  </si>
  <si>
    <t>기타(LG전자 등 18개사)</t>
  </si>
  <si>
    <t>구 분</t>
  </si>
  <si>
    <t>소형항공</t>
  </si>
  <si>
    <t>비즈니스(비행기)</t>
  </si>
  <si>
    <t>https://www.airportal.go.kr/ebook/ebookList.do?id=2</t>
    <phoneticPr fontId="37" type="noConversion"/>
  </si>
  <si>
    <t>Pocket aviation status 2021</t>
    <phoneticPr fontId="37" type="noConversion"/>
  </si>
  <si>
    <t>에어로케이</t>
    <phoneticPr fontId="37" type="noConversion"/>
  </si>
  <si>
    <t>㈜ 더스카이</t>
    <phoneticPr fontId="3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</si>
</sst>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###0.00_)"/>
    <numFmt numFmtId="167" formatCode="#,##0_)"/>
    <numFmt numFmtId="168" formatCode="#,##0_ "/>
    <numFmt numFmtId="169" formatCode="0_ "/>
    <numFmt numFmtId="170" formatCode="0_);[Red]\(0\)"/>
    <numFmt numFmtId="171" formatCode="0.000%"/>
  </numFmts>
  <fonts count="8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Helv"/>
    </font>
    <font>
      <b/>
      <sz val="10"/>
      <name val="Helv"/>
    </font>
    <font>
      <b/>
      <sz val="14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color theme="1"/>
      <name val="Calibri"/>
      <family val="2"/>
      <charset val="129"/>
      <scheme val="minor"/>
    </font>
    <font>
      <sz val="10"/>
      <name val="HELV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9"/>
      <name val="Helv"/>
    </font>
    <font>
      <sz val="8.5"/>
      <name val="Helv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P-AVGARD"/>
    </font>
    <font>
      <sz val="6"/>
      <name val="P-AVGARD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2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color theme="1"/>
      <name val="Calibri"/>
      <family val="3"/>
      <charset val="129"/>
      <scheme val="minor"/>
    </font>
    <font>
      <b/>
      <sz val="10"/>
      <color theme="1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Calibri"/>
      <family val="3"/>
      <charset val="129"/>
      <scheme val="minor"/>
    </font>
    <font>
      <sz val="11"/>
      <color rgb="FF202122"/>
      <name val="Arial"/>
      <family val="2"/>
    </font>
    <font>
      <sz val="11"/>
      <color rgb="FF202122"/>
      <name val="맑은 고딕"/>
      <family val="3"/>
      <charset val="129"/>
    </font>
    <font>
      <sz val="11"/>
      <color rgb="FF202122"/>
      <name val="Arial"/>
      <family val="3"/>
      <charset val="129"/>
    </font>
    <font>
      <sz val="11"/>
      <color rgb="FFFF0000"/>
      <name val="맑은 고딕"/>
      <family val="3"/>
      <charset val="129"/>
    </font>
    <font>
      <sz val="11"/>
      <color rgb="FFFF0000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Calibri"/>
      <family val="3"/>
      <charset val="129"/>
      <scheme val="minor"/>
    </font>
    <font>
      <sz val="10"/>
      <name val="Calibri"/>
      <family val="3"/>
      <charset val="129"/>
      <scheme val="minor"/>
    </font>
    <font>
      <sz val="10"/>
      <color theme="1"/>
      <name val="Calibri"/>
      <family val="2"/>
      <scheme val="minor"/>
    </font>
    <font>
      <sz val="11"/>
      <name val="Calibri"/>
      <family val="3"/>
      <charset val="129"/>
      <scheme val="minor"/>
    </font>
    <font>
      <b/>
      <sz val="10"/>
      <name val="Calibri"/>
      <family val="3"/>
      <charset val="129"/>
      <scheme val="minor"/>
    </font>
    <font>
      <b/>
      <sz val="11"/>
      <name val="Calibri"/>
      <family val="3"/>
      <charset val="129"/>
      <scheme val="minor"/>
    </font>
    <font>
      <sz val="10"/>
      <color rgb="FFFF0000"/>
      <name val="Calibri"/>
      <family val="3"/>
      <charset val="129"/>
      <scheme val="minor"/>
    </font>
    <font>
      <sz val="9"/>
      <color rgb="FF000000"/>
      <name val="Dotum"/>
      <family val="3"/>
    </font>
    <font>
      <sz val="11"/>
      <color rgb="FFFF0000"/>
      <name val="Calibri"/>
      <family val="2"/>
      <scheme val="minor"/>
    </font>
    <font>
      <sz val="11"/>
      <color rgb="FFFF0000"/>
      <name val="Calibri"/>
      <family val="3"/>
      <charset val="129"/>
      <scheme val="minor"/>
    </font>
    <font>
      <sz val="11"/>
      <name val="돋움"/>
      <family val="3"/>
      <charset val="129"/>
    </font>
    <font>
      <sz val="11"/>
      <color theme="0"/>
      <name val="Calibri"/>
      <family val="3"/>
      <charset val="129"/>
      <scheme val="minor"/>
    </font>
    <font>
      <b/>
      <sz val="11"/>
      <color rgb="FFFA7D00"/>
      <name val="Calibri"/>
      <family val="3"/>
      <charset val="129"/>
      <scheme val="minor"/>
    </font>
    <font>
      <sz val="11"/>
      <color rgb="FF9C0006"/>
      <name val="Calibri"/>
      <family val="3"/>
      <charset val="129"/>
      <scheme val="minor"/>
    </font>
    <font>
      <sz val="11"/>
      <color rgb="FF9C6500"/>
      <name val="Calibri"/>
      <family val="3"/>
      <charset val="129"/>
      <scheme val="minor"/>
    </font>
    <font>
      <i/>
      <sz val="11"/>
      <color rgb="FF7F7F7F"/>
      <name val="Calibri"/>
      <family val="3"/>
      <charset val="129"/>
      <scheme val="minor"/>
    </font>
    <font>
      <b/>
      <sz val="11"/>
      <color theme="0"/>
      <name val="Calibri"/>
      <family val="3"/>
      <charset val="129"/>
      <scheme val="minor"/>
    </font>
    <font>
      <sz val="11"/>
      <color rgb="FFFA7D00"/>
      <name val="Calibri"/>
      <family val="3"/>
      <charset val="129"/>
      <scheme val="minor"/>
    </font>
    <font>
      <sz val="11"/>
      <color rgb="FF3F3F76"/>
      <name val="Calibri"/>
      <family val="3"/>
      <charset val="129"/>
      <scheme val="minor"/>
    </font>
    <font>
      <b/>
      <sz val="18"/>
      <color theme="3"/>
      <name val="Cambria"/>
      <family val="3"/>
      <charset val="129"/>
      <scheme val="major"/>
    </font>
    <font>
      <b/>
      <sz val="15"/>
      <color theme="3"/>
      <name val="Calibri"/>
      <family val="3"/>
      <charset val="129"/>
      <scheme val="minor"/>
    </font>
    <font>
      <b/>
      <sz val="13"/>
      <color theme="3"/>
      <name val="Calibri"/>
      <family val="3"/>
      <charset val="129"/>
      <scheme val="minor"/>
    </font>
    <font>
      <b/>
      <sz val="11"/>
      <color theme="3"/>
      <name val="Calibri"/>
      <family val="3"/>
      <charset val="129"/>
      <scheme val="minor"/>
    </font>
    <font>
      <sz val="11"/>
      <color rgb="FF006100"/>
      <name val="Calibri"/>
      <family val="3"/>
      <charset val="129"/>
      <scheme val="minor"/>
    </font>
    <font>
      <b/>
      <sz val="11"/>
      <color rgb="FF3F3F3F"/>
      <name val="Calibri"/>
      <family val="3"/>
      <charset val="129"/>
      <scheme val="minor"/>
    </font>
    <font>
      <b/>
      <sz val="10"/>
      <color rgb="FFFF0000"/>
      <name val="Calibri"/>
      <family val="3"/>
      <charset val="129"/>
      <scheme val="minor"/>
    </font>
    <font>
      <sz val="10"/>
      <color indexed="8"/>
      <name val="굴림"/>
      <family val="3"/>
      <charset val="129"/>
    </font>
    <font>
      <sz val="11"/>
      <name val="ＭＳ ゴシック"/>
      <family val="3"/>
      <charset val="129"/>
    </font>
    <font>
      <sz val="11"/>
      <color indexed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96FEFF"/>
        <bgColor indexed="64"/>
      </patternFill>
    </fill>
    <fill>
      <patternFill patternType="solid">
        <fgColor rgb="FFEFF7FD"/>
        <bgColor indexed="64"/>
      </patternFill>
    </fill>
    <fill>
      <patternFill patternType="solid">
        <fgColor indexed="1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9E1F2"/>
        <bgColor indexed="64"/>
      </patternFill>
    </fill>
  </fills>
  <borders count="60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BBBBBB"/>
      </right>
      <top style="medium">
        <color rgb="FFBBBBBB"/>
      </top>
      <bottom style="medium">
        <color rgb="FFBBBBBB"/>
      </bottom>
      <diagonal/>
    </border>
    <border>
      <left/>
      <right style="medium">
        <color rgb="FFBBBBBB"/>
      </right>
      <top/>
      <bottom/>
      <diagonal/>
    </border>
    <border>
      <left/>
      <right style="medium">
        <color rgb="FFBBBBBB"/>
      </right>
      <top style="medium">
        <color rgb="FFBBBBBB"/>
      </top>
      <bottom/>
      <diagonal/>
    </border>
    <border>
      <left/>
      <right style="medium">
        <color rgb="FFBBBBBB"/>
      </right>
      <top/>
      <bottom style="medium">
        <color rgb="FFBBBBBB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65">
    <xf numFmtId="0" fontId="0" fillId="0" borderId="0"/>
    <xf numFmtId="0" fontId="2" fillId="0" borderId="0"/>
    <xf numFmtId="0" fontId="2" fillId="0" borderId="1" applyNumberFormat="0" applyProtection="0">
      <alignment wrapText="1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0" fontId="2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7" fillId="0" borderId="0"/>
    <xf numFmtId="0" fontId="8" fillId="0" borderId="0">
      <alignment horizontal="left"/>
    </xf>
    <xf numFmtId="0" fontId="6" fillId="0" borderId="0"/>
    <xf numFmtId="43" fontId="7" fillId="0" borderId="0" applyFont="0" applyFill="0" applyBorder="0" applyAlignment="0" applyProtection="0"/>
    <xf numFmtId="0" fontId="6" fillId="0" borderId="0"/>
    <xf numFmtId="0" fontId="9" fillId="0" borderId="6">
      <alignment horizontal="left"/>
    </xf>
    <xf numFmtId="0" fontId="10" fillId="0" borderId="0">
      <alignment horizontal="left" vertical="top"/>
    </xf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6" borderId="0" applyNumberFormat="0" applyBorder="0" applyAlignment="0" applyProtection="0"/>
    <xf numFmtId="0" fontId="11" fillId="9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20" borderId="0" applyNumberFormat="0" applyBorder="0" applyAlignment="0" applyProtection="0"/>
    <xf numFmtId="0" fontId="13" fillId="4" borderId="0" applyNumberFormat="0" applyBorder="0" applyAlignment="0" applyProtection="0"/>
    <xf numFmtId="0" fontId="14" fillId="21" borderId="7" applyNumberFormat="0" applyAlignment="0" applyProtection="0"/>
    <xf numFmtId="0" fontId="15" fillId="22" borderId="8" applyNumberFormat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166" fontId="17" fillId="0" borderId="6" applyNumberFormat="0" applyFill="0">
      <alignment horizontal="right"/>
    </xf>
    <xf numFmtId="167" fontId="18" fillId="0" borderId="6">
      <alignment horizontal="right" vertical="center"/>
    </xf>
    <xf numFmtId="49" fontId="19" fillId="0" borderId="6">
      <alignment horizontal="left" vertical="center"/>
    </xf>
    <xf numFmtId="166" fontId="17" fillId="0" borderId="6" applyNumberFormat="0" applyFill="0">
      <alignment horizontal="right"/>
    </xf>
    <xf numFmtId="0" fontId="20" fillId="0" borderId="0" applyNumberFormat="0" applyFill="0" applyBorder="0" applyAlignment="0" applyProtection="0"/>
    <xf numFmtId="0" fontId="21" fillId="5" borderId="0" applyNumberFormat="0" applyBorder="0" applyAlignment="0" applyProtection="0"/>
    <xf numFmtId="0" fontId="22" fillId="0" borderId="9" applyNumberFormat="0" applyFill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12">
      <alignment horizontal="right" vertical="center"/>
    </xf>
    <xf numFmtId="0" fontId="26" fillId="0" borderId="6">
      <alignment horizontal="left" vertical="center"/>
    </xf>
    <xf numFmtId="0" fontId="17" fillId="0" borderId="6">
      <alignment horizontal="left" vertical="center"/>
    </xf>
    <xf numFmtId="0" fontId="9" fillId="0" borderId="6">
      <alignment horizontal="left"/>
    </xf>
    <xf numFmtId="0" fontId="9" fillId="23" borderId="0">
      <alignment horizontal="centerContinuous" wrapText="1"/>
    </xf>
    <xf numFmtId="0" fontId="27" fillId="8" borderId="7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1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7" fillId="0" borderId="0"/>
    <xf numFmtId="37" fontId="30" fillId="0" borderId="0"/>
    <xf numFmtId="0" fontId="6" fillId="0" borderId="0"/>
    <xf numFmtId="37" fontId="31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2" borderId="5" applyNumberFormat="0" applyFont="0" applyAlignment="0" applyProtection="0"/>
    <xf numFmtId="0" fontId="7" fillId="25" borderId="14" applyNumberFormat="0" applyFont="0" applyAlignment="0" applyProtection="0"/>
    <xf numFmtId="0" fontId="32" fillId="21" borderId="15" applyNumberFormat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8" fillId="0" borderId="0">
      <alignment horizontal="right"/>
    </xf>
    <xf numFmtId="0" fontId="19" fillId="0" borderId="0">
      <alignment horizontal="right"/>
    </xf>
    <xf numFmtId="49" fontId="18" fillId="0" borderId="0">
      <alignment horizontal="left" vertical="center"/>
    </xf>
    <xf numFmtId="49" fontId="19" fillId="0" borderId="6">
      <alignment horizontal="left"/>
    </xf>
    <xf numFmtId="166" fontId="18" fillId="0" borderId="0" applyNumberFormat="0">
      <alignment horizontal="right"/>
    </xf>
    <xf numFmtId="0" fontId="25" fillId="26" borderId="0">
      <alignment horizontal="centerContinuous" vertical="center" wrapText="1"/>
    </xf>
    <xf numFmtId="0" fontId="25" fillId="0" borderId="16">
      <alignment horizontal="left" vertical="center"/>
    </xf>
    <xf numFmtId="0" fontId="33" fillId="0" borderId="0" applyNumberFormat="0" applyFill="0" applyBorder="0" applyAlignment="0" applyProtection="0"/>
    <xf numFmtId="0" fontId="9" fillId="0" borderId="0">
      <alignment horizontal="left"/>
    </xf>
    <xf numFmtId="0" fontId="34" fillId="0" borderId="0">
      <alignment horizontal="left"/>
    </xf>
    <xf numFmtId="0" fontId="17" fillId="0" borderId="0">
      <alignment horizontal="left"/>
    </xf>
    <xf numFmtId="0" fontId="34" fillId="0" borderId="0">
      <alignment horizontal="left"/>
    </xf>
    <xf numFmtId="0" fontId="17" fillId="0" borderId="0">
      <alignment horizontal="left"/>
    </xf>
    <xf numFmtId="0" fontId="35" fillId="0" borderId="17" applyNumberFormat="0" applyFill="0" applyAlignment="0" applyProtection="0"/>
    <xf numFmtId="0" fontId="36" fillId="0" borderId="0" applyNumberFormat="0" applyFill="0" applyBorder="0" applyAlignment="0" applyProtection="0"/>
    <xf numFmtId="49" fontId="18" fillId="0" borderId="6">
      <alignment horizontal="left"/>
    </xf>
    <xf numFmtId="0" fontId="25" fillId="0" borderId="12">
      <alignment horizontal="left"/>
    </xf>
    <xf numFmtId="0" fontId="9" fillId="0" borderId="0">
      <alignment horizontal="left" vertical="center"/>
    </xf>
    <xf numFmtId="9" fontId="6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164" fontId="6" fillId="0" borderId="0" applyFont="0" applyFill="0" applyBorder="0" applyAlignment="0" applyProtection="0">
      <alignment vertical="center"/>
    </xf>
    <xf numFmtId="0" fontId="50" fillId="0" borderId="0" applyNumberFormat="0" applyFill="0" applyBorder="0" applyAlignment="0" applyProtection="0"/>
    <xf numFmtId="0" fontId="44" fillId="0" borderId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5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44" fillId="69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58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2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66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70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59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3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3" fillId="67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4" fillId="45" borderId="47" applyNumberFormat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39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39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44" fillId="2" borderId="5" applyNumberFormat="0" applyFont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0" fontId="68" fillId="46" borderId="50" applyNumberFormat="0" applyAlignment="0" applyProtection="0">
      <alignment vertical="center"/>
    </xf>
    <xf numFmtId="164" fontId="39" fillId="0" borderId="0" applyFont="0" applyFill="0" applyBorder="0" applyAlignment="0" applyProtection="0">
      <alignment vertical="center"/>
    </xf>
    <xf numFmtId="164" fontId="62" fillId="0" borderId="0" applyFont="0" applyFill="0" applyBorder="0" applyAlignment="0" applyProtection="0">
      <alignment vertical="center"/>
    </xf>
    <xf numFmtId="164" fontId="39" fillId="0" borderId="0" applyFont="0" applyFill="0" applyBorder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69" fillId="0" borderId="49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42" fillId="0" borderId="51" applyNumberFormat="0" applyFill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0" fillId="44" borderId="47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2" fillId="0" borderId="44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3" fillId="0" borderId="45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4" fillId="0" borderId="46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5" fillId="41" borderId="0" applyNumberFormat="0" applyBorder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76" fillId="45" borderId="48" applyNumberFormat="0" applyAlignment="0" applyProtection="0">
      <alignment vertical="center"/>
    </xf>
    <xf numFmtId="0" fontId="44" fillId="0" borderId="0">
      <alignment vertical="center"/>
    </xf>
    <xf numFmtId="0" fontId="7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64" fontId="39" fillId="0" borderId="0" applyFont="0" applyFill="0" applyBorder="0" applyAlignment="0" applyProtection="0">
      <alignment vertical="center"/>
    </xf>
    <xf numFmtId="0" fontId="80" fillId="0" borderId="0">
      <alignment vertical="center"/>
    </xf>
  </cellStyleXfs>
  <cellXfs count="238">
    <xf numFmtId="0" fontId="0" fillId="0" borderId="0" xfId="0"/>
    <xf numFmtId="1" fontId="0" fillId="0" borderId="0" xfId="0" applyNumberFormat="1"/>
    <xf numFmtId="9" fontId="0" fillId="0" borderId="0" xfId="14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/>
    </xf>
    <xf numFmtId="0" fontId="1" fillId="0" borderId="0" xfId="0" applyFont="1"/>
    <xf numFmtId="0" fontId="0" fillId="0" borderId="0" xfId="0" applyAlignment="1">
      <alignment vertical="center"/>
    </xf>
    <xf numFmtId="0" fontId="40" fillId="0" borderId="18" xfId="0" applyFont="1" applyBorder="1" applyAlignment="1">
      <alignment vertical="center"/>
    </xf>
    <xf numFmtId="0" fontId="42" fillId="0" borderId="0" xfId="0" applyFont="1"/>
    <xf numFmtId="1" fontId="42" fillId="0" borderId="0" xfId="0" applyNumberFormat="1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right" vertical="center"/>
    </xf>
    <xf numFmtId="168" fontId="0" fillId="0" borderId="0" xfId="142" applyNumberFormat="1" applyFont="1" applyAlignment="1">
      <alignment vertical="center"/>
    </xf>
    <xf numFmtId="0" fontId="4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51" fillId="0" borderId="0" xfId="143" applyFont="1" applyAlignment="1">
      <alignment horizontal="left" vertical="center"/>
    </xf>
    <xf numFmtId="0" fontId="50" fillId="0" borderId="0" xfId="143" applyAlignment="1">
      <alignment vertical="center"/>
    </xf>
    <xf numFmtId="0" fontId="50" fillId="0" borderId="0" xfId="143" applyAlignment="1">
      <alignment horizontal="left" vertical="center"/>
    </xf>
    <xf numFmtId="0" fontId="52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0" fontId="52" fillId="27" borderId="18" xfId="0" applyFont="1" applyFill="1" applyBorder="1" applyAlignment="1">
      <alignment vertical="center"/>
    </xf>
    <xf numFmtId="0" fontId="52" fillId="27" borderId="18" xfId="0" applyFont="1" applyFill="1" applyBorder="1" applyAlignment="1">
      <alignment horizontal="center" vertical="center"/>
    </xf>
    <xf numFmtId="0" fontId="40" fillId="27" borderId="18" xfId="0" applyFont="1" applyFill="1" applyBorder="1" applyAlignment="1">
      <alignment horizontal="center" vertical="center"/>
    </xf>
    <xf numFmtId="164" fontId="52" fillId="27" borderId="18" xfId="141" applyFont="1" applyFill="1" applyBorder="1">
      <alignment vertical="center"/>
    </xf>
    <xf numFmtId="0" fontId="52" fillId="28" borderId="18" xfId="0" applyFont="1" applyFill="1" applyBorder="1" applyAlignment="1">
      <alignment vertical="center"/>
    </xf>
    <xf numFmtId="0" fontId="52" fillId="0" borderId="18" xfId="0" applyFont="1" applyBorder="1" applyAlignment="1">
      <alignment vertical="center"/>
    </xf>
    <xf numFmtId="164" fontId="52" fillId="0" borderId="18" xfId="141" applyFont="1" applyFill="1" applyBorder="1">
      <alignment vertical="center"/>
    </xf>
    <xf numFmtId="164" fontId="52" fillId="0" borderId="18" xfId="141" applyFont="1" applyBorder="1">
      <alignment vertical="center"/>
    </xf>
    <xf numFmtId="0" fontId="40" fillId="28" borderId="18" xfId="0" applyFont="1" applyFill="1" applyBorder="1" applyAlignment="1">
      <alignment vertical="center"/>
    </xf>
    <xf numFmtId="164" fontId="52" fillId="0" borderId="0" xfId="141" applyFont="1" applyFill="1">
      <alignment vertical="center"/>
    </xf>
    <xf numFmtId="0" fontId="53" fillId="0" borderId="0" xfId="0" applyFont="1" applyAlignment="1">
      <alignment vertical="center"/>
    </xf>
    <xf numFmtId="0" fontId="52" fillId="0" borderId="0" xfId="0" quotePrefix="1" applyFont="1" applyAlignment="1">
      <alignment vertical="center"/>
    </xf>
    <xf numFmtId="0" fontId="52" fillId="31" borderId="18" xfId="0" applyFont="1" applyFill="1" applyBorder="1" applyAlignment="1">
      <alignment horizontal="center" vertical="center"/>
    </xf>
    <xf numFmtId="0" fontId="54" fillId="0" borderId="0" xfId="0" applyFont="1"/>
    <xf numFmtId="0" fontId="54" fillId="0" borderId="18" xfId="0" applyFont="1" applyBorder="1"/>
    <xf numFmtId="22" fontId="40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168" fontId="40" fillId="0" borderId="0" xfId="0" applyNumberFormat="1" applyFont="1" applyAlignment="1">
      <alignment vertical="center"/>
    </xf>
    <xf numFmtId="0" fontId="0" fillId="0" borderId="0" xfId="0" applyAlignment="1">
      <alignment horizontal="right" vertical="center"/>
    </xf>
    <xf numFmtId="0" fontId="40" fillId="0" borderId="0" xfId="0" applyFont="1" applyAlignment="1">
      <alignment horizontal="right" vertical="center"/>
    </xf>
    <xf numFmtId="0" fontId="0" fillId="35" borderId="18" xfId="0" applyFill="1" applyBorder="1" applyAlignment="1">
      <alignment vertical="center"/>
    </xf>
    <xf numFmtId="3" fontId="40" fillId="0" borderId="0" xfId="0" applyNumberFormat="1" applyFont="1" applyAlignment="1">
      <alignment vertical="center"/>
    </xf>
    <xf numFmtId="0" fontId="40" fillId="0" borderId="0" xfId="0" applyFont="1" applyAlignment="1">
      <alignment horizontal="left" vertical="center"/>
    </xf>
    <xf numFmtId="0" fontId="0" fillId="37" borderId="22" xfId="0" applyFill="1" applyBorder="1" applyAlignment="1">
      <alignment vertical="center"/>
    </xf>
    <xf numFmtId="3" fontId="0" fillId="0" borderId="18" xfId="0" applyNumberFormat="1" applyBorder="1" applyAlignment="1">
      <alignment horizontal="right" vertical="center"/>
    </xf>
    <xf numFmtId="0" fontId="0" fillId="37" borderId="25" xfId="0" applyFill="1" applyBorder="1" applyAlignment="1">
      <alignment vertical="center"/>
    </xf>
    <xf numFmtId="0" fontId="0" fillId="37" borderId="18" xfId="0" applyFill="1" applyBorder="1" applyAlignment="1">
      <alignment vertical="center"/>
    </xf>
    <xf numFmtId="3" fontId="40" fillId="0" borderId="18" xfId="0" applyNumberFormat="1" applyFont="1" applyBorder="1" applyAlignment="1">
      <alignment vertical="center"/>
    </xf>
    <xf numFmtId="0" fontId="40" fillId="30" borderId="0" xfId="0" applyFont="1" applyFill="1" applyAlignment="1">
      <alignment vertical="center"/>
    </xf>
    <xf numFmtId="0" fontId="1" fillId="0" borderId="0" xfId="0" applyFont="1" applyAlignment="1">
      <alignment horizontal="left" vertical="center"/>
    </xf>
    <xf numFmtId="164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0" fontId="0" fillId="0" borderId="18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10" fontId="0" fillId="0" borderId="18" xfId="0" applyNumberFormat="1" applyBorder="1" applyAlignment="1">
      <alignment vertical="center"/>
    </xf>
    <xf numFmtId="0" fontId="42" fillId="0" borderId="0" xfId="0" applyFont="1" applyAlignment="1">
      <alignment horizontal="center" vertical="center"/>
    </xf>
    <xf numFmtId="0" fontId="40" fillId="0" borderId="18" xfId="0" applyFont="1" applyBorder="1" applyAlignment="1">
      <alignment horizontal="center" vertical="center"/>
    </xf>
    <xf numFmtId="3" fontId="40" fillId="38" borderId="18" xfId="0" applyNumberFormat="1" applyFont="1" applyFill="1" applyBorder="1" applyAlignment="1">
      <alignment vertical="center"/>
    </xf>
    <xf numFmtId="0" fontId="54" fillId="0" borderId="0" xfId="0" applyFont="1" applyAlignment="1">
      <alignment vertical="center"/>
    </xf>
    <xf numFmtId="0" fontId="54" fillId="0" borderId="18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4" fillId="0" borderId="18" xfId="0" applyFont="1" applyBorder="1" applyAlignment="1">
      <alignment vertical="center"/>
    </xf>
    <xf numFmtId="0" fontId="40" fillId="0" borderId="0" xfId="0" applyFont="1" applyAlignment="1">
      <alignment horizontal="center" vertical="center"/>
    </xf>
    <xf numFmtId="0" fontId="40" fillId="0" borderId="18" xfId="0" applyFont="1" applyBorder="1" applyAlignment="1">
      <alignment horizontal="left" vertical="center"/>
    </xf>
    <xf numFmtId="10" fontId="54" fillId="0" borderId="18" xfId="0" applyNumberFormat="1" applyFont="1" applyBorder="1" applyAlignment="1">
      <alignment vertical="center"/>
    </xf>
    <xf numFmtId="0" fontId="54" fillId="30" borderId="1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54" fillId="30" borderId="18" xfId="0" applyFont="1" applyFill="1" applyBorder="1"/>
    <xf numFmtId="0" fontId="54" fillId="39" borderId="18" xfId="0" applyFont="1" applyFill="1" applyBorder="1" applyAlignment="1">
      <alignment horizontal="center" vertical="center"/>
    </xf>
    <xf numFmtId="0" fontId="54" fillId="30" borderId="0" xfId="0" applyFont="1" applyFill="1" applyAlignment="1">
      <alignment vertical="center"/>
    </xf>
    <xf numFmtId="0" fontId="54" fillId="33" borderId="0" xfId="0" applyFont="1" applyFill="1" applyAlignment="1">
      <alignment vertical="center"/>
    </xf>
    <xf numFmtId="0" fontId="54" fillId="39" borderId="0" xfId="0" applyFont="1" applyFill="1" applyAlignment="1">
      <alignment vertical="center"/>
    </xf>
    <xf numFmtId="0" fontId="40" fillId="0" borderId="18" xfId="0" applyFont="1" applyBorder="1" applyAlignment="1">
      <alignment horizontal="right" vertical="center"/>
    </xf>
    <xf numFmtId="0" fontId="40" fillId="30" borderId="18" xfId="0" applyFont="1" applyFill="1" applyBorder="1" applyAlignment="1">
      <alignment horizontal="center" vertical="center"/>
    </xf>
    <xf numFmtId="0" fontId="40" fillId="30" borderId="18" xfId="0" applyFont="1" applyFill="1" applyBorder="1" applyAlignment="1">
      <alignment horizontal="right" vertical="center"/>
    </xf>
    <xf numFmtId="0" fontId="40" fillId="30" borderId="18" xfId="0" applyFont="1" applyFill="1" applyBorder="1" applyAlignment="1">
      <alignment vertical="center"/>
    </xf>
    <xf numFmtId="0" fontId="40" fillId="0" borderId="22" xfId="0" applyFont="1" applyBorder="1" applyAlignment="1">
      <alignment horizontal="center" vertical="center"/>
    </xf>
    <xf numFmtId="0" fontId="42" fillId="40" borderId="0" xfId="0" applyFont="1" applyFill="1" applyAlignment="1">
      <alignment horizontal="left" vertical="center"/>
    </xf>
    <xf numFmtId="0" fontId="0" fillId="40" borderId="0" xfId="0" applyFill="1" applyAlignment="1">
      <alignment vertical="center"/>
    </xf>
    <xf numFmtId="9" fontId="0" fillId="0" borderId="0" xfId="140" applyFont="1" applyAlignment="1">
      <alignment vertical="center"/>
    </xf>
    <xf numFmtId="9" fontId="0" fillId="0" borderId="0" xfId="140" applyFont="1" applyAlignment="1">
      <alignment horizontal="center" vertical="center"/>
    </xf>
    <xf numFmtId="0" fontId="44" fillId="0" borderId="27" xfId="0" applyFont="1" applyBorder="1" applyAlignment="1">
      <alignment horizontal="right" vertical="center"/>
    </xf>
    <xf numFmtId="0" fontId="0" fillId="0" borderId="28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1" xfId="0" applyBorder="1" applyAlignment="1">
      <alignment horizontal="center"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47" fillId="0" borderId="0" xfId="0" applyFont="1" applyAlignment="1">
      <alignment vertical="center"/>
    </xf>
    <xf numFmtId="0" fontId="0" fillId="0" borderId="34" xfId="0" applyBorder="1" applyAlignment="1">
      <alignment vertical="center"/>
    </xf>
    <xf numFmtId="9" fontId="0" fillId="0" borderId="0" xfId="140" applyFont="1" applyBorder="1" applyAlignment="1">
      <alignment horizontal="center" vertical="center"/>
    </xf>
    <xf numFmtId="0" fontId="45" fillId="0" borderId="0" xfId="0" applyFont="1" applyAlignment="1">
      <alignment vertical="center"/>
    </xf>
    <xf numFmtId="9" fontId="0" fillId="0" borderId="36" xfId="140" applyFont="1" applyBorder="1" applyAlignment="1">
      <alignment horizontal="center" vertical="center"/>
    </xf>
    <xf numFmtId="0" fontId="47" fillId="0" borderId="36" xfId="0" applyFont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vertical="center"/>
    </xf>
    <xf numFmtId="9" fontId="0" fillId="0" borderId="31" xfId="140" applyFont="1" applyBorder="1" applyAlignment="1">
      <alignment horizontal="center" vertical="center"/>
    </xf>
    <xf numFmtId="0" fontId="45" fillId="0" borderId="31" xfId="0" applyFont="1" applyBorder="1" applyAlignment="1">
      <alignment vertical="center"/>
    </xf>
    <xf numFmtId="9" fontId="0" fillId="0" borderId="36" xfId="140" applyFont="1" applyBorder="1" applyAlignment="1">
      <alignment vertical="center"/>
    </xf>
    <xf numFmtId="0" fontId="0" fillId="33" borderId="39" xfId="0" applyFill="1" applyBorder="1" applyAlignment="1">
      <alignment vertical="center"/>
    </xf>
    <xf numFmtId="0" fontId="0" fillId="32" borderId="41" xfId="0" applyFill="1" applyBorder="1" applyAlignment="1">
      <alignment vertical="center"/>
    </xf>
    <xf numFmtId="0" fontId="0" fillId="34" borderId="41" xfId="0" applyFill="1" applyBorder="1" applyAlignment="1">
      <alignment vertical="center"/>
    </xf>
    <xf numFmtId="0" fontId="0" fillId="30" borderId="43" xfId="0" applyFill="1" applyBorder="1" applyAlignment="1">
      <alignment vertical="center"/>
    </xf>
    <xf numFmtId="0" fontId="0" fillId="33" borderId="38" xfId="0" applyFill="1" applyBorder="1" applyAlignment="1">
      <alignment vertical="center"/>
    </xf>
    <xf numFmtId="0" fontId="0" fillId="32" borderId="40" xfId="0" applyFill="1" applyBorder="1" applyAlignment="1">
      <alignment vertical="center"/>
    </xf>
    <xf numFmtId="0" fontId="0" fillId="34" borderId="40" xfId="0" applyFill="1" applyBorder="1" applyAlignment="1">
      <alignment vertical="center"/>
    </xf>
    <xf numFmtId="0" fontId="0" fillId="30" borderId="42" xfId="0" applyFill="1" applyBorder="1" applyAlignment="1">
      <alignment vertical="center"/>
    </xf>
    <xf numFmtId="0" fontId="50" fillId="0" borderId="0" xfId="143"/>
    <xf numFmtId="169" fontId="0" fillId="0" borderId="0" xfId="0" applyNumberFormat="1"/>
    <xf numFmtId="168" fontId="0" fillId="0" borderId="0" xfId="0" applyNumberFormat="1"/>
    <xf numFmtId="0" fontId="0" fillId="0" borderId="0" xfId="0" applyAlignment="1">
      <alignment horizontal="right"/>
    </xf>
    <xf numFmtId="169" fontId="0" fillId="32" borderId="0" xfId="0" applyNumberFormat="1" applyFill="1"/>
    <xf numFmtId="0" fontId="42" fillId="40" borderId="0" xfId="0" applyFont="1" applyFill="1" applyAlignment="1">
      <alignment vertical="center"/>
    </xf>
    <xf numFmtId="0" fontId="55" fillId="0" borderId="0" xfId="0" applyFont="1" applyAlignment="1">
      <alignment vertical="center"/>
    </xf>
    <xf numFmtId="0" fontId="41" fillId="30" borderId="19" xfId="0" applyFont="1" applyFill="1" applyBorder="1" applyAlignment="1">
      <alignment horizontal="center" vertical="center"/>
    </xf>
    <xf numFmtId="0" fontId="56" fillId="0" borderId="0" xfId="0" applyFont="1" applyAlignment="1">
      <alignment vertical="center"/>
    </xf>
    <xf numFmtId="0" fontId="57" fillId="0" borderId="0" xfId="0" applyFont="1"/>
    <xf numFmtId="0" fontId="0" fillId="36" borderId="18" xfId="0" applyFill="1" applyBorder="1" applyAlignment="1">
      <alignment vertical="center"/>
    </xf>
    <xf numFmtId="0" fontId="40" fillId="0" borderId="30" xfId="0" applyFont="1" applyBorder="1" applyAlignment="1">
      <alignment vertical="center"/>
    </xf>
    <xf numFmtId="0" fontId="40" fillId="0" borderId="31" xfId="0" applyFont="1" applyBorder="1" applyAlignment="1">
      <alignment vertical="center"/>
    </xf>
    <xf numFmtId="0" fontId="40" fillId="0" borderId="32" xfId="0" applyFont="1" applyBorder="1" applyAlignment="1">
      <alignment vertical="center"/>
    </xf>
    <xf numFmtId="0" fontId="40" fillId="0" borderId="33" xfId="0" applyFont="1" applyBorder="1" applyAlignment="1">
      <alignment vertical="center"/>
    </xf>
    <xf numFmtId="0" fontId="40" fillId="0" borderId="35" xfId="0" applyFont="1" applyBorder="1" applyAlignment="1">
      <alignment vertical="center"/>
    </xf>
    <xf numFmtId="0" fontId="40" fillId="0" borderId="36" xfId="0" applyFont="1" applyBorder="1" applyAlignment="1">
      <alignment vertical="center"/>
    </xf>
    <xf numFmtId="168" fontId="40" fillId="30" borderId="34" xfId="0" applyNumberFormat="1" applyFont="1" applyFill="1" applyBorder="1" applyAlignment="1">
      <alignment vertical="center"/>
    </xf>
    <xf numFmtId="168" fontId="40" fillId="30" borderId="37" xfId="0" applyNumberFormat="1" applyFont="1" applyFill="1" applyBorder="1" applyAlignment="1">
      <alignment vertical="center"/>
    </xf>
    <xf numFmtId="0" fontId="42" fillId="0" borderId="0" xfId="0" applyFont="1" applyAlignment="1">
      <alignment horizontal="left" vertical="center"/>
    </xf>
    <xf numFmtId="0" fontId="0" fillId="0" borderId="0" xfId="0" quotePrefix="1" applyAlignment="1">
      <alignment vertical="center"/>
    </xf>
    <xf numFmtId="169" fontId="0" fillId="30" borderId="0" xfId="0" applyNumberFormat="1" applyFill="1"/>
    <xf numFmtId="168" fontId="0" fillId="30" borderId="0" xfId="142" applyNumberFormat="1" applyFont="1" applyFill="1" applyAlignment="1">
      <alignment vertical="center"/>
    </xf>
    <xf numFmtId="0" fontId="44" fillId="0" borderId="0" xfId="0" applyFont="1" applyAlignment="1">
      <alignment vertical="center"/>
    </xf>
    <xf numFmtId="0" fontId="50" fillId="0" borderId="0" xfId="143" applyNumberFormat="1" applyAlignment="1">
      <alignment vertical="center"/>
    </xf>
    <xf numFmtId="49" fontId="58" fillId="0" borderId="0" xfId="0" quotePrefix="1" applyNumberFormat="1" applyFont="1" applyAlignment="1">
      <alignment vertical="center"/>
    </xf>
    <xf numFmtId="0" fontId="0" fillId="71" borderId="0" xfId="0" applyFill="1"/>
    <xf numFmtId="0" fontId="59" fillId="71" borderId="52" xfId="0" applyFont="1" applyFill="1" applyBorder="1" applyAlignment="1">
      <alignment horizontal="right" vertical="center" wrapText="1"/>
    </xf>
    <xf numFmtId="0" fontId="59" fillId="72" borderId="52" xfId="0" applyFont="1" applyFill="1" applyBorder="1" applyAlignment="1">
      <alignment horizontal="right" vertical="center" wrapText="1"/>
    </xf>
    <xf numFmtId="0" fontId="59" fillId="73" borderId="53" xfId="0" applyFont="1" applyFill="1" applyBorder="1" applyAlignment="1">
      <alignment horizontal="left" vertical="center" wrapText="1"/>
    </xf>
    <xf numFmtId="0" fontId="59" fillId="73" borderId="54" xfId="0" applyFont="1" applyFill="1" applyBorder="1" applyAlignment="1">
      <alignment horizontal="left" vertical="center" wrapText="1"/>
    </xf>
    <xf numFmtId="0" fontId="59" fillId="73" borderId="55" xfId="0" applyFont="1" applyFill="1" applyBorder="1" applyAlignment="1">
      <alignment horizontal="left" vertical="center" wrapText="1"/>
    </xf>
    <xf numFmtId="0" fontId="59" fillId="73" borderId="52" xfId="0" applyFont="1" applyFill="1" applyBorder="1" applyAlignment="1">
      <alignment horizontal="left" vertical="center" wrapText="1"/>
    </xf>
    <xf numFmtId="0" fontId="60" fillId="0" borderId="0" xfId="0" applyFont="1" applyAlignment="1">
      <alignment vertical="center"/>
    </xf>
    <xf numFmtId="49" fontId="58" fillId="0" borderId="0" xfId="0" applyNumberFormat="1" applyFont="1" applyAlignment="1">
      <alignment vertical="center"/>
    </xf>
    <xf numFmtId="0" fontId="60" fillId="0" borderId="0" xfId="0" applyFont="1" applyAlignment="1">
      <alignment horizontal="left" vertical="center"/>
    </xf>
    <xf numFmtId="170" fontId="0" fillId="0" borderId="0" xfId="0" applyNumberFormat="1"/>
    <xf numFmtId="0" fontId="60" fillId="0" borderId="0" xfId="143" applyFont="1" applyAlignment="1">
      <alignment horizontal="left" vertical="center"/>
    </xf>
    <xf numFmtId="49" fontId="53" fillId="0" borderId="0" xfId="0" applyNumberFormat="1" applyFont="1" applyAlignment="1">
      <alignment horizontal="left"/>
    </xf>
    <xf numFmtId="0" fontId="78" fillId="0" borderId="18" xfId="3757" applyFont="1" applyBorder="1">
      <alignment vertical="center"/>
    </xf>
    <xf numFmtId="164" fontId="52" fillId="0" borderId="18" xfId="141" applyFont="1" applyFill="1" applyBorder="1" applyAlignment="1">
      <alignment horizontal="left" vertical="center"/>
    </xf>
    <xf numFmtId="164" fontId="52" fillId="33" borderId="18" xfId="141" applyFont="1" applyFill="1" applyBorder="1">
      <alignment vertical="center"/>
    </xf>
    <xf numFmtId="164" fontId="52" fillId="32" borderId="18" xfId="141" applyFont="1" applyFill="1" applyBorder="1">
      <alignment vertical="center"/>
    </xf>
    <xf numFmtId="164" fontId="52" fillId="34" borderId="18" xfId="141" applyFont="1" applyFill="1" applyBorder="1">
      <alignment vertical="center"/>
    </xf>
    <xf numFmtId="164" fontId="52" fillId="30" borderId="18" xfId="141" applyFont="1" applyFill="1" applyBorder="1">
      <alignment vertical="center"/>
    </xf>
    <xf numFmtId="0" fontId="60" fillId="0" borderId="0" xfId="0" applyFont="1" applyAlignment="1">
      <alignment horizontal="right" vertical="center"/>
    </xf>
    <xf numFmtId="0" fontId="58" fillId="0" borderId="0" xfId="0" applyFont="1" applyAlignment="1">
      <alignment vertical="center"/>
    </xf>
    <xf numFmtId="0" fontId="58" fillId="29" borderId="18" xfId="0" applyFont="1" applyFill="1" applyBorder="1" applyAlignment="1">
      <alignment horizontal="center" vertical="center"/>
    </xf>
    <xf numFmtId="0" fontId="58" fillId="29" borderId="19" xfId="0" applyFont="1" applyFill="1" applyBorder="1" applyAlignment="1">
      <alignment horizontal="center" vertical="center"/>
    </xf>
    <xf numFmtId="0" fontId="58" fillId="29" borderId="20" xfId="0" applyFont="1" applyFill="1" applyBorder="1" applyAlignment="1">
      <alignment horizontal="center" vertical="center"/>
    </xf>
    <xf numFmtId="0" fontId="58" fillId="29" borderId="21" xfId="0" applyFont="1" applyFill="1" applyBorder="1" applyAlignment="1">
      <alignment horizontal="center" vertical="center"/>
    </xf>
    <xf numFmtId="0" fontId="58" fillId="0" borderId="18" xfId="0" applyFont="1" applyBorder="1" applyAlignment="1">
      <alignment vertical="center"/>
    </xf>
    <xf numFmtId="168" fontId="58" fillId="0" borderId="18" xfId="0" applyNumberFormat="1" applyFont="1" applyBorder="1" applyAlignment="1">
      <alignment vertical="center"/>
    </xf>
    <xf numFmtId="168" fontId="58" fillId="0" borderId="18" xfId="141" applyNumberFormat="1" applyFont="1" applyBorder="1">
      <alignment vertical="center"/>
    </xf>
    <xf numFmtId="0" fontId="58" fillId="0" borderId="22" xfId="0" applyFont="1" applyBorder="1" applyAlignment="1">
      <alignment vertical="center"/>
    </xf>
    <xf numFmtId="168" fontId="58" fillId="0" borderId="22" xfId="0" applyNumberFormat="1" applyFont="1" applyBorder="1" applyAlignment="1">
      <alignment vertical="center"/>
    </xf>
    <xf numFmtId="168" fontId="58" fillId="0" borderId="22" xfId="141" applyNumberFormat="1" applyFont="1" applyBorder="1">
      <alignment vertical="center"/>
    </xf>
    <xf numFmtId="0" fontId="77" fillId="29" borderId="23" xfId="0" applyFont="1" applyFill="1" applyBorder="1" applyAlignment="1">
      <alignment vertical="center"/>
    </xf>
    <xf numFmtId="168" fontId="77" fillId="30" borderId="24" xfId="0" applyNumberFormat="1" applyFont="1" applyFill="1" applyBorder="1" applyAlignment="1">
      <alignment vertical="center"/>
    </xf>
    <xf numFmtId="168" fontId="77" fillId="29" borderId="24" xfId="0" applyNumberFormat="1" applyFont="1" applyFill="1" applyBorder="1" applyAlignment="1">
      <alignment vertical="center"/>
    </xf>
    <xf numFmtId="0" fontId="77" fillId="0" borderId="0" xfId="0" applyFont="1" applyAlignment="1">
      <alignment vertical="center"/>
    </xf>
    <xf numFmtId="0" fontId="79" fillId="74" borderId="18" xfId="0" applyFont="1" applyFill="1" applyBorder="1" applyAlignment="1">
      <alignment horizontal="center"/>
    </xf>
    <xf numFmtId="0" fontId="79" fillId="0" borderId="18" xfId="0" applyFont="1" applyBorder="1"/>
    <xf numFmtId="0" fontId="1" fillId="0" borderId="56" xfId="0" applyFont="1" applyBorder="1" applyAlignment="1">
      <alignment horizontal="center" vertical="top"/>
    </xf>
    <xf numFmtId="0" fontId="0" fillId="0" borderId="56" xfId="0" applyBorder="1"/>
    <xf numFmtId="3" fontId="0" fillId="0" borderId="56" xfId="0" applyNumberFormat="1" applyBorder="1"/>
    <xf numFmtId="0" fontId="1" fillId="0" borderId="58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top"/>
    </xf>
    <xf numFmtId="0" fontId="0" fillId="0" borderId="18" xfId="0" applyBorder="1"/>
    <xf numFmtId="171" fontId="0" fillId="0" borderId="56" xfId="140" applyNumberFormat="1" applyFont="1" applyBorder="1"/>
    <xf numFmtId="0" fontId="1" fillId="0" borderId="57" xfId="0" applyFont="1" applyBorder="1" applyAlignment="1">
      <alignment horizontal="center" vertical="top"/>
    </xf>
    <xf numFmtId="171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164" fontId="52" fillId="33" borderId="18" xfId="141" applyFont="1" applyFill="1" applyBorder="1" applyAlignment="1">
      <alignment horizontal="left" vertical="center"/>
    </xf>
    <xf numFmtId="165" fontId="0" fillId="0" borderId="0" xfId="0" applyNumberFormat="1" applyAlignment="1">
      <alignment vertical="center"/>
    </xf>
    <xf numFmtId="0" fontId="0" fillId="36" borderId="18" xfId="0" applyFill="1" applyBorder="1"/>
    <xf numFmtId="0" fontId="0" fillId="37" borderId="22" xfId="0" applyFill="1" applyBorder="1"/>
    <xf numFmtId="3" fontId="0" fillId="0" borderId="18" xfId="0" applyNumberFormat="1" applyBorder="1" applyAlignment="1">
      <alignment horizontal="right"/>
    </xf>
    <xf numFmtId="0" fontId="0" fillId="0" borderId="0" xfId="0" applyAlignment="1">
      <alignment horizontal="left"/>
    </xf>
    <xf numFmtId="0" fontId="42" fillId="0" borderId="18" xfId="0" applyFont="1" applyBorder="1" applyAlignment="1">
      <alignment horizontal="center" vertical="center"/>
    </xf>
    <xf numFmtId="0" fontId="0" fillId="37" borderId="18" xfId="0" applyFill="1" applyBorder="1"/>
    <xf numFmtId="0" fontId="42" fillId="0" borderId="0" xfId="0" applyFont="1" applyAlignment="1">
      <alignment horizontal="left"/>
    </xf>
    <xf numFmtId="0" fontId="0" fillId="37" borderId="25" xfId="0" applyFill="1" applyBorder="1"/>
    <xf numFmtId="0" fontId="0" fillId="37" borderId="59" xfId="0" applyFill="1" applyBorder="1"/>
    <xf numFmtId="0" fontId="61" fillId="0" borderId="0" xfId="0" applyFont="1" applyAlignment="1">
      <alignment vertical="center"/>
    </xf>
    <xf numFmtId="0" fontId="61" fillId="0" borderId="0" xfId="0" applyFont="1"/>
    <xf numFmtId="3" fontId="61" fillId="0" borderId="0" xfId="0" applyNumberFormat="1" applyFont="1" applyAlignment="1">
      <alignment horizontal="right"/>
    </xf>
    <xf numFmtId="0" fontId="80" fillId="37" borderId="22" xfId="3764" applyFill="1" applyBorder="1" applyAlignment="1"/>
    <xf numFmtId="0" fontId="80" fillId="37" borderId="18" xfId="3764" applyFill="1" applyBorder="1" applyAlignment="1"/>
    <xf numFmtId="0" fontId="80" fillId="36" borderId="18" xfId="3764" applyFill="1" applyBorder="1" applyAlignment="1"/>
    <xf numFmtId="0" fontId="80" fillId="0" borderId="0" xfId="3764" applyAlignment="1">
      <alignment horizontal="left"/>
    </xf>
    <xf numFmtId="3" fontId="80" fillId="0" borderId="18" xfId="3764" applyNumberFormat="1" applyBorder="1" applyAlignment="1">
      <alignment horizontal="right"/>
    </xf>
    <xf numFmtId="0" fontId="0" fillId="75" borderId="0" xfId="0" applyFill="1"/>
    <xf numFmtId="0" fontId="80" fillId="0" borderId="18" xfId="3764" applyBorder="1" applyAlignment="1">
      <alignment horizontal="left"/>
    </xf>
    <xf numFmtId="169" fontId="0" fillId="0" borderId="18" xfId="0" applyNumberFormat="1" applyBorder="1"/>
    <xf numFmtId="0" fontId="0" fillId="30" borderId="0" xfId="0" applyFill="1"/>
    <xf numFmtId="0" fontId="1" fillId="76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76" borderId="0" xfId="0" applyFill="1"/>
    <xf numFmtId="0" fontId="81" fillId="0" borderId="0" xfId="0" applyFont="1"/>
    <xf numFmtId="0" fontId="82" fillId="77" borderId="0" xfId="0" applyFont="1" applyFill="1" applyAlignment="1">
      <alignment horizontal="center"/>
    </xf>
    <xf numFmtId="0" fontId="1" fillId="78" borderId="0" xfId="0" applyFont="1" applyFill="1" applyAlignment="1">
      <alignment horizontal="center"/>
    </xf>
    <xf numFmtId="0" fontId="0" fillId="77" borderId="0" xfId="0" applyFill="1"/>
    <xf numFmtId="0" fontId="0" fillId="76" borderId="0" xfId="0" applyFill="1" applyAlignment="1">
      <alignment horizontal="center"/>
    </xf>
    <xf numFmtId="0" fontId="0" fillId="78" borderId="0" xfId="0" applyFill="1" applyAlignment="1">
      <alignment horizontal="center"/>
    </xf>
    <xf numFmtId="0" fontId="0" fillId="77" borderId="0" xfId="0" applyFill="1" applyAlignment="1">
      <alignment horizontal="center"/>
    </xf>
    <xf numFmtId="0" fontId="1" fillId="0" borderId="56" xfId="0" applyFont="1" applyBorder="1" applyAlignment="1">
      <alignment horizontal="center" vertical="top"/>
    </xf>
    <xf numFmtId="0" fontId="0" fillId="0" borderId="57" xfId="0" applyBorder="1"/>
    <xf numFmtId="0" fontId="0" fillId="0" borderId="56" xfId="0" applyBorder="1"/>
    <xf numFmtId="0" fontId="0" fillId="0" borderId="3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80" fillId="35" borderId="18" xfId="3764" applyFill="1" applyBorder="1">
      <alignment vertical="center"/>
    </xf>
    <xf numFmtId="0" fontId="80" fillId="36" borderId="18" xfId="3764" applyFill="1" applyBorder="1" applyAlignment="1"/>
    <xf numFmtId="0" fontId="80" fillId="36" borderId="22" xfId="3764" applyFill="1" applyBorder="1" applyAlignment="1"/>
    <xf numFmtId="0" fontId="40" fillId="0" borderId="18" xfId="0" applyFont="1" applyBorder="1" applyAlignment="1">
      <alignment horizontal="center" vertical="center"/>
    </xf>
    <xf numFmtId="0" fontId="40" fillId="30" borderId="19" xfId="0" applyFont="1" applyFill="1" applyBorder="1" applyAlignment="1">
      <alignment horizontal="center" vertical="center"/>
    </xf>
    <xf numFmtId="0" fontId="40" fillId="0" borderId="19" xfId="0" applyFont="1" applyBorder="1" applyAlignment="1">
      <alignment horizontal="center" vertical="center"/>
    </xf>
    <xf numFmtId="0" fontId="40" fillId="0" borderId="26" xfId="0" applyFont="1" applyBorder="1" applyAlignment="1">
      <alignment horizontal="left" vertical="center"/>
    </xf>
    <xf numFmtId="0" fontId="40" fillId="0" borderId="18" xfId="0" applyFont="1" applyBorder="1" applyAlignment="1">
      <alignment horizontal="center" vertical="center" wrapText="1"/>
    </xf>
    <xf numFmtId="0" fontId="40" fillId="33" borderId="18" xfId="0" applyFont="1" applyFill="1" applyBorder="1" applyAlignment="1">
      <alignment horizontal="center" vertical="center"/>
    </xf>
    <xf numFmtId="0" fontId="54" fillId="33" borderId="18" xfId="0" applyFont="1" applyFill="1" applyBorder="1" applyAlignment="1">
      <alignment horizontal="center" vertical="center"/>
    </xf>
    <xf numFmtId="0" fontId="54" fillId="0" borderId="18" xfId="0" applyFont="1" applyBorder="1" applyAlignment="1">
      <alignment horizontal="center" vertical="center"/>
    </xf>
    <xf numFmtId="0" fontId="54" fillId="30" borderId="18" xfId="0" applyFont="1" applyFill="1" applyBorder="1" applyAlignment="1">
      <alignment horizontal="center" vertical="center"/>
    </xf>
    <xf numFmtId="0" fontId="83" fillId="78" borderId="0" xfId="0" applyFont="1" applyFill="1" applyAlignment="1">
      <alignment horizontal="center"/>
    </xf>
    <xf numFmtId="0" fontId="0" fillId="0" borderId="0" xfId="0"/>
    <xf numFmtId="0" fontId="83" fillId="78" borderId="0" xfId="0" applyFont="1" applyFill="1"/>
    <xf numFmtId="0" fontId="0" fillId="0" borderId="0" xfId="0" applyAlignment="1">
      <alignment horizontal="center"/>
    </xf>
    <xf numFmtId="0" fontId="82" fillId="77" borderId="0" xfId="0" applyFont="1" applyFill="1" applyAlignment="1">
      <alignment horizontal="center"/>
    </xf>
    <xf numFmtId="0" fontId="42" fillId="0" borderId="0" xfId="0" applyFont="1" applyAlignment="1">
      <alignment horizontal="right" vertical="center"/>
    </xf>
  </cellXfs>
  <cellStyles count="3765">
    <cellStyle name="20% - Accent1 2" xfId="15" xr:uid="{00000000-0005-0000-0000-000000000000}"/>
    <cellStyle name="20% - Accent2 2" xfId="16" xr:uid="{00000000-0005-0000-0000-000001000000}"/>
    <cellStyle name="20% - Accent3 2" xfId="17" xr:uid="{00000000-0005-0000-0000-000002000000}"/>
    <cellStyle name="20% - Accent4 2" xfId="18" xr:uid="{00000000-0005-0000-0000-000003000000}"/>
    <cellStyle name="20% - Accent5 2" xfId="19" xr:uid="{00000000-0005-0000-0000-000004000000}"/>
    <cellStyle name="20% - Accent6 2" xfId="20" xr:uid="{00000000-0005-0000-0000-000005000000}"/>
    <cellStyle name="20% - 강조색1 10" xfId="146" xr:uid="{CD493B2F-731B-4870-9287-6DE0688AFCA9}"/>
    <cellStyle name="20% - 강조색1 10 2" xfId="147" xr:uid="{BF3121EF-FD72-4AAD-8290-236D328F4474}"/>
    <cellStyle name="20% - 강조색1 11" xfId="148" xr:uid="{017E5E1E-FF03-4A96-B3A9-E4EABC6D158C}"/>
    <cellStyle name="20% - 강조색1 11 2" xfId="149" xr:uid="{FEA40537-C62E-436A-BA4C-E7451238FA4F}"/>
    <cellStyle name="20% - 강조색1 12" xfId="150" xr:uid="{A3571471-C4E3-4E3F-AB82-1180B07CDE28}"/>
    <cellStyle name="20% - 강조색1 12 2" xfId="151" xr:uid="{BBFA8418-6D2F-4A9E-93CA-CD256F782E4E}"/>
    <cellStyle name="20% - 강조색1 13" xfId="152" xr:uid="{1316C792-262C-41C6-B45A-61C3B16182E3}"/>
    <cellStyle name="20% - 강조색1 13 2" xfId="153" xr:uid="{582BB774-0D7A-4CB2-9A9A-9FFE65504A39}"/>
    <cellStyle name="20% - 강조색1 14" xfId="154" xr:uid="{05F30CEF-8AD7-4595-8840-97FD7AC40F1C}"/>
    <cellStyle name="20% - 강조색1 14 2" xfId="155" xr:uid="{10C4653B-414D-47C3-9741-AEF228A8E3FC}"/>
    <cellStyle name="20% - 강조색1 15" xfId="156" xr:uid="{F0D8AD4C-8408-4351-913D-897F4F8C115B}"/>
    <cellStyle name="20% - 강조색1 15 2" xfId="157" xr:uid="{62ECCCA6-C72C-4932-BE4E-798FCDCA027F}"/>
    <cellStyle name="20% - 강조색1 16" xfId="158" xr:uid="{6C1F6932-8B2D-442B-BAC6-087108AE66E5}"/>
    <cellStyle name="20% - 강조색1 16 2" xfId="159" xr:uid="{E762E38E-2276-4606-9C2F-FC4CCB44A86C}"/>
    <cellStyle name="20% - 강조색1 17" xfId="160" xr:uid="{A158F714-A0D9-4833-8201-DE5DAA5EADF6}"/>
    <cellStyle name="20% - 강조색1 17 2" xfId="161" xr:uid="{2640785B-BD08-4F49-8532-D319DB4C6067}"/>
    <cellStyle name="20% - 강조색1 18" xfId="162" xr:uid="{4F056AB7-8587-43AC-B87D-2C308F266473}"/>
    <cellStyle name="20% - 강조색1 18 2" xfId="163" xr:uid="{BDC26960-DC04-4D0C-A1A6-0E53C89377B2}"/>
    <cellStyle name="20% - 강조색1 19" xfId="164" xr:uid="{CFE22FC4-5A2E-40DB-AA7B-C59CBB6623E4}"/>
    <cellStyle name="20% - 강조색1 19 2" xfId="165" xr:uid="{831EF500-68FA-43CE-823F-AF3CC4F7418E}"/>
    <cellStyle name="20% - 강조색1 2" xfId="166" xr:uid="{28E1F2D9-6DAA-4938-9A05-E1D633A4F7EF}"/>
    <cellStyle name="20% - 강조색1 2 2" xfId="167" xr:uid="{15D84046-F2E0-4A08-B051-FD8FB87DD917}"/>
    <cellStyle name="20% - 강조색1 20" xfId="168" xr:uid="{955F323F-1E20-4807-9991-67C443AED916}"/>
    <cellStyle name="20% - 강조색1 20 2" xfId="169" xr:uid="{26C5E9F8-AF09-4FFD-A2B7-4D0E2B9FB7A5}"/>
    <cellStyle name="20% - 강조색1 21" xfId="170" xr:uid="{FC62FB04-17B6-42D1-BBD9-0893CE84B12C}"/>
    <cellStyle name="20% - 강조색1 21 2" xfId="171" xr:uid="{267A29A0-4402-4A88-AD03-39A2C1166EE4}"/>
    <cellStyle name="20% - 강조색1 22" xfId="172" xr:uid="{87834B03-3824-410D-8711-FAAFC226850E}"/>
    <cellStyle name="20% - 강조색1 22 2" xfId="173" xr:uid="{193C88FD-2944-4DE5-A81E-C66E39258DA3}"/>
    <cellStyle name="20% - 강조색1 23" xfId="174" xr:uid="{901FCDC6-414B-4DB8-967C-3025EC5C807B}"/>
    <cellStyle name="20% - 강조색1 23 2" xfId="175" xr:uid="{BDD7223E-C478-476D-8C0F-9A1DD9EB8603}"/>
    <cellStyle name="20% - 강조색1 24" xfId="176" xr:uid="{3BF49D1A-978C-42E0-8B65-5F93BEA2838D}"/>
    <cellStyle name="20% - 강조색1 24 2" xfId="177" xr:uid="{A075210A-C563-4068-812C-B3ECB2BABC64}"/>
    <cellStyle name="20% - 강조색1 25" xfId="178" xr:uid="{DBEDB5FD-456E-4037-BE82-02ED52F44A53}"/>
    <cellStyle name="20% - 강조색1 25 2" xfId="179" xr:uid="{F32D0597-9A0F-4E5B-9628-1DD8DCABEB1F}"/>
    <cellStyle name="20% - 강조색1 26" xfId="180" xr:uid="{D5486A8C-6649-4CD9-BCEE-35623D63D316}"/>
    <cellStyle name="20% - 강조색1 26 2" xfId="181" xr:uid="{7611D9A1-FFCF-43A3-8F16-449BF8DF30BC}"/>
    <cellStyle name="20% - 강조색1 27" xfId="182" xr:uid="{136CD2F2-5E37-4788-B77F-D543198F238D}"/>
    <cellStyle name="20% - 강조색1 27 2" xfId="183" xr:uid="{79589759-CA0B-4E64-A6EA-26F4879A35CC}"/>
    <cellStyle name="20% - 강조색1 28" xfId="184" xr:uid="{B21C1561-1083-4F77-AB83-11E829AF0E14}"/>
    <cellStyle name="20% - 강조색1 28 2" xfId="185" xr:uid="{52D8A130-9C62-43AE-A7F9-7DA5038819DA}"/>
    <cellStyle name="20% - 강조색1 29" xfId="186" xr:uid="{CFC20029-D8FC-47B5-A601-1E4F11B805DF}"/>
    <cellStyle name="20% - 강조색1 29 2" xfId="187" xr:uid="{5B76A1C1-F650-4C60-B2B8-83F66E9AB0D3}"/>
    <cellStyle name="20% - 강조색1 3" xfId="188" xr:uid="{BE57A670-0320-48C2-A1A1-B0646B2FEA10}"/>
    <cellStyle name="20% - 강조색1 3 2" xfId="189" xr:uid="{0CA39278-D376-4FCB-AA7E-1683A664CF7B}"/>
    <cellStyle name="20% - 강조색1 30" xfId="190" xr:uid="{7851C023-346F-4B64-A339-7F8830060F55}"/>
    <cellStyle name="20% - 강조색1 30 2" xfId="191" xr:uid="{87B44F13-A8E5-48F8-BC15-AEE002FFA0D8}"/>
    <cellStyle name="20% - 강조색1 31" xfId="192" xr:uid="{14FB0E59-0D08-4A3B-AFB8-FA50A034BABE}"/>
    <cellStyle name="20% - 강조색1 31 2" xfId="193" xr:uid="{AA57349D-3A58-4CEF-B2B8-3F2815E136DA}"/>
    <cellStyle name="20% - 강조색1 32" xfId="194" xr:uid="{52999619-F551-4F7D-8705-7F56A363A7CE}"/>
    <cellStyle name="20% - 강조색1 32 2" xfId="195" xr:uid="{A734FA06-41AE-4B23-B001-F069598DFC72}"/>
    <cellStyle name="20% - 강조색1 33" xfId="196" xr:uid="{2D50DCAC-9E6A-488B-BF73-9CE20AC7D983}"/>
    <cellStyle name="20% - 강조색1 33 2" xfId="197" xr:uid="{54808B60-663B-4BAE-8C39-D50D00129C86}"/>
    <cellStyle name="20% - 강조색1 34" xfId="198" xr:uid="{8B505868-AD59-4791-AAEE-F628ACD8A1AB}"/>
    <cellStyle name="20% - 강조색1 34 2" xfId="199" xr:uid="{C6F4698A-EDD3-438E-9BCD-5E7F0C76188F}"/>
    <cellStyle name="20% - 강조색1 35" xfId="200" xr:uid="{91DFF5AA-ABF6-4789-9F39-F144B3317E74}"/>
    <cellStyle name="20% - 강조색1 35 2" xfId="201" xr:uid="{D27C2454-7C37-4173-8A3A-7E6D60B2DAEF}"/>
    <cellStyle name="20% - 강조색1 36" xfId="202" xr:uid="{6F373A46-881D-489B-A44B-482C0D031A64}"/>
    <cellStyle name="20% - 강조색1 36 2" xfId="203" xr:uid="{2739DA49-B946-440A-8E59-419AFF71782E}"/>
    <cellStyle name="20% - 강조색1 37" xfId="204" xr:uid="{CCCB4386-625D-4AD8-BB27-2BC3A1915D40}"/>
    <cellStyle name="20% - 강조색1 37 2" xfId="205" xr:uid="{C3A36CFA-85B0-4E7F-B8E6-2C5D26663552}"/>
    <cellStyle name="20% - 강조색1 38" xfId="206" xr:uid="{90B65D2C-2039-43AD-BD8B-D9A10227D8BE}"/>
    <cellStyle name="20% - 강조색1 38 2" xfId="207" xr:uid="{C44B9909-5388-4DAC-A72D-B34FB4BABDD9}"/>
    <cellStyle name="20% - 강조색1 39" xfId="208" xr:uid="{709C4D11-285F-4340-AC96-33BB3954E66A}"/>
    <cellStyle name="20% - 강조색1 39 2" xfId="209" xr:uid="{0468DB26-2DE7-486F-A257-8416DDA66313}"/>
    <cellStyle name="20% - 강조색1 4" xfId="210" xr:uid="{EAE8D3DF-E706-4EED-B540-6D1755D2FE9D}"/>
    <cellStyle name="20% - 강조색1 4 2" xfId="211" xr:uid="{DC69D2AC-24F3-4801-958A-B11E9607D0F6}"/>
    <cellStyle name="20% - 강조색1 40" xfId="212" xr:uid="{AA43B372-F36D-47A1-A757-8DD67DD86726}"/>
    <cellStyle name="20% - 강조색1 40 2" xfId="213" xr:uid="{CA2B3616-3762-4F52-85C0-1A5E70634116}"/>
    <cellStyle name="20% - 강조색1 41" xfId="214" xr:uid="{A314AF23-0786-442F-88F6-EC183B690867}"/>
    <cellStyle name="20% - 강조색1 41 2" xfId="215" xr:uid="{FB22ADB8-AAC5-42A5-8FA1-85605D549B29}"/>
    <cellStyle name="20% - 강조색1 42" xfId="216" xr:uid="{2A5DC63A-1779-4957-BB06-907B1CB49427}"/>
    <cellStyle name="20% - 강조색1 42 2" xfId="217" xr:uid="{CF646C83-3ABB-4E50-8572-395F92295305}"/>
    <cellStyle name="20% - 강조색1 43" xfId="218" xr:uid="{B0AD88A4-DA1E-4FA9-828A-0F8953AAC806}"/>
    <cellStyle name="20% - 강조색1 43 2" xfId="219" xr:uid="{34796818-4A23-4AE5-91E8-4827DFB59C25}"/>
    <cellStyle name="20% - 강조색1 44" xfId="220" xr:uid="{A4F7C524-0D09-4F50-A6C0-AED8894DF5C4}"/>
    <cellStyle name="20% - 강조색1 45" xfId="221" xr:uid="{2E58A499-FDC3-4683-A0E0-66F1DC73D740}"/>
    <cellStyle name="20% - 강조색1 46" xfId="222" xr:uid="{0F201305-1D8A-4666-B20A-7D5106650886}"/>
    <cellStyle name="20% - 강조색1 47" xfId="145" xr:uid="{4CF3D2D6-37C4-4CF6-8EAA-1A3388B99D3F}"/>
    <cellStyle name="20% - 강조색1 5" xfId="223" xr:uid="{5CFF1C79-B805-4EC3-9923-809AC645368D}"/>
    <cellStyle name="20% - 강조색1 5 2" xfId="224" xr:uid="{A0953AC7-8B23-4E96-905A-7CD28D4AA22C}"/>
    <cellStyle name="20% - 강조색1 6" xfId="225" xr:uid="{836A4176-6BCA-4ED1-BE30-2EDF914BB7B6}"/>
    <cellStyle name="20% - 강조색1 6 2" xfId="226" xr:uid="{2F8D6CD3-8C7A-4B0C-902F-B540FA753F5D}"/>
    <cellStyle name="20% - 강조색1 7" xfId="227" xr:uid="{A81B7E77-7B75-44D9-AF5A-42F92D378331}"/>
    <cellStyle name="20% - 강조색1 7 2" xfId="228" xr:uid="{50309FF7-DE91-4C92-A2CF-9CA8EC8CF835}"/>
    <cellStyle name="20% - 강조색1 8" xfId="229" xr:uid="{8B4F207C-3381-417E-9005-BA22997EE15B}"/>
    <cellStyle name="20% - 강조색1 8 2" xfId="230" xr:uid="{BA074A65-2C15-4D07-BAE8-B29EE0B74FED}"/>
    <cellStyle name="20% - 강조색1 9" xfId="231" xr:uid="{91B8E6F8-1D67-40FB-B7E9-5722279208F3}"/>
    <cellStyle name="20% - 강조색1 9 2" xfId="232" xr:uid="{6AB92F4D-1B90-421B-9EB2-8B0692F1A450}"/>
    <cellStyle name="20% - 강조색2 10" xfId="234" xr:uid="{99660A05-9798-40C7-9A2F-29FEE69B2609}"/>
    <cellStyle name="20% - 강조색2 10 2" xfId="235" xr:uid="{2519A8EF-0860-4733-8F26-D9BC57C05F60}"/>
    <cellStyle name="20% - 강조색2 11" xfId="236" xr:uid="{A24B0101-19B2-43EF-B5DA-184E3BA7578E}"/>
    <cellStyle name="20% - 강조색2 11 2" xfId="237" xr:uid="{5DD32182-03BA-4729-967C-E9D43CF8B65E}"/>
    <cellStyle name="20% - 강조색2 12" xfId="238" xr:uid="{7396F66E-DCDE-47D2-BBB7-4077B38E9882}"/>
    <cellStyle name="20% - 강조색2 12 2" xfId="239" xr:uid="{88738EF0-3995-47A8-A8BA-96B4F4827910}"/>
    <cellStyle name="20% - 강조색2 13" xfId="240" xr:uid="{B745BE18-BA40-4AEA-ADD7-7AD75F404BA8}"/>
    <cellStyle name="20% - 강조색2 13 2" xfId="241" xr:uid="{97925029-840E-47FF-8C26-99929AB0496C}"/>
    <cellStyle name="20% - 강조색2 14" xfId="242" xr:uid="{E9E20FF4-BE80-4ED5-AFF0-AF33CF5883BD}"/>
    <cellStyle name="20% - 강조색2 14 2" xfId="243" xr:uid="{F19499DF-9CCC-4127-8152-BCFC06F07A63}"/>
    <cellStyle name="20% - 강조색2 15" xfId="244" xr:uid="{68CF9753-3D36-4400-9516-72942643235A}"/>
    <cellStyle name="20% - 강조색2 15 2" xfId="245" xr:uid="{E4FC3AD6-2BE1-499B-A30C-EABB5BAC2DCC}"/>
    <cellStyle name="20% - 강조색2 16" xfId="246" xr:uid="{134D951D-FF36-4584-9FB2-96CB1C61EDCC}"/>
    <cellStyle name="20% - 강조색2 16 2" xfId="247" xr:uid="{62039BE8-060B-4713-A8A9-192681D54BEE}"/>
    <cellStyle name="20% - 강조색2 17" xfId="248" xr:uid="{99F4BF4A-3B2C-41DA-A50C-6A05C3999D10}"/>
    <cellStyle name="20% - 강조색2 17 2" xfId="249" xr:uid="{E16EB762-E489-49BB-90A0-C082C25B83E5}"/>
    <cellStyle name="20% - 강조색2 18" xfId="250" xr:uid="{53B69320-6C1A-4634-AA77-4C1B8D5E0C60}"/>
    <cellStyle name="20% - 강조색2 18 2" xfId="251" xr:uid="{CDB39110-178D-4799-BD8F-44EE85030907}"/>
    <cellStyle name="20% - 강조색2 19" xfId="252" xr:uid="{15064C71-7C6B-4C05-8E3C-98B28AB95001}"/>
    <cellStyle name="20% - 강조색2 19 2" xfId="253" xr:uid="{B602C09B-4209-4921-B21D-48EDB44D190C}"/>
    <cellStyle name="20% - 강조색2 2" xfId="254" xr:uid="{A3952DE1-3833-42B0-9B79-B66EBC4DEBC4}"/>
    <cellStyle name="20% - 강조색2 2 2" xfId="255" xr:uid="{E797B8CE-16A8-4D15-BC9F-370BD2ED13C2}"/>
    <cellStyle name="20% - 강조색2 20" xfId="256" xr:uid="{F1A265E6-6FA6-4841-A0FC-6329BA8EF235}"/>
    <cellStyle name="20% - 강조색2 20 2" xfId="257" xr:uid="{C091B423-BF95-4390-BF09-60B354FDA1C6}"/>
    <cellStyle name="20% - 강조색2 21" xfId="258" xr:uid="{86A77633-F7A6-4728-A167-B47A495CD9CF}"/>
    <cellStyle name="20% - 강조색2 21 2" xfId="259" xr:uid="{B3FD8EC0-1E86-40D8-82A3-6977774F7CED}"/>
    <cellStyle name="20% - 강조색2 22" xfId="260" xr:uid="{FD75C563-F42E-400B-AE1B-71D0B04B7C52}"/>
    <cellStyle name="20% - 강조색2 22 2" xfId="261" xr:uid="{9664E345-8EC6-41B9-BAE5-6CEFD3C77833}"/>
    <cellStyle name="20% - 강조색2 23" xfId="262" xr:uid="{50B1D819-FBD8-4169-9D03-D095F1E836A0}"/>
    <cellStyle name="20% - 강조색2 23 2" xfId="263" xr:uid="{F8B7EB44-0D94-4276-AC1F-917E9A46369E}"/>
    <cellStyle name="20% - 강조색2 24" xfId="264" xr:uid="{1F416DEC-804D-4F49-A874-B7928CEAB6BA}"/>
    <cellStyle name="20% - 강조색2 24 2" xfId="265" xr:uid="{47F1575C-391D-4440-AAFF-0FC053DAA64C}"/>
    <cellStyle name="20% - 강조색2 25" xfId="266" xr:uid="{D0DAFB15-8A4E-46F7-A511-5387F8F478E8}"/>
    <cellStyle name="20% - 강조색2 25 2" xfId="267" xr:uid="{BCCCF2CD-FB60-4E6F-86E8-147C907D921D}"/>
    <cellStyle name="20% - 강조색2 26" xfId="268" xr:uid="{3B53A38C-6C2E-462E-A5F3-9E3E852ACFEC}"/>
    <cellStyle name="20% - 강조색2 26 2" xfId="269" xr:uid="{FBED02A6-0508-4B1E-9276-EC1A73FE103B}"/>
    <cellStyle name="20% - 강조색2 27" xfId="270" xr:uid="{790EAD97-2189-494F-A05D-AFFE6B064914}"/>
    <cellStyle name="20% - 강조색2 27 2" xfId="271" xr:uid="{50187336-F751-47E7-9ABF-2A60DB3AF649}"/>
    <cellStyle name="20% - 강조색2 28" xfId="272" xr:uid="{A9058D72-5FB8-4DAE-8413-B0A806DC1BA5}"/>
    <cellStyle name="20% - 강조색2 28 2" xfId="273" xr:uid="{FA0D5291-056F-4847-A2A3-9BDE59811AB0}"/>
    <cellStyle name="20% - 강조색2 29" xfId="274" xr:uid="{8AD2E0DA-47ED-45B3-9F5C-271651CA7F52}"/>
    <cellStyle name="20% - 강조색2 29 2" xfId="275" xr:uid="{5EFCE4BB-9428-4B70-87F5-AB5C2D4C7FF8}"/>
    <cellStyle name="20% - 강조색2 3" xfId="276" xr:uid="{BD938C40-2F5D-4BE4-9969-75F2A833B55D}"/>
    <cellStyle name="20% - 강조색2 3 2" xfId="277" xr:uid="{F1FED6E9-1148-4C10-BD6C-27C0606FE601}"/>
    <cellStyle name="20% - 강조색2 30" xfId="278" xr:uid="{D777DBCC-92F2-4ECD-B9C4-FE016024F650}"/>
    <cellStyle name="20% - 강조색2 30 2" xfId="279" xr:uid="{6B601055-B38B-4990-B78A-0E44A203D775}"/>
    <cellStyle name="20% - 강조색2 31" xfId="280" xr:uid="{24241524-740B-4872-9F56-66164CEBE298}"/>
    <cellStyle name="20% - 강조색2 31 2" xfId="281" xr:uid="{A27025EB-A7A1-4057-B78C-3D16A018E665}"/>
    <cellStyle name="20% - 강조색2 32" xfId="282" xr:uid="{F4B227C4-1EA8-4E09-AB75-4FE0A0C4397A}"/>
    <cellStyle name="20% - 강조색2 32 2" xfId="283" xr:uid="{267FC9D4-67A8-4522-918E-5DAB1EE7A65A}"/>
    <cellStyle name="20% - 강조색2 33" xfId="284" xr:uid="{454DAAE6-6062-42A4-A3F7-4A2BE1A79A39}"/>
    <cellStyle name="20% - 강조색2 33 2" xfId="285" xr:uid="{320F2D54-870A-4BDB-9F03-6907FA482BF7}"/>
    <cellStyle name="20% - 강조색2 34" xfId="286" xr:uid="{05074672-796C-43C8-BCF4-78318ED73FB8}"/>
    <cellStyle name="20% - 강조색2 34 2" xfId="287" xr:uid="{3C899425-77CA-4E18-8F64-FA5088C49A30}"/>
    <cellStyle name="20% - 강조색2 35" xfId="288" xr:uid="{2F2947E3-273F-45D4-AAF9-2181FEC03328}"/>
    <cellStyle name="20% - 강조색2 35 2" xfId="289" xr:uid="{6A5BC1BE-672E-4F88-BF9E-080BDB9B675F}"/>
    <cellStyle name="20% - 강조색2 36" xfId="290" xr:uid="{3636A617-D021-4137-931B-E8F1E03CB9FE}"/>
    <cellStyle name="20% - 강조색2 36 2" xfId="291" xr:uid="{CD6770D7-D3B9-43AE-916F-851BFF2F1EFD}"/>
    <cellStyle name="20% - 강조색2 37" xfId="292" xr:uid="{DC34EA58-6E82-476F-9708-20C4B663831B}"/>
    <cellStyle name="20% - 강조색2 37 2" xfId="293" xr:uid="{55D22F10-D01F-4310-B518-6E7BC2D62D73}"/>
    <cellStyle name="20% - 강조색2 38" xfId="294" xr:uid="{16C113BC-51FE-41A9-8E54-C4F921975CE2}"/>
    <cellStyle name="20% - 강조색2 38 2" xfId="295" xr:uid="{9D518A44-D240-4EC5-8A8D-51C1F239C52B}"/>
    <cellStyle name="20% - 강조색2 39" xfId="296" xr:uid="{8428E9AB-58B0-48A5-A4D1-B8F0DF36131E}"/>
    <cellStyle name="20% - 강조색2 39 2" xfId="297" xr:uid="{8AA6DF5A-540D-4C82-A602-5B95E7695C66}"/>
    <cellStyle name="20% - 강조색2 4" xfId="298" xr:uid="{846C42AC-AE46-419C-B8C8-480AB7FF39CF}"/>
    <cellStyle name="20% - 강조색2 4 2" xfId="299" xr:uid="{29B7AF6D-C275-45F2-9E8E-6D9271B1448D}"/>
    <cellStyle name="20% - 강조색2 40" xfId="300" xr:uid="{36BB3607-C73F-41B4-B281-AB2AF1C176BA}"/>
    <cellStyle name="20% - 강조색2 40 2" xfId="301" xr:uid="{D906CE59-B37E-4124-A285-6724C19DB3E0}"/>
    <cellStyle name="20% - 강조색2 41" xfId="302" xr:uid="{FB3F3267-AE20-4E36-BF94-B24EDD5A8223}"/>
    <cellStyle name="20% - 강조색2 41 2" xfId="303" xr:uid="{930F865C-8499-4C1B-903B-28A2EEDF996B}"/>
    <cellStyle name="20% - 강조색2 42" xfId="304" xr:uid="{5209AE2E-CF4D-4954-9B0C-B510D5D65D30}"/>
    <cellStyle name="20% - 강조색2 42 2" xfId="305" xr:uid="{F45D47C9-732D-4A99-ADAA-9E0670C0836E}"/>
    <cellStyle name="20% - 강조색2 43" xfId="306" xr:uid="{2DCFAB64-6B91-4154-941E-5DEF4DA45611}"/>
    <cellStyle name="20% - 강조색2 43 2" xfId="307" xr:uid="{A121614F-03D2-43E0-8904-FDD950D8EDBA}"/>
    <cellStyle name="20% - 강조색2 44" xfId="308" xr:uid="{EE064C90-6CD7-4D5F-B302-E4D026E598D6}"/>
    <cellStyle name="20% - 강조색2 45" xfId="309" xr:uid="{2A1E8357-1735-4A90-B366-51834D053D4F}"/>
    <cellStyle name="20% - 강조색2 46" xfId="310" xr:uid="{E121A1F3-C6E5-42C9-82B5-DFF5853F7A34}"/>
    <cellStyle name="20% - 강조색2 47" xfId="233" xr:uid="{D42B8082-92AD-4CA9-98E4-463DA2A2FFCD}"/>
    <cellStyle name="20% - 강조색2 5" xfId="311" xr:uid="{2058CC35-0061-40D9-B494-00F929379BA1}"/>
    <cellStyle name="20% - 강조색2 5 2" xfId="312" xr:uid="{F749C712-577F-422A-A9F6-07EFB4634831}"/>
    <cellStyle name="20% - 강조색2 6" xfId="313" xr:uid="{F4FD5D3A-173F-4AE6-8CD6-EEDB89D6F3AA}"/>
    <cellStyle name="20% - 강조색2 6 2" xfId="314" xr:uid="{1E7E73BD-CAB1-4A52-B786-89296CB95F48}"/>
    <cellStyle name="20% - 강조색2 7" xfId="315" xr:uid="{2588F65B-F975-4B3E-9CBB-9BBA39DFF77F}"/>
    <cellStyle name="20% - 강조색2 7 2" xfId="316" xr:uid="{66CA5F20-A4B1-4355-9862-6D4A7DBA8ADF}"/>
    <cellStyle name="20% - 강조색2 8" xfId="317" xr:uid="{78277F9E-2424-43D8-958E-83886F3032AA}"/>
    <cellStyle name="20% - 강조색2 8 2" xfId="318" xr:uid="{3F9E93B7-568C-4652-AAFE-1492E5ADFDBB}"/>
    <cellStyle name="20% - 강조색2 9" xfId="319" xr:uid="{5B711262-4FB4-42EC-86D6-CB3CB90C206F}"/>
    <cellStyle name="20% - 강조색2 9 2" xfId="320" xr:uid="{12131259-E8AF-4298-B1AE-C638D4F0E9CF}"/>
    <cellStyle name="20% - 강조색3 10" xfId="322" xr:uid="{55E58049-2ECB-4039-9021-1E728897E704}"/>
    <cellStyle name="20% - 강조색3 10 2" xfId="323" xr:uid="{D43F8616-F497-42B4-B552-C92789B69E06}"/>
    <cellStyle name="20% - 강조색3 11" xfId="324" xr:uid="{74F67B4B-C5C3-4115-B48E-4E5DAD7E8C52}"/>
    <cellStyle name="20% - 강조색3 11 2" xfId="325" xr:uid="{7AAD0D52-529D-43A2-93B3-4302491463A5}"/>
    <cellStyle name="20% - 강조색3 12" xfId="326" xr:uid="{17208CED-3D23-40DC-BAD6-0824151088AA}"/>
    <cellStyle name="20% - 강조색3 12 2" xfId="327" xr:uid="{6B859364-ECA1-49D5-AB08-85A3B057CB51}"/>
    <cellStyle name="20% - 강조색3 13" xfId="328" xr:uid="{0B4A8069-290C-4AA1-A805-7D493CDA1650}"/>
    <cellStyle name="20% - 강조색3 13 2" xfId="329" xr:uid="{0CB2DAEB-F0F8-49D7-AF1C-169027630AA7}"/>
    <cellStyle name="20% - 강조색3 14" xfId="330" xr:uid="{DE094065-CA00-427F-820A-A16EA10D9BD2}"/>
    <cellStyle name="20% - 강조색3 14 2" xfId="331" xr:uid="{4D35ECE7-D12C-4A25-80B7-5A206B43AF70}"/>
    <cellStyle name="20% - 강조색3 15" xfId="332" xr:uid="{A0A4968C-EB10-4E79-A94B-40CA0792937B}"/>
    <cellStyle name="20% - 강조색3 15 2" xfId="333" xr:uid="{4A192299-94E1-4741-B2C3-F577821114AD}"/>
    <cellStyle name="20% - 강조색3 16" xfId="334" xr:uid="{CEAC3A7D-390C-4632-A6C2-DB4636B845A6}"/>
    <cellStyle name="20% - 강조색3 16 2" xfId="335" xr:uid="{B9E226AB-630A-41F9-A0B5-9D9306105BF7}"/>
    <cellStyle name="20% - 강조색3 17" xfId="336" xr:uid="{9E06686F-F02A-44F8-9D41-F5898CDEC5E9}"/>
    <cellStyle name="20% - 강조색3 17 2" xfId="337" xr:uid="{E0D276F9-9293-4654-AB15-43005D580A62}"/>
    <cellStyle name="20% - 강조색3 18" xfId="338" xr:uid="{F434341E-856D-4AF2-819B-2D2831770156}"/>
    <cellStyle name="20% - 강조색3 18 2" xfId="339" xr:uid="{CB210299-A1B2-4BA8-8DEA-DE1C0DB403E0}"/>
    <cellStyle name="20% - 강조색3 19" xfId="340" xr:uid="{092C87CB-D432-4E43-B956-307840B55B7F}"/>
    <cellStyle name="20% - 강조색3 19 2" xfId="341" xr:uid="{CEED37FD-73EE-4925-A295-EE1521068D96}"/>
    <cellStyle name="20% - 강조색3 2" xfId="342" xr:uid="{5B864EBB-F60F-488F-BD0B-0EC7F09C9DD8}"/>
    <cellStyle name="20% - 강조색3 2 2" xfId="343" xr:uid="{9B88DFF7-A6E2-48DD-BA28-6ABEC69B9EAD}"/>
    <cellStyle name="20% - 강조색3 20" xfId="344" xr:uid="{228A3984-CCE0-4D70-BE26-A32246068724}"/>
    <cellStyle name="20% - 강조색3 20 2" xfId="345" xr:uid="{ECB2A5C8-961D-474C-A537-4FE8E88E66DC}"/>
    <cellStyle name="20% - 강조색3 21" xfId="346" xr:uid="{AE9F3C93-6BDD-43EE-99D0-A1E5F732013B}"/>
    <cellStyle name="20% - 강조색3 21 2" xfId="347" xr:uid="{2ACDEC5A-0FA2-47AB-896D-3C923C3F5EBE}"/>
    <cellStyle name="20% - 강조색3 22" xfId="348" xr:uid="{5CE72EEE-5728-4500-AAF3-325D6F34B136}"/>
    <cellStyle name="20% - 강조색3 22 2" xfId="349" xr:uid="{645FC1D9-2798-41FC-A9EA-52664FD82942}"/>
    <cellStyle name="20% - 강조색3 23" xfId="350" xr:uid="{CE9A8942-D15E-46FE-B167-A9A347A4F1CC}"/>
    <cellStyle name="20% - 강조색3 23 2" xfId="351" xr:uid="{498B9130-7E67-461C-A398-CF6A75CF798D}"/>
    <cellStyle name="20% - 강조색3 24" xfId="352" xr:uid="{3247CEE8-D398-441E-B47E-86649B9F3DD3}"/>
    <cellStyle name="20% - 강조색3 24 2" xfId="353" xr:uid="{BB9AF519-6C86-4053-81CB-5F7FCE9C5F90}"/>
    <cellStyle name="20% - 강조색3 25" xfId="354" xr:uid="{DC12EEDE-77C8-4485-8F49-1923196A9D73}"/>
    <cellStyle name="20% - 강조색3 25 2" xfId="355" xr:uid="{6102C3CC-F715-4AA5-AE35-21DFC6DD87A3}"/>
    <cellStyle name="20% - 강조색3 26" xfId="356" xr:uid="{92C6BB09-60A5-4CAD-BD9C-FECEC3C8DF37}"/>
    <cellStyle name="20% - 강조색3 26 2" xfId="357" xr:uid="{3145E251-295D-4226-95A1-C7D752DCEDD2}"/>
    <cellStyle name="20% - 강조색3 27" xfId="358" xr:uid="{DA375248-8EFE-4447-966F-5733E81F1DC9}"/>
    <cellStyle name="20% - 강조색3 27 2" xfId="359" xr:uid="{A717C792-57B7-463A-9D02-249364A91FB0}"/>
    <cellStyle name="20% - 강조색3 28" xfId="360" xr:uid="{37052B82-A0F1-4FFC-97EE-5491F24CA414}"/>
    <cellStyle name="20% - 강조색3 28 2" xfId="361" xr:uid="{7B5F3FB3-4272-41BA-9721-CB917F3CD6C9}"/>
    <cellStyle name="20% - 강조색3 29" xfId="362" xr:uid="{90289149-6F5A-4C8C-8B55-D316779F8843}"/>
    <cellStyle name="20% - 강조색3 29 2" xfId="363" xr:uid="{5E5D948D-B992-41B8-9662-783F719746E9}"/>
    <cellStyle name="20% - 강조색3 3" xfId="364" xr:uid="{B2B8589B-564C-4F29-93DD-4451EDA1BA56}"/>
    <cellStyle name="20% - 강조색3 3 2" xfId="365" xr:uid="{C358F9ED-6DCE-4CDE-8827-6BC9AF7AE0ED}"/>
    <cellStyle name="20% - 강조색3 30" xfId="366" xr:uid="{420E97F2-E70A-403D-AF38-C1722B66A14D}"/>
    <cellStyle name="20% - 강조색3 30 2" xfId="367" xr:uid="{A15A382C-4372-4813-B3DC-BAA94035EA01}"/>
    <cellStyle name="20% - 강조색3 31" xfId="368" xr:uid="{14656D47-7CC4-4D41-8084-CE92C304441D}"/>
    <cellStyle name="20% - 강조색3 31 2" xfId="369" xr:uid="{B7DA4833-F7C0-4CF0-AC5F-B289531A3F81}"/>
    <cellStyle name="20% - 강조색3 32" xfId="370" xr:uid="{C7266994-8A9A-45CD-8850-1996214D4FBC}"/>
    <cellStyle name="20% - 강조색3 32 2" xfId="371" xr:uid="{A4344E05-BB66-42EA-BA95-BE4CFFBBEFA7}"/>
    <cellStyle name="20% - 강조색3 33" xfId="372" xr:uid="{68F84818-7756-4F1E-845A-DA6A2F99FF0B}"/>
    <cellStyle name="20% - 강조색3 33 2" xfId="373" xr:uid="{40668465-04FD-4F6C-B17E-C3981F48E4EE}"/>
    <cellStyle name="20% - 강조색3 34" xfId="374" xr:uid="{EA1F553A-E984-4EDF-9D6D-FD49F82B2EB6}"/>
    <cellStyle name="20% - 강조색3 34 2" xfId="375" xr:uid="{CE50609E-88ED-49F9-933B-5B5ECE07011D}"/>
    <cellStyle name="20% - 강조색3 35" xfId="376" xr:uid="{857F3359-20FB-4F83-B14F-743082E7E412}"/>
    <cellStyle name="20% - 강조색3 35 2" xfId="377" xr:uid="{0CFE5850-0316-4BC1-BC4C-2732259DC22D}"/>
    <cellStyle name="20% - 강조색3 36" xfId="378" xr:uid="{7571EA02-158E-4DE7-8DE3-B0F6346ECB84}"/>
    <cellStyle name="20% - 강조색3 36 2" xfId="379" xr:uid="{2D68D8A8-F2FA-4DA8-A2FA-3677826709A0}"/>
    <cellStyle name="20% - 강조색3 37" xfId="380" xr:uid="{3E47C174-E101-4F4F-BD43-0D6343180138}"/>
    <cellStyle name="20% - 강조색3 37 2" xfId="381" xr:uid="{6390DA0E-9E3F-4035-AF90-F04D53996C29}"/>
    <cellStyle name="20% - 강조색3 38" xfId="382" xr:uid="{ED969AAB-6EF0-4A1A-B5DD-A08F22B50C69}"/>
    <cellStyle name="20% - 강조색3 38 2" xfId="383" xr:uid="{6C790240-2FF6-430F-BB88-D2E44425AA38}"/>
    <cellStyle name="20% - 강조색3 39" xfId="384" xr:uid="{4E989882-4D89-4758-9DF8-515A3D0F87A4}"/>
    <cellStyle name="20% - 강조색3 39 2" xfId="385" xr:uid="{98D66009-DC6A-4B62-B6A1-55DEA1B3AFDC}"/>
    <cellStyle name="20% - 강조색3 4" xfId="386" xr:uid="{076B5F35-B91E-4B21-B5A4-EE243E883246}"/>
    <cellStyle name="20% - 강조색3 4 2" xfId="387" xr:uid="{A4D18311-38A5-4570-AA2E-5A19F23744CA}"/>
    <cellStyle name="20% - 강조색3 40" xfId="388" xr:uid="{44E53112-2417-4721-9089-20A93F352537}"/>
    <cellStyle name="20% - 강조색3 40 2" xfId="389" xr:uid="{6F118A2C-0646-4AF4-94D3-C822FB02B4B4}"/>
    <cellStyle name="20% - 강조색3 41" xfId="390" xr:uid="{6A6921D9-199B-43D7-A04A-229E95253DAB}"/>
    <cellStyle name="20% - 강조색3 41 2" xfId="391" xr:uid="{9C030415-DFB6-42A5-9DF2-586BD6E4CC22}"/>
    <cellStyle name="20% - 강조색3 42" xfId="392" xr:uid="{DE806A48-D5EF-48DF-BF6D-781749ACDA6E}"/>
    <cellStyle name="20% - 강조색3 42 2" xfId="393" xr:uid="{99EAF523-935A-4E82-8DC8-F99AD11339DB}"/>
    <cellStyle name="20% - 강조색3 43" xfId="394" xr:uid="{EF92C78F-70E4-488C-9672-29BB2A25F89D}"/>
    <cellStyle name="20% - 강조색3 43 2" xfId="395" xr:uid="{DFF47F3E-296B-4227-AC22-F50644396B4E}"/>
    <cellStyle name="20% - 강조색3 44" xfId="396" xr:uid="{6FB02B84-D114-499F-9B0A-D684B5435743}"/>
    <cellStyle name="20% - 강조색3 45" xfId="397" xr:uid="{5A6B6120-4868-44AB-91B9-C90963061A14}"/>
    <cellStyle name="20% - 강조색3 46" xfId="398" xr:uid="{7C64046C-9A71-44D4-B723-D9FB5CA0700B}"/>
    <cellStyle name="20% - 강조색3 47" xfId="321" xr:uid="{967FD4FD-C6B0-495E-BB8B-0A9FD40AA9C6}"/>
    <cellStyle name="20% - 강조색3 5" xfId="399" xr:uid="{5851672D-6020-4051-9137-9F4C564CF2A1}"/>
    <cellStyle name="20% - 강조색3 5 2" xfId="400" xr:uid="{A5E2F3A5-ADA1-4F07-B130-E59AB9CC5EC6}"/>
    <cellStyle name="20% - 강조색3 6" xfId="401" xr:uid="{11413286-9E55-4017-8060-4380475F83D9}"/>
    <cellStyle name="20% - 강조색3 6 2" xfId="402" xr:uid="{CFC1283E-8655-460B-9A74-653E4F73EF31}"/>
    <cellStyle name="20% - 강조색3 7" xfId="403" xr:uid="{3F815E21-765F-4B2E-BDA1-BB317A2F8750}"/>
    <cellStyle name="20% - 강조색3 7 2" xfId="404" xr:uid="{4FC7F08D-A130-4897-BCB8-588B322A83D7}"/>
    <cellStyle name="20% - 강조색3 8" xfId="405" xr:uid="{859043CC-D44F-4E64-921B-3C52C9A02B25}"/>
    <cellStyle name="20% - 강조색3 8 2" xfId="406" xr:uid="{6A504352-2608-4B2E-81AA-81031A0585B7}"/>
    <cellStyle name="20% - 강조색3 9" xfId="407" xr:uid="{0A0AA80B-B62A-4DAD-84D3-5895992AD14A}"/>
    <cellStyle name="20% - 강조색3 9 2" xfId="408" xr:uid="{5622437E-C2AC-47C7-A084-616C18E858E6}"/>
    <cellStyle name="20% - 강조색4 10" xfId="410" xr:uid="{0BCA1FCB-1B45-4537-A999-B1F815E57E28}"/>
    <cellStyle name="20% - 강조색4 10 2" xfId="411" xr:uid="{04BD308B-1CD1-4828-AF01-B5F7166FEA1B}"/>
    <cellStyle name="20% - 강조색4 11" xfId="412" xr:uid="{1CC446DA-818A-45D2-A1A3-B5D47289419E}"/>
    <cellStyle name="20% - 강조색4 11 2" xfId="413" xr:uid="{56A32E8F-E88B-42FA-A37C-3E81763D9ACF}"/>
    <cellStyle name="20% - 강조색4 12" xfId="414" xr:uid="{5FADEC3F-F579-4CA3-BA5D-E8592B9C265C}"/>
    <cellStyle name="20% - 강조색4 12 2" xfId="415" xr:uid="{83C8BA90-BE14-4838-94EA-7A874D140325}"/>
    <cellStyle name="20% - 강조색4 13" xfId="416" xr:uid="{504EC9EB-0AC5-4BAE-804E-E572E7BCFB45}"/>
    <cellStyle name="20% - 강조색4 13 2" xfId="417" xr:uid="{A93CEDE1-904B-4CD0-863D-5E9634B83B30}"/>
    <cellStyle name="20% - 강조색4 14" xfId="418" xr:uid="{8C8258FE-772C-4ABD-9AA8-781B29FC02BC}"/>
    <cellStyle name="20% - 강조색4 14 2" xfId="419" xr:uid="{ABC7B5E6-A6A4-4DA0-94FC-6CACC3CE449C}"/>
    <cellStyle name="20% - 강조색4 15" xfId="420" xr:uid="{A0407958-504B-4C1C-BD2A-D4BAF7AF3FF6}"/>
    <cellStyle name="20% - 강조색4 15 2" xfId="421" xr:uid="{FDDCA3D8-0BF1-442A-9C92-AB6750DE723A}"/>
    <cellStyle name="20% - 강조색4 16" xfId="422" xr:uid="{F31E823F-BEF2-4764-AA04-093D3C12653A}"/>
    <cellStyle name="20% - 강조색4 16 2" xfId="423" xr:uid="{2FB7C560-AC0E-4739-9857-23CA11BDBB67}"/>
    <cellStyle name="20% - 강조색4 17" xfId="424" xr:uid="{A2ACDAE5-5965-49E5-B0C9-C1E06F8F6D5C}"/>
    <cellStyle name="20% - 강조색4 17 2" xfId="425" xr:uid="{C0774D94-E757-48D2-AB08-8D945F4B2002}"/>
    <cellStyle name="20% - 강조색4 18" xfId="426" xr:uid="{AC1ACA3C-B19F-45DD-B118-B80ED1FD082A}"/>
    <cellStyle name="20% - 강조색4 18 2" xfId="427" xr:uid="{9580082B-6AC8-497F-8E42-221828C51DB5}"/>
    <cellStyle name="20% - 강조색4 19" xfId="428" xr:uid="{305B8477-29C9-4AED-8B61-A14A6EC73A85}"/>
    <cellStyle name="20% - 강조색4 19 2" xfId="429" xr:uid="{24668E5E-2F6E-44E2-999B-BE04A54D2743}"/>
    <cellStyle name="20% - 강조색4 2" xfId="430" xr:uid="{9D9DA23F-AB08-4C16-B64B-711D7F4628D2}"/>
    <cellStyle name="20% - 강조색4 2 2" xfId="431" xr:uid="{10995FE2-03E8-4E54-B581-AEA1E3D1DC50}"/>
    <cellStyle name="20% - 강조색4 20" xfId="432" xr:uid="{742482A3-46F3-44F9-BC59-9C8BB3536717}"/>
    <cellStyle name="20% - 강조색4 20 2" xfId="433" xr:uid="{63CBF369-0153-4E9A-A8B2-F51244334C83}"/>
    <cellStyle name="20% - 강조색4 21" xfId="434" xr:uid="{DB3936AF-5770-4C0C-BA84-DDBF49379506}"/>
    <cellStyle name="20% - 강조색4 21 2" xfId="435" xr:uid="{DED57741-9B98-4122-BA00-EBEFDD8AAFE6}"/>
    <cellStyle name="20% - 강조색4 22" xfId="436" xr:uid="{3B83ADA2-8711-46F9-8E3C-A30EFD8B4E3B}"/>
    <cellStyle name="20% - 강조색4 22 2" xfId="437" xr:uid="{22863579-E028-42AB-9506-CBC2382B8517}"/>
    <cellStyle name="20% - 강조색4 23" xfId="438" xr:uid="{7758DF09-060B-4402-A4E7-5E1CBBF8BB7E}"/>
    <cellStyle name="20% - 강조색4 23 2" xfId="439" xr:uid="{A34F9946-2980-46A9-9F81-FC2CC47E374D}"/>
    <cellStyle name="20% - 강조색4 24" xfId="440" xr:uid="{0630D165-88E1-4941-87A8-DBA5B3BBDA75}"/>
    <cellStyle name="20% - 강조색4 24 2" xfId="441" xr:uid="{6423D2D8-4816-4058-B3DD-037AAD21948D}"/>
    <cellStyle name="20% - 강조색4 25" xfId="442" xr:uid="{4BF3E22D-E559-4269-BF9A-FC99E4BA471E}"/>
    <cellStyle name="20% - 강조색4 25 2" xfId="443" xr:uid="{19283C56-43E7-4C2D-AD93-8ED8936DF967}"/>
    <cellStyle name="20% - 강조색4 26" xfId="444" xr:uid="{D0817233-B533-4715-BE14-D6546CF54EDA}"/>
    <cellStyle name="20% - 강조색4 26 2" xfId="445" xr:uid="{BB3007EE-B91D-47F4-BD58-F6DD9C9D5D4A}"/>
    <cellStyle name="20% - 강조색4 27" xfId="446" xr:uid="{08C6629E-17E6-456F-8569-BDA70052EC2A}"/>
    <cellStyle name="20% - 강조색4 27 2" xfId="447" xr:uid="{8EEF3DAB-2FC4-4E67-BCAD-C7BC1F90EF23}"/>
    <cellStyle name="20% - 강조색4 28" xfId="448" xr:uid="{AE3D33B4-38F8-4BC7-9964-557F6332DF83}"/>
    <cellStyle name="20% - 강조색4 28 2" xfId="449" xr:uid="{0C10FA89-E0B8-49EC-8A1F-547109917EA3}"/>
    <cellStyle name="20% - 강조색4 29" xfId="450" xr:uid="{E11B83F6-DA76-4B96-AB7D-91D8B19DA4F5}"/>
    <cellStyle name="20% - 강조색4 29 2" xfId="451" xr:uid="{7D91DA8A-FB80-41CF-9669-0120E08BCCF1}"/>
    <cellStyle name="20% - 강조색4 3" xfId="452" xr:uid="{522C8762-5F5A-409C-A456-17FFB8B2203D}"/>
    <cellStyle name="20% - 강조색4 3 2" xfId="453" xr:uid="{0CF26A00-8547-481A-8141-2DBEA8D34866}"/>
    <cellStyle name="20% - 강조색4 30" xfId="454" xr:uid="{13060EBF-F324-471B-BE85-3CA7B7E21C2E}"/>
    <cellStyle name="20% - 강조색4 30 2" xfId="455" xr:uid="{761C86B6-62D7-4996-A5A1-0F7CEF5FAF0A}"/>
    <cellStyle name="20% - 강조색4 31" xfId="456" xr:uid="{049893FE-08B3-42C5-A46A-6C1E0E121C64}"/>
    <cellStyle name="20% - 강조색4 31 2" xfId="457" xr:uid="{EAB2DA0C-338B-4C64-9928-FC9581A7B73A}"/>
    <cellStyle name="20% - 강조색4 32" xfId="458" xr:uid="{5A49648C-65B6-4A7D-AAF8-0D97EBDAB8AB}"/>
    <cellStyle name="20% - 강조색4 32 2" xfId="459" xr:uid="{DDBB0D46-B68F-4867-862E-E5D2F339642C}"/>
    <cellStyle name="20% - 강조색4 33" xfId="460" xr:uid="{1CDB2987-467B-427D-B56B-1318358F0E96}"/>
    <cellStyle name="20% - 강조색4 33 2" xfId="461" xr:uid="{CB4B8EA5-43F7-4049-9E10-A22A404B5502}"/>
    <cellStyle name="20% - 강조색4 34" xfId="462" xr:uid="{986B7CD4-A997-4ABB-8410-7D0E82A3DA3F}"/>
    <cellStyle name="20% - 강조색4 34 2" xfId="463" xr:uid="{BB0AA2E1-6946-4C8E-B926-577BE2005326}"/>
    <cellStyle name="20% - 강조색4 35" xfId="464" xr:uid="{CD791AAF-3C27-49AA-B779-31DF486DDD72}"/>
    <cellStyle name="20% - 강조색4 35 2" xfId="465" xr:uid="{65FFFCBE-71CC-410C-A00E-13107A02873C}"/>
    <cellStyle name="20% - 강조색4 36" xfId="466" xr:uid="{FA96D13E-971C-4ABD-B60B-678B737D38BE}"/>
    <cellStyle name="20% - 강조색4 36 2" xfId="467" xr:uid="{D7BF87E5-3786-4329-A8EC-1E36ACCEB36B}"/>
    <cellStyle name="20% - 강조색4 37" xfId="468" xr:uid="{7984B9EA-2067-45D6-BB81-0C5680632A0C}"/>
    <cellStyle name="20% - 강조색4 37 2" xfId="469" xr:uid="{65A6423B-AD26-4748-9009-8EF035DAA12A}"/>
    <cellStyle name="20% - 강조색4 38" xfId="470" xr:uid="{485F5CD0-9003-4ACC-B562-953463B93A6B}"/>
    <cellStyle name="20% - 강조색4 38 2" xfId="471" xr:uid="{5157C32D-5C5F-4C07-B050-329D74514E3C}"/>
    <cellStyle name="20% - 강조색4 39" xfId="472" xr:uid="{9192A7F0-4DEC-4284-90DA-670F29BD88B7}"/>
    <cellStyle name="20% - 강조색4 39 2" xfId="473" xr:uid="{E4EC28D1-1512-44C9-9E3D-AB6D38B9507E}"/>
    <cellStyle name="20% - 강조색4 4" xfId="474" xr:uid="{BBD4115D-F0AA-4C18-9195-C0123BD1E033}"/>
    <cellStyle name="20% - 강조색4 4 2" xfId="475" xr:uid="{453D64A4-A138-4E2A-83A0-F4402CA471C6}"/>
    <cellStyle name="20% - 강조색4 40" xfId="476" xr:uid="{E559A6C0-B1DD-4849-88C5-DDD9EB8364DD}"/>
    <cellStyle name="20% - 강조색4 40 2" xfId="477" xr:uid="{215B45FC-1209-49D5-A146-3612766AFA5E}"/>
    <cellStyle name="20% - 강조색4 41" xfId="478" xr:uid="{24A70A56-84C1-4CC9-98BA-5373C0A02177}"/>
    <cellStyle name="20% - 강조색4 41 2" xfId="479" xr:uid="{43999136-14B5-4E74-B42D-9B197A99FFEA}"/>
    <cellStyle name="20% - 강조색4 42" xfId="480" xr:uid="{B26DF146-D29D-4C1E-8ADB-1162ADC9D980}"/>
    <cellStyle name="20% - 강조색4 42 2" xfId="481" xr:uid="{C13EE307-97A8-4C23-87C5-E0EA943CF952}"/>
    <cellStyle name="20% - 강조색4 43" xfId="482" xr:uid="{55DE40CF-B884-4DF4-B709-DE7EB2A46B80}"/>
    <cellStyle name="20% - 강조색4 43 2" xfId="483" xr:uid="{6711D7C1-BFE5-44AE-AF14-5447192A5BD0}"/>
    <cellStyle name="20% - 강조색4 44" xfId="484" xr:uid="{07C9EA5E-258A-48CC-AC63-125FA68F9F85}"/>
    <cellStyle name="20% - 강조색4 45" xfId="485" xr:uid="{EFA5730D-8C64-4DAC-9A93-7303DC645221}"/>
    <cellStyle name="20% - 강조색4 46" xfId="486" xr:uid="{C171C56A-1A7D-450F-AA8E-626FACDF0A78}"/>
    <cellStyle name="20% - 강조색4 47" xfId="409" xr:uid="{93D59931-41A5-485C-B7FA-A72BD3CD7FD5}"/>
    <cellStyle name="20% - 강조색4 5" xfId="487" xr:uid="{737BECFF-BF7A-425B-8BB7-E1C2944669F5}"/>
    <cellStyle name="20% - 강조색4 5 2" xfId="488" xr:uid="{8F4F935D-2BA0-4510-B04E-38CFBE92801C}"/>
    <cellStyle name="20% - 강조색4 6" xfId="489" xr:uid="{53FB8277-0886-4180-90AE-2AFE0B51FDEC}"/>
    <cellStyle name="20% - 강조색4 6 2" xfId="490" xr:uid="{BF0D2F05-C3B1-4801-841F-D2A7A06178C2}"/>
    <cellStyle name="20% - 강조색4 7" xfId="491" xr:uid="{A0A8095E-F088-4955-AAC3-B5EC24B38DC7}"/>
    <cellStyle name="20% - 강조색4 7 2" xfId="492" xr:uid="{4BF0DA3A-4207-48B5-8116-1D1FE7F0AA6E}"/>
    <cellStyle name="20% - 강조색4 8" xfId="493" xr:uid="{02D2C6A8-6985-4F88-8DCA-6CC7E02E3A7A}"/>
    <cellStyle name="20% - 강조색4 8 2" xfId="494" xr:uid="{6A1E6ED8-B140-4EB4-8F65-4DCB26EA2227}"/>
    <cellStyle name="20% - 강조색4 9" xfId="495" xr:uid="{EEE024BB-E7C4-4662-A3BB-2DD99322656A}"/>
    <cellStyle name="20% - 강조색4 9 2" xfId="496" xr:uid="{2A9B9404-E173-4311-81E6-DD64CBDB93BD}"/>
    <cellStyle name="20% - 강조색5 10" xfId="498" xr:uid="{F9AC14B8-54E3-4B1B-8E7A-9B5ADB45E6F3}"/>
    <cellStyle name="20% - 강조색5 10 2" xfId="499" xr:uid="{A0768367-76AF-4A66-A49A-4D6E301BAB95}"/>
    <cellStyle name="20% - 강조색5 11" xfId="500" xr:uid="{8490C8DF-A8E4-4B49-9D6D-0B760070DD14}"/>
    <cellStyle name="20% - 강조색5 11 2" xfId="501" xr:uid="{7E4E9CE0-A754-492B-A170-9852E9EAEB03}"/>
    <cellStyle name="20% - 강조색5 12" xfId="502" xr:uid="{782351D4-4AC2-4D2D-AA20-3BF2B3AB015D}"/>
    <cellStyle name="20% - 강조색5 12 2" xfId="503" xr:uid="{EEB9FC29-8F1B-425D-8E49-3BE2100B2D4D}"/>
    <cellStyle name="20% - 강조색5 13" xfId="504" xr:uid="{7089D070-A1C9-4238-BBE5-DA737283AAF5}"/>
    <cellStyle name="20% - 강조색5 13 2" xfId="505" xr:uid="{B71FDF56-B330-4C23-92CB-E2FB4E762377}"/>
    <cellStyle name="20% - 강조색5 14" xfId="506" xr:uid="{D67D03CB-ACAE-4032-AA4C-307B2D8F7CB3}"/>
    <cellStyle name="20% - 강조색5 14 2" xfId="507" xr:uid="{13B9B11D-9386-4783-83BB-82FEFA32AC39}"/>
    <cellStyle name="20% - 강조색5 15" xfId="508" xr:uid="{0F3B5312-E6A3-4FFA-8EEE-52BF4B97384C}"/>
    <cellStyle name="20% - 강조색5 15 2" xfId="509" xr:uid="{5881CA5F-480A-4A17-B142-D40E2275D497}"/>
    <cellStyle name="20% - 강조색5 16" xfId="510" xr:uid="{1115B2E4-A602-49D1-8480-BB77943CA74C}"/>
    <cellStyle name="20% - 강조색5 16 2" xfId="511" xr:uid="{38F95D26-D00B-4665-8A91-837254253765}"/>
    <cellStyle name="20% - 강조색5 17" xfId="512" xr:uid="{9A16A23E-DFBE-4DB7-B3D8-A49101F3DE70}"/>
    <cellStyle name="20% - 강조색5 17 2" xfId="513" xr:uid="{6C9CCB71-D758-4CF2-8FF7-6A7AA1DEE1D6}"/>
    <cellStyle name="20% - 강조색5 18" xfId="514" xr:uid="{BB88DB12-B5F2-4A19-8D8C-A7B2A1C93106}"/>
    <cellStyle name="20% - 강조색5 18 2" xfId="515" xr:uid="{78080356-CE04-49C2-8CAD-68318277EC14}"/>
    <cellStyle name="20% - 강조색5 19" xfId="516" xr:uid="{BFD05494-E701-4805-B743-9913EEDF24A7}"/>
    <cellStyle name="20% - 강조색5 19 2" xfId="517" xr:uid="{980ADA24-E25E-42F6-9AB5-FC5781BB8FD6}"/>
    <cellStyle name="20% - 강조색5 2" xfId="518" xr:uid="{6FD9D120-2B67-4F96-874D-390CBC1AE66B}"/>
    <cellStyle name="20% - 강조색5 2 2" xfId="519" xr:uid="{9C1B1515-8ACC-4EF5-B14E-25F6A1E434AF}"/>
    <cellStyle name="20% - 강조색5 20" xfId="520" xr:uid="{5E932924-C09E-411F-9079-5525446FAF6E}"/>
    <cellStyle name="20% - 강조색5 20 2" xfId="521" xr:uid="{EBD78C2A-E2CC-4280-97EE-62C12B008409}"/>
    <cellStyle name="20% - 강조색5 21" xfId="522" xr:uid="{E59D86AF-2797-401C-8E93-E316E6CA7478}"/>
    <cellStyle name="20% - 강조색5 21 2" xfId="523" xr:uid="{AE411711-71B8-4DF7-916F-9CF7D8327B39}"/>
    <cellStyle name="20% - 강조색5 22" xfId="524" xr:uid="{3C942F2F-C4F8-4634-B8F7-1991603E0E46}"/>
    <cellStyle name="20% - 강조색5 22 2" xfId="525" xr:uid="{BEDE2EA8-4193-4AE6-A2C1-BEF772B596B4}"/>
    <cellStyle name="20% - 강조색5 23" xfId="526" xr:uid="{50EB743A-D5C8-4129-917B-6440633FAB8D}"/>
    <cellStyle name="20% - 강조색5 23 2" xfId="527" xr:uid="{08C201BD-A873-4C9A-9450-1E2F50FF90D2}"/>
    <cellStyle name="20% - 강조색5 24" xfId="528" xr:uid="{76F5F82F-37AC-44B5-8699-967A2596C716}"/>
    <cellStyle name="20% - 강조색5 24 2" xfId="529" xr:uid="{6DB504D6-9401-4F8D-B1A2-2501F7E9F282}"/>
    <cellStyle name="20% - 강조색5 25" xfId="530" xr:uid="{7D521627-F4DD-4639-8953-062E257449DA}"/>
    <cellStyle name="20% - 강조색5 25 2" xfId="531" xr:uid="{11F174E6-86AD-44DB-B0A5-675342C84392}"/>
    <cellStyle name="20% - 강조색5 26" xfId="532" xr:uid="{484E17FD-2AE9-4CF4-87A3-7186A1CA4351}"/>
    <cellStyle name="20% - 강조색5 26 2" xfId="533" xr:uid="{69F83313-1E50-478E-A348-A95DE9B5CD99}"/>
    <cellStyle name="20% - 강조색5 27" xfId="534" xr:uid="{05F01358-3AC8-44D3-9E91-F53C1A6B7BAB}"/>
    <cellStyle name="20% - 강조색5 27 2" xfId="535" xr:uid="{12A9CC24-8336-48DD-A29E-3DB2934F3B67}"/>
    <cellStyle name="20% - 강조색5 28" xfId="536" xr:uid="{A9C9B998-6FBD-451C-8579-FF784CAF0542}"/>
    <cellStyle name="20% - 강조색5 28 2" xfId="537" xr:uid="{F0D23D71-15A9-4F32-A59E-6FA6850561FE}"/>
    <cellStyle name="20% - 강조색5 29" xfId="538" xr:uid="{1FB8B2EB-2BC5-49C6-AE50-9BBD8273A593}"/>
    <cellStyle name="20% - 강조색5 29 2" xfId="539" xr:uid="{7A7ECED7-ACB1-432E-BECC-E8B18D7F81B9}"/>
    <cellStyle name="20% - 강조색5 3" xfId="540" xr:uid="{391120BA-F3B2-4181-8C5D-98535D606D77}"/>
    <cellStyle name="20% - 강조색5 3 2" xfId="541" xr:uid="{AE71E5D5-CA73-4F62-815C-688300CE7A40}"/>
    <cellStyle name="20% - 강조색5 30" xfId="542" xr:uid="{78C613CE-D751-40E5-A9BF-AACF0FA8D8DD}"/>
    <cellStyle name="20% - 강조색5 30 2" xfId="543" xr:uid="{E3A56CC8-BD94-492F-80DF-9295E6D1E049}"/>
    <cellStyle name="20% - 강조색5 31" xfId="544" xr:uid="{2737EA84-7962-4E10-9099-B4B1BA48A2BE}"/>
    <cellStyle name="20% - 강조색5 31 2" xfId="545" xr:uid="{4FB249CD-BCDC-4DE3-9CE8-63D6D3C2A914}"/>
    <cellStyle name="20% - 강조색5 32" xfId="546" xr:uid="{6B53A4FF-00B7-4B9A-A232-0A094947444E}"/>
    <cellStyle name="20% - 강조색5 32 2" xfId="547" xr:uid="{0401F888-D35A-4336-A20C-FCD9061B6B5F}"/>
    <cellStyle name="20% - 강조색5 33" xfId="548" xr:uid="{D6BB4DD6-C30D-4463-A631-B737104A1EF4}"/>
    <cellStyle name="20% - 강조색5 33 2" xfId="549" xr:uid="{44D2BC3A-AB49-4E1D-8A58-93D3631EF2AE}"/>
    <cellStyle name="20% - 강조색5 34" xfId="550" xr:uid="{DE1F23A4-2594-49D2-AC84-F550398CBEF4}"/>
    <cellStyle name="20% - 강조색5 34 2" xfId="551" xr:uid="{718B7F57-DA9B-4DA4-BFDD-D94CFDA36003}"/>
    <cellStyle name="20% - 강조색5 35" xfId="552" xr:uid="{235C4C85-05EC-429D-9E7C-EB371B412EB4}"/>
    <cellStyle name="20% - 강조색5 35 2" xfId="553" xr:uid="{5F46B092-E91C-4AEB-B583-00CD2E3248A0}"/>
    <cellStyle name="20% - 강조색5 36" xfId="554" xr:uid="{13DA900A-CE31-4886-A498-27A05523B7B8}"/>
    <cellStyle name="20% - 강조색5 36 2" xfId="555" xr:uid="{B32577E7-7E3A-4F80-98EA-31B5B4844442}"/>
    <cellStyle name="20% - 강조색5 37" xfId="556" xr:uid="{A81E85E3-74DF-4783-AF0E-8D8006B95B11}"/>
    <cellStyle name="20% - 강조색5 37 2" xfId="557" xr:uid="{4E0D195D-B811-4DD9-A5DC-1CD6A6FBA7F3}"/>
    <cellStyle name="20% - 강조색5 38" xfId="558" xr:uid="{0647C519-5CE9-4A46-8CC6-061DFC3F0AE2}"/>
    <cellStyle name="20% - 강조색5 38 2" xfId="559" xr:uid="{FC0BBC28-829B-4A7D-B416-9FC2E14D7DD7}"/>
    <cellStyle name="20% - 강조색5 39" xfId="560" xr:uid="{3390BD1F-C565-4210-9B63-C74669C1C318}"/>
    <cellStyle name="20% - 강조색5 39 2" xfId="561" xr:uid="{64427700-8DE2-4584-BDCF-1F757DA07903}"/>
    <cellStyle name="20% - 강조색5 4" xfId="562" xr:uid="{8A22E841-BE2B-4D9D-842D-9E7300159248}"/>
    <cellStyle name="20% - 강조색5 4 2" xfId="563" xr:uid="{4B2B8874-58DC-40FD-9B17-6BCBD2AD3035}"/>
    <cellStyle name="20% - 강조색5 40" xfId="564" xr:uid="{E717E04C-7FE2-4C84-87E4-36283FA41B83}"/>
    <cellStyle name="20% - 강조색5 40 2" xfId="565" xr:uid="{E1BB3B17-8DE7-4DD4-A048-F592247BEE34}"/>
    <cellStyle name="20% - 강조색5 41" xfId="566" xr:uid="{8C81466C-F5D3-4A50-B468-44EE62C5E424}"/>
    <cellStyle name="20% - 강조색5 41 2" xfId="567" xr:uid="{2EEA66EE-E936-43B3-82E3-31EB85073925}"/>
    <cellStyle name="20% - 강조색5 42" xfId="568" xr:uid="{F84BD4A1-57D4-4AC2-B49B-7C8BED8C9774}"/>
    <cellStyle name="20% - 강조색5 42 2" xfId="569" xr:uid="{762B39DD-C010-4E14-B8AC-D5FA1A114486}"/>
    <cellStyle name="20% - 강조색5 43" xfId="570" xr:uid="{3F89D7A6-6379-460B-B279-975696211A68}"/>
    <cellStyle name="20% - 강조색5 43 2" xfId="571" xr:uid="{8AF6AF2D-9353-45C5-ABD7-75BE3A074DCC}"/>
    <cellStyle name="20% - 강조색5 44" xfId="572" xr:uid="{F60BA138-CBCE-4950-9F58-1A821CA0E6D9}"/>
    <cellStyle name="20% - 강조색5 45" xfId="573" xr:uid="{691808DC-7B5C-4136-B520-D8CBE6082D7F}"/>
    <cellStyle name="20% - 강조색5 46" xfId="574" xr:uid="{E947469E-61BE-4470-B3C6-1E64C3C85DC2}"/>
    <cellStyle name="20% - 강조색5 47" xfId="497" xr:uid="{5EBD24E5-6F63-4D7C-9217-B70C1EFDDE44}"/>
    <cellStyle name="20% - 강조색5 5" xfId="575" xr:uid="{9FC574FC-B9F9-4949-8957-7069D9B1EE12}"/>
    <cellStyle name="20% - 강조색5 5 2" xfId="576" xr:uid="{F73D7F4C-0732-4BAB-804F-51E950FBEF17}"/>
    <cellStyle name="20% - 강조색5 6" xfId="577" xr:uid="{89FC7408-71CF-4CBA-8F97-C87B4A49516E}"/>
    <cellStyle name="20% - 강조색5 6 2" xfId="578" xr:uid="{C42DF97C-C127-4825-8D53-397968385299}"/>
    <cellStyle name="20% - 강조색5 7" xfId="579" xr:uid="{D929FFE1-4A2B-4840-9CA8-7AACF21B2400}"/>
    <cellStyle name="20% - 강조색5 7 2" xfId="580" xr:uid="{BF59C061-991C-4D0A-86E0-4AA09580FA71}"/>
    <cellStyle name="20% - 강조색5 8" xfId="581" xr:uid="{580F1FA5-68DC-4FA8-913B-5664146AEC25}"/>
    <cellStyle name="20% - 강조색5 8 2" xfId="582" xr:uid="{5ACBFF39-4BAB-4748-9AAF-6DBA7D91BF5C}"/>
    <cellStyle name="20% - 강조색5 9" xfId="583" xr:uid="{4BEC83A7-0DCA-4307-8693-AA2969F8E4A2}"/>
    <cellStyle name="20% - 강조색5 9 2" xfId="584" xr:uid="{0E53E43B-2F43-4865-8EDB-C73789DA89E3}"/>
    <cellStyle name="20% - 강조색6 10" xfId="586" xr:uid="{24349677-6631-4DD8-92B9-7DB0E3ECE4DF}"/>
    <cellStyle name="20% - 강조색6 10 2" xfId="587" xr:uid="{69397BF4-BF4D-4575-B002-D0D4B4E49D18}"/>
    <cellStyle name="20% - 강조색6 11" xfId="588" xr:uid="{E666A8E6-954E-4F75-AA4C-48F52DC10F64}"/>
    <cellStyle name="20% - 강조색6 11 2" xfId="589" xr:uid="{9B08AD57-4208-4AB3-90D8-DD062AB30E52}"/>
    <cellStyle name="20% - 강조색6 12" xfId="590" xr:uid="{2190B655-5F9C-4423-A9B7-DC8CE121A38D}"/>
    <cellStyle name="20% - 강조색6 12 2" xfId="591" xr:uid="{3F1C722C-D06F-45BF-B236-56FF053A98E1}"/>
    <cellStyle name="20% - 강조색6 13" xfId="592" xr:uid="{FD57BA0E-564D-46ED-B2DE-3B2EEFD57450}"/>
    <cellStyle name="20% - 강조색6 13 2" xfId="593" xr:uid="{2F82BB40-E48A-4DD4-ACB8-9E46A12B006B}"/>
    <cellStyle name="20% - 강조색6 14" xfId="594" xr:uid="{A53AFAE7-6CD2-45B3-824E-C7236D5A4C07}"/>
    <cellStyle name="20% - 강조색6 14 2" xfId="595" xr:uid="{749378BA-5FB9-48FF-8987-EF91B5AABCA2}"/>
    <cellStyle name="20% - 강조색6 15" xfId="596" xr:uid="{EC8DEEA2-E6FF-4468-A484-5EDCAA06C313}"/>
    <cellStyle name="20% - 강조색6 15 2" xfId="597" xr:uid="{FE28FDD0-E2BA-4862-81AE-D5C1AD20A19A}"/>
    <cellStyle name="20% - 강조색6 16" xfId="598" xr:uid="{5ABB1B4A-33F5-4685-8C8C-BBCA486AB094}"/>
    <cellStyle name="20% - 강조색6 16 2" xfId="599" xr:uid="{847C7585-8076-4586-A2E8-D1C4B515F6B5}"/>
    <cellStyle name="20% - 강조색6 17" xfId="600" xr:uid="{09ED4B3F-BFF2-430D-BD17-3DFF577010E9}"/>
    <cellStyle name="20% - 강조색6 17 2" xfId="601" xr:uid="{4036F2C0-6F84-4C4E-9BF9-ABCFB018080B}"/>
    <cellStyle name="20% - 강조색6 18" xfId="602" xr:uid="{1579AD6D-A80F-4BA5-9FBF-57BF00A2D673}"/>
    <cellStyle name="20% - 강조색6 18 2" xfId="603" xr:uid="{E2104B3B-2F19-4BE7-A59C-424D79F99E07}"/>
    <cellStyle name="20% - 강조색6 19" xfId="604" xr:uid="{E237FA5A-0DA3-48D6-99A7-2476553B7CD3}"/>
    <cellStyle name="20% - 강조색6 19 2" xfId="605" xr:uid="{867DF570-84A6-4F27-8378-B4CDAAF56D9C}"/>
    <cellStyle name="20% - 강조색6 2" xfId="606" xr:uid="{CE4E743B-1FC7-4FF7-A56E-3410679F2A9E}"/>
    <cellStyle name="20% - 강조색6 2 2" xfId="607" xr:uid="{A6A365A4-70F1-4550-9F02-F61393BB1279}"/>
    <cellStyle name="20% - 강조색6 20" xfId="608" xr:uid="{F6E87CB6-97B2-4AD9-9471-46D2E756B083}"/>
    <cellStyle name="20% - 강조색6 20 2" xfId="609" xr:uid="{804ABFC1-CBE6-41F8-A51C-F91AA5C75883}"/>
    <cellStyle name="20% - 강조색6 21" xfId="610" xr:uid="{CA50A1D7-A28E-42F3-AE9F-2D19E7818279}"/>
    <cellStyle name="20% - 강조색6 21 2" xfId="611" xr:uid="{6010351B-A9CA-4983-B510-EFDD7ADC4AD8}"/>
    <cellStyle name="20% - 강조색6 22" xfId="612" xr:uid="{D845342C-E0FB-406A-AE7E-0129D85D9A8A}"/>
    <cellStyle name="20% - 강조색6 22 2" xfId="613" xr:uid="{3C5C767F-1761-4705-8BC1-4FFE9E9282A0}"/>
    <cellStyle name="20% - 강조색6 23" xfId="614" xr:uid="{F2E6BB7C-5F76-429C-8B0E-133086EFD6C5}"/>
    <cellStyle name="20% - 강조색6 23 2" xfId="615" xr:uid="{18F6A6FE-8FF0-4212-83FA-838606E3021B}"/>
    <cellStyle name="20% - 강조색6 24" xfId="616" xr:uid="{2F2644E3-821E-4B5F-A732-B624EEB26E34}"/>
    <cellStyle name="20% - 강조색6 24 2" xfId="617" xr:uid="{5B543FC4-EDBD-4BBB-9554-80568E3EF253}"/>
    <cellStyle name="20% - 강조색6 25" xfId="618" xr:uid="{C0C47395-9723-44FD-86DB-DC5002815E9F}"/>
    <cellStyle name="20% - 강조색6 25 2" xfId="619" xr:uid="{F71A8247-711C-47E9-9E57-E6E0F9B1C4A8}"/>
    <cellStyle name="20% - 강조색6 26" xfId="620" xr:uid="{BC51A98A-BE40-4A4C-832A-4D0B971E1C24}"/>
    <cellStyle name="20% - 강조색6 26 2" xfId="621" xr:uid="{C96A4FB3-9BE3-4C13-A527-F7EF501572B8}"/>
    <cellStyle name="20% - 강조색6 27" xfId="622" xr:uid="{A9D15DB2-EF32-40BD-A8EA-E0065C9E5FAE}"/>
    <cellStyle name="20% - 강조색6 27 2" xfId="623" xr:uid="{1BBC5092-A803-4E22-90FA-6F530DF4B40A}"/>
    <cellStyle name="20% - 강조색6 28" xfId="624" xr:uid="{AAA1165C-0931-422C-9597-7FB92B899818}"/>
    <cellStyle name="20% - 강조색6 28 2" xfId="625" xr:uid="{06DD684F-A809-4682-B50C-19EF07207D58}"/>
    <cellStyle name="20% - 강조색6 29" xfId="626" xr:uid="{F1575098-6DA9-4509-8CDD-0974FBE2BEF4}"/>
    <cellStyle name="20% - 강조색6 29 2" xfId="627" xr:uid="{302E75B3-DF5A-4FE7-BB41-C0FC4ADD3442}"/>
    <cellStyle name="20% - 강조색6 3" xfId="628" xr:uid="{01577A94-EEC6-4AA3-A5E2-E17D1A7188E1}"/>
    <cellStyle name="20% - 강조색6 3 2" xfId="629" xr:uid="{16E66287-DF48-461F-A173-02741A5EC514}"/>
    <cellStyle name="20% - 강조색6 30" xfId="630" xr:uid="{BD4664D4-D6E8-4297-9951-DB4445B1BF8C}"/>
    <cellStyle name="20% - 강조색6 30 2" xfId="631" xr:uid="{84C4D303-5DDE-4BCA-92CE-443DB38DCC73}"/>
    <cellStyle name="20% - 강조색6 31" xfId="632" xr:uid="{B51330DF-AC9C-4A60-9A8C-A0033C126542}"/>
    <cellStyle name="20% - 강조색6 31 2" xfId="633" xr:uid="{E1BB5E0C-5194-4AB1-86E0-9DDAC7EE2764}"/>
    <cellStyle name="20% - 강조색6 32" xfId="634" xr:uid="{E4E4967E-65BB-4FCB-A3DC-F9BC6B6444E0}"/>
    <cellStyle name="20% - 강조색6 32 2" xfId="635" xr:uid="{9EAC4009-009D-4EC5-9B5D-A5A74438312A}"/>
    <cellStyle name="20% - 강조색6 33" xfId="636" xr:uid="{2A8C8B9B-4FF6-4BDA-A32E-0BE9916C4DD1}"/>
    <cellStyle name="20% - 강조색6 33 2" xfId="637" xr:uid="{93ED78B0-A385-406B-98F1-F7A3454FB41A}"/>
    <cellStyle name="20% - 강조색6 34" xfId="638" xr:uid="{6FE4E811-0086-42D1-8A6E-C58F764BEEA3}"/>
    <cellStyle name="20% - 강조색6 34 2" xfId="639" xr:uid="{B7639C05-FE13-441A-B6A1-BB966573A3DB}"/>
    <cellStyle name="20% - 강조색6 35" xfId="640" xr:uid="{99E50B8A-C345-41BB-8D7E-F67A2B371BA9}"/>
    <cellStyle name="20% - 강조색6 35 2" xfId="641" xr:uid="{F85F9932-9E0E-433A-85DA-CE05B7780740}"/>
    <cellStyle name="20% - 강조색6 36" xfId="642" xr:uid="{1F64CE02-D2CA-4AC1-A2AF-2D6ED0C8A3AC}"/>
    <cellStyle name="20% - 강조색6 36 2" xfId="643" xr:uid="{693E9252-7332-4E0B-AF52-AA67CBFE6467}"/>
    <cellStyle name="20% - 강조색6 37" xfId="644" xr:uid="{BF68F929-6686-4B4C-963A-45D03B282869}"/>
    <cellStyle name="20% - 강조색6 37 2" xfId="645" xr:uid="{FC808628-5115-40D1-A738-F136C3B8E4ED}"/>
    <cellStyle name="20% - 강조색6 38" xfId="646" xr:uid="{4E24B2EE-BE9F-4E12-8B42-603EEE045237}"/>
    <cellStyle name="20% - 강조색6 38 2" xfId="647" xr:uid="{4F07D5DA-5499-4D0B-ACC8-ED2D7655ADD9}"/>
    <cellStyle name="20% - 강조색6 39" xfId="648" xr:uid="{D79A9474-A68B-486C-9CBC-BF3EF83F2E5D}"/>
    <cellStyle name="20% - 강조색6 39 2" xfId="649" xr:uid="{71F0B8F2-8140-4612-979D-E706FE43F886}"/>
    <cellStyle name="20% - 강조색6 4" xfId="650" xr:uid="{01371357-5653-4BA4-9C35-891F13F478B6}"/>
    <cellStyle name="20% - 강조색6 4 2" xfId="651" xr:uid="{CC45634C-AB2A-4461-BC81-2CAF6DA93E1B}"/>
    <cellStyle name="20% - 강조색6 40" xfId="652" xr:uid="{1A0E3786-E0A1-48E0-9553-749279272F05}"/>
    <cellStyle name="20% - 강조색6 40 2" xfId="653" xr:uid="{4441FA0D-F4AD-47B3-979E-ADFF642823F9}"/>
    <cellStyle name="20% - 강조색6 41" xfId="654" xr:uid="{1DC1A42C-C44D-470F-B733-B9A49A39A51D}"/>
    <cellStyle name="20% - 강조색6 41 2" xfId="655" xr:uid="{687717B2-4CA6-45EA-8858-D4FC00325B39}"/>
    <cellStyle name="20% - 강조색6 42" xfId="656" xr:uid="{AFE8AA71-3754-434B-9B0F-1F65D1BFC72B}"/>
    <cellStyle name="20% - 강조색6 42 2" xfId="657" xr:uid="{6FF1A179-A59F-498B-A63B-3020146ACCD2}"/>
    <cellStyle name="20% - 강조색6 43" xfId="658" xr:uid="{42E4D9FA-D4D4-4212-944F-08CEC78435C3}"/>
    <cellStyle name="20% - 강조색6 43 2" xfId="659" xr:uid="{775DD41A-3163-4C30-B6F0-61B39F836A14}"/>
    <cellStyle name="20% - 강조색6 44" xfId="660" xr:uid="{0CC21D1F-47C6-408B-9323-1880533203B0}"/>
    <cellStyle name="20% - 강조색6 45" xfId="661" xr:uid="{B97DA29A-14A7-4B06-8662-6FA6BC5CCDA3}"/>
    <cellStyle name="20% - 강조색6 46" xfId="662" xr:uid="{B743390E-D7D1-4406-A618-74489BD7A3CF}"/>
    <cellStyle name="20% - 강조색6 47" xfId="585" xr:uid="{7F1D29EA-2BF3-4A0E-82D1-C6159FF8FF16}"/>
    <cellStyle name="20% - 강조색6 5" xfId="663" xr:uid="{0DD946EB-6AB5-47DF-869D-DB2EC9D3EFCA}"/>
    <cellStyle name="20% - 강조색6 5 2" xfId="664" xr:uid="{9CACC5F3-33F0-4DBF-992A-7F94A2BBCEAE}"/>
    <cellStyle name="20% - 강조색6 6" xfId="665" xr:uid="{4A1AF2EE-FF94-46C0-98FA-20C2907F828A}"/>
    <cellStyle name="20% - 강조색6 6 2" xfId="666" xr:uid="{77F18CF1-C8E1-45F9-8B21-B23E8389CA32}"/>
    <cellStyle name="20% - 강조색6 7" xfId="667" xr:uid="{469F0741-6A8F-4D88-AAF6-8B037AC5111E}"/>
    <cellStyle name="20% - 강조색6 7 2" xfId="668" xr:uid="{55A023A6-067C-4907-95C8-FBA67715DC65}"/>
    <cellStyle name="20% - 강조색6 8" xfId="669" xr:uid="{E4F78F05-8FA9-47A2-B5E6-4138CBF44C58}"/>
    <cellStyle name="20% - 강조색6 8 2" xfId="670" xr:uid="{FCDBB46F-148F-4DC1-A820-6F4697FFD358}"/>
    <cellStyle name="20% - 강조색6 9" xfId="671" xr:uid="{B4387261-FD21-4414-9806-417DAA859622}"/>
    <cellStyle name="20% - 강조색6 9 2" xfId="672" xr:uid="{E9ECA2D4-265C-49EE-8807-A233DA5465DD}"/>
    <cellStyle name="40% - Accent1 2" xfId="21" xr:uid="{00000000-0005-0000-0000-000006000000}"/>
    <cellStyle name="40% - Accent2 2" xfId="22" xr:uid="{00000000-0005-0000-0000-000007000000}"/>
    <cellStyle name="40% - Accent3 2" xfId="23" xr:uid="{00000000-0005-0000-0000-000008000000}"/>
    <cellStyle name="40% - Accent4 2" xfId="24" xr:uid="{00000000-0005-0000-0000-000009000000}"/>
    <cellStyle name="40% - Accent5 2" xfId="25" xr:uid="{00000000-0005-0000-0000-00000A000000}"/>
    <cellStyle name="40% - Accent6 2" xfId="26" xr:uid="{00000000-0005-0000-0000-00000B000000}"/>
    <cellStyle name="40% - 강조색1 10" xfId="674" xr:uid="{6A68AE09-853A-40DE-90C8-EE8167050CE6}"/>
    <cellStyle name="40% - 강조색1 10 2" xfId="675" xr:uid="{2F015813-C408-47AF-BE3C-9BBF05346A27}"/>
    <cellStyle name="40% - 강조색1 11" xfId="676" xr:uid="{AF9F753D-3FE8-4272-8A9F-A99A2F150368}"/>
    <cellStyle name="40% - 강조색1 11 2" xfId="677" xr:uid="{CD70F79A-C6BB-42A7-AD87-1723EFF865C3}"/>
    <cellStyle name="40% - 강조색1 12" xfId="678" xr:uid="{DD4506E5-909C-46C5-99CC-30B681B21223}"/>
    <cellStyle name="40% - 강조색1 12 2" xfId="679" xr:uid="{C0238433-708E-4088-A298-612E2F8EEE8F}"/>
    <cellStyle name="40% - 강조색1 13" xfId="680" xr:uid="{6E65FE6D-9E0E-4B95-A908-910415FAFB73}"/>
    <cellStyle name="40% - 강조색1 13 2" xfId="681" xr:uid="{DF4A2770-2528-4D68-B231-C7AE99738361}"/>
    <cellStyle name="40% - 강조색1 14" xfId="682" xr:uid="{BB141FC8-F073-4D06-B124-8F535536DFFD}"/>
    <cellStyle name="40% - 강조색1 14 2" xfId="683" xr:uid="{C568AF45-1E44-451F-BB09-83A22B550707}"/>
    <cellStyle name="40% - 강조색1 15" xfId="684" xr:uid="{0925FCDE-C757-4227-A666-56A8548DF064}"/>
    <cellStyle name="40% - 강조색1 15 2" xfId="685" xr:uid="{F86AA364-EF84-4FE4-B4DE-A0B056924BE8}"/>
    <cellStyle name="40% - 강조색1 16" xfId="686" xr:uid="{E01B1140-9B34-4FF1-A0CA-89A27922BA4F}"/>
    <cellStyle name="40% - 강조색1 16 2" xfId="687" xr:uid="{887811BC-FF9D-4BA5-8F27-EB8671EAEAA1}"/>
    <cellStyle name="40% - 강조색1 17" xfId="688" xr:uid="{CAAEA15D-82B1-45D4-AFEE-77BD342BBE97}"/>
    <cellStyle name="40% - 강조색1 17 2" xfId="689" xr:uid="{27B2E3C1-F31E-4962-B591-2B01180D9C87}"/>
    <cellStyle name="40% - 강조색1 18" xfId="690" xr:uid="{16DF047F-307C-4728-8CE5-0C28A35D73AB}"/>
    <cellStyle name="40% - 강조색1 18 2" xfId="691" xr:uid="{ECF35798-1148-4540-978C-345C7E4EC7DC}"/>
    <cellStyle name="40% - 강조색1 19" xfId="692" xr:uid="{7CB40593-A82B-4FCA-948D-932E8934E613}"/>
    <cellStyle name="40% - 강조색1 19 2" xfId="693" xr:uid="{C31B0512-8DAE-483D-A275-C58CB06EDD26}"/>
    <cellStyle name="40% - 강조색1 2" xfId="694" xr:uid="{0A783DF3-47DE-4953-AA53-6F7F199A9E0C}"/>
    <cellStyle name="40% - 강조색1 2 2" xfId="695" xr:uid="{4FC7B0D7-93FB-4677-8892-70993E6DC130}"/>
    <cellStyle name="40% - 강조색1 20" xfId="696" xr:uid="{A6FF1368-D7F5-448D-A680-64C6B3671B05}"/>
    <cellStyle name="40% - 강조색1 20 2" xfId="697" xr:uid="{B80AD1FF-486B-4918-AE75-20EE8594A61D}"/>
    <cellStyle name="40% - 강조색1 21" xfId="698" xr:uid="{8EFCB98C-7F9F-4470-8BB4-9FFE33659D33}"/>
    <cellStyle name="40% - 강조색1 21 2" xfId="699" xr:uid="{BF0A9DD4-6DA9-44A3-B100-072492AB2C6B}"/>
    <cellStyle name="40% - 강조색1 22" xfId="700" xr:uid="{995FD3A3-6C67-4046-93DD-2EA23F60B722}"/>
    <cellStyle name="40% - 강조색1 22 2" xfId="701" xr:uid="{FAAC32A7-1349-4074-9889-BA0D5FEFB527}"/>
    <cellStyle name="40% - 강조색1 23" xfId="702" xr:uid="{ADD332B1-7BF6-4490-A381-687BF5435FCB}"/>
    <cellStyle name="40% - 강조색1 23 2" xfId="703" xr:uid="{CA53045C-6064-4305-BBAA-42F4A999EC8E}"/>
    <cellStyle name="40% - 강조색1 24" xfId="704" xr:uid="{1A976192-A066-48A4-845E-C39A852A5695}"/>
    <cellStyle name="40% - 강조색1 24 2" xfId="705" xr:uid="{B715E3C8-3CF3-49F2-A062-EEA97428BB10}"/>
    <cellStyle name="40% - 강조색1 25" xfId="706" xr:uid="{9AB222E6-4396-46A5-A645-99A333C950F7}"/>
    <cellStyle name="40% - 강조색1 25 2" xfId="707" xr:uid="{A1211CED-D28F-407E-BB53-9701B091E431}"/>
    <cellStyle name="40% - 강조색1 26" xfId="708" xr:uid="{B9C8E3FE-66DE-4939-A9C2-8485F38B4EDA}"/>
    <cellStyle name="40% - 강조색1 26 2" xfId="709" xr:uid="{E9281BF4-5E95-4312-BD9D-9CCE80ABBBAB}"/>
    <cellStyle name="40% - 강조색1 27" xfId="710" xr:uid="{876CF7F9-9C6A-46BB-A301-304F1CF8C70A}"/>
    <cellStyle name="40% - 강조색1 27 2" xfId="711" xr:uid="{1C898D0F-1CA1-4D3F-939D-21B9B41A4BD1}"/>
    <cellStyle name="40% - 강조색1 28" xfId="712" xr:uid="{89E66386-81C3-4701-ADD0-6A4898512846}"/>
    <cellStyle name="40% - 강조색1 28 2" xfId="713" xr:uid="{E8494744-4D25-4716-AA44-1A18FB2C7D80}"/>
    <cellStyle name="40% - 강조색1 29" xfId="714" xr:uid="{9E21CC09-54D7-415A-8748-C8CA1128245B}"/>
    <cellStyle name="40% - 강조색1 29 2" xfId="715" xr:uid="{C4617F6F-C83B-4B10-B066-46A97829F01C}"/>
    <cellStyle name="40% - 강조색1 3" xfId="716" xr:uid="{198DDF43-4AFC-4C24-BD60-5722321A6939}"/>
    <cellStyle name="40% - 강조색1 3 2" xfId="717" xr:uid="{146E2551-2C71-4E6E-AC93-0FD94D08C2EE}"/>
    <cellStyle name="40% - 강조색1 30" xfId="718" xr:uid="{A77EDB05-A82E-4C09-A1F3-30D2860893C7}"/>
    <cellStyle name="40% - 강조색1 30 2" xfId="719" xr:uid="{14274AAE-B443-4D5A-9411-DCD6790E4E59}"/>
    <cellStyle name="40% - 강조색1 31" xfId="720" xr:uid="{E5AFD428-C1B2-4ABE-B04E-7A1E384AC44D}"/>
    <cellStyle name="40% - 강조색1 31 2" xfId="721" xr:uid="{F4899AD8-1AA7-45C8-B13C-6C5C7A8A55A1}"/>
    <cellStyle name="40% - 강조색1 32" xfId="722" xr:uid="{2EF24508-72C9-4881-9DDE-E575442CA346}"/>
    <cellStyle name="40% - 강조색1 32 2" xfId="723" xr:uid="{989E5E72-4727-47E1-9AD2-C1B49E41F22B}"/>
    <cellStyle name="40% - 강조색1 33" xfId="724" xr:uid="{6D023C67-0D20-4942-9BAD-281C2F6C8E04}"/>
    <cellStyle name="40% - 강조색1 33 2" xfId="725" xr:uid="{FAA95BCA-5CBA-45A3-9A9B-F348A6EB42A1}"/>
    <cellStyle name="40% - 강조색1 34" xfId="726" xr:uid="{6D60D781-6F8C-4606-B17A-98C1888BFB40}"/>
    <cellStyle name="40% - 강조색1 34 2" xfId="727" xr:uid="{B61AB5FF-5B15-47F5-8B65-AF35AFCF57EB}"/>
    <cellStyle name="40% - 강조색1 35" xfId="728" xr:uid="{1F12473A-4B0D-445A-ACBD-51DF83649783}"/>
    <cellStyle name="40% - 강조색1 35 2" xfId="729" xr:uid="{7F1277F3-20B6-4E31-B00A-93A628A99E7F}"/>
    <cellStyle name="40% - 강조색1 36" xfId="730" xr:uid="{EC3C16EB-5168-464B-ABC7-55722FEE2A60}"/>
    <cellStyle name="40% - 강조색1 36 2" xfId="731" xr:uid="{4364EBDF-0B65-422C-9928-852EDF62309C}"/>
    <cellStyle name="40% - 강조색1 37" xfId="732" xr:uid="{FE63BBE1-E516-4FB1-8258-EB6DFF5B92A4}"/>
    <cellStyle name="40% - 강조색1 37 2" xfId="733" xr:uid="{8AE62F3A-E2DC-489E-A457-0BA1E623C5B9}"/>
    <cellStyle name="40% - 강조색1 38" xfId="734" xr:uid="{9C1EB20E-9C20-452D-9CEE-3C7B45E39B38}"/>
    <cellStyle name="40% - 강조색1 38 2" xfId="735" xr:uid="{2314B31D-C421-4F45-84B8-DF87B088D694}"/>
    <cellStyle name="40% - 강조색1 39" xfId="736" xr:uid="{C8BF88BB-795E-4BEF-BAFA-AD3C38CEF61C}"/>
    <cellStyle name="40% - 강조색1 39 2" xfId="737" xr:uid="{F66CD38A-E2A2-4682-8927-E8F0609971F8}"/>
    <cellStyle name="40% - 강조색1 4" xfId="738" xr:uid="{398AFA68-DC83-4EB3-8E45-93CA57D48547}"/>
    <cellStyle name="40% - 강조색1 4 2" xfId="739" xr:uid="{661390EF-3EDC-451E-8427-D7D3C9A23421}"/>
    <cellStyle name="40% - 강조색1 40" xfId="740" xr:uid="{46586C3C-1397-46FB-AC02-016806EA376D}"/>
    <cellStyle name="40% - 강조색1 40 2" xfId="741" xr:uid="{4891EFC4-B399-4CBA-9F81-7F0BC47BED79}"/>
    <cellStyle name="40% - 강조색1 41" xfId="742" xr:uid="{C5F86DE1-9992-4D14-97B1-6E66154D9AF5}"/>
    <cellStyle name="40% - 강조색1 41 2" xfId="743" xr:uid="{C55190D1-829C-477B-BEFF-BE90DB6B5671}"/>
    <cellStyle name="40% - 강조색1 42" xfId="744" xr:uid="{69FCBAA4-1380-42CC-924A-5162E422DF51}"/>
    <cellStyle name="40% - 강조색1 42 2" xfId="745" xr:uid="{41FE4BDB-50D6-4D44-A98A-5604F8EC4CD0}"/>
    <cellStyle name="40% - 강조색1 43" xfId="746" xr:uid="{1961ADA7-D424-4B8D-AF9D-A572604B3811}"/>
    <cellStyle name="40% - 강조색1 43 2" xfId="747" xr:uid="{B5AE9AC7-FA45-421C-A262-08758B370F17}"/>
    <cellStyle name="40% - 강조색1 44" xfId="748" xr:uid="{8634C8CF-C29F-42ED-86A5-4FF3979DDC5C}"/>
    <cellStyle name="40% - 강조색1 45" xfId="749" xr:uid="{BE6AF801-3C56-41BC-8E0B-75B4B2DC3BA3}"/>
    <cellStyle name="40% - 강조색1 46" xfId="750" xr:uid="{EE0FDCEE-61E2-49F1-9316-716E0D69DA24}"/>
    <cellStyle name="40% - 강조색1 47" xfId="673" xr:uid="{0440849F-BFBB-4DA0-ADE8-BF3AFD43A15D}"/>
    <cellStyle name="40% - 강조색1 5" xfId="751" xr:uid="{B5B69C43-3B92-4F4E-ACF9-A24227301A92}"/>
    <cellStyle name="40% - 강조색1 5 2" xfId="752" xr:uid="{833F4043-DCD8-4183-B293-30C9873CBE13}"/>
    <cellStyle name="40% - 강조색1 6" xfId="753" xr:uid="{1488CCAB-9F9C-4CFA-B894-0B7B52E733C1}"/>
    <cellStyle name="40% - 강조색1 6 2" xfId="754" xr:uid="{828E6949-0D24-4BEA-9C84-078E41A52E22}"/>
    <cellStyle name="40% - 강조색1 7" xfId="755" xr:uid="{C80239FE-10E7-453A-894F-135B07F8C915}"/>
    <cellStyle name="40% - 강조색1 7 2" xfId="756" xr:uid="{63E784C2-34C8-4412-A0EE-E45ACD69B408}"/>
    <cellStyle name="40% - 강조색1 8" xfId="757" xr:uid="{275C8AAF-49E5-456D-B72F-7089076EBFBD}"/>
    <cellStyle name="40% - 강조색1 8 2" xfId="758" xr:uid="{614E42CE-2DAA-4B15-A10A-71F55573C17F}"/>
    <cellStyle name="40% - 강조색1 9" xfId="759" xr:uid="{BF55EB95-EE89-4769-9670-D7D438984731}"/>
    <cellStyle name="40% - 강조색1 9 2" xfId="760" xr:uid="{6FED1F26-9A4C-4CAA-8B05-27C42E6ECD8A}"/>
    <cellStyle name="40% - 강조색2 10" xfId="762" xr:uid="{47F84DBB-3D43-4000-A22F-A75C5BD089E5}"/>
    <cellStyle name="40% - 강조색2 10 2" xfId="763" xr:uid="{1C97F9F5-62FF-4A31-BBD7-A9FA02BFAAB6}"/>
    <cellStyle name="40% - 강조색2 11" xfId="764" xr:uid="{AC03F327-F609-4FC4-988D-A285663DF8D8}"/>
    <cellStyle name="40% - 강조색2 11 2" xfId="765" xr:uid="{46645A5D-9315-4A87-8E2B-894486E444DC}"/>
    <cellStyle name="40% - 강조색2 12" xfId="766" xr:uid="{89AEE6EC-DF0B-44D0-BAE9-82A32F378EB1}"/>
    <cellStyle name="40% - 강조색2 12 2" xfId="767" xr:uid="{68282F8A-025F-4E70-AEEE-BB1F44C94EB6}"/>
    <cellStyle name="40% - 강조색2 13" xfId="768" xr:uid="{F23DAA00-6D79-41AE-822C-C86ECEEA7E32}"/>
    <cellStyle name="40% - 강조색2 13 2" xfId="769" xr:uid="{48DC88F9-BA93-45D2-98A1-2A30BAC52FD3}"/>
    <cellStyle name="40% - 강조색2 14" xfId="770" xr:uid="{B1348E10-2527-4232-B2F2-F08F0090BC75}"/>
    <cellStyle name="40% - 강조색2 14 2" xfId="771" xr:uid="{8DA7F7DB-7FF0-478F-8878-4A78BED5E4AD}"/>
    <cellStyle name="40% - 강조색2 15" xfId="772" xr:uid="{1A3A135F-E631-47C1-B907-96C88180C8F5}"/>
    <cellStyle name="40% - 강조색2 15 2" xfId="773" xr:uid="{287B7C10-5203-4EA5-9502-BEC22CD78438}"/>
    <cellStyle name="40% - 강조색2 16" xfId="774" xr:uid="{2F859653-F86B-4A97-86AE-FCAB9CD0C545}"/>
    <cellStyle name="40% - 강조색2 16 2" xfId="775" xr:uid="{B9C5A1CC-2757-457A-A2B6-117E4A5D5A61}"/>
    <cellStyle name="40% - 강조색2 17" xfId="776" xr:uid="{18444D7B-63A2-47B3-8118-B15614F3FDC0}"/>
    <cellStyle name="40% - 강조색2 17 2" xfId="777" xr:uid="{39B05579-97FB-4DAD-9461-D060F11EBFE9}"/>
    <cellStyle name="40% - 강조색2 18" xfId="778" xr:uid="{BD507716-E7F9-41BD-A376-FA15F45D3133}"/>
    <cellStyle name="40% - 강조색2 18 2" xfId="779" xr:uid="{5F63423B-FB77-4134-A88B-66BBB47B5B32}"/>
    <cellStyle name="40% - 강조색2 19" xfId="780" xr:uid="{8D76BE1C-E09A-4825-94B3-DE85A27D2DB8}"/>
    <cellStyle name="40% - 강조색2 19 2" xfId="781" xr:uid="{3445C85E-1597-4AE6-889C-71949D64419A}"/>
    <cellStyle name="40% - 강조색2 2" xfId="782" xr:uid="{9EE26B8E-3133-4135-A454-2CB58503C87C}"/>
    <cellStyle name="40% - 강조색2 2 2" xfId="783" xr:uid="{DDC3EA23-6FE4-48AB-B69A-56EBCF88437D}"/>
    <cellStyle name="40% - 강조색2 20" xfId="784" xr:uid="{9C79560E-F7CD-43E8-8CFD-12E80BDF5876}"/>
    <cellStyle name="40% - 강조색2 20 2" xfId="785" xr:uid="{1F627C4C-4BEB-49CE-AA58-2D67AE2F8212}"/>
    <cellStyle name="40% - 강조색2 21" xfId="786" xr:uid="{8ABA3CEA-3BEC-421F-A021-E6B41D7CEEF4}"/>
    <cellStyle name="40% - 강조색2 21 2" xfId="787" xr:uid="{B231E365-8960-4B5E-8C02-8F7F3F9AA78F}"/>
    <cellStyle name="40% - 강조색2 22" xfId="788" xr:uid="{ABB6ABD9-4362-4150-847E-235589F263CA}"/>
    <cellStyle name="40% - 강조색2 22 2" xfId="789" xr:uid="{0F5A7E21-D7B6-4299-A982-6065E06AF4C9}"/>
    <cellStyle name="40% - 강조색2 23" xfId="790" xr:uid="{F8986024-4C48-48BB-B723-A648C9C0F011}"/>
    <cellStyle name="40% - 강조색2 23 2" xfId="791" xr:uid="{41F44362-8C5E-47FD-88A7-EFB3D996E7D9}"/>
    <cellStyle name="40% - 강조색2 24" xfId="792" xr:uid="{0BE43DD5-4E7D-4091-96D8-D5CE7ED44CC4}"/>
    <cellStyle name="40% - 강조색2 24 2" xfId="793" xr:uid="{369BF30F-3B1B-41C0-9E90-728B1531858A}"/>
    <cellStyle name="40% - 강조색2 25" xfId="794" xr:uid="{2C51F470-1531-49BB-81AE-B2C5D6881C3C}"/>
    <cellStyle name="40% - 강조색2 25 2" xfId="795" xr:uid="{F57307ED-135D-44CB-A2B5-5F4E29396C85}"/>
    <cellStyle name="40% - 강조색2 26" xfId="796" xr:uid="{DE522062-538A-4AFE-8B6F-9B1591CD39E4}"/>
    <cellStyle name="40% - 강조색2 26 2" xfId="797" xr:uid="{A7A1012B-9FB1-422F-A1BD-18FDB5751B06}"/>
    <cellStyle name="40% - 강조색2 27" xfId="798" xr:uid="{F17455EF-EEBE-4BE8-AF6D-39B41213D0B1}"/>
    <cellStyle name="40% - 강조색2 27 2" xfId="799" xr:uid="{5659368D-EF3A-44F7-B2D8-A14FA93C0AA3}"/>
    <cellStyle name="40% - 강조색2 28" xfId="800" xr:uid="{1D7ABAF6-18E7-44BD-81BC-BC6A5E9D1F4F}"/>
    <cellStyle name="40% - 강조색2 28 2" xfId="801" xr:uid="{F626B8CB-9C8B-43E8-9271-5D8B99F96F0A}"/>
    <cellStyle name="40% - 강조색2 29" xfId="802" xr:uid="{B74ACC3A-6345-486C-9789-B750B67B2C2F}"/>
    <cellStyle name="40% - 강조색2 29 2" xfId="803" xr:uid="{BE4510E5-D47B-45BD-BC29-D5B383C0EF8E}"/>
    <cellStyle name="40% - 강조색2 3" xfId="804" xr:uid="{475CFD39-0059-4FE6-8414-F324AFE18B2D}"/>
    <cellStyle name="40% - 강조색2 3 2" xfId="805" xr:uid="{C00CFA4F-EAA0-47A5-98AA-CD07A9A49570}"/>
    <cellStyle name="40% - 강조색2 30" xfId="806" xr:uid="{5CC5C6E2-4099-48F1-99F3-BCD815DCD0D8}"/>
    <cellStyle name="40% - 강조색2 30 2" xfId="807" xr:uid="{9B4C52D8-195B-444D-BBCE-3BC5B9006195}"/>
    <cellStyle name="40% - 강조색2 31" xfId="808" xr:uid="{E94889CD-E307-4F74-9582-B2453257BB79}"/>
    <cellStyle name="40% - 강조색2 31 2" xfId="809" xr:uid="{7835EBFD-7F07-4177-9F75-10A51DB8FE15}"/>
    <cellStyle name="40% - 강조색2 32" xfId="810" xr:uid="{9F3DAE3C-61CB-4B93-BB7C-03465D81AFAA}"/>
    <cellStyle name="40% - 강조색2 32 2" xfId="811" xr:uid="{48BB0C10-5FD3-4554-983B-3708C56A9486}"/>
    <cellStyle name="40% - 강조색2 33" xfId="812" xr:uid="{876BDED9-E9D5-4AE9-A031-B90E4D1B06E7}"/>
    <cellStyle name="40% - 강조색2 33 2" xfId="813" xr:uid="{3BB6CDEE-63C7-4774-B1BA-81D6260A51CD}"/>
    <cellStyle name="40% - 강조색2 34" xfId="814" xr:uid="{84C2DFE3-0FC0-4D85-B9DA-F4BD737D131C}"/>
    <cellStyle name="40% - 강조색2 34 2" xfId="815" xr:uid="{B905A45C-610C-4566-BD76-AA1163A1230C}"/>
    <cellStyle name="40% - 강조색2 35" xfId="816" xr:uid="{9B7F556C-A16C-4453-B921-D00BE4CD6635}"/>
    <cellStyle name="40% - 강조색2 35 2" xfId="817" xr:uid="{5D8C173A-379B-4791-A92F-8158792E0151}"/>
    <cellStyle name="40% - 강조색2 36" xfId="818" xr:uid="{52EE7E15-F001-43A8-BEBA-B2846A5053AA}"/>
    <cellStyle name="40% - 강조색2 36 2" xfId="819" xr:uid="{9BA7BD2B-EA8D-46AA-93EC-9AAC0A45FBC2}"/>
    <cellStyle name="40% - 강조색2 37" xfId="820" xr:uid="{14551F2E-FB0D-4F02-BB11-F6D924D5C108}"/>
    <cellStyle name="40% - 강조색2 37 2" xfId="821" xr:uid="{688E9186-2836-4D51-B1D8-04C83E1D5F9A}"/>
    <cellStyle name="40% - 강조색2 38" xfId="822" xr:uid="{20B1BD33-FB5D-45F3-A907-0E1F1642AC4E}"/>
    <cellStyle name="40% - 강조색2 38 2" xfId="823" xr:uid="{D0828CF6-3F97-442B-A368-245617CD0B24}"/>
    <cellStyle name="40% - 강조색2 39" xfId="824" xr:uid="{355F284A-6552-47C1-B215-DCBD2329DE61}"/>
    <cellStyle name="40% - 강조색2 39 2" xfId="825" xr:uid="{80CFF226-4B3A-4C81-ACC2-96AC1B7A0F68}"/>
    <cellStyle name="40% - 강조색2 4" xfId="826" xr:uid="{62956E12-FC65-4C66-B8A8-4C4169CD402C}"/>
    <cellStyle name="40% - 강조색2 4 2" xfId="827" xr:uid="{B666E2E4-9F83-40CD-B039-0475ADA4404A}"/>
    <cellStyle name="40% - 강조색2 40" xfId="828" xr:uid="{DE0E6FC1-0089-4620-BCEE-7E516BCE1FFB}"/>
    <cellStyle name="40% - 강조색2 40 2" xfId="829" xr:uid="{59082C0E-3E8F-48FD-8244-0109605D9C64}"/>
    <cellStyle name="40% - 강조색2 41" xfId="830" xr:uid="{0AF3F749-C478-4D44-9B67-0D6B7F62CB3E}"/>
    <cellStyle name="40% - 강조색2 41 2" xfId="831" xr:uid="{BABB0BFF-3AC6-433B-B61F-EF2254C18007}"/>
    <cellStyle name="40% - 강조색2 42" xfId="832" xr:uid="{7CE930AE-81D2-4FB9-A4D3-3FD48FCC736B}"/>
    <cellStyle name="40% - 강조색2 42 2" xfId="833" xr:uid="{E0A6F719-B8D1-495D-86B2-394381927184}"/>
    <cellStyle name="40% - 강조색2 43" xfId="834" xr:uid="{63B8FD48-7683-4726-931C-BD1C00038C29}"/>
    <cellStyle name="40% - 강조색2 43 2" xfId="835" xr:uid="{101FC2D1-79E7-47F4-A21A-2404D1E4D671}"/>
    <cellStyle name="40% - 강조색2 44" xfId="836" xr:uid="{CCDD0043-3136-4ACD-B18D-FACF9660C2D1}"/>
    <cellStyle name="40% - 강조색2 45" xfId="837" xr:uid="{DFAF8077-C378-44C5-884B-4854588D0C41}"/>
    <cellStyle name="40% - 강조색2 46" xfId="838" xr:uid="{00990C25-4741-4C17-A01D-B71AE204F90C}"/>
    <cellStyle name="40% - 강조색2 47" xfId="761" xr:uid="{392B1C43-748C-4F65-A587-6A64FB7364F1}"/>
    <cellStyle name="40% - 강조색2 5" xfId="839" xr:uid="{B6C60158-B50C-4C60-BCDA-D051817BA596}"/>
    <cellStyle name="40% - 강조색2 5 2" xfId="840" xr:uid="{023BFBB5-BED0-4B83-AE72-86FD6C46C0D5}"/>
    <cellStyle name="40% - 강조색2 6" xfId="841" xr:uid="{EE72CEA1-41D7-48F8-98D5-DBB49F44D12C}"/>
    <cellStyle name="40% - 강조색2 6 2" xfId="842" xr:uid="{4B5A314E-7E55-4947-B599-75A5BAFB7639}"/>
    <cellStyle name="40% - 강조색2 7" xfId="843" xr:uid="{90A5EA88-849E-415F-BA01-5D933398FBB8}"/>
    <cellStyle name="40% - 강조색2 7 2" xfId="844" xr:uid="{462D4010-8AFF-411D-8711-04C449F6B786}"/>
    <cellStyle name="40% - 강조색2 8" xfId="845" xr:uid="{8696332B-BE29-4A5F-98DC-D998D00D4844}"/>
    <cellStyle name="40% - 강조색2 8 2" xfId="846" xr:uid="{F89333B9-DF9E-4C1B-902B-F5242BDA432B}"/>
    <cellStyle name="40% - 강조색2 9" xfId="847" xr:uid="{E40C72BB-381A-4C1B-B76F-CF26A914917F}"/>
    <cellStyle name="40% - 강조색2 9 2" xfId="848" xr:uid="{15E4F1A1-10A3-4589-82A5-A1CDF22FDB87}"/>
    <cellStyle name="40% - 강조색3 10" xfId="850" xr:uid="{56B32A25-42AE-4181-8791-DB661914930B}"/>
    <cellStyle name="40% - 강조색3 10 2" xfId="851" xr:uid="{69963605-7583-4383-8EA0-CC0D8C805530}"/>
    <cellStyle name="40% - 강조색3 11" xfId="852" xr:uid="{5CEB3FFF-A46B-4442-8B9D-E9F2A4FD80EF}"/>
    <cellStyle name="40% - 강조색3 11 2" xfId="853" xr:uid="{223B957E-47BA-4954-884B-3804F323E84E}"/>
    <cellStyle name="40% - 강조색3 12" xfId="854" xr:uid="{015E29B4-CC69-4E41-96A3-FFBC1894940B}"/>
    <cellStyle name="40% - 강조색3 12 2" xfId="855" xr:uid="{ED802A2B-D70A-4681-82A2-AD70108C455C}"/>
    <cellStyle name="40% - 강조색3 13" xfId="856" xr:uid="{620902E2-FA1B-4268-ABCB-CB21BEBE2DF3}"/>
    <cellStyle name="40% - 강조색3 13 2" xfId="857" xr:uid="{4CFCAD16-D879-468F-91A2-F3E0D3964DC3}"/>
    <cellStyle name="40% - 강조색3 14" xfId="858" xr:uid="{CEBC14A3-C424-441E-9086-E9DAA152D68B}"/>
    <cellStyle name="40% - 강조색3 14 2" xfId="859" xr:uid="{3DA8C847-B69E-41CE-AAE2-46977D929541}"/>
    <cellStyle name="40% - 강조색3 15" xfId="860" xr:uid="{886DA8A2-26E1-4215-83BF-080E0FE7B940}"/>
    <cellStyle name="40% - 강조색3 15 2" xfId="861" xr:uid="{71EF13F4-A514-48FC-AFCC-790D2595B20C}"/>
    <cellStyle name="40% - 강조색3 16" xfId="862" xr:uid="{2A6002EB-6D3A-4D93-88AC-59A3AE8C3A73}"/>
    <cellStyle name="40% - 강조색3 16 2" xfId="863" xr:uid="{E844E281-0DA8-406F-A739-FA85C1E186F0}"/>
    <cellStyle name="40% - 강조색3 17" xfId="864" xr:uid="{2C1E73C3-620A-4C9C-830D-6E299A2D8617}"/>
    <cellStyle name="40% - 강조색3 17 2" xfId="865" xr:uid="{6D893C1C-A2BE-42D8-B4CA-247B69095D2F}"/>
    <cellStyle name="40% - 강조색3 18" xfId="866" xr:uid="{92C054B1-8C8D-465A-961B-A4865379FF67}"/>
    <cellStyle name="40% - 강조색3 18 2" xfId="867" xr:uid="{637795CB-6CA0-4707-872D-0ABB32C61C16}"/>
    <cellStyle name="40% - 강조색3 19" xfId="868" xr:uid="{8D247CFA-D036-49E2-B549-0664B4238FC1}"/>
    <cellStyle name="40% - 강조색3 19 2" xfId="869" xr:uid="{D9C9E1DB-9B6B-400B-954C-86F4594E2972}"/>
    <cellStyle name="40% - 강조색3 2" xfId="870" xr:uid="{87D5A8F4-40B4-4E01-BD2B-159753BC11FE}"/>
    <cellStyle name="40% - 강조색3 2 2" xfId="871" xr:uid="{29740657-38C3-4929-A631-47400FD17308}"/>
    <cellStyle name="40% - 강조색3 20" xfId="872" xr:uid="{263CB625-F123-4B47-81E7-E41ECC3A0C44}"/>
    <cellStyle name="40% - 강조색3 20 2" xfId="873" xr:uid="{3500D004-5681-482C-9D2D-640C98A6CE0E}"/>
    <cellStyle name="40% - 강조색3 21" xfId="874" xr:uid="{F929D209-E3DD-4FDE-B5B9-D864E5E1895A}"/>
    <cellStyle name="40% - 강조색3 21 2" xfId="875" xr:uid="{30FFAC98-826B-4DB2-9792-3B1E14B0964C}"/>
    <cellStyle name="40% - 강조색3 22" xfId="876" xr:uid="{1197A9C1-4C6A-4054-84BC-3244100C8C09}"/>
    <cellStyle name="40% - 강조색3 22 2" xfId="877" xr:uid="{64CB1A87-4BC1-4B60-9BAB-519AFC1595F5}"/>
    <cellStyle name="40% - 강조색3 23" xfId="878" xr:uid="{31936922-15F8-4507-84EA-C9FC641177D4}"/>
    <cellStyle name="40% - 강조색3 23 2" xfId="879" xr:uid="{A3136DF2-BC7A-4E58-A8BA-C8551BFA8425}"/>
    <cellStyle name="40% - 강조색3 24" xfId="880" xr:uid="{4439053B-8500-45B9-B438-A5961226ECA8}"/>
    <cellStyle name="40% - 강조색3 24 2" xfId="881" xr:uid="{BFDB73D7-B9C4-42E3-97AB-D92DC0A7DD0A}"/>
    <cellStyle name="40% - 강조색3 25" xfId="882" xr:uid="{1CE35D9D-95C8-454B-AA5C-B70F8D1404D1}"/>
    <cellStyle name="40% - 강조색3 25 2" xfId="883" xr:uid="{D0265A76-57DC-46A4-86FE-42CB2BF74E5F}"/>
    <cellStyle name="40% - 강조색3 26" xfId="884" xr:uid="{10A04862-B715-4FBC-8EF8-5F4F5C3DC59E}"/>
    <cellStyle name="40% - 강조색3 26 2" xfId="885" xr:uid="{5D560884-B815-48CC-937A-10679511C750}"/>
    <cellStyle name="40% - 강조색3 27" xfId="886" xr:uid="{CCD5BF85-AB97-4D42-AD46-36EF26447EE1}"/>
    <cellStyle name="40% - 강조색3 27 2" xfId="887" xr:uid="{E05CF1AC-063E-4C66-B286-DDA21337AAF0}"/>
    <cellStyle name="40% - 강조색3 28" xfId="888" xr:uid="{5E00B74C-5F99-4B89-A545-9FA8F449B233}"/>
    <cellStyle name="40% - 강조색3 28 2" xfId="889" xr:uid="{30D22AA0-9B48-44B2-A664-E8F60B53C7B1}"/>
    <cellStyle name="40% - 강조색3 29" xfId="890" xr:uid="{C8540F9A-6B9B-4B79-910B-65CDC7C7750C}"/>
    <cellStyle name="40% - 강조색3 29 2" xfId="891" xr:uid="{9386D532-E6E7-4FB5-AA11-75E3EF6638EA}"/>
    <cellStyle name="40% - 강조색3 3" xfId="892" xr:uid="{7DD5D2F4-8FE1-4AB5-BF84-C2DC3A5CEF54}"/>
    <cellStyle name="40% - 강조색3 3 2" xfId="893" xr:uid="{79F44177-FE04-43F9-ACF7-BFBE1B499889}"/>
    <cellStyle name="40% - 강조색3 30" xfId="894" xr:uid="{EFF77548-7D7C-4E6A-8C47-19C7687933BD}"/>
    <cellStyle name="40% - 강조색3 30 2" xfId="895" xr:uid="{93CB3586-475D-458B-A711-65C736FFE1A0}"/>
    <cellStyle name="40% - 강조색3 31" xfId="896" xr:uid="{44AA1574-CAED-4B58-87DA-8E5652147DE8}"/>
    <cellStyle name="40% - 강조색3 31 2" xfId="897" xr:uid="{5ED3F223-7FF9-4573-8DF0-26A63DAA30C1}"/>
    <cellStyle name="40% - 강조색3 32" xfId="898" xr:uid="{FC2027E2-9008-42AB-92A5-9F9ED7021D9B}"/>
    <cellStyle name="40% - 강조색3 32 2" xfId="899" xr:uid="{25AB0D9D-17A9-4EF2-963D-497E9EA3241E}"/>
    <cellStyle name="40% - 강조색3 33" xfId="900" xr:uid="{BC04B9C2-D37C-4467-B998-38ED361B118E}"/>
    <cellStyle name="40% - 강조색3 33 2" xfId="901" xr:uid="{72CA50FC-FB4D-4319-A79B-BD361D5276D1}"/>
    <cellStyle name="40% - 강조색3 34" xfId="902" xr:uid="{44F34D3B-1663-4D72-BA02-9CB5DE897B6F}"/>
    <cellStyle name="40% - 강조색3 34 2" xfId="903" xr:uid="{9C6D243E-5E60-49A2-884D-F892C56D36D1}"/>
    <cellStyle name="40% - 강조색3 35" xfId="904" xr:uid="{BC7808F7-C5F7-49BC-A9DE-BC90B6948A95}"/>
    <cellStyle name="40% - 강조색3 35 2" xfId="905" xr:uid="{292517AB-5D23-4A8E-9E62-714601CE2A08}"/>
    <cellStyle name="40% - 강조색3 36" xfId="906" xr:uid="{12D9B744-47C6-4B33-BE27-5C673AB4150F}"/>
    <cellStyle name="40% - 강조색3 36 2" xfId="907" xr:uid="{6BF9CAF0-813E-4ACC-9B0C-C12559618550}"/>
    <cellStyle name="40% - 강조색3 37" xfId="908" xr:uid="{237BF349-E5F9-4E95-B90A-B0A0F82E2B57}"/>
    <cellStyle name="40% - 강조색3 37 2" xfId="909" xr:uid="{F4A3A397-B5A5-4E22-B214-B3ABCD55E265}"/>
    <cellStyle name="40% - 강조색3 38" xfId="910" xr:uid="{8899638C-F83B-4E0B-9C0E-CEB2FD8F00D2}"/>
    <cellStyle name="40% - 강조색3 38 2" xfId="911" xr:uid="{AC5AE8E6-51AA-4EBA-890A-8859AA7B9BCB}"/>
    <cellStyle name="40% - 강조색3 39" xfId="912" xr:uid="{8531E25F-4D00-4E26-BE4E-025DE666864C}"/>
    <cellStyle name="40% - 강조색3 39 2" xfId="913" xr:uid="{811207AA-1E77-49A6-9AC3-328B1652E133}"/>
    <cellStyle name="40% - 강조색3 4" xfId="914" xr:uid="{4F414D12-E599-4E11-98FD-001DD71F8775}"/>
    <cellStyle name="40% - 강조색3 4 2" xfId="915" xr:uid="{90563019-17A3-4AE0-9D08-84A5380EDE4B}"/>
    <cellStyle name="40% - 강조색3 40" xfId="916" xr:uid="{904D37D9-1A8F-4995-BD93-ADBB65596C9B}"/>
    <cellStyle name="40% - 강조색3 40 2" xfId="917" xr:uid="{A4BB0616-6443-49B4-9162-27844BB6B50E}"/>
    <cellStyle name="40% - 강조색3 41" xfId="918" xr:uid="{A903F06F-3C01-4820-8953-4F2BEBCD6497}"/>
    <cellStyle name="40% - 강조색3 41 2" xfId="919" xr:uid="{84F373C5-3E75-447A-8206-3CBF2FEF3D7D}"/>
    <cellStyle name="40% - 강조색3 42" xfId="920" xr:uid="{3D81F8BC-B46F-4F4F-BCA3-191415ECD549}"/>
    <cellStyle name="40% - 강조색3 42 2" xfId="921" xr:uid="{F37E72C5-8F86-484B-B5A0-CB527FFA3D71}"/>
    <cellStyle name="40% - 강조색3 43" xfId="922" xr:uid="{6468BD76-79C9-48EB-B4FD-55B02016836D}"/>
    <cellStyle name="40% - 강조색3 43 2" xfId="923" xr:uid="{4FD0E1D4-1DD3-4488-AABD-D5C4D4C8DAE5}"/>
    <cellStyle name="40% - 강조색3 44" xfId="924" xr:uid="{A2755079-042C-44B9-B232-07F0AF41951E}"/>
    <cellStyle name="40% - 강조색3 45" xfId="925" xr:uid="{222412BF-B107-4C6C-85C9-58B26394DF14}"/>
    <cellStyle name="40% - 강조색3 46" xfId="926" xr:uid="{17426B49-07F9-4317-8BCA-43BE15F61B6C}"/>
    <cellStyle name="40% - 강조색3 47" xfId="849" xr:uid="{D77745D7-9B60-4873-84DA-9A6A3C93F8BB}"/>
    <cellStyle name="40% - 강조색3 5" xfId="927" xr:uid="{5709A129-78CE-45C3-B0BF-817DFDD95653}"/>
    <cellStyle name="40% - 강조색3 5 2" xfId="928" xr:uid="{377B7FE9-9BD0-49B6-B229-6A2A4D92D460}"/>
    <cellStyle name="40% - 강조색3 6" xfId="929" xr:uid="{E44862AB-B475-4972-83F4-70BA9ED4EA20}"/>
    <cellStyle name="40% - 강조색3 6 2" xfId="930" xr:uid="{CBA8516C-F70F-428A-A751-E92403FFD0AE}"/>
    <cellStyle name="40% - 강조색3 7" xfId="931" xr:uid="{6903AFF0-2DC0-41CC-B50A-2C222A400AEB}"/>
    <cellStyle name="40% - 강조색3 7 2" xfId="932" xr:uid="{3DBC38D4-84B8-424E-AE92-86F944194946}"/>
    <cellStyle name="40% - 강조색3 8" xfId="933" xr:uid="{10DCDC63-FFC9-4A22-820A-9708FC26DDDA}"/>
    <cellStyle name="40% - 강조색3 8 2" xfId="934" xr:uid="{07CE401B-0F24-4517-B657-33E884475DE6}"/>
    <cellStyle name="40% - 강조색3 9" xfId="935" xr:uid="{E4EA33B3-6304-45E9-9E12-564742C5E89D}"/>
    <cellStyle name="40% - 강조색3 9 2" xfId="936" xr:uid="{52EB3ACD-FE7A-4F58-8691-60F26C2D40D0}"/>
    <cellStyle name="40% - 강조색4 10" xfId="938" xr:uid="{A5A87275-1358-4A40-954C-C1D8C537E1F1}"/>
    <cellStyle name="40% - 강조색4 10 2" xfId="939" xr:uid="{E98C03E9-9453-4C7D-9EF0-82A6368F65B2}"/>
    <cellStyle name="40% - 강조색4 11" xfId="940" xr:uid="{B8D9F99B-53B2-4424-8543-9320A571745C}"/>
    <cellStyle name="40% - 강조색4 11 2" xfId="941" xr:uid="{FEE51C03-700E-49AA-AB16-98710C004D53}"/>
    <cellStyle name="40% - 강조색4 12" xfId="942" xr:uid="{BD18C9C0-DA9A-4C87-BC17-8870D8DA3C2E}"/>
    <cellStyle name="40% - 강조색4 12 2" xfId="943" xr:uid="{4F6DE8DB-3CE0-477E-AFC3-080B474F4251}"/>
    <cellStyle name="40% - 강조색4 13" xfId="944" xr:uid="{84CDCDA2-4B12-4887-B58B-C3F79EEAF960}"/>
    <cellStyle name="40% - 강조색4 13 2" xfId="945" xr:uid="{52B04139-498C-4B01-A6E9-C34DC6DB9525}"/>
    <cellStyle name="40% - 강조색4 14" xfId="946" xr:uid="{D8906722-4C8F-436A-8AEE-A257D5564BE3}"/>
    <cellStyle name="40% - 강조색4 14 2" xfId="947" xr:uid="{9007AB20-D09D-4A70-9D86-96146F4660AB}"/>
    <cellStyle name="40% - 강조색4 15" xfId="948" xr:uid="{42A99080-3A43-4B26-878A-AAEC32CD9401}"/>
    <cellStyle name="40% - 강조색4 15 2" xfId="949" xr:uid="{6A5315FC-B361-4D8B-8391-822A44943A41}"/>
    <cellStyle name="40% - 강조색4 16" xfId="950" xr:uid="{725AD1A5-083F-4AB3-94DB-B9F8E62B970A}"/>
    <cellStyle name="40% - 강조색4 16 2" xfId="951" xr:uid="{0811189E-4B8D-4F2F-9EC2-644B1D041965}"/>
    <cellStyle name="40% - 강조색4 17" xfId="952" xr:uid="{23019A32-6A2B-4572-A162-BCA7A6B87353}"/>
    <cellStyle name="40% - 강조색4 17 2" xfId="953" xr:uid="{DFA5EF7D-DFB2-4BD8-B178-302A936A332C}"/>
    <cellStyle name="40% - 강조색4 18" xfId="954" xr:uid="{D47B8953-3252-4A01-8C21-42491531963C}"/>
    <cellStyle name="40% - 강조색4 18 2" xfId="955" xr:uid="{12802096-9B83-4914-8C8D-8A7247F6D407}"/>
    <cellStyle name="40% - 강조색4 19" xfId="956" xr:uid="{B7764A39-A985-42C6-9E58-CF66E0FC30B7}"/>
    <cellStyle name="40% - 강조색4 19 2" xfId="957" xr:uid="{F2567544-1696-4D55-8F32-BD3C25189639}"/>
    <cellStyle name="40% - 강조색4 2" xfId="958" xr:uid="{5F437077-7787-4C93-B390-92CB74ECF340}"/>
    <cellStyle name="40% - 강조색4 2 2" xfId="959" xr:uid="{7839176F-23F6-4D8A-B6FC-5A7CED3FACD9}"/>
    <cellStyle name="40% - 강조색4 20" xfId="960" xr:uid="{28C28062-AE38-40E0-A88C-A1C516D99CAE}"/>
    <cellStyle name="40% - 강조색4 20 2" xfId="961" xr:uid="{C62EADE2-5D02-4312-9081-30BAEAAD72C7}"/>
    <cellStyle name="40% - 강조색4 21" xfId="962" xr:uid="{0D67BDBB-8137-4988-879B-006F06DA4180}"/>
    <cellStyle name="40% - 강조색4 21 2" xfId="963" xr:uid="{A5A4BA8E-5177-4270-A3B0-FC991F322FCE}"/>
    <cellStyle name="40% - 강조색4 22" xfId="964" xr:uid="{4C403B4C-FFE2-479D-B76C-D25283E966DC}"/>
    <cellStyle name="40% - 강조색4 22 2" xfId="965" xr:uid="{A4623DEC-BA2E-445A-80EE-D680E85C52E0}"/>
    <cellStyle name="40% - 강조색4 23" xfId="966" xr:uid="{C2C44F8A-5520-4A9F-8ED6-0E06D40DA4D0}"/>
    <cellStyle name="40% - 강조색4 23 2" xfId="967" xr:uid="{1BBBC8CD-75E5-4C19-9E0D-B498EB3E5784}"/>
    <cellStyle name="40% - 강조색4 24" xfId="968" xr:uid="{F2CC875C-2C22-4D2A-BAF4-59302B9B8BD0}"/>
    <cellStyle name="40% - 강조색4 24 2" xfId="969" xr:uid="{D2C6D63F-352D-4B0C-B62A-FDC4C999419A}"/>
    <cellStyle name="40% - 강조색4 25" xfId="970" xr:uid="{CF117188-7B86-4C6E-BA77-457D42F229A8}"/>
    <cellStyle name="40% - 강조색4 25 2" xfId="971" xr:uid="{0EC53861-3AF0-4159-8624-19428EBFFEF2}"/>
    <cellStyle name="40% - 강조색4 26" xfId="972" xr:uid="{EE34B850-3161-4F30-A1E7-E79E6AEC3FBA}"/>
    <cellStyle name="40% - 강조색4 26 2" xfId="973" xr:uid="{AFC5CF6D-0044-4A41-9482-D639280DAA50}"/>
    <cellStyle name="40% - 강조색4 27" xfId="974" xr:uid="{30B8F40D-EC30-4006-AC63-A7CD0F136FE5}"/>
    <cellStyle name="40% - 강조색4 27 2" xfId="975" xr:uid="{078A1C3E-245A-42B5-A65B-F31EB30204EF}"/>
    <cellStyle name="40% - 강조색4 28" xfId="976" xr:uid="{041C47C0-585E-42E8-85AA-E51A1FBCBBFE}"/>
    <cellStyle name="40% - 강조색4 28 2" xfId="977" xr:uid="{BB9E44A9-C258-4E6F-9A58-EC5995592A3E}"/>
    <cellStyle name="40% - 강조색4 29" xfId="978" xr:uid="{1BFBA944-FCE9-4477-AA83-B590DD224C8B}"/>
    <cellStyle name="40% - 강조색4 29 2" xfId="979" xr:uid="{A18F26B7-DB09-4BAA-BC0B-7CF79F117C93}"/>
    <cellStyle name="40% - 강조색4 3" xfId="980" xr:uid="{DF1E7E0C-8111-4380-9409-8B76E5885ADD}"/>
    <cellStyle name="40% - 강조색4 3 2" xfId="981" xr:uid="{90646B41-ABE0-4645-84D0-DE0335BF0B4E}"/>
    <cellStyle name="40% - 강조색4 30" xfId="982" xr:uid="{71F676D7-7ED9-49BF-9B01-53EC69FB0FC1}"/>
    <cellStyle name="40% - 강조색4 30 2" xfId="983" xr:uid="{12FD3937-EB99-454D-810F-763BB5A4CDE6}"/>
    <cellStyle name="40% - 강조색4 31" xfId="984" xr:uid="{2B78D42C-9C62-44FC-A4E6-536BB5F3306E}"/>
    <cellStyle name="40% - 강조색4 31 2" xfId="985" xr:uid="{D9E7D19C-631F-4F4A-AFA3-AC7F20296864}"/>
    <cellStyle name="40% - 강조색4 32" xfId="986" xr:uid="{4D73D424-475B-4DCD-80F5-F8D57BE94F80}"/>
    <cellStyle name="40% - 강조색4 32 2" xfId="987" xr:uid="{8586456D-9BB4-430F-9509-AF3504E74BC0}"/>
    <cellStyle name="40% - 강조색4 33" xfId="988" xr:uid="{A32E34E0-AF0D-4A5C-9292-6683B7C25FF9}"/>
    <cellStyle name="40% - 강조색4 33 2" xfId="989" xr:uid="{3A8324E8-5EF9-45BC-A0BF-54398F6D6EA9}"/>
    <cellStyle name="40% - 강조색4 34" xfId="990" xr:uid="{AC8BDA9B-7075-448A-B130-BA7E0DFAC197}"/>
    <cellStyle name="40% - 강조색4 34 2" xfId="991" xr:uid="{C67F21B7-6C43-4EE3-A273-1092EE23CAD6}"/>
    <cellStyle name="40% - 강조색4 35" xfId="992" xr:uid="{DE27FB05-DE53-4F9D-AE4C-0110472247CC}"/>
    <cellStyle name="40% - 강조색4 35 2" xfId="993" xr:uid="{EF7FEC91-375D-4DBF-9042-4B8338A8B136}"/>
    <cellStyle name="40% - 강조색4 36" xfId="994" xr:uid="{65024FA8-F757-4B53-A694-55E94045C9FD}"/>
    <cellStyle name="40% - 강조색4 36 2" xfId="995" xr:uid="{CB0C1C9A-6D29-40EF-8C11-B12F8240F789}"/>
    <cellStyle name="40% - 강조색4 37" xfId="996" xr:uid="{646DC2DF-CB1F-4085-9FE6-C5E22354669A}"/>
    <cellStyle name="40% - 강조색4 37 2" xfId="997" xr:uid="{BFDA41F3-D058-42FF-80DF-53AD18E02565}"/>
    <cellStyle name="40% - 강조색4 38" xfId="998" xr:uid="{FE96FF3B-7704-4E45-8E93-567D296E1131}"/>
    <cellStyle name="40% - 강조색4 38 2" xfId="999" xr:uid="{B96D8628-9D20-4FBB-A2FF-B9055825ECD2}"/>
    <cellStyle name="40% - 강조색4 39" xfId="1000" xr:uid="{BA4FF94F-23B0-424A-803F-F6AE6823CD46}"/>
    <cellStyle name="40% - 강조색4 39 2" xfId="1001" xr:uid="{D66E2D24-E439-44CE-8E42-89A7082D90C7}"/>
    <cellStyle name="40% - 강조색4 4" xfId="1002" xr:uid="{E8368C4F-6A7E-4D55-9423-28362CA9F593}"/>
    <cellStyle name="40% - 강조색4 4 2" xfId="1003" xr:uid="{4345FF0E-3754-48DA-A6C1-22638BBB7E29}"/>
    <cellStyle name="40% - 강조색4 40" xfId="1004" xr:uid="{44B26A20-DFE8-4E9C-BF67-27AEFB3B56D9}"/>
    <cellStyle name="40% - 강조색4 40 2" xfId="1005" xr:uid="{50A8C58E-DA87-4A0B-8FC0-1B5AFD525129}"/>
    <cellStyle name="40% - 강조색4 41" xfId="1006" xr:uid="{CDCA6F50-1AC9-40AD-ABB8-0571E2C314E9}"/>
    <cellStyle name="40% - 강조색4 41 2" xfId="1007" xr:uid="{CC10FC17-30BC-442F-A90D-DF712D5ED9DF}"/>
    <cellStyle name="40% - 강조색4 42" xfId="1008" xr:uid="{9274DD3D-7268-451F-A712-816BF875589D}"/>
    <cellStyle name="40% - 강조색4 42 2" xfId="1009" xr:uid="{95F20310-0F2F-4B92-8ED4-DBE86A5E94FC}"/>
    <cellStyle name="40% - 강조색4 43" xfId="1010" xr:uid="{8F72182B-DDFC-4AC8-A259-D0E6EBAD9A1A}"/>
    <cellStyle name="40% - 강조색4 43 2" xfId="1011" xr:uid="{E714242A-D144-4D9A-9D55-CDCF2557108A}"/>
    <cellStyle name="40% - 강조색4 44" xfId="1012" xr:uid="{44DC2E9E-A369-4683-8C40-F49870C74416}"/>
    <cellStyle name="40% - 강조색4 45" xfId="1013" xr:uid="{E682A412-95D9-4238-8848-7582532660EB}"/>
    <cellStyle name="40% - 강조색4 46" xfId="1014" xr:uid="{E877953C-739B-4757-BE4E-8A2E3FDA4B17}"/>
    <cellStyle name="40% - 강조색4 47" xfId="937" xr:uid="{3060962E-D6E8-4A1D-AB05-EE0DD3E50521}"/>
    <cellStyle name="40% - 강조색4 5" xfId="1015" xr:uid="{D4CD91A2-93D2-44DF-A5F7-CFC7B2B9DE3A}"/>
    <cellStyle name="40% - 강조색4 5 2" xfId="1016" xr:uid="{E09D0E42-0B65-4AD0-89CE-2C6B49E2B732}"/>
    <cellStyle name="40% - 강조색4 6" xfId="1017" xr:uid="{CAB9DE6C-48A6-41B4-964F-74DFB8838E43}"/>
    <cellStyle name="40% - 강조색4 6 2" xfId="1018" xr:uid="{EC74EE13-B378-4E04-8681-5C5D3122292B}"/>
    <cellStyle name="40% - 강조색4 7" xfId="1019" xr:uid="{A598632D-E522-4D57-8090-BAC3254EA5AC}"/>
    <cellStyle name="40% - 강조색4 7 2" xfId="1020" xr:uid="{66D07233-A5BD-4F91-AB40-C9E8072019C5}"/>
    <cellStyle name="40% - 강조색4 8" xfId="1021" xr:uid="{D1C708DD-B6AF-4BEB-9DFE-EF9E9C72FCE2}"/>
    <cellStyle name="40% - 강조색4 8 2" xfId="1022" xr:uid="{CBCFC120-6CC9-49BF-83DD-E5B6C6993FBE}"/>
    <cellStyle name="40% - 강조색4 9" xfId="1023" xr:uid="{AF716FEA-C2BE-4F45-98E1-69A6F6705C78}"/>
    <cellStyle name="40% - 강조색4 9 2" xfId="1024" xr:uid="{54CAA33E-DD08-4945-9D2F-299B5BC1487E}"/>
    <cellStyle name="40% - 강조색5 10" xfId="1026" xr:uid="{0D29FE5E-3DB6-4FAD-AFA9-75587721B246}"/>
    <cellStyle name="40% - 강조색5 10 2" xfId="1027" xr:uid="{82CCAD7E-3A84-481F-91E6-893DF76E1BCE}"/>
    <cellStyle name="40% - 강조색5 11" xfId="1028" xr:uid="{B27FEC9E-42B6-4990-B230-BA8C7607DBE1}"/>
    <cellStyle name="40% - 강조색5 11 2" xfId="1029" xr:uid="{3BE371E8-41F5-4ABE-BE00-822B358FF9E9}"/>
    <cellStyle name="40% - 강조색5 12" xfId="1030" xr:uid="{1682AD35-3C6A-4897-A3FC-F004AF52172E}"/>
    <cellStyle name="40% - 강조색5 12 2" xfId="1031" xr:uid="{32A30F18-BCE5-42A6-AF27-1F7864424844}"/>
    <cellStyle name="40% - 강조색5 13" xfId="1032" xr:uid="{C75C4892-02DD-432F-AF50-1CEAFE68CE44}"/>
    <cellStyle name="40% - 강조색5 13 2" xfId="1033" xr:uid="{65DD2222-3B14-4CF9-AAE2-0D753BBC2A21}"/>
    <cellStyle name="40% - 강조색5 14" xfId="1034" xr:uid="{50F23E79-B45F-4B4E-B15F-324E855A0A63}"/>
    <cellStyle name="40% - 강조색5 14 2" xfId="1035" xr:uid="{3C155D01-FA3B-486E-BBC6-816DEEE2448B}"/>
    <cellStyle name="40% - 강조색5 15" xfId="1036" xr:uid="{489947D0-D2C9-4EB7-890C-ADD5AFC12390}"/>
    <cellStyle name="40% - 강조색5 15 2" xfId="1037" xr:uid="{B8F68886-FA7C-4AE4-8276-FAE348AE3B41}"/>
    <cellStyle name="40% - 강조색5 16" xfId="1038" xr:uid="{94647520-3E07-492D-B97E-97FDCC2F1675}"/>
    <cellStyle name="40% - 강조색5 16 2" xfId="1039" xr:uid="{24F41E39-A50C-4851-B7CE-CABFA712FFD5}"/>
    <cellStyle name="40% - 강조색5 17" xfId="1040" xr:uid="{97B44C85-829A-4C9D-B75D-93B1E7B30059}"/>
    <cellStyle name="40% - 강조색5 17 2" xfId="1041" xr:uid="{24896DE8-734C-4BED-B7CE-DE7C4FD01830}"/>
    <cellStyle name="40% - 강조색5 18" xfId="1042" xr:uid="{3FE0D32F-F107-41E6-AEBF-9FF2D588AF92}"/>
    <cellStyle name="40% - 강조색5 18 2" xfId="1043" xr:uid="{578DEF71-C133-4C2E-BDD6-E063734C8586}"/>
    <cellStyle name="40% - 강조색5 19" xfId="1044" xr:uid="{04971EFF-E97A-4084-A5E3-94FD16405B3C}"/>
    <cellStyle name="40% - 강조색5 19 2" xfId="1045" xr:uid="{2C5F476F-9CBD-43DC-95E3-A5D7E851685D}"/>
    <cellStyle name="40% - 강조색5 2" xfId="1046" xr:uid="{FE114DFB-7489-4243-9A22-C33BCADE9C91}"/>
    <cellStyle name="40% - 강조색5 2 2" xfId="1047" xr:uid="{AA7E58F2-73FA-4D42-B6E5-97D827E03E0E}"/>
    <cellStyle name="40% - 강조색5 20" xfId="1048" xr:uid="{BA6AE02C-CCDF-44CC-9CF9-DCB2E2D99276}"/>
    <cellStyle name="40% - 강조색5 20 2" xfId="1049" xr:uid="{9FAE7E8D-3055-4939-93D9-20DE0F611870}"/>
    <cellStyle name="40% - 강조색5 21" xfId="1050" xr:uid="{CE347E1A-714E-4526-8BF5-6FF8F037DB7E}"/>
    <cellStyle name="40% - 강조색5 21 2" xfId="1051" xr:uid="{FE907761-7446-49CB-A95C-A03A95767D32}"/>
    <cellStyle name="40% - 강조색5 22" xfId="1052" xr:uid="{2D581D6A-8C04-4DB4-90C5-E269CCDFFFCF}"/>
    <cellStyle name="40% - 강조색5 22 2" xfId="1053" xr:uid="{C8B67BEF-B69F-43A6-B16A-D10BBF980A15}"/>
    <cellStyle name="40% - 강조색5 23" xfId="1054" xr:uid="{C25C4614-F83B-4ABD-B12E-5871E8C43E95}"/>
    <cellStyle name="40% - 강조색5 23 2" xfId="1055" xr:uid="{2F7D5FF9-FBF0-4BAC-9E45-630B78467531}"/>
    <cellStyle name="40% - 강조색5 24" xfId="1056" xr:uid="{C8450A29-852F-495F-92D4-170E74AAD894}"/>
    <cellStyle name="40% - 강조색5 24 2" xfId="1057" xr:uid="{492D59E9-9BBC-49FB-8506-15D97C18E7B0}"/>
    <cellStyle name="40% - 강조색5 25" xfId="1058" xr:uid="{C4849275-3F2A-4687-BC9A-94680E3E9E17}"/>
    <cellStyle name="40% - 강조색5 25 2" xfId="1059" xr:uid="{AAE7F063-B0B5-4C7D-A4BA-655D05FD2784}"/>
    <cellStyle name="40% - 강조색5 26" xfId="1060" xr:uid="{137FA4A9-5BF5-403B-8801-CD7FC76C213E}"/>
    <cellStyle name="40% - 강조색5 26 2" xfId="1061" xr:uid="{696A1031-ECEE-40C8-A857-944C058AD8FB}"/>
    <cellStyle name="40% - 강조색5 27" xfId="1062" xr:uid="{690A97B0-9CCD-41FE-A4A4-24DFA246AF9C}"/>
    <cellStyle name="40% - 강조색5 27 2" xfId="1063" xr:uid="{16AAE876-F7F4-4654-889E-94AED5CA5686}"/>
    <cellStyle name="40% - 강조색5 28" xfId="1064" xr:uid="{B95AB341-E156-4485-8DD7-4C85E177C038}"/>
    <cellStyle name="40% - 강조색5 28 2" xfId="1065" xr:uid="{EFD1767F-AD4B-4F97-BA76-C898C8F00EE6}"/>
    <cellStyle name="40% - 강조색5 29" xfId="1066" xr:uid="{886C487C-3D11-4732-964D-92D415E4DCB4}"/>
    <cellStyle name="40% - 강조색5 29 2" xfId="1067" xr:uid="{0AA5C6FF-D479-4F09-8802-4266D152B7B1}"/>
    <cellStyle name="40% - 강조색5 3" xfId="1068" xr:uid="{A21A9BEE-CD63-4249-8D49-41F932DCFF20}"/>
    <cellStyle name="40% - 강조색5 3 2" xfId="1069" xr:uid="{4E4CB8FA-9128-420B-BBF8-9B0D7FFBBDE5}"/>
    <cellStyle name="40% - 강조색5 30" xfId="1070" xr:uid="{CC6CCBE3-D39A-4383-8361-1446EEB2977E}"/>
    <cellStyle name="40% - 강조색5 30 2" xfId="1071" xr:uid="{3E6CBE46-39DA-4A17-AABB-82BBC7610CD7}"/>
    <cellStyle name="40% - 강조색5 31" xfId="1072" xr:uid="{1D288739-66C3-4E68-8EC4-8CCF59CF0791}"/>
    <cellStyle name="40% - 강조색5 31 2" xfId="1073" xr:uid="{52618745-6A2D-497D-89CC-C720C2C32CAD}"/>
    <cellStyle name="40% - 강조색5 32" xfId="1074" xr:uid="{0C67DFE9-9FB0-45A5-AC97-AA30ED72124A}"/>
    <cellStyle name="40% - 강조색5 32 2" xfId="1075" xr:uid="{2DCDC83B-3592-4AA4-A52F-32F0ECB5535E}"/>
    <cellStyle name="40% - 강조색5 33" xfId="1076" xr:uid="{D53A9489-9FD7-43DA-B34E-652DB4D08D61}"/>
    <cellStyle name="40% - 강조색5 33 2" xfId="1077" xr:uid="{C973C367-D564-4C22-8648-62FEF2293BFE}"/>
    <cellStyle name="40% - 강조색5 34" xfId="1078" xr:uid="{CE5CB16D-D50E-4A2B-86B0-DF414BA14752}"/>
    <cellStyle name="40% - 강조색5 34 2" xfId="1079" xr:uid="{9C45F4E1-572A-484A-8842-20DBD8E3D95B}"/>
    <cellStyle name="40% - 강조색5 35" xfId="1080" xr:uid="{8B41AEE6-D95D-4F04-B32B-4F95A21C0A9B}"/>
    <cellStyle name="40% - 강조색5 35 2" xfId="1081" xr:uid="{252B2976-D26F-450F-B486-F4FABFE510F9}"/>
    <cellStyle name="40% - 강조색5 36" xfId="1082" xr:uid="{1C8A28FB-5CEC-421A-AA5B-325AA4DF4002}"/>
    <cellStyle name="40% - 강조색5 36 2" xfId="1083" xr:uid="{D14F8F33-3384-4725-8A81-82D2E75A6855}"/>
    <cellStyle name="40% - 강조색5 37" xfId="1084" xr:uid="{8B42C722-947D-4837-84E8-0178C537AA3A}"/>
    <cellStyle name="40% - 강조색5 37 2" xfId="1085" xr:uid="{691D0B79-B274-4421-BF15-6561F9154D51}"/>
    <cellStyle name="40% - 강조색5 38" xfId="1086" xr:uid="{C7061C8F-92E9-44D7-BFCF-81FFD4462A2E}"/>
    <cellStyle name="40% - 강조색5 38 2" xfId="1087" xr:uid="{0C819ABD-03A1-48AC-83D3-684BA57D3327}"/>
    <cellStyle name="40% - 강조색5 39" xfId="1088" xr:uid="{7408B133-5F00-4268-B6EF-6828B54E5189}"/>
    <cellStyle name="40% - 강조색5 39 2" xfId="1089" xr:uid="{C3099378-9CCF-42B1-A0BD-9EC97357004C}"/>
    <cellStyle name="40% - 강조색5 4" xfId="1090" xr:uid="{C070A7A0-D28F-4818-868C-ECD393E555E0}"/>
    <cellStyle name="40% - 강조색5 4 2" xfId="1091" xr:uid="{1BFFCB21-2370-44E5-AF69-B4CFE892E16C}"/>
    <cellStyle name="40% - 강조색5 40" xfId="1092" xr:uid="{E43774CA-C39C-4E45-A5F2-815550897991}"/>
    <cellStyle name="40% - 강조색5 40 2" xfId="1093" xr:uid="{87F374BA-9BF0-4968-886B-C9776A88DEF7}"/>
    <cellStyle name="40% - 강조색5 41" xfId="1094" xr:uid="{2B868DC3-7DC2-41CC-9C2F-3C9FCF0712EE}"/>
    <cellStyle name="40% - 강조색5 41 2" xfId="1095" xr:uid="{EF4F3E1E-86EA-405E-AA20-4F379D4652BF}"/>
    <cellStyle name="40% - 강조색5 42" xfId="1096" xr:uid="{47EE45A4-D035-4DF3-B423-CBD421E81CA6}"/>
    <cellStyle name="40% - 강조색5 42 2" xfId="1097" xr:uid="{5426CE60-CE7E-4899-9254-6E321D56376B}"/>
    <cellStyle name="40% - 강조색5 43" xfId="1098" xr:uid="{A1665492-4BDF-4B7F-B3FC-121B5AA49051}"/>
    <cellStyle name="40% - 강조색5 43 2" xfId="1099" xr:uid="{CCAD796E-5580-43FB-AD84-A3A89852C044}"/>
    <cellStyle name="40% - 강조색5 44" xfId="1100" xr:uid="{54B9A0B9-08F3-47D1-8A28-08D27789BAD6}"/>
    <cellStyle name="40% - 강조색5 45" xfId="1101" xr:uid="{C608D3A8-A561-4F71-9919-B02D1F4FCF38}"/>
    <cellStyle name="40% - 강조색5 46" xfId="1102" xr:uid="{A8FCBEFB-CA2B-4DE5-A046-31F28936A663}"/>
    <cellStyle name="40% - 강조색5 47" xfId="1025" xr:uid="{862CAB7D-4CFD-403D-AE6D-DB9CAC37C367}"/>
    <cellStyle name="40% - 강조색5 5" xfId="1103" xr:uid="{17CBDDA5-82D5-41B9-97FC-0620CFD09F32}"/>
    <cellStyle name="40% - 강조색5 5 2" xfId="1104" xr:uid="{839C9DC9-552D-47E2-826B-3A8733EC5826}"/>
    <cellStyle name="40% - 강조색5 6" xfId="1105" xr:uid="{76FDCC09-7F80-4B2B-89FC-BEA50204175D}"/>
    <cellStyle name="40% - 강조색5 6 2" xfId="1106" xr:uid="{CE1D3433-C74C-49CF-AA98-55B499AA6F55}"/>
    <cellStyle name="40% - 강조색5 7" xfId="1107" xr:uid="{36F44656-0C63-43DF-9686-884A0EAB5BED}"/>
    <cellStyle name="40% - 강조색5 7 2" xfId="1108" xr:uid="{B1F8469F-B1AE-4C1B-B323-755F6E9F66EB}"/>
    <cellStyle name="40% - 강조색5 8" xfId="1109" xr:uid="{5C202A92-F785-4ACE-AE8C-8D32527F74C3}"/>
    <cellStyle name="40% - 강조색5 8 2" xfId="1110" xr:uid="{2C072CFB-8101-443C-8D47-FAE4C3C78318}"/>
    <cellStyle name="40% - 강조색5 9" xfId="1111" xr:uid="{0CB8F72F-F006-48E1-9ABC-31AD605C33E8}"/>
    <cellStyle name="40% - 강조색5 9 2" xfId="1112" xr:uid="{A0F556A4-667B-4E73-A67A-55260DEFB5AD}"/>
    <cellStyle name="40% - 강조색6 10" xfId="1114" xr:uid="{44D5AA40-E222-457A-A113-E8CA8400FE26}"/>
    <cellStyle name="40% - 강조색6 10 2" xfId="1115" xr:uid="{D3F40D08-F31B-4C81-B730-B5B75163B500}"/>
    <cellStyle name="40% - 강조색6 11" xfId="1116" xr:uid="{13461496-A736-4DC0-B62D-E65428FEB207}"/>
    <cellStyle name="40% - 강조색6 11 2" xfId="1117" xr:uid="{C3F593C7-0374-41B8-8CEA-5BF7BCD37265}"/>
    <cellStyle name="40% - 강조색6 12" xfId="1118" xr:uid="{044C4BB5-C20A-4A4E-A08F-CDB5FE127026}"/>
    <cellStyle name="40% - 강조색6 12 2" xfId="1119" xr:uid="{46D2CD52-BC4B-4B65-9A89-0915B3AA22BE}"/>
    <cellStyle name="40% - 강조색6 13" xfId="1120" xr:uid="{6F26645E-A321-4484-89EB-C4F3B950B917}"/>
    <cellStyle name="40% - 강조색6 13 2" xfId="1121" xr:uid="{AD3A6B95-8AF0-4CAD-AF94-A881E44063F6}"/>
    <cellStyle name="40% - 강조색6 14" xfId="1122" xr:uid="{13A8B4F8-271F-46A9-B99F-A5E773358320}"/>
    <cellStyle name="40% - 강조색6 14 2" xfId="1123" xr:uid="{C1B3853D-BE77-441B-BDCA-EBBD125F4B3C}"/>
    <cellStyle name="40% - 강조색6 15" xfId="1124" xr:uid="{0A44C85A-866E-41D1-8573-2A817F85414E}"/>
    <cellStyle name="40% - 강조색6 15 2" xfId="1125" xr:uid="{A601C183-5146-440B-ACDB-AB4A87D8E33C}"/>
    <cellStyle name="40% - 강조색6 16" xfId="1126" xr:uid="{E5A9204B-65D8-4A32-97D9-E491E04BF1D8}"/>
    <cellStyle name="40% - 강조색6 16 2" xfId="1127" xr:uid="{C78E184E-8FF8-4B14-B039-6B84E9C5C1C5}"/>
    <cellStyle name="40% - 강조색6 17" xfId="1128" xr:uid="{8968C9DE-4B64-48CC-BC5B-68BD5FC75F3E}"/>
    <cellStyle name="40% - 강조색6 17 2" xfId="1129" xr:uid="{6F214B94-E775-4496-ABAC-209ACC611DAE}"/>
    <cellStyle name="40% - 강조색6 18" xfId="1130" xr:uid="{58794F88-6684-4538-BA83-90298A207B7C}"/>
    <cellStyle name="40% - 강조색6 18 2" xfId="1131" xr:uid="{F4F57798-9075-4C07-9B32-89AF351FFB19}"/>
    <cellStyle name="40% - 강조색6 19" xfId="1132" xr:uid="{CD53D0A8-9E9D-4FD3-B552-E6CB8FBD2D96}"/>
    <cellStyle name="40% - 강조색6 19 2" xfId="1133" xr:uid="{F9DF56DD-694F-40C9-BE02-D11402C5CE2F}"/>
    <cellStyle name="40% - 강조색6 2" xfId="1134" xr:uid="{91C7A8A9-4CFB-4BD7-B4D2-0500C6D7F350}"/>
    <cellStyle name="40% - 강조색6 2 2" xfId="1135" xr:uid="{CA20122E-096E-4C2C-A70D-4CBB495668F7}"/>
    <cellStyle name="40% - 강조색6 20" xfId="1136" xr:uid="{01E8A624-BE29-4C7A-80AD-3460281A2370}"/>
    <cellStyle name="40% - 강조색6 20 2" xfId="1137" xr:uid="{3423A7BD-1E44-462F-8E48-A6BAFF108E7A}"/>
    <cellStyle name="40% - 강조색6 21" xfId="1138" xr:uid="{93B25ABE-0E14-4C25-8E6C-D188E44984A0}"/>
    <cellStyle name="40% - 강조색6 21 2" xfId="1139" xr:uid="{03218CC7-39BE-44D0-BC97-67CCC52787A5}"/>
    <cellStyle name="40% - 강조색6 22" xfId="1140" xr:uid="{176056F9-6BA1-4EB1-A776-8EA82876188D}"/>
    <cellStyle name="40% - 강조색6 22 2" xfId="1141" xr:uid="{22059787-D6CE-49E9-BA7D-0839FBB831D3}"/>
    <cellStyle name="40% - 강조색6 23" xfId="1142" xr:uid="{04129E50-4CC3-4D31-9398-9D77F5B6AE44}"/>
    <cellStyle name="40% - 강조색6 23 2" xfId="1143" xr:uid="{AED78287-4098-4C0C-B03E-E7224A075C08}"/>
    <cellStyle name="40% - 강조색6 24" xfId="1144" xr:uid="{8CDEA6B2-4DAC-4424-9230-19F940E61CAA}"/>
    <cellStyle name="40% - 강조색6 24 2" xfId="1145" xr:uid="{7D8714E4-D104-46D6-AF0E-55EFEA6775E5}"/>
    <cellStyle name="40% - 강조색6 25" xfId="1146" xr:uid="{81A10473-BF98-49E1-8333-DEA12453EB1C}"/>
    <cellStyle name="40% - 강조색6 25 2" xfId="1147" xr:uid="{FEB4A4A1-79C3-4DE5-8091-5C62C218C2E9}"/>
    <cellStyle name="40% - 강조색6 26" xfId="1148" xr:uid="{29386B91-EFC9-405B-8F71-F9658FAFA79E}"/>
    <cellStyle name="40% - 강조색6 26 2" xfId="1149" xr:uid="{079F7789-BB1D-4838-8CEF-D21E86466AB4}"/>
    <cellStyle name="40% - 강조색6 27" xfId="1150" xr:uid="{92530990-FEFB-47FB-8D6F-9C318699D442}"/>
    <cellStyle name="40% - 강조색6 27 2" xfId="1151" xr:uid="{418AD2F5-AA03-4AEF-A8AF-8DEDDB37F03A}"/>
    <cellStyle name="40% - 강조색6 28" xfId="1152" xr:uid="{061DBBF4-6DA5-4273-89DA-2461DB1A163A}"/>
    <cellStyle name="40% - 강조색6 28 2" xfId="1153" xr:uid="{66B89131-0BFD-4B21-AB55-AEEAE6D79C75}"/>
    <cellStyle name="40% - 강조색6 29" xfId="1154" xr:uid="{E1E8ABDF-77BA-4F21-A965-D7846DE11397}"/>
    <cellStyle name="40% - 강조색6 29 2" xfId="1155" xr:uid="{53B014F2-C759-4037-846F-2C057F0376F1}"/>
    <cellStyle name="40% - 강조색6 3" xfId="1156" xr:uid="{146ECBE8-8D8F-44ED-9180-A72BB18AA220}"/>
    <cellStyle name="40% - 강조색6 3 2" xfId="1157" xr:uid="{41E1CC08-6253-47A3-943B-8DD384E2EF1D}"/>
    <cellStyle name="40% - 강조색6 30" xfId="1158" xr:uid="{75DF4AB8-CF5F-4390-BC36-675C52BA79D3}"/>
    <cellStyle name="40% - 강조색6 30 2" xfId="1159" xr:uid="{D1C6E3C5-E814-4F8A-A153-B889E56A3934}"/>
    <cellStyle name="40% - 강조색6 31" xfId="1160" xr:uid="{0DC266F8-E43B-40E1-A529-F0CB91821ED5}"/>
    <cellStyle name="40% - 강조색6 31 2" xfId="1161" xr:uid="{8CAF92B4-4B26-46CA-9331-7E74E3DF15A8}"/>
    <cellStyle name="40% - 강조색6 32" xfId="1162" xr:uid="{DE1ECAC4-C514-4D64-AEF8-C93B7C0F2C26}"/>
    <cellStyle name="40% - 강조색6 32 2" xfId="1163" xr:uid="{F054F7EA-9C53-4511-AE28-8C402628E9B1}"/>
    <cellStyle name="40% - 강조색6 33" xfId="1164" xr:uid="{C118E591-1EAD-4B15-87E1-460C18699823}"/>
    <cellStyle name="40% - 강조색6 33 2" xfId="1165" xr:uid="{EB6015F6-DC55-44F8-A339-F48BB033D7DF}"/>
    <cellStyle name="40% - 강조색6 34" xfId="1166" xr:uid="{7EADBB6F-2400-4410-AB9D-F536C83C7798}"/>
    <cellStyle name="40% - 강조색6 34 2" xfId="1167" xr:uid="{3BEA8301-ED07-4FDE-9263-20D03C9A3812}"/>
    <cellStyle name="40% - 강조색6 35" xfId="1168" xr:uid="{A39FC227-8BD7-4B0A-9782-298949C27497}"/>
    <cellStyle name="40% - 강조색6 35 2" xfId="1169" xr:uid="{8ECE1B1C-0F90-41D0-8979-B5EB647E121C}"/>
    <cellStyle name="40% - 강조색6 36" xfId="1170" xr:uid="{E78AD8B9-55BE-4E22-88A7-FD625DA46C9F}"/>
    <cellStyle name="40% - 강조색6 36 2" xfId="1171" xr:uid="{BE4A3D32-E106-494B-AA9F-7994E0CEF81B}"/>
    <cellStyle name="40% - 강조색6 37" xfId="1172" xr:uid="{6AEA6BE8-D2AA-4E51-859D-32E381F298B8}"/>
    <cellStyle name="40% - 강조색6 37 2" xfId="1173" xr:uid="{91A0691B-8B45-43AB-8106-D3EE54360696}"/>
    <cellStyle name="40% - 강조색6 38" xfId="1174" xr:uid="{BD08DA20-E397-4EA9-8B71-731A4F7E185C}"/>
    <cellStyle name="40% - 강조색6 38 2" xfId="1175" xr:uid="{BDE2F785-3C05-4BA8-BB8B-4731D90106A1}"/>
    <cellStyle name="40% - 강조색6 39" xfId="1176" xr:uid="{7FE66C3E-BCB9-49F2-9F93-FE798B7F547F}"/>
    <cellStyle name="40% - 강조색6 39 2" xfId="1177" xr:uid="{79ED3F80-F48C-4DD2-A39B-A073B46425AE}"/>
    <cellStyle name="40% - 강조색6 4" xfId="1178" xr:uid="{21818056-D070-476E-ABE1-9EBD26066CB3}"/>
    <cellStyle name="40% - 강조색6 4 2" xfId="1179" xr:uid="{FAD3293A-C22A-425F-9A59-E6DAC1D32DA4}"/>
    <cellStyle name="40% - 강조색6 40" xfId="1180" xr:uid="{65BBA158-EAF0-4AB5-8E48-D69D4670DAD1}"/>
    <cellStyle name="40% - 강조색6 40 2" xfId="1181" xr:uid="{683B305F-8A86-4522-9912-FD2822B8B9AD}"/>
    <cellStyle name="40% - 강조색6 41" xfId="1182" xr:uid="{3A1C8C0F-9CAC-43B0-88FA-B130B067C220}"/>
    <cellStyle name="40% - 강조색6 41 2" xfId="1183" xr:uid="{A2046404-15CF-4116-B5CD-3C3191831AF7}"/>
    <cellStyle name="40% - 강조색6 42" xfId="1184" xr:uid="{F8D7C6CE-85F1-4355-BB77-FBE33592376F}"/>
    <cellStyle name="40% - 강조색6 42 2" xfId="1185" xr:uid="{BABCF231-E549-42CE-893F-F5B0046CFB8D}"/>
    <cellStyle name="40% - 강조색6 43" xfId="1186" xr:uid="{367583C5-BC1A-4751-BCEC-ED7547AD2B7F}"/>
    <cellStyle name="40% - 강조색6 43 2" xfId="1187" xr:uid="{C3CCA336-90CC-4D6C-8D81-9CF392DE28B3}"/>
    <cellStyle name="40% - 강조색6 44" xfId="1188" xr:uid="{F909DDC3-5BBE-4394-8CEE-C9AE232B00FB}"/>
    <cellStyle name="40% - 강조색6 45" xfId="1189" xr:uid="{D5013DFF-AAED-4490-86D4-DACBA9235C96}"/>
    <cellStyle name="40% - 강조색6 46" xfId="1190" xr:uid="{5BA65123-824C-4DBA-8702-6F526EABBC4D}"/>
    <cellStyle name="40% - 강조색6 47" xfId="1113" xr:uid="{0F46EFA8-B6C4-4013-8561-F743C28D7B9A}"/>
    <cellStyle name="40% - 강조색6 5" xfId="1191" xr:uid="{B1AA8902-8C72-438F-81EE-89FC719A802C}"/>
    <cellStyle name="40% - 강조색6 5 2" xfId="1192" xr:uid="{A39BF5E3-80E5-4055-BCB1-841E45226667}"/>
    <cellStyle name="40% - 강조색6 6" xfId="1193" xr:uid="{9E2FDC14-7DB6-4020-A140-2367168B2BD3}"/>
    <cellStyle name="40% - 강조색6 6 2" xfId="1194" xr:uid="{8CC1B32C-8C8B-4A57-A13D-9E5D331AE8B8}"/>
    <cellStyle name="40% - 강조색6 7" xfId="1195" xr:uid="{FE41E70A-F2F5-4EBF-B2D0-A7FBF85C97D2}"/>
    <cellStyle name="40% - 강조색6 7 2" xfId="1196" xr:uid="{9A1DE28D-5B4C-439C-8BE7-E07FB0D664F5}"/>
    <cellStyle name="40% - 강조색6 8" xfId="1197" xr:uid="{BA7329C0-6053-416D-90D4-2C29996E178B}"/>
    <cellStyle name="40% - 강조색6 8 2" xfId="1198" xr:uid="{21FDCA0B-EF2F-4B8D-895B-E7A9BF835251}"/>
    <cellStyle name="40% - 강조색6 9" xfId="1199" xr:uid="{E54F6936-C00F-4D78-B6B4-A10A17138076}"/>
    <cellStyle name="40% - 강조색6 9 2" xfId="1200" xr:uid="{35D7EC38-0A27-4E47-AC76-80CA3912C958}"/>
    <cellStyle name="60% - Accent1 2" xfId="27" xr:uid="{00000000-0005-0000-0000-00000C000000}"/>
    <cellStyle name="60% - Accent2 2" xfId="28" xr:uid="{00000000-0005-0000-0000-00000D000000}"/>
    <cellStyle name="60% - Accent3 2" xfId="29" xr:uid="{00000000-0005-0000-0000-00000E000000}"/>
    <cellStyle name="60% - Accent4 2" xfId="30" xr:uid="{00000000-0005-0000-0000-00000F000000}"/>
    <cellStyle name="60% - Accent5 2" xfId="31" xr:uid="{00000000-0005-0000-0000-000010000000}"/>
    <cellStyle name="60% - Accent6 2" xfId="32" xr:uid="{00000000-0005-0000-0000-000011000000}"/>
    <cellStyle name="60% - 강조색1 10" xfId="1202" xr:uid="{6B3CC316-00CA-4E98-8FEB-A94463E7F7AA}"/>
    <cellStyle name="60% - 강조색1 10 2" xfId="1203" xr:uid="{5D9027D1-E20D-4B04-AE38-2C26459C40DF}"/>
    <cellStyle name="60% - 강조색1 11" xfId="1204" xr:uid="{353D232F-4088-46E0-BE62-F8D249D577DC}"/>
    <cellStyle name="60% - 강조색1 11 2" xfId="1205" xr:uid="{8F7A280E-F02A-4AFE-8F58-E96CD098689A}"/>
    <cellStyle name="60% - 강조색1 12" xfId="1206" xr:uid="{57A2D147-7D72-4D11-A6F6-B354939F2EB5}"/>
    <cellStyle name="60% - 강조색1 12 2" xfId="1207" xr:uid="{077C3A71-BFA9-464B-95C6-60BA8F8D58BB}"/>
    <cellStyle name="60% - 강조색1 13" xfId="1208" xr:uid="{E5DC5C7B-5372-4CCA-AA2B-D54C15F58F70}"/>
    <cellStyle name="60% - 강조색1 13 2" xfId="1209" xr:uid="{D6DDC573-6D31-426D-93DB-92B52F9B3765}"/>
    <cellStyle name="60% - 강조색1 14" xfId="1210" xr:uid="{BFC540A4-FC73-47EF-8C60-438D4207B5F8}"/>
    <cellStyle name="60% - 강조색1 14 2" xfId="1211" xr:uid="{9CBF7FCD-7FBD-4EA3-9DE2-7EB0A65BEDF9}"/>
    <cellStyle name="60% - 강조색1 15" xfId="1212" xr:uid="{53B9706F-EC48-416F-B04D-400AED8096A4}"/>
    <cellStyle name="60% - 강조색1 15 2" xfId="1213" xr:uid="{1980F408-403B-461C-842B-298AB62BEC6E}"/>
    <cellStyle name="60% - 강조색1 16" xfId="1214" xr:uid="{CDA0B7B3-9159-48EE-A111-986597DE1630}"/>
    <cellStyle name="60% - 강조색1 16 2" xfId="1215" xr:uid="{63E39670-98FD-4075-83F7-7F233A3C9678}"/>
    <cellStyle name="60% - 강조색1 17" xfId="1216" xr:uid="{62700C43-AFDB-42DB-A787-DD1E8E316CD2}"/>
    <cellStyle name="60% - 강조색1 17 2" xfId="1217" xr:uid="{CA7F94F3-ED80-43FC-A079-28A41C86CD9B}"/>
    <cellStyle name="60% - 강조색1 18" xfId="1218" xr:uid="{E9C531DD-434F-42AC-A9A7-CBCC71F7D5BA}"/>
    <cellStyle name="60% - 강조색1 18 2" xfId="1219" xr:uid="{8720E7D6-B207-4585-993B-44A0B01982BE}"/>
    <cellStyle name="60% - 강조색1 19" xfId="1220" xr:uid="{1A5EBA24-99F4-4AAB-ABCB-60BB37AA4C8D}"/>
    <cellStyle name="60% - 강조색1 19 2" xfId="1221" xr:uid="{41F59A21-BE1B-4C87-B8A5-FAADDEB63024}"/>
    <cellStyle name="60% - 강조색1 2" xfId="1222" xr:uid="{B3F3042F-54A2-402D-BDCC-2CD20BCF8F3E}"/>
    <cellStyle name="60% - 강조색1 2 2" xfId="1223" xr:uid="{E457511E-7BA4-46A0-84C5-806F39CDCFFC}"/>
    <cellStyle name="60% - 강조색1 20" xfId="1224" xr:uid="{E6E9762F-367A-434E-90B3-7E047546642D}"/>
    <cellStyle name="60% - 강조색1 20 2" xfId="1225" xr:uid="{B984AC27-AD5C-44B3-8CE4-E05CD197A03C}"/>
    <cellStyle name="60% - 강조색1 21" xfId="1226" xr:uid="{46C63511-BEA8-431B-82C1-CA55A241A63D}"/>
    <cellStyle name="60% - 강조색1 21 2" xfId="1227" xr:uid="{90546976-BEEA-4875-B719-EDBD708C3C56}"/>
    <cellStyle name="60% - 강조색1 22" xfId="1228" xr:uid="{E52AA522-B0D9-4222-B7AD-05D31345CB31}"/>
    <cellStyle name="60% - 강조색1 22 2" xfId="1229" xr:uid="{95F79E21-CA29-4C78-A585-7F4E60E600AB}"/>
    <cellStyle name="60% - 강조색1 23" xfId="1230" xr:uid="{EEC375F6-59B8-4490-B1E8-251D02A188D6}"/>
    <cellStyle name="60% - 강조색1 23 2" xfId="1231" xr:uid="{223BAECE-AA4A-4C72-B3A5-4C5B3D3127C3}"/>
    <cellStyle name="60% - 강조색1 24" xfId="1232" xr:uid="{E049D66C-B66E-4643-98F4-E12B25EAE5F6}"/>
    <cellStyle name="60% - 강조색1 24 2" xfId="1233" xr:uid="{76EC8F23-A04A-470B-BC6A-0CD84792D176}"/>
    <cellStyle name="60% - 강조색1 25" xfId="1234" xr:uid="{1AE1A9CA-2389-4383-B920-BC7C406EA3C8}"/>
    <cellStyle name="60% - 강조색1 25 2" xfId="1235" xr:uid="{00CE2416-97E1-4CD9-8A15-1A22085522D0}"/>
    <cellStyle name="60% - 강조색1 26" xfId="1236" xr:uid="{2708F579-B2A7-4C10-AB03-DECF33FE563A}"/>
    <cellStyle name="60% - 강조색1 26 2" xfId="1237" xr:uid="{FA9AACF4-F9E4-49D7-B62B-1723EFD4BC5C}"/>
    <cellStyle name="60% - 강조색1 27" xfId="1238" xr:uid="{B020F1DD-5510-4DBC-ADC8-3EA724B5088C}"/>
    <cellStyle name="60% - 강조색1 27 2" xfId="1239" xr:uid="{4801C6F9-3B45-43B4-9966-5091CA1C6EB7}"/>
    <cellStyle name="60% - 강조색1 28" xfId="1240" xr:uid="{FBCDA34E-22DF-46B9-A419-CDA5FE9401E5}"/>
    <cellStyle name="60% - 강조색1 28 2" xfId="1241" xr:uid="{81C7D9CB-A5DB-48D4-A307-EB78E9A3862B}"/>
    <cellStyle name="60% - 강조색1 29" xfId="1242" xr:uid="{E8972EAB-8947-4F65-B65D-6B911B9FBF5F}"/>
    <cellStyle name="60% - 강조색1 29 2" xfId="1243" xr:uid="{B0B94241-ACA3-4059-A69D-D8B407DB7971}"/>
    <cellStyle name="60% - 강조색1 3" xfId="1244" xr:uid="{5CEC3E10-DA90-47B3-9653-E4D241AF8681}"/>
    <cellStyle name="60% - 강조색1 3 2" xfId="1245" xr:uid="{49C6AEEF-B16A-452D-A5D3-C865DF1CD9F4}"/>
    <cellStyle name="60% - 강조색1 30" xfId="1246" xr:uid="{975DED02-8264-4FCA-8354-69B11B099649}"/>
    <cellStyle name="60% - 강조색1 30 2" xfId="1247" xr:uid="{8AADACE0-C5E4-40D4-AA8F-3903BAA76F81}"/>
    <cellStyle name="60% - 강조색1 31" xfId="1248" xr:uid="{B8C5D225-8DBA-43EB-BBEB-37D63CB2916A}"/>
    <cellStyle name="60% - 강조색1 31 2" xfId="1249" xr:uid="{EC712182-7671-4A5A-8EBC-8B55B3533B43}"/>
    <cellStyle name="60% - 강조색1 32" xfId="1250" xr:uid="{F0B5C9D0-E6D1-478F-9FAF-57887FB2B839}"/>
    <cellStyle name="60% - 강조색1 32 2" xfId="1251" xr:uid="{70581C69-5740-4944-860A-439FB672E619}"/>
    <cellStyle name="60% - 강조색1 33" xfId="1252" xr:uid="{7F1FE99F-61C7-4057-8A19-1F646D1F1F40}"/>
    <cellStyle name="60% - 강조색1 33 2" xfId="1253" xr:uid="{C85A238D-9964-48E1-A8FA-940CBEAB8DCF}"/>
    <cellStyle name="60% - 강조색1 34" xfId="1254" xr:uid="{C689F707-4F9D-4E06-988B-4DA3AB4241CD}"/>
    <cellStyle name="60% - 강조색1 34 2" xfId="1255" xr:uid="{FFBE3F42-CC02-45BB-B76A-731EF8F3C75D}"/>
    <cellStyle name="60% - 강조색1 35" xfId="1256" xr:uid="{31E98558-F864-4DA1-98A7-A6578ED6E44D}"/>
    <cellStyle name="60% - 강조색1 35 2" xfId="1257" xr:uid="{03159B6C-FF76-470D-A46C-B05DE137B953}"/>
    <cellStyle name="60% - 강조색1 36" xfId="1258" xr:uid="{D0027E3C-5841-4F7B-86FE-78883572C3AA}"/>
    <cellStyle name="60% - 강조색1 36 2" xfId="1259" xr:uid="{4306ED43-4ACB-49DD-A29C-8173EEE23E38}"/>
    <cellStyle name="60% - 강조색1 37" xfId="1260" xr:uid="{15F08C02-AEFE-4C52-9363-C09ABF034968}"/>
    <cellStyle name="60% - 강조색1 37 2" xfId="1261" xr:uid="{C95837ED-8DAD-4DBC-AC0A-717C21D41FFD}"/>
    <cellStyle name="60% - 강조색1 38" xfId="1262" xr:uid="{1D01A1FE-E117-489A-9012-F936C27BF2DF}"/>
    <cellStyle name="60% - 강조색1 38 2" xfId="1263" xr:uid="{7B3BBE6B-B12A-4334-888A-C393372554BD}"/>
    <cellStyle name="60% - 강조색1 39" xfId="1264" xr:uid="{A9A9B5C1-FE21-4D36-ADE5-F98B48D0B5DE}"/>
    <cellStyle name="60% - 강조색1 39 2" xfId="1265" xr:uid="{65F48874-00AC-42E1-AD1D-CDC1BAAD61D9}"/>
    <cellStyle name="60% - 강조색1 4" xfId="1266" xr:uid="{90F49B66-D12B-46FD-AD0D-3C4D13B7996E}"/>
    <cellStyle name="60% - 강조색1 4 2" xfId="1267" xr:uid="{4FB16414-3AEC-4060-A5A3-BA533A946085}"/>
    <cellStyle name="60% - 강조색1 40" xfId="1268" xr:uid="{5628A1BF-E24A-4CA9-B344-ED56A009314B}"/>
    <cellStyle name="60% - 강조색1 40 2" xfId="1269" xr:uid="{5EB5F42A-F990-4ECF-B5EF-05BBB3BF5F66}"/>
    <cellStyle name="60% - 강조색1 41" xfId="1270" xr:uid="{F8E0A40E-6E7D-48F6-A533-9469D89F5B77}"/>
    <cellStyle name="60% - 강조색1 41 2" xfId="1271" xr:uid="{F9839864-F198-4D43-A5A9-46B3379FF3B5}"/>
    <cellStyle name="60% - 강조색1 42" xfId="1272" xr:uid="{E870437A-8795-420E-AF5C-0CC9E0160D38}"/>
    <cellStyle name="60% - 강조색1 42 2" xfId="1273" xr:uid="{3755E79B-0D18-4BA3-B0DE-8BC7B1644156}"/>
    <cellStyle name="60% - 강조색1 43" xfId="1274" xr:uid="{C235828D-BF4F-4CDE-AAA9-466FF7B1E5D4}"/>
    <cellStyle name="60% - 강조색1 43 2" xfId="1275" xr:uid="{8DB0D040-C16D-4173-A97B-8BCBF9FD99D4}"/>
    <cellStyle name="60% - 강조색1 44" xfId="1276" xr:uid="{08EF5A35-8038-4D35-8BBE-C7F02B0D4F6D}"/>
    <cellStyle name="60% - 강조색1 45" xfId="1277" xr:uid="{2F3D51CA-DFAF-43BE-BAF6-9EE59A1F2499}"/>
    <cellStyle name="60% - 강조색1 46" xfId="1278" xr:uid="{9329A7AF-E437-4949-943F-6C123341A5B6}"/>
    <cellStyle name="60% - 강조색1 47" xfId="1201" xr:uid="{050E54D5-32C7-4BB2-BDE5-D4948A018231}"/>
    <cellStyle name="60% - 강조색1 5" xfId="1279" xr:uid="{746E2910-0420-44C8-93A8-29FAA12597ED}"/>
    <cellStyle name="60% - 강조색1 5 2" xfId="1280" xr:uid="{5864150B-7B76-4E6C-A3A1-CB567C1D4AD9}"/>
    <cellStyle name="60% - 강조색1 6" xfId="1281" xr:uid="{BD983C51-0331-4B89-ACAF-49A1B72877C9}"/>
    <cellStyle name="60% - 강조색1 6 2" xfId="1282" xr:uid="{D1BCF5E8-5D13-4102-8F0C-79587BCAD146}"/>
    <cellStyle name="60% - 강조색1 7" xfId="1283" xr:uid="{11D6AFE0-5BFB-4CCB-B9A9-2B19DB9D517E}"/>
    <cellStyle name="60% - 강조색1 7 2" xfId="1284" xr:uid="{6A3C01BC-91CF-4114-BC14-941B87D43D4E}"/>
    <cellStyle name="60% - 강조색1 8" xfId="1285" xr:uid="{B92C084C-C6E8-4CDC-8CC2-A3EF70C0EBF3}"/>
    <cellStyle name="60% - 강조색1 8 2" xfId="1286" xr:uid="{1A6485B6-0292-4FC9-A7BC-F2CA7CBF21F7}"/>
    <cellStyle name="60% - 강조색1 9" xfId="1287" xr:uid="{1B0B50D7-4463-4CC5-95A5-16CF1E038F08}"/>
    <cellStyle name="60% - 강조색1 9 2" xfId="1288" xr:uid="{8A8476A1-24A9-44CC-8BE5-6C880CFB03BE}"/>
    <cellStyle name="60% - 강조색2 10" xfId="1290" xr:uid="{DED7FA08-5A3F-4870-AF6E-F825F2A49CCA}"/>
    <cellStyle name="60% - 강조색2 10 2" xfId="1291" xr:uid="{DF2E15CE-2FD2-4AB5-8D4E-3092933D264C}"/>
    <cellStyle name="60% - 강조색2 11" xfId="1292" xr:uid="{BD05C21B-ECB1-4979-B501-5AE7C9202280}"/>
    <cellStyle name="60% - 강조색2 11 2" xfId="1293" xr:uid="{CE4C0477-9F53-4060-912A-4AA51893BB17}"/>
    <cellStyle name="60% - 강조색2 12" xfId="1294" xr:uid="{2909C993-D138-4028-AC69-35307F7F577C}"/>
    <cellStyle name="60% - 강조색2 12 2" xfId="1295" xr:uid="{C556D557-90D3-41F5-830E-0351EE837A67}"/>
    <cellStyle name="60% - 강조색2 13" xfId="1296" xr:uid="{777D873F-409C-4620-8AE5-142D13A5A29C}"/>
    <cellStyle name="60% - 강조색2 13 2" xfId="1297" xr:uid="{22296CA4-5E1A-49E6-BB74-2D4855261527}"/>
    <cellStyle name="60% - 강조색2 14" xfId="1298" xr:uid="{3CB0ACE5-D987-4797-8645-FCC5DB2C8374}"/>
    <cellStyle name="60% - 강조색2 14 2" xfId="1299" xr:uid="{FD5DDE45-2A38-4755-AB9A-6FE205E20535}"/>
    <cellStyle name="60% - 강조색2 15" xfId="1300" xr:uid="{2924C379-3154-4208-BA9C-DA6BF25FC4DB}"/>
    <cellStyle name="60% - 강조색2 15 2" xfId="1301" xr:uid="{B67034DE-19F4-4BB0-8B1D-D84F2B0CFE85}"/>
    <cellStyle name="60% - 강조색2 16" xfId="1302" xr:uid="{8238DF60-C8FB-49C7-B1B0-FD444F1C7E47}"/>
    <cellStyle name="60% - 강조색2 16 2" xfId="1303" xr:uid="{A3D22469-5A5A-4B91-85F3-5FD8E26AE212}"/>
    <cellStyle name="60% - 강조색2 17" xfId="1304" xr:uid="{7B42B968-AC56-4414-A02A-14A0F6428C9D}"/>
    <cellStyle name="60% - 강조색2 17 2" xfId="1305" xr:uid="{232A336E-D28B-4391-AACC-64EA25C14B1F}"/>
    <cellStyle name="60% - 강조색2 18" xfId="1306" xr:uid="{0E84CC14-2D4D-46C6-955F-DD041ABA2735}"/>
    <cellStyle name="60% - 강조색2 18 2" xfId="1307" xr:uid="{021ECD96-6ADA-4EAC-B01F-C5F3015A5D15}"/>
    <cellStyle name="60% - 강조색2 19" xfId="1308" xr:uid="{F4EE0934-7799-4D99-AEA4-72EF0C920BFF}"/>
    <cellStyle name="60% - 강조색2 19 2" xfId="1309" xr:uid="{D05902F1-41D7-4368-B7CF-58ACEF33D302}"/>
    <cellStyle name="60% - 강조색2 2" xfId="1310" xr:uid="{44B1C052-108A-480C-A73C-D436E92118C7}"/>
    <cellStyle name="60% - 강조색2 2 2" xfId="1311" xr:uid="{EAC5806A-7396-4B0B-A936-1BEDBFDA8C6F}"/>
    <cellStyle name="60% - 강조색2 20" xfId="1312" xr:uid="{6B0FF9BF-382A-4B10-B14E-4EB42D8D4C51}"/>
    <cellStyle name="60% - 강조색2 20 2" xfId="1313" xr:uid="{2DEFCA8B-90C8-499E-931C-74B31B1595C0}"/>
    <cellStyle name="60% - 강조색2 21" xfId="1314" xr:uid="{4B7F577A-3739-419C-8538-43330D987E7A}"/>
    <cellStyle name="60% - 강조색2 21 2" xfId="1315" xr:uid="{ED69EBBB-6D7F-4756-8F51-988C7CB8B086}"/>
    <cellStyle name="60% - 강조색2 22" xfId="1316" xr:uid="{85E53AB1-206A-41D2-9E3C-007C2D289E16}"/>
    <cellStyle name="60% - 강조색2 22 2" xfId="1317" xr:uid="{4D0AD644-43C1-4210-A531-5AAB59934A9F}"/>
    <cellStyle name="60% - 강조색2 23" xfId="1318" xr:uid="{8C1FD577-FB97-4D34-BFCC-931722F81C19}"/>
    <cellStyle name="60% - 강조색2 23 2" xfId="1319" xr:uid="{DC73A0FF-D137-42F8-BD59-9C3500F4620B}"/>
    <cellStyle name="60% - 강조색2 24" xfId="1320" xr:uid="{B47F039F-E383-4128-A02C-AE5EAE838AD4}"/>
    <cellStyle name="60% - 강조색2 24 2" xfId="1321" xr:uid="{254FE71B-C5B9-45B5-B53C-384BC5D7A7CC}"/>
    <cellStyle name="60% - 강조색2 25" xfId="1322" xr:uid="{BCEEA8B7-DB4F-487F-A2A1-EA1BD4D071E4}"/>
    <cellStyle name="60% - 강조색2 25 2" xfId="1323" xr:uid="{C0827CAB-99A6-43CD-A4AC-B950DACA98D0}"/>
    <cellStyle name="60% - 강조색2 26" xfId="1324" xr:uid="{29A1BC06-D1DC-4BD2-A81F-1B6A9F2A315B}"/>
    <cellStyle name="60% - 강조색2 26 2" xfId="1325" xr:uid="{939CA349-2A0E-4F27-BF54-FAC7C4BCBA7B}"/>
    <cellStyle name="60% - 강조색2 27" xfId="1326" xr:uid="{0BEC7DD5-1976-48F0-B41C-FC692B790E0D}"/>
    <cellStyle name="60% - 강조색2 27 2" xfId="1327" xr:uid="{450A377A-0D6B-46DF-B3CA-F3E36CA3BE86}"/>
    <cellStyle name="60% - 강조색2 28" xfId="1328" xr:uid="{FAD5EA86-311E-4D05-BA5B-30828070B286}"/>
    <cellStyle name="60% - 강조색2 28 2" xfId="1329" xr:uid="{23EEBA0A-23ED-4B5D-9AC3-AC09DA387266}"/>
    <cellStyle name="60% - 강조색2 29" xfId="1330" xr:uid="{FE3E3429-F345-4EA6-9A6D-981F81F5D426}"/>
    <cellStyle name="60% - 강조색2 29 2" xfId="1331" xr:uid="{6B3CEADF-702F-4F12-94FA-AE5E2FA579E5}"/>
    <cellStyle name="60% - 강조색2 3" xfId="1332" xr:uid="{B2BB46A0-49D1-4007-8E6D-F8A9D7A5F8A8}"/>
    <cellStyle name="60% - 강조색2 3 2" xfId="1333" xr:uid="{D3DE3EC0-831E-49B3-898C-715A96CCB36D}"/>
    <cellStyle name="60% - 강조색2 30" xfId="1334" xr:uid="{47B92D43-E718-45B4-B331-BA2A3F3FA5B9}"/>
    <cellStyle name="60% - 강조색2 30 2" xfId="1335" xr:uid="{D63BE9DD-2BEB-4703-8E28-8A05B55DE24D}"/>
    <cellStyle name="60% - 강조색2 31" xfId="1336" xr:uid="{9736DFE3-525F-4951-BB0D-F2381366CB65}"/>
    <cellStyle name="60% - 강조색2 31 2" xfId="1337" xr:uid="{F183C1E3-7A2E-471E-888A-7D168DBF0BE8}"/>
    <cellStyle name="60% - 강조색2 32" xfId="1338" xr:uid="{183B7527-F003-4340-AC97-DF1443278652}"/>
    <cellStyle name="60% - 강조색2 32 2" xfId="1339" xr:uid="{0FB3D0A8-D3AE-4B48-B3DB-B33F74E62FB8}"/>
    <cellStyle name="60% - 강조색2 33" xfId="1340" xr:uid="{F5B47EE6-5E53-434A-96A4-895F5C276B29}"/>
    <cellStyle name="60% - 강조색2 33 2" xfId="1341" xr:uid="{2C822938-91EB-4537-8E45-6C6E8505E276}"/>
    <cellStyle name="60% - 강조색2 34" xfId="1342" xr:uid="{419E1DEC-E1CF-494C-952B-A402934B43F8}"/>
    <cellStyle name="60% - 강조색2 34 2" xfId="1343" xr:uid="{36551C14-FCD4-4848-B980-5DC205CAFB1D}"/>
    <cellStyle name="60% - 강조색2 35" xfId="1344" xr:uid="{E638CF57-6B94-496A-9BAB-46790E36C58E}"/>
    <cellStyle name="60% - 강조색2 35 2" xfId="1345" xr:uid="{D1DBF6F2-213B-4CF5-BF0A-D7F967DFA54D}"/>
    <cellStyle name="60% - 강조색2 36" xfId="1346" xr:uid="{770F052B-2FD8-44D6-A712-43F6BDCBA842}"/>
    <cellStyle name="60% - 강조색2 36 2" xfId="1347" xr:uid="{73B0CA86-CD40-46AA-B34C-04D44053134D}"/>
    <cellStyle name="60% - 강조색2 37" xfId="1348" xr:uid="{2E5F18BD-2C88-417D-A80B-70A9322D5F8B}"/>
    <cellStyle name="60% - 강조색2 37 2" xfId="1349" xr:uid="{DA6824B5-659E-4F16-A223-2751185D9B08}"/>
    <cellStyle name="60% - 강조색2 38" xfId="1350" xr:uid="{7C88CC3D-98C3-4D4F-822D-847806EB8523}"/>
    <cellStyle name="60% - 강조색2 38 2" xfId="1351" xr:uid="{8C2E99D9-6547-4560-98FE-4E172829F450}"/>
    <cellStyle name="60% - 강조색2 39" xfId="1352" xr:uid="{CED3780A-88E1-4D26-B3EA-624A30F887BD}"/>
    <cellStyle name="60% - 강조색2 39 2" xfId="1353" xr:uid="{6E319ED7-95C3-458E-BE44-33A62748D6B8}"/>
    <cellStyle name="60% - 강조색2 4" xfId="1354" xr:uid="{2F8F41BE-D445-4BEA-BDEC-01F9B855EE55}"/>
    <cellStyle name="60% - 강조색2 4 2" xfId="1355" xr:uid="{08B5D879-5D69-4B31-888F-B9918966830D}"/>
    <cellStyle name="60% - 강조색2 40" xfId="1356" xr:uid="{08DE9C37-6653-4F2A-8C17-4DC49331E65D}"/>
    <cellStyle name="60% - 강조색2 40 2" xfId="1357" xr:uid="{8C58A334-B6C5-4783-AD46-9C20EA61FE19}"/>
    <cellStyle name="60% - 강조색2 41" xfId="1358" xr:uid="{015E1396-C607-47B2-9350-861F675CD945}"/>
    <cellStyle name="60% - 강조색2 41 2" xfId="1359" xr:uid="{F5475494-CC46-43AB-8F14-3FFA4C1608F8}"/>
    <cellStyle name="60% - 강조색2 42" xfId="1360" xr:uid="{4ED7B02B-2355-462D-B57C-9A5086EB6776}"/>
    <cellStyle name="60% - 강조색2 42 2" xfId="1361" xr:uid="{25A034A9-9C0B-4B9E-B317-5F524DE29FDE}"/>
    <cellStyle name="60% - 강조색2 43" xfId="1362" xr:uid="{2A22D3D6-63F2-406C-AC54-E5952FD78CC9}"/>
    <cellStyle name="60% - 강조색2 43 2" xfId="1363" xr:uid="{D9A3571C-556E-44D1-8A7C-4B3A216EB2C5}"/>
    <cellStyle name="60% - 강조색2 44" xfId="1364" xr:uid="{C57B409A-8872-457F-A6EA-5543D954BA7C}"/>
    <cellStyle name="60% - 강조색2 45" xfId="1365" xr:uid="{4E24C702-E4F8-41C6-A87F-2BEAEDCA7C7B}"/>
    <cellStyle name="60% - 강조색2 46" xfId="1366" xr:uid="{3C562693-8EA7-4D5A-BA01-EE5D2D394E88}"/>
    <cellStyle name="60% - 강조색2 47" xfId="1289" xr:uid="{5648C0C9-29AD-4078-9495-049CCF381262}"/>
    <cellStyle name="60% - 강조색2 5" xfId="1367" xr:uid="{D1CA645D-071D-464C-8FDC-E2900AAB37E6}"/>
    <cellStyle name="60% - 강조색2 5 2" xfId="1368" xr:uid="{6F3F909E-EB3B-4D36-9815-A62F0F4011BD}"/>
    <cellStyle name="60% - 강조색2 6" xfId="1369" xr:uid="{E40D168E-B423-40F4-B275-B643FE8F4A4A}"/>
    <cellStyle name="60% - 강조색2 6 2" xfId="1370" xr:uid="{B014D57C-2D83-424B-947C-DAD43E10EB28}"/>
    <cellStyle name="60% - 강조색2 7" xfId="1371" xr:uid="{C75E31D5-73B5-4F64-A95A-F08F76871E80}"/>
    <cellStyle name="60% - 강조색2 7 2" xfId="1372" xr:uid="{9A8CD8C0-CF4E-4274-8402-4B60DBFFA489}"/>
    <cellStyle name="60% - 강조색2 8" xfId="1373" xr:uid="{F6BCE252-F72F-4C0E-AF3F-3F8689494886}"/>
    <cellStyle name="60% - 강조색2 8 2" xfId="1374" xr:uid="{E5E3DD75-AEB8-46B3-BD8A-5278F38E905E}"/>
    <cellStyle name="60% - 강조색2 9" xfId="1375" xr:uid="{C2F83A8A-3862-4C71-B809-B760DA89F371}"/>
    <cellStyle name="60% - 강조색2 9 2" xfId="1376" xr:uid="{AB9F6261-24D0-4332-8DF8-9A311B298D79}"/>
    <cellStyle name="60% - 강조색3 10" xfId="1378" xr:uid="{6FF5CC47-F855-418F-97FD-5C70B09FDF47}"/>
    <cellStyle name="60% - 강조색3 10 2" xfId="1379" xr:uid="{5F86F0FA-8D72-4FB0-938D-69DDBF8FB11D}"/>
    <cellStyle name="60% - 강조색3 11" xfId="1380" xr:uid="{F0CFAEBE-EFB8-4F58-8F30-DCE26E0356DA}"/>
    <cellStyle name="60% - 강조색3 11 2" xfId="1381" xr:uid="{E53A0432-9D58-40F9-BB6B-415B9E002737}"/>
    <cellStyle name="60% - 강조색3 12" xfId="1382" xr:uid="{66E4E39F-6C8F-41E6-B9B2-F6C4BEC59EBB}"/>
    <cellStyle name="60% - 강조색3 12 2" xfId="1383" xr:uid="{BDBAF28A-94AC-4B5B-BBA7-A1C6B8803E3F}"/>
    <cellStyle name="60% - 강조색3 13" xfId="1384" xr:uid="{0A2FC592-0D56-431A-BFF8-16484EE6DE9F}"/>
    <cellStyle name="60% - 강조색3 13 2" xfId="1385" xr:uid="{C1697407-37DF-4ACA-AD03-6CA9AA2C3E0B}"/>
    <cellStyle name="60% - 강조색3 14" xfId="1386" xr:uid="{3631E977-C194-4AFE-BCFD-AFCB02A2D94C}"/>
    <cellStyle name="60% - 강조색3 14 2" xfId="1387" xr:uid="{762A6CA5-4287-4CBE-9BD0-11DA058DC88C}"/>
    <cellStyle name="60% - 강조색3 15" xfId="1388" xr:uid="{F6960668-1B7D-4120-A1DF-BAF32F4E37AF}"/>
    <cellStyle name="60% - 강조색3 15 2" xfId="1389" xr:uid="{A21E65BF-E003-4D9E-89BA-96AC6FE5E026}"/>
    <cellStyle name="60% - 강조색3 16" xfId="1390" xr:uid="{55508D5E-F543-422A-8D4E-D0FC331CE142}"/>
    <cellStyle name="60% - 강조색3 16 2" xfId="1391" xr:uid="{E584198F-7600-48D8-91B6-30AA3426104B}"/>
    <cellStyle name="60% - 강조색3 17" xfId="1392" xr:uid="{49D14040-D576-4E0B-BFBF-A91A9BCE5201}"/>
    <cellStyle name="60% - 강조색3 17 2" xfId="1393" xr:uid="{9E8A1479-8DF7-4B41-8734-4801907852EB}"/>
    <cellStyle name="60% - 강조색3 18" xfId="1394" xr:uid="{99FD42D3-1E9F-4B14-8C58-E84EDE77CB6C}"/>
    <cellStyle name="60% - 강조색3 18 2" xfId="1395" xr:uid="{B1CA2D2C-8405-45C2-A063-A18ED9E9EF2A}"/>
    <cellStyle name="60% - 강조색3 19" xfId="1396" xr:uid="{DF1E213A-A807-4DA5-9BDA-C9BAD19DED1E}"/>
    <cellStyle name="60% - 강조색3 19 2" xfId="1397" xr:uid="{840E4544-F71B-4DF3-86A1-2BC8381E4978}"/>
    <cellStyle name="60% - 강조색3 2" xfId="1398" xr:uid="{D5C0E7BA-1AE8-4A67-9B67-FE3617474A41}"/>
    <cellStyle name="60% - 강조색3 2 2" xfId="1399" xr:uid="{9213FA53-F948-4B38-A23A-A4F9D2705409}"/>
    <cellStyle name="60% - 강조색3 20" xfId="1400" xr:uid="{E42AD5B7-BCA8-4B0F-86B9-201197780831}"/>
    <cellStyle name="60% - 강조색3 20 2" xfId="1401" xr:uid="{EDB4163E-E4B7-47B3-9E7D-317E5993BBD1}"/>
    <cellStyle name="60% - 강조색3 21" xfId="1402" xr:uid="{DAE5EB08-C189-4CDF-9E62-3A813AE3CEF8}"/>
    <cellStyle name="60% - 강조색3 21 2" xfId="1403" xr:uid="{8AAF62BB-1DD6-47E2-8F8C-6C353A6EF83C}"/>
    <cellStyle name="60% - 강조색3 22" xfId="1404" xr:uid="{2A4A9536-40A7-4EA3-9C2F-DB42E4AA5A48}"/>
    <cellStyle name="60% - 강조색3 22 2" xfId="1405" xr:uid="{1E5754C2-8787-43FF-9B93-5FA4E3ADDC57}"/>
    <cellStyle name="60% - 강조색3 23" xfId="1406" xr:uid="{88909AA7-78F9-4768-8344-565446C979D2}"/>
    <cellStyle name="60% - 강조색3 23 2" xfId="1407" xr:uid="{DEE55654-1AFD-40A0-8E76-5025BF6D53A1}"/>
    <cellStyle name="60% - 강조색3 24" xfId="1408" xr:uid="{84EB9C2D-883A-4008-B916-C3079D29C58A}"/>
    <cellStyle name="60% - 강조색3 24 2" xfId="1409" xr:uid="{828B76B7-C9D0-49DB-87A5-582041B252A7}"/>
    <cellStyle name="60% - 강조색3 25" xfId="1410" xr:uid="{813BA242-3553-4DE7-BA1F-60D1B7861821}"/>
    <cellStyle name="60% - 강조색3 25 2" xfId="1411" xr:uid="{E9F4AD67-D718-40A5-B7C5-5679B6495868}"/>
    <cellStyle name="60% - 강조색3 26" xfId="1412" xr:uid="{EF0EC3B3-61E0-4CFE-841E-57EE2DF22584}"/>
    <cellStyle name="60% - 강조색3 26 2" xfId="1413" xr:uid="{AC18BF92-BCB6-4E81-A0BA-DAD112B31A54}"/>
    <cellStyle name="60% - 강조색3 27" xfId="1414" xr:uid="{15999525-918E-4FCF-A9ED-3750D00F60CB}"/>
    <cellStyle name="60% - 강조색3 27 2" xfId="1415" xr:uid="{669434FE-EDB8-45F8-AE00-341BE73DBF60}"/>
    <cellStyle name="60% - 강조색3 28" xfId="1416" xr:uid="{EB6ABC24-5677-4201-9AFC-CFD2C8CB5771}"/>
    <cellStyle name="60% - 강조색3 28 2" xfId="1417" xr:uid="{1EFA9B4A-C660-4294-BFD6-493BF3035CA8}"/>
    <cellStyle name="60% - 강조색3 29" xfId="1418" xr:uid="{70A7B13C-8780-483E-82C4-098B0F6F75D2}"/>
    <cellStyle name="60% - 강조색3 29 2" xfId="1419" xr:uid="{A1528C2A-C149-45CB-AAD9-DABB511F1BBD}"/>
    <cellStyle name="60% - 강조색3 3" xfId="1420" xr:uid="{757D88C6-1C11-43DE-B656-29B7FBED8670}"/>
    <cellStyle name="60% - 강조색3 3 2" xfId="1421" xr:uid="{D40B68BD-A26C-45AF-A891-F0D54553E7CD}"/>
    <cellStyle name="60% - 강조색3 30" xfId="1422" xr:uid="{9E85C734-46CC-4AB9-8E8A-339141D8EB83}"/>
    <cellStyle name="60% - 강조색3 30 2" xfId="1423" xr:uid="{E2BDC7E3-2584-4F9F-84A0-3DE75AFAE26E}"/>
    <cellStyle name="60% - 강조색3 31" xfId="1424" xr:uid="{493B35FB-1FCF-4CF1-B3EA-3444244FB70B}"/>
    <cellStyle name="60% - 강조색3 31 2" xfId="1425" xr:uid="{FCD6D9C5-BC4C-4F3A-8933-050B2CF00EFF}"/>
    <cellStyle name="60% - 강조색3 32" xfId="1426" xr:uid="{D2F9C0CF-4946-479B-A4F7-54080DE80C60}"/>
    <cellStyle name="60% - 강조색3 32 2" xfId="1427" xr:uid="{24B679CF-3CD4-4668-B5A8-7B2DE6AECA58}"/>
    <cellStyle name="60% - 강조색3 33" xfId="1428" xr:uid="{E2DE2ED6-039E-4FCD-B4C9-01B62984C235}"/>
    <cellStyle name="60% - 강조색3 33 2" xfId="1429" xr:uid="{C4362FD9-B1CC-431D-9338-9A9E159B493C}"/>
    <cellStyle name="60% - 강조색3 34" xfId="1430" xr:uid="{4FBD0B32-C6D4-48F5-A3C8-1026CB274DB3}"/>
    <cellStyle name="60% - 강조색3 34 2" xfId="1431" xr:uid="{F529BD12-AB0C-4102-8655-1C96549D145F}"/>
    <cellStyle name="60% - 강조색3 35" xfId="1432" xr:uid="{0D07F566-F8A5-42B5-A9E2-11BDF064F10F}"/>
    <cellStyle name="60% - 강조색3 35 2" xfId="1433" xr:uid="{25C0D659-631E-462C-8122-5E7E1E1566E8}"/>
    <cellStyle name="60% - 강조색3 36" xfId="1434" xr:uid="{92E8CBBE-A249-4FB0-8CB6-4CA6963A4C75}"/>
    <cellStyle name="60% - 강조색3 36 2" xfId="1435" xr:uid="{C0125BFF-B04E-4D4D-BE48-D357F3D4FAAE}"/>
    <cellStyle name="60% - 강조색3 37" xfId="1436" xr:uid="{DB3C70AB-6220-4C50-A7AF-087B2F34D08B}"/>
    <cellStyle name="60% - 강조색3 37 2" xfId="1437" xr:uid="{30EB53FA-6A45-4DCF-90F5-5C0AACB86FBC}"/>
    <cellStyle name="60% - 강조색3 38" xfId="1438" xr:uid="{6EE2421F-A505-4EAE-9F74-9C5A146C7AEA}"/>
    <cellStyle name="60% - 강조색3 38 2" xfId="1439" xr:uid="{9EC32B10-225D-4F0E-A199-B5A351D3FF7C}"/>
    <cellStyle name="60% - 강조색3 39" xfId="1440" xr:uid="{5EC23551-ADBD-4C8E-AA65-752786F2B05A}"/>
    <cellStyle name="60% - 강조색3 39 2" xfId="1441" xr:uid="{BB3678DF-24FB-4CBC-B823-0B5121D56840}"/>
    <cellStyle name="60% - 강조색3 4" xfId="1442" xr:uid="{EAEB7F62-9311-436C-B6F6-38DB4640429B}"/>
    <cellStyle name="60% - 강조색3 4 2" xfId="1443" xr:uid="{B6A85EE7-DC59-4A52-89B5-E8EC426CEFD2}"/>
    <cellStyle name="60% - 강조색3 40" xfId="1444" xr:uid="{C1965E67-2131-4949-A8A2-66063CE05E72}"/>
    <cellStyle name="60% - 강조색3 40 2" xfId="1445" xr:uid="{FEB2E357-002C-4F5D-9149-34E0378867DF}"/>
    <cellStyle name="60% - 강조색3 41" xfId="1446" xr:uid="{923BC2CB-CD8D-4026-8018-A992C4FF9FA9}"/>
    <cellStyle name="60% - 강조색3 41 2" xfId="1447" xr:uid="{9DCE852A-B218-4BC6-92FA-6D970A83B6DB}"/>
    <cellStyle name="60% - 강조색3 42" xfId="1448" xr:uid="{72743B07-ABEA-48E4-A3CE-DDD2691930DD}"/>
    <cellStyle name="60% - 강조색3 42 2" xfId="1449" xr:uid="{C6482594-21D1-4C82-925A-B5731DFC7912}"/>
    <cellStyle name="60% - 강조색3 43" xfId="1450" xr:uid="{64504A89-9DB4-49CD-A943-50CFF2F6C119}"/>
    <cellStyle name="60% - 강조색3 43 2" xfId="1451" xr:uid="{0DC55211-FB0F-4ED9-9BD2-AAB373664C4B}"/>
    <cellStyle name="60% - 강조색3 44" xfId="1452" xr:uid="{D0611D64-64C4-43EE-A99C-102B6079A041}"/>
    <cellStyle name="60% - 강조색3 45" xfId="1453" xr:uid="{6E4F71E3-6B8D-4849-AADE-C1B24CD065FB}"/>
    <cellStyle name="60% - 강조색3 46" xfId="1454" xr:uid="{1192DF96-A6C5-4D5A-A8C5-8B0E96A04A83}"/>
    <cellStyle name="60% - 강조색3 47" xfId="1377" xr:uid="{FB6FA124-20C4-470F-BD80-8B950E27BC72}"/>
    <cellStyle name="60% - 강조색3 5" xfId="1455" xr:uid="{342A52BB-17D0-41E9-8DB1-10E7F5193610}"/>
    <cellStyle name="60% - 강조색3 5 2" xfId="1456" xr:uid="{DC73F090-A6FF-49F0-A705-EE08680B0F1F}"/>
    <cellStyle name="60% - 강조색3 6" xfId="1457" xr:uid="{3BFF1F52-E73F-4EDC-863A-ADF14E4FF5F3}"/>
    <cellStyle name="60% - 강조색3 6 2" xfId="1458" xr:uid="{1A258F41-249E-4BE7-B52E-5E063BD6ADC8}"/>
    <cellStyle name="60% - 강조색3 7" xfId="1459" xr:uid="{971A4898-7F05-4223-8D3F-D8B7B9ECCF24}"/>
    <cellStyle name="60% - 강조색3 7 2" xfId="1460" xr:uid="{5AADEE43-EB7F-4E13-9451-015AEB1D081B}"/>
    <cellStyle name="60% - 강조색3 8" xfId="1461" xr:uid="{89F2116D-B6B9-4375-AD2C-325BA64B46DA}"/>
    <cellStyle name="60% - 강조색3 8 2" xfId="1462" xr:uid="{379ABBE4-5286-44F1-8DF5-63B3E54FBB03}"/>
    <cellStyle name="60% - 강조색3 9" xfId="1463" xr:uid="{95F5BF34-8EDB-4FAD-B38C-F3F5777929D6}"/>
    <cellStyle name="60% - 강조색3 9 2" xfId="1464" xr:uid="{5706C58F-D2D8-429C-8E5D-96E458170F7E}"/>
    <cellStyle name="60% - 강조색4 10" xfId="1466" xr:uid="{587C63D8-8329-47CE-BBAD-5375BD71C51A}"/>
    <cellStyle name="60% - 강조색4 10 2" xfId="1467" xr:uid="{A93D4FDD-0500-47E1-87F3-6B5E6B30A7F1}"/>
    <cellStyle name="60% - 강조색4 11" xfId="1468" xr:uid="{8F2C5050-636B-4147-ABD3-AEAC324FBF44}"/>
    <cellStyle name="60% - 강조색4 11 2" xfId="1469" xr:uid="{5CFADE1B-E1EA-4B3D-BDBA-64CC93B7B196}"/>
    <cellStyle name="60% - 강조색4 12" xfId="1470" xr:uid="{CA2A58D0-BA8E-46E3-9B66-A73A4600F4FA}"/>
    <cellStyle name="60% - 강조색4 12 2" xfId="1471" xr:uid="{8CA0EBA5-F1D2-4CF6-98E1-8D3F182EB00E}"/>
    <cellStyle name="60% - 강조색4 13" xfId="1472" xr:uid="{DE3DB33D-8B41-48BD-8A4D-9AEFF3CB64FA}"/>
    <cellStyle name="60% - 강조색4 13 2" xfId="1473" xr:uid="{0D3EEC46-E515-4E61-AEFA-D6D4694702D5}"/>
    <cellStyle name="60% - 강조색4 14" xfId="1474" xr:uid="{5E73EE1D-42BB-4EB4-BD00-23DC34CE80CE}"/>
    <cellStyle name="60% - 강조색4 14 2" xfId="1475" xr:uid="{93D64B55-AA5E-4F24-B310-0F21DE09E120}"/>
    <cellStyle name="60% - 강조색4 15" xfId="1476" xr:uid="{93B45145-1267-4FA2-9AED-F440C887B1E9}"/>
    <cellStyle name="60% - 강조색4 15 2" xfId="1477" xr:uid="{D05BEF44-9295-4768-96F1-863255F9D9A4}"/>
    <cellStyle name="60% - 강조색4 16" xfId="1478" xr:uid="{E1D10FC3-D30F-4422-892E-E49C0B97DCC5}"/>
    <cellStyle name="60% - 강조색4 16 2" xfId="1479" xr:uid="{24A30D71-194E-449D-A211-2829A023CFE3}"/>
    <cellStyle name="60% - 강조색4 17" xfId="1480" xr:uid="{F578F446-761F-47D0-8E43-15E63B659E42}"/>
    <cellStyle name="60% - 강조색4 17 2" xfId="1481" xr:uid="{E6F6C301-F7D8-4098-B82A-3820847D7E76}"/>
    <cellStyle name="60% - 강조색4 18" xfId="1482" xr:uid="{5A2E9394-8377-47FD-A903-A9C1A71A829F}"/>
    <cellStyle name="60% - 강조색4 18 2" xfId="1483" xr:uid="{113E8B1F-CD4B-4ACC-8E07-F2D54875B116}"/>
    <cellStyle name="60% - 강조색4 19" xfId="1484" xr:uid="{04894DC7-ECD6-42A7-8743-B74C19F41F96}"/>
    <cellStyle name="60% - 강조색4 19 2" xfId="1485" xr:uid="{B2F372A0-FB05-4FCC-92EB-A97D51A24F55}"/>
    <cellStyle name="60% - 강조색4 2" xfId="1486" xr:uid="{FC0E2BAA-6B69-4AB0-992D-784457402F7C}"/>
    <cellStyle name="60% - 강조색4 2 2" xfId="1487" xr:uid="{9E63ADF2-50E0-4181-9CF0-E69C3AA3E57A}"/>
    <cellStyle name="60% - 강조색4 20" xfId="1488" xr:uid="{87C4E943-4783-44F7-AD80-63BBA180E0A0}"/>
    <cellStyle name="60% - 강조색4 20 2" xfId="1489" xr:uid="{1F92BCEC-D7AB-4B2F-9D24-F5D325221552}"/>
    <cellStyle name="60% - 강조색4 21" xfId="1490" xr:uid="{D1504602-C6A6-4851-A2F6-B2215207DFA9}"/>
    <cellStyle name="60% - 강조색4 21 2" xfId="1491" xr:uid="{D64147E0-24C3-4608-93F3-36E80629AFFE}"/>
    <cellStyle name="60% - 강조색4 22" xfId="1492" xr:uid="{D46D6520-4FF7-4E70-94CD-C770917220B9}"/>
    <cellStyle name="60% - 강조색4 22 2" xfId="1493" xr:uid="{8ED6B3FC-5F0E-4F1D-9DF4-501E411BBB1F}"/>
    <cellStyle name="60% - 강조색4 23" xfId="1494" xr:uid="{0A200D15-A5C7-4FB7-8E1A-28BA47E136E0}"/>
    <cellStyle name="60% - 강조색4 23 2" xfId="1495" xr:uid="{FC22DF94-AAE0-4665-84B6-1B459F8A059D}"/>
    <cellStyle name="60% - 강조색4 24" xfId="1496" xr:uid="{DE3AC26A-B2CA-446F-9CE8-28C8A24A5165}"/>
    <cellStyle name="60% - 강조색4 24 2" xfId="1497" xr:uid="{B5A6EE96-61AE-4FDB-8768-98786EAD9CD4}"/>
    <cellStyle name="60% - 강조색4 25" xfId="1498" xr:uid="{D650B33C-ACE3-4C9F-876A-46822027DA16}"/>
    <cellStyle name="60% - 강조색4 25 2" xfId="1499" xr:uid="{A43AAF87-F625-4022-8C47-F9BF3F937B8F}"/>
    <cellStyle name="60% - 강조색4 26" xfId="1500" xr:uid="{82FB3250-1E80-4A28-B284-E03D29001408}"/>
    <cellStyle name="60% - 강조색4 26 2" xfId="1501" xr:uid="{F0423DF7-421D-4013-BCF8-B01E8ABC02F5}"/>
    <cellStyle name="60% - 강조색4 27" xfId="1502" xr:uid="{F39C17D0-F754-467B-B2B9-4380DA58E1B3}"/>
    <cellStyle name="60% - 강조색4 27 2" xfId="1503" xr:uid="{52A8C662-A9AB-4A98-8A4B-EE406FE11E20}"/>
    <cellStyle name="60% - 강조색4 28" xfId="1504" xr:uid="{DD0940AD-4C7E-4DF5-93F7-58A96DC278A2}"/>
    <cellStyle name="60% - 강조색4 28 2" xfId="1505" xr:uid="{F18BE266-2EA7-43E8-B29B-9809B344F0FD}"/>
    <cellStyle name="60% - 강조색4 29" xfId="1506" xr:uid="{33CE8305-AF43-488C-B6FE-FB2E3358D008}"/>
    <cellStyle name="60% - 강조색4 29 2" xfId="1507" xr:uid="{411283B8-D35F-4334-A21A-F19CE9DB9D93}"/>
    <cellStyle name="60% - 강조색4 3" xfId="1508" xr:uid="{511C7CC5-89D0-4AF7-B3D8-1B74643C10FA}"/>
    <cellStyle name="60% - 강조색4 3 2" xfId="1509" xr:uid="{B33884E6-8F79-4B7A-A350-ADD02754BA95}"/>
    <cellStyle name="60% - 강조색4 30" xfId="1510" xr:uid="{44A33053-FDF4-4559-A18B-F1A165D32645}"/>
    <cellStyle name="60% - 강조색4 30 2" xfId="1511" xr:uid="{4B54641E-84F2-4F4E-8F94-42FBEEB7E004}"/>
    <cellStyle name="60% - 강조색4 31" xfId="1512" xr:uid="{DBC1E875-BC03-474E-A0BD-2281DDB89BCA}"/>
    <cellStyle name="60% - 강조색4 31 2" xfId="1513" xr:uid="{3FD84E7D-5FF4-4417-A18A-5548E098300C}"/>
    <cellStyle name="60% - 강조색4 32" xfId="1514" xr:uid="{7D52231C-074F-4BA2-869F-0876F7F8FED1}"/>
    <cellStyle name="60% - 강조색4 32 2" xfId="1515" xr:uid="{CB68AE34-2D22-487D-BE5A-67A83172B254}"/>
    <cellStyle name="60% - 강조색4 33" xfId="1516" xr:uid="{2E931F71-3A06-4996-893D-AAD36A658445}"/>
    <cellStyle name="60% - 강조색4 33 2" xfId="1517" xr:uid="{F9425241-116C-4800-9B55-F85604AF7A26}"/>
    <cellStyle name="60% - 강조색4 34" xfId="1518" xr:uid="{3CCF6A51-1FD4-48D6-B173-1588E47FA3F5}"/>
    <cellStyle name="60% - 강조색4 34 2" xfId="1519" xr:uid="{81668ABA-2540-4C46-8A72-A0ACB21CE4B8}"/>
    <cellStyle name="60% - 강조색4 35" xfId="1520" xr:uid="{009D878E-411F-48F2-AD34-E53B81E81241}"/>
    <cellStyle name="60% - 강조색4 35 2" xfId="1521" xr:uid="{192245B0-9795-4BBF-A780-3F2965B4019B}"/>
    <cellStyle name="60% - 강조색4 36" xfId="1522" xr:uid="{2C7AB83E-B8E3-4347-9C3A-0E614FF258AA}"/>
    <cellStyle name="60% - 강조색4 36 2" xfId="1523" xr:uid="{29953734-7D89-4AF0-8EF6-3CCCC7E6997A}"/>
    <cellStyle name="60% - 강조색4 37" xfId="1524" xr:uid="{A6000CF6-2218-47E6-B85C-A199091C5B8D}"/>
    <cellStyle name="60% - 강조색4 37 2" xfId="1525" xr:uid="{C1A194A3-6C08-42CD-A21F-493491DCEAC3}"/>
    <cellStyle name="60% - 강조색4 38" xfId="1526" xr:uid="{108562EC-B75C-4FF5-99ED-525B13750B8F}"/>
    <cellStyle name="60% - 강조색4 38 2" xfId="1527" xr:uid="{D51136F4-253F-4F63-81D0-8E8788A192E1}"/>
    <cellStyle name="60% - 강조색4 39" xfId="1528" xr:uid="{38BC6EE3-F03C-4B96-A27F-E825EF8E885E}"/>
    <cellStyle name="60% - 강조색4 39 2" xfId="1529" xr:uid="{C1EDD2AF-E4BD-4FE2-A206-7E687A24909D}"/>
    <cellStyle name="60% - 강조색4 4" xfId="1530" xr:uid="{85405A23-AA5C-4299-8070-AC9D48169489}"/>
    <cellStyle name="60% - 강조색4 4 2" xfId="1531" xr:uid="{1F1CACAC-70C2-4A6F-BDA6-BF84290BA8A0}"/>
    <cellStyle name="60% - 강조색4 40" xfId="1532" xr:uid="{F776B88F-BE0A-4F43-BC50-600076B8E6EE}"/>
    <cellStyle name="60% - 강조색4 40 2" xfId="1533" xr:uid="{E2BA1636-5CF0-4206-B11C-2E381A9C5B41}"/>
    <cellStyle name="60% - 강조색4 41" xfId="1534" xr:uid="{6EAB79EF-CED7-490A-BC7C-C11F2F876B9E}"/>
    <cellStyle name="60% - 강조색4 41 2" xfId="1535" xr:uid="{98CF2459-89B2-42BA-84CC-C8A3C5416C0C}"/>
    <cellStyle name="60% - 강조색4 42" xfId="1536" xr:uid="{0E564EB9-6EDC-40AE-B2B4-63F6FB1DB9CA}"/>
    <cellStyle name="60% - 강조색4 42 2" xfId="1537" xr:uid="{2F7E457B-A4EC-4F86-B41A-E992110F44DD}"/>
    <cellStyle name="60% - 강조색4 43" xfId="1538" xr:uid="{0F9D6BE7-1F76-4A3A-B242-BAC801E86FDD}"/>
    <cellStyle name="60% - 강조색4 43 2" xfId="1539" xr:uid="{2FFA3E2C-E653-40A8-9EA3-9AA5208D362B}"/>
    <cellStyle name="60% - 강조색4 44" xfId="1540" xr:uid="{207025AB-E6EF-43D7-A6D7-1ED09C432FE9}"/>
    <cellStyle name="60% - 강조색4 45" xfId="1541" xr:uid="{C63E6538-2902-4772-AC6E-F0E5D13623BA}"/>
    <cellStyle name="60% - 강조색4 46" xfId="1542" xr:uid="{DFFF3CFF-593E-4198-B153-798012259D65}"/>
    <cellStyle name="60% - 강조색4 47" xfId="1465" xr:uid="{850EE132-D670-4D53-910B-0988D526080D}"/>
    <cellStyle name="60% - 강조색4 5" xfId="1543" xr:uid="{49592ADC-7683-4865-933C-E420AAF74447}"/>
    <cellStyle name="60% - 강조색4 5 2" xfId="1544" xr:uid="{648577A7-CE2E-4A31-BB09-F1468AA4CAB2}"/>
    <cellStyle name="60% - 강조색4 6" xfId="1545" xr:uid="{4F1DFBD5-0F3D-4262-B82E-64D09C37FFA0}"/>
    <cellStyle name="60% - 강조색4 6 2" xfId="1546" xr:uid="{5B7F7806-3A02-4BF0-8654-68779BF66D0F}"/>
    <cellStyle name="60% - 강조색4 7" xfId="1547" xr:uid="{0182D843-DCB0-4E1D-9EAA-74C914761447}"/>
    <cellStyle name="60% - 강조색4 7 2" xfId="1548" xr:uid="{1780FBCB-A058-4696-B070-999034CFDACD}"/>
    <cellStyle name="60% - 강조색4 8" xfId="1549" xr:uid="{FCA94C9B-2FDA-4A13-9B8B-1C42C68CDF04}"/>
    <cellStyle name="60% - 강조색4 8 2" xfId="1550" xr:uid="{03329B73-8843-48A0-8F1F-A3F080D7C00D}"/>
    <cellStyle name="60% - 강조색4 9" xfId="1551" xr:uid="{9A88EEB0-BE75-4919-9A76-FEE8CCB5CC56}"/>
    <cellStyle name="60% - 강조색4 9 2" xfId="1552" xr:uid="{31785110-BAAC-4E23-87FB-AAE41D7D51D9}"/>
    <cellStyle name="60% - 강조색5 10" xfId="1554" xr:uid="{9E51F0CE-D37B-49D5-9429-C5170BFD61B4}"/>
    <cellStyle name="60% - 강조색5 10 2" xfId="1555" xr:uid="{A88B2368-8084-44FC-BA8B-404F9A8AAB6F}"/>
    <cellStyle name="60% - 강조색5 11" xfId="1556" xr:uid="{BD026C3F-2A2B-4F63-B824-E050583AFBF7}"/>
    <cellStyle name="60% - 강조색5 11 2" xfId="1557" xr:uid="{FC04A3EA-CB8C-437F-8494-A65B9F4D9F93}"/>
    <cellStyle name="60% - 강조색5 12" xfId="1558" xr:uid="{F629B786-0F9B-4F07-9B8A-D567D6E2CCBC}"/>
    <cellStyle name="60% - 강조색5 12 2" xfId="1559" xr:uid="{1D32D470-EC07-4BF0-BBC0-B3BB45BAEB8A}"/>
    <cellStyle name="60% - 강조색5 13" xfId="1560" xr:uid="{3A85C36D-F8E0-4671-A1BE-1C95C2CEBFE6}"/>
    <cellStyle name="60% - 강조색5 13 2" xfId="1561" xr:uid="{1AC902C8-6E35-4CAE-8B86-62EEB9826B75}"/>
    <cellStyle name="60% - 강조색5 14" xfId="1562" xr:uid="{3F2A0D94-B8A0-4D45-A420-018877981C30}"/>
    <cellStyle name="60% - 강조색5 14 2" xfId="1563" xr:uid="{D4B15B06-DCD1-4ADE-938F-366484A7432C}"/>
    <cellStyle name="60% - 강조색5 15" xfId="1564" xr:uid="{58176472-DE20-47F0-B70A-8D36E798CCBB}"/>
    <cellStyle name="60% - 강조색5 15 2" xfId="1565" xr:uid="{18512B38-A7E3-43C8-BA8E-3AA175748B68}"/>
    <cellStyle name="60% - 강조색5 16" xfId="1566" xr:uid="{4131D32D-0D0E-44C7-9BBF-BA28A8D3C21F}"/>
    <cellStyle name="60% - 강조색5 16 2" xfId="1567" xr:uid="{FCF06115-279F-4361-9752-7F18230DC783}"/>
    <cellStyle name="60% - 강조색5 17" xfId="1568" xr:uid="{CD4533AE-6866-4B91-853A-4F57E7761207}"/>
    <cellStyle name="60% - 강조색5 17 2" xfId="1569" xr:uid="{D9C4B5B2-9B31-4D83-99B4-7CD1E1141139}"/>
    <cellStyle name="60% - 강조색5 18" xfId="1570" xr:uid="{2BF043E3-7830-4450-8579-ED11EF3F4F7C}"/>
    <cellStyle name="60% - 강조색5 18 2" xfId="1571" xr:uid="{306939E0-F9D5-45ED-92E2-A13F4A88F765}"/>
    <cellStyle name="60% - 강조색5 19" xfId="1572" xr:uid="{01402D07-A35C-4BAA-9ED8-5091B825A30B}"/>
    <cellStyle name="60% - 강조색5 19 2" xfId="1573" xr:uid="{EAFB3927-5A1F-44BA-A640-A022C2CB4A11}"/>
    <cellStyle name="60% - 강조색5 2" xfId="1574" xr:uid="{A3ECD222-9BEF-4132-B95A-0CFEB14F2B50}"/>
    <cellStyle name="60% - 강조색5 2 2" xfId="1575" xr:uid="{75D85C1B-21C9-47D8-8279-CAA58D087C52}"/>
    <cellStyle name="60% - 강조색5 20" xfId="1576" xr:uid="{333C7E34-DE5F-4FE3-87E8-6BAF9BC2FBB7}"/>
    <cellStyle name="60% - 강조색5 20 2" xfId="1577" xr:uid="{6FFCEC0D-5425-474D-9D1C-44581C950E9C}"/>
    <cellStyle name="60% - 강조색5 21" xfId="1578" xr:uid="{DF9128DC-265A-4428-A884-DE061980B84E}"/>
    <cellStyle name="60% - 강조색5 21 2" xfId="1579" xr:uid="{9660FE68-F589-4561-8620-201A247641CA}"/>
    <cellStyle name="60% - 강조색5 22" xfId="1580" xr:uid="{F2C8B0DC-70C4-4723-A427-ED6F5D99B154}"/>
    <cellStyle name="60% - 강조색5 22 2" xfId="1581" xr:uid="{18C07A70-57DF-4F05-B5CC-E8CAD5167273}"/>
    <cellStyle name="60% - 강조색5 23" xfId="1582" xr:uid="{C3B229FC-6FC5-4AC8-9EA8-8B4BB2C7AE73}"/>
    <cellStyle name="60% - 강조색5 23 2" xfId="1583" xr:uid="{3580F231-DB65-41EA-A5D4-34831B0C710D}"/>
    <cellStyle name="60% - 강조색5 24" xfId="1584" xr:uid="{6E7A904F-FF45-495D-8E9D-B4E9FFEA7895}"/>
    <cellStyle name="60% - 강조색5 24 2" xfId="1585" xr:uid="{12F1D0F7-316B-4A54-BF63-3A6CCD1EE8A8}"/>
    <cellStyle name="60% - 강조색5 25" xfId="1586" xr:uid="{47012F8C-D39B-4740-B1E9-522AFEE511A4}"/>
    <cellStyle name="60% - 강조색5 25 2" xfId="1587" xr:uid="{482755E8-97B1-4910-B5D6-2FF970ACE77B}"/>
    <cellStyle name="60% - 강조색5 26" xfId="1588" xr:uid="{87AB608B-5FA7-4BFD-8067-9725E70E01F1}"/>
    <cellStyle name="60% - 강조색5 26 2" xfId="1589" xr:uid="{EA17ACF1-2F0B-4F0F-9D04-2DA7A648A04E}"/>
    <cellStyle name="60% - 강조색5 27" xfId="1590" xr:uid="{69230F59-B64C-4F45-9F66-61646180BF20}"/>
    <cellStyle name="60% - 강조색5 27 2" xfId="1591" xr:uid="{5E0D58D2-1B09-4D4B-BA3F-9CC37ABD29CF}"/>
    <cellStyle name="60% - 강조색5 28" xfId="1592" xr:uid="{3DBAF76F-10E6-499E-BEE9-481F354C13BA}"/>
    <cellStyle name="60% - 강조색5 28 2" xfId="1593" xr:uid="{6CF09474-D836-4CD3-8B0B-3AB75756F695}"/>
    <cellStyle name="60% - 강조색5 29" xfId="1594" xr:uid="{CF5E5603-9B45-4753-8EE5-282437934383}"/>
    <cellStyle name="60% - 강조색5 29 2" xfId="1595" xr:uid="{33189D43-2C18-45B3-98DE-E7E7334AB998}"/>
    <cellStyle name="60% - 강조색5 3" xfId="1596" xr:uid="{32330978-DB72-4079-807D-6FC77F50F711}"/>
    <cellStyle name="60% - 강조색5 3 2" xfId="1597" xr:uid="{656C0773-78E9-4929-8947-E75BFA2A01C4}"/>
    <cellStyle name="60% - 강조색5 30" xfId="1598" xr:uid="{A24F3370-5AF0-4504-ABDD-AC52F97ED58E}"/>
    <cellStyle name="60% - 강조색5 30 2" xfId="1599" xr:uid="{5377693A-996C-4451-A6A9-9B87DD011EB2}"/>
    <cellStyle name="60% - 강조색5 31" xfId="1600" xr:uid="{AE604887-9B58-40DA-90D9-DA774185C769}"/>
    <cellStyle name="60% - 강조색5 31 2" xfId="1601" xr:uid="{D9A40D27-06F1-4ADD-908C-FB2763306B51}"/>
    <cellStyle name="60% - 강조색5 32" xfId="1602" xr:uid="{5B67F482-8B48-41A6-8A47-B5A4B869D5DC}"/>
    <cellStyle name="60% - 강조색5 32 2" xfId="1603" xr:uid="{ED10F83A-3C0E-4ED6-9240-1E70DEED8A7C}"/>
    <cellStyle name="60% - 강조색5 33" xfId="1604" xr:uid="{65119634-1A52-4D99-B3AC-C2404C927CA7}"/>
    <cellStyle name="60% - 강조색5 33 2" xfId="1605" xr:uid="{7A79B907-990C-4CB8-AF1F-2AA51D67E788}"/>
    <cellStyle name="60% - 강조색5 34" xfId="1606" xr:uid="{C1B51FD5-BC53-46E4-8143-1C9517CAF027}"/>
    <cellStyle name="60% - 강조색5 34 2" xfId="1607" xr:uid="{D5549842-5C05-4DD7-B9E4-EC9D31850FDB}"/>
    <cellStyle name="60% - 강조색5 35" xfId="1608" xr:uid="{47A0EEBB-4EFB-4FA9-8CDE-8DB7E4950199}"/>
    <cellStyle name="60% - 강조색5 35 2" xfId="1609" xr:uid="{739C534E-DBAF-494C-817E-075C4A1D39BF}"/>
    <cellStyle name="60% - 강조색5 36" xfId="1610" xr:uid="{71F495A8-76A0-452D-AEBF-E95B16D0776A}"/>
    <cellStyle name="60% - 강조색5 36 2" xfId="1611" xr:uid="{6487F103-DA05-4B86-8E4D-16079F0FEDC7}"/>
    <cellStyle name="60% - 강조색5 37" xfId="1612" xr:uid="{BA44317D-5C4D-49E2-B6E4-A9447FCB5EC6}"/>
    <cellStyle name="60% - 강조색5 37 2" xfId="1613" xr:uid="{775A5353-93C3-493B-B45F-09AD4265C440}"/>
    <cellStyle name="60% - 강조색5 38" xfId="1614" xr:uid="{CCFE9DCB-25FA-4089-9BF8-6F287238FF87}"/>
    <cellStyle name="60% - 강조색5 38 2" xfId="1615" xr:uid="{1C7C44AC-16C5-467A-BC6A-A476E6C4D77B}"/>
    <cellStyle name="60% - 강조색5 39" xfId="1616" xr:uid="{DE86E029-025F-4A0F-98E3-F146BD81D129}"/>
    <cellStyle name="60% - 강조색5 39 2" xfId="1617" xr:uid="{AC620616-4FB9-475F-9EE7-BCF513EE5645}"/>
    <cellStyle name="60% - 강조색5 4" xfId="1618" xr:uid="{B1435A04-8DD3-46B9-AF55-1E9F1A9FE32C}"/>
    <cellStyle name="60% - 강조색5 4 2" xfId="1619" xr:uid="{9BE48C16-F82E-415A-BBDC-85A2D7EDBA44}"/>
    <cellStyle name="60% - 강조색5 40" xfId="1620" xr:uid="{37BE2F4B-CA1F-4180-A028-A6D2BE7AC53E}"/>
    <cellStyle name="60% - 강조색5 40 2" xfId="1621" xr:uid="{4FD4CB1B-EF72-473B-8667-CFFEF6A71157}"/>
    <cellStyle name="60% - 강조색5 41" xfId="1622" xr:uid="{92506E35-A963-45B0-AE35-8BA8889264E1}"/>
    <cellStyle name="60% - 강조색5 41 2" xfId="1623" xr:uid="{FA297418-9F5B-4079-806C-F2DA0F8B84C0}"/>
    <cellStyle name="60% - 강조색5 42" xfId="1624" xr:uid="{1182F2C8-66C3-4F2F-9CD2-57F5AB0377B9}"/>
    <cellStyle name="60% - 강조색5 42 2" xfId="1625" xr:uid="{6B06C2DC-871F-4EEB-99E6-0F208E0BBE64}"/>
    <cellStyle name="60% - 강조색5 43" xfId="1626" xr:uid="{8104B9DA-A12A-425D-9052-7878585CE2BD}"/>
    <cellStyle name="60% - 강조색5 43 2" xfId="1627" xr:uid="{A419AC06-5142-4AF1-8420-862C04971FFD}"/>
    <cellStyle name="60% - 강조색5 44" xfId="1628" xr:uid="{2FE540AC-8AF5-49A9-9084-C28AACBD9AB6}"/>
    <cellStyle name="60% - 강조색5 45" xfId="1629" xr:uid="{E7181A03-8FCF-4B7B-86FD-63C713BF774B}"/>
    <cellStyle name="60% - 강조색5 46" xfId="1630" xr:uid="{365610E4-15BF-45ED-9785-B3EDF3764ED6}"/>
    <cellStyle name="60% - 강조색5 47" xfId="1553" xr:uid="{75998A75-7BE8-4C3A-BEE7-84671C1DCB29}"/>
    <cellStyle name="60% - 강조색5 5" xfId="1631" xr:uid="{2465BDDC-A25B-400F-8674-82B3B7FA4C7E}"/>
    <cellStyle name="60% - 강조색5 5 2" xfId="1632" xr:uid="{2645E222-364C-46B0-8FDC-79FADB5D6B11}"/>
    <cellStyle name="60% - 강조색5 6" xfId="1633" xr:uid="{E7B977CB-DB87-4033-A6EA-0F302E1EFAFC}"/>
    <cellStyle name="60% - 강조색5 6 2" xfId="1634" xr:uid="{E5FF6D97-BAD8-4C80-8FA5-11757885A789}"/>
    <cellStyle name="60% - 강조색5 7" xfId="1635" xr:uid="{38CC08DB-657B-4D9F-8E21-95D28F488A9C}"/>
    <cellStyle name="60% - 강조색5 7 2" xfId="1636" xr:uid="{999507C3-41F0-49AB-A26A-4E381FE3CD3E}"/>
    <cellStyle name="60% - 강조색5 8" xfId="1637" xr:uid="{07F8008C-8209-4955-AED8-EE915736A26B}"/>
    <cellStyle name="60% - 강조색5 8 2" xfId="1638" xr:uid="{F72D2551-CD94-4C81-8237-FA425737057D}"/>
    <cellStyle name="60% - 강조색5 9" xfId="1639" xr:uid="{034F6433-D9FC-49A0-A535-5C60F8201D94}"/>
    <cellStyle name="60% - 강조색5 9 2" xfId="1640" xr:uid="{0D83C383-7F65-4E62-A989-D6116E860684}"/>
    <cellStyle name="60% - 강조색6 10" xfId="1642" xr:uid="{E86F624D-AB27-4E93-B5AB-F47B32B6A152}"/>
    <cellStyle name="60% - 강조색6 10 2" xfId="1643" xr:uid="{C753590C-99EA-4289-B61D-7918207A6E3F}"/>
    <cellStyle name="60% - 강조색6 11" xfId="1644" xr:uid="{30CAF135-129F-4000-AB1A-80117C729230}"/>
    <cellStyle name="60% - 강조색6 11 2" xfId="1645" xr:uid="{F9A09289-B1ED-4048-BAB3-E9E528B452EC}"/>
    <cellStyle name="60% - 강조색6 12" xfId="1646" xr:uid="{2A840224-1B15-49A2-857A-8EE5F44E2C2D}"/>
    <cellStyle name="60% - 강조색6 12 2" xfId="1647" xr:uid="{D68B1D68-3FA8-4C46-94A6-A2F838487A31}"/>
    <cellStyle name="60% - 강조색6 13" xfId="1648" xr:uid="{149BDC22-C302-42BC-A4BC-A3504BA91F8D}"/>
    <cellStyle name="60% - 강조색6 13 2" xfId="1649" xr:uid="{63F98474-0BC0-46E0-83BD-0E5977A9B548}"/>
    <cellStyle name="60% - 강조색6 14" xfId="1650" xr:uid="{596B3159-4C0B-4C97-B76F-F75823E789D3}"/>
    <cellStyle name="60% - 강조색6 14 2" xfId="1651" xr:uid="{6AD500BF-F7AF-4E4A-B02C-9EC8A604A176}"/>
    <cellStyle name="60% - 강조색6 15" xfId="1652" xr:uid="{E6017A1C-9C2C-4342-9B59-FE6312491FCA}"/>
    <cellStyle name="60% - 강조색6 15 2" xfId="1653" xr:uid="{F3464BBA-C983-4BFE-B73A-5D2A35716371}"/>
    <cellStyle name="60% - 강조색6 16" xfId="1654" xr:uid="{8BCE51F0-356F-4ACE-B938-106F3CE7A058}"/>
    <cellStyle name="60% - 강조색6 16 2" xfId="1655" xr:uid="{FEE7B8A5-99E2-4BE8-AB5C-884A7AB1049A}"/>
    <cellStyle name="60% - 강조색6 17" xfId="1656" xr:uid="{DD8CDF1C-B053-4610-B762-BF61C1960432}"/>
    <cellStyle name="60% - 강조색6 17 2" xfId="1657" xr:uid="{1C0DC469-7ED1-42D3-B8B1-CF2F7A0EDB3A}"/>
    <cellStyle name="60% - 강조색6 18" xfId="1658" xr:uid="{34A0B30D-BBEC-4FF0-8FFA-55CE7D57E0AC}"/>
    <cellStyle name="60% - 강조색6 18 2" xfId="1659" xr:uid="{E82EABA2-2AF9-4A2D-A732-30E9388A0613}"/>
    <cellStyle name="60% - 강조색6 19" xfId="1660" xr:uid="{41FF8B89-2EFA-415F-98B7-2C678414C0D4}"/>
    <cellStyle name="60% - 강조색6 19 2" xfId="1661" xr:uid="{2D9C9ACC-4BD2-419E-97AA-E8BD1DDDA802}"/>
    <cellStyle name="60% - 강조색6 2" xfId="1662" xr:uid="{D30AFF9E-CABE-4B6E-A17C-AC7849605955}"/>
    <cellStyle name="60% - 강조색6 2 2" xfId="1663" xr:uid="{58F052A5-E354-48F4-94FC-5620A94C8916}"/>
    <cellStyle name="60% - 강조색6 20" xfId="1664" xr:uid="{A3B7D49D-6334-4082-95B9-0DEA0696C973}"/>
    <cellStyle name="60% - 강조색6 20 2" xfId="1665" xr:uid="{664A0914-CB51-402F-A862-8247AA389092}"/>
    <cellStyle name="60% - 강조색6 21" xfId="1666" xr:uid="{CB47B2E4-A0C4-44BA-9D78-675B32A91A6F}"/>
    <cellStyle name="60% - 강조색6 21 2" xfId="1667" xr:uid="{D7AB9C4F-633B-42A8-BEFA-529AD44F0154}"/>
    <cellStyle name="60% - 강조색6 22" xfId="1668" xr:uid="{BADDF1EE-6066-4744-95C4-0FF095D164A3}"/>
    <cellStyle name="60% - 강조색6 22 2" xfId="1669" xr:uid="{7FB8A2CD-2D5F-45A7-9296-D8300D8856EB}"/>
    <cellStyle name="60% - 강조색6 23" xfId="1670" xr:uid="{6AA54A96-EDFC-43C2-90DC-58D84D7A231E}"/>
    <cellStyle name="60% - 강조색6 23 2" xfId="1671" xr:uid="{C8977ABF-2DE3-43E3-920F-01C27F81C3F5}"/>
    <cellStyle name="60% - 강조색6 24" xfId="1672" xr:uid="{09153059-3FFF-40A9-B1BF-175F661DB534}"/>
    <cellStyle name="60% - 강조색6 24 2" xfId="1673" xr:uid="{F67CEF75-57BC-41BB-9BC9-56BDA51DD603}"/>
    <cellStyle name="60% - 강조색6 25" xfId="1674" xr:uid="{547C8196-9033-422D-8516-63F4A47FD479}"/>
    <cellStyle name="60% - 강조색6 25 2" xfId="1675" xr:uid="{15720AC1-EBCC-442B-9442-E2B758CD0C94}"/>
    <cellStyle name="60% - 강조색6 26" xfId="1676" xr:uid="{D2B77602-EE43-4D1F-ACC5-4DFDA8B3EC5A}"/>
    <cellStyle name="60% - 강조색6 26 2" xfId="1677" xr:uid="{5543D1F2-5360-40FB-A682-A55B41218788}"/>
    <cellStyle name="60% - 강조색6 27" xfId="1678" xr:uid="{B76408C9-C51B-4B79-A28D-D92D07C266BB}"/>
    <cellStyle name="60% - 강조색6 27 2" xfId="1679" xr:uid="{7BBDF514-7D87-4758-8ACB-FB46789AA1BA}"/>
    <cellStyle name="60% - 강조색6 28" xfId="1680" xr:uid="{2C1A2086-12E1-4D1B-A822-2A1E5F684093}"/>
    <cellStyle name="60% - 강조색6 28 2" xfId="1681" xr:uid="{A7C8713D-D17C-424A-9927-CD5C318E3A4B}"/>
    <cellStyle name="60% - 강조색6 29" xfId="1682" xr:uid="{0FE793EB-68B1-44CD-9543-CA23B8D94D5C}"/>
    <cellStyle name="60% - 강조색6 29 2" xfId="1683" xr:uid="{C6275430-71D7-4BF9-90DA-55E2690B0326}"/>
    <cellStyle name="60% - 강조색6 3" xfId="1684" xr:uid="{08AD6044-04CE-4ADF-BC8A-572ADB833320}"/>
    <cellStyle name="60% - 강조색6 3 2" xfId="1685" xr:uid="{B69B8ADA-21C3-4B98-8A97-1E5074EAC516}"/>
    <cellStyle name="60% - 강조색6 30" xfId="1686" xr:uid="{E4509DC0-8782-4E1D-A0DD-F9769BFB412C}"/>
    <cellStyle name="60% - 강조색6 30 2" xfId="1687" xr:uid="{E9BDCF85-B5AD-4164-8D87-2F7D6A71401D}"/>
    <cellStyle name="60% - 강조색6 31" xfId="1688" xr:uid="{866A65DD-B268-4134-AD4C-9126F4CF81F7}"/>
    <cellStyle name="60% - 강조색6 31 2" xfId="1689" xr:uid="{ED0809D0-6221-499F-A30F-D9F70663826B}"/>
    <cellStyle name="60% - 강조색6 32" xfId="1690" xr:uid="{516842E0-719D-4CA0-B5C3-734FF9AE832C}"/>
    <cellStyle name="60% - 강조색6 32 2" xfId="1691" xr:uid="{F320E19D-7B8E-42E2-AD78-DB291C23BA9A}"/>
    <cellStyle name="60% - 강조색6 33" xfId="1692" xr:uid="{10F09A0E-66B4-4B31-A109-2E7276208225}"/>
    <cellStyle name="60% - 강조색6 33 2" xfId="1693" xr:uid="{E33B8C75-3618-44E2-926A-32EBE9716FDE}"/>
    <cellStyle name="60% - 강조색6 34" xfId="1694" xr:uid="{3BD269EF-2E4D-486C-9BFE-9D81D6E12BB4}"/>
    <cellStyle name="60% - 강조색6 34 2" xfId="1695" xr:uid="{7AAA00A4-5B36-43DD-9091-99AD62C47700}"/>
    <cellStyle name="60% - 강조색6 35" xfId="1696" xr:uid="{9BB11BBA-91DA-4D38-BA6C-138C91E0E001}"/>
    <cellStyle name="60% - 강조색6 35 2" xfId="1697" xr:uid="{9FAD77F5-8450-406E-AD4C-81805FF3DE59}"/>
    <cellStyle name="60% - 강조색6 36" xfId="1698" xr:uid="{B3AF9533-A1DA-449A-A0DC-DD0EEF8AA730}"/>
    <cellStyle name="60% - 강조색6 36 2" xfId="1699" xr:uid="{C43643E4-F862-4D7A-8DC4-3BEA63861587}"/>
    <cellStyle name="60% - 강조색6 37" xfId="1700" xr:uid="{578FB744-DC12-4DE0-B443-F6E656DEAEB8}"/>
    <cellStyle name="60% - 강조색6 37 2" xfId="1701" xr:uid="{95BBA856-8E06-4ED8-92FF-91D9F05F9142}"/>
    <cellStyle name="60% - 강조색6 38" xfId="1702" xr:uid="{513F3CE1-5C39-4E13-AF28-9A153E1B50FF}"/>
    <cellStyle name="60% - 강조색6 38 2" xfId="1703" xr:uid="{11FC3068-C693-4E97-9EA9-7572E1F51E1C}"/>
    <cellStyle name="60% - 강조색6 39" xfId="1704" xr:uid="{5C50FCDD-0D97-4BD2-B2A8-33F64582B11C}"/>
    <cellStyle name="60% - 강조색6 39 2" xfId="1705" xr:uid="{FF16529A-588F-47ED-9D0D-368F2C6B8B91}"/>
    <cellStyle name="60% - 강조색6 4" xfId="1706" xr:uid="{4E9B55C9-B7B3-4630-8B71-12382A6A8CD5}"/>
    <cellStyle name="60% - 강조색6 4 2" xfId="1707" xr:uid="{CD60B1CC-DDDD-4A9D-98AF-914CFC39301D}"/>
    <cellStyle name="60% - 강조색6 40" xfId="1708" xr:uid="{79B9CCB8-77DB-4676-859A-CB895E8DD730}"/>
    <cellStyle name="60% - 강조색6 40 2" xfId="1709" xr:uid="{9622921C-E6F7-47C4-8D10-141673656C69}"/>
    <cellStyle name="60% - 강조색6 41" xfId="1710" xr:uid="{D918D991-CDB5-43E6-9DF1-62EBA99E04CE}"/>
    <cellStyle name="60% - 강조색6 41 2" xfId="1711" xr:uid="{95B33EFD-1596-4C4A-9030-C8E164C71CAE}"/>
    <cellStyle name="60% - 강조색6 42" xfId="1712" xr:uid="{36C99711-1F0B-4FDD-B591-385F848E7F91}"/>
    <cellStyle name="60% - 강조색6 42 2" xfId="1713" xr:uid="{CE81DD65-BF66-4396-BCBA-04F3BD05D985}"/>
    <cellStyle name="60% - 강조색6 43" xfId="1714" xr:uid="{DF60142C-3E75-4153-9F49-533585763FBA}"/>
    <cellStyle name="60% - 강조색6 43 2" xfId="1715" xr:uid="{6E363EFF-4B75-4608-8D12-4C7727C3C1DE}"/>
    <cellStyle name="60% - 강조색6 44" xfId="1716" xr:uid="{D43C96D4-7DA5-439A-A068-56106A345102}"/>
    <cellStyle name="60% - 강조색6 45" xfId="1717" xr:uid="{53D14728-202B-46F8-BA09-8720E6C29623}"/>
    <cellStyle name="60% - 강조색6 46" xfId="1718" xr:uid="{2A6B3081-43A3-4C21-96D8-6715522FF8F9}"/>
    <cellStyle name="60% - 강조색6 47" xfId="1641" xr:uid="{25AD0A59-DDED-4A06-95C3-3D313BC05B76}"/>
    <cellStyle name="60% - 강조색6 5" xfId="1719" xr:uid="{B6EBA202-40E7-4A5A-8838-0013AB39758B}"/>
    <cellStyle name="60% - 강조색6 5 2" xfId="1720" xr:uid="{E20B5766-FD17-4FF8-AEC9-4B708422F250}"/>
    <cellStyle name="60% - 강조색6 6" xfId="1721" xr:uid="{5FC6ACAB-9DE1-460D-89F8-DFBDFC7D28E9}"/>
    <cellStyle name="60% - 강조색6 6 2" xfId="1722" xr:uid="{98F5A542-6AC2-4A83-AF50-02DA8D57F5C4}"/>
    <cellStyle name="60% - 강조색6 7" xfId="1723" xr:uid="{8FAEA580-B2D7-4175-965E-D35126BC6E2A}"/>
    <cellStyle name="60% - 강조색6 7 2" xfId="1724" xr:uid="{3B8E4BBF-9CF8-41E3-BA0B-1B4768C81602}"/>
    <cellStyle name="60% - 강조색6 8" xfId="1725" xr:uid="{75973A95-5B81-4BC4-AEC9-F9E468899A0C}"/>
    <cellStyle name="60% - 강조색6 8 2" xfId="1726" xr:uid="{5CE54B7B-60D5-4E73-B06E-EE25719E1FA5}"/>
    <cellStyle name="60% - 강조색6 9" xfId="1727" xr:uid="{D1854536-79A6-46E9-908C-E07288E45531}"/>
    <cellStyle name="60% - 강조색6 9 2" xfId="1728" xr:uid="{50AA3627-7002-461A-941D-587EA8BCEBD6}"/>
    <cellStyle name="Accent1 2" xfId="33" xr:uid="{00000000-0005-0000-0000-000012000000}"/>
    <cellStyle name="Accent2 2" xfId="34" xr:uid="{00000000-0005-0000-0000-000013000000}"/>
    <cellStyle name="Accent3 2" xfId="35" xr:uid="{00000000-0005-0000-0000-000014000000}"/>
    <cellStyle name="Accent4 2" xfId="36" xr:uid="{00000000-0005-0000-0000-000015000000}"/>
    <cellStyle name="Accent5 2" xfId="37" xr:uid="{00000000-0005-0000-0000-000016000000}"/>
    <cellStyle name="Accent6 2" xfId="38" xr:uid="{00000000-0005-0000-0000-000017000000}"/>
    <cellStyle name="Bad 2" xfId="39" xr:uid="{00000000-0005-0000-0000-000018000000}"/>
    <cellStyle name="Body: normal cell" xfId="4" xr:uid="{00000000-0005-0000-0000-000019000000}"/>
    <cellStyle name="Calculation 2" xfId="40" xr:uid="{00000000-0005-0000-0000-00001A000000}"/>
    <cellStyle name="Check Cell 2" xfId="41" xr:uid="{00000000-0005-0000-0000-00001B000000}"/>
    <cellStyle name="Comma [0]" xfId="142" builtinId="6"/>
    <cellStyle name="Comma 2" xfId="42" xr:uid="{00000000-0005-0000-0000-00001D000000}"/>
    <cellStyle name="Comma 2 2" xfId="11" xr:uid="{00000000-0005-0000-0000-00001E000000}"/>
    <cellStyle name="Comma 2 2 2" xfId="43" xr:uid="{00000000-0005-0000-0000-00001F000000}"/>
    <cellStyle name="Comma 2 2 3" xfId="44" xr:uid="{00000000-0005-0000-0000-000020000000}"/>
    <cellStyle name="Comma 2 3" xfId="45" xr:uid="{00000000-0005-0000-0000-000021000000}"/>
    <cellStyle name="Comma 3" xfId="46" xr:uid="{00000000-0005-0000-0000-000022000000}"/>
    <cellStyle name="Comma 4" xfId="47" xr:uid="{00000000-0005-0000-0000-000023000000}"/>
    <cellStyle name="Comma 5" xfId="48" xr:uid="{00000000-0005-0000-0000-000024000000}"/>
    <cellStyle name="Comma 6" xfId="49" xr:uid="{00000000-0005-0000-0000-000025000000}"/>
    <cellStyle name="Comma 7" xfId="50" xr:uid="{00000000-0005-0000-0000-000026000000}"/>
    <cellStyle name="Currency 2" xfId="51" xr:uid="{00000000-0005-0000-0000-000027000000}"/>
    <cellStyle name="Currency 3" xfId="52" xr:uid="{00000000-0005-0000-0000-000028000000}"/>
    <cellStyle name="Currency 3 2" xfId="53" xr:uid="{00000000-0005-0000-0000-000029000000}"/>
    <cellStyle name="Data" xfId="54" xr:uid="{00000000-0005-0000-0000-00002A000000}"/>
    <cellStyle name="Data no deci" xfId="55" xr:uid="{00000000-0005-0000-0000-00002B000000}"/>
    <cellStyle name="Data Superscript" xfId="56" xr:uid="{00000000-0005-0000-0000-00002C000000}"/>
    <cellStyle name="Data_1-1A-Regular" xfId="57" xr:uid="{00000000-0005-0000-0000-00002D000000}"/>
    <cellStyle name="Explanatory Text 2" xfId="58" xr:uid="{00000000-0005-0000-0000-00002F000000}"/>
    <cellStyle name="Font: Calibri, 9pt regular" xfId="6" xr:uid="{00000000-0005-0000-0000-000030000000}"/>
    <cellStyle name="Footnotes: top row" xfId="2" xr:uid="{00000000-0005-0000-0000-000031000000}"/>
    <cellStyle name="Good 2" xfId="59" xr:uid="{00000000-0005-0000-0000-000032000000}"/>
    <cellStyle name="Header: bottom row" xfId="5" xr:uid="{00000000-0005-0000-0000-000033000000}"/>
    <cellStyle name="Heading 1 2" xfId="60" xr:uid="{00000000-0005-0000-0000-000034000000}"/>
    <cellStyle name="Heading 2 2" xfId="61" xr:uid="{00000000-0005-0000-0000-000035000000}"/>
    <cellStyle name="Heading 3 2" xfId="62" xr:uid="{00000000-0005-0000-0000-000036000000}"/>
    <cellStyle name="Heading 4 2" xfId="63" xr:uid="{00000000-0005-0000-0000-000037000000}"/>
    <cellStyle name="Hed Side" xfId="13" xr:uid="{00000000-0005-0000-0000-000038000000}"/>
    <cellStyle name="Hed Side bold" xfId="64" xr:uid="{00000000-0005-0000-0000-000039000000}"/>
    <cellStyle name="Hed Side Indent" xfId="65" xr:uid="{00000000-0005-0000-0000-00003A000000}"/>
    <cellStyle name="Hed Side Regular" xfId="66" xr:uid="{00000000-0005-0000-0000-00003B000000}"/>
    <cellStyle name="Hed Side_1-1A-Regular" xfId="67" xr:uid="{00000000-0005-0000-0000-00003C000000}"/>
    <cellStyle name="Hed Top" xfId="68" xr:uid="{00000000-0005-0000-0000-00003E000000}"/>
    <cellStyle name="Hyperlink" xfId="143" builtinId="8"/>
    <cellStyle name="Input 2" xfId="69" xr:uid="{00000000-0005-0000-0000-000040000000}"/>
    <cellStyle name="Linked Cell 2" xfId="70" xr:uid="{00000000-0005-0000-0000-000041000000}"/>
    <cellStyle name="Neutral 2" xfId="71" xr:uid="{00000000-0005-0000-0000-000042000000}"/>
    <cellStyle name="Normal" xfId="0" builtinId="0"/>
    <cellStyle name="Normal 10" xfId="72" xr:uid="{00000000-0005-0000-0000-000044000000}"/>
    <cellStyle name="Normal 11" xfId="10" xr:uid="{00000000-0005-0000-0000-000045000000}"/>
    <cellStyle name="Normal 2" xfId="1" xr:uid="{00000000-0005-0000-0000-000046000000}"/>
    <cellStyle name="Normal 2 2" xfId="73" xr:uid="{00000000-0005-0000-0000-000047000000}"/>
    <cellStyle name="Normal 2 2 2" xfId="74" xr:uid="{00000000-0005-0000-0000-000048000000}"/>
    <cellStyle name="Normal 2 2 3" xfId="75" xr:uid="{00000000-0005-0000-0000-000049000000}"/>
    <cellStyle name="Normal 2 3" xfId="76" xr:uid="{00000000-0005-0000-0000-00004A000000}"/>
    <cellStyle name="Normal 2 4" xfId="77" xr:uid="{00000000-0005-0000-0000-00004B000000}"/>
    <cellStyle name="Normal 3" xfId="8" xr:uid="{00000000-0005-0000-0000-00004C000000}"/>
    <cellStyle name="Normal 3 2" xfId="78" xr:uid="{00000000-0005-0000-0000-00004D000000}"/>
    <cellStyle name="Normal 3 2 2" xfId="79" xr:uid="{00000000-0005-0000-0000-00004E000000}"/>
    <cellStyle name="Normal 3 2 2 2" xfId="80" xr:uid="{00000000-0005-0000-0000-00004F000000}"/>
    <cellStyle name="Normal 3 2 3" xfId="81" xr:uid="{00000000-0005-0000-0000-000050000000}"/>
    <cellStyle name="Normal 3 3" xfId="82" xr:uid="{00000000-0005-0000-0000-000051000000}"/>
    <cellStyle name="Normal 3 3 2" xfId="83" xr:uid="{00000000-0005-0000-0000-000052000000}"/>
    <cellStyle name="Normal 3 3 2 2" xfId="84" xr:uid="{00000000-0005-0000-0000-000053000000}"/>
    <cellStyle name="Normal 3 3 3" xfId="85" xr:uid="{00000000-0005-0000-0000-000054000000}"/>
    <cellStyle name="Normal 3 4" xfId="86" xr:uid="{00000000-0005-0000-0000-000055000000}"/>
    <cellStyle name="Normal 3 4 2" xfId="87" xr:uid="{00000000-0005-0000-0000-000056000000}"/>
    <cellStyle name="Normal 3 5" xfId="88" xr:uid="{00000000-0005-0000-0000-000057000000}"/>
    <cellStyle name="Normal 3 6" xfId="89" xr:uid="{00000000-0005-0000-0000-000058000000}"/>
    <cellStyle name="Normal 3 7" xfId="90" xr:uid="{00000000-0005-0000-0000-000059000000}"/>
    <cellStyle name="Normal 3 8" xfId="91" xr:uid="{00000000-0005-0000-0000-00005A000000}"/>
    <cellStyle name="Normal 3 9" xfId="12" xr:uid="{00000000-0005-0000-0000-00005B000000}"/>
    <cellStyle name="Normal 4" xfId="92" xr:uid="{00000000-0005-0000-0000-00005C000000}"/>
    <cellStyle name="Normal 4 2" xfId="93" xr:uid="{00000000-0005-0000-0000-00005D000000}"/>
    <cellStyle name="Normal 4 2 2" xfId="94" xr:uid="{00000000-0005-0000-0000-00005E000000}"/>
    <cellStyle name="Normal 4 2 2 2" xfId="95" xr:uid="{00000000-0005-0000-0000-00005F000000}"/>
    <cellStyle name="Normal 4 2 3" xfId="96" xr:uid="{00000000-0005-0000-0000-000060000000}"/>
    <cellStyle name="Normal 4 3" xfId="97" xr:uid="{00000000-0005-0000-0000-000061000000}"/>
    <cellStyle name="Normal 4 3 2" xfId="98" xr:uid="{00000000-0005-0000-0000-000062000000}"/>
    <cellStyle name="Normal 4 3 2 2" xfId="99" xr:uid="{00000000-0005-0000-0000-000063000000}"/>
    <cellStyle name="Normal 4 3 3" xfId="100" xr:uid="{00000000-0005-0000-0000-000064000000}"/>
    <cellStyle name="Normal 4 4" xfId="101" xr:uid="{00000000-0005-0000-0000-000065000000}"/>
    <cellStyle name="Normal 4 4 2" xfId="102" xr:uid="{00000000-0005-0000-0000-000066000000}"/>
    <cellStyle name="Normal 4 5" xfId="103" xr:uid="{00000000-0005-0000-0000-000067000000}"/>
    <cellStyle name="Normal 4 6" xfId="104" xr:uid="{00000000-0005-0000-0000-000068000000}"/>
    <cellStyle name="Normal 4 7" xfId="105" xr:uid="{00000000-0005-0000-0000-000069000000}"/>
    <cellStyle name="Normal 4 8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8" xfId="113" xr:uid="{00000000-0005-0000-0000-000071000000}"/>
    <cellStyle name="Normal 9" xfId="114" xr:uid="{00000000-0005-0000-0000-000072000000}"/>
    <cellStyle name="Note 2" xfId="115" xr:uid="{00000000-0005-0000-0000-000073000000}"/>
    <cellStyle name="Note 2 2" xfId="116" xr:uid="{00000000-0005-0000-0000-000074000000}"/>
    <cellStyle name="Output 2" xfId="117" xr:uid="{00000000-0005-0000-0000-000075000000}"/>
    <cellStyle name="Parent row" xfId="3" xr:uid="{00000000-0005-0000-0000-000076000000}"/>
    <cellStyle name="Percent" xfId="140" builtinId="5"/>
    <cellStyle name="Percent 2" xfId="118" xr:uid="{00000000-0005-0000-0000-000078000000}"/>
    <cellStyle name="Percent 2 2" xfId="119" xr:uid="{00000000-0005-0000-0000-000079000000}"/>
    <cellStyle name="Percent 3" xfId="120" xr:uid="{00000000-0005-0000-0000-00007A000000}"/>
    <cellStyle name="Percent 3 2" xfId="121" xr:uid="{00000000-0005-0000-0000-00007B000000}"/>
    <cellStyle name="Source Hed" xfId="122" xr:uid="{00000000-0005-0000-0000-00007C000000}"/>
    <cellStyle name="Source Superscript" xfId="123" xr:uid="{00000000-0005-0000-0000-00007D000000}"/>
    <cellStyle name="Source Text" xfId="9" xr:uid="{00000000-0005-0000-0000-00007E000000}"/>
    <cellStyle name="State" xfId="124" xr:uid="{00000000-0005-0000-0000-00007F000000}"/>
    <cellStyle name="Superscript" xfId="125" xr:uid="{00000000-0005-0000-0000-000080000000}"/>
    <cellStyle name="Table Data" xfId="126" xr:uid="{00000000-0005-0000-0000-000081000000}"/>
    <cellStyle name="Table Head Top" xfId="127" xr:uid="{00000000-0005-0000-0000-000082000000}"/>
    <cellStyle name="Table Hed Side" xfId="128" xr:uid="{00000000-0005-0000-0000-000083000000}"/>
    <cellStyle name="Table title" xfId="7" xr:uid="{00000000-0005-0000-0000-000084000000}"/>
    <cellStyle name="Title 2" xfId="129" xr:uid="{00000000-0005-0000-0000-000085000000}"/>
    <cellStyle name="Title Text" xfId="130" xr:uid="{00000000-0005-0000-0000-000086000000}"/>
    <cellStyle name="Title Text 1" xfId="131" xr:uid="{00000000-0005-0000-0000-000087000000}"/>
    <cellStyle name="Title Text 2" xfId="132" xr:uid="{00000000-0005-0000-0000-000088000000}"/>
    <cellStyle name="Title-1" xfId="14" xr:uid="{00000000-0005-0000-0000-000089000000}"/>
    <cellStyle name="Title-2" xfId="133" xr:uid="{00000000-0005-0000-0000-00008A000000}"/>
    <cellStyle name="Title-3" xfId="134" xr:uid="{00000000-0005-0000-0000-00008B000000}"/>
    <cellStyle name="Total 2" xfId="135" xr:uid="{00000000-0005-0000-0000-00008C000000}"/>
    <cellStyle name="Warning Text 2" xfId="136" xr:uid="{00000000-0005-0000-0000-00008D000000}"/>
    <cellStyle name="Wrap" xfId="137" xr:uid="{00000000-0005-0000-0000-00008E000000}"/>
    <cellStyle name="Wrap Bold" xfId="138" xr:uid="{00000000-0005-0000-0000-00008F000000}"/>
    <cellStyle name="Wrap Title" xfId="139" xr:uid="{00000000-0005-0000-0000-000090000000}"/>
    <cellStyle name="강조색1 10" xfId="1730" xr:uid="{0498D20A-57DD-45A8-A281-6AAE681C8717}"/>
    <cellStyle name="강조색1 10 2" xfId="1731" xr:uid="{F51BCB01-470E-4C1B-AEA0-CF49E9400962}"/>
    <cellStyle name="강조색1 11" xfId="1732" xr:uid="{6924B88C-0B3F-4D87-8D21-1A457DA8B064}"/>
    <cellStyle name="강조색1 11 2" xfId="1733" xr:uid="{30F84EEA-6128-405A-A056-A67173B5DF3B}"/>
    <cellStyle name="강조색1 12" xfId="1734" xr:uid="{55E4D616-F9D9-42FA-9A58-37C6CDAA42C6}"/>
    <cellStyle name="강조색1 12 2" xfId="1735" xr:uid="{B472A0C1-8202-41CB-AA1C-56D2B7004C3A}"/>
    <cellStyle name="강조색1 13" xfId="1736" xr:uid="{28BC877C-1C4B-42B7-86C2-E2D6DA4E5076}"/>
    <cellStyle name="강조색1 13 2" xfId="1737" xr:uid="{2E32DE04-9F2F-4F02-8490-46E100FCF612}"/>
    <cellStyle name="강조색1 14" xfId="1738" xr:uid="{8474A104-0859-4F17-8B07-A9514B4650D9}"/>
    <cellStyle name="강조색1 14 2" xfId="1739" xr:uid="{80C13F31-94B1-4831-9573-77095C707782}"/>
    <cellStyle name="강조색1 15" xfId="1740" xr:uid="{BF4DAD3A-9FA6-4EF1-932D-3CE8B7AACADD}"/>
    <cellStyle name="강조색1 15 2" xfId="1741" xr:uid="{7F5DB9EF-B61D-4F41-B02B-2DA942FFE801}"/>
    <cellStyle name="강조색1 16" xfId="1742" xr:uid="{2EB8818A-7346-4A4F-99AD-D51DAA93D60D}"/>
    <cellStyle name="강조색1 16 2" xfId="1743" xr:uid="{CC2C6EB5-A6DD-411B-9A80-866B45E2D4E1}"/>
    <cellStyle name="강조색1 17" xfId="1744" xr:uid="{E6702DFB-8CC5-4127-A533-D7D7B72754A0}"/>
    <cellStyle name="강조색1 17 2" xfId="1745" xr:uid="{CF11DA22-6904-4B95-9C88-D8B3CC7396D2}"/>
    <cellStyle name="강조색1 18" xfId="1746" xr:uid="{B9658E98-3875-4C22-8E08-67060232DA66}"/>
    <cellStyle name="강조색1 18 2" xfId="1747" xr:uid="{7BAEF4D8-E363-4CBD-83AD-A2779AB6D491}"/>
    <cellStyle name="강조색1 19" xfId="1748" xr:uid="{1682E9DA-1EC5-4818-8D22-1BC7EA20DB03}"/>
    <cellStyle name="강조색1 19 2" xfId="1749" xr:uid="{CDD57628-83BA-4376-9AD1-064B0AB5B10F}"/>
    <cellStyle name="강조색1 2" xfId="1750" xr:uid="{0F1FDB0F-8B25-4896-B2B8-7143E278A1BA}"/>
    <cellStyle name="강조색1 2 2" xfId="1751" xr:uid="{58F5BDC2-6CBE-408A-8B7D-7DFFFFE67095}"/>
    <cellStyle name="강조색1 20" xfId="1752" xr:uid="{A760AD06-E16A-4557-99F0-2FA7D7FA813E}"/>
    <cellStyle name="강조색1 20 2" xfId="1753" xr:uid="{8E17AD80-20DB-490A-9E9B-2877AFFA0C8E}"/>
    <cellStyle name="강조색1 21" xfId="1754" xr:uid="{551FB85F-CBAE-4274-97E1-DDDE28892584}"/>
    <cellStyle name="강조색1 21 2" xfId="1755" xr:uid="{7B7B16FE-46DF-4480-995A-99348F541564}"/>
    <cellStyle name="강조색1 22" xfId="1756" xr:uid="{AC95B2EC-853F-4404-9188-1E4BC982AA41}"/>
    <cellStyle name="강조색1 22 2" xfId="1757" xr:uid="{896E4748-2C71-499B-AA5A-F053A47A8728}"/>
    <cellStyle name="강조색1 23" xfId="1758" xr:uid="{AE750B70-91C3-4D54-8807-66BE19C6A2BA}"/>
    <cellStyle name="강조색1 23 2" xfId="1759" xr:uid="{42A2E1A8-FD89-4A0A-8FCD-29276A3974EA}"/>
    <cellStyle name="강조색1 24" xfId="1760" xr:uid="{2DF5165B-C04A-400A-BDE4-E1293161F319}"/>
    <cellStyle name="강조색1 24 2" xfId="1761" xr:uid="{DD7D03B0-661A-43DC-93B5-C0802DC62124}"/>
    <cellStyle name="강조색1 25" xfId="1762" xr:uid="{395D474B-9823-45AC-97D2-CA437F7320C5}"/>
    <cellStyle name="강조색1 25 2" xfId="1763" xr:uid="{80FB1FA0-5457-4182-B44D-D6A5932B5F00}"/>
    <cellStyle name="강조색1 26" xfId="1764" xr:uid="{51CC5DB0-DC9B-4BD5-BC24-01929E7D3265}"/>
    <cellStyle name="강조색1 26 2" xfId="1765" xr:uid="{8721A9AA-7F32-4670-8437-A68A78AC8424}"/>
    <cellStyle name="강조색1 27" xfId="1766" xr:uid="{03B5939A-AFD1-47AF-A885-5015EC24A36D}"/>
    <cellStyle name="강조색1 27 2" xfId="1767" xr:uid="{E5223255-7852-4D6E-AE35-F8F8D1147CAD}"/>
    <cellStyle name="강조색1 28" xfId="1768" xr:uid="{0A7F68CE-194C-49E7-B102-F499F776C558}"/>
    <cellStyle name="강조색1 28 2" xfId="1769" xr:uid="{4A59566F-D430-4DA2-805F-929FA6D1892F}"/>
    <cellStyle name="강조색1 29" xfId="1770" xr:uid="{BEE70CA8-887C-43D4-9151-3B586D06A8AC}"/>
    <cellStyle name="강조색1 29 2" xfId="1771" xr:uid="{58059CC3-446D-4FF0-8D96-434A0AC91924}"/>
    <cellStyle name="강조색1 3" xfId="1772" xr:uid="{018327BC-C0F0-49AB-AC2A-E8FAD3B8AF33}"/>
    <cellStyle name="강조색1 3 2" xfId="1773" xr:uid="{C6D10448-AE55-44F7-B1A4-AF903A827E2E}"/>
    <cellStyle name="강조색1 30" xfId="1774" xr:uid="{E756BF95-D1FB-45D1-966D-6F3A5D52DBC0}"/>
    <cellStyle name="강조색1 30 2" xfId="1775" xr:uid="{CA728BD1-1556-4206-A2DB-C5634BA14C34}"/>
    <cellStyle name="강조색1 31" xfId="1776" xr:uid="{EF552002-FB28-4802-9EB1-25CA657B6053}"/>
    <cellStyle name="강조색1 31 2" xfId="1777" xr:uid="{67D03767-1B71-4966-9CDD-560E064ED1E2}"/>
    <cellStyle name="강조색1 32" xfId="1778" xr:uid="{7934A351-8D51-4A5B-8379-60E953CBA246}"/>
    <cellStyle name="강조색1 32 2" xfId="1779" xr:uid="{FD11DBB3-8BA6-4B31-B493-996F4AAF78EB}"/>
    <cellStyle name="강조색1 33" xfId="1780" xr:uid="{684B3E61-0A0D-4F89-A6B9-1760DCCCCB81}"/>
    <cellStyle name="강조색1 33 2" xfId="1781" xr:uid="{6ED1B1E4-A80C-4485-91AA-BECB1BA9CF78}"/>
    <cellStyle name="강조색1 34" xfId="1782" xr:uid="{990E1E04-C169-4B3D-98C0-FC103D8835C5}"/>
    <cellStyle name="강조색1 34 2" xfId="1783" xr:uid="{E1BE8FA5-5C72-4BA1-936F-B082381607D3}"/>
    <cellStyle name="강조색1 35" xfId="1784" xr:uid="{87CC639A-F32D-4392-AD27-E6180F7E00EF}"/>
    <cellStyle name="강조색1 35 2" xfId="1785" xr:uid="{D587AE3A-D300-432D-A7D8-11E2B876568C}"/>
    <cellStyle name="강조색1 36" xfId="1786" xr:uid="{72B2BCE7-F38D-4E82-9DC3-9836E0E57014}"/>
    <cellStyle name="강조색1 36 2" xfId="1787" xr:uid="{F8AAF2A3-D6C3-4072-BE04-ED97A78FACE8}"/>
    <cellStyle name="강조색1 37" xfId="1788" xr:uid="{A335E6F3-5B50-4C75-93EC-A7DCECAB7C5B}"/>
    <cellStyle name="강조색1 37 2" xfId="1789" xr:uid="{B529D749-94B6-4899-A71E-E4ED71A5E11A}"/>
    <cellStyle name="강조색1 38" xfId="1790" xr:uid="{D4DEE8C8-4464-42A1-BF04-C81E47BC60DD}"/>
    <cellStyle name="강조색1 38 2" xfId="1791" xr:uid="{A769DF4A-2920-47A8-965C-C2CD0043A92D}"/>
    <cellStyle name="강조색1 39" xfId="1792" xr:uid="{48AE6631-CEB3-47A3-A87B-972187305107}"/>
    <cellStyle name="강조색1 39 2" xfId="1793" xr:uid="{D5FF55D9-F373-4874-8652-1BD3E9585FB0}"/>
    <cellStyle name="강조색1 4" xfId="1794" xr:uid="{5A361BCD-BCF7-4E48-B25E-0C13584989AE}"/>
    <cellStyle name="강조색1 4 2" xfId="1795" xr:uid="{B5445287-60B1-40BB-8173-4AB2E169663B}"/>
    <cellStyle name="강조색1 40" xfId="1796" xr:uid="{59F19E00-6415-4332-A24D-00D13D6F94A3}"/>
    <cellStyle name="강조색1 40 2" xfId="1797" xr:uid="{85DB88E4-489B-4295-93CC-CB23E225E1E9}"/>
    <cellStyle name="강조색1 41" xfId="1798" xr:uid="{1FBD8AFE-8756-491E-8147-E8617519D2DE}"/>
    <cellStyle name="강조색1 41 2" xfId="1799" xr:uid="{DFFAC38F-97D1-48F4-89D4-042319FCAD46}"/>
    <cellStyle name="강조색1 42" xfId="1800" xr:uid="{70E03C71-2CC4-4422-AADD-B6C64D9C6C52}"/>
    <cellStyle name="강조색1 42 2" xfId="1801" xr:uid="{2CB24374-2A54-4EB1-8263-AADDFB093F96}"/>
    <cellStyle name="강조색1 43" xfId="1802" xr:uid="{0C88ED9E-03F5-4024-A3A7-107716000DA8}"/>
    <cellStyle name="강조색1 43 2" xfId="1803" xr:uid="{A5A4B2AA-20C1-4B57-ADCC-9ABFD414799B}"/>
    <cellStyle name="강조색1 44" xfId="1804" xr:uid="{42260190-ECEF-4B85-926D-9ACF331BDBB8}"/>
    <cellStyle name="강조색1 45" xfId="1805" xr:uid="{5623F71A-7531-4626-9F83-9FA32119D8A3}"/>
    <cellStyle name="강조색1 46" xfId="1806" xr:uid="{D142D8A9-60D8-401D-96F6-F0C52C768C62}"/>
    <cellStyle name="강조색1 47" xfId="1729" xr:uid="{D1D1C43D-0BA6-4029-9603-21E59603C66A}"/>
    <cellStyle name="강조색1 5" xfId="1807" xr:uid="{460A310C-2F28-405C-A517-2DEED4E6A536}"/>
    <cellStyle name="강조색1 5 2" xfId="1808" xr:uid="{F094A5DE-56DA-469B-BCE2-010A6E4B1B25}"/>
    <cellStyle name="강조색1 6" xfId="1809" xr:uid="{6459E5AC-0A41-44E2-98C7-1E0D2702EEAE}"/>
    <cellStyle name="강조색1 6 2" xfId="1810" xr:uid="{D1551547-3832-457E-93CC-7D804716DC30}"/>
    <cellStyle name="강조색1 7" xfId="1811" xr:uid="{DE66D42E-202B-460B-8F53-0ED428F74FC9}"/>
    <cellStyle name="강조색1 7 2" xfId="1812" xr:uid="{79FF8382-5F1D-4BF7-AD98-36856A252919}"/>
    <cellStyle name="강조색1 8" xfId="1813" xr:uid="{C3CF362F-0168-4E42-BDB8-B0F23339A6D3}"/>
    <cellStyle name="강조색1 8 2" xfId="1814" xr:uid="{2C43277B-3C76-462C-8CAF-A05A5C191582}"/>
    <cellStyle name="강조색1 9" xfId="1815" xr:uid="{BA2871F8-8DFA-40FD-AE68-44A1E5D133D6}"/>
    <cellStyle name="강조색1 9 2" xfId="1816" xr:uid="{4732610E-1EA1-4ACD-B4F6-AD034E2EEC6F}"/>
    <cellStyle name="강조색2 10" xfId="1818" xr:uid="{8FC52747-0DDD-408B-A08B-1006497BE683}"/>
    <cellStyle name="강조색2 10 2" xfId="1819" xr:uid="{47457C9D-F962-42E8-8055-9489C68B6250}"/>
    <cellStyle name="강조색2 11" xfId="1820" xr:uid="{EA9BBCBC-3E86-401D-A0DE-62D62C4C7AA6}"/>
    <cellStyle name="강조색2 11 2" xfId="1821" xr:uid="{BDE5DE86-5C5C-4222-A259-E935A9B3C0F7}"/>
    <cellStyle name="강조색2 12" xfId="1822" xr:uid="{96855138-3990-4A4D-9DF5-7644E46362B1}"/>
    <cellStyle name="강조색2 12 2" xfId="1823" xr:uid="{4FB07565-2D40-4166-86E1-B6F4FE8D10C2}"/>
    <cellStyle name="강조색2 13" xfId="1824" xr:uid="{60C36767-DB2A-4FC7-9991-5216C4E8252F}"/>
    <cellStyle name="강조색2 13 2" xfId="1825" xr:uid="{3493131A-EED8-4AA5-A03B-03FFEB854419}"/>
    <cellStyle name="강조색2 14" xfId="1826" xr:uid="{AF9A6048-211F-42F1-9926-8638FDB33F64}"/>
    <cellStyle name="강조색2 14 2" xfId="1827" xr:uid="{1110153D-FBCA-49BA-881C-A1067AF7F6F0}"/>
    <cellStyle name="강조색2 15" xfId="1828" xr:uid="{1D8CD4D9-AC75-49D9-97F1-52573B3B69AB}"/>
    <cellStyle name="강조색2 15 2" xfId="1829" xr:uid="{11995FCD-3FDD-4684-9E67-FEF556EDD7AD}"/>
    <cellStyle name="강조색2 16" xfId="1830" xr:uid="{F69603BE-E359-4C33-9E0C-8F25DB5C37DC}"/>
    <cellStyle name="강조색2 16 2" xfId="1831" xr:uid="{A476D0AF-437E-4DF1-B0EA-DEC4293166F2}"/>
    <cellStyle name="강조색2 17" xfId="1832" xr:uid="{F8029265-C084-44AC-899F-3D55B1ACCD0E}"/>
    <cellStyle name="강조색2 17 2" xfId="1833" xr:uid="{747F2DD1-3F4D-4CFE-9444-81E689220B41}"/>
    <cellStyle name="강조색2 18" xfId="1834" xr:uid="{3E8371EC-7FE4-4287-8526-8D7C6378BD01}"/>
    <cellStyle name="강조색2 18 2" xfId="1835" xr:uid="{2580C0D3-B58E-4623-9248-3BEB87F00A9E}"/>
    <cellStyle name="강조색2 19" xfId="1836" xr:uid="{4D2DF1E9-3742-4094-84C5-FBB4CCE98155}"/>
    <cellStyle name="강조색2 19 2" xfId="1837" xr:uid="{E3F2E36A-FED9-4734-8A4E-B5909FA5C500}"/>
    <cellStyle name="강조색2 2" xfId="1838" xr:uid="{06ACECBA-8419-4337-A6C6-34F3EB937A6D}"/>
    <cellStyle name="강조색2 2 2" xfId="1839" xr:uid="{423FDA6E-A656-4D67-847D-B25DDDDF8814}"/>
    <cellStyle name="강조색2 20" xfId="1840" xr:uid="{6854CC38-2B2E-4E47-9C79-E071D1B5E5A8}"/>
    <cellStyle name="강조색2 20 2" xfId="1841" xr:uid="{1FBD1FCD-82D6-4A38-8067-0FBF9F8EE980}"/>
    <cellStyle name="강조색2 21" xfId="1842" xr:uid="{AD581FDA-6A0F-4ECD-91DF-78200FB4E83E}"/>
    <cellStyle name="강조색2 21 2" xfId="1843" xr:uid="{B9C38694-0C68-453F-A132-091FF0DC5939}"/>
    <cellStyle name="강조색2 22" xfId="1844" xr:uid="{E9EACFEC-F064-4C40-BCAD-12E14BCA5F86}"/>
    <cellStyle name="강조색2 22 2" xfId="1845" xr:uid="{757C3B55-4C40-4325-B271-29018AD89520}"/>
    <cellStyle name="강조색2 23" xfId="1846" xr:uid="{1D37C9D1-526B-40BE-B2CC-221AC8DEA886}"/>
    <cellStyle name="강조색2 23 2" xfId="1847" xr:uid="{4CB17B3A-B99F-4776-A8AC-10FB97023EC4}"/>
    <cellStyle name="강조색2 24" xfId="1848" xr:uid="{1DE72C1F-473E-4C15-9670-05B87314B937}"/>
    <cellStyle name="강조색2 24 2" xfId="1849" xr:uid="{F1B5E89C-8B46-4BCC-BD78-FAAC2B47B582}"/>
    <cellStyle name="강조색2 25" xfId="1850" xr:uid="{786EC193-D083-401E-8550-12E1301BA67C}"/>
    <cellStyle name="강조색2 25 2" xfId="1851" xr:uid="{03F3E066-FA73-4394-AB19-10BFB7CA120E}"/>
    <cellStyle name="강조색2 26" xfId="1852" xr:uid="{CBD335C2-9047-4EF1-B133-3E6260E27F0A}"/>
    <cellStyle name="강조색2 26 2" xfId="1853" xr:uid="{64F7B020-D337-4F7E-8A8C-89087A338C38}"/>
    <cellStyle name="강조색2 27" xfId="1854" xr:uid="{828B3898-2BD6-4A60-8C37-3FA1C52939E4}"/>
    <cellStyle name="강조색2 27 2" xfId="1855" xr:uid="{874874A8-50F7-41D2-85BD-FE9E4C00BE99}"/>
    <cellStyle name="강조색2 28" xfId="1856" xr:uid="{29436851-2DD4-42A0-9D6D-AE608E05E15F}"/>
    <cellStyle name="강조색2 28 2" xfId="1857" xr:uid="{9DAE62F9-65E4-470B-A05C-D8B8D80C5BF9}"/>
    <cellStyle name="강조색2 29" xfId="1858" xr:uid="{8537FF0F-EAD4-42FA-AC04-570B7B5F5A2E}"/>
    <cellStyle name="강조색2 29 2" xfId="1859" xr:uid="{1FE7C80D-9D61-4BC5-AAAA-C7DA82385FF1}"/>
    <cellStyle name="강조색2 3" xfId="1860" xr:uid="{E965D73D-75A0-4D7A-8A1D-2ED97409A5D6}"/>
    <cellStyle name="강조색2 3 2" xfId="1861" xr:uid="{331419FC-6005-4142-9F38-072805FBAA34}"/>
    <cellStyle name="강조색2 30" xfId="1862" xr:uid="{62B6E8C3-A951-459F-B312-36C13F1CFCF2}"/>
    <cellStyle name="강조색2 30 2" xfId="1863" xr:uid="{14B5D666-4E9D-447D-BD89-2F7B25C10F1F}"/>
    <cellStyle name="강조색2 31" xfId="1864" xr:uid="{1A28FFAF-2F9D-4C2D-99CF-6FE2C799C60A}"/>
    <cellStyle name="강조색2 31 2" xfId="1865" xr:uid="{9D722317-1618-4B5E-BF9B-D064FF9F0253}"/>
    <cellStyle name="강조색2 32" xfId="1866" xr:uid="{A99FCDFB-B0ED-4D8A-A1E7-E63CD4C43DA7}"/>
    <cellStyle name="강조색2 32 2" xfId="1867" xr:uid="{9AAEA391-3309-4138-B730-91F0B8F97FF1}"/>
    <cellStyle name="강조색2 33" xfId="1868" xr:uid="{36BAB523-AB73-4868-BFD2-8E0D3BF7A1D4}"/>
    <cellStyle name="강조색2 33 2" xfId="1869" xr:uid="{710C5B98-A245-4801-8BBD-4E3FB2E0297E}"/>
    <cellStyle name="강조색2 34" xfId="1870" xr:uid="{36141586-E334-4E88-AE79-BA4A2F3A0D24}"/>
    <cellStyle name="강조색2 34 2" xfId="1871" xr:uid="{A371551D-494F-4090-A0BE-A23E8653B5E6}"/>
    <cellStyle name="강조색2 35" xfId="1872" xr:uid="{F9D715FB-925D-46AB-B091-230EA31BA698}"/>
    <cellStyle name="강조색2 35 2" xfId="1873" xr:uid="{95F068EB-A9BC-409E-B1ED-E7C51A79E49F}"/>
    <cellStyle name="강조색2 36" xfId="1874" xr:uid="{E6BE41E3-9700-46D9-BB92-FAB29CE5C010}"/>
    <cellStyle name="강조색2 36 2" xfId="1875" xr:uid="{9FFFF1D0-495C-41C9-871E-648D17FCC0E7}"/>
    <cellStyle name="강조색2 37" xfId="1876" xr:uid="{B0DD70A5-5FC4-4004-97B5-D3D8FC640FFF}"/>
    <cellStyle name="강조색2 37 2" xfId="1877" xr:uid="{753CE0F0-E495-443C-B01C-8989CCB805C3}"/>
    <cellStyle name="강조색2 38" xfId="1878" xr:uid="{3DA8B874-7FC2-49A4-8D68-87007FAA1BA4}"/>
    <cellStyle name="강조색2 38 2" xfId="1879" xr:uid="{C532AD97-B5EE-431B-A6B3-408809FB6034}"/>
    <cellStyle name="강조색2 39" xfId="1880" xr:uid="{16E211CF-653E-453F-B0E8-E02C1E86AADB}"/>
    <cellStyle name="강조색2 39 2" xfId="1881" xr:uid="{450E37E0-0A07-4FBE-BDEF-0787B59C8332}"/>
    <cellStyle name="강조색2 4" xfId="1882" xr:uid="{7416BA27-0634-4EFA-9029-F06D3970AEF5}"/>
    <cellStyle name="강조색2 4 2" xfId="1883" xr:uid="{93B75EB2-866D-4B2E-A079-D047A8A701FB}"/>
    <cellStyle name="강조색2 40" xfId="1884" xr:uid="{8D42E9D4-A617-4797-88ED-9ADF043981B3}"/>
    <cellStyle name="강조색2 40 2" xfId="1885" xr:uid="{5B541CE8-D3DC-4ACD-8EE2-A135B4A6C724}"/>
    <cellStyle name="강조색2 41" xfId="1886" xr:uid="{35BB4F69-0893-4AC9-B8EA-7A067E710E1B}"/>
    <cellStyle name="강조색2 41 2" xfId="1887" xr:uid="{1834A1CE-17E8-4440-A128-781B0663EB77}"/>
    <cellStyle name="강조색2 42" xfId="1888" xr:uid="{23F00F34-1F41-4837-94F5-E7A61AA90C22}"/>
    <cellStyle name="강조색2 42 2" xfId="1889" xr:uid="{E10E8A48-DD59-472D-826E-8A1722142049}"/>
    <cellStyle name="강조색2 43" xfId="1890" xr:uid="{C9F7C181-B1B5-483A-BA10-DA062FFEE72A}"/>
    <cellStyle name="강조색2 43 2" xfId="1891" xr:uid="{4E1EF25C-91CF-4D75-9F16-0098DE81F562}"/>
    <cellStyle name="강조색2 44" xfId="1892" xr:uid="{E835D3BE-76DA-4761-A669-43C146899354}"/>
    <cellStyle name="강조색2 45" xfId="1893" xr:uid="{8D91F92F-D17E-4A45-8D2B-D9C33AAAF946}"/>
    <cellStyle name="강조색2 46" xfId="1894" xr:uid="{0031E970-B9F8-4F14-B129-BE5837D8B55D}"/>
    <cellStyle name="강조색2 47" xfId="1817" xr:uid="{F862C72F-B7B2-4345-B41D-A17002A1BDEC}"/>
    <cellStyle name="강조색2 5" xfId="1895" xr:uid="{D01C87ED-5EC0-48CD-862D-95633700D95A}"/>
    <cellStyle name="강조색2 5 2" xfId="1896" xr:uid="{5325508E-2B54-4619-A67E-CD1DFEAA2BEF}"/>
    <cellStyle name="강조색2 6" xfId="1897" xr:uid="{F1D913D9-03D5-42AD-A947-CCFCE279010B}"/>
    <cellStyle name="강조색2 6 2" xfId="1898" xr:uid="{907CB4CD-CE7F-46FB-8F8D-53FA9E34753E}"/>
    <cellStyle name="강조색2 7" xfId="1899" xr:uid="{309D724F-19D7-4716-A185-1562795734B0}"/>
    <cellStyle name="강조색2 7 2" xfId="1900" xr:uid="{0F3FA549-E779-46F0-A597-5565B95741A6}"/>
    <cellStyle name="강조색2 8" xfId="1901" xr:uid="{4EB1CA71-C283-4369-94B6-E387B5C0B2AB}"/>
    <cellStyle name="강조색2 8 2" xfId="1902" xr:uid="{8B20EDEE-44B2-4A91-A8D5-15F1811AB03F}"/>
    <cellStyle name="강조색2 9" xfId="1903" xr:uid="{8F0CC3EC-906F-4AAB-8406-439DAD96692A}"/>
    <cellStyle name="강조색2 9 2" xfId="1904" xr:uid="{35509591-77A8-4F77-902A-7678B429CC4B}"/>
    <cellStyle name="강조색3 10" xfId="1906" xr:uid="{47240F1A-FBA7-4D61-A412-306C2A942CC3}"/>
    <cellStyle name="강조색3 10 2" xfId="1907" xr:uid="{14254D20-0743-42EA-90D4-CA5897DA107D}"/>
    <cellStyle name="강조색3 11" xfId="1908" xr:uid="{3C60E917-2C15-447B-BDCA-F58241CC85C3}"/>
    <cellStyle name="강조색3 11 2" xfId="1909" xr:uid="{CCAC20B9-45B1-4149-919F-253FB359B83B}"/>
    <cellStyle name="강조색3 12" xfId="1910" xr:uid="{F91DD8CF-3D45-4BED-B6F6-ABB19CDF7F3E}"/>
    <cellStyle name="강조색3 12 2" xfId="1911" xr:uid="{C2E92388-DBA1-430D-8D86-D6171FA6C9E5}"/>
    <cellStyle name="강조색3 13" xfId="1912" xr:uid="{28E9BEB5-7D17-4135-8D8B-1E768DBB0094}"/>
    <cellStyle name="강조색3 13 2" xfId="1913" xr:uid="{B9649677-B318-4A18-9FED-34114233958E}"/>
    <cellStyle name="강조색3 14" xfId="1914" xr:uid="{1B463268-5736-46FE-A14D-22C6B35BBEEE}"/>
    <cellStyle name="강조색3 14 2" xfId="1915" xr:uid="{76257D2F-5448-47C6-941B-9E977FD32705}"/>
    <cellStyle name="강조색3 15" xfId="1916" xr:uid="{148A92DD-1DDE-4D23-AD16-0367F51D9B71}"/>
    <cellStyle name="강조색3 15 2" xfId="1917" xr:uid="{77F18FE9-DDB4-49FF-B8EE-4FA8DF4A501C}"/>
    <cellStyle name="강조색3 16" xfId="1918" xr:uid="{61491895-82F7-4C15-89AD-74A06FAF4781}"/>
    <cellStyle name="강조색3 16 2" xfId="1919" xr:uid="{142579C5-0F02-436E-B044-2B5434D527A0}"/>
    <cellStyle name="강조색3 17" xfId="1920" xr:uid="{D8216293-35B5-4601-87B2-363A2288D165}"/>
    <cellStyle name="강조색3 17 2" xfId="1921" xr:uid="{609F869E-770A-4A1F-A7E3-5F99965A3058}"/>
    <cellStyle name="강조색3 18" xfId="1922" xr:uid="{D0AC889A-3F1D-42F1-88DC-6CDED60EA518}"/>
    <cellStyle name="강조색3 18 2" xfId="1923" xr:uid="{14693AD5-D248-493A-824A-F54FF30EAF5E}"/>
    <cellStyle name="강조색3 19" xfId="1924" xr:uid="{BC63BCCA-A119-4545-8D8D-C71FD3CCE107}"/>
    <cellStyle name="강조색3 19 2" xfId="1925" xr:uid="{FC9B535A-3E6D-4B51-BC3F-F3EDB7BA9AD2}"/>
    <cellStyle name="강조색3 2" xfId="1926" xr:uid="{8C421459-6C83-412E-860E-C595D1DC3744}"/>
    <cellStyle name="강조색3 2 2" xfId="1927" xr:uid="{07F965D0-4AE0-4352-AD24-8F7FB7E782C1}"/>
    <cellStyle name="강조색3 20" xfId="1928" xr:uid="{22B0CE44-40BB-4B45-8B45-D3730644D1B6}"/>
    <cellStyle name="강조색3 20 2" xfId="1929" xr:uid="{93120CDA-4E64-4821-9B95-15B6A780235D}"/>
    <cellStyle name="강조색3 21" xfId="1930" xr:uid="{E7DA3574-67FF-48EA-B943-2CDD44666451}"/>
    <cellStyle name="강조색3 21 2" xfId="1931" xr:uid="{4FC1EA7B-279F-450C-93F7-8697601A1FB2}"/>
    <cellStyle name="강조색3 22" xfId="1932" xr:uid="{557C4BB6-C68D-493B-8260-4547B18AE02B}"/>
    <cellStyle name="강조색3 22 2" xfId="1933" xr:uid="{FEACFE11-2F2A-470D-B651-920E525334D7}"/>
    <cellStyle name="강조색3 23" xfId="1934" xr:uid="{F292CF3A-A815-428B-A340-C2B289875897}"/>
    <cellStyle name="강조색3 23 2" xfId="1935" xr:uid="{4DBD96BE-F968-41C5-9336-761F3271A192}"/>
    <cellStyle name="강조색3 24" xfId="1936" xr:uid="{2AED679B-6254-4F4B-A4CD-040E876EA580}"/>
    <cellStyle name="강조색3 24 2" xfId="1937" xr:uid="{4325AFF7-FE05-4DDC-9DCF-0A3218D4F453}"/>
    <cellStyle name="강조색3 25" xfId="1938" xr:uid="{981EF4F5-A1C4-4579-A970-6756A1C5721E}"/>
    <cellStyle name="강조색3 25 2" xfId="1939" xr:uid="{ED79E098-43A2-40D2-97DD-3ABBD2615FE9}"/>
    <cellStyle name="강조색3 26" xfId="1940" xr:uid="{9EF6DAA2-B8F3-4D79-9ACC-17519ED195ED}"/>
    <cellStyle name="강조색3 26 2" xfId="1941" xr:uid="{E4777EFA-7713-4A81-A448-ABB4B40C0A22}"/>
    <cellStyle name="강조색3 27" xfId="1942" xr:uid="{AD6FFB15-6360-424F-8140-B1C968DAAFDF}"/>
    <cellStyle name="강조색3 27 2" xfId="1943" xr:uid="{DA258949-0984-4C4F-8B99-33F22D8035C3}"/>
    <cellStyle name="강조색3 28" xfId="1944" xr:uid="{1960D913-0844-49BD-88A2-9B68801E1B29}"/>
    <cellStyle name="강조색3 28 2" xfId="1945" xr:uid="{DA4E4405-A5B5-47F4-AB57-BA26F684AE4C}"/>
    <cellStyle name="강조색3 29" xfId="1946" xr:uid="{BB9FA0E1-78AF-4CAB-84DA-C7D44CAC6E8B}"/>
    <cellStyle name="강조색3 29 2" xfId="1947" xr:uid="{CCB7607C-1770-4DF3-82CC-B5F22AF1A3EB}"/>
    <cellStyle name="강조색3 3" xfId="1948" xr:uid="{B7C09361-F27D-4EBB-A142-C2E71E512DA0}"/>
    <cellStyle name="강조색3 3 2" xfId="1949" xr:uid="{ABC95781-FCEE-4306-8A58-012F7BA8074B}"/>
    <cellStyle name="강조색3 30" xfId="1950" xr:uid="{C1240C51-03DE-4984-B730-CAA8863D6142}"/>
    <cellStyle name="강조색3 30 2" xfId="1951" xr:uid="{B24F1FF3-AAC9-49D6-B96B-E4BEFC426553}"/>
    <cellStyle name="강조색3 31" xfId="1952" xr:uid="{1ECECA94-C892-45EE-A1C8-7CF0BF5E007C}"/>
    <cellStyle name="강조색3 31 2" xfId="1953" xr:uid="{00EBB8C7-BB05-4107-9517-0CEEE9FF319D}"/>
    <cellStyle name="강조색3 32" xfId="1954" xr:uid="{DAA6F833-AE69-4EAF-A90B-A733075E896E}"/>
    <cellStyle name="강조색3 32 2" xfId="1955" xr:uid="{7308971F-381F-459B-B8F6-53743B08BB3F}"/>
    <cellStyle name="강조색3 33" xfId="1956" xr:uid="{A45DCEC8-089A-4873-B816-4C5358183ADD}"/>
    <cellStyle name="강조색3 33 2" xfId="1957" xr:uid="{6489393E-B500-4A31-AC76-F2AA19CD13F9}"/>
    <cellStyle name="강조색3 34" xfId="1958" xr:uid="{9D855EBC-5B96-425D-AE55-51B82143E188}"/>
    <cellStyle name="강조색3 34 2" xfId="1959" xr:uid="{0894206B-D853-4F3B-B03C-DCE2E2A6A502}"/>
    <cellStyle name="강조색3 35" xfId="1960" xr:uid="{EC32719F-8DFB-44C1-8BF2-DF0BB2FA9DDB}"/>
    <cellStyle name="강조색3 35 2" xfId="1961" xr:uid="{AD4B6D5B-6C74-4E08-8E2D-CAA4CF446ACE}"/>
    <cellStyle name="강조색3 36" xfId="1962" xr:uid="{1191E7BD-ACE4-4423-8E7D-C0C24200E13B}"/>
    <cellStyle name="강조색3 36 2" xfId="1963" xr:uid="{0A7A60EE-62B5-48B4-B2DE-13FFB0EAC5F3}"/>
    <cellStyle name="강조색3 37" xfId="1964" xr:uid="{AD4ABEB2-E7CC-4FC0-B133-230F00C07A65}"/>
    <cellStyle name="강조색3 37 2" xfId="1965" xr:uid="{CBCB1CA5-2FD5-480D-B494-2D5BC4C96914}"/>
    <cellStyle name="강조색3 38" xfId="1966" xr:uid="{60A84103-95FF-425F-8D7B-FE005FC1CD6A}"/>
    <cellStyle name="강조색3 38 2" xfId="1967" xr:uid="{DBD66D31-D851-46DF-9D35-E538A2EC3495}"/>
    <cellStyle name="강조색3 39" xfId="1968" xr:uid="{137E3025-D85C-463A-AEA7-6971AB0AE845}"/>
    <cellStyle name="강조색3 39 2" xfId="1969" xr:uid="{CCEFA7BF-6BED-4E2F-9603-A3A05ED0CF3B}"/>
    <cellStyle name="강조색3 4" xfId="1970" xr:uid="{1170F845-3137-49D3-A98D-073EE90BB843}"/>
    <cellStyle name="강조색3 4 2" xfId="1971" xr:uid="{E072A6B2-6765-4FE5-B0AD-6702FC750D74}"/>
    <cellStyle name="강조색3 40" xfId="1972" xr:uid="{AD34BD0B-4781-4E72-B6E8-33E57138CF16}"/>
    <cellStyle name="강조색3 40 2" xfId="1973" xr:uid="{3DBBB0DC-CCA3-4CCB-A28F-DDAFDA37528C}"/>
    <cellStyle name="강조색3 41" xfId="1974" xr:uid="{9AD8496B-9715-4CC6-8B1C-BDABBC81C6F1}"/>
    <cellStyle name="강조색3 41 2" xfId="1975" xr:uid="{DA326C71-86F6-4330-89D3-7CDCA33CACF0}"/>
    <cellStyle name="강조색3 42" xfId="1976" xr:uid="{3640F5A5-5D71-4C1D-B0D9-B9D878F07E64}"/>
    <cellStyle name="강조색3 42 2" xfId="1977" xr:uid="{A8AF5036-4932-4327-A02E-501AA94A7343}"/>
    <cellStyle name="강조색3 43" xfId="1978" xr:uid="{5154F9E3-E45D-47A0-9D45-A1440BA0D358}"/>
    <cellStyle name="강조색3 43 2" xfId="1979" xr:uid="{2BC3F07A-F101-4B76-A2D7-30F5C197B7C1}"/>
    <cellStyle name="강조색3 44" xfId="1980" xr:uid="{F5DDB3A0-EB03-4D65-80C4-1EC1F1363616}"/>
    <cellStyle name="강조색3 45" xfId="1981" xr:uid="{B84FE912-11B3-498D-A6B2-7954B8AB3E76}"/>
    <cellStyle name="강조색3 46" xfId="1982" xr:uid="{BBD9EE0E-A544-4055-B7B0-7EE6F7C78739}"/>
    <cellStyle name="강조색3 47" xfId="1905" xr:uid="{786D53C2-0413-4DC0-A76A-49ADC8E39493}"/>
    <cellStyle name="강조색3 5" xfId="1983" xr:uid="{B648CCCC-9957-441E-9C7D-8110D2CB1358}"/>
    <cellStyle name="강조색3 5 2" xfId="1984" xr:uid="{2781A8B4-8CD3-4BC7-8B1D-3D7AD4BAC55F}"/>
    <cellStyle name="강조색3 6" xfId="1985" xr:uid="{3B715929-5F2E-4EBF-9B36-47B54DBDF5C7}"/>
    <cellStyle name="강조색3 6 2" xfId="1986" xr:uid="{75633692-6F80-4C73-A5E0-9B5E731FFB72}"/>
    <cellStyle name="강조색3 7" xfId="1987" xr:uid="{D4DB5AC7-B7C7-4E72-B8BD-96EDED7DBA40}"/>
    <cellStyle name="강조색3 7 2" xfId="1988" xr:uid="{1826E155-E9C2-45BA-96C9-230653D481D3}"/>
    <cellStyle name="강조색3 8" xfId="1989" xr:uid="{4AF72F13-3491-477D-BDA7-605651AC7349}"/>
    <cellStyle name="강조색3 8 2" xfId="1990" xr:uid="{FF0ACB30-F070-4E71-970C-F97C23D9FD2E}"/>
    <cellStyle name="강조색3 9" xfId="1991" xr:uid="{5EECD119-1AAA-43AC-822A-CCB6917E9493}"/>
    <cellStyle name="강조색3 9 2" xfId="1992" xr:uid="{746BAF77-671E-4C9E-9424-C527133FFDF5}"/>
    <cellStyle name="강조색4 10" xfId="1994" xr:uid="{72538C04-669C-4991-A7D5-3C0027253C91}"/>
    <cellStyle name="강조색4 10 2" xfId="1995" xr:uid="{3E4E0F2A-FA17-48E9-8E66-4BA532012CF3}"/>
    <cellStyle name="강조색4 11" xfId="1996" xr:uid="{1D203B58-4201-45E3-93A1-A290A8C668DA}"/>
    <cellStyle name="강조색4 11 2" xfId="1997" xr:uid="{98C8A0B3-A6C2-4518-A657-DB60B88A6809}"/>
    <cellStyle name="강조색4 12" xfId="1998" xr:uid="{C0467D2C-C8B9-47A4-B379-AAB646477069}"/>
    <cellStyle name="강조색4 12 2" xfId="1999" xr:uid="{FBF07DD2-B270-4BDB-90BF-84B16274FDC4}"/>
    <cellStyle name="강조색4 13" xfId="2000" xr:uid="{AFEF718B-2285-4E0B-A4D7-939FC8FEE5E2}"/>
    <cellStyle name="강조색4 13 2" xfId="2001" xr:uid="{74142B85-71C4-4D98-8EF8-7721021A3AA6}"/>
    <cellStyle name="강조색4 14" xfId="2002" xr:uid="{D352E8B1-7420-415F-9952-74C500794478}"/>
    <cellStyle name="강조색4 14 2" xfId="2003" xr:uid="{080CA48F-EC8F-44A6-9C04-35313FE68DBB}"/>
    <cellStyle name="강조색4 15" xfId="2004" xr:uid="{4E594488-1C7C-44C1-9843-F83F6493267D}"/>
    <cellStyle name="강조색4 15 2" xfId="2005" xr:uid="{B3CFA72E-6C45-4547-9FDD-3761169FEDCA}"/>
    <cellStyle name="강조색4 16" xfId="2006" xr:uid="{27E6640A-492E-4899-87B1-46565CEB25C7}"/>
    <cellStyle name="강조색4 16 2" xfId="2007" xr:uid="{CCB153C4-C2B1-4274-B55E-08DC3CA9FBE5}"/>
    <cellStyle name="강조색4 17" xfId="2008" xr:uid="{45A9CFC9-8A73-4B1A-AF53-D24F2996A590}"/>
    <cellStyle name="강조색4 17 2" xfId="2009" xr:uid="{14D576EE-CD8F-412E-9EDB-4FC288C9799A}"/>
    <cellStyle name="강조색4 18" xfId="2010" xr:uid="{3C7550B3-AB69-40EC-9CA7-AD03D584CC38}"/>
    <cellStyle name="강조색4 18 2" xfId="2011" xr:uid="{30276608-0ACB-4A31-98E2-AFE3A9B7273C}"/>
    <cellStyle name="강조색4 19" xfId="2012" xr:uid="{24FBAB5E-9062-4BC7-A044-114ADB7A896B}"/>
    <cellStyle name="강조색4 19 2" xfId="2013" xr:uid="{E330B894-164B-44FE-9804-0B6925E67C29}"/>
    <cellStyle name="강조색4 2" xfId="2014" xr:uid="{09EB8B6E-6B9E-499A-8426-107A1B29381F}"/>
    <cellStyle name="강조색4 2 2" xfId="2015" xr:uid="{6E1C30B0-FF60-45C4-B70F-BC81FAF33552}"/>
    <cellStyle name="강조색4 20" xfId="2016" xr:uid="{D8F10BCE-08F8-451B-8F2A-4CF1942E2EBA}"/>
    <cellStyle name="강조색4 20 2" xfId="2017" xr:uid="{CE73D9CC-3F64-4A72-BAC9-046D4A8C6F7C}"/>
    <cellStyle name="강조색4 21" xfId="2018" xr:uid="{C0D4FB00-64A3-45E3-86F9-5034F66AC488}"/>
    <cellStyle name="강조색4 21 2" xfId="2019" xr:uid="{D9757788-D711-46D9-994F-BEFC751CDAC0}"/>
    <cellStyle name="강조색4 22" xfId="2020" xr:uid="{9795F4EC-474E-49A3-8EC8-3B4FD60EA700}"/>
    <cellStyle name="강조색4 22 2" xfId="2021" xr:uid="{17824FFC-0CE9-481F-A894-720A08EF6578}"/>
    <cellStyle name="강조색4 23" xfId="2022" xr:uid="{AAC10590-E248-4776-992D-8C34D78152F8}"/>
    <cellStyle name="강조색4 23 2" xfId="2023" xr:uid="{092687F7-996A-4889-8EAC-C068EDB999B5}"/>
    <cellStyle name="강조색4 24" xfId="2024" xr:uid="{B0149164-300D-4E20-80A4-384E351F1442}"/>
    <cellStyle name="강조색4 24 2" xfId="2025" xr:uid="{A0FBC5D5-1655-42DB-8790-878B7D48E324}"/>
    <cellStyle name="강조색4 25" xfId="2026" xr:uid="{C3EAC0AC-0DEF-4E85-9713-28AC0193D1F7}"/>
    <cellStyle name="강조색4 25 2" xfId="2027" xr:uid="{DB512A11-F155-405E-A664-2A01E1849655}"/>
    <cellStyle name="강조색4 26" xfId="2028" xr:uid="{A4B48584-5DCD-4CA7-B510-98DC81D39D00}"/>
    <cellStyle name="강조색4 26 2" xfId="2029" xr:uid="{82F09F7B-A364-4B04-91DC-97F8F13A063D}"/>
    <cellStyle name="강조색4 27" xfId="2030" xr:uid="{231CEC10-0E38-4935-8D61-8F968B6E6E64}"/>
    <cellStyle name="강조색4 27 2" xfId="2031" xr:uid="{2AEA61C7-485D-4578-82B5-7E879DB227F4}"/>
    <cellStyle name="강조색4 28" xfId="2032" xr:uid="{708F6E04-7C98-4A5D-A42A-CB2ADE6F7B15}"/>
    <cellStyle name="강조색4 28 2" xfId="2033" xr:uid="{41CEAC4C-D11C-4493-A908-A14B54A0F900}"/>
    <cellStyle name="강조색4 29" xfId="2034" xr:uid="{83371FAA-F20A-49E2-B0C7-908A24B0A864}"/>
    <cellStyle name="강조색4 29 2" xfId="2035" xr:uid="{4FA79BC8-892B-467B-8665-F8ABE08926A0}"/>
    <cellStyle name="강조색4 3" xfId="2036" xr:uid="{5CE78FC2-0AA7-4B1B-9193-AC3F415B7463}"/>
    <cellStyle name="강조색4 3 2" xfId="2037" xr:uid="{305C5ECE-22B0-4682-8DAE-894146086F68}"/>
    <cellStyle name="강조색4 30" xfId="2038" xr:uid="{A61003C7-6FCB-4D2D-BF37-2E212DE8BD13}"/>
    <cellStyle name="강조색4 30 2" xfId="2039" xr:uid="{03EBB4F8-62D5-43F6-B3C0-6FDE84D2505D}"/>
    <cellStyle name="강조색4 31" xfId="2040" xr:uid="{739FAC4B-CD55-4BDB-BCBD-1BD3321C4434}"/>
    <cellStyle name="강조색4 31 2" xfId="2041" xr:uid="{6D3D3D4B-1426-4D59-95EB-11F7AF30CE09}"/>
    <cellStyle name="강조색4 32" xfId="2042" xr:uid="{3CF52BBC-3BB3-40C7-8F74-3C33DB622411}"/>
    <cellStyle name="강조색4 32 2" xfId="2043" xr:uid="{280AC363-31FF-4781-9DED-217886570DA4}"/>
    <cellStyle name="강조색4 33" xfId="2044" xr:uid="{9930105F-FDC7-4D6C-B33D-720C4C7F8B12}"/>
    <cellStyle name="강조색4 33 2" xfId="2045" xr:uid="{60010646-5FC9-42BB-A2F1-9B3E74178F52}"/>
    <cellStyle name="강조색4 34" xfId="2046" xr:uid="{B8EE0787-BCC9-4704-95CF-888B399656AD}"/>
    <cellStyle name="강조색4 34 2" xfId="2047" xr:uid="{886BAD73-BDDB-4ECD-8DAB-0EF429942489}"/>
    <cellStyle name="강조색4 35" xfId="2048" xr:uid="{3160FA17-4B08-40A3-9391-3F341A91B563}"/>
    <cellStyle name="강조색4 35 2" xfId="2049" xr:uid="{C92AB036-7F5F-4962-BB78-6927A92C027C}"/>
    <cellStyle name="강조색4 36" xfId="2050" xr:uid="{E1AE0956-B338-45B4-BB72-14B440E3EE39}"/>
    <cellStyle name="강조색4 36 2" xfId="2051" xr:uid="{9BC77CD6-9050-4B81-9836-3AD2F6394426}"/>
    <cellStyle name="강조색4 37" xfId="2052" xr:uid="{5419EA2E-B08E-4BE1-AAF5-A18A46640FA1}"/>
    <cellStyle name="강조색4 37 2" xfId="2053" xr:uid="{63A29DD4-298E-4A26-B2FD-FF7898F1BF85}"/>
    <cellStyle name="강조색4 38" xfId="2054" xr:uid="{4EE586E8-7173-4522-9088-98506FBF1D4A}"/>
    <cellStyle name="강조색4 38 2" xfId="2055" xr:uid="{65A01762-BD89-45D0-A4F1-71A241C54B06}"/>
    <cellStyle name="강조색4 39" xfId="2056" xr:uid="{D8FEB8F6-C897-4910-83DF-94521975988B}"/>
    <cellStyle name="강조색4 39 2" xfId="2057" xr:uid="{172DC26D-6990-4FB2-AF61-81D245AB75B1}"/>
    <cellStyle name="강조색4 4" xfId="2058" xr:uid="{9773F11E-68CA-46A1-96D2-0413BCB918EC}"/>
    <cellStyle name="강조색4 4 2" xfId="2059" xr:uid="{255B4F9F-56FE-44F8-9821-28C87AC96DFE}"/>
    <cellStyle name="강조색4 40" xfId="2060" xr:uid="{6F3A170A-0652-4ED8-BEAF-13D7F42526B2}"/>
    <cellStyle name="강조색4 40 2" xfId="2061" xr:uid="{F46CF570-8102-461D-A6C7-B0957C1E64E3}"/>
    <cellStyle name="강조색4 41" xfId="2062" xr:uid="{B62EB261-C0A9-4BBE-A3F3-607582E7B454}"/>
    <cellStyle name="강조색4 41 2" xfId="2063" xr:uid="{4F8E27FE-86BA-48E1-9AF8-F8DE46EC47D9}"/>
    <cellStyle name="강조색4 42" xfId="2064" xr:uid="{0086F90F-107E-42D4-8487-76BF3AC389DF}"/>
    <cellStyle name="강조색4 42 2" xfId="2065" xr:uid="{FB4A4F87-D348-4FE7-BD32-A8C630C4B4C2}"/>
    <cellStyle name="강조색4 43" xfId="2066" xr:uid="{013C2A85-7AF9-4D76-AAFE-3FD88C11E646}"/>
    <cellStyle name="강조색4 43 2" xfId="2067" xr:uid="{DAF6CD21-51DF-46C4-97DA-E5B62E7DBB91}"/>
    <cellStyle name="강조색4 44" xfId="2068" xr:uid="{D3FA1B1D-1223-4EB0-B37E-387CD5553D89}"/>
    <cellStyle name="강조색4 45" xfId="2069" xr:uid="{217D2DF7-B280-4B4C-B198-416CDABFF002}"/>
    <cellStyle name="강조색4 46" xfId="2070" xr:uid="{6CF83D30-65C9-4636-80C1-23D482243C13}"/>
    <cellStyle name="강조색4 47" xfId="1993" xr:uid="{FE9C45E4-B73E-4E82-8A67-7A16982B3022}"/>
    <cellStyle name="강조색4 5" xfId="2071" xr:uid="{C7BDD1CB-CA69-4CFB-A844-14BEFCC91D70}"/>
    <cellStyle name="강조색4 5 2" xfId="2072" xr:uid="{825E2F80-80DB-4044-BCA1-72155137398C}"/>
    <cellStyle name="강조색4 6" xfId="2073" xr:uid="{B2305605-6393-43AC-B9BF-A522BBE460D2}"/>
    <cellStyle name="강조색4 6 2" xfId="2074" xr:uid="{BA653DC3-D2CC-4C05-A117-7D968164C6C7}"/>
    <cellStyle name="강조색4 7" xfId="2075" xr:uid="{2B27D295-CB5F-4DF9-BCA9-3B6191BAFFB4}"/>
    <cellStyle name="강조색4 7 2" xfId="2076" xr:uid="{34C47B11-1580-4B07-AF35-3D4F0F492EB9}"/>
    <cellStyle name="강조색4 8" xfId="2077" xr:uid="{72E0AD98-E92A-4A32-B197-0C5CBACAECEE}"/>
    <cellStyle name="강조색4 8 2" xfId="2078" xr:uid="{C40EE63F-513C-4A84-A6F3-F15F6871C337}"/>
    <cellStyle name="강조색4 9" xfId="2079" xr:uid="{63793931-1A62-4F3A-8CC1-76A7E0A2F5AE}"/>
    <cellStyle name="강조색4 9 2" xfId="2080" xr:uid="{532F1B4D-CDB2-48D7-B035-86B1B6B00694}"/>
    <cellStyle name="강조색5 10" xfId="2082" xr:uid="{C5F2F70F-F773-4F2E-AB92-93B4EAF8F213}"/>
    <cellStyle name="강조색5 10 2" xfId="2083" xr:uid="{ECE51325-0589-4A51-BCF4-0677ACC127D0}"/>
    <cellStyle name="강조색5 11" xfId="2084" xr:uid="{3BA906C5-9125-45A4-ADBE-36BEEAB1ED89}"/>
    <cellStyle name="강조색5 11 2" xfId="2085" xr:uid="{6327F436-CF85-4A94-9A3D-AC8D4ABDD5F9}"/>
    <cellStyle name="강조색5 12" xfId="2086" xr:uid="{40E73AC1-0BBB-4DE1-9271-FCDDC9B4E50E}"/>
    <cellStyle name="강조색5 12 2" xfId="2087" xr:uid="{9977F95A-8730-4017-B67B-9DCA9E48CC89}"/>
    <cellStyle name="강조색5 13" xfId="2088" xr:uid="{09E29086-30C0-47E5-BDC1-B129ECA10A8D}"/>
    <cellStyle name="강조색5 13 2" xfId="2089" xr:uid="{9384E864-792B-41D4-86D7-8831C823FD36}"/>
    <cellStyle name="강조색5 14" xfId="2090" xr:uid="{AF786662-8F77-4ABE-8B99-9F088D6FF2F2}"/>
    <cellStyle name="강조색5 14 2" xfId="2091" xr:uid="{25A8960F-52AC-4F4D-A61B-0683D982DA99}"/>
    <cellStyle name="강조색5 15" xfId="2092" xr:uid="{AD74B2E5-96A9-4C12-9DD8-713CA9604E46}"/>
    <cellStyle name="강조색5 15 2" xfId="2093" xr:uid="{A6ABCFB8-5865-4960-B0B2-E9B422A8B2D5}"/>
    <cellStyle name="강조색5 16" xfId="2094" xr:uid="{C34BDBE6-F597-4A57-A48E-64BBAB681A97}"/>
    <cellStyle name="강조색5 16 2" xfId="2095" xr:uid="{07B02F8D-A0E8-4998-A3E5-B10287D2D3D9}"/>
    <cellStyle name="강조색5 17" xfId="2096" xr:uid="{8A761E31-F826-4092-B45A-AAAFCE8F3014}"/>
    <cellStyle name="강조색5 17 2" xfId="2097" xr:uid="{7648A22A-D0FA-4314-88A9-211DAEE04A31}"/>
    <cellStyle name="강조색5 18" xfId="2098" xr:uid="{0073BCA5-39C2-454F-BF5F-7D509F93B95A}"/>
    <cellStyle name="강조색5 18 2" xfId="2099" xr:uid="{EEE22167-1498-45D0-8288-06C77D531A56}"/>
    <cellStyle name="강조색5 19" xfId="2100" xr:uid="{04DF7D66-F49C-451A-BFAA-43F8F8CD954E}"/>
    <cellStyle name="강조색5 19 2" xfId="2101" xr:uid="{80040185-F15F-47F9-8A1E-428B58759FD9}"/>
    <cellStyle name="강조색5 2" xfId="2102" xr:uid="{22DA1FF7-C76D-4744-A591-A5E98CAB54D9}"/>
    <cellStyle name="강조색5 2 2" xfId="2103" xr:uid="{B30A96F4-6576-43D7-BB16-5D14D24C35FE}"/>
    <cellStyle name="강조색5 20" xfId="2104" xr:uid="{9E250611-8E8B-4D9E-BEA9-84E5E42D7340}"/>
    <cellStyle name="강조색5 20 2" xfId="2105" xr:uid="{29A971F1-183E-4316-8BE7-0E2293B1DCA9}"/>
    <cellStyle name="강조색5 21" xfId="2106" xr:uid="{A745B775-E4AC-4D54-8B2C-76A8448120B1}"/>
    <cellStyle name="강조색5 21 2" xfId="2107" xr:uid="{BD1ED3C7-4694-4F03-82EA-97BF6E2F1E7C}"/>
    <cellStyle name="강조색5 22" xfId="2108" xr:uid="{1548FACB-C265-4077-99BC-C0D5A6DC72D1}"/>
    <cellStyle name="강조색5 22 2" xfId="2109" xr:uid="{9712072F-E588-4A25-A2CF-89C5997F6D04}"/>
    <cellStyle name="강조색5 23" xfId="2110" xr:uid="{520A47FA-74BA-49A3-B526-CAFE9FB5256E}"/>
    <cellStyle name="강조색5 23 2" xfId="2111" xr:uid="{736DE6CD-5A3A-4DAA-8809-7A05C12F2BED}"/>
    <cellStyle name="강조색5 24" xfId="2112" xr:uid="{E842197D-6B06-4397-9EE1-A4622C3BEB5F}"/>
    <cellStyle name="강조색5 24 2" xfId="2113" xr:uid="{7E8A5238-C8D0-4E55-9748-A61B1411919B}"/>
    <cellStyle name="강조색5 25" xfId="2114" xr:uid="{B0695E61-05B5-435B-8E69-93A3E478DAE1}"/>
    <cellStyle name="강조색5 25 2" xfId="2115" xr:uid="{949A8B16-39C0-42BB-960B-63D147ED31F9}"/>
    <cellStyle name="강조색5 26" xfId="2116" xr:uid="{7C5BE567-5653-4402-92FF-D2A608E987B4}"/>
    <cellStyle name="강조색5 26 2" xfId="2117" xr:uid="{217D87E3-3B0F-4BF4-8DA8-D77497DEAA83}"/>
    <cellStyle name="강조색5 27" xfId="2118" xr:uid="{84EF08CB-4FF9-4564-B1B2-3B9D8C2FCCE0}"/>
    <cellStyle name="강조색5 27 2" xfId="2119" xr:uid="{C93D98E0-B2AE-40A9-AA7D-6F5674ADDF50}"/>
    <cellStyle name="강조색5 28" xfId="2120" xr:uid="{4F419828-C8E9-4050-B2AF-F871DCCE5B3A}"/>
    <cellStyle name="강조색5 28 2" xfId="2121" xr:uid="{4F64D539-2F5A-49EC-AAD8-66D2917A260D}"/>
    <cellStyle name="강조색5 29" xfId="2122" xr:uid="{B6622498-9E38-4C62-9691-F65471ADA63E}"/>
    <cellStyle name="강조색5 29 2" xfId="2123" xr:uid="{6768E98B-1F56-4FED-BF59-B7E3BE4EFD7B}"/>
    <cellStyle name="강조색5 3" xfId="2124" xr:uid="{1E20C165-55A9-47EE-B05E-0FF7D783F4AF}"/>
    <cellStyle name="강조색5 3 2" xfId="2125" xr:uid="{4C7F2C51-9563-4A8C-9C17-978298312DE6}"/>
    <cellStyle name="강조색5 30" xfId="2126" xr:uid="{4A8392A9-1920-4E83-88CF-922E215A2457}"/>
    <cellStyle name="강조색5 30 2" xfId="2127" xr:uid="{96128459-52C9-4812-827F-E909B9E28ABB}"/>
    <cellStyle name="강조색5 31" xfId="2128" xr:uid="{19656A95-A1FA-4FC3-BE72-1693B2CF7869}"/>
    <cellStyle name="강조색5 31 2" xfId="2129" xr:uid="{D65A8286-2F0D-4CB0-877A-96424B6BD6C1}"/>
    <cellStyle name="강조색5 32" xfId="2130" xr:uid="{FCB26799-05D1-400E-B943-036F55A246E2}"/>
    <cellStyle name="강조색5 32 2" xfId="2131" xr:uid="{969B1F4D-6516-40D0-B0D4-1119D235E596}"/>
    <cellStyle name="강조색5 33" xfId="2132" xr:uid="{91179FA5-8DDB-4A7C-A549-1D69022C90EB}"/>
    <cellStyle name="강조색5 33 2" xfId="2133" xr:uid="{E270586E-80C0-4CAE-82BD-670DE59A661E}"/>
    <cellStyle name="강조색5 34" xfId="2134" xr:uid="{ED64A1F4-7823-4506-89FD-4BFBBA5509A8}"/>
    <cellStyle name="강조색5 34 2" xfId="2135" xr:uid="{DC144FAC-AA51-428F-A94B-64731DFA3D64}"/>
    <cellStyle name="강조색5 35" xfId="2136" xr:uid="{32E92EAF-07D6-44FC-BC2A-0FE0A76F8C19}"/>
    <cellStyle name="강조색5 35 2" xfId="2137" xr:uid="{DA1D80BC-9F45-43CE-93AB-E99498CDD180}"/>
    <cellStyle name="강조색5 36" xfId="2138" xr:uid="{59BA5602-F919-4DF5-9101-584F8D8ECF20}"/>
    <cellStyle name="강조색5 36 2" xfId="2139" xr:uid="{93C1BC94-65CC-4F4C-B91E-9837BDDFD3BD}"/>
    <cellStyle name="강조색5 37" xfId="2140" xr:uid="{E9A69AC7-4E53-4285-BD60-549B2CAAFDA1}"/>
    <cellStyle name="강조색5 37 2" xfId="2141" xr:uid="{61863650-9EEE-4180-A7EE-59917A33AE63}"/>
    <cellStyle name="강조색5 38" xfId="2142" xr:uid="{DDA94D27-19ED-4F91-B1F1-D3EF4D301181}"/>
    <cellStyle name="강조색5 38 2" xfId="2143" xr:uid="{A3285282-4051-47B0-BFBE-E040DC74DD22}"/>
    <cellStyle name="강조색5 39" xfId="2144" xr:uid="{6CEC7640-453F-40E3-86CA-D4AB321ACE3F}"/>
    <cellStyle name="강조색5 39 2" xfId="2145" xr:uid="{778DE008-D643-40A7-9E77-6923898A0A3B}"/>
    <cellStyle name="강조색5 4" xfId="2146" xr:uid="{30257787-936A-4A92-B829-7E92069AB150}"/>
    <cellStyle name="강조색5 4 2" xfId="2147" xr:uid="{53AC1382-4941-4538-95E3-C5CC9BBE741D}"/>
    <cellStyle name="강조색5 40" xfId="2148" xr:uid="{BBDCB9EA-8988-4F41-A649-55EF6FFBA842}"/>
    <cellStyle name="강조색5 40 2" xfId="2149" xr:uid="{5370B074-2E4E-4206-88B7-F3ADA6229C95}"/>
    <cellStyle name="강조색5 41" xfId="2150" xr:uid="{CC6E090B-0098-417B-B69A-3858F6BE04FD}"/>
    <cellStyle name="강조색5 41 2" xfId="2151" xr:uid="{C183802B-4ECD-4D1A-8256-0A8B6AB965CA}"/>
    <cellStyle name="강조색5 42" xfId="2152" xr:uid="{1A28A830-B57C-4D12-9DC3-15406FFE3F9C}"/>
    <cellStyle name="강조색5 42 2" xfId="2153" xr:uid="{83E386DA-B23E-4700-9FB9-4D6A60FEFA03}"/>
    <cellStyle name="강조색5 43" xfId="2154" xr:uid="{C0B38BF7-A53C-4515-8959-B303CFB0827E}"/>
    <cellStyle name="강조색5 43 2" xfId="2155" xr:uid="{1085ADE8-F1FC-4C75-92F8-4DED1908D6BF}"/>
    <cellStyle name="강조색5 44" xfId="2156" xr:uid="{896244B1-B4E0-4A8A-8236-A121DB439BA2}"/>
    <cellStyle name="강조색5 45" xfId="2157" xr:uid="{B3A0AD52-A5E1-4A3A-A907-AE0599576345}"/>
    <cellStyle name="강조색5 46" xfId="2158" xr:uid="{99657171-1F96-422D-9A10-7F1EEB104FC8}"/>
    <cellStyle name="강조색5 47" xfId="2081" xr:uid="{81561562-56BE-4A9B-9690-1B7FFFCAAC40}"/>
    <cellStyle name="강조색5 5" xfId="2159" xr:uid="{57FD608F-00FF-4F7C-9514-8A7933E6F1C8}"/>
    <cellStyle name="강조색5 5 2" xfId="2160" xr:uid="{5C5D498B-5045-413B-A9A1-17818A982127}"/>
    <cellStyle name="강조색5 6" xfId="2161" xr:uid="{1084A526-2FDA-4141-9792-02FA182553AF}"/>
    <cellStyle name="강조색5 6 2" xfId="2162" xr:uid="{837FDD46-FE2C-48CC-929C-14CDA5C5E25F}"/>
    <cellStyle name="강조색5 7" xfId="2163" xr:uid="{DD10F91B-5F47-47A6-B48C-DFE2E65EB685}"/>
    <cellStyle name="강조색5 7 2" xfId="2164" xr:uid="{D2379474-31BB-4DC0-A2AD-C725C5624D65}"/>
    <cellStyle name="강조색5 8" xfId="2165" xr:uid="{2AFEF733-2062-4146-A130-4DCFF356987C}"/>
    <cellStyle name="강조색5 8 2" xfId="2166" xr:uid="{68EC6434-58EA-45B6-8FA1-0FFCB8CDA2D1}"/>
    <cellStyle name="강조색5 9" xfId="2167" xr:uid="{B91DEBCC-05BE-416B-8FED-F15312E7FBAC}"/>
    <cellStyle name="강조색5 9 2" xfId="2168" xr:uid="{4F77EA4E-5314-4BE4-99B8-0AC79477F5D3}"/>
    <cellStyle name="강조색6 10" xfId="2170" xr:uid="{D0BA62A1-6937-4962-B5AF-77F9CEADD291}"/>
    <cellStyle name="강조색6 10 2" xfId="2171" xr:uid="{E60B7F22-5D9D-4135-BC05-7CC0F587BE3B}"/>
    <cellStyle name="강조색6 11" xfId="2172" xr:uid="{76273359-43B0-4265-A21F-249098C98DFE}"/>
    <cellStyle name="강조색6 11 2" xfId="2173" xr:uid="{478DDCD6-2254-4B47-99B7-385E0B0ABE21}"/>
    <cellStyle name="강조색6 12" xfId="2174" xr:uid="{51CB2423-52C7-4EF1-A9C9-C104108B0C23}"/>
    <cellStyle name="강조색6 12 2" xfId="2175" xr:uid="{360A4CCA-C5B1-4EAB-BCE0-8CE08F972352}"/>
    <cellStyle name="강조색6 13" xfId="2176" xr:uid="{2D3164B1-AE9E-41E1-87BC-A50FFCAA3CAF}"/>
    <cellStyle name="강조색6 13 2" xfId="2177" xr:uid="{A99138E7-2F56-4CD9-8AAA-BC2C1507FB1B}"/>
    <cellStyle name="강조색6 14" xfId="2178" xr:uid="{7A467582-C312-4C29-9A43-B5B448DE38E7}"/>
    <cellStyle name="강조색6 14 2" xfId="2179" xr:uid="{7B401466-9C03-4651-BDDA-9F48C9A0A38B}"/>
    <cellStyle name="강조색6 15" xfId="2180" xr:uid="{6FD0134B-DA8E-448A-B740-59D1EB2A486C}"/>
    <cellStyle name="강조색6 15 2" xfId="2181" xr:uid="{99365563-D825-4B87-AD2B-4B112529A723}"/>
    <cellStyle name="강조색6 16" xfId="2182" xr:uid="{066FE7C3-BF15-43D6-88A6-AC4BDA65C1FA}"/>
    <cellStyle name="강조색6 16 2" xfId="2183" xr:uid="{08E33D82-FDFC-44A6-9EB6-CB395BF1EECE}"/>
    <cellStyle name="강조색6 17" xfId="2184" xr:uid="{E5B34717-243C-4B08-937C-8CFFC10D19AD}"/>
    <cellStyle name="강조색6 17 2" xfId="2185" xr:uid="{6F6E457C-2AC3-45E5-BD37-92D2D96D0595}"/>
    <cellStyle name="강조색6 18" xfId="2186" xr:uid="{DE39BB4E-6735-455F-8399-444CBA633C92}"/>
    <cellStyle name="강조색6 18 2" xfId="2187" xr:uid="{1DEC1086-C027-4C3B-8A50-BD88CDCDB219}"/>
    <cellStyle name="강조색6 19" xfId="2188" xr:uid="{D547CE8D-8DF0-4313-ACAE-BB89D6365AE1}"/>
    <cellStyle name="강조색6 19 2" xfId="2189" xr:uid="{FC176D49-67F9-498F-8161-D5A428FA501D}"/>
    <cellStyle name="강조색6 2" xfId="2190" xr:uid="{E409F550-10B5-4B0B-BE25-8F014A498A24}"/>
    <cellStyle name="강조색6 2 2" xfId="2191" xr:uid="{5B674793-BD5F-49E6-BEA6-F5635D0ED2DE}"/>
    <cellStyle name="강조색6 20" xfId="2192" xr:uid="{4BE9DF97-49C8-4859-9AFB-B7C338ACBEE1}"/>
    <cellStyle name="강조색6 20 2" xfId="2193" xr:uid="{521EFF51-0E8A-4407-A3D8-CF92ABEB0394}"/>
    <cellStyle name="강조색6 21" xfId="2194" xr:uid="{5F2A1273-B428-444D-AF44-A068067B2795}"/>
    <cellStyle name="강조색6 21 2" xfId="2195" xr:uid="{233F0954-0444-433F-80CE-BBB49A1176E5}"/>
    <cellStyle name="강조색6 22" xfId="2196" xr:uid="{BC41F606-760A-444D-9DAB-EC31E672D99F}"/>
    <cellStyle name="강조색6 22 2" xfId="2197" xr:uid="{53AB9573-10D1-4939-9685-BE07DDB234CF}"/>
    <cellStyle name="강조색6 23" xfId="2198" xr:uid="{62DFBD13-B8DD-4A8C-A705-A8D3DE7EA12B}"/>
    <cellStyle name="강조색6 23 2" xfId="2199" xr:uid="{344B741C-D5AA-4420-8581-C1A51A61E3A8}"/>
    <cellStyle name="강조색6 24" xfId="2200" xr:uid="{27EF1926-9727-42D4-AF21-90D181BF8C25}"/>
    <cellStyle name="강조색6 24 2" xfId="2201" xr:uid="{249AF3BA-5E3C-4416-9084-B48B37960CEA}"/>
    <cellStyle name="강조색6 25" xfId="2202" xr:uid="{445D11AC-8C0B-402C-BCAD-A5291D9518A8}"/>
    <cellStyle name="강조색6 25 2" xfId="2203" xr:uid="{9061E541-917F-4DCE-85E3-92101BFD2DA4}"/>
    <cellStyle name="강조색6 26" xfId="2204" xr:uid="{44099ADC-27F9-4B4F-8B76-DF0109E52975}"/>
    <cellStyle name="강조색6 26 2" xfId="2205" xr:uid="{575FC9AA-5F10-48FE-BF3E-320422FA062B}"/>
    <cellStyle name="강조색6 27" xfId="2206" xr:uid="{098536BC-244B-4E5A-90D8-F4875F689F5C}"/>
    <cellStyle name="강조색6 27 2" xfId="2207" xr:uid="{41FEB4B3-BE4D-4D67-99EF-4A903A07C7F7}"/>
    <cellStyle name="강조색6 28" xfId="2208" xr:uid="{3119226D-52EF-4546-BE74-5CB464F1A96C}"/>
    <cellStyle name="강조색6 28 2" xfId="2209" xr:uid="{2F587F4F-8217-41A2-AFB7-D833780A7F06}"/>
    <cellStyle name="강조색6 29" xfId="2210" xr:uid="{B5A5C9FC-502D-4D7C-8BA7-226B9849F2DD}"/>
    <cellStyle name="강조색6 29 2" xfId="2211" xr:uid="{9428893D-5E7A-46FC-A905-421547DFF3A3}"/>
    <cellStyle name="강조색6 3" xfId="2212" xr:uid="{AA6FB3B8-4AAB-4BD1-9D06-FE1BE79BF919}"/>
    <cellStyle name="강조색6 3 2" xfId="2213" xr:uid="{46993C28-6932-41B4-9B2C-B58D9DD68E4A}"/>
    <cellStyle name="강조색6 30" xfId="2214" xr:uid="{A5AB34FF-B0FA-4B7E-88A1-0FFF539C0513}"/>
    <cellStyle name="강조색6 30 2" xfId="2215" xr:uid="{C6745AAA-7141-41D6-B796-342C3ABF9E1E}"/>
    <cellStyle name="강조색6 31" xfId="2216" xr:uid="{6671A8F2-EE9F-4CAF-80CB-780D81378D12}"/>
    <cellStyle name="강조색6 31 2" xfId="2217" xr:uid="{6653276F-FBB1-4F0F-82F8-DF5BFFFD516B}"/>
    <cellStyle name="강조색6 32" xfId="2218" xr:uid="{84956D12-C15F-4CAF-9EA8-1F62DF45BA39}"/>
    <cellStyle name="강조색6 32 2" xfId="2219" xr:uid="{380B26E0-EE1B-4017-AE9B-1A962B4E0DF3}"/>
    <cellStyle name="강조색6 33" xfId="2220" xr:uid="{DE589DC9-D617-4A44-9CA7-87D6052D92AD}"/>
    <cellStyle name="강조색6 33 2" xfId="2221" xr:uid="{EF8B77A6-DF60-41C1-9D1A-D56B0C4F2794}"/>
    <cellStyle name="강조색6 34" xfId="2222" xr:uid="{7432EA22-47B9-4390-B79D-6B9FE13FD307}"/>
    <cellStyle name="강조색6 34 2" xfId="2223" xr:uid="{413EE8A8-8914-4A4D-ABF6-20F18ADAC096}"/>
    <cellStyle name="강조색6 35" xfId="2224" xr:uid="{AB213C5B-3744-4EEC-9213-0FF5B253C775}"/>
    <cellStyle name="강조색6 35 2" xfId="2225" xr:uid="{8D38104A-DD2F-464A-92F4-541DEF615C1F}"/>
    <cellStyle name="강조색6 36" xfId="2226" xr:uid="{43780E95-8E0A-45ED-A11D-0AC0C6A53430}"/>
    <cellStyle name="강조색6 36 2" xfId="2227" xr:uid="{EF2A49E5-9029-49E7-9998-9D7E16377578}"/>
    <cellStyle name="강조색6 37" xfId="2228" xr:uid="{AC8ADCDF-5F6B-4D6F-BD5F-A2F320A2BDB4}"/>
    <cellStyle name="강조색6 37 2" xfId="2229" xr:uid="{217D527E-28E7-4970-B018-4D6B7AC61550}"/>
    <cellStyle name="강조색6 38" xfId="2230" xr:uid="{F9145D77-1F88-4F45-80AC-A12DF386F6B3}"/>
    <cellStyle name="강조색6 38 2" xfId="2231" xr:uid="{2EDE62AC-8495-4361-9B4B-BA7CC5B350AF}"/>
    <cellStyle name="강조색6 39" xfId="2232" xr:uid="{C8679794-2529-4A21-B932-FD1EB69B98EF}"/>
    <cellStyle name="강조색6 39 2" xfId="2233" xr:uid="{B4503B96-4B35-4429-8B43-862421EAC31A}"/>
    <cellStyle name="강조색6 4" xfId="2234" xr:uid="{00B18B70-8577-4D23-8873-880A85532860}"/>
    <cellStyle name="강조색6 4 2" xfId="2235" xr:uid="{7548DAFE-F552-46B4-934C-695FD8E1EA7E}"/>
    <cellStyle name="강조색6 40" xfId="2236" xr:uid="{963FB3D7-1168-4C4F-8753-1B2430679110}"/>
    <cellStyle name="강조색6 40 2" xfId="2237" xr:uid="{7BBF543A-0BDB-4B53-8E14-1D8A4CE0234B}"/>
    <cellStyle name="강조색6 41" xfId="2238" xr:uid="{535A4451-F7B4-4E85-B708-90B582EE6984}"/>
    <cellStyle name="강조색6 41 2" xfId="2239" xr:uid="{234134A3-871C-4B55-9891-84F7E99106E8}"/>
    <cellStyle name="강조색6 42" xfId="2240" xr:uid="{ABE10879-78EC-4047-B182-830C2E7601F8}"/>
    <cellStyle name="강조색6 42 2" xfId="2241" xr:uid="{F7B354B4-2E14-4A1F-B662-484460AB48CF}"/>
    <cellStyle name="강조색6 43" xfId="2242" xr:uid="{98C16474-986D-4D5F-9D29-EA214A50FAEE}"/>
    <cellStyle name="강조색6 43 2" xfId="2243" xr:uid="{B10888C6-D0DF-420C-9A97-AF22C9AC99FB}"/>
    <cellStyle name="강조색6 44" xfId="2244" xr:uid="{B6D46556-6A2D-4EA8-893E-870D1C22C967}"/>
    <cellStyle name="강조색6 45" xfId="2245" xr:uid="{D9B1BB90-CB76-42E7-8796-891A428DAF79}"/>
    <cellStyle name="강조색6 46" xfId="2246" xr:uid="{87BAB6E3-3CF0-4C8C-A282-1B17B5A2629C}"/>
    <cellStyle name="강조색6 47" xfId="2169" xr:uid="{F3B81D63-5341-4402-8B56-7E88CF050234}"/>
    <cellStyle name="강조색6 5" xfId="2247" xr:uid="{1F3FDC3D-BE7C-42DA-AEC2-94DA6CC7C208}"/>
    <cellStyle name="강조색6 5 2" xfId="2248" xr:uid="{1F20096B-CE56-49BE-9063-CE67AD924459}"/>
    <cellStyle name="강조색6 6" xfId="2249" xr:uid="{848FAEC1-9B69-40CB-8072-033105294D18}"/>
    <cellStyle name="강조색6 6 2" xfId="2250" xr:uid="{AA4560F0-3BF1-4306-BF2A-F3B5C1F6E022}"/>
    <cellStyle name="강조색6 7" xfId="2251" xr:uid="{ACD15D4B-A5F7-4698-B38B-BDF8753E6827}"/>
    <cellStyle name="강조색6 7 2" xfId="2252" xr:uid="{AE3CCF68-4EE3-41B0-8691-E01E216EB80C}"/>
    <cellStyle name="강조색6 8" xfId="2253" xr:uid="{27EA2D0F-EC77-4CAE-823E-6421DDB39F1C}"/>
    <cellStyle name="강조색6 8 2" xfId="2254" xr:uid="{93B9AECA-B2C5-41C6-84EF-D52F501A0F77}"/>
    <cellStyle name="강조색6 9" xfId="2255" xr:uid="{6C0AFDC9-6707-474C-A226-ED8936E7CE1F}"/>
    <cellStyle name="강조색6 9 2" xfId="2256" xr:uid="{DC354A05-E65A-4E75-8FA5-4C26BDA42A9B}"/>
    <cellStyle name="경고문 10" xfId="2258" xr:uid="{9F7CC5AC-8B7D-40F5-8FBC-3D9D3256356C}"/>
    <cellStyle name="경고문 10 2" xfId="2259" xr:uid="{3A5237AC-8B78-4DCC-94E1-482F340B1F30}"/>
    <cellStyle name="경고문 11" xfId="2260" xr:uid="{93F157FE-4064-41A6-8D78-6919F7C64BCF}"/>
    <cellStyle name="경고문 11 2" xfId="2261" xr:uid="{5EC1A0FC-D253-46FD-BCFA-1E5D19F5C91D}"/>
    <cellStyle name="경고문 12" xfId="2262" xr:uid="{A5E7BB29-CA2C-476A-855F-15E06F4EF974}"/>
    <cellStyle name="경고문 12 2" xfId="2263" xr:uid="{B9381BF0-6D78-420B-8BAD-6F474D533640}"/>
    <cellStyle name="경고문 13" xfId="2264" xr:uid="{85D9CC87-3753-4F82-B7DC-2441BF6D1A0D}"/>
    <cellStyle name="경고문 13 2" xfId="2265" xr:uid="{D5C7549E-0D29-41B2-8441-1F4D876A2DC5}"/>
    <cellStyle name="경고문 14" xfId="2266" xr:uid="{666CC97D-B31B-4FB6-B154-626E1B256855}"/>
    <cellStyle name="경고문 14 2" xfId="2267" xr:uid="{D752E59D-B1A9-4F9E-AAAA-3BE199421E28}"/>
    <cellStyle name="경고문 15" xfId="2268" xr:uid="{233BEEE5-D7EE-4AEC-B837-B2E705769B08}"/>
    <cellStyle name="경고문 15 2" xfId="2269" xr:uid="{ED1F466A-1193-4BD0-A6A3-4C4471281274}"/>
    <cellStyle name="경고문 16" xfId="2270" xr:uid="{D4D249AD-C133-444F-89D4-88738681267F}"/>
    <cellStyle name="경고문 16 2" xfId="2271" xr:uid="{86D312FC-8A65-42B4-B8C8-056144837882}"/>
    <cellStyle name="경고문 17" xfId="2272" xr:uid="{0488B34F-067E-43E0-8343-6C585CB4F0B8}"/>
    <cellStyle name="경고문 17 2" xfId="2273" xr:uid="{CBEDF770-32A3-4D1F-BAB0-0F251C154627}"/>
    <cellStyle name="경고문 18" xfId="2274" xr:uid="{2615134E-0D87-47EC-A8AD-28264610F2E2}"/>
    <cellStyle name="경고문 18 2" xfId="2275" xr:uid="{2FB6F94E-F01E-4ABD-861B-5A2B2DB283AF}"/>
    <cellStyle name="경고문 19" xfId="2276" xr:uid="{42CBBB4D-A90D-4671-84BF-B866BC70272B}"/>
    <cellStyle name="경고문 19 2" xfId="2277" xr:uid="{F67286F8-BB9C-40D0-97D6-BBCF04FE928A}"/>
    <cellStyle name="경고문 2" xfId="2278" xr:uid="{209DA6E7-ECB4-4796-9E3E-E9FB5FD72713}"/>
    <cellStyle name="경고문 2 2" xfId="2279" xr:uid="{897C8CCE-0E2D-4A7B-84A3-28671EF56BC7}"/>
    <cellStyle name="경고문 20" xfId="2280" xr:uid="{C4CE4A50-5E7C-48F1-868A-1701F9461608}"/>
    <cellStyle name="경고문 20 2" xfId="2281" xr:uid="{87410E66-34E1-4076-96F7-79DD3FB0C263}"/>
    <cellStyle name="경고문 21" xfId="2282" xr:uid="{1C650E16-F72D-4851-8F50-B157589B176B}"/>
    <cellStyle name="경고문 21 2" xfId="2283" xr:uid="{04E3AD0E-2211-478B-A370-6FE2AF0B3FA3}"/>
    <cellStyle name="경고문 22" xfId="2284" xr:uid="{ABFAE151-D39D-4E66-A939-255D3258C448}"/>
    <cellStyle name="경고문 22 2" xfId="2285" xr:uid="{BBE094F0-96C0-47AF-AC70-2C9B51480F34}"/>
    <cellStyle name="경고문 23" xfId="2286" xr:uid="{8688D15A-04A3-4D42-BE09-5AFC948C9D50}"/>
    <cellStyle name="경고문 23 2" xfId="2287" xr:uid="{95665C88-D318-4DDF-8B8A-6808F74844CE}"/>
    <cellStyle name="경고문 24" xfId="2288" xr:uid="{59477705-6BB4-4AB6-9C94-6C0400412D9D}"/>
    <cellStyle name="경고문 24 2" xfId="2289" xr:uid="{06BF1A94-FEAA-47F3-A806-93338CE188A5}"/>
    <cellStyle name="경고문 25" xfId="2290" xr:uid="{DBD4B69A-E55B-481F-AE14-466029EC806F}"/>
    <cellStyle name="경고문 25 2" xfId="2291" xr:uid="{FEDCC4F5-EEFA-4B6F-8ABB-0158E57E1D3E}"/>
    <cellStyle name="경고문 26" xfId="2292" xr:uid="{0ACD529E-1702-462E-B6D8-EB56FEB94FF5}"/>
    <cellStyle name="경고문 26 2" xfId="2293" xr:uid="{CC74140E-65A8-4B12-9516-5F7F3D38AC1D}"/>
    <cellStyle name="경고문 27" xfId="2294" xr:uid="{721E33D5-BB68-4E46-BDC2-B37669F965EB}"/>
    <cellStyle name="경고문 27 2" xfId="2295" xr:uid="{153EEB73-0755-4A88-8CE5-2D3E8EBED7BC}"/>
    <cellStyle name="경고문 28" xfId="2296" xr:uid="{A2A73CC8-2164-437D-A56A-EAA6323CB3A4}"/>
    <cellStyle name="경고문 28 2" xfId="2297" xr:uid="{1350F386-E2F3-48B4-A546-8DB066D4C6C6}"/>
    <cellStyle name="경고문 29" xfId="2298" xr:uid="{36A50E39-BCE1-4995-B3F5-A5C45E0122EF}"/>
    <cellStyle name="경고문 29 2" xfId="2299" xr:uid="{A5BBC465-2677-4939-B824-A98CB501C728}"/>
    <cellStyle name="경고문 3" xfId="2300" xr:uid="{88638B31-3FE1-4CD7-AC08-5ECCD7539244}"/>
    <cellStyle name="경고문 3 2" xfId="2301" xr:uid="{73549D98-D148-41C2-B1CD-C7C01DC277D9}"/>
    <cellStyle name="경고문 30" xfId="2302" xr:uid="{31A5FD35-16F5-4C1A-B4CB-D05EFD5BFE06}"/>
    <cellStyle name="경고문 30 2" xfId="2303" xr:uid="{BFEFE2B3-03AD-4FD4-8CF1-65528287C3E5}"/>
    <cellStyle name="경고문 31" xfId="2304" xr:uid="{A2311AB2-851B-4D4D-8C84-ABF3D76F4665}"/>
    <cellStyle name="경고문 31 2" xfId="2305" xr:uid="{92FFEC38-A1A3-48C4-A453-F5C355788184}"/>
    <cellStyle name="경고문 32" xfId="2306" xr:uid="{21A980ED-35F9-42C4-A5E2-3A0FCC9FF0A0}"/>
    <cellStyle name="경고문 32 2" xfId="2307" xr:uid="{153494CB-654A-41BE-8E3C-44BF5674CAA9}"/>
    <cellStyle name="경고문 33" xfId="2308" xr:uid="{9448446C-C55F-4859-A453-5EE6F2EC653F}"/>
    <cellStyle name="경고문 33 2" xfId="2309" xr:uid="{D6A6024B-3C20-4761-AE19-DF014F10E66B}"/>
    <cellStyle name="경고문 34" xfId="2310" xr:uid="{6259E7E0-EF16-47CD-B8F7-99A01877C1ED}"/>
    <cellStyle name="경고문 34 2" xfId="2311" xr:uid="{D177EE4E-CFFE-4F43-B658-D2A659DB9FFB}"/>
    <cellStyle name="경고문 35" xfId="2312" xr:uid="{26D76852-393C-4C31-9133-BAA0009FE69B}"/>
    <cellStyle name="경고문 35 2" xfId="2313" xr:uid="{232F41A8-78EA-4683-A05B-4DCD75596365}"/>
    <cellStyle name="경고문 36" xfId="2314" xr:uid="{615CB71C-BFC6-4B39-B421-851621B32065}"/>
    <cellStyle name="경고문 36 2" xfId="2315" xr:uid="{A68775B5-B006-498C-98D3-B29866B6AFA3}"/>
    <cellStyle name="경고문 37" xfId="2316" xr:uid="{1F4DFED8-B29E-4BD1-A3DD-EC6E278AE741}"/>
    <cellStyle name="경고문 37 2" xfId="2317" xr:uid="{9D925C33-9A24-42ED-984D-52364E5E58F5}"/>
    <cellStyle name="경고문 38" xfId="2318" xr:uid="{A74209D0-4B55-40F7-A684-B612566EBFE6}"/>
    <cellStyle name="경고문 38 2" xfId="2319" xr:uid="{7968786B-675A-4FEE-B046-AB8CD91CF422}"/>
    <cellStyle name="경고문 39" xfId="2320" xr:uid="{AD11B1CE-C25B-4E68-9BB1-A387B69491E3}"/>
    <cellStyle name="경고문 39 2" xfId="2321" xr:uid="{35E0D6E6-1EED-417E-B3DC-104BED455E02}"/>
    <cellStyle name="경고문 4" xfId="2322" xr:uid="{A577E0D5-375C-4272-9B31-536FD77EE011}"/>
    <cellStyle name="경고문 4 2" xfId="2323" xr:uid="{C534BB98-A2D1-4996-998D-7047A39D8710}"/>
    <cellStyle name="경고문 40" xfId="2324" xr:uid="{9B84ACEE-ABA0-4ADE-9735-88FBC7EC8956}"/>
    <cellStyle name="경고문 40 2" xfId="2325" xr:uid="{527844AC-A564-420C-90D4-A6634D250CF1}"/>
    <cellStyle name="경고문 41" xfId="2326" xr:uid="{4FE9963C-8A34-4A72-83B7-EA8D8E71D059}"/>
    <cellStyle name="경고문 41 2" xfId="2327" xr:uid="{246C632D-FD40-4327-B49B-C2EB46F0F912}"/>
    <cellStyle name="경고문 42" xfId="2328" xr:uid="{1C052DF5-49EF-4BD1-B7A4-FEFBBB7BA1B1}"/>
    <cellStyle name="경고문 42 2" xfId="2329" xr:uid="{9F30BD07-1798-4D9E-82CB-A7211EE61F35}"/>
    <cellStyle name="경고문 43" xfId="2330" xr:uid="{0469FEA7-476F-4060-9599-AC5B8CB881C2}"/>
    <cellStyle name="경고문 43 2" xfId="2331" xr:uid="{AE5C604E-04C9-49AA-BCEE-F2264F0F46EA}"/>
    <cellStyle name="경고문 44" xfId="2332" xr:uid="{9E8FB9A2-F19C-4F44-A60B-CFE0AA673251}"/>
    <cellStyle name="경고문 45" xfId="2333" xr:uid="{EA79E7AF-567D-4A21-B6FD-0A852FC448F4}"/>
    <cellStyle name="경고문 46" xfId="2334" xr:uid="{363C5DC9-3C7B-46A0-84C0-02ADE9684179}"/>
    <cellStyle name="경고문 47" xfId="2257" xr:uid="{EA134C8E-5375-4F49-889A-438E8DB061BE}"/>
    <cellStyle name="경고문 5" xfId="2335" xr:uid="{CEB2084C-4EB7-4D48-B87F-65D5C9B5DF88}"/>
    <cellStyle name="경고문 5 2" xfId="2336" xr:uid="{BAD8901D-E990-4451-8473-20CE79CDA6E1}"/>
    <cellStyle name="경고문 6" xfId="2337" xr:uid="{866DDB2D-9C77-406D-AE33-163204D77EC7}"/>
    <cellStyle name="경고문 6 2" xfId="2338" xr:uid="{671AA846-59EE-4A8B-976F-715266FC2CB2}"/>
    <cellStyle name="경고문 7" xfId="2339" xr:uid="{372874D7-41A7-480A-9F5D-23980530D8E6}"/>
    <cellStyle name="경고문 7 2" xfId="2340" xr:uid="{4ECC8147-56CD-4268-A38E-BB7159871C33}"/>
    <cellStyle name="경고문 8" xfId="2341" xr:uid="{A6C217AC-E2A0-4B8B-89F2-725AC58F789A}"/>
    <cellStyle name="경고문 8 2" xfId="2342" xr:uid="{E2A3D35D-C38F-4560-A5A1-CF98AD013956}"/>
    <cellStyle name="경고문 9" xfId="2343" xr:uid="{B953D59F-52B7-4BA5-843D-282A45C43ED3}"/>
    <cellStyle name="경고문 9 2" xfId="2344" xr:uid="{BE2FF233-2C67-4FE9-AE11-F3BAFED6CC16}"/>
    <cellStyle name="계산 10" xfId="2346" xr:uid="{FFF8917E-0EE9-45D5-BE97-2F1EE3F735BB}"/>
    <cellStyle name="계산 10 2" xfId="2347" xr:uid="{94684F1D-0A99-4A59-A99A-363947F985C1}"/>
    <cellStyle name="계산 11" xfId="2348" xr:uid="{136DAD76-EAD6-4987-BF0F-E21877C6139D}"/>
    <cellStyle name="계산 11 2" xfId="2349" xr:uid="{95F679E5-352D-4D49-B746-A7D236BD3E0C}"/>
    <cellStyle name="계산 12" xfId="2350" xr:uid="{D257AE95-726F-4213-8B64-E5F867ECB0C4}"/>
    <cellStyle name="계산 12 2" xfId="2351" xr:uid="{19B5E7F5-F74A-44BA-A9C0-EA3D9E8DFB54}"/>
    <cellStyle name="계산 13" xfId="2352" xr:uid="{7F1D711D-AD3C-44C0-BDAC-9CE00A763433}"/>
    <cellStyle name="계산 13 2" xfId="2353" xr:uid="{174099A2-BC3B-48F1-88D9-5AF74E0B6212}"/>
    <cellStyle name="계산 14" xfId="2354" xr:uid="{F1F0F693-BAC0-42FB-8DEB-8F8C90BF23F3}"/>
    <cellStyle name="계산 14 2" xfId="2355" xr:uid="{DE9339BB-4BE9-4F24-86CD-2E890E9D7C92}"/>
    <cellStyle name="계산 15" xfId="2356" xr:uid="{EF7D7EAF-6666-4134-BEDE-478AD7972BB4}"/>
    <cellStyle name="계산 15 2" xfId="2357" xr:uid="{0FAD07E6-9E48-4C14-AD9B-C0E6B2AFD9DE}"/>
    <cellStyle name="계산 16" xfId="2358" xr:uid="{C045D03E-68AA-4618-8B5B-CC4652DB9435}"/>
    <cellStyle name="계산 16 2" xfId="2359" xr:uid="{DA6C1EEE-49FC-4C87-9E0B-ACD83C1ECBE2}"/>
    <cellStyle name="계산 17" xfId="2360" xr:uid="{7DD630F5-DC1A-45F4-9687-2E7C032BF9FD}"/>
    <cellStyle name="계산 17 2" xfId="2361" xr:uid="{625AAB3D-3447-4A6F-9811-5220225F8247}"/>
    <cellStyle name="계산 18" xfId="2362" xr:uid="{4F4B6262-DEB5-4308-B059-F5AB4A33C3D5}"/>
    <cellStyle name="계산 18 2" xfId="2363" xr:uid="{585C2119-C424-42D1-ACB5-A7D940B88151}"/>
    <cellStyle name="계산 19" xfId="2364" xr:uid="{F6EB926B-B6B6-4FF4-A874-BFAF1FD72BC4}"/>
    <cellStyle name="계산 19 2" xfId="2365" xr:uid="{57083F0C-6B03-4B1E-8E50-76806B489641}"/>
    <cellStyle name="계산 2" xfId="2366" xr:uid="{BCDE58DA-E378-474A-B598-28F7BD30BCC2}"/>
    <cellStyle name="계산 2 2" xfId="2367" xr:uid="{A37C3DC5-179D-467E-ADE0-BF2051FB12FE}"/>
    <cellStyle name="계산 20" xfId="2368" xr:uid="{BA2BA0FE-D5B3-453F-8024-C7C4E9D93A04}"/>
    <cellStyle name="계산 20 2" xfId="2369" xr:uid="{6A5AFEB3-22D1-4E49-BE9C-403E68C0BD5D}"/>
    <cellStyle name="계산 21" xfId="2370" xr:uid="{08BC9BE4-1274-4D51-BC9A-DA789F0108FC}"/>
    <cellStyle name="계산 21 2" xfId="2371" xr:uid="{14852AC6-9C38-475C-A0D9-52081F1DB9BA}"/>
    <cellStyle name="계산 22" xfId="2372" xr:uid="{D278FA33-57BA-46D9-A020-A0D8A163EDB5}"/>
    <cellStyle name="계산 22 2" xfId="2373" xr:uid="{29B1BC3D-2013-4C1C-A835-FA4F4331D922}"/>
    <cellStyle name="계산 23" xfId="2374" xr:uid="{588E9915-8205-4B69-8043-EF89F4DF5EF6}"/>
    <cellStyle name="계산 23 2" xfId="2375" xr:uid="{EAB5B6EA-8879-4604-9BD8-847C199F470A}"/>
    <cellStyle name="계산 24" xfId="2376" xr:uid="{C8C0AC93-639E-453C-9043-CFAFEDAA6EDD}"/>
    <cellStyle name="계산 24 2" xfId="2377" xr:uid="{94AEA82B-AA4D-47F7-AA74-DFA7A6EDF453}"/>
    <cellStyle name="계산 25" xfId="2378" xr:uid="{CCD7755A-AD6F-4113-B65C-8EF85BD512EC}"/>
    <cellStyle name="계산 25 2" xfId="2379" xr:uid="{610F1359-B452-438E-ABCE-34685A766151}"/>
    <cellStyle name="계산 26" xfId="2380" xr:uid="{4EB94D0C-74F2-49D3-8C69-EA8B8599CFEE}"/>
    <cellStyle name="계산 26 2" xfId="2381" xr:uid="{225D6FA5-895D-4D19-93B0-EA6A02EC05ED}"/>
    <cellStyle name="계산 27" xfId="2382" xr:uid="{ADBD3EF3-08CE-4E1B-BF85-E14B01058D25}"/>
    <cellStyle name="계산 27 2" xfId="2383" xr:uid="{10B7D3AE-69ED-4879-9649-CB5F0E041FCB}"/>
    <cellStyle name="계산 28" xfId="2384" xr:uid="{B0EE6487-36B2-4B6F-8964-C36651824D58}"/>
    <cellStyle name="계산 28 2" xfId="2385" xr:uid="{3F7D6911-16CD-4723-B514-27F6D4C91497}"/>
    <cellStyle name="계산 29" xfId="2386" xr:uid="{FD5F53D1-0A2C-40D5-8B0E-F9EFE1B73A83}"/>
    <cellStyle name="계산 29 2" xfId="2387" xr:uid="{DDBD5D72-C6EA-4D57-ABA3-C11AC7BCEC18}"/>
    <cellStyle name="계산 3" xfId="2388" xr:uid="{9C773C04-4E9B-43D3-AA55-706138000A33}"/>
    <cellStyle name="계산 3 2" xfId="2389" xr:uid="{A52FB547-D6EC-4C2C-9685-DF9C0B600C7B}"/>
    <cellStyle name="계산 30" xfId="2390" xr:uid="{56CF6611-61AE-4888-9B9E-8C3EC9612F28}"/>
    <cellStyle name="계산 30 2" xfId="2391" xr:uid="{D0BFF69E-E42E-485E-88F8-2B1F19AAAA34}"/>
    <cellStyle name="계산 31" xfId="2392" xr:uid="{ABF104F3-48F2-4136-86E1-5E1E3BAA049C}"/>
    <cellStyle name="계산 31 2" xfId="2393" xr:uid="{10506D5C-66CE-4313-B53E-30D527C931E5}"/>
    <cellStyle name="계산 32" xfId="2394" xr:uid="{7281841F-EECE-4472-BD0B-28216029F73F}"/>
    <cellStyle name="계산 32 2" xfId="2395" xr:uid="{774A66EF-200B-4249-A5B0-74CFEE3C0DC3}"/>
    <cellStyle name="계산 33" xfId="2396" xr:uid="{7A4A711E-4360-4387-AA31-9E610FFD2E46}"/>
    <cellStyle name="계산 33 2" xfId="2397" xr:uid="{70397778-95F5-4519-AAF6-193E0B32E1F5}"/>
    <cellStyle name="계산 34" xfId="2398" xr:uid="{EEE2C797-2AA0-4054-B74D-03F402F68C6C}"/>
    <cellStyle name="계산 34 2" xfId="2399" xr:uid="{2313CD44-AEC3-454C-A081-5F964EE0EEA3}"/>
    <cellStyle name="계산 35" xfId="2400" xr:uid="{00D6997F-9311-4ADE-BC08-C3677A6C495F}"/>
    <cellStyle name="계산 35 2" xfId="2401" xr:uid="{0B165041-AD54-411C-98E8-E33CD061C80C}"/>
    <cellStyle name="계산 36" xfId="2402" xr:uid="{9743DAE0-4CBC-4BB3-A907-671470BB5E8C}"/>
    <cellStyle name="계산 36 2" xfId="2403" xr:uid="{51B855DB-BDD5-4434-B172-EEE98E0163F3}"/>
    <cellStyle name="계산 37" xfId="2404" xr:uid="{67A40DB2-0D14-4813-868A-EE83F8B58A20}"/>
    <cellStyle name="계산 37 2" xfId="2405" xr:uid="{F28AA1EA-EF54-4CF3-B062-FF0D23BDD93E}"/>
    <cellStyle name="계산 38" xfId="2406" xr:uid="{1FDAAD87-4135-48DA-ADCA-E782B9BF469D}"/>
    <cellStyle name="계산 38 2" xfId="2407" xr:uid="{7867CC5A-0A9A-40E9-B42B-154301388986}"/>
    <cellStyle name="계산 39" xfId="2408" xr:uid="{46383C51-6AD2-441C-B647-4A377189B52F}"/>
    <cellStyle name="계산 39 2" xfId="2409" xr:uid="{6EDF4449-0D26-40F0-A759-D5C2915E11E7}"/>
    <cellStyle name="계산 4" xfId="2410" xr:uid="{B7B32B36-C169-4AC0-85DE-D2223A3D8E77}"/>
    <cellStyle name="계산 4 2" xfId="2411" xr:uid="{3F23E612-71A7-4326-AA66-28F0DC0E4D04}"/>
    <cellStyle name="계산 40" xfId="2412" xr:uid="{14BFE2E1-6FE3-4DEA-8B18-28597B1B8362}"/>
    <cellStyle name="계산 40 2" xfId="2413" xr:uid="{799FE1DF-6A77-4536-A6C4-60CAB97A7A3B}"/>
    <cellStyle name="계산 41" xfId="2414" xr:uid="{9CEE8EF6-F63D-4507-965A-FD107D03B6F2}"/>
    <cellStyle name="계산 41 2" xfId="2415" xr:uid="{EB7F7D34-FEF9-48E0-890C-2D6311B6C723}"/>
    <cellStyle name="계산 42" xfId="2416" xr:uid="{7E6D0B11-5CBA-4A4D-8F7E-063058CD611C}"/>
    <cellStyle name="계산 42 2" xfId="2417" xr:uid="{D1A24054-8AC7-44B6-B3CA-C1D84173D13C}"/>
    <cellStyle name="계산 43" xfId="2418" xr:uid="{CAB10028-F0A9-467F-9C75-ED74DEB417FD}"/>
    <cellStyle name="계산 43 2" xfId="2419" xr:uid="{8792E601-5267-4295-A2A5-5925C33A5EB7}"/>
    <cellStyle name="계산 44" xfId="2420" xr:uid="{471B76D2-C941-4F52-9BD5-F318AC809280}"/>
    <cellStyle name="계산 45" xfId="2421" xr:uid="{FF92A4D2-D610-4CF8-9254-E1B5D23CC290}"/>
    <cellStyle name="계산 46" xfId="2422" xr:uid="{88368288-97ED-4693-9DD8-29B8A3741E0F}"/>
    <cellStyle name="계산 47" xfId="2345" xr:uid="{DC624255-7DFB-4C4F-AE40-E98D0EA70C04}"/>
    <cellStyle name="계산 5" xfId="2423" xr:uid="{45937457-0623-49AF-AD19-8CEAC0D50A21}"/>
    <cellStyle name="계산 5 2" xfId="2424" xr:uid="{F32ED1D7-1DF0-4136-82EF-68E4A5DFBBFF}"/>
    <cellStyle name="계산 6" xfId="2425" xr:uid="{7B9FE241-ACB5-421F-AE37-16BB75DA99CB}"/>
    <cellStyle name="계산 6 2" xfId="2426" xr:uid="{1AC0E226-189A-45CC-9136-E4826149E4CA}"/>
    <cellStyle name="계산 7" xfId="2427" xr:uid="{5E2C3741-2355-43EE-8638-F3162C5A4AF7}"/>
    <cellStyle name="계산 7 2" xfId="2428" xr:uid="{DAFCD5F7-D801-4D67-9432-6CC2620A31C2}"/>
    <cellStyle name="계산 8" xfId="2429" xr:uid="{F367A40A-F09A-47FB-8449-DAB97737CAA9}"/>
    <cellStyle name="계산 8 2" xfId="2430" xr:uid="{EA0BB12F-25D9-430D-8598-AB249B8528F2}"/>
    <cellStyle name="계산 9" xfId="2431" xr:uid="{E456133C-7D31-4187-AFE7-62CB1F64AB34}"/>
    <cellStyle name="계산 9 2" xfId="2432" xr:uid="{6FEBD6C3-DE00-40FF-AD54-304C007870A3}"/>
    <cellStyle name="나쁨 10" xfId="2434" xr:uid="{AF8706CB-7908-462B-BE9D-06B7A81C9DAC}"/>
    <cellStyle name="나쁨 10 2" xfId="2435" xr:uid="{7C53D60D-2C34-46A4-B704-F90A4571C29F}"/>
    <cellStyle name="나쁨 11" xfId="2436" xr:uid="{5858E732-D4C8-48D1-80CB-A28134E68C98}"/>
    <cellStyle name="나쁨 11 2" xfId="2437" xr:uid="{1797511A-3BC7-44D1-8AD9-7C5DDE6272CE}"/>
    <cellStyle name="나쁨 12" xfId="2438" xr:uid="{0F461E1A-3DF9-466A-A0DF-37F0128C4F90}"/>
    <cellStyle name="나쁨 12 2" xfId="2439" xr:uid="{D6D91F48-A8D5-4C6B-8CAB-A3FEEC40FF4F}"/>
    <cellStyle name="나쁨 13" xfId="2440" xr:uid="{74064B31-EE90-47F4-96FE-7CAA09C20534}"/>
    <cellStyle name="나쁨 13 2" xfId="2441" xr:uid="{B49C8D04-D77D-40B0-B24E-6E356D440AB5}"/>
    <cellStyle name="나쁨 14" xfId="2442" xr:uid="{2B242721-B89D-43B9-847D-B798693CB980}"/>
    <cellStyle name="나쁨 14 2" xfId="2443" xr:uid="{CBBFCEF4-6EE1-490F-AEAD-DE0F3E28B293}"/>
    <cellStyle name="나쁨 15" xfId="2444" xr:uid="{305EF5E0-455B-43C5-9920-563537AF2710}"/>
    <cellStyle name="나쁨 15 2" xfId="2445" xr:uid="{EE145AEC-261B-4BE7-BFD9-1A94970F4598}"/>
    <cellStyle name="나쁨 16" xfId="2446" xr:uid="{74E6F81B-52C6-49D3-B4D8-1D339999E3B2}"/>
    <cellStyle name="나쁨 16 2" xfId="2447" xr:uid="{AF48590A-05A4-4F4C-8377-913A0B543291}"/>
    <cellStyle name="나쁨 17" xfId="2448" xr:uid="{41CAAD77-137B-4C6D-81FA-D1FB0E04C35C}"/>
    <cellStyle name="나쁨 17 2" xfId="2449" xr:uid="{0D627686-61B4-4FDE-A8B1-DB377665A264}"/>
    <cellStyle name="나쁨 18" xfId="2450" xr:uid="{46749D72-81A2-4B15-853F-F39635A6D43D}"/>
    <cellStyle name="나쁨 18 2" xfId="2451" xr:uid="{31D3A3D5-A340-4FEA-8F77-94854F1686FF}"/>
    <cellStyle name="나쁨 19" xfId="2452" xr:uid="{A6734655-2A41-44E0-A101-FB3150E5619F}"/>
    <cellStyle name="나쁨 19 2" xfId="2453" xr:uid="{3C9DF0D1-25D1-473C-91BF-90F827E919BB}"/>
    <cellStyle name="나쁨 2" xfId="2454" xr:uid="{CDCB7DFD-E817-4842-8EBB-A67E435123F5}"/>
    <cellStyle name="나쁨 2 2" xfId="2455" xr:uid="{1DFB11A9-0B51-4A06-971A-BA80BDC33CEB}"/>
    <cellStyle name="나쁨 20" xfId="2456" xr:uid="{3E0145BC-3C68-431B-896A-13820844787E}"/>
    <cellStyle name="나쁨 20 2" xfId="2457" xr:uid="{1EAE0B2F-E9B7-40E5-8C36-CB715272167C}"/>
    <cellStyle name="나쁨 21" xfId="2458" xr:uid="{F649040F-AC9D-4904-80BA-897E60931947}"/>
    <cellStyle name="나쁨 21 2" xfId="2459" xr:uid="{CF337201-AD73-4AB8-BE52-31C8559D9238}"/>
    <cellStyle name="나쁨 22" xfId="2460" xr:uid="{212D2CAF-7DB8-4FFA-8FF6-AAE606422BD5}"/>
    <cellStyle name="나쁨 22 2" xfId="2461" xr:uid="{4590E786-835A-46C9-95F4-E8C1AF35498E}"/>
    <cellStyle name="나쁨 23" xfId="2462" xr:uid="{F534E3AC-2F8E-4137-A629-C36A1C878CD3}"/>
    <cellStyle name="나쁨 23 2" xfId="2463" xr:uid="{39B56320-89E5-4D9F-B19C-4E4F646629E4}"/>
    <cellStyle name="나쁨 24" xfId="2464" xr:uid="{2926A2B7-657F-4CB4-B969-CCE7CD0938C0}"/>
    <cellStyle name="나쁨 24 2" xfId="2465" xr:uid="{C4060C4D-49B9-42AA-9089-3155CE8BFF13}"/>
    <cellStyle name="나쁨 25" xfId="2466" xr:uid="{9B43F097-5039-4E61-A26B-10DA5C8ECB5D}"/>
    <cellStyle name="나쁨 25 2" xfId="2467" xr:uid="{0B11A5B4-7D0D-4713-BC0C-DC05BEE10306}"/>
    <cellStyle name="나쁨 26" xfId="2468" xr:uid="{ECE08B29-FE86-424E-8DE1-9F13181D6753}"/>
    <cellStyle name="나쁨 26 2" xfId="2469" xr:uid="{143E9279-E98B-461A-B123-2744B4FCF65F}"/>
    <cellStyle name="나쁨 27" xfId="2470" xr:uid="{3809023C-7E71-4222-BBF9-B652CFDFAB79}"/>
    <cellStyle name="나쁨 27 2" xfId="2471" xr:uid="{702BF5E5-46E9-41AC-AC8F-0D0ABE9DB799}"/>
    <cellStyle name="나쁨 28" xfId="2472" xr:uid="{FD962679-A6C1-4413-ACD7-A392B0CC5191}"/>
    <cellStyle name="나쁨 28 2" xfId="2473" xr:uid="{4C8160B1-71ED-4F7B-9FD0-8028CB02E21C}"/>
    <cellStyle name="나쁨 29" xfId="2474" xr:uid="{28CA146F-D91B-431D-B827-5AE8E3A039F8}"/>
    <cellStyle name="나쁨 29 2" xfId="2475" xr:uid="{6B1B82D6-09EA-43A9-AB0C-B3EE49A3727F}"/>
    <cellStyle name="나쁨 3" xfId="2476" xr:uid="{D26DAC3C-0D69-45C7-95E1-188383AEE511}"/>
    <cellStyle name="나쁨 3 2" xfId="2477" xr:uid="{6D78D918-9531-4AE3-B629-3FA2A4FDEBF7}"/>
    <cellStyle name="나쁨 30" xfId="2478" xr:uid="{C247E8F8-26CD-4CB1-8DF8-170505B11B46}"/>
    <cellStyle name="나쁨 30 2" xfId="2479" xr:uid="{57A1B09C-224E-457A-834C-673C49314B2F}"/>
    <cellStyle name="나쁨 31" xfId="2480" xr:uid="{7E8F1439-135C-4AE6-98F1-8EA6C3D5A5BB}"/>
    <cellStyle name="나쁨 31 2" xfId="2481" xr:uid="{9490F7AD-6DDB-4BFD-A2C8-257072A5D439}"/>
    <cellStyle name="나쁨 32" xfId="2482" xr:uid="{44B78A9D-4932-46EF-B476-52F7A2FD9FCA}"/>
    <cellStyle name="나쁨 32 2" xfId="2483" xr:uid="{F3DE4A7A-C0F9-4FA3-9303-E529562B145A}"/>
    <cellStyle name="나쁨 33" xfId="2484" xr:uid="{671018D9-D90F-44BA-A2C7-F6C61AAF3A8C}"/>
    <cellStyle name="나쁨 33 2" xfId="2485" xr:uid="{5978A3DA-33B6-40A9-9429-C537C6BAD06A}"/>
    <cellStyle name="나쁨 34" xfId="2486" xr:uid="{E6614467-22F9-46E1-900A-BD9BADFC454F}"/>
    <cellStyle name="나쁨 34 2" xfId="2487" xr:uid="{174A0CE8-434C-4B3A-9EB7-EAB365CD4B7B}"/>
    <cellStyle name="나쁨 35" xfId="2488" xr:uid="{EB25D481-046F-459F-B2CF-937D0E07D4A7}"/>
    <cellStyle name="나쁨 35 2" xfId="2489" xr:uid="{8AB6DA48-373C-4CCD-B1AA-4DA5BF4A7666}"/>
    <cellStyle name="나쁨 36" xfId="2490" xr:uid="{E838802B-9C5F-49A3-A1A9-9F2F1E213233}"/>
    <cellStyle name="나쁨 36 2" xfId="2491" xr:uid="{C82EBCF5-450C-4670-A44D-78075D89DA8C}"/>
    <cellStyle name="나쁨 37" xfId="2492" xr:uid="{AC55B44A-D766-4CA9-AB04-9DBDC80D854D}"/>
    <cellStyle name="나쁨 37 2" xfId="2493" xr:uid="{F25B40E3-6AD6-41E0-8B90-6CD66F15FF41}"/>
    <cellStyle name="나쁨 38" xfId="2494" xr:uid="{E1FC1DDB-B86A-4612-A460-7A57FDEF3824}"/>
    <cellStyle name="나쁨 38 2" xfId="2495" xr:uid="{7A4C45E5-B534-4791-AE34-A0C476A137D0}"/>
    <cellStyle name="나쁨 39" xfId="2496" xr:uid="{7CCF4251-1223-4F6F-929F-8B3FC9484E96}"/>
    <cellStyle name="나쁨 39 2" xfId="2497" xr:uid="{6BE9639A-6FF5-4DF8-B861-497F02A52BFE}"/>
    <cellStyle name="나쁨 4" xfId="2498" xr:uid="{222A190F-0C83-4E2F-8718-B2BC5520103D}"/>
    <cellStyle name="나쁨 4 2" xfId="2499" xr:uid="{4AF813DE-9205-4917-A5B1-49B4C85F4678}"/>
    <cellStyle name="나쁨 40" xfId="2500" xr:uid="{830B86C8-6A31-43D3-A599-73DB164647C8}"/>
    <cellStyle name="나쁨 40 2" xfId="2501" xr:uid="{6BF243A5-71F1-4774-8C80-18336A7D09F8}"/>
    <cellStyle name="나쁨 41" xfId="2502" xr:uid="{83880C89-4CDB-4DA5-A7AF-7944A29BA4D3}"/>
    <cellStyle name="나쁨 41 2" xfId="2503" xr:uid="{CC56D0FA-384D-43B5-8411-5F018EA82197}"/>
    <cellStyle name="나쁨 42" xfId="2504" xr:uid="{F5DE0322-9A3B-4B4B-B9F4-86AA1CEA1A05}"/>
    <cellStyle name="나쁨 42 2" xfId="2505" xr:uid="{3BDC43D9-35A1-4A6B-83DB-AF988D17D8AC}"/>
    <cellStyle name="나쁨 43" xfId="2506" xr:uid="{52898E27-8F0C-46DE-85EF-F2299572C29F}"/>
    <cellStyle name="나쁨 43 2" xfId="2507" xr:uid="{B44C6386-66E7-4D0E-A901-068FC9F237B3}"/>
    <cellStyle name="나쁨 44" xfId="2508" xr:uid="{313FA4BB-A5BA-403C-BB60-86E2ADB8CAB7}"/>
    <cellStyle name="나쁨 45" xfId="2509" xr:uid="{0E6900ED-F058-4F4D-B5CC-64D1298C304F}"/>
    <cellStyle name="나쁨 46" xfId="2510" xr:uid="{CBCECE7C-1AFD-4355-9F8A-DDA86D7EBE22}"/>
    <cellStyle name="나쁨 47" xfId="2433" xr:uid="{9B5ABDBE-6657-4F67-A2E2-BC702836A560}"/>
    <cellStyle name="나쁨 5" xfId="2511" xr:uid="{14FC31BE-4F80-4F21-9149-C106CD5673CD}"/>
    <cellStyle name="나쁨 5 2" xfId="2512" xr:uid="{FF9CE7C2-FAED-4BAE-83F0-4B09791A5A27}"/>
    <cellStyle name="나쁨 6" xfId="2513" xr:uid="{FD545010-3826-498A-AB94-C6DD5F6FD3F8}"/>
    <cellStyle name="나쁨 6 2" xfId="2514" xr:uid="{1A022F9B-1861-468E-A16C-7D2B65ABB31C}"/>
    <cellStyle name="나쁨 7" xfId="2515" xr:uid="{E872A7C5-1C78-42DA-857C-8762290C9A9D}"/>
    <cellStyle name="나쁨 7 2" xfId="2516" xr:uid="{CAC57463-25D1-428D-8889-2AA27D743A59}"/>
    <cellStyle name="나쁨 8" xfId="2517" xr:uid="{6D80CC95-97BB-4B6E-AF46-4B9520D351FD}"/>
    <cellStyle name="나쁨 8 2" xfId="2518" xr:uid="{F2883A9A-AD3C-468A-AA9A-176B81A05B74}"/>
    <cellStyle name="나쁨 9" xfId="2519" xr:uid="{5CA56B30-3049-4BF0-9ADE-0563D51C23EE}"/>
    <cellStyle name="나쁨 9 2" xfId="2520" xr:uid="{F3B8C3B9-F099-48D4-8B67-CB92D78D5271}"/>
    <cellStyle name="메모 10" xfId="2522" xr:uid="{58E7945A-B25D-4930-A5DE-C2B033DA892B}"/>
    <cellStyle name="메모 10 2" xfId="2523" xr:uid="{7F4DF989-0472-4976-91BC-1438359C393B}"/>
    <cellStyle name="메모 11" xfId="2524" xr:uid="{897EF0A6-FF8D-456E-BEAE-014E4B80A17C}"/>
    <cellStyle name="메모 11 2" xfId="2525" xr:uid="{0687D33D-4D21-47CD-887A-92C8830F0C55}"/>
    <cellStyle name="메모 12" xfId="2526" xr:uid="{F7E75AFA-0816-4531-A880-C61711750A87}"/>
    <cellStyle name="메모 12 2" xfId="2527" xr:uid="{7E57B143-36CA-48FB-B48E-A081FB45E6E5}"/>
    <cellStyle name="메모 13" xfId="2528" xr:uid="{7ACB71DE-614E-431A-8405-6E81D65E769E}"/>
    <cellStyle name="메모 13 2" xfId="2529" xr:uid="{8AB4556F-1F46-4167-B8B9-9835EBB76B20}"/>
    <cellStyle name="메모 14" xfId="2530" xr:uid="{73EDC56F-7C13-43C2-BC8B-A294B4B11A6D}"/>
    <cellStyle name="메모 14 2" xfId="2531" xr:uid="{80C09456-823F-4E36-B6A1-AA920D178911}"/>
    <cellStyle name="메모 15" xfId="2532" xr:uid="{F26B1FA6-879E-48A5-A2A3-FD649D2581F0}"/>
    <cellStyle name="메모 15 2" xfId="2533" xr:uid="{3E4EF7D3-BE50-4662-B0D3-C6B867465F6B}"/>
    <cellStyle name="메모 16" xfId="2534" xr:uid="{DC6CD8E5-8F8C-422F-81AA-87485C538AC5}"/>
    <cellStyle name="메모 16 2" xfId="2535" xr:uid="{68C17F1C-2737-4209-9E6E-3CDD4A93EC86}"/>
    <cellStyle name="메모 17" xfId="2536" xr:uid="{2A4EE8AB-9B05-4B7D-92E9-9D2C8327AEF4}"/>
    <cellStyle name="메모 17 2" xfId="2537" xr:uid="{5D8356B1-725B-45E9-8D8F-00B28CA04969}"/>
    <cellStyle name="메모 18" xfId="2538" xr:uid="{A5E14099-885F-4C3A-8D04-D13D428D1C03}"/>
    <cellStyle name="메모 18 2" xfId="2539" xr:uid="{35A0F849-9900-4751-A110-942E4B47C5F2}"/>
    <cellStyle name="메모 19" xfId="2540" xr:uid="{5F2FBF58-1BF5-4DEC-9AEE-AB935BBF9868}"/>
    <cellStyle name="메모 19 2" xfId="2541" xr:uid="{EDD98492-CA9F-4E31-9B8B-EA1B72A6CE25}"/>
    <cellStyle name="메모 2" xfId="2542" xr:uid="{79049602-D473-4CC3-8F6E-974437E46065}"/>
    <cellStyle name="메모 2 2" xfId="2543" xr:uid="{690A0B5B-CE92-423A-9367-7F3C46085BC8}"/>
    <cellStyle name="메모 20" xfId="2544" xr:uid="{893830EB-6233-402A-A8B0-40E67348C8CE}"/>
    <cellStyle name="메모 20 2" xfId="2545" xr:uid="{FD61CEA6-88D6-4087-8833-187981BC154C}"/>
    <cellStyle name="메모 21" xfId="2546" xr:uid="{D3F0A965-6BDB-47F5-AAF0-3F7E54E84204}"/>
    <cellStyle name="메모 21 2" xfId="2547" xr:uid="{B8EB1F19-4700-4C22-93FD-7A4121676CE3}"/>
    <cellStyle name="메모 22" xfId="2548" xr:uid="{A71AE1DA-ED90-439A-A4DB-CA41F6FDB01C}"/>
    <cellStyle name="메모 22 2" xfId="2549" xr:uid="{0D27DB51-6E82-46C7-B6F6-564C5B750451}"/>
    <cellStyle name="메모 23" xfId="2550" xr:uid="{AEB1E71E-CB32-4649-8F83-74FEFF297376}"/>
    <cellStyle name="메모 23 2" xfId="2551" xr:uid="{79E3ACFD-2191-44EB-B8B1-8C572234E649}"/>
    <cellStyle name="메모 24" xfId="2552" xr:uid="{46CE5C9D-0CE2-469B-A6DC-150B2753F117}"/>
    <cellStyle name="메모 24 2" xfId="2553" xr:uid="{E9312A1E-3EB2-4DFD-8A65-6DD4FB843E5D}"/>
    <cellStyle name="메모 25" xfId="2554" xr:uid="{2F92A7BF-63D5-48D5-BF9A-2EE71E2AD0FB}"/>
    <cellStyle name="메모 25 2" xfId="2555" xr:uid="{266E98C5-DC81-404C-9FA9-424C976334A1}"/>
    <cellStyle name="메모 26" xfId="2556" xr:uid="{7F3D737D-891C-4813-91EA-D309C64A15EC}"/>
    <cellStyle name="메모 26 2" xfId="2557" xr:uid="{73396D4C-91DB-44A3-ADD2-126A93ABF82A}"/>
    <cellStyle name="메모 27" xfId="2558" xr:uid="{71F78797-3601-412E-AB9C-43975F3FDAD2}"/>
    <cellStyle name="메모 27 2" xfId="2559" xr:uid="{C85B60A8-55AC-4416-B093-8C47EB8C0008}"/>
    <cellStyle name="메모 28" xfId="2560" xr:uid="{0920B50F-CE5B-4C63-A98B-05EA972C8026}"/>
    <cellStyle name="메모 28 2" xfId="2561" xr:uid="{F260DC24-31E4-4BD0-8518-3BF01B0E9B40}"/>
    <cellStyle name="메모 29" xfId="2562" xr:uid="{B1C9C9C0-D0A4-4A32-8385-2CC94976B707}"/>
    <cellStyle name="메모 29 2" xfId="2563" xr:uid="{31C07E31-FD9D-4C62-BBCF-D718718B91D2}"/>
    <cellStyle name="메모 3" xfId="2564" xr:uid="{BB865842-FB76-48DC-9AED-DE3AC6163995}"/>
    <cellStyle name="메모 3 2" xfId="2565" xr:uid="{5BC3A96C-EF2D-42DC-8BC5-4C793E4DDF39}"/>
    <cellStyle name="메모 30" xfId="2566" xr:uid="{FC29FF81-CF1F-4C97-85FC-29985AB4ED78}"/>
    <cellStyle name="메모 30 2" xfId="2567" xr:uid="{5D6A39DB-AC04-4451-9EC2-A8570633A3DF}"/>
    <cellStyle name="메모 31" xfId="2568" xr:uid="{6FDFAF2B-D47E-4581-B575-65445663D9FB}"/>
    <cellStyle name="메모 31 2" xfId="2569" xr:uid="{97EB73A2-2D14-40AC-9EA4-4A79E67451AC}"/>
    <cellStyle name="메모 32" xfId="2570" xr:uid="{6CD518FA-5C32-43BD-8253-957A5DE72172}"/>
    <cellStyle name="메모 32 2" xfId="2571" xr:uid="{BC85CA35-8509-477E-9C36-D1F2933C7724}"/>
    <cellStyle name="메모 33" xfId="2572" xr:uid="{BF263E04-BCF1-45E0-8E5A-2F52F9DD09A7}"/>
    <cellStyle name="메모 33 2" xfId="2573" xr:uid="{DE16222A-4C64-4309-A81D-987DF1542457}"/>
    <cellStyle name="메모 34" xfId="2574" xr:uid="{4413B085-B41C-47F6-BA03-82B30DC09EE1}"/>
    <cellStyle name="메모 34 2" xfId="2575" xr:uid="{99A04688-D40E-4163-BD70-BE39D3DA97A5}"/>
    <cellStyle name="메모 35" xfId="2576" xr:uid="{8D30F089-8865-49F0-89F4-751664CCD35B}"/>
    <cellStyle name="메모 35 2" xfId="2577" xr:uid="{A120A06A-1E1F-4C4D-AF63-D87367535A99}"/>
    <cellStyle name="메모 36" xfId="2578" xr:uid="{9AE9F245-6E2A-40F2-8F86-271FD732231D}"/>
    <cellStyle name="메모 36 2" xfId="2579" xr:uid="{ECF07357-35C3-41F1-888B-DDC2757A1F38}"/>
    <cellStyle name="메모 37" xfId="2580" xr:uid="{4245519A-1E25-4BF4-9D2E-043EC99FC044}"/>
    <cellStyle name="메모 37 2" xfId="2581" xr:uid="{C66E91B8-A8DA-4853-80C3-6929AD816905}"/>
    <cellStyle name="메모 38" xfId="2582" xr:uid="{847CDB1C-7FAE-41FE-B180-D730990E5DDF}"/>
    <cellStyle name="메모 38 2" xfId="2583" xr:uid="{65400711-08E6-479B-8654-141ED1BB341B}"/>
    <cellStyle name="메모 39" xfId="2584" xr:uid="{AD1DC58D-0FE1-4DA6-BF97-47CA30ED5428}"/>
    <cellStyle name="메모 39 2" xfId="2585" xr:uid="{AFCFA387-7A01-49BB-B158-5A6C296B24C4}"/>
    <cellStyle name="메모 4" xfId="2586" xr:uid="{40F43C93-1534-4652-81C8-C80568556F5E}"/>
    <cellStyle name="메모 4 2" xfId="2587" xr:uid="{CA207401-9AED-4123-8FF8-037298C522CE}"/>
    <cellStyle name="메모 40" xfId="2588" xr:uid="{F8BF3934-268A-4F18-8C83-6AAFA955A509}"/>
    <cellStyle name="메모 40 2" xfId="2589" xr:uid="{6B7CFD54-5A94-4576-B50F-A5EA79716F09}"/>
    <cellStyle name="메모 41" xfId="2590" xr:uid="{8EE02260-1278-4385-8A7C-26500A36B602}"/>
    <cellStyle name="메모 41 2" xfId="2591" xr:uid="{DA9F7C6E-2BF0-4554-AB66-2B082BB5E3AA}"/>
    <cellStyle name="메모 42" xfId="2592" xr:uid="{549532DD-64DF-40F6-A9CB-DE9DBA6010D5}"/>
    <cellStyle name="메모 42 2" xfId="2593" xr:uid="{2F5C31E4-D22A-4222-B2E1-FAC3CB9D03C1}"/>
    <cellStyle name="메모 43" xfId="2594" xr:uid="{FFC0B922-3EC0-43DB-9E35-53069B404E8F}"/>
    <cellStyle name="메모 43 2" xfId="2595" xr:uid="{EF2BD2A8-9186-4550-9CCB-7F5B933EDFCC}"/>
    <cellStyle name="메모 44" xfId="2596" xr:uid="{07C54D44-3176-4C46-8685-323B592DACBF}"/>
    <cellStyle name="메모 45" xfId="2597" xr:uid="{5F52F086-07DF-4F56-BD90-BD681EE03FDE}"/>
    <cellStyle name="메모 46" xfId="2598" xr:uid="{7F04D67E-4BC0-403A-935D-14E8901720BF}"/>
    <cellStyle name="메모 47" xfId="2599" xr:uid="{ECB1F5C4-E822-402A-88AF-FD495607B781}"/>
    <cellStyle name="메모 48" xfId="2521" xr:uid="{D41A0BDB-9737-4E3F-ACF5-48BEBA94C407}"/>
    <cellStyle name="메모 5" xfId="2600" xr:uid="{BA2098CA-7D81-4C8F-8382-41BC7F529C7B}"/>
    <cellStyle name="메모 5 2" xfId="2601" xr:uid="{E6451F28-C18F-4980-9F4C-DF97314830DF}"/>
    <cellStyle name="메모 6" xfId="2602" xr:uid="{271CC1AE-B8B1-4EAB-BDB4-F5A6ED9F594E}"/>
    <cellStyle name="메모 6 2" xfId="2603" xr:uid="{D75424E9-0114-4C13-965B-27B6CE06CDE2}"/>
    <cellStyle name="메모 7" xfId="2604" xr:uid="{3E0561E1-B665-42C8-BAAD-117F7FC76EE0}"/>
    <cellStyle name="메모 7 2" xfId="2605" xr:uid="{C9069720-A482-4D54-B95B-8FA05C9DFA2A}"/>
    <cellStyle name="메모 8" xfId="2606" xr:uid="{4C2B91F9-B22E-4B0E-80C6-3FCB2DCE94FA}"/>
    <cellStyle name="메모 8 2" xfId="2607" xr:uid="{09759B79-6BC6-4D17-9AF3-B79C55BB182B}"/>
    <cellStyle name="메모 9" xfId="2608" xr:uid="{47E7CD64-9431-4BDC-A561-FB5A5E49E38C}"/>
    <cellStyle name="메모 9 2" xfId="2609" xr:uid="{864AD3A1-BA16-4BBC-88DD-CC4881471DB7}"/>
    <cellStyle name="보통 10" xfId="2611" xr:uid="{2102F638-4896-45E2-B604-022CB8FCEF4D}"/>
    <cellStyle name="보통 10 2" xfId="2612" xr:uid="{8B9A63A2-3269-4A89-B84A-217140F3FAE0}"/>
    <cellStyle name="보통 11" xfId="2613" xr:uid="{F6DAE2E7-E0C7-4B96-8372-A9181559DB79}"/>
    <cellStyle name="보통 11 2" xfId="2614" xr:uid="{6F13BD0D-7353-447F-8E53-3878B137F137}"/>
    <cellStyle name="보통 12" xfId="2615" xr:uid="{6D2B5A18-7F92-4BF0-85B7-60C4F241E496}"/>
    <cellStyle name="보통 12 2" xfId="2616" xr:uid="{26142A28-5D69-4D73-A236-EF55F5C4D785}"/>
    <cellStyle name="보통 13" xfId="2617" xr:uid="{219C226B-9A9B-4307-8648-5DD0C373FA5F}"/>
    <cellStyle name="보통 13 2" xfId="2618" xr:uid="{495B326A-698C-437C-9B6C-3B2FF3573EAE}"/>
    <cellStyle name="보통 14" xfId="2619" xr:uid="{550FDDF8-9176-4D84-852E-8BC0510A52A3}"/>
    <cellStyle name="보통 14 2" xfId="2620" xr:uid="{378010CD-16E3-4507-9D64-C6EF056359EE}"/>
    <cellStyle name="보통 15" xfId="2621" xr:uid="{E83F4A65-4EE8-499E-9D22-2F6553EAF8F6}"/>
    <cellStyle name="보통 15 2" xfId="2622" xr:uid="{C720B638-FCD5-4566-8D66-A872089DBA0F}"/>
    <cellStyle name="보통 16" xfId="2623" xr:uid="{B75A8CC1-CA2B-475A-BF21-AF9D86575F51}"/>
    <cellStyle name="보통 16 2" xfId="2624" xr:uid="{7CBE52BD-A6F7-495C-B950-96AD55EFB48D}"/>
    <cellStyle name="보통 17" xfId="2625" xr:uid="{63F5A8D0-E4CF-410A-8919-BF9E6AA8F13B}"/>
    <cellStyle name="보통 17 2" xfId="2626" xr:uid="{348C015F-AC0F-44B3-BEAC-BC6915A9AA52}"/>
    <cellStyle name="보통 18" xfId="2627" xr:uid="{80B8C0BC-04A9-42DE-A1EF-F53C1AAEC15A}"/>
    <cellStyle name="보통 18 2" xfId="2628" xr:uid="{9500B8EC-9BF8-4B75-B9AE-226DC03B0C68}"/>
    <cellStyle name="보통 19" xfId="2629" xr:uid="{764FBCB2-0848-4B04-950B-3C37C112864B}"/>
    <cellStyle name="보통 19 2" xfId="2630" xr:uid="{1CB95BF8-8D0B-4583-8741-3B4D2337B750}"/>
    <cellStyle name="보통 2" xfId="2631" xr:uid="{DB0E2248-E487-4691-845D-9A5EA3B5C1B1}"/>
    <cellStyle name="보통 2 2" xfId="2632" xr:uid="{D2C45B00-E79D-4F37-9CC9-FDD4E79915E4}"/>
    <cellStyle name="보통 20" xfId="2633" xr:uid="{C4EBF6FE-6231-495B-A5DA-4B4859E3F17F}"/>
    <cellStyle name="보통 20 2" xfId="2634" xr:uid="{2A87ADAF-3C25-4576-ACF9-01EF90193CD3}"/>
    <cellStyle name="보통 21" xfId="2635" xr:uid="{02EAF659-1735-45BE-848F-FCA8602E4968}"/>
    <cellStyle name="보통 21 2" xfId="2636" xr:uid="{6B00BD1A-C903-458D-AE25-C52469F33C65}"/>
    <cellStyle name="보통 22" xfId="2637" xr:uid="{FD6B66E1-0CBA-4151-9C5D-C20F6C588F1F}"/>
    <cellStyle name="보통 22 2" xfId="2638" xr:uid="{2271F96F-75AF-4AA8-8EAD-08ADFDAD705E}"/>
    <cellStyle name="보통 23" xfId="2639" xr:uid="{FA14F9F7-D722-4AE1-9B51-B95CA9D5BE2E}"/>
    <cellStyle name="보통 23 2" xfId="2640" xr:uid="{521EF325-C323-46B4-A893-6D23BA329743}"/>
    <cellStyle name="보통 24" xfId="2641" xr:uid="{5887D7ED-25B9-4370-91F2-1BCDA29F763C}"/>
    <cellStyle name="보통 24 2" xfId="2642" xr:uid="{822A3550-935B-49F7-9332-8EEFECB11027}"/>
    <cellStyle name="보통 25" xfId="2643" xr:uid="{0895BBB6-2332-49F6-9225-E597F1510CEC}"/>
    <cellStyle name="보통 25 2" xfId="2644" xr:uid="{0DC6CB52-8645-494D-A83D-06FF66A9F72F}"/>
    <cellStyle name="보통 26" xfId="2645" xr:uid="{4FA972D9-26C3-4A3E-A5BE-43CF2360858F}"/>
    <cellStyle name="보통 26 2" xfId="2646" xr:uid="{FDD063D2-5D79-4F53-929D-27BA24DACD91}"/>
    <cellStyle name="보통 27" xfId="2647" xr:uid="{BFB81DA3-8864-4CA4-9EFD-4AA5FAF28377}"/>
    <cellStyle name="보통 27 2" xfId="2648" xr:uid="{8D8770AF-95DB-4FA1-9E51-A7BED30533D2}"/>
    <cellStyle name="보통 28" xfId="2649" xr:uid="{975655FD-0744-42AC-A18F-41EBEFF89E9D}"/>
    <cellStyle name="보통 28 2" xfId="2650" xr:uid="{61F8AFDC-32C8-487F-9D77-184277747FDB}"/>
    <cellStyle name="보통 29" xfId="2651" xr:uid="{3A547497-0F30-461A-9422-8E2EC64ADB0F}"/>
    <cellStyle name="보통 29 2" xfId="2652" xr:uid="{29BD6BBE-188B-41F7-AFC2-A2B810FA8912}"/>
    <cellStyle name="보통 3" xfId="2653" xr:uid="{DF87CCD0-F34D-4DD0-96CB-3BAB9A8D6B69}"/>
    <cellStyle name="보통 3 2" xfId="2654" xr:uid="{4CED8446-D1F3-4C1D-836B-6F6B6E060775}"/>
    <cellStyle name="보통 30" xfId="2655" xr:uid="{A27880AF-4F0E-4EBD-9B2B-8A69DACD3371}"/>
    <cellStyle name="보통 30 2" xfId="2656" xr:uid="{A14A8DAA-6AC1-4EF8-8C1D-52834D76B60A}"/>
    <cellStyle name="보통 31" xfId="2657" xr:uid="{2F08C5F1-4FA0-407F-883B-8960817F8138}"/>
    <cellStyle name="보통 31 2" xfId="2658" xr:uid="{32006F4F-3AA1-4CD3-BA76-84B2552BCA4F}"/>
    <cellStyle name="보통 32" xfId="2659" xr:uid="{548949DD-0CDA-415E-ABC8-437B604CFEB9}"/>
    <cellStyle name="보통 32 2" xfId="2660" xr:uid="{F7630CC0-6EF1-40E8-A39D-AAA95FC76B3E}"/>
    <cellStyle name="보통 33" xfId="2661" xr:uid="{C6E40D93-DE42-4E1C-A368-E4AC90208408}"/>
    <cellStyle name="보통 33 2" xfId="2662" xr:uid="{FE9C5BFD-CFDC-4181-8F7C-E04A33283FF8}"/>
    <cellStyle name="보통 34" xfId="2663" xr:uid="{0710DF53-3240-4A08-97E5-7C5E35DE5FC8}"/>
    <cellStyle name="보통 34 2" xfId="2664" xr:uid="{6E57307B-50C3-4495-B241-363FB9916871}"/>
    <cellStyle name="보통 35" xfId="2665" xr:uid="{535B8F83-503E-409B-AFCC-F89048355CA4}"/>
    <cellStyle name="보통 35 2" xfId="2666" xr:uid="{B921BEE9-7296-4691-AFD1-F32CCB019A7F}"/>
    <cellStyle name="보통 36" xfId="2667" xr:uid="{4D43829B-996B-46C7-8713-2C57A98CED79}"/>
    <cellStyle name="보통 36 2" xfId="2668" xr:uid="{19097EE1-D6E2-4843-AF25-27D5969332C5}"/>
    <cellStyle name="보통 37" xfId="2669" xr:uid="{53974AB6-19FA-4851-8F51-15BEEA5D54FA}"/>
    <cellStyle name="보통 37 2" xfId="2670" xr:uid="{72F85987-E139-4D88-9602-ABA531E159E3}"/>
    <cellStyle name="보통 38" xfId="2671" xr:uid="{7CCABC93-8A18-4335-8235-DE4BFF2369ED}"/>
    <cellStyle name="보통 38 2" xfId="2672" xr:uid="{60EF4A85-E72E-4002-9BF3-0828D117C201}"/>
    <cellStyle name="보통 39" xfId="2673" xr:uid="{BAD24FBF-8E25-4E54-94FB-DA5A95403F09}"/>
    <cellStyle name="보통 39 2" xfId="2674" xr:uid="{FE100B46-B3F8-4885-BC59-AE62FEADECC0}"/>
    <cellStyle name="보통 4" xfId="2675" xr:uid="{11F261C7-B25B-4223-B781-E01F008F91B6}"/>
    <cellStyle name="보통 4 2" xfId="2676" xr:uid="{B99A9D02-D238-4879-A78F-43CC28682939}"/>
    <cellStyle name="보통 40" xfId="2677" xr:uid="{A4000F9E-2A98-442A-B074-0CCF5DAABE67}"/>
    <cellStyle name="보통 40 2" xfId="2678" xr:uid="{E270E940-C35D-405C-92B9-B212F6732DED}"/>
    <cellStyle name="보통 41" xfId="2679" xr:uid="{6C28C0CC-1D25-4E79-B3EE-4A0AFDD1F6E6}"/>
    <cellStyle name="보통 41 2" xfId="2680" xr:uid="{C3AA2901-31B0-4458-A18A-ACFBCECA37CC}"/>
    <cellStyle name="보통 42" xfId="2681" xr:uid="{D11BFD8D-AB6D-498C-BFC6-2EC3149C046D}"/>
    <cellStyle name="보통 42 2" xfId="2682" xr:uid="{F61CCF98-B634-4F0A-8BAD-9D5E0D324C3E}"/>
    <cellStyle name="보통 43" xfId="2683" xr:uid="{2FC3C141-372E-4AD4-BCE7-BBF4791DA97B}"/>
    <cellStyle name="보통 43 2" xfId="2684" xr:uid="{52481710-1FCB-4C42-8A37-B53E37F2B427}"/>
    <cellStyle name="보통 44" xfId="2685" xr:uid="{2EE32124-37FC-4BC5-B438-FA230104EF40}"/>
    <cellStyle name="보통 45" xfId="2686" xr:uid="{1BC7AB95-4D92-4530-AC08-1828E7C7F029}"/>
    <cellStyle name="보통 46" xfId="2687" xr:uid="{D2D9E88C-09CE-4330-B440-9439D2EC205A}"/>
    <cellStyle name="보통 47" xfId="2610" xr:uid="{3ADD5033-2A29-46E5-BB33-B8CC1A0A6D2C}"/>
    <cellStyle name="보통 5" xfId="2688" xr:uid="{ED54F81A-7609-48D5-9A1F-3E8DEA580932}"/>
    <cellStyle name="보통 5 2" xfId="2689" xr:uid="{775FF1DC-928F-40B2-9840-47AC4C589ECC}"/>
    <cellStyle name="보통 6" xfId="2690" xr:uid="{13690898-9D13-4AE2-BA72-27C9A52D18C3}"/>
    <cellStyle name="보통 6 2" xfId="2691" xr:uid="{71526FAA-30C5-4761-9A78-499D738F0631}"/>
    <cellStyle name="보통 7" xfId="2692" xr:uid="{EA615256-191E-42FE-B2E2-CC4CB85ADC3A}"/>
    <cellStyle name="보통 7 2" xfId="2693" xr:uid="{B490100F-AB57-4437-85BA-2A21F002D64F}"/>
    <cellStyle name="보통 8" xfId="2694" xr:uid="{D5595AAE-02E2-4279-BF9A-791D8045D419}"/>
    <cellStyle name="보통 8 2" xfId="2695" xr:uid="{06091EB8-B31C-4342-8B11-0BD870D23AA4}"/>
    <cellStyle name="보통 9" xfId="2696" xr:uid="{F50968D6-53B5-4648-901C-2E29D9A4B7E9}"/>
    <cellStyle name="보통 9 2" xfId="2697" xr:uid="{55C06928-3967-46DB-AA20-8D64C4331D85}"/>
    <cellStyle name="설명 텍스트 10" xfId="2699" xr:uid="{1DB470A3-B82D-4DAC-891A-D5FD5504EFE1}"/>
    <cellStyle name="설명 텍스트 10 2" xfId="2700" xr:uid="{1B6B4183-DEE0-4858-A192-328AEB0D4A8F}"/>
    <cellStyle name="설명 텍스트 11" xfId="2701" xr:uid="{8FBE7B21-4357-4856-8F73-ECB8785F8E96}"/>
    <cellStyle name="설명 텍스트 11 2" xfId="2702" xr:uid="{FA413CCF-7C12-4EE8-9737-0EF2CBC362AD}"/>
    <cellStyle name="설명 텍스트 12" xfId="2703" xr:uid="{3F41010A-55FC-4B01-8D57-E0546B3C4570}"/>
    <cellStyle name="설명 텍스트 12 2" xfId="2704" xr:uid="{2D97C716-8306-4620-8F16-F5E5BA587D9C}"/>
    <cellStyle name="설명 텍스트 13" xfId="2705" xr:uid="{0A3B677D-996D-446E-9AA6-CEC775D978B4}"/>
    <cellStyle name="설명 텍스트 13 2" xfId="2706" xr:uid="{D014CAA8-58EB-4761-9EFC-095EC8430114}"/>
    <cellStyle name="설명 텍스트 14" xfId="2707" xr:uid="{A2854ACD-F421-44FF-A482-E360F6108876}"/>
    <cellStyle name="설명 텍스트 14 2" xfId="2708" xr:uid="{02E47ED5-A76F-46E2-AC91-F858A9A01359}"/>
    <cellStyle name="설명 텍스트 15" xfId="2709" xr:uid="{2EDB8BBD-255B-488D-B848-45CD9DBD4F56}"/>
    <cellStyle name="설명 텍스트 15 2" xfId="2710" xr:uid="{0DE6853E-518C-4A75-9B7C-989900BD1BA5}"/>
    <cellStyle name="설명 텍스트 16" xfId="2711" xr:uid="{5BE1AF04-0C78-48FE-9DD2-7A480C82901C}"/>
    <cellStyle name="설명 텍스트 16 2" xfId="2712" xr:uid="{332D7F66-66FD-4803-B4BA-23AA28BC6E9E}"/>
    <cellStyle name="설명 텍스트 17" xfId="2713" xr:uid="{55BC5318-D5AD-45E5-95F7-A72DD61131B5}"/>
    <cellStyle name="설명 텍스트 17 2" xfId="2714" xr:uid="{63770361-833B-4701-A87D-A426AEAA4208}"/>
    <cellStyle name="설명 텍스트 18" xfId="2715" xr:uid="{A86266E5-5B69-4271-BBEC-0F35922BEE54}"/>
    <cellStyle name="설명 텍스트 18 2" xfId="2716" xr:uid="{8B34F9CF-8713-46C0-B0EF-0EEC315ADF47}"/>
    <cellStyle name="설명 텍스트 19" xfId="2717" xr:uid="{2F12011D-0D6B-4E23-8FE1-930D83CFE897}"/>
    <cellStyle name="설명 텍스트 19 2" xfId="2718" xr:uid="{A1A3369B-BB28-4FAB-A1C7-D1196FA0AC9E}"/>
    <cellStyle name="설명 텍스트 2" xfId="2719" xr:uid="{3292C330-3131-4A81-B578-A52D0ADC42BF}"/>
    <cellStyle name="설명 텍스트 2 2" xfId="2720" xr:uid="{04E00E71-6309-4DAF-AF2C-7ED1707D3D20}"/>
    <cellStyle name="설명 텍스트 20" xfId="2721" xr:uid="{C36801B6-A143-4807-9563-DB95E01DDD6F}"/>
    <cellStyle name="설명 텍스트 20 2" xfId="2722" xr:uid="{33897DA7-3431-4509-99C6-E9036EEF10ED}"/>
    <cellStyle name="설명 텍스트 21" xfId="2723" xr:uid="{70425CA7-6E2B-46A2-8840-2A681F726E95}"/>
    <cellStyle name="설명 텍스트 21 2" xfId="2724" xr:uid="{0C197FE9-8927-4836-9DCB-D45C43928461}"/>
    <cellStyle name="설명 텍스트 22" xfId="2725" xr:uid="{225B79C0-03BD-4380-978D-FD76A198A770}"/>
    <cellStyle name="설명 텍스트 22 2" xfId="2726" xr:uid="{2F51E9CE-D1C2-4CB9-9059-AF35B7ED792E}"/>
    <cellStyle name="설명 텍스트 23" xfId="2727" xr:uid="{D2955DB4-C7C4-4056-B056-58BA9822AD5F}"/>
    <cellStyle name="설명 텍스트 23 2" xfId="2728" xr:uid="{7AC6EE46-5C20-4BDA-8156-497D06D33252}"/>
    <cellStyle name="설명 텍스트 24" xfId="2729" xr:uid="{3D060329-7725-4AD6-80BC-2CCDB8EDB08F}"/>
    <cellStyle name="설명 텍스트 24 2" xfId="2730" xr:uid="{EA5E7109-E515-4D39-818A-FAECF5A58C6F}"/>
    <cellStyle name="설명 텍스트 25" xfId="2731" xr:uid="{0103D011-EBC9-4250-8CB6-8E59E243C659}"/>
    <cellStyle name="설명 텍스트 25 2" xfId="2732" xr:uid="{195B5731-6AF0-46C2-9575-C9CA8DE2ED2B}"/>
    <cellStyle name="설명 텍스트 26" xfId="2733" xr:uid="{F3ED5310-6203-4663-87C7-6F2CDAABBC15}"/>
    <cellStyle name="설명 텍스트 26 2" xfId="2734" xr:uid="{9BED09A9-50EC-450F-8B4D-B05E5A94BD26}"/>
    <cellStyle name="설명 텍스트 27" xfId="2735" xr:uid="{1E418F08-E2CB-45F9-BA5A-7ACCC872EF34}"/>
    <cellStyle name="설명 텍스트 27 2" xfId="2736" xr:uid="{0B529783-47EC-4558-84A0-7AE59E5811FB}"/>
    <cellStyle name="설명 텍스트 28" xfId="2737" xr:uid="{630EE493-F85D-4E83-A608-DDB52D8A0F47}"/>
    <cellStyle name="설명 텍스트 28 2" xfId="2738" xr:uid="{A2E4986D-8B46-4B55-93EC-E42B2072072D}"/>
    <cellStyle name="설명 텍스트 29" xfId="2739" xr:uid="{8BD1F8E7-B48C-4357-9F3A-CE1D75E26801}"/>
    <cellStyle name="설명 텍스트 29 2" xfId="2740" xr:uid="{2F5B6DF0-4E9D-4AD0-B388-6FFB0A2F900A}"/>
    <cellStyle name="설명 텍스트 3" xfId="2741" xr:uid="{E16D3034-D11A-4766-8FC4-601032118990}"/>
    <cellStyle name="설명 텍스트 3 2" xfId="2742" xr:uid="{6981F4DC-2B07-4AB7-98C0-D5B69363365B}"/>
    <cellStyle name="설명 텍스트 30" xfId="2743" xr:uid="{2CA5EE69-DB69-4F03-BFA7-3426E15AFA36}"/>
    <cellStyle name="설명 텍스트 30 2" xfId="2744" xr:uid="{F1B67DEB-ED9F-4364-A93B-58291B263D5D}"/>
    <cellStyle name="설명 텍스트 31" xfId="2745" xr:uid="{00CAED46-CDB7-458D-91B0-9F373B8796F1}"/>
    <cellStyle name="설명 텍스트 31 2" xfId="2746" xr:uid="{875912DF-F5E4-4EC6-A863-FFBCECC79F90}"/>
    <cellStyle name="설명 텍스트 32" xfId="2747" xr:uid="{9B8D4010-A4B5-49CD-BA94-4CCD3C738A6B}"/>
    <cellStyle name="설명 텍스트 32 2" xfId="2748" xr:uid="{E6AB0F5A-A30A-43BD-B773-41D1ACC0BEB8}"/>
    <cellStyle name="설명 텍스트 33" xfId="2749" xr:uid="{9D1D3052-C924-4D28-8A4C-5EE27597AF94}"/>
    <cellStyle name="설명 텍스트 33 2" xfId="2750" xr:uid="{D6817BCF-97FA-4571-B638-C1E72F4020B9}"/>
    <cellStyle name="설명 텍스트 34" xfId="2751" xr:uid="{8B9646EC-ECCE-46D9-98AB-4670BB3D0D27}"/>
    <cellStyle name="설명 텍스트 34 2" xfId="2752" xr:uid="{D0C229A9-C5E5-4D40-B4A1-B475CE1D6A97}"/>
    <cellStyle name="설명 텍스트 35" xfId="2753" xr:uid="{EEE74992-6C3B-420D-ACA0-3BAEE94CD3A9}"/>
    <cellStyle name="설명 텍스트 35 2" xfId="2754" xr:uid="{388433F0-0195-4916-817C-8CF61D3118F2}"/>
    <cellStyle name="설명 텍스트 36" xfId="2755" xr:uid="{2D283E83-3286-4010-8943-88A4BE97FAE2}"/>
    <cellStyle name="설명 텍스트 36 2" xfId="2756" xr:uid="{5DB25937-0046-4F9E-8E1C-6EEDB4121569}"/>
    <cellStyle name="설명 텍스트 37" xfId="2757" xr:uid="{741DBA59-6FAB-46B8-82EA-A806C9E31AEB}"/>
    <cellStyle name="설명 텍스트 37 2" xfId="2758" xr:uid="{3A6EA78C-03DD-4C7B-941F-91305E5A17A7}"/>
    <cellStyle name="설명 텍스트 38" xfId="2759" xr:uid="{FF7C9A4C-5B7B-4C3D-82A0-7C8AE1A5CB70}"/>
    <cellStyle name="설명 텍스트 38 2" xfId="2760" xr:uid="{E0305D5B-F88F-4DBB-B6E5-2C73CC7D9616}"/>
    <cellStyle name="설명 텍스트 39" xfId="2761" xr:uid="{C75B58E0-6933-4A0E-B649-7D8E9437D5A4}"/>
    <cellStyle name="설명 텍스트 39 2" xfId="2762" xr:uid="{804AD7E7-F1E8-430F-916B-A6211F968F60}"/>
    <cellStyle name="설명 텍스트 4" xfId="2763" xr:uid="{A56CAE31-69A2-49E9-BCCF-8155B4837E0A}"/>
    <cellStyle name="설명 텍스트 4 2" xfId="2764" xr:uid="{F11BF9D6-CA27-451D-930E-6568961A1E5E}"/>
    <cellStyle name="설명 텍스트 40" xfId="2765" xr:uid="{F4C759F3-2F38-4E26-AA57-A9669D762209}"/>
    <cellStyle name="설명 텍스트 40 2" xfId="2766" xr:uid="{CF76B579-B5F1-4B39-A81F-F185ACB65220}"/>
    <cellStyle name="설명 텍스트 41" xfId="2767" xr:uid="{C55BC56B-E686-4840-BD32-16A2C4D364D5}"/>
    <cellStyle name="설명 텍스트 41 2" xfId="2768" xr:uid="{2153F857-5EF1-4914-BA2C-99F6C016E34D}"/>
    <cellStyle name="설명 텍스트 42" xfId="2769" xr:uid="{4838B0A1-8717-465F-88A5-C7A515DF5801}"/>
    <cellStyle name="설명 텍스트 42 2" xfId="2770" xr:uid="{8F0FCAF8-E9BD-4171-BCD2-E04860AB4474}"/>
    <cellStyle name="설명 텍스트 43" xfId="2771" xr:uid="{BDF7AA47-F7A0-454D-B7AE-F4EEF9CF83F8}"/>
    <cellStyle name="설명 텍스트 43 2" xfId="2772" xr:uid="{0AD8E1AB-ABA2-4918-8E2A-34C7354E67A0}"/>
    <cellStyle name="설명 텍스트 44" xfId="2773" xr:uid="{DFD1D342-3980-4827-9B95-B5CA6834845E}"/>
    <cellStyle name="설명 텍스트 45" xfId="2774" xr:uid="{B7E7CFAD-9750-482B-8BB9-549C77993E57}"/>
    <cellStyle name="설명 텍스트 46" xfId="2775" xr:uid="{FF16F83A-7206-48E7-A4B2-20E898D596B4}"/>
    <cellStyle name="설명 텍스트 47" xfId="2698" xr:uid="{57E69875-F664-4F9E-A7E2-4030ED0D0C9E}"/>
    <cellStyle name="설명 텍스트 5" xfId="2776" xr:uid="{D6A04638-A330-4411-88D2-49FD2D4E4534}"/>
    <cellStyle name="설명 텍스트 5 2" xfId="2777" xr:uid="{4B8F36C0-991F-4C3A-BC9D-8C702EEF7EFA}"/>
    <cellStyle name="설명 텍스트 6" xfId="2778" xr:uid="{11E0D752-973A-43D1-B692-9F4B5C77F045}"/>
    <cellStyle name="설명 텍스트 6 2" xfId="2779" xr:uid="{F2B5E7E2-406E-47FB-8123-7F15BD9E9928}"/>
    <cellStyle name="설명 텍스트 7" xfId="2780" xr:uid="{8AF1BDCC-8A63-4789-AE3E-A2D97A2319CD}"/>
    <cellStyle name="설명 텍스트 7 2" xfId="2781" xr:uid="{7B36AAF1-8963-47A8-B068-45C8E914A628}"/>
    <cellStyle name="설명 텍스트 8" xfId="2782" xr:uid="{7259CC67-FF30-4668-9A47-83B26A962520}"/>
    <cellStyle name="설명 텍스트 8 2" xfId="2783" xr:uid="{2FA75922-DBDC-4749-A711-DCD0EF8BA64E}"/>
    <cellStyle name="설명 텍스트 9" xfId="2784" xr:uid="{DE21D4EB-C9C4-44B5-801C-B1C345207581}"/>
    <cellStyle name="설명 텍스트 9 2" xfId="2785" xr:uid="{60E8FFD8-86D1-480B-8EFE-EABF110E3D42}"/>
    <cellStyle name="셀 확인 10" xfId="2787" xr:uid="{BE58752A-0524-4BC9-B8AF-FB9C19B488CF}"/>
    <cellStyle name="셀 확인 10 2" xfId="2788" xr:uid="{7355E1A8-C674-4750-9DCC-D56069680C93}"/>
    <cellStyle name="셀 확인 11" xfId="2789" xr:uid="{94671036-3D7C-48CF-87A0-3CDAA07C396C}"/>
    <cellStyle name="셀 확인 11 2" xfId="2790" xr:uid="{B60AF0DC-6047-4D4F-B0BB-FDF5B1AFA13C}"/>
    <cellStyle name="셀 확인 12" xfId="2791" xr:uid="{8DE06D2E-936D-4D14-9037-AD3CB22D553E}"/>
    <cellStyle name="셀 확인 12 2" xfId="2792" xr:uid="{E5CA4D95-BDED-4CBB-85E0-E35A4FA8EEE4}"/>
    <cellStyle name="셀 확인 13" xfId="2793" xr:uid="{BD6F0081-BD90-478F-B96E-64FD3F2BF126}"/>
    <cellStyle name="셀 확인 13 2" xfId="2794" xr:uid="{CBA1AAFF-55C8-42F7-AE09-BC15A447ED0A}"/>
    <cellStyle name="셀 확인 14" xfId="2795" xr:uid="{650FE36C-B618-4E5A-969D-77DAB2E3707B}"/>
    <cellStyle name="셀 확인 14 2" xfId="2796" xr:uid="{F260FA9C-909D-4BA5-8F4C-5220028C554F}"/>
    <cellStyle name="셀 확인 15" xfId="2797" xr:uid="{E64DBCAA-EDDA-47F3-BE6F-DF9018283B9F}"/>
    <cellStyle name="셀 확인 15 2" xfId="2798" xr:uid="{A8D4957D-0817-49EB-B956-64643E99A170}"/>
    <cellStyle name="셀 확인 16" xfId="2799" xr:uid="{4386CA1D-F3DE-4340-A32B-8B48B08701DA}"/>
    <cellStyle name="셀 확인 16 2" xfId="2800" xr:uid="{6BFEAFA6-220D-47E6-82AE-03C5943D72F1}"/>
    <cellStyle name="셀 확인 17" xfId="2801" xr:uid="{8CAD69A5-34D5-43CB-9AF7-15F88C93F27D}"/>
    <cellStyle name="셀 확인 17 2" xfId="2802" xr:uid="{BAA22836-9599-4584-9524-99FB99E9108E}"/>
    <cellStyle name="셀 확인 18" xfId="2803" xr:uid="{70621D37-AC4F-487A-891F-93304DFF262D}"/>
    <cellStyle name="셀 확인 18 2" xfId="2804" xr:uid="{E132D91E-DF7D-482F-84F4-D69DBF1CF7E8}"/>
    <cellStyle name="셀 확인 19" xfId="2805" xr:uid="{B5E3D7D3-E592-45E9-8D5F-75C462705B8C}"/>
    <cellStyle name="셀 확인 19 2" xfId="2806" xr:uid="{A71508CB-FDFF-4D52-B4BB-DA764A6CF2E5}"/>
    <cellStyle name="셀 확인 2" xfId="2807" xr:uid="{531E8F08-2F29-4D69-84CD-7625D3CD048D}"/>
    <cellStyle name="셀 확인 2 2" xfId="2808" xr:uid="{BE1D0045-017C-4E5B-90EF-AFEEF3B5D17D}"/>
    <cellStyle name="셀 확인 20" xfId="2809" xr:uid="{8652D51F-D69E-4938-88EF-B429F1C17DB4}"/>
    <cellStyle name="셀 확인 20 2" xfId="2810" xr:uid="{B2CA1A40-CF73-4C29-B7C9-C2AA77E586C7}"/>
    <cellStyle name="셀 확인 21" xfId="2811" xr:uid="{D3036BB8-2D7D-4B3D-96BC-DE56DAD59A68}"/>
    <cellStyle name="셀 확인 21 2" xfId="2812" xr:uid="{CBA0AE26-7C04-4712-AFEF-671468A38AB2}"/>
    <cellStyle name="셀 확인 22" xfId="2813" xr:uid="{2B9BB6FA-ECF5-4849-8A11-4FC13468C982}"/>
    <cellStyle name="셀 확인 22 2" xfId="2814" xr:uid="{79423612-BFDA-4B87-B0DD-837449078608}"/>
    <cellStyle name="셀 확인 23" xfId="2815" xr:uid="{09E48161-37C4-4319-B2BA-E9E4FE68B4B3}"/>
    <cellStyle name="셀 확인 23 2" xfId="2816" xr:uid="{82832773-A9A4-452F-9A0B-3C1116D17DA0}"/>
    <cellStyle name="셀 확인 24" xfId="2817" xr:uid="{6FA3CC64-FB8A-499D-9C55-926F7CAE7B3F}"/>
    <cellStyle name="셀 확인 24 2" xfId="2818" xr:uid="{C8A4251F-F986-4473-B512-46199151F1AA}"/>
    <cellStyle name="셀 확인 25" xfId="2819" xr:uid="{E42FDB4F-6688-411D-9A03-DA055F30E894}"/>
    <cellStyle name="셀 확인 25 2" xfId="2820" xr:uid="{26B1BF61-42E4-461E-8F2E-720BA0BEF7D6}"/>
    <cellStyle name="셀 확인 26" xfId="2821" xr:uid="{3991B476-B98C-4C31-AD3C-D8027FDF7B9A}"/>
    <cellStyle name="셀 확인 26 2" xfId="2822" xr:uid="{221440E7-276D-4244-8D34-2532D0C80457}"/>
    <cellStyle name="셀 확인 27" xfId="2823" xr:uid="{51FA3EE8-1102-43B2-AB71-7EBE2A928C19}"/>
    <cellStyle name="셀 확인 27 2" xfId="2824" xr:uid="{AC2D3317-6E02-428C-8756-BCD6DEAADDD9}"/>
    <cellStyle name="셀 확인 28" xfId="2825" xr:uid="{8A982106-3756-4974-AC51-20B30DC930BD}"/>
    <cellStyle name="셀 확인 28 2" xfId="2826" xr:uid="{14079E6A-9229-4F00-9215-A7EF978FAD6F}"/>
    <cellStyle name="셀 확인 29" xfId="2827" xr:uid="{FB6E5606-0E4C-45BE-B206-C86711A75E4D}"/>
    <cellStyle name="셀 확인 29 2" xfId="2828" xr:uid="{7478E939-A873-4EA4-99E9-9EFC33C70A47}"/>
    <cellStyle name="셀 확인 3" xfId="2829" xr:uid="{D556F91F-20E5-42E1-B209-316600CA0296}"/>
    <cellStyle name="셀 확인 3 2" xfId="2830" xr:uid="{FB5C2C10-3933-4ACD-AEC0-DF29C7C4A3B8}"/>
    <cellStyle name="셀 확인 30" xfId="2831" xr:uid="{D915679D-CF9A-4C5A-82A1-EA88C7AC568C}"/>
    <cellStyle name="셀 확인 30 2" xfId="2832" xr:uid="{68DA8834-36AA-4FB5-BDDD-65B2C1ED178F}"/>
    <cellStyle name="셀 확인 31" xfId="2833" xr:uid="{CC79A635-5770-4178-BC33-C2597B5C4842}"/>
    <cellStyle name="셀 확인 31 2" xfId="2834" xr:uid="{C41E5C7E-BC5B-44E3-A97B-BF1F8766D6ED}"/>
    <cellStyle name="셀 확인 32" xfId="2835" xr:uid="{C7E17306-DC87-4C8A-A762-08F5706FCBBD}"/>
    <cellStyle name="셀 확인 32 2" xfId="2836" xr:uid="{C4B436BE-E32F-465D-AE39-C0CFB1F4ECB6}"/>
    <cellStyle name="셀 확인 33" xfId="2837" xr:uid="{4AA5440C-2D10-4157-9493-D6F237564617}"/>
    <cellStyle name="셀 확인 33 2" xfId="2838" xr:uid="{240BD938-B06D-4370-9712-AE70365D155A}"/>
    <cellStyle name="셀 확인 34" xfId="2839" xr:uid="{50D5FA9B-4ED5-4BEE-9830-111CDE2A689F}"/>
    <cellStyle name="셀 확인 34 2" xfId="2840" xr:uid="{54A5289A-3F45-4CE3-94BB-1F93381737B6}"/>
    <cellStyle name="셀 확인 35" xfId="2841" xr:uid="{368BCC13-745D-4D75-B5F9-305B02FE5AB8}"/>
    <cellStyle name="셀 확인 35 2" xfId="2842" xr:uid="{B6B147B3-3E27-4210-902B-19FC3C7F4FD5}"/>
    <cellStyle name="셀 확인 36" xfId="2843" xr:uid="{C3406D6F-1CA3-4720-A126-AB376F1490E6}"/>
    <cellStyle name="셀 확인 36 2" xfId="2844" xr:uid="{CCAEADF8-C650-4F94-93E3-583385EA1A09}"/>
    <cellStyle name="셀 확인 37" xfId="2845" xr:uid="{689EF62E-43FA-45A5-96F5-328D2E0FA917}"/>
    <cellStyle name="셀 확인 37 2" xfId="2846" xr:uid="{0E19D1C8-B811-49AF-BC19-97B06AF29845}"/>
    <cellStyle name="셀 확인 38" xfId="2847" xr:uid="{BE70F82E-D786-4BB6-9ECB-D69F7D362ED1}"/>
    <cellStyle name="셀 확인 38 2" xfId="2848" xr:uid="{AC656DD6-85F7-46AB-8221-FC62FCBF4937}"/>
    <cellStyle name="셀 확인 39" xfId="2849" xr:uid="{548EAD83-3039-4727-A593-CCA3E70C60BA}"/>
    <cellStyle name="셀 확인 39 2" xfId="2850" xr:uid="{E8CA8C36-5A9A-46E2-81C8-02DBCA2F11F0}"/>
    <cellStyle name="셀 확인 4" xfId="2851" xr:uid="{363EE12E-98B5-49E0-9B26-3D2F3D232CBC}"/>
    <cellStyle name="셀 확인 4 2" xfId="2852" xr:uid="{53F7C50E-51EE-42CC-A228-731B0B499DE7}"/>
    <cellStyle name="셀 확인 40" xfId="2853" xr:uid="{5AE70AB9-35C8-4101-B336-262476AEED7A}"/>
    <cellStyle name="셀 확인 40 2" xfId="2854" xr:uid="{B130B7EA-5A98-452B-9D9B-5A380D31CA98}"/>
    <cellStyle name="셀 확인 41" xfId="2855" xr:uid="{C9CF08AB-C8E7-47E9-A8C5-971E97BFF672}"/>
    <cellStyle name="셀 확인 41 2" xfId="2856" xr:uid="{2709B774-C2AC-400A-93AB-6A7A4893D11A}"/>
    <cellStyle name="셀 확인 42" xfId="2857" xr:uid="{62A7F282-BB08-4DB9-BDD9-45E6EF15A125}"/>
    <cellStyle name="셀 확인 42 2" xfId="2858" xr:uid="{82574591-8B9D-4C46-A038-6821F5766002}"/>
    <cellStyle name="셀 확인 43" xfId="2859" xr:uid="{5628A5BA-4130-498B-851A-F83C186BF318}"/>
    <cellStyle name="셀 확인 43 2" xfId="2860" xr:uid="{5CA800EC-0E1B-49E7-917D-026D578BC73E}"/>
    <cellStyle name="셀 확인 44" xfId="2861" xr:uid="{2CC5B235-8EB0-421E-A7CA-91ABB6EC57FE}"/>
    <cellStyle name="셀 확인 45" xfId="2862" xr:uid="{C3656881-1648-473F-ADD3-F28DCC09C1E1}"/>
    <cellStyle name="셀 확인 46" xfId="2863" xr:uid="{499AD53F-BBDC-4BE8-8FCA-F10417739B43}"/>
    <cellStyle name="셀 확인 47" xfId="2786" xr:uid="{609BDE6D-327E-46E2-A157-C0D85092FAA5}"/>
    <cellStyle name="셀 확인 5" xfId="2864" xr:uid="{B283676D-2416-4D3B-A28F-9DFCAF74EC4F}"/>
    <cellStyle name="셀 확인 5 2" xfId="2865" xr:uid="{66DF9CB9-6ED5-4837-B4DA-AB75A02E89BC}"/>
    <cellStyle name="셀 확인 6" xfId="2866" xr:uid="{9188201F-8785-4211-A466-93060F962BA3}"/>
    <cellStyle name="셀 확인 6 2" xfId="2867" xr:uid="{FE15895A-0C7A-4473-88EB-4BF781BE5403}"/>
    <cellStyle name="셀 확인 7" xfId="2868" xr:uid="{137B899E-9435-4E4F-B406-4D4CDEA27CE9}"/>
    <cellStyle name="셀 확인 7 2" xfId="2869" xr:uid="{74F07FC3-185A-4D60-A981-E61586724E91}"/>
    <cellStyle name="셀 확인 8" xfId="2870" xr:uid="{0ACB12CA-909C-47B8-8432-D6A1AB997A98}"/>
    <cellStyle name="셀 확인 8 2" xfId="2871" xr:uid="{1E40F1C5-5C24-45AF-99EF-8276D7828EAC}"/>
    <cellStyle name="셀 확인 9" xfId="2872" xr:uid="{4F81705D-3196-4C6B-A17C-5084F22B0D31}"/>
    <cellStyle name="셀 확인 9 2" xfId="2873" xr:uid="{161DF37C-60C8-4FF1-8BC7-641A619E71DE}"/>
    <cellStyle name="쉼표 [0] 2" xfId="2875" xr:uid="{E6008D45-F111-4B68-916C-DCB69257BDF1}"/>
    <cellStyle name="쉼표 [0] 3" xfId="141" xr:uid="{C3AB603F-4E0B-44D4-951F-2780EE25FB00}"/>
    <cellStyle name="쉼표 [0] 3 2" xfId="2876" xr:uid="{8FB40499-0EA3-4955-BA35-F61F82BB6E6F}"/>
    <cellStyle name="쉼표 [0] 4" xfId="2874" xr:uid="{3BF9C446-970D-4B11-BEB8-76A2865C851A}"/>
    <cellStyle name="쉼표 [0] 5" xfId="3763" xr:uid="{0C6D1A54-A82A-42D5-B88C-1D31ADBD4631}"/>
    <cellStyle name="연결된 셀 10" xfId="2878" xr:uid="{E7564403-8B94-4160-847E-145BC1ED1FA7}"/>
    <cellStyle name="연결된 셀 10 2" xfId="2879" xr:uid="{4E86FA20-0EF8-4890-8238-59E0E14AF9FB}"/>
    <cellStyle name="연결된 셀 11" xfId="2880" xr:uid="{4648BB5E-80B3-46AA-AC97-33DEB7912FE9}"/>
    <cellStyle name="연결된 셀 11 2" xfId="2881" xr:uid="{4C9EE6B4-0B3D-488B-BB37-35E0095718BC}"/>
    <cellStyle name="연결된 셀 12" xfId="2882" xr:uid="{22E44BB4-2760-414F-B57E-4F3F8A2983C5}"/>
    <cellStyle name="연결된 셀 12 2" xfId="2883" xr:uid="{16478692-E753-42F9-AEF6-F38965FA0658}"/>
    <cellStyle name="연결된 셀 13" xfId="2884" xr:uid="{F7EECB52-7EC8-458A-B858-6B24A5C6E28C}"/>
    <cellStyle name="연결된 셀 13 2" xfId="2885" xr:uid="{D6B0233A-B1E6-4286-9230-1B44235ABA65}"/>
    <cellStyle name="연결된 셀 14" xfId="2886" xr:uid="{62C52227-A6B3-49E6-B954-FB41CB43B2D2}"/>
    <cellStyle name="연결된 셀 14 2" xfId="2887" xr:uid="{3FB91331-9D18-4221-B7E0-00B072ECB451}"/>
    <cellStyle name="연결된 셀 15" xfId="2888" xr:uid="{B57D3FC6-FE7C-4A0A-83C9-FFE44C662576}"/>
    <cellStyle name="연결된 셀 15 2" xfId="2889" xr:uid="{349119B1-E693-4155-9028-826DE2C91985}"/>
    <cellStyle name="연결된 셀 16" xfId="2890" xr:uid="{D01F070B-D28B-4FFD-8A96-60A4F2875688}"/>
    <cellStyle name="연결된 셀 16 2" xfId="2891" xr:uid="{A3C14F74-1030-4755-816E-130AEBFE9945}"/>
    <cellStyle name="연결된 셀 17" xfId="2892" xr:uid="{1A7176C5-F1F6-4EE0-950D-0F51B3347BC8}"/>
    <cellStyle name="연결된 셀 17 2" xfId="2893" xr:uid="{AA196956-3F07-4918-823F-2B40E7C28B4B}"/>
    <cellStyle name="연결된 셀 18" xfId="2894" xr:uid="{42CAA38D-21BF-48A4-8497-3FED68E2B8D7}"/>
    <cellStyle name="연결된 셀 18 2" xfId="2895" xr:uid="{D433DEF3-D216-40A4-8260-675E8625770B}"/>
    <cellStyle name="연결된 셀 19" xfId="2896" xr:uid="{105C6823-A8E7-4D1E-818D-48FD69AD0557}"/>
    <cellStyle name="연결된 셀 19 2" xfId="2897" xr:uid="{E944D714-2F32-45E9-955C-4E610E08482F}"/>
    <cellStyle name="연결된 셀 2" xfId="2898" xr:uid="{2999632A-1E05-426D-9F10-35BC9E357DDF}"/>
    <cellStyle name="연결된 셀 2 2" xfId="2899" xr:uid="{60A46B77-5C27-40EE-B1F2-8BEA134C7822}"/>
    <cellStyle name="연결된 셀 20" xfId="2900" xr:uid="{C8859AA2-231A-49BE-92A5-41EF25E6E223}"/>
    <cellStyle name="연결된 셀 20 2" xfId="2901" xr:uid="{7C3C85B1-0DD3-45D6-867E-070862B12D3B}"/>
    <cellStyle name="연결된 셀 21" xfId="2902" xr:uid="{D63FB447-2D50-4ED5-83E3-6A5EC7113427}"/>
    <cellStyle name="연결된 셀 21 2" xfId="2903" xr:uid="{51D56AC1-6E0C-4303-974F-B01B4DFD9D5C}"/>
    <cellStyle name="연결된 셀 22" xfId="2904" xr:uid="{72F952A1-FB1F-458B-A395-84B532DF2A03}"/>
    <cellStyle name="연결된 셀 22 2" xfId="2905" xr:uid="{25008C3E-C181-4DA8-8312-D1383799CDD2}"/>
    <cellStyle name="연결된 셀 23" xfId="2906" xr:uid="{23D4318E-D21F-4E9D-8554-BB0EB8151408}"/>
    <cellStyle name="연결된 셀 23 2" xfId="2907" xr:uid="{A229191F-480F-457F-B427-824F6BE22EF0}"/>
    <cellStyle name="연결된 셀 24" xfId="2908" xr:uid="{B50EAF55-60C6-4A62-9C16-A9B9C2445546}"/>
    <cellStyle name="연결된 셀 24 2" xfId="2909" xr:uid="{79AAE623-E20D-4F7C-BF6F-F02935646D40}"/>
    <cellStyle name="연결된 셀 25" xfId="2910" xr:uid="{121A92EE-C55F-42A4-8B5C-6C650B9C6361}"/>
    <cellStyle name="연결된 셀 25 2" xfId="2911" xr:uid="{BE6A68F2-AE17-4475-A29F-40623CD7D591}"/>
    <cellStyle name="연결된 셀 26" xfId="2912" xr:uid="{858434A8-444A-4A6B-9712-9F2D6AD9E565}"/>
    <cellStyle name="연결된 셀 26 2" xfId="2913" xr:uid="{FAC09F90-88F5-4DA4-A0DD-08570DF97214}"/>
    <cellStyle name="연결된 셀 27" xfId="2914" xr:uid="{31DA1B4D-35C3-4403-9B15-FE991C10F701}"/>
    <cellStyle name="연결된 셀 27 2" xfId="2915" xr:uid="{310CB8B5-8EA3-4868-8CEB-C0841EA25C10}"/>
    <cellStyle name="연결된 셀 28" xfId="2916" xr:uid="{7C6922BA-814D-4014-9DCF-739DDE002CDC}"/>
    <cellStyle name="연결된 셀 28 2" xfId="2917" xr:uid="{78F79344-0635-466B-B06B-E9A8C6872893}"/>
    <cellStyle name="연결된 셀 29" xfId="2918" xr:uid="{02C13BC6-2FF3-4AB8-9953-DC39A1A98D3E}"/>
    <cellStyle name="연결된 셀 29 2" xfId="2919" xr:uid="{ABFADFC5-62D6-467F-97D8-DBE68552A6CC}"/>
    <cellStyle name="연결된 셀 3" xfId="2920" xr:uid="{FF5EBA3A-637B-490B-8D93-CFE1699CA446}"/>
    <cellStyle name="연결된 셀 3 2" xfId="2921" xr:uid="{439E1361-999F-4A1C-9C25-C7E36FECDCD0}"/>
    <cellStyle name="연결된 셀 30" xfId="2922" xr:uid="{345D9966-8853-47DE-86E9-ABCB82939DB6}"/>
    <cellStyle name="연결된 셀 30 2" xfId="2923" xr:uid="{61C66EC3-97BF-4566-81B8-E2119E9C29B1}"/>
    <cellStyle name="연결된 셀 31" xfId="2924" xr:uid="{F23D7AC1-27B6-44C4-A2FB-86F43262C5BF}"/>
    <cellStyle name="연결된 셀 31 2" xfId="2925" xr:uid="{E78B1F73-CFBD-45CD-B588-32D69D2DBDD2}"/>
    <cellStyle name="연결된 셀 32" xfId="2926" xr:uid="{3153A6A6-6D3E-40CE-AA17-186E0288A58C}"/>
    <cellStyle name="연결된 셀 32 2" xfId="2927" xr:uid="{4651C6E5-F4EC-4477-BD58-C3B1E8CBCCD3}"/>
    <cellStyle name="연결된 셀 33" xfId="2928" xr:uid="{A0D33154-17E9-48DB-999E-A3E2EFE4F3BF}"/>
    <cellStyle name="연결된 셀 33 2" xfId="2929" xr:uid="{24B83798-5E7B-414B-9A3A-3273A1F67AEC}"/>
    <cellStyle name="연결된 셀 34" xfId="2930" xr:uid="{68EF7A5A-3853-4313-BF6A-5F7FCAA6DBEE}"/>
    <cellStyle name="연결된 셀 34 2" xfId="2931" xr:uid="{FD70C247-B5CD-4F46-AF0A-63CA538D4C41}"/>
    <cellStyle name="연결된 셀 35" xfId="2932" xr:uid="{DFE3F472-06AE-4F37-930C-0D2F2A86C4F1}"/>
    <cellStyle name="연결된 셀 35 2" xfId="2933" xr:uid="{A798BCC2-2C70-43EB-AC0C-C95358D63F17}"/>
    <cellStyle name="연결된 셀 36" xfId="2934" xr:uid="{AA2191B0-D351-4523-9824-88A8C427FA2E}"/>
    <cellStyle name="연결된 셀 36 2" xfId="2935" xr:uid="{5CB7A8ED-FD11-4257-A589-3EF7D157B73B}"/>
    <cellStyle name="연결된 셀 37" xfId="2936" xr:uid="{BD7C4F84-F43D-46F5-975A-2DC75CB16F2F}"/>
    <cellStyle name="연결된 셀 37 2" xfId="2937" xr:uid="{11539206-E6E6-4705-8065-A2BCFA3E713D}"/>
    <cellStyle name="연결된 셀 38" xfId="2938" xr:uid="{6D31406B-FBE8-46A4-9C14-93A46292C3EC}"/>
    <cellStyle name="연결된 셀 38 2" xfId="2939" xr:uid="{6428DC9E-E0B5-4D0B-A971-C78F25220D26}"/>
    <cellStyle name="연결된 셀 39" xfId="2940" xr:uid="{40C26621-0C60-45B4-B6AA-2B02AA0FD407}"/>
    <cellStyle name="연결된 셀 39 2" xfId="2941" xr:uid="{E6A09DC9-9212-4CE0-B3F7-F42953E6EEAC}"/>
    <cellStyle name="연결된 셀 4" xfId="2942" xr:uid="{64ACA52B-6EA9-4446-B974-74B1AE462DA2}"/>
    <cellStyle name="연결된 셀 4 2" xfId="2943" xr:uid="{BB41D9C1-2EC9-4F99-9C01-C8A7C67C241F}"/>
    <cellStyle name="연결된 셀 40" xfId="2944" xr:uid="{78D5C727-6437-41D2-8652-FAE2E20F6A18}"/>
    <cellStyle name="연결된 셀 40 2" xfId="2945" xr:uid="{DCC633D2-D6C2-44E2-B713-058803E0B271}"/>
    <cellStyle name="연결된 셀 41" xfId="2946" xr:uid="{04256236-E2A6-4DF6-B855-6D360E8A5BD5}"/>
    <cellStyle name="연결된 셀 41 2" xfId="2947" xr:uid="{2BC26A0E-05A5-43FF-AF3F-D60A2460765F}"/>
    <cellStyle name="연결된 셀 42" xfId="2948" xr:uid="{45756C51-8A76-424F-80EB-ADA4EE543645}"/>
    <cellStyle name="연결된 셀 42 2" xfId="2949" xr:uid="{B5B3C8A0-35D3-4378-87B5-094EEF0D0004}"/>
    <cellStyle name="연결된 셀 43" xfId="2950" xr:uid="{12E7E6F1-EA52-4552-BED9-2F07B546CB6A}"/>
    <cellStyle name="연결된 셀 43 2" xfId="2951" xr:uid="{881D128C-DE40-4CD4-AC70-1A605C553877}"/>
    <cellStyle name="연결된 셀 44" xfId="2952" xr:uid="{EB34D277-9037-4EF1-BC78-7BD2B6F6B0E1}"/>
    <cellStyle name="연결된 셀 45" xfId="2953" xr:uid="{F2E92110-E67F-48E3-9FED-AD20FAF909BC}"/>
    <cellStyle name="연결된 셀 46" xfId="2954" xr:uid="{47B97F45-E44C-450C-9A66-F3755F4BB816}"/>
    <cellStyle name="연결된 셀 47" xfId="2877" xr:uid="{40106E06-CDE1-4370-A04D-F3809BE92CD0}"/>
    <cellStyle name="연결된 셀 5" xfId="2955" xr:uid="{E7D2515C-A669-4E0D-BBB5-BF2402C74638}"/>
    <cellStyle name="연결된 셀 5 2" xfId="2956" xr:uid="{9C837D33-D0E8-4A43-B73E-7DDFE28169E3}"/>
    <cellStyle name="연결된 셀 6" xfId="2957" xr:uid="{30C954E0-DA0C-490C-BA90-FD27E50C8CE4}"/>
    <cellStyle name="연결된 셀 6 2" xfId="2958" xr:uid="{BF9EB36A-5769-4BAB-92C0-D5F5BD2A09C0}"/>
    <cellStyle name="연결된 셀 7" xfId="2959" xr:uid="{AB95D31D-F274-46D0-ABE6-0D52288D5631}"/>
    <cellStyle name="연결된 셀 7 2" xfId="2960" xr:uid="{1526A8D4-8B76-4CE9-8D40-CB0F3732D9F4}"/>
    <cellStyle name="연결된 셀 8" xfId="2961" xr:uid="{23F8771F-896C-4038-B5EA-BCDAE77D466D}"/>
    <cellStyle name="연결된 셀 8 2" xfId="2962" xr:uid="{DD1E9C1B-0D8B-4212-ACB7-95A385D25A64}"/>
    <cellStyle name="연결된 셀 9" xfId="2963" xr:uid="{B771E3CA-A141-4435-BA36-8785F175FB5A}"/>
    <cellStyle name="연결된 셀 9 2" xfId="2964" xr:uid="{6F5760AE-C2D0-4BEB-87BA-6B580EA01466}"/>
    <cellStyle name="요약 10" xfId="2966" xr:uid="{92FC54EC-ABA0-4152-A908-A970D8C89178}"/>
    <cellStyle name="요약 10 2" xfId="2967" xr:uid="{97FBCA7A-6C85-45C1-95C2-2BF3B58348FA}"/>
    <cellStyle name="요약 11" xfId="2968" xr:uid="{19C90D08-E70F-403D-B072-3D74524F7E4A}"/>
    <cellStyle name="요약 11 2" xfId="2969" xr:uid="{857D364D-D5C4-4AEC-8E0D-506AE7B3493D}"/>
    <cellStyle name="요약 12" xfId="2970" xr:uid="{1C92B883-08AC-43B7-8C5D-575DBA664FB4}"/>
    <cellStyle name="요약 12 2" xfId="2971" xr:uid="{7AB62A88-26EE-4274-9849-CA19CB0609A2}"/>
    <cellStyle name="요약 13" xfId="2972" xr:uid="{50A4FBA3-D1C5-4AC7-B46E-7222048ED90D}"/>
    <cellStyle name="요약 13 2" xfId="2973" xr:uid="{0B5740B5-5481-43B0-B0EA-F3F5AB5B952A}"/>
    <cellStyle name="요약 14" xfId="2974" xr:uid="{259E4015-9FE3-431F-B5D2-9E4FCCD70C82}"/>
    <cellStyle name="요약 14 2" xfId="2975" xr:uid="{FEAEF0DD-77A5-4AE0-A0D3-EF7FBBD9B812}"/>
    <cellStyle name="요약 15" xfId="2976" xr:uid="{ADDE6EBC-4D74-4181-8C49-33BEAB2209BE}"/>
    <cellStyle name="요약 15 2" xfId="2977" xr:uid="{163CD4D5-0B2F-48E8-B57C-7729A56A133E}"/>
    <cellStyle name="요약 16" xfId="2978" xr:uid="{F6D43D0E-DE98-434E-9CA3-73C5CDD653AE}"/>
    <cellStyle name="요약 16 2" xfId="2979" xr:uid="{AE898A31-A970-4F27-B30C-7E00DD89A7E4}"/>
    <cellStyle name="요약 17" xfId="2980" xr:uid="{1456EEFB-FE1C-4D9C-9210-45FAE86133BC}"/>
    <cellStyle name="요약 17 2" xfId="2981" xr:uid="{D5722375-833E-43C5-9EC8-AD810D7BE647}"/>
    <cellStyle name="요약 18" xfId="2982" xr:uid="{8C6481B2-83DF-4CC6-AB29-651973C01D52}"/>
    <cellStyle name="요약 18 2" xfId="2983" xr:uid="{BF1562D4-7240-4265-BFF8-4D161BAB02E4}"/>
    <cellStyle name="요약 19" xfId="2984" xr:uid="{1595ABB2-59FE-4DA2-94A7-517CE52BEAD6}"/>
    <cellStyle name="요약 19 2" xfId="2985" xr:uid="{8BF98D77-84F8-4A84-B762-E70028509263}"/>
    <cellStyle name="요약 2" xfId="2986" xr:uid="{3B91FB54-3A08-46CE-8EC0-120E3A1C618D}"/>
    <cellStyle name="요약 2 2" xfId="2987" xr:uid="{64FFD916-B83C-461A-AA5F-4024B86B9962}"/>
    <cellStyle name="요약 20" xfId="2988" xr:uid="{0485BB3D-31A6-4E5D-A0BF-F020A26FE320}"/>
    <cellStyle name="요약 20 2" xfId="2989" xr:uid="{1A90C119-4EA6-4E9F-AA59-7DD9461C0E22}"/>
    <cellStyle name="요약 21" xfId="2990" xr:uid="{19023190-CC7D-4916-BFA7-BDFC12A606E0}"/>
    <cellStyle name="요약 21 2" xfId="2991" xr:uid="{FEA39D67-824B-4536-90D1-4A0A2C27CD94}"/>
    <cellStyle name="요약 22" xfId="2992" xr:uid="{5CEB40C7-2B94-4A8A-A67E-DA238583D6E6}"/>
    <cellStyle name="요약 22 2" xfId="2993" xr:uid="{5EDA6CB3-C161-4A96-90B1-03DDAFA3668B}"/>
    <cellStyle name="요약 23" xfId="2994" xr:uid="{AF52055A-E57D-4739-91C2-FCE9FA303E10}"/>
    <cellStyle name="요약 23 2" xfId="2995" xr:uid="{41623EBA-B539-4667-8258-621502F67935}"/>
    <cellStyle name="요약 24" xfId="2996" xr:uid="{A03EA959-DECF-43CF-84DF-E6C6F4EFDA2D}"/>
    <cellStyle name="요약 24 2" xfId="2997" xr:uid="{7924ACE8-461F-4E12-A3AA-234508AC1A1A}"/>
    <cellStyle name="요약 25" xfId="2998" xr:uid="{01466410-E4A9-4619-BE2B-30B5D997F2F0}"/>
    <cellStyle name="요약 25 2" xfId="2999" xr:uid="{7BDE51BB-DC84-4562-AD46-520D9EE9CF77}"/>
    <cellStyle name="요약 26" xfId="3000" xr:uid="{88A8EF87-B2B4-4ECD-917B-CE164AB78E5E}"/>
    <cellStyle name="요약 26 2" xfId="3001" xr:uid="{41C69D85-E3AE-47E8-AE2E-692681F8280B}"/>
    <cellStyle name="요약 27" xfId="3002" xr:uid="{B01C4096-DBFF-425E-993A-227A7C15A5BD}"/>
    <cellStyle name="요약 27 2" xfId="3003" xr:uid="{E117A671-93A0-4303-9F55-BDC4BF86CB10}"/>
    <cellStyle name="요약 28" xfId="3004" xr:uid="{ABFAE22C-06C8-48A4-A0C5-3FC56DA08307}"/>
    <cellStyle name="요약 28 2" xfId="3005" xr:uid="{9D3FFF2E-AC0B-4149-A391-F99BC2FE195D}"/>
    <cellStyle name="요약 29" xfId="3006" xr:uid="{E069E515-8642-42DC-BFED-F07AF55ACC12}"/>
    <cellStyle name="요약 29 2" xfId="3007" xr:uid="{B19CC9EC-E74E-4484-8775-9C7C753C3AFD}"/>
    <cellStyle name="요약 3" xfId="3008" xr:uid="{12740851-08EA-4D08-8F8D-38BC984AC336}"/>
    <cellStyle name="요약 3 2" xfId="3009" xr:uid="{643BC990-6282-4142-B314-F169083DE52F}"/>
    <cellStyle name="요약 30" xfId="3010" xr:uid="{45851F67-36E7-4725-A83A-A296B49215F0}"/>
    <cellStyle name="요약 30 2" xfId="3011" xr:uid="{BBAA7F2C-3030-43BA-8460-CAEDD19618A5}"/>
    <cellStyle name="요약 31" xfId="3012" xr:uid="{4B2A361D-0180-41F6-B974-CDF033746BC7}"/>
    <cellStyle name="요약 31 2" xfId="3013" xr:uid="{DD6598BD-2ECD-41C6-8FF5-4DAD48442277}"/>
    <cellStyle name="요약 32" xfId="3014" xr:uid="{0F7BE31B-987E-4E3B-B746-D3B690E9D810}"/>
    <cellStyle name="요약 32 2" xfId="3015" xr:uid="{4B5357BD-ECFC-4F99-83A4-567173DC8C96}"/>
    <cellStyle name="요약 33" xfId="3016" xr:uid="{A3C6F66D-928F-4969-8747-E0057CC7D922}"/>
    <cellStyle name="요약 33 2" xfId="3017" xr:uid="{E04FDDD5-D3C0-4B24-A20E-A2C73B981A5B}"/>
    <cellStyle name="요약 34" xfId="3018" xr:uid="{1D103AD5-2A0E-4432-B0AB-3CA82D4A986C}"/>
    <cellStyle name="요약 34 2" xfId="3019" xr:uid="{126D0A08-F1FB-4D11-85B8-DECC9ED3F99F}"/>
    <cellStyle name="요약 35" xfId="3020" xr:uid="{40A3D215-9493-464A-BADD-F8E1854DDF86}"/>
    <cellStyle name="요약 35 2" xfId="3021" xr:uid="{956F4D7D-D841-4B8F-BC06-71ADBB54DF19}"/>
    <cellStyle name="요약 36" xfId="3022" xr:uid="{D48AEE21-BDE8-4B08-A64C-E26973B68E1E}"/>
    <cellStyle name="요약 36 2" xfId="3023" xr:uid="{6B56723C-8D08-4409-878E-64A138C1FFEB}"/>
    <cellStyle name="요약 37" xfId="3024" xr:uid="{551DD950-64FA-4403-8363-7C33B1D5D9FF}"/>
    <cellStyle name="요약 37 2" xfId="3025" xr:uid="{83B219DB-09BF-40D0-ACEE-822BE1721DAF}"/>
    <cellStyle name="요약 38" xfId="3026" xr:uid="{7F21917B-EC2D-4537-BD51-9DF52D53F743}"/>
    <cellStyle name="요약 38 2" xfId="3027" xr:uid="{C301868A-2487-4222-976B-7CDA68A43C9B}"/>
    <cellStyle name="요약 39" xfId="3028" xr:uid="{CA1C4D7B-FA1F-412F-BBB1-BDE2BD12D382}"/>
    <cellStyle name="요약 39 2" xfId="3029" xr:uid="{2FB0C223-6EDD-4A9D-A454-DCC06CD66513}"/>
    <cellStyle name="요약 4" xfId="3030" xr:uid="{B7ED0CEC-927B-44A6-BAF9-41F036E145DF}"/>
    <cellStyle name="요약 4 2" xfId="3031" xr:uid="{9568B596-7470-4296-8E1D-CF2555E13CFA}"/>
    <cellStyle name="요약 40" xfId="3032" xr:uid="{D161BE25-83CF-46CD-9FC4-057822A34562}"/>
    <cellStyle name="요약 40 2" xfId="3033" xr:uid="{0E6279E5-0CD9-4516-BBC2-AB077C050CF9}"/>
    <cellStyle name="요약 41" xfId="3034" xr:uid="{7F80C5F7-52B0-4CBD-8A6A-11E140984E4A}"/>
    <cellStyle name="요약 41 2" xfId="3035" xr:uid="{8D3A10E9-C117-4D5C-B29F-439EDD44C2FD}"/>
    <cellStyle name="요약 42" xfId="3036" xr:uid="{503A623E-BD1A-4BCB-9CA2-F69A958A17F9}"/>
    <cellStyle name="요약 42 2" xfId="3037" xr:uid="{B5240D36-87E0-49F0-8C4A-7D2055BAF80A}"/>
    <cellStyle name="요약 43" xfId="3038" xr:uid="{BFC43E17-A48D-44DE-AF0C-0D3BFA6470AB}"/>
    <cellStyle name="요약 43 2" xfId="3039" xr:uid="{2C56B493-3D2D-4E9A-9466-FD09DB4EDAB3}"/>
    <cellStyle name="요약 44" xfId="3040" xr:uid="{B217E898-C218-4447-9839-E09BDE82F6FB}"/>
    <cellStyle name="요약 45" xfId="3041" xr:uid="{13B32049-AE95-48C3-A5C0-5EC808655B5F}"/>
    <cellStyle name="요약 46" xfId="3042" xr:uid="{27F0D448-00CD-4FD2-B052-A18004C6BDBC}"/>
    <cellStyle name="요약 47" xfId="2965" xr:uid="{3E4FC482-798B-4172-8807-05E35E523D40}"/>
    <cellStyle name="요약 5" xfId="3043" xr:uid="{6C52213F-2F1C-43C2-A76D-FE96C66BE1DD}"/>
    <cellStyle name="요약 5 2" xfId="3044" xr:uid="{308977D9-0328-454C-ADE9-2FDA2E298081}"/>
    <cellStyle name="요약 6" xfId="3045" xr:uid="{BD598A57-73FC-403D-BE88-D2125DD6DD99}"/>
    <cellStyle name="요약 6 2" xfId="3046" xr:uid="{3F3EB12A-55A6-496C-90CF-13001968DE37}"/>
    <cellStyle name="요약 7" xfId="3047" xr:uid="{7DD1AF4B-04B8-42DD-968A-4D7C83F09E61}"/>
    <cellStyle name="요약 7 2" xfId="3048" xr:uid="{5B2FF0E9-72F2-4018-A050-681E95E5F212}"/>
    <cellStyle name="요약 8" xfId="3049" xr:uid="{5B8233CE-AFB5-46AE-A192-31B4CF670AA0}"/>
    <cellStyle name="요약 8 2" xfId="3050" xr:uid="{92A6CD80-8BB0-45CF-9793-12DD730964AC}"/>
    <cellStyle name="요약 9" xfId="3051" xr:uid="{243ACC1C-4C15-496E-80A0-53800AFD8B0B}"/>
    <cellStyle name="요약 9 2" xfId="3052" xr:uid="{FBBA1ECD-DB10-40EA-8DC6-E94B9B598AEC}"/>
    <cellStyle name="입력 10" xfId="3054" xr:uid="{E36819CA-6A46-48F7-854F-DA0CE51112D6}"/>
    <cellStyle name="입력 10 2" xfId="3055" xr:uid="{B3DB5500-9372-4A70-86B7-94365BBCEED9}"/>
    <cellStyle name="입력 11" xfId="3056" xr:uid="{45A7BD2F-2C3B-46DC-A1F4-9371C4984D26}"/>
    <cellStyle name="입력 11 2" xfId="3057" xr:uid="{56F16675-B18A-4D32-9782-CC558B220F6A}"/>
    <cellStyle name="입력 12" xfId="3058" xr:uid="{423D9C84-BCEE-47B3-9CCB-FD7B8631B3AB}"/>
    <cellStyle name="입력 12 2" xfId="3059" xr:uid="{7A3002BE-3AD6-4E79-9854-98577C2A936B}"/>
    <cellStyle name="입력 13" xfId="3060" xr:uid="{4705B3E5-5FA2-4C45-8050-394599315E52}"/>
    <cellStyle name="입력 13 2" xfId="3061" xr:uid="{6834B45C-84DC-48CD-A5DA-02C61F0F22EB}"/>
    <cellStyle name="입력 14" xfId="3062" xr:uid="{BF4AE25E-D919-43B3-A8A5-409D787A7EFA}"/>
    <cellStyle name="입력 14 2" xfId="3063" xr:uid="{6348072B-D152-482E-BA8F-51FB948F6628}"/>
    <cellStyle name="입력 15" xfId="3064" xr:uid="{22505FB0-B77D-47E5-A694-7B678B6E4D46}"/>
    <cellStyle name="입력 15 2" xfId="3065" xr:uid="{24FB75B1-AA62-4D19-AD54-C97A8E3A3D09}"/>
    <cellStyle name="입력 16" xfId="3066" xr:uid="{D4259BAD-B8BF-4F42-8213-A156DF5CB166}"/>
    <cellStyle name="입력 16 2" xfId="3067" xr:uid="{CF3CA2FD-E391-4614-8225-C4E2642CF163}"/>
    <cellStyle name="입력 17" xfId="3068" xr:uid="{DB05AB77-3F15-42C7-BF6B-D8A9026BC0E1}"/>
    <cellStyle name="입력 17 2" xfId="3069" xr:uid="{1F42FA5E-CF44-402E-8C75-66EE869F4AAF}"/>
    <cellStyle name="입력 18" xfId="3070" xr:uid="{239C410F-57AD-40CC-AB66-1D6C64D7BA9D}"/>
    <cellStyle name="입력 18 2" xfId="3071" xr:uid="{76AE5DF3-C5BE-4AF8-97F0-73321BBA79C6}"/>
    <cellStyle name="입력 19" xfId="3072" xr:uid="{86C430A0-37F9-45D5-B7E7-8C0398988DA3}"/>
    <cellStyle name="입력 19 2" xfId="3073" xr:uid="{2094D9A4-F4E7-444D-9D44-C910442B2F0C}"/>
    <cellStyle name="입력 2" xfId="3074" xr:uid="{5DFCCD6D-CCEF-4AD4-8A14-DAD0D3073BE9}"/>
    <cellStyle name="입력 2 2" xfId="3075" xr:uid="{C9A5C10F-17BF-4ACA-A9FC-558FE9E8E15C}"/>
    <cellStyle name="입력 20" xfId="3076" xr:uid="{EDE6A5ED-730E-4B33-B6E3-AB13F882F10A}"/>
    <cellStyle name="입력 20 2" xfId="3077" xr:uid="{C8927FCD-D868-43BC-AFC4-586D09D5F272}"/>
    <cellStyle name="입력 21" xfId="3078" xr:uid="{F00EB6B7-7E5A-4DD9-B682-2B4E4EA5886E}"/>
    <cellStyle name="입력 21 2" xfId="3079" xr:uid="{7686EE5A-3A02-4C61-8F47-37403CF01D7E}"/>
    <cellStyle name="입력 22" xfId="3080" xr:uid="{C8CACED8-403E-401B-A7DC-AB864FADA475}"/>
    <cellStyle name="입력 22 2" xfId="3081" xr:uid="{E12B2B9A-BD13-4A30-900E-D470FFC988A8}"/>
    <cellStyle name="입력 23" xfId="3082" xr:uid="{B7D19430-09D6-4EED-97F9-5079636028BC}"/>
    <cellStyle name="입력 23 2" xfId="3083" xr:uid="{EB761944-5335-4DB1-BEB8-443A0881C817}"/>
    <cellStyle name="입력 24" xfId="3084" xr:uid="{BB4EF812-BA18-4FD3-B898-AD836B5233CD}"/>
    <cellStyle name="입력 24 2" xfId="3085" xr:uid="{5C8600DD-ED80-4F49-A927-4C3CE92EA6EF}"/>
    <cellStyle name="입력 25" xfId="3086" xr:uid="{6647BC89-BE38-43B9-B342-DDBFDD93D921}"/>
    <cellStyle name="입력 25 2" xfId="3087" xr:uid="{4D603687-2FE2-4FE9-9E44-F783DB422C70}"/>
    <cellStyle name="입력 26" xfId="3088" xr:uid="{FF0D12C5-DC60-4967-9C6D-29E5E361D42C}"/>
    <cellStyle name="입력 26 2" xfId="3089" xr:uid="{F362A2C1-469C-40BF-BAA8-DCCB20661D05}"/>
    <cellStyle name="입력 27" xfId="3090" xr:uid="{A851236D-4FC9-4856-9393-AB47F3BA7727}"/>
    <cellStyle name="입력 27 2" xfId="3091" xr:uid="{0215D0BA-87A5-4A88-8A18-75BCEB254B2E}"/>
    <cellStyle name="입력 28" xfId="3092" xr:uid="{88493B35-22FE-45C4-AA1C-9AA550DA89DF}"/>
    <cellStyle name="입력 28 2" xfId="3093" xr:uid="{11A729CE-9C90-478F-9CB8-7C459407016F}"/>
    <cellStyle name="입력 29" xfId="3094" xr:uid="{B7AD8E89-88B2-42E0-BE53-B8A4AD110F15}"/>
    <cellStyle name="입력 29 2" xfId="3095" xr:uid="{98CF9220-AA77-497C-BFF2-239179B913F7}"/>
    <cellStyle name="입력 3" xfId="3096" xr:uid="{35AB1DC5-C8F8-436F-9B83-E76E3157FA94}"/>
    <cellStyle name="입력 3 2" xfId="3097" xr:uid="{D162B301-8F27-42C7-B9A5-F7914B3F07D4}"/>
    <cellStyle name="입력 30" xfId="3098" xr:uid="{0F11D424-C3F1-45DF-9415-ECE4A8B99A9B}"/>
    <cellStyle name="입력 30 2" xfId="3099" xr:uid="{A035B826-4A4D-4761-8702-74B2DA2F023A}"/>
    <cellStyle name="입력 31" xfId="3100" xr:uid="{58E89E94-C3C1-4184-8D6C-A7226F92F391}"/>
    <cellStyle name="입력 31 2" xfId="3101" xr:uid="{C02BA9E2-6CC7-4441-A915-4275235DCBCC}"/>
    <cellStyle name="입력 32" xfId="3102" xr:uid="{C60905BD-D5F6-48FC-8481-8292FEA9990A}"/>
    <cellStyle name="입력 32 2" xfId="3103" xr:uid="{681CCF43-36B1-456B-B34B-F375D182567E}"/>
    <cellStyle name="입력 33" xfId="3104" xr:uid="{4130E4FD-F45A-4CEE-AE51-F92743D06B33}"/>
    <cellStyle name="입력 33 2" xfId="3105" xr:uid="{A8B38C96-ABDF-4850-804C-3A55E58645ED}"/>
    <cellStyle name="입력 34" xfId="3106" xr:uid="{07AC7CAC-1465-4FE7-9CFF-3F847CA0E385}"/>
    <cellStyle name="입력 34 2" xfId="3107" xr:uid="{316EF493-24CC-41D1-BD64-72EDADD31A44}"/>
    <cellStyle name="입력 35" xfId="3108" xr:uid="{F02A1C78-0F96-4537-873B-54C535B50777}"/>
    <cellStyle name="입력 35 2" xfId="3109" xr:uid="{68F3048F-028C-4AFE-81A2-E8F9050F0434}"/>
    <cellStyle name="입력 36" xfId="3110" xr:uid="{C98AF5EC-E291-4CA3-863D-FA6DF4A613E2}"/>
    <cellStyle name="입력 36 2" xfId="3111" xr:uid="{42097799-1A94-4E49-B9E3-578D99A6AAAA}"/>
    <cellStyle name="입력 37" xfId="3112" xr:uid="{32162E70-EE4E-4B1A-A31F-474648A27437}"/>
    <cellStyle name="입력 37 2" xfId="3113" xr:uid="{4C7EC16C-9DC6-4183-91C8-1F6A9FF7D677}"/>
    <cellStyle name="입력 38" xfId="3114" xr:uid="{35EB51A7-CFCB-4887-B6EE-5688A46A2A2E}"/>
    <cellStyle name="입력 38 2" xfId="3115" xr:uid="{F3556673-DA8A-46AC-B79F-DA3A309B7B0C}"/>
    <cellStyle name="입력 39" xfId="3116" xr:uid="{0CFBDEB0-ADE3-4BEA-A665-AC47DB49B854}"/>
    <cellStyle name="입력 39 2" xfId="3117" xr:uid="{B7A21608-CACB-4206-9947-FA41C3EBAE1D}"/>
    <cellStyle name="입력 4" xfId="3118" xr:uid="{3B87C4C5-5166-45B2-BA58-7B6F7CFAEBDE}"/>
    <cellStyle name="입력 4 2" xfId="3119" xr:uid="{D63C213D-9F6C-4198-A29A-638CB9A545B2}"/>
    <cellStyle name="입력 40" xfId="3120" xr:uid="{13060F5B-AAFA-46F4-AE9D-B254530F2D83}"/>
    <cellStyle name="입력 40 2" xfId="3121" xr:uid="{32C553C6-CC39-4775-A24C-632E862530B6}"/>
    <cellStyle name="입력 41" xfId="3122" xr:uid="{AB4E7240-ACD5-4999-960E-9D3546F02AF0}"/>
    <cellStyle name="입력 41 2" xfId="3123" xr:uid="{029786C4-2EB0-44FD-8A13-6C11662B77E6}"/>
    <cellStyle name="입력 42" xfId="3124" xr:uid="{6B624AE7-F6A7-499E-9814-421F308859C2}"/>
    <cellStyle name="입력 42 2" xfId="3125" xr:uid="{8432E705-1348-41F9-8857-46782B0E933A}"/>
    <cellStyle name="입력 43" xfId="3126" xr:uid="{CABB39D4-3167-4641-A75C-346BC4D485EF}"/>
    <cellStyle name="입력 43 2" xfId="3127" xr:uid="{DF68D25D-107E-4723-926C-93A6513502E2}"/>
    <cellStyle name="입력 44" xfId="3128" xr:uid="{54DC4EC7-B9A9-4E7A-9A12-95859C23F7B6}"/>
    <cellStyle name="입력 45" xfId="3129" xr:uid="{944E214C-1477-47F0-BEE8-9847514DC214}"/>
    <cellStyle name="입력 46" xfId="3130" xr:uid="{2484B15D-CD5A-4738-BE96-984433ACA112}"/>
    <cellStyle name="입력 47" xfId="3053" xr:uid="{8240998E-F88A-46C3-BFD1-DD7A6A6AE421}"/>
    <cellStyle name="입력 5" xfId="3131" xr:uid="{BFF1333C-5450-4C58-B390-4C7874AAC44E}"/>
    <cellStyle name="입력 5 2" xfId="3132" xr:uid="{BB0655CC-D06E-4331-B790-3418A857299B}"/>
    <cellStyle name="입력 6" xfId="3133" xr:uid="{AF4AC644-B61B-4143-9122-5961CC5D02C9}"/>
    <cellStyle name="입력 6 2" xfId="3134" xr:uid="{86B2C003-5554-41C8-861A-8C80F3A9F29D}"/>
    <cellStyle name="입력 7" xfId="3135" xr:uid="{B3638428-487C-4A24-8446-ABD555CCA426}"/>
    <cellStyle name="입력 7 2" xfId="3136" xr:uid="{5EA0364A-F33E-4BD7-9FD0-EA2C5405A124}"/>
    <cellStyle name="입력 8" xfId="3137" xr:uid="{2937884B-4113-4A40-97A8-0A207E278898}"/>
    <cellStyle name="입력 8 2" xfId="3138" xr:uid="{EC8ECE9D-B653-43C4-B6EB-EE9E29B5466D}"/>
    <cellStyle name="입력 9" xfId="3139" xr:uid="{BB59A464-1B76-4F44-B12D-ADD99BCC9EB9}"/>
    <cellStyle name="입력 9 2" xfId="3140" xr:uid="{102FE0B5-6147-478A-AE73-57AAD2A2451B}"/>
    <cellStyle name="제목 1 10" xfId="3143" xr:uid="{7DF6065B-33FC-416A-A540-5A63D0804A46}"/>
    <cellStyle name="제목 1 10 2" xfId="3144" xr:uid="{178CBFBE-8A9A-47B7-A7C3-46153955721B}"/>
    <cellStyle name="제목 1 11" xfId="3145" xr:uid="{5FA20719-4BBD-4B85-979B-DD62751CC753}"/>
    <cellStyle name="제목 1 11 2" xfId="3146" xr:uid="{A5905956-1E19-4A51-9AF0-6F8FF4A30C95}"/>
    <cellStyle name="제목 1 12" xfId="3147" xr:uid="{0E0D0146-801A-4BDF-92CA-536DED52CD6B}"/>
    <cellStyle name="제목 1 12 2" xfId="3148" xr:uid="{FD3E5948-1429-40B6-BD5A-DF55049F2148}"/>
    <cellStyle name="제목 1 13" xfId="3149" xr:uid="{3750274E-8DE9-4831-8E59-D380D190E40F}"/>
    <cellStyle name="제목 1 13 2" xfId="3150" xr:uid="{E5330C9C-D945-4220-816F-EF75F33BCBCF}"/>
    <cellStyle name="제목 1 14" xfId="3151" xr:uid="{D396DAB4-DFBE-437A-B717-4D8D64863511}"/>
    <cellStyle name="제목 1 14 2" xfId="3152" xr:uid="{86C86D04-5B50-490F-BE6E-F1C21631A1D6}"/>
    <cellStyle name="제목 1 15" xfId="3153" xr:uid="{A6CD4511-F822-420B-992B-85F8AD7904F4}"/>
    <cellStyle name="제목 1 15 2" xfId="3154" xr:uid="{1FD4BCFA-EAFB-4FFF-A236-6E497FC0D166}"/>
    <cellStyle name="제목 1 16" xfId="3155" xr:uid="{4EBB5C89-79D5-4EA6-9FC6-AF8E92E7F99E}"/>
    <cellStyle name="제목 1 16 2" xfId="3156" xr:uid="{D850F11F-EE30-45FF-B759-E03E52B85BEE}"/>
    <cellStyle name="제목 1 17" xfId="3157" xr:uid="{577CD24A-6F00-43CE-BF00-18BD1E91C631}"/>
    <cellStyle name="제목 1 17 2" xfId="3158" xr:uid="{BD25126C-3AAC-4D87-A617-381055885D7D}"/>
    <cellStyle name="제목 1 18" xfId="3159" xr:uid="{3C097DF8-CDB2-4426-B349-0B530531B5AE}"/>
    <cellStyle name="제목 1 18 2" xfId="3160" xr:uid="{F1CFB095-03A2-4725-A93E-2656B2991669}"/>
    <cellStyle name="제목 1 19" xfId="3161" xr:uid="{E48A0F9B-967C-4975-9FE5-17045F4D7E5C}"/>
    <cellStyle name="제목 1 19 2" xfId="3162" xr:uid="{4AE892AF-7E2E-4454-9E21-11D25DFA74B6}"/>
    <cellStyle name="제목 1 2" xfId="3163" xr:uid="{50906513-0BFE-41B5-BE1D-97F3C811EEF1}"/>
    <cellStyle name="제목 1 2 2" xfId="3164" xr:uid="{66E3EA2E-6C51-4991-AA64-44E77C21B8DE}"/>
    <cellStyle name="제목 1 20" xfId="3165" xr:uid="{6792E3F3-F228-4F52-9840-1E023D4254D5}"/>
    <cellStyle name="제목 1 20 2" xfId="3166" xr:uid="{0E0D16A2-2634-468B-A043-33C9862B43A1}"/>
    <cellStyle name="제목 1 21" xfId="3167" xr:uid="{8F28E5E5-5032-4199-A197-95C036F5DC55}"/>
    <cellStyle name="제목 1 21 2" xfId="3168" xr:uid="{D65B64D3-60E8-468A-81FE-DF9A9009AEE0}"/>
    <cellStyle name="제목 1 22" xfId="3169" xr:uid="{A6B63FBF-9922-4650-AF45-BB577A7F12D5}"/>
    <cellStyle name="제목 1 22 2" xfId="3170" xr:uid="{C8365E62-9DE5-4BB1-860A-D74CBC81C101}"/>
    <cellStyle name="제목 1 23" xfId="3171" xr:uid="{B05E04D7-B679-4895-9419-37CF83579DD9}"/>
    <cellStyle name="제목 1 23 2" xfId="3172" xr:uid="{68D2A2BD-690D-43A3-ACE1-7709A80D9B43}"/>
    <cellStyle name="제목 1 24" xfId="3173" xr:uid="{18658007-E182-4C9B-989B-26BABBA2789C}"/>
    <cellStyle name="제목 1 24 2" xfId="3174" xr:uid="{C7904A87-D2E2-4A5F-A309-F0D6B657CCDB}"/>
    <cellStyle name="제목 1 25" xfId="3175" xr:uid="{8E765319-2D88-4DAC-829F-6D18808F2259}"/>
    <cellStyle name="제목 1 25 2" xfId="3176" xr:uid="{79E8F043-BAE4-4952-9F5A-9A59C278476C}"/>
    <cellStyle name="제목 1 26" xfId="3177" xr:uid="{CC26B246-FA9C-48FA-8F90-E4A2C65BC646}"/>
    <cellStyle name="제목 1 26 2" xfId="3178" xr:uid="{09946713-8E9F-4ED0-A897-06B85ECFCDDB}"/>
    <cellStyle name="제목 1 27" xfId="3179" xr:uid="{A4D1C0CB-B0FE-4F53-8AA7-4661F0A9C065}"/>
    <cellStyle name="제목 1 27 2" xfId="3180" xr:uid="{F1C4B5BC-3D1E-492A-ABD0-FB6FCDEB7F5D}"/>
    <cellStyle name="제목 1 28" xfId="3181" xr:uid="{AA1EA647-E4E0-4DE6-B1C1-FA6933312D6D}"/>
    <cellStyle name="제목 1 28 2" xfId="3182" xr:uid="{DF0655CF-A112-4277-A8DC-80022509F69E}"/>
    <cellStyle name="제목 1 29" xfId="3183" xr:uid="{2D58DA83-B384-4CC5-B1F2-1E78172D655D}"/>
    <cellStyle name="제목 1 29 2" xfId="3184" xr:uid="{44C20286-4F8B-4591-8299-B7EFF169D777}"/>
    <cellStyle name="제목 1 3" xfId="3185" xr:uid="{589E33D4-AD86-4E13-B487-09B1428BF5F3}"/>
    <cellStyle name="제목 1 3 2" xfId="3186" xr:uid="{AA548F7D-B3A3-472F-8A38-A530757BF113}"/>
    <cellStyle name="제목 1 30" xfId="3187" xr:uid="{E2DE57BA-BB67-4E87-AADE-E17D3B3F0F56}"/>
    <cellStyle name="제목 1 30 2" xfId="3188" xr:uid="{FEC3D04C-DF48-45FB-A727-CE1E8A343A3C}"/>
    <cellStyle name="제목 1 31" xfId="3189" xr:uid="{688D1832-7422-4A94-A85D-A967EA0CC820}"/>
    <cellStyle name="제목 1 31 2" xfId="3190" xr:uid="{7E00689F-FF9C-4829-915B-5A73C143346E}"/>
    <cellStyle name="제목 1 32" xfId="3191" xr:uid="{1D65BE21-824F-40E6-92F0-BC2B8750096C}"/>
    <cellStyle name="제목 1 32 2" xfId="3192" xr:uid="{27D26933-A7FB-488A-A167-8169673597BB}"/>
    <cellStyle name="제목 1 33" xfId="3193" xr:uid="{7279E309-4F12-4FEC-8DCF-D1658567495F}"/>
    <cellStyle name="제목 1 33 2" xfId="3194" xr:uid="{EB42BE90-849E-4885-998A-1F6FD2DC0280}"/>
    <cellStyle name="제목 1 34" xfId="3195" xr:uid="{1C3D8E95-85DF-4245-AC43-039DEA9418A6}"/>
    <cellStyle name="제목 1 34 2" xfId="3196" xr:uid="{DC062345-7E97-4597-9FBE-A41502BF40EB}"/>
    <cellStyle name="제목 1 35" xfId="3197" xr:uid="{1C7D9CE5-65D1-4748-876A-067A3EC41937}"/>
    <cellStyle name="제목 1 35 2" xfId="3198" xr:uid="{BFA39EF6-5059-4247-BFF4-ADF0E7F1D578}"/>
    <cellStyle name="제목 1 36" xfId="3199" xr:uid="{CE80E30E-E1A6-4173-BB4D-35FBF33E2489}"/>
    <cellStyle name="제목 1 36 2" xfId="3200" xr:uid="{F3B7541B-F450-481C-8D7A-FA54E9B8EAFC}"/>
    <cellStyle name="제목 1 37" xfId="3201" xr:uid="{1C4D9E9C-8AD7-44CF-8A5A-3567188BEBF7}"/>
    <cellStyle name="제목 1 37 2" xfId="3202" xr:uid="{4B5BDC97-9DFD-4588-BEB2-3E73FE7BF8B3}"/>
    <cellStyle name="제목 1 38" xfId="3203" xr:uid="{30E6A8BB-428C-48CA-A7C8-04B7ED3ED0EA}"/>
    <cellStyle name="제목 1 38 2" xfId="3204" xr:uid="{5A948BF1-C0BD-45A0-A3F0-364D47F997BC}"/>
    <cellStyle name="제목 1 39" xfId="3205" xr:uid="{A5C2EA58-2EE3-4DB7-BEA9-B6EACF6864DB}"/>
    <cellStyle name="제목 1 39 2" xfId="3206" xr:uid="{6AFAE1B9-0DC5-4175-81F0-8FC153275F1C}"/>
    <cellStyle name="제목 1 4" xfId="3207" xr:uid="{C32B5FA6-51E2-4DDB-8F21-1A357F42B0C1}"/>
    <cellStyle name="제목 1 4 2" xfId="3208" xr:uid="{3AE0CD6A-2CC7-4480-B6BD-E246BBA068EB}"/>
    <cellStyle name="제목 1 40" xfId="3209" xr:uid="{8B223B29-548D-4287-81EE-1482B6170104}"/>
    <cellStyle name="제목 1 40 2" xfId="3210" xr:uid="{CCF1667A-8676-44EB-9C2A-2E538BC7AA92}"/>
    <cellStyle name="제목 1 41" xfId="3211" xr:uid="{8F1B53E6-064F-4D3A-89A9-EDB537FD868E}"/>
    <cellStyle name="제목 1 41 2" xfId="3212" xr:uid="{A4EF789A-3248-4441-A9E8-16347172DC14}"/>
    <cellStyle name="제목 1 42" xfId="3213" xr:uid="{7AF1052E-E3C9-458C-B795-0CB3F3FD86D2}"/>
    <cellStyle name="제목 1 42 2" xfId="3214" xr:uid="{964FA21C-615B-4CC4-AD23-F5512CCAF96E}"/>
    <cellStyle name="제목 1 43" xfId="3215" xr:uid="{273DD636-4490-4708-8CAE-15746558A067}"/>
    <cellStyle name="제목 1 43 2" xfId="3216" xr:uid="{F87C88B1-AA37-4E0E-A51A-402159ADE63B}"/>
    <cellStyle name="제목 1 44" xfId="3217" xr:uid="{7EB948D0-1A1A-4324-AA16-1B45DEAB640D}"/>
    <cellStyle name="제목 1 45" xfId="3218" xr:uid="{7BE3AC65-66AF-47AB-952D-AD7F929E98F6}"/>
    <cellStyle name="제목 1 46" xfId="3219" xr:uid="{5863E3CC-5180-4378-99E4-49992772D755}"/>
    <cellStyle name="제목 1 47" xfId="3142" xr:uid="{460870FE-3D5A-4B44-8239-3C18D1F97AAF}"/>
    <cellStyle name="제목 1 5" xfId="3220" xr:uid="{1B9BDB28-9788-4DB4-956E-123F7EFA73DE}"/>
    <cellStyle name="제목 1 5 2" xfId="3221" xr:uid="{972B988A-B1CE-47EC-B734-B87B09255DA7}"/>
    <cellStyle name="제목 1 6" xfId="3222" xr:uid="{923DEAA4-1A2C-41F4-9502-975DC225090B}"/>
    <cellStyle name="제목 1 6 2" xfId="3223" xr:uid="{E7112495-BCBD-4383-9172-A99B4E14332F}"/>
    <cellStyle name="제목 1 7" xfId="3224" xr:uid="{8B6F17E3-2413-43DA-A170-55B298546083}"/>
    <cellStyle name="제목 1 7 2" xfId="3225" xr:uid="{4DAB3D8A-A73A-48CA-B73A-AC0250234C88}"/>
    <cellStyle name="제목 1 8" xfId="3226" xr:uid="{0AAB9B75-DA0D-4321-862F-05C65626D2BE}"/>
    <cellStyle name="제목 1 8 2" xfId="3227" xr:uid="{9D75F9B0-91FC-4519-8316-02CABBE20A4A}"/>
    <cellStyle name="제목 1 9" xfId="3228" xr:uid="{2A3B0858-1F7F-444C-93EB-4E3CF9055144}"/>
    <cellStyle name="제목 1 9 2" xfId="3229" xr:uid="{34D745F9-DAA9-4CD9-A95F-1264949985DC}"/>
    <cellStyle name="제목 10" xfId="3230" xr:uid="{E2DB16BF-1F72-48D9-8138-EC68CD1F7542}"/>
    <cellStyle name="제목 10 2" xfId="3231" xr:uid="{F56E5CFB-2386-45B1-9F2B-BACCCCB8A672}"/>
    <cellStyle name="제목 11" xfId="3232" xr:uid="{07DA07B0-D343-4667-B006-46AB93998727}"/>
    <cellStyle name="제목 11 2" xfId="3233" xr:uid="{5C091D61-C1F0-400C-8051-BD82063B7FA3}"/>
    <cellStyle name="제목 12" xfId="3234" xr:uid="{9E32D4F0-C5A7-48D0-A7FA-93C443217E1E}"/>
    <cellStyle name="제목 12 2" xfId="3235" xr:uid="{120BE05C-7E11-450C-BB0D-2D5CC7CAD8CE}"/>
    <cellStyle name="제목 13" xfId="3236" xr:uid="{72B07433-0CC2-41F7-AC0B-DCFC8BF201FF}"/>
    <cellStyle name="제목 13 2" xfId="3237" xr:uid="{4BEDF189-CE46-4BB9-A6ED-6F83B9E4BF48}"/>
    <cellStyle name="제목 14" xfId="3238" xr:uid="{89071CDF-9B7D-4918-BE15-382AAB0E0653}"/>
    <cellStyle name="제목 14 2" xfId="3239" xr:uid="{101FE2AD-A1A4-4342-A19C-99EA272AB22C}"/>
    <cellStyle name="제목 15" xfId="3240" xr:uid="{E9C41729-D30A-43D2-AF12-266B917D1622}"/>
    <cellStyle name="제목 15 2" xfId="3241" xr:uid="{CFDB4967-BF0D-4954-9FBC-A34B554E595A}"/>
    <cellStyle name="제목 16" xfId="3242" xr:uid="{D8FF0D36-948A-46EF-B4FB-375926278CE8}"/>
    <cellStyle name="제목 16 2" xfId="3243" xr:uid="{34753591-B9CD-43B4-9861-B7403900CC31}"/>
    <cellStyle name="제목 17" xfId="3244" xr:uid="{EB2F2E02-C91F-498B-84E2-349ECB33A2FF}"/>
    <cellStyle name="제목 17 2" xfId="3245" xr:uid="{79E8AAD6-2D3C-4D9A-A501-61DE016C3B4C}"/>
    <cellStyle name="제목 18" xfId="3246" xr:uid="{47A5D948-FF71-40BD-A1CA-A02D7C730C25}"/>
    <cellStyle name="제목 18 2" xfId="3247" xr:uid="{10BCE6CD-AA33-4E5E-A823-22C0741FA7CE}"/>
    <cellStyle name="제목 19" xfId="3248" xr:uid="{96C06833-446B-4E72-8F57-980278E80F2A}"/>
    <cellStyle name="제목 19 2" xfId="3249" xr:uid="{5D907F5B-CE05-4E92-BA70-A41B85F0FC13}"/>
    <cellStyle name="제목 2 10" xfId="3251" xr:uid="{F2135435-6EB5-49B2-B392-B39C4ED6111D}"/>
    <cellStyle name="제목 2 10 2" xfId="3252" xr:uid="{95A42A1D-5FCA-4248-911C-EA9612B08E90}"/>
    <cellStyle name="제목 2 11" xfId="3253" xr:uid="{9EF49B86-31CD-4950-8774-DF171ABC9AFC}"/>
    <cellStyle name="제목 2 11 2" xfId="3254" xr:uid="{443CA987-126D-4C65-9F82-4BDA72ED7C4F}"/>
    <cellStyle name="제목 2 12" xfId="3255" xr:uid="{74A70FF9-1D1A-4900-98C5-B301CC7C5DDF}"/>
    <cellStyle name="제목 2 12 2" xfId="3256" xr:uid="{98307A23-1A37-47CB-8DB4-07C73482FEB1}"/>
    <cellStyle name="제목 2 13" xfId="3257" xr:uid="{3CC767B5-8311-4FF9-95DA-CB79BD5A753A}"/>
    <cellStyle name="제목 2 13 2" xfId="3258" xr:uid="{B000780A-FFB5-40F6-ABEA-7930C7F8755D}"/>
    <cellStyle name="제목 2 14" xfId="3259" xr:uid="{AF52B240-329D-47AD-9F2F-65681E5C8DB3}"/>
    <cellStyle name="제목 2 14 2" xfId="3260" xr:uid="{5BCD3991-CEFE-4481-9540-8A8383607800}"/>
    <cellStyle name="제목 2 15" xfId="3261" xr:uid="{E6FBED54-0049-4524-84C7-623D81F5E67B}"/>
    <cellStyle name="제목 2 15 2" xfId="3262" xr:uid="{EF15444A-7E59-4CD9-8994-1712A026145B}"/>
    <cellStyle name="제목 2 16" xfId="3263" xr:uid="{B9757EEA-88BC-4977-8E68-74AA8FB78399}"/>
    <cellStyle name="제목 2 16 2" xfId="3264" xr:uid="{A5E4CF03-B8AD-4F96-A6CE-0B3F6C45D22C}"/>
    <cellStyle name="제목 2 17" xfId="3265" xr:uid="{A1FA550D-A372-4444-A491-1F5710F4367D}"/>
    <cellStyle name="제목 2 17 2" xfId="3266" xr:uid="{EB231B5F-9A14-48E3-B875-9E0BDC42D405}"/>
    <cellStyle name="제목 2 18" xfId="3267" xr:uid="{47EE49CA-181B-4041-A68C-DF0CF0C5209D}"/>
    <cellStyle name="제목 2 18 2" xfId="3268" xr:uid="{EE2FE4E0-803A-4490-831A-10A87E208621}"/>
    <cellStyle name="제목 2 19" xfId="3269" xr:uid="{5427F65F-0983-42DD-90E2-C131C162F98C}"/>
    <cellStyle name="제목 2 19 2" xfId="3270" xr:uid="{DA20984D-6C13-41C4-84D8-5E725C03BC27}"/>
    <cellStyle name="제목 2 2" xfId="3271" xr:uid="{C2F69E44-34EF-4693-9EB5-33D78F39B591}"/>
    <cellStyle name="제목 2 2 2" xfId="3272" xr:uid="{4BAB83D7-B28B-4289-8FDD-2B9B4EB25922}"/>
    <cellStyle name="제목 2 20" xfId="3273" xr:uid="{670639E7-D20E-48B1-A62E-C97110A79459}"/>
    <cellStyle name="제목 2 20 2" xfId="3274" xr:uid="{415D6DE3-475E-4D8C-813E-8CF8EEF9CAA0}"/>
    <cellStyle name="제목 2 21" xfId="3275" xr:uid="{2368BB10-B7D0-4493-BAC0-A5357CFD9B87}"/>
    <cellStyle name="제목 2 21 2" xfId="3276" xr:uid="{96DF2850-04F4-49EE-AA74-F6E82FB15147}"/>
    <cellStyle name="제목 2 22" xfId="3277" xr:uid="{0F33145B-DA0D-473B-B600-B5F0924B0224}"/>
    <cellStyle name="제목 2 22 2" xfId="3278" xr:uid="{ABDE0978-BB4A-4F24-B180-44927A29B0EE}"/>
    <cellStyle name="제목 2 23" xfId="3279" xr:uid="{B9853768-EE97-4B45-B536-E1B21FB2D315}"/>
    <cellStyle name="제목 2 23 2" xfId="3280" xr:uid="{201A174B-47A2-4F21-A350-B280981C355D}"/>
    <cellStyle name="제목 2 24" xfId="3281" xr:uid="{924F5E3C-354D-4FDB-B415-7346166CE7BA}"/>
    <cellStyle name="제목 2 24 2" xfId="3282" xr:uid="{EE9F6555-C2CA-4979-8811-D84A80043CF5}"/>
    <cellStyle name="제목 2 25" xfId="3283" xr:uid="{DF495998-7A87-4080-A016-179E8D406C56}"/>
    <cellStyle name="제목 2 25 2" xfId="3284" xr:uid="{8076946A-1B0A-4A4D-9E04-D759557751BA}"/>
    <cellStyle name="제목 2 26" xfId="3285" xr:uid="{491CF450-4F04-4E3E-B785-447C2FDDC6A3}"/>
    <cellStyle name="제목 2 26 2" xfId="3286" xr:uid="{03E2C4DC-DDBF-4753-BF41-97A90DC0AE14}"/>
    <cellStyle name="제목 2 27" xfId="3287" xr:uid="{70B30865-7FD8-490F-B061-4FC152954CBB}"/>
    <cellStyle name="제목 2 27 2" xfId="3288" xr:uid="{E7D06B7E-DA4E-4A63-A229-D4AFD9DBD2DC}"/>
    <cellStyle name="제목 2 28" xfId="3289" xr:uid="{1F7D2AF8-8F2A-41B4-9EA2-07AAC5F7BF7D}"/>
    <cellStyle name="제목 2 28 2" xfId="3290" xr:uid="{4680913B-686D-416C-9A8C-CB3356622D03}"/>
    <cellStyle name="제목 2 29" xfId="3291" xr:uid="{1ABF8557-7369-4904-A1E9-B219A377A31B}"/>
    <cellStyle name="제목 2 29 2" xfId="3292" xr:uid="{232EDC9E-075A-4989-88C9-12C44ABC0919}"/>
    <cellStyle name="제목 2 3" xfId="3293" xr:uid="{E217148F-6FEC-4086-B6DF-A2BE25BE5B95}"/>
    <cellStyle name="제목 2 3 2" xfId="3294" xr:uid="{6C286154-86AF-486E-AFB0-1B3F255FBD7A}"/>
    <cellStyle name="제목 2 30" xfId="3295" xr:uid="{DB2A461D-8271-45D8-B8B7-44EAFBD135B1}"/>
    <cellStyle name="제목 2 30 2" xfId="3296" xr:uid="{00CDEAA7-1160-4CFC-BE32-28EF73C9FE54}"/>
    <cellStyle name="제목 2 31" xfId="3297" xr:uid="{0C00B1FB-6A89-45B8-8E08-C43D799AFDA4}"/>
    <cellStyle name="제목 2 31 2" xfId="3298" xr:uid="{F827C47F-75C1-45AB-93B6-EAD41138EB49}"/>
    <cellStyle name="제목 2 32" xfId="3299" xr:uid="{9B1534D1-56B2-41E1-ADEF-3EA376FE8883}"/>
    <cellStyle name="제목 2 32 2" xfId="3300" xr:uid="{8A5EFA19-A459-48EB-95BC-6539A7FF04DE}"/>
    <cellStyle name="제목 2 33" xfId="3301" xr:uid="{38A6706F-A1C4-4CCE-BE72-5FC1A7056D18}"/>
    <cellStyle name="제목 2 33 2" xfId="3302" xr:uid="{94EC206A-FD7B-434E-BB73-37DCB10D8249}"/>
    <cellStyle name="제목 2 34" xfId="3303" xr:uid="{3459F1F6-19CC-4A04-B9C4-13415297EEF1}"/>
    <cellStyle name="제목 2 34 2" xfId="3304" xr:uid="{2963BD5A-26D5-4E04-9D21-449B79D4D239}"/>
    <cellStyle name="제목 2 35" xfId="3305" xr:uid="{627CA12A-4675-4E53-A050-1945070D18FB}"/>
    <cellStyle name="제목 2 35 2" xfId="3306" xr:uid="{79A57561-0B24-486A-AEB6-F75825C9BAD3}"/>
    <cellStyle name="제목 2 36" xfId="3307" xr:uid="{24A31FBB-1671-42A8-A0A6-A29D0F9355C1}"/>
    <cellStyle name="제목 2 36 2" xfId="3308" xr:uid="{D3BF1C19-762F-4B07-A60F-A69A4D91AC9B}"/>
    <cellStyle name="제목 2 37" xfId="3309" xr:uid="{DEFA2DA8-F90D-40BB-BF2E-91FC9CDF39E2}"/>
    <cellStyle name="제목 2 37 2" xfId="3310" xr:uid="{F7AF7CCE-4582-4B12-9747-4C6F42952E85}"/>
    <cellStyle name="제목 2 38" xfId="3311" xr:uid="{6F82A75A-FA7E-4866-894E-D2F1A7AAEDCF}"/>
    <cellStyle name="제목 2 38 2" xfId="3312" xr:uid="{3355D843-08A5-431E-9E2C-899F03F89814}"/>
    <cellStyle name="제목 2 39" xfId="3313" xr:uid="{90169863-8388-4526-A849-54D05C802198}"/>
    <cellStyle name="제목 2 39 2" xfId="3314" xr:uid="{51D1337E-7CE4-4C78-8141-B080073A1E1A}"/>
    <cellStyle name="제목 2 4" xfId="3315" xr:uid="{A51F0881-27BD-4391-AC19-1E4B8441AC50}"/>
    <cellStyle name="제목 2 4 2" xfId="3316" xr:uid="{774A5AB6-6FD2-42F0-8BBE-2B02738CC4C5}"/>
    <cellStyle name="제목 2 40" xfId="3317" xr:uid="{7F932533-A539-45FE-AA52-8332865007AF}"/>
    <cellStyle name="제목 2 40 2" xfId="3318" xr:uid="{C333EC13-75C9-40CA-9F7A-E0AA7E67E60D}"/>
    <cellStyle name="제목 2 41" xfId="3319" xr:uid="{631791FB-48F4-45ED-9193-786DB6ECA56B}"/>
    <cellStyle name="제목 2 41 2" xfId="3320" xr:uid="{87668B4B-5F9C-4A40-9777-75317E758456}"/>
    <cellStyle name="제목 2 42" xfId="3321" xr:uid="{97A730C4-7F52-4382-A8E5-DFB63613E5F9}"/>
    <cellStyle name="제목 2 42 2" xfId="3322" xr:uid="{AAB87A95-17DA-448B-A037-B88826AEF0E6}"/>
    <cellStyle name="제목 2 43" xfId="3323" xr:uid="{BA556F7E-08D8-4A9B-B695-61C5B8A3F19B}"/>
    <cellStyle name="제목 2 43 2" xfId="3324" xr:uid="{CD038EC4-DF2A-4043-B18B-3D8CA881EB6D}"/>
    <cellStyle name="제목 2 44" xfId="3325" xr:uid="{7A5C8DA9-AFF9-4559-9A49-038A08EAD99C}"/>
    <cellStyle name="제목 2 45" xfId="3326" xr:uid="{C08A475A-A8D0-4452-95E0-D388D46A8EDC}"/>
    <cellStyle name="제목 2 46" xfId="3327" xr:uid="{89EDBB29-7F03-424C-989E-F2176D4372FC}"/>
    <cellStyle name="제목 2 47" xfId="3250" xr:uid="{C4B4A2DF-A99B-466D-A7DA-5AB80C459DBD}"/>
    <cellStyle name="제목 2 5" xfId="3328" xr:uid="{E41A1951-AAE2-4285-BA72-8C12D74A8055}"/>
    <cellStyle name="제목 2 5 2" xfId="3329" xr:uid="{24EB59DB-1723-4233-8543-0C1BD01B42B5}"/>
    <cellStyle name="제목 2 6" xfId="3330" xr:uid="{57D454DB-E0CC-4641-B001-734394EEBE68}"/>
    <cellStyle name="제목 2 6 2" xfId="3331" xr:uid="{33229541-6349-47C7-B120-CD4A047A6D3D}"/>
    <cellStyle name="제목 2 7" xfId="3332" xr:uid="{E0FE3579-9809-439A-9F11-2E11B5FCE0FC}"/>
    <cellStyle name="제목 2 7 2" xfId="3333" xr:uid="{B426CA7E-8989-4D8D-B773-1A1956DA6F1B}"/>
    <cellStyle name="제목 2 8" xfId="3334" xr:uid="{3136BDEE-0CDF-43C6-99EF-89CFBA853A3D}"/>
    <cellStyle name="제목 2 8 2" xfId="3335" xr:uid="{9ABBD5AB-AE56-466C-9D30-99B3C628A35C}"/>
    <cellStyle name="제목 2 9" xfId="3336" xr:uid="{73EAE987-DA47-4911-9AFE-415C48A1E9C7}"/>
    <cellStyle name="제목 2 9 2" xfId="3337" xr:uid="{7F0261ED-1E66-4E18-B947-9C5EC014E304}"/>
    <cellStyle name="제목 20" xfId="3338" xr:uid="{1C5464C0-CA3B-435D-9413-A1FA97D6A597}"/>
    <cellStyle name="제목 20 2" xfId="3339" xr:uid="{8DE44BF7-7AB7-4E0E-BCDC-3140FC0737A6}"/>
    <cellStyle name="제목 21" xfId="3340" xr:uid="{34FB5641-4594-43E7-87F9-37BC143CB129}"/>
    <cellStyle name="제목 21 2" xfId="3341" xr:uid="{1975D477-9D6E-49B3-BAA5-4D95A99E0E7E}"/>
    <cellStyle name="제목 22" xfId="3342" xr:uid="{65A2217F-EC02-4FC5-BD5B-4F8B8A200835}"/>
    <cellStyle name="제목 22 2" xfId="3343" xr:uid="{1DA66B4D-2C6E-44E2-BAD7-FBF6029C4B6C}"/>
    <cellStyle name="제목 23" xfId="3344" xr:uid="{2B62F6BF-7792-4E04-8950-B4BF49B5C119}"/>
    <cellStyle name="제목 23 2" xfId="3345" xr:uid="{98B8553C-AD38-47D3-9942-E3BED0094668}"/>
    <cellStyle name="제목 24" xfId="3346" xr:uid="{7A88EB00-569A-418F-B2F2-2C0DD770C78D}"/>
    <cellStyle name="제목 24 2" xfId="3347" xr:uid="{45C9F1D6-2A1B-44F7-AA14-BD592DD99A32}"/>
    <cellStyle name="제목 25" xfId="3348" xr:uid="{227EBA15-0388-4E30-8D00-7C9CEEC64E8D}"/>
    <cellStyle name="제목 25 2" xfId="3349" xr:uid="{704258A5-2C76-40D2-A2F4-0433043273F6}"/>
    <cellStyle name="제목 26" xfId="3350" xr:uid="{80E4B45B-BFA7-40B3-9CCD-D903584B3BAA}"/>
    <cellStyle name="제목 26 2" xfId="3351" xr:uid="{E21D229E-3399-4202-9A10-6B6D1877FB2A}"/>
    <cellStyle name="제목 27" xfId="3352" xr:uid="{C50581D7-CC94-487B-A3B6-D776F5D35CB2}"/>
    <cellStyle name="제목 27 2" xfId="3353" xr:uid="{58030A5E-34EC-45E7-B5A4-AC6B570D8211}"/>
    <cellStyle name="제목 28" xfId="3354" xr:uid="{C91AB02B-EE14-45AF-90E9-057E532EA744}"/>
    <cellStyle name="제목 28 2" xfId="3355" xr:uid="{EC7802A5-D50B-415F-A2AD-86F9B84AB97B}"/>
    <cellStyle name="제목 29" xfId="3356" xr:uid="{12BC28D2-CB05-40F2-A724-036ED63596E3}"/>
    <cellStyle name="제목 29 2" xfId="3357" xr:uid="{D86C3DE9-1011-4386-B2F9-64998B8763A7}"/>
    <cellStyle name="제목 3 10" xfId="3359" xr:uid="{41366DC4-DCFB-4442-A876-32FD7A4F5854}"/>
    <cellStyle name="제목 3 10 2" xfId="3360" xr:uid="{EFE444C4-5861-46FC-8966-3940C2ED21A4}"/>
    <cellStyle name="제목 3 11" xfId="3361" xr:uid="{C0196EB2-E31C-44E2-9275-5680D9490954}"/>
    <cellStyle name="제목 3 11 2" xfId="3362" xr:uid="{C6C56541-93EF-47D6-A276-33D8251E07E3}"/>
    <cellStyle name="제목 3 12" xfId="3363" xr:uid="{551AE2DE-06C1-4132-AFE9-4E077912BADD}"/>
    <cellStyle name="제목 3 12 2" xfId="3364" xr:uid="{D5DF904E-C2C2-44AB-909E-80FC7BA55E90}"/>
    <cellStyle name="제목 3 13" xfId="3365" xr:uid="{7B206667-C1C7-48E0-9424-9EF50D98FDD5}"/>
    <cellStyle name="제목 3 13 2" xfId="3366" xr:uid="{3D5597A9-3233-492B-BEE7-6222613636DE}"/>
    <cellStyle name="제목 3 14" xfId="3367" xr:uid="{04865C32-8396-4F95-B43C-E9BDD3D87F0F}"/>
    <cellStyle name="제목 3 14 2" xfId="3368" xr:uid="{32568E3F-C5AE-4BDF-97C1-9C0181F62757}"/>
    <cellStyle name="제목 3 15" xfId="3369" xr:uid="{047B3307-F32F-4F20-A054-85E0615BF1B8}"/>
    <cellStyle name="제목 3 15 2" xfId="3370" xr:uid="{4DBEA9CE-FC1F-4287-B739-530C87C01737}"/>
    <cellStyle name="제목 3 16" xfId="3371" xr:uid="{0A018E78-0F28-418F-AE65-DC0772423A6B}"/>
    <cellStyle name="제목 3 16 2" xfId="3372" xr:uid="{9ED73A2E-7F02-43C2-841C-6F8522B25634}"/>
    <cellStyle name="제목 3 17" xfId="3373" xr:uid="{F0A4F064-E230-4734-B611-AD2A313A0253}"/>
    <cellStyle name="제목 3 17 2" xfId="3374" xr:uid="{42C9C756-5B08-40AC-9BF6-08B959EAE556}"/>
    <cellStyle name="제목 3 18" xfId="3375" xr:uid="{6D7E90C5-B66C-43BC-8E27-C289570D74F0}"/>
    <cellStyle name="제목 3 18 2" xfId="3376" xr:uid="{FE607BE6-3F2D-40A6-A9CB-3866F885F246}"/>
    <cellStyle name="제목 3 19" xfId="3377" xr:uid="{6C35E089-5849-4476-8CD2-3F231211F920}"/>
    <cellStyle name="제목 3 19 2" xfId="3378" xr:uid="{7FE9A712-2FC4-45B0-91FE-FD512D7E2293}"/>
    <cellStyle name="제목 3 2" xfId="3379" xr:uid="{52398D46-7B43-4422-8AF0-85264E995404}"/>
    <cellStyle name="제목 3 2 2" xfId="3380" xr:uid="{F44665E0-D3DC-4F11-B6F2-63EC77E55D8E}"/>
    <cellStyle name="제목 3 20" xfId="3381" xr:uid="{869E77DF-9F00-4C38-83D8-E85E80AA72DB}"/>
    <cellStyle name="제목 3 20 2" xfId="3382" xr:uid="{FF92FF25-962E-4475-9C0D-C7C832AB349B}"/>
    <cellStyle name="제목 3 21" xfId="3383" xr:uid="{8F431F29-BE86-4D97-B812-4EA116417D48}"/>
    <cellStyle name="제목 3 21 2" xfId="3384" xr:uid="{F1D68F09-0DA1-479F-92E9-F37C8BB9C59D}"/>
    <cellStyle name="제목 3 22" xfId="3385" xr:uid="{5FDF5079-ED9B-470D-B03A-8581CF49452C}"/>
    <cellStyle name="제목 3 22 2" xfId="3386" xr:uid="{22CF41DC-2F79-4A1B-8478-EC09C751C6FD}"/>
    <cellStyle name="제목 3 23" xfId="3387" xr:uid="{9565F922-F6B8-4EBB-B0EE-8CA41E5C0606}"/>
    <cellStyle name="제목 3 23 2" xfId="3388" xr:uid="{FAFCC032-D1E0-4AD0-8F73-8E838FDE0A58}"/>
    <cellStyle name="제목 3 24" xfId="3389" xr:uid="{47476D08-7E72-4BCA-9730-7E8985047CB4}"/>
    <cellStyle name="제목 3 24 2" xfId="3390" xr:uid="{6B741BCB-77A1-474F-9A71-5591D85B5FB4}"/>
    <cellStyle name="제목 3 25" xfId="3391" xr:uid="{7ADE8534-9BF2-4599-A3A2-00C7FA60DCA5}"/>
    <cellStyle name="제목 3 25 2" xfId="3392" xr:uid="{9B0AB246-5D6A-48B4-A9C0-88573095C941}"/>
    <cellStyle name="제목 3 26" xfId="3393" xr:uid="{8B6CAA3A-B221-4B14-B816-4FD9776EBA2B}"/>
    <cellStyle name="제목 3 26 2" xfId="3394" xr:uid="{BA4321C6-5ABB-4005-B5F2-43E45C1DE9A5}"/>
    <cellStyle name="제목 3 27" xfId="3395" xr:uid="{D0B1C78E-3763-4027-B6C0-8DE84D8B5CA9}"/>
    <cellStyle name="제목 3 27 2" xfId="3396" xr:uid="{82EF903D-C826-4794-B781-157FBD29F64F}"/>
    <cellStyle name="제목 3 28" xfId="3397" xr:uid="{EE60DDD0-7B09-4689-8A7F-1E21C9AEE66B}"/>
    <cellStyle name="제목 3 28 2" xfId="3398" xr:uid="{DDE789F5-7B5E-4AB3-86B1-4C02DC3790F8}"/>
    <cellStyle name="제목 3 29" xfId="3399" xr:uid="{EC88DD99-4074-4288-86AC-DEC93EDF0BAF}"/>
    <cellStyle name="제목 3 29 2" xfId="3400" xr:uid="{A37C8786-0005-4D70-9018-9FEE9CDEF212}"/>
    <cellStyle name="제목 3 3" xfId="3401" xr:uid="{B4253B92-E9C1-4496-AD30-BFD380FE86BF}"/>
    <cellStyle name="제목 3 3 2" xfId="3402" xr:uid="{4EC183D5-DA4B-49E6-832E-5D4ECE166200}"/>
    <cellStyle name="제목 3 30" xfId="3403" xr:uid="{B63C1778-B332-4C58-9328-7EAC692E704F}"/>
    <cellStyle name="제목 3 30 2" xfId="3404" xr:uid="{3B57425D-035F-4836-9B3A-82A0EDA1FB5D}"/>
    <cellStyle name="제목 3 31" xfId="3405" xr:uid="{FDD8802C-6351-4838-9D55-623F3C030A04}"/>
    <cellStyle name="제목 3 31 2" xfId="3406" xr:uid="{D9DB007A-2830-4F10-B3DA-9418ED6F5E9B}"/>
    <cellStyle name="제목 3 32" xfId="3407" xr:uid="{AE835BC5-6425-40A5-8ADD-C27A5EE8B878}"/>
    <cellStyle name="제목 3 32 2" xfId="3408" xr:uid="{90A582D2-6996-4853-8944-4A5877FB788B}"/>
    <cellStyle name="제목 3 33" xfId="3409" xr:uid="{F6C8F002-2F83-4383-998F-DD878E24C8F3}"/>
    <cellStyle name="제목 3 33 2" xfId="3410" xr:uid="{30C7AE74-9177-4F0F-B1D1-B65DBBDF57A3}"/>
    <cellStyle name="제목 3 34" xfId="3411" xr:uid="{B2D50059-8734-4D51-84F5-A7E58576268B}"/>
    <cellStyle name="제목 3 34 2" xfId="3412" xr:uid="{54250868-4208-4A6E-96B8-6A70108E6D53}"/>
    <cellStyle name="제목 3 35" xfId="3413" xr:uid="{0285857F-123C-4119-9646-022B3DA046AF}"/>
    <cellStyle name="제목 3 35 2" xfId="3414" xr:uid="{34B4845F-32B7-4E76-A7FC-D012E455D147}"/>
    <cellStyle name="제목 3 36" xfId="3415" xr:uid="{98E50C1C-2427-485D-BA6F-0933A5CBEBBE}"/>
    <cellStyle name="제목 3 36 2" xfId="3416" xr:uid="{88A617B1-C4C5-41BD-AFB5-CFE084B43336}"/>
    <cellStyle name="제목 3 37" xfId="3417" xr:uid="{12E48783-698E-4323-93C7-B08877DD8533}"/>
    <cellStyle name="제목 3 37 2" xfId="3418" xr:uid="{869DD740-FDB8-4886-8E86-6D4BD2C3A251}"/>
    <cellStyle name="제목 3 38" xfId="3419" xr:uid="{3B196C71-A23C-4B49-A2E2-5C2928AC4BE3}"/>
    <cellStyle name="제목 3 38 2" xfId="3420" xr:uid="{BA2D30EB-4FBB-41B0-BD51-8186609BD6D8}"/>
    <cellStyle name="제목 3 39" xfId="3421" xr:uid="{17B2A7E7-1D78-42CD-BBA9-7EA7A7C7DE4F}"/>
    <cellStyle name="제목 3 39 2" xfId="3422" xr:uid="{6FAA8E7A-3E89-41DE-AC7B-5ACD4CA4F0ED}"/>
    <cellStyle name="제목 3 4" xfId="3423" xr:uid="{C65097ED-881D-4606-A501-53981F1092BC}"/>
    <cellStyle name="제목 3 4 2" xfId="3424" xr:uid="{1D83432D-34C3-45D9-B54A-787210F526AE}"/>
    <cellStyle name="제목 3 40" xfId="3425" xr:uid="{65162F3E-9027-41B8-BEE3-D2DFDF1F368B}"/>
    <cellStyle name="제목 3 40 2" xfId="3426" xr:uid="{5A451BDC-8B9E-42B9-A792-2C7D1BF813F8}"/>
    <cellStyle name="제목 3 41" xfId="3427" xr:uid="{75CC8CDA-A225-4BB4-B277-1A88364C8CA0}"/>
    <cellStyle name="제목 3 41 2" xfId="3428" xr:uid="{1E94E9C0-6121-49F6-AD7A-08CDF69C8CCD}"/>
    <cellStyle name="제목 3 42" xfId="3429" xr:uid="{62BF3E38-21BB-4C64-8399-F4C2A92873D8}"/>
    <cellStyle name="제목 3 42 2" xfId="3430" xr:uid="{C715F624-A16C-4B4C-B1B6-F6ADF6D052CA}"/>
    <cellStyle name="제목 3 43" xfId="3431" xr:uid="{8F7D109D-74A4-4904-904B-03DC3C7E1090}"/>
    <cellStyle name="제목 3 43 2" xfId="3432" xr:uid="{6568752B-9D5F-46F8-BEE2-84E5C174C4D1}"/>
    <cellStyle name="제목 3 44" xfId="3433" xr:uid="{E3693A99-9307-4D21-A861-F9BC78DA1FC1}"/>
    <cellStyle name="제목 3 45" xfId="3434" xr:uid="{5CD6539B-7D83-498F-AEDE-A9D02819CF84}"/>
    <cellStyle name="제목 3 46" xfId="3435" xr:uid="{872E91AB-00CE-4DB9-98B1-BFAE96D66B7C}"/>
    <cellStyle name="제목 3 47" xfId="3358" xr:uid="{70C1FAF1-356C-4E7A-B559-C7BC7F69AC47}"/>
    <cellStyle name="제목 3 5" xfId="3436" xr:uid="{1DA25979-D80B-422C-AA0E-87538C672998}"/>
    <cellStyle name="제목 3 5 2" xfId="3437" xr:uid="{56A39D45-2E67-4D0C-9C30-696A0DD10E34}"/>
    <cellStyle name="제목 3 6" xfId="3438" xr:uid="{73038ADB-A7A9-47BF-B3E6-3354B499B91B}"/>
    <cellStyle name="제목 3 6 2" xfId="3439" xr:uid="{4B1289E5-AC52-48BD-89AC-E2EAFD7A80BB}"/>
    <cellStyle name="제목 3 7" xfId="3440" xr:uid="{B1EE3FEF-DCDA-4973-A11E-88786DF0A00E}"/>
    <cellStyle name="제목 3 7 2" xfId="3441" xr:uid="{EE381FAF-D218-4082-8E1B-218A3B4A5EA5}"/>
    <cellStyle name="제목 3 8" xfId="3442" xr:uid="{72D537E8-83B8-447F-91E3-600FCE07BDFB}"/>
    <cellStyle name="제목 3 8 2" xfId="3443" xr:uid="{45E7162B-CA57-4142-BA59-23AA6F30A51C}"/>
    <cellStyle name="제목 3 9" xfId="3444" xr:uid="{FAD3763E-5158-45AB-A545-EAFAB692627D}"/>
    <cellStyle name="제목 3 9 2" xfId="3445" xr:uid="{7870D16E-FC3F-42BD-AAE6-2FEA404B98BA}"/>
    <cellStyle name="제목 30" xfId="3446" xr:uid="{47E5230E-6F66-40D0-A2BD-D2F8AD052F31}"/>
    <cellStyle name="제목 30 2" xfId="3447" xr:uid="{98FB7E45-5EEE-4C64-A286-DF28C86D6DF6}"/>
    <cellStyle name="제목 31" xfId="3448" xr:uid="{B427FC7D-B936-4A0D-96DD-BBB81CB99B4B}"/>
    <cellStyle name="제목 31 2" xfId="3449" xr:uid="{7F0B41DF-A9C9-464C-9D1D-F062815A8454}"/>
    <cellStyle name="제목 32" xfId="3450" xr:uid="{C315855A-09F1-4B42-9D51-D60EA2C7EBE9}"/>
    <cellStyle name="제목 32 2" xfId="3451" xr:uid="{8E6D7C79-BBFA-43D4-ADEA-4548AA72E088}"/>
    <cellStyle name="제목 33" xfId="3452" xr:uid="{99A322A3-CE8C-4FEC-836D-70B0671FA561}"/>
    <cellStyle name="제목 33 2" xfId="3453" xr:uid="{17C8D576-4B05-4143-A145-4A90F150178E}"/>
    <cellStyle name="제목 34" xfId="3454" xr:uid="{9EC5D8E2-03E5-4D2F-A30C-6570B8F4FB1D}"/>
    <cellStyle name="제목 34 2" xfId="3455" xr:uid="{6A41264F-B48F-404E-A680-FC360DDB5037}"/>
    <cellStyle name="제목 35" xfId="3456" xr:uid="{705FA9B9-A296-4726-AE16-5B267DA088FE}"/>
    <cellStyle name="제목 35 2" xfId="3457" xr:uid="{144B73AC-340E-493F-86D6-66A8E27CD07A}"/>
    <cellStyle name="제목 36" xfId="3458" xr:uid="{D1B49C42-EABE-42E9-98CB-03E73D75ECE9}"/>
    <cellStyle name="제목 36 2" xfId="3459" xr:uid="{CADBEAC5-BC71-4F08-B14E-D99049A0F23D}"/>
    <cellStyle name="제목 37" xfId="3460" xr:uid="{9FE4203E-01F7-4ACC-9B08-EF6983952CB1}"/>
    <cellStyle name="제목 37 2" xfId="3461" xr:uid="{49B98A0D-03F3-4C35-9199-D2155DAD9FB2}"/>
    <cellStyle name="제목 38" xfId="3462" xr:uid="{40311A5C-2DA4-48D5-ABF9-E47B0913F6A3}"/>
    <cellStyle name="제목 38 2" xfId="3463" xr:uid="{70686A23-93E5-4585-861A-BC9B97488D81}"/>
    <cellStyle name="제목 39" xfId="3464" xr:uid="{96E40693-1C78-46D9-9A49-7BF5D4A2ECF6}"/>
    <cellStyle name="제목 39 2" xfId="3465" xr:uid="{AC264468-30B3-4500-962D-1AD74AAE2AFB}"/>
    <cellStyle name="제목 4 10" xfId="3467" xr:uid="{E6670A9E-0298-473A-9209-3B6B56396640}"/>
    <cellStyle name="제목 4 10 2" xfId="3468" xr:uid="{231B8FA4-8D95-4536-AD82-14DB3D17B88F}"/>
    <cellStyle name="제목 4 11" xfId="3469" xr:uid="{FB64B8B6-FF96-4B12-B813-D6E2CA43955E}"/>
    <cellStyle name="제목 4 11 2" xfId="3470" xr:uid="{D19500A1-83D3-4268-804A-73CF15E092B8}"/>
    <cellStyle name="제목 4 12" xfId="3471" xr:uid="{12A17E0F-9B39-451E-8506-68C64832EE83}"/>
    <cellStyle name="제목 4 12 2" xfId="3472" xr:uid="{81C6BA06-ED4A-481B-845A-B294550BE364}"/>
    <cellStyle name="제목 4 13" xfId="3473" xr:uid="{884E032D-E40D-40D8-BCB3-ACB30D27FAFF}"/>
    <cellStyle name="제목 4 13 2" xfId="3474" xr:uid="{B6E11A38-0287-4BDE-8D1D-CF8577F1F369}"/>
    <cellStyle name="제목 4 14" xfId="3475" xr:uid="{FFD934FC-FC05-4608-B8BD-406433430D1A}"/>
    <cellStyle name="제목 4 14 2" xfId="3476" xr:uid="{CF9EDB4C-FD1C-4B6D-976F-731F6B39A972}"/>
    <cellStyle name="제목 4 15" xfId="3477" xr:uid="{EF50B9F4-C394-441F-9CFD-9DEB93C31950}"/>
    <cellStyle name="제목 4 15 2" xfId="3478" xr:uid="{485A8862-A15F-4E0E-83C2-082D933457E2}"/>
    <cellStyle name="제목 4 16" xfId="3479" xr:uid="{147203BA-0106-4B85-8708-CB54B3D6F923}"/>
    <cellStyle name="제목 4 16 2" xfId="3480" xr:uid="{4B1B34EA-9347-4E63-95C1-8234B2A306BA}"/>
    <cellStyle name="제목 4 17" xfId="3481" xr:uid="{823C9130-03C1-496A-887E-06ACD634CA0B}"/>
    <cellStyle name="제목 4 17 2" xfId="3482" xr:uid="{D6929594-B29A-4530-BDE6-B5079AD8CD3C}"/>
    <cellStyle name="제목 4 18" xfId="3483" xr:uid="{D9FB7710-416F-4484-9DA6-A77F89684625}"/>
    <cellStyle name="제목 4 18 2" xfId="3484" xr:uid="{A68575CF-297D-47FE-8C63-2DB6F252FA35}"/>
    <cellStyle name="제목 4 19" xfId="3485" xr:uid="{5AEFD75D-C7AF-43DD-8D3D-82A447FEF957}"/>
    <cellStyle name="제목 4 19 2" xfId="3486" xr:uid="{14EA58C5-B173-4DBA-A394-3313A11A47F7}"/>
    <cellStyle name="제목 4 2" xfId="3487" xr:uid="{D52482C3-DE30-4E55-AE80-53E1AFE08396}"/>
    <cellStyle name="제목 4 2 2" xfId="3488" xr:uid="{6D91453D-AA16-43B7-9F32-F05817543BCB}"/>
    <cellStyle name="제목 4 20" xfId="3489" xr:uid="{34860841-B5E9-4E06-B887-D6ECA77EDB46}"/>
    <cellStyle name="제목 4 20 2" xfId="3490" xr:uid="{FD1118A7-B2DC-4A32-A4DF-29A3DC83168F}"/>
    <cellStyle name="제목 4 21" xfId="3491" xr:uid="{CADEFFFA-96F3-4697-96C8-C4D4E7CC6678}"/>
    <cellStyle name="제목 4 21 2" xfId="3492" xr:uid="{B8172D9C-D925-42CC-976E-ACE48E6C2146}"/>
    <cellStyle name="제목 4 22" xfId="3493" xr:uid="{9FA60785-6A9F-47A6-92A5-F75405862601}"/>
    <cellStyle name="제목 4 22 2" xfId="3494" xr:uid="{37733FFD-0D43-4CBA-94B8-03EC1C3127D6}"/>
    <cellStyle name="제목 4 23" xfId="3495" xr:uid="{BAF85DCA-3EE8-458E-ABBE-A06A60F37E71}"/>
    <cellStyle name="제목 4 23 2" xfId="3496" xr:uid="{DEBB41CC-33AC-4805-8D5D-AA9AB518CD1C}"/>
    <cellStyle name="제목 4 24" xfId="3497" xr:uid="{7450C2CA-0C50-438C-A8B2-A9BC1D444812}"/>
    <cellStyle name="제목 4 24 2" xfId="3498" xr:uid="{46ECF181-C8AD-43C1-A5FC-11BB73DF5A15}"/>
    <cellStyle name="제목 4 25" xfId="3499" xr:uid="{53DB4793-0667-43F8-947D-F577912263A6}"/>
    <cellStyle name="제목 4 25 2" xfId="3500" xr:uid="{A406EBAB-4080-4109-965E-6DD0AD721FB2}"/>
    <cellStyle name="제목 4 26" xfId="3501" xr:uid="{6AB5DAD1-461B-4B8D-B5A9-7D1C9B7AD0B3}"/>
    <cellStyle name="제목 4 26 2" xfId="3502" xr:uid="{7AED5233-501E-44D8-89AB-8E853E463DC0}"/>
    <cellStyle name="제목 4 27" xfId="3503" xr:uid="{DB80090C-3133-403F-B463-5BEE8317A5EB}"/>
    <cellStyle name="제목 4 27 2" xfId="3504" xr:uid="{B77200FD-FD41-44A8-ABED-C1420F2EA8EA}"/>
    <cellStyle name="제목 4 28" xfId="3505" xr:uid="{749387B4-82C3-4E4C-9747-DC58729935FD}"/>
    <cellStyle name="제목 4 28 2" xfId="3506" xr:uid="{335E085D-F3C8-4CBA-B7D0-1EDBBBCE1164}"/>
    <cellStyle name="제목 4 29" xfId="3507" xr:uid="{363D5904-7EC2-4E34-AD1B-8200B112317B}"/>
    <cellStyle name="제목 4 29 2" xfId="3508" xr:uid="{20E312D6-627F-4D95-B0E5-BA81CB0AF264}"/>
    <cellStyle name="제목 4 3" xfId="3509" xr:uid="{26B7D171-4A10-4BA7-ABAD-8E65A96CA6BE}"/>
    <cellStyle name="제목 4 3 2" xfId="3510" xr:uid="{442CE724-FEDF-4B28-85A4-7AEC0EF45FAC}"/>
    <cellStyle name="제목 4 30" xfId="3511" xr:uid="{C78CC81C-71D3-4A52-8F9C-740AF3642684}"/>
    <cellStyle name="제목 4 30 2" xfId="3512" xr:uid="{D2E83D90-F941-493C-82A0-75D1A54A3155}"/>
    <cellStyle name="제목 4 31" xfId="3513" xr:uid="{582C92C0-A1A9-4C1E-86D0-80BBEC12560D}"/>
    <cellStyle name="제목 4 31 2" xfId="3514" xr:uid="{1F0B4485-264A-4E4E-BAAA-EC2463CB34B5}"/>
    <cellStyle name="제목 4 32" xfId="3515" xr:uid="{E999849D-9DC1-4D27-BB14-F35AA837DCC8}"/>
    <cellStyle name="제목 4 32 2" xfId="3516" xr:uid="{AF2807D6-C73C-4C58-A852-3366A6CC8367}"/>
    <cellStyle name="제목 4 33" xfId="3517" xr:uid="{87320779-244C-47FA-A9BE-01019AA25776}"/>
    <cellStyle name="제목 4 33 2" xfId="3518" xr:uid="{67E35EDC-8D0D-4E9E-9FEF-7E2AA3B88572}"/>
    <cellStyle name="제목 4 34" xfId="3519" xr:uid="{1E6FB563-2ACB-4A58-A7AA-89795BECA5EC}"/>
    <cellStyle name="제목 4 34 2" xfId="3520" xr:uid="{78AA7259-1FF1-466F-9F68-63B2C3D39811}"/>
    <cellStyle name="제목 4 35" xfId="3521" xr:uid="{BC4525C5-3872-4AA9-A8A0-118843703212}"/>
    <cellStyle name="제목 4 35 2" xfId="3522" xr:uid="{4BE52C90-8D29-49B5-8612-FB407ED33BBC}"/>
    <cellStyle name="제목 4 36" xfId="3523" xr:uid="{193E1EAA-6384-4B12-9C70-8245AAE0802D}"/>
    <cellStyle name="제목 4 36 2" xfId="3524" xr:uid="{C0659B41-9898-4900-BAA5-6134FC4DD879}"/>
    <cellStyle name="제목 4 37" xfId="3525" xr:uid="{B409433C-7433-4965-ACD2-AB34815BD77E}"/>
    <cellStyle name="제목 4 37 2" xfId="3526" xr:uid="{F4C2C543-C62D-49FB-BB74-7D3599A3303E}"/>
    <cellStyle name="제목 4 38" xfId="3527" xr:uid="{92D0CD04-5E08-49C6-AFE2-840FAE3AA31A}"/>
    <cellStyle name="제목 4 38 2" xfId="3528" xr:uid="{FFC941C0-E4B3-47EB-A107-0D834CE09ED8}"/>
    <cellStyle name="제목 4 39" xfId="3529" xr:uid="{1318E3F3-245A-4F5E-A550-AB1F1784FB34}"/>
    <cellStyle name="제목 4 39 2" xfId="3530" xr:uid="{D6EE42F0-59C5-4F8E-A1EC-405F58154460}"/>
    <cellStyle name="제목 4 4" xfId="3531" xr:uid="{00B1C3A1-E274-4AE9-A20A-9EBC4D771DDC}"/>
    <cellStyle name="제목 4 4 2" xfId="3532" xr:uid="{BE916F66-4AC3-439B-B059-70BB3E8DEF72}"/>
    <cellStyle name="제목 4 40" xfId="3533" xr:uid="{D875D045-FAA0-46EB-B69A-943042B9646B}"/>
    <cellStyle name="제목 4 40 2" xfId="3534" xr:uid="{37C0183A-D09B-46E1-B95E-47D84A0C85D8}"/>
    <cellStyle name="제목 4 41" xfId="3535" xr:uid="{02609172-0CFB-4912-80BE-3E8424494EE3}"/>
    <cellStyle name="제목 4 41 2" xfId="3536" xr:uid="{95101701-774A-4376-86E7-E3073B038033}"/>
    <cellStyle name="제목 4 42" xfId="3537" xr:uid="{39AFF696-B9B2-4920-B8FB-FF21A6393B08}"/>
    <cellStyle name="제목 4 42 2" xfId="3538" xr:uid="{CA3F0EC9-0C9B-4B02-93C8-81B137985A7D}"/>
    <cellStyle name="제목 4 43" xfId="3539" xr:uid="{533C559A-0A1B-43C0-8024-F95F62A0A255}"/>
    <cellStyle name="제목 4 43 2" xfId="3540" xr:uid="{EB0F2784-004A-47C8-A11F-00AEAEEF7A53}"/>
    <cellStyle name="제목 4 44" xfId="3541" xr:uid="{D527A868-4631-4433-A061-41321ECB0F1C}"/>
    <cellStyle name="제목 4 45" xfId="3542" xr:uid="{5602C294-4644-49BF-AE78-4D397FA7B787}"/>
    <cellStyle name="제목 4 46" xfId="3543" xr:uid="{F0D9F56A-8D45-450E-A9B8-4BCFF6A6CFBB}"/>
    <cellStyle name="제목 4 47" xfId="3466" xr:uid="{0D51EC86-B395-416E-A988-DC6AC06DBA93}"/>
    <cellStyle name="제목 4 5" xfId="3544" xr:uid="{6E792AD6-8808-47A5-B7D6-CFDD49524F62}"/>
    <cellStyle name="제목 4 5 2" xfId="3545" xr:uid="{B190C1EC-990B-41E2-9915-7258F8B11345}"/>
    <cellStyle name="제목 4 6" xfId="3546" xr:uid="{E8752E5E-CCB2-4194-B381-98EF3DE0F8AC}"/>
    <cellStyle name="제목 4 6 2" xfId="3547" xr:uid="{7A418B94-3285-4C82-A73D-96367C970A60}"/>
    <cellStyle name="제목 4 7" xfId="3548" xr:uid="{E91144B4-0FDD-4786-8D03-C4A6E0AB62C3}"/>
    <cellStyle name="제목 4 7 2" xfId="3549" xr:uid="{6A3331F3-6F1D-4285-BC27-DCCC6AB4F60A}"/>
    <cellStyle name="제목 4 8" xfId="3550" xr:uid="{22BAEFD7-189E-4B3B-A6BA-BE9ADC572C61}"/>
    <cellStyle name="제목 4 8 2" xfId="3551" xr:uid="{112B67FB-CF58-4C9C-8DFF-57E317FA85DF}"/>
    <cellStyle name="제목 4 9" xfId="3552" xr:uid="{4FE44DC7-AF37-4328-84D3-B11A27DCCAED}"/>
    <cellStyle name="제목 4 9 2" xfId="3553" xr:uid="{58C28E1F-B820-4647-AF20-280260F3F557}"/>
    <cellStyle name="제목 40" xfId="3554" xr:uid="{14CCEC0C-C012-4467-A470-C2AFD4EE182C}"/>
    <cellStyle name="제목 40 2" xfId="3555" xr:uid="{F96BE543-2329-49CE-8741-191B8C2C472A}"/>
    <cellStyle name="제목 41" xfId="3556" xr:uid="{B518CFCE-AC4A-4CD5-AE4A-3D0C7CF659A2}"/>
    <cellStyle name="제목 41 2" xfId="3557" xr:uid="{889B3942-B561-4528-A969-BA4376335DD4}"/>
    <cellStyle name="제목 42" xfId="3558" xr:uid="{38E2C391-598B-491B-BD83-221194DB5C21}"/>
    <cellStyle name="제목 42 2" xfId="3559" xr:uid="{06D502A1-C723-4CB1-8ADD-6775CA0AF8F8}"/>
    <cellStyle name="제목 43" xfId="3560" xr:uid="{8039F80F-6041-44B3-892C-AF5643764ABF}"/>
    <cellStyle name="제목 43 2" xfId="3561" xr:uid="{2B8536E4-7C32-41FF-8260-8A8C74281A26}"/>
    <cellStyle name="제목 44" xfId="3562" xr:uid="{D1D62A7E-D4AC-4A2F-8073-D859375BF600}"/>
    <cellStyle name="제목 44 2" xfId="3563" xr:uid="{CE743081-9D1A-43CA-A339-E9C7480EBB9A}"/>
    <cellStyle name="제목 45" xfId="3564" xr:uid="{D331C0B5-88EC-4610-96A1-A286E8FA11A1}"/>
    <cellStyle name="제목 45 2" xfId="3565" xr:uid="{FF0C8DE1-0025-4137-859B-ABB4FFA910EA}"/>
    <cellStyle name="제목 46" xfId="3566" xr:uid="{D3751050-18CC-4AAA-8AC9-B2BDA3868F03}"/>
    <cellStyle name="제목 46 2" xfId="3567" xr:uid="{24FADF9F-F42E-4CF0-A8EA-ADF6FBC160A2}"/>
    <cellStyle name="제목 47" xfId="3568" xr:uid="{30C58538-DA77-4488-B425-ED39E64AD94B}"/>
    <cellStyle name="제목 48" xfId="3569" xr:uid="{2B177F62-65CB-4EFF-BAB4-5BE69775A30F}"/>
    <cellStyle name="제목 49" xfId="3570" xr:uid="{D1EDD2E3-FB5E-42D0-8FCB-384E54778B68}"/>
    <cellStyle name="제목 5" xfId="3571" xr:uid="{012C7065-DB22-43B8-A97D-82CD581B471E}"/>
    <cellStyle name="제목 5 2" xfId="3572" xr:uid="{5425AC4E-5A72-4BE1-89ED-B8100F36800B}"/>
    <cellStyle name="제목 50" xfId="3141" xr:uid="{27EB5A18-97B0-4599-A6F8-B733DDE05B0F}"/>
    <cellStyle name="제목 6" xfId="3573" xr:uid="{B26D33E2-4DD5-4A5A-8B14-30490415498D}"/>
    <cellStyle name="제목 6 2" xfId="3574" xr:uid="{72229F65-8DA2-4D44-BDF5-4A6BA6EEEF25}"/>
    <cellStyle name="제목 7" xfId="3575" xr:uid="{DC78BA06-B62B-47B4-9B20-823905873701}"/>
    <cellStyle name="제목 7 2" xfId="3576" xr:uid="{5F39706E-9986-4A56-82D9-241651FCD99C}"/>
    <cellStyle name="제목 8" xfId="3577" xr:uid="{A141EC7E-5C0A-4641-B2EF-1AF00BB89A76}"/>
    <cellStyle name="제목 8 2" xfId="3578" xr:uid="{9924A1DE-3FE4-497B-8F6E-F085F3C918A4}"/>
    <cellStyle name="제목 9" xfId="3579" xr:uid="{153CB2B7-0F2B-48C0-B846-E57AD003C848}"/>
    <cellStyle name="제목 9 2" xfId="3580" xr:uid="{404F1158-456F-43B7-81B5-4B726CEB42BC}"/>
    <cellStyle name="좋음 10" xfId="3582" xr:uid="{17869A12-5EA2-4ADE-8848-77A4BFB88BDF}"/>
    <cellStyle name="좋음 10 2" xfId="3583" xr:uid="{CD516617-FBD7-449E-932B-B3AA3DA32C34}"/>
    <cellStyle name="좋음 11" xfId="3584" xr:uid="{82EE4D77-8E81-4140-AE21-175EA2D6B6EE}"/>
    <cellStyle name="좋음 11 2" xfId="3585" xr:uid="{537DAD1B-2354-44B7-930D-8BCC04CB9661}"/>
    <cellStyle name="좋음 12" xfId="3586" xr:uid="{321AD02F-0C62-4279-B630-635F9CA1F398}"/>
    <cellStyle name="좋음 12 2" xfId="3587" xr:uid="{75D3E044-865F-46F5-862F-D6FDA0766EB7}"/>
    <cellStyle name="좋음 13" xfId="3588" xr:uid="{A6011CC0-6CB4-458F-873A-C60834B09DC1}"/>
    <cellStyle name="좋음 13 2" xfId="3589" xr:uid="{11CAA606-7E43-4049-85FC-EF32B0BF626A}"/>
    <cellStyle name="좋음 14" xfId="3590" xr:uid="{1C5EE859-50CF-4F66-9358-AE386E441E32}"/>
    <cellStyle name="좋음 14 2" xfId="3591" xr:uid="{BFD6B535-DE4A-4782-A991-AE05ACD98A75}"/>
    <cellStyle name="좋음 15" xfId="3592" xr:uid="{73C62B3E-33CA-47E2-A2D0-A630B887C01F}"/>
    <cellStyle name="좋음 15 2" xfId="3593" xr:uid="{B8D4E19C-F1BC-48AD-987F-DEEFF5946B98}"/>
    <cellStyle name="좋음 16" xfId="3594" xr:uid="{6F661B4E-F1A6-46F4-9343-C6B86D6D7B5E}"/>
    <cellStyle name="좋음 16 2" xfId="3595" xr:uid="{D6896F69-354C-4FB8-AC95-87CA6B3F8307}"/>
    <cellStyle name="좋음 17" xfId="3596" xr:uid="{A7D00999-8230-4494-89B7-D6ADBC753C2C}"/>
    <cellStyle name="좋음 17 2" xfId="3597" xr:uid="{CF64B241-2873-451D-8AB6-6E683392D57C}"/>
    <cellStyle name="좋음 18" xfId="3598" xr:uid="{A539D1D5-5AA1-4486-A0F1-64663690E412}"/>
    <cellStyle name="좋음 18 2" xfId="3599" xr:uid="{8FE5E555-E2E1-47DE-A67F-99B3E3F01FBE}"/>
    <cellStyle name="좋음 19" xfId="3600" xr:uid="{8D122DB3-1563-441B-A56F-76110023DCF6}"/>
    <cellStyle name="좋음 19 2" xfId="3601" xr:uid="{097AE734-74F8-4CCB-AEDE-274F7C18F75A}"/>
    <cellStyle name="좋음 2" xfId="3602" xr:uid="{B62E6746-99F7-4CAE-BA74-A0D46835E40E}"/>
    <cellStyle name="좋음 2 2" xfId="3603" xr:uid="{85A83198-58EF-456F-8405-32FEDBBB5490}"/>
    <cellStyle name="좋음 20" xfId="3604" xr:uid="{62045915-81FC-444E-9562-433F078176F4}"/>
    <cellStyle name="좋음 20 2" xfId="3605" xr:uid="{21EDC43A-5FA1-4614-9D4A-3C96299A3A83}"/>
    <cellStyle name="좋음 21" xfId="3606" xr:uid="{D235E97C-3E9D-4DFB-9AB5-6A0EDB4267F6}"/>
    <cellStyle name="좋음 21 2" xfId="3607" xr:uid="{24E8D49C-6502-410A-B886-8492A56F553C}"/>
    <cellStyle name="좋음 22" xfId="3608" xr:uid="{A5E10D31-8D8C-4AD2-996B-18C99906F6EE}"/>
    <cellStyle name="좋음 22 2" xfId="3609" xr:uid="{40667D49-7EDB-4DFD-A54D-07EEABBB647C}"/>
    <cellStyle name="좋음 23" xfId="3610" xr:uid="{2CF406CF-33BD-40CA-B1FC-E7BD6708BFB4}"/>
    <cellStyle name="좋음 23 2" xfId="3611" xr:uid="{B282C06F-3C5F-4E40-9708-A91010ACA1D9}"/>
    <cellStyle name="좋음 24" xfId="3612" xr:uid="{D7C18BD6-574F-4A35-9735-D520EA7D1AEA}"/>
    <cellStyle name="좋음 24 2" xfId="3613" xr:uid="{7AF4738D-C508-434B-A830-F8D1AF5A6A39}"/>
    <cellStyle name="좋음 25" xfId="3614" xr:uid="{3FD94843-6D8C-4D32-8765-A26746AAB48B}"/>
    <cellStyle name="좋음 25 2" xfId="3615" xr:uid="{DF42E806-5502-4876-823A-00F78639AAB8}"/>
    <cellStyle name="좋음 26" xfId="3616" xr:uid="{070F183C-9A5F-4DE3-9C09-1A973FD04A5F}"/>
    <cellStyle name="좋음 26 2" xfId="3617" xr:uid="{0C499FDD-1C51-4C1F-A16E-1ABDFA0F8D20}"/>
    <cellStyle name="좋음 27" xfId="3618" xr:uid="{9597A66E-0B91-4F79-822F-8DBF2A22BBD9}"/>
    <cellStyle name="좋음 27 2" xfId="3619" xr:uid="{9E1F8F49-7F04-4B72-8A39-06D40F40E2C8}"/>
    <cellStyle name="좋음 28" xfId="3620" xr:uid="{4987F427-9ABB-4A69-A003-21AD1E046324}"/>
    <cellStyle name="좋음 28 2" xfId="3621" xr:uid="{7076F2DF-CBB6-4DE6-9390-52D9C9EF53F2}"/>
    <cellStyle name="좋음 29" xfId="3622" xr:uid="{B82DB78C-355C-4A7B-871B-3A625E1F21A9}"/>
    <cellStyle name="좋음 29 2" xfId="3623" xr:uid="{8C84B9D0-6E33-4DBF-8C07-03A5A5C5AF92}"/>
    <cellStyle name="좋음 3" xfId="3624" xr:uid="{C7DED552-9F5F-4625-969F-9987D4A6F5C1}"/>
    <cellStyle name="좋음 3 2" xfId="3625" xr:uid="{49273168-DC79-417D-889C-24A3F42650B8}"/>
    <cellStyle name="좋음 30" xfId="3626" xr:uid="{26CB87B3-8A00-45B6-852D-9B2C9848DB53}"/>
    <cellStyle name="좋음 30 2" xfId="3627" xr:uid="{3BDF9166-7A0E-469B-B715-859B2DEB122D}"/>
    <cellStyle name="좋음 31" xfId="3628" xr:uid="{E261E638-01F4-451B-ADDC-72524005FE9D}"/>
    <cellStyle name="좋음 31 2" xfId="3629" xr:uid="{D2CBB570-2927-4D68-80F6-97CCB350DD30}"/>
    <cellStyle name="좋음 32" xfId="3630" xr:uid="{4F453386-5F8B-437A-8758-D71D0D966D27}"/>
    <cellStyle name="좋음 32 2" xfId="3631" xr:uid="{90A8590E-8A38-4FE1-9AF6-F42E4E9A08C6}"/>
    <cellStyle name="좋음 33" xfId="3632" xr:uid="{493D5345-3556-4BFB-9DCC-BFD38BB8B175}"/>
    <cellStyle name="좋음 33 2" xfId="3633" xr:uid="{88F8FD3E-4798-4491-970A-E9E149DBE210}"/>
    <cellStyle name="좋음 34" xfId="3634" xr:uid="{5C903189-7A67-4302-91B6-B5637847B8E1}"/>
    <cellStyle name="좋음 34 2" xfId="3635" xr:uid="{1CA0CD5D-59C2-4974-8C25-508279E4EBF7}"/>
    <cellStyle name="좋음 35" xfId="3636" xr:uid="{7A0BE37F-40E8-446A-B22A-DBD95E46D276}"/>
    <cellStyle name="좋음 35 2" xfId="3637" xr:uid="{1C19F785-16FF-42CF-A6BA-92BE347A2334}"/>
    <cellStyle name="좋음 36" xfId="3638" xr:uid="{B5CCBDD8-90D9-4BC1-80EB-DBD46ED9A26A}"/>
    <cellStyle name="좋음 36 2" xfId="3639" xr:uid="{4794A8C6-4EB6-4144-B038-1B33359E6B2E}"/>
    <cellStyle name="좋음 37" xfId="3640" xr:uid="{A428EB7B-AA65-4395-9221-B370C81B5731}"/>
    <cellStyle name="좋음 37 2" xfId="3641" xr:uid="{DBA0C79E-840C-4298-8FBC-32D192708B05}"/>
    <cellStyle name="좋음 38" xfId="3642" xr:uid="{4624281B-4CDE-40FE-B052-E6172B194DB5}"/>
    <cellStyle name="좋음 38 2" xfId="3643" xr:uid="{B89D20F9-2689-40E2-8D0E-C19E3A52C32A}"/>
    <cellStyle name="좋음 39" xfId="3644" xr:uid="{EF12F6E0-CD3B-4755-A0DC-78240E9EEC76}"/>
    <cellStyle name="좋음 39 2" xfId="3645" xr:uid="{886459E7-5504-4236-A7C1-07BFD319465F}"/>
    <cellStyle name="좋음 4" xfId="3646" xr:uid="{976F71B6-D3BA-407A-8C3C-1E99D9F3A095}"/>
    <cellStyle name="좋음 4 2" xfId="3647" xr:uid="{1CE4FF91-6D24-4F81-AF08-324DDE3241F5}"/>
    <cellStyle name="좋음 40" xfId="3648" xr:uid="{A5C7A756-AD20-4387-B9D6-0B950F099E14}"/>
    <cellStyle name="좋음 40 2" xfId="3649" xr:uid="{6D4D1C7E-B574-45AC-9618-3C6EBBF8B596}"/>
    <cellStyle name="좋음 41" xfId="3650" xr:uid="{78A6D901-072E-4060-82B4-2445B6AF7389}"/>
    <cellStyle name="좋음 41 2" xfId="3651" xr:uid="{665C7931-5F93-497E-B2ED-85BCC83C6479}"/>
    <cellStyle name="좋음 42" xfId="3652" xr:uid="{9C389318-2F33-43F6-9016-A49C8B4ACE1A}"/>
    <cellStyle name="좋음 42 2" xfId="3653" xr:uid="{705B02EB-2CE9-4B37-881F-20F1BB0C0690}"/>
    <cellStyle name="좋음 43" xfId="3654" xr:uid="{5B2F2739-C265-4CF3-8962-FF6E141961A2}"/>
    <cellStyle name="좋음 43 2" xfId="3655" xr:uid="{A26FE086-0292-470F-A260-C72799288E2D}"/>
    <cellStyle name="좋음 44" xfId="3656" xr:uid="{884AA2BF-D0C6-4584-B631-7FFE8AA66396}"/>
    <cellStyle name="좋음 45" xfId="3657" xr:uid="{513663D5-D840-47FE-8E33-92A67B3E000F}"/>
    <cellStyle name="좋음 46" xfId="3658" xr:uid="{F7A92C00-B163-46D2-B273-F5E1AF3E9397}"/>
    <cellStyle name="좋음 47" xfId="3581" xr:uid="{87D072E1-C1A6-4884-8341-83C032116503}"/>
    <cellStyle name="좋음 5" xfId="3659" xr:uid="{DD2B926C-3D8F-4DD4-B654-117BA1F85E92}"/>
    <cellStyle name="좋음 5 2" xfId="3660" xr:uid="{239FE207-9312-49BF-875D-4CE712B4DE90}"/>
    <cellStyle name="좋음 6" xfId="3661" xr:uid="{FB9D7AFF-39D9-40EE-9562-E14B151908FE}"/>
    <cellStyle name="좋음 6 2" xfId="3662" xr:uid="{8F251247-A02A-4814-8332-A4DED07E8E1C}"/>
    <cellStyle name="좋음 7" xfId="3663" xr:uid="{044B66A3-9ECF-4DA2-8A02-861C575773AF}"/>
    <cellStyle name="좋음 7 2" xfId="3664" xr:uid="{A6C9BC85-C0E9-43D7-BDB8-83D89573104B}"/>
    <cellStyle name="좋음 8" xfId="3665" xr:uid="{31EF22AB-7D1D-49F3-A715-C3AED7A2BBCF}"/>
    <cellStyle name="좋음 8 2" xfId="3666" xr:uid="{8D4BDF28-6C85-432C-92B2-703A2ACE17C0}"/>
    <cellStyle name="좋음 9" xfId="3667" xr:uid="{7C539841-2733-4F45-B34F-78F1F07C211F}"/>
    <cellStyle name="좋음 9 2" xfId="3668" xr:uid="{D84F3EF9-812F-421D-B44F-5DEE3ACBB7C0}"/>
    <cellStyle name="출력 10" xfId="3670" xr:uid="{1B2A76AA-EA9F-4AEB-9BEA-FF7E8E0F70F8}"/>
    <cellStyle name="출력 10 2" xfId="3671" xr:uid="{1E643EFE-9175-40BB-AD85-AABD9795B917}"/>
    <cellStyle name="출력 11" xfId="3672" xr:uid="{3BD59772-3223-407F-B997-79A1F68C4AB7}"/>
    <cellStyle name="출력 11 2" xfId="3673" xr:uid="{483BFC97-4297-46DE-8D6C-44D531416136}"/>
    <cellStyle name="출력 12" xfId="3674" xr:uid="{B6D6365A-34D2-4C90-8C9E-5AEBFFCF2941}"/>
    <cellStyle name="출력 12 2" xfId="3675" xr:uid="{1E0F52A2-074C-4D0B-AC3A-8C315F4E05CB}"/>
    <cellStyle name="출력 13" xfId="3676" xr:uid="{2EE86C39-7503-4D12-9FCD-791C2F34A369}"/>
    <cellStyle name="출력 13 2" xfId="3677" xr:uid="{7539FF90-36E0-40F1-A33F-2ABE1298ADF0}"/>
    <cellStyle name="출력 14" xfId="3678" xr:uid="{90B687E1-6458-43F2-BBEB-4B626C06710A}"/>
    <cellStyle name="출력 14 2" xfId="3679" xr:uid="{75F54DDE-1ADB-4318-BAAF-8897743792FA}"/>
    <cellStyle name="출력 15" xfId="3680" xr:uid="{1D49D924-F809-42B7-83EA-19BE8380ABB9}"/>
    <cellStyle name="출력 15 2" xfId="3681" xr:uid="{1EA0BC9F-E48F-4704-934D-33153F5A5616}"/>
    <cellStyle name="출력 16" xfId="3682" xr:uid="{05EDE0EC-2331-4402-B3D7-536F3033949E}"/>
    <cellStyle name="출력 16 2" xfId="3683" xr:uid="{F606F3DE-5687-404C-B087-77BD04577D96}"/>
    <cellStyle name="출력 17" xfId="3684" xr:uid="{2707E33F-30FB-42F4-A981-8533FBA2ED32}"/>
    <cellStyle name="출력 17 2" xfId="3685" xr:uid="{8185E7BB-F033-435C-858E-36DA78B3EF19}"/>
    <cellStyle name="출력 18" xfId="3686" xr:uid="{E2F0C1FD-E78E-46D3-966B-FCCD23A0EF39}"/>
    <cellStyle name="출력 18 2" xfId="3687" xr:uid="{6873A939-7F8D-48C3-8FD0-B4A16E77AE35}"/>
    <cellStyle name="출력 19" xfId="3688" xr:uid="{A85F4583-7DC6-46D6-AF87-406BDF315E4C}"/>
    <cellStyle name="출력 19 2" xfId="3689" xr:uid="{4571A6CB-1292-4825-8673-96CBE2C34AF9}"/>
    <cellStyle name="출력 2" xfId="3690" xr:uid="{3CF9F6D8-A209-4603-884B-5BC519B3BB27}"/>
    <cellStyle name="출력 2 2" xfId="3691" xr:uid="{F0666944-E1E7-436F-A691-B7F2FE189F8D}"/>
    <cellStyle name="출력 20" xfId="3692" xr:uid="{4075A3CF-105E-42ED-A982-2D8FFC4684A8}"/>
    <cellStyle name="출력 20 2" xfId="3693" xr:uid="{196EDC70-B340-4851-8026-9B5EB002F2C2}"/>
    <cellStyle name="출력 21" xfId="3694" xr:uid="{37519B83-0E47-42C0-874A-270B3AED5327}"/>
    <cellStyle name="출력 21 2" xfId="3695" xr:uid="{DD965A72-D1E6-46B5-BF00-1D81192692EF}"/>
    <cellStyle name="출력 22" xfId="3696" xr:uid="{3C4E8A51-660A-4100-8622-4F73A879B2D5}"/>
    <cellStyle name="출력 22 2" xfId="3697" xr:uid="{E2EADB38-91C7-4927-AF3F-36BCF09FC5A1}"/>
    <cellStyle name="출력 23" xfId="3698" xr:uid="{8F0A10A0-EBEC-4E31-A130-FE93EAFD02BB}"/>
    <cellStyle name="출력 23 2" xfId="3699" xr:uid="{5B779651-660A-41FA-AFCC-C8FD2FD711E6}"/>
    <cellStyle name="출력 24" xfId="3700" xr:uid="{EDE317AD-289A-4605-B65C-D7C499DF49FF}"/>
    <cellStyle name="출력 24 2" xfId="3701" xr:uid="{3CA06293-B849-4311-8930-A1680B6D7680}"/>
    <cellStyle name="출력 25" xfId="3702" xr:uid="{097005D8-906F-4FD8-B274-6FF298872D01}"/>
    <cellStyle name="출력 25 2" xfId="3703" xr:uid="{460B69EA-DE7A-4FB0-AFA8-2932E9C1F2F0}"/>
    <cellStyle name="출력 26" xfId="3704" xr:uid="{6A84AC35-A302-4F4E-AB03-300DA855FD26}"/>
    <cellStyle name="출력 26 2" xfId="3705" xr:uid="{89805037-538E-4B32-9F32-2682FCFDE656}"/>
    <cellStyle name="출력 27" xfId="3706" xr:uid="{C0D70D44-11BA-4CAA-ACD2-4DCA9CF69E52}"/>
    <cellStyle name="출력 27 2" xfId="3707" xr:uid="{477CA7B2-8F57-43EA-9814-1B44C9EFCD4B}"/>
    <cellStyle name="출력 28" xfId="3708" xr:uid="{BC8C5564-5241-4487-8B30-F138E6583B6F}"/>
    <cellStyle name="출력 28 2" xfId="3709" xr:uid="{C01987F7-543A-4B0B-B1A2-4BD43B98D362}"/>
    <cellStyle name="출력 29" xfId="3710" xr:uid="{EC01BAF3-E706-4EA5-B009-E8F1F578705D}"/>
    <cellStyle name="출력 29 2" xfId="3711" xr:uid="{6FE445C8-D2C8-4D56-8966-B80E682B0320}"/>
    <cellStyle name="출력 3" xfId="3712" xr:uid="{39F49A9D-EF18-4209-A95F-ABA02DE98F81}"/>
    <cellStyle name="출력 3 2" xfId="3713" xr:uid="{A24F7384-44A9-48B1-A011-2321ECB5DEB8}"/>
    <cellStyle name="출력 30" xfId="3714" xr:uid="{72FBA7D4-A26A-4581-9E8D-7BBF1D742B94}"/>
    <cellStyle name="출력 30 2" xfId="3715" xr:uid="{C5AD55F5-8D2A-40E1-AE12-EFC0F32BEE2C}"/>
    <cellStyle name="출력 31" xfId="3716" xr:uid="{4BC94B5E-CAA6-414D-82D4-87A28B779532}"/>
    <cellStyle name="출력 31 2" xfId="3717" xr:uid="{8D2DF13A-E9C3-4565-B74D-D4379998EB2E}"/>
    <cellStyle name="출력 32" xfId="3718" xr:uid="{874C3722-8A97-410B-BDD3-8AF6860EAD9D}"/>
    <cellStyle name="출력 32 2" xfId="3719" xr:uid="{E4A170D9-DBCB-43AB-A19A-2FCA40EB4E14}"/>
    <cellStyle name="출력 33" xfId="3720" xr:uid="{401A7CF1-9401-4BE1-B60C-9EEBCF467674}"/>
    <cellStyle name="출력 33 2" xfId="3721" xr:uid="{9CBC5E78-F05E-425D-8410-914DC48C1603}"/>
    <cellStyle name="출력 34" xfId="3722" xr:uid="{4F62461A-25F2-4E9C-AE61-B0441C26B437}"/>
    <cellStyle name="출력 34 2" xfId="3723" xr:uid="{26CD59D7-F9F5-465D-BA80-5707E3EBB924}"/>
    <cellStyle name="출력 35" xfId="3724" xr:uid="{77E5033C-2B4F-4733-B6AA-A399254E969D}"/>
    <cellStyle name="출력 35 2" xfId="3725" xr:uid="{46EED459-C1BA-4E29-9FF4-60E8BCBCA39F}"/>
    <cellStyle name="출력 36" xfId="3726" xr:uid="{31396C04-55A9-4EC8-A5CB-6BEF9AE4815C}"/>
    <cellStyle name="출력 36 2" xfId="3727" xr:uid="{57605C28-FA46-4C86-9E90-E1948DF47F7F}"/>
    <cellStyle name="출력 37" xfId="3728" xr:uid="{9BA1DF28-9048-47CE-9764-5610A8A6501D}"/>
    <cellStyle name="출력 37 2" xfId="3729" xr:uid="{5A52BC69-C496-488E-8439-F3B48808E212}"/>
    <cellStyle name="출력 38" xfId="3730" xr:uid="{527D9F2C-84F6-45F2-987F-73686A037158}"/>
    <cellStyle name="출력 38 2" xfId="3731" xr:uid="{C18B2CD0-8A19-455A-A5EB-DD18C12D1D4E}"/>
    <cellStyle name="출력 39" xfId="3732" xr:uid="{F1064657-FCBE-4125-9C51-C2C69B253967}"/>
    <cellStyle name="출력 39 2" xfId="3733" xr:uid="{3A6494CF-6430-4223-96E6-0B9E770FF7D8}"/>
    <cellStyle name="출력 4" xfId="3734" xr:uid="{1C819F37-3DE7-4824-B6E8-E80B036C37A8}"/>
    <cellStyle name="출력 4 2" xfId="3735" xr:uid="{BCFF98BD-2BA5-4B9B-ACF0-C46FC5DF0FDB}"/>
    <cellStyle name="출력 40" xfId="3736" xr:uid="{5BAC76D4-E76C-4E9B-91BF-F1A4AF452385}"/>
    <cellStyle name="출력 40 2" xfId="3737" xr:uid="{93DDB7A3-DFD4-43E6-9107-4E0CD9A8D047}"/>
    <cellStyle name="출력 41" xfId="3738" xr:uid="{CBF28C03-CEF0-4996-9A0B-A5FD7EF81BD5}"/>
    <cellStyle name="출력 41 2" xfId="3739" xr:uid="{12307ACD-AEEE-42AD-B86C-38A5EF7076A3}"/>
    <cellStyle name="출력 42" xfId="3740" xr:uid="{210A6FBE-A6DC-49D9-9210-BC5610FA8B9A}"/>
    <cellStyle name="출력 42 2" xfId="3741" xr:uid="{EE5EE5D9-565C-448A-9A69-36A86E787C48}"/>
    <cellStyle name="출력 43" xfId="3742" xr:uid="{1781C8D3-3526-4928-B6EB-3B623C3EC015}"/>
    <cellStyle name="출력 43 2" xfId="3743" xr:uid="{EE0DB5A2-6DD3-4EFA-933B-12BBC2757522}"/>
    <cellStyle name="출력 44" xfId="3744" xr:uid="{426AFF59-D503-40D0-955C-F550D0428CED}"/>
    <cellStyle name="출력 45" xfId="3745" xr:uid="{E213E4C4-99F2-4687-B27C-3336A95A581B}"/>
    <cellStyle name="출력 46" xfId="3746" xr:uid="{6E4E380F-6E87-4684-9629-51E1800B8E93}"/>
    <cellStyle name="출력 47" xfId="3669" xr:uid="{30CE63AE-1677-4487-96E4-9C235B9B3BE0}"/>
    <cellStyle name="출력 5" xfId="3747" xr:uid="{D1E67548-58E7-43AD-8312-2B728428D110}"/>
    <cellStyle name="출력 5 2" xfId="3748" xr:uid="{4E35B68F-54E7-4167-8886-CAFE8FCAEF92}"/>
    <cellStyle name="출력 6" xfId="3749" xr:uid="{7A34303E-473C-41B4-86EC-FA453D60353A}"/>
    <cellStyle name="출력 6 2" xfId="3750" xr:uid="{30126506-1009-4655-8E30-41939FC12117}"/>
    <cellStyle name="출력 7" xfId="3751" xr:uid="{8D9340B6-0968-4FDB-AA0C-3C3A223493DD}"/>
    <cellStyle name="출력 7 2" xfId="3752" xr:uid="{140DC490-6580-469B-AE7D-565C4364CCCC}"/>
    <cellStyle name="출력 8" xfId="3753" xr:uid="{453F7C41-9D7A-4240-A0A6-67039A959A54}"/>
    <cellStyle name="출력 8 2" xfId="3754" xr:uid="{A02907A5-5726-4422-A1B5-F3D97DB23888}"/>
    <cellStyle name="출력 9" xfId="3755" xr:uid="{9DCC644F-8F11-474C-9233-B8DB941C18F0}"/>
    <cellStyle name="출력 9 2" xfId="3756" xr:uid="{16304B0F-1E99-4F11-B770-323FDF78BEC0}"/>
    <cellStyle name="표준 135" xfId="3757" xr:uid="{F051E2B6-0BDD-428E-9932-7720356D1BB2}"/>
    <cellStyle name="표준 136" xfId="3758" xr:uid="{C7506C79-ABA7-4F0A-9834-7201F6F2D404}"/>
    <cellStyle name="표준 2" xfId="144" xr:uid="{7706AB9E-FCDA-4D2A-9252-1EE109FBCB43}"/>
    <cellStyle name="표준 3" xfId="3764" xr:uid="{4E9D4680-D38D-49B6-9764-3620C6F6BE3A}"/>
    <cellStyle name="표준 39 2" xfId="3759" xr:uid="{B1156C68-8D1D-4594-A7CD-CB5E38E61F6C}"/>
    <cellStyle name="표준 45" xfId="3760" xr:uid="{C7800A78-D2C3-49B0-AD08-F21D0CC6285B}"/>
    <cellStyle name="표준 46" xfId="3761" xr:uid="{3D95AFC3-157C-483D-B5A6-198EBE60E276}"/>
    <cellStyle name="표준 47" xfId="3762" xr:uid="{DC4AE9C5-7A3D-4C94-82E0-99741140CD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85725</xdr:colOff>
      <xdr:row>1</xdr:row>
      <xdr:rowOff>152400</xdr:rowOff>
    </xdr:from>
    <xdr:to>
      <xdr:col>22</xdr:col>
      <xdr:colOff>572908</xdr:colOff>
      <xdr:row>32</xdr:row>
      <xdr:rowOff>67570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213C7D1-4476-78CC-6499-CE6B0B37A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2125" y="371475"/>
          <a:ext cx="10088383" cy="641122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64</xdr:row>
      <xdr:rowOff>0</xdr:rowOff>
    </xdr:from>
    <xdr:to>
      <xdr:col>15</xdr:col>
      <xdr:colOff>400680</xdr:colOff>
      <xdr:row>94</xdr:row>
      <xdr:rowOff>172351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C118B1B-4FD2-48AE-8E58-B89F57320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72200" y="13420725"/>
          <a:ext cx="4515480" cy="64588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WINDOWS/TEMP/USFreight97-93.xls" TargetMode="External"/><Relationship Id="rId1" Type="http://schemas.openxmlformats.org/officeDocument/2006/relationships/externalLinkPath" Target="/WINDOWS/TEMP/USFreight97-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2" connectionId="1" xr16:uid="{B28851D5-A949-428B-A4B8-9CD2A60D938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2_1" connectionId="2" xr16:uid="{E56B2179-6BF8-4E9C-843B-C7567F56551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DAFFF03-463B-4AD1-92FD-336E70A0D9DB}">
  <we:reference id="WA200009404" version="1.0.0.8" store="Omex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stat.molit.go.kr/portal/cate/statFileView.do?hRsId=58&amp;hFormId=5" TargetMode="External"/><Relationship Id="rId3" Type="http://schemas.openxmlformats.org/officeDocument/2006/relationships/hyperlink" Target="http://stat.molit.go.kr/portal/common/downLoadFile.do" TargetMode="External"/><Relationship Id="rId7" Type="http://schemas.openxmlformats.org/officeDocument/2006/relationships/hyperlink" Target="https://www.ktdb.go.kr/www/selectPblcteWebList.do?key=39&amp;searchLclasCode=PBL03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://stat.molit.go.kr/portal/cate/statFileView.do?hRsId=58&amp;hFormId=5" TargetMode="External"/><Relationship Id="rId1" Type="http://schemas.openxmlformats.org/officeDocument/2006/relationships/hyperlink" Target="http://stat.molit.go.kr/portal/common/downLoadFile.do" TargetMode="External"/><Relationship Id="rId6" Type="http://schemas.openxmlformats.org/officeDocument/2006/relationships/hyperlink" Target="https://kosis.kr/statHtml/statHtml.do?orgId=357&amp;tblId=DT_35701_71" TargetMode="External"/><Relationship Id="rId11" Type="http://schemas.openxmlformats.org/officeDocument/2006/relationships/hyperlink" Target="http://stat.molit.go.kr/portal/cate/statFileView.do?hRsId=272&amp;hFormId=6197&amp;hSelectId=6197&amp;hPoint=00&amp;hAppr=1&amp;hDivEng=&amp;oFileName=&amp;rFileName=&amp;midpath=&amp;month_yn=N&amp;sFormId=6197&amp;sStart=2020&amp;sEnd=2020&amp;sStyleNum=1&amp;EXPORT=" TargetMode="External"/><Relationship Id="rId5" Type="http://schemas.openxmlformats.org/officeDocument/2006/relationships/hyperlink" Target="https://www.mof.go.kr/statPortal/bbs/publication/view.do?ntt_id=960&amp;pageIndex=&amp;searchType=&amp;searchQuery=" TargetMode="External"/><Relationship Id="rId10" Type="http://schemas.openxmlformats.org/officeDocument/2006/relationships/hyperlink" Target="http://www.seoulmetro.co.kr/kr/page.do?menuIdx=513" TargetMode="External"/><Relationship Id="rId4" Type="http://schemas.openxmlformats.org/officeDocument/2006/relationships/hyperlink" Target="https://www.airportal.go.kr/ebook/ebookList.do?id=2" TargetMode="External"/><Relationship Id="rId9" Type="http://schemas.openxmlformats.org/officeDocument/2006/relationships/hyperlink" Target="https://kosis.kr/statHtml/statHtml.do?tblId=DT_357001_A019&amp;orgId=357&amp;language=kor&amp;conn_path=&amp;vw_cd=&amp;list_id=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ogas.or.kr:9450/portal/selectBbsNttView.do?bbsNo=239&amp;key=2035&amp;nttNo=39355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ata.go.kr/data/15060893/fileData.do" TargetMode="External"/><Relationship Id="rId13" Type="http://schemas.openxmlformats.org/officeDocument/2006/relationships/hyperlink" Target="https://www.ulrt.co.kr/trains" TargetMode="External"/><Relationship Id="rId3" Type="http://schemas.openxmlformats.org/officeDocument/2006/relationships/hyperlink" Target="https://www.djet.co.kr/kor/board.do?menuIdx=541&amp;bbsIdx=17410" TargetMode="External"/><Relationship Id="rId7" Type="http://schemas.openxmlformats.org/officeDocument/2006/relationships/hyperlink" Target="http://www.dtro.or.kr/open_content_new/ko/sub_page/page.php?mnu_puid1=6&amp;mnu_uid=87&amp;mnu_puid2=81" TargetMode="External"/><Relationship Id="rId12" Type="http://schemas.openxmlformats.org/officeDocument/2006/relationships/hyperlink" Target="https://www.busan.go.kr/news/snsbusan01/view?bbsNo=1&amp;dataNo=34407&amp;srchThemeNo=64" TargetMode="External"/><Relationship Id="rId2" Type="http://schemas.openxmlformats.org/officeDocument/2006/relationships/hyperlink" Target="https://www.metro9.co.kr/site/homepage/menu/viewMenu?menuid=001005001003" TargetMode="External"/><Relationship Id="rId1" Type="http://schemas.openxmlformats.org/officeDocument/2006/relationships/hyperlink" Target="https://www.humetro.busan.kr/homepage/chs/page/subLocation.do?menu_no=1001050403" TargetMode="External"/><Relationship Id="rId6" Type="http://schemas.openxmlformats.org/officeDocument/2006/relationships/hyperlink" Target="https://www.ictr.or.kr/main/bbs/bbsMsgDetail.do?msg_seq=201&amp;bcd=data&amp;pgno=4" TargetMode="External"/><Relationship Id="rId11" Type="http://schemas.openxmlformats.org/officeDocument/2006/relationships/hyperlink" Target="http://www2.humetro.busan.kr/homepage/cht/page/subLocation.do?menu_no=10010110" TargetMode="External"/><Relationship Id="rId5" Type="http://schemas.openxmlformats.org/officeDocument/2006/relationships/hyperlink" Target="https://www.ictr.or.kr/main/railway/intro.jsp" TargetMode="External"/><Relationship Id="rId15" Type="http://schemas.openxmlformats.org/officeDocument/2006/relationships/hyperlink" Target="http://webzine.seoulmetro.co.kr/enewspaper/articleview.php?master=&amp;aid=1771&amp;sid=73&amp;mvid=684" TargetMode="External"/><Relationship Id="rId10" Type="http://schemas.openxmlformats.org/officeDocument/2006/relationships/hyperlink" Target="https://www.grtc.co.kr/msubway/board/view.do?rbsIdx=61&amp;idx=1092" TargetMode="External"/><Relationship Id="rId4" Type="http://schemas.openxmlformats.org/officeDocument/2006/relationships/hyperlink" Target="http://railway.or.kr/Papers_Conference/201611/pdf/KSR2016A066.pdf" TargetMode="External"/><Relationship Id="rId9" Type="http://schemas.openxmlformats.org/officeDocument/2006/relationships/hyperlink" Target="https://www.data.go.kr/data/15048244/fileData.do" TargetMode="External"/><Relationship Id="rId14" Type="http://schemas.openxmlformats.org/officeDocument/2006/relationships/hyperlink" Target="https://kosis.kr/statHtml/statHtml.do?orgId=357&amp;tblId=DT_357001_A004&amp;vw_cd=&amp;list_id=&amp;seqNo=&amp;lang_mode=ko&amp;language=kor&amp;obj_var_id=&amp;itm_id=&amp;conn_path=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8"/>
  <sheetViews>
    <sheetView workbookViewId="0">
      <selection activeCell="C56" sqref="C56"/>
    </sheetView>
  </sheetViews>
  <sheetFormatPr defaultColWidth="9" defaultRowHeight="15"/>
  <cols>
    <col min="1" max="1" width="9" style="6"/>
    <col min="2" max="2" width="9" style="6" customWidth="1"/>
    <col min="3" max="16384" width="9" style="6"/>
  </cols>
  <sheetData>
    <row r="1" spans="1:15">
      <c r="A1" s="14" t="s">
        <v>0</v>
      </c>
    </row>
    <row r="3" spans="1:15">
      <c r="A3" s="14" t="s">
        <v>1</v>
      </c>
      <c r="B3" s="78" t="s">
        <v>2</v>
      </c>
      <c r="C3" s="79"/>
      <c r="D3" s="79"/>
      <c r="E3" s="79"/>
      <c r="I3" s="78" t="s">
        <v>3</v>
      </c>
      <c r="J3" s="79"/>
      <c r="K3" s="79"/>
      <c r="L3" s="79"/>
      <c r="O3" s="78" t="s">
        <v>1114</v>
      </c>
    </row>
    <row r="4" spans="1:15">
      <c r="B4" s="15" t="s">
        <v>4</v>
      </c>
      <c r="I4" s="15" t="s">
        <v>5</v>
      </c>
      <c r="O4" s="6" t="s">
        <v>1115</v>
      </c>
    </row>
    <row r="5" spans="1:15">
      <c r="B5" s="142">
        <v>2020</v>
      </c>
      <c r="I5" s="15">
        <v>2020</v>
      </c>
    </row>
    <row r="6" spans="1:15">
      <c r="B6" s="144" t="s">
        <v>842</v>
      </c>
      <c r="I6" s="15" t="s">
        <v>6</v>
      </c>
    </row>
    <row r="7" spans="1:15">
      <c r="B7" s="18" t="s">
        <v>7</v>
      </c>
      <c r="I7" s="18" t="s">
        <v>8</v>
      </c>
    </row>
    <row r="8" spans="1:15">
      <c r="B8" s="15" t="s">
        <v>9</v>
      </c>
    </row>
    <row r="9" spans="1:15">
      <c r="B9" s="15"/>
    </row>
    <row r="10" spans="1:15">
      <c r="B10" s="78" t="s">
        <v>10</v>
      </c>
      <c r="C10" s="79"/>
      <c r="D10" s="79"/>
      <c r="E10" s="79"/>
      <c r="I10" s="78" t="s">
        <v>11</v>
      </c>
      <c r="J10" s="112"/>
      <c r="K10" s="112"/>
      <c r="L10" s="112"/>
    </row>
    <row r="11" spans="1:15">
      <c r="B11" s="15" t="s">
        <v>12</v>
      </c>
      <c r="I11" s="15" t="s">
        <v>13</v>
      </c>
    </row>
    <row r="12" spans="1:15">
      <c r="B12" s="15">
        <v>2021</v>
      </c>
      <c r="I12" s="15">
        <v>2019</v>
      </c>
    </row>
    <row r="13" spans="1:15">
      <c r="B13" s="16" t="s">
        <v>14</v>
      </c>
      <c r="I13" s="15" t="s">
        <v>15</v>
      </c>
    </row>
    <row r="14" spans="1:15">
      <c r="B14" s="18" t="s">
        <v>16</v>
      </c>
      <c r="I14" s="18" t="s">
        <v>17</v>
      </c>
    </row>
    <row r="15" spans="1:15">
      <c r="B15" s="15" t="s">
        <v>18</v>
      </c>
      <c r="I15" s="15"/>
    </row>
    <row r="16" spans="1:15">
      <c r="B16" s="15"/>
      <c r="I16" s="15" t="s">
        <v>19</v>
      </c>
    </row>
    <row r="17" spans="2:22">
      <c r="B17" s="78" t="s">
        <v>20</v>
      </c>
      <c r="C17" s="79"/>
      <c r="D17" s="79"/>
      <c r="E17" s="79"/>
      <c r="I17" s="15">
        <v>2021</v>
      </c>
    </row>
    <row r="18" spans="2:22">
      <c r="B18" s="15" t="s">
        <v>21</v>
      </c>
      <c r="I18" s="15" t="s">
        <v>22</v>
      </c>
      <c r="R18" s="108"/>
      <c r="S18" s="107"/>
      <c r="T18"/>
    </row>
    <row r="19" spans="2:22">
      <c r="B19" s="15">
        <v>2021</v>
      </c>
      <c r="I19" s="18" t="s">
        <v>23</v>
      </c>
      <c r="R19"/>
      <c r="S19"/>
      <c r="T19"/>
    </row>
    <row r="20" spans="2:22">
      <c r="B20" s="15" t="s">
        <v>1280</v>
      </c>
      <c r="R20" s="108"/>
      <c r="S20" s="107"/>
      <c r="T20"/>
    </row>
    <row r="21" spans="2:22">
      <c r="B21" s="18" t="s">
        <v>1279</v>
      </c>
      <c r="R21"/>
      <c r="S21"/>
      <c r="T21"/>
    </row>
    <row r="22" spans="2:22">
      <c r="B22" s="15" t="s">
        <v>24</v>
      </c>
    </row>
    <row r="23" spans="2:22">
      <c r="B23" s="15"/>
      <c r="U23"/>
      <c r="V23"/>
    </row>
    <row r="24" spans="2:22">
      <c r="B24" s="78" t="s">
        <v>25</v>
      </c>
      <c r="C24" s="79"/>
      <c r="D24" s="79"/>
      <c r="E24" s="79"/>
      <c r="I24" s="112" t="s">
        <v>26</v>
      </c>
      <c r="J24" s="112"/>
      <c r="K24" s="112"/>
      <c r="L24" s="112"/>
    </row>
    <row r="25" spans="2:22">
      <c r="B25" s="15" t="s">
        <v>27</v>
      </c>
      <c r="I25" s="6" t="s">
        <v>28</v>
      </c>
    </row>
    <row r="26" spans="2:22">
      <c r="B26" s="142">
        <v>2020</v>
      </c>
      <c r="I26" s="6">
        <v>2020</v>
      </c>
    </row>
    <row r="27" spans="2:22">
      <c r="B27" s="15" t="s">
        <v>29</v>
      </c>
      <c r="I27" s="6" t="s">
        <v>26</v>
      </c>
    </row>
    <row r="28" spans="2:22">
      <c r="B28" s="18" t="s">
        <v>30</v>
      </c>
      <c r="I28" s="17" t="s">
        <v>31</v>
      </c>
    </row>
    <row r="29" spans="2:22">
      <c r="B29" s="15" t="s">
        <v>32</v>
      </c>
    </row>
    <row r="30" spans="2:22">
      <c r="B30" s="15"/>
    </row>
    <row r="31" spans="2:22">
      <c r="B31" s="78" t="s">
        <v>33</v>
      </c>
      <c r="C31" s="79"/>
      <c r="D31" s="79"/>
      <c r="E31" s="79"/>
      <c r="J31" s="13"/>
      <c r="K31" s="13"/>
      <c r="L31" s="13"/>
    </row>
    <row r="32" spans="2:22">
      <c r="B32" s="15" t="s">
        <v>34</v>
      </c>
      <c r="G32" s="185"/>
    </row>
    <row r="33" spans="1:12">
      <c r="B33" s="15">
        <v>2021</v>
      </c>
      <c r="G33" s="185"/>
    </row>
    <row r="34" spans="1:12">
      <c r="B34" s="15" t="s">
        <v>1153</v>
      </c>
      <c r="G34" s="185"/>
    </row>
    <row r="35" spans="1:12">
      <c r="B35" s="18" t="s">
        <v>1154</v>
      </c>
    </row>
    <row r="36" spans="1:12">
      <c r="B36" s="15" t="s">
        <v>1152</v>
      </c>
    </row>
    <row r="37" spans="1:12">
      <c r="B37" s="15"/>
    </row>
    <row r="38" spans="1:12">
      <c r="B38" s="78" t="s">
        <v>35</v>
      </c>
      <c r="C38" s="79"/>
      <c r="D38" s="79"/>
      <c r="E38" s="79"/>
      <c r="J38" s="13"/>
      <c r="K38" s="13"/>
      <c r="L38" s="13"/>
    </row>
    <row r="39" spans="1:12">
      <c r="B39" s="15" t="s">
        <v>4</v>
      </c>
    </row>
    <row r="40" spans="1:12">
      <c r="B40" s="142">
        <v>2020</v>
      </c>
    </row>
    <row r="41" spans="1:12">
      <c r="B41" s="16" t="s">
        <v>36</v>
      </c>
    </row>
    <row r="42" spans="1:12">
      <c r="B42" s="18" t="s">
        <v>7</v>
      </c>
    </row>
    <row r="43" spans="1:12">
      <c r="B43" s="15" t="s">
        <v>37</v>
      </c>
    </row>
    <row r="45" spans="1:12">
      <c r="A45" s="13" t="s">
        <v>38</v>
      </c>
    </row>
    <row r="46" spans="1:12">
      <c r="A46" s="6" t="s">
        <v>39</v>
      </c>
    </row>
    <row r="47" spans="1:12">
      <c r="A47" s="6" t="s">
        <v>40</v>
      </c>
    </row>
    <row r="49" spans="1:2">
      <c r="A49" s="6" t="s">
        <v>41</v>
      </c>
    </row>
    <row r="50" spans="1:2">
      <c r="A50" s="6" t="s">
        <v>42</v>
      </c>
    </row>
    <row r="51" spans="1:2">
      <c r="A51" s="6" t="s">
        <v>43</v>
      </c>
    </row>
    <row r="52" spans="1:2">
      <c r="A52" s="6" t="s">
        <v>44</v>
      </c>
    </row>
    <row r="54" spans="1:2">
      <c r="A54" s="6" t="s">
        <v>45</v>
      </c>
    </row>
    <row r="55" spans="1:2">
      <c r="A55" s="6" t="s">
        <v>46</v>
      </c>
    </row>
    <row r="56" spans="1:2">
      <c r="A56" s="6" t="s">
        <v>47</v>
      </c>
    </row>
    <row r="58" spans="1:2">
      <c r="A58" s="6" t="s">
        <v>48</v>
      </c>
      <c r="B58" s="6">
        <v>2020</v>
      </c>
    </row>
  </sheetData>
  <phoneticPr fontId="37" type="noConversion"/>
  <hyperlinks>
    <hyperlink ref="B6" r:id="rId1" display="http://stat.molit.go.kr/portal/common/downLoadFile.do" xr:uid="{7EEDB0FB-7F05-4068-AE2E-C10081F98139}"/>
    <hyperlink ref="B7" r:id="rId2" xr:uid="{94F25A04-7D45-4B57-9DAB-6ADB54EFB182}"/>
    <hyperlink ref="B13" r:id="rId3" display="http://stat.molit.go.kr/portal/common/downLoadFile.do" xr:uid="{32CD9D70-DD3D-4E73-9F7C-FD68954E72C4}"/>
    <hyperlink ref="B21" r:id="rId4" xr:uid="{31D2E86A-8EF7-4487-941B-BCE94C00D531}"/>
    <hyperlink ref="B28" r:id="rId5" xr:uid="{06C47C9D-4497-4A5D-B544-C3DF346552A2}"/>
    <hyperlink ref="I7" r:id="rId6" xr:uid="{3C364F19-19DF-445E-B4D2-A35E48305198}"/>
    <hyperlink ref="B35" r:id="rId7" xr:uid="{D557C72E-3A29-4288-9121-928E4736C27C}"/>
    <hyperlink ref="B42" r:id="rId8" xr:uid="{CD69783C-5A55-4119-A0A7-9E1F169585A2}"/>
    <hyperlink ref="I14" r:id="rId9" xr:uid="{F9DAC5AE-12B4-4FCB-AF42-8BDB9009B39D}"/>
    <hyperlink ref="I19" r:id="rId10" xr:uid="{FE15476F-DBA4-4894-B48B-C5C833B7A717}"/>
    <hyperlink ref="I28" r:id="rId11" xr:uid="{A03C3360-3DFB-4535-AF07-06760FD833A9}"/>
  </hyperlinks>
  <pageMargins left="0.7" right="0.7" top="0.75" bottom="0.75" header="0.3" footer="0.3"/>
  <pageSetup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1D69A-2657-4575-BABF-8DE1CD094E48}">
  <dimension ref="A1:U294"/>
  <sheetViews>
    <sheetView workbookViewId="0"/>
  </sheetViews>
  <sheetFormatPr defaultColWidth="9" defaultRowHeight="12.75"/>
  <cols>
    <col min="1" max="1" width="14.42578125" style="20" customWidth="1"/>
    <col min="2" max="3" width="9" style="20"/>
    <col min="4" max="5" width="11.42578125" style="20" hidden="1" customWidth="1"/>
    <col min="6" max="6" width="10.7109375" style="20" hidden="1" customWidth="1"/>
    <col min="7" max="7" width="11.42578125" style="20" hidden="1" customWidth="1"/>
    <col min="8" max="10" width="9.85546875" style="20" hidden="1" customWidth="1"/>
    <col min="11" max="12" width="11.42578125" style="20" hidden="1" customWidth="1"/>
    <col min="13" max="17" width="9.85546875" style="20" hidden="1" customWidth="1"/>
    <col min="18" max="19" width="11.42578125" style="20" hidden="1" customWidth="1"/>
    <col min="20" max="20" width="9.85546875" style="20" hidden="1" customWidth="1"/>
    <col min="21" max="21" width="12.42578125" style="20" bestFit="1" customWidth="1"/>
    <col min="22" max="16384" width="9" style="20"/>
  </cols>
  <sheetData>
    <row r="1" spans="1:21" ht="15" customHeight="1">
      <c r="A1" s="19"/>
      <c r="B1" s="19"/>
      <c r="C1" s="19"/>
      <c r="D1" s="19" t="s">
        <v>49</v>
      </c>
      <c r="E1" s="19" t="s">
        <v>50</v>
      </c>
      <c r="F1" s="19" t="s">
        <v>51</v>
      </c>
      <c r="G1" s="19" t="s">
        <v>52</v>
      </c>
      <c r="H1" s="19" t="s">
        <v>53</v>
      </c>
      <c r="I1" s="19"/>
      <c r="J1" s="19" t="s">
        <v>54</v>
      </c>
      <c r="K1" s="19"/>
      <c r="L1" s="19"/>
      <c r="M1" s="19"/>
      <c r="N1" s="19"/>
    </row>
    <row r="2" spans="1:21" ht="15" customHeight="1">
      <c r="A2" s="19" t="s">
        <v>1020</v>
      </c>
      <c r="B2" s="132" t="s">
        <v>843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21" ht="15" customHeight="1">
      <c r="A3" s="21" t="s">
        <v>1019</v>
      </c>
      <c r="B3" s="21" t="s">
        <v>1021</v>
      </c>
      <c r="C3" s="21"/>
      <c r="D3" s="22" t="s">
        <v>55</v>
      </c>
      <c r="E3" s="22" t="s">
        <v>56</v>
      </c>
      <c r="F3" s="22" t="s">
        <v>57</v>
      </c>
      <c r="G3" s="22" t="s">
        <v>58</v>
      </c>
      <c r="H3" s="22" t="s">
        <v>59</v>
      </c>
      <c r="I3" s="22" t="s">
        <v>60</v>
      </c>
      <c r="J3" s="22" t="s">
        <v>61</v>
      </c>
      <c r="K3" s="22" t="s">
        <v>62</v>
      </c>
      <c r="L3" s="22" t="s">
        <v>63</v>
      </c>
      <c r="M3" s="22" t="s">
        <v>64</v>
      </c>
      <c r="N3" s="22" t="s">
        <v>65</v>
      </c>
      <c r="O3" s="23" t="s">
        <v>66</v>
      </c>
      <c r="P3" s="23" t="s">
        <v>67</v>
      </c>
      <c r="Q3" s="23" t="s">
        <v>68</v>
      </c>
      <c r="R3" s="23" t="s">
        <v>69</v>
      </c>
      <c r="S3" s="23" t="s">
        <v>70</v>
      </c>
      <c r="T3" s="23" t="s">
        <v>71</v>
      </c>
      <c r="U3" s="23" t="s">
        <v>994</v>
      </c>
    </row>
    <row r="4" spans="1:21" ht="15" customHeight="1">
      <c r="A4" s="21"/>
      <c r="B4" s="21" t="s">
        <v>1022</v>
      </c>
      <c r="C4" s="21" t="s">
        <v>52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 t="s">
        <v>844</v>
      </c>
    </row>
    <row r="5" spans="1:21" ht="15" customHeight="1">
      <c r="A5" s="25" t="s">
        <v>1023</v>
      </c>
      <c r="B5" s="25"/>
      <c r="C5" s="26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</row>
    <row r="6" spans="1:21" ht="15" customHeight="1">
      <c r="A6" s="26"/>
      <c r="B6" s="26"/>
      <c r="C6" s="26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</row>
    <row r="7" spans="1:21" ht="15" customHeight="1">
      <c r="A7" s="26" t="s">
        <v>1010</v>
      </c>
      <c r="B7" s="26" t="s">
        <v>73</v>
      </c>
      <c r="C7" s="26" t="s">
        <v>1016</v>
      </c>
      <c r="D7" s="28">
        <v>1585124</v>
      </c>
      <c r="E7" s="28">
        <v>642317</v>
      </c>
      <c r="F7" s="28">
        <v>557685</v>
      </c>
      <c r="G7" s="28">
        <v>630461</v>
      </c>
      <c r="H7" s="28">
        <v>294139</v>
      </c>
      <c r="I7" s="28">
        <v>323279</v>
      </c>
      <c r="J7" s="28">
        <v>279059</v>
      </c>
      <c r="K7" s="28">
        <v>80947</v>
      </c>
      <c r="L7" s="28">
        <v>2751242</v>
      </c>
      <c r="M7" s="28">
        <v>330152</v>
      </c>
      <c r="N7" s="28">
        <v>360609</v>
      </c>
      <c r="O7" s="28">
        <v>477172</v>
      </c>
      <c r="P7" s="28">
        <v>371110</v>
      </c>
      <c r="Q7" s="28">
        <v>352354</v>
      </c>
      <c r="R7" s="28">
        <v>613019</v>
      </c>
      <c r="S7" s="28">
        <v>789785</v>
      </c>
      <c r="T7" s="28">
        <v>155694</v>
      </c>
      <c r="U7" s="28">
        <v>10982274</v>
      </c>
    </row>
    <row r="8" spans="1:21" ht="15" customHeight="1">
      <c r="A8" s="26"/>
      <c r="B8" s="26"/>
      <c r="C8" s="26" t="s">
        <v>1017</v>
      </c>
      <c r="D8" s="28">
        <v>19838</v>
      </c>
      <c r="E8" s="28">
        <v>19786</v>
      </c>
      <c r="F8" s="28">
        <v>3142</v>
      </c>
      <c r="G8" s="28">
        <v>131362</v>
      </c>
      <c r="H8" s="28">
        <v>1336</v>
      </c>
      <c r="I8" s="28">
        <v>1584</v>
      </c>
      <c r="J8" s="28">
        <v>1015</v>
      </c>
      <c r="K8" s="28">
        <v>50</v>
      </c>
      <c r="L8" s="28">
        <v>12014</v>
      </c>
      <c r="M8" s="28">
        <v>1511</v>
      </c>
      <c r="N8" s="28">
        <v>2097</v>
      </c>
      <c r="O8" s="28">
        <v>2097</v>
      </c>
      <c r="P8" s="28">
        <v>3830</v>
      </c>
      <c r="Q8" s="28">
        <v>41970</v>
      </c>
      <c r="R8" s="28">
        <v>1353</v>
      </c>
      <c r="S8" s="28">
        <v>15401</v>
      </c>
      <c r="T8" s="28">
        <v>91039</v>
      </c>
      <c r="U8" s="28">
        <v>404842</v>
      </c>
    </row>
    <row r="9" spans="1:21" ht="15" customHeight="1">
      <c r="B9" s="26"/>
      <c r="C9" s="26" t="s">
        <v>1018</v>
      </c>
      <c r="D9" s="28">
        <v>1604962</v>
      </c>
      <c r="E9" s="28">
        <v>662103</v>
      </c>
      <c r="F9" s="28">
        <v>560827</v>
      </c>
      <c r="G9" s="28">
        <v>761823</v>
      </c>
      <c r="H9" s="28">
        <v>295475</v>
      </c>
      <c r="I9" s="28">
        <v>324863</v>
      </c>
      <c r="J9" s="28">
        <v>280074</v>
      </c>
      <c r="K9" s="28">
        <v>80997</v>
      </c>
      <c r="L9" s="28">
        <v>2763256</v>
      </c>
      <c r="M9" s="28">
        <v>331663</v>
      </c>
      <c r="N9" s="28">
        <v>362706</v>
      </c>
      <c r="O9" s="28">
        <v>479269</v>
      </c>
      <c r="P9" s="28">
        <v>374940</v>
      </c>
      <c r="Q9" s="28">
        <v>394324</v>
      </c>
      <c r="R9" s="28">
        <v>614372</v>
      </c>
      <c r="S9" s="28">
        <v>805186</v>
      </c>
      <c r="T9" s="28">
        <v>246733</v>
      </c>
      <c r="U9" s="28">
        <v>11387116</v>
      </c>
    </row>
    <row r="10" spans="1:21" ht="15" customHeight="1">
      <c r="A10" s="26" t="s">
        <v>1011</v>
      </c>
      <c r="B10" s="26" t="s">
        <v>76</v>
      </c>
      <c r="C10" s="26" t="s">
        <v>1016</v>
      </c>
      <c r="D10" s="28">
        <v>980</v>
      </c>
      <c r="E10" s="28">
        <v>256</v>
      </c>
      <c r="F10" s="28">
        <v>249</v>
      </c>
      <c r="G10" s="28">
        <v>236</v>
      </c>
      <c r="H10" s="28">
        <v>105</v>
      </c>
      <c r="I10" s="28">
        <v>120</v>
      </c>
      <c r="J10" s="28">
        <v>67</v>
      </c>
      <c r="K10" s="28">
        <v>16</v>
      </c>
      <c r="L10" s="28">
        <v>1251</v>
      </c>
      <c r="M10" s="28">
        <v>125</v>
      </c>
      <c r="N10" s="28">
        <v>128</v>
      </c>
      <c r="O10" s="28">
        <v>180</v>
      </c>
      <c r="P10" s="28">
        <v>146</v>
      </c>
      <c r="Q10" s="28">
        <v>154</v>
      </c>
      <c r="R10" s="28">
        <v>249</v>
      </c>
      <c r="S10" s="28">
        <v>242</v>
      </c>
      <c r="T10" s="28">
        <v>70</v>
      </c>
      <c r="U10" s="28">
        <v>4804</v>
      </c>
    </row>
    <row r="11" spans="1:21" ht="15" customHeight="1">
      <c r="B11" s="26"/>
      <c r="C11" s="26" t="s">
        <v>1017</v>
      </c>
      <c r="D11" s="28">
        <v>22</v>
      </c>
      <c r="E11" s="28">
        <v>1</v>
      </c>
      <c r="F11" s="28">
        <v>1</v>
      </c>
      <c r="G11" s="28">
        <v>2</v>
      </c>
      <c r="H11" s="28">
        <v>0</v>
      </c>
      <c r="I11" s="28">
        <v>0</v>
      </c>
      <c r="J11" s="28">
        <v>0</v>
      </c>
      <c r="K11" s="28">
        <v>0</v>
      </c>
      <c r="L11" s="28">
        <v>21</v>
      </c>
      <c r="M11" s="28">
        <v>1</v>
      </c>
      <c r="N11" s="28">
        <v>1</v>
      </c>
      <c r="O11" s="28">
        <v>2</v>
      </c>
      <c r="P11" s="28">
        <v>5</v>
      </c>
      <c r="Q11" s="28">
        <v>4</v>
      </c>
      <c r="R11" s="28">
        <v>0</v>
      </c>
      <c r="S11" s="28">
        <v>2</v>
      </c>
      <c r="T11" s="28">
        <v>1</v>
      </c>
      <c r="U11" s="28">
        <v>88</v>
      </c>
    </row>
    <row r="12" spans="1:21" ht="15" customHeight="1">
      <c r="A12" s="26"/>
      <c r="C12" s="26" t="s">
        <v>1018</v>
      </c>
      <c r="D12" s="28">
        <v>1002</v>
      </c>
      <c r="E12" s="28">
        <v>257</v>
      </c>
      <c r="F12" s="28">
        <v>250</v>
      </c>
      <c r="G12" s="28">
        <v>238</v>
      </c>
      <c r="H12" s="28">
        <v>105</v>
      </c>
      <c r="I12" s="28">
        <v>120</v>
      </c>
      <c r="J12" s="28">
        <v>67</v>
      </c>
      <c r="K12" s="28">
        <v>16</v>
      </c>
      <c r="L12" s="28">
        <v>1272</v>
      </c>
      <c r="M12" s="28">
        <v>126</v>
      </c>
      <c r="N12" s="28">
        <v>129</v>
      </c>
      <c r="O12" s="28">
        <v>182</v>
      </c>
      <c r="P12" s="28">
        <v>151</v>
      </c>
      <c r="Q12" s="28">
        <v>158</v>
      </c>
      <c r="R12" s="28">
        <v>249</v>
      </c>
      <c r="S12" s="28">
        <v>244</v>
      </c>
      <c r="T12" s="28">
        <v>71</v>
      </c>
      <c r="U12" s="28">
        <v>4892</v>
      </c>
    </row>
    <row r="13" spans="1:21" ht="15" customHeight="1">
      <c r="A13" s="26" t="s">
        <v>1012</v>
      </c>
      <c r="B13" s="26" t="s">
        <v>77</v>
      </c>
      <c r="C13" s="26" t="s">
        <v>1016</v>
      </c>
      <c r="D13" s="28">
        <v>1933</v>
      </c>
      <c r="E13" s="28">
        <v>560</v>
      </c>
      <c r="F13" s="28">
        <v>566</v>
      </c>
      <c r="G13" s="28">
        <v>575</v>
      </c>
      <c r="H13" s="28">
        <v>262</v>
      </c>
      <c r="I13" s="28">
        <v>315</v>
      </c>
      <c r="J13" s="28">
        <v>229</v>
      </c>
      <c r="K13" s="28">
        <v>58</v>
      </c>
      <c r="L13" s="28">
        <v>3058</v>
      </c>
      <c r="M13" s="28">
        <v>518</v>
      </c>
      <c r="N13" s="28">
        <v>465</v>
      </c>
      <c r="O13" s="28">
        <v>656</v>
      </c>
      <c r="P13" s="28">
        <v>605</v>
      </c>
      <c r="Q13" s="28">
        <v>646</v>
      </c>
      <c r="R13" s="28">
        <v>927</v>
      </c>
      <c r="S13" s="28">
        <v>877</v>
      </c>
      <c r="T13" s="28">
        <v>241</v>
      </c>
      <c r="U13" s="28">
        <v>18380</v>
      </c>
    </row>
    <row r="14" spans="1:21" ht="15" customHeight="1">
      <c r="B14" s="26"/>
      <c r="C14" s="26" t="s">
        <v>1017</v>
      </c>
      <c r="D14" s="28">
        <v>0</v>
      </c>
      <c r="E14" s="28">
        <v>2</v>
      </c>
      <c r="F14" s="28">
        <v>0</v>
      </c>
      <c r="G14" s="28">
        <v>1</v>
      </c>
      <c r="H14" s="28">
        <v>0</v>
      </c>
      <c r="I14" s="28">
        <v>0</v>
      </c>
      <c r="J14" s="28">
        <v>4</v>
      </c>
      <c r="K14" s="28">
        <v>0</v>
      </c>
      <c r="L14" s="28">
        <v>5</v>
      </c>
      <c r="M14" s="28">
        <v>1</v>
      </c>
      <c r="N14" s="28">
        <v>0</v>
      </c>
      <c r="O14" s="28">
        <v>1</v>
      </c>
      <c r="P14" s="28">
        <v>0</v>
      </c>
      <c r="Q14" s="28">
        <v>0</v>
      </c>
      <c r="R14" s="28">
        <v>4</v>
      </c>
      <c r="S14" s="28">
        <v>0</v>
      </c>
      <c r="T14" s="28">
        <v>0</v>
      </c>
      <c r="U14" s="28">
        <v>19</v>
      </c>
    </row>
    <row r="15" spans="1:21" ht="15" customHeight="1">
      <c r="A15" s="26"/>
      <c r="B15" s="26"/>
      <c r="C15" s="26" t="s">
        <v>1018</v>
      </c>
      <c r="D15" s="28">
        <v>1933</v>
      </c>
      <c r="E15" s="28">
        <v>562</v>
      </c>
      <c r="F15" s="28">
        <v>566</v>
      </c>
      <c r="G15" s="28">
        <v>576</v>
      </c>
      <c r="H15" s="28">
        <v>262</v>
      </c>
      <c r="I15" s="28">
        <v>315</v>
      </c>
      <c r="J15" s="28">
        <v>233</v>
      </c>
      <c r="K15" s="28">
        <v>58</v>
      </c>
      <c r="L15" s="28">
        <v>3063</v>
      </c>
      <c r="M15" s="28">
        <v>519</v>
      </c>
      <c r="N15" s="28">
        <v>465</v>
      </c>
      <c r="O15" s="28">
        <v>657</v>
      </c>
      <c r="P15" s="28">
        <v>605</v>
      </c>
      <c r="Q15" s="28">
        <v>646</v>
      </c>
      <c r="R15" s="28">
        <v>931</v>
      </c>
      <c r="S15" s="28">
        <v>877</v>
      </c>
      <c r="T15" s="28">
        <v>241</v>
      </c>
      <c r="U15" s="28">
        <v>18399</v>
      </c>
    </row>
    <row r="16" spans="1:21" ht="15" customHeight="1">
      <c r="A16" s="26" t="s">
        <v>1013</v>
      </c>
      <c r="B16" s="26" t="s">
        <v>78</v>
      </c>
      <c r="C16" s="26" t="s">
        <v>1016</v>
      </c>
      <c r="D16" s="28">
        <v>18</v>
      </c>
      <c r="E16" s="28">
        <v>5</v>
      </c>
      <c r="F16" s="28">
        <v>0</v>
      </c>
      <c r="G16" s="28">
        <v>9</v>
      </c>
      <c r="H16" s="28">
        <v>0</v>
      </c>
      <c r="I16" s="28">
        <v>2</v>
      </c>
      <c r="J16" s="28">
        <v>1</v>
      </c>
      <c r="K16" s="28">
        <v>0</v>
      </c>
      <c r="L16" s="28">
        <v>11</v>
      </c>
      <c r="M16" s="28">
        <v>1</v>
      </c>
      <c r="N16" s="28">
        <v>0</v>
      </c>
      <c r="O16" s="28">
        <v>3</v>
      </c>
      <c r="P16" s="28">
        <v>1</v>
      </c>
      <c r="Q16" s="28">
        <v>2</v>
      </c>
      <c r="R16" s="28">
        <v>2</v>
      </c>
      <c r="S16" s="28">
        <v>2</v>
      </c>
      <c r="T16" s="28">
        <v>0</v>
      </c>
      <c r="U16" s="28">
        <v>64</v>
      </c>
    </row>
    <row r="17" spans="1:21" ht="15" customHeight="1">
      <c r="B17" s="26"/>
      <c r="C17" s="26" t="s">
        <v>1017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2</v>
      </c>
      <c r="M17" s="28">
        <v>1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13</v>
      </c>
    </row>
    <row r="18" spans="1:21" ht="15" customHeight="1">
      <c r="A18" s="26"/>
      <c r="B18" s="26"/>
      <c r="C18" s="26" t="s">
        <v>1018</v>
      </c>
      <c r="D18" s="28">
        <v>18</v>
      </c>
      <c r="E18" s="28">
        <v>5</v>
      </c>
      <c r="F18" s="28">
        <v>0</v>
      </c>
      <c r="G18" s="28">
        <v>9</v>
      </c>
      <c r="H18" s="28">
        <v>0</v>
      </c>
      <c r="I18" s="28">
        <v>2</v>
      </c>
      <c r="J18" s="28">
        <v>1</v>
      </c>
      <c r="K18" s="28">
        <v>0</v>
      </c>
      <c r="L18" s="28">
        <v>13</v>
      </c>
      <c r="M18" s="28">
        <v>2</v>
      </c>
      <c r="N18" s="28">
        <v>0</v>
      </c>
      <c r="O18" s="28">
        <v>3</v>
      </c>
      <c r="P18" s="28">
        <v>1</v>
      </c>
      <c r="Q18" s="28">
        <v>2</v>
      </c>
      <c r="R18" s="28">
        <v>2</v>
      </c>
      <c r="S18" s="28">
        <v>2</v>
      </c>
      <c r="T18" s="28">
        <v>0</v>
      </c>
      <c r="U18" s="28">
        <v>77</v>
      </c>
    </row>
    <row r="19" spans="1:21" ht="15" customHeight="1">
      <c r="A19" s="26" t="s">
        <v>1014</v>
      </c>
      <c r="B19" s="26" t="s">
        <v>79</v>
      </c>
      <c r="C19" s="26" t="s">
        <v>1016</v>
      </c>
      <c r="D19" s="28">
        <v>1588055</v>
      </c>
      <c r="E19" s="28">
        <v>643138</v>
      </c>
      <c r="F19" s="28">
        <v>558500</v>
      </c>
      <c r="G19" s="28">
        <v>631281</v>
      </c>
      <c r="H19" s="28">
        <v>294506</v>
      </c>
      <c r="I19" s="28">
        <v>323716</v>
      </c>
      <c r="J19" s="28">
        <v>279356</v>
      </c>
      <c r="K19" s="28">
        <v>81021</v>
      </c>
      <c r="L19" s="28">
        <v>2755562</v>
      </c>
      <c r="M19" s="28">
        <v>330796</v>
      </c>
      <c r="N19" s="28">
        <v>361202</v>
      </c>
      <c r="O19" s="28">
        <v>478011</v>
      </c>
      <c r="P19" s="28">
        <v>371862</v>
      </c>
      <c r="Q19" s="28">
        <v>353156</v>
      </c>
      <c r="R19" s="28">
        <v>614197</v>
      </c>
      <c r="S19" s="28">
        <v>790906</v>
      </c>
      <c r="T19" s="28">
        <v>156005</v>
      </c>
      <c r="U19" s="28">
        <v>11005522</v>
      </c>
    </row>
    <row r="20" spans="1:21" ht="15" customHeight="1">
      <c r="A20" s="26"/>
      <c r="B20" s="26"/>
      <c r="C20" s="26" t="s">
        <v>1017</v>
      </c>
      <c r="D20" s="28">
        <v>19860</v>
      </c>
      <c r="E20" s="28">
        <v>19789</v>
      </c>
      <c r="F20" s="28">
        <v>3143</v>
      </c>
      <c r="G20" s="28">
        <v>131365</v>
      </c>
      <c r="H20" s="28">
        <v>1336</v>
      </c>
      <c r="I20" s="28">
        <v>1584</v>
      </c>
      <c r="J20" s="28">
        <v>1019</v>
      </c>
      <c r="K20" s="28">
        <v>50</v>
      </c>
      <c r="L20" s="28">
        <v>12042</v>
      </c>
      <c r="M20" s="28">
        <v>1514</v>
      </c>
      <c r="N20" s="28">
        <v>2098</v>
      </c>
      <c r="O20" s="28">
        <v>2100</v>
      </c>
      <c r="P20" s="28">
        <v>3835</v>
      </c>
      <c r="Q20" s="28">
        <v>41974</v>
      </c>
      <c r="R20" s="28">
        <v>1357</v>
      </c>
      <c r="S20" s="28">
        <v>15403</v>
      </c>
      <c r="T20" s="28">
        <v>91040</v>
      </c>
      <c r="U20" s="28">
        <v>404962</v>
      </c>
    </row>
    <row r="21" spans="1:21" ht="15" customHeight="1">
      <c r="A21" s="26"/>
      <c r="B21" s="26"/>
      <c r="C21" s="26" t="s">
        <v>1018</v>
      </c>
      <c r="D21" s="28">
        <v>1607915</v>
      </c>
      <c r="E21" s="28">
        <v>662927</v>
      </c>
      <c r="F21" s="28">
        <v>561643</v>
      </c>
      <c r="G21" s="28">
        <v>762646</v>
      </c>
      <c r="H21" s="28">
        <v>295842</v>
      </c>
      <c r="I21" s="28">
        <v>325300</v>
      </c>
      <c r="J21" s="28">
        <v>280375</v>
      </c>
      <c r="K21" s="28">
        <v>81071</v>
      </c>
      <c r="L21" s="28">
        <v>2767604</v>
      </c>
      <c r="M21" s="28">
        <v>332310</v>
      </c>
      <c r="N21" s="28">
        <v>363300</v>
      </c>
      <c r="O21" s="28">
        <v>480111</v>
      </c>
      <c r="P21" s="28">
        <v>375697</v>
      </c>
      <c r="Q21" s="28">
        <v>395130</v>
      </c>
      <c r="R21" s="28">
        <v>615554</v>
      </c>
      <c r="S21" s="28">
        <v>806309</v>
      </c>
      <c r="T21" s="28">
        <v>247045</v>
      </c>
      <c r="U21" s="28">
        <v>11410484</v>
      </c>
    </row>
    <row r="22" spans="1:21" ht="15" customHeight="1">
      <c r="A22" s="25" t="s">
        <v>80</v>
      </c>
      <c r="B22" s="25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</row>
    <row r="23" spans="1:21" ht="15" customHeight="1">
      <c r="A23" s="26"/>
      <c r="B23" s="26"/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</row>
    <row r="24" spans="1:21" ht="15" customHeight="1">
      <c r="A24" s="26" t="s">
        <v>1010</v>
      </c>
      <c r="B24" s="26" t="s">
        <v>73</v>
      </c>
      <c r="C24" s="26" t="s">
        <v>74</v>
      </c>
      <c r="D24" s="28">
        <v>714931</v>
      </c>
      <c r="E24" s="28">
        <v>328754</v>
      </c>
      <c r="F24" s="28">
        <v>288234</v>
      </c>
      <c r="G24" s="28">
        <v>359057</v>
      </c>
      <c r="H24" s="28">
        <v>165425</v>
      </c>
      <c r="I24" s="28">
        <v>156701</v>
      </c>
      <c r="J24" s="28">
        <v>147609</v>
      </c>
      <c r="K24" s="28">
        <v>43289</v>
      </c>
      <c r="L24" s="28">
        <v>1451580</v>
      </c>
      <c r="M24" s="28">
        <v>190147</v>
      </c>
      <c r="N24" s="28">
        <v>199537</v>
      </c>
      <c r="O24" s="28">
        <v>266490</v>
      </c>
      <c r="P24" s="28">
        <v>222854</v>
      </c>
      <c r="Q24" s="28">
        <v>220057</v>
      </c>
      <c r="R24" s="28">
        <v>313290</v>
      </c>
      <c r="S24" s="28">
        <v>391111</v>
      </c>
      <c r="T24" s="28">
        <v>82331</v>
      </c>
      <c r="U24" s="28">
        <v>5594558</v>
      </c>
    </row>
    <row r="25" spans="1:21" ht="15" customHeight="1">
      <c r="A25" s="26"/>
      <c r="B25" s="26"/>
      <c r="C25" s="26" t="s">
        <v>75</v>
      </c>
      <c r="D25" s="28">
        <v>12826</v>
      </c>
      <c r="E25" s="28">
        <v>19998</v>
      </c>
      <c r="F25" s="28">
        <v>2207</v>
      </c>
      <c r="G25" s="28">
        <v>97213</v>
      </c>
      <c r="H25" s="28">
        <v>1344</v>
      </c>
      <c r="I25" s="28">
        <v>1287</v>
      </c>
      <c r="J25" s="28">
        <v>450</v>
      </c>
      <c r="K25" s="28">
        <v>74</v>
      </c>
      <c r="L25" s="28">
        <v>6286</v>
      </c>
      <c r="M25" s="28">
        <v>918</v>
      </c>
      <c r="N25" s="28">
        <v>2099</v>
      </c>
      <c r="O25" s="28">
        <v>1702</v>
      </c>
      <c r="P25" s="28">
        <v>3069</v>
      </c>
      <c r="Q25" s="28">
        <v>36241</v>
      </c>
      <c r="R25" s="28">
        <v>823</v>
      </c>
      <c r="S25" s="28">
        <v>12938</v>
      </c>
      <c r="T25" s="28">
        <v>76054</v>
      </c>
      <c r="U25" s="28">
        <v>281363</v>
      </c>
    </row>
    <row r="26" spans="1:21" ht="15" customHeight="1">
      <c r="B26" s="26"/>
      <c r="C26" s="26" t="s">
        <v>72</v>
      </c>
      <c r="D26" s="28">
        <v>727757</v>
      </c>
      <c r="E26" s="28">
        <v>348752</v>
      </c>
      <c r="F26" s="28">
        <v>290441</v>
      </c>
      <c r="G26" s="28">
        <v>456270</v>
      </c>
      <c r="H26" s="28">
        <v>166769</v>
      </c>
      <c r="I26" s="28">
        <v>157988</v>
      </c>
      <c r="J26" s="28">
        <v>148059</v>
      </c>
      <c r="K26" s="28">
        <v>43363</v>
      </c>
      <c r="L26" s="28">
        <v>1457866</v>
      </c>
      <c r="M26" s="28">
        <v>191065</v>
      </c>
      <c r="N26" s="28">
        <v>201636</v>
      </c>
      <c r="O26" s="28">
        <v>268192</v>
      </c>
      <c r="P26" s="28">
        <v>225923</v>
      </c>
      <c r="Q26" s="28">
        <v>256298</v>
      </c>
      <c r="R26" s="28">
        <v>314113</v>
      </c>
      <c r="S26" s="28">
        <v>404049</v>
      </c>
      <c r="T26" s="28">
        <v>158385</v>
      </c>
      <c r="U26" s="28">
        <v>5875921</v>
      </c>
    </row>
    <row r="27" spans="1:21" ht="15" customHeight="1">
      <c r="A27" s="26" t="s">
        <v>1011</v>
      </c>
      <c r="B27" s="26" t="s">
        <v>76</v>
      </c>
      <c r="C27" s="26" t="s">
        <v>74</v>
      </c>
      <c r="D27" s="28">
        <v>79838</v>
      </c>
      <c r="E27" s="28">
        <v>32188</v>
      </c>
      <c r="F27" s="28">
        <v>23209</v>
      </c>
      <c r="G27" s="28">
        <v>34159</v>
      </c>
      <c r="H27" s="28">
        <v>15376</v>
      </c>
      <c r="I27" s="28">
        <v>16302</v>
      </c>
      <c r="J27" s="28">
        <v>11466</v>
      </c>
      <c r="K27" s="28">
        <v>3448</v>
      </c>
      <c r="L27" s="28">
        <v>154647</v>
      </c>
      <c r="M27" s="28">
        <v>23284</v>
      </c>
      <c r="N27" s="28">
        <v>23802</v>
      </c>
      <c r="O27" s="28">
        <v>33454</v>
      </c>
      <c r="P27" s="28">
        <v>26057</v>
      </c>
      <c r="Q27" s="28">
        <v>28876</v>
      </c>
      <c r="R27" s="28">
        <v>38485</v>
      </c>
      <c r="S27" s="28">
        <v>41594</v>
      </c>
      <c r="T27" s="28">
        <v>10146</v>
      </c>
      <c r="U27" s="28">
        <v>575973</v>
      </c>
    </row>
    <row r="28" spans="1:21" ht="15" customHeight="1">
      <c r="B28" s="26"/>
      <c r="C28" s="26" t="s">
        <v>75</v>
      </c>
      <c r="D28" s="28">
        <v>8634</v>
      </c>
      <c r="E28" s="28">
        <v>3474</v>
      </c>
      <c r="F28" s="28">
        <v>2392</v>
      </c>
      <c r="G28" s="28">
        <v>9942</v>
      </c>
      <c r="H28" s="28">
        <v>1417</v>
      </c>
      <c r="I28" s="28">
        <v>928</v>
      </c>
      <c r="J28" s="28">
        <v>1234</v>
      </c>
      <c r="K28" s="28">
        <v>307</v>
      </c>
      <c r="L28" s="28">
        <v>24365</v>
      </c>
      <c r="M28" s="28">
        <v>2895</v>
      </c>
      <c r="N28" s="28">
        <v>3373</v>
      </c>
      <c r="O28" s="28">
        <v>5033</v>
      </c>
      <c r="P28" s="28">
        <v>3571</v>
      </c>
      <c r="Q28" s="28">
        <v>6802</v>
      </c>
      <c r="R28" s="28">
        <v>4620</v>
      </c>
      <c r="S28" s="28">
        <v>6259</v>
      </c>
      <c r="T28" s="28">
        <v>7504</v>
      </c>
      <c r="U28" s="28">
        <v>87210</v>
      </c>
    </row>
    <row r="29" spans="1:21" ht="15" customHeight="1">
      <c r="A29" s="26"/>
      <c r="B29" s="26"/>
      <c r="C29" s="26" t="s">
        <v>72</v>
      </c>
      <c r="D29" s="28">
        <v>88472</v>
      </c>
      <c r="E29" s="28">
        <v>35662</v>
      </c>
      <c r="F29" s="28">
        <v>25601</v>
      </c>
      <c r="G29" s="28">
        <v>44101</v>
      </c>
      <c r="H29" s="28">
        <v>16793</v>
      </c>
      <c r="I29" s="28">
        <v>17230</v>
      </c>
      <c r="J29" s="28">
        <v>12700</v>
      </c>
      <c r="K29" s="28">
        <v>3755</v>
      </c>
      <c r="L29" s="28">
        <v>179012</v>
      </c>
      <c r="M29" s="28">
        <v>26179</v>
      </c>
      <c r="N29" s="28">
        <v>27175</v>
      </c>
      <c r="O29" s="28">
        <v>38487</v>
      </c>
      <c r="P29" s="28">
        <v>29628</v>
      </c>
      <c r="Q29" s="28">
        <v>35678</v>
      </c>
      <c r="R29" s="28">
        <v>43105</v>
      </c>
      <c r="S29" s="28">
        <v>47853</v>
      </c>
      <c r="T29" s="28">
        <v>17650</v>
      </c>
      <c r="U29" s="28">
        <v>663183</v>
      </c>
    </row>
    <row r="30" spans="1:21" ht="15" customHeight="1">
      <c r="A30" s="26" t="s">
        <v>1012</v>
      </c>
      <c r="B30" s="26" t="s">
        <v>77</v>
      </c>
      <c r="C30" s="26" t="s">
        <v>74</v>
      </c>
      <c r="D30" s="28">
        <v>246781</v>
      </c>
      <c r="E30" s="28">
        <v>146773</v>
      </c>
      <c r="F30" s="28">
        <v>133777</v>
      </c>
      <c r="G30" s="28">
        <v>151465</v>
      </c>
      <c r="H30" s="28">
        <v>75339</v>
      </c>
      <c r="I30" s="28">
        <v>71102</v>
      </c>
      <c r="J30" s="28">
        <v>58395</v>
      </c>
      <c r="K30" s="28">
        <v>13841</v>
      </c>
      <c r="L30" s="28">
        <v>644604</v>
      </c>
      <c r="M30" s="28">
        <v>141347</v>
      </c>
      <c r="N30" s="28">
        <v>138248</v>
      </c>
      <c r="O30" s="28">
        <v>196580</v>
      </c>
      <c r="P30" s="28">
        <v>165077</v>
      </c>
      <c r="Q30" s="28">
        <v>215246</v>
      </c>
      <c r="R30" s="28">
        <v>283109</v>
      </c>
      <c r="S30" s="28">
        <v>256420</v>
      </c>
      <c r="T30" s="28">
        <v>72388</v>
      </c>
      <c r="U30" s="28">
        <v>2999129</v>
      </c>
    </row>
    <row r="31" spans="1:21" ht="15" customHeight="1">
      <c r="B31" s="26"/>
      <c r="C31" s="26" t="s">
        <v>75</v>
      </c>
      <c r="D31" s="28">
        <v>50928</v>
      </c>
      <c r="E31" s="28">
        <v>20943</v>
      </c>
      <c r="F31" s="28">
        <v>17799</v>
      </c>
      <c r="G31" s="28">
        <v>20690</v>
      </c>
      <c r="H31" s="28">
        <v>11197</v>
      </c>
      <c r="I31" s="28">
        <v>10398</v>
      </c>
      <c r="J31" s="28">
        <v>6560</v>
      </c>
      <c r="K31" s="28">
        <v>1524</v>
      </c>
      <c r="L31" s="28">
        <v>102183</v>
      </c>
      <c r="M31" s="28">
        <v>7671</v>
      </c>
      <c r="N31" s="28">
        <v>11653</v>
      </c>
      <c r="O31" s="28">
        <v>14913</v>
      </c>
      <c r="P31" s="28">
        <v>13362</v>
      </c>
      <c r="Q31" s="28">
        <v>14268</v>
      </c>
      <c r="R31" s="28">
        <v>19114</v>
      </c>
      <c r="S31" s="28">
        <v>20860</v>
      </c>
      <c r="T31" s="28">
        <v>3415</v>
      </c>
      <c r="U31" s="28">
        <v>352501</v>
      </c>
    </row>
    <row r="32" spans="1:21" ht="15" customHeight="1">
      <c r="A32" s="26"/>
      <c r="B32" s="26"/>
      <c r="C32" s="26" t="s">
        <v>72</v>
      </c>
      <c r="D32" s="28">
        <v>297709</v>
      </c>
      <c r="E32" s="28">
        <v>167716</v>
      </c>
      <c r="F32" s="28">
        <v>151576</v>
      </c>
      <c r="G32" s="28">
        <v>172155</v>
      </c>
      <c r="H32" s="28">
        <v>86536</v>
      </c>
      <c r="I32" s="28">
        <v>81500</v>
      </c>
      <c r="J32" s="28">
        <v>64955</v>
      </c>
      <c r="K32" s="28">
        <v>15365</v>
      </c>
      <c r="L32" s="28">
        <v>746787</v>
      </c>
      <c r="M32" s="28">
        <v>149018</v>
      </c>
      <c r="N32" s="28">
        <v>149901</v>
      </c>
      <c r="O32" s="28">
        <v>211493</v>
      </c>
      <c r="P32" s="28">
        <v>178439</v>
      </c>
      <c r="Q32" s="28">
        <v>229514</v>
      </c>
      <c r="R32" s="28">
        <v>302223</v>
      </c>
      <c r="S32" s="28">
        <v>277280</v>
      </c>
      <c r="T32" s="28">
        <v>75803</v>
      </c>
      <c r="U32" s="28">
        <v>3351630</v>
      </c>
    </row>
    <row r="33" spans="1:21" ht="15" customHeight="1">
      <c r="A33" s="26" t="s">
        <v>1013</v>
      </c>
      <c r="B33" s="26" t="s">
        <v>78</v>
      </c>
      <c r="C33" s="26" t="s">
        <v>74</v>
      </c>
      <c r="D33" s="28">
        <v>3086</v>
      </c>
      <c r="E33" s="28">
        <v>1671</v>
      </c>
      <c r="F33" s="28">
        <v>1017</v>
      </c>
      <c r="G33" s="28">
        <v>1816</v>
      </c>
      <c r="H33" s="28">
        <v>871</v>
      </c>
      <c r="I33" s="28">
        <v>839</v>
      </c>
      <c r="J33" s="28">
        <v>597</v>
      </c>
      <c r="K33" s="28">
        <v>207</v>
      </c>
      <c r="L33" s="28">
        <v>6687</v>
      </c>
      <c r="M33" s="28">
        <v>1469</v>
      </c>
      <c r="N33" s="28">
        <v>1319</v>
      </c>
      <c r="O33" s="28">
        <v>1821</v>
      </c>
      <c r="P33" s="28">
        <v>1600</v>
      </c>
      <c r="Q33" s="28">
        <v>2206</v>
      </c>
      <c r="R33" s="28">
        <v>2894</v>
      </c>
      <c r="S33" s="28">
        <v>2400</v>
      </c>
      <c r="T33" s="28">
        <v>679</v>
      </c>
      <c r="U33" s="28">
        <v>37636</v>
      </c>
    </row>
    <row r="34" spans="1:21" ht="15" customHeight="1">
      <c r="B34" s="26"/>
      <c r="C34" s="26" t="s">
        <v>75</v>
      </c>
      <c r="D34" s="28">
        <v>4896</v>
      </c>
      <c r="E34" s="28">
        <v>8786</v>
      </c>
      <c r="F34" s="28">
        <v>1934</v>
      </c>
      <c r="G34" s="28">
        <v>5169</v>
      </c>
      <c r="H34" s="28">
        <v>1785</v>
      </c>
      <c r="I34" s="28">
        <v>1613</v>
      </c>
      <c r="J34" s="28">
        <v>2122</v>
      </c>
      <c r="K34" s="28">
        <v>163</v>
      </c>
      <c r="L34" s="28">
        <v>10985</v>
      </c>
      <c r="M34" s="28">
        <v>1639</v>
      </c>
      <c r="N34" s="28">
        <v>2685</v>
      </c>
      <c r="O34" s="28">
        <v>2893</v>
      </c>
      <c r="P34" s="28">
        <v>2135</v>
      </c>
      <c r="Q34" s="28">
        <v>4640</v>
      </c>
      <c r="R34" s="28">
        <v>4927</v>
      </c>
      <c r="S34" s="28">
        <v>5370</v>
      </c>
      <c r="T34" s="28">
        <v>645</v>
      </c>
      <c r="U34" s="28">
        <v>63754</v>
      </c>
    </row>
    <row r="35" spans="1:21" ht="15" customHeight="1">
      <c r="A35" s="26"/>
      <c r="B35" s="26"/>
      <c r="C35" s="26" t="s">
        <v>72</v>
      </c>
      <c r="D35" s="28">
        <v>7982</v>
      </c>
      <c r="E35" s="28">
        <v>10457</v>
      </c>
      <c r="F35" s="28">
        <v>2951</v>
      </c>
      <c r="G35" s="28">
        <v>6985</v>
      </c>
      <c r="H35" s="28">
        <v>2656</v>
      </c>
      <c r="I35" s="28">
        <v>2452</v>
      </c>
      <c r="J35" s="28">
        <v>2719</v>
      </c>
      <c r="K35" s="28">
        <v>370</v>
      </c>
      <c r="L35" s="28">
        <v>17672</v>
      </c>
      <c r="M35" s="28">
        <v>3108</v>
      </c>
      <c r="N35" s="28">
        <v>4004</v>
      </c>
      <c r="O35" s="28">
        <v>4714</v>
      </c>
      <c r="P35" s="28">
        <v>3735</v>
      </c>
      <c r="Q35" s="28">
        <v>6846</v>
      </c>
      <c r="R35" s="28">
        <v>7821</v>
      </c>
      <c r="S35" s="28">
        <v>7770</v>
      </c>
      <c r="T35" s="28">
        <v>1324</v>
      </c>
      <c r="U35" s="28">
        <v>101390</v>
      </c>
    </row>
    <row r="36" spans="1:21" ht="15" customHeight="1">
      <c r="A36" s="26" t="s">
        <v>1014</v>
      </c>
      <c r="B36" s="26" t="s">
        <v>79</v>
      </c>
      <c r="C36" s="26" t="s">
        <v>74</v>
      </c>
      <c r="D36" s="28">
        <v>1044636</v>
      </c>
      <c r="E36" s="28">
        <v>509386</v>
      </c>
      <c r="F36" s="28">
        <v>446237</v>
      </c>
      <c r="G36" s="28">
        <v>546497</v>
      </c>
      <c r="H36" s="28">
        <v>257011</v>
      </c>
      <c r="I36" s="28">
        <v>244944</v>
      </c>
      <c r="J36" s="28">
        <v>218067</v>
      </c>
      <c r="K36" s="28">
        <v>60785</v>
      </c>
      <c r="L36" s="28">
        <v>2257518</v>
      </c>
      <c r="M36" s="28">
        <v>356247</v>
      </c>
      <c r="N36" s="28">
        <v>362906</v>
      </c>
      <c r="O36" s="28">
        <v>498345</v>
      </c>
      <c r="P36" s="28">
        <v>415588</v>
      </c>
      <c r="Q36" s="28">
        <v>466385</v>
      </c>
      <c r="R36" s="28">
        <v>637778</v>
      </c>
      <c r="S36" s="28">
        <v>691525</v>
      </c>
      <c r="T36" s="28">
        <v>165544</v>
      </c>
      <c r="U36" s="28">
        <v>9207296</v>
      </c>
    </row>
    <row r="37" spans="1:21" ht="15" customHeight="1">
      <c r="A37" s="26"/>
      <c r="B37" s="26"/>
      <c r="C37" s="26" t="s">
        <v>75</v>
      </c>
      <c r="D37" s="28">
        <v>77284</v>
      </c>
      <c r="E37" s="28">
        <v>53201</v>
      </c>
      <c r="F37" s="28">
        <v>24332</v>
      </c>
      <c r="G37" s="28">
        <v>133014</v>
      </c>
      <c r="H37" s="28">
        <v>15743</v>
      </c>
      <c r="I37" s="28">
        <v>14226</v>
      </c>
      <c r="J37" s="28">
        <v>10366</v>
      </c>
      <c r="K37" s="28">
        <v>2068</v>
      </c>
      <c r="L37" s="28">
        <v>143819</v>
      </c>
      <c r="M37" s="28">
        <v>13123</v>
      </c>
      <c r="N37" s="28">
        <v>19810</v>
      </c>
      <c r="O37" s="28">
        <v>24541</v>
      </c>
      <c r="P37" s="28">
        <v>22137</v>
      </c>
      <c r="Q37" s="28">
        <v>61951</v>
      </c>
      <c r="R37" s="28">
        <v>29484</v>
      </c>
      <c r="S37" s="28">
        <v>45427</v>
      </c>
      <c r="T37" s="28">
        <v>87618</v>
      </c>
      <c r="U37" s="28">
        <v>784828</v>
      </c>
    </row>
    <row r="38" spans="1:21" ht="15" customHeight="1">
      <c r="A38" s="26"/>
      <c r="B38" s="26"/>
      <c r="C38" s="26" t="s">
        <v>72</v>
      </c>
      <c r="D38" s="28">
        <v>1121920</v>
      </c>
      <c r="E38" s="28">
        <v>562587</v>
      </c>
      <c r="F38" s="28">
        <v>470569</v>
      </c>
      <c r="G38" s="28">
        <v>679511</v>
      </c>
      <c r="H38" s="28">
        <v>272754</v>
      </c>
      <c r="I38" s="28">
        <v>259170</v>
      </c>
      <c r="J38" s="28">
        <v>228433</v>
      </c>
      <c r="K38" s="28">
        <v>62853</v>
      </c>
      <c r="L38" s="28">
        <v>2401337</v>
      </c>
      <c r="M38" s="28">
        <v>369370</v>
      </c>
      <c r="N38" s="28">
        <v>382716</v>
      </c>
      <c r="O38" s="28">
        <v>522886</v>
      </c>
      <c r="P38" s="28">
        <v>437725</v>
      </c>
      <c r="Q38" s="28">
        <v>528336</v>
      </c>
      <c r="R38" s="28">
        <v>667262</v>
      </c>
      <c r="S38" s="28">
        <v>736952</v>
      </c>
      <c r="T38" s="28">
        <v>253162</v>
      </c>
      <c r="U38" s="28">
        <v>9992124</v>
      </c>
    </row>
    <row r="39" spans="1:21" ht="15" customHeight="1">
      <c r="A39" s="25" t="s">
        <v>1024</v>
      </c>
      <c r="B39" s="25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</row>
    <row r="40" spans="1:21" ht="15" customHeight="1">
      <c r="A40" s="26"/>
      <c r="B40" s="26"/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</row>
    <row r="41" spans="1:21" ht="15" customHeight="1">
      <c r="A41" s="26" t="s">
        <v>1010</v>
      </c>
      <c r="B41" s="26" t="s">
        <v>73</v>
      </c>
      <c r="C41" s="26" t="s">
        <v>1016</v>
      </c>
      <c r="D41" s="28">
        <v>148474</v>
      </c>
      <c r="E41" s="28">
        <v>78247</v>
      </c>
      <c r="F41" s="28">
        <v>86757</v>
      </c>
      <c r="G41" s="28">
        <v>63970</v>
      </c>
      <c r="H41" s="28">
        <v>69317</v>
      </c>
      <c r="I41" s="28">
        <v>53391</v>
      </c>
      <c r="J41" s="28">
        <v>28671</v>
      </c>
      <c r="K41" s="28">
        <v>10989</v>
      </c>
      <c r="L41" s="28">
        <v>308396</v>
      </c>
      <c r="M41" s="28">
        <v>45448</v>
      </c>
      <c r="N41" s="28">
        <v>53754</v>
      </c>
      <c r="O41" s="28">
        <v>70321</v>
      </c>
      <c r="P41" s="28">
        <v>75684</v>
      </c>
      <c r="Q41" s="28">
        <v>76726</v>
      </c>
      <c r="R41" s="28">
        <v>105730</v>
      </c>
      <c r="S41" s="28">
        <v>106784</v>
      </c>
      <c r="T41" s="28">
        <v>22002</v>
      </c>
      <c r="U41" s="28">
        <v>1397560</v>
      </c>
    </row>
    <row r="42" spans="1:21" ht="15" customHeight="1">
      <c r="A42" s="26"/>
      <c r="B42" s="26"/>
      <c r="C42" s="26" t="s">
        <v>1015</v>
      </c>
      <c r="D42" s="28">
        <v>82615</v>
      </c>
      <c r="E42" s="28">
        <v>31319</v>
      </c>
      <c r="F42" s="28">
        <v>19307</v>
      </c>
      <c r="G42" s="28">
        <v>58539</v>
      </c>
      <c r="H42" s="28">
        <v>12567</v>
      </c>
      <c r="I42" s="28">
        <v>11295</v>
      </c>
      <c r="J42" s="28">
        <v>6364</v>
      </c>
      <c r="K42" s="28">
        <v>478</v>
      </c>
      <c r="L42" s="28">
        <v>53186</v>
      </c>
      <c r="M42" s="28">
        <v>9350</v>
      </c>
      <c r="N42" s="28">
        <v>10601</v>
      </c>
      <c r="O42" s="28">
        <v>9555</v>
      </c>
      <c r="P42" s="28">
        <v>12198</v>
      </c>
      <c r="Q42" s="28">
        <v>20946</v>
      </c>
      <c r="R42" s="28">
        <v>12116</v>
      </c>
      <c r="S42" s="28">
        <v>18722</v>
      </c>
      <c r="T42" s="28">
        <v>37641</v>
      </c>
      <c r="U42" s="28">
        <v>391807</v>
      </c>
    </row>
    <row r="43" spans="1:21" ht="15" customHeight="1">
      <c r="B43" s="26"/>
      <c r="C43" s="26" t="s">
        <v>994</v>
      </c>
      <c r="D43" s="28">
        <v>231089</v>
      </c>
      <c r="E43" s="28">
        <v>109566</v>
      </c>
      <c r="F43" s="28">
        <v>106064</v>
      </c>
      <c r="G43" s="28">
        <v>122509</v>
      </c>
      <c r="H43" s="28">
        <v>81884</v>
      </c>
      <c r="I43" s="28">
        <v>64686</v>
      </c>
      <c r="J43" s="28">
        <v>35035</v>
      </c>
      <c r="K43" s="28">
        <v>11467</v>
      </c>
      <c r="L43" s="28">
        <v>361582</v>
      </c>
      <c r="M43" s="28">
        <v>54798</v>
      </c>
      <c r="N43" s="28">
        <v>64355</v>
      </c>
      <c r="O43" s="28">
        <v>79876</v>
      </c>
      <c r="P43" s="28">
        <v>87882</v>
      </c>
      <c r="Q43" s="28">
        <v>97672</v>
      </c>
      <c r="R43" s="28">
        <v>117846</v>
      </c>
      <c r="S43" s="28">
        <v>125506</v>
      </c>
      <c r="T43" s="28">
        <v>59643</v>
      </c>
      <c r="U43" s="28">
        <v>1789367</v>
      </c>
    </row>
    <row r="44" spans="1:21" ht="15" customHeight="1">
      <c r="A44" s="26" t="s">
        <v>1011</v>
      </c>
      <c r="B44" s="26" t="s">
        <v>76</v>
      </c>
      <c r="C44" s="26" t="s">
        <v>1016</v>
      </c>
      <c r="D44" s="28">
        <v>14534</v>
      </c>
      <c r="E44" s="28">
        <v>4589</v>
      </c>
      <c r="F44" s="28">
        <v>3284</v>
      </c>
      <c r="G44" s="28">
        <v>4143</v>
      </c>
      <c r="H44" s="28">
        <v>1955</v>
      </c>
      <c r="I44" s="28">
        <v>1921</v>
      </c>
      <c r="J44" s="28">
        <v>1206</v>
      </c>
      <c r="K44" s="28">
        <v>289</v>
      </c>
      <c r="L44" s="28">
        <v>17312</v>
      </c>
      <c r="M44" s="28">
        <v>1922</v>
      </c>
      <c r="N44" s="28">
        <v>1865</v>
      </c>
      <c r="O44" s="28">
        <v>2322</v>
      </c>
      <c r="P44" s="28">
        <v>2213</v>
      </c>
      <c r="Q44" s="28">
        <v>2525</v>
      </c>
      <c r="R44" s="28">
        <v>3775</v>
      </c>
      <c r="S44" s="28">
        <v>4850</v>
      </c>
      <c r="T44" s="28">
        <v>1716</v>
      </c>
      <c r="U44" s="28">
        <v>66385</v>
      </c>
    </row>
    <row r="45" spans="1:21" ht="15" customHeight="1">
      <c r="B45" s="26"/>
      <c r="C45" s="26" t="s">
        <v>1015</v>
      </c>
      <c r="D45" s="28">
        <v>330</v>
      </c>
      <c r="E45" s="28">
        <v>42</v>
      </c>
      <c r="F45" s="28">
        <v>3</v>
      </c>
      <c r="G45" s="28">
        <v>119</v>
      </c>
      <c r="H45" s="28">
        <v>4</v>
      </c>
      <c r="I45" s="28">
        <v>3</v>
      </c>
      <c r="J45" s="28">
        <v>5</v>
      </c>
      <c r="K45" s="28">
        <v>0</v>
      </c>
      <c r="L45" s="28">
        <v>40</v>
      </c>
      <c r="M45" s="28">
        <v>5</v>
      </c>
      <c r="N45" s="28">
        <v>6</v>
      </c>
      <c r="O45" s="28">
        <v>5</v>
      </c>
      <c r="P45" s="28">
        <v>4</v>
      </c>
      <c r="Q45" s="28">
        <v>337</v>
      </c>
      <c r="R45" s="28">
        <v>5</v>
      </c>
      <c r="S45" s="28">
        <v>28</v>
      </c>
      <c r="T45" s="28">
        <v>73</v>
      </c>
      <c r="U45" s="28">
        <v>1226</v>
      </c>
    </row>
    <row r="46" spans="1:21" ht="15" customHeight="1">
      <c r="A46" s="26"/>
      <c r="B46" s="26"/>
      <c r="C46" s="26" t="s">
        <v>994</v>
      </c>
      <c r="D46" s="28">
        <v>14864</v>
      </c>
      <c r="E46" s="28">
        <v>4631</v>
      </c>
      <c r="F46" s="28">
        <v>3287</v>
      </c>
      <c r="G46" s="28">
        <v>4262</v>
      </c>
      <c r="H46" s="28">
        <v>1959</v>
      </c>
      <c r="I46" s="28">
        <v>1924</v>
      </c>
      <c r="J46" s="28">
        <v>1211</v>
      </c>
      <c r="K46" s="28">
        <v>289</v>
      </c>
      <c r="L46" s="28">
        <v>17352</v>
      </c>
      <c r="M46" s="28">
        <v>1927</v>
      </c>
      <c r="N46" s="28">
        <v>1871</v>
      </c>
      <c r="O46" s="28">
        <v>2327</v>
      </c>
      <c r="P46" s="28">
        <v>2217</v>
      </c>
      <c r="Q46" s="28">
        <v>2862</v>
      </c>
      <c r="R46" s="28">
        <v>3780</v>
      </c>
      <c r="S46" s="28">
        <v>4878</v>
      </c>
      <c r="T46" s="28">
        <v>1789</v>
      </c>
      <c r="U46" s="28">
        <v>67611</v>
      </c>
    </row>
    <row r="47" spans="1:21" ht="15" customHeight="1">
      <c r="A47" s="26" t="s">
        <v>1012</v>
      </c>
      <c r="B47" s="26" t="s">
        <v>77</v>
      </c>
      <c r="C47" s="26" t="s">
        <v>1016</v>
      </c>
      <c r="D47" s="28">
        <v>20402</v>
      </c>
      <c r="E47" s="28">
        <v>5259</v>
      </c>
      <c r="F47" s="28">
        <v>4797</v>
      </c>
      <c r="G47" s="28">
        <v>7935</v>
      </c>
      <c r="H47" s="28">
        <v>2803</v>
      </c>
      <c r="I47" s="28">
        <v>2408</v>
      </c>
      <c r="J47" s="28">
        <v>1923</v>
      </c>
      <c r="K47" s="28">
        <v>366</v>
      </c>
      <c r="L47" s="28">
        <v>27938</v>
      </c>
      <c r="M47" s="28">
        <v>3788</v>
      </c>
      <c r="N47" s="28">
        <v>2888</v>
      </c>
      <c r="O47" s="28">
        <v>3963</v>
      </c>
      <c r="P47" s="28">
        <v>3478</v>
      </c>
      <c r="Q47" s="28">
        <v>4296</v>
      </c>
      <c r="R47" s="28">
        <v>5993</v>
      </c>
      <c r="S47" s="28">
        <v>7352</v>
      </c>
      <c r="T47" s="28">
        <v>3394</v>
      </c>
      <c r="U47" s="28">
        <v>109894</v>
      </c>
    </row>
    <row r="48" spans="1:21" ht="15" customHeight="1">
      <c r="B48" s="26"/>
      <c r="C48" s="26" t="s">
        <v>1015</v>
      </c>
      <c r="D48" s="28">
        <v>5540</v>
      </c>
      <c r="E48" s="28">
        <v>144</v>
      </c>
      <c r="F48" s="28">
        <v>373</v>
      </c>
      <c r="G48" s="28">
        <v>1013</v>
      </c>
      <c r="H48" s="28">
        <v>192</v>
      </c>
      <c r="I48" s="28">
        <v>54</v>
      </c>
      <c r="J48" s="28">
        <v>19</v>
      </c>
      <c r="K48" s="28">
        <v>9</v>
      </c>
      <c r="L48" s="28">
        <v>4794</v>
      </c>
      <c r="M48" s="28">
        <v>42</v>
      </c>
      <c r="N48" s="28">
        <v>32</v>
      </c>
      <c r="O48" s="28">
        <v>61</v>
      </c>
      <c r="P48" s="28">
        <v>56</v>
      </c>
      <c r="Q48" s="28">
        <v>54</v>
      </c>
      <c r="R48" s="28">
        <v>111</v>
      </c>
      <c r="S48" s="28">
        <v>84</v>
      </c>
      <c r="T48" s="28">
        <v>17</v>
      </c>
      <c r="U48" s="28">
        <v>12177</v>
      </c>
    </row>
    <row r="49" spans="1:21" ht="15" customHeight="1">
      <c r="A49" s="26"/>
      <c r="B49" s="26"/>
      <c r="C49" s="26" t="s">
        <v>994</v>
      </c>
      <c r="D49" s="28">
        <v>25942</v>
      </c>
      <c r="E49" s="28">
        <v>5403</v>
      </c>
      <c r="F49" s="28">
        <v>5170</v>
      </c>
      <c r="G49" s="28">
        <v>8948</v>
      </c>
      <c r="H49" s="28">
        <v>2995</v>
      </c>
      <c r="I49" s="28">
        <v>2462</v>
      </c>
      <c r="J49" s="28">
        <v>1942</v>
      </c>
      <c r="K49" s="28">
        <v>375</v>
      </c>
      <c r="L49" s="28">
        <v>32732</v>
      </c>
      <c r="M49" s="28">
        <v>3830</v>
      </c>
      <c r="N49" s="28">
        <v>2920</v>
      </c>
      <c r="O49" s="28">
        <v>4024</v>
      </c>
      <c r="P49" s="28">
        <v>3534</v>
      </c>
      <c r="Q49" s="28">
        <v>4350</v>
      </c>
      <c r="R49" s="28">
        <v>6104</v>
      </c>
      <c r="S49" s="28">
        <v>7436</v>
      </c>
      <c r="T49" s="28">
        <v>3411</v>
      </c>
      <c r="U49" s="28">
        <v>122071</v>
      </c>
    </row>
    <row r="50" spans="1:21" ht="15" customHeight="1">
      <c r="A50" s="26" t="s">
        <v>1013</v>
      </c>
      <c r="B50" s="26" t="s">
        <v>78</v>
      </c>
      <c r="C50" s="26" t="s">
        <v>1016</v>
      </c>
      <c r="D50" s="28">
        <v>20</v>
      </c>
      <c r="E50" s="28">
        <v>9</v>
      </c>
      <c r="F50" s="28">
        <v>12</v>
      </c>
      <c r="G50" s="28">
        <v>12</v>
      </c>
      <c r="H50" s="28">
        <v>6</v>
      </c>
      <c r="I50" s="28">
        <v>3</v>
      </c>
      <c r="J50" s="28">
        <v>2</v>
      </c>
      <c r="K50" s="28">
        <v>0</v>
      </c>
      <c r="L50" s="28">
        <v>51</v>
      </c>
      <c r="M50" s="28">
        <v>6</v>
      </c>
      <c r="N50" s="28">
        <v>6</v>
      </c>
      <c r="O50" s="28">
        <v>16</v>
      </c>
      <c r="P50" s="28">
        <v>8</v>
      </c>
      <c r="Q50" s="28">
        <v>7</v>
      </c>
      <c r="R50" s="28">
        <v>13</v>
      </c>
      <c r="S50" s="28">
        <v>14</v>
      </c>
      <c r="T50" s="28">
        <v>2</v>
      </c>
      <c r="U50" s="28">
        <v>288</v>
      </c>
    </row>
    <row r="51" spans="1:21" ht="15" customHeight="1">
      <c r="B51" s="26"/>
      <c r="C51" s="26" t="s">
        <v>1015</v>
      </c>
      <c r="D51" s="28">
        <v>62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v>0</v>
      </c>
      <c r="L51" s="28">
        <v>1</v>
      </c>
      <c r="M51" s="28">
        <v>0</v>
      </c>
      <c r="N51" s="28">
        <v>0</v>
      </c>
      <c r="O51" s="28">
        <v>4</v>
      </c>
      <c r="P51" s="28">
        <v>0</v>
      </c>
      <c r="Q51" s="28">
        <v>1</v>
      </c>
      <c r="R51" s="28">
        <v>7</v>
      </c>
      <c r="S51" s="28">
        <v>0</v>
      </c>
      <c r="T51" s="28">
        <v>0</v>
      </c>
      <c r="U51" s="28">
        <v>70</v>
      </c>
    </row>
    <row r="52" spans="1:21" ht="15" customHeight="1">
      <c r="A52" s="26"/>
      <c r="B52" s="26"/>
      <c r="C52" s="26" t="s">
        <v>994</v>
      </c>
      <c r="D52" s="28">
        <v>82</v>
      </c>
      <c r="E52" s="28">
        <v>9</v>
      </c>
      <c r="F52" s="28">
        <v>12</v>
      </c>
      <c r="G52" s="28">
        <v>12</v>
      </c>
      <c r="H52" s="28">
        <v>6</v>
      </c>
      <c r="I52" s="28">
        <v>3</v>
      </c>
      <c r="J52" s="28">
        <v>2</v>
      </c>
      <c r="K52" s="28">
        <v>0</v>
      </c>
      <c r="L52" s="28">
        <v>52</v>
      </c>
      <c r="M52" s="28">
        <v>6</v>
      </c>
      <c r="N52" s="28">
        <v>6</v>
      </c>
      <c r="O52" s="28">
        <v>20</v>
      </c>
      <c r="P52" s="28">
        <v>8</v>
      </c>
      <c r="Q52" s="28">
        <v>8</v>
      </c>
      <c r="R52" s="28">
        <v>20</v>
      </c>
      <c r="S52" s="28">
        <v>14</v>
      </c>
      <c r="T52" s="28">
        <v>2</v>
      </c>
      <c r="U52" s="28">
        <v>358</v>
      </c>
    </row>
    <row r="53" spans="1:21" ht="15" customHeight="1">
      <c r="A53" s="26" t="s">
        <v>1014</v>
      </c>
      <c r="B53" s="26" t="s">
        <v>79</v>
      </c>
      <c r="C53" s="26" t="s">
        <v>1016</v>
      </c>
      <c r="D53" s="28">
        <v>183430</v>
      </c>
      <c r="E53" s="28">
        <v>88104</v>
      </c>
      <c r="F53" s="28">
        <v>94850</v>
      </c>
      <c r="G53" s="28">
        <v>76060</v>
      </c>
      <c r="H53" s="28">
        <v>74081</v>
      </c>
      <c r="I53" s="28">
        <v>57723</v>
      </c>
      <c r="J53" s="28">
        <v>31802</v>
      </c>
      <c r="K53" s="28">
        <v>11644</v>
      </c>
      <c r="L53" s="28">
        <v>353697</v>
      </c>
      <c r="M53" s="28">
        <v>51164</v>
      </c>
      <c r="N53" s="28">
        <v>58513</v>
      </c>
      <c r="O53" s="28">
        <v>76622</v>
      </c>
      <c r="P53" s="28">
        <v>81383</v>
      </c>
      <c r="Q53" s="28">
        <v>83554</v>
      </c>
      <c r="R53" s="28">
        <v>115511</v>
      </c>
      <c r="S53" s="28">
        <v>119000</v>
      </c>
      <c r="T53" s="28">
        <v>27114</v>
      </c>
      <c r="U53" s="28">
        <v>1574127</v>
      </c>
    </row>
    <row r="54" spans="1:21" ht="15" customHeight="1">
      <c r="A54" s="26"/>
      <c r="B54" s="26"/>
      <c r="C54" s="26" t="s">
        <v>1015</v>
      </c>
      <c r="D54" s="28">
        <v>88547</v>
      </c>
      <c r="E54" s="28">
        <v>31505</v>
      </c>
      <c r="F54" s="28">
        <v>19683</v>
      </c>
      <c r="G54" s="28">
        <v>59671</v>
      </c>
      <c r="H54" s="28">
        <v>12763</v>
      </c>
      <c r="I54" s="28">
        <v>11352</v>
      </c>
      <c r="J54" s="28">
        <v>6388</v>
      </c>
      <c r="K54" s="28">
        <v>487</v>
      </c>
      <c r="L54" s="28">
        <v>58021</v>
      </c>
      <c r="M54" s="28">
        <v>9397</v>
      </c>
      <c r="N54" s="28">
        <v>10639</v>
      </c>
      <c r="O54" s="28">
        <v>9625</v>
      </c>
      <c r="P54" s="28">
        <v>12258</v>
      </c>
      <c r="Q54" s="28">
        <v>21338</v>
      </c>
      <c r="R54" s="28">
        <v>12239</v>
      </c>
      <c r="S54" s="28">
        <v>18834</v>
      </c>
      <c r="T54" s="28">
        <v>37731</v>
      </c>
      <c r="U54" s="28">
        <v>405280</v>
      </c>
    </row>
    <row r="55" spans="1:21" ht="15" customHeight="1">
      <c r="A55" s="26"/>
      <c r="B55" s="26"/>
      <c r="C55" s="26" t="s">
        <v>994</v>
      </c>
      <c r="D55" s="28">
        <v>271977</v>
      </c>
      <c r="E55" s="28">
        <v>119609</v>
      </c>
      <c r="F55" s="28">
        <v>114533</v>
      </c>
      <c r="G55" s="28">
        <v>135731</v>
      </c>
      <c r="H55" s="28">
        <v>86844</v>
      </c>
      <c r="I55" s="28">
        <v>69075</v>
      </c>
      <c r="J55" s="28">
        <v>38190</v>
      </c>
      <c r="K55" s="28">
        <v>12131</v>
      </c>
      <c r="L55" s="28">
        <v>411718</v>
      </c>
      <c r="M55" s="28">
        <v>60561</v>
      </c>
      <c r="N55" s="28">
        <v>69152</v>
      </c>
      <c r="O55" s="28">
        <v>86247</v>
      </c>
      <c r="P55" s="28">
        <v>93641</v>
      </c>
      <c r="Q55" s="28">
        <v>104892</v>
      </c>
      <c r="R55" s="28">
        <v>127750</v>
      </c>
      <c r="S55" s="28">
        <v>137834</v>
      </c>
      <c r="T55" s="28">
        <v>64845</v>
      </c>
      <c r="U55" s="28">
        <v>1979407</v>
      </c>
    </row>
    <row r="56" spans="1:21" ht="15" customHeight="1">
      <c r="A56" s="25" t="s">
        <v>81</v>
      </c>
      <c r="B56" s="25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</row>
    <row r="57" spans="1:21" ht="15" customHeight="1">
      <c r="A57" s="26"/>
      <c r="B57" s="26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</row>
    <row r="58" spans="1:21" ht="15" customHeight="1">
      <c r="A58" s="26" t="s">
        <v>1010</v>
      </c>
      <c r="B58" s="26" t="s">
        <v>73</v>
      </c>
      <c r="C58" s="26" t="s">
        <v>1016</v>
      </c>
      <c r="D58" s="28">
        <v>0</v>
      </c>
      <c r="E58" s="28">
        <v>0</v>
      </c>
      <c r="F58" s="28">
        <v>0</v>
      </c>
      <c r="G58" s="28">
        <v>0</v>
      </c>
      <c r="H58" s="28">
        <v>0</v>
      </c>
      <c r="I58" s="28">
        <v>0</v>
      </c>
      <c r="J58" s="28">
        <v>0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8">
        <v>0</v>
      </c>
      <c r="S58" s="28">
        <v>0</v>
      </c>
      <c r="T58" s="28">
        <v>0</v>
      </c>
      <c r="U58" s="28">
        <v>1</v>
      </c>
    </row>
    <row r="59" spans="1:21" ht="15" customHeight="1">
      <c r="A59" s="26"/>
      <c r="B59" s="26"/>
      <c r="C59" s="26" t="s">
        <v>1015</v>
      </c>
      <c r="D59" s="28">
        <v>0</v>
      </c>
      <c r="E59" s="28">
        <v>0</v>
      </c>
      <c r="F59" s="28">
        <v>0</v>
      </c>
      <c r="G59" s="28">
        <v>0</v>
      </c>
      <c r="H59" s="28">
        <v>0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</row>
    <row r="60" spans="1:21" ht="15" customHeight="1">
      <c r="B60" s="26"/>
      <c r="C60" s="26" t="s">
        <v>994</v>
      </c>
      <c r="D60" s="28">
        <v>0</v>
      </c>
      <c r="E60" s="28">
        <v>0</v>
      </c>
      <c r="F60" s="28">
        <v>0</v>
      </c>
      <c r="G60" s="28">
        <v>0</v>
      </c>
      <c r="H60" s="28">
        <v>0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1</v>
      </c>
    </row>
    <row r="61" spans="1:21" ht="15" customHeight="1">
      <c r="A61" s="26" t="s">
        <v>1011</v>
      </c>
      <c r="B61" s="26" t="s">
        <v>76</v>
      </c>
      <c r="C61" s="26" t="s">
        <v>1016</v>
      </c>
      <c r="D61" s="28">
        <v>0</v>
      </c>
      <c r="E61" s="28">
        <v>0</v>
      </c>
      <c r="F61" s="28">
        <v>0</v>
      </c>
      <c r="G61" s="28">
        <v>0</v>
      </c>
      <c r="H61" s="28">
        <v>0</v>
      </c>
      <c r="I61" s="28">
        <v>0</v>
      </c>
      <c r="J61" s="28">
        <v>0</v>
      </c>
      <c r="K61" s="28">
        <v>0</v>
      </c>
      <c r="L61" s="28">
        <v>0</v>
      </c>
      <c r="M61" s="28">
        <v>0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0</v>
      </c>
      <c r="T61" s="28">
        <v>0</v>
      </c>
      <c r="U61" s="28">
        <v>0</v>
      </c>
    </row>
    <row r="62" spans="1:21" ht="15" customHeight="1">
      <c r="B62" s="26"/>
      <c r="C62" s="26" t="s">
        <v>1015</v>
      </c>
      <c r="D62" s="28">
        <v>0</v>
      </c>
      <c r="E62" s="28">
        <v>0</v>
      </c>
      <c r="F62" s="28">
        <v>0</v>
      </c>
      <c r="G62" s="28">
        <v>0</v>
      </c>
      <c r="H62" s="28">
        <v>0</v>
      </c>
      <c r="I62" s="28">
        <v>0</v>
      </c>
      <c r="J62" s="28">
        <v>0</v>
      </c>
      <c r="K62" s="28">
        <v>0</v>
      </c>
      <c r="L62" s="28">
        <v>0</v>
      </c>
      <c r="M62" s="28">
        <v>0</v>
      </c>
      <c r="N62" s="28">
        <v>0</v>
      </c>
      <c r="O62" s="28">
        <v>0</v>
      </c>
      <c r="P62" s="28">
        <v>0</v>
      </c>
      <c r="Q62" s="28">
        <v>0</v>
      </c>
      <c r="R62" s="28">
        <v>0</v>
      </c>
      <c r="S62" s="28">
        <v>0</v>
      </c>
      <c r="T62" s="28">
        <v>0</v>
      </c>
      <c r="U62" s="28">
        <v>0</v>
      </c>
    </row>
    <row r="63" spans="1:21" ht="15" customHeight="1">
      <c r="A63" s="26"/>
      <c r="B63" s="26"/>
      <c r="C63" s="26" t="s">
        <v>994</v>
      </c>
      <c r="D63" s="28">
        <v>0</v>
      </c>
      <c r="E63" s="28">
        <v>0</v>
      </c>
      <c r="F63" s="28">
        <v>0</v>
      </c>
      <c r="G63" s="28">
        <v>0</v>
      </c>
      <c r="H63" s="28">
        <v>0</v>
      </c>
      <c r="I63" s="28">
        <v>0</v>
      </c>
      <c r="J63" s="28">
        <v>0</v>
      </c>
      <c r="K63" s="28">
        <v>0</v>
      </c>
      <c r="L63" s="28">
        <v>0</v>
      </c>
      <c r="M63" s="28">
        <v>0</v>
      </c>
      <c r="N63" s="28">
        <v>0</v>
      </c>
      <c r="O63" s="28">
        <v>0</v>
      </c>
      <c r="P63" s="28">
        <v>0</v>
      </c>
      <c r="Q63" s="28">
        <v>0</v>
      </c>
      <c r="R63" s="28">
        <v>0</v>
      </c>
      <c r="S63" s="28">
        <v>0</v>
      </c>
      <c r="T63" s="28">
        <v>0</v>
      </c>
      <c r="U63" s="28">
        <v>0</v>
      </c>
    </row>
    <row r="64" spans="1:21" ht="15" customHeight="1">
      <c r="A64" s="26" t="s">
        <v>1012</v>
      </c>
      <c r="B64" s="26" t="s">
        <v>77</v>
      </c>
      <c r="C64" s="26" t="s">
        <v>1016</v>
      </c>
      <c r="D64" s="28">
        <v>0</v>
      </c>
      <c r="E64" s="28">
        <v>0</v>
      </c>
      <c r="F64" s="28">
        <v>0</v>
      </c>
      <c r="G64" s="28">
        <v>0</v>
      </c>
      <c r="H64" s="28">
        <v>0</v>
      </c>
      <c r="I64" s="28">
        <v>0</v>
      </c>
      <c r="J64" s="28">
        <v>0</v>
      </c>
      <c r="K64" s="28">
        <v>0</v>
      </c>
      <c r="L64" s="28">
        <v>0</v>
      </c>
      <c r="M64" s="28">
        <v>0</v>
      </c>
      <c r="N64" s="28">
        <v>0</v>
      </c>
      <c r="O64" s="28">
        <v>0</v>
      </c>
      <c r="P64" s="28">
        <v>0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</row>
    <row r="65" spans="1:21" ht="15" customHeight="1">
      <c r="B65" s="26"/>
      <c r="C65" s="26" t="s">
        <v>1015</v>
      </c>
      <c r="D65" s="28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  <c r="K65" s="28">
        <v>0</v>
      </c>
      <c r="L65" s="28">
        <v>0</v>
      </c>
      <c r="M65" s="28">
        <v>0</v>
      </c>
      <c r="N65" s="28">
        <v>0</v>
      </c>
      <c r="O65" s="28">
        <v>0</v>
      </c>
      <c r="P65" s="28">
        <v>0</v>
      </c>
      <c r="Q65" s="28">
        <v>0</v>
      </c>
      <c r="R65" s="28">
        <v>0</v>
      </c>
      <c r="S65" s="28">
        <v>1</v>
      </c>
      <c r="T65" s="28">
        <v>0</v>
      </c>
      <c r="U65" s="28">
        <v>1</v>
      </c>
    </row>
    <row r="66" spans="1:21" ht="15" customHeight="1">
      <c r="A66" s="26"/>
      <c r="B66" s="26"/>
      <c r="C66" s="26" t="s">
        <v>994</v>
      </c>
      <c r="D66" s="28">
        <v>0</v>
      </c>
      <c r="E66" s="28">
        <v>0</v>
      </c>
      <c r="F66" s="28">
        <v>0</v>
      </c>
      <c r="G66" s="28">
        <v>0</v>
      </c>
      <c r="H66" s="28">
        <v>0</v>
      </c>
      <c r="I66" s="28">
        <v>0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>
        <v>1</v>
      </c>
      <c r="T66" s="28">
        <v>0</v>
      </c>
      <c r="U66" s="28">
        <v>1</v>
      </c>
    </row>
    <row r="67" spans="1:21" ht="15" customHeight="1">
      <c r="A67" s="26" t="s">
        <v>1013</v>
      </c>
      <c r="B67" s="26" t="s">
        <v>78</v>
      </c>
      <c r="C67" s="26" t="s">
        <v>1016</v>
      </c>
      <c r="D67" s="28">
        <v>0</v>
      </c>
      <c r="E67" s="28">
        <v>0</v>
      </c>
      <c r="F67" s="28">
        <v>0</v>
      </c>
      <c r="G67" s="28">
        <v>0</v>
      </c>
      <c r="H67" s="28">
        <v>0</v>
      </c>
      <c r="I67" s="28">
        <v>0</v>
      </c>
      <c r="J67" s="28">
        <v>0</v>
      </c>
      <c r="K67" s="28">
        <v>0</v>
      </c>
      <c r="L67" s="28">
        <v>0</v>
      </c>
      <c r="M67" s="28">
        <v>0</v>
      </c>
      <c r="N67" s="28">
        <v>0</v>
      </c>
      <c r="O67" s="28">
        <v>0</v>
      </c>
      <c r="P67" s="28">
        <v>0</v>
      </c>
      <c r="Q67" s="28">
        <v>0</v>
      </c>
      <c r="R67" s="28">
        <v>0</v>
      </c>
      <c r="S67" s="28">
        <v>0</v>
      </c>
      <c r="T67" s="28">
        <v>0</v>
      </c>
      <c r="U67" s="28">
        <v>0</v>
      </c>
    </row>
    <row r="68" spans="1:21" ht="15" customHeight="1">
      <c r="B68" s="26"/>
      <c r="C68" s="26" t="s">
        <v>1015</v>
      </c>
      <c r="D68" s="28">
        <v>0</v>
      </c>
      <c r="E68" s="28">
        <v>0</v>
      </c>
      <c r="F68" s="28">
        <v>0</v>
      </c>
      <c r="G68" s="28">
        <v>0</v>
      </c>
      <c r="H68" s="28">
        <v>0</v>
      </c>
      <c r="I68" s="28">
        <v>0</v>
      </c>
      <c r="J68" s="28">
        <v>0</v>
      </c>
      <c r="K68" s="28">
        <v>0</v>
      </c>
      <c r="L68" s="28">
        <v>0</v>
      </c>
      <c r="M68" s="28">
        <v>0</v>
      </c>
      <c r="N68" s="28">
        <v>0</v>
      </c>
      <c r="O68" s="28">
        <v>0</v>
      </c>
      <c r="P68" s="28">
        <v>0</v>
      </c>
      <c r="Q68" s="28">
        <v>0</v>
      </c>
      <c r="R68" s="28">
        <v>0</v>
      </c>
      <c r="S68" s="28">
        <v>0</v>
      </c>
      <c r="T68" s="28">
        <v>0</v>
      </c>
      <c r="U68" s="28">
        <v>0</v>
      </c>
    </row>
    <row r="69" spans="1:21" ht="15" customHeight="1">
      <c r="A69" s="26"/>
      <c r="B69" s="26"/>
      <c r="C69" s="26" t="s">
        <v>994</v>
      </c>
      <c r="D69" s="28">
        <v>0</v>
      </c>
      <c r="E69" s="28">
        <v>0</v>
      </c>
      <c r="F69" s="28">
        <v>0</v>
      </c>
      <c r="G69" s="28">
        <v>0</v>
      </c>
      <c r="H69" s="28">
        <v>0</v>
      </c>
      <c r="I69" s="28">
        <v>0</v>
      </c>
      <c r="J69" s="28">
        <v>0</v>
      </c>
      <c r="K69" s="28">
        <v>0</v>
      </c>
      <c r="L69" s="28">
        <v>0</v>
      </c>
      <c r="M69" s="28">
        <v>0</v>
      </c>
      <c r="N69" s="28">
        <v>0</v>
      </c>
      <c r="O69" s="28">
        <v>0</v>
      </c>
      <c r="P69" s="28">
        <v>0</v>
      </c>
      <c r="Q69" s="28">
        <v>0</v>
      </c>
      <c r="R69" s="28">
        <v>0</v>
      </c>
      <c r="S69" s="28">
        <v>0</v>
      </c>
      <c r="T69" s="28">
        <v>0</v>
      </c>
      <c r="U69" s="28">
        <v>0</v>
      </c>
    </row>
    <row r="70" spans="1:21" ht="15" customHeight="1">
      <c r="A70" s="26" t="s">
        <v>1014</v>
      </c>
      <c r="B70" s="26" t="s">
        <v>79</v>
      </c>
      <c r="C70" s="26" t="s">
        <v>1016</v>
      </c>
      <c r="D70" s="28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K70" s="28">
        <v>0</v>
      </c>
      <c r="L70" s="28">
        <v>0</v>
      </c>
      <c r="M70" s="28">
        <v>0</v>
      </c>
      <c r="N70" s="28">
        <v>0</v>
      </c>
      <c r="O70" s="28">
        <v>0</v>
      </c>
      <c r="P70" s="28">
        <v>0</v>
      </c>
      <c r="Q70" s="28">
        <v>0</v>
      </c>
      <c r="R70" s="28">
        <v>0</v>
      </c>
      <c r="S70" s="28">
        <v>0</v>
      </c>
      <c r="T70" s="28">
        <v>0</v>
      </c>
      <c r="U70" s="28">
        <v>1</v>
      </c>
    </row>
    <row r="71" spans="1:21" ht="15" customHeight="1">
      <c r="A71" s="26"/>
      <c r="B71" s="26" t="s">
        <v>79</v>
      </c>
      <c r="C71" s="26" t="s">
        <v>1015</v>
      </c>
      <c r="D71" s="28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K71" s="28">
        <v>0</v>
      </c>
      <c r="L71" s="28">
        <v>0</v>
      </c>
      <c r="M71" s="28">
        <v>0</v>
      </c>
      <c r="N71" s="28">
        <v>0</v>
      </c>
      <c r="O71" s="28">
        <v>0</v>
      </c>
      <c r="P71" s="28">
        <v>0</v>
      </c>
      <c r="Q71" s="28">
        <v>0</v>
      </c>
      <c r="R71" s="28">
        <v>0</v>
      </c>
      <c r="S71" s="28">
        <v>1</v>
      </c>
      <c r="T71" s="28">
        <v>0</v>
      </c>
      <c r="U71" s="28">
        <v>1</v>
      </c>
    </row>
    <row r="72" spans="1:21" ht="15" customHeight="1">
      <c r="A72" s="26"/>
      <c r="B72" s="26" t="s">
        <v>79</v>
      </c>
      <c r="C72" s="26" t="s">
        <v>994</v>
      </c>
      <c r="D72" s="28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  <c r="K72" s="28">
        <v>0</v>
      </c>
      <c r="L72" s="28">
        <v>0</v>
      </c>
      <c r="M72" s="28">
        <v>0</v>
      </c>
      <c r="N72" s="28">
        <v>0</v>
      </c>
      <c r="O72" s="28">
        <v>0</v>
      </c>
      <c r="P72" s="28">
        <v>0</v>
      </c>
      <c r="Q72" s="28">
        <v>0</v>
      </c>
      <c r="R72" s="28">
        <v>0</v>
      </c>
      <c r="S72" s="28">
        <v>1</v>
      </c>
      <c r="T72" s="28">
        <v>0</v>
      </c>
      <c r="U72" s="28">
        <v>2</v>
      </c>
    </row>
    <row r="73" spans="1:21" ht="15" customHeight="1">
      <c r="A73" s="25" t="s">
        <v>1025</v>
      </c>
      <c r="B73" s="25"/>
      <c r="C73" s="26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</row>
    <row r="74" spans="1:21" ht="15" customHeight="1">
      <c r="A74" s="26"/>
      <c r="B74" s="26"/>
      <c r="C74" s="26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</row>
    <row r="75" spans="1:21" ht="15" customHeight="1">
      <c r="A75" s="26" t="s">
        <v>1010</v>
      </c>
      <c r="B75" s="26" t="s">
        <v>73</v>
      </c>
      <c r="C75" s="26" t="s">
        <v>1016</v>
      </c>
      <c r="D75" s="28">
        <v>7917</v>
      </c>
      <c r="E75" s="28">
        <v>2417</v>
      </c>
      <c r="F75" s="28">
        <v>8813</v>
      </c>
      <c r="G75" s="28">
        <v>2437</v>
      </c>
      <c r="H75" s="28">
        <v>2336</v>
      </c>
      <c r="I75" s="28">
        <v>2288</v>
      </c>
      <c r="J75" s="28">
        <v>1230</v>
      </c>
      <c r="K75" s="28">
        <v>893</v>
      </c>
      <c r="L75" s="28">
        <v>11281</v>
      </c>
      <c r="M75" s="28">
        <v>2297</v>
      </c>
      <c r="N75" s="28">
        <v>2362</v>
      </c>
      <c r="O75" s="28">
        <v>2806</v>
      </c>
      <c r="P75" s="28">
        <v>1831</v>
      </c>
      <c r="Q75" s="28">
        <v>3256</v>
      </c>
      <c r="R75" s="28">
        <v>3958</v>
      </c>
      <c r="S75" s="28">
        <v>3443</v>
      </c>
      <c r="T75" s="28">
        <v>14735</v>
      </c>
      <c r="U75" s="28">
        <v>99305</v>
      </c>
    </row>
    <row r="76" spans="1:21" ht="15" customHeight="1">
      <c r="A76" s="26"/>
      <c r="B76" s="26"/>
      <c r="C76" s="26" t="s">
        <v>1015</v>
      </c>
      <c r="D76" s="28">
        <v>6315</v>
      </c>
      <c r="E76" s="28">
        <v>673</v>
      </c>
      <c r="F76" s="28">
        <v>2025</v>
      </c>
      <c r="G76" s="28">
        <v>133</v>
      </c>
      <c r="H76" s="28">
        <v>117</v>
      </c>
      <c r="I76" s="28">
        <v>255</v>
      </c>
      <c r="J76" s="28">
        <v>217</v>
      </c>
      <c r="K76" s="28">
        <v>2</v>
      </c>
      <c r="L76" s="28">
        <v>194</v>
      </c>
      <c r="M76" s="28">
        <v>126</v>
      </c>
      <c r="N76" s="28">
        <v>17</v>
      </c>
      <c r="O76" s="28">
        <v>13</v>
      </c>
      <c r="P76" s="28">
        <v>4</v>
      </c>
      <c r="Q76" s="28">
        <v>60</v>
      </c>
      <c r="R76" s="28">
        <v>80</v>
      </c>
      <c r="S76" s="28">
        <v>105</v>
      </c>
      <c r="T76" s="28">
        <v>3290</v>
      </c>
      <c r="U76" s="28">
        <v>18311</v>
      </c>
    </row>
    <row r="77" spans="1:21" ht="15" customHeight="1">
      <c r="B77" s="26"/>
      <c r="C77" s="26" t="s">
        <v>994</v>
      </c>
      <c r="D77" s="28">
        <v>14232</v>
      </c>
      <c r="E77" s="28">
        <v>3090</v>
      </c>
      <c r="F77" s="28">
        <v>10838</v>
      </c>
      <c r="G77" s="28">
        <v>2570</v>
      </c>
      <c r="H77" s="28">
        <v>2453</v>
      </c>
      <c r="I77" s="28">
        <v>2543</v>
      </c>
      <c r="J77" s="28">
        <v>1447</v>
      </c>
      <c r="K77" s="28">
        <v>895</v>
      </c>
      <c r="L77" s="28">
        <v>11475</v>
      </c>
      <c r="M77" s="28">
        <v>2423</v>
      </c>
      <c r="N77" s="28">
        <v>2379</v>
      </c>
      <c r="O77" s="28">
        <v>2819</v>
      </c>
      <c r="P77" s="28">
        <v>1835</v>
      </c>
      <c r="Q77" s="28">
        <v>3316</v>
      </c>
      <c r="R77" s="28">
        <v>4038</v>
      </c>
      <c r="S77" s="28">
        <v>3548</v>
      </c>
      <c r="T77" s="28">
        <v>18025</v>
      </c>
      <c r="U77" s="28">
        <v>117616</v>
      </c>
    </row>
    <row r="78" spans="1:21" ht="15" customHeight="1">
      <c r="A78" s="26" t="s">
        <v>1011</v>
      </c>
      <c r="B78" s="26" t="s">
        <v>76</v>
      </c>
      <c r="C78" s="26" t="s">
        <v>1016</v>
      </c>
      <c r="D78" s="28">
        <v>5</v>
      </c>
      <c r="E78" s="28">
        <v>0</v>
      </c>
      <c r="F78" s="28">
        <v>0</v>
      </c>
      <c r="G78" s="28">
        <v>1</v>
      </c>
      <c r="H78" s="28">
        <v>1</v>
      </c>
      <c r="I78" s="28">
        <v>2</v>
      </c>
      <c r="J78" s="28">
        <v>0</v>
      </c>
      <c r="K78" s="28">
        <v>0</v>
      </c>
      <c r="L78" s="28">
        <v>11</v>
      </c>
      <c r="M78" s="28">
        <v>1</v>
      </c>
      <c r="N78" s="28">
        <v>0</v>
      </c>
      <c r="O78" s="28">
        <v>0</v>
      </c>
      <c r="P78" s="28">
        <v>5</v>
      </c>
      <c r="Q78" s="28">
        <v>0</v>
      </c>
      <c r="R78" s="28">
        <v>2</v>
      </c>
      <c r="S78" s="28">
        <v>0</v>
      </c>
      <c r="T78" s="28">
        <v>0</v>
      </c>
      <c r="U78" s="28">
        <v>128</v>
      </c>
    </row>
    <row r="79" spans="1:21" ht="15" customHeight="1">
      <c r="B79" s="26"/>
      <c r="C79" s="26" t="s">
        <v>1015</v>
      </c>
      <c r="D79" s="28">
        <v>122</v>
      </c>
      <c r="E79" s="28">
        <v>125</v>
      </c>
      <c r="F79" s="28">
        <v>10</v>
      </c>
      <c r="G79" s="28">
        <v>25</v>
      </c>
      <c r="H79" s="28">
        <v>10</v>
      </c>
      <c r="I79" s="28">
        <v>6</v>
      </c>
      <c r="J79" s="28">
        <v>0</v>
      </c>
      <c r="K79" s="28">
        <v>4</v>
      </c>
      <c r="L79" s="28">
        <v>233</v>
      </c>
      <c r="M79" s="28">
        <v>19</v>
      </c>
      <c r="N79" s="28">
        <v>23</v>
      </c>
      <c r="O79" s="28">
        <v>19</v>
      </c>
      <c r="P79" s="28">
        <v>1</v>
      </c>
      <c r="Q79" s="28">
        <v>8</v>
      </c>
      <c r="R79" s="28">
        <v>4</v>
      </c>
      <c r="S79" s="28">
        <v>73</v>
      </c>
      <c r="T79" s="28">
        <v>118</v>
      </c>
      <c r="U79" s="28">
        <v>1709</v>
      </c>
    </row>
    <row r="80" spans="1:21" ht="15" customHeight="1">
      <c r="A80" s="26"/>
      <c r="B80" s="26"/>
      <c r="C80" s="26" t="s">
        <v>994</v>
      </c>
      <c r="D80" s="28">
        <v>127</v>
      </c>
      <c r="E80" s="28">
        <v>125</v>
      </c>
      <c r="F80" s="28">
        <v>10</v>
      </c>
      <c r="G80" s="28">
        <v>26</v>
      </c>
      <c r="H80" s="28">
        <v>11</v>
      </c>
      <c r="I80" s="28">
        <v>8</v>
      </c>
      <c r="J80" s="28">
        <v>0</v>
      </c>
      <c r="K80" s="28">
        <v>4</v>
      </c>
      <c r="L80" s="28">
        <v>244</v>
      </c>
      <c r="M80" s="28">
        <v>20</v>
      </c>
      <c r="N80" s="28">
        <v>23</v>
      </c>
      <c r="O80" s="28">
        <v>19</v>
      </c>
      <c r="P80" s="28">
        <v>6</v>
      </c>
      <c r="Q80" s="28">
        <v>8</v>
      </c>
      <c r="R80" s="28">
        <v>6</v>
      </c>
      <c r="S80" s="28">
        <v>73</v>
      </c>
      <c r="T80" s="28">
        <v>118</v>
      </c>
      <c r="U80" s="28">
        <v>1837</v>
      </c>
    </row>
    <row r="81" spans="1:21" ht="15" customHeight="1">
      <c r="A81" s="26" t="s">
        <v>1012</v>
      </c>
      <c r="B81" s="26" t="s">
        <v>77</v>
      </c>
      <c r="C81" s="26" t="s">
        <v>1016</v>
      </c>
      <c r="D81" s="28">
        <v>585</v>
      </c>
      <c r="E81" s="28">
        <v>0</v>
      </c>
      <c r="F81" s="28">
        <v>453</v>
      </c>
      <c r="G81" s="28">
        <v>1</v>
      </c>
      <c r="H81" s="28">
        <v>0</v>
      </c>
      <c r="I81" s="28">
        <v>4</v>
      </c>
      <c r="J81" s="28">
        <v>0</v>
      </c>
      <c r="K81" s="28">
        <v>0</v>
      </c>
      <c r="L81" s="28">
        <v>16</v>
      </c>
      <c r="M81" s="28">
        <v>2</v>
      </c>
      <c r="N81" s="28">
        <v>10</v>
      </c>
      <c r="O81" s="28">
        <v>1</v>
      </c>
      <c r="P81" s="28">
        <v>0</v>
      </c>
      <c r="Q81" s="28">
        <v>1</v>
      </c>
      <c r="R81" s="28">
        <v>6</v>
      </c>
      <c r="S81" s="28">
        <v>2</v>
      </c>
      <c r="T81" s="28">
        <v>33</v>
      </c>
      <c r="U81" s="28">
        <v>12875</v>
      </c>
    </row>
    <row r="82" spans="1:21" ht="15" customHeight="1">
      <c r="B82" s="26"/>
      <c r="C82" s="26" t="s">
        <v>1015</v>
      </c>
      <c r="D82" s="28">
        <v>7</v>
      </c>
      <c r="E82" s="28">
        <v>1</v>
      </c>
      <c r="F82" s="28">
        <v>12</v>
      </c>
      <c r="G82" s="28">
        <v>1</v>
      </c>
      <c r="H82" s="28">
        <v>0</v>
      </c>
      <c r="I82" s="28">
        <v>0</v>
      </c>
      <c r="J82" s="28">
        <v>0</v>
      </c>
      <c r="K82" s="28">
        <v>0</v>
      </c>
      <c r="L82" s="28">
        <v>3</v>
      </c>
      <c r="M82" s="28">
        <v>0</v>
      </c>
      <c r="N82" s="28">
        <v>0</v>
      </c>
      <c r="O82" s="28">
        <v>0</v>
      </c>
      <c r="P82" s="28">
        <v>0</v>
      </c>
      <c r="Q82" s="28">
        <v>0</v>
      </c>
      <c r="R82" s="28">
        <v>0</v>
      </c>
      <c r="S82" s="28">
        <v>0</v>
      </c>
      <c r="T82" s="28">
        <v>2</v>
      </c>
      <c r="U82" s="28">
        <v>2561</v>
      </c>
    </row>
    <row r="83" spans="1:21" ht="15" customHeight="1">
      <c r="A83" s="26"/>
      <c r="B83" s="26"/>
      <c r="C83" s="26" t="s">
        <v>994</v>
      </c>
      <c r="D83" s="28">
        <v>592</v>
      </c>
      <c r="E83" s="28">
        <v>1</v>
      </c>
      <c r="F83" s="28">
        <v>465</v>
      </c>
      <c r="G83" s="28">
        <v>2</v>
      </c>
      <c r="H83" s="28">
        <v>0</v>
      </c>
      <c r="I83" s="28">
        <v>4</v>
      </c>
      <c r="J83" s="28">
        <v>0</v>
      </c>
      <c r="K83" s="28">
        <v>0</v>
      </c>
      <c r="L83" s="28">
        <v>19</v>
      </c>
      <c r="M83" s="28">
        <v>2</v>
      </c>
      <c r="N83" s="28">
        <v>10</v>
      </c>
      <c r="O83" s="28">
        <v>1</v>
      </c>
      <c r="P83" s="28">
        <v>0</v>
      </c>
      <c r="Q83" s="28">
        <v>1</v>
      </c>
      <c r="R83" s="28">
        <v>6</v>
      </c>
      <c r="S83" s="28">
        <v>2</v>
      </c>
      <c r="T83" s="28">
        <v>35</v>
      </c>
      <c r="U83" s="28">
        <v>15436</v>
      </c>
    </row>
    <row r="84" spans="1:21" ht="15" customHeight="1">
      <c r="A84" s="26" t="s">
        <v>1013</v>
      </c>
      <c r="B84" s="26" t="s">
        <v>78</v>
      </c>
      <c r="C84" s="26" t="s">
        <v>1016</v>
      </c>
      <c r="D84" s="28">
        <v>1</v>
      </c>
      <c r="E84" s="28">
        <v>0</v>
      </c>
      <c r="F84" s="28">
        <v>0</v>
      </c>
      <c r="G84" s="28">
        <v>0</v>
      </c>
      <c r="H84" s="28">
        <v>0</v>
      </c>
      <c r="I84" s="28">
        <v>0</v>
      </c>
      <c r="J84" s="28">
        <v>0</v>
      </c>
      <c r="K84" s="28">
        <v>4</v>
      </c>
      <c r="L84" s="28">
        <v>12</v>
      </c>
      <c r="M84" s="28">
        <v>0</v>
      </c>
      <c r="N84" s="28">
        <v>0</v>
      </c>
      <c r="O84" s="28">
        <v>2</v>
      </c>
      <c r="P84" s="28">
        <v>0</v>
      </c>
      <c r="Q84" s="28">
        <v>1</v>
      </c>
      <c r="R84" s="28">
        <v>1</v>
      </c>
      <c r="S84" s="28">
        <v>3</v>
      </c>
      <c r="T84" s="28">
        <v>0</v>
      </c>
      <c r="U84" s="28">
        <v>73</v>
      </c>
    </row>
    <row r="85" spans="1:21" ht="15" customHeight="1">
      <c r="B85" s="26"/>
      <c r="C85" s="26" t="s">
        <v>1015</v>
      </c>
      <c r="D85" s="28">
        <v>0</v>
      </c>
      <c r="E85" s="28">
        <v>0</v>
      </c>
      <c r="F85" s="28">
        <v>0</v>
      </c>
      <c r="G85" s="28">
        <v>0</v>
      </c>
      <c r="H85" s="28">
        <v>0</v>
      </c>
      <c r="I85" s="28">
        <v>0</v>
      </c>
      <c r="J85" s="28">
        <v>0</v>
      </c>
      <c r="K85" s="28">
        <v>0</v>
      </c>
      <c r="L85" s="28">
        <v>0</v>
      </c>
      <c r="M85" s="28">
        <v>0</v>
      </c>
      <c r="N85" s="28">
        <v>0</v>
      </c>
      <c r="O85" s="28">
        <v>0</v>
      </c>
      <c r="P85" s="28">
        <v>0</v>
      </c>
      <c r="Q85" s="28">
        <v>0</v>
      </c>
      <c r="R85" s="28">
        <v>0</v>
      </c>
      <c r="S85" s="28">
        <v>0</v>
      </c>
      <c r="T85" s="28">
        <v>0</v>
      </c>
      <c r="U85" s="28">
        <v>0</v>
      </c>
    </row>
    <row r="86" spans="1:21" ht="15" customHeight="1">
      <c r="A86" s="26"/>
      <c r="B86" s="26"/>
      <c r="C86" s="26" t="s">
        <v>994</v>
      </c>
      <c r="D86" s="28">
        <v>1</v>
      </c>
      <c r="E86" s="28">
        <v>0</v>
      </c>
      <c r="F86" s="28">
        <v>0</v>
      </c>
      <c r="G86" s="28">
        <v>0</v>
      </c>
      <c r="H86" s="28">
        <v>0</v>
      </c>
      <c r="I86" s="28">
        <v>0</v>
      </c>
      <c r="J86" s="28">
        <v>0</v>
      </c>
      <c r="K86" s="28">
        <v>4</v>
      </c>
      <c r="L86" s="28">
        <v>12</v>
      </c>
      <c r="M86" s="28">
        <v>0</v>
      </c>
      <c r="N86" s="28">
        <v>0</v>
      </c>
      <c r="O86" s="28">
        <v>2</v>
      </c>
      <c r="P86" s="28">
        <v>0</v>
      </c>
      <c r="Q86" s="28">
        <v>1</v>
      </c>
      <c r="R86" s="28">
        <v>1</v>
      </c>
      <c r="S86" s="28">
        <v>3</v>
      </c>
      <c r="T86" s="28">
        <v>0</v>
      </c>
      <c r="U86" s="28">
        <v>73</v>
      </c>
    </row>
    <row r="87" spans="1:21" ht="15" customHeight="1">
      <c r="A87" s="26" t="s">
        <v>1014</v>
      </c>
      <c r="B87" s="26" t="s">
        <v>79</v>
      </c>
      <c r="C87" s="26" t="s">
        <v>1016</v>
      </c>
      <c r="D87" s="28">
        <v>8508</v>
      </c>
      <c r="E87" s="28">
        <v>2417</v>
      </c>
      <c r="F87" s="28">
        <v>9266</v>
      </c>
      <c r="G87" s="28">
        <v>2439</v>
      </c>
      <c r="H87" s="28">
        <v>2337</v>
      </c>
      <c r="I87" s="28">
        <v>2294</v>
      </c>
      <c r="J87" s="28">
        <v>1230</v>
      </c>
      <c r="K87" s="28">
        <v>897</v>
      </c>
      <c r="L87" s="28">
        <v>11320</v>
      </c>
      <c r="M87" s="28">
        <v>2300</v>
      </c>
      <c r="N87" s="28">
        <v>2372</v>
      </c>
      <c r="O87" s="28">
        <v>2809</v>
      </c>
      <c r="P87" s="28">
        <v>1836</v>
      </c>
      <c r="Q87" s="28">
        <v>3258</v>
      </c>
      <c r="R87" s="28">
        <v>3967</v>
      </c>
      <c r="S87" s="28">
        <v>3448</v>
      </c>
      <c r="T87" s="28">
        <v>14768</v>
      </c>
      <c r="U87" s="28">
        <v>112381</v>
      </c>
    </row>
    <row r="88" spans="1:21" ht="15" customHeight="1">
      <c r="A88" s="26"/>
      <c r="B88" s="26"/>
      <c r="C88" s="26" t="s">
        <v>1015</v>
      </c>
      <c r="D88" s="28">
        <v>6444</v>
      </c>
      <c r="E88" s="28">
        <v>799</v>
      </c>
      <c r="F88" s="28">
        <v>2047</v>
      </c>
      <c r="G88" s="28">
        <v>159</v>
      </c>
      <c r="H88" s="28">
        <v>127</v>
      </c>
      <c r="I88" s="28">
        <v>261</v>
      </c>
      <c r="J88" s="28">
        <v>217</v>
      </c>
      <c r="K88" s="28">
        <v>6</v>
      </c>
      <c r="L88" s="28">
        <v>430</v>
      </c>
      <c r="M88" s="28">
        <v>145</v>
      </c>
      <c r="N88" s="28">
        <v>40</v>
      </c>
      <c r="O88" s="28">
        <v>32</v>
      </c>
      <c r="P88" s="28">
        <v>5</v>
      </c>
      <c r="Q88" s="28">
        <v>68</v>
      </c>
      <c r="R88" s="28">
        <v>84</v>
      </c>
      <c r="S88" s="28">
        <v>178</v>
      </c>
      <c r="T88" s="28">
        <v>3410</v>
      </c>
      <c r="U88" s="28">
        <v>22581</v>
      </c>
    </row>
    <row r="89" spans="1:21" ht="15" customHeight="1">
      <c r="A89" s="26"/>
      <c r="B89" s="26"/>
      <c r="C89" s="26" t="s">
        <v>994</v>
      </c>
      <c r="D89" s="28">
        <v>14952</v>
      </c>
      <c r="E89" s="28">
        <v>3216</v>
      </c>
      <c r="F89" s="28">
        <v>11313</v>
      </c>
      <c r="G89" s="28">
        <v>2598</v>
      </c>
      <c r="H89" s="28">
        <v>2464</v>
      </c>
      <c r="I89" s="28">
        <v>2555</v>
      </c>
      <c r="J89" s="28">
        <v>1447</v>
      </c>
      <c r="K89" s="28">
        <v>903</v>
      </c>
      <c r="L89" s="28">
        <v>11750</v>
      </c>
      <c r="M89" s="28">
        <v>2445</v>
      </c>
      <c r="N89" s="28">
        <v>2412</v>
      </c>
      <c r="O89" s="28">
        <v>2841</v>
      </c>
      <c r="P89" s="28">
        <v>1841</v>
      </c>
      <c r="Q89" s="28">
        <v>3326</v>
      </c>
      <c r="R89" s="28">
        <v>4051</v>
      </c>
      <c r="S89" s="28">
        <v>3626</v>
      </c>
      <c r="T89" s="28">
        <v>18178</v>
      </c>
      <c r="U89" s="28">
        <v>134962</v>
      </c>
    </row>
    <row r="90" spans="1:21" ht="15" customHeight="1">
      <c r="A90" s="25" t="s">
        <v>82</v>
      </c>
      <c r="B90" s="25"/>
      <c r="C90" s="26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</row>
    <row r="91" spans="1:21" ht="15" customHeight="1">
      <c r="A91" s="26"/>
      <c r="B91" s="26"/>
      <c r="C91" s="26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</row>
    <row r="92" spans="1:21" ht="15" customHeight="1">
      <c r="A92" s="26" t="s">
        <v>1010</v>
      </c>
      <c r="B92" s="26" t="s">
        <v>73</v>
      </c>
      <c r="C92" s="26" t="s">
        <v>1016</v>
      </c>
      <c r="D92" s="28">
        <v>0</v>
      </c>
      <c r="E92" s="28">
        <v>0</v>
      </c>
      <c r="F92" s="28">
        <v>0</v>
      </c>
      <c r="G92" s="28">
        <v>0</v>
      </c>
      <c r="H92" s="28">
        <v>0</v>
      </c>
      <c r="I92" s="28">
        <v>0</v>
      </c>
      <c r="J92" s="28">
        <v>0</v>
      </c>
      <c r="K92" s="28">
        <v>0</v>
      </c>
      <c r="L92" s="28">
        <v>0</v>
      </c>
      <c r="M92" s="28">
        <v>0</v>
      </c>
      <c r="N92" s="28">
        <v>0</v>
      </c>
      <c r="O92" s="28">
        <v>0</v>
      </c>
      <c r="P92" s="28">
        <v>0</v>
      </c>
      <c r="Q92" s="28">
        <v>0</v>
      </c>
      <c r="R92" s="28">
        <v>0</v>
      </c>
      <c r="S92" s="28">
        <v>0</v>
      </c>
      <c r="T92" s="28">
        <v>0</v>
      </c>
      <c r="U92" s="28">
        <v>0</v>
      </c>
    </row>
    <row r="93" spans="1:21" ht="15" customHeight="1">
      <c r="A93" s="26"/>
      <c r="B93" s="26"/>
      <c r="C93" s="26" t="s">
        <v>1015</v>
      </c>
      <c r="D93" s="28">
        <v>0</v>
      </c>
      <c r="E93" s="28">
        <v>0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  <c r="L93" s="28">
        <v>0</v>
      </c>
      <c r="M93" s="28">
        <v>0</v>
      </c>
      <c r="N93" s="28">
        <v>0</v>
      </c>
      <c r="O93" s="28">
        <v>0</v>
      </c>
      <c r="P93" s="28">
        <v>0</v>
      </c>
      <c r="Q93" s="28">
        <v>0</v>
      </c>
      <c r="R93" s="28">
        <v>0</v>
      </c>
      <c r="S93" s="28">
        <v>0</v>
      </c>
      <c r="T93" s="28">
        <v>0</v>
      </c>
      <c r="U93" s="28">
        <v>0</v>
      </c>
    </row>
    <row r="94" spans="1:21" ht="15" customHeight="1">
      <c r="B94" s="26"/>
      <c r="C94" s="26" t="s">
        <v>994</v>
      </c>
      <c r="D94" s="28">
        <v>0</v>
      </c>
      <c r="E94" s="28">
        <v>0</v>
      </c>
      <c r="F94" s="28">
        <v>0</v>
      </c>
      <c r="G94" s="28">
        <v>0</v>
      </c>
      <c r="H94" s="28">
        <v>0</v>
      </c>
      <c r="I94" s="28">
        <v>0</v>
      </c>
      <c r="J94" s="28">
        <v>0</v>
      </c>
      <c r="K94" s="28">
        <v>0</v>
      </c>
      <c r="L94" s="28">
        <v>0</v>
      </c>
      <c r="M94" s="28">
        <v>0</v>
      </c>
      <c r="N94" s="28">
        <v>0</v>
      </c>
      <c r="O94" s="28">
        <v>0</v>
      </c>
      <c r="P94" s="28">
        <v>0</v>
      </c>
      <c r="Q94" s="28">
        <v>0</v>
      </c>
      <c r="R94" s="28">
        <v>0</v>
      </c>
      <c r="S94" s="28">
        <v>0</v>
      </c>
      <c r="T94" s="28">
        <v>0</v>
      </c>
      <c r="U94" s="28">
        <v>0</v>
      </c>
    </row>
    <row r="95" spans="1:21" ht="15" customHeight="1">
      <c r="A95" s="26" t="s">
        <v>1011</v>
      </c>
      <c r="B95" s="26" t="s">
        <v>76</v>
      </c>
      <c r="C95" s="26" t="s">
        <v>1016</v>
      </c>
      <c r="D95" s="28">
        <v>0</v>
      </c>
      <c r="E95" s="28">
        <v>0</v>
      </c>
      <c r="F95" s="28">
        <v>0</v>
      </c>
      <c r="G95" s="28">
        <v>0</v>
      </c>
      <c r="H95" s="28">
        <v>0</v>
      </c>
      <c r="I95" s="28">
        <v>0</v>
      </c>
      <c r="J95" s="28">
        <v>0</v>
      </c>
      <c r="K95" s="28">
        <v>0</v>
      </c>
      <c r="L95" s="28">
        <v>0</v>
      </c>
      <c r="M95" s="28">
        <v>0</v>
      </c>
      <c r="N95" s="28">
        <v>0</v>
      </c>
      <c r="O95" s="28">
        <v>0</v>
      </c>
      <c r="P95" s="28">
        <v>0</v>
      </c>
      <c r="Q95" s="28">
        <v>0</v>
      </c>
      <c r="R95" s="28">
        <v>0</v>
      </c>
      <c r="S95" s="28">
        <v>0</v>
      </c>
      <c r="T95" s="28">
        <v>0</v>
      </c>
      <c r="U95" s="28">
        <v>0</v>
      </c>
    </row>
    <row r="96" spans="1:21" ht="15" customHeight="1">
      <c r="B96" s="26"/>
      <c r="C96" s="26" t="s">
        <v>1015</v>
      </c>
      <c r="D96" s="28">
        <v>0</v>
      </c>
      <c r="E96" s="28">
        <v>0</v>
      </c>
      <c r="F96" s="28">
        <v>0</v>
      </c>
      <c r="G96" s="28">
        <v>0</v>
      </c>
      <c r="H96" s="28">
        <v>0</v>
      </c>
      <c r="I96" s="28">
        <v>0</v>
      </c>
      <c r="J96" s="28">
        <v>0</v>
      </c>
      <c r="K96" s="28">
        <v>0</v>
      </c>
      <c r="L96" s="28">
        <v>0</v>
      </c>
      <c r="M96" s="28">
        <v>0</v>
      </c>
      <c r="N96" s="28">
        <v>0</v>
      </c>
      <c r="O96" s="28">
        <v>0</v>
      </c>
      <c r="P96" s="28">
        <v>0</v>
      </c>
      <c r="Q96" s="28">
        <v>0</v>
      </c>
      <c r="R96" s="28">
        <v>0</v>
      </c>
      <c r="S96" s="28">
        <v>0</v>
      </c>
      <c r="T96" s="28">
        <v>0</v>
      </c>
      <c r="U96" s="28">
        <v>0</v>
      </c>
    </row>
    <row r="97" spans="1:21" ht="15" customHeight="1">
      <c r="A97" s="26"/>
      <c r="B97" s="26"/>
      <c r="C97" s="26" t="s">
        <v>994</v>
      </c>
      <c r="D97" s="28">
        <v>0</v>
      </c>
      <c r="E97" s="28">
        <v>0</v>
      </c>
      <c r="F97" s="28">
        <v>0</v>
      </c>
      <c r="G97" s="28">
        <v>0</v>
      </c>
      <c r="H97" s="28">
        <v>0</v>
      </c>
      <c r="I97" s="28">
        <v>0</v>
      </c>
      <c r="J97" s="28">
        <v>0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  <c r="P97" s="28">
        <v>0</v>
      </c>
      <c r="Q97" s="28">
        <v>0</v>
      </c>
      <c r="R97" s="28">
        <v>0</v>
      </c>
      <c r="S97" s="28">
        <v>0</v>
      </c>
      <c r="T97" s="28">
        <v>0</v>
      </c>
      <c r="U97" s="28">
        <v>0</v>
      </c>
    </row>
    <row r="98" spans="1:21" ht="15" customHeight="1">
      <c r="A98" s="26" t="s">
        <v>1012</v>
      </c>
      <c r="B98" s="26" t="s">
        <v>77</v>
      </c>
      <c r="C98" s="26" t="s">
        <v>1016</v>
      </c>
      <c r="D98" s="28">
        <v>0</v>
      </c>
      <c r="E98" s="28">
        <v>0</v>
      </c>
      <c r="F98" s="28">
        <v>0</v>
      </c>
      <c r="G98" s="28">
        <v>0</v>
      </c>
      <c r="H98" s="28">
        <v>0</v>
      </c>
      <c r="I98" s="28">
        <v>0</v>
      </c>
      <c r="J98" s="28">
        <v>0</v>
      </c>
      <c r="K98" s="28">
        <v>0</v>
      </c>
      <c r="L98" s="28">
        <v>0</v>
      </c>
      <c r="M98" s="28">
        <v>0</v>
      </c>
      <c r="N98" s="28">
        <v>0</v>
      </c>
      <c r="O98" s="28">
        <v>0</v>
      </c>
      <c r="P98" s="28">
        <v>0</v>
      </c>
      <c r="Q98" s="28">
        <v>0</v>
      </c>
      <c r="R98" s="28">
        <v>0</v>
      </c>
      <c r="S98" s="28">
        <v>0</v>
      </c>
      <c r="T98" s="28">
        <v>0</v>
      </c>
      <c r="U98" s="28">
        <v>0</v>
      </c>
    </row>
    <row r="99" spans="1:21" ht="15" customHeight="1">
      <c r="B99" s="26"/>
      <c r="C99" s="26" t="s">
        <v>1015</v>
      </c>
      <c r="D99" s="28">
        <v>0</v>
      </c>
      <c r="E99" s="28">
        <v>0</v>
      </c>
      <c r="F99" s="28">
        <v>0</v>
      </c>
      <c r="G99" s="28">
        <v>0</v>
      </c>
      <c r="H99" s="28">
        <v>0</v>
      </c>
      <c r="I99" s="28">
        <v>0</v>
      </c>
      <c r="J99" s="28">
        <v>0</v>
      </c>
      <c r="K99" s="28">
        <v>0</v>
      </c>
      <c r="L99" s="28">
        <v>0</v>
      </c>
      <c r="M99" s="28">
        <v>0</v>
      </c>
      <c r="N99" s="28">
        <v>0</v>
      </c>
      <c r="O99" s="28">
        <v>0</v>
      </c>
      <c r="P99" s="28">
        <v>0</v>
      </c>
      <c r="Q99" s="28">
        <v>0</v>
      </c>
      <c r="R99" s="28">
        <v>0</v>
      </c>
      <c r="S99" s="28">
        <v>0</v>
      </c>
      <c r="T99" s="28">
        <v>0</v>
      </c>
      <c r="U99" s="28">
        <v>0</v>
      </c>
    </row>
    <row r="100" spans="1:21" ht="15" customHeight="1">
      <c r="A100" s="26"/>
      <c r="B100" s="26"/>
      <c r="C100" s="26" t="s">
        <v>994</v>
      </c>
      <c r="D100" s="28">
        <v>0</v>
      </c>
      <c r="E100" s="28">
        <v>0</v>
      </c>
      <c r="F100" s="28">
        <v>0</v>
      </c>
      <c r="G100" s="28">
        <v>0</v>
      </c>
      <c r="H100" s="28">
        <v>0</v>
      </c>
      <c r="I100" s="28">
        <v>0</v>
      </c>
      <c r="J100" s="28">
        <v>0</v>
      </c>
      <c r="K100" s="28">
        <v>0</v>
      </c>
      <c r="L100" s="28">
        <v>0</v>
      </c>
      <c r="M100" s="28">
        <v>0</v>
      </c>
      <c r="N100" s="28">
        <v>0</v>
      </c>
      <c r="O100" s="28">
        <v>0</v>
      </c>
      <c r="P100" s="28">
        <v>0</v>
      </c>
      <c r="Q100" s="28">
        <v>0</v>
      </c>
      <c r="R100" s="28">
        <v>0</v>
      </c>
      <c r="S100" s="28">
        <v>0</v>
      </c>
      <c r="T100" s="28">
        <v>0</v>
      </c>
      <c r="U100" s="28">
        <v>0</v>
      </c>
    </row>
    <row r="101" spans="1:21" ht="15" customHeight="1">
      <c r="A101" s="26" t="s">
        <v>1013</v>
      </c>
      <c r="B101" s="26" t="s">
        <v>78</v>
      </c>
      <c r="C101" s="26" t="s">
        <v>1016</v>
      </c>
      <c r="D101" s="28">
        <v>0</v>
      </c>
      <c r="E101" s="28">
        <v>1</v>
      </c>
      <c r="F101" s="28">
        <v>0</v>
      </c>
      <c r="G101" s="28">
        <v>0</v>
      </c>
      <c r="H101" s="28">
        <v>0</v>
      </c>
      <c r="I101" s="28">
        <v>0</v>
      </c>
      <c r="J101" s="28">
        <v>0</v>
      </c>
      <c r="K101" s="28">
        <v>0</v>
      </c>
      <c r="L101" s="28">
        <v>0</v>
      </c>
      <c r="M101" s="28">
        <v>0</v>
      </c>
      <c r="N101" s="28">
        <v>0</v>
      </c>
      <c r="O101" s="28">
        <v>0</v>
      </c>
      <c r="P101" s="28">
        <v>0</v>
      </c>
      <c r="Q101" s="28">
        <v>0</v>
      </c>
      <c r="R101" s="28">
        <v>0</v>
      </c>
      <c r="S101" s="28">
        <v>0</v>
      </c>
      <c r="T101" s="28">
        <v>0</v>
      </c>
      <c r="U101" s="28">
        <v>1</v>
      </c>
    </row>
    <row r="102" spans="1:21" ht="15" customHeight="1">
      <c r="B102" s="26"/>
      <c r="C102" s="26" t="s">
        <v>1015</v>
      </c>
      <c r="D102" s="28">
        <v>0</v>
      </c>
      <c r="E102" s="28">
        <v>0</v>
      </c>
      <c r="F102" s="28">
        <v>0</v>
      </c>
      <c r="G102" s="28">
        <v>0</v>
      </c>
      <c r="H102" s="28">
        <v>0</v>
      </c>
      <c r="I102" s="28">
        <v>0</v>
      </c>
      <c r="J102" s="28">
        <v>0</v>
      </c>
      <c r="K102" s="28">
        <v>0</v>
      </c>
      <c r="L102" s="28">
        <v>0</v>
      </c>
      <c r="M102" s="28">
        <v>0</v>
      </c>
      <c r="N102" s="28">
        <v>0</v>
      </c>
      <c r="O102" s="28">
        <v>0</v>
      </c>
      <c r="P102" s="28">
        <v>0</v>
      </c>
      <c r="Q102" s="28">
        <v>0</v>
      </c>
      <c r="R102" s="28">
        <v>0</v>
      </c>
      <c r="S102" s="28">
        <v>0</v>
      </c>
      <c r="T102" s="28">
        <v>0</v>
      </c>
      <c r="U102" s="28">
        <v>0</v>
      </c>
    </row>
    <row r="103" spans="1:21" ht="15" customHeight="1">
      <c r="A103" s="26"/>
      <c r="B103" s="26"/>
      <c r="C103" s="26" t="s">
        <v>994</v>
      </c>
      <c r="D103" s="28">
        <v>0</v>
      </c>
      <c r="E103" s="28">
        <v>1</v>
      </c>
      <c r="F103" s="28">
        <v>0</v>
      </c>
      <c r="G103" s="28">
        <v>0</v>
      </c>
      <c r="H103" s="28">
        <v>0</v>
      </c>
      <c r="I103" s="28">
        <v>0</v>
      </c>
      <c r="J103" s="28">
        <v>0</v>
      </c>
      <c r="K103" s="28">
        <v>0</v>
      </c>
      <c r="L103" s="28">
        <v>0</v>
      </c>
      <c r="M103" s="28">
        <v>0</v>
      </c>
      <c r="N103" s="28">
        <v>0</v>
      </c>
      <c r="O103" s="28">
        <v>0</v>
      </c>
      <c r="P103" s="28">
        <v>0</v>
      </c>
      <c r="Q103" s="28">
        <v>0</v>
      </c>
      <c r="R103" s="28">
        <v>0</v>
      </c>
      <c r="S103" s="28">
        <v>0</v>
      </c>
      <c r="T103" s="28">
        <v>0</v>
      </c>
      <c r="U103" s="28">
        <v>1</v>
      </c>
    </row>
    <row r="104" spans="1:21" ht="15" customHeight="1">
      <c r="A104" s="26" t="s">
        <v>1014</v>
      </c>
      <c r="B104" s="26" t="s">
        <v>79</v>
      </c>
      <c r="C104" s="26" t="s">
        <v>1016</v>
      </c>
      <c r="D104" s="28">
        <v>0</v>
      </c>
      <c r="E104" s="28">
        <v>1</v>
      </c>
      <c r="F104" s="28">
        <v>0</v>
      </c>
      <c r="G104" s="28">
        <v>0</v>
      </c>
      <c r="H104" s="28">
        <v>0</v>
      </c>
      <c r="I104" s="28">
        <v>0</v>
      </c>
      <c r="J104" s="28">
        <v>0</v>
      </c>
      <c r="K104" s="28">
        <v>0</v>
      </c>
      <c r="L104" s="28">
        <v>0</v>
      </c>
      <c r="M104" s="28">
        <v>0</v>
      </c>
      <c r="N104" s="28">
        <v>0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1</v>
      </c>
    </row>
    <row r="105" spans="1:21" ht="15" customHeight="1">
      <c r="A105" s="26"/>
      <c r="B105" s="26"/>
      <c r="C105" s="26" t="s">
        <v>1015</v>
      </c>
      <c r="D105" s="28">
        <v>0</v>
      </c>
      <c r="E105" s="28">
        <v>0</v>
      </c>
      <c r="F105" s="28">
        <v>0</v>
      </c>
      <c r="G105" s="28">
        <v>0</v>
      </c>
      <c r="H105" s="28">
        <v>0</v>
      </c>
      <c r="I105" s="28">
        <v>0</v>
      </c>
      <c r="J105" s="28">
        <v>0</v>
      </c>
      <c r="K105" s="28">
        <v>0</v>
      </c>
      <c r="L105" s="28">
        <v>0</v>
      </c>
      <c r="M105" s="28">
        <v>0</v>
      </c>
      <c r="N105" s="28">
        <v>0</v>
      </c>
      <c r="O105" s="28">
        <v>0</v>
      </c>
      <c r="P105" s="28">
        <v>0</v>
      </c>
      <c r="Q105" s="28">
        <v>0</v>
      </c>
      <c r="R105" s="28">
        <v>0</v>
      </c>
      <c r="S105" s="28">
        <v>0</v>
      </c>
      <c r="T105" s="28">
        <v>0</v>
      </c>
      <c r="U105" s="28">
        <v>0</v>
      </c>
    </row>
    <row r="106" spans="1:21" ht="15" customHeight="1">
      <c r="A106" s="26"/>
      <c r="B106" s="26"/>
      <c r="C106" s="26" t="s">
        <v>994</v>
      </c>
      <c r="D106" s="28">
        <v>0</v>
      </c>
      <c r="E106" s="28">
        <v>1</v>
      </c>
      <c r="F106" s="28">
        <v>0</v>
      </c>
      <c r="G106" s="28">
        <v>0</v>
      </c>
      <c r="H106" s="28">
        <v>0</v>
      </c>
      <c r="I106" s="28">
        <v>0</v>
      </c>
      <c r="J106" s="28">
        <v>0</v>
      </c>
      <c r="K106" s="28">
        <v>0</v>
      </c>
      <c r="L106" s="28">
        <v>0</v>
      </c>
      <c r="M106" s="28">
        <v>0</v>
      </c>
      <c r="N106" s="28">
        <v>0</v>
      </c>
      <c r="O106" s="28">
        <v>0</v>
      </c>
      <c r="P106" s="28">
        <v>0</v>
      </c>
      <c r="Q106" s="28">
        <v>0</v>
      </c>
      <c r="R106" s="28">
        <v>0</v>
      </c>
      <c r="S106" s="28">
        <v>0</v>
      </c>
      <c r="T106" s="28">
        <v>0</v>
      </c>
      <c r="U106" s="28">
        <v>1</v>
      </c>
    </row>
    <row r="107" spans="1:21" ht="15" customHeight="1">
      <c r="A107" s="25" t="s">
        <v>1027</v>
      </c>
      <c r="B107" s="25"/>
      <c r="C107" s="26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</row>
    <row r="108" spans="1:21" ht="15" customHeight="1">
      <c r="A108" s="26"/>
      <c r="B108" s="26"/>
      <c r="C108" s="26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</row>
    <row r="109" spans="1:21" ht="15" customHeight="1">
      <c r="A109" s="26" t="s">
        <v>1010</v>
      </c>
      <c r="B109" s="26" t="s">
        <v>73</v>
      </c>
      <c r="C109" s="26" t="s">
        <v>1016</v>
      </c>
      <c r="D109" s="28">
        <v>0</v>
      </c>
      <c r="E109" s="28">
        <v>0</v>
      </c>
      <c r="F109" s="28">
        <v>0</v>
      </c>
      <c r="G109" s="28">
        <v>0</v>
      </c>
      <c r="H109" s="28">
        <v>0</v>
      </c>
      <c r="I109" s="28">
        <v>0</v>
      </c>
      <c r="J109" s="28">
        <v>0</v>
      </c>
      <c r="K109" s="28">
        <v>0</v>
      </c>
      <c r="L109" s="28">
        <v>0</v>
      </c>
      <c r="M109" s="28">
        <v>0</v>
      </c>
      <c r="N109" s="28">
        <v>0</v>
      </c>
      <c r="O109" s="28">
        <v>0</v>
      </c>
      <c r="P109" s="28">
        <v>0</v>
      </c>
      <c r="Q109" s="28">
        <v>0</v>
      </c>
      <c r="R109" s="28">
        <v>0</v>
      </c>
      <c r="S109" s="28">
        <v>0</v>
      </c>
      <c r="T109" s="28">
        <v>0</v>
      </c>
      <c r="U109" s="28">
        <v>0</v>
      </c>
    </row>
    <row r="110" spans="1:21" ht="15" customHeight="1">
      <c r="A110" s="26"/>
      <c r="B110" s="26"/>
      <c r="C110" s="26" t="s">
        <v>1015</v>
      </c>
      <c r="D110" s="28">
        <v>0</v>
      </c>
      <c r="E110" s="28">
        <v>0</v>
      </c>
      <c r="F110" s="28">
        <v>0</v>
      </c>
      <c r="G110" s="28">
        <v>0</v>
      </c>
      <c r="H110" s="28">
        <v>0</v>
      </c>
      <c r="I110" s="28">
        <v>0</v>
      </c>
      <c r="J110" s="28">
        <v>0</v>
      </c>
      <c r="K110" s="28">
        <v>0</v>
      </c>
      <c r="L110" s="28">
        <v>0</v>
      </c>
      <c r="M110" s="28">
        <v>0</v>
      </c>
      <c r="N110" s="28">
        <v>0</v>
      </c>
      <c r="O110" s="28">
        <v>0</v>
      </c>
      <c r="P110" s="28">
        <v>0</v>
      </c>
      <c r="Q110" s="28">
        <v>0</v>
      </c>
      <c r="R110" s="28">
        <v>0</v>
      </c>
      <c r="S110" s="28">
        <v>0</v>
      </c>
      <c r="T110" s="28">
        <v>0</v>
      </c>
      <c r="U110" s="28">
        <v>0</v>
      </c>
    </row>
    <row r="111" spans="1:21" ht="15" customHeight="1">
      <c r="B111" s="26"/>
      <c r="C111" s="26" t="s">
        <v>994</v>
      </c>
      <c r="D111" s="28">
        <v>0</v>
      </c>
      <c r="E111" s="28">
        <v>0</v>
      </c>
      <c r="F111" s="28">
        <v>0</v>
      </c>
      <c r="G111" s="28">
        <v>0</v>
      </c>
      <c r="H111" s="28">
        <v>0</v>
      </c>
      <c r="I111" s="28">
        <v>0</v>
      </c>
      <c r="J111" s="28">
        <v>0</v>
      </c>
      <c r="K111" s="28">
        <v>0</v>
      </c>
      <c r="L111" s="28">
        <v>0</v>
      </c>
      <c r="M111" s="28">
        <v>0</v>
      </c>
      <c r="N111" s="28">
        <v>0</v>
      </c>
      <c r="O111" s="28">
        <v>0</v>
      </c>
      <c r="P111" s="28">
        <v>0</v>
      </c>
      <c r="Q111" s="28">
        <v>0</v>
      </c>
      <c r="R111" s="28">
        <v>0</v>
      </c>
      <c r="S111" s="28">
        <v>0</v>
      </c>
      <c r="T111" s="28">
        <v>0</v>
      </c>
      <c r="U111" s="28">
        <v>0</v>
      </c>
    </row>
    <row r="112" spans="1:21" ht="15" customHeight="1">
      <c r="A112" s="26" t="s">
        <v>1011</v>
      </c>
      <c r="B112" s="26" t="s">
        <v>76</v>
      </c>
      <c r="C112" s="26" t="s">
        <v>1016</v>
      </c>
      <c r="D112" s="28">
        <v>0</v>
      </c>
      <c r="E112" s="28">
        <v>0</v>
      </c>
      <c r="F112" s="28">
        <v>0</v>
      </c>
      <c r="G112" s="28">
        <v>0</v>
      </c>
      <c r="H112" s="28">
        <v>0</v>
      </c>
      <c r="I112" s="28">
        <v>0</v>
      </c>
      <c r="J112" s="28">
        <v>0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8">
        <v>0</v>
      </c>
      <c r="U112" s="28">
        <v>0</v>
      </c>
    </row>
    <row r="113" spans="1:21" ht="15" customHeight="1">
      <c r="B113" s="26"/>
      <c r="C113" s="26" t="s">
        <v>1015</v>
      </c>
      <c r="D113" s="28">
        <v>0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0</v>
      </c>
      <c r="N113" s="28">
        <v>0</v>
      </c>
      <c r="O113" s="28">
        <v>0</v>
      </c>
      <c r="P113" s="28">
        <v>0</v>
      </c>
      <c r="Q113" s="28">
        <v>0</v>
      </c>
      <c r="R113" s="28">
        <v>0</v>
      </c>
      <c r="S113" s="28">
        <v>0</v>
      </c>
      <c r="T113" s="28">
        <v>0</v>
      </c>
      <c r="U113" s="28">
        <v>0</v>
      </c>
    </row>
    <row r="114" spans="1:21" ht="15" customHeight="1">
      <c r="A114" s="26"/>
      <c r="B114" s="26"/>
      <c r="C114" s="26" t="s">
        <v>994</v>
      </c>
      <c r="D114" s="28">
        <v>0</v>
      </c>
      <c r="E114" s="28">
        <v>0</v>
      </c>
      <c r="F114" s="28">
        <v>0</v>
      </c>
      <c r="G114" s="28">
        <v>0</v>
      </c>
      <c r="H114" s="28">
        <v>0</v>
      </c>
      <c r="I114" s="28">
        <v>0</v>
      </c>
      <c r="J114" s="28">
        <v>0</v>
      </c>
      <c r="K114" s="28">
        <v>0</v>
      </c>
      <c r="L114" s="28">
        <v>0</v>
      </c>
      <c r="M114" s="28">
        <v>0</v>
      </c>
      <c r="N114" s="28">
        <v>0</v>
      </c>
      <c r="O114" s="28">
        <v>0</v>
      </c>
      <c r="P114" s="28">
        <v>0</v>
      </c>
      <c r="Q114" s="28">
        <v>0</v>
      </c>
      <c r="R114" s="28">
        <v>0</v>
      </c>
      <c r="S114" s="28">
        <v>0</v>
      </c>
      <c r="T114" s="28">
        <v>0</v>
      </c>
      <c r="U114" s="28">
        <v>0</v>
      </c>
    </row>
    <row r="115" spans="1:21" ht="15" customHeight="1">
      <c r="A115" s="26" t="s">
        <v>1012</v>
      </c>
      <c r="B115" s="26" t="s">
        <v>77</v>
      </c>
      <c r="C115" s="26" t="s">
        <v>1016</v>
      </c>
      <c r="D115" s="28">
        <v>0</v>
      </c>
      <c r="E115" s="28">
        <v>0</v>
      </c>
      <c r="F115" s="28">
        <v>0</v>
      </c>
      <c r="G115" s="28">
        <v>0</v>
      </c>
      <c r="H115" s="28">
        <v>0</v>
      </c>
      <c r="I115" s="28">
        <v>0</v>
      </c>
      <c r="J115" s="28">
        <v>0</v>
      </c>
      <c r="K115" s="28">
        <v>0</v>
      </c>
      <c r="L115" s="28">
        <v>0</v>
      </c>
      <c r="M115" s="28">
        <v>0</v>
      </c>
      <c r="N115" s="28">
        <v>0</v>
      </c>
      <c r="O115" s="28">
        <v>0</v>
      </c>
      <c r="P115" s="28">
        <v>0</v>
      </c>
      <c r="Q115" s="28">
        <v>0</v>
      </c>
      <c r="R115" s="28">
        <v>0</v>
      </c>
      <c r="S115" s="28">
        <v>0</v>
      </c>
      <c r="T115" s="28">
        <v>0</v>
      </c>
      <c r="U115" s="28">
        <v>0</v>
      </c>
    </row>
    <row r="116" spans="1:21" ht="15" customHeight="1">
      <c r="B116" s="26"/>
      <c r="C116" s="26" t="s">
        <v>1015</v>
      </c>
      <c r="D116" s="28">
        <v>0</v>
      </c>
      <c r="E116" s="28">
        <v>0</v>
      </c>
      <c r="F116" s="28">
        <v>0</v>
      </c>
      <c r="G116" s="28">
        <v>0</v>
      </c>
      <c r="H116" s="28">
        <v>0</v>
      </c>
      <c r="I116" s="28">
        <v>0</v>
      </c>
      <c r="J116" s="28">
        <v>0</v>
      </c>
      <c r="K116" s="28">
        <v>0</v>
      </c>
      <c r="L116" s="28">
        <v>0</v>
      </c>
      <c r="M116" s="28">
        <v>0</v>
      </c>
      <c r="N116" s="28">
        <v>0</v>
      </c>
      <c r="O116" s="28">
        <v>0</v>
      </c>
      <c r="P116" s="28">
        <v>0</v>
      </c>
      <c r="Q116" s="28">
        <v>0</v>
      </c>
      <c r="R116" s="28">
        <v>0</v>
      </c>
      <c r="S116" s="28">
        <v>0</v>
      </c>
      <c r="T116" s="28">
        <v>0</v>
      </c>
      <c r="U116" s="28">
        <v>0</v>
      </c>
    </row>
    <row r="117" spans="1:21" ht="15" customHeight="1">
      <c r="A117" s="26"/>
      <c r="B117" s="26"/>
      <c r="C117" s="26" t="s">
        <v>994</v>
      </c>
      <c r="D117" s="28">
        <v>0</v>
      </c>
      <c r="E117" s="28">
        <v>0</v>
      </c>
      <c r="F117" s="28">
        <v>0</v>
      </c>
      <c r="G117" s="28">
        <v>0</v>
      </c>
      <c r="H117" s="28">
        <v>0</v>
      </c>
      <c r="I117" s="28">
        <v>0</v>
      </c>
      <c r="J117" s="28">
        <v>0</v>
      </c>
      <c r="K117" s="28">
        <v>0</v>
      </c>
      <c r="L117" s="28">
        <v>0</v>
      </c>
      <c r="M117" s="28">
        <v>0</v>
      </c>
      <c r="N117" s="28">
        <v>0</v>
      </c>
      <c r="O117" s="28">
        <v>0</v>
      </c>
      <c r="P117" s="28">
        <v>0</v>
      </c>
      <c r="Q117" s="28">
        <v>0</v>
      </c>
      <c r="R117" s="28">
        <v>0</v>
      </c>
      <c r="S117" s="28">
        <v>0</v>
      </c>
      <c r="T117" s="28">
        <v>0</v>
      </c>
      <c r="U117" s="28">
        <v>0</v>
      </c>
    </row>
    <row r="118" spans="1:21" ht="15" customHeight="1">
      <c r="A118" s="26" t="s">
        <v>1013</v>
      </c>
      <c r="B118" s="26" t="s">
        <v>78</v>
      </c>
      <c r="C118" s="26" t="s">
        <v>1016</v>
      </c>
      <c r="D118" s="28">
        <v>0</v>
      </c>
      <c r="E118" s="28">
        <v>0</v>
      </c>
      <c r="F118" s="28">
        <v>0</v>
      </c>
      <c r="G118" s="28">
        <v>0</v>
      </c>
      <c r="H118" s="28">
        <v>0</v>
      </c>
      <c r="I118" s="28">
        <v>0</v>
      </c>
      <c r="J118" s="28">
        <v>0</v>
      </c>
      <c r="K118" s="28">
        <v>0</v>
      </c>
      <c r="L118" s="28">
        <v>0</v>
      </c>
      <c r="M118" s="28">
        <v>0</v>
      </c>
      <c r="N118" s="28">
        <v>0</v>
      </c>
      <c r="O118" s="28">
        <v>0</v>
      </c>
      <c r="P118" s="28">
        <v>0</v>
      </c>
      <c r="Q118" s="28">
        <v>0</v>
      </c>
      <c r="R118" s="28">
        <v>0</v>
      </c>
      <c r="S118" s="28">
        <v>0</v>
      </c>
      <c r="T118" s="28">
        <v>0</v>
      </c>
      <c r="U118" s="28">
        <v>0</v>
      </c>
    </row>
    <row r="119" spans="1:21" ht="15" customHeight="1">
      <c r="B119" s="26"/>
      <c r="C119" s="26" t="s">
        <v>1015</v>
      </c>
      <c r="D119" s="28">
        <v>0</v>
      </c>
      <c r="E119" s="28">
        <v>0</v>
      </c>
      <c r="F119" s="28">
        <v>0</v>
      </c>
      <c r="G119" s="28">
        <v>0</v>
      </c>
      <c r="H119" s="28">
        <v>0</v>
      </c>
      <c r="I119" s="28">
        <v>0</v>
      </c>
      <c r="J119" s="28">
        <v>0</v>
      </c>
      <c r="K119" s="28">
        <v>0</v>
      </c>
      <c r="L119" s="28">
        <v>0</v>
      </c>
      <c r="M119" s="28">
        <v>0</v>
      </c>
      <c r="N119" s="28">
        <v>0</v>
      </c>
      <c r="O119" s="28">
        <v>0</v>
      </c>
      <c r="P119" s="28">
        <v>0</v>
      </c>
      <c r="Q119" s="28">
        <v>0</v>
      </c>
      <c r="R119" s="28">
        <v>0</v>
      </c>
      <c r="S119" s="28">
        <v>0</v>
      </c>
      <c r="T119" s="28">
        <v>0</v>
      </c>
      <c r="U119" s="28">
        <v>0</v>
      </c>
    </row>
    <row r="120" spans="1:21" ht="15" customHeight="1">
      <c r="A120" s="26"/>
      <c r="B120" s="26"/>
      <c r="C120" s="26" t="s">
        <v>994</v>
      </c>
      <c r="D120" s="28">
        <v>0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</row>
    <row r="121" spans="1:21" ht="15" customHeight="1">
      <c r="A121" s="26" t="s">
        <v>1014</v>
      </c>
      <c r="B121" s="26" t="s">
        <v>79</v>
      </c>
      <c r="C121" s="26" t="s">
        <v>1016</v>
      </c>
      <c r="D121" s="28">
        <v>0</v>
      </c>
      <c r="E121" s="28">
        <v>0</v>
      </c>
      <c r="F121" s="28">
        <v>0</v>
      </c>
      <c r="G121" s="28">
        <v>0</v>
      </c>
      <c r="H121" s="28">
        <v>0</v>
      </c>
      <c r="I121" s="28">
        <v>0</v>
      </c>
      <c r="J121" s="28">
        <v>0</v>
      </c>
      <c r="K121" s="28">
        <v>0</v>
      </c>
      <c r="L121" s="28">
        <v>0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8">
        <v>0</v>
      </c>
      <c r="U121" s="28">
        <v>0</v>
      </c>
    </row>
    <row r="122" spans="1:21" ht="15" customHeight="1">
      <c r="A122" s="26"/>
      <c r="B122" s="26"/>
      <c r="C122" s="26" t="s">
        <v>1015</v>
      </c>
      <c r="D122" s="28">
        <v>0</v>
      </c>
      <c r="E122" s="28">
        <v>0</v>
      </c>
      <c r="F122" s="28">
        <v>0</v>
      </c>
      <c r="G122" s="28">
        <v>0</v>
      </c>
      <c r="H122" s="28">
        <v>0</v>
      </c>
      <c r="I122" s="28">
        <v>0</v>
      </c>
      <c r="J122" s="28">
        <v>0</v>
      </c>
      <c r="K122" s="28">
        <v>0</v>
      </c>
      <c r="L122" s="28">
        <v>0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</row>
    <row r="123" spans="1:21" ht="15" customHeight="1">
      <c r="A123" s="26"/>
      <c r="B123" s="26"/>
      <c r="C123" s="26" t="s">
        <v>994</v>
      </c>
      <c r="D123" s="28">
        <v>0</v>
      </c>
      <c r="E123" s="28">
        <v>0</v>
      </c>
      <c r="F123" s="28">
        <v>0</v>
      </c>
      <c r="G123" s="28">
        <v>0</v>
      </c>
      <c r="H123" s="28">
        <v>0</v>
      </c>
      <c r="I123" s="28">
        <v>0</v>
      </c>
      <c r="J123" s="28">
        <v>0</v>
      </c>
      <c r="K123" s="28">
        <v>0</v>
      </c>
      <c r="L123" s="28">
        <v>0</v>
      </c>
      <c r="M123" s="28">
        <v>0</v>
      </c>
      <c r="N123" s="28">
        <v>0</v>
      </c>
      <c r="O123" s="28">
        <v>0</v>
      </c>
      <c r="P123" s="28">
        <v>0</v>
      </c>
      <c r="Q123" s="28">
        <v>0</v>
      </c>
      <c r="R123" s="28">
        <v>0</v>
      </c>
      <c r="S123" s="28">
        <v>0</v>
      </c>
      <c r="T123" s="28">
        <v>0</v>
      </c>
      <c r="U123" s="28">
        <v>0</v>
      </c>
    </row>
    <row r="124" spans="1:21" ht="15" customHeight="1">
      <c r="A124" s="25" t="s">
        <v>83</v>
      </c>
      <c r="B124" s="25"/>
      <c r="C124" s="26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</row>
    <row r="125" spans="1:21" ht="15" customHeight="1">
      <c r="A125" s="26"/>
      <c r="B125" s="26"/>
      <c r="C125" s="26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</row>
    <row r="126" spans="1:21" ht="15" customHeight="1">
      <c r="A126" s="26" t="s">
        <v>1010</v>
      </c>
      <c r="B126" s="26" t="s">
        <v>73</v>
      </c>
      <c r="C126" s="26" t="s">
        <v>1016</v>
      </c>
      <c r="D126" s="28">
        <v>496</v>
      </c>
      <c r="E126" s="28">
        <v>369</v>
      </c>
      <c r="F126" s="28">
        <v>763</v>
      </c>
      <c r="G126" s="28">
        <v>290</v>
      </c>
      <c r="H126" s="28">
        <v>307</v>
      </c>
      <c r="I126" s="28">
        <v>378</v>
      </c>
      <c r="J126" s="28">
        <v>104</v>
      </c>
      <c r="K126" s="28">
        <v>65</v>
      </c>
      <c r="L126" s="28">
        <v>1292</v>
      </c>
      <c r="M126" s="28">
        <v>345</v>
      </c>
      <c r="N126" s="28">
        <v>230</v>
      </c>
      <c r="O126" s="28">
        <v>168</v>
      </c>
      <c r="P126" s="28">
        <v>337</v>
      </c>
      <c r="Q126" s="28">
        <v>228</v>
      </c>
      <c r="R126" s="28">
        <v>316</v>
      </c>
      <c r="S126" s="28">
        <v>411</v>
      </c>
      <c r="T126" s="28">
        <v>9</v>
      </c>
      <c r="U126" s="28">
        <v>5331</v>
      </c>
    </row>
    <row r="127" spans="1:21" ht="15" customHeight="1">
      <c r="A127" s="26"/>
      <c r="B127" s="26"/>
      <c r="C127" s="26" t="s">
        <v>1015</v>
      </c>
      <c r="D127" s="28">
        <v>14</v>
      </c>
      <c r="E127" s="28">
        <v>3</v>
      </c>
      <c r="F127" s="28">
        <v>5</v>
      </c>
      <c r="G127" s="28">
        <v>0</v>
      </c>
      <c r="H127" s="28">
        <v>1</v>
      </c>
      <c r="I127" s="28">
        <v>3</v>
      </c>
      <c r="J127" s="28">
        <v>0</v>
      </c>
      <c r="K127" s="28">
        <v>0</v>
      </c>
      <c r="L127" s="28">
        <v>149</v>
      </c>
      <c r="M127" s="28">
        <v>24</v>
      </c>
      <c r="N127" s="28">
        <v>2</v>
      </c>
      <c r="O127" s="28">
        <v>0</v>
      </c>
      <c r="P127" s="28">
        <v>0</v>
      </c>
      <c r="Q127" s="28">
        <v>1</v>
      </c>
      <c r="R127" s="28">
        <v>1</v>
      </c>
      <c r="S127" s="28">
        <v>1</v>
      </c>
      <c r="T127" s="28">
        <v>1</v>
      </c>
      <c r="U127" s="28">
        <v>160</v>
      </c>
    </row>
    <row r="128" spans="1:21" ht="15" customHeight="1">
      <c r="B128" s="26"/>
      <c r="C128" s="26" t="s">
        <v>994</v>
      </c>
      <c r="D128" s="28">
        <v>510</v>
      </c>
      <c r="E128" s="28">
        <v>372</v>
      </c>
      <c r="F128" s="28">
        <v>768</v>
      </c>
      <c r="G128" s="28">
        <v>290</v>
      </c>
      <c r="H128" s="28">
        <v>308</v>
      </c>
      <c r="I128" s="28">
        <v>381</v>
      </c>
      <c r="J128" s="28">
        <v>104</v>
      </c>
      <c r="K128" s="28">
        <v>65</v>
      </c>
      <c r="L128" s="28">
        <v>1441</v>
      </c>
      <c r="M128" s="28">
        <v>369</v>
      </c>
      <c r="N128" s="28">
        <v>232</v>
      </c>
      <c r="O128" s="28">
        <v>168</v>
      </c>
      <c r="P128" s="28">
        <v>337</v>
      </c>
      <c r="Q128" s="28">
        <v>229</v>
      </c>
      <c r="R128" s="28">
        <v>317</v>
      </c>
      <c r="S128" s="28">
        <v>412</v>
      </c>
      <c r="T128" s="28">
        <v>10</v>
      </c>
      <c r="U128" s="28">
        <v>5491</v>
      </c>
    </row>
    <row r="129" spans="1:21" ht="15" customHeight="1">
      <c r="A129" s="26" t="s">
        <v>1011</v>
      </c>
      <c r="B129" s="26" t="s">
        <v>76</v>
      </c>
      <c r="C129" s="26" t="s">
        <v>1016</v>
      </c>
      <c r="D129" s="28">
        <v>73</v>
      </c>
      <c r="E129" s="28">
        <v>16</v>
      </c>
      <c r="F129" s="28">
        <v>14</v>
      </c>
      <c r="G129" s="28">
        <v>76</v>
      </c>
      <c r="H129" s="28">
        <v>9</v>
      </c>
      <c r="I129" s="28">
        <v>11</v>
      </c>
      <c r="J129" s="28">
        <v>0</v>
      </c>
      <c r="K129" s="28">
        <v>10</v>
      </c>
      <c r="L129" s="28">
        <v>69</v>
      </c>
      <c r="M129" s="28">
        <v>3</v>
      </c>
      <c r="N129" s="28">
        <v>8</v>
      </c>
      <c r="O129" s="28">
        <v>9</v>
      </c>
      <c r="P129" s="28">
        <v>6</v>
      </c>
      <c r="Q129" s="28">
        <v>4</v>
      </c>
      <c r="R129" s="28">
        <v>26</v>
      </c>
      <c r="S129" s="28">
        <v>14</v>
      </c>
      <c r="T129" s="28">
        <v>0</v>
      </c>
      <c r="U129" s="28">
        <v>369</v>
      </c>
    </row>
    <row r="130" spans="1:21" ht="15" customHeight="1">
      <c r="B130" s="26"/>
      <c r="C130" s="26" t="s">
        <v>1015</v>
      </c>
      <c r="D130" s="28">
        <v>8456</v>
      </c>
      <c r="E130" s="28">
        <v>2544</v>
      </c>
      <c r="F130" s="28">
        <v>1704</v>
      </c>
      <c r="G130" s="28">
        <v>2376</v>
      </c>
      <c r="H130" s="28">
        <v>1081</v>
      </c>
      <c r="I130" s="28">
        <v>1231</v>
      </c>
      <c r="J130" s="28">
        <v>707</v>
      </c>
      <c r="K130" s="28">
        <v>82</v>
      </c>
      <c r="L130" s="28">
        <v>7592</v>
      </c>
      <c r="M130" s="28">
        <v>365</v>
      </c>
      <c r="N130" s="28">
        <v>454</v>
      </c>
      <c r="O130" s="28">
        <v>407</v>
      </c>
      <c r="P130" s="28">
        <v>654</v>
      </c>
      <c r="Q130" s="28">
        <v>728</v>
      </c>
      <c r="R130" s="28">
        <v>751</v>
      </c>
      <c r="S130" s="28">
        <v>1141</v>
      </c>
      <c r="T130" s="28">
        <v>0</v>
      </c>
      <c r="U130" s="28">
        <v>29720</v>
      </c>
    </row>
    <row r="131" spans="1:21" ht="15" customHeight="1">
      <c r="A131" s="26"/>
      <c r="B131" s="26"/>
      <c r="C131" s="26" t="s">
        <v>994</v>
      </c>
      <c r="D131" s="28">
        <v>8529</v>
      </c>
      <c r="E131" s="28">
        <v>2560</v>
      </c>
      <c r="F131" s="28">
        <v>1718</v>
      </c>
      <c r="G131" s="28">
        <v>2452</v>
      </c>
      <c r="H131" s="28">
        <v>1090</v>
      </c>
      <c r="I131" s="28">
        <v>1242</v>
      </c>
      <c r="J131" s="28">
        <v>707</v>
      </c>
      <c r="K131" s="28">
        <v>92</v>
      </c>
      <c r="L131" s="28">
        <v>7661</v>
      </c>
      <c r="M131" s="28">
        <v>368</v>
      </c>
      <c r="N131" s="28">
        <v>462</v>
      </c>
      <c r="O131" s="28">
        <v>416</v>
      </c>
      <c r="P131" s="28">
        <v>660</v>
      </c>
      <c r="Q131" s="28">
        <v>732</v>
      </c>
      <c r="R131" s="28">
        <v>777</v>
      </c>
      <c r="S131" s="28">
        <v>1155</v>
      </c>
      <c r="T131" s="28">
        <v>0</v>
      </c>
      <c r="U131" s="28">
        <v>30089</v>
      </c>
    </row>
    <row r="132" spans="1:21" ht="15" customHeight="1">
      <c r="A132" s="26" t="s">
        <v>1012</v>
      </c>
      <c r="B132" s="26" t="s">
        <v>77</v>
      </c>
      <c r="C132" s="26" t="s">
        <v>1016</v>
      </c>
      <c r="D132" s="28">
        <v>398</v>
      </c>
      <c r="E132" s="28">
        <v>42</v>
      </c>
      <c r="F132" s="28">
        <v>129</v>
      </c>
      <c r="G132" s="28">
        <v>30</v>
      </c>
      <c r="H132" s="28">
        <v>16</v>
      </c>
      <c r="I132" s="28">
        <v>54</v>
      </c>
      <c r="J132" s="28">
        <v>10</v>
      </c>
      <c r="K132" s="28">
        <v>1</v>
      </c>
      <c r="L132" s="28">
        <v>80</v>
      </c>
      <c r="M132" s="28">
        <v>37</v>
      </c>
      <c r="N132" s="28">
        <v>41</v>
      </c>
      <c r="O132" s="28">
        <v>17</v>
      </c>
      <c r="P132" s="28">
        <v>65</v>
      </c>
      <c r="Q132" s="28">
        <v>87</v>
      </c>
      <c r="R132" s="28">
        <v>61</v>
      </c>
      <c r="S132" s="28">
        <v>132</v>
      </c>
      <c r="T132" s="28">
        <v>0</v>
      </c>
      <c r="U132" s="28">
        <v>1337</v>
      </c>
    </row>
    <row r="133" spans="1:21" ht="15" customHeight="1">
      <c r="B133" s="26"/>
      <c r="C133" s="26" t="s">
        <v>1015</v>
      </c>
      <c r="D133" s="28">
        <v>2</v>
      </c>
      <c r="E133" s="28">
        <v>0</v>
      </c>
      <c r="F133" s="28">
        <v>2</v>
      </c>
      <c r="G133" s="28">
        <v>1</v>
      </c>
      <c r="H133" s="28">
        <v>0</v>
      </c>
      <c r="I133" s="28">
        <v>0</v>
      </c>
      <c r="J133" s="28">
        <v>0</v>
      </c>
      <c r="K133" s="28">
        <v>0</v>
      </c>
      <c r="L133" s="28">
        <v>0</v>
      </c>
      <c r="M133" s="28">
        <v>0</v>
      </c>
      <c r="N133" s="28">
        <v>1</v>
      </c>
      <c r="O133" s="28">
        <v>0</v>
      </c>
      <c r="P133" s="28">
        <v>1</v>
      </c>
      <c r="Q133" s="28">
        <v>0</v>
      </c>
      <c r="R133" s="28">
        <v>1</v>
      </c>
      <c r="S133" s="28">
        <v>2</v>
      </c>
      <c r="T133" s="28">
        <v>0</v>
      </c>
      <c r="U133" s="28">
        <v>20</v>
      </c>
    </row>
    <row r="134" spans="1:21" ht="15" customHeight="1">
      <c r="A134" s="26"/>
      <c r="B134" s="26"/>
      <c r="C134" s="26" t="s">
        <v>994</v>
      </c>
      <c r="D134" s="28">
        <v>400</v>
      </c>
      <c r="E134" s="28">
        <v>42</v>
      </c>
      <c r="F134" s="28">
        <v>131</v>
      </c>
      <c r="G134" s="28">
        <v>31</v>
      </c>
      <c r="H134" s="28">
        <v>16</v>
      </c>
      <c r="I134" s="28">
        <v>54</v>
      </c>
      <c r="J134" s="28">
        <v>10</v>
      </c>
      <c r="K134" s="28">
        <v>1</v>
      </c>
      <c r="L134" s="28">
        <v>80</v>
      </c>
      <c r="M134" s="28">
        <v>37</v>
      </c>
      <c r="N134" s="28">
        <v>42</v>
      </c>
      <c r="O134" s="28">
        <v>17</v>
      </c>
      <c r="P134" s="28">
        <v>66</v>
      </c>
      <c r="Q134" s="28">
        <v>87</v>
      </c>
      <c r="R134" s="28">
        <v>62</v>
      </c>
      <c r="S134" s="28">
        <v>134</v>
      </c>
      <c r="T134" s="28">
        <v>0</v>
      </c>
      <c r="U134" s="28">
        <v>1357</v>
      </c>
    </row>
    <row r="135" spans="1:21" ht="15" customHeight="1">
      <c r="A135" s="26" t="s">
        <v>1013</v>
      </c>
      <c r="B135" s="26" t="s">
        <v>78</v>
      </c>
      <c r="C135" s="26" t="s">
        <v>1016</v>
      </c>
      <c r="D135" s="28">
        <v>2</v>
      </c>
      <c r="E135" s="28">
        <v>0</v>
      </c>
      <c r="F135" s="28">
        <v>0</v>
      </c>
      <c r="G135" s="28">
        <v>0</v>
      </c>
      <c r="H135" s="28">
        <v>0</v>
      </c>
      <c r="I135" s="28">
        <v>0</v>
      </c>
      <c r="J135" s="28">
        <v>0</v>
      </c>
      <c r="K135" s="28">
        <v>0</v>
      </c>
      <c r="L135" s="28">
        <v>0</v>
      </c>
      <c r="M135" s="28">
        <v>0</v>
      </c>
      <c r="N135" s="28">
        <v>0</v>
      </c>
      <c r="O135" s="28">
        <v>0</v>
      </c>
      <c r="P135" s="28">
        <v>0</v>
      </c>
      <c r="Q135" s="28">
        <v>0</v>
      </c>
      <c r="R135" s="28">
        <v>0</v>
      </c>
      <c r="S135" s="28">
        <v>1</v>
      </c>
      <c r="T135" s="28">
        <v>0</v>
      </c>
      <c r="U135" s="28">
        <v>2</v>
      </c>
    </row>
    <row r="136" spans="1:21" ht="15" customHeight="1">
      <c r="B136" s="26"/>
      <c r="C136" s="26" t="s">
        <v>1015</v>
      </c>
      <c r="D136" s="28">
        <v>0</v>
      </c>
      <c r="E136" s="28">
        <v>0</v>
      </c>
      <c r="F136" s="28">
        <v>0</v>
      </c>
      <c r="G136" s="28">
        <v>0</v>
      </c>
      <c r="H136" s="28">
        <v>0</v>
      </c>
      <c r="I136" s="28">
        <v>0</v>
      </c>
      <c r="J136" s="28">
        <v>0</v>
      </c>
      <c r="K136" s="28">
        <v>0</v>
      </c>
      <c r="L136" s="28">
        <v>0</v>
      </c>
      <c r="M136" s="28">
        <v>0</v>
      </c>
      <c r="N136" s="28">
        <v>0</v>
      </c>
      <c r="O136" s="28">
        <v>0</v>
      </c>
      <c r="P136" s="28">
        <v>0</v>
      </c>
      <c r="Q136" s="28">
        <v>0</v>
      </c>
      <c r="R136" s="28">
        <v>0</v>
      </c>
      <c r="S136" s="28">
        <v>0</v>
      </c>
      <c r="T136" s="28">
        <v>0</v>
      </c>
      <c r="U136" s="28">
        <v>1</v>
      </c>
    </row>
    <row r="137" spans="1:21" ht="15" customHeight="1">
      <c r="A137" s="26"/>
      <c r="B137" s="26"/>
      <c r="C137" s="26" t="s">
        <v>994</v>
      </c>
      <c r="D137" s="28">
        <v>2</v>
      </c>
      <c r="E137" s="28">
        <v>0</v>
      </c>
      <c r="F137" s="28">
        <v>0</v>
      </c>
      <c r="G137" s="28">
        <v>0</v>
      </c>
      <c r="H137" s="28">
        <v>0</v>
      </c>
      <c r="I137" s="28">
        <v>0</v>
      </c>
      <c r="J137" s="28">
        <v>0</v>
      </c>
      <c r="K137" s="28">
        <v>0</v>
      </c>
      <c r="L137" s="28">
        <v>0</v>
      </c>
      <c r="M137" s="28">
        <v>0</v>
      </c>
      <c r="N137" s="28">
        <v>0</v>
      </c>
      <c r="O137" s="28">
        <v>0</v>
      </c>
      <c r="P137" s="28">
        <v>0</v>
      </c>
      <c r="Q137" s="28">
        <v>0</v>
      </c>
      <c r="R137" s="28">
        <v>0</v>
      </c>
      <c r="S137" s="28">
        <v>1</v>
      </c>
      <c r="T137" s="28">
        <v>0</v>
      </c>
      <c r="U137" s="28">
        <v>3</v>
      </c>
    </row>
    <row r="138" spans="1:21" ht="15" customHeight="1">
      <c r="A138" s="26" t="s">
        <v>1014</v>
      </c>
      <c r="B138" s="26" t="s">
        <v>79</v>
      </c>
      <c r="C138" s="26" t="s">
        <v>1016</v>
      </c>
      <c r="D138" s="28">
        <v>969</v>
      </c>
      <c r="E138" s="28">
        <v>427</v>
      </c>
      <c r="F138" s="28">
        <v>906</v>
      </c>
      <c r="G138" s="28">
        <v>396</v>
      </c>
      <c r="H138" s="28">
        <v>332</v>
      </c>
      <c r="I138" s="28">
        <v>443</v>
      </c>
      <c r="J138" s="28">
        <v>114</v>
      </c>
      <c r="K138" s="28">
        <v>76</v>
      </c>
      <c r="L138" s="28">
        <v>1441</v>
      </c>
      <c r="M138" s="28">
        <v>385</v>
      </c>
      <c r="N138" s="28">
        <v>279</v>
      </c>
      <c r="O138" s="28">
        <v>194</v>
      </c>
      <c r="P138" s="28">
        <v>408</v>
      </c>
      <c r="Q138" s="28">
        <v>319</v>
      </c>
      <c r="R138" s="28">
        <v>403</v>
      </c>
      <c r="S138" s="28">
        <v>558</v>
      </c>
      <c r="T138" s="28">
        <v>9</v>
      </c>
      <c r="U138" s="28">
        <v>7039</v>
      </c>
    </row>
    <row r="139" spans="1:21" ht="15" customHeight="1">
      <c r="A139" s="26"/>
      <c r="B139" s="26"/>
      <c r="C139" s="26" t="s">
        <v>1015</v>
      </c>
      <c r="D139" s="28">
        <v>8472</v>
      </c>
      <c r="E139" s="28">
        <v>2547</v>
      </c>
      <c r="F139" s="28">
        <v>1711</v>
      </c>
      <c r="G139" s="28">
        <v>2377</v>
      </c>
      <c r="H139" s="28">
        <v>1082</v>
      </c>
      <c r="I139" s="28">
        <v>1234</v>
      </c>
      <c r="J139" s="28">
        <v>707</v>
      </c>
      <c r="K139" s="28">
        <v>82</v>
      </c>
      <c r="L139" s="28">
        <v>7741</v>
      </c>
      <c r="M139" s="28">
        <v>389</v>
      </c>
      <c r="N139" s="28">
        <v>457</v>
      </c>
      <c r="O139" s="28">
        <v>407</v>
      </c>
      <c r="P139" s="28">
        <v>655</v>
      </c>
      <c r="Q139" s="28">
        <v>729</v>
      </c>
      <c r="R139" s="28">
        <v>753</v>
      </c>
      <c r="S139" s="28">
        <v>1144</v>
      </c>
      <c r="T139" s="28">
        <v>1</v>
      </c>
      <c r="U139" s="28">
        <v>29901</v>
      </c>
    </row>
    <row r="140" spans="1:21" ht="15" customHeight="1">
      <c r="A140" s="26"/>
      <c r="B140" s="26"/>
      <c r="C140" s="26" t="s">
        <v>994</v>
      </c>
      <c r="D140" s="28">
        <v>9441</v>
      </c>
      <c r="E140" s="28">
        <v>2974</v>
      </c>
      <c r="F140" s="28">
        <v>2617</v>
      </c>
      <c r="G140" s="28">
        <v>2773</v>
      </c>
      <c r="H140" s="28">
        <v>1414</v>
      </c>
      <c r="I140" s="28">
        <v>1677</v>
      </c>
      <c r="J140" s="28">
        <v>821</v>
      </c>
      <c r="K140" s="28">
        <v>158</v>
      </c>
      <c r="L140" s="28">
        <v>9182</v>
      </c>
      <c r="M140" s="28">
        <v>774</v>
      </c>
      <c r="N140" s="28">
        <v>736</v>
      </c>
      <c r="O140" s="28">
        <v>601</v>
      </c>
      <c r="P140" s="28">
        <v>1063</v>
      </c>
      <c r="Q140" s="28">
        <v>1048</v>
      </c>
      <c r="R140" s="28">
        <v>1156</v>
      </c>
      <c r="S140" s="28">
        <v>1702</v>
      </c>
      <c r="T140" s="28">
        <v>10</v>
      </c>
      <c r="U140" s="28">
        <v>36940</v>
      </c>
    </row>
    <row r="141" spans="1:21" ht="15" customHeight="1">
      <c r="A141" s="25" t="s">
        <v>84</v>
      </c>
      <c r="B141" s="25"/>
      <c r="C141" s="26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</row>
    <row r="142" spans="1:21" ht="15" customHeight="1">
      <c r="A142" s="26"/>
      <c r="B142" s="26"/>
      <c r="C142" s="26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</row>
    <row r="143" spans="1:21" ht="15" customHeight="1">
      <c r="A143" s="26" t="s">
        <v>1010</v>
      </c>
      <c r="B143" s="26" t="s">
        <v>73</v>
      </c>
      <c r="C143" s="26" t="s">
        <v>1016</v>
      </c>
      <c r="D143" s="28">
        <v>0</v>
      </c>
      <c r="E143" s="28">
        <v>0</v>
      </c>
      <c r="F143" s="28">
        <v>0</v>
      </c>
      <c r="G143" s="28">
        <v>0</v>
      </c>
      <c r="H143" s="28">
        <v>0</v>
      </c>
      <c r="I143" s="28">
        <v>0</v>
      </c>
      <c r="J143" s="28">
        <v>0</v>
      </c>
      <c r="K143" s="28">
        <v>0</v>
      </c>
      <c r="L143" s="28">
        <v>0</v>
      </c>
      <c r="M143" s="28">
        <v>0</v>
      </c>
      <c r="N143" s="28">
        <v>0</v>
      </c>
      <c r="O143" s="28">
        <v>0</v>
      </c>
      <c r="P143" s="28">
        <v>0</v>
      </c>
      <c r="Q143" s="28">
        <v>0</v>
      </c>
      <c r="R143" s="28">
        <v>0</v>
      </c>
      <c r="S143" s="28">
        <v>0</v>
      </c>
      <c r="T143" s="28">
        <v>0</v>
      </c>
      <c r="U143" s="28">
        <v>1</v>
      </c>
    </row>
    <row r="144" spans="1:21" ht="15" customHeight="1">
      <c r="A144" s="26"/>
      <c r="B144" s="26"/>
      <c r="C144" s="26" t="s">
        <v>1015</v>
      </c>
      <c r="D144" s="28">
        <v>0</v>
      </c>
      <c r="E144" s="28">
        <v>0</v>
      </c>
      <c r="F144" s="28">
        <v>0</v>
      </c>
      <c r="G144" s="28">
        <v>0</v>
      </c>
      <c r="H144" s="28">
        <v>0</v>
      </c>
      <c r="I144" s="28">
        <v>0</v>
      </c>
      <c r="J144" s="28">
        <v>0</v>
      </c>
      <c r="K144" s="28">
        <v>0</v>
      </c>
      <c r="L144" s="28">
        <v>0</v>
      </c>
      <c r="M144" s="28">
        <v>0</v>
      </c>
      <c r="N144" s="28">
        <v>0</v>
      </c>
      <c r="O144" s="28">
        <v>0</v>
      </c>
      <c r="P144" s="28">
        <v>0</v>
      </c>
      <c r="Q144" s="28">
        <v>0</v>
      </c>
      <c r="R144" s="28">
        <v>0</v>
      </c>
      <c r="S144" s="28">
        <v>0</v>
      </c>
      <c r="T144" s="28">
        <v>0</v>
      </c>
      <c r="U144" s="28">
        <v>0</v>
      </c>
    </row>
    <row r="145" spans="1:21" ht="15" customHeight="1">
      <c r="B145" s="26"/>
      <c r="C145" s="26" t="s">
        <v>994</v>
      </c>
      <c r="D145" s="28">
        <v>0</v>
      </c>
      <c r="E145" s="28">
        <v>0</v>
      </c>
      <c r="F145" s="28">
        <v>0</v>
      </c>
      <c r="G145" s="28">
        <v>0</v>
      </c>
      <c r="H145" s="28">
        <v>0</v>
      </c>
      <c r="I145" s="28">
        <v>0</v>
      </c>
      <c r="J145" s="28">
        <v>0</v>
      </c>
      <c r="K145" s="28">
        <v>0</v>
      </c>
      <c r="L145" s="28">
        <v>0</v>
      </c>
      <c r="M145" s="28">
        <v>0</v>
      </c>
      <c r="N145" s="28">
        <v>0</v>
      </c>
      <c r="O145" s="28">
        <v>0</v>
      </c>
      <c r="P145" s="28">
        <v>0</v>
      </c>
      <c r="Q145" s="28">
        <v>0</v>
      </c>
      <c r="R145" s="28">
        <v>0</v>
      </c>
      <c r="S145" s="28">
        <v>0</v>
      </c>
      <c r="T145" s="28">
        <v>0</v>
      </c>
      <c r="U145" s="28">
        <v>1</v>
      </c>
    </row>
    <row r="146" spans="1:21" ht="15" customHeight="1">
      <c r="A146" s="26" t="s">
        <v>1011</v>
      </c>
      <c r="B146" s="26" t="s">
        <v>76</v>
      </c>
      <c r="C146" s="26" t="s">
        <v>1016</v>
      </c>
      <c r="D146" s="28">
        <v>0</v>
      </c>
      <c r="E146" s="28">
        <v>0</v>
      </c>
      <c r="F146" s="28">
        <v>0</v>
      </c>
      <c r="G146" s="28">
        <v>0</v>
      </c>
      <c r="H146" s="28">
        <v>0</v>
      </c>
      <c r="I146" s="28">
        <v>0</v>
      </c>
      <c r="J146" s="28">
        <v>0</v>
      </c>
      <c r="K146" s="28">
        <v>0</v>
      </c>
      <c r="L146" s="28">
        <v>0</v>
      </c>
      <c r="M146" s="28">
        <v>0</v>
      </c>
      <c r="N146" s="28">
        <v>0</v>
      </c>
      <c r="O146" s="28">
        <v>0</v>
      </c>
      <c r="P146" s="28">
        <v>0</v>
      </c>
      <c r="Q146" s="28">
        <v>0</v>
      </c>
      <c r="R146" s="28">
        <v>0</v>
      </c>
      <c r="S146" s="28">
        <v>0</v>
      </c>
      <c r="T146" s="28">
        <v>0</v>
      </c>
      <c r="U146" s="28">
        <v>0</v>
      </c>
    </row>
    <row r="147" spans="1:21" ht="15" customHeight="1">
      <c r="B147" s="26"/>
      <c r="C147" s="26" t="s">
        <v>1015</v>
      </c>
      <c r="D147" s="28">
        <v>0</v>
      </c>
      <c r="E147" s="28">
        <v>0</v>
      </c>
      <c r="F147" s="28">
        <v>0</v>
      </c>
      <c r="G147" s="28">
        <v>0</v>
      </c>
      <c r="H147" s="28">
        <v>0</v>
      </c>
      <c r="I147" s="28">
        <v>0</v>
      </c>
      <c r="J147" s="28">
        <v>0</v>
      </c>
      <c r="K147" s="28">
        <v>0</v>
      </c>
      <c r="L147" s="28">
        <v>0</v>
      </c>
      <c r="M147" s="28">
        <v>0</v>
      </c>
      <c r="N147" s="28">
        <v>0</v>
      </c>
      <c r="O147" s="28">
        <v>0</v>
      </c>
      <c r="P147" s="28">
        <v>0</v>
      </c>
      <c r="Q147" s="28">
        <v>0</v>
      </c>
      <c r="R147" s="28">
        <v>1</v>
      </c>
      <c r="S147" s="28">
        <v>0</v>
      </c>
      <c r="T147" s="28">
        <v>0</v>
      </c>
      <c r="U147" s="28">
        <v>1</v>
      </c>
    </row>
    <row r="148" spans="1:21" ht="15" customHeight="1">
      <c r="A148" s="26"/>
      <c r="B148" s="26"/>
      <c r="C148" s="26" t="s">
        <v>994</v>
      </c>
      <c r="D148" s="28">
        <v>0</v>
      </c>
      <c r="E148" s="28">
        <v>0</v>
      </c>
      <c r="F148" s="28">
        <v>0</v>
      </c>
      <c r="G148" s="28">
        <v>0</v>
      </c>
      <c r="H148" s="28">
        <v>0</v>
      </c>
      <c r="I148" s="28">
        <v>0</v>
      </c>
      <c r="J148" s="28">
        <v>0</v>
      </c>
      <c r="K148" s="28">
        <v>0</v>
      </c>
      <c r="L148" s="28">
        <v>0</v>
      </c>
      <c r="M148" s="28">
        <v>0</v>
      </c>
      <c r="N148" s="28">
        <v>0</v>
      </c>
      <c r="O148" s="28">
        <v>0</v>
      </c>
      <c r="P148" s="28">
        <v>0</v>
      </c>
      <c r="Q148" s="28">
        <v>0</v>
      </c>
      <c r="R148" s="28">
        <v>1</v>
      </c>
      <c r="S148" s="28">
        <v>0</v>
      </c>
      <c r="T148" s="28">
        <v>0</v>
      </c>
      <c r="U148" s="28">
        <v>1</v>
      </c>
    </row>
    <row r="149" spans="1:21" ht="15" customHeight="1">
      <c r="A149" s="26" t="s">
        <v>1012</v>
      </c>
      <c r="B149" s="26" t="s">
        <v>77</v>
      </c>
      <c r="C149" s="26" t="s">
        <v>1016</v>
      </c>
      <c r="D149" s="28">
        <v>0</v>
      </c>
      <c r="E149" s="28">
        <v>0</v>
      </c>
      <c r="F149" s="28">
        <v>0</v>
      </c>
      <c r="G149" s="28">
        <v>3</v>
      </c>
      <c r="H149" s="28">
        <v>0</v>
      </c>
      <c r="I149" s="28">
        <v>0</v>
      </c>
      <c r="J149" s="28">
        <v>0</v>
      </c>
      <c r="K149" s="28">
        <v>0</v>
      </c>
      <c r="L149" s="28">
        <v>0</v>
      </c>
      <c r="M149" s="28">
        <v>0</v>
      </c>
      <c r="N149" s="28">
        <v>0</v>
      </c>
      <c r="O149" s="28">
        <v>0</v>
      </c>
      <c r="P149" s="28">
        <v>0</v>
      </c>
      <c r="Q149" s="28">
        <v>0</v>
      </c>
      <c r="R149" s="28">
        <v>0</v>
      </c>
      <c r="S149" s="28">
        <v>0</v>
      </c>
      <c r="T149" s="28">
        <v>0</v>
      </c>
      <c r="U149" s="28">
        <v>5</v>
      </c>
    </row>
    <row r="150" spans="1:21" ht="15" customHeight="1">
      <c r="B150" s="26"/>
      <c r="C150" s="26" t="s">
        <v>1015</v>
      </c>
      <c r="D150" s="28">
        <v>0</v>
      </c>
      <c r="E150" s="28">
        <v>0</v>
      </c>
      <c r="F150" s="28">
        <v>0</v>
      </c>
      <c r="G150" s="28">
        <v>0</v>
      </c>
      <c r="H150" s="28">
        <v>0</v>
      </c>
      <c r="I150" s="28">
        <v>0</v>
      </c>
      <c r="J150" s="28">
        <v>0</v>
      </c>
      <c r="K150" s="28">
        <v>0</v>
      </c>
      <c r="L150" s="28">
        <v>0</v>
      </c>
      <c r="M150" s="28">
        <v>0</v>
      </c>
      <c r="N150" s="28">
        <v>0</v>
      </c>
      <c r="O150" s="28">
        <v>0</v>
      </c>
      <c r="P150" s="28">
        <v>0</v>
      </c>
      <c r="Q150" s="28">
        <v>0</v>
      </c>
      <c r="R150" s="28">
        <v>0</v>
      </c>
      <c r="S150" s="28">
        <v>0</v>
      </c>
      <c r="T150" s="28">
        <v>0</v>
      </c>
      <c r="U150" s="28">
        <v>0</v>
      </c>
    </row>
    <row r="151" spans="1:21" ht="15" customHeight="1">
      <c r="A151" s="26"/>
      <c r="B151" s="26"/>
      <c r="C151" s="26" t="s">
        <v>994</v>
      </c>
      <c r="D151" s="28">
        <v>0</v>
      </c>
      <c r="E151" s="28">
        <v>0</v>
      </c>
      <c r="F151" s="28">
        <v>0</v>
      </c>
      <c r="G151" s="28">
        <v>3</v>
      </c>
      <c r="H151" s="28">
        <v>0</v>
      </c>
      <c r="I151" s="28">
        <v>0</v>
      </c>
      <c r="J151" s="28">
        <v>0</v>
      </c>
      <c r="K151" s="28">
        <v>0</v>
      </c>
      <c r="L151" s="28">
        <v>0</v>
      </c>
      <c r="M151" s="28">
        <v>0</v>
      </c>
      <c r="N151" s="28">
        <v>0</v>
      </c>
      <c r="O151" s="28">
        <v>0</v>
      </c>
      <c r="P151" s="28">
        <v>0</v>
      </c>
      <c r="Q151" s="28">
        <v>0</v>
      </c>
      <c r="R151" s="28">
        <v>0</v>
      </c>
      <c r="S151" s="28">
        <v>0</v>
      </c>
      <c r="T151" s="28">
        <v>0</v>
      </c>
      <c r="U151" s="28">
        <v>5</v>
      </c>
    </row>
    <row r="152" spans="1:21" ht="15" customHeight="1">
      <c r="A152" s="26" t="s">
        <v>1013</v>
      </c>
      <c r="B152" s="26" t="s">
        <v>78</v>
      </c>
      <c r="C152" s="26" t="s">
        <v>1016</v>
      </c>
      <c r="D152" s="28">
        <v>0</v>
      </c>
      <c r="E152" s="28">
        <v>0</v>
      </c>
      <c r="F152" s="28">
        <v>0</v>
      </c>
      <c r="G152" s="28">
        <v>0</v>
      </c>
      <c r="H152" s="28">
        <v>0</v>
      </c>
      <c r="I152" s="28">
        <v>0</v>
      </c>
      <c r="J152" s="28">
        <v>0</v>
      </c>
      <c r="K152" s="28">
        <v>0</v>
      </c>
      <c r="L152" s="28">
        <v>0</v>
      </c>
      <c r="M152" s="28">
        <v>0</v>
      </c>
      <c r="N152" s="28">
        <v>0</v>
      </c>
      <c r="O152" s="28">
        <v>0</v>
      </c>
      <c r="P152" s="28">
        <v>0</v>
      </c>
      <c r="Q152" s="28">
        <v>0</v>
      </c>
      <c r="R152" s="28">
        <v>0</v>
      </c>
      <c r="S152" s="28">
        <v>0</v>
      </c>
      <c r="T152" s="28">
        <v>0</v>
      </c>
      <c r="U152" s="28">
        <v>0</v>
      </c>
    </row>
    <row r="153" spans="1:21" ht="15" customHeight="1">
      <c r="B153" s="26"/>
      <c r="C153" s="26" t="s">
        <v>1015</v>
      </c>
      <c r="D153" s="28">
        <v>0</v>
      </c>
      <c r="E153" s="28">
        <v>0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  <c r="K153" s="28">
        <v>0</v>
      </c>
      <c r="L153" s="28">
        <v>0</v>
      </c>
      <c r="M153" s="28">
        <v>0</v>
      </c>
      <c r="N153" s="28">
        <v>0</v>
      </c>
      <c r="O153" s="28">
        <v>1</v>
      </c>
      <c r="P153" s="28">
        <v>0</v>
      </c>
      <c r="Q153" s="28">
        <v>0</v>
      </c>
      <c r="R153" s="28">
        <v>0</v>
      </c>
      <c r="S153" s="28">
        <v>0</v>
      </c>
      <c r="T153" s="28">
        <v>0</v>
      </c>
      <c r="U153" s="28">
        <v>1</v>
      </c>
    </row>
    <row r="154" spans="1:21" ht="15" customHeight="1">
      <c r="A154" s="26"/>
      <c r="B154" s="26"/>
      <c r="C154" s="26" t="s">
        <v>994</v>
      </c>
      <c r="D154" s="28">
        <v>0</v>
      </c>
      <c r="E154" s="28">
        <v>0</v>
      </c>
      <c r="F154" s="28">
        <v>0</v>
      </c>
      <c r="G154" s="28">
        <v>0</v>
      </c>
      <c r="H154" s="28">
        <v>0</v>
      </c>
      <c r="I154" s="28">
        <v>0</v>
      </c>
      <c r="J154" s="28">
        <v>0</v>
      </c>
      <c r="K154" s="28">
        <v>0</v>
      </c>
      <c r="L154" s="28">
        <v>0</v>
      </c>
      <c r="M154" s="28">
        <v>0</v>
      </c>
      <c r="N154" s="28">
        <v>0</v>
      </c>
      <c r="O154" s="28">
        <v>1</v>
      </c>
      <c r="P154" s="28">
        <v>0</v>
      </c>
      <c r="Q154" s="28">
        <v>0</v>
      </c>
      <c r="R154" s="28">
        <v>0</v>
      </c>
      <c r="S154" s="28">
        <v>0</v>
      </c>
      <c r="T154" s="28">
        <v>0</v>
      </c>
      <c r="U154" s="28">
        <v>1</v>
      </c>
    </row>
    <row r="155" spans="1:21" ht="15" customHeight="1">
      <c r="A155" s="26" t="s">
        <v>1014</v>
      </c>
      <c r="B155" s="26" t="s">
        <v>79</v>
      </c>
      <c r="C155" s="26" t="s">
        <v>1016</v>
      </c>
      <c r="D155" s="28">
        <v>0</v>
      </c>
      <c r="E155" s="28">
        <v>0</v>
      </c>
      <c r="F155" s="28">
        <v>0</v>
      </c>
      <c r="G155" s="28">
        <v>3</v>
      </c>
      <c r="H155" s="28">
        <v>0</v>
      </c>
      <c r="I155" s="28">
        <v>0</v>
      </c>
      <c r="J155" s="28">
        <v>0</v>
      </c>
      <c r="K155" s="28">
        <v>0</v>
      </c>
      <c r="L155" s="28">
        <v>0</v>
      </c>
      <c r="M155" s="28">
        <v>0</v>
      </c>
      <c r="N155" s="28">
        <v>0</v>
      </c>
      <c r="O155" s="28">
        <v>0</v>
      </c>
      <c r="P155" s="28">
        <v>0</v>
      </c>
      <c r="Q155" s="28">
        <v>0</v>
      </c>
      <c r="R155" s="28">
        <v>0</v>
      </c>
      <c r="S155" s="28">
        <v>0</v>
      </c>
      <c r="T155" s="28">
        <v>0</v>
      </c>
      <c r="U155" s="28">
        <v>6</v>
      </c>
    </row>
    <row r="156" spans="1:21" ht="15" customHeight="1">
      <c r="A156" s="26"/>
      <c r="B156" s="26"/>
      <c r="C156" s="26" t="s">
        <v>1015</v>
      </c>
      <c r="D156" s="28">
        <v>0</v>
      </c>
      <c r="E156" s="28">
        <v>0</v>
      </c>
      <c r="F156" s="28">
        <v>0</v>
      </c>
      <c r="G156" s="28">
        <v>0</v>
      </c>
      <c r="H156" s="28">
        <v>0</v>
      </c>
      <c r="I156" s="28">
        <v>0</v>
      </c>
      <c r="J156" s="28">
        <v>0</v>
      </c>
      <c r="K156" s="28">
        <v>0</v>
      </c>
      <c r="L156" s="28">
        <v>0</v>
      </c>
      <c r="M156" s="28">
        <v>0</v>
      </c>
      <c r="N156" s="28">
        <v>0</v>
      </c>
      <c r="O156" s="28">
        <v>1</v>
      </c>
      <c r="P156" s="28">
        <v>0</v>
      </c>
      <c r="Q156" s="28">
        <v>0</v>
      </c>
      <c r="R156" s="28">
        <v>1</v>
      </c>
      <c r="S156" s="28">
        <v>0</v>
      </c>
      <c r="T156" s="28">
        <v>0</v>
      </c>
      <c r="U156" s="28">
        <v>2</v>
      </c>
    </row>
    <row r="157" spans="1:21" ht="15" customHeight="1">
      <c r="A157" s="26"/>
      <c r="B157" s="26"/>
      <c r="C157" s="26" t="s">
        <v>994</v>
      </c>
      <c r="D157" s="28">
        <v>0</v>
      </c>
      <c r="E157" s="28">
        <v>0</v>
      </c>
      <c r="F157" s="28">
        <v>0</v>
      </c>
      <c r="G157" s="28">
        <v>3</v>
      </c>
      <c r="H157" s="28">
        <v>0</v>
      </c>
      <c r="I157" s="28">
        <v>0</v>
      </c>
      <c r="J157" s="28">
        <v>0</v>
      </c>
      <c r="K157" s="28">
        <v>0</v>
      </c>
      <c r="L157" s="28">
        <v>0</v>
      </c>
      <c r="M157" s="28">
        <v>0</v>
      </c>
      <c r="N157" s="28">
        <v>0</v>
      </c>
      <c r="O157" s="28">
        <v>1</v>
      </c>
      <c r="P157" s="28">
        <v>0</v>
      </c>
      <c r="Q157" s="28">
        <v>0</v>
      </c>
      <c r="R157" s="28">
        <v>1</v>
      </c>
      <c r="S157" s="28">
        <v>0</v>
      </c>
      <c r="T157" s="28">
        <v>0</v>
      </c>
      <c r="U157" s="28">
        <v>8</v>
      </c>
    </row>
    <row r="158" spans="1:21" ht="15" customHeight="1">
      <c r="A158" s="25" t="s">
        <v>1026</v>
      </c>
      <c r="B158" s="25"/>
      <c r="C158" s="26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</row>
    <row r="159" spans="1:21" ht="15" customHeight="1">
      <c r="A159" s="26"/>
      <c r="B159" s="26"/>
      <c r="C159" s="26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</row>
    <row r="160" spans="1:21" ht="15" customHeight="1">
      <c r="A160" s="26" t="s">
        <v>1010</v>
      </c>
      <c r="B160" s="26" t="s">
        <v>73</v>
      </c>
      <c r="C160" s="26" t="s">
        <v>1016</v>
      </c>
      <c r="D160" s="28">
        <v>83827</v>
      </c>
      <c r="E160" s="28">
        <v>25919</v>
      </c>
      <c r="F160" s="28">
        <v>24756</v>
      </c>
      <c r="G160" s="28">
        <v>28803</v>
      </c>
      <c r="H160" s="28">
        <v>12587</v>
      </c>
      <c r="I160" s="28">
        <v>12368</v>
      </c>
      <c r="J160" s="28">
        <v>9819</v>
      </c>
      <c r="K160" s="28">
        <v>5275</v>
      </c>
      <c r="L160" s="28">
        <v>136512</v>
      </c>
      <c r="M160" s="28">
        <v>13147</v>
      </c>
      <c r="N160" s="28">
        <v>13128</v>
      </c>
      <c r="O160" s="28">
        <v>17047</v>
      </c>
      <c r="P160" s="28">
        <v>13805</v>
      </c>
      <c r="Q160" s="28">
        <v>13216</v>
      </c>
      <c r="R160" s="28">
        <v>20361</v>
      </c>
      <c r="S160" s="28">
        <v>25071</v>
      </c>
      <c r="T160" s="28">
        <v>5797</v>
      </c>
      <c r="U160" s="28">
        <v>606362</v>
      </c>
    </row>
    <row r="161" spans="1:21" ht="15" customHeight="1">
      <c r="A161" s="26"/>
      <c r="B161" s="26"/>
      <c r="C161" s="26" t="s">
        <v>1015</v>
      </c>
      <c r="D161" s="28">
        <v>5631</v>
      </c>
      <c r="E161" s="28">
        <v>1356</v>
      </c>
      <c r="F161" s="28">
        <v>196</v>
      </c>
      <c r="G161" s="28">
        <v>10483</v>
      </c>
      <c r="H161" s="28">
        <v>32</v>
      </c>
      <c r="I161" s="28">
        <v>43</v>
      </c>
      <c r="J161" s="28">
        <v>25</v>
      </c>
      <c r="K161" s="28">
        <v>3</v>
      </c>
      <c r="L161" s="28">
        <v>461</v>
      </c>
      <c r="M161" s="28">
        <v>43</v>
      </c>
      <c r="N161" s="28">
        <v>146</v>
      </c>
      <c r="O161" s="28">
        <v>62</v>
      </c>
      <c r="P161" s="28">
        <v>212</v>
      </c>
      <c r="Q161" s="28">
        <v>1011</v>
      </c>
      <c r="R161" s="28">
        <v>28</v>
      </c>
      <c r="S161" s="28">
        <v>834</v>
      </c>
      <c r="T161" s="28">
        <v>6124</v>
      </c>
      <c r="U161" s="28">
        <v>43360</v>
      </c>
    </row>
    <row r="162" spans="1:21" ht="15" customHeight="1">
      <c r="B162" s="26"/>
      <c r="C162" s="26" t="s">
        <v>994</v>
      </c>
      <c r="D162" s="28">
        <v>89458</v>
      </c>
      <c r="E162" s="28">
        <v>27275</v>
      </c>
      <c r="F162" s="28">
        <v>24952</v>
      </c>
      <c r="G162" s="28">
        <v>39286</v>
      </c>
      <c r="H162" s="28">
        <v>12619</v>
      </c>
      <c r="I162" s="28">
        <v>12411</v>
      </c>
      <c r="J162" s="28">
        <v>9844</v>
      </c>
      <c r="K162" s="28">
        <v>5278</v>
      </c>
      <c r="L162" s="28">
        <v>136973</v>
      </c>
      <c r="M162" s="28">
        <v>13190</v>
      </c>
      <c r="N162" s="28">
        <v>13274</v>
      </c>
      <c r="O162" s="28">
        <v>17109</v>
      </c>
      <c r="P162" s="28">
        <v>14017</v>
      </c>
      <c r="Q162" s="28">
        <v>14227</v>
      </c>
      <c r="R162" s="28">
        <v>20389</v>
      </c>
      <c r="S162" s="28">
        <v>25905</v>
      </c>
      <c r="T162" s="28">
        <v>11921</v>
      </c>
      <c r="U162" s="28">
        <v>649722</v>
      </c>
    </row>
    <row r="163" spans="1:21" ht="15" customHeight="1">
      <c r="A163" s="26" t="s">
        <v>1011</v>
      </c>
      <c r="B163" s="26" t="s">
        <v>76</v>
      </c>
      <c r="C163" s="26" t="s">
        <v>1016</v>
      </c>
      <c r="D163" s="28">
        <v>0</v>
      </c>
      <c r="E163" s="28">
        <v>0</v>
      </c>
      <c r="F163" s="28">
        <v>0</v>
      </c>
      <c r="G163" s="28">
        <v>0</v>
      </c>
      <c r="H163" s="28">
        <v>0</v>
      </c>
      <c r="I163" s="28">
        <v>0</v>
      </c>
      <c r="J163" s="28">
        <v>0</v>
      </c>
      <c r="K163" s="28">
        <v>0</v>
      </c>
      <c r="L163" s="28">
        <v>0</v>
      </c>
      <c r="M163" s="28">
        <v>0</v>
      </c>
      <c r="N163" s="28">
        <v>0</v>
      </c>
      <c r="O163" s="28">
        <v>0</v>
      </c>
      <c r="P163" s="28">
        <v>0</v>
      </c>
      <c r="Q163" s="28">
        <v>0</v>
      </c>
      <c r="R163" s="28">
        <v>0</v>
      </c>
      <c r="S163" s="28">
        <v>0</v>
      </c>
      <c r="T163" s="28">
        <v>0</v>
      </c>
      <c r="U163" s="28">
        <v>0</v>
      </c>
    </row>
    <row r="164" spans="1:21" ht="15" customHeight="1">
      <c r="B164" s="26"/>
      <c r="C164" s="26" t="s">
        <v>1015</v>
      </c>
      <c r="D164" s="28">
        <v>0</v>
      </c>
      <c r="E164" s="28">
        <v>0</v>
      </c>
      <c r="F164" s="28">
        <v>0</v>
      </c>
      <c r="G164" s="28">
        <v>0</v>
      </c>
      <c r="H164" s="28">
        <v>0</v>
      </c>
      <c r="I164" s="28">
        <v>0</v>
      </c>
      <c r="J164" s="28">
        <v>0</v>
      </c>
      <c r="K164" s="28">
        <v>0</v>
      </c>
      <c r="L164" s="28">
        <v>0</v>
      </c>
      <c r="M164" s="28">
        <v>0</v>
      </c>
      <c r="N164" s="28">
        <v>0</v>
      </c>
      <c r="O164" s="28">
        <v>0</v>
      </c>
      <c r="P164" s="28">
        <v>0</v>
      </c>
      <c r="Q164" s="28">
        <v>0</v>
      </c>
      <c r="R164" s="28">
        <v>0</v>
      </c>
      <c r="S164" s="28">
        <v>0</v>
      </c>
      <c r="T164" s="28">
        <v>0</v>
      </c>
      <c r="U164" s="28">
        <v>0</v>
      </c>
    </row>
    <row r="165" spans="1:21" ht="15" customHeight="1">
      <c r="A165" s="26"/>
      <c r="B165" s="26"/>
      <c r="C165" s="26" t="s">
        <v>994</v>
      </c>
      <c r="D165" s="28">
        <v>0</v>
      </c>
      <c r="E165" s="28">
        <v>0</v>
      </c>
      <c r="F165" s="28">
        <v>0</v>
      </c>
      <c r="G165" s="28">
        <v>0</v>
      </c>
      <c r="H165" s="28">
        <v>0</v>
      </c>
      <c r="I165" s="28">
        <v>0</v>
      </c>
      <c r="J165" s="28">
        <v>0</v>
      </c>
      <c r="K165" s="28">
        <v>0</v>
      </c>
      <c r="L165" s="28">
        <v>0</v>
      </c>
      <c r="M165" s="28">
        <v>0</v>
      </c>
      <c r="N165" s="28">
        <v>0</v>
      </c>
      <c r="O165" s="28">
        <v>0</v>
      </c>
      <c r="P165" s="28">
        <v>0</v>
      </c>
      <c r="Q165" s="28">
        <v>0</v>
      </c>
      <c r="R165" s="28">
        <v>0</v>
      </c>
      <c r="S165" s="28">
        <v>0</v>
      </c>
      <c r="T165" s="28">
        <v>0</v>
      </c>
      <c r="U165" s="28">
        <v>0</v>
      </c>
    </row>
    <row r="166" spans="1:21" ht="15" customHeight="1">
      <c r="A166" s="26" t="s">
        <v>1012</v>
      </c>
      <c r="B166" s="26" t="s">
        <v>77</v>
      </c>
      <c r="C166" s="26" t="s">
        <v>1016</v>
      </c>
      <c r="D166" s="28">
        <v>0</v>
      </c>
      <c r="E166" s="28">
        <v>0</v>
      </c>
      <c r="F166" s="28">
        <v>0</v>
      </c>
      <c r="G166" s="28">
        <v>0</v>
      </c>
      <c r="H166" s="28">
        <v>0</v>
      </c>
      <c r="I166" s="28">
        <v>0</v>
      </c>
      <c r="J166" s="28">
        <v>0</v>
      </c>
      <c r="K166" s="28">
        <v>0</v>
      </c>
      <c r="L166" s="28">
        <v>0</v>
      </c>
      <c r="M166" s="28">
        <v>0</v>
      </c>
      <c r="N166" s="28">
        <v>0</v>
      </c>
      <c r="O166" s="28">
        <v>0</v>
      </c>
      <c r="P166" s="28">
        <v>0</v>
      </c>
      <c r="Q166" s="28">
        <v>0</v>
      </c>
      <c r="R166" s="28">
        <v>0</v>
      </c>
      <c r="S166" s="28">
        <v>0</v>
      </c>
      <c r="T166" s="28">
        <v>0</v>
      </c>
      <c r="U166" s="28">
        <v>7</v>
      </c>
    </row>
    <row r="167" spans="1:21" ht="15" customHeight="1">
      <c r="B167" s="26"/>
      <c r="C167" s="26" t="s">
        <v>1015</v>
      </c>
      <c r="D167" s="28">
        <v>0</v>
      </c>
      <c r="E167" s="28">
        <v>0</v>
      </c>
      <c r="F167" s="28">
        <v>0</v>
      </c>
      <c r="G167" s="28">
        <v>0</v>
      </c>
      <c r="H167" s="28">
        <v>0</v>
      </c>
      <c r="I167" s="28">
        <v>0</v>
      </c>
      <c r="J167" s="28">
        <v>0</v>
      </c>
      <c r="K167" s="28">
        <v>0</v>
      </c>
      <c r="L167" s="28">
        <v>0</v>
      </c>
      <c r="M167" s="28">
        <v>0</v>
      </c>
      <c r="N167" s="28">
        <v>0</v>
      </c>
      <c r="O167" s="28">
        <v>0</v>
      </c>
      <c r="P167" s="28">
        <v>0</v>
      </c>
      <c r="Q167" s="28">
        <v>0</v>
      </c>
      <c r="R167" s="28">
        <v>0</v>
      </c>
      <c r="S167" s="28">
        <v>0</v>
      </c>
      <c r="T167" s="28">
        <v>0</v>
      </c>
      <c r="U167" s="28">
        <v>0</v>
      </c>
    </row>
    <row r="168" spans="1:21" ht="15" customHeight="1">
      <c r="A168" s="26"/>
      <c r="B168" s="26"/>
      <c r="C168" s="26" t="s">
        <v>994</v>
      </c>
      <c r="D168" s="28">
        <v>0</v>
      </c>
      <c r="E168" s="28">
        <v>0</v>
      </c>
      <c r="F168" s="28">
        <v>0</v>
      </c>
      <c r="G168" s="28">
        <v>0</v>
      </c>
      <c r="H168" s="28">
        <v>0</v>
      </c>
      <c r="I168" s="28">
        <v>0</v>
      </c>
      <c r="J168" s="28">
        <v>0</v>
      </c>
      <c r="K168" s="28">
        <v>0</v>
      </c>
      <c r="L168" s="28">
        <v>0</v>
      </c>
      <c r="M168" s="28">
        <v>0</v>
      </c>
      <c r="N168" s="28">
        <v>0</v>
      </c>
      <c r="O168" s="28">
        <v>0</v>
      </c>
      <c r="P168" s="28">
        <v>0</v>
      </c>
      <c r="Q168" s="28">
        <v>0</v>
      </c>
      <c r="R168" s="28">
        <v>0</v>
      </c>
      <c r="S168" s="28">
        <v>0</v>
      </c>
      <c r="T168" s="28">
        <v>0</v>
      </c>
      <c r="U168" s="28">
        <v>7</v>
      </c>
    </row>
    <row r="169" spans="1:21" ht="15" customHeight="1">
      <c r="A169" s="26" t="s">
        <v>1013</v>
      </c>
      <c r="B169" s="26" t="s">
        <v>78</v>
      </c>
      <c r="C169" s="26" t="s">
        <v>1016</v>
      </c>
      <c r="D169" s="28">
        <v>0</v>
      </c>
      <c r="E169" s="28">
        <v>0</v>
      </c>
      <c r="F169" s="28">
        <v>0</v>
      </c>
      <c r="G169" s="28">
        <v>0</v>
      </c>
      <c r="H169" s="28">
        <v>0</v>
      </c>
      <c r="I169" s="28">
        <v>0</v>
      </c>
      <c r="J169" s="28">
        <v>0</v>
      </c>
      <c r="K169" s="28">
        <v>0</v>
      </c>
      <c r="L169" s="28">
        <v>0</v>
      </c>
      <c r="M169" s="28">
        <v>0</v>
      </c>
      <c r="N169" s="28">
        <v>0</v>
      </c>
      <c r="O169" s="28">
        <v>0</v>
      </c>
      <c r="P169" s="28">
        <v>0</v>
      </c>
      <c r="Q169" s="28">
        <v>0</v>
      </c>
      <c r="R169" s="28">
        <v>0</v>
      </c>
      <c r="S169" s="28">
        <v>0</v>
      </c>
      <c r="T169" s="28">
        <v>0</v>
      </c>
      <c r="U169" s="28">
        <v>0</v>
      </c>
    </row>
    <row r="170" spans="1:21" ht="15" customHeight="1">
      <c r="B170" s="26"/>
      <c r="C170" s="26" t="s">
        <v>1015</v>
      </c>
      <c r="D170" s="28">
        <v>0</v>
      </c>
      <c r="E170" s="28">
        <v>0</v>
      </c>
      <c r="F170" s="28">
        <v>0</v>
      </c>
      <c r="G170" s="28">
        <v>0</v>
      </c>
      <c r="H170" s="28">
        <v>0</v>
      </c>
      <c r="I170" s="28">
        <v>0</v>
      </c>
      <c r="J170" s="28">
        <v>0</v>
      </c>
      <c r="K170" s="28">
        <v>0</v>
      </c>
      <c r="L170" s="28">
        <v>0</v>
      </c>
      <c r="M170" s="28">
        <v>0</v>
      </c>
      <c r="N170" s="28">
        <v>0</v>
      </c>
      <c r="O170" s="28">
        <v>0</v>
      </c>
      <c r="P170" s="28">
        <v>0</v>
      </c>
      <c r="Q170" s="28">
        <v>0</v>
      </c>
      <c r="R170" s="28">
        <v>0</v>
      </c>
      <c r="S170" s="28">
        <v>0</v>
      </c>
      <c r="T170" s="28">
        <v>0</v>
      </c>
      <c r="U170" s="28">
        <v>0</v>
      </c>
    </row>
    <row r="171" spans="1:21" ht="15" customHeight="1">
      <c r="A171" s="26"/>
      <c r="B171" s="26"/>
      <c r="C171" s="26" t="s">
        <v>994</v>
      </c>
      <c r="D171" s="28">
        <v>0</v>
      </c>
      <c r="E171" s="28">
        <v>0</v>
      </c>
      <c r="F171" s="28">
        <v>0</v>
      </c>
      <c r="G171" s="28">
        <v>0</v>
      </c>
      <c r="H171" s="28">
        <v>0</v>
      </c>
      <c r="I171" s="28">
        <v>0</v>
      </c>
      <c r="J171" s="28">
        <v>0</v>
      </c>
      <c r="K171" s="28">
        <v>0</v>
      </c>
      <c r="L171" s="28">
        <v>0</v>
      </c>
      <c r="M171" s="28">
        <v>0</v>
      </c>
      <c r="N171" s="28">
        <v>0</v>
      </c>
      <c r="O171" s="28">
        <v>0</v>
      </c>
      <c r="P171" s="28">
        <v>0</v>
      </c>
      <c r="Q171" s="28">
        <v>0</v>
      </c>
      <c r="R171" s="28">
        <v>0</v>
      </c>
      <c r="S171" s="28">
        <v>0</v>
      </c>
      <c r="T171" s="28">
        <v>0</v>
      </c>
      <c r="U171" s="28">
        <v>0</v>
      </c>
    </row>
    <row r="172" spans="1:21" ht="15" customHeight="1">
      <c r="A172" s="26" t="s">
        <v>1014</v>
      </c>
      <c r="B172" s="26" t="s">
        <v>79</v>
      </c>
      <c r="C172" s="26" t="s">
        <v>1016</v>
      </c>
      <c r="D172" s="28">
        <v>83827</v>
      </c>
      <c r="E172" s="28">
        <v>25919</v>
      </c>
      <c r="F172" s="28">
        <v>24756</v>
      </c>
      <c r="G172" s="28">
        <v>28803</v>
      </c>
      <c r="H172" s="28">
        <v>12587</v>
      </c>
      <c r="I172" s="28">
        <v>12368</v>
      </c>
      <c r="J172" s="28">
        <v>9819</v>
      </c>
      <c r="K172" s="28">
        <v>5275</v>
      </c>
      <c r="L172" s="28">
        <v>136512</v>
      </c>
      <c r="M172" s="28">
        <v>13147</v>
      </c>
      <c r="N172" s="28">
        <v>13128</v>
      </c>
      <c r="O172" s="28">
        <v>17047</v>
      </c>
      <c r="P172" s="28">
        <v>13805</v>
      </c>
      <c r="Q172" s="28">
        <v>13216</v>
      </c>
      <c r="R172" s="28">
        <v>20361</v>
      </c>
      <c r="S172" s="28">
        <v>25071</v>
      </c>
      <c r="T172" s="28">
        <v>5797</v>
      </c>
      <c r="U172" s="28">
        <v>606369</v>
      </c>
    </row>
    <row r="173" spans="1:21" ht="15" customHeight="1">
      <c r="A173" s="26"/>
      <c r="B173" s="26"/>
      <c r="C173" s="26" t="s">
        <v>1015</v>
      </c>
      <c r="D173" s="28">
        <v>5631</v>
      </c>
      <c r="E173" s="28">
        <v>1356</v>
      </c>
      <c r="F173" s="28">
        <v>196</v>
      </c>
      <c r="G173" s="28">
        <v>10483</v>
      </c>
      <c r="H173" s="28">
        <v>32</v>
      </c>
      <c r="I173" s="28">
        <v>43</v>
      </c>
      <c r="J173" s="28">
        <v>25</v>
      </c>
      <c r="K173" s="28">
        <v>3</v>
      </c>
      <c r="L173" s="28">
        <v>461</v>
      </c>
      <c r="M173" s="28">
        <v>43</v>
      </c>
      <c r="N173" s="28">
        <v>146</v>
      </c>
      <c r="O173" s="28">
        <v>62</v>
      </c>
      <c r="P173" s="28">
        <v>212</v>
      </c>
      <c r="Q173" s="28">
        <v>1011</v>
      </c>
      <c r="R173" s="28">
        <v>28</v>
      </c>
      <c r="S173" s="28">
        <v>834</v>
      </c>
      <c r="T173" s="28">
        <v>6124</v>
      </c>
      <c r="U173" s="28">
        <v>43360</v>
      </c>
    </row>
    <row r="174" spans="1:21" ht="15" customHeight="1">
      <c r="A174" s="26"/>
      <c r="B174" s="26"/>
      <c r="C174" s="26" t="s">
        <v>994</v>
      </c>
      <c r="D174" s="28">
        <v>89458</v>
      </c>
      <c r="E174" s="28">
        <v>27275</v>
      </c>
      <c r="F174" s="28">
        <v>24952</v>
      </c>
      <c r="G174" s="28">
        <v>39286</v>
      </c>
      <c r="H174" s="28">
        <v>12619</v>
      </c>
      <c r="I174" s="28">
        <v>12411</v>
      </c>
      <c r="J174" s="28">
        <v>9844</v>
      </c>
      <c r="K174" s="28">
        <v>5278</v>
      </c>
      <c r="L174" s="28">
        <v>136973</v>
      </c>
      <c r="M174" s="28">
        <v>13190</v>
      </c>
      <c r="N174" s="28">
        <v>13274</v>
      </c>
      <c r="O174" s="28">
        <v>17109</v>
      </c>
      <c r="P174" s="28">
        <v>14017</v>
      </c>
      <c r="Q174" s="28">
        <v>14227</v>
      </c>
      <c r="R174" s="28">
        <v>20389</v>
      </c>
      <c r="S174" s="28">
        <v>25905</v>
      </c>
      <c r="T174" s="28">
        <v>11921</v>
      </c>
      <c r="U174" s="28">
        <v>649729</v>
      </c>
    </row>
    <row r="175" spans="1:21" ht="15" customHeight="1">
      <c r="A175" s="25" t="s">
        <v>1028</v>
      </c>
      <c r="B175" s="25"/>
      <c r="C175" s="26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</row>
    <row r="176" spans="1:21" ht="15" customHeight="1">
      <c r="A176" s="26"/>
      <c r="B176" s="26"/>
      <c r="C176" s="26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</row>
    <row r="177" spans="1:21" ht="15" customHeight="1">
      <c r="A177" s="26" t="s">
        <v>1010</v>
      </c>
      <c r="B177" s="26" t="s">
        <v>73</v>
      </c>
      <c r="C177" s="26" t="s">
        <v>1016</v>
      </c>
      <c r="D177" s="28">
        <v>86</v>
      </c>
      <c r="E177" s="28">
        <v>136</v>
      </c>
      <c r="F177" s="28">
        <v>92</v>
      </c>
      <c r="G177" s="28">
        <v>76</v>
      </c>
      <c r="H177" s="28">
        <v>8</v>
      </c>
      <c r="I177" s="28">
        <v>12</v>
      </c>
      <c r="J177" s="28">
        <v>5</v>
      </c>
      <c r="K177" s="28">
        <v>0</v>
      </c>
      <c r="L177" s="28">
        <v>89</v>
      </c>
      <c r="M177" s="28">
        <v>7</v>
      </c>
      <c r="N177" s="28">
        <v>9</v>
      </c>
      <c r="O177" s="28">
        <v>7</v>
      </c>
      <c r="P177" s="28">
        <v>16</v>
      </c>
      <c r="Q177" s="28">
        <v>9</v>
      </c>
      <c r="R177" s="28">
        <v>4</v>
      </c>
      <c r="S177" s="28">
        <v>10</v>
      </c>
      <c r="T177" s="28">
        <v>6</v>
      </c>
      <c r="U177" s="28">
        <v>7514</v>
      </c>
    </row>
    <row r="178" spans="1:21" ht="15" customHeight="1">
      <c r="A178" s="26"/>
      <c r="B178" s="26"/>
      <c r="C178" s="26" t="s">
        <v>1015</v>
      </c>
      <c r="D178" s="28">
        <v>0</v>
      </c>
      <c r="E178" s="28">
        <v>0</v>
      </c>
      <c r="F178" s="28">
        <v>0</v>
      </c>
      <c r="G178" s="28">
        <v>3</v>
      </c>
      <c r="H178" s="28">
        <v>0</v>
      </c>
      <c r="I178" s="28">
        <v>0</v>
      </c>
      <c r="J178" s="28">
        <v>0</v>
      </c>
      <c r="K178" s="28">
        <v>0</v>
      </c>
      <c r="L178" s="28">
        <v>0</v>
      </c>
      <c r="M178" s="28">
        <v>0</v>
      </c>
      <c r="N178" s="28">
        <v>0</v>
      </c>
      <c r="O178" s="28">
        <v>0</v>
      </c>
      <c r="P178" s="28">
        <v>0</v>
      </c>
      <c r="Q178" s="28">
        <v>3</v>
      </c>
      <c r="R178" s="28">
        <v>0</v>
      </c>
      <c r="S178" s="28">
        <v>10</v>
      </c>
      <c r="T178" s="28">
        <v>5</v>
      </c>
      <c r="U178" s="28">
        <v>546</v>
      </c>
    </row>
    <row r="179" spans="1:21" ht="15" customHeight="1">
      <c r="B179" s="26"/>
      <c r="C179" s="26" t="s">
        <v>994</v>
      </c>
      <c r="D179" s="28">
        <v>86</v>
      </c>
      <c r="E179" s="28">
        <v>136</v>
      </c>
      <c r="F179" s="28">
        <v>92</v>
      </c>
      <c r="G179" s="28">
        <v>79</v>
      </c>
      <c r="H179" s="28">
        <v>8</v>
      </c>
      <c r="I179" s="28">
        <v>12</v>
      </c>
      <c r="J179" s="28">
        <v>5</v>
      </c>
      <c r="K179" s="28">
        <v>0</v>
      </c>
      <c r="L179" s="28">
        <v>89</v>
      </c>
      <c r="M179" s="28">
        <v>7</v>
      </c>
      <c r="N179" s="28">
        <v>9</v>
      </c>
      <c r="O179" s="28">
        <v>7</v>
      </c>
      <c r="P179" s="28">
        <v>16</v>
      </c>
      <c r="Q179" s="28">
        <v>12</v>
      </c>
      <c r="R179" s="28">
        <v>4</v>
      </c>
      <c r="S179" s="28">
        <v>20</v>
      </c>
      <c r="T179" s="28">
        <v>11</v>
      </c>
      <c r="U179" s="28">
        <v>8060</v>
      </c>
    </row>
    <row r="180" spans="1:21" ht="15" customHeight="1">
      <c r="A180" s="26" t="s">
        <v>1011</v>
      </c>
      <c r="B180" s="26" t="s">
        <v>76</v>
      </c>
      <c r="C180" s="26" t="s">
        <v>1016</v>
      </c>
      <c r="D180" s="28">
        <v>1</v>
      </c>
      <c r="E180" s="28">
        <v>1</v>
      </c>
      <c r="F180" s="28">
        <v>1</v>
      </c>
      <c r="G180" s="28">
        <v>0</v>
      </c>
      <c r="H180" s="28">
        <v>0</v>
      </c>
      <c r="I180" s="28">
        <v>0</v>
      </c>
      <c r="J180" s="28">
        <v>0</v>
      </c>
      <c r="K180" s="28">
        <v>0</v>
      </c>
      <c r="L180" s="28">
        <v>1</v>
      </c>
      <c r="M180" s="28">
        <v>0</v>
      </c>
      <c r="N180" s="28">
        <v>0</v>
      </c>
      <c r="O180" s="28">
        <v>0</v>
      </c>
      <c r="P180" s="28">
        <v>0</v>
      </c>
      <c r="Q180" s="28">
        <v>0</v>
      </c>
      <c r="R180" s="28">
        <v>0</v>
      </c>
      <c r="S180" s="28">
        <v>0</v>
      </c>
      <c r="T180" s="28">
        <v>0</v>
      </c>
      <c r="U180" s="28">
        <v>3</v>
      </c>
    </row>
    <row r="181" spans="1:21" ht="15" customHeight="1">
      <c r="B181" s="26"/>
      <c r="C181" s="26" t="s">
        <v>1015</v>
      </c>
      <c r="D181" s="28">
        <v>0</v>
      </c>
      <c r="E181" s="28">
        <v>0</v>
      </c>
      <c r="F181" s="28">
        <v>0</v>
      </c>
      <c r="G181" s="28">
        <v>4</v>
      </c>
      <c r="H181" s="28">
        <v>1</v>
      </c>
      <c r="I181" s="28">
        <v>0</v>
      </c>
      <c r="J181" s="28">
        <v>0</v>
      </c>
      <c r="K181" s="28">
        <v>0</v>
      </c>
      <c r="L181" s="28">
        <v>0</v>
      </c>
      <c r="M181" s="28">
        <v>0</v>
      </c>
      <c r="N181" s="28">
        <v>0</v>
      </c>
      <c r="O181" s="28">
        <v>0</v>
      </c>
      <c r="P181" s="28">
        <v>0</v>
      </c>
      <c r="Q181" s="28">
        <v>0</v>
      </c>
      <c r="R181" s="28">
        <v>0</v>
      </c>
      <c r="S181" s="28">
        <v>0</v>
      </c>
      <c r="T181" s="28">
        <v>0</v>
      </c>
      <c r="U181" s="28">
        <v>4</v>
      </c>
    </row>
    <row r="182" spans="1:21" ht="15" customHeight="1">
      <c r="A182" s="26"/>
      <c r="B182" s="26"/>
      <c r="C182" s="26" t="s">
        <v>994</v>
      </c>
      <c r="D182" s="28">
        <v>1</v>
      </c>
      <c r="E182" s="28">
        <v>1</v>
      </c>
      <c r="F182" s="28">
        <v>1</v>
      </c>
      <c r="G182" s="28">
        <v>4</v>
      </c>
      <c r="H182" s="28">
        <v>1</v>
      </c>
      <c r="I182" s="28">
        <v>0</v>
      </c>
      <c r="J182" s="28">
        <v>0</v>
      </c>
      <c r="K182" s="28">
        <v>0</v>
      </c>
      <c r="L182" s="28">
        <v>1</v>
      </c>
      <c r="M182" s="28">
        <v>0</v>
      </c>
      <c r="N182" s="28">
        <v>0</v>
      </c>
      <c r="O182" s="28">
        <v>0</v>
      </c>
      <c r="P182" s="28">
        <v>0</v>
      </c>
      <c r="Q182" s="28">
        <v>0</v>
      </c>
      <c r="R182" s="28">
        <v>0</v>
      </c>
      <c r="S182" s="28">
        <v>0</v>
      </c>
      <c r="T182" s="28">
        <v>0</v>
      </c>
      <c r="U182" s="28">
        <v>7</v>
      </c>
    </row>
    <row r="183" spans="1:21" ht="15" customHeight="1">
      <c r="A183" s="26" t="s">
        <v>1012</v>
      </c>
      <c r="B183" s="26" t="s">
        <v>77</v>
      </c>
      <c r="C183" s="26" t="s">
        <v>1016</v>
      </c>
      <c r="D183" s="28">
        <v>0</v>
      </c>
      <c r="E183" s="28">
        <v>0</v>
      </c>
      <c r="F183" s="28">
        <v>0</v>
      </c>
      <c r="G183" s="28">
        <v>0</v>
      </c>
      <c r="H183" s="28">
        <v>0</v>
      </c>
      <c r="I183" s="28">
        <v>0</v>
      </c>
      <c r="J183" s="28">
        <v>0</v>
      </c>
      <c r="K183" s="28">
        <v>0</v>
      </c>
      <c r="L183" s="28">
        <v>0</v>
      </c>
      <c r="M183" s="28">
        <v>0</v>
      </c>
      <c r="N183" s="28">
        <v>0</v>
      </c>
      <c r="O183" s="28">
        <v>0</v>
      </c>
      <c r="P183" s="28">
        <v>0</v>
      </c>
      <c r="Q183" s="28">
        <v>0</v>
      </c>
      <c r="R183" s="28">
        <v>0</v>
      </c>
      <c r="S183" s="28">
        <v>0</v>
      </c>
      <c r="T183" s="28">
        <v>0</v>
      </c>
      <c r="U183" s="28">
        <v>5</v>
      </c>
    </row>
    <row r="184" spans="1:21" ht="15" customHeight="1">
      <c r="B184" s="26"/>
      <c r="C184" s="26" t="s">
        <v>1015</v>
      </c>
      <c r="D184" s="28">
        <v>0</v>
      </c>
      <c r="E184" s="28">
        <v>0</v>
      </c>
      <c r="F184" s="28">
        <v>0</v>
      </c>
      <c r="G184" s="28">
        <v>0</v>
      </c>
      <c r="H184" s="28">
        <v>0</v>
      </c>
      <c r="I184" s="28">
        <v>0</v>
      </c>
      <c r="J184" s="28">
        <v>0</v>
      </c>
      <c r="K184" s="28">
        <v>0</v>
      </c>
      <c r="L184" s="28">
        <v>0</v>
      </c>
      <c r="M184" s="28">
        <v>0</v>
      </c>
      <c r="N184" s="28">
        <v>0</v>
      </c>
      <c r="O184" s="28">
        <v>0</v>
      </c>
      <c r="P184" s="28">
        <v>0</v>
      </c>
      <c r="Q184" s="28">
        <v>0</v>
      </c>
      <c r="R184" s="28">
        <v>0</v>
      </c>
      <c r="S184" s="28">
        <v>0</v>
      </c>
      <c r="T184" s="28">
        <v>0</v>
      </c>
      <c r="U184" s="28">
        <v>1</v>
      </c>
    </row>
    <row r="185" spans="1:21" ht="15" customHeight="1">
      <c r="A185" s="26"/>
      <c r="B185" s="26"/>
      <c r="C185" s="26" t="s">
        <v>994</v>
      </c>
      <c r="D185" s="28">
        <v>0</v>
      </c>
      <c r="E185" s="28">
        <v>0</v>
      </c>
      <c r="F185" s="28">
        <v>0</v>
      </c>
      <c r="G185" s="28">
        <v>0</v>
      </c>
      <c r="H185" s="28">
        <v>0</v>
      </c>
      <c r="I185" s="28">
        <v>0</v>
      </c>
      <c r="J185" s="28">
        <v>0</v>
      </c>
      <c r="K185" s="28">
        <v>0</v>
      </c>
      <c r="L185" s="28">
        <v>0</v>
      </c>
      <c r="M185" s="28">
        <v>0</v>
      </c>
      <c r="N185" s="28">
        <v>0</v>
      </c>
      <c r="O185" s="28">
        <v>0</v>
      </c>
      <c r="P185" s="28">
        <v>0</v>
      </c>
      <c r="Q185" s="28">
        <v>0</v>
      </c>
      <c r="R185" s="28">
        <v>0</v>
      </c>
      <c r="S185" s="28">
        <v>0</v>
      </c>
      <c r="T185" s="28">
        <v>0</v>
      </c>
      <c r="U185" s="28">
        <v>6</v>
      </c>
    </row>
    <row r="186" spans="1:21" ht="15" customHeight="1">
      <c r="A186" s="26" t="s">
        <v>1013</v>
      </c>
      <c r="B186" s="26" t="s">
        <v>78</v>
      </c>
      <c r="C186" s="26" t="s">
        <v>1016</v>
      </c>
      <c r="D186" s="28">
        <v>0</v>
      </c>
      <c r="E186" s="28">
        <v>0</v>
      </c>
      <c r="F186" s="28">
        <v>0</v>
      </c>
      <c r="G186" s="28">
        <v>0</v>
      </c>
      <c r="H186" s="28">
        <v>0</v>
      </c>
      <c r="I186" s="28">
        <v>0</v>
      </c>
      <c r="J186" s="28">
        <v>0</v>
      </c>
      <c r="K186" s="28">
        <v>0</v>
      </c>
      <c r="L186" s="28">
        <v>0</v>
      </c>
      <c r="M186" s="28">
        <v>0</v>
      </c>
      <c r="N186" s="28">
        <v>0</v>
      </c>
      <c r="O186" s="28">
        <v>0</v>
      </c>
      <c r="P186" s="28">
        <v>0</v>
      </c>
      <c r="Q186" s="28">
        <v>0</v>
      </c>
      <c r="R186" s="28">
        <v>0</v>
      </c>
      <c r="S186" s="28">
        <v>0</v>
      </c>
      <c r="T186" s="28">
        <v>0</v>
      </c>
      <c r="U186" s="28">
        <v>0</v>
      </c>
    </row>
    <row r="187" spans="1:21" ht="15" customHeight="1">
      <c r="B187" s="26"/>
      <c r="C187" s="26" t="s">
        <v>1015</v>
      </c>
      <c r="D187" s="28">
        <v>0</v>
      </c>
      <c r="E187" s="28">
        <v>0</v>
      </c>
      <c r="F187" s="28">
        <v>0</v>
      </c>
      <c r="G187" s="28">
        <v>0</v>
      </c>
      <c r="H187" s="28">
        <v>0</v>
      </c>
      <c r="I187" s="28">
        <v>0</v>
      </c>
      <c r="J187" s="28">
        <v>0</v>
      </c>
      <c r="K187" s="28">
        <v>0</v>
      </c>
      <c r="L187" s="28">
        <v>0</v>
      </c>
      <c r="M187" s="28">
        <v>0</v>
      </c>
      <c r="N187" s="28">
        <v>0</v>
      </c>
      <c r="O187" s="28">
        <v>0</v>
      </c>
      <c r="P187" s="28">
        <v>0</v>
      </c>
      <c r="Q187" s="28">
        <v>0</v>
      </c>
      <c r="R187" s="28">
        <v>0</v>
      </c>
      <c r="S187" s="28">
        <v>0</v>
      </c>
      <c r="T187" s="28">
        <v>0</v>
      </c>
      <c r="U187" s="28">
        <v>0</v>
      </c>
    </row>
    <row r="188" spans="1:21" ht="15" customHeight="1">
      <c r="A188" s="26"/>
      <c r="B188" s="26"/>
      <c r="C188" s="26" t="s">
        <v>994</v>
      </c>
      <c r="D188" s="28">
        <v>0</v>
      </c>
      <c r="E188" s="28">
        <v>0</v>
      </c>
      <c r="F188" s="28">
        <v>0</v>
      </c>
      <c r="G188" s="28">
        <v>0</v>
      </c>
      <c r="H188" s="28">
        <v>0</v>
      </c>
      <c r="I188" s="28">
        <v>0</v>
      </c>
      <c r="J188" s="28">
        <v>0</v>
      </c>
      <c r="K188" s="28">
        <v>0</v>
      </c>
      <c r="L188" s="28">
        <v>0</v>
      </c>
      <c r="M188" s="28">
        <v>0</v>
      </c>
      <c r="N188" s="28">
        <v>0</v>
      </c>
      <c r="O188" s="28">
        <v>0</v>
      </c>
      <c r="P188" s="28">
        <v>0</v>
      </c>
      <c r="Q188" s="28">
        <v>0</v>
      </c>
      <c r="R188" s="28">
        <v>0</v>
      </c>
      <c r="S188" s="28">
        <v>0</v>
      </c>
      <c r="T188" s="28">
        <v>0</v>
      </c>
      <c r="U188" s="28">
        <v>0</v>
      </c>
    </row>
    <row r="189" spans="1:21" ht="15" customHeight="1">
      <c r="A189" s="26" t="s">
        <v>1014</v>
      </c>
      <c r="B189" s="26" t="s">
        <v>79</v>
      </c>
      <c r="C189" s="26" t="s">
        <v>1016</v>
      </c>
      <c r="D189" s="28">
        <v>87</v>
      </c>
      <c r="E189" s="28">
        <v>137</v>
      </c>
      <c r="F189" s="28">
        <v>93</v>
      </c>
      <c r="G189" s="28">
        <v>76</v>
      </c>
      <c r="H189" s="28">
        <v>8</v>
      </c>
      <c r="I189" s="28">
        <v>12</v>
      </c>
      <c r="J189" s="28">
        <v>5</v>
      </c>
      <c r="K189" s="28">
        <v>0</v>
      </c>
      <c r="L189" s="28">
        <v>90</v>
      </c>
      <c r="M189" s="28">
        <v>7</v>
      </c>
      <c r="N189" s="28">
        <v>9</v>
      </c>
      <c r="O189" s="28">
        <v>7</v>
      </c>
      <c r="P189" s="28">
        <v>16</v>
      </c>
      <c r="Q189" s="28">
        <v>9</v>
      </c>
      <c r="R189" s="28">
        <v>4</v>
      </c>
      <c r="S189" s="28">
        <v>10</v>
      </c>
      <c r="T189" s="28">
        <v>6</v>
      </c>
      <c r="U189" s="28">
        <v>7522</v>
      </c>
    </row>
    <row r="190" spans="1:21" ht="15" customHeight="1">
      <c r="A190" s="26"/>
      <c r="B190" s="26"/>
      <c r="C190" s="26" t="s">
        <v>1015</v>
      </c>
      <c r="D190" s="28">
        <v>0</v>
      </c>
      <c r="E190" s="28">
        <v>0</v>
      </c>
      <c r="F190" s="28">
        <v>0</v>
      </c>
      <c r="G190" s="28">
        <v>7</v>
      </c>
      <c r="H190" s="28">
        <v>1</v>
      </c>
      <c r="I190" s="28">
        <v>0</v>
      </c>
      <c r="J190" s="28">
        <v>0</v>
      </c>
      <c r="K190" s="28">
        <v>0</v>
      </c>
      <c r="L190" s="28">
        <v>0</v>
      </c>
      <c r="M190" s="28">
        <v>0</v>
      </c>
      <c r="N190" s="28">
        <v>0</v>
      </c>
      <c r="O190" s="28">
        <v>0</v>
      </c>
      <c r="P190" s="28">
        <v>0</v>
      </c>
      <c r="Q190" s="28">
        <v>3</v>
      </c>
      <c r="R190" s="28">
        <v>0</v>
      </c>
      <c r="S190" s="28">
        <v>10</v>
      </c>
      <c r="T190" s="28">
        <v>5</v>
      </c>
      <c r="U190" s="28">
        <v>551</v>
      </c>
    </row>
    <row r="191" spans="1:21" ht="15" customHeight="1">
      <c r="A191" s="26"/>
      <c r="B191" s="26"/>
      <c r="C191" s="26" t="s">
        <v>994</v>
      </c>
      <c r="D191" s="28">
        <v>87</v>
      </c>
      <c r="E191" s="28">
        <v>137</v>
      </c>
      <c r="F191" s="28">
        <v>93</v>
      </c>
      <c r="G191" s="28">
        <v>83</v>
      </c>
      <c r="H191" s="28">
        <v>9</v>
      </c>
      <c r="I191" s="28">
        <v>12</v>
      </c>
      <c r="J191" s="28">
        <v>5</v>
      </c>
      <c r="K191" s="28">
        <v>0</v>
      </c>
      <c r="L191" s="28">
        <v>90</v>
      </c>
      <c r="M191" s="28">
        <v>7</v>
      </c>
      <c r="N191" s="28">
        <v>9</v>
      </c>
      <c r="O191" s="28">
        <v>7</v>
      </c>
      <c r="P191" s="28">
        <v>16</v>
      </c>
      <c r="Q191" s="28">
        <v>12</v>
      </c>
      <c r="R191" s="28">
        <v>4</v>
      </c>
      <c r="S191" s="28">
        <v>20</v>
      </c>
      <c r="T191" s="28">
        <v>11</v>
      </c>
      <c r="U191" s="28">
        <v>8073</v>
      </c>
    </row>
    <row r="192" spans="1:21" ht="15" customHeight="1">
      <c r="A192" s="25" t="s">
        <v>1029</v>
      </c>
      <c r="B192" s="25"/>
      <c r="C192" s="26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</row>
    <row r="193" spans="1:21" ht="15" customHeight="1">
      <c r="A193" s="26"/>
      <c r="B193" s="26"/>
      <c r="C193" s="26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</row>
    <row r="194" spans="1:21" ht="15" customHeight="1">
      <c r="A194" s="26" t="s">
        <v>1010</v>
      </c>
      <c r="B194" s="26" t="s">
        <v>73</v>
      </c>
      <c r="C194" s="26" t="s">
        <v>1016</v>
      </c>
      <c r="D194" s="28">
        <v>1847</v>
      </c>
      <c r="E194" s="28">
        <v>836</v>
      </c>
      <c r="F194" s="28">
        <v>968</v>
      </c>
      <c r="G194" s="28">
        <v>791</v>
      </c>
      <c r="H194" s="28">
        <v>706</v>
      </c>
      <c r="I194" s="28">
        <v>555</v>
      </c>
      <c r="J194" s="28">
        <v>537</v>
      </c>
      <c r="K194" s="28">
        <v>183</v>
      </c>
      <c r="L194" s="28">
        <v>4012</v>
      </c>
      <c r="M194" s="28">
        <v>719</v>
      </c>
      <c r="N194" s="28">
        <v>726</v>
      </c>
      <c r="O194" s="28">
        <v>792</v>
      </c>
      <c r="P194" s="28">
        <v>817</v>
      </c>
      <c r="Q194" s="28">
        <v>910</v>
      </c>
      <c r="R194" s="28">
        <v>1095</v>
      </c>
      <c r="S194" s="28">
        <v>1105</v>
      </c>
      <c r="T194" s="28">
        <v>325</v>
      </c>
      <c r="U194" s="28">
        <v>16217</v>
      </c>
    </row>
    <row r="195" spans="1:21" ht="15" customHeight="1">
      <c r="A195" s="26"/>
      <c r="B195" s="26"/>
      <c r="C195" s="26" t="s">
        <v>1015</v>
      </c>
      <c r="D195" s="28">
        <v>62</v>
      </c>
      <c r="E195" s="28">
        <v>1</v>
      </c>
      <c r="F195" s="28">
        <v>0</v>
      </c>
      <c r="G195" s="28">
        <v>0</v>
      </c>
      <c r="H195" s="28">
        <v>1</v>
      </c>
      <c r="I195" s="28">
        <v>0</v>
      </c>
      <c r="J195" s="28">
        <v>0</v>
      </c>
      <c r="K195" s="28">
        <v>0</v>
      </c>
      <c r="L195" s="28">
        <v>1</v>
      </c>
      <c r="M195" s="28">
        <v>0</v>
      </c>
      <c r="N195" s="28">
        <v>0</v>
      </c>
      <c r="O195" s="28">
        <v>0</v>
      </c>
      <c r="P195" s="28">
        <v>0</v>
      </c>
      <c r="Q195" s="28">
        <v>1</v>
      </c>
      <c r="R195" s="28">
        <v>0</v>
      </c>
      <c r="S195" s="28">
        <v>0</v>
      </c>
      <c r="T195" s="28">
        <v>0</v>
      </c>
      <c r="U195" s="28">
        <v>116</v>
      </c>
    </row>
    <row r="196" spans="1:21" ht="15" customHeight="1">
      <c r="B196" s="26"/>
      <c r="C196" s="26" t="s">
        <v>994</v>
      </c>
      <c r="D196" s="28">
        <v>1909</v>
      </c>
      <c r="E196" s="28">
        <v>837</v>
      </c>
      <c r="F196" s="28">
        <v>968</v>
      </c>
      <c r="G196" s="28">
        <v>791</v>
      </c>
      <c r="H196" s="28">
        <v>707</v>
      </c>
      <c r="I196" s="28">
        <v>555</v>
      </c>
      <c r="J196" s="28">
        <v>537</v>
      </c>
      <c r="K196" s="28">
        <v>183</v>
      </c>
      <c r="L196" s="28">
        <v>4013</v>
      </c>
      <c r="M196" s="28">
        <v>719</v>
      </c>
      <c r="N196" s="28">
        <v>726</v>
      </c>
      <c r="O196" s="28">
        <v>792</v>
      </c>
      <c r="P196" s="28">
        <v>817</v>
      </c>
      <c r="Q196" s="28">
        <v>911</v>
      </c>
      <c r="R196" s="28">
        <v>1095</v>
      </c>
      <c r="S196" s="28">
        <v>1105</v>
      </c>
      <c r="T196" s="28">
        <v>325</v>
      </c>
      <c r="U196" s="28">
        <v>16333</v>
      </c>
    </row>
    <row r="197" spans="1:21" ht="15" customHeight="1">
      <c r="A197" s="26" t="s">
        <v>1011</v>
      </c>
      <c r="B197" s="26" t="s">
        <v>76</v>
      </c>
      <c r="C197" s="26" t="s">
        <v>1016</v>
      </c>
      <c r="D197" s="28">
        <v>0</v>
      </c>
      <c r="E197" s="28">
        <v>0</v>
      </c>
      <c r="F197" s="28">
        <v>0</v>
      </c>
      <c r="G197" s="28">
        <v>0</v>
      </c>
      <c r="H197" s="28">
        <v>0</v>
      </c>
      <c r="I197" s="28">
        <v>0</v>
      </c>
      <c r="J197" s="28">
        <v>0</v>
      </c>
      <c r="K197" s="28">
        <v>0</v>
      </c>
      <c r="L197" s="28">
        <v>0</v>
      </c>
      <c r="M197" s="28">
        <v>0</v>
      </c>
      <c r="N197" s="28">
        <v>0</v>
      </c>
      <c r="O197" s="28">
        <v>0</v>
      </c>
      <c r="P197" s="28">
        <v>0</v>
      </c>
      <c r="Q197" s="28">
        <v>0</v>
      </c>
      <c r="R197" s="28">
        <v>0</v>
      </c>
      <c r="S197" s="28">
        <v>0</v>
      </c>
      <c r="T197" s="28">
        <v>0</v>
      </c>
      <c r="U197" s="28">
        <v>0</v>
      </c>
    </row>
    <row r="198" spans="1:21" ht="15" customHeight="1">
      <c r="B198" s="26"/>
      <c r="C198" s="26" t="s">
        <v>1015</v>
      </c>
      <c r="D198" s="28">
        <v>0</v>
      </c>
      <c r="E198" s="28">
        <v>0</v>
      </c>
      <c r="F198" s="28">
        <v>0</v>
      </c>
      <c r="G198" s="28">
        <v>0</v>
      </c>
      <c r="H198" s="28">
        <v>0</v>
      </c>
      <c r="I198" s="28">
        <v>0</v>
      </c>
      <c r="J198" s="28">
        <v>0</v>
      </c>
      <c r="K198" s="28">
        <v>0</v>
      </c>
      <c r="L198" s="28">
        <v>0</v>
      </c>
      <c r="M198" s="28">
        <v>0</v>
      </c>
      <c r="N198" s="28">
        <v>0</v>
      </c>
      <c r="O198" s="28">
        <v>0</v>
      </c>
      <c r="P198" s="28">
        <v>0</v>
      </c>
      <c r="Q198" s="28">
        <v>0</v>
      </c>
      <c r="R198" s="28">
        <v>0</v>
      </c>
      <c r="S198" s="28">
        <v>0</v>
      </c>
      <c r="T198" s="28">
        <v>0</v>
      </c>
      <c r="U198" s="28">
        <v>0</v>
      </c>
    </row>
    <row r="199" spans="1:21" ht="15" customHeight="1">
      <c r="A199" s="26"/>
      <c r="B199" s="26"/>
      <c r="C199" s="26" t="s">
        <v>994</v>
      </c>
      <c r="D199" s="28">
        <v>0</v>
      </c>
      <c r="E199" s="28">
        <v>0</v>
      </c>
      <c r="F199" s="28">
        <v>0</v>
      </c>
      <c r="G199" s="28">
        <v>0</v>
      </c>
      <c r="H199" s="28">
        <v>0</v>
      </c>
      <c r="I199" s="28">
        <v>0</v>
      </c>
      <c r="J199" s="28">
        <v>0</v>
      </c>
      <c r="K199" s="28">
        <v>0</v>
      </c>
      <c r="L199" s="28">
        <v>0</v>
      </c>
      <c r="M199" s="28">
        <v>0</v>
      </c>
      <c r="N199" s="28">
        <v>0</v>
      </c>
      <c r="O199" s="28">
        <v>0</v>
      </c>
      <c r="P199" s="28">
        <v>0</v>
      </c>
      <c r="Q199" s="28">
        <v>0</v>
      </c>
      <c r="R199" s="28">
        <v>0</v>
      </c>
      <c r="S199" s="28">
        <v>0</v>
      </c>
      <c r="T199" s="28">
        <v>0</v>
      </c>
      <c r="U199" s="28">
        <v>0</v>
      </c>
    </row>
    <row r="200" spans="1:21" ht="15" customHeight="1">
      <c r="A200" s="26" t="s">
        <v>1012</v>
      </c>
      <c r="B200" s="26" t="s">
        <v>77</v>
      </c>
      <c r="C200" s="26" t="s">
        <v>1016</v>
      </c>
      <c r="D200" s="28">
        <v>0</v>
      </c>
      <c r="E200" s="28">
        <v>0</v>
      </c>
      <c r="F200" s="28">
        <v>0</v>
      </c>
      <c r="G200" s="28">
        <v>0</v>
      </c>
      <c r="H200" s="28">
        <v>0</v>
      </c>
      <c r="I200" s="28">
        <v>0</v>
      </c>
      <c r="J200" s="28">
        <v>0</v>
      </c>
      <c r="K200" s="28">
        <v>0</v>
      </c>
      <c r="L200" s="28">
        <v>0</v>
      </c>
      <c r="M200" s="28">
        <v>0</v>
      </c>
      <c r="N200" s="28">
        <v>0</v>
      </c>
      <c r="O200" s="28">
        <v>0</v>
      </c>
      <c r="P200" s="28">
        <v>0</v>
      </c>
      <c r="Q200" s="28">
        <v>0</v>
      </c>
      <c r="R200" s="28">
        <v>0</v>
      </c>
      <c r="S200" s="28">
        <v>0</v>
      </c>
      <c r="T200" s="28">
        <v>0</v>
      </c>
      <c r="U200" s="28">
        <v>0</v>
      </c>
    </row>
    <row r="201" spans="1:21" ht="15" customHeight="1">
      <c r="B201" s="26"/>
      <c r="C201" s="26" t="s">
        <v>1015</v>
      </c>
      <c r="D201" s="28">
        <v>0</v>
      </c>
      <c r="E201" s="28">
        <v>0</v>
      </c>
      <c r="F201" s="28">
        <v>0</v>
      </c>
      <c r="G201" s="28">
        <v>0</v>
      </c>
      <c r="H201" s="28">
        <v>0</v>
      </c>
      <c r="I201" s="28">
        <v>0</v>
      </c>
      <c r="J201" s="28">
        <v>0</v>
      </c>
      <c r="K201" s="28">
        <v>0</v>
      </c>
      <c r="L201" s="28">
        <v>0</v>
      </c>
      <c r="M201" s="28">
        <v>0</v>
      </c>
      <c r="N201" s="28">
        <v>0</v>
      </c>
      <c r="O201" s="28">
        <v>0</v>
      </c>
      <c r="P201" s="28">
        <v>0</v>
      </c>
      <c r="Q201" s="28">
        <v>0</v>
      </c>
      <c r="R201" s="28">
        <v>0</v>
      </c>
      <c r="S201" s="28">
        <v>0</v>
      </c>
      <c r="T201" s="28">
        <v>0</v>
      </c>
      <c r="U201" s="28">
        <v>0</v>
      </c>
    </row>
    <row r="202" spans="1:21" ht="15" customHeight="1">
      <c r="A202" s="26"/>
      <c r="B202" s="26"/>
      <c r="C202" s="26" t="s">
        <v>994</v>
      </c>
      <c r="D202" s="28">
        <v>0</v>
      </c>
      <c r="E202" s="28">
        <v>0</v>
      </c>
      <c r="F202" s="28">
        <v>0</v>
      </c>
      <c r="G202" s="28">
        <v>0</v>
      </c>
      <c r="H202" s="28">
        <v>0</v>
      </c>
      <c r="I202" s="28">
        <v>0</v>
      </c>
      <c r="J202" s="28">
        <v>0</v>
      </c>
      <c r="K202" s="28">
        <v>0</v>
      </c>
      <c r="L202" s="28">
        <v>0</v>
      </c>
      <c r="M202" s="28">
        <v>0</v>
      </c>
      <c r="N202" s="28">
        <v>0</v>
      </c>
      <c r="O202" s="28">
        <v>0</v>
      </c>
      <c r="P202" s="28">
        <v>0</v>
      </c>
      <c r="Q202" s="28">
        <v>0</v>
      </c>
      <c r="R202" s="28">
        <v>0</v>
      </c>
      <c r="S202" s="28">
        <v>0</v>
      </c>
      <c r="T202" s="28">
        <v>0</v>
      </c>
      <c r="U202" s="28">
        <v>0</v>
      </c>
    </row>
    <row r="203" spans="1:21" ht="15" customHeight="1">
      <c r="A203" s="26" t="s">
        <v>1013</v>
      </c>
      <c r="B203" s="26" t="s">
        <v>78</v>
      </c>
      <c r="C203" s="26" t="s">
        <v>1016</v>
      </c>
      <c r="D203" s="28">
        <v>0</v>
      </c>
      <c r="E203" s="28">
        <v>0</v>
      </c>
      <c r="F203" s="28">
        <v>0</v>
      </c>
      <c r="G203" s="28">
        <v>0</v>
      </c>
      <c r="H203" s="28">
        <v>0</v>
      </c>
      <c r="I203" s="28">
        <v>0</v>
      </c>
      <c r="J203" s="28">
        <v>0</v>
      </c>
      <c r="K203" s="28">
        <v>0</v>
      </c>
      <c r="L203" s="28">
        <v>0</v>
      </c>
      <c r="M203" s="28">
        <v>0</v>
      </c>
      <c r="N203" s="28">
        <v>0</v>
      </c>
      <c r="O203" s="28">
        <v>0</v>
      </c>
      <c r="P203" s="28">
        <v>0</v>
      </c>
      <c r="Q203" s="28">
        <v>0</v>
      </c>
      <c r="R203" s="28">
        <v>0</v>
      </c>
      <c r="S203" s="28">
        <v>0</v>
      </c>
      <c r="T203" s="28">
        <v>0</v>
      </c>
      <c r="U203" s="28">
        <v>0</v>
      </c>
    </row>
    <row r="204" spans="1:21" ht="15" customHeight="1">
      <c r="B204" s="26"/>
      <c r="C204" s="26" t="s">
        <v>1015</v>
      </c>
      <c r="D204" s="28">
        <v>0</v>
      </c>
      <c r="E204" s="28">
        <v>0</v>
      </c>
      <c r="F204" s="28">
        <v>0</v>
      </c>
      <c r="G204" s="28">
        <v>0</v>
      </c>
      <c r="H204" s="28">
        <v>0</v>
      </c>
      <c r="I204" s="28">
        <v>0</v>
      </c>
      <c r="J204" s="28">
        <v>0</v>
      </c>
      <c r="K204" s="28">
        <v>0</v>
      </c>
      <c r="L204" s="28">
        <v>0</v>
      </c>
      <c r="M204" s="28">
        <v>0</v>
      </c>
      <c r="N204" s="28">
        <v>0</v>
      </c>
      <c r="O204" s="28">
        <v>0</v>
      </c>
      <c r="P204" s="28">
        <v>0</v>
      </c>
      <c r="Q204" s="28">
        <v>0</v>
      </c>
      <c r="R204" s="28">
        <v>0</v>
      </c>
      <c r="S204" s="28">
        <v>0</v>
      </c>
      <c r="T204" s="28">
        <v>0</v>
      </c>
      <c r="U204" s="28">
        <v>0</v>
      </c>
    </row>
    <row r="205" spans="1:21" ht="15" customHeight="1">
      <c r="A205" s="26"/>
      <c r="B205" s="26"/>
      <c r="C205" s="26" t="s">
        <v>994</v>
      </c>
      <c r="D205" s="28">
        <v>0</v>
      </c>
      <c r="E205" s="28">
        <v>0</v>
      </c>
      <c r="F205" s="28">
        <v>0</v>
      </c>
      <c r="G205" s="28">
        <v>0</v>
      </c>
      <c r="H205" s="28">
        <v>0</v>
      </c>
      <c r="I205" s="28">
        <v>0</v>
      </c>
      <c r="J205" s="28">
        <v>0</v>
      </c>
      <c r="K205" s="28">
        <v>0</v>
      </c>
      <c r="L205" s="28">
        <v>0</v>
      </c>
      <c r="M205" s="28">
        <v>0</v>
      </c>
      <c r="N205" s="28">
        <v>0</v>
      </c>
      <c r="O205" s="28">
        <v>0</v>
      </c>
      <c r="P205" s="28">
        <v>0</v>
      </c>
      <c r="Q205" s="28">
        <v>0</v>
      </c>
      <c r="R205" s="28">
        <v>0</v>
      </c>
      <c r="S205" s="28">
        <v>0</v>
      </c>
      <c r="T205" s="28">
        <v>0</v>
      </c>
      <c r="U205" s="28">
        <v>0</v>
      </c>
    </row>
    <row r="206" spans="1:21" ht="15" customHeight="1">
      <c r="A206" s="26" t="s">
        <v>1014</v>
      </c>
      <c r="B206" s="26" t="s">
        <v>79</v>
      </c>
      <c r="C206" s="26" t="s">
        <v>1016</v>
      </c>
      <c r="D206" s="28">
        <v>1847</v>
      </c>
      <c r="E206" s="28">
        <v>836</v>
      </c>
      <c r="F206" s="28">
        <v>968</v>
      </c>
      <c r="G206" s="28">
        <v>791</v>
      </c>
      <c r="H206" s="28">
        <v>706</v>
      </c>
      <c r="I206" s="28">
        <v>555</v>
      </c>
      <c r="J206" s="28">
        <v>537</v>
      </c>
      <c r="K206" s="28">
        <v>183</v>
      </c>
      <c r="L206" s="28">
        <v>4012</v>
      </c>
      <c r="M206" s="28">
        <v>719</v>
      </c>
      <c r="N206" s="28">
        <v>726</v>
      </c>
      <c r="O206" s="28">
        <v>792</v>
      </c>
      <c r="P206" s="28">
        <v>817</v>
      </c>
      <c r="Q206" s="28">
        <v>910</v>
      </c>
      <c r="R206" s="28">
        <v>1095</v>
      </c>
      <c r="S206" s="28">
        <v>1105</v>
      </c>
      <c r="T206" s="28">
        <v>325</v>
      </c>
      <c r="U206" s="28">
        <v>16217</v>
      </c>
    </row>
    <row r="207" spans="1:21" ht="15" customHeight="1">
      <c r="A207" s="26"/>
      <c r="B207" s="26"/>
      <c r="C207" s="26" t="s">
        <v>1015</v>
      </c>
      <c r="D207" s="28">
        <v>62</v>
      </c>
      <c r="E207" s="28">
        <v>1</v>
      </c>
      <c r="F207" s="28">
        <v>0</v>
      </c>
      <c r="G207" s="28">
        <v>0</v>
      </c>
      <c r="H207" s="28">
        <v>1</v>
      </c>
      <c r="I207" s="28">
        <v>0</v>
      </c>
      <c r="J207" s="28">
        <v>0</v>
      </c>
      <c r="K207" s="28">
        <v>0</v>
      </c>
      <c r="L207" s="28">
        <v>1</v>
      </c>
      <c r="M207" s="28">
        <v>0</v>
      </c>
      <c r="N207" s="28">
        <v>0</v>
      </c>
      <c r="O207" s="28">
        <v>0</v>
      </c>
      <c r="P207" s="28">
        <v>0</v>
      </c>
      <c r="Q207" s="28">
        <v>1</v>
      </c>
      <c r="R207" s="28">
        <v>0</v>
      </c>
      <c r="S207" s="28">
        <v>0</v>
      </c>
      <c r="T207" s="28">
        <v>0</v>
      </c>
      <c r="U207" s="28">
        <v>116</v>
      </c>
    </row>
    <row r="208" spans="1:21" ht="15" customHeight="1">
      <c r="A208" s="26"/>
      <c r="B208" s="26"/>
      <c r="C208" s="26" t="s">
        <v>994</v>
      </c>
      <c r="D208" s="28">
        <v>1909</v>
      </c>
      <c r="E208" s="28">
        <v>837</v>
      </c>
      <c r="F208" s="28">
        <v>968</v>
      </c>
      <c r="G208" s="28">
        <v>791</v>
      </c>
      <c r="H208" s="28">
        <v>707</v>
      </c>
      <c r="I208" s="28">
        <v>555</v>
      </c>
      <c r="J208" s="28">
        <v>537</v>
      </c>
      <c r="K208" s="28">
        <v>183</v>
      </c>
      <c r="L208" s="28">
        <v>4013</v>
      </c>
      <c r="M208" s="28">
        <v>719</v>
      </c>
      <c r="N208" s="28">
        <v>726</v>
      </c>
      <c r="O208" s="28">
        <v>792</v>
      </c>
      <c r="P208" s="28">
        <v>817</v>
      </c>
      <c r="Q208" s="28">
        <v>911</v>
      </c>
      <c r="R208" s="28">
        <v>1095</v>
      </c>
      <c r="S208" s="28">
        <v>1105</v>
      </c>
      <c r="T208" s="28">
        <v>325</v>
      </c>
      <c r="U208" s="28">
        <v>16333</v>
      </c>
    </row>
    <row r="209" spans="1:21" ht="15" customHeight="1">
      <c r="A209" s="25" t="s">
        <v>1030</v>
      </c>
      <c r="B209" s="25"/>
      <c r="C209" s="26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</row>
    <row r="210" spans="1:21" ht="15" customHeight="1">
      <c r="A210" s="26"/>
      <c r="B210" s="26"/>
      <c r="C210" s="26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</row>
    <row r="211" spans="1:21" ht="15" customHeight="1">
      <c r="A211" s="26" t="s">
        <v>1010</v>
      </c>
      <c r="B211" s="26" t="s">
        <v>73</v>
      </c>
      <c r="C211" s="26" t="s">
        <v>1016</v>
      </c>
      <c r="D211" s="28">
        <v>0</v>
      </c>
      <c r="E211" s="28">
        <v>0</v>
      </c>
      <c r="F211" s="28">
        <v>0</v>
      </c>
      <c r="G211" s="28">
        <v>0</v>
      </c>
      <c r="H211" s="28">
        <v>0</v>
      </c>
      <c r="I211" s="28">
        <v>0</v>
      </c>
      <c r="J211" s="28">
        <v>0</v>
      </c>
      <c r="K211" s="28">
        <v>0</v>
      </c>
      <c r="L211" s="28">
        <v>0</v>
      </c>
      <c r="M211" s="28">
        <v>0</v>
      </c>
      <c r="N211" s="28">
        <v>0</v>
      </c>
      <c r="O211" s="28">
        <v>0</v>
      </c>
      <c r="P211" s="28">
        <v>0</v>
      </c>
      <c r="Q211" s="28">
        <v>0</v>
      </c>
      <c r="R211" s="28">
        <v>0</v>
      </c>
      <c r="S211" s="28">
        <v>0</v>
      </c>
      <c r="T211" s="28">
        <v>0</v>
      </c>
      <c r="U211" s="28">
        <v>0</v>
      </c>
    </row>
    <row r="212" spans="1:21" ht="15" customHeight="1">
      <c r="A212" s="26"/>
      <c r="B212" s="26"/>
      <c r="C212" s="26" t="s">
        <v>1015</v>
      </c>
      <c r="D212" s="28">
        <v>0</v>
      </c>
      <c r="E212" s="28">
        <v>0</v>
      </c>
      <c r="F212" s="28">
        <v>0</v>
      </c>
      <c r="G212" s="28">
        <v>0</v>
      </c>
      <c r="H212" s="28">
        <v>0</v>
      </c>
      <c r="I212" s="28">
        <v>0</v>
      </c>
      <c r="J212" s="28">
        <v>0</v>
      </c>
      <c r="K212" s="28">
        <v>0</v>
      </c>
      <c r="L212" s="28">
        <v>0</v>
      </c>
      <c r="M212" s="28">
        <v>0</v>
      </c>
      <c r="N212" s="28">
        <v>0</v>
      </c>
      <c r="O212" s="28">
        <v>0</v>
      </c>
      <c r="P212" s="28">
        <v>0</v>
      </c>
      <c r="Q212" s="28">
        <v>0</v>
      </c>
      <c r="R212" s="28">
        <v>0</v>
      </c>
      <c r="S212" s="28">
        <v>0</v>
      </c>
      <c r="T212" s="28">
        <v>0</v>
      </c>
      <c r="U212" s="28">
        <v>0</v>
      </c>
    </row>
    <row r="213" spans="1:21" ht="15" customHeight="1">
      <c r="B213" s="26"/>
      <c r="C213" s="26" t="s">
        <v>994</v>
      </c>
      <c r="D213" s="28">
        <v>0</v>
      </c>
      <c r="E213" s="28">
        <v>0</v>
      </c>
      <c r="F213" s="28">
        <v>0</v>
      </c>
      <c r="G213" s="28">
        <v>0</v>
      </c>
      <c r="H213" s="28">
        <v>0</v>
      </c>
      <c r="I213" s="28">
        <v>0</v>
      </c>
      <c r="J213" s="28">
        <v>0</v>
      </c>
      <c r="K213" s="28">
        <v>0</v>
      </c>
      <c r="L213" s="28">
        <v>0</v>
      </c>
      <c r="M213" s="28">
        <v>0</v>
      </c>
      <c r="N213" s="28">
        <v>0</v>
      </c>
      <c r="O213" s="28">
        <v>0</v>
      </c>
      <c r="P213" s="28">
        <v>0</v>
      </c>
      <c r="Q213" s="28">
        <v>0</v>
      </c>
      <c r="R213" s="28">
        <v>0</v>
      </c>
      <c r="S213" s="28">
        <v>0</v>
      </c>
      <c r="T213" s="28">
        <v>0</v>
      </c>
      <c r="U213" s="28">
        <v>0</v>
      </c>
    </row>
    <row r="214" spans="1:21" ht="15" customHeight="1">
      <c r="A214" s="26" t="s">
        <v>1011</v>
      </c>
      <c r="B214" s="26" t="s">
        <v>76</v>
      </c>
      <c r="C214" s="26" t="s">
        <v>1016</v>
      </c>
      <c r="D214" s="28">
        <v>0</v>
      </c>
      <c r="E214" s="28">
        <v>0</v>
      </c>
      <c r="F214" s="28">
        <v>0</v>
      </c>
      <c r="G214" s="28">
        <v>0</v>
      </c>
      <c r="H214" s="28">
        <v>0</v>
      </c>
      <c r="I214" s="28">
        <v>0</v>
      </c>
      <c r="J214" s="28">
        <v>0</v>
      </c>
      <c r="K214" s="28">
        <v>1</v>
      </c>
      <c r="L214" s="28">
        <v>0</v>
      </c>
      <c r="M214" s="28">
        <v>0</v>
      </c>
      <c r="N214" s="28">
        <v>0</v>
      </c>
      <c r="O214" s="28">
        <v>0</v>
      </c>
      <c r="P214" s="28">
        <v>0</v>
      </c>
      <c r="Q214" s="28">
        <v>0</v>
      </c>
      <c r="R214" s="28">
        <v>0</v>
      </c>
      <c r="S214" s="28">
        <v>0</v>
      </c>
      <c r="T214" s="28">
        <v>0</v>
      </c>
      <c r="U214" s="28">
        <v>1</v>
      </c>
    </row>
    <row r="215" spans="1:21" ht="15" customHeight="1">
      <c r="B215" s="26"/>
      <c r="C215" s="26" t="s">
        <v>1015</v>
      </c>
      <c r="D215" s="28">
        <v>51</v>
      </c>
      <c r="E215" s="28">
        <v>2</v>
      </c>
      <c r="F215" s="28">
        <v>13</v>
      </c>
      <c r="G215" s="28">
        <v>39</v>
      </c>
      <c r="H215" s="28">
        <v>26</v>
      </c>
      <c r="I215" s="28">
        <v>0</v>
      </c>
      <c r="J215" s="28">
        <v>46</v>
      </c>
      <c r="K215" s="28">
        <v>26</v>
      </c>
      <c r="L215" s="28">
        <v>79</v>
      </c>
      <c r="M215" s="28">
        <v>0</v>
      </c>
      <c r="N215" s="28">
        <v>3</v>
      </c>
      <c r="O215" s="28">
        <v>0</v>
      </c>
      <c r="P215" s="28">
        <v>9</v>
      </c>
      <c r="Q215" s="28">
        <v>0</v>
      </c>
      <c r="R215" s="28">
        <v>31</v>
      </c>
      <c r="S215" s="28">
        <v>1</v>
      </c>
      <c r="T215" s="28">
        <v>0</v>
      </c>
      <c r="U215" s="28">
        <v>325</v>
      </c>
    </row>
    <row r="216" spans="1:21" ht="15" customHeight="1">
      <c r="A216" s="26"/>
      <c r="B216" s="26"/>
      <c r="C216" s="26" t="s">
        <v>994</v>
      </c>
      <c r="D216" s="28">
        <v>51</v>
      </c>
      <c r="E216" s="28">
        <v>2</v>
      </c>
      <c r="F216" s="28">
        <v>13</v>
      </c>
      <c r="G216" s="28">
        <v>39</v>
      </c>
      <c r="H216" s="28">
        <v>26</v>
      </c>
      <c r="I216" s="28">
        <v>0</v>
      </c>
      <c r="J216" s="28">
        <v>46</v>
      </c>
      <c r="K216" s="28">
        <v>27</v>
      </c>
      <c r="L216" s="28">
        <v>79</v>
      </c>
      <c r="M216" s="28">
        <v>0</v>
      </c>
      <c r="N216" s="28">
        <v>3</v>
      </c>
      <c r="O216" s="28">
        <v>0</v>
      </c>
      <c r="P216" s="28">
        <v>9</v>
      </c>
      <c r="Q216" s="28">
        <v>0</v>
      </c>
      <c r="R216" s="28">
        <v>31</v>
      </c>
      <c r="S216" s="28">
        <v>1</v>
      </c>
      <c r="T216" s="28">
        <v>0</v>
      </c>
      <c r="U216" s="28">
        <v>326</v>
      </c>
    </row>
    <row r="217" spans="1:21" ht="15" customHeight="1">
      <c r="A217" s="26" t="s">
        <v>1012</v>
      </c>
      <c r="B217" s="26" t="s">
        <v>77</v>
      </c>
      <c r="C217" s="26" t="s">
        <v>1016</v>
      </c>
      <c r="D217" s="28">
        <v>0</v>
      </c>
      <c r="E217" s="28">
        <v>0</v>
      </c>
      <c r="F217" s="28">
        <v>0</v>
      </c>
      <c r="G217" s="28">
        <v>0</v>
      </c>
      <c r="H217" s="28">
        <v>0</v>
      </c>
      <c r="I217" s="28">
        <v>0</v>
      </c>
      <c r="J217" s="28">
        <v>0</v>
      </c>
      <c r="K217" s="28">
        <v>0</v>
      </c>
      <c r="L217" s="28">
        <v>0</v>
      </c>
      <c r="M217" s="28">
        <v>0</v>
      </c>
      <c r="N217" s="28">
        <v>0</v>
      </c>
      <c r="O217" s="28">
        <v>0</v>
      </c>
      <c r="P217" s="28">
        <v>0</v>
      </c>
      <c r="Q217" s="28">
        <v>0</v>
      </c>
      <c r="R217" s="28">
        <v>0</v>
      </c>
      <c r="S217" s="28">
        <v>0</v>
      </c>
      <c r="T217" s="28">
        <v>0</v>
      </c>
      <c r="U217" s="28">
        <v>0</v>
      </c>
    </row>
    <row r="218" spans="1:21" ht="15" customHeight="1">
      <c r="B218" s="26"/>
      <c r="C218" s="26" t="s">
        <v>1015</v>
      </c>
      <c r="D218" s="28">
        <v>0</v>
      </c>
      <c r="E218" s="28">
        <v>0</v>
      </c>
      <c r="F218" s="28">
        <v>0</v>
      </c>
      <c r="G218" s="28">
        <v>0</v>
      </c>
      <c r="H218" s="28">
        <v>0</v>
      </c>
      <c r="I218" s="28">
        <v>0</v>
      </c>
      <c r="J218" s="28">
        <v>0</v>
      </c>
      <c r="K218" s="28">
        <v>0</v>
      </c>
      <c r="L218" s="28">
        <v>0</v>
      </c>
      <c r="M218" s="28">
        <v>0</v>
      </c>
      <c r="N218" s="28">
        <v>0</v>
      </c>
      <c r="O218" s="28">
        <v>0</v>
      </c>
      <c r="P218" s="28">
        <v>0</v>
      </c>
      <c r="Q218" s="28">
        <v>0</v>
      </c>
      <c r="R218" s="28">
        <v>0</v>
      </c>
      <c r="S218" s="28">
        <v>0</v>
      </c>
      <c r="T218" s="28">
        <v>0</v>
      </c>
      <c r="U218" s="28">
        <v>0</v>
      </c>
    </row>
    <row r="219" spans="1:21" ht="15" customHeight="1">
      <c r="A219" s="26"/>
      <c r="B219" s="26"/>
      <c r="C219" s="26" t="s">
        <v>994</v>
      </c>
      <c r="D219" s="28">
        <v>0</v>
      </c>
      <c r="E219" s="28">
        <v>0</v>
      </c>
      <c r="F219" s="28">
        <v>0</v>
      </c>
      <c r="G219" s="28">
        <v>0</v>
      </c>
      <c r="H219" s="28">
        <v>0</v>
      </c>
      <c r="I219" s="28">
        <v>0</v>
      </c>
      <c r="J219" s="28">
        <v>0</v>
      </c>
      <c r="K219" s="28">
        <v>0</v>
      </c>
      <c r="L219" s="28">
        <v>0</v>
      </c>
      <c r="M219" s="28">
        <v>0</v>
      </c>
      <c r="N219" s="28">
        <v>0</v>
      </c>
      <c r="O219" s="28">
        <v>0</v>
      </c>
      <c r="P219" s="28">
        <v>0</v>
      </c>
      <c r="Q219" s="28">
        <v>0</v>
      </c>
      <c r="R219" s="28">
        <v>0</v>
      </c>
      <c r="S219" s="28">
        <v>0</v>
      </c>
      <c r="T219" s="28">
        <v>0</v>
      </c>
      <c r="U219" s="28">
        <v>0</v>
      </c>
    </row>
    <row r="220" spans="1:21" ht="15" customHeight="1">
      <c r="A220" s="26" t="s">
        <v>1013</v>
      </c>
      <c r="B220" s="26" t="s">
        <v>78</v>
      </c>
      <c r="C220" s="26" t="s">
        <v>1016</v>
      </c>
      <c r="D220" s="28">
        <v>0</v>
      </c>
      <c r="E220" s="28">
        <v>0</v>
      </c>
      <c r="F220" s="28">
        <v>0</v>
      </c>
      <c r="G220" s="28">
        <v>0</v>
      </c>
      <c r="H220" s="28">
        <v>0</v>
      </c>
      <c r="I220" s="28">
        <v>0</v>
      </c>
      <c r="J220" s="28">
        <v>0</v>
      </c>
      <c r="K220" s="28">
        <v>0</v>
      </c>
      <c r="L220" s="28">
        <v>0</v>
      </c>
      <c r="M220" s="28">
        <v>0</v>
      </c>
      <c r="N220" s="28">
        <v>0</v>
      </c>
      <c r="O220" s="28">
        <v>0</v>
      </c>
      <c r="P220" s="28">
        <v>0</v>
      </c>
      <c r="Q220" s="28">
        <v>0</v>
      </c>
      <c r="R220" s="28">
        <v>0</v>
      </c>
      <c r="S220" s="28">
        <v>0</v>
      </c>
      <c r="T220" s="28">
        <v>0</v>
      </c>
      <c r="U220" s="28">
        <v>0</v>
      </c>
    </row>
    <row r="221" spans="1:21" ht="15" customHeight="1">
      <c r="B221" s="26"/>
      <c r="C221" s="26" t="s">
        <v>1015</v>
      </c>
      <c r="D221" s="28">
        <v>0</v>
      </c>
      <c r="E221" s="28">
        <v>0</v>
      </c>
      <c r="F221" s="28">
        <v>0</v>
      </c>
      <c r="G221" s="28">
        <v>0</v>
      </c>
      <c r="H221" s="28">
        <v>0</v>
      </c>
      <c r="I221" s="28">
        <v>0</v>
      </c>
      <c r="J221" s="28">
        <v>0</v>
      </c>
      <c r="K221" s="28">
        <v>0</v>
      </c>
      <c r="L221" s="28">
        <v>0</v>
      </c>
      <c r="M221" s="28">
        <v>0</v>
      </c>
      <c r="N221" s="28">
        <v>0</v>
      </c>
      <c r="O221" s="28">
        <v>0</v>
      </c>
      <c r="P221" s="28">
        <v>0</v>
      </c>
      <c r="Q221" s="28">
        <v>0</v>
      </c>
      <c r="R221" s="28">
        <v>0</v>
      </c>
      <c r="S221" s="28">
        <v>0</v>
      </c>
      <c r="T221" s="28">
        <v>0</v>
      </c>
      <c r="U221" s="28">
        <v>0</v>
      </c>
    </row>
    <row r="222" spans="1:21" ht="15" customHeight="1">
      <c r="A222" s="26"/>
      <c r="B222" s="26"/>
      <c r="C222" s="26" t="s">
        <v>994</v>
      </c>
      <c r="D222" s="28">
        <v>0</v>
      </c>
      <c r="E222" s="28">
        <v>0</v>
      </c>
      <c r="F222" s="28">
        <v>0</v>
      </c>
      <c r="G222" s="28">
        <v>0</v>
      </c>
      <c r="H222" s="28">
        <v>0</v>
      </c>
      <c r="I222" s="28">
        <v>0</v>
      </c>
      <c r="J222" s="28">
        <v>0</v>
      </c>
      <c r="K222" s="28">
        <v>0</v>
      </c>
      <c r="L222" s="28">
        <v>0</v>
      </c>
      <c r="M222" s="28">
        <v>0</v>
      </c>
      <c r="N222" s="28">
        <v>0</v>
      </c>
      <c r="O222" s="28">
        <v>0</v>
      </c>
      <c r="P222" s="28">
        <v>0</v>
      </c>
      <c r="Q222" s="28">
        <v>0</v>
      </c>
      <c r="R222" s="28">
        <v>0</v>
      </c>
      <c r="S222" s="28">
        <v>0</v>
      </c>
      <c r="T222" s="28">
        <v>0</v>
      </c>
      <c r="U222" s="28">
        <v>0</v>
      </c>
    </row>
    <row r="223" spans="1:21" ht="15" customHeight="1">
      <c r="A223" s="26" t="s">
        <v>1014</v>
      </c>
      <c r="B223" s="26" t="s">
        <v>79</v>
      </c>
      <c r="C223" s="26" t="s">
        <v>1016</v>
      </c>
      <c r="D223" s="28">
        <v>0</v>
      </c>
      <c r="E223" s="28">
        <v>0</v>
      </c>
      <c r="F223" s="28">
        <v>0</v>
      </c>
      <c r="G223" s="28">
        <v>0</v>
      </c>
      <c r="H223" s="28">
        <v>0</v>
      </c>
      <c r="I223" s="28">
        <v>0</v>
      </c>
      <c r="J223" s="28">
        <v>0</v>
      </c>
      <c r="K223" s="28">
        <v>1</v>
      </c>
      <c r="L223" s="28">
        <v>0</v>
      </c>
      <c r="M223" s="28">
        <v>0</v>
      </c>
      <c r="N223" s="28">
        <v>0</v>
      </c>
      <c r="O223" s="28">
        <v>0</v>
      </c>
      <c r="P223" s="28">
        <v>0</v>
      </c>
      <c r="Q223" s="28">
        <v>0</v>
      </c>
      <c r="R223" s="28">
        <v>0</v>
      </c>
      <c r="S223" s="28">
        <v>0</v>
      </c>
      <c r="T223" s="28">
        <v>0</v>
      </c>
      <c r="U223" s="28">
        <v>1</v>
      </c>
    </row>
    <row r="224" spans="1:21" ht="15" customHeight="1">
      <c r="A224" s="26"/>
      <c r="B224" s="26"/>
      <c r="C224" s="26" t="s">
        <v>1015</v>
      </c>
      <c r="D224" s="28">
        <v>51</v>
      </c>
      <c r="E224" s="28">
        <v>2</v>
      </c>
      <c r="F224" s="28">
        <v>13</v>
      </c>
      <c r="G224" s="28">
        <v>39</v>
      </c>
      <c r="H224" s="28">
        <v>26</v>
      </c>
      <c r="I224" s="28">
        <v>0</v>
      </c>
      <c r="J224" s="28">
        <v>46</v>
      </c>
      <c r="K224" s="28">
        <v>26</v>
      </c>
      <c r="L224" s="28">
        <v>79</v>
      </c>
      <c r="M224" s="28">
        <v>0</v>
      </c>
      <c r="N224" s="28">
        <v>3</v>
      </c>
      <c r="O224" s="28">
        <v>0</v>
      </c>
      <c r="P224" s="28">
        <v>9</v>
      </c>
      <c r="Q224" s="28">
        <v>0</v>
      </c>
      <c r="R224" s="28">
        <v>31</v>
      </c>
      <c r="S224" s="28">
        <v>1</v>
      </c>
      <c r="T224" s="28">
        <v>0</v>
      </c>
      <c r="U224" s="28">
        <v>325</v>
      </c>
    </row>
    <row r="225" spans="1:21" ht="15" customHeight="1">
      <c r="A225" s="26"/>
      <c r="B225" s="26"/>
      <c r="C225" s="26" t="s">
        <v>994</v>
      </c>
      <c r="D225" s="28">
        <v>51</v>
      </c>
      <c r="E225" s="28">
        <v>2</v>
      </c>
      <c r="F225" s="28">
        <v>13</v>
      </c>
      <c r="G225" s="28">
        <v>39</v>
      </c>
      <c r="H225" s="28">
        <v>26</v>
      </c>
      <c r="I225" s="28">
        <v>0</v>
      </c>
      <c r="J225" s="28">
        <v>46</v>
      </c>
      <c r="K225" s="28">
        <v>27</v>
      </c>
      <c r="L225" s="28">
        <v>79</v>
      </c>
      <c r="M225" s="28">
        <v>0</v>
      </c>
      <c r="N225" s="28">
        <v>3</v>
      </c>
      <c r="O225" s="28">
        <v>0</v>
      </c>
      <c r="P225" s="28">
        <v>9</v>
      </c>
      <c r="Q225" s="28">
        <v>0</v>
      </c>
      <c r="R225" s="28">
        <v>31</v>
      </c>
      <c r="S225" s="28">
        <v>1</v>
      </c>
      <c r="T225" s="28">
        <v>0</v>
      </c>
      <c r="U225" s="28">
        <v>326</v>
      </c>
    </row>
    <row r="226" spans="1:21" ht="15" customHeight="1">
      <c r="A226" s="25" t="s">
        <v>1031</v>
      </c>
      <c r="B226" s="25"/>
      <c r="C226" s="26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</row>
    <row r="227" spans="1:21" ht="15" customHeight="1">
      <c r="A227" s="26"/>
      <c r="B227" s="26"/>
      <c r="C227" s="26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</row>
    <row r="228" spans="1:21" ht="15" customHeight="1">
      <c r="A228" s="26" t="s">
        <v>1010</v>
      </c>
      <c r="B228" s="26" t="s">
        <v>73</v>
      </c>
      <c r="C228" s="26" t="s">
        <v>1016</v>
      </c>
      <c r="D228" s="28">
        <v>0</v>
      </c>
      <c r="E228" s="28">
        <v>0</v>
      </c>
      <c r="F228" s="28">
        <v>0</v>
      </c>
      <c r="G228" s="28">
        <v>0</v>
      </c>
      <c r="H228" s="28">
        <v>0</v>
      </c>
      <c r="I228" s="28">
        <v>0</v>
      </c>
      <c r="J228" s="28">
        <v>0</v>
      </c>
      <c r="K228" s="28">
        <v>0</v>
      </c>
      <c r="L228" s="28">
        <v>0</v>
      </c>
      <c r="M228" s="28">
        <v>0</v>
      </c>
      <c r="N228" s="28">
        <v>0</v>
      </c>
      <c r="O228" s="28">
        <v>0</v>
      </c>
      <c r="P228" s="28">
        <v>0</v>
      </c>
      <c r="Q228" s="28">
        <v>0</v>
      </c>
      <c r="R228" s="28">
        <v>0</v>
      </c>
      <c r="S228" s="28">
        <v>0</v>
      </c>
      <c r="T228" s="28">
        <v>0</v>
      </c>
      <c r="U228" s="28">
        <v>0</v>
      </c>
    </row>
    <row r="229" spans="1:21" ht="15" customHeight="1">
      <c r="A229" s="26"/>
      <c r="B229" s="26"/>
      <c r="C229" s="26" t="s">
        <v>1015</v>
      </c>
      <c r="D229" s="28">
        <v>0</v>
      </c>
      <c r="E229" s="28">
        <v>0</v>
      </c>
      <c r="F229" s="28">
        <v>0</v>
      </c>
      <c r="G229" s="28">
        <v>0</v>
      </c>
      <c r="H229" s="28">
        <v>0</v>
      </c>
      <c r="I229" s="28">
        <v>0</v>
      </c>
      <c r="J229" s="28">
        <v>0</v>
      </c>
      <c r="K229" s="28">
        <v>0</v>
      </c>
      <c r="L229" s="28">
        <v>0</v>
      </c>
      <c r="M229" s="28">
        <v>0</v>
      </c>
      <c r="N229" s="28">
        <v>0</v>
      </c>
      <c r="O229" s="28">
        <v>0</v>
      </c>
      <c r="P229" s="28">
        <v>0</v>
      </c>
      <c r="Q229" s="28">
        <v>0</v>
      </c>
      <c r="R229" s="28">
        <v>0</v>
      </c>
      <c r="S229" s="28">
        <v>0</v>
      </c>
      <c r="T229" s="28">
        <v>0</v>
      </c>
      <c r="U229" s="28">
        <v>0</v>
      </c>
    </row>
    <row r="230" spans="1:21" ht="15" customHeight="1">
      <c r="B230" s="26"/>
      <c r="C230" s="26" t="s">
        <v>994</v>
      </c>
      <c r="D230" s="28">
        <v>0</v>
      </c>
      <c r="E230" s="28">
        <v>0</v>
      </c>
      <c r="F230" s="28">
        <v>0</v>
      </c>
      <c r="G230" s="28">
        <v>0</v>
      </c>
      <c r="H230" s="28">
        <v>0</v>
      </c>
      <c r="I230" s="28">
        <v>0</v>
      </c>
      <c r="J230" s="28">
        <v>0</v>
      </c>
      <c r="K230" s="28">
        <v>0</v>
      </c>
      <c r="L230" s="28">
        <v>0</v>
      </c>
      <c r="M230" s="28">
        <v>0</v>
      </c>
      <c r="N230" s="28">
        <v>0</v>
      </c>
      <c r="O230" s="28">
        <v>0</v>
      </c>
      <c r="P230" s="28">
        <v>0</v>
      </c>
      <c r="Q230" s="28">
        <v>0</v>
      </c>
      <c r="R230" s="28">
        <v>0</v>
      </c>
      <c r="S230" s="28">
        <v>0</v>
      </c>
      <c r="T230" s="28">
        <v>0</v>
      </c>
      <c r="U230" s="28">
        <v>0</v>
      </c>
    </row>
    <row r="231" spans="1:21" ht="15" customHeight="1">
      <c r="A231" s="26" t="s">
        <v>1011</v>
      </c>
      <c r="B231" s="26" t="s">
        <v>76</v>
      </c>
      <c r="C231" s="26" t="s">
        <v>1016</v>
      </c>
      <c r="D231" s="28">
        <v>0</v>
      </c>
      <c r="E231" s="28">
        <v>0</v>
      </c>
      <c r="F231" s="28">
        <v>0</v>
      </c>
      <c r="G231" s="28">
        <v>0</v>
      </c>
      <c r="H231" s="28">
        <v>0</v>
      </c>
      <c r="I231" s="28">
        <v>0</v>
      </c>
      <c r="J231" s="28">
        <v>0</v>
      </c>
      <c r="K231" s="28">
        <v>0</v>
      </c>
      <c r="L231" s="28">
        <v>0</v>
      </c>
      <c r="M231" s="28">
        <v>0</v>
      </c>
      <c r="N231" s="28">
        <v>0</v>
      </c>
      <c r="O231" s="28">
        <v>0</v>
      </c>
      <c r="P231" s="28">
        <v>0</v>
      </c>
      <c r="Q231" s="28">
        <v>0</v>
      </c>
      <c r="R231" s="28">
        <v>0</v>
      </c>
      <c r="S231" s="28">
        <v>0</v>
      </c>
      <c r="T231" s="28">
        <v>0</v>
      </c>
      <c r="U231" s="28">
        <v>0</v>
      </c>
    </row>
    <row r="232" spans="1:21" ht="15" customHeight="1">
      <c r="B232" s="26"/>
      <c r="C232" s="26" t="s">
        <v>1015</v>
      </c>
      <c r="D232" s="28">
        <v>0</v>
      </c>
      <c r="E232" s="28">
        <v>0</v>
      </c>
      <c r="F232" s="28">
        <v>0</v>
      </c>
      <c r="G232" s="28">
        <v>0</v>
      </c>
      <c r="H232" s="28">
        <v>0</v>
      </c>
      <c r="I232" s="28">
        <v>0</v>
      </c>
      <c r="J232" s="28">
        <v>0</v>
      </c>
      <c r="K232" s="28">
        <v>0</v>
      </c>
      <c r="L232" s="28">
        <v>0</v>
      </c>
      <c r="M232" s="28">
        <v>0</v>
      </c>
      <c r="N232" s="28">
        <v>0</v>
      </c>
      <c r="O232" s="28">
        <v>0</v>
      </c>
      <c r="P232" s="28">
        <v>0</v>
      </c>
      <c r="Q232" s="28">
        <v>0</v>
      </c>
      <c r="R232" s="28">
        <v>0</v>
      </c>
      <c r="S232" s="28">
        <v>0</v>
      </c>
      <c r="T232" s="28">
        <v>0</v>
      </c>
      <c r="U232" s="28">
        <v>0</v>
      </c>
    </row>
    <row r="233" spans="1:21" ht="15" customHeight="1">
      <c r="A233" s="26"/>
      <c r="B233" s="26"/>
      <c r="C233" s="26" t="s">
        <v>994</v>
      </c>
      <c r="D233" s="28">
        <v>0</v>
      </c>
      <c r="E233" s="28">
        <v>0</v>
      </c>
      <c r="F233" s="28">
        <v>0</v>
      </c>
      <c r="G233" s="28">
        <v>0</v>
      </c>
      <c r="H233" s="28">
        <v>0</v>
      </c>
      <c r="I233" s="28">
        <v>0</v>
      </c>
      <c r="J233" s="28">
        <v>0</v>
      </c>
      <c r="K233" s="28">
        <v>0</v>
      </c>
      <c r="L233" s="28">
        <v>0</v>
      </c>
      <c r="M233" s="28">
        <v>0</v>
      </c>
      <c r="N233" s="28">
        <v>0</v>
      </c>
      <c r="O233" s="28">
        <v>0</v>
      </c>
      <c r="P233" s="28">
        <v>0</v>
      </c>
      <c r="Q233" s="28">
        <v>0</v>
      </c>
      <c r="R233" s="28">
        <v>0</v>
      </c>
      <c r="S233" s="28">
        <v>0</v>
      </c>
      <c r="T233" s="28">
        <v>0</v>
      </c>
      <c r="U233" s="28">
        <v>0</v>
      </c>
    </row>
    <row r="234" spans="1:21" ht="15" customHeight="1">
      <c r="A234" s="26" t="s">
        <v>1012</v>
      </c>
      <c r="B234" s="26" t="s">
        <v>77</v>
      </c>
      <c r="C234" s="26" t="s">
        <v>1016</v>
      </c>
      <c r="D234" s="28">
        <v>0</v>
      </c>
      <c r="E234" s="28">
        <v>0</v>
      </c>
      <c r="F234" s="28">
        <v>0</v>
      </c>
      <c r="G234" s="28">
        <v>0</v>
      </c>
      <c r="H234" s="28">
        <v>0</v>
      </c>
      <c r="I234" s="28">
        <v>0</v>
      </c>
      <c r="J234" s="28">
        <v>0</v>
      </c>
      <c r="K234" s="28">
        <v>0</v>
      </c>
      <c r="L234" s="28">
        <v>0</v>
      </c>
      <c r="M234" s="28">
        <v>0</v>
      </c>
      <c r="N234" s="28">
        <v>0</v>
      </c>
      <c r="O234" s="28">
        <v>0</v>
      </c>
      <c r="P234" s="28">
        <v>0</v>
      </c>
      <c r="Q234" s="28">
        <v>0</v>
      </c>
      <c r="R234" s="28">
        <v>0</v>
      </c>
      <c r="S234" s="28">
        <v>0</v>
      </c>
      <c r="T234" s="28">
        <v>0</v>
      </c>
      <c r="U234" s="28">
        <v>0</v>
      </c>
    </row>
    <row r="235" spans="1:21" ht="15" customHeight="1">
      <c r="B235" s="26"/>
      <c r="C235" s="26" t="s">
        <v>1015</v>
      </c>
      <c r="D235" s="28">
        <v>0</v>
      </c>
      <c r="E235" s="28">
        <v>0</v>
      </c>
      <c r="F235" s="28">
        <v>0</v>
      </c>
      <c r="G235" s="28">
        <v>0</v>
      </c>
      <c r="H235" s="28">
        <v>0</v>
      </c>
      <c r="I235" s="28">
        <v>0</v>
      </c>
      <c r="J235" s="28">
        <v>0</v>
      </c>
      <c r="K235" s="28">
        <v>0</v>
      </c>
      <c r="L235" s="28">
        <v>0</v>
      </c>
      <c r="M235" s="28">
        <v>0</v>
      </c>
      <c r="N235" s="28">
        <v>0</v>
      </c>
      <c r="O235" s="28">
        <v>0</v>
      </c>
      <c r="P235" s="28">
        <v>0</v>
      </c>
      <c r="Q235" s="28">
        <v>0</v>
      </c>
      <c r="R235" s="28">
        <v>0</v>
      </c>
      <c r="S235" s="28">
        <v>0</v>
      </c>
      <c r="T235" s="28">
        <v>0</v>
      </c>
      <c r="U235" s="28">
        <v>0</v>
      </c>
    </row>
    <row r="236" spans="1:21" ht="15" customHeight="1">
      <c r="A236" s="26"/>
      <c r="B236" s="26"/>
      <c r="C236" s="26" t="s">
        <v>994</v>
      </c>
      <c r="D236" s="28">
        <v>0</v>
      </c>
      <c r="E236" s="28">
        <v>0</v>
      </c>
      <c r="F236" s="28">
        <v>0</v>
      </c>
      <c r="G236" s="28">
        <v>0</v>
      </c>
      <c r="H236" s="28">
        <v>0</v>
      </c>
      <c r="I236" s="28">
        <v>0</v>
      </c>
      <c r="J236" s="28">
        <v>0</v>
      </c>
      <c r="K236" s="28">
        <v>0</v>
      </c>
      <c r="L236" s="28">
        <v>0</v>
      </c>
      <c r="M236" s="28">
        <v>0</v>
      </c>
      <c r="N236" s="28">
        <v>0</v>
      </c>
      <c r="O236" s="28">
        <v>0</v>
      </c>
      <c r="P236" s="28">
        <v>0</v>
      </c>
      <c r="Q236" s="28">
        <v>0</v>
      </c>
      <c r="R236" s="28">
        <v>0</v>
      </c>
      <c r="S236" s="28">
        <v>0</v>
      </c>
      <c r="T236" s="28">
        <v>0</v>
      </c>
      <c r="U236" s="28">
        <v>0</v>
      </c>
    </row>
    <row r="237" spans="1:21" ht="15" customHeight="1">
      <c r="A237" s="26" t="s">
        <v>1013</v>
      </c>
      <c r="B237" s="26" t="s">
        <v>78</v>
      </c>
      <c r="C237" s="26" t="s">
        <v>1016</v>
      </c>
      <c r="D237" s="28">
        <v>0</v>
      </c>
      <c r="E237" s="28">
        <v>0</v>
      </c>
      <c r="F237" s="28">
        <v>0</v>
      </c>
      <c r="G237" s="28">
        <v>0</v>
      </c>
      <c r="H237" s="28">
        <v>0</v>
      </c>
      <c r="I237" s="28">
        <v>0</v>
      </c>
      <c r="J237" s="28">
        <v>0</v>
      </c>
      <c r="K237" s="28">
        <v>0</v>
      </c>
      <c r="L237" s="28">
        <v>0</v>
      </c>
      <c r="M237" s="28">
        <v>0</v>
      </c>
      <c r="N237" s="28">
        <v>0</v>
      </c>
      <c r="O237" s="28">
        <v>0</v>
      </c>
      <c r="P237" s="28">
        <v>0</v>
      </c>
      <c r="Q237" s="28">
        <v>0</v>
      </c>
      <c r="R237" s="28">
        <v>0</v>
      </c>
      <c r="S237" s="28">
        <v>0</v>
      </c>
      <c r="T237" s="28">
        <v>0</v>
      </c>
      <c r="U237" s="28">
        <v>0</v>
      </c>
    </row>
    <row r="238" spans="1:21" ht="15" customHeight="1">
      <c r="B238" s="26"/>
      <c r="C238" s="26" t="s">
        <v>1015</v>
      </c>
      <c r="D238" s="28">
        <v>0</v>
      </c>
      <c r="E238" s="28">
        <v>0</v>
      </c>
      <c r="F238" s="28">
        <v>0</v>
      </c>
      <c r="G238" s="28">
        <v>0</v>
      </c>
      <c r="H238" s="28">
        <v>0</v>
      </c>
      <c r="I238" s="28">
        <v>0</v>
      </c>
      <c r="J238" s="28">
        <v>0</v>
      </c>
      <c r="K238" s="28">
        <v>0</v>
      </c>
      <c r="L238" s="28">
        <v>0</v>
      </c>
      <c r="M238" s="28">
        <v>0</v>
      </c>
      <c r="N238" s="28">
        <v>0</v>
      </c>
      <c r="O238" s="28">
        <v>0</v>
      </c>
      <c r="P238" s="28">
        <v>0</v>
      </c>
      <c r="Q238" s="28">
        <v>0</v>
      </c>
      <c r="R238" s="28">
        <v>0</v>
      </c>
      <c r="S238" s="28">
        <v>0</v>
      </c>
      <c r="T238" s="28">
        <v>0</v>
      </c>
      <c r="U238" s="28">
        <v>0</v>
      </c>
    </row>
    <row r="239" spans="1:21" ht="15" customHeight="1">
      <c r="A239" s="26"/>
      <c r="B239" s="26"/>
      <c r="C239" s="26" t="s">
        <v>994</v>
      </c>
      <c r="D239" s="28">
        <v>0</v>
      </c>
      <c r="E239" s="28">
        <v>0</v>
      </c>
      <c r="F239" s="28">
        <v>0</v>
      </c>
      <c r="G239" s="28">
        <v>0</v>
      </c>
      <c r="H239" s="28">
        <v>0</v>
      </c>
      <c r="I239" s="28">
        <v>0</v>
      </c>
      <c r="J239" s="28">
        <v>0</v>
      </c>
      <c r="K239" s="28">
        <v>0</v>
      </c>
      <c r="L239" s="28">
        <v>0</v>
      </c>
      <c r="M239" s="28">
        <v>0</v>
      </c>
      <c r="N239" s="28">
        <v>0</v>
      </c>
      <c r="O239" s="28">
        <v>0</v>
      </c>
      <c r="P239" s="28">
        <v>0</v>
      </c>
      <c r="Q239" s="28">
        <v>0</v>
      </c>
      <c r="R239" s="28">
        <v>0</v>
      </c>
      <c r="S239" s="28">
        <v>0</v>
      </c>
      <c r="T239" s="28">
        <v>0</v>
      </c>
      <c r="U239" s="28">
        <v>0</v>
      </c>
    </row>
    <row r="240" spans="1:21" ht="15" customHeight="1">
      <c r="A240" s="26" t="s">
        <v>1014</v>
      </c>
      <c r="B240" s="26" t="s">
        <v>79</v>
      </c>
      <c r="C240" s="26" t="s">
        <v>1016</v>
      </c>
      <c r="D240" s="28">
        <v>0</v>
      </c>
      <c r="E240" s="28">
        <v>0</v>
      </c>
      <c r="F240" s="28">
        <v>0</v>
      </c>
      <c r="G240" s="28">
        <v>0</v>
      </c>
      <c r="H240" s="28">
        <v>0</v>
      </c>
      <c r="I240" s="28">
        <v>0</v>
      </c>
      <c r="J240" s="28">
        <v>0</v>
      </c>
      <c r="K240" s="28">
        <v>0</v>
      </c>
      <c r="L240" s="28">
        <v>0</v>
      </c>
      <c r="M240" s="28">
        <v>0</v>
      </c>
      <c r="N240" s="28">
        <v>0</v>
      </c>
      <c r="O240" s="28">
        <v>0</v>
      </c>
      <c r="P240" s="28">
        <v>0</v>
      </c>
      <c r="Q240" s="28">
        <v>0</v>
      </c>
      <c r="R240" s="28">
        <v>0</v>
      </c>
      <c r="S240" s="28">
        <v>0</v>
      </c>
      <c r="T240" s="28">
        <v>0</v>
      </c>
      <c r="U240" s="28">
        <v>0</v>
      </c>
    </row>
    <row r="241" spans="1:21" ht="15" customHeight="1">
      <c r="A241" s="26"/>
      <c r="B241" s="26"/>
      <c r="C241" s="26" t="s">
        <v>1015</v>
      </c>
      <c r="D241" s="28">
        <v>0</v>
      </c>
      <c r="E241" s="28">
        <v>0</v>
      </c>
      <c r="F241" s="28">
        <v>0</v>
      </c>
      <c r="G241" s="28">
        <v>0</v>
      </c>
      <c r="H241" s="28">
        <v>0</v>
      </c>
      <c r="I241" s="28">
        <v>0</v>
      </c>
      <c r="J241" s="28">
        <v>0</v>
      </c>
      <c r="K241" s="28">
        <v>0</v>
      </c>
      <c r="L241" s="28">
        <v>0</v>
      </c>
      <c r="M241" s="28">
        <v>0</v>
      </c>
      <c r="N241" s="28">
        <v>0</v>
      </c>
      <c r="O241" s="28">
        <v>0</v>
      </c>
      <c r="P241" s="28">
        <v>0</v>
      </c>
      <c r="Q241" s="28">
        <v>0</v>
      </c>
      <c r="R241" s="28">
        <v>0</v>
      </c>
      <c r="S241" s="28">
        <v>0</v>
      </c>
      <c r="T241" s="28">
        <v>0</v>
      </c>
      <c r="U241" s="28">
        <v>0</v>
      </c>
    </row>
    <row r="242" spans="1:21" ht="15" customHeight="1">
      <c r="A242" s="26"/>
      <c r="B242" s="26"/>
      <c r="C242" s="26" t="s">
        <v>994</v>
      </c>
      <c r="D242" s="28">
        <v>0</v>
      </c>
      <c r="E242" s="28">
        <v>0</v>
      </c>
      <c r="F242" s="28">
        <v>0</v>
      </c>
      <c r="G242" s="28">
        <v>0</v>
      </c>
      <c r="H242" s="28">
        <v>0</v>
      </c>
      <c r="I242" s="28">
        <v>0</v>
      </c>
      <c r="J242" s="28">
        <v>0</v>
      </c>
      <c r="K242" s="28">
        <v>0</v>
      </c>
      <c r="L242" s="28">
        <v>0</v>
      </c>
      <c r="M242" s="28">
        <v>0</v>
      </c>
      <c r="N242" s="28">
        <v>0</v>
      </c>
      <c r="O242" s="28">
        <v>0</v>
      </c>
      <c r="P242" s="28">
        <v>0</v>
      </c>
      <c r="Q242" s="28">
        <v>0</v>
      </c>
      <c r="R242" s="28">
        <v>0</v>
      </c>
      <c r="S242" s="28">
        <v>0</v>
      </c>
      <c r="T242" s="28">
        <v>0</v>
      </c>
      <c r="U242" s="28">
        <v>0</v>
      </c>
    </row>
    <row r="243" spans="1:21" ht="15" customHeight="1">
      <c r="A243" s="25" t="s">
        <v>1032</v>
      </c>
      <c r="B243" s="25"/>
      <c r="C243" s="26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</row>
    <row r="244" spans="1:21" ht="15" customHeight="1">
      <c r="A244" s="26"/>
      <c r="B244" s="26"/>
      <c r="C244" s="26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</row>
    <row r="245" spans="1:21" ht="15" customHeight="1">
      <c r="A245" s="26" t="s">
        <v>1010</v>
      </c>
      <c r="B245" s="26" t="s">
        <v>73</v>
      </c>
      <c r="C245" s="26" t="s">
        <v>1016</v>
      </c>
      <c r="D245" s="28">
        <v>576</v>
      </c>
      <c r="E245" s="28">
        <v>547</v>
      </c>
      <c r="F245" s="28">
        <v>5</v>
      </c>
      <c r="G245" s="28">
        <v>219</v>
      </c>
      <c r="H245" s="28">
        <v>438</v>
      </c>
      <c r="I245" s="28">
        <v>206</v>
      </c>
      <c r="J245" s="28">
        <v>1291</v>
      </c>
      <c r="K245" s="28">
        <v>16</v>
      </c>
      <c r="L245" s="28">
        <v>594</v>
      </c>
      <c r="M245" s="28">
        <v>139</v>
      </c>
      <c r="N245" s="28">
        <v>101</v>
      </c>
      <c r="O245" s="28">
        <v>281</v>
      </c>
      <c r="P245" s="28">
        <v>8</v>
      </c>
      <c r="Q245" s="28">
        <v>4</v>
      </c>
      <c r="R245" s="28">
        <v>9</v>
      </c>
      <c r="S245" s="28">
        <v>545</v>
      </c>
      <c r="T245" s="28">
        <v>1</v>
      </c>
      <c r="U245" s="28">
        <v>10571</v>
      </c>
    </row>
    <row r="246" spans="1:21" ht="15" customHeight="1">
      <c r="A246" s="26"/>
      <c r="B246" s="26"/>
      <c r="C246" s="26" t="s">
        <v>1015</v>
      </c>
      <c r="D246" s="28">
        <v>21</v>
      </c>
      <c r="E246" s="28">
        <v>1</v>
      </c>
      <c r="F246" s="28">
        <v>0</v>
      </c>
      <c r="G246" s="28">
        <v>5</v>
      </c>
      <c r="H246" s="28">
        <v>50</v>
      </c>
      <c r="I246" s="28">
        <v>0</v>
      </c>
      <c r="J246" s="28">
        <v>5</v>
      </c>
      <c r="K246" s="28">
        <v>0</v>
      </c>
      <c r="L246" s="28">
        <v>2</v>
      </c>
      <c r="M246" s="28">
        <v>1</v>
      </c>
      <c r="N246" s="28">
        <v>0</v>
      </c>
      <c r="O246" s="28">
        <v>1</v>
      </c>
      <c r="P246" s="28">
        <v>0</v>
      </c>
      <c r="Q246" s="28">
        <v>0</v>
      </c>
      <c r="R246" s="28">
        <v>0</v>
      </c>
      <c r="S246" s="28">
        <v>2</v>
      </c>
      <c r="T246" s="28">
        <v>0</v>
      </c>
      <c r="U246" s="28">
        <v>260</v>
      </c>
    </row>
    <row r="247" spans="1:21" ht="15" customHeight="1">
      <c r="B247" s="26"/>
      <c r="C247" s="26" t="s">
        <v>994</v>
      </c>
      <c r="D247" s="28">
        <v>597</v>
      </c>
      <c r="E247" s="28">
        <v>548</v>
      </c>
      <c r="F247" s="28">
        <v>5</v>
      </c>
      <c r="G247" s="28">
        <v>224</v>
      </c>
      <c r="H247" s="28">
        <v>488</v>
      </c>
      <c r="I247" s="28">
        <v>206</v>
      </c>
      <c r="J247" s="28">
        <v>1296</v>
      </c>
      <c r="K247" s="28">
        <v>16</v>
      </c>
      <c r="L247" s="28">
        <v>596</v>
      </c>
      <c r="M247" s="28">
        <v>140</v>
      </c>
      <c r="N247" s="28">
        <v>101</v>
      </c>
      <c r="O247" s="28">
        <v>282</v>
      </c>
      <c r="P247" s="28">
        <v>8</v>
      </c>
      <c r="Q247" s="28">
        <v>4</v>
      </c>
      <c r="R247" s="28">
        <v>9</v>
      </c>
      <c r="S247" s="28">
        <v>547</v>
      </c>
      <c r="T247" s="28">
        <v>1</v>
      </c>
      <c r="U247" s="28">
        <v>10831</v>
      </c>
    </row>
    <row r="248" spans="1:21" ht="15" customHeight="1">
      <c r="A248" s="26" t="s">
        <v>1011</v>
      </c>
      <c r="B248" s="26" t="s">
        <v>76</v>
      </c>
      <c r="C248" s="26" t="s">
        <v>1016</v>
      </c>
      <c r="D248" s="28">
        <v>2</v>
      </c>
      <c r="E248" s="28">
        <v>0</v>
      </c>
      <c r="F248" s="28">
        <v>0</v>
      </c>
      <c r="G248" s="28">
        <v>0</v>
      </c>
      <c r="H248" s="28">
        <v>0</v>
      </c>
      <c r="I248" s="28">
        <v>0</v>
      </c>
      <c r="J248" s="28">
        <v>0</v>
      </c>
      <c r="K248" s="28">
        <v>0</v>
      </c>
      <c r="L248" s="28">
        <v>0</v>
      </c>
      <c r="M248" s="28">
        <v>0</v>
      </c>
      <c r="N248" s="28">
        <v>0</v>
      </c>
      <c r="O248" s="28">
        <v>0</v>
      </c>
      <c r="P248" s="28">
        <v>0</v>
      </c>
      <c r="Q248" s="28">
        <v>0</v>
      </c>
      <c r="R248" s="28">
        <v>0</v>
      </c>
      <c r="S248" s="28">
        <v>0</v>
      </c>
      <c r="T248" s="28">
        <v>0</v>
      </c>
      <c r="U248" s="28">
        <v>5</v>
      </c>
    </row>
    <row r="249" spans="1:21" ht="15" customHeight="1">
      <c r="B249" s="26"/>
      <c r="C249" s="26" t="s">
        <v>1015</v>
      </c>
      <c r="D249" s="28">
        <v>0</v>
      </c>
      <c r="E249" s="28">
        <v>5</v>
      </c>
      <c r="F249" s="28">
        <v>0</v>
      </c>
      <c r="G249" s="28">
        <v>0</v>
      </c>
      <c r="H249" s="28">
        <v>0</v>
      </c>
      <c r="I249" s="28">
        <v>0</v>
      </c>
      <c r="J249" s="28">
        <v>3</v>
      </c>
      <c r="K249" s="28">
        <v>0</v>
      </c>
      <c r="L249" s="28">
        <v>0</v>
      </c>
      <c r="M249" s="28">
        <v>0</v>
      </c>
      <c r="N249" s="28">
        <v>0</v>
      </c>
      <c r="O249" s="28">
        <v>0</v>
      </c>
      <c r="P249" s="28">
        <v>0</v>
      </c>
      <c r="Q249" s="28">
        <v>0</v>
      </c>
      <c r="R249" s="28">
        <v>0</v>
      </c>
      <c r="S249" s="28">
        <v>5</v>
      </c>
      <c r="T249" s="28">
        <v>0</v>
      </c>
      <c r="U249" s="28">
        <v>70</v>
      </c>
    </row>
    <row r="250" spans="1:21" ht="15" customHeight="1">
      <c r="A250" s="26"/>
      <c r="B250" s="26"/>
      <c r="C250" s="26" t="s">
        <v>994</v>
      </c>
      <c r="D250" s="28">
        <v>2</v>
      </c>
      <c r="E250" s="28">
        <v>5</v>
      </c>
      <c r="F250" s="28">
        <v>0</v>
      </c>
      <c r="G250" s="28">
        <v>0</v>
      </c>
      <c r="H250" s="28">
        <v>0</v>
      </c>
      <c r="I250" s="28">
        <v>0</v>
      </c>
      <c r="J250" s="28">
        <v>3</v>
      </c>
      <c r="K250" s="28">
        <v>0</v>
      </c>
      <c r="L250" s="28">
        <v>0</v>
      </c>
      <c r="M250" s="28">
        <v>0</v>
      </c>
      <c r="N250" s="28">
        <v>0</v>
      </c>
      <c r="O250" s="28">
        <v>0</v>
      </c>
      <c r="P250" s="28">
        <v>0</v>
      </c>
      <c r="Q250" s="28">
        <v>0</v>
      </c>
      <c r="R250" s="28">
        <v>0</v>
      </c>
      <c r="S250" s="28">
        <v>5</v>
      </c>
      <c r="T250" s="28">
        <v>0</v>
      </c>
      <c r="U250" s="28">
        <v>75</v>
      </c>
    </row>
    <row r="251" spans="1:21" ht="15" customHeight="1">
      <c r="A251" s="26" t="s">
        <v>1012</v>
      </c>
      <c r="B251" s="26" t="s">
        <v>77</v>
      </c>
      <c r="C251" s="26" t="s">
        <v>1016</v>
      </c>
      <c r="D251" s="28">
        <v>0</v>
      </c>
      <c r="E251" s="28">
        <v>0</v>
      </c>
      <c r="F251" s="28">
        <v>0</v>
      </c>
      <c r="G251" s="28">
        <v>0</v>
      </c>
      <c r="H251" s="28">
        <v>0</v>
      </c>
      <c r="I251" s="28">
        <v>0</v>
      </c>
      <c r="J251" s="28">
        <v>0</v>
      </c>
      <c r="K251" s="28">
        <v>0</v>
      </c>
      <c r="L251" s="28">
        <v>0</v>
      </c>
      <c r="M251" s="28">
        <v>0</v>
      </c>
      <c r="N251" s="28">
        <v>0</v>
      </c>
      <c r="O251" s="28">
        <v>0</v>
      </c>
      <c r="P251" s="28">
        <v>0</v>
      </c>
      <c r="Q251" s="28">
        <v>0</v>
      </c>
      <c r="R251" s="28">
        <v>0</v>
      </c>
      <c r="S251" s="28">
        <v>0</v>
      </c>
      <c r="T251" s="28">
        <v>0</v>
      </c>
      <c r="U251" s="28">
        <v>0</v>
      </c>
    </row>
    <row r="252" spans="1:21" ht="15" customHeight="1">
      <c r="B252" s="26"/>
      <c r="C252" s="26" t="s">
        <v>1015</v>
      </c>
      <c r="D252" s="28">
        <v>0</v>
      </c>
      <c r="E252" s="28">
        <v>0</v>
      </c>
      <c r="F252" s="28">
        <v>0</v>
      </c>
      <c r="G252" s="28">
        <v>0</v>
      </c>
      <c r="H252" s="28">
        <v>0</v>
      </c>
      <c r="I252" s="28">
        <v>0</v>
      </c>
      <c r="J252" s="28">
        <v>0</v>
      </c>
      <c r="K252" s="28">
        <v>0</v>
      </c>
      <c r="L252" s="28">
        <v>0</v>
      </c>
      <c r="M252" s="28">
        <v>0</v>
      </c>
      <c r="N252" s="28">
        <v>0</v>
      </c>
      <c r="O252" s="28">
        <v>0</v>
      </c>
      <c r="P252" s="28">
        <v>0</v>
      </c>
      <c r="Q252" s="28">
        <v>0</v>
      </c>
      <c r="R252" s="28">
        <v>0</v>
      </c>
      <c r="S252" s="28">
        <v>0</v>
      </c>
      <c r="T252" s="28">
        <v>0</v>
      </c>
      <c r="U252" s="28">
        <v>0</v>
      </c>
    </row>
    <row r="253" spans="1:21" ht="15" customHeight="1">
      <c r="A253" s="26"/>
      <c r="B253" s="26"/>
      <c r="C253" s="26" t="s">
        <v>994</v>
      </c>
      <c r="D253" s="28">
        <v>0</v>
      </c>
      <c r="E253" s="28">
        <v>0</v>
      </c>
      <c r="F253" s="28">
        <v>0</v>
      </c>
      <c r="G253" s="28">
        <v>0</v>
      </c>
      <c r="H253" s="28">
        <v>0</v>
      </c>
      <c r="I253" s="28">
        <v>0</v>
      </c>
      <c r="J253" s="28">
        <v>0</v>
      </c>
      <c r="K253" s="28">
        <v>0</v>
      </c>
      <c r="L253" s="28">
        <v>0</v>
      </c>
      <c r="M253" s="28">
        <v>0</v>
      </c>
      <c r="N253" s="28">
        <v>0</v>
      </c>
      <c r="O253" s="28">
        <v>0</v>
      </c>
      <c r="P253" s="28">
        <v>0</v>
      </c>
      <c r="Q253" s="28">
        <v>0</v>
      </c>
      <c r="R253" s="28">
        <v>0</v>
      </c>
      <c r="S253" s="28">
        <v>0</v>
      </c>
      <c r="T253" s="28">
        <v>0</v>
      </c>
      <c r="U253" s="28">
        <v>0</v>
      </c>
    </row>
    <row r="254" spans="1:21" ht="15" customHeight="1">
      <c r="A254" s="26" t="s">
        <v>1013</v>
      </c>
      <c r="B254" s="26" t="s">
        <v>78</v>
      </c>
      <c r="C254" s="26" t="s">
        <v>1016</v>
      </c>
      <c r="D254" s="28">
        <v>0</v>
      </c>
      <c r="E254" s="28">
        <v>0</v>
      </c>
      <c r="F254" s="28">
        <v>0</v>
      </c>
      <c r="G254" s="28">
        <v>0</v>
      </c>
      <c r="H254" s="28">
        <v>0</v>
      </c>
      <c r="I254" s="28">
        <v>0</v>
      </c>
      <c r="J254" s="28">
        <v>0</v>
      </c>
      <c r="K254" s="28">
        <v>0</v>
      </c>
      <c r="L254" s="28">
        <v>0</v>
      </c>
      <c r="M254" s="28">
        <v>0</v>
      </c>
      <c r="N254" s="28">
        <v>0</v>
      </c>
      <c r="O254" s="28">
        <v>0</v>
      </c>
      <c r="P254" s="28">
        <v>0</v>
      </c>
      <c r="Q254" s="28">
        <v>0</v>
      </c>
      <c r="R254" s="28">
        <v>0</v>
      </c>
      <c r="S254" s="28">
        <v>0</v>
      </c>
      <c r="T254" s="28">
        <v>0</v>
      </c>
      <c r="U254" s="28">
        <v>0</v>
      </c>
    </row>
    <row r="255" spans="1:21" ht="15" customHeight="1">
      <c r="B255" s="26"/>
      <c r="C255" s="26" t="s">
        <v>1015</v>
      </c>
      <c r="D255" s="28">
        <v>0</v>
      </c>
      <c r="E255" s="28">
        <v>0</v>
      </c>
      <c r="F255" s="28">
        <v>0</v>
      </c>
      <c r="G255" s="28">
        <v>0</v>
      </c>
      <c r="H255" s="28">
        <v>0</v>
      </c>
      <c r="I255" s="28">
        <v>0</v>
      </c>
      <c r="J255" s="28">
        <v>0</v>
      </c>
      <c r="K255" s="28">
        <v>0</v>
      </c>
      <c r="L255" s="28">
        <v>0</v>
      </c>
      <c r="M255" s="28">
        <v>0</v>
      </c>
      <c r="N255" s="28">
        <v>0</v>
      </c>
      <c r="O255" s="28">
        <v>0</v>
      </c>
      <c r="P255" s="28">
        <v>0</v>
      </c>
      <c r="Q255" s="28">
        <v>0</v>
      </c>
      <c r="R255" s="28">
        <v>0</v>
      </c>
      <c r="S255" s="28">
        <v>0</v>
      </c>
      <c r="T255" s="28">
        <v>0</v>
      </c>
      <c r="U255" s="28">
        <v>0</v>
      </c>
    </row>
    <row r="256" spans="1:21" ht="15" customHeight="1">
      <c r="A256" s="26"/>
      <c r="B256" s="26"/>
      <c r="C256" s="26" t="s">
        <v>994</v>
      </c>
      <c r="D256" s="28">
        <v>0</v>
      </c>
      <c r="E256" s="28">
        <v>0</v>
      </c>
      <c r="F256" s="28">
        <v>0</v>
      </c>
      <c r="G256" s="28">
        <v>0</v>
      </c>
      <c r="H256" s="28">
        <v>0</v>
      </c>
      <c r="I256" s="28">
        <v>0</v>
      </c>
      <c r="J256" s="28">
        <v>0</v>
      </c>
      <c r="K256" s="28">
        <v>0</v>
      </c>
      <c r="L256" s="28">
        <v>0</v>
      </c>
      <c r="M256" s="28">
        <v>0</v>
      </c>
      <c r="N256" s="28">
        <v>0</v>
      </c>
      <c r="O256" s="28">
        <v>0</v>
      </c>
      <c r="P256" s="28">
        <v>0</v>
      </c>
      <c r="Q256" s="28">
        <v>0</v>
      </c>
      <c r="R256" s="28">
        <v>0</v>
      </c>
      <c r="S256" s="28">
        <v>0</v>
      </c>
      <c r="T256" s="28">
        <v>0</v>
      </c>
      <c r="U256" s="28">
        <v>0</v>
      </c>
    </row>
    <row r="257" spans="1:21" ht="15" customHeight="1">
      <c r="A257" s="26" t="s">
        <v>1014</v>
      </c>
      <c r="B257" s="26" t="s">
        <v>79</v>
      </c>
      <c r="C257" s="26" t="s">
        <v>1016</v>
      </c>
      <c r="D257" s="28">
        <v>578</v>
      </c>
      <c r="E257" s="28">
        <v>547</v>
      </c>
      <c r="F257" s="28">
        <v>5</v>
      </c>
      <c r="G257" s="28">
        <v>219</v>
      </c>
      <c r="H257" s="28">
        <v>438</v>
      </c>
      <c r="I257" s="28">
        <v>206</v>
      </c>
      <c r="J257" s="28">
        <v>1291</v>
      </c>
      <c r="K257" s="28">
        <v>16</v>
      </c>
      <c r="L257" s="28">
        <v>594</v>
      </c>
      <c r="M257" s="28">
        <v>139</v>
      </c>
      <c r="N257" s="28">
        <v>101</v>
      </c>
      <c r="O257" s="28">
        <v>281</v>
      </c>
      <c r="P257" s="28">
        <v>8</v>
      </c>
      <c r="Q257" s="28">
        <v>4</v>
      </c>
      <c r="R257" s="28">
        <v>9</v>
      </c>
      <c r="S257" s="28">
        <v>545</v>
      </c>
      <c r="T257" s="28">
        <v>1</v>
      </c>
      <c r="U257" s="28">
        <v>10576</v>
      </c>
    </row>
    <row r="258" spans="1:21" ht="15" customHeight="1">
      <c r="A258" s="26"/>
      <c r="B258" s="26"/>
      <c r="C258" s="26" t="s">
        <v>1015</v>
      </c>
      <c r="D258" s="28">
        <v>21</v>
      </c>
      <c r="E258" s="28">
        <v>6</v>
      </c>
      <c r="F258" s="28">
        <v>0</v>
      </c>
      <c r="G258" s="28">
        <v>5</v>
      </c>
      <c r="H258" s="28">
        <v>50</v>
      </c>
      <c r="I258" s="28">
        <v>0</v>
      </c>
      <c r="J258" s="28">
        <v>8</v>
      </c>
      <c r="K258" s="28">
        <v>0</v>
      </c>
      <c r="L258" s="28">
        <v>2</v>
      </c>
      <c r="M258" s="28">
        <v>1</v>
      </c>
      <c r="N258" s="28">
        <v>0</v>
      </c>
      <c r="O258" s="28">
        <v>1</v>
      </c>
      <c r="P258" s="28">
        <v>0</v>
      </c>
      <c r="Q258" s="28">
        <v>0</v>
      </c>
      <c r="R258" s="28">
        <v>0</v>
      </c>
      <c r="S258" s="28">
        <v>7</v>
      </c>
      <c r="T258" s="28">
        <v>0</v>
      </c>
      <c r="U258" s="28">
        <v>330</v>
      </c>
    </row>
    <row r="259" spans="1:21" ht="15" customHeight="1">
      <c r="A259" s="26"/>
      <c r="B259" s="26"/>
      <c r="C259" s="26" t="s">
        <v>994</v>
      </c>
      <c r="D259" s="28">
        <v>599</v>
      </c>
      <c r="E259" s="28">
        <v>553</v>
      </c>
      <c r="F259" s="28">
        <v>5</v>
      </c>
      <c r="G259" s="28">
        <v>224</v>
      </c>
      <c r="H259" s="28">
        <v>488</v>
      </c>
      <c r="I259" s="28">
        <v>206</v>
      </c>
      <c r="J259" s="28">
        <v>1299</v>
      </c>
      <c r="K259" s="28">
        <v>16</v>
      </c>
      <c r="L259" s="28">
        <v>596</v>
      </c>
      <c r="M259" s="28">
        <v>140</v>
      </c>
      <c r="N259" s="28">
        <v>101</v>
      </c>
      <c r="O259" s="28">
        <v>282</v>
      </c>
      <c r="P259" s="28">
        <v>8</v>
      </c>
      <c r="Q259" s="28">
        <v>4</v>
      </c>
      <c r="R259" s="28">
        <v>9</v>
      </c>
      <c r="S259" s="28">
        <v>552</v>
      </c>
      <c r="T259" s="28">
        <v>1</v>
      </c>
      <c r="U259" s="28">
        <v>10906</v>
      </c>
    </row>
    <row r="260" spans="1:21" ht="15" customHeight="1">
      <c r="A260" s="29" t="s">
        <v>1033</v>
      </c>
      <c r="B260" s="29"/>
      <c r="C260" s="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</row>
    <row r="261" spans="1:21" ht="15" customHeight="1">
      <c r="A261" s="7"/>
      <c r="B261" s="7"/>
      <c r="C261" s="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</row>
    <row r="262" spans="1:21" ht="15" customHeight="1">
      <c r="A262" s="26" t="s">
        <v>1010</v>
      </c>
      <c r="B262" s="7" t="s">
        <v>73</v>
      </c>
      <c r="C262" s="26" t="s">
        <v>1016</v>
      </c>
      <c r="D262" s="28">
        <v>202</v>
      </c>
      <c r="E262" s="28">
        <v>33</v>
      </c>
      <c r="F262" s="28">
        <v>48</v>
      </c>
      <c r="G262" s="28">
        <v>7</v>
      </c>
      <c r="H262" s="28">
        <v>14</v>
      </c>
      <c r="I262" s="28">
        <v>1</v>
      </c>
      <c r="J262" s="28">
        <v>8</v>
      </c>
      <c r="K262" s="28">
        <v>1</v>
      </c>
      <c r="L262" s="28">
        <v>176</v>
      </c>
      <c r="M262" s="28">
        <v>3</v>
      </c>
      <c r="N262" s="28">
        <v>2</v>
      </c>
      <c r="O262" s="28">
        <v>1</v>
      </c>
      <c r="P262" s="28">
        <v>10</v>
      </c>
      <c r="Q262" s="28">
        <v>7</v>
      </c>
      <c r="R262" s="28">
        <v>20</v>
      </c>
      <c r="S262" s="28">
        <v>6</v>
      </c>
      <c r="T262" s="28">
        <v>0</v>
      </c>
      <c r="U262" s="28">
        <v>495</v>
      </c>
    </row>
    <row r="263" spans="1:21" ht="15" customHeight="1">
      <c r="A263" s="26"/>
      <c r="B263" s="7"/>
      <c r="C263" s="26" t="s">
        <v>1015</v>
      </c>
      <c r="D263" s="28">
        <v>1</v>
      </c>
      <c r="E263" s="28">
        <v>0</v>
      </c>
      <c r="F263" s="28">
        <v>0</v>
      </c>
      <c r="G263" s="28">
        <v>0</v>
      </c>
      <c r="H263" s="28">
        <v>0</v>
      </c>
      <c r="I263" s="28">
        <v>0</v>
      </c>
      <c r="J263" s="28">
        <v>0</v>
      </c>
      <c r="K263" s="28">
        <v>0</v>
      </c>
      <c r="L263" s="28">
        <v>0</v>
      </c>
      <c r="M263" s="28">
        <v>0</v>
      </c>
      <c r="N263" s="28">
        <v>0</v>
      </c>
      <c r="O263" s="28">
        <v>0</v>
      </c>
      <c r="P263" s="28">
        <v>0</v>
      </c>
      <c r="Q263" s="28">
        <v>0</v>
      </c>
      <c r="R263" s="28">
        <v>0</v>
      </c>
      <c r="S263" s="28">
        <v>0</v>
      </c>
      <c r="T263" s="28">
        <v>0</v>
      </c>
      <c r="U263" s="28">
        <v>1</v>
      </c>
    </row>
    <row r="264" spans="1:21" ht="15" customHeight="1">
      <c r="B264" s="7"/>
      <c r="C264" s="26" t="s">
        <v>994</v>
      </c>
      <c r="D264" s="28">
        <v>203</v>
      </c>
      <c r="E264" s="28">
        <v>33</v>
      </c>
      <c r="F264" s="28">
        <v>48</v>
      </c>
      <c r="G264" s="28">
        <v>7</v>
      </c>
      <c r="H264" s="28">
        <v>14</v>
      </c>
      <c r="I264" s="28">
        <v>1</v>
      </c>
      <c r="J264" s="28">
        <v>8</v>
      </c>
      <c r="K264" s="28">
        <v>1</v>
      </c>
      <c r="L264" s="28">
        <v>176</v>
      </c>
      <c r="M264" s="28">
        <v>3</v>
      </c>
      <c r="N264" s="28">
        <v>2</v>
      </c>
      <c r="O264" s="28">
        <v>1</v>
      </c>
      <c r="P264" s="28">
        <v>10</v>
      </c>
      <c r="Q264" s="28">
        <v>7</v>
      </c>
      <c r="R264" s="28">
        <v>20</v>
      </c>
      <c r="S264" s="28">
        <v>6</v>
      </c>
      <c r="T264" s="28">
        <v>0</v>
      </c>
      <c r="U264" s="28">
        <v>496</v>
      </c>
    </row>
    <row r="265" spans="1:21" ht="15" customHeight="1">
      <c r="A265" s="26" t="s">
        <v>1011</v>
      </c>
      <c r="B265" s="7" t="s">
        <v>76</v>
      </c>
      <c r="C265" s="26" t="s">
        <v>1016</v>
      </c>
      <c r="D265" s="28">
        <v>1262</v>
      </c>
      <c r="E265" s="28">
        <v>444</v>
      </c>
      <c r="F265" s="28">
        <v>808</v>
      </c>
      <c r="G265" s="28">
        <v>634</v>
      </c>
      <c r="H265" s="28">
        <v>464</v>
      </c>
      <c r="I265" s="28">
        <v>501</v>
      </c>
      <c r="J265" s="28">
        <v>308</v>
      </c>
      <c r="K265" s="28">
        <v>256</v>
      </c>
      <c r="L265" s="28">
        <v>4534</v>
      </c>
      <c r="M265" s="28">
        <v>649</v>
      </c>
      <c r="N265" s="28">
        <v>680</v>
      </c>
      <c r="O265" s="28">
        <v>1064</v>
      </c>
      <c r="P265" s="28">
        <v>547</v>
      </c>
      <c r="Q265" s="28">
        <v>512</v>
      </c>
      <c r="R265" s="28">
        <v>1088</v>
      </c>
      <c r="S265" s="28">
        <v>925</v>
      </c>
      <c r="T265" s="28">
        <v>123</v>
      </c>
      <c r="U265" s="28">
        <v>15774</v>
      </c>
    </row>
    <row r="266" spans="1:21" ht="15" customHeight="1">
      <c r="B266" s="7"/>
      <c r="C266" s="26" t="s">
        <v>1015</v>
      </c>
      <c r="D266" s="28">
        <v>0</v>
      </c>
      <c r="E266" s="28">
        <v>0</v>
      </c>
      <c r="F266" s="28">
        <v>0</v>
      </c>
      <c r="G266" s="28">
        <v>0</v>
      </c>
      <c r="H266" s="28">
        <v>4</v>
      </c>
      <c r="I266" s="28">
        <v>2</v>
      </c>
      <c r="J266" s="28">
        <v>1</v>
      </c>
      <c r="K266" s="28">
        <v>0</v>
      </c>
      <c r="L266" s="28">
        <v>40</v>
      </c>
      <c r="M266" s="28">
        <v>0</v>
      </c>
      <c r="N266" s="28">
        <v>0</v>
      </c>
      <c r="O266" s="28">
        <v>3</v>
      </c>
      <c r="P266" s="28">
        <v>0</v>
      </c>
      <c r="Q266" s="28">
        <v>0</v>
      </c>
      <c r="R266" s="28">
        <v>1</v>
      </c>
      <c r="S266" s="28">
        <v>0</v>
      </c>
      <c r="T266" s="28">
        <v>0</v>
      </c>
      <c r="U266" s="28">
        <v>47</v>
      </c>
    </row>
    <row r="267" spans="1:21" ht="15" customHeight="1">
      <c r="A267" s="26"/>
      <c r="B267" s="7"/>
      <c r="C267" s="26" t="s">
        <v>994</v>
      </c>
      <c r="D267" s="28">
        <v>1262</v>
      </c>
      <c r="E267" s="28">
        <v>444</v>
      </c>
      <c r="F267" s="28">
        <v>808</v>
      </c>
      <c r="G267" s="28">
        <v>634</v>
      </c>
      <c r="H267" s="28">
        <v>468</v>
      </c>
      <c r="I267" s="28">
        <v>503</v>
      </c>
      <c r="J267" s="28">
        <v>309</v>
      </c>
      <c r="K267" s="28">
        <v>256</v>
      </c>
      <c r="L267" s="28">
        <v>4574</v>
      </c>
      <c r="M267" s="28">
        <v>649</v>
      </c>
      <c r="N267" s="28">
        <v>680</v>
      </c>
      <c r="O267" s="28">
        <v>1067</v>
      </c>
      <c r="P267" s="28">
        <v>547</v>
      </c>
      <c r="Q267" s="28">
        <v>512</v>
      </c>
      <c r="R267" s="28">
        <v>1089</v>
      </c>
      <c r="S267" s="28">
        <v>925</v>
      </c>
      <c r="T267" s="28">
        <v>123</v>
      </c>
      <c r="U267" s="28">
        <v>15821</v>
      </c>
    </row>
    <row r="268" spans="1:21" ht="15" customHeight="1">
      <c r="A268" s="26" t="s">
        <v>1012</v>
      </c>
      <c r="B268" s="7" t="s">
        <v>77</v>
      </c>
      <c r="C268" s="26" t="s">
        <v>1016</v>
      </c>
      <c r="D268" s="28">
        <v>3021</v>
      </c>
      <c r="E268" s="28">
        <v>2010</v>
      </c>
      <c r="F268" s="28">
        <v>1644</v>
      </c>
      <c r="G268" s="28">
        <v>2190</v>
      </c>
      <c r="H268" s="28">
        <v>1124</v>
      </c>
      <c r="I268" s="28">
        <v>1447</v>
      </c>
      <c r="J268" s="28">
        <v>1576</v>
      </c>
      <c r="K268" s="28">
        <v>403</v>
      </c>
      <c r="L268" s="28">
        <v>10922</v>
      </c>
      <c r="M268" s="28">
        <v>1732</v>
      </c>
      <c r="N268" s="28">
        <v>2080</v>
      </c>
      <c r="O268" s="28">
        <v>3664</v>
      </c>
      <c r="P268" s="28">
        <v>1830</v>
      </c>
      <c r="Q268" s="28">
        <v>2008</v>
      </c>
      <c r="R268" s="28">
        <v>3224</v>
      </c>
      <c r="S268" s="28">
        <v>2660</v>
      </c>
      <c r="T268" s="28">
        <v>356</v>
      </c>
      <c r="U268" s="28">
        <v>48361</v>
      </c>
    </row>
    <row r="269" spans="1:21" ht="15" customHeight="1">
      <c r="B269" s="7"/>
      <c r="C269" s="26" t="s">
        <v>1015</v>
      </c>
      <c r="D269" s="28">
        <v>1243</v>
      </c>
      <c r="E269" s="28">
        <v>12538</v>
      </c>
      <c r="F269" s="28">
        <v>906</v>
      </c>
      <c r="G269" s="28">
        <v>8717</v>
      </c>
      <c r="H269" s="28">
        <v>1469</v>
      </c>
      <c r="I269" s="28">
        <v>954</v>
      </c>
      <c r="J269" s="28">
        <v>2718</v>
      </c>
      <c r="K269" s="28">
        <v>53</v>
      </c>
      <c r="L269" s="28">
        <v>6297</v>
      </c>
      <c r="M269" s="28">
        <v>724</v>
      </c>
      <c r="N269" s="28">
        <v>2340</v>
      </c>
      <c r="O269" s="28">
        <v>2392</v>
      </c>
      <c r="P269" s="28">
        <v>1752</v>
      </c>
      <c r="Q269" s="28">
        <v>5675</v>
      </c>
      <c r="R269" s="28">
        <v>4507</v>
      </c>
      <c r="S269" s="28">
        <v>3793</v>
      </c>
      <c r="T269" s="28">
        <v>206</v>
      </c>
      <c r="U269" s="28">
        <v>57972</v>
      </c>
    </row>
    <row r="270" spans="1:21" ht="15" customHeight="1">
      <c r="A270" s="26"/>
      <c r="B270" s="7"/>
      <c r="C270" s="26" t="s">
        <v>994</v>
      </c>
      <c r="D270" s="28">
        <v>4264</v>
      </c>
      <c r="E270" s="28">
        <v>14548</v>
      </c>
      <c r="F270" s="28">
        <v>2550</v>
      </c>
      <c r="G270" s="28">
        <v>10907</v>
      </c>
      <c r="H270" s="28">
        <v>2593</v>
      </c>
      <c r="I270" s="28">
        <v>2401</v>
      </c>
      <c r="J270" s="28">
        <v>4294</v>
      </c>
      <c r="K270" s="28">
        <v>456</v>
      </c>
      <c r="L270" s="28">
        <v>17219</v>
      </c>
      <c r="M270" s="28">
        <v>2456</v>
      </c>
      <c r="N270" s="28">
        <v>4420</v>
      </c>
      <c r="O270" s="28">
        <v>6056</v>
      </c>
      <c r="P270" s="28">
        <v>3582</v>
      </c>
      <c r="Q270" s="28">
        <v>7683</v>
      </c>
      <c r="R270" s="28">
        <v>7731</v>
      </c>
      <c r="S270" s="28">
        <v>6453</v>
      </c>
      <c r="T270" s="28">
        <v>562</v>
      </c>
      <c r="U270" s="28">
        <v>106333</v>
      </c>
    </row>
    <row r="271" spans="1:21" ht="15" customHeight="1">
      <c r="A271" s="26" t="s">
        <v>1013</v>
      </c>
      <c r="B271" s="7" t="s">
        <v>78</v>
      </c>
      <c r="C271" s="26" t="s">
        <v>1016</v>
      </c>
      <c r="D271" s="28">
        <v>117</v>
      </c>
      <c r="E271" s="28">
        <v>40</v>
      </c>
      <c r="F271" s="28">
        <v>42</v>
      </c>
      <c r="G271" s="28">
        <v>85</v>
      </c>
      <c r="H271" s="28">
        <v>36</v>
      </c>
      <c r="I271" s="28">
        <v>33</v>
      </c>
      <c r="J271" s="28">
        <v>31</v>
      </c>
      <c r="K271" s="28">
        <v>6</v>
      </c>
      <c r="L271" s="28">
        <v>362</v>
      </c>
      <c r="M271" s="28">
        <v>75</v>
      </c>
      <c r="N271" s="28">
        <v>71</v>
      </c>
      <c r="O271" s="28">
        <v>116</v>
      </c>
      <c r="P271" s="28">
        <v>88</v>
      </c>
      <c r="Q271" s="28">
        <v>94</v>
      </c>
      <c r="R271" s="28">
        <v>120</v>
      </c>
      <c r="S271" s="28">
        <v>111</v>
      </c>
      <c r="T271" s="28">
        <v>32</v>
      </c>
      <c r="U271" s="28">
        <v>3955</v>
      </c>
    </row>
    <row r="272" spans="1:21" ht="15" customHeight="1">
      <c r="B272" s="7"/>
      <c r="C272" s="26" t="s">
        <v>1015</v>
      </c>
      <c r="D272" s="28">
        <v>2</v>
      </c>
      <c r="E272" s="28">
        <v>0</v>
      </c>
      <c r="F272" s="28">
        <v>0</v>
      </c>
      <c r="G272" s="28">
        <v>5</v>
      </c>
      <c r="H272" s="28">
        <v>3</v>
      </c>
      <c r="I272" s="28">
        <v>0</v>
      </c>
      <c r="J272" s="28">
        <v>0</v>
      </c>
      <c r="K272" s="28">
        <v>0</v>
      </c>
      <c r="L272" s="28">
        <v>19</v>
      </c>
      <c r="M272" s="28">
        <v>1</v>
      </c>
      <c r="N272" s="28">
        <v>0</v>
      </c>
      <c r="O272" s="28">
        <v>0</v>
      </c>
      <c r="P272" s="28">
        <v>0</v>
      </c>
      <c r="Q272" s="28">
        <v>57</v>
      </c>
      <c r="R272" s="28">
        <v>0</v>
      </c>
      <c r="S272" s="28">
        <v>1</v>
      </c>
      <c r="T272" s="28">
        <v>0</v>
      </c>
      <c r="U272" s="28">
        <v>79</v>
      </c>
    </row>
    <row r="273" spans="1:21" ht="15" customHeight="1">
      <c r="A273" s="26"/>
      <c r="B273" s="7"/>
      <c r="C273" s="26" t="s">
        <v>994</v>
      </c>
      <c r="D273" s="28">
        <v>119</v>
      </c>
      <c r="E273" s="28">
        <v>40</v>
      </c>
      <c r="F273" s="28">
        <v>42</v>
      </c>
      <c r="G273" s="28">
        <v>90</v>
      </c>
      <c r="H273" s="28">
        <v>39</v>
      </c>
      <c r="I273" s="28">
        <v>33</v>
      </c>
      <c r="J273" s="28">
        <v>31</v>
      </c>
      <c r="K273" s="28">
        <v>6</v>
      </c>
      <c r="L273" s="28">
        <v>381</v>
      </c>
      <c r="M273" s="28">
        <v>76</v>
      </c>
      <c r="N273" s="28">
        <v>71</v>
      </c>
      <c r="O273" s="28">
        <v>116</v>
      </c>
      <c r="P273" s="28">
        <v>88</v>
      </c>
      <c r="Q273" s="28">
        <v>151</v>
      </c>
      <c r="R273" s="28">
        <v>120</v>
      </c>
      <c r="S273" s="28">
        <v>112</v>
      </c>
      <c r="T273" s="28">
        <v>32</v>
      </c>
      <c r="U273" s="28">
        <v>4034</v>
      </c>
    </row>
    <row r="274" spans="1:21" ht="15" customHeight="1">
      <c r="A274" s="26" t="s">
        <v>1014</v>
      </c>
      <c r="B274" s="7" t="s">
        <v>79</v>
      </c>
      <c r="C274" s="26" t="s">
        <v>1016</v>
      </c>
      <c r="D274" s="28">
        <v>4602</v>
      </c>
      <c r="E274" s="28">
        <v>2527</v>
      </c>
      <c r="F274" s="28">
        <v>2542</v>
      </c>
      <c r="G274" s="28">
        <v>2916</v>
      </c>
      <c r="H274" s="28">
        <v>1638</v>
      </c>
      <c r="I274" s="28">
        <v>1982</v>
      </c>
      <c r="J274" s="28">
        <v>1923</v>
      </c>
      <c r="K274" s="28">
        <v>666</v>
      </c>
      <c r="L274" s="28">
        <v>15994</v>
      </c>
      <c r="M274" s="28">
        <v>2459</v>
      </c>
      <c r="N274" s="28">
        <v>2833</v>
      </c>
      <c r="O274" s="28">
        <v>4845</v>
      </c>
      <c r="P274" s="28">
        <v>2475</v>
      </c>
      <c r="Q274" s="28">
        <v>2621</v>
      </c>
      <c r="R274" s="28">
        <v>4452</v>
      </c>
      <c r="S274" s="28">
        <v>3702</v>
      </c>
      <c r="T274" s="28">
        <v>511</v>
      </c>
      <c r="U274" s="28">
        <v>68585</v>
      </c>
    </row>
    <row r="275" spans="1:21" ht="15" customHeight="1">
      <c r="A275" s="7"/>
      <c r="B275" s="7"/>
      <c r="C275" s="26" t="s">
        <v>1015</v>
      </c>
      <c r="D275" s="28">
        <v>1246</v>
      </c>
      <c r="E275" s="28">
        <v>12538</v>
      </c>
      <c r="F275" s="28">
        <v>906</v>
      </c>
      <c r="G275" s="28">
        <v>8722</v>
      </c>
      <c r="H275" s="28">
        <v>1476</v>
      </c>
      <c r="I275" s="28">
        <v>956</v>
      </c>
      <c r="J275" s="28">
        <v>2719</v>
      </c>
      <c r="K275" s="28">
        <v>53</v>
      </c>
      <c r="L275" s="28">
        <v>6356</v>
      </c>
      <c r="M275" s="28">
        <v>725</v>
      </c>
      <c r="N275" s="28">
        <v>2340</v>
      </c>
      <c r="O275" s="28">
        <v>2395</v>
      </c>
      <c r="P275" s="28">
        <v>1752</v>
      </c>
      <c r="Q275" s="28">
        <v>5732</v>
      </c>
      <c r="R275" s="28">
        <v>4508</v>
      </c>
      <c r="S275" s="28">
        <v>3794</v>
      </c>
      <c r="T275" s="28">
        <v>206</v>
      </c>
      <c r="U275" s="28">
        <v>58099</v>
      </c>
    </row>
    <row r="276" spans="1:21" ht="15" customHeight="1">
      <c r="A276" s="7"/>
      <c r="B276" s="7"/>
      <c r="C276" s="26" t="s">
        <v>994</v>
      </c>
      <c r="D276" s="28">
        <v>5848</v>
      </c>
      <c r="E276" s="28">
        <v>15065</v>
      </c>
      <c r="F276" s="28">
        <v>3448</v>
      </c>
      <c r="G276" s="28">
        <v>11638</v>
      </c>
      <c r="H276" s="28">
        <v>3114</v>
      </c>
      <c r="I276" s="28">
        <v>2938</v>
      </c>
      <c r="J276" s="28">
        <v>4642</v>
      </c>
      <c r="K276" s="28">
        <v>719</v>
      </c>
      <c r="L276" s="28">
        <v>22350</v>
      </c>
      <c r="M276" s="28">
        <v>3184</v>
      </c>
      <c r="N276" s="28">
        <v>5173</v>
      </c>
      <c r="O276" s="28">
        <v>7240</v>
      </c>
      <c r="P276" s="28">
        <v>4227</v>
      </c>
      <c r="Q276" s="28">
        <v>8353</v>
      </c>
      <c r="R276" s="28">
        <v>8960</v>
      </c>
      <c r="S276" s="28">
        <v>7496</v>
      </c>
      <c r="T276" s="28">
        <v>717</v>
      </c>
      <c r="U276" s="28">
        <v>126684</v>
      </c>
    </row>
    <row r="277" spans="1:21" ht="15" customHeight="1">
      <c r="A277" s="29" t="s">
        <v>1034</v>
      </c>
      <c r="B277" s="29"/>
      <c r="C277" s="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</row>
    <row r="278" spans="1:21" ht="15" customHeight="1">
      <c r="A278" s="29"/>
      <c r="B278" s="29"/>
      <c r="C278" s="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</row>
    <row r="279" spans="1:21" ht="15" customHeight="1">
      <c r="A279" s="26" t="s">
        <v>1010</v>
      </c>
      <c r="B279" s="7" t="s">
        <v>73</v>
      </c>
      <c r="C279" s="26" t="s">
        <v>1016</v>
      </c>
      <c r="D279" s="28">
        <v>2543480</v>
      </c>
      <c r="E279" s="28">
        <v>1079575</v>
      </c>
      <c r="F279" s="28">
        <v>968121</v>
      </c>
      <c r="G279" s="28">
        <v>1086111</v>
      </c>
      <c r="H279" s="28">
        <v>545277</v>
      </c>
      <c r="I279" s="28">
        <v>549179</v>
      </c>
      <c r="J279" s="28">
        <v>468333</v>
      </c>
      <c r="K279" s="28">
        <v>141658</v>
      </c>
      <c r="L279" s="28">
        <v>4665174</v>
      </c>
      <c r="M279" s="28">
        <v>582404</v>
      </c>
      <c r="N279" s="28">
        <v>630458</v>
      </c>
      <c r="O279" s="28">
        <v>835085</v>
      </c>
      <c r="P279" s="28">
        <v>686472</v>
      </c>
      <c r="Q279" s="28">
        <v>666767</v>
      </c>
      <c r="R279" s="28">
        <v>1057802</v>
      </c>
      <c r="S279" s="28">
        <v>1318271</v>
      </c>
      <c r="T279" s="28">
        <v>280900</v>
      </c>
      <c r="U279" s="28">
        <v>18720189</v>
      </c>
    </row>
    <row r="280" spans="1:21" ht="15" customHeight="1">
      <c r="A280" s="26"/>
      <c r="B280" s="7"/>
      <c r="C280" s="26" t="s">
        <v>1015</v>
      </c>
      <c r="D280" s="28">
        <v>127323</v>
      </c>
      <c r="E280" s="28">
        <v>73137</v>
      </c>
      <c r="F280" s="28">
        <v>26882</v>
      </c>
      <c r="G280" s="28">
        <v>297738</v>
      </c>
      <c r="H280" s="28">
        <v>15448</v>
      </c>
      <c r="I280" s="28">
        <v>14467</v>
      </c>
      <c r="J280" s="28">
        <v>8076</v>
      </c>
      <c r="K280" s="28">
        <v>607</v>
      </c>
      <c r="L280" s="28">
        <v>72293</v>
      </c>
      <c r="M280" s="28">
        <v>11973</v>
      </c>
      <c r="N280" s="28">
        <v>14962</v>
      </c>
      <c r="O280" s="28">
        <v>13430</v>
      </c>
      <c r="P280" s="28">
        <v>19313</v>
      </c>
      <c r="Q280" s="28">
        <v>100233</v>
      </c>
      <c r="R280" s="28">
        <v>14401</v>
      </c>
      <c r="S280" s="28">
        <v>48013</v>
      </c>
      <c r="T280" s="28">
        <v>214154</v>
      </c>
      <c r="U280" s="28">
        <v>1140766</v>
      </c>
    </row>
    <row r="281" spans="1:21" ht="15" customHeight="1">
      <c r="B281" s="7"/>
      <c r="C281" s="26" t="s">
        <v>994</v>
      </c>
      <c r="D281" s="28">
        <v>2670803</v>
      </c>
      <c r="E281" s="28">
        <v>1152712</v>
      </c>
      <c r="F281" s="28">
        <v>995003</v>
      </c>
      <c r="G281" s="28">
        <v>1383849</v>
      </c>
      <c r="H281" s="28">
        <v>560725</v>
      </c>
      <c r="I281" s="28">
        <v>563646</v>
      </c>
      <c r="J281" s="28">
        <v>476409</v>
      </c>
      <c r="K281" s="28">
        <v>142265</v>
      </c>
      <c r="L281" s="28">
        <v>4737467</v>
      </c>
      <c r="M281" s="28">
        <v>594377</v>
      </c>
      <c r="N281" s="28">
        <v>645420</v>
      </c>
      <c r="O281" s="28">
        <v>848515</v>
      </c>
      <c r="P281" s="28">
        <v>705785</v>
      </c>
      <c r="Q281" s="28">
        <v>767000</v>
      </c>
      <c r="R281" s="28">
        <v>1072203</v>
      </c>
      <c r="S281" s="28">
        <v>1366284</v>
      </c>
      <c r="T281" s="28">
        <v>495054</v>
      </c>
      <c r="U281" s="28">
        <v>19860955</v>
      </c>
    </row>
    <row r="282" spans="1:21" ht="15" customHeight="1">
      <c r="A282" s="26" t="s">
        <v>1011</v>
      </c>
      <c r="B282" s="7" t="s">
        <v>76</v>
      </c>
      <c r="C282" s="26" t="s">
        <v>1016</v>
      </c>
      <c r="D282" s="28">
        <v>96695</v>
      </c>
      <c r="E282" s="28">
        <v>37494</v>
      </c>
      <c r="F282" s="28">
        <v>27565</v>
      </c>
      <c r="G282" s="28">
        <v>39249</v>
      </c>
      <c r="H282" s="28">
        <v>17910</v>
      </c>
      <c r="I282" s="28">
        <v>18857</v>
      </c>
      <c r="J282" s="28">
        <v>13047</v>
      </c>
      <c r="K282" s="28">
        <v>4020</v>
      </c>
      <c r="L282" s="28">
        <v>177825</v>
      </c>
      <c r="M282" s="28">
        <v>25984</v>
      </c>
      <c r="N282" s="28">
        <v>26483</v>
      </c>
      <c r="O282" s="28">
        <v>37029</v>
      </c>
      <c r="P282" s="28">
        <v>28974</v>
      </c>
      <c r="Q282" s="28">
        <v>32071</v>
      </c>
      <c r="R282" s="28">
        <v>43625</v>
      </c>
      <c r="S282" s="28">
        <v>47625</v>
      </c>
      <c r="T282" s="28">
        <v>12055</v>
      </c>
      <c r="U282" s="28">
        <v>663442</v>
      </c>
    </row>
    <row r="283" spans="1:21" ht="15" customHeight="1">
      <c r="B283" s="7"/>
      <c r="C283" s="26" t="s">
        <v>1015</v>
      </c>
      <c r="D283" s="28">
        <v>17615</v>
      </c>
      <c r="E283" s="28">
        <v>6193</v>
      </c>
      <c r="F283" s="28">
        <v>4123</v>
      </c>
      <c r="G283" s="28">
        <v>12507</v>
      </c>
      <c r="H283" s="28">
        <v>2543</v>
      </c>
      <c r="I283" s="28">
        <v>2170</v>
      </c>
      <c r="J283" s="28">
        <v>1996</v>
      </c>
      <c r="K283" s="28">
        <v>419</v>
      </c>
      <c r="L283" s="28">
        <v>32370</v>
      </c>
      <c r="M283" s="28">
        <v>3285</v>
      </c>
      <c r="N283" s="28">
        <v>3860</v>
      </c>
      <c r="O283" s="28">
        <v>5469</v>
      </c>
      <c r="P283" s="28">
        <v>4244</v>
      </c>
      <c r="Q283" s="28">
        <v>7879</v>
      </c>
      <c r="R283" s="28">
        <v>5413</v>
      </c>
      <c r="S283" s="28">
        <v>7509</v>
      </c>
      <c r="T283" s="28">
        <v>7696</v>
      </c>
      <c r="U283" s="28">
        <v>120400</v>
      </c>
    </row>
    <row r="284" spans="1:21" ht="15" customHeight="1">
      <c r="A284" s="26"/>
      <c r="B284" s="7"/>
      <c r="C284" s="26" t="s">
        <v>994</v>
      </c>
      <c r="D284" s="28">
        <v>114310</v>
      </c>
      <c r="E284" s="28">
        <v>43687</v>
      </c>
      <c r="F284" s="28">
        <v>31688</v>
      </c>
      <c r="G284" s="28">
        <v>51756</v>
      </c>
      <c r="H284" s="28">
        <v>20453</v>
      </c>
      <c r="I284" s="28">
        <v>21027</v>
      </c>
      <c r="J284" s="28">
        <v>15043</v>
      </c>
      <c r="K284" s="28">
        <v>4439</v>
      </c>
      <c r="L284" s="28">
        <v>210195</v>
      </c>
      <c r="M284" s="28">
        <v>29269</v>
      </c>
      <c r="N284" s="28">
        <v>30343</v>
      </c>
      <c r="O284" s="28">
        <v>42498</v>
      </c>
      <c r="P284" s="28">
        <v>33218</v>
      </c>
      <c r="Q284" s="28">
        <v>39950</v>
      </c>
      <c r="R284" s="28">
        <v>49038</v>
      </c>
      <c r="S284" s="28">
        <v>55134</v>
      </c>
      <c r="T284" s="28">
        <v>19751</v>
      </c>
      <c r="U284" s="28">
        <v>783842</v>
      </c>
    </row>
    <row r="285" spans="1:21" ht="15" customHeight="1">
      <c r="A285" s="26" t="s">
        <v>1012</v>
      </c>
      <c r="B285" s="7" t="s">
        <v>77</v>
      </c>
      <c r="C285" s="26" t="s">
        <v>1016</v>
      </c>
      <c r="D285" s="28">
        <v>273120</v>
      </c>
      <c r="E285" s="28">
        <v>154644</v>
      </c>
      <c r="F285" s="28">
        <v>141366</v>
      </c>
      <c r="G285" s="28">
        <v>162199</v>
      </c>
      <c r="H285" s="28">
        <v>79544</v>
      </c>
      <c r="I285" s="28">
        <v>75330</v>
      </c>
      <c r="J285" s="28">
        <v>62133</v>
      </c>
      <c r="K285" s="28">
        <v>14669</v>
      </c>
      <c r="L285" s="28">
        <v>686618</v>
      </c>
      <c r="M285" s="28">
        <v>147424</v>
      </c>
      <c r="N285" s="28">
        <v>143732</v>
      </c>
      <c r="O285" s="28">
        <v>204881</v>
      </c>
      <c r="P285" s="28">
        <v>171055</v>
      </c>
      <c r="Q285" s="28">
        <v>222284</v>
      </c>
      <c r="R285" s="28">
        <v>293320</v>
      </c>
      <c r="S285" s="28">
        <v>267443</v>
      </c>
      <c r="T285" s="28">
        <v>76412</v>
      </c>
      <c r="U285" s="28">
        <v>3189993</v>
      </c>
    </row>
    <row r="286" spans="1:21" ht="15" customHeight="1">
      <c r="B286" s="7"/>
      <c r="C286" s="26" t="s">
        <v>1015</v>
      </c>
      <c r="D286" s="28">
        <v>57720</v>
      </c>
      <c r="E286" s="28">
        <v>33628</v>
      </c>
      <c r="F286" s="28">
        <v>19092</v>
      </c>
      <c r="G286" s="28">
        <v>30423</v>
      </c>
      <c r="H286" s="28">
        <v>12858</v>
      </c>
      <c r="I286" s="28">
        <v>11406</v>
      </c>
      <c r="J286" s="28">
        <v>9301</v>
      </c>
      <c r="K286" s="28">
        <v>1586</v>
      </c>
      <c r="L286" s="28">
        <v>113282</v>
      </c>
      <c r="M286" s="28">
        <v>8438</v>
      </c>
      <c r="N286" s="28">
        <v>14026</v>
      </c>
      <c r="O286" s="28">
        <v>17367</v>
      </c>
      <c r="P286" s="28">
        <v>15171</v>
      </c>
      <c r="Q286" s="28">
        <v>19997</v>
      </c>
      <c r="R286" s="28">
        <v>23737</v>
      </c>
      <c r="S286" s="28">
        <v>24740</v>
      </c>
      <c r="T286" s="28">
        <v>3640</v>
      </c>
      <c r="U286" s="28">
        <v>425252</v>
      </c>
    </row>
    <row r="287" spans="1:21" ht="15" customHeight="1">
      <c r="A287" s="26"/>
      <c r="B287" s="7"/>
      <c r="C287" s="26" t="s">
        <v>994</v>
      </c>
      <c r="D287" s="28">
        <v>330840</v>
      </c>
      <c r="E287" s="28">
        <v>188272</v>
      </c>
      <c r="F287" s="28">
        <v>160458</v>
      </c>
      <c r="G287" s="28">
        <v>192622</v>
      </c>
      <c r="H287" s="28">
        <v>92402</v>
      </c>
      <c r="I287" s="28">
        <v>86736</v>
      </c>
      <c r="J287" s="28">
        <v>71434</v>
      </c>
      <c r="K287" s="28">
        <v>16255</v>
      </c>
      <c r="L287" s="28">
        <v>799900</v>
      </c>
      <c r="M287" s="28">
        <v>155862</v>
      </c>
      <c r="N287" s="28">
        <v>157758</v>
      </c>
      <c r="O287" s="28">
        <v>222248</v>
      </c>
      <c r="P287" s="28">
        <v>186226</v>
      </c>
      <c r="Q287" s="28">
        <v>242281</v>
      </c>
      <c r="R287" s="28">
        <v>317057</v>
      </c>
      <c r="S287" s="28">
        <v>292183</v>
      </c>
      <c r="T287" s="28">
        <v>80052</v>
      </c>
      <c r="U287" s="28">
        <v>3615245</v>
      </c>
    </row>
    <row r="288" spans="1:21" ht="15" customHeight="1">
      <c r="A288" s="26" t="s">
        <v>1013</v>
      </c>
      <c r="B288" s="7" t="s">
        <v>78</v>
      </c>
      <c r="C288" s="26" t="s">
        <v>1016</v>
      </c>
      <c r="D288" s="28">
        <v>3244</v>
      </c>
      <c r="E288" s="28">
        <v>1726</v>
      </c>
      <c r="F288" s="28">
        <v>1071</v>
      </c>
      <c r="G288" s="28">
        <v>1922</v>
      </c>
      <c r="H288" s="28">
        <v>913</v>
      </c>
      <c r="I288" s="28">
        <v>877</v>
      </c>
      <c r="J288" s="28">
        <v>631</v>
      </c>
      <c r="K288" s="28">
        <v>217</v>
      </c>
      <c r="L288" s="28">
        <v>7123</v>
      </c>
      <c r="M288" s="28">
        <v>1551</v>
      </c>
      <c r="N288" s="28">
        <v>1396</v>
      </c>
      <c r="O288" s="28">
        <v>1958</v>
      </c>
      <c r="P288" s="28">
        <v>1697</v>
      </c>
      <c r="Q288" s="28">
        <v>2310</v>
      </c>
      <c r="R288" s="28">
        <v>3030</v>
      </c>
      <c r="S288" s="28">
        <v>2531</v>
      </c>
      <c r="T288" s="28">
        <v>713</v>
      </c>
      <c r="U288" s="28">
        <v>42019</v>
      </c>
    </row>
    <row r="289" spans="1:21" ht="15" customHeight="1">
      <c r="B289" s="7"/>
      <c r="C289" s="26" t="s">
        <v>1015</v>
      </c>
      <c r="D289" s="28">
        <v>4960</v>
      </c>
      <c r="E289" s="28">
        <v>8786</v>
      </c>
      <c r="F289" s="28">
        <v>1934</v>
      </c>
      <c r="G289" s="28">
        <v>5174</v>
      </c>
      <c r="H289" s="28">
        <v>1788</v>
      </c>
      <c r="I289" s="28">
        <v>1613</v>
      </c>
      <c r="J289" s="28">
        <v>2122</v>
      </c>
      <c r="K289" s="28">
        <v>163</v>
      </c>
      <c r="L289" s="28">
        <v>11007</v>
      </c>
      <c r="M289" s="28">
        <v>1641</v>
      </c>
      <c r="N289" s="28">
        <v>2685</v>
      </c>
      <c r="O289" s="28">
        <v>2898</v>
      </c>
      <c r="P289" s="28">
        <v>2135</v>
      </c>
      <c r="Q289" s="28">
        <v>4698</v>
      </c>
      <c r="R289" s="28">
        <v>4934</v>
      </c>
      <c r="S289" s="28">
        <v>5371</v>
      </c>
      <c r="T289" s="28">
        <v>645</v>
      </c>
      <c r="U289" s="28">
        <v>63918</v>
      </c>
    </row>
    <row r="290" spans="1:21" ht="15" customHeight="1">
      <c r="A290" s="26"/>
      <c r="B290" s="7"/>
      <c r="C290" s="26" t="s">
        <v>994</v>
      </c>
      <c r="D290" s="28">
        <v>8204</v>
      </c>
      <c r="E290" s="28">
        <v>10512</v>
      </c>
      <c r="F290" s="28">
        <v>3005</v>
      </c>
      <c r="G290" s="28">
        <v>7096</v>
      </c>
      <c r="H290" s="28">
        <v>2701</v>
      </c>
      <c r="I290" s="28">
        <v>2490</v>
      </c>
      <c r="J290" s="28">
        <v>2753</v>
      </c>
      <c r="K290" s="28">
        <v>380</v>
      </c>
      <c r="L290" s="28">
        <v>18130</v>
      </c>
      <c r="M290" s="28">
        <v>3192</v>
      </c>
      <c r="N290" s="28">
        <v>4081</v>
      </c>
      <c r="O290" s="28">
        <v>4856</v>
      </c>
      <c r="P290" s="28">
        <v>3832</v>
      </c>
      <c r="Q290" s="28">
        <v>7008</v>
      </c>
      <c r="R290" s="28">
        <v>7964</v>
      </c>
      <c r="S290" s="28">
        <v>7902</v>
      </c>
      <c r="T290" s="28">
        <v>1358</v>
      </c>
      <c r="U290" s="28">
        <v>105937</v>
      </c>
    </row>
    <row r="291" spans="1:21" ht="15" customHeight="1">
      <c r="A291" s="26" t="s">
        <v>1014</v>
      </c>
      <c r="B291" s="7" t="s">
        <v>79</v>
      </c>
      <c r="C291" s="26" t="s">
        <v>1016</v>
      </c>
      <c r="D291" s="28">
        <v>2916539</v>
      </c>
      <c r="E291" s="28">
        <v>1273439</v>
      </c>
      <c r="F291" s="28">
        <v>1138123</v>
      </c>
      <c r="G291" s="28">
        <v>1289481</v>
      </c>
      <c r="H291" s="28">
        <v>643644</v>
      </c>
      <c r="I291" s="28">
        <v>644243</v>
      </c>
      <c r="J291" s="28">
        <v>544144</v>
      </c>
      <c r="K291" s="28">
        <v>160564</v>
      </c>
      <c r="L291" s="28">
        <v>5536740</v>
      </c>
      <c r="M291" s="28">
        <v>757363</v>
      </c>
      <c r="N291" s="28">
        <v>802069</v>
      </c>
      <c r="O291" s="28">
        <v>1078953</v>
      </c>
      <c r="P291" s="28">
        <v>888198</v>
      </c>
      <c r="Q291" s="28">
        <v>923432</v>
      </c>
      <c r="R291" s="28">
        <v>1397777</v>
      </c>
      <c r="S291" s="28">
        <v>1635870</v>
      </c>
      <c r="T291" s="28">
        <v>370080</v>
      </c>
      <c r="U291" s="28">
        <v>22615643</v>
      </c>
    </row>
    <row r="292" spans="1:21" ht="15" customHeight="1">
      <c r="A292" s="7"/>
      <c r="B292" s="7"/>
      <c r="C292" s="26" t="s">
        <v>1015</v>
      </c>
      <c r="D292" s="28">
        <v>207618</v>
      </c>
      <c r="E292" s="28">
        <v>121744</v>
      </c>
      <c r="F292" s="28">
        <v>52031</v>
      </c>
      <c r="G292" s="28">
        <v>345842</v>
      </c>
      <c r="H292" s="28">
        <v>32637</v>
      </c>
      <c r="I292" s="28">
        <v>29656</v>
      </c>
      <c r="J292" s="28">
        <v>21495</v>
      </c>
      <c r="K292" s="28">
        <v>2775</v>
      </c>
      <c r="L292" s="28">
        <v>228952</v>
      </c>
      <c r="M292" s="28">
        <v>25337</v>
      </c>
      <c r="N292" s="28">
        <v>35533</v>
      </c>
      <c r="O292" s="28">
        <v>39164</v>
      </c>
      <c r="P292" s="28">
        <v>40863</v>
      </c>
      <c r="Q292" s="28">
        <v>132807</v>
      </c>
      <c r="R292" s="28">
        <v>48485</v>
      </c>
      <c r="S292" s="28">
        <v>85633</v>
      </c>
      <c r="T292" s="28">
        <v>226135</v>
      </c>
      <c r="U292" s="28">
        <v>1750336</v>
      </c>
    </row>
    <row r="293" spans="1:21" ht="15" customHeight="1">
      <c r="A293" s="7"/>
      <c r="B293" s="7"/>
      <c r="C293" s="26" t="s">
        <v>994</v>
      </c>
      <c r="D293" s="28">
        <v>3124157</v>
      </c>
      <c r="E293" s="28">
        <v>1395183</v>
      </c>
      <c r="F293" s="28">
        <v>1190154</v>
      </c>
      <c r="G293" s="28">
        <v>1635323</v>
      </c>
      <c r="H293" s="28">
        <v>676281</v>
      </c>
      <c r="I293" s="28">
        <v>673899</v>
      </c>
      <c r="J293" s="28">
        <v>565639</v>
      </c>
      <c r="K293" s="28">
        <v>163339</v>
      </c>
      <c r="L293" s="28">
        <v>5765692</v>
      </c>
      <c r="M293" s="28">
        <v>782700</v>
      </c>
      <c r="N293" s="28">
        <v>837602</v>
      </c>
      <c r="O293" s="28">
        <v>1118117</v>
      </c>
      <c r="P293" s="28">
        <v>929061</v>
      </c>
      <c r="Q293" s="28">
        <v>1056239</v>
      </c>
      <c r="R293" s="28">
        <v>1446262</v>
      </c>
      <c r="S293" s="28">
        <v>1721503</v>
      </c>
      <c r="T293" s="28">
        <v>596215</v>
      </c>
      <c r="U293" s="28">
        <v>24365979</v>
      </c>
    </row>
    <row r="294" spans="1:21" ht="15" customHeight="1"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</row>
  </sheetData>
  <phoneticPr fontId="3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2C554-A471-40C1-86F1-1A9C0780967F}">
  <dimension ref="A2:T656"/>
  <sheetViews>
    <sheetView workbookViewId="0"/>
  </sheetViews>
  <sheetFormatPr defaultColWidth="9.140625" defaultRowHeight="15"/>
  <cols>
    <col min="1" max="1" width="8.28515625" style="6" customWidth="1"/>
    <col min="2" max="2" width="29.28515625" style="6" customWidth="1"/>
    <col min="3" max="3" width="24.28515625" style="6" customWidth="1"/>
    <col min="4" max="4" width="9.140625" style="6"/>
    <col min="5" max="6" width="19.85546875" style="6" customWidth="1"/>
    <col min="7" max="18" width="9.140625" style="6"/>
    <col min="19" max="19" width="21.28515625" style="6" customWidth="1"/>
    <col min="20" max="16384" width="9.140625" style="6"/>
  </cols>
  <sheetData>
    <row r="2" spans="1:20">
      <c r="A2" s="168" t="s">
        <v>1035</v>
      </c>
      <c r="B2" s="168" t="s">
        <v>1036</v>
      </c>
      <c r="C2" s="168" t="s">
        <v>1037</v>
      </c>
      <c r="E2" s="173"/>
      <c r="F2" s="170"/>
      <c r="G2" s="214" t="s">
        <v>1110</v>
      </c>
      <c r="H2" s="215"/>
      <c r="I2" s="215"/>
      <c r="J2" s="215"/>
      <c r="K2" s="215"/>
      <c r="L2" s="215"/>
      <c r="M2" s="215"/>
      <c r="N2" s="215"/>
      <c r="O2" s="215"/>
      <c r="P2" s="216"/>
      <c r="S2" s="6" t="s">
        <v>1119</v>
      </c>
      <c r="T2" s="179">
        <f>M6+M11</f>
        <v>170503</v>
      </c>
    </row>
    <row r="3" spans="1:20">
      <c r="A3" s="169" t="s">
        <v>1038</v>
      </c>
      <c r="B3" s="169" t="s">
        <v>1039</v>
      </c>
      <c r="C3" s="169" t="s">
        <v>1040</v>
      </c>
      <c r="E3" s="174" t="s">
        <v>1111</v>
      </c>
      <c r="F3" s="170" t="s">
        <v>1112</v>
      </c>
      <c r="G3" s="170">
        <v>2015</v>
      </c>
      <c r="H3" s="170">
        <v>2016</v>
      </c>
      <c r="I3" s="170">
        <v>2017</v>
      </c>
      <c r="J3" s="170">
        <v>2018</v>
      </c>
      <c r="K3" s="170">
        <v>2019</v>
      </c>
      <c r="L3" s="170">
        <v>2020</v>
      </c>
      <c r="M3" s="170">
        <v>2021</v>
      </c>
      <c r="N3" s="170">
        <v>2022</v>
      </c>
      <c r="O3" s="170">
        <v>2023</v>
      </c>
      <c r="P3" s="170">
        <v>2024</v>
      </c>
    </row>
    <row r="4" spans="1:20">
      <c r="A4" s="169" t="s">
        <v>1038</v>
      </c>
      <c r="B4" s="169" t="s">
        <v>1039</v>
      </c>
      <c r="C4" s="169" t="s">
        <v>1040</v>
      </c>
      <c r="E4" s="175" t="s">
        <v>1046</v>
      </c>
      <c r="F4" s="171" t="s">
        <v>1038</v>
      </c>
      <c r="G4" s="172">
        <v>3025</v>
      </c>
      <c r="H4" s="172">
        <v>5753</v>
      </c>
      <c r="I4" s="172">
        <v>13541</v>
      </c>
      <c r="J4" s="172">
        <v>29632</v>
      </c>
      <c r="K4" s="172">
        <v>29251</v>
      </c>
      <c r="L4" s="172">
        <v>33132</v>
      </c>
      <c r="M4" s="172">
        <v>79177</v>
      </c>
      <c r="N4" s="172">
        <v>144152</v>
      </c>
      <c r="O4" s="172">
        <v>139437</v>
      </c>
      <c r="P4" s="172">
        <v>143436</v>
      </c>
    </row>
    <row r="5" spans="1:20">
      <c r="A5" s="169" t="s">
        <v>1038</v>
      </c>
      <c r="B5" s="169" t="s">
        <v>1039</v>
      </c>
      <c r="C5" s="169" t="s">
        <v>1040</v>
      </c>
      <c r="E5" s="175" t="s">
        <v>1055</v>
      </c>
      <c r="F5" s="171" t="s">
        <v>1038</v>
      </c>
      <c r="G5" s="172"/>
      <c r="H5" s="172">
        <v>80</v>
      </c>
      <c r="I5" s="172">
        <v>61</v>
      </c>
      <c r="J5" s="172">
        <v>744</v>
      </c>
      <c r="K5" s="172">
        <v>4194</v>
      </c>
      <c r="L5" s="172">
        <v>5865</v>
      </c>
      <c r="M5" s="172">
        <v>8555</v>
      </c>
      <c r="N5" s="172">
        <v>10336</v>
      </c>
      <c r="O5" s="172">
        <v>4631</v>
      </c>
      <c r="P5" s="172">
        <v>3688</v>
      </c>
      <c r="S5" s="6" t="s">
        <v>1117</v>
      </c>
      <c r="T5" s="178">
        <f>M6/T2</f>
        <v>0.89791968469762995</v>
      </c>
    </row>
    <row r="6" spans="1:20">
      <c r="A6" s="169" t="s">
        <v>1038</v>
      </c>
      <c r="B6" s="169" t="s">
        <v>1039</v>
      </c>
      <c r="C6" s="169" t="s">
        <v>1040</v>
      </c>
      <c r="E6" s="175" t="s">
        <v>1041</v>
      </c>
      <c r="F6" s="171" t="s">
        <v>1038</v>
      </c>
      <c r="G6" s="172">
        <v>38473</v>
      </c>
      <c r="H6" s="172">
        <v>62420</v>
      </c>
      <c r="I6" s="172">
        <v>83548</v>
      </c>
      <c r="J6" s="172">
        <v>88865</v>
      </c>
      <c r="K6" s="172">
        <v>97004</v>
      </c>
      <c r="L6" s="172">
        <v>137027</v>
      </c>
      <c r="M6" s="172">
        <v>153098</v>
      </c>
      <c r="N6" s="172">
        <v>197803</v>
      </c>
      <c r="O6" s="172">
        <v>304931</v>
      </c>
      <c r="P6" s="172">
        <v>385073</v>
      </c>
      <c r="S6" s="6" t="s">
        <v>1118</v>
      </c>
      <c r="T6" s="178">
        <f>M11/T2</f>
        <v>0.10208031530237005</v>
      </c>
    </row>
    <row r="7" spans="1:20">
      <c r="A7" s="169" t="s">
        <v>1038</v>
      </c>
      <c r="B7" s="169" t="s">
        <v>1039</v>
      </c>
      <c r="C7" s="169" t="s">
        <v>1040</v>
      </c>
      <c r="E7" s="175" t="s">
        <v>1042</v>
      </c>
      <c r="F7" s="171" t="s">
        <v>1038</v>
      </c>
      <c r="G7" s="172"/>
      <c r="H7" s="172"/>
      <c r="I7" s="172"/>
      <c r="J7" s="172"/>
      <c r="K7" s="172"/>
      <c r="L7" s="172"/>
      <c r="M7" s="172">
        <v>1267271</v>
      </c>
      <c r="N7" s="172">
        <v>1139702</v>
      </c>
      <c r="O7" s="172">
        <v>1098054</v>
      </c>
      <c r="P7" s="172">
        <v>935640</v>
      </c>
    </row>
    <row r="8" spans="1:20">
      <c r="A8" s="169" t="s">
        <v>1038</v>
      </c>
      <c r="B8" s="169" t="s">
        <v>1039</v>
      </c>
      <c r="C8" s="169" t="s">
        <v>1040</v>
      </c>
      <c r="E8" s="175" t="s">
        <v>1061</v>
      </c>
      <c r="F8" s="171" t="s">
        <v>1038</v>
      </c>
      <c r="G8" s="172"/>
      <c r="H8" s="172"/>
      <c r="I8" s="172"/>
      <c r="J8" s="172"/>
      <c r="K8" s="172"/>
      <c r="L8" s="172"/>
      <c r="M8" s="172">
        <v>2755</v>
      </c>
      <c r="N8" s="172">
        <v>2018</v>
      </c>
      <c r="O8" s="172">
        <v>5160</v>
      </c>
      <c r="P8" s="172">
        <v>16289</v>
      </c>
    </row>
    <row r="9" spans="1:20">
      <c r="A9" s="169" t="s">
        <v>1038</v>
      </c>
      <c r="B9" s="169" t="s">
        <v>1039</v>
      </c>
      <c r="C9" s="169" t="s">
        <v>1040</v>
      </c>
      <c r="E9" s="175" t="s">
        <v>1080</v>
      </c>
      <c r="F9" s="171" t="s">
        <v>1038</v>
      </c>
      <c r="G9" s="172"/>
      <c r="H9" s="172"/>
      <c r="I9" s="172"/>
      <c r="J9" s="172"/>
      <c r="K9" s="172"/>
      <c r="L9" s="172"/>
      <c r="M9" s="172">
        <v>4908</v>
      </c>
      <c r="N9" s="172">
        <v>4774</v>
      </c>
      <c r="O9" s="172">
        <v>8299</v>
      </c>
      <c r="P9" s="172">
        <v>7604</v>
      </c>
    </row>
    <row r="10" spans="1:20">
      <c r="A10" s="169" t="s">
        <v>1038</v>
      </c>
      <c r="B10" s="169" t="s">
        <v>1039</v>
      </c>
      <c r="C10" s="169" t="s">
        <v>1040</v>
      </c>
      <c r="E10" s="175" t="s">
        <v>1043</v>
      </c>
      <c r="F10" s="171" t="s">
        <v>1038</v>
      </c>
      <c r="G10" s="172">
        <v>1752721</v>
      </c>
      <c r="H10" s="172">
        <v>1714242</v>
      </c>
      <c r="I10" s="172">
        <v>1653482</v>
      </c>
      <c r="J10" s="172">
        <v>1671543</v>
      </c>
      <c r="K10" s="172">
        <v>1631269</v>
      </c>
      <c r="L10" s="172">
        <v>1672773</v>
      </c>
      <c r="M10" s="172">
        <v>158777</v>
      </c>
      <c r="N10" s="172">
        <v>141194</v>
      </c>
      <c r="O10" s="172">
        <v>131958</v>
      </c>
      <c r="P10" s="172">
        <v>110809</v>
      </c>
    </row>
    <row r="11" spans="1:20">
      <c r="A11" s="169" t="s">
        <v>1038</v>
      </c>
      <c r="B11" s="169" t="s">
        <v>1039</v>
      </c>
      <c r="C11" s="169" t="s">
        <v>1040</v>
      </c>
      <c r="E11" s="175" t="s">
        <v>1044</v>
      </c>
      <c r="F11" s="171" t="s">
        <v>1038</v>
      </c>
      <c r="G11" s="172">
        <v>273</v>
      </c>
      <c r="H11" s="172">
        <v>281</v>
      </c>
      <c r="I11" s="172">
        <v>466</v>
      </c>
      <c r="J11" s="172">
        <v>4048</v>
      </c>
      <c r="K11" s="172">
        <v>2730</v>
      </c>
      <c r="L11" s="172">
        <v>8743</v>
      </c>
      <c r="M11" s="172">
        <v>17405</v>
      </c>
      <c r="N11" s="172">
        <v>11249</v>
      </c>
      <c r="O11" s="172">
        <v>9388</v>
      </c>
      <c r="P11" s="172">
        <v>7836</v>
      </c>
    </row>
    <row r="12" spans="1:20">
      <c r="A12" s="169" t="s">
        <v>1038</v>
      </c>
      <c r="B12" s="169" t="s">
        <v>1039</v>
      </c>
      <c r="C12" s="169" t="s">
        <v>1040</v>
      </c>
    </row>
    <row r="13" spans="1:20">
      <c r="A13" s="169" t="s">
        <v>1038</v>
      </c>
      <c r="B13" s="169" t="s">
        <v>1039</v>
      </c>
      <c r="C13" s="169" t="s">
        <v>1040</v>
      </c>
      <c r="E13" s="14" t="s">
        <v>1116</v>
      </c>
    </row>
    <row r="14" spans="1:20">
      <c r="A14" s="169" t="s">
        <v>1038</v>
      </c>
      <c r="B14" s="169" t="s">
        <v>1039</v>
      </c>
      <c r="C14" s="169" t="s">
        <v>1040</v>
      </c>
      <c r="E14" s="174" t="s">
        <v>1111</v>
      </c>
      <c r="F14" s="177" t="s">
        <v>1112</v>
      </c>
      <c r="G14" s="174">
        <v>2015</v>
      </c>
      <c r="H14" s="174">
        <v>2016</v>
      </c>
      <c r="I14" s="174">
        <v>2017</v>
      </c>
      <c r="J14" s="174">
        <v>2018</v>
      </c>
      <c r="K14" s="174">
        <v>2019</v>
      </c>
      <c r="L14" s="174">
        <v>2020</v>
      </c>
      <c r="M14" s="174">
        <v>2021</v>
      </c>
      <c r="N14" s="174">
        <v>2022</v>
      </c>
      <c r="O14" s="174">
        <v>2023</v>
      </c>
      <c r="P14" s="174">
        <v>2024</v>
      </c>
    </row>
    <row r="15" spans="1:20">
      <c r="A15" s="169" t="s">
        <v>1038</v>
      </c>
      <c r="B15" s="169" t="s">
        <v>1039</v>
      </c>
      <c r="C15" s="169" t="s">
        <v>1040</v>
      </c>
      <c r="E15" s="175" t="s">
        <v>1046</v>
      </c>
      <c r="F15" s="171" t="s">
        <v>1038</v>
      </c>
      <c r="G15" s="176">
        <f>G4/SUM(G$4:G$11)</f>
        <v>1.6857138399056669E-3</v>
      </c>
      <c r="H15" s="176">
        <f t="shared" ref="H15:P15" si="0">H4/SUM(H$4:H$11)</f>
        <v>3.2269898181263379E-3</v>
      </c>
      <c r="I15" s="176">
        <f t="shared" si="0"/>
        <v>7.7328624668636476E-3</v>
      </c>
      <c r="J15" s="176">
        <f t="shared" si="0"/>
        <v>1.6509623184788325E-2</v>
      </c>
      <c r="K15" s="176">
        <f t="shared" si="0"/>
        <v>1.6577989263497704E-2</v>
      </c>
      <c r="L15" s="176">
        <f t="shared" si="0"/>
        <v>1.7836493426790272E-2</v>
      </c>
      <c r="M15" s="176">
        <f t="shared" si="0"/>
        <v>4.6796410760154283E-2</v>
      </c>
      <c r="N15" s="176">
        <f t="shared" si="0"/>
        <v>8.72998762133394E-2</v>
      </c>
      <c r="O15" s="176">
        <f t="shared" si="0"/>
        <v>8.1932217611575112E-2</v>
      </c>
      <c r="P15" s="176">
        <f t="shared" si="0"/>
        <v>8.9069937126445703E-2</v>
      </c>
    </row>
    <row r="16" spans="1:20">
      <c r="A16" s="169" t="s">
        <v>1038</v>
      </c>
      <c r="B16" s="169" t="s">
        <v>1039</v>
      </c>
      <c r="C16" s="169" t="s">
        <v>1040</v>
      </c>
      <c r="E16" s="175" t="s">
        <v>1055</v>
      </c>
      <c r="F16" s="171" t="s">
        <v>1038</v>
      </c>
      <c r="G16" s="176">
        <f t="shared" ref="G16:P22" si="1">G5/SUM(G$4:G$11)</f>
        <v>0</v>
      </c>
      <c r="H16" s="176">
        <f t="shared" si="1"/>
        <v>4.4873837206693385E-5</v>
      </c>
      <c r="I16" s="176">
        <f t="shared" si="1"/>
        <v>3.4835286203285024E-5</v>
      </c>
      <c r="J16" s="176">
        <f t="shared" si="1"/>
        <v>4.1452347629193149E-4</v>
      </c>
      <c r="K16" s="176">
        <f t="shared" si="1"/>
        <v>2.3769473512395946E-3</v>
      </c>
      <c r="L16" s="176">
        <f t="shared" si="1"/>
        <v>3.1574017248619142E-3</v>
      </c>
      <c r="M16" s="176">
        <f t="shared" si="1"/>
        <v>5.0563079436341347E-3</v>
      </c>
      <c r="N16" s="176">
        <f t="shared" si="1"/>
        <v>6.2595837764378992E-3</v>
      </c>
      <c r="O16" s="176">
        <f t="shared" si="1"/>
        <v>2.7211435971743825E-3</v>
      </c>
      <c r="P16" s="176">
        <f t="shared" si="1"/>
        <v>2.2901498098269035E-3</v>
      </c>
    </row>
    <row r="17" spans="1:16">
      <c r="A17" s="169" t="s">
        <v>1038</v>
      </c>
      <c r="B17" s="169" t="s">
        <v>1039</v>
      </c>
      <c r="C17" s="169" t="s">
        <v>1040</v>
      </c>
      <c r="E17" s="175" t="s">
        <v>1041</v>
      </c>
      <c r="F17" s="171" t="s">
        <v>1038</v>
      </c>
      <c r="G17" s="176">
        <f t="shared" si="1"/>
        <v>2.143949373973247E-2</v>
      </c>
      <c r="H17" s="176">
        <f t="shared" si="1"/>
        <v>3.5012811480522509E-2</v>
      </c>
      <c r="I17" s="176">
        <f t="shared" si="1"/>
        <v>4.7711778552656674E-2</v>
      </c>
      <c r="J17" s="176">
        <f t="shared" si="1"/>
        <v>4.9511597742852811E-2</v>
      </c>
      <c r="K17" s="176">
        <f t="shared" si="1"/>
        <v>5.4976967300821557E-2</v>
      </c>
      <c r="L17" s="176">
        <f t="shared" si="1"/>
        <v>7.3767994228926423E-2</v>
      </c>
      <c r="M17" s="176">
        <f t="shared" si="1"/>
        <v>9.0486339398538729E-2</v>
      </c>
      <c r="N17" s="176">
        <f t="shared" si="1"/>
        <v>0.11979145217983223</v>
      </c>
      <c r="O17" s="176">
        <f t="shared" si="1"/>
        <v>0.17917534835456309</v>
      </c>
      <c r="P17" s="176">
        <f t="shared" si="1"/>
        <v>0.23912008072653884</v>
      </c>
    </row>
    <row r="18" spans="1:16">
      <c r="A18" s="169" t="s">
        <v>1038</v>
      </c>
      <c r="B18" s="169" t="s">
        <v>1039</v>
      </c>
      <c r="C18" s="169" t="s">
        <v>1040</v>
      </c>
      <c r="E18" s="175" t="s">
        <v>1042</v>
      </c>
      <c r="F18" s="171" t="s">
        <v>1038</v>
      </c>
      <c r="G18" s="176">
        <f t="shared" si="1"/>
        <v>0</v>
      </c>
      <c r="H18" s="176">
        <f t="shared" si="1"/>
        <v>0</v>
      </c>
      <c r="I18" s="176">
        <f t="shared" si="1"/>
        <v>0</v>
      </c>
      <c r="J18" s="176">
        <f t="shared" si="1"/>
        <v>0</v>
      </c>
      <c r="K18" s="176">
        <f t="shared" si="1"/>
        <v>0</v>
      </c>
      <c r="L18" s="176">
        <f t="shared" si="1"/>
        <v>0</v>
      </c>
      <c r="M18" s="176">
        <f t="shared" si="1"/>
        <v>0.74900203670802734</v>
      </c>
      <c r="N18" s="176">
        <f t="shared" si="1"/>
        <v>0.69021479771418603</v>
      </c>
      <c r="O18" s="176">
        <f t="shared" si="1"/>
        <v>0.64520894222667224</v>
      </c>
      <c r="P18" s="176">
        <f t="shared" si="1"/>
        <v>0.58100752930218114</v>
      </c>
    </row>
    <row r="19" spans="1:16">
      <c r="A19" s="169" t="s">
        <v>1038</v>
      </c>
      <c r="B19" s="169" t="s">
        <v>1039</v>
      </c>
      <c r="C19" s="169" t="s">
        <v>1040</v>
      </c>
      <c r="E19" s="175" t="s">
        <v>1061</v>
      </c>
      <c r="F19" s="171" t="s">
        <v>1038</v>
      </c>
      <c r="G19" s="176">
        <f t="shared" si="1"/>
        <v>0</v>
      </c>
      <c r="H19" s="176">
        <f t="shared" si="1"/>
        <v>0</v>
      </c>
      <c r="I19" s="176">
        <f t="shared" si="1"/>
        <v>0</v>
      </c>
      <c r="J19" s="176">
        <f t="shared" si="1"/>
        <v>0</v>
      </c>
      <c r="K19" s="176">
        <f t="shared" si="1"/>
        <v>0</v>
      </c>
      <c r="L19" s="176">
        <f t="shared" si="1"/>
        <v>0</v>
      </c>
      <c r="M19" s="176">
        <f t="shared" si="1"/>
        <v>1.6283025581194672E-3</v>
      </c>
      <c r="N19" s="176">
        <f t="shared" si="1"/>
        <v>1.2221207489214088E-3</v>
      </c>
      <c r="O19" s="176">
        <f t="shared" si="1"/>
        <v>3.0319803414855999E-3</v>
      </c>
      <c r="P19" s="176">
        <f t="shared" si="1"/>
        <v>1.0115035317860746E-2</v>
      </c>
    </row>
    <row r="20" spans="1:16">
      <c r="A20" s="169" t="s">
        <v>1038</v>
      </c>
      <c r="B20" s="169" t="s">
        <v>1039</v>
      </c>
      <c r="C20" s="169" t="s">
        <v>1040</v>
      </c>
      <c r="E20" s="175" t="s">
        <v>1080</v>
      </c>
      <c r="F20" s="171" t="s">
        <v>1038</v>
      </c>
      <c r="G20" s="176">
        <f t="shared" si="1"/>
        <v>0</v>
      </c>
      <c r="H20" s="176">
        <f t="shared" si="1"/>
        <v>0</v>
      </c>
      <c r="I20" s="176">
        <f t="shared" si="1"/>
        <v>0</v>
      </c>
      <c r="J20" s="176">
        <f t="shared" si="1"/>
        <v>0</v>
      </c>
      <c r="K20" s="176">
        <f t="shared" si="1"/>
        <v>0</v>
      </c>
      <c r="L20" s="176">
        <f t="shared" si="1"/>
        <v>0</v>
      </c>
      <c r="M20" s="176">
        <f t="shared" si="1"/>
        <v>2.9008017986389637E-3</v>
      </c>
      <c r="N20" s="176">
        <f t="shared" si="1"/>
        <v>2.8911815933353843E-3</v>
      </c>
      <c r="O20" s="176">
        <f t="shared" si="1"/>
        <v>4.876435049222673E-3</v>
      </c>
      <c r="P20" s="176">
        <f t="shared" si="1"/>
        <v>4.7218815493285729E-3</v>
      </c>
    </row>
    <row r="21" spans="1:16">
      <c r="A21" s="169" t="s">
        <v>1038</v>
      </c>
      <c r="B21" s="169" t="s">
        <v>1039</v>
      </c>
      <c r="C21" s="169" t="s">
        <v>1040</v>
      </c>
      <c r="E21" s="175" t="s">
        <v>1043</v>
      </c>
      <c r="F21" s="171" t="s">
        <v>1038</v>
      </c>
      <c r="G21" s="176">
        <f>G10/SUM(G$4:G$11)</f>
        <v>0.97672266022919019</v>
      </c>
      <c r="H21" s="176">
        <f t="shared" ref="H21:P21" si="2">H10/SUM(H$4:H$11)</f>
        <v>0.96155770551095598</v>
      </c>
      <c r="I21" s="176">
        <f t="shared" si="2"/>
        <v>0.94425440495049395</v>
      </c>
      <c r="J21" s="176">
        <f t="shared" si="2"/>
        <v>0.93130889130570438</v>
      </c>
      <c r="K21" s="176">
        <f t="shared" si="2"/>
        <v>0.92452086998313354</v>
      </c>
      <c r="L21" s="176">
        <f t="shared" si="2"/>
        <v>0.90053134791175427</v>
      </c>
      <c r="M21" s="176">
        <f t="shared" si="2"/>
        <v>9.3842829499286615E-2</v>
      </c>
      <c r="N21" s="176">
        <f t="shared" si="2"/>
        <v>8.5508482172056186E-2</v>
      </c>
      <c r="O21" s="176">
        <f t="shared" si="2"/>
        <v>7.7537608895689294E-2</v>
      </c>
      <c r="P21" s="176">
        <f t="shared" si="2"/>
        <v>6.880943879531165E-2</v>
      </c>
    </row>
    <row r="22" spans="1:16">
      <c r="A22" s="169" t="s">
        <v>1038</v>
      </c>
      <c r="B22" s="169" t="s">
        <v>1039</v>
      </c>
      <c r="C22" s="169" t="s">
        <v>1040</v>
      </c>
      <c r="E22" s="175" t="s">
        <v>1044</v>
      </c>
      <c r="F22" s="171" t="s">
        <v>1038</v>
      </c>
      <c r="G22" s="176">
        <f t="shared" si="1"/>
        <v>1.5213219117165191E-4</v>
      </c>
      <c r="H22" s="176">
        <f t="shared" si="1"/>
        <v>1.5761935318851051E-4</v>
      </c>
      <c r="I22" s="176">
        <f t="shared" si="1"/>
        <v>2.6611874378247249E-4</v>
      </c>
      <c r="J22" s="176">
        <f t="shared" si="1"/>
        <v>2.2553642903625519E-3</v>
      </c>
      <c r="K22" s="176">
        <f t="shared" si="1"/>
        <v>1.5472261013076045E-3</v>
      </c>
      <c r="L22" s="176">
        <f t="shared" si="1"/>
        <v>4.7067627076671295E-3</v>
      </c>
      <c r="M22" s="176">
        <f t="shared" si="1"/>
        <v>1.0286971333600481E-2</v>
      </c>
      <c r="N22" s="176">
        <f t="shared" si="1"/>
        <v>6.8125056018914412E-3</v>
      </c>
      <c r="O22" s="176">
        <f t="shared" si="1"/>
        <v>5.5163239236175991E-3</v>
      </c>
      <c r="P22" s="176">
        <f t="shared" si="1"/>
        <v>4.865947372506404E-3</v>
      </c>
    </row>
    <row r="23" spans="1:16">
      <c r="A23" s="169" t="s">
        <v>1038</v>
      </c>
      <c r="B23" s="169" t="s">
        <v>1039</v>
      </c>
      <c r="C23" s="169" t="s">
        <v>1045</v>
      </c>
    </row>
    <row r="24" spans="1:16">
      <c r="A24" s="169" t="s">
        <v>1038</v>
      </c>
      <c r="B24" s="169" t="s">
        <v>1039</v>
      </c>
      <c r="C24" s="169" t="s">
        <v>1045</v>
      </c>
    </row>
    <row r="25" spans="1:16">
      <c r="A25" s="169" t="s">
        <v>1038</v>
      </c>
      <c r="B25" s="169" t="s">
        <v>1039</v>
      </c>
      <c r="C25" s="169" t="s">
        <v>1045</v>
      </c>
      <c r="E25" s="6" t="s">
        <v>1113</v>
      </c>
    </row>
    <row r="26" spans="1:16">
      <c r="A26" s="169" t="s">
        <v>1038</v>
      </c>
      <c r="B26" s="169" t="s">
        <v>1039</v>
      </c>
      <c r="C26" s="169" t="s">
        <v>1045</v>
      </c>
    </row>
    <row r="27" spans="1:16">
      <c r="A27" s="169" t="s">
        <v>1038</v>
      </c>
      <c r="B27" s="169" t="s">
        <v>1039</v>
      </c>
      <c r="C27" s="169" t="s">
        <v>1045</v>
      </c>
    </row>
    <row r="28" spans="1:16">
      <c r="A28" s="169" t="s">
        <v>1038</v>
      </c>
      <c r="B28" s="169" t="s">
        <v>1039</v>
      </c>
      <c r="C28" s="169" t="s">
        <v>1045</v>
      </c>
    </row>
    <row r="29" spans="1:16">
      <c r="A29" s="169" t="s">
        <v>1038</v>
      </c>
      <c r="B29" s="169" t="s">
        <v>1039</v>
      </c>
      <c r="C29" s="169" t="s">
        <v>1045</v>
      </c>
    </row>
    <row r="30" spans="1:16">
      <c r="A30" s="169" t="s">
        <v>1038</v>
      </c>
      <c r="B30" s="169" t="s">
        <v>1039</v>
      </c>
      <c r="C30" s="169" t="s">
        <v>1045</v>
      </c>
    </row>
    <row r="31" spans="1:16">
      <c r="A31" s="169" t="s">
        <v>1038</v>
      </c>
      <c r="B31" s="169" t="s">
        <v>1039</v>
      </c>
      <c r="C31" s="169" t="s">
        <v>1045</v>
      </c>
    </row>
    <row r="32" spans="1:16">
      <c r="A32" s="169" t="s">
        <v>1038</v>
      </c>
      <c r="B32" s="169" t="s">
        <v>1039</v>
      </c>
      <c r="C32" s="169" t="s">
        <v>1045</v>
      </c>
    </row>
    <row r="33" spans="1:3">
      <c r="A33" s="169" t="s">
        <v>1038</v>
      </c>
      <c r="B33" s="169" t="s">
        <v>1039</v>
      </c>
      <c r="C33" s="169" t="s">
        <v>1045</v>
      </c>
    </row>
    <row r="34" spans="1:3">
      <c r="A34" s="169" t="s">
        <v>1038</v>
      </c>
      <c r="B34" s="169" t="s">
        <v>1039</v>
      </c>
      <c r="C34" s="169" t="s">
        <v>1045</v>
      </c>
    </row>
    <row r="35" spans="1:3">
      <c r="A35" s="169" t="s">
        <v>1038</v>
      </c>
      <c r="B35" s="169" t="s">
        <v>1039</v>
      </c>
      <c r="C35" s="169" t="s">
        <v>1045</v>
      </c>
    </row>
    <row r="36" spans="1:3">
      <c r="A36" s="169" t="s">
        <v>1038</v>
      </c>
      <c r="B36" s="169" t="s">
        <v>1039</v>
      </c>
      <c r="C36" s="169" t="s">
        <v>1045</v>
      </c>
    </row>
    <row r="37" spans="1:3">
      <c r="A37" s="169" t="s">
        <v>1038</v>
      </c>
      <c r="B37" s="169" t="s">
        <v>1039</v>
      </c>
      <c r="C37" s="169" t="s">
        <v>1045</v>
      </c>
    </row>
    <row r="38" spans="1:3">
      <c r="A38" s="169" t="s">
        <v>1038</v>
      </c>
      <c r="B38" s="169" t="s">
        <v>1039</v>
      </c>
      <c r="C38" s="169" t="s">
        <v>1045</v>
      </c>
    </row>
    <row r="39" spans="1:3">
      <c r="A39" s="169" t="s">
        <v>1038</v>
      </c>
      <c r="B39" s="169" t="s">
        <v>1039</v>
      </c>
      <c r="C39" s="169" t="s">
        <v>1045</v>
      </c>
    </row>
    <row r="40" spans="1:3">
      <c r="A40" s="169" t="s">
        <v>1038</v>
      </c>
      <c r="B40" s="169" t="s">
        <v>1039</v>
      </c>
      <c r="C40" s="169" t="s">
        <v>1045</v>
      </c>
    </row>
    <row r="41" spans="1:3">
      <c r="A41" s="169" t="s">
        <v>1038</v>
      </c>
      <c r="B41" s="169" t="s">
        <v>1039</v>
      </c>
      <c r="C41" s="169" t="s">
        <v>1045</v>
      </c>
    </row>
    <row r="42" spans="1:3">
      <c r="A42" s="169" t="s">
        <v>1038</v>
      </c>
      <c r="B42" s="169" t="s">
        <v>1039</v>
      </c>
      <c r="C42" s="169" t="s">
        <v>1045</v>
      </c>
    </row>
    <row r="43" spans="1:3">
      <c r="A43" s="169" t="s">
        <v>1038</v>
      </c>
      <c r="B43" s="169" t="s">
        <v>1039</v>
      </c>
      <c r="C43" s="169" t="s">
        <v>1045</v>
      </c>
    </row>
    <row r="44" spans="1:3">
      <c r="A44" s="169" t="s">
        <v>1038</v>
      </c>
      <c r="B44" s="169" t="s">
        <v>1039</v>
      </c>
      <c r="C44" s="169" t="s">
        <v>1045</v>
      </c>
    </row>
    <row r="45" spans="1:3">
      <c r="A45" s="169" t="s">
        <v>1038</v>
      </c>
      <c r="B45" s="169" t="s">
        <v>1039</v>
      </c>
      <c r="C45" s="169" t="s">
        <v>1045</v>
      </c>
    </row>
    <row r="46" spans="1:3">
      <c r="A46" s="169" t="s">
        <v>1038</v>
      </c>
      <c r="B46" s="169" t="s">
        <v>1039</v>
      </c>
      <c r="C46" s="169" t="s">
        <v>1045</v>
      </c>
    </row>
    <row r="47" spans="1:3">
      <c r="A47" s="169" t="s">
        <v>1038</v>
      </c>
      <c r="B47" s="169" t="s">
        <v>1039</v>
      </c>
      <c r="C47" s="169" t="s">
        <v>1045</v>
      </c>
    </row>
    <row r="48" spans="1:3">
      <c r="A48" s="169" t="s">
        <v>1038</v>
      </c>
      <c r="B48" s="169" t="s">
        <v>1039</v>
      </c>
      <c r="C48" s="169" t="s">
        <v>1045</v>
      </c>
    </row>
    <row r="49" spans="1:3">
      <c r="A49" s="169" t="s">
        <v>1038</v>
      </c>
      <c r="B49" s="169" t="s">
        <v>1039</v>
      </c>
      <c r="C49" s="169" t="s">
        <v>1045</v>
      </c>
    </row>
    <row r="50" spans="1:3">
      <c r="A50" s="169" t="s">
        <v>1038</v>
      </c>
      <c r="B50" s="169" t="s">
        <v>1047</v>
      </c>
      <c r="C50" s="169" t="s">
        <v>1048</v>
      </c>
    </row>
    <row r="51" spans="1:3">
      <c r="A51" s="169" t="s">
        <v>1038</v>
      </c>
      <c r="B51" s="169" t="s">
        <v>1047</v>
      </c>
      <c r="C51" s="169" t="s">
        <v>1048</v>
      </c>
    </row>
    <row r="52" spans="1:3">
      <c r="A52" s="169" t="s">
        <v>1038</v>
      </c>
      <c r="B52" s="169" t="s">
        <v>1047</v>
      </c>
      <c r="C52" s="169" t="s">
        <v>1048</v>
      </c>
    </row>
    <row r="53" spans="1:3">
      <c r="A53" s="169" t="s">
        <v>1038</v>
      </c>
      <c r="B53" s="169" t="s">
        <v>1047</v>
      </c>
      <c r="C53" s="169" t="s">
        <v>1048</v>
      </c>
    </row>
    <row r="54" spans="1:3">
      <c r="A54" s="169" t="s">
        <v>1038</v>
      </c>
      <c r="B54" s="169" t="s">
        <v>1047</v>
      </c>
      <c r="C54" s="169" t="s">
        <v>1048</v>
      </c>
    </row>
    <row r="55" spans="1:3">
      <c r="A55" s="169" t="s">
        <v>1038</v>
      </c>
      <c r="B55" s="169" t="s">
        <v>1047</v>
      </c>
      <c r="C55" s="169" t="s">
        <v>1048</v>
      </c>
    </row>
    <row r="56" spans="1:3">
      <c r="A56" s="169" t="s">
        <v>1038</v>
      </c>
      <c r="B56" s="169" t="s">
        <v>1047</v>
      </c>
      <c r="C56" s="169" t="s">
        <v>1048</v>
      </c>
    </row>
    <row r="57" spans="1:3">
      <c r="A57" s="169" t="s">
        <v>1038</v>
      </c>
      <c r="B57" s="169" t="s">
        <v>1047</v>
      </c>
      <c r="C57" s="169" t="s">
        <v>1048</v>
      </c>
    </row>
    <row r="58" spans="1:3">
      <c r="A58" s="169" t="s">
        <v>1038</v>
      </c>
      <c r="B58" s="169" t="s">
        <v>1047</v>
      </c>
      <c r="C58" s="169" t="s">
        <v>1048</v>
      </c>
    </row>
    <row r="59" spans="1:3">
      <c r="A59" s="169" t="s">
        <v>1038</v>
      </c>
      <c r="B59" s="169" t="s">
        <v>1047</v>
      </c>
      <c r="C59" s="169" t="s">
        <v>1048</v>
      </c>
    </row>
    <row r="60" spans="1:3">
      <c r="A60" s="169" t="s">
        <v>1038</v>
      </c>
      <c r="B60" s="169" t="s">
        <v>1047</v>
      </c>
      <c r="C60" s="169" t="s">
        <v>1048</v>
      </c>
    </row>
    <row r="61" spans="1:3">
      <c r="A61" s="169" t="s">
        <v>1038</v>
      </c>
      <c r="B61" s="169" t="s">
        <v>1047</v>
      </c>
      <c r="C61" s="169" t="s">
        <v>1048</v>
      </c>
    </row>
    <row r="62" spans="1:3">
      <c r="A62" s="169" t="s">
        <v>1038</v>
      </c>
      <c r="B62" s="169" t="s">
        <v>1047</v>
      </c>
      <c r="C62" s="169" t="s">
        <v>1048</v>
      </c>
    </row>
    <row r="63" spans="1:3">
      <c r="A63" s="169" t="s">
        <v>1038</v>
      </c>
      <c r="B63" s="169" t="s">
        <v>1047</v>
      </c>
      <c r="C63" s="169" t="s">
        <v>1048</v>
      </c>
    </row>
    <row r="64" spans="1:3">
      <c r="A64" s="169" t="s">
        <v>1038</v>
      </c>
      <c r="B64" s="169" t="s">
        <v>1047</v>
      </c>
      <c r="C64" s="169" t="s">
        <v>1048</v>
      </c>
    </row>
    <row r="65" spans="1:3">
      <c r="A65" s="169" t="s">
        <v>1038</v>
      </c>
      <c r="B65" s="169" t="s">
        <v>1047</v>
      </c>
      <c r="C65" s="169" t="s">
        <v>1049</v>
      </c>
    </row>
    <row r="66" spans="1:3">
      <c r="A66" s="169" t="s">
        <v>1038</v>
      </c>
      <c r="B66" s="169" t="s">
        <v>1047</v>
      </c>
      <c r="C66" s="169" t="s">
        <v>1049</v>
      </c>
    </row>
    <row r="67" spans="1:3">
      <c r="A67" s="169" t="s">
        <v>1038</v>
      </c>
      <c r="B67" s="169" t="s">
        <v>1047</v>
      </c>
      <c r="C67" s="169" t="s">
        <v>1049</v>
      </c>
    </row>
    <row r="68" spans="1:3">
      <c r="A68" s="169" t="s">
        <v>1038</v>
      </c>
      <c r="B68" s="169" t="s">
        <v>1047</v>
      </c>
      <c r="C68" s="169" t="s">
        <v>1049</v>
      </c>
    </row>
    <row r="69" spans="1:3">
      <c r="A69" s="169" t="s">
        <v>1038</v>
      </c>
      <c r="B69" s="169" t="s">
        <v>1047</v>
      </c>
      <c r="C69" s="169" t="s">
        <v>1049</v>
      </c>
    </row>
    <row r="70" spans="1:3">
      <c r="A70" s="169" t="s">
        <v>1038</v>
      </c>
      <c r="B70" s="169" t="s">
        <v>1047</v>
      </c>
      <c r="C70" s="169" t="s">
        <v>1049</v>
      </c>
    </row>
    <row r="71" spans="1:3">
      <c r="A71" s="169" t="s">
        <v>1038</v>
      </c>
      <c r="B71" s="169" t="s">
        <v>1047</v>
      </c>
      <c r="C71" s="169" t="s">
        <v>1049</v>
      </c>
    </row>
    <row r="72" spans="1:3">
      <c r="A72" s="169" t="s">
        <v>1038</v>
      </c>
      <c r="B72" s="169" t="s">
        <v>1047</v>
      </c>
      <c r="C72" s="169" t="s">
        <v>1049</v>
      </c>
    </row>
    <row r="73" spans="1:3">
      <c r="A73" s="169" t="s">
        <v>1038</v>
      </c>
      <c r="B73" s="169" t="s">
        <v>1047</v>
      </c>
      <c r="C73" s="169" t="s">
        <v>1049</v>
      </c>
    </row>
    <row r="74" spans="1:3">
      <c r="A74" s="169" t="s">
        <v>1038</v>
      </c>
      <c r="B74" s="169" t="s">
        <v>1047</v>
      </c>
      <c r="C74" s="169" t="s">
        <v>1049</v>
      </c>
    </row>
    <row r="75" spans="1:3">
      <c r="A75" s="169" t="s">
        <v>1038</v>
      </c>
      <c r="B75" s="169" t="s">
        <v>1047</v>
      </c>
      <c r="C75" s="169" t="s">
        <v>1049</v>
      </c>
    </row>
    <row r="76" spans="1:3">
      <c r="A76" s="169" t="s">
        <v>1038</v>
      </c>
      <c r="B76" s="169" t="s">
        <v>1047</v>
      </c>
      <c r="C76" s="169" t="s">
        <v>1049</v>
      </c>
    </row>
    <row r="77" spans="1:3">
      <c r="A77" s="169" t="s">
        <v>1038</v>
      </c>
      <c r="B77" s="169" t="s">
        <v>1047</v>
      </c>
      <c r="C77" s="169" t="s">
        <v>1049</v>
      </c>
    </row>
    <row r="78" spans="1:3">
      <c r="A78" s="169" t="s">
        <v>1038</v>
      </c>
      <c r="B78" s="169" t="s">
        <v>1047</v>
      </c>
      <c r="C78" s="169" t="s">
        <v>1049</v>
      </c>
    </row>
    <row r="79" spans="1:3">
      <c r="A79" s="169" t="s">
        <v>1038</v>
      </c>
      <c r="B79" s="169" t="s">
        <v>1047</v>
      </c>
      <c r="C79" s="169" t="s">
        <v>1049</v>
      </c>
    </row>
    <row r="80" spans="1:3">
      <c r="A80" s="169" t="s">
        <v>1038</v>
      </c>
      <c r="B80" s="169" t="s">
        <v>1047</v>
      </c>
      <c r="C80" s="169" t="s">
        <v>1049</v>
      </c>
    </row>
    <row r="81" spans="1:3">
      <c r="A81" s="169" t="s">
        <v>1038</v>
      </c>
      <c r="B81" s="169" t="s">
        <v>1047</v>
      </c>
      <c r="C81" s="169" t="s">
        <v>1049</v>
      </c>
    </row>
    <row r="82" spans="1:3">
      <c r="A82" s="169" t="s">
        <v>1038</v>
      </c>
      <c r="B82" s="169" t="s">
        <v>1047</v>
      </c>
      <c r="C82" s="169" t="s">
        <v>1049</v>
      </c>
    </row>
    <row r="83" spans="1:3">
      <c r="A83" s="169" t="s">
        <v>1038</v>
      </c>
      <c r="B83" s="169" t="s">
        <v>1047</v>
      </c>
      <c r="C83" s="169" t="s">
        <v>1049</v>
      </c>
    </row>
    <row r="84" spans="1:3">
      <c r="A84" s="169" t="s">
        <v>1038</v>
      </c>
      <c r="B84" s="169" t="s">
        <v>1047</v>
      </c>
      <c r="C84" s="169" t="s">
        <v>1049</v>
      </c>
    </row>
    <row r="85" spans="1:3">
      <c r="A85" s="169" t="s">
        <v>1038</v>
      </c>
      <c r="B85" s="169" t="s">
        <v>1047</v>
      </c>
      <c r="C85" s="169" t="s">
        <v>1049</v>
      </c>
    </row>
    <row r="86" spans="1:3">
      <c r="A86" s="169" t="s">
        <v>1038</v>
      </c>
      <c r="B86" s="169" t="s">
        <v>1047</v>
      </c>
      <c r="C86" s="169" t="s">
        <v>1049</v>
      </c>
    </row>
    <row r="87" spans="1:3">
      <c r="A87" s="169" t="s">
        <v>1038</v>
      </c>
      <c r="B87" s="169" t="s">
        <v>1047</v>
      </c>
      <c r="C87" s="169" t="s">
        <v>1049</v>
      </c>
    </row>
    <row r="88" spans="1:3">
      <c r="A88" s="169" t="s">
        <v>1038</v>
      </c>
      <c r="B88" s="169" t="s">
        <v>1047</v>
      </c>
      <c r="C88" s="169" t="s">
        <v>1049</v>
      </c>
    </row>
    <row r="89" spans="1:3">
      <c r="A89" s="169" t="s">
        <v>1038</v>
      </c>
      <c r="B89" s="169" t="s">
        <v>1047</v>
      </c>
      <c r="C89" s="169" t="s">
        <v>1049</v>
      </c>
    </row>
    <row r="90" spans="1:3">
      <c r="A90" s="169" t="s">
        <v>1038</v>
      </c>
      <c r="B90" s="169" t="s">
        <v>1047</v>
      </c>
      <c r="C90" s="169" t="s">
        <v>1049</v>
      </c>
    </row>
    <row r="91" spans="1:3">
      <c r="A91" s="169" t="s">
        <v>1038</v>
      </c>
      <c r="B91" s="169" t="s">
        <v>1047</v>
      </c>
      <c r="C91" s="169" t="s">
        <v>1049</v>
      </c>
    </row>
    <row r="92" spans="1:3">
      <c r="A92" s="169" t="s">
        <v>1038</v>
      </c>
      <c r="B92" s="169" t="s">
        <v>1047</v>
      </c>
      <c r="C92" s="169" t="s">
        <v>1049</v>
      </c>
    </row>
    <row r="93" spans="1:3">
      <c r="A93" s="169" t="s">
        <v>1038</v>
      </c>
      <c r="B93" s="169" t="s">
        <v>1047</v>
      </c>
      <c r="C93" s="169" t="s">
        <v>1049</v>
      </c>
    </row>
    <row r="94" spans="1:3">
      <c r="A94" s="169" t="s">
        <v>1038</v>
      </c>
      <c r="B94" s="169" t="s">
        <v>1047</v>
      </c>
      <c r="C94" s="169" t="s">
        <v>1049</v>
      </c>
    </row>
    <row r="95" spans="1:3">
      <c r="A95" s="169" t="s">
        <v>1038</v>
      </c>
      <c r="B95" s="169" t="s">
        <v>1047</v>
      </c>
      <c r="C95" s="169" t="s">
        <v>1049</v>
      </c>
    </row>
    <row r="96" spans="1:3">
      <c r="A96" s="169" t="s">
        <v>1038</v>
      </c>
      <c r="B96" s="169" t="s">
        <v>1047</v>
      </c>
      <c r="C96" s="169" t="s">
        <v>1049</v>
      </c>
    </row>
    <row r="97" spans="1:3">
      <c r="A97" s="169" t="s">
        <v>1038</v>
      </c>
      <c r="B97" s="169" t="s">
        <v>1047</v>
      </c>
      <c r="C97" s="169" t="s">
        <v>1049</v>
      </c>
    </row>
    <row r="98" spans="1:3">
      <c r="A98" s="169" t="s">
        <v>1038</v>
      </c>
      <c r="B98" s="169" t="s">
        <v>1047</v>
      </c>
      <c r="C98" s="169" t="s">
        <v>1049</v>
      </c>
    </row>
    <row r="99" spans="1:3">
      <c r="A99" s="169" t="s">
        <v>1038</v>
      </c>
      <c r="B99" s="169" t="s">
        <v>1047</v>
      </c>
      <c r="C99" s="169" t="s">
        <v>1049</v>
      </c>
    </row>
    <row r="100" spans="1:3">
      <c r="A100" s="169" t="s">
        <v>1038</v>
      </c>
      <c r="B100" s="169" t="s">
        <v>1047</v>
      </c>
      <c r="C100" s="169" t="s">
        <v>1049</v>
      </c>
    </row>
    <row r="101" spans="1:3">
      <c r="A101" s="169" t="s">
        <v>1038</v>
      </c>
      <c r="B101" s="169" t="s">
        <v>1047</v>
      </c>
      <c r="C101" s="169" t="s">
        <v>1049</v>
      </c>
    </row>
    <row r="102" spans="1:3">
      <c r="A102" s="169" t="s">
        <v>1038</v>
      </c>
      <c r="B102" s="169" t="s">
        <v>1047</v>
      </c>
      <c r="C102" s="169" t="s">
        <v>1049</v>
      </c>
    </row>
    <row r="103" spans="1:3">
      <c r="A103" s="169" t="s">
        <v>1038</v>
      </c>
      <c r="B103" s="169" t="s">
        <v>1047</v>
      </c>
      <c r="C103" s="169" t="s">
        <v>1049</v>
      </c>
    </row>
    <row r="104" spans="1:3">
      <c r="A104" s="169" t="s">
        <v>1038</v>
      </c>
      <c r="B104" s="169" t="s">
        <v>1047</v>
      </c>
      <c r="C104" s="169" t="s">
        <v>1049</v>
      </c>
    </row>
    <row r="105" spans="1:3">
      <c r="A105" s="169" t="s">
        <v>1038</v>
      </c>
      <c r="B105" s="169" t="s">
        <v>1047</v>
      </c>
      <c r="C105" s="169" t="s">
        <v>1049</v>
      </c>
    </row>
    <row r="106" spans="1:3">
      <c r="A106" s="169" t="s">
        <v>1038</v>
      </c>
      <c r="B106" s="169" t="s">
        <v>1047</v>
      </c>
      <c r="C106" s="169" t="s">
        <v>1049</v>
      </c>
    </row>
    <row r="107" spans="1:3">
      <c r="A107" s="169" t="s">
        <v>1038</v>
      </c>
      <c r="B107" s="169" t="s">
        <v>1047</v>
      </c>
      <c r="C107" s="169" t="s">
        <v>1049</v>
      </c>
    </row>
    <row r="108" spans="1:3">
      <c r="A108" s="169" t="s">
        <v>1038</v>
      </c>
      <c r="B108" s="169" t="s">
        <v>1047</v>
      </c>
      <c r="C108" s="169" t="s">
        <v>1049</v>
      </c>
    </row>
    <row r="109" spans="1:3">
      <c r="A109" s="169" t="s">
        <v>1038</v>
      </c>
      <c r="B109" s="169" t="s">
        <v>1047</v>
      </c>
      <c r="C109" s="169" t="s">
        <v>1049</v>
      </c>
    </row>
    <row r="110" spans="1:3">
      <c r="A110" s="169" t="s">
        <v>1038</v>
      </c>
      <c r="B110" s="169" t="s">
        <v>1047</v>
      </c>
      <c r="C110" s="169" t="s">
        <v>1049</v>
      </c>
    </row>
    <row r="111" spans="1:3">
      <c r="A111" s="169" t="s">
        <v>1038</v>
      </c>
      <c r="B111" s="169" t="s">
        <v>1047</v>
      </c>
      <c r="C111" s="169" t="s">
        <v>1049</v>
      </c>
    </row>
    <row r="112" spans="1:3">
      <c r="A112" s="169" t="s">
        <v>1038</v>
      </c>
      <c r="B112" s="169" t="s">
        <v>1047</v>
      </c>
      <c r="C112" s="169" t="s">
        <v>1049</v>
      </c>
    </row>
    <row r="113" spans="1:3">
      <c r="A113" s="169" t="s">
        <v>1038</v>
      </c>
      <c r="B113" s="169" t="s">
        <v>1047</v>
      </c>
      <c r="C113" s="169" t="s">
        <v>1049</v>
      </c>
    </row>
    <row r="114" spans="1:3">
      <c r="A114" s="169" t="s">
        <v>1038</v>
      </c>
      <c r="B114" s="169" t="s">
        <v>1047</v>
      </c>
      <c r="C114" s="169" t="s">
        <v>1050</v>
      </c>
    </row>
    <row r="115" spans="1:3">
      <c r="A115" s="169" t="s">
        <v>1038</v>
      </c>
      <c r="B115" s="169" t="s">
        <v>1047</v>
      </c>
      <c r="C115" s="169" t="s">
        <v>1050</v>
      </c>
    </row>
    <row r="116" spans="1:3">
      <c r="A116" s="169" t="s">
        <v>1038</v>
      </c>
      <c r="B116" s="169" t="s">
        <v>1047</v>
      </c>
      <c r="C116" s="169" t="s">
        <v>1050</v>
      </c>
    </row>
    <row r="117" spans="1:3">
      <c r="A117" s="169" t="s">
        <v>1038</v>
      </c>
      <c r="B117" s="169" t="s">
        <v>1047</v>
      </c>
      <c r="C117" s="169" t="s">
        <v>1050</v>
      </c>
    </row>
    <row r="118" spans="1:3">
      <c r="A118" s="169" t="s">
        <v>1038</v>
      </c>
      <c r="B118" s="169" t="s">
        <v>1047</v>
      </c>
      <c r="C118" s="169" t="s">
        <v>1050</v>
      </c>
    </row>
    <row r="119" spans="1:3">
      <c r="A119" s="169" t="s">
        <v>1038</v>
      </c>
      <c r="B119" s="169" t="s">
        <v>1047</v>
      </c>
      <c r="C119" s="169" t="s">
        <v>1050</v>
      </c>
    </row>
    <row r="120" spans="1:3">
      <c r="A120" s="169" t="s">
        <v>1038</v>
      </c>
      <c r="B120" s="169" t="s">
        <v>1047</v>
      </c>
      <c r="C120" s="169" t="s">
        <v>1050</v>
      </c>
    </row>
    <row r="121" spans="1:3">
      <c r="A121" s="169" t="s">
        <v>1038</v>
      </c>
      <c r="B121" s="169" t="s">
        <v>1047</v>
      </c>
      <c r="C121" s="169" t="s">
        <v>1050</v>
      </c>
    </row>
    <row r="122" spans="1:3">
      <c r="A122" s="169" t="s">
        <v>1038</v>
      </c>
      <c r="B122" s="169" t="s">
        <v>1047</v>
      </c>
      <c r="C122" s="169" t="s">
        <v>1050</v>
      </c>
    </row>
    <row r="123" spans="1:3">
      <c r="A123" s="169" t="s">
        <v>1038</v>
      </c>
      <c r="B123" s="169" t="s">
        <v>1047</v>
      </c>
      <c r="C123" s="169" t="s">
        <v>1050</v>
      </c>
    </row>
    <row r="124" spans="1:3">
      <c r="A124" s="169" t="s">
        <v>1038</v>
      </c>
      <c r="B124" s="169" t="s">
        <v>1047</v>
      </c>
      <c r="C124" s="169" t="s">
        <v>1050</v>
      </c>
    </row>
    <row r="125" spans="1:3">
      <c r="A125" s="169" t="s">
        <v>1038</v>
      </c>
      <c r="B125" s="169" t="s">
        <v>1047</v>
      </c>
      <c r="C125" s="169" t="s">
        <v>1050</v>
      </c>
    </row>
    <row r="126" spans="1:3">
      <c r="A126" s="169" t="s">
        <v>1038</v>
      </c>
      <c r="B126" s="169" t="s">
        <v>1047</v>
      </c>
      <c r="C126" s="169" t="s">
        <v>1050</v>
      </c>
    </row>
    <row r="127" spans="1:3">
      <c r="A127" s="169" t="s">
        <v>1038</v>
      </c>
      <c r="B127" s="169" t="s">
        <v>1047</v>
      </c>
      <c r="C127" s="169" t="s">
        <v>1050</v>
      </c>
    </row>
    <row r="128" spans="1:3">
      <c r="A128" s="169" t="s">
        <v>1038</v>
      </c>
      <c r="B128" s="169" t="s">
        <v>1047</v>
      </c>
      <c r="C128" s="169" t="s">
        <v>1050</v>
      </c>
    </row>
    <row r="129" spans="1:3">
      <c r="A129" s="169" t="s">
        <v>1038</v>
      </c>
      <c r="B129" s="169" t="s">
        <v>1047</v>
      </c>
      <c r="C129" s="169" t="s">
        <v>1050</v>
      </c>
    </row>
    <row r="130" spans="1:3">
      <c r="A130" s="169" t="s">
        <v>1038</v>
      </c>
      <c r="B130" s="169" t="s">
        <v>1047</v>
      </c>
      <c r="C130" s="169" t="s">
        <v>1051</v>
      </c>
    </row>
    <row r="131" spans="1:3">
      <c r="A131" s="169" t="s">
        <v>1038</v>
      </c>
      <c r="B131" s="169" t="s">
        <v>1047</v>
      </c>
      <c r="C131" s="169" t="s">
        <v>1051</v>
      </c>
    </row>
    <row r="132" spans="1:3">
      <c r="A132" s="169" t="s">
        <v>1038</v>
      </c>
      <c r="B132" s="169" t="s">
        <v>1047</v>
      </c>
      <c r="C132" s="169" t="s">
        <v>1051</v>
      </c>
    </row>
    <row r="133" spans="1:3">
      <c r="A133" s="169" t="s">
        <v>1038</v>
      </c>
      <c r="B133" s="169" t="s">
        <v>1047</v>
      </c>
      <c r="C133" s="169" t="s">
        <v>1051</v>
      </c>
    </row>
    <row r="134" spans="1:3">
      <c r="A134" s="169" t="s">
        <v>1038</v>
      </c>
      <c r="B134" s="169" t="s">
        <v>1047</v>
      </c>
      <c r="C134" s="169" t="s">
        <v>1051</v>
      </c>
    </row>
    <row r="135" spans="1:3">
      <c r="A135" s="169" t="s">
        <v>1038</v>
      </c>
      <c r="B135" s="169" t="s">
        <v>1047</v>
      </c>
      <c r="C135" s="169" t="s">
        <v>1051</v>
      </c>
    </row>
    <row r="136" spans="1:3">
      <c r="A136" s="169" t="s">
        <v>1038</v>
      </c>
      <c r="B136" s="169" t="s">
        <v>1047</v>
      </c>
      <c r="C136" s="169" t="s">
        <v>1052</v>
      </c>
    </row>
    <row r="137" spans="1:3">
      <c r="A137" s="169" t="s">
        <v>1038</v>
      </c>
      <c r="B137" s="169" t="s">
        <v>1047</v>
      </c>
      <c r="C137" s="169" t="s">
        <v>1052</v>
      </c>
    </row>
    <row r="138" spans="1:3">
      <c r="A138" s="169" t="s">
        <v>1038</v>
      </c>
      <c r="B138" s="169" t="s">
        <v>1047</v>
      </c>
      <c r="C138" s="169" t="s">
        <v>1052</v>
      </c>
    </row>
    <row r="139" spans="1:3">
      <c r="A139" s="169" t="s">
        <v>1038</v>
      </c>
      <c r="B139" s="169" t="s">
        <v>1047</v>
      </c>
      <c r="C139" s="169" t="s">
        <v>1052</v>
      </c>
    </row>
    <row r="140" spans="1:3">
      <c r="A140" s="169" t="s">
        <v>1038</v>
      </c>
      <c r="B140" s="169" t="s">
        <v>1047</v>
      </c>
      <c r="C140" s="169" t="s">
        <v>1052</v>
      </c>
    </row>
    <row r="141" spans="1:3">
      <c r="A141" s="169" t="s">
        <v>1038</v>
      </c>
      <c r="B141" s="169" t="s">
        <v>1047</v>
      </c>
      <c r="C141" s="169" t="s">
        <v>1052</v>
      </c>
    </row>
    <row r="142" spans="1:3">
      <c r="A142" s="169" t="s">
        <v>1038</v>
      </c>
      <c r="B142" s="169" t="s">
        <v>1047</v>
      </c>
      <c r="C142" s="169" t="s">
        <v>1052</v>
      </c>
    </row>
    <row r="143" spans="1:3">
      <c r="A143" s="169" t="s">
        <v>1038</v>
      </c>
      <c r="B143" s="169" t="s">
        <v>1053</v>
      </c>
      <c r="C143" s="169" t="s">
        <v>1054</v>
      </c>
    </row>
    <row r="144" spans="1:3">
      <c r="A144" s="169" t="s">
        <v>1038</v>
      </c>
      <c r="B144" s="169" t="s">
        <v>1053</v>
      </c>
      <c r="C144" s="169" t="s">
        <v>1054</v>
      </c>
    </row>
    <row r="145" spans="1:3">
      <c r="A145" s="169" t="s">
        <v>1038</v>
      </c>
      <c r="B145" s="169" t="s">
        <v>1053</v>
      </c>
      <c r="C145" s="169" t="s">
        <v>1054</v>
      </c>
    </row>
    <row r="146" spans="1:3">
      <c r="A146" s="169" t="s">
        <v>1038</v>
      </c>
      <c r="B146" s="169" t="s">
        <v>1053</v>
      </c>
      <c r="C146" s="169" t="s">
        <v>1054</v>
      </c>
    </row>
    <row r="147" spans="1:3">
      <c r="A147" s="169" t="s">
        <v>1038</v>
      </c>
      <c r="B147" s="169" t="s">
        <v>1053</v>
      </c>
      <c r="C147" s="169" t="s">
        <v>1054</v>
      </c>
    </row>
    <row r="148" spans="1:3">
      <c r="A148" s="169" t="s">
        <v>1038</v>
      </c>
      <c r="B148" s="169" t="s">
        <v>1053</v>
      </c>
      <c r="C148" s="169" t="s">
        <v>1054</v>
      </c>
    </row>
    <row r="149" spans="1:3">
      <c r="A149" s="169" t="s">
        <v>1038</v>
      </c>
      <c r="B149" s="169" t="s">
        <v>1053</v>
      </c>
      <c r="C149" s="169" t="s">
        <v>1054</v>
      </c>
    </row>
    <row r="150" spans="1:3">
      <c r="A150" s="169" t="s">
        <v>1038</v>
      </c>
      <c r="B150" s="169" t="s">
        <v>1053</v>
      </c>
      <c r="C150" s="169" t="s">
        <v>1054</v>
      </c>
    </row>
    <row r="151" spans="1:3">
      <c r="A151" s="169" t="s">
        <v>1038</v>
      </c>
      <c r="B151" s="169" t="s">
        <v>1053</v>
      </c>
      <c r="C151" s="169" t="s">
        <v>1054</v>
      </c>
    </row>
    <row r="152" spans="1:3">
      <c r="A152" s="169" t="s">
        <v>1038</v>
      </c>
      <c r="B152" s="169" t="s">
        <v>1053</v>
      </c>
      <c r="C152" s="169" t="s">
        <v>1054</v>
      </c>
    </row>
    <row r="153" spans="1:3">
      <c r="A153" s="169" t="s">
        <v>1038</v>
      </c>
      <c r="B153" s="169" t="s">
        <v>1053</v>
      </c>
      <c r="C153" s="169" t="s">
        <v>1054</v>
      </c>
    </row>
    <row r="154" spans="1:3">
      <c r="A154" s="169" t="s">
        <v>1038</v>
      </c>
      <c r="B154" s="169" t="s">
        <v>1053</v>
      </c>
      <c r="C154" s="169" t="s">
        <v>1054</v>
      </c>
    </row>
    <row r="155" spans="1:3">
      <c r="A155" s="169" t="s">
        <v>1038</v>
      </c>
      <c r="B155" s="169" t="s">
        <v>1053</v>
      </c>
      <c r="C155" s="169" t="s">
        <v>1054</v>
      </c>
    </row>
    <row r="156" spans="1:3">
      <c r="A156" s="169" t="s">
        <v>1038</v>
      </c>
      <c r="B156" s="169" t="s">
        <v>1053</v>
      </c>
      <c r="C156" s="169" t="s">
        <v>1054</v>
      </c>
    </row>
    <row r="157" spans="1:3">
      <c r="A157" s="169" t="s">
        <v>1038</v>
      </c>
      <c r="B157" s="169" t="s">
        <v>1053</v>
      </c>
      <c r="C157" s="169" t="s">
        <v>1054</v>
      </c>
    </row>
    <row r="158" spans="1:3">
      <c r="A158" s="169" t="s">
        <v>1038</v>
      </c>
      <c r="B158" s="169" t="s">
        <v>1053</v>
      </c>
      <c r="C158" s="169" t="s">
        <v>1054</v>
      </c>
    </row>
    <row r="159" spans="1:3">
      <c r="A159" s="169" t="s">
        <v>1038</v>
      </c>
      <c r="B159" s="169" t="s">
        <v>1053</v>
      </c>
      <c r="C159" s="169" t="s">
        <v>1054</v>
      </c>
    </row>
    <row r="160" spans="1:3">
      <c r="A160" s="169" t="s">
        <v>1038</v>
      </c>
      <c r="B160" s="169" t="s">
        <v>1053</v>
      </c>
      <c r="C160" s="169" t="s">
        <v>1054</v>
      </c>
    </row>
    <row r="161" spans="1:3">
      <c r="A161" s="169" t="s">
        <v>1038</v>
      </c>
      <c r="B161" s="169" t="s">
        <v>1053</v>
      </c>
      <c r="C161" s="169" t="s">
        <v>1054</v>
      </c>
    </row>
    <row r="162" spans="1:3">
      <c r="A162" s="169" t="s">
        <v>1038</v>
      </c>
      <c r="B162" s="169" t="s">
        <v>1053</v>
      </c>
      <c r="C162" s="169" t="s">
        <v>1054</v>
      </c>
    </row>
    <row r="163" spans="1:3">
      <c r="A163" s="169" t="s">
        <v>1038</v>
      </c>
      <c r="B163" s="169" t="s">
        <v>1053</v>
      </c>
      <c r="C163" s="169" t="s">
        <v>1054</v>
      </c>
    </row>
    <row r="164" spans="1:3">
      <c r="A164" s="169" t="s">
        <v>1038</v>
      </c>
      <c r="B164" s="169" t="s">
        <v>1053</v>
      </c>
      <c r="C164" s="169" t="s">
        <v>1054</v>
      </c>
    </row>
    <row r="165" spans="1:3">
      <c r="A165" s="169" t="s">
        <v>1038</v>
      </c>
      <c r="B165" s="169" t="s">
        <v>1053</v>
      </c>
      <c r="C165" s="169" t="s">
        <v>1054</v>
      </c>
    </row>
    <row r="166" spans="1:3">
      <c r="A166" s="169" t="s">
        <v>1038</v>
      </c>
      <c r="B166" s="169" t="s">
        <v>1053</v>
      </c>
      <c r="C166" s="169" t="s">
        <v>1054</v>
      </c>
    </row>
    <row r="167" spans="1:3">
      <c r="A167" s="169" t="s">
        <v>1038</v>
      </c>
      <c r="B167" s="169" t="s">
        <v>1053</v>
      </c>
      <c r="C167" s="169" t="s">
        <v>1054</v>
      </c>
    </row>
    <row r="168" spans="1:3">
      <c r="A168" s="169" t="s">
        <v>1038</v>
      </c>
      <c r="B168" s="169" t="s">
        <v>1053</v>
      </c>
      <c r="C168" s="169" t="s">
        <v>1054</v>
      </c>
    </row>
    <row r="169" spans="1:3">
      <c r="A169" s="169" t="s">
        <v>1038</v>
      </c>
      <c r="B169" s="169" t="s">
        <v>1053</v>
      </c>
      <c r="C169" s="169" t="s">
        <v>1054</v>
      </c>
    </row>
    <row r="170" spans="1:3">
      <c r="A170" s="169" t="s">
        <v>1038</v>
      </c>
      <c r="B170" s="169" t="s">
        <v>1053</v>
      </c>
      <c r="C170" s="169" t="s">
        <v>1054</v>
      </c>
    </row>
    <row r="171" spans="1:3">
      <c r="A171" s="169" t="s">
        <v>1038</v>
      </c>
      <c r="B171" s="169" t="s">
        <v>1053</v>
      </c>
      <c r="C171" s="169" t="s">
        <v>1054</v>
      </c>
    </row>
    <row r="172" spans="1:3">
      <c r="A172" s="169" t="s">
        <v>1038</v>
      </c>
      <c r="B172" s="169" t="s">
        <v>1053</v>
      </c>
      <c r="C172" s="169" t="s">
        <v>1054</v>
      </c>
    </row>
    <row r="173" spans="1:3">
      <c r="A173" s="169" t="s">
        <v>1038</v>
      </c>
      <c r="B173" s="169" t="s">
        <v>1053</v>
      </c>
      <c r="C173" s="169" t="s">
        <v>1054</v>
      </c>
    </row>
    <row r="174" spans="1:3">
      <c r="A174" s="169" t="s">
        <v>1038</v>
      </c>
      <c r="B174" s="169" t="s">
        <v>1053</v>
      </c>
      <c r="C174" s="169" t="s">
        <v>1054</v>
      </c>
    </row>
    <row r="175" spans="1:3">
      <c r="A175" s="169" t="s">
        <v>1038</v>
      </c>
      <c r="B175" s="169" t="s">
        <v>1053</v>
      </c>
      <c r="C175" s="169" t="s">
        <v>1054</v>
      </c>
    </row>
    <row r="176" spans="1:3">
      <c r="A176" s="169" t="s">
        <v>1038</v>
      </c>
      <c r="B176" s="169" t="s">
        <v>1053</v>
      </c>
      <c r="C176" s="169" t="s">
        <v>1054</v>
      </c>
    </row>
    <row r="177" spans="1:3">
      <c r="A177" s="169" t="s">
        <v>1038</v>
      </c>
      <c r="B177" s="169" t="s">
        <v>1053</v>
      </c>
      <c r="C177" s="169" t="s">
        <v>1054</v>
      </c>
    </row>
    <row r="178" spans="1:3">
      <c r="A178" s="169" t="s">
        <v>1038</v>
      </c>
      <c r="B178" s="169" t="s">
        <v>1053</v>
      </c>
      <c r="C178" s="169" t="s">
        <v>1054</v>
      </c>
    </row>
    <row r="179" spans="1:3">
      <c r="A179" s="169" t="s">
        <v>1038</v>
      </c>
      <c r="B179" s="169" t="s">
        <v>1053</v>
      </c>
      <c r="C179" s="169" t="s">
        <v>1054</v>
      </c>
    </row>
    <row r="180" spans="1:3">
      <c r="A180" s="169" t="s">
        <v>1038</v>
      </c>
      <c r="B180" s="169" t="s">
        <v>1053</v>
      </c>
      <c r="C180" s="169" t="s">
        <v>1054</v>
      </c>
    </row>
    <row r="181" spans="1:3">
      <c r="A181" s="169" t="s">
        <v>1038</v>
      </c>
      <c r="B181" s="169" t="s">
        <v>1053</v>
      </c>
      <c r="C181" s="169" t="s">
        <v>1054</v>
      </c>
    </row>
    <row r="182" spans="1:3">
      <c r="A182" s="169" t="s">
        <v>1038</v>
      </c>
      <c r="B182" s="169" t="s">
        <v>1053</v>
      </c>
      <c r="C182" s="169" t="s">
        <v>1054</v>
      </c>
    </row>
    <row r="183" spans="1:3">
      <c r="A183" s="169" t="s">
        <v>1038</v>
      </c>
      <c r="B183" s="169" t="s">
        <v>1053</v>
      </c>
      <c r="C183" s="169" t="s">
        <v>1054</v>
      </c>
    </row>
    <row r="184" spans="1:3">
      <c r="A184" s="169" t="s">
        <v>1038</v>
      </c>
      <c r="B184" s="169" t="s">
        <v>1053</v>
      </c>
      <c r="C184" s="169" t="s">
        <v>1054</v>
      </c>
    </row>
    <row r="185" spans="1:3">
      <c r="A185" s="169" t="s">
        <v>1038</v>
      </c>
      <c r="B185" s="169" t="s">
        <v>1053</v>
      </c>
      <c r="C185" s="169" t="s">
        <v>1054</v>
      </c>
    </row>
    <row r="186" spans="1:3">
      <c r="A186" s="169" t="s">
        <v>1038</v>
      </c>
      <c r="B186" s="169" t="s">
        <v>1053</v>
      </c>
      <c r="C186" s="169" t="s">
        <v>1054</v>
      </c>
    </row>
    <row r="187" spans="1:3">
      <c r="A187" s="169" t="s">
        <v>1038</v>
      </c>
      <c r="B187" s="169" t="s">
        <v>1053</v>
      </c>
      <c r="C187" s="169" t="s">
        <v>1054</v>
      </c>
    </row>
    <row r="188" spans="1:3">
      <c r="A188" s="169" t="s">
        <v>1038</v>
      </c>
      <c r="B188" s="169" t="s">
        <v>1053</v>
      </c>
      <c r="C188" s="169" t="s">
        <v>1054</v>
      </c>
    </row>
    <row r="189" spans="1:3">
      <c r="A189" s="169" t="s">
        <v>1038</v>
      </c>
      <c r="B189" s="169" t="s">
        <v>1053</v>
      </c>
      <c r="C189" s="169" t="s">
        <v>1054</v>
      </c>
    </row>
    <row r="190" spans="1:3">
      <c r="A190" s="169" t="s">
        <v>1038</v>
      </c>
      <c r="B190" s="169" t="s">
        <v>1053</v>
      </c>
      <c r="C190" s="169" t="s">
        <v>1054</v>
      </c>
    </row>
    <row r="191" spans="1:3">
      <c r="A191" s="169" t="s">
        <v>1038</v>
      </c>
      <c r="B191" s="169" t="s">
        <v>1053</v>
      </c>
      <c r="C191" s="169" t="s">
        <v>1054</v>
      </c>
    </row>
    <row r="192" spans="1:3">
      <c r="A192" s="169" t="s">
        <v>1038</v>
      </c>
      <c r="B192" s="169" t="s">
        <v>1053</v>
      </c>
      <c r="C192" s="169" t="s">
        <v>1054</v>
      </c>
    </row>
    <row r="193" spans="1:3">
      <c r="A193" s="169" t="s">
        <v>1038</v>
      </c>
      <c r="B193" s="169" t="s">
        <v>1053</v>
      </c>
      <c r="C193" s="169" t="s">
        <v>1054</v>
      </c>
    </row>
    <row r="194" spans="1:3">
      <c r="A194" s="169" t="s">
        <v>1038</v>
      </c>
      <c r="B194" s="169" t="s">
        <v>1053</v>
      </c>
      <c r="C194" s="169" t="s">
        <v>1054</v>
      </c>
    </row>
    <row r="195" spans="1:3">
      <c r="A195" s="169" t="s">
        <v>1038</v>
      </c>
      <c r="B195" s="169" t="s">
        <v>1053</v>
      </c>
      <c r="C195" s="169" t="s">
        <v>1054</v>
      </c>
    </row>
    <row r="196" spans="1:3">
      <c r="A196" s="169" t="s">
        <v>1038</v>
      </c>
      <c r="B196" s="169" t="s">
        <v>1053</v>
      </c>
      <c r="C196" s="169" t="s">
        <v>1054</v>
      </c>
    </row>
    <row r="197" spans="1:3">
      <c r="A197" s="169" t="s">
        <v>1038</v>
      </c>
      <c r="B197" s="169" t="s">
        <v>1053</v>
      </c>
      <c r="C197" s="169" t="s">
        <v>1054</v>
      </c>
    </row>
    <row r="198" spans="1:3">
      <c r="A198" s="169" t="s">
        <v>1038</v>
      </c>
      <c r="B198" s="169" t="s">
        <v>1053</v>
      </c>
      <c r="C198" s="169" t="s">
        <v>1054</v>
      </c>
    </row>
    <row r="199" spans="1:3">
      <c r="A199" s="169" t="s">
        <v>1038</v>
      </c>
      <c r="B199" s="169" t="s">
        <v>1053</v>
      </c>
      <c r="C199" s="169" t="s">
        <v>1054</v>
      </c>
    </row>
    <row r="200" spans="1:3">
      <c r="A200" s="169" t="s">
        <v>1038</v>
      </c>
      <c r="B200" s="169" t="s">
        <v>1053</v>
      </c>
      <c r="C200" s="169" t="s">
        <v>1054</v>
      </c>
    </row>
    <row r="201" spans="1:3">
      <c r="A201" s="169" t="s">
        <v>1038</v>
      </c>
      <c r="B201" s="169" t="s">
        <v>1053</v>
      </c>
      <c r="C201" s="169" t="s">
        <v>1056</v>
      </c>
    </row>
    <row r="202" spans="1:3">
      <c r="A202" s="169" t="s">
        <v>1038</v>
      </c>
      <c r="B202" s="169" t="s">
        <v>1053</v>
      </c>
      <c r="C202" s="169" t="s">
        <v>1056</v>
      </c>
    </row>
    <row r="203" spans="1:3">
      <c r="A203" s="169" t="s">
        <v>1038</v>
      </c>
      <c r="B203" s="169" t="s">
        <v>1053</v>
      </c>
      <c r="C203" s="169" t="s">
        <v>1056</v>
      </c>
    </row>
    <row r="204" spans="1:3">
      <c r="A204" s="169" t="s">
        <v>1038</v>
      </c>
      <c r="B204" s="169" t="s">
        <v>1053</v>
      </c>
      <c r="C204" s="169" t="s">
        <v>1056</v>
      </c>
    </row>
    <row r="205" spans="1:3">
      <c r="A205" s="169" t="s">
        <v>1038</v>
      </c>
      <c r="B205" s="169" t="s">
        <v>1053</v>
      </c>
      <c r="C205" s="169" t="s">
        <v>1056</v>
      </c>
    </row>
    <row r="206" spans="1:3">
      <c r="A206" s="169" t="s">
        <v>1038</v>
      </c>
      <c r="B206" s="169" t="s">
        <v>1053</v>
      </c>
      <c r="C206" s="169" t="s">
        <v>1056</v>
      </c>
    </row>
    <row r="207" spans="1:3">
      <c r="A207" s="169" t="s">
        <v>1038</v>
      </c>
      <c r="B207" s="169" t="s">
        <v>1053</v>
      </c>
      <c r="C207" s="169" t="s">
        <v>1056</v>
      </c>
    </row>
    <row r="208" spans="1:3">
      <c r="A208" s="169" t="s">
        <v>1038</v>
      </c>
      <c r="B208" s="169" t="s">
        <v>1053</v>
      </c>
      <c r="C208" s="169" t="s">
        <v>1056</v>
      </c>
    </row>
    <row r="209" spans="1:3">
      <c r="A209" s="169" t="s">
        <v>1038</v>
      </c>
      <c r="B209" s="169" t="s">
        <v>1053</v>
      </c>
      <c r="C209" s="169" t="s">
        <v>1056</v>
      </c>
    </row>
    <row r="210" spans="1:3">
      <c r="A210" s="169" t="s">
        <v>1038</v>
      </c>
      <c r="B210" s="169" t="s">
        <v>1053</v>
      </c>
      <c r="C210" s="169" t="s">
        <v>1056</v>
      </c>
    </row>
    <row r="211" spans="1:3">
      <c r="A211" s="169" t="s">
        <v>1038</v>
      </c>
      <c r="B211" s="169" t="s">
        <v>1053</v>
      </c>
      <c r="C211" s="169" t="s">
        <v>1056</v>
      </c>
    </row>
    <row r="212" spans="1:3">
      <c r="A212" s="169" t="s">
        <v>1038</v>
      </c>
      <c r="B212" s="169" t="s">
        <v>1053</v>
      </c>
      <c r="C212" s="169" t="s">
        <v>1056</v>
      </c>
    </row>
    <row r="213" spans="1:3">
      <c r="A213" s="169" t="s">
        <v>1038</v>
      </c>
      <c r="B213" s="169" t="s">
        <v>1053</v>
      </c>
      <c r="C213" s="169" t="s">
        <v>1056</v>
      </c>
    </row>
    <row r="214" spans="1:3">
      <c r="A214" s="169" t="s">
        <v>1038</v>
      </c>
      <c r="B214" s="169" t="s">
        <v>1053</v>
      </c>
      <c r="C214" s="169" t="s">
        <v>1056</v>
      </c>
    </row>
    <row r="215" spans="1:3">
      <c r="A215" s="169" t="s">
        <v>1038</v>
      </c>
      <c r="B215" s="169" t="s">
        <v>1053</v>
      </c>
      <c r="C215" s="169" t="s">
        <v>1056</v>
      </c>
    </row>
    <row r="216" spans="1:3">
      <c r="A216" s="169" t="s">
        <v>1038</v>
      </c>
      <c r="B216" s="169" t="s">
        <v>1053</v>
      </c>
      <c r="C216" s="169" t="s">
        <v>1056</v>
      </c>
    </row>
    <row r="217" spans="1:3">
      <c r="A217" s="169" t="s">
        <v>1038</v>
      </c>
      <c r="B217" s="169" t="s">
        <v>1053</v>
      </c>
      <c r="C217" s="169" t="s">
        <v>1056</v>
      </c>
    </row>
    <row r="218" spans="1:3">
      <c r="A218" s="169" t="s">
        <v>1038</v>
      </c>
      <c r="B218" s="169" t="s">
        <v>1053</v>
      </c>
      <c r="C218" s="169" t="s">
        <v>1056</v>
      </c>
    </row>
    <row r="219" spans="1:3">
      <c r="A219" s="169" t="s">
        <v>1038</v>
      </c>
      <c r="B219" s="169" t="s">
        <v>1053</v>
      </c>
      <c r="C219" s="169" t="s">
        <v>1056</v>
      </c>
    </row>
    <row r="220" spans="1:3">
      <c r="A220" s="169" t="s">
        <v>1038</v>
      </c>
      <c r="B220" s="169" t="s">
        <v>1053</v>
      </c>
      <c r="C220" s="169" t="s">
        <v>1056</v>
      </c>
    </row>
    <row r="221" spans="1:3">
      <c r="A221" s="169" t="s">
        <v>1038</v>
      </c>
      <c r="B221" s="169" t="s">
        <v>1053</v>
      </c>
      <c r="C221" s="169" t="s">
        <v>1056</v>
      </c>
    </row>
    <row r="222" spans="1:3">
      <c r="A222" s="169" t="s">
        <v>1038</v>
      </c>
      <c r="B222" s="169" t="s">
        <v>1053</v>
      </c>
      <c r="C222" s="169" t="s">
        <v>1056</v>
      </c>
    </row>
    <row r="223" spans="1:3">
      <c r="A223" s="169" t="s">
        <v>1038</v>
      </c>
      <c r="B223" s="169" t="s">
        <v>1053</v>
      </c>
      <c r="C223" s="169" t="s">
        <v>1056</v>
      </c>
    </row>
    <row r="224" spans="1:3">
      <c r="A224" s="169" t="s">
        <v>1038</v>
      </c>
      <c r="B224" s="169" t="s">
        <v>1053</v>
      </c>
      <c r="C224" s="169" t="s">
        <v>1056</v>
      </c>
    </row>
    <row r="225" spans="1:3">
      <c r="A225" s="169" t="s">
        <v>1038</v>
      </c>
      <c r="B225" s="169" t="s">
        <v>1053</v>
      </c>
      <c r="C225" s="169" t="s">
        <v>1056</v>
      </c>
    </row>
    <row r="226" spans="1:3">
      <c r="A226" s="169" t="s">
        <v>1038</v>
      </c>
      <c r="B226" s="169" t="s">
        <v>1053</v>
      </c>
      <c r="C226" s="169" t="s">
        <v>1056</v>
      </c>
    </row>
    <row r="227" spans="1:3">
      <c r="A227" s="169" t="s">
        <v>1038</v>
      </c>
      <c r="B227" s="169" t="s">
        <v>1053</v>
      </c>
      <c r="C227" s="169" t="s">
        <v>1056</v>
      </c>
    </row>
    <row r="228" spans="1:3">
      <c r="A228" s="169" t="s">
        <v>1038</v>
      </c>
      <c r="B228" s="169" t="s">
        <v>1053</v>
      </c>
      <c r="C228" s="169" t="s">
        <v>1056</v>
      </c>
    </row>
    <row r="229" spans="1:3">
      <c r="A229" s="169" t="s">
        <v>1038</v>
      </c>
      <c r="B229" s="169" t="s">
        <v>1053</v>
      </c>
      <c r="C229" s="169" t="s">
        <v>1056</v>
      </c>
    </row>
    <row r="230" spans="1:3">
      <c r="A230" s="169" t="s">
        <v>1038</v>
      </c>
      <c r="B230" s="169" t="s">
        <v>1053</v>
      </c>
      <c r="C230" s="169" t="s">
        <v>1056</v>
      </c>
    </row>
    <row r="231" spans="1:3">
      <c r="A231" s="169" t="s">
        <v>1038</v>
      </c>
      <c r="B231" s="169" t="s">
        <v>1053</v>
      </c>
      <c r="C231" s="169" t="s">
        <v>1056</v>
      </c>
    </row>
    <row r="232" spans="1:3">
      <c r="A232" s="169" t="s">
        <v>1038</v>
      </c>
      <c r="B232" s="169" t="s">
        <v>1053</v>
      </c>
      <c r="C232" s="169" t="s">
        <v>1056</v>
      </c>
    </row>
    <row r="233" spans="1:3">
      <c r="A233" s="169" t="s">
        <v>1038</v>
      </c>
      <c r="B233" s="169" t="s">
        <v>1053</v>
      </c>
      <c r="C233" s="169" t="s">
        <v>1056</v>
      </c>
    </row>
    <row r="234" spans="1:3">
      <c r="A234" s="169" t="s">
        <v>1038</v>
      </c>
      <c r="B234" s="169" t="s">
        <v>1053</v>
      </c>
      <c r="C234" s="169" t="s">
        <v>1056</v>
      </c>
    </row>
    <row r="235" spans="1:3">
      <c r="A235" s="169" t="s">
        <v>1038</v>
      </c>
      <c r="B235" s="169" t="s">
        <v>1053</v>
      </c>
      <c r="C235" s="169" t="s">
        <v>1056</v>
      </c>
    </row>
    <row r="236" spans="1:3">
      <c r="A236" s="169" t="s">
        <v>1038</v>
      </c>
      <c r="B236" s="169" t="s">
        <v>1053</v>
      </c>
      <c r="C236" s="169" t="s">
        <v>1056</v>
      </c>
    </row>
    <row r="237" spans="1:3">
      <c r="A237" s="169" t="s">
        <v>1038</v>
      </c>
      <c r="B237" s="169" t="s">
        <v>1053</v>
      </c>
      <c r="C237" s="169" t="s">
        <v>1056</v>
      </c>
    </row>
    <row r="238" spans="1:3">
      <c r="A238" s="169" t="s">
        <v>1038</v>
      </c>
      <c r="B238" s="169" t="s">
        <v>1053</v>
      </c>
      <c r="C238" s="169" t="s">
        <v>1056</v>
      </c>
    </row>
    <row r="239" spans="1:3">
      <c r="A239" s="169" t="s">
        <v>1038</v>
      </c>
      <c r="B239" s="169" t="s">
        <v>1053</v>
      </c>
      <c r="C239" s="169" t="s">
        <v>1056</v>
      </c>
    </row>
    <row r="240" spans="1:3">
      <c r="A240" s="169" t="s">
        <v>1038</v>
      </c>
      <c r="B240" s="169" t="s">
        <v>1053</v>
      </c>
      <c r="C240" s="169" t="s">
        <v>1056</v>
      </c>
    </row>
    <row r="241" spans="1:3">
      <c r="A241" s="169" t="s">
        <v>1038</v>
      </c>
      <c r="B241" s="169" t="s">
        <v>1053</v>
      </c>
      <c r="C241" s="169" t="s">
        <v>1056</v>
      </c>
    </row>
    <row r="242" spans="1:3">
      <c r="A242" s="169" t="s">
        <v>1038</v>
      </c>
      <c r="B242" s="169" t="s">
        <v>1053</v>
      </c>
      <c r="C242" s="169" t="s">
        <v>1056</v>
      </c>
    </row>
    <row r="243" spans="1:3">
      <c r="A243" s="169" t="s">
        <v>1038</v>
      </c>
      <c r="B243" s="169" t="s">
        <v>1053</v>
      </c>
      <c r="C243" s="169" t="s">
        <v>1056</v>
      </c>
    </row>
    <row r="244" spans="1:3">
      <c r="A244" s="169" t="s">
        <v>1038</v>
      </c>
      <c r="B244" s="169" t="s">
        <v>1053</v>
      </c>
      <c r="C244" s="169" t="s">
        <v>1056</v>
      </c>
    </row>
    <row r="245" spans="1:3">
      <c r="A245" s="169" t="s">
        <v>1038</v>
      </c>
      <c r="B245" s="169" t="s">
        <v>1053</v>
      </c>
      <c r="C245" s="169" t="s">
        <v>1056</v>
      </c>
    </row>
    <row r="246" spans="1:3">
      <c r="A246" s="169" t="s">
        <v>1038</v>
      </c>
      <c r="B246" s="169" t="s">
        <v>1053</v>
      </c>
      <c r="C246" s="169" t="s">
        <v>1056</v>
      </c>
    </row>
    <row r="247" spans="1:3">
      <c r="A247" s="169" t="s">
        <v>1038</v>
      </c>
      <c r="B247" s="169" t="s">
        <v>1053</v>
      </c>
      <c r="C247" s="169" t="s">
        <v>1056</v>
      </c>
    </row>
    <row r="248" spans="1:3">
      <c r="A248" s="169" t="s">
        <v>1038</v>
      </c>
      <c r="B248" s="169" t="s">
        <v>1053</v>
      </c>
      <c r="C248" s="169" t="s">
        <v>1056</v>
      </c>
    </row>
    <row r="249" spans="1:3">
      <c r="A249" s="169" t="s">
        <v>1038</v>
      </c>
      <c r="B249" s="169" t="s">
        <v>1053</v>
      </c>
      <c r="C249" s="169" t="s">
        <v>1056</v>
      </c>
    </row>
    <row r="250" spans="1:3">
      <c r="A250" s="169" t="s">
        <v>1038</v>
      </c>
      <c r="B250" s="169" t="s">
        <v>1053</v>
      </c>
      <c r="C250" s="169" t="s">
        <v>1056</v>
      </c>
    </row>
    <row r="251" spans="1:3">
      <c r="A251" s="169" t="s">
        <v>1038</v>
      </c>
      <c r="B251" s="169" t="s">
        <v>1053</v>
      </c>
      <c r="C251" s="169" t="s">
        <v>1056</v>
      </c>
    </row>
    <row r="252" spans="1:3">
      <c r="A252" s="169" t="s">
        <v>1038</v>
      </c>
      <c r="B252" s="169" t="s">
        <v>1053</v>
      </c>
      <c r="C252" s="169" t="s">
        <v>1056</v>
      </c>
    </row>
    <row r="253" spans="1:3">
      <c r="A253" s="169" t="s">
        <v>1038</v>
      </c>
      <c r="B253" s="169" t="s">
        <v>1053</v>
      </c>
      <c r="C253" s="169" t="s">
        <v>1057</v>
      </c>
    </row>
    <row r="254" spans="1:3">
      <c r="A254" s="169" t="s">
        <v>1038</v>
      </c>
      <c r="B254" s="169" t="s">
        <v>1053</v>
      </c>
      <c r="C254" s="169" t="s">
        <v>1057</v>
      </c>
    </row>
    <row r="255" spans="1:3">
      <c r="A255" s="169" t="s">
        <v>1038</v>
      </c>
      <c r="B255" s="169" t="s">
        <v>1053</v>
      </c>
      <c r="C255" s="169" t="s">
        <v>1057</v>
      </c>
    </row>
    <row r="256" spans="1:3">
      <c r="A256" s="169" t="s">
        <v>1038</v>
      </c>
      <c r="B256" s="169" t="s">
        <v>1053</v>
      </c>
      <c r="C256" s="169" t="s">
        <v>1057</v>
      </c>
    </row>
    <row r="257" spans="1:3">
      <c r="A257" s="169" t="s">
        <v>1038</v>
      </c>
      <c r="B257" s="169" t="s">
        <v>1053</v>
      </c>
      <c r="C257" s="169" t="s">
        <v>1057</v>
      </c>
    </row>
    <row r="258" spans="1:3">
      <c r="A258" s="169" t="s">
        <v>1038</v>
      </c>
      <c r="B258" s="169" t="s">
        <v>1053</v>
      </c>
      <c r="C258" s="169" t="s">
        <v>1057</v>
      </c>
    </row>
    <row r="259" spans="1:3">
      <c r="A259" s="169" t="s">
        <v>1038</v>
      </c>
      <c r="B259" s="169" t="s">
        <v>1053</v>
      </c>
      <c r="C259" s="169" t="s">
        <v>1057</v>
      </c>
    </row>
    <row r="260" spans="1:3">
      <c r="A260" s="169" t="s">
        <v>1038</v>
      </c>
      <c r="B260" s="169" t="s">
        <v>1053</v>
      </c>
      <c r="C260" s="169" t="s">
        <v>1057</v>
      </c>
    </row>
    <row r="261" spans="1:3">
      <c r="A261" s="169" t="s">
        <v>1038</v>
      </c>
      <c r="B261" s="169" t="s">
        <v>1053</v>
      </c>
      <c r="C261" s="169" t="s">
        <v>1057</v>
      </c>
    </row>
    <row r="262" spans="1:3">
      <c r="A262" s="169" t="s">
        <v>1038</v>
      </c>
      <c r="B262" s="169" t="s">
        <v>1053</v>
      </c>
      <c r="C262" s="169" t="s">
        <v>1057</v>
      </c>
    </row>
    <row r="263" spans="1:3">
      <c r="A263" s="169" t="s">
        <v>1038</v>
      </c>
      <c r="B263" s="169" t="s">
        <v>1053</v>
      </c>
      <c r="C263" s="169" t="s">
        <v>1057</v>
      </c>
    </row>
    <row r="264" spans="1:3">
      <c r="A264" s="169" t="s">
        <v>1038</v>
      </c>
      <c r="B264" s="169" t="s">
        <v>1053</v>
      </c>
      <c r="C264" s="169" t="s">
        <v>1057</v>
      </c>
    </row>
    <row r="265" spans="1:3">
      <c r="A265" s="169" t="s">
        <v>1038</v>
      </c>
      <c r="B265" s="169" t="s">
        <v>1053</v>
      </c>
      <c r="C265" s="169" t="s">
        <v>1057</v>
      </c>
    </row>
    <row r="266" spans="1:3">
      <c r="A266" s="169" t="s">
        <v>1038</v>
      </c>
      <c r="B266" s="169" t="s">
        <v>1058</v>
      </c>
      <c r="C266" s="169" t="s">
        <v>1059</v>
      </c>
    </row>
    <row r="267" spans="1:3">
      <c r="A267" s="169" t="s">
        <v>1038</v>
      </c>
      <c r="B267" s="169" t="s">
        <v>1058</v>
      </c>
      <c r="C267" s="169" t="s">
        <v>1059</v>
      </c>
    </row>
    <row r="268" spans="1:3">
      <c r="A268" s="169" t="s">
        <v>1038</v>
      </c>
      <c r="B268" s="169" t="s">
        <v>1058</v>
      </c>
      <c r="C268" s="169" t="s">
        <v>1059</v>
      </c>
    </row>
    <row r="269" spans="1:3">
      <c r="A269" s="169" t="s">
        <v>1038</v>
      </c>
      <c r="B269" s="169" t="s">
        <v>1058</v>
      </c>
      <c r="C269" s="169" t="s">
        <v>1059</v>
      </c>
    </row>
    <row r="270" spans="1:3">
      <c r="A270" s="169" t="s">
        <v>1038</v>
      </c>
      <c r="B270" s="169" t="s">
        <v>1058</v>
      </c>
      <c r="C270" s="169" t="s">
        <v>1059</v>
      </c>
    </row>
    <row r="271" spans="1:3">
      <c r="A271" s="169" t="s">
        <v>1038</v>
      </c>
      <c r="B271" s="169" t="s">
        <v>1058</v>
      </c>
      <c r="C271" s="169" t="s">
        <v>1059</v>
      </c>
    </row>
    <row r="272" spans="1:3">
      <c r="A272" s="169" t="s">
        <v>1038</v>
      </c>
      <c r="B272" s="169" t="s">
        <v>1058</v>
      </c>
      <c r="C272" s="169" t="s">
        <v>1059</v>
      </c>
    </row>
    <row r="273" spans="1:3">
      <c r="A273" s="169" t="s">
        <v>1038</v>
      </c>
      <c r="B273" s="169" t="s">
        <v>1058</v>
      </c>
      <c r="C273" s="169" t="s">
        <v>1059</v>
      </c>
    </row>
    <row r="274" spans="1:3">
      <c r="A274" s="169" t="s">
        <v>1038</v>
      </c>
      <c r="B274" s="169" t="s">
        <v>1058</v>
      </c>
      <c r="C274" s="169" t="s">
        <v>1059</v>
      </c>
    </row>
    <row r="275" spans="1:3">
      <c r="A275" s="169" t="s">
        <v>1038</v>
      </c>
      <c r="B275" s="169" t="s">
        <v>1058</v>
      </c>
      <c r="C275" s="169" t="s">
        <v>1060</v>
      </c>
    </row>
    <row r="276" spans="1:3">
      <c r="A276" s="169" t="s">
        <v>1038</v>
      </c>
      <c r="B276" s="169" t="s">
        <v>1058</v>
      </c>
      <c r="C276" s="169" t="s">
        <v>1060</v>
      </c>
    </row>
    <row r="277" spans="1:3">
      <c r="A277" s="169" t="s">
        <v>1038</v>
      </c>
      <c r="B277" s="169" t="s">
        <v>1058</v>
      </c>
      <c r="C277" s="169" t="s">
        <v>1060</v>
      </c>
    </row>
    <row r="278" spans="1:3">
      <c r="A278" s="169" t="s">
        <v>1038</v>
      </c>
      <c r="B278" s="169" t="s">
        <v>1058</v>
      </c>
      <c r="C278" s="169" t="s">
        <v>1060</v>
      </c>
    </row>
    <row r="279" spans="1:3">
      <c r="A279" s="169" t="s">
        <v>1038</v>
      </c>
      <c r="B279" s="169" t="s">
        <v>1058</v>
      </c>
      <c r="C279" s="169" t="s">
        <v>1060</v>
      </c>
    </row>
    <row r="280" spans="1:3">
      <c r="A280" s="169" t="s">
        <v>1038</v>
      </c>
      <c r="B280" s="169" t="s">
        <v>1058</v>
      </c>
      <c r="C280" s="169" t="s">
        <v>1060</v>
      </c>
    </row>
    <row r="281" spans="1:3">
      <c r="A281" s="169" t="s">
        <v>1038</v>
      </c>
      <c r="B281" s="169" t="s">
        <v>1058</v>
      </c>
      <c r="C281" s="169" t="s">
        <v>1060</v>
      </c>
    </row>
    <row r="282" spans="1:3">
      <c r="A282" s="169" t="s">
        <v>1038</v>
      </c>
      <c r="B282" s="169" t="s">
        <v>1058</v>
      </c>
      <c r="C282" s="169" t="s">
        <v>1060</v>
      </c>
    </row>
    <row r="283" spans="1:3">
      <c r="A283" s="169" t="s">
        <v>1038</v>
      </c>
      <c r="B283" s="169" t="s">
        <v>1058</v>
      </c>
      <c r="C283" s="169" t="s">
        <v>1062</v>
      </c>
    </row>
    <row r="284" spans="1:3">
      <c r="A284" s="169" t="s">
        <v>1038</v>
      </c>
      <c r="B284" s="169" t="s">
        <v>1058</v>
      </c>
      <c r="C284" s="169" t="s">
        <v>1062</v>
      </c>
    </row>
    <row r="285" spans="1:3">
      <c r="A285" s="169" t="s">
        <v>1038</v>
      </c>
      <c r="B285" s="169" t="s">
        <v>1058</v>
      </c>
      <c r="C285" s="169" t="s">
        <v>1062</v>
      </c>
    </row>
    <row r="286" spans="1:3">
      <c r="A286" s="169" t="s">
        <v>1038</v>
      </c>
      <c r="B286" s="169" t="s">
        <v>1058</v>
      </c>
      <c r="C286" s="169" t="s">
        <v>1062</v>
      </c>
    </row>
    <row r="287" spans="1:3">
      <c r="A287" s="169" t="s">
        <v>1038</v>
      </c>
      <c r="B287" s="169" t="s">
        <v>1058</v>
      </c>
      <c r="C287" s="169" t="s">
        <v>1062</v>
      </c>
    </row>
    <row r="288" spans="1:3">
      <c r="A288" s="169" t="s">
        <v>1038</v>
      </c>
      <c r="B288" s="169" t="s">
        <v>1058</v>
      </c>
      <c r="C288" s="169" t="s">
        <v>1062</v>
      </c>
    </row>
    <row r="289" spans="1:3">
      <c r="A289" s="169" t="s">
        <v>1038</v>
      </c>
      <c r="B289" s="169" t="s">
        <v>1058</v>
      </c>
      <c r="C289" s="169" t="s">
        <v>1062</v>
      </c>
    </row>
    <row r="290" spans="1:3">
      <c r="A290" s="169" t="s">
        <v>1038</v>
      </c>
      <c r="B290" s="169" t="s">
        <v>1058</v>
      </c>
      <c r="C290" s="169" t="s">
        <v>1062</v>
      </c>
    </row>
    <row r="291" spans="1:3">
      <c r="A291" s="169" t="s">
        <v>1038</v>
      </c>
      <c r="B291" s="169" t="s">
        <v>1058</v>
      </c>
      <c r="C291" s="169" t="s">
        <v>1063</v>
      </c>
    </row>
    <row r="292" spans="1:3">
      <c r="A292" s="169" t="s">
        <v>1038</v>
      </c>
      <c r="B292" s="169" t="s">
        <v>1058</v>
      </c>
      <c r="C292" s="169" t="s">
        <v>1063</v>
      </c>
    </row>
    <row r="293" spans="1:3">
      <c r="A293" s="169" t="s">
        <v>1038</v>
      </c>
      <c r="B293" s="169" t="s">
        <v>1058</v>
      </c>
      <c r="C293" s="169" t="s">
        <v>1063</v>
      </c>
    </row>
    <row r="294" spans="1:3">
      <c r="A294" s="169" t="s">
        <v>1038</v>
      </c>
      <c r="B294" s="169" t="s">
        <v>1058</v>
      </c>
      <c r="C294" s="169" t="s">
        <v>1063</v>
      </c>
    </row>
    <row r="295" spans="1:3">
      <c r="A295" s="169" t="s">
        <v>1038</v>
      </c>
      <c r="B295" s="169" t="s">
        <v>1058</v>
      </c>
      <c r="C295" s="169" t="s">
        <v>1064</v>
      </c>
    </row>
    <row r="296" spans="1:3">
      <c r="A296" s="169" t="s">
        <v>1038</v>
      </c>
      <c r="B296" s="169" t="s">
        <v>1058</v>
      </c>
      <c r="C296" s="169" t="s">
        <v>1064</v>
      </c>
    </row>
    <row r="297" spans="1:3">
      <c r="A297" s="169" t="s">
        <v>1038</v>
      </c>
      <c r="B297" s="169" t="s">
        <v>1058</v>
      </c>
      <c r="C297" s="169" t="s">
        <v>1064</v>
      </c>
    </row>
    <row r="298" spans="1:3">
      <c r="A298" s="169" t="s">
        <v>1038</v>
      </c>
      <c r="B298" s="169" t="s">
        <v>1058</v>
      </c>
      <c r="C298" s="169" t="s">
        <v>1064</v>
      </c>
    </row>
    <row r="299" spans="1:3">
      <c r="A299" s="169" t="s">
        <v>1038</v>
      </c>
      <c r="B299" s="169" t="s">
        <v>1058</v>
      </c>
      <c r="C299" s="169" t="s">
        <v>1064</v>
      </c>
    </row>
    <row r="300" spans="1:3">
      <c r="A300" s="169" t="s">
        <v>1038</v>
      </c>
      <c r="B300" s="169" t="s">
        <v>1058</v>
      </c>
      <c r="C300" s="169" t="s">
        <v>1064</v>
      </c>
    </row>
    <row r="301" spans="1:3">
      <c r="A301" s="169" t="s">
        <v>1038</v>
      </c>
      <c r="B301" s="169" t="s">
        <v>1065</v>
      </c>
      <c r="C301" s="169" t="s">
        <v>1066</v>
      </c>
    </row>
    <row r="302" spans="1:3">
      <c r="A302" s="169" t="s">
        <v>1038</v>
      </c>
      <c r="B302" s="169" t="s">
        <v>1065</v>
      </c>
      <c r="C302" s="169" t="s">
        <v>1066</v>
      </c>
    </row>
    <row r="303" spans="1:3">
      <c r="A303" s="169" t="s">
        <v>1038</v>
      </c>
      <c r="B303" s="169" t="s">
        <v>1065</v>
      </c>
      <c r="C303" s="169" t="s">
        <v>1066</v>
      </c>
    </row>
    <row r="304" spans="1:3">
      <c r="A304" s="169" t="s">
        <v>1038</v>
      </c>
      <c r="B304" s="169" t="s">
        <v>1065</v>
      </c>
      <c r="C304" s="169" t="s">
        <v>1066</v>
      </c>
    </row>
    <row r="305" spans="1:3">
      <c r="A305" s="169" t="s">
        <v>1038</v>
      </c>
      <c r="B305" s="169" t="s">
        <v>1065</v>
      </c>
      <c r="C305" s="169" t="s">
        <v>1066</v>
      </c>
    </row>
    <row r="306" spans="1:3">
      <c r="A306" s="169" t="s">
        <v>1038</v>
      </c>
      <c r="B306" s="169" t="s">
        <v>1065</v>
      </c>
      <c r="C306" s="169" t="s">
        <v>1066</v>
      </c>
    </row>
    <row r="307" spans="1:3">
      <c r="A307" s="169" t="s">
        <v>1038</v>
      </c>
      <c r="B307" s="169" t="s">
        <v>1065</v>
      </c>
      <c r="C307" s="169" t="s">
        <v>1066</v>
      </c>
    </row>
    <row r="308" spans="1:3">
      <c r="A308" s="169" t="s">
        <v>1038</v>
      </c>
      <c r="B308" s="169" t="s">
        <v>1065</v>
      </c>
      <c r="C308" s="169" t="s">
        <v>1066</v>
      </c>
    </row>
    <row r="309" spans="1:3">
      <c r="A309" s="169" t="s">
        <v>1038</v>
      </c>
      <c r="B309" s="169" t="s">
        <v>1065</v>
      </c>
      <c r="C309" s="169" t="s">
        <v>1066</v>
      </c>
    </row>
    <row r="310" spans="1:3">
      <c r="A310" s="169" t="s">
        <v>1038</v>
      </c>
      <c r="B310" s="169" t="s">
        <v>1065</v>
      </c>
      <c r="C310" s="169" t="s">
        <v>1066</v>
      </c>
    </row>
    <row r="311" spans="1:3">
      <c r="A311" s="169" t="s">
        <v>1038</v>
      </c>
      <c r="B311" s="169" t="s">
        <v>1065</v>
      </c>
      <c r="C311" s="169" t="s">
        <v>1066</v>
      </c>
    </row>
    <row r="312" spans="1:3">
      <c r="A312" s="169" t="s">
        <v>1038</v>
      </c>
      <c r="B312" s="169" t="s">
        <v>1065</v>
      </c>
      <c r="C312" s="169" t="s">
        <v>1066</v>
      </c>
    </row>
    <row r="313" spans="1:3">
      <c r="A313" s="169" t="s">
        <v>1038</v>
      </c>
      <c r="B313" s="169" t="s">
        <v>1065</v>
      </c>
      <c r="C313" s="169" t="s">
        <v>1066</v>
      </c>
    </row>
    <row r="314" spans="1:3">
      <c r="A314" s="169" t="s">
        <v>1038</v>
      </c>
      <c r="B314" s="169" t="s">
        <v>1065</v>
      </c>
      <c r="C314" s="169" t="s">
        <v>1066</v>
      </c>
    </row>
    <row r="315" spans="1:3">
      <c r="A315" s="169" t="s">
        <v>1038</v>
      </c>
      <c r="B315" s="169" t="s">
        <v>1065</v>
      </c>
      <c r="C315" s="169" t="s">
        <v>1066</v>
      </c>
    </row>
    <row r="316" spans="1:3">
      <c r="A316" s="169" t="s">
        <v>1038</v>
      </c>
      <c r="B316" s="169" t="s">
        <v>1065</v>
      </c>
      <c r="C316" s="169" t="s">
        <v>1066</v>
      </c>
    </row>
    <row r="317" spans="1:3">
      <c r="A317" s="169" t="s">
        <v>1038</v>
      </c>
      <c r="B317" s="169" t="s">
        <v>1065</v>
      </c>
      <c r="C317" s="169" t="s">
        <v>1066</v>
      </c>
    </row>
    <row r="318" spans="1:3">
      <c r="A318" s="169" t="s">
        <v>1038</v>
      </c>
      <c r="B318" s="169" t="s">
        <v>1065</v>
      </c>
      <c r="C318" s="169" t="s">
        <v>1066</v>
      </c>
    </row>
    <row r="319" spans="1:3">
      <c r="A319" s="169" t="s">
        <v>1038</v>
      </c>
      <c r="B319" s="169" t="s">
        <v>1065</v>
      </c>
      <c r="C319" s="169" t="s">
        <v>1066</v>
      </c>
    </row>
    <row r="320" spans="1:3">
      <c r="A320" s="169" t="s">
        <v>1038</v>
      </c>
      <c r="B320" s="169" t="s">
        <v>1065</v>
      </c>
      <c r="C320" s="169" t="s">
        <v>1066</v>
      </c>
    </row>
    <row r="321" spans="1:3">
      <c r="A321" s="169" t="s">
        <v>1038</v>
      </c>
      <c r="B321" s="169" t="s">
        <v>1065</v>
      </c>
      <c r="C321" s="169" t="s">
        <v>1066</v>
      </c>
    </row>
    <row r="322" spans="1:3">
      <c r="A322" s="169" t="s">
        <v>1038</v>
      </c>
      <c r="B322" s="169" t="s">
        <v>1065</v>
      </c>
      <c r="C322" s="169" t="s">
        <v>1067</v>
      </c>
    </row>
    <row r="323" spans="1:3">
      <c r="A323" s="169" t="s">
        <v>1038</v>
      </c>
      <c r="B323" s="169" t="s">
        <v>1065</v>
      </c>
      <c r="C323" s="169" t="s">
        <v>1068</v>
      </c>
    </row>
    <row r="324" spans="1:3">
      <c r="A324" s="169" t="s">
        <v>1038</v>
      </c>
      <c r="B324" s="169" t="s">
        <v>1065</v>
      </c>
      <c r="C324" s="169" t="s">
        <v>1068</v>
      </c>
    </row>
    <row r="325" spans="1:3">
      <c r="A325" s="169" t="s">
        <v>1038</v>
      </c>
      <c r="B325" s="169" t="s">
        <v>1065</v>
      </c>
      <c r="C325" s="169" t="s">
        <v>1068</v>
      </c>
    </row>
    <row r="326" spans="1:3">
      <c r="A326" s="169" t="s">
        <v>1038</v>
      </c>
      <c r="B326" s="169" t="s">
        <v>1065</v>
      </c>
      <c r="C326" s="169" t="s">
        <v>1068</v>
      </c>
    </row>
    <row r="327" spans="1:3">
      <c r="A327" s="169" t="s">
        <v>1038</v>
      </c>
      <c r="B327" s="169" t="s">
        <v>1065</v>
      </c>
      <c r="C327" s="169" t="s">
        <v>1068</v>
      </c>
    </row>
    <row r="328" spans="1:3">
      <c r="A328" s="169" t="s">
        <v>1038</v>
      </c>
      <c r="B328" s="169" t="s">
        <v>1065</v>
      </c>
      <c r="C328" s="169" t="s">
        <v>1068</v>
      </c>
    </row>
    <row r="329" spans="1:3">
      <c r="A329" s="169" t="s">
        <v>1038</v>
      </c>
      <c r="B329" s="169" t="s">
        <v>1065</v>
      </c>
      <c r="C329" s="169" t="s">
        <v>1068</v>
      </c>
    </row>
    <row r="330" spans="1:3">
      <c r="A330" s="169" t="s">
        <v>1038</v>
      </c>
      <c r="B330" s="169" t="s">
        <v>1065</v>
      </c>
      <c r="C330" s="169" t="s">
        <v>1068</v>
      </c>
    </row>
    <row r="331" spans="1:3">
      <c r="A331" s="169" t="s">
        <v>1038</v>
      </c>
      <c r="B331" s="169" t="s">
        <v>1065</v>
      </c>
      <c r="C331" s="169" t="s">
        <v>1068</v>
      </c>
    </row>
    <row r="332" spans="1:3">
      <c r="A332" s="169" t="s">
        <v>1038</v>
      </c>
      <c r="B332" s="169" t="s">
        <v>1065</v>
      </c>
      <c r="C332" s="169" t="s">
        <v>1068</v>
      </c>
    </row>
    <row r="333" spans="1:3">
      <c r="A333" s="169" t="s">
        <v>1038</v>
      </c>
      <c r="B333" s="169" t="s">
        <v>1065</v>
      </c>
      <c r="C333" s="169" t="s">
        <v>1068</v>
      </c>
    </row>
    <row r="334" spans="1:3">
      <c r="A334" s="169" t="s">
        <v>1038</v>
      </c>
      <c r="B334" s="169" t="s">
        <v>1065</v>
      </c>
      <c r="C334" s="169" t="s">
        <v>1068</v>
      </c>
    </row>
    <row r="335" spans="1:3">
      <c r="A335" s="169" t="s">
        <v>1038</v>
      </c>
      <c r="B335" s="169" t="s">
        <v>1065</v>
      </c>
      <c r="C335" s="169" t="s">
        <v>1068</v>
      </c>
    </row>
    <row r="336" spans="1:3">
      <c r="A336" s="169" t="s">
        <v>1038</v>
      </c>
      <c r="B336" s="169" t="s">
        <v>1065</v>
      </c>
      <c r="C336" s="169" t="s">
        <v>1068</v>
      </c>
    </row>
    <row r="337" spans="1:3">
      <c r="A337" s="169" t="s">
        <v>1038</v>
      </c>
      <c r="B337" s="169" t="s">
        <v>1065</v>
      </c>
      <c r="C337" s="169" t="s">
        <v>1068</v>
      </c>
    </row>
    <row r="338" spans="1:3">
      <c r="A338" s="169" t="s">
        <v>1038</v>
      </c>
      <c r="B338" s="169" t="s">
        <v>1065</v>
      </c>
      <c r="C338" s="169" t="s">
        <v>1068</v>
      </c>
    </row>
    <row r="339" spans="1:3">
      <c r="A339" s="169" t="s">
        <v>1038</v>
      </c>
      <c r="B339" s="169" t="s">
        <v>1065</v>
      </c>
      <c r="C339" s="169" t="s">
        <v>1069</v>
      </c>
    </row>
    <row r="340" spans="1:3">
      <c r="A340" s="169" t="s">
        <v>1038</v>
      </c>
      <c r="B340" s="169" t="s">
        <v>1065</v>
      </c>
      <c r="C340" s="169" t="s">
        <v>1070</v>
      </c>
    </row>
    <row r="341" spans="1:3">
      <c r="A341" s="169" t="s">
        <v>1038</v>
      </c>
      <c r="B341" s="169" t="s">
        <v>1071</v>
      </c>
      <c r="C341" s="169" t="s">
        <v>1072</v>
      </c>
    </row>
    <row r="342" spans="1:3">
      <c r="A342" s="169" t="s">
        <v>1038</v>
      </c>
      <c r="B342" s="169" t="s">
        <v>1071</v>
      </c>
      <c r="C342" s="169" t="s">
        <v>1072</v>
      </c>
    </row>
    <row r="343" spans="1:3">
      <c r="A343" s="169" t="s">
        <v>1038</v>
      </c>
      <c r="B343" s="169" t="s">
        <v>1071</v>
      </c>
      <c r="C343" s="169" t="s">
        <v>1072</v>
      </c>
    </row>
    <row r="344" spans="1:3">
      <c r="A344" s="169" t="s">
        <v>1038</v>
      </c>
      <c r="B344" s="169" t="s">
        <v>1071</v>
      </c>
      <c r="C344" s="169" t="s">
        <v>1072</v>
      </c>
    </row>
    <row r="345" spans="1:3">
      <c r="A345" s="169" t="s">
        <v>1038</v>
      </c>
      <c r="B345" s="169" t="s">
        <v>1071</v>
      </c>
      <c r="C345" s="169" t="s">
        <v>1072</v>
      </c>
    </row>
    <row r="346" spans="1:3">
      <c r="A346" s="169" t="s">
        <v>1038</v>
      </c>
      <c r="B346" s="169" t="s">
        <v>1071</v>
      </c>
      <c r="C346" s="169" t="s">
        <v>1072</v>
      </c>
    </row>
    <row r="347" spans="1:3">
      <c r="A347" s="169" t="s">
        <v>1038</v>
      </c>
      <c r="B347" s="169" t="s">
        <v>1071</v>
      </c>
      <c r="C347" s="169" t="s">
        <v>1072</v>
      </c>
    </row>
    <row r="348" spans="1:3">
      <c r="A348" s="169" t="s">
        <v>1038</v>
      </c>
      <c r="B348" s="169" t="s">
        <v>1071</v>
      </c>
      <c r="C348" s="169" t="s">
        <v>1072</v>
      </c>
    </row>
    <row r="349" spans="1:3">
      <c r="A349" s="169" t="s">
        <v>1038</v>
      </c>
      <c r="B349" s="169" t="s">
        <v>1071</v>
      </c>
      <c r="C349" s="169" t="s">
        <v>1072</v>
      </c>
    </row>
    <row r="350" spans="1:3">
      <c r="A350" s="169" t="s">
        <v>1038</v>
      </c>
      <c r="B350" s="169" t="s">
        <v>1071</v>
      </c>
      <c r="C350" s="169" t="s">
        <v>1072</v>
      </c>
    </row>
    <row r="351" spans="1:3">
      <c r="A351" s="169" t="s">
        <v>1038</v>
      </c>
      <c r="B351" s="169" t="s">
        <v>1071</v>
      </c>
      <c r="C351" s="169" t="s">
        <v>1072</v>
      </c>
    </row>
    <row r="352" spans="1:3">
      <c r="A352" s="169" t="s">
        <v>1038</v>
      </c>
      <c r="B352" s="169" t="s">
        <v>1071</v>
      </c>
      <c r="C352" s="169" t="s">
        <v>1073</v>
      </c>
    </row>
    <row r="353" spans="1:3">
      <c r="A353" s="169" t="s">
        <v>1038</v>
      </c>
      <c r="B353" s="169" t="s">
        <v>1071</v>
      </c>
      <c r="C353" s="169" t="s">
        <v>1073</v>
      </c>
    </row>
    <row r="354" spans="1:3">
      <c r="A354" s="169" t="s">
        <v>1038</v>
      </c>
      <c r="B354" s="169" t="s">
        <v>1071</v>
      </c>
      <c r="C354" s="169" t="s">
        <v>1073</v>
      </c>
    </row>
    <row r="355" spans="1:3">
      <c r="A355" s="169" t="s">
        <v>1038</v>
      </c>
      <c r="B355" s="169" t="s">
        <v>1071</v>
      </c>
      <c r="C355" s="169" t="s">
        <v>1073</v>
      </c>
    </row>
    <row r="356" spans="1:3">
      <c r="A356" s="169" t="s">
        <v>1038</v>
      </c>
      <c r="B356" s="169" t="s">
        <v>1071</v>
      </c>
      <c r="C356" s="169" t="s">
        <v>1073</v>
      </c>
    </row>
    <row r="357" spans="1:3">
      <c r="A357" s="169" t="s">
        <v>1038</v>
      </c>
      <c r="B357" s="169" t="s">
        <v>1071</v>
      </c>
      <c r="C357" s="169" t="s">
        <v>1073</v>
      </c>
    </row>
    <row r="358" spans="1:3">
      <c r="A358" s="169" t="s">
        <v>1038</v>
      </c>
      <c r="B358" s="169" t="s">
        <v>1071</v>
      </c>
      <c r="C358" s="169" t="s">
        <v>1073</v>
      </c>
    </row>
    <row r="359" spans="1:3">
      <c r="A359" s="169" t="s">
        <v>1038</v>
      </c>
      <c r="B359" s="169" t="s">
        <v>1071</v>
      </c>
      <c r="C359" s="169" t="s">
        <v>1073</v>
      </c>
    </row>
    <row r="360" spans="1:3">
      <c r="A360" s="169" t="s">
        <v>1038</v>
      </c>
      <c r="B360" s="169" t="s">
        <v>1071</v>
      </c>
      <c r="C360" s="169" t="s">
        <v>1073</v>
      </c>
    </row>
    <row r="361" spans="1:3">
      <c r="A361" s="169" t="s">
        <v>1038</v>
      </c>
      <c r="B361" s="169" t="s">
        <v>1071</v>
      </c>
      <c r="C361" s="169" t="s">
        <v>1073</v>
      </c>
    </row>
    <row r="362" spans="1:3">
      <c r="A362" s="169" t="s">
        <v>1038</v>
      </c>
      <c r="B362" s="169" t="s">
        <v>1071</v>
      </c>
      <c r="C362" s="169" t="s">
        <v>1073</v>
      </c>
    </row>
    <row r="363" spans="1:3">
      <c r="A363" s="169" t="s">
        <v>1038</v>
      </c>
      <c r="B363" s="169" t="s">
        <v>1071</v>
      </c>
      <c r="C363" s="169" t="s">
        <v>1073</v>
      </c>
    </row>
    <row r="364" spans="1:3">
      <c r="A364" s="169" t="s">
        <v>1038</v>
      </c>
      <c r="B364" s="169" t="s">
        <v>1074</v>
      </c>
      <c r="C364" s="169" t="s">
        <v>1074</v>
      </c>
    </row>
    <row r="365" spans="1:3">
      <c r="A365" s="169" t="s">
        <v>1038</v>
      </c>
      <c r="B365" s="169" t="s">
        <v>1074</v>
      </c>
      <c r="C365" s="169" t="s">
        <v>1074</v>
      </c>
    </row>
    <row r="366" spans="1:3">
      <c r="A366" s="169" t="s">
        <v>1038</v>
      </c>
      <c r="B366" s="169" t="s">
        <v>1074</v>
      </c>
      <c r="C366" s="169" t="s">
        <v>1074</v>
      </c>
    </row>
    <row r="367" spans="1:3">
      <c r="A367" s="169" t="s">
        <v>1038</v>
      </c>
      <c r="B367" s="169" t="s">
        <v>1074</v>
      </c>
      <c r="C367" s="169" t="s">
        <v>1074</v>
      </c>
    </row>
    <row r="368" spans="1:3">
      <c r="A368" s="169" t="s">
        <v>1038</v>
      </c>
      <c r="B368" s="169" t="s">
        <v>1075</v>
      </c>
      <c r="C368" s="169" t="s">
        <v>1075</v>
      </c>
    </row>
    <row r="369" spans="1:3">
      <c r="A369" s="169" t="s">
        <v>1038</v>
      </c>
      <c r="B369" s="169" t="s">
        <v>1075</v>
      </c>
      <c r="C369" s="169" t="s">
        <v>1075</v>
      </c>
    </row>
    <row r="370" spans="1:3">
      <c r="A370" s="169" t="s">
        <v>1038</v>
      </c>
      <c r="B370" s="169" t="s">
        <v>1075</v>
      </c>
      <c r="C370" s="169" t="s">
        <v>1075</v>
      </c>
    </row>
    <row r="371" spans="1:3">
      <c r="A371" s="169" t="s">
        <v>1038</v>
      </c>
      <c r="B371" s="169" t="s">
        <v>1075</v>
      </c>
      <c r="C371" s="169" t="s">
        <v>1076</v>
      </c>
    </row>
    <row r="372" spans="1:3">
      <c r="A372" s="169" t="s">
        <v>1038</v>
      </c>
      <c r="B372" s="169" t="s">
        <v>1075</v>
      </c>
      <c r="C372" s="169" t="s">
        <v>1076</v>
      </c>
    </row>
    <row r="373" spans="1:3">
      <c r="A373" s="169" t="s">
        <v>1038</v>
      </c>
      <c r="B373" s="169" t="s">
        <v>1075</v>
      </c>
      <c r="C373" s="169" t="s">
        <v>1076</v>
      </c>
    </row>
    <row r="374" spans="1:3">
      <c r="A374" s="169" t="s">
        <v>1038</v>
      </c>
      <c r="B374" s="169" t="s">
        <v>1075</v>
      </c>
      <c r="C374" s="169" t="s">
        <v>1076</v>
      </c>
    </row>
    <row r="375" spans="1:3">
      <c r="A375" s="169" t="s">
        <v>1038</v>
      </c>
      <c r="B375" s="169" t="s">
        <v>1077</v>
      </c>
      <c r="C375" s="169" t="s">
        <v>1077</v>
      </c>
    </row>
    <row r="376" spans="1:3">
      <c r="A376" s="169" t="s">
        <v>1038</v>
      </c>
      <c r="B376" s="169" t="s">
        <v>1077</v>
      </c>
      <c r="C376" s="169" t="s">
        <v>1077</v>
      </c>
    </row>
    <row r="377" spans="1:3">
      <c r="A377" s="169" t="s">
        <v>1038</v>
      </c>
      <c r="B377" s="169" t="s">
        <v>1077</v>
      </c>
      <c r="C377" s="169" t="s">
        <v>1077</v>
      </c>
    </row>
    <row r="378" spans="1:3">
      <c r="A378" s="169" t="s">
        <v>1038</v>
      </c>
      <c r="B378" s="169" t="s">
        <v>1077</v>
      </c>
      <c r="C378" s="169" t="s">
        <v>1077</v>
      </c>
    </row>
    <row r="379" spans="1:3">
      <c r="A379" s="169" t="s">
        <v>1038</v>
      </c>
      <c r="B379" s="169" t="s">
        <v>1077</v>
      </c>
      <c r="C379" s="169" t="s">
        <v>1077</v>
      </c>
    </row>
    <row r="380" spans="1:3">
      <c r="A380" s="169" t="s">
        <v>1038</v>
      </c>
      <c r="B380" s="169" t="s">
        <v>1077</v>
      </c>
      <c r="C380" s="169" t="s">
        <v>1077</v>
      </c>
    </row>
    <row r="381" spans="1:3">
      <c r="A381" s="169" t="s">
        <v>1038</v>
      </c>
      <c r="B381" s="169" t="s">
        <v>1077</v>
      </c>
      <c r="C381" s="169" t="s">
        <v>1077</v>
      </c>
    </row>
    <row r="382" spans="1:3">
      <c r="A382" s="169" t="s">
        <v>1038</v>
      </c>
      <c r="B382" s="169" t="s">
        <v>1077</v>
      </c>
      <c r="C382" s="169" t="s">
        <v>1077</v>
      </c>
    </row>
    <row r="383" spans="1:3">
      <c r="A383" s="169" t="s">
        <v>1038</v>
      </c>
      <c r="B383" s="169" t="s">
        <v>1077</v>
      </c>
      <c r="C383" s="169" t="s">
        <v>1077</v>
      </c>
    </row>
    <row r="384" spans="1:3">
      <c r="A384" s="169" t="s">
        <v>1038</v>
      </c>
      <c r="B384" s="169" t="s">
        <v>1077</v>
      </c>
      <c r="C384" s="169" t="s">
        <v>1077</v>
      </c>
    </row>
    <row r="385" spans="1:3">
      <c r="A385" s="169" t="s">
        <v>1038</v>
      </c>
      <c r="B385" s="169" t="s">
        <v>1077</v>
      </c>
      <c r="C385" s="169" t="s">
        <v>1077</v>
      </c>
    </row>
    <row r="386" spans="1:3">
      <c r="A386" s="169" t="s">
        <v>1038</v>
      </c>
      <c r="B386" s="169" t="s">
        <v>1077</v>
      </c>
      <c r="C386" s="169" t="s">
        <v>1077</v>
      </c>
    </row>
    <row r="387" spans="1:3">
      <c r="A387" s="169" t="s">
        <v>1038</v>
      </c>
      <c r="B387" s="169" t="s">
        <v>1078</v>
      </c>
      <c r="C387" s="169" t="s">
        <v>1079</v>
      </c>
    </row>
    <row r="388" spans="1:3">
      <c r="A388" s="169" t="s">
        <v>1038</v>
      </c>
      <c r="B388" s="169" t="s">
        <v>1078</v>
      </c>
      <c r="C388" s="169" t="s">
        <v>1079</v>
      </c>
    </row>
    <row r="389" spans="1:3">
      <c r="A389" s="169" t="s">
        <v>1038</v>
      </c>
      <c r="B389" s="169" t="s">
        <v>1078</v>
      </c>
      <c r="C389" s="169" t="s">
        <v>1079</v>
      </c>
    </row>
    <row r="390" spans="1:3">
      <c r="A390" s="169" t="s">
        <v>1038</v>
      </c>
      <c r="B390" s="169" t="s">
        <v>1078</v>
      </c>
      <c r="C390" s="169" t="s">
        <v>1079</v>
      </c>
    </row>
    <row r="391" spans="1:3">
      <c r="A391" s="169" t="s">
        <v>1038</v>
      </c>
      <c r="B391" s="169" t="s">
        <v>1078</v>
      </c>
      <c r="C391" s="169" t="s">
        <v>1079</v>
      </c>
    </row>
    <row r="392" spans="1:3">
      <c r="A392" s="169" t="s">
        <v>1038</v>
      </c>
      <c r="B392" s="169" t="s">
        <v>1078</v>
      </c>
      <c r="C392" s="169" t="s">
        <v>1079</v>
      </c>
    </row>
    <row r="393" spans="1:3">
      <c r="A393" s="169" t="s">
        <v>1038</v>
      </c>
      <c r="B393" s="169" t="s">
        <v>1078</v>
      </c>
      <c r="C393" s="169" t="s">
        <v>1079</v>
      </c>
    </row>
    <row r="394" spans="1:3">
      <c r="A394" s="169" t="s">
        <v>1038</v>
      </c>
      <c r="B394" s="169" t="s">
        <v>1078</v>
      </c>
      <c r="C394" s="169" t="s">
        <v>1079</v>
      </c>
    </row>
    <row r="395" spans="1:3">
      <c r="A395" s="169" t="s">
        <v>1038</v>
      </c>
      <c r="B395" s="169" t="s">
        <v>1078</v>
      </c>
      <c r="C395" s="169" t="s">
        <v>1079</v>
      </c>
    </row>
    <row r="396" spans="1:3">
      <c r="A396" s="169" t="s">
        <v>1038</v>
      </c>
      <c r="B396" s="169" t="s">
        <v>1078</v>
      </c>
      <c r="C396" s="169" t="s">
        <v>1079</v>
      </c>
    </row>
    <row r="397" spans="1:3">
      <c r="A397" s="169" t="s">
        <v>1038</v>
      </c>
      <c r="B397" s="169" t="s">
        <v>1078</v>
      </c>
      <c r="C397" s="169" t="s">
        <v>1079</v>
      </c>
    </row>
    <row r="398" spans="1:3">
      <c r="A398" s="169" t="s">
        <v>1038</v>
      </c>
      <c r="B398" s="169" t="s">
        <v>1078</v>
      </c>
      <c r="C398" s="169" t="s">
        <v>1079</v>
      </c>
    </row>
    <row r="399" spans="1:3">
      <c r="A399" s="169" t="s">
        <v>1038</v>
      </c>
      <c r="B399" s="169" t="s">
        <v>1078</v>
      </c>
      <c r="C399" s="169" t="s">
        <v>1079</v>
      </c>
    </row>
    <row r="400" spans="1:3">
      <c r="A400" s="169" t="s">
        <v>1038</v>
      </c>
      <c r="B400" s="169" t="s">
        <v>1078</v>
      </c>
      <c r="C400" s="169" t="s">
        <v>1079</v>
      </c>
    </row>
    <row r="401" spans="1:3">
      <c r="A401" s="169" t="s">
        <v>1038</v>
      </c>
      <c r="B401" s="169" t="s">
        <v>1078</v>
      </c>
      <c r="C401" s="169" t="s">
        <v>1079</v>
      </c>
    </row>
    <row r="402" spans="1:3">
      <c r="A402" s="169" t="s">
        <v>1038</v>
      </c>
      <c r="B402" s="169" t="s">
        <v>1078</v>
      </c>
      <c r="C402" s="169" t="s">
        <v>1079</v>
      </c>
    </row>
    <row r="403" spans="1:3">
      <c r="A403" s="169" t="s">
        <v>1038</v>
      </c>
      <c r="B403" s="169" t="s">
        <v>1078</v>
      </c>
      <c r="C403" s="169" t="s">
        <v>1079</v>
      </c>
    </row>
    <row r="404" spans="1:3">
      <c r="A404" s="169" t="s">
        <v>1038</v>
      </c>
      <c r="B404" s="169" t="s">
        <v>1078</v>
      </c>
      <c r="C404" s="169" t="s">
        <v>1079</v>
      </c>
    </row>
    <row r="405" spans="1:3">
      <c r="A405" s="169" t="s">
        <v>1038</v>
      </c>
      <c r="B405" s="169" t="s">
        <v>1078</v>
      </c>
      <c r="C405" s="169" t="s">
        <v>1079</v>
      </c>
    </row>
    <row r="406" spans="1:3">
      <c r="A406" s="169" t="s">
        <v>1038</v>
      </c>
      <c r="B406" s="169" t="s">
        <v>1078</v>
      </c>
      <c r="C406" s="169" t="s">
        <v>1081</v>
      </c>
    </row>
    <row r="407" spans="1:3">
      <c r="A407" s="169" t="s">
        <v>1038</v>
      </c>
      <c r="B407" s="169" t="s">
        <v>1078</v>
      </c>
      <c r="C407" s="169" t="s">
        <v>1081</v>
      </c>
    </row>
    <row r="408" spans="1:3">
      <c r="A408" s="169" t="s">
        <v>1038</v>
      </c>
      <c r="B408" s="169" t="s">
        <v>1082</v>
      </c>
      <c r="C408" s="169" t="s">
        <v>1083</v>
      </c>
    </row>
    <row r="409" spans="1:3">
      <c r="A409" s="169" t="s">
        <v>1038</v>
      </c>
      <c r="B409" s="169" t="s">
        <v>1082</v>
      </c>
      <c r="C409" s="169" t="s">
        <v>1083</v>
      </c>
    </row>
    <row r="410" spans="1:3">
      <c r="A410" s="169" t="s">
        <v>1038</v>
      </c>
      <c r="B410" s="169" t="s">
        <v>1082</v>
      </c>
      <c r="C410" s="169" t="s">
        <v>1083</v>
      </c>
    </row>
    <row r="411" spans="1:3">
      <c r="A411" s="169" t="s">
        <v>1038</v>
      </c>
      <c r="B411" s="169" t="s">
        <v>1082</v>
      </c>
      <c r="C411" s="169" t="s">
        <v>1083</v>
      </c>
    </row>
    <row r="412" spans="1:3">
      <c r="A412" s="169" t="s">
        <v>1038</v>
      </c>
      <c r="B412" s="169" t="s">
        <v>1082</v>
      </c>
      <c r="C412" s="169" t="s">
        <v>1083</v>
      </c>
    </row>
    <row r="413" spans="1:3">
      <c r="A413" s="169" t="s">
        <v>1038</v>
      </c>
      <c r="B413" s="169" t="s">
        <v>1082</v>
      </c>
      <c r="C413" s="169" t="s">
        <v>1083</v>
      </c>
    </row>
    <row r="414" spans="1:3">
      <c r="A414" s="169" t="s">
        <v>1038</v>
      </c>
      <c r="B414" s="169" t="s">
        <v>1082</v>
      </c>
      <c r="C414" s="169" t="s">
        <v>1083</v>
      </c>
    </row>
    <row r="415" spans="1:3">
      <c r="A415" s="169" t="s">
        <v>1038</v>
      </c>
      <c r="B415" s="169" t="s">
        <v>1082</v>
      </c>
      <c r="C415" s="169" t="s">
        <v>1083</v>
      </c>
    </row>
    <row r="416" spans="1:3">
      <c r="A416" s="169" t="s">
        <v>1038</v>
      </c>
      <c r="B416" s="169" t="s">
        <v>1082</v>
      </c>
      <c r="C416" s="169" t="s">
        <v>1083</v>
      </c>
    </row>
    <row r="417" spans="1:3">
      <c r="A417" s="169" t="s">
        <v>1038</v>
      </c>
      <c r="B417" s="169" t="s">
        <v>1082</v>
      </c>
      <c r="C417" s="169" t="s">
        <v>1083</v>
      </c>
    </row>
    <row r="418" spans="1:3">
      <c r="A418" s="169" t="s">
        <v>1038</v>
      </c>
      <c r="B418" s="169" t="s">
        <v>1082</v>
      </c>
      <c r="C418" s="169" t="s">
        <v>1083</v>
      </c>
    </row>
    <row r="419" spans="1:3">
      <c r="A419" s="169" t="s">
        <v>1038</v>
      </c>
      <c r="B419" s="169" t="s">
        <v>1082</v>
      </c>
      <c r="C419" s="169" t="s">
        <v>1083</v>
      </c>
    </row>
    <row r="420" spans="1:3">
      <c r="A420" s="169" t="s">
        <v>1038</v>
      </c>
      <c r="B420" s="169" t="s">
        <v>1082</v>
      </c>
      <c r="C420" s="169" t="s">
        <v>1083</v>
      </c>
    </row>
    <row r="421" spans="1:3">
      <c r="A421" s="169" t="s">
        <v>1038</v>
      </c>
      <c r="B421" s="169" t="s">
        <v>1082</v>
      </c>
      <c r="C421" s="169" t="s">
        <v>1083</v>
      </c>
    </row>
    <row r="422" spans="1:3">
      <c r="A422" s="169" t="s">
        <v>1038</v>
      </c>
      <c r="B422" s="169" t="s">
        <v>1082</v>
      </c>
      <c r="C422" s="169" t="s">
        <v>1083</v>
      </c>
    </row>
    <row r="423" spans="1:3">
      <c r="A423" s="169" t="s">
        <v>1038</v>
      </c>
      <c r="B423" s="169" t="s">
        <v>1082</v>
      </c>
      <c r="C423" s="169" t="s">
        <v>1083</v>
      </c>
    </row>
    <row r="424" spans="1:3">
      <c r="A424" s="169" t="s">
        <v>1038</v>
      </c>
      <c r="B424" s="169" t="s">
        <v>1082</v>
      </c>
      <c r="C424" s="169" t="s">
        <v>1083</v>
      </c>
    </row>
    <row r="425" spans="1:3">
      <c r="A425" s="169" t="s">
        <v>1038</v>
      </c>
      <c r="B425" s="169" t="s">
        <v>1082</v>
      </c>
      <c r="C425" s="169" t="s">
        <v>1083</v>
      </c>
    </row>
    <row r="426" spans="1:3">
      <c r="A426" s="169" t="s">
        <v>1038</v>
      </c>
      <c r="B426" s="169" t="s">
        <v>1082</v>
      </c>
      <c r="C426" s="169" t="s">
        <v>1083</v>
      </c>
    </row>
    <row r="427" spans="1:3">
      <c r="A427" s="169" t="s">
        <v>1038</v>
      </c>
      <c r="B427" s="169" t="s">
        <v>1082</v>
      </c>
      <c r="C427" s="169" t="s">
        <v>1083</v>
      </c>
    </row>
    <row r="428" spans="1:3">
      <c r="A428" s="169" t="s">
        <v>1038</v>
      </c>
      <c r="B428" s="169" t="s">
        <v>1082</v>
      </c>
      <c r="C428" s="169" t="s">
        <v>1083</v>
      </c>
    </row>
    <row r="429" spans="1:3">
      <c r="A429" s="169" t="s">
        <v>1038</v>
      </c>
      <c r="B429" s="169" t="s">
        <v>1082</v>
      </c>
      <c r="C429" s="169" t="s">
        <v>1083</v>
      </c>
    </row>
    <row r="430" spans="1:3">
      <c r="A430" s="169" t="s">
        <v>1038</v>
      </c>
      <c r="B430" s="169" t="s">
        <v>1082</v>
      </c>
      <c r="C430" s="169" t="s">
        <v>1083</v>
      </c>
    </row>
    <row r="431" spans="1:3">
      <c r="A431" s="169" t="s">
        <v>1038</v>
      </c>
      <c r="B431" s="169" t="s">
        <v>1082</v>
      </c>
      <c r="C431" s="169" t="s">
        <v>1083</v>
      </c>
    </row>
    <row r="432" spans="1:3">
      <c r="A432" s="169" t="s">
        <v>1038</v>
      </c>
      <c r="B432" s="169" t="s">
        <v>1082</v>
      </c>
      <c r="C432" s="169" t="s">
        <v>1083</v>
      </c>
    </row>
    <row r="433" spans="1:3">
      <c r="A433" s="169" t="s">
        <v>1038</v>
      </c>
      <c r="B433" s="169" t="s">
        <v>1082</v>
      </c>
      <c r="C433" s="169" t="s">
        <v>1083</v>
      </c>
    </row>
    <row r="434" spans="1:3">
      <c r="A434" s="169" t="s">
        <v>1038</v>
      </c>
      <c r="B434" s="169" t="s">
        <v>1082</v>
      </c>
      <c r="C434" s="169" t="s">
        <v>1083</v>
      </c>
    </row>
    <row r="435" spans="1:3">
      <c r="A435" s="169" t="s">
        <v>1038</v>
      </c>
      <c r="B435" s="169" t="s">
        <v>1082</v>
      </c>
      <c r="C435" s="169" t="s">
        <v>1083</v>
      </c>
    </row>
    <row r="436" spans="1:3">
      <c r="A436" s="169" t="s">
        <v>1038</v>
      </c>
      <c r="B436" s="169" t="s">
        <v>1082</v>
      </c>
      <c r="C436" s="169" t="s">
        <v>1083</v>
      </c>
    </row>
    <row r="437" spans="1:3">
      <c r="A437" s="169" t="s">
        <v>1038</v>
      </c>
      <c r="B437" s="169" t="s">
        <v>1082</v>
      </c>
      <c r="C437" s="169" t="s">
        <v>1083</v>
      </c>
    </row>
    <row r="438" spans="1:3">
      <c r="A438" s="169" t="s">
        <v>1038</v>
      </c>
      <c r="B438" s="169" t="s">
        <v>1082</v>
      </c>
      <c r="C438" s="169" t="s">
        <v>1083</v>
      </c>
    </row>
    <row r="439" spans="1:3">
      <c r="A439" s="169" t="s">
        <v>1038</v>
      </c>
      <c r="B439" s="169" t="s">
        <v>1082</v>
      </c>
      <c r="C439" s="169" t="s">
        <v>1083</v>
      </c>
    </row>
    <row r="440" spans="1:3">
      <c r="A440" s="169" t="s">
        <v>1038</v>
      </c>
      <c r="B440" s="169" t="s">
        <v>1084</v>
      </c>
      <c r="C440" s="169" t="s">
        <v>1085</v>
      </c>
    </row>
    <row r="441" spans="1:3">
      <c r="A441" s="169" t="s">
        <v>1038</v>
      </c>
      <c r="B441" s="169" t="s">
        <v>1084</v>
      </c>
      <c r="C441" s="169" t="s">
        <v>1085</v>
      </c>
    </row>
    <row r="442" spans="1:3">
      <c r="A442" s="169" t="s">
        <v>1038</v>
      </c>
      <c r="B442" s="169" t="s">
        <v>1084</v>
      </c>
      <c r="C442" s="169" t="s">
        <v>1085</v>
      </c>
    </row>
    <row r="443" spans="1:3">
      <c r="A443" s="169" t="s">
        <v>1038</v>
      </c>
      <c r="B443" s="169" t="s">
        <v>1084</v>
      </c>
      <c r="C443" s="169" t="s">
        <v>1085</v>
      </c>
    </row>
    <row r="444" spans="1:3">
      <c r="A444" s="169" t="s">
        <v>1038</v>
      </c>
      <c r="B444" s="169" t="s">
        <v>1084</v>
      </c>
      <c r="C444" s="169" t="s">
        <v>1085</v>
      </c>
    </row>
    <row r="445" spans="1:3">
      <c r="A445" s="169" t="s">
        <v>1038</v>
      </c>
      <c r="B445" s="169" t="s">
        <v>1084</v>
      </c>
      <c r="C445" s="169" t="s">
        <v>1085</v>
      </c>
    </row>
    <row r="446" spans="1:3">
      <c r="A446" s="169" t="s">
        <v>1038</v>
      </c>
      <c r="B446" s="169" t="s">
        <v>1084</v>
      </c>
      <c r="C446" s="169" t="s">
        <v>1085</v>
      </c>
    </row>
    <row r="447" spans="1:3">
      <c r="A447" s="169" t="s">
        <v>1038</v>
      </c>
      <c r="B447" s="169" t="s">
        <v>1084</v>
      </c>
      <c r="C447" s="169" t="s">
        <v>1085</v>
      </c>
    </row>
    <row r="448" spans="1:3">
      <c r="A448" s="169" t="s">
        <v>1038</v>
      </c>
      <c r="B448" s="169" t="s">
        <v>1084</v>
      </c>
      <c r="C448" s="169" t="s">
        <v>1085</v>
      </c>
    </row>
    <row r="449" spans="1:3">
      <c r="A449" s="169" t="s">
        <v>1038</v>
      </c>
      <c r="B449" s="169" t="s">
        <v>1084</v>
      </c>
      <c r="C449" s="169" t="s">
        <v>1085</v>
      </c>
    </row>
    <row r="450" spans="1:3">
      <c r="A450" s="169" t="s">
        <v>1038</v>
      </c>
      <c r="B450" s="169" t="s">
        <v>1084</v>
      </c>
      <c r="C450" s="169" t="s">
        <v>1085</v>
      </c>
    </row>
    <row r="451" spans="1:3">
      <c r="A451" s="169" t="s">
        <v>1038</v>
      </c>
      <c r="B451" s="169" t="s">
        <v>1084</v>
      </c>
      <c r="C451" s="169" t="s">
        <v>1085</v>
      </c>
    </row>
    <row r="452" spans="1:3">
      <c r="A452" s="169" t="s">
        <v>1038</v>
      </c>
      <c r="B452" s="169" t="s">
        <v>1084</v>
      </c>
      <c r="C452" s="169" t="s">
        <v>1085</v>
      </c>
    </row>
    <row r="453" spans="1:3">
      <c r="A453" s="169" t="s">
        <v>1038</v>
      </c>
      <c r="B453" s="169" t="s">
        <v>1084</v>
      </c>
      <c r="C453" s="169" t="s">
        <v>1085</v>
      </c>
    </row>
    <row r="454" spans="1:3">
      <c r="A454" s="169" t="s">
        <v>1038</v>
      </c>
      <c r="B454" s="169" t="s">
        <v>1084</v>
      </c>
      <c r="C454" s="169" t="s">
        <v>1085</v>
      </c>
    </row>
    <row r="455" spans="1:3">
      <c r="A455" s="169" t="s">
        <v>1038</v>
      </c>
      <c r="B455" s="169" t="s">
        <v>1084</v>
      </c>
      <c r="C455" s="169" t="s">
        <v>1085</v>
      </c>
    </row>
    <row r="456" spans="1:3">
      <c r="A456" s="169" t="s">
        <v>1038</v>
      </c>
      <c r="B456" s="169" t="s">
        <v>1084</v>
      </c>
      <c r="C456" s="169" t="s">
        <v>1085</v>
      </c>
    </row>
    <row r="457" spans="1:3">
      <c r="A457" s="169" t="s">
        <v>1038</v>
      </c>
      <c r="B457" s="169" t="s">
        <v>1084</v>
      </c>
      <c r="C457" s="169" t="s">
        <v>1085</v>
      </c>
    </row>
    <row r="458" spans="1:3">
      <c r="A458" s="169" t="s">
        <v>1038</v>
      </c>
      <c r="B458" s="169" t="s">
        <v>1084</v>
      </c>
      <c r="C458" s="169" t="s">
        <v>1085</v>
      </c>
    </row>
    <row r="459" spans="1:3">
      <c r="A459" s="169" t="s">
        <v>1038</v>
      </c>
      <c r="B459" s="169" t="s">
        <v>1084</v>
      </c>
      <c r="C459" s="169" t="s">
        <v>1085</v>
      </c>
    </row>
    <row r="460" spans="1:3">
      <c r="A460" s="169" t="s">
        <v>1038</v>
      </c>
      <c r="B460" s="169" t="s">
        <v>1084</v>
      </c>
      <c r="C460" s="169" t="s">
        <v>1085</v>
      </c>
    </row>
    <row r="461" spans="1:3">
      <c r="A461" s="169" t="s">
        <v>1038</v>
      </c>
      <c r="B461" s="169" t="s">
        <v>1084</v>
      </c>
      <c r="C461" s="169" t="s">
        <v>1085</v>
      </c>
    </row>
    <row r="462" spans="1:3">
      <c r="A462" s="169" t="s">
        <v>1038</v>
      </c>
      <c r="B462" s="169" t="s">
        <v>1084</v>
      </c>
      <c r="C462" s="169" t="s">
        <v>1085</v>
      </c>
    </row>
    <row r="463" spans="1:3">
      <c r="A463" s="169" t="s">
        <v>1038</v>
      </c>
      <c r="B463" s="169" t="s">
        <v>1084</v>
      </c>
      <c r="C463" s="169" t="s">
        <v>1085</v>
      </c>
    </row>
    <row r="464" spans="1:3">
      <c r="A464" s="169" t="s">
        <v>1038</v>
      </c>
      <c r="B464" s="169" t="s">
        <v>1084</v>
      </c>
      <c r="C464" s="169" t="s">
        <v>1085</v>
      </c>
    </row>
    <row r="465" spans="1:3">
      <c r="A465" s="169" t="s">
        <v>1038</v>
      </c>
      <c r="B465" s="169" t="s">
        <v>1084</v>
      </c>
      <c r="C465" s="169" t="s">
        <v>1085</v>
      </c>
    </row>
    <row r="466" spans="1:3">
      <c r="A466" s="169" t="s">
        <v>1038</v>
      </c>
      <c r="B466" s="169" t="s">
        <v>1084</v>
      </c>
      <c r="C466" s="169" t="s">
        <v>1085</v>
      </c>
    </row>
    <row r="467" spans="1:3">
      <c r="A467" s="169" t="s">
        <v>1038</v>
      </c>
      <c r="B467" s="169" t="s">
        <v>1084</v>
      </c>
      <c r="C467" s="169" t="s">
        <v>1085</v>
      </c>
    </row>
    <row r="468" spans="1:3">
      <c r="A468" s="169" t="s">
        <v>1038</v>
      </c>
      <c r="B468" s="169" t="s">
        <v>1084</v>
      </c>
      <c r="C468" s="169" t="s">
        <v>1085</v>
      </c>
    </row>
    <row r="469" spans="1:3">
      <c r="A469" s="169" t="s">
        <v>1038</v>
      </c>
      <c r="B469" s="169" t="s">
        <v>1084</v>
      </c>
      <c r="C469" s="169" t="s">
        <v>1085</v>
      </c>
    </row>
    <row r="470" spans="1:3">
      <c r="A470" s="169" t="s">
        <v>1038</v>
      </c>
      <c r="B470" s="169" t="s">
        <v>1084</v>
      </c>
      <c r="C470" s="169" t="s">
        <v>1085</v>
      </c>
    </row>
    <row r="471" spans="1:3">
      <c r="A471" s="169" t="s">
        <v>1038</v>
      </c>
      <c r="B471" s="169" t="s">
        <v>1084</v>
      </c>
      <c r="C471" s="169" t="s">
        <v>1085</v>
      </c>
    </row>
    <row r="472" spans="1:3">
      <c r="A472" s="169" t="s">
        <v>1038</v>
      </c>
      <c r="B472" s="169" t="s">
        <v>1084</v>
      </c>
      <c r="C472" s="169" t="s">
        <v>1085</v>
      </c>
    </row>
    <row r="473" spans="1:3">
      <c r="A473" s="169" t="s">
        <v>1038</v>
      </c>
      <c r="B473" s="169" t="s">
        <v>1084</v>
      </c>
      <c r="C473" s="169" t="s">
        <v>1085</v>
      </c>
    </row>
    <row r="474" spans="1:3">
      <c r="A474" s="169" t="s">
        <v>1038</v>
      </c>
      <c r="B474" s="169" t="s">
        <v>1084</v>
      </c>
      <c r="C474" s="169" t="s">
        <v>1085</v>
      </c>
    </row>
    <row r="475" spans="1:3">
      <c r="A475" s="169" t="s">
        <v>1038</v>
      </c>
      <c r="B475" s="169" t="s">
        <v>1084</v>
      </c>
      <c r="C475" s="169" t="s">
        <v>1085</v>
      </c>
    </row>
    <row r="476" spans="1:3">
      <c r="A476" s="169" t="s">
        <v>1038</v>
      </c>
      <c r="B476" s="169" t="s">
        <v>1084</v>
      </c>
      <c r="C476" s="169" t="s">
        <v>1085</v>
      </c>
    </row>
    <row r="477" spans="1:3">
      <c r="A477" s="169" t="s">
        <v>1038</v>
      </c>
      <c r="B477" s="169" t="s">
        <v>1084</v>
      </c>
      <c r="C477" s="169" t="s">
        <v>1085</v>
      </c>
    </row>
    <row r="478" spans="1:3">
      <c r="A478" s="169" t="s">
        <v>1038</v>
      </c>
      <c r="B478" s="169" t="s">
        <v>1084</v>
      </c>
      <c r="C478" s="169" t="s">
        <v>1085</v>
      </c>
    </row>
    <row r="479" spans="1:3">
      <c r="A479" s="169" t="s">
        <v>1038</v>
      </c>
      <c r="B479" s="169" t="s">
        <v>1086</v>
      </c>
      <c r="C479" s="169" t="s">
        <v>1087</v>
      </c>
    </row>
    <row r="480" spans="1:3">
      <c r="A480" s="169" t="s">
        <v>1038</v>
      </c>
      <c r="B480" s="169" t="s">
        <v>1086</v>
      </c>
      <c r="C480" s="169" t="s">
        <v>1087</v>
      </c>
    </row>
    <row r="481" spans="1:3">
      <c r="A481" s="169" t="s">
        <v>1038</v>
      </c>
      <c r="B481" s="169" t="s">
        <v>1086</v>
      </c>
      <c r="C481" s="169" t="s">
        <v>1087</v>
      </c>
    </row>
    <row r="482" spans="1:3">
      <c r="A482" s="169" t="s">
        <v>1038</v>
      </c>
      <c r="B482" s="169" t="s">
        <v>1086</v>
      </c>
      <c r="C482" s="169" t="s">
        <v>1087</v>
      </c>
    </row>
    <row r="483" spans="1:3">
      <c r="A483" s="169" t="s">
        <v>1038</v>
      </c>
      <c r="B483" s="169" t="s">
        <v>1086</v>
      </c>
      <c r="C483" s="169" t="s">
        <v>1087</v>
      </c>
    </row>
    <row r="484" spans="1:3">
      <c r="A484" s="169" t="s">
        <v>1038</v>
      </c>
      <c r="B484" s="169" t="s">
        <v>1086</v>
      </c>
      <c r="C484" s="169" t="s">
        <v>1087</v>
      </c>
    </row>
    <row r="485" spans="1:3">
      <c r="A485" s="169" t="s">
        <v>1038</v>
      </c>
      <c r="B485" s="169" t="s">
        <v>1086</v>
      </c>
      <c r="C485" s="169" t="s">
        <v>1087</v>
      </c>
    </row>
    <row r="486" spans="1:3">
      <c r="A486" s="169" t="s">
        <v>1038</v>
      </c>
      <c r="B486" s="169" t="s">
        <v>1086</v>
      </c>
      <c r="C486" s="169" t="s">
        <v>1087</v>
      </c>
    </row>
    <row r="487" spans="1:3">
      <c r="A487" s="169" t="s">
        <v>1038</v>
      </c>
      <c r="B487" s="169" t="s">
        <v>1086</v>
      </c>
      <c r="C487" s="169" t="s">
        <v>1087</v>
      </c>
    </row>
    <row r="488" spans="1:3">
      <c r="A488" s="169" t="s">
        <v>1038</v>
      </c>
      <c r="B488" s="169" t="s">
        <v>1086</v>
      </c>
      <c r="C488" s="169" t="s">
        <v>1087</v>
      </c>
    </row>
    <row r="489" spans="1:3">
      <c r="A489" s="169" t="s">
        <v>1038</v>
      </c>
      <c r="B489" s="169" t="s">
        <v>1086</v>
      </c>
      <c r="C489" s="169" t="s">
        <v>1087</v>
      </c>
    </row>
    <row r="490" spans="1:3">
      <c r="A490" s="169" t="s">
        <v>1038</v>
      </c>
      <c r="B490" s="169" t="s">
        <v>1086</v>
      </c>
      <c r="C490" s="169" t="s">
        <v>1087</v>
      </c>
    </row>
    <row r="491" spans="1:3">
      <c r="A491" s="169" t="s">
        <v>1038</v>
      </c>
      <c r="B491" s="169" t="s">
        <v>1086</v>
      </c>
      <c r="C491" s="169" t="s">
        <v>1087</v>
      </c>
    </row>
    <row r="492" spans="1:3">
      <c r="A492" s="169" t="s">
        <v>1038</v>
      </c>
      <c r="B492" s="169" t="s">
        <v>1086</v>
      </c>
      <c r="C492" s="169" t="s">
        <v>1087</v>
      </c>
    </row>
    <row r="493" spans="1:3">
      <c r="A493" s="169" t="s">
        <v>1038</v>
      </c>
      <c r="B493" s="169" t="s">
        <v>1086</v>
      </c>
      <c r="C493" s="169" t="s">
        <v>1087</v>
      </c>
    </row>
    <row r="494" spans="1:3">
      <c r="A494" s="169" t="s">
        <v>1038</v>
      </c>
      <c r="B494" s="169" t="s">
        <v>1086</v>
      </c>
      <c r="C494" s="169" t="s">
        <v>1087</v>
      </c>
    </row>
    <row r="495" spans="1:3">
      <c r="A495" s="169" t="s">
        <v>1038</v>
      </c>
      <c r="B495" s="169" t="s">
        <v>1086</v>
      </c>
      <c r="C495" s="169" t="s">
        <v>1087</v>
      </c>
    </row>
    <row r="496" spans="1:3">
      <c r="A496" s="169" t="s">
        <v>1038</v>
      </c>
      <c r="B496" s="169" t="s">
        <v>1086</v>
      </c>
      <c r="C496" s="169" t="s">
        <v>1087</v>
      </c>
    </row>
    <row r="497" spans="1:3">
      <c r="A497" s="169" t="s">
        <v>1038</v>
      </c>
      <c r="B497" s="169" t="s">
        <v>1086</v>
      </c>
      <c r="C497" s="169" t="s">
        <v>1087</v>
      </c>
    </row>
    <row r="498" spans="1:3">
      <c r="A498" s="169" t="s">
        <v>1038</v>
      </c>
      <c r="B498" s="169" t="s">
        <v>1086</v>
      </c>
      <c r="C498" s="169" t="s">
        <v>1087</v>
      </c>
    </row>
    <row r="499" spans="1:3">
      <c r="A499" s="169" t="s">
        <v>1038</v>
      </c>
      <c r="B499" s="169" t="s">
        <v>1086</v>
      </c>
      <c r="C499" s="169" t="s">
        <v>1087</v>
      </c>
    </row>
    <row r="500" spans="1:3">
      <c r="A500" s="169" t="s">
        <v>1038</v>
      </c>
      <c r="B500" s="169" t="s">
        <v>1086</v>
      </c>
      <c r="C500" s="169" t="s">
        <v>1087</v>
      </c>
    </row>
    <row r="501" spans="1:3">
      <c r="A501" s="169" t="s">
        <v>1038</v>
      </c>
      <c r="B501" s="169" t="s">
        <v>1086</v>
      </c>
      <c r="C501" s="169" t="s">
        <v>1087</v>
      </c>
    </row>
    <row r="502" spans="1:3">
      <c r="A502" s="169" t="s">
        <v>1038</v>
      </c>
      <c r="B502" s="169" t="s">
        <v>1086</v>
      </c>
      <c r="C502" s="169" t="s">
        <v>1087</v>
      </c>
    </row>
    <row r="503" spans="1:3">
      <c r="A503" s="169" t="s">
        <v>1038</v>
      </c>
      <c r="B503" s="169" t="s">
        <v>1086</v>
      </c>
      <c r="C503" s="169" t="s">
        <v>1087</v>
      </c>
    </row>
    <row r="504" spans="1:3">
      <c r="A504" s="169" t="s">
        <v>1038</v>
      </c>
      <c r="B504" s="169" t="s">
        <v>1086</v>
      </c>
      <c r="C504" s="169" t="s">
        <v>1087</v>
      </c>
    </row>
    <row r="505" spans="1:3">
      <c r="A505" s="169" t="s">
        <v>1038</v>
      </c>
      <c r="B505" s="169" t="s">
        <v>1086</v>
      </c>
      <c r="C505" s="169" t="s">
        <v>1087</v>
      </c>
    </row>
    <row r="506" spans="1:3">
      <c r="A506" s="169" t="s">
        <v>1038</v>
      </c>
      <c r="B506" s="169" t="s">
        <v>1086</v>
      </c>
      <c r="C506" s="169" t="s">
        <v>1087</v>
      </c>
    </row>
    <row r="507" spans="1:3">
      <c r="A507" s="169" t="s">
        <v>1038</v>
      </c>
      <c r="B507" s="169" t="s">
        <v>1086</v>
      </c>
      <c r="C507" s="169" t="s">
        <v>1087</v>
      </c>
    </row>
    <row r="508" spans="1:3">
      <c r="A508" s="169" t="s">
        <v>1038</v>
      </c>
      <c r="B508" s="169" t="s">
        <v>1086</v>
      </c>
      <c r="C508" s="169" t="s">
        <v>1087</v>
      </c>
    </row>
    <row r="509" spans="1:3">
      <c r="A509" s="169" t="s">
        <v>1038</v>
      </c>
      <c r="B509" s="169" t="s">
        <v>1086</v>
      </c>
      <c r="C509" s="169" t="s">
        <v>1087</v>
      </c>
    </row>
    <row r="510" spans="1:3">
      <c r="A510" s="169" t="s">
        <v>1038</v>
      </c>
      <c r="B510" s="169" t="s">
        <v>1086</v>
      </c>
      <c r="C510" s="169" t="s">
        <v>1087</v>
      </c>
    </row>
    <row r="511" spans="1:3">
      <c r="A511" s="169" t="s">
        <v>1038</v>
      </c>
      <c r="B511" s="169" t="s">
        <v>1086</v>
      </c>
      <c r="C511" s="169" t="s">
        <v>1087</v>
      </c>
    </row>
    <row r="512" spans="1:3">
      <c r="A512" s="169" t="s">
        <v>1038</v>
      </c>
      <c r="B512" s="169" t="s">
        <v>1086</v>
      </c>
      <c r="C512" s="169" t="s">
        <v>1087</v>
      </c>
    </row>
    <row r="513" spans="1:3">
      <c r="A513" s="169" t="s">
        <v>1038</v>
      </c>
      <c r="B513" s="169" t="s">
        <v>1086</v>
      </c>
      <c r="C513" s="169" t="s">
        <v>1087</v>
      </c>
    </row>
    <row r="514" spans="1:3">
      <c r="A514" s="169" t="s">
        <v>1038</v>
      </c>
      <c r="B514" s="169" t="s">
        <v>1086</v>
      </c>
      <c r="C514" s="169" t="s">
        <v>1087</v>
      </c>
    </row>
    <row r="515" spans="1:3">
      <c r="A515" s="169" t="s">
        <v>1038</v>
      </c>
      <c r="B515" s="169" t="s">
        <v>1086</v>
      </c>
      <c r="C515" s="169" t="s">
        <v>1087</v>
      </c>
    </row>
    <row r="516" spans="1:3">
      <c r="A516" s="169" t="s">
        <v>1038</v>
      </c>
      <c r="B516" s="169" t="s">
        <v>1086</v>
      </c>
      <c r="C516" s="169" t="s">
        <v>1087</v>
      </c>
    </row>
    <row r="517" spans="1:3">
      <c r="A517" s="169" t="s">
        <v>1038</v>
      </c>
      <c r="B517" s="169" t="s">
        <v>1086</v>
      </c>
      <c r="C517" s="169" t="s">
        <v>1087</v>
      </c>
    </row>
    <row r="518" spans="1:3">
      <c r="A518" s="169" t="s">
        <v>1038</v>
      </c>
      <c r="B518" s="169" t="s">
        <v>1086</v>
      </c>
      <c r="C518" s="169" t="s">
        <v>1087</v>
      </c>
    </row>
    <row r="519" spans="1:3">
      <c r="A519" s="169" t="s">
        <v>1038</v>
      </c>
      <c r="B519" s="169" t="s">
        <v>1086</v>
      </c>
      <c r="C519" s="169" t="s">
        <v>1087</v>
      </c>
    </row>
    <row r="520" spans="1:3">
      <c r="A520" s="169" t="s">
        <v>1038</v>
      </c>
      <c r="B520" s="169" t="s">
        <v>1086</v>
      </c>
      <c r="C520" s="169" t="s">
        <v>1087</v>
      </c>
    </row>
    <row r="521" spans="1:3">
      <c r="A521" s="169" t="s">
        <v>1038</v>
      </c>
      <c r="B521" s="169" t="s">
        <v>1086</v>
      </c>
      <c r="C521" s="169" t="s">
        <v>1087</v>
      </c>
    </row>
    <row r="522" spans="1:3">
      <c r="A522" s="169" t="s">
        <v>1038</v>
      </c>
      <c r="B522" s="169" t="s">
        <v>1086</v>
      </c>
      <c r="C522" s="169" t="s">
        <v>1087</v>
      </c>
    </row>
    <row r="523" spans="1:3">
      <c r="A523" s="169" t="s">
        <v>1038</v>
      </c>
      <c r="B523" s="169" t="s">
        <v>1086</v>
      </c>
      <c r="C523" s="169" t="s">
        <v>1087</v>
      </c>
    </row>
    <row r="524" spans="1:3">
      <c r="A524" s="169" t="s">
        <v>1038</v>
      </c>
      <c r="B524" s="169" t="s">
        <v>1086</v>
      </c>
      <c r="C524" s="169" t="s">
        <v>1087</v>
      </c>
    </row>
    <row r="525" spans="1:3">
      <c r="A525" s="169" t="s">
        <v>1038</v>
      </c>
      <c r="B525" s="169" t="s">
        <v>1086</v>
      </c>
      <c r="C525" s="169" t="s">
        <v>1087</v>
      </c>
    </row>
    <row r="526" spans="1:3">
      <c r="A526" s="169" t="s">
        <v>1038</v>
      </c>
      <c r="B526" s="169" t="s">
        <v>1086</v>
      </c>
      <c r="C526" s="169" t="s">
        <v>1087</v>
      </c>
    </row>
    <row r="527" spans="1:3">
      <c r="A527" s="169" t="s">
        <v>1038</v>
      </c>
      <c r="B527" s="169" t="s">
        <v>1086</v>
      </c>
      <c r="C527" s="169" t="s">
        <v>1087</v>
      </c>
    </row>
    <row r="528" spans="1:3">
      <c r="A528" s="169" t="s">
        <v>1038</v>
      </c>
      <c r="B528" s="169" t="s">
        <v>1086</v>
      </c>
      <c r="C528" s="169" t="s">
        <v>1087</v>
      </c>
    </row>
    <row r="529" spans="1:3">
      <c r="A529" s="169" t="s">
        <v>1038</v>
      </c>
      <c r="B529" s="169" t="s">
        <v>1086</v>
      </c>
      <c r="C529" s="169" t="s">
        <v>1087</v>
      </c>
    </row>
    <row r="530" spans="1:3">
      <c r="A530" s="169" t="s">
        <v>1038</v>
      </c>
      <c r="B530" s="169" t="s">
        <v>1086</v>
      </c>
      <c r="C530" s="169" t="s">
        <v>1087</v>
      </c>
    </row>
    <row r="531" spans="1:3">
      <c r="A531" s="169" t="s">
        <v>1038</v>
      </c>
      <c r="B531" s="169" t="s">
        <v>1086</v>
      </c>
      <c r="C531" s="169" t="s">
        <v>1087</v>
      </c>
    </row>
    <row r="532" spans="1:3">
      <c r="A532" s="169" t="s">
        <v>1038</v>
      </c>
      <c r="B532" s="169" t="s">
        <v>1086</v>
      </c>
      <c r="C532" s="169" t="s">
        <v>1087</v>
      </c>
    </row>
    <row r="533" spans="1:3">
      <c r="A533" s="169" t="s">
        <v>1038</v>
      </c>
      <c r="B533" s="169" t="s">
        <v>1086</v>
      </c>
      <c r="C533" s="169" t="s">
        <v>1087</v>
      </c>
    </row>
    <row r="534" spans="1:3">
      <c r="A534" s="169" t="s">
        <v>1038</v>
      </c>
      <c r="B534" s="169" t="s">
        <v>1086</v>
      </c>
      <c r="C534" s="169" t="s">
        <v>1087</v>
      </c>
    </row>
    <row r="535" spans="1:3">
      <c r="A535" s="169" t="s">
        <v>1038</v>
      </c>
      <c r="B535" s="169" t="s">
        <v>1086</v>
      </c>
      <c r="C535" s="169" t="s">
        <v>1088</v>
      </c>
    </row>
    <row r="536" spans="1:3">
      <c r="A536" s="169" t="s">
        <v>1038</v>
      </c>
      <c r="B536" s="169" t="s">
        <v>1086</v>
      </c>
      <c r="C536" s="169" t="s">
        <v>1088</v>
      </c>
    </row>
    <row r="537" spans="1:3">
      <c r="A537" s="169" t="s">
        <v>1038</v>
      </c>
      <c r="B537" s="169" t="s">
        <v>1086</v>
      </c>
      <c r="C537" s="169" t="s">
        <v>1088</v>
      </c>
    </row>
    <row r="538" spans="1:3">
      <c r="A538" s="169" t="s">
        <v>1038</v>
      </c>
      <c r="B538" s="169" t="s">
        <v>1086</v>
      </c>
      <c r="C538" s="169" t="s">
        <v>1088</v>
      </c>
    </row>
    <row r="539" spans="1:3">
      <c r="A539" s="169" t="s">
        <v>1038</v>
      </c>
      <c r="B539" s="169" t="s">
        <v>1086</v>
      </c>
      <c r="C539" s="169" t="s">
        <v>1088</v>
      </c>
    </row>
    <row r="540" spans="1:3">
      <c r="A540" s="169" t="s">
        <v>1038</v>
      </c>
      <c r="B540" s="169" t="s">
        <v>1086</v>
      </c>
      <c r="C540" s="169" t="s">
        <v>1088</v>
      </c>
    </row>
    <row r="541" spans="1:3">
      <c r="A541" s="169" t="s">
        <v>1038</v>
      </c>
      <c r="B541" s="169" t="s">
        <v>1086</v>
      </c>
      <c r="C541" s="169" t="s">
        <v>1088</v>
      </c>
    </row>
    <row r="542" spans="1:3">
      <c r="A542" s="169" t="s">
        <v>1038</v>
      </c>
      <c r="B542" s="169" t="s">
        <v>1086</v>
      </c>
      <c r="C542" s="169" t="s">
        <v>1088</v>
      </c>
    </row>
    <row r="543" spans="1:3">
      <c r="A543" s="169" t="s">
        <v>1038</v>
      </c>
      <c r="B543" s="169" t="s">
        <v>1086</v>
      </c>
      <c r="C543" s="169" t="s">
        <v>1088</v>
      </c>
    </row>
    <row r="544" spans="1:3">
      <c r="A544" s="169" t="s">
        <v>1038</v>
      </c>
      <c r="B544" s="169" t="s">
        <v>1086</v>
      </c>
      <c r="C544" s="169" t="s">
        <v>1088</v>
      </c>
    </row>
    <row r="545" spans="1:3">
      <c r="A545" s="169" t="s">
        <v>1038</v>
      </c>
      <c r="B545" s="169" t="s">
        <v>1086</v>
      </c>
      <c r="C545" s="169" t="s">
        <v>1088</v>
      </c>
    </row>
    <row r="546" spans="1:3">
      <c r="A546" s="169" t="s">
        <v>1038</v>
      </c>
      <c r="B546" s="169" t="s">
        <v>1086</v>
      </c>
      <c r="C546" s="169" t="s">
        <v>1089</v>
      </c>
    </row>
    <row r="547" spans="1:3">
      <c r="A547" s="169" t="s">
        <v>1038</v>
      </c>
      <c r="B547" s="169" t="s">
        <v>1086</v>
      </c>
      <c r="C547" s="169" t="s">
        <v>1089</v>
      </c>
    </row>
    <row r="548" spans="1:3">
      <c r="A548" s="169" t="s">
        <v>1038</v>
      </c>
      <c r="B548" s="169" t="s">
        <v>1086</v>
      </c>
      <c r="C548" s="169" t="s">
        <v>1089</v>
      </c>
    </row>
    <row r="549" spans="1:3">
      <c r="A549" s="169" t="s">
        <v>1038</v>
      </c>
      <c r="B549" s="169" t="s">
        <v>1086</v>
      </c>
      <c r="C549" s="169" t="s">
        <v>1089</v>
      </c>
    </row>
    <row r="550" spans="1:3">
      <c r="A550" s="169" t="s">
        <v>1038</v>
      </c>
      <c r="B550" s="169" t="s">
        <v>1086</v>
      </c>
      <c r="C550" s="169" t="s">
        <v>1089</v>
      </c>
    </row>
    <row r="551" spans="1:3">
      <c r="A551" s="169" t="s">
        <v>1038</v>
      </c>
      <c r="B551" s="169" t="s">
        <v>1086</v>
      </c>
      <c r="C551" s="169" t="s">
        <v>1089</v>
      </c>
    </row>
    <row r="552" spans="1:3">
      <c r="A552" s="169" t="s">
        <v>1038</v>
      </c>
      <c r="B552" s="169" t="s">
        <v>1086</v>
      </c>
      <c r="C552" s="169" t="s">
        <v>1089</v>
      </c>
    </row>
    <row r="553" spans="1:3">
      <c r="A553" s="169" t="s">
        <v>1038</v>
      </c>
      <c r="B553" s="169" t="s">
        <v>1086</v>
      </c>
      <c r="C553" s="169" t="s">
        <v>1089</v>
      </c>
    </row>
    <row r="554" spans="1:3">
      <c r="A554" s="169" t="s">
        <v>1038</v>
      </c>
      <c r="B554" s="169" t="s">
        <v>1086</v>
      </c>
      <c r="C554" s="169" t="s">
        <v>1089</v>
      </c>
    </row>
    <row r="555" spans="1:3">
      <c r="A555" s="169" t="s">
        <v>1038</v>
      </c>
      <c r="B555" s="169" t="s">
        <v>1086</v>
      </c>
      <c r="C555" s="169" t="s">
        <v>1089</v>
      </c>
    </row>
    <row r="556" spans="1:3">
      <c r="A556" s="169" t="s">
        <v>1038</v>
      </c>
      <c r="B556" s="169" t="s">
        <v>1090</v>
      </c>
      <c r="C556" s="169" t="s">
        <v>1091</v>
      </c>
    </row>
    <row r="557" spans="1:3">
      <c r="A557" s="169" t="s">
        <v>1038</v>
      </c>
      <c r="B557" s="169" t="s">
        <v>1090</v>
      </c>
      <c r="C557" s="169" t="s">
        <v>1091</v>
      </c>
    </row>
    <row r="558" spans="1:3">
      <c r="A558" s="169" t="s">
        <v>1038</v>
      </c>
      <c r="B558" s="169" t="s">
        <v>1090</v>
      </c>
      <c r="C558" s="169" t="s">
        <v>1091</v>
      </c>
    </row>
    <row r="559" spans="1:3">
      <c r="A559" s="169" t="s">
        <v>1038</v>
      </c>
      <c r="B559" s="169" t="s">
        <v>1090</v>
      </c>
      <c r="C559" s="169" t="s">
        <v>1091</v>
      </c>
    </row>
    <row r="560" spans="1:3">
      <c r="A560" s="169" t="s">
        <v>1038</v>
      </c>
      <c r="B560" s="169" t="s">
        <v>1090</v>
      </c>
      <c r="C560" s="169" t="s">
        <v>1091</v>
      </c>
    </row>
    <row r="561" spans="1:3">
      <c r="A561" s="169" t="s">
        <v>1038</v>
      </c>
      <c r="B561" s="169" t="s">
        <v>1090</v>
      </c>
      <c r="C561" s="169" t="s">
        <v>1091</v>
      </c>
    </row>
    <row r="562" spans="1:3">
      <c r="A562" s="169" t="s">
        <v>1038</v>
      </c>
      <c r="B562" s="169" t="s">
        <v>1090</v>
      </c>
      <c r="C562" s="169" t="s">
        <v>1091</v>
      </c>
    </row>
    <row r="563" spans="1:3">
      <c r="A563" s="169" t="s">
        <v>1038</v>
      </c>
      <c r="B563" s="169" t="s">
        <v>1090</v>
      </c>
      <c r="C563" s="169" t="s">
        <v>1092</v>
      </c>
    </row>
    <row r="564" spans="1:3">
      <c r="A564" s="169" t="s">
        <v>1038</v>
      </c>
      <c r="B564" s="169" t="s">
        <v>1090</v>
      </c>
      <c r="C564" s="169" t="s">
        <v>1092</v>
      </c>
    </row>
    <row r="565" spans="1:3">
      <c r="A565" s="169" t="s">
        <v>1038</v>
      </c>
      <c r="B565" s="169" t="s">
        <v>1090</v>
      </c>
      <c r="C565" s="169" t="s">
        <v>1092</v>
      </c>
    </row>
    <row r="566" spans="1:3">
      <c r="A566" s="169" t="s">
        <v>1038</v>
      </c>
      <c r="B566" s="169" t="s">
        <v>1090</v>
      </c>
      <c r="C566" s="169" t="s">
        <v>1092</v>
      </c>
    </row>
    <row r="567" spans="1:3">
      <c r="A567" s="169" t="s">
        <v>1038</v>
      </c>
      <c r="B567" s="169" t="s">
        <v>1090</v>
      </c>
      <c r="C567" s="169" t="s">
        <v>1093</v>
      </c>
    </row>
    <row r="568" spans="1:3">
      <c r="A568" s="169" t="s">
        <v>1038</v>
      </c>
      <c r="B568" s="169" t="s">
        <v>1090</v>
      </c>
      <c r="C568" s="169" t="s">
        <v>1094</v>
      </c>
    </row>
    <row r="569" spans="1:3">
      <c r="A569" s="169" t="s">
        <v>1038</v>
      </c>
      <c r="B569" s="169" t="s">
        <v>1090</v>
      </c>
      <c r="C569" s="169" t="s">
        <v>1094</v>
      </c>
    </row>
    <row r="570" spans="1:3">
      <c r="A570" s="169" t="s">
        <v>1038</v>
      </c>
      <c r="B570" s="169" t="s">
        <v>1090</v>
      </c>
      <c r="C570" s="169" t="s">
        <v>1094</v>
      </c>
    </row>
    <row r="571" spans="1:3">
      <c r="A571" s="169" t="s">
        <v>1038</v>
      </c>
      <c r="B571" s="169" t="s">
        <v>1095</v>
      </c>
      <c r="C571" s="169" t="s">
        <v>1096</v>
      </c>
    </row>
    <row r="572" spans="1:3">
      <c r="A572" s="169" t="s">
        <v>1038</v>
      </c>
      <c r="B572" s="169" t="s">
        <v>1095</v>
      </c>
      <c r="C572" s="169" t="s">
        <v>1096</v>
      </c>
    </row>
    <row r="573" spans="1:3">
      <c r="A573" s="169" t="s">
        <v>1038</v>
      </c>
      <c r="B573" s="169" t="s">
        <v>1095</v>
      </c>
      <c r="C573" s="169" t="s">
        <v>1096</v>
      </c>
    </row>
    <row r="574" spans="1:3">
      <c r="A574" s="169" t="s">
        <v>1038</v>
      </c>
      <c r="B574" s="169" t="s">
        <v>1095</v>
      </c>
      <c r="C574" s="169" t="s">
        <v>1096</v>
      </c>
    </row>
    <row r="575" spans="1:3">
      <c r="A575" s="169" t="s">
        <v>1038</v>
      </c>
      <c r="B575" s="169" t="s">
        <v>1095</v>
      </c>
      <c r="C575" s="169" t="s">
        <v>1096</v>
      </c>
    </row>
    <row r="576" spans="1:3">
      <c r="A576" s="169" t="s">
        <v>1038</v>
      </c>
      <c r="B576" s="169" t="s">
        <v>1095</v>
      </c>
      <c r="C576" s="169" t="s">
        <v>1096</v>
      </c>
    </row>
    <row r="577" spans="1:3">
      <c r="A577" s="169" t="s">
        <v>1038</v>
      </c>
      <c r="B577" s="169" t="s">
        <v>1095</v>
      </c>
      <c r="C577" s="169" t="s">
        <v>1097</v>
      </c>
    </row>
    <row r="578" spans="1:3">
      <c r="A578" s="169" t="s">
        <v>1038</v>
      </c>
      <c r="B578" s="169" t="s">
        <v>1095</v>
      </c>
      <c r="C578" s="169" t="s">
        <v>1097</v>
      </c>
    </row>
    <row r="579" spans="1:3">
      <c r="A579" s="169" t="s">
        <v>1038</v>
      </c>
      <c r="B579" s="169" t="s">
        <v>1095</v>
      </c>
      <c r="C579" s="169" t="s">
        <v>1097</v>
      </c>
    </row>
    <row r="580" spans="1:3">
      <c r="A580" s="169" t="s">
        <v>1038</v>
      </c>
      <c r="B580" s="169" t="s">
        <v>1098</v>
      </c>
      <c r="C580" s="169" t="s">
        <v>1098</v>
      </c>
    </row>
    <row r="581" spans="1:3">
      <c r="A581" s="169" t="s">
        <v>1038</v>
      </c>
      <c r="B581" s="169" t="s">
        <v>1098</v>
      </c>
      <c r="C581" s="169" t="s">
        <v>1098</v>
      </c>
    </row>
    <row r="582" spans="1:3">
      <c r="A582" s="169" t="s">
        <v>1038</v>
      </c>
      <c r="B582" s="169" t="s">
        <v>1098</v>
      </c>
      <c r="C582" s="169" t="s">
        <v>1098</v>
      </c>
    </row>
    <row r="583" spans="1:3">
      <c r="A583" s="169" t="s">
        <v>1038</v>
      </c>
      <c r="B583" s="169" t="s">
        <v>1098</v>
      </c>
      <c r="C583" s="169" t="s">
        <v>1098</v>
      </c>
    </row>
    <row r="584" spans="1:3">
      <c r="A584" s="169" t="s">
        <v>1038</v>
      </c>
      <c r="B584" s="169" t="s">
        <v>1098</v>
      </c>
      <c r="C584" s="169" t="s">
        <v>1098</v>
      </c>
    </row>
    <row r="585" spans="1:3">
      <c r="A585" s="169" t="s">
        <v>1038</v>
      </c>
      <c r="B585" s="169" t="s">
        <v>1098</v>
      </c>
      <c r="C585" s="169" t="s">
        <v>1098</v>
      </c>
    </row>
    <row r="586" spans="1:3">
      <c r="A586" s="169" t="s">
        <v>1038</v>
      </c>
      <c r="B586" s="169" t="s">
        <v>1098</v>
      </c>
      <c r="C586" s="169" t="s">
        <v>1098</v>
      </c>
    </row>
    <row r="587" spans="1:3">
      <c r="A587" s="169" t="s">
        <v>1038</v>
      </c>
      <c r="B587" s="169" t="s">
        <v>1098</v>
      </c>
      <c r="C587" s="169" t="s">
        <v>1099</v>
      </c>
    </row>
    <row r="588" spans="1:3">
      <c r="A588" s="169" t="s">
        <v>1038</v>
      </c>
      <c r="B588" s="169" t="s">
        <v>1098</v>
      </c>
      <c r="C588" s="169" t="s">
        <v>1099</v>
      </c>
    </row>
    <row r="589" spans="1:3">
      <c r="A589" s="169" t="s">
        <v>1038</v>
      </c>
      <c r="B589" s="169" t="s">
        <v>1098</v>
      </c>
      <c r="C589" s="169" t="s">
        <v>1099</v>
      </c>
    </row>
    <row r="590" spans="1:3">
      <c r="A590" s="169" t="s">
        <v>1038</v>
      </c>
      <c r="B590" s="169" t="s">
        <v>1098</v>
      </c>
      <c r="C590" s="169" t="s">
        <v>1099</v>
      </c>
    </row>
    <row r="591" spans="1:3">
      <c r="A591" s="169" t="s">
        <v>1038</v>
      </c>
      <c r="B591" s="169" t="s">
        <v>1098</v>
      </c>
      <c r="C591" s="169" t="s">
        <v>1099</v>
      </c>
    </row>
    <row r="592" spans="1:3">
      <c r="A592" s="169" t="s">
        <v>1038</v>
      </c>
      <c r="B592" s="169" t="s">
        <v>1098</v>
      </c>
      <c r="C592" s="169" t="s">
        <v>1099</v>
      </c>
    </row>
    <row r="593" spans="1:3">
      <c r="A593" s="169" t="s">
        <v>1038</v>
      </c>
      <c r="B593" s="169" t="s">
        <v>1098</v>
      </c>
      <c r="C593" s="169" t="s">
        <v>1099</v>
      </c>
    </row>
    <row r="594" spans="1:3">
      <c r="A594" s="169" t="s">
        <v>1038</v>
      </c>
      <c r="B594" s="169" t="s">
        <v>1098</v>
      </c>
      <c r="C594" s="169" t="s">
        <v>1100</v>
      </c>
    </row>
    <row r="595" spans="1:3">
      <c r="A595" s="169" t="s">
        <v>1038</v>
      </c>
      <c r="B595" s="169" t="s">
        <v>1098</v>
      </c>
      <c r="C595" s="169" t="s">
        <v>1100</v>
      </c>
    </row>
    <row r="596" spans="1:3">
      <c r="A596" s="169" t="s">
        <v>1038</v>
      </c>
      <c r="B596" s="169" t="s">
        <v>1098</v>
      </c>
      <c r="C596" s="169" t="s">
        <v>1100</v>
      </c>
    </row>
    <row r="597" spans="1:3">
      <c r="A597" s="169" t="s">
        <v>1038</v>
      </c>
      <c r="B597" s="169" t="s">
        <v>1098</v>
      </c>
      <c r="C597" s="169" t="s">
        <v>1100</v>
      </c>
    </row>
    <row r="598" spans="1:3">
      <c r="A598" s="169" t="s">
        <v>1038</v>
      </c>
      <c r="B598" s="169" t="s">
        <v>1098</v>
      </c>
      <c r="C598" s="169" t="s">
        <v>1100</v>
      </c>
    </row>
    <row r="599" spans="1:3">
      <c r="A599" s="169" t="s">
        <v>1038</v>
      </c>
      <c r="B599" s="169" t="s">
        <v>1098</v>
      </c>
      <c r="C599" s="169" t="s">
        <v>1100</v>
      </c>
    </row>
    <row r="600" spans="1:3">
      <c r="A600" s="169" t="s">
        <v>1038</v>
      </c>
      <c r="B600" s="169" t="s">
        <v>1098</v>
      </c>
      <c r="C600" s="169" t="s">
        <v>1100</v>
      </c>
    </row>
    <row r="601" spans="1:3">
      <c r="A601" s="169" t="s">
        <v>1038</v>
      </c>
      <c r="B601" s="169" t="s">
        <v>1098</v>
      </c>
      <c r="C601" s="169" t="s">
        <v>1100</v>
      </c>
    </row>
    <row r="602" spans="1:3">
      <c r="A602" s="169" t="s">
        <v>1038</v>
      </c>
      <c r="B602" s="169" t="s">
        <v>1098</v>
      </c>
      <c r="C602" s="169" t="s">
        <v>1100</v>
      </c>
    </row>
    <row r="603" spans="1:3">
      <c r="A603" s="169" t="s">
        <v>1038</v>
      </c>
      <c r="B603" s="169" t="s">
        <v>1098</v>
      </c>
      <c r="C603" s="169" t="s">
        <v>1100</v>
      </c>
    </row>
    <row r="604" spans="1:3">
      <c r="A604" s="169" t="s">
        <v>1038</v>
      </c>
      <c r="B604" s="169" t="s">
        <v>1101</v>
      </c>
      <c r="C604" s="169" t="s">
        <v>1102</v>
      </c>
    </row>
    <row r="605" spans="1:3">
      <c r="A605" s="169" t="s">
        <v>1038</v>
      </c>
      <c r="B605" s="169" t="s">
        <v>1101</v>
      </c>
      <c r="C605" s="169" t="s">
        <v>1102</v>
      </c>
    </row>
    <row r="606" spans="1:3">
      <c r="A606" s="169" t="s">
        <v>1038</v>
      </c>
      <c r="B606" s="169" t="s">
        <v>1101</v>
      </c>
      <c r="C606" s="169" t="s">
        <v>1102</v>
      </c>
    </row>
    <row r="607" spans="1:3">
      <c r="A607" s="169" t="s">
        <v>1038</v>
      </c>
      <c r="B607" s="169" t="s">
        <v>1101</v>
      </c>
      <c r="C607" s="169" t="s">
        <v>1102</v>
      </c>
    </row>
    <row r="608" spans="1:3">
      <c r="A608" s="169" t="s">
        <v>1038</v>
      </c>
      <c r="B608" s="169" t="s">
        <v>1101</v>
      </c>
      <c r="C608" s="169" t="s">
        <v>1102</v>
      </c>
    </row>
    <row r="609" spans="1:3">
      <c r="A609" s="169" t="s">
        <v>1038</v>
      </c>
      <c r="B609" s="169" t="s">
        <v>1101</v>
      </c>
      <c r="C609" s="169" t="s">
        <v>1102</v>
      </c>
    </row>
    <row r="610" spans="1:3">
      <c r="A610" s="169" t="s">
        <v>1038</v>
      </c>
      <c r="B610" s="169" t="s">
        <v>1101</v>
      </c>
      <c r="C610" s="169" t="s">
        <v>1102</v>
      </c>
    </row>
    <row r="611" spans="1:3">
      <c r="A611" s="169" t="s">
        <v>1038</v>
      </c>
      <c r="B611" s="169" t="s">
        <v>1101</v>
      </c>
      <c r="C611" s="169" t="s">
        <v>1102</v>
      </c>
    </row>
    <row r="612" spans="1:3">
      <c r="A612" s="169" t="s">
        <v>1038</v>
      </c>
      <c r="B612" s="169" t="s">
        <v>1101</v>
      </c>
      <c r="C612" s="169" t="s">
        <v>1102</v>
      </c>
    </row>
    <row r="613" spans="1:3">
      <c r="A613" s="169" t="s">
        <v>1038</v>
      </c>
      <c r="B613" s="169" t="s">
        <v>1101</v>
      </c>
      <c r="C613" s="169" t="s">
        <v>1102</v>
      </c>
    </row>
    <row r="614" spans="1:3">
      <c r="A614" s="169" t="s">
        <v>1038</v>
      </c>
      <c r="B614" s="169" t="s">
        <v>1101</v>
      </c>
      <c r="C614" s="169" t="s">
        <v>1102</v>
      </c>
    </row>
    <row r="615" spans="1:3">
      <c r="A615" s="169" t="s">
        <v>1038</v>
      </c>
      <c r="B615" s="169" t="s">
        <v>1101</v>
      </c>
      <c r="C615" s="169" t="s">
        <v>1102</v>
      </c>
    </row>
    <row r="616" spans="1:3">
      <c r="A616" s="169" t="s">
        <v>1038</v>
      </c>
      <c r="B616" s="169" t="s">
        <v>1101</v>
      </c>
      <c r="C616" s="169" t="s">
        <v>1102</v>
      </c>
    </row>
    <row r="617" spans="1:3">
      <c r="A617" s="169" t="s">
        <v>1038</v>
      </c>
      <c r="B617" s="169" t="s">
        <v>1101</v>
      </c>
      <c r="C617" s="169" t="s">
        <v>1102</v>
      </c>
    </row>
    <row r="618" spans="1:3">
      <c r="A618" s="169" t="s">
        <v>1038</v>
      </c>
      <c r="B618" s="169" t="s">
        <v>1101</v>
      </c>
      <c r="C618" s="169" t="s">
        <v>1102</v>
      </c>
    </row>
    <row r="619" spans="1:3">
      <c r="A619" s="169" t="s">
        <v>1038</v>
      </c>
      <c r="B619" s="169" t="s">
        <v>1101</v>
      </c>
      <c r="C619" s="169" t="s">
        <v>1102</v>
      </c>
    </row>
    <row r="620" spans="1:3">
      <c r="A620" s="169" t="s">
        <v>1038</v>
      </c>
      <c r="B620" s="169" t="s">
        <v>1101</v>
      </c>
      <c r="C620" s="169" t="s">
        <v>1102</v>
      </c>
    </row>
    <row r="621" spans="1:3">
      <c r="A621" s="169" t="s">
        <v>1038</v>
      </c>
      <c r="B621" s="169" t="s">
        <v>1101</v>
      </c>
      <c r="C621" s="169" t="s">
        <v>1103</v>
      </c>
    </row>
    <row r="622" spans="1:3">
      <c r="A622" s="169" t="s">
        <v>1038</v>
      </c>
      <c r="B622" s="169" t="s">
        <v>1101</v>
      </c>
      <c r="C622" s="169" t="s">
        <v>1103</v>
      </c>
    </row>
    <row r="623" spans="1:3">
      <c r="A623" s="169" t="s">
        <v>1038</v>
      </c>
      <c r="B623" s="169" t="s">
        <v>1101</v>
      </c>
      <c r="C623" s="169" t="s">
        <v>1103</v>
      </c>
    </row>
    <row r="624" spans="1:3">
      <c r="A624" s="169" t="s">
        <v>1038</v>
      </c>
      <c r="B624" s="169" t="s">
        <v>1101</v>
      </c>
      <c r="C624" s="169" t="s">
        <v>1103</v>
      </c>
    </row>
    <row r="625" spans="1:3">
      <c r="A625" s="169" t="s">
        <v>1038</v>
      </c>
      <c r="B625" s="169" t="s">
        <v>1101</v>
      </c>
      <c r="C625" s="169" t="s">
        <v>1103</v>
      </c>
    </row>
    <row r="626" spans="1:3">
      <c r="A626" s="169" t="s">
        <v>1038</v>
      </c>
      <c r="B626" s="169" t="s">
        <v>1101</v>
      </c>
      <c r="C626" s="169" t="s">
        <v>1103</v>
      </c>
    </row>
    <row r="627" spans="1:3">
      <c r="A627" s="169" t="s">
        <v>1038</v>
      </c>
      <c r="B627" s="169" t="s">
        <v>1101</v>
      </c>
      <c r="C627" s="169" t="s">
        <v>1103</v>
      </c>
    </row>
    <row r="628" spans="1:3">
      <c r="A628" s="169" t="s">
        <v>1038</v>
      </c>
      <c r="B628" s="169" t="s">
        <v>1101</v>
      </c>
      <c r="C628" s="169" t="s">
        <v>1103</v>
      </c>
    </row>
    <row r="629" spans="1:3">
      <c r="A629" s="169" t="s">
        <v>1038</v>
      </c>
      <c r="B629" s="169" t="s">
        <v>1101</v>
      </c>
      <c r="C629" s="169" t="s">
        <v>1103</v>
      </c>
    </row>
    <row r="630" spans="1:3">
      <c r="A630" s="169" t="s">
        <v>1038</v>
      </c>
      <c r="B630" s="169" t="s">
        <v>1101</v>
      </c>
      <c r="C630" s="169" t="s">
        <v>1103</v>
      </c>
    </row>
    <row r="631" spans="1:3">
      <c r="A631" s="169" t="s">
        <v>1038</v>
      </c>
      <c r="B631" s="169" t="s">
        <v>1101</v>
      </c>
      <c r="C631" s="169" t="s">
        <v>1103</v>
      </c>
    </row>
    <row r="632" spans="1:3">
      <c r="A632" s="169" t="s">
        <v>1038</v>
      </c>
      <c r="B632" s="169" t="s">
        <v>1101</v>
      </c>
      <c r="C632" s="169" t="s">
        <v>1103</v>
      </c>
    </row>
    <row r="633" spans="1:3">
      <c r="A633" s="169" t="s">
        <v>1038</v>
      </c>
      <c r="B633" s="169" t="s">
        <v>1101</v>
      </c>
      <c r="C633" s="169" t="s">
        <v>1103</v>
      </c>
    </row>
    <row r="634" spans="1:3">
      <c r="A634" s="169" t="s">
        <v>1038</v>
      </c>
      <c r="B634" s="169" t="s">
        <v>1101</v>
      </c>
      <c r="C634" s="169" t="s">
        <v>1104</v>
      </c>
    </row>
    <row r="635" spans="1:3">
      <c r="A635" s="169" t="s">
        <v>1038</v>
      </c>
      <c r="B635" s="169" t="s">
        <v>1101</v>
      </c>
      <c r="C635" s="169" t="s">
        <v>1104</v>
      </c>
    </row>
    <row r="636" spans="1:3">
      <c r="A636" s="169" t="s">
        <v>1038</v>
      </c>
      <c r="B636" s="169" t="s">
        <v>1101</v>
      </c>
      <c r="C636" s="169" t="s">
        <v>1104</v>
      </c>
    </row>
    <row r="637" spans="1:3">
      <c r="A637" s="169" t="s">
        <v>1038</v>
      </c>
      <c r="B637" s="169" t="s">
        <v>1105</v>
      </c>
      <c r="C637" s="169" t="s">
        <v>1106</v>
      </c>
    </row>
    <row r="638" spans="1:3">
      <c r="A638" s="169" t="s">
        <v>1038</v>
      </c>
      <c r="B638" s="169" t="s">
        <v>1105</v>
      </c>
      <c r="C638" s="169" t="s">
        <v>1106</v>
      </c>
    </row>
    <row r="639" spans="1:3">
      <c r="A639" s="169" t="s">
        <v>1038</v>
      </c>
      <c r="B639" s="169" t="s">
        <v>1105</v>
      </c>
      <c r="C639" s="169" t="s">
        <v>1106</v>
      </c>
    </row>
    <row r="640" spans="1:3">
      <c r="A640" s="169" t="s">
        <v>1038</v>
      </c>
      <c r="B640" s="169" t="s">
        <v>1105</v>
      </c>
      <c r="C640" s="169" t="s">
        <v>1106</v>
      </c>
    </row>
    <row r="641" spans="1:3">
      <c r="A641" s="169" t="s">
        <v>1038</v>
      </c>
      <c r="B641" s="169" t="s">
        <v>1105</v>
      </c>
      <c r="C641" s="169" t="s">
        <v>1106</v>
      </c>
    </row>
    <row r="642" spans="1:3">
      <c r="A642" s="169" t="s">
        <v>1038</v>
      </c>
      <c r="B642" s="169" t="s">
        <v>1105</v>
      </c>
      <c r="C642" s="169" t="s">
        <v>1106</v>
      </c>
    </row>
    <row r="643" spans="1:3">
      <c r="A643" s="169" t="s">
        <v>1038</v>
      </c>
      <c r="B643" s="169" t="s">
        <v>1105</v>
      </c>
      <c r="C643" s="169" t="s">
        <v>1106</v>
      </c>
    </row>
    <row r="644" spans="1:3">
      <c r="A644" s="169" t="s">
        <v>1038</v>
      </c>
      <c r="B644" s="169" t="s">
        <v>1105</v>
      </c>
      <c r="C644" s="169" t="s">
        <v>1106</v>
      </c>
    </row>
    <row r="645" spans="1:3">
      <c r="A645" s="169" t="s">
        <v>1038</v>
      </c>
      <c r="B645" s="169" t="s">
        <v>1105</v>
      </c>
      <c r="C645" s="169" t="s">
        <v>1106</v>
      </c>
    </row>
    <row r="646" spans="1:3">
      <c r="A646" s="169" t="s">
        <v>1038</v>
      </c>
      <c r="B646" s="169" t="s">
        <v>1107</v>
      </c>
      <c r="C646" s="169" t="s">
        <v>1108</v>
      </c>
    </row>
    <row r="647" spans="1:3">
      <c r="A647" s="169" t="s">
        <v>1038</v>
      </c>
      <c r="B647" s="169" t="s">
        <v>1107</v>
      </c>
      <c r="C647" s="169" t="s">
        <v>1108</v>
      </c>
    </row>
    <row r="648" spans="1:3">
      <c r="A648" s="169" t="s">
        <v>1038</v>
      </c>
      <c r="B648" s="169" t="s">
        <v>1107</v>
      </c>
      <c r="C648" s="169" t="s">
        <v>1108</v>
      </c>
    </row>
    <row r="649" spans="1:3">
      <c r="A649" s="169" t="s">
        <v>1038</v>
      </c>
      <c r="B649" s="169" t="s">
        <v>1107</v>
      </c>
      <c r="C649" s="169" t="s">
        <v>1108</v>
      </c>
    </row>
    <row r="650" spans="1:3">
      <c r="A650" s="169" t="s">
        <v>1038</v>
      </c>
      <c r="B650" s="169" t="s">
        <v>1107</v>
      </c>
      <c r="C650" s="169" t="s">
        <v>1108</v>
      </c>
    </row>
    <row r="651" spans="1:3">
      <c r="A651" s="169" t="s">
        <v>1038</v>
      </c>
      <c r="B651" s="169" t="s">
        <v>1107</v>
      </c>
      <c r="C651" s="169" t="s">
        <v>1108</v>
      </c>
    </row>
    <row r="652" spans="1:3">
      <c r="A652" s="169" t="s">
        <v>1038</v>
      </c>
      <c r="B652" s="169" t="s">
        <v>1107</v>
      </c>
      <c r="C652" s="169" t="s">
        <v>1108</v>
      </c>
    </row>
    <row r="653" spans="1:3">
      <c r="A653" s="169" t="s">
        <v>1038</v>
      </c>
      <c r="B653" s="169" t="s">
        <v>1107</v>
      </c>
      <c r="C653" s="169" t="s">
        <v>1108</v>
      </c>
    </row>
    <row r="654" spans="1:3">
      <c r="A654" s="169" t="s">
        <v>1038</v>
      </c>
      <c r="B654" s="169" t="s">
        <v>1109</v>
      </c>
      <c r="C654" s="169" t="s">
        <v>1109</v>
      </c>
    </row>
    <row r="655" spans="1:3">
      <c r="A655" s="169" t="s">
        <v>1038</v>
      </c>
      <c r="B655" s="169" t="s">
        <v>1109</v>
      </c>
      <c r="C655" s="169" t="s">
        <v>1109</v>
      </c>
    </row>
    <row r="656" spans="1:3">
      <c r="A656" s="169" t="s">
        <v>1038</v>
      </c>
      <c r="B656" s="169" t="s">
        <v>1109</v>
      </c>
      <c r="C656" s="169" t="s">
        <v>1109</v>
      </c>
    </row>
  </sheetData>
  <mergeCells count="1">
    <mergeCell ref="G2:P2"/>
  </mergeCells>
  <phoneticPr fontId="3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5A87-6488-457B-8B59-DEC53F183A70}">
  <dimension ref="C1:N147"/>
  <sheetViews>
    <sheetView workbookViewId="0"/>
  </sheetViews>
  <sheetFormatPr defaultColWidth="9" defaultRowHeight="12.75"/>
  <cols>
    <col min="1" max="3" width="9" style="19"/>
    <col min="4" max="4" width="19.28515625" style="19" customWidth="1"/>
    <col min="5" max="5" width="3.42578125" style="19" customWidth="1"/>
    <col min="6" max="7" width="1.42578125" style="19" customWidth="1"/>
    <col min="8" max="8" width="23.28515625" style="19" customWidth="1"/>
    <col min="9" max="9" width="12.42578125" style="19" bestFit="1" customWidth="1"/>
    <col min="10" max="16384" width="9" style="19"/>
  </cols>
  <sheetData>
    <row r="1" spans="3:14">
      <c r="D1" s="31" t="s">
        <v>86</v>
      </c>
    </row>
    <row r="2" spans="3:14">
      <c r="D2" s="145" t="s">
        <v>845</v>
      </c>
      <c r="E2" s="32"/>
    </row>
    <row r="3" spans="3:14">
      <c r="D3" s="21"/>
      <c r="E3" s="21"/>
      <c r="F3" s="21"/>
      <c r="G3" s="21"/>
      <c r="H3" s="21" t="s">
        <v>993</v>
      </c>
      <c r="I3" s="33">
        <v>2020.12</v>
      </c>
    </row>
    <row r="4" spans="3:14">
      <c r="C4" s="19" t="s">
        <v>870</v>
      </c>
      <c r="D4" s="26" t="s">
        <v>85</v>
      </c>
      <c r="E4" s="26"/>
      <c r="F4" s="26"/>
      <c r="G4" s="26"/>
      <c r="H4" s="26"/>
      <c r="I4" s="28">
        <v>24365979</v>
      </c>
      <c r="K4" s="146" t="s">
        <v>997</v>
      </c>
      <c r="L4" s="146"/>
      <c r="M4" s="146"/>
      <c r="N4" s="146"/>
    </row>
    <row r="5" spans="3:14">
      <c r="C5" s="19" t="s">
        <v>871</v>
      </c>
      <c r="D5" s="26"/>
      <c r="E5" s="26" t="s">
        <v>88</v>
      </c>
      <c r="F5" s="26"/>
      <c r="G5" s="26"/>
      <c r="H5" s="26"/>
      <c r="I5" s="180">
        <v>19860955</v>
      </c>
      <c r="K5" s="146" t="s">
        <v>88</v>
      </c>
      <c r="L5" s="146"/>
      <c r="M5" s="146"/>
      <c r="N5" s="146"/>
    </row>
    <row r="6" spans="3:14">
      <c r="C6" s="19" t="s">
        <v>872</v>
      </c>
      <c r="D6" s="26"/>
      <c r="E6" s="26"/>
      <c r="F6" s="26" t="s">
        <v>89</v>
      </c>
      <c r="G6" s="26"/>
      <c r="H6" s="26"/>
      <c r="I6" s="147">
        <v>13627521</v>
      </c>
      <c r="K6" s="146" t="s">
        <v>996</v>
      </c>
      <c r="L6" s="146" t="s">
        <v>89</v>
      </c>
      <c r="M6" s="146"/>
      <c r="N6" s="146"/>
    </row>
    <row r="7" spans="3:14">
      <c r="C7" s="19" t="s">
        <v>873</v>
      </c>
      <c r="D7" s="26"/>
      <c r="E7" s="26"/>
      <c r="F7" s="26"/>
      <c r="G7" s="26" t="s">
        <v>90</v>
      </c>
      <c r="H7" s="26"/>
      <c r="I7" s="180">
        <v>11689470</v>
      </c>
      <c r="K7" s="146"/>
      <c r="L7" s="146" t="s">
        <v>995</v>
      </c>
      <c r="M7" s="146" t="s">
        <v>90</v>
      </c>
      <c r="N7" s="146"/>
    </row>
    <row r="8" spans="3:14">
      <c r="C8" s="19" t="s">
        <v>857</v>
      </c>
      <c r="D8" s="26"/>
      <c r="E8" s="26"/>
      <c r="F8" s="26"/>
      <c r="G8" s="26"/>
      <c r="H8" s="26" t="s">
        <v>91</v>
      </c>
      <c r="I8" s="27">
        <v>146185</v>
      </c>
      <c r="K8" s="146"/>
      <c r="L8" s="146"/>
      <c r="M8" s="146" t="s">
        <v>857</v>
      </c>
      <c r="N8" s="146" t="s">
        <v>91</v>
      </c>
    </row>
    <row r="9" spans="3:14">
      <c r="C9" s="19" t="s">
        <v>858</v>
      </c>
      <c r="D9" s="26"/>
      <c r="E9" s="26"/>
      <c r="F9" s="26"/>
      <c r="G9" s="26"/>
      <c r="H9" s="26" t="s">
        <v>92</v>
      </c>
      <c r="I9" s="27">
        <v>1763118</v>
      </c>
      <c r="K9" s="146"/>
      <c r="L9" s="146"/>
      <c r="M9" s="146" t="s">
        <v>858</v>
      </c>
      <c r="N9" s="146" t="s">
        <v>92</v>
      </c>
    </row>
    <row r="10" spans="3:14">
      <c r="C10" s="19" t="s">
        <v>859</v>
      </c>
      <c r="D10" s="26"/>
      <c r="E10" s="26"/>
      <c r="F10" s="26"/>
      <c r="G10" s="26"/>
      <c r="H10" s="26" t="s">
        <v>93</v>
      </c>
      <c r="I10" s="27">
        <v>705219</v>
      </c>
      <c r="K10" s="146"/>
      <c r="L10" s="146"/>
      <c r="M10" s="146" t="s">
        <v>859</v>
      </c>
      <c r="N10" s="146" t="s">
        <v>93</v>
      </c>
    </row>
    <row r="11" spans="3:14">
      <c r="C11" s="19" t="s">
        <v>860</v>
      </c>
      <c r="D11" s="26"/>
      <c r="E11" s="26"/>
      <c r="F11" s="26"/>
      <c r="G11" s="26"/>
      <c r="H11" s="26" t="s">
        <v>94</v>
      </c>
      <c r="I11" s="27">
        <v>6114232</v>
      </c>
      <c r="K11" s="146"/>
      <c r="L11" s="146"/>
      <c r="M11" s="146" t="s">
        <v>860</v>
      </c>
      <c r="N11" s="146" t="s">
        <v>94</v>
      </c>
    </row>
    <row r="12" spans="3:14">
      <c r="C12" s="19" t="s">
        <v>861</v>
      </c>
      <c r="D12" s="26"/>
      <c r="E12" s="26"/>
      <c r="F12" s="26"/>
      <c r="G12" s="26"/>
      <c r="H12" s="26" t="s">
        <v>95</v>
      </c>
      <c r="I12" s="27">
        <v>1146082</v>
      </c>
      <c r="K12" s="146"/>
      <c r="L12" s="146"/>
      <c r="M12" s="146" t="s">
        <v>861</v>
      </c>
      <c r="N12" s="146" t="s">
        <v>95</v>
      </c>
    </row>
    <row r="13" spans="3:14">
      <c r="C13" s="19" t="s">
        <v>862</v>
      </c>
      <c r="D13" s="26"/>
      <c r="E13" s="26"/>
      <c r="F13" s="26"/>
      <c r="G13" s="26"/>
      <c r="H13" s="26" t="s">
        <v>96</v>
      </c>
      <c r="I13" s="27">
        <v>983921</v>
      </c>
      <c r="K13" s="146"/>
      <c r="L13" s="146"/>
      <c r="M13" s="146" t="s">
        <v>862</v>
      </c>
      <c r="N13" s="146" t="s">
        <v>96</v>
      </c>
    </row>
    <row r="14" spans="3:14">
      <c r="C14" s="19" t="s">
        <v>863</v>
      </c>
      <c r="D14" s="26"/>
      <c r="E14" s="26"/>
      <c r="F14" s="26"/>
      <c r="G14" s="26"/>
      <c r="H14" s="26" t="s">
        <v>97</v>
      </c>
      <c r="I14" s="27">
        <v>561245</v>
      </c>
      <c r="K14" s="146"/>
      <c r="L14" s="146"/>
      <c r="M14" s="146" t="s">
        <v>863</v>
      </c>
      <c r="N14" s="146" t="s">
        <v>97</v>
      </c>
    </row>
    <row r="15" spans="3:14">
      <c r="C15" s="19" t="s">
        <v>864</v>
      </c>
      <c r="D15" s="26"/>
      <c r="E15" s="26"/>
      <c r="F15" s="26"/>
      <c r="G15" s="26"/>
      <c r="H15" s="26" t="s">
        <v>98</v>
      </c>
      <c r="I15" s="27">
        <v>230840</v>
      </c>
      <c r="K15" s="146"/>
      <c r="L15" s="146"/>
      <c r="M15" s="146" t="s">
        <v>864</v>
      </c>
      <c r="N15" s="146" t="s">
        <v>98</v>
      </c>
    </row>
    <row r="16" spans="3:14">
      <c r="C16" s="19" t="s">
        <v>865</v>
      </c>
      <c r="D16" s="26"/>
      <c r="E16" s="26"/>
      <c r="F16" s="26"/>
      <c r="G16" s="26"/>
      <c r="H16" s="26" t="s">
        <v>99</v>
      </c>
      <c r="I16" s="27">
        <v>2792</v>
      </c>
      <c r="K16" s="146"/>
      <c r="L16" s="146"/>
      <c r="M16" s="146" t="s">
        <v>865</v>
      </c>
      <c r="N16" s="146" t="s">
        <v>99</v>
      </c>
    </row>
    <row r="17" spans="3:14">
      <c r="C17" s="19" t="s">
        <v>866</v>
      </c>
      <c r="D17" s="26"/>
      <c r="E17" s="26"/>
      <c r="F17" s="26"/>
      <c r="G17" s="26"/>
      <c r="H17" s="26" t="s">
        <v>100</v>
      </c>
      <c r="I17" s="27">
        <v>7003</v>
      </c>
      <c r="K17" s="146"/>
      <c r="L17" s="146"/>
      <c r="M17" s="146" t="s">
        <v>866</v>
      </c>
      <c r="N17" s="146" t="s">
        <v>100</v>
      </c>
    </row>
    <row r="18" spans="3:14">
      <c r="C18" s="19" t="s">
        <v>867</v>
      </c>
      <c r="D18" s="26"/>
      <c r="E18" s="26"/>
      <c r="F18" s="26"/>
      <c r="G18" s="26"/>
      <c r="H18" s="26" t="s">
        <v>101</v>
      </c>
      <c r="I18" s="27">
        <v>18352</v>
      </c>
      <c r="K18" s="146"/>
      <c r="L18" s="146"/>
      <c r="M18" s="146" t="s">
        <v>867</v>
      </c>
      <c r="N18" s="146" t="s">
        <v>101</v>
      </c>
    </row>
    <row r="19" spans="3:14">
      <c r="C19" s="19" t="s">
        <v>868</v>
      </c>
      <c r="D19" s="26"/>
      <c r="E19" s="26"/>
      <c r="F19" s="26"/>
      <c r="G19" s="26"/>
      <c r="H19" s="26" t="s">
        <v>102</v>
      </c>
      <c r="I19" s="27">
        <v>30</v>
      </c>
      <c r="K19" s="146"/>
      <c r="L19" s="146"/>
      <c r="M19" s="146" t="s">
        <v>868</v>
      </c>
      <c r="N19" s="146" t="s">
        <v>102</v>
      </c>
    </row>
    <row r="20" spans="3:14">
      <c r="C20" s="19" t="s">
        <v>869</v>
      </c>
      <c r="D20" s="26"/>
      <c r="E20" s="26"/>
      <c r="F20" s="26"/>
      <c r="G20" s="26"/>
      <c r="H20" s="26" t="s">
        <v>103</v>
      </c>
      <c r="I20" s="27">
        <v>10451</v>
      </c>
      <c r="K20" s="146"/>
      <c r="L20" s="146"/>
      <c r="M20" s="146" t="s">
        <v>869</v>
      </c>
      <c r="N20" s="146" t="s">
        <v>103</v>
      </c>
    </row>
    <row r="21" spans="3:14">
      <c r="C21" s="19" t="s">
        <v>887</v>
      </c>
      <c r="D21" s="26"/>
      <c r="E21" s="26"/>
      <c r="F21" s="26"/>
      <c r="G21" s="26" t="s">
        <v>104</v>
      </c>
      <c r="H21" s="26"/>
      <c r="I21" s="148">
        <v>1938051</v>
      </c>
      <c r="K21" s="146"/>
      <c r="L21" s="146"/>
      <c r="M21" s="146" t="s">
        <v>104</v>
      </c>
      <c r="N21" s="146"/>
    </row>
    <row r="22" spans="3:14">
      <c r="C22" s="19" t="s">
        <v>874</v>
      </c>
      <c r="D22" s="26"/>
      <c r="E22" s="26"/>
      <c r="F22" s="26"/>
      <c r="G22" s="26"/>
      <c r="H22" s="26" t="s">
        <v>105</v>
      </c>
      <c r="I22" s="27">
        <v>2469</v>
      </c>
      <c r="K22" s="146"/>
      <c r="L22" s="146"/>
      <c r="M22" s="146"/>
      <c r="N22" s="146" t="s">
        <v>105</v>
      </c>
    </row>
    <row r="23" spans="3:14">
      <c r="C23" s="19" t="s">
        <v>875</v>
      </c>
      <c r="D23" s="26"/>
      <c r="E23" s="26"/>
      <c r="F23" s="26"/>
      <c r="G23" s="26"/>
      <c r="H23" s="26" t="s">
        <v>106</v>
      </c>
      <c r="I23" s="27">
        <v>1963</v>
      </c>
      <c r="K23" s="146"/>
      <c r="L23" s="146"/>
      <c r="M23" s="146"/>
      <c r="N23" s="146" t="s">
        <v>106</v>
      </c>
    </row>
    <row r="24" spans="3:14">
      <c r="C24" s="19" t="s">
        <v>876</v>
      </c>
      <c r="D24" s="26"/>
      <c r="E24" s="26"/>
      <c r="F24" s="26"/>
      <c r="G24" s="26"/>
      <c r="H24" s="26" t="s">
        <v>107</v>
      </c>
      <c r="I24" s="27">
        <v>149213</v>
      </c>
      <c r="K24" s="146"/>
      <c r="L24" s="146"/>
      <c r="M24" s="146"/>
      <c r="N24" s="146" t="s">
        <v>107</v>
      </c>
    </row>
    <row r="25" spans="3:14">
      <c r="C25" s="19" t="s">
        <v>877</v>
      </c>
      <c r="D25" s="26"/>
      <c r="E25" s="26"/>
      <c r="F25" s="26"/>
      <c r="G25" s="26"/>
      <c r="H25" s="26" t="s">
        <v>108</v>
      </c>
      <c r="I25" s="27">
        <v>964949</v>
      </c>
      <c r="K25" s="146"/>
      <c r="L25" s="146"/>
      <c r="M25" s="146"/>
      <c r="N25" s="146" t="s">
        <v>108</v>
      </c>
    </row>
    <row r="26" spans="3:14">
      <c r="C26" s="19" t="s">
        <v>878</v>
      </c>
      <c r="D26" s="26"/>
      <c r="E26" s="26"/>
      <c r="F26" s="26"/>
      <c r="G26" s="26"/>
      <c r="H26" s="26" t="s">
        <v>109</v>
      </c>
      <c r="I26" s="27">
        <v>280102</v>
      </c>
      <c r="K26" s="146"/>
      <c r="L26" s="146"/>
      <c r="M26" s="146"/>
      <c r="N26" s="146" t="s">
        <v>109</v>
      </c>
    </row>
    <row r="27" spans="3:14">
      <c r="C27" s="19" t="s">
        <v>879</v>
      </c>
      <c r="D27" s="26"/>
      <c r="E27" s="26"/>
      <c r="F27" s="26"/>
      <c r="G27" s="26"/>
      <c r="H27" s="26" t="s">
        <v>110</v>
      </c>
      <c r="I27" s="27">
        <v>252821</v>
      </c>
      <c r="K27" s="146"/>
      <c r="L27" s="146"/>
      <c r="M27" s="146"/>
      <c r="N27" s="146" t="s">
        <v>110</v>
      </c>
    </row>
    <row r="28" spans="3:14">
      <c r="C28" s="19" t="s">
        <v>880</v>
      </c>
      <c r="D28" s="26"/>
      <c r="E28" s="26"/>
      <c r="F28" s="26"/>
      <c r="G28" s="26"/>
      <c r="H28" s="26" t="s">
        <v>111</v>
      </c>
      <c r="I28" s="27">
        <v>128341</v>
      </c>
      <c r="K28" s="146"/>
      <c r="L28" s="146"/>
      <c r="M28" s="146"/>
      <c r="N28" s="146" t="s">
        <v>111</v>
      </c>
    </row>
    <row r="29" spans="3:14">
      <c r="C29" s="19" t="s">
        <v>881</v>
      </c>
      <c r="D29" s="26"/>
      <c r="E29" s="26"/>
      <c r="F29" s="26"/>
      <c r="G29" s="26"/>
      <c r="H29" s="26" t="s">
        <v>112</v>
      </c>
      <c r="I29" s="27">
        <v>60285</v>
      </c>
      <c r="K29" s="146"/>
      <c r="L29" s="146"/>
      <c r="M29" s="146"/>
      <c r="N29" s="146" t="s">
        <v>112</v>
      </c>
    </row>
    <row r="30" spans="3:14">
      <c r="C30" s="19" t="s">
        <v>882</v>
      </c>
      <c r="D30" s="26"/>
      <c r="E30" s="26"/>
      <c r="F30" s="26"/>
      <c r="G30" s="26"/>
      <c r="H30" s="26" t="s">
        <v>113</v>
      </c>
      <c r="I30" s="27">
        <v>19969</v>
      </c>
      <c r="K30" s="146"/>
      <c r="L30" s="146"/>
      <c r="M30" s="146"/>
      <c r="N30" s="146" t="s">
        <v>113</v>
      </c>
    </row>
    <row r="31" spans="3:14">
      <c r="C31" s="19" t="s">
        <v>883</v>
      </c>
      <c r="D31" s="26"/>
      <c r="E31" s="26"/>
      <c r="F31" s="26"/>
      <c r="G31" s="26"/>
      <c r="H31" s="26" t="s">
        <v>114</v>
      </c>
      <c r="I31" s="27">
        <v>22420</v>
      </c>
      <c r="K31" s="146"/>
      <c r="L31" s="146"/>
      <c r="M31" s="146"/>
      <c r="N31" s="146" t="s">
        <v>114</v>
      </c>
    </row>
    <row r="32" spans="3:14">
      <c r="C32" s="19" t="s">
        <v>884</v>
      </c>
      <c r="D32" s="26"/>
      <c r="E32" s="26"/>
      <c r="F32" s="26"/>
      <c r="G32" s="26"/>
      <c r="H32" s="26" t="s">
        <v>115</v>
      </c>
      <c r="I32" s="27">
        <v>26121</v>
      </c>
      <c r="K32" s="146"/>
      <c r="L32" s="146"/>
      <c r="M32" s="146"/>
      <c r="N32" s="146" t="s">
        <v>115</v>
      </c>
    </row>
    <row r="33" spans="3:14">
      <c r="C33" s="19" t="s">
        <v>885</v>
      </c>
      <c r="D33" s="26"/>
      <c r="E33" s="26"/>
      <c r="F33" s="26"/>
      <c r="G33" s="26"/>
      <c r="H33" s="26" t="s">
        <v>116</v>
      </c>
      <c r="I33" s="27">
        <v>0</v>
      </c>
      <c r="K33" s="146"/>
      <c r="L33" s="146"/>
      <c r="M33" s="146"/>
      <c r="N33" s="146" t="s">
        <v>116</v>
      </c>
    </row>
    <row r="34" spans="3:14">
      <c r="C34" s="19" t="s">
        <v>886</v>
      </c>
      <c r="D34" s="26"/>
      <c r="E34" s="26"/>
      <c r="F34" s="26"/>
      <c r="G34" s="26"/>
      <c r="H34" s="26" t="s">
        <v>117</v>
      </c>
      <c r="I34" s="27">
        <v>29398</v>
      </c>
      <c r="K34" s="146"/>
      <c r="L34" s="146"/>
      <c r="M34" s="146"/>
      <c r="N34" s="146" t="s">
        <v>117</v>
      </c>
    </row>
    <row r="35" spans="3:14">
      <c r="C35" s="19" t="s">
        <v>896</v>
      </c>
      <c r="D35" s="26"/>
      <c r="E35" s="26"/>
      <c r="F35" s="26" t="s">
        <v>118</v>
      </c>
      <c r="G35" s="26"/>
      <c r="H35" s="26"/>
      <c r="I35" s="148">
        <v>76936</v>
      </c>
      <c r="K35" s="146" t="s">
        <v>896</v>
      </c>
      <c r="L35" s="146" t="s">
        <v>118</v>
      </c>
      <c r="M35" s="146"/>
      <c r="N35" s="146"/>
    </row>
    <row r="36" spans="3:14">
      <c r="C36" s="19" t="s">
        <v>888</v>
      </c>
      <c r="D36" s="26"/>
      <c r="E36" s="26"/>
      <c r="F36" s="26"/>
      <c r="G36" s="26"/>
      <c r="H36" s="26" t="s">
        <v>119</v>
      </c>
      <c r="I36" s="27">
        <v>72950</v>
      </c>
      <c r="K36" s="146"/>
      <c r="L36" s="146"/>
      <c r="M36" s="146" t="s">
        <v>888</v>
      </c>
      <c r="N36" s="146" t="s">
        <v>119</v>
      </c>
    </row>
    <row r="37" spans="3:14">
      <c r="C37" s="19" t="s">
        <v>889</v>
      </c>
      <c r="D37" s="26"/>
      <c r="E37" s="26"/>
      <c r="F37" s="26"/>
      <c r="G37" s="26"/>
      <c r="H37" s="26" t="s">
        <v>120</v>
      </c>
      <c r="I37" s="27">
        <v>43</v>
      </c>
      <c r="K37" s="146"/>
      <c r="L37" s="146"/>
      <c r="M37" s="146" t="s">
        <v>889</v>
      </c>
      <c r="N37" s="146" t="s">
        <v>120</v>
      </c>
    </row>
    <row r="38" spans="3:14">
      <c r="C38" s="19" t="s">
        <v>890</v>
      </c>
      <c r="D38" s="26"/>
      <c r="E38" s="26"/>
      <c r="F38" s="26"/>
      <c r="G38" s="26"/>
      <c r="H38" s="26" t="s">
        <v>121</v>
      </c>
      <c r="I38" s="27">
        <v>3158</v>
      </c>
      <c r="K38" s="146"/>
      <c r="L38" s="146"/>
      <c r="M38" s="146" t="s">
        <v>890</v>
      </c>
      <c r="N38" s="146" t="s">
        <v>121</v>
      </c>
    </row>
    <row r="39" spans="3:14">
      <c r="C39" s="19" t="s">
        <v>891</v>
      </c>
      <c r="D39" s="26"/>
      <c r="E39" s="26"/>
      <c r="F39" s="26"/>
      <c r="G39" s="26"/>
      <c r="H39" s="26" t="s">
        <v>122</v>
      </c>
      <c r="I39" s="27">
        <v>239</v>
      </c>
      <c r="K39" s="146"/>
      <c r="L39" s="146"/>
      <c r="M39" s="146" t="s">
        <v>891</v>
      </c>
      <c r="N39" s="146" t="s">
        <v>122</v>
      </c>
    </row>
    <row r="40" spans="3:14">
      <c r="C40" s="19" t="s">
        <v>892</v>
      </c>
      <c r="D40" s="26"/>
      <c r="E40" s="26"/>
      <c r="F40" s="26"/>
      <c r="G40" s="26"/>
      <c r="H40" s="26" t="s">
        <v>123</v>
      </c>
      <c r="I40" s="27">
        <v>60</v>
      </c>
      <c r="K40" s="146"/>
      <c r="L40" s="146"/>
      <c r="M40" s="146" t="s">
        <v>892</v>
      </c>
      <c r="N40" s="146" t="s">
        <v>123</v>
      </c>
    </row>
    <row r="41" spans="3:14">
      <c r="C41" s="19" t="s">
        <v>893</v>
      </c>
      <c r="D41" s="26"/>
      <c r="E41" s="26"/>
      <c r="F41" s="26"/>
      <c r="G41" s="26"/>
      <c r="H41" s="26" t="s">
        <v>124</v>
      </c>
      <c r="I41" s="27">
        <v>486</v>
      </c>
      <c r="K41" s="146"/>
      <c r="L41" s="146"/>
      <c r="M41" s="146" t="s">
        <v>893</v>
      </c>
      <c r="N41" s="146" t="s">
        <v>124</v>
      </c>
    </row>
    <row r="42" spans="3:14">
      <c r="C42" s="19" t="s">
        <v>894</v>
      </c>
      <c r="D42" s="26"/>
      <c r="E42" s="26"/>
      <c r="F42" s="26"/>
      <c r="G42" s="26"/>
      <c r="H42" s="26" t="s">
        <v>125</v>
      </c>
      <c r="I42" s="27">
        <v>0</v>
      </c>
      <c r="K42" s="146"/>
      <c r="L42" s="146"/>
      <c r="M42" s="146" t="s">
        <v>894</v>
      </c>
      <c r="N42" s="146" t="s">
        <v>125</v>
      </c>
    </row>
    <row r="43" spans="3:14">
      <c r="C43" s="19" t="s">
        <v>895</v>
      </c>
      <c r="D43" s="26"/>
      <c r="E43" s="26"/>
      <c r="F43" s="26"/>
      <c r="G43" s="26"/>
      <c r="H43" s="26" t="s">
        <v>126</v>
      </c>
      <c r="I43" s="27">
        <v>0</v>
      </c>
      <c r="K43" s="146"/>
      <c r="L43" s="146"/>
      <c r="M43" s="146" t="s">
        <v>895</v>
      </c>
      <c r="N43" s="146" t="s">
        <v>126</v>
      </c>
    </row>
    <row r="44" spans="3:14">
      <c r="C44" s="19" t="s">
        <v>905</v>
      </c>
      <c r="D44" s="26"/>
      <c r="E44" s="26"/>
      <c r="F44" s="26" t="s">
        <v>127</v>
      </c>
      <c r="G44" s="26"/>
      <c r="H44" s="26"/>
      <c r="I44" s="148">
        <v>4927216</v>
      </c>
      <c r="K44" s="146"/>
      <c r="L44" s="146" t="s">
        <v>127</v>
      </c>
      <c r="M44" s="146"/>
      <c r="N44" s="146"/>
    </row>
    <row r="45" spans="3:14">
      <c r="C45" s="19" t="s">
        <v>897</v>
      </c>
      <c r="D45" s="26"/>
      <c r="E45" s="26"/>
      <c r="F45" s="26"/>
      <c r="G45" s="26"/>
      <c r="H45" s="26" t="s">
        <v>128</v>
      </c>
      <c r="I45" s="27">
        <v>32827</v>
      </c>
      <c r="K45" s="146"/>
      <c r="L45" s="146"/>
      <c r="M45" s="146" t="s">
        <v>897</v>
      </c>
      <c r="N45" s="146" t="s">
        <v>128</v>
      </c>
    </row>
    <row r="46" spans="3:14">
      <c r="C46" s="19" t="s">
        <v>898</v>
      </c>
      <c r="D46" s="26"/>
      <c r="E46" s="26"/>
      <c r="F46" s="26"/>
      <c r="G46" s="26"/>
      <c r="H46" s="26" t="s">
        <v>129</v>
      </c>
      <c r="I46" s="27">
        <v>3269202</v>
      </c>
      <c r="K46" s="146"/>
      <c r="L46" s="146"/>
      <c r="M46" s="146" t="s">
        <v>898</v>
      </c>
      <c r="N46" s="146" t="s">
        <v>129</v>
      </c>
    </row>
    <row r="47" spans="3:14">
      <c r="C47" s="19" t="s">
        <v>899</v>
      </c>
      <c r="D47" s="26"/>
      <c r="E47" s="26"/>
      <c r="F47" s="26"/>
      <c r="G47" s="26"/>
      <c r="H47" s="26" t="s">
        <v>130</v>
      </c>
      <c r="I47" s="27">
        <v>971998</v>
      </c>
      <c r="K47" s="146"/>
      <c r="L47" s="146"/>
      <c r="M47" s="146" t="s">
        <v>899</v>
      </c>
      <c r="N47" s="146" t="s">
        <v>130</v>
      </c>
    </row>
    <row r="48" spans="3:14">
      <c r="C48" s="19" t="s">
        <v>900</v>
      </c>
      <c r="D48" s="26"/>
      <c r="E48" s="26"/>
      <c r="F48" s="26"/>
      <c r="G48" s="26"/>
      <c r="H48" s="26" t="s">
        <v>131</v>
      </c>
      <c r="I48" s="27">
        <v>472657</v>
      </c>
      <c r="K48" s="146"/>
      <c r="L48" s="146"/>
      <c r="M48" s="146" t="s">
        <v>900</v>
      </c>
      <c r="N48" s="146" t="s">
        <v>131</v>
      </c>
    </row>
    <row r="49" spans="3:14">
      <c r="C49" s="19" t="s">
        <v>901</v>
      </c>
      <c r="D49" s="26"/>
      <c r="E49" s="26"/>
      <c r="F49" s="26"/>
      <c r="G49" s="26"/>
      <c r="H49" s="26" t="s">
        <v>132</v>
      </c>
      <c r="I49" s="27">
        <v>46478</v>
      </c>
      <c r="K49" s="146"/>
      <c r="L49" s="146"/>
      <c r="M49" s="146" t="s">
        <v>901</v>
      </c>
      <c r="N49" s="146" t="s">
        <v>132</v>
      </c>
    </row>
    <row r="50" spans="3:14">
      <c r="C50" s="19" t="s">
        <v>902</v>
      </c>
      <c r="D50" s="26"/>
      <c r="E50" s="26"/>
      <c r="F50" s="26"/>
      <c r="G50" s="26"/>
      <c r="H50" s="26" t="s">
        <v>133</v>
      </c>
      <c r="I50" s="27">
        <v>88510</v>
      </c>
      <c r="K50" s="146"/>
      <c r="L50" s="146"/>
      <c r="M50" s="146" t="s">
        <v>902</v>
      </c>
      <c r="N50" s="146" t="s">
        <v>133</v>
      </c>
    </row>
    <row r="51" spans="3:14">
      <c r="C51" s="19" t="s">
        <v>903</v>
      </c>
      <c r="D51" s="26"/>
      <c r="E51" s="26"/>
      <c r="F51" s="26"/>
      <c r="G51" s="26"/>
      <c r="H51" s="26" t="s">
        <v>134</v>
      </c>
      <c r="I51" s="27">
        <v>3</v>
      </c>
      <c r="K51" s="146"/>
      <c r="L51" s="146"/>
      <c r="M51" s="146" t="s">
        <v>903</v>
      </c>
      <c r="N51" s="146" t="s">
        <v>134</v>
      </c>
    </row>
    <row r="52" spans="3:14">
      <c r="C52" s="19" t="s">
        <v>904</v>
      </c>
      <c r="D52" s="26"/>
      <c r="E52" s="26"/>
      <c r="F52" s="26"/>
      <c r="G52" s="26"/>
      <c r="H52" s="26" t="s">
        <v>135</v>
      </c>
      <c r="I52" s="27">
        <v>45541</v>
      </c>
      <c r="K52" s="146"/>
      <c r="L52" s="146"/>
      <c r="M52" s="146" t="s">
        <v>904</v>
      </c>
      <c r="N52" s="146" t="s">
        <v>135</v>
      </c>
    </row>
    <row r="53" spans="3:14">
      <c r="C53" s="19" t="s">
        <v>914</v>
      </c>
      <c r="D53" s="26"/>
      <c r="E53" s="26"/>
      <c r="F53" s="26" t="s">
        <v>136</v>
      </c>
      <c r="G53" s="26"/>
      <c r="H53" s="26"/>
      <c r="I53" s="148">
        <v>1229282</v>
      </c>
      <c r="K53" s="146"/>
      <c r="L53" s="146" t="s">
        <v>136</v>
      </c>
      <c r="M53" s="146"/>
      <c r="N53" s="146"/>
    </row>
    <row r="54" spans="3:14">
      <c r="C54" s="19" t="s">
        <v>912</v>
      </c>
      <c r="D54" s="26"/>
      <c r="E54" s="26"/>
      <c r="F54" s="26"/>
      <c r="G54" s="26"/>
      <c r="H54" s="26" t="s">
        <v>137</v>
      </c>
      <c r="I54" s="27">
        <v>105816</v>
      </c>
      <c r="K54" s="146"/>
      <c r="L54" s="146"/>
      <c r="M54" s="146" t="s">
        <v>912</v>
      </c>
      <c r="N54" s="146" t="s">
        <v>137</v>
      </c>
    </row>
    <row r="55" spans="3:14">
      <c r="C55" s="19" t="s">
        <v>906</v>
      </c>
      <c r="D55" s="26"/>
      <c r="E55" s="26"/>
      <c r="F55" s="26"/>
      <c r="G55" s="26"/>
      <c r="H55" s="26" t="s">
        <v>138</v>
      </c>
      <c r="I55" s="27">
        <v>572188</v>
      </c>
      <c r="K55" s="146"/>
      <c r="L55" s="146"/>
      <c r="M55" s="146" t="s">
        <v>906</v>
      </c>
      <c r="N55" s="146" t="s">
        <v>138</v>
      </c>
    </row>
    <row r="56" spans="3:14">
      <c r="C56" s="19" t="s">
        <v>907</v>
      </c>
      <c r="D56" s="26"/>
      <c r="E56" s="26"/>
      <c r="F56" s="26"/>
      <c r="G56" s="26"/>
      <c r="H56" s="26" t="s">
        <v>139</v>
      </c>
      <c r="I56" s="27">
        <v>447550</v>
      </c>
      <c r="K56" s="146"/>
      <c r="L56" s="146"/>
      <c r="M56" s="146" t="s">
        <v>907</v>
      </c>
      <c r="N56" s="146" t="s">
        <v>139</v>
      </c>
    </row>
    <row r="57" spans="3:14">
      <c r="C57" s="19" t="s">
        <v>908</v>
      </c>
      <c r="D57" s="26"/>
      <c r="E57" s="26"/>
      <c r="F57" s="26"/>
      <c r="G57" s="26"/>
      <c r="H57" s="26" t="s">
        <v>140</v>
      </c>
      <c r="I57" s="27">
        <v>47492</v>
      </c>
      <c r="K57" s="146"/>
      <c r="L57" s="146"/>
      <c r="M57" s="146" t="s">
        <v>908</v>
      </c>
      <c r="N57" s="146" t="s">
        <v>140</v>
      </c>
    </row>
    <row r="58" spans="3:14">
      <c r="C58" s="19" t="s">
        <v>909</v>
      </c>
      <c r="D58" s="26"/>
      <c r="E58" s="26"/>
      <c r="F58" s="26"/>
      <c r="G58" s="26"/>
      <c r="H58" s="26" t="s">
        <v>141</v>
      </c>
      <c r="I58" s="27">
        <v>37226</v>
      </c>
      <c r="K58" s="146"/>
      <c r="L58" s="146"/>
      <c r="M58" s="146" t="s">
        <v>909</v>
      </c>
      <c r="N58" s="146" t="s">
        <v>141</v>
      </c>
    </row>
    <row r="59" spans="3:14">
      <c r="C59" s="19" t="s">
        <v>910</v>
      </c>
      <c r="D59" s="26"/>
      <c r="E59" s="26"/>
      <c r="F59" s="26"/>
      <c r="G59" s="26"/>
      <c r="H59" s="26" t="s">
        <v>142</v>
      </c>
      <c r="I59" s="27">
        <v>2219</v>
      </c>
      <c r="K59" s="146"/>
      <c r="L59" s="146"/>
      <c r="M59" s="146" t="s">
        <v>910</v>
      </c>
      <c r="N59" s="146" t="s">
        <v>142</v>
      </c>
    </row>
    <row r="60" spans="3:14">
      <c r="C60" s="19" t="s">
        <v>911</v>
      </c>
      <c r="D60" s="26"/>
      <c r="E60" s="26"/>
      <c r="F60" s="26"/>
      <c r="G60" s="26"/>
      <c r="H60" s="26" t="s">
        <v>143</v>
      </c>
      <c r="I60" s="27">
        <v>136</v>
      </c>
      <c r="K60" s="146"/>
      <c r="L60" s="146"/>
      <c r="M60" s="146" t="s">
        <v>911</v>
      </c>
      <c r="N60" s="146" t="s">
        <v>143</v>
      </c>
    </row>
    <row r="61" spans="3:14">
      <c r="C61" s="19" t="s">
        <v>913</v>
      </c>
      <c r="D61" s="26"/>
      <c r="E61" s="26"/>
      <c r="F61" s="26"/>
      <c r="G61" s="26"/>
      <c r="H61" s="26" t="s">
        <v>144</v>
      </c>
      <c r="I61" s="27">
        <v>16655</v>
      </c>
      <c r="K61" s="146"/>
      <c r="L61" s="146"/>
      <c r="M61" s="146" t="s">
        <v>913</v>
      </c>
      <c r="N61" s="146" t="s">
        <v>144</v>
      </c>
    </row>
    <row r="62" spans="3:14">
      <c r="C62" s="19" t="s">
        <v>915</v>
      </c>
      <c r="D62" s="26"/>
      <c r="E62" s="26" t="s">
        <v>145</v>
      </c>
      <c r="F62" s="26"/>
      <c r="G62" s="26"/>
      <c r="H62" s="26"/>
      <c r="I62" s="149">
        <v>783842</v>
      </c>
      <c r="K62" s="146" t="s">
        <v>145</v>
      </c>
      <c r="L62" s="146"/>
      <c r="M62" s="146"/>
      <c r="N62" s="146"/>
    </row>
    <row r="63" spans="3:14">
      <c r="C63" s="19" t="s">
        <v>922</v>
      </c>
      <c r="D63" s="26"/>
      <c r="E63" s="26"/>
      <c r="F63" s="26" t="s">
        <v>146</v>
      </c>
      <c r="G63" s="26"/>
      <c r="H63" s="26"/>
      <c r="I63" s="27">
        <v>746870</v>
      </c>
      <c r="K63" s="146"/>
      <c r="L63" s="146" t="s">
        <v>146</v>
      </c>
      <c r="M63" s="146"/>
      <c r="N63" s="146"/>
    </row>
    <row r="64" spans="3:14">
      <c r="C64" s="19" t="s">
        <v>916</v>
      </c>
      <c r="D64" s="26"/>
      <c r="E64" s="26"/>
      <c r="F64" s="26"/>
      <c r="G64" s="26" t="s">
        <v>147</v>
      </c>
      <c r="H64" s="26"/>
      <c r="I64" s="149">
        <v>42182</v>
      </c>
      <c r="K64" s="146"/>
      <c r="L64" s="146"/>
      <c r="M64" s="146" t="s">
        <v>147</v>
      </c>
      <c r="N64" s="146" t="s">
        <v>916</v>
      </c>
    </row>
    <row r="65" spans="3:14">
      <c r="C65" s="19" t="s">
        <v>917</v>
      </c>
      <c r="D65" s="26"/>
      <c r="E65" s="26"/>
      <c r="F65" s="26"/>
      <c r="G65" s="26" t="s">
        <v>148</v>
      </c>
      <c r="H65" s="26"/>
      <c r="I65" s="149">
        <v>24283</v>
      </c>
      <c r="K65" s="146"/>
      <c r="L65" s="146"/>
      <c r="M65" s="146" t="s">
        <v>148</v>
      </c>
      <c r="N65" s="146" t="s">
        <v>917</v>
      </c>
    </row>
    <row r="66" spans="3:14">
      <c r="C66" s="19" t="s">
        <v>918</v>
      </c>
      <c r="D66" s="26"/>
      <c r="E66" s="26"/>
      <c r="F66" s="26"/>
      <c r="G66" s="26" t="s">
        <v>149</v>
      </c>
      <c r="H66" s="26"/>
      <c r="I66" s="149">
        <v>40287</v>
      </c>
      <c r="K66" s="146"/>
      <c r="L66" s="146"/>
      <c r="M66" s="146" t="s">
        <v>149</v>
      </c>
      <c r="N66" s="146" t="s">
        <v>918</v>
      </c>
    </row>
    <row r="67" spans="3:14">
      <c r="C67" s="19" t="s">
        <v>919</v>
      </c>
      <c r="D67" s="26"/>
      <c r="E67" s="26"/>
      <c r="F67" s="26"/>
      <c r="G67" s="26" t="s">
        <v>150</v>
      </c>
      <c r="H67" s="26"/>
      <c r="I67" s="149">
        <v>24</v>
      </c>
      <c r="K67" s="146"/>
      <c r="L67" s="146"/>
      <c r="M67" s="146" t="s">
        <v>150</v>
      </c>
      <c r="N67" s="146" t="s">
        <v>919</v>
      </c>
    </row>
    <row r="68" spans="3:14">
      <c r="C68" s="19" t="s">
        <v>920</v>
      </c>
      <c r="D68" s="26"/>
      <c r="E68" s="26"/>
      <c r="F68" s="26"/>
      <c r="G68" s="26" t="s">
        <v>151</v>
      </c>
      <c r="H68" s="26"/>
      <c r="I68" s="28">
        <v>0</v>
      </c>
      <c r="K68" s="146"/>
      <c r="L68" s="146"/>
      <c r="M68" s="146" t="s">
        <v>151</v>
      </c>
      <c r="N68" s="146" t="s">
        <v>920</v>
      </c>
    </row>
    <row r="69" spans="3:14">
      <c r="C69" s="19" t="s">
        <v>921</v>
      </c>
      <c r="D69" s="26"/>
      <c r="E69" s="26"/>
      <c r="F69" s="26"/>
      <c r="G69" s="26" t="s">
        <v>152</v>
      </c>
      <c r="H69" s="26"/>
      <c r="I69" s="28">
        <v>0</v>
      </c>
      <c r="K69" s="146"/>
      <c r="L69" s="146"/>
      <c r="M69" s="146" t="s">
        <v>152</v>
      </c>
      <c r="N69" s="146" t="s">
        <v>921</v>
      </c>
    </row>
    <row r="70" spans="3:14">
      <c r="C70" s="19" t="s">
        <v>923</v>
      </c>
      <c r="D70" s="26"/>
      <c r="E70" s="26"/>
      <c r="F70" s="26"/>
      <c r="G70" s="26" t="s">
        <v>153</v>
      </c>
      <c r="H70" s="26"/>
      <c r="I70" s="149">
        <v>640094</v>
      </c>
      <c r="K70" s="146"/>
      <c r="L70" s="146"/>
      <c r="M70" s="146" t="s">
        <v>153</v>
      </c>
      <c r="N70" s="146" t="s">
        <v>998</v>
      </c>
    </row>
    <row r="71" spans="3:14">
      <c r="C71" s="19" t="s">
        <v>924</v>
      </c>
      <c r="D71" s="26"/>
      <c r="E71" s="26"/>
      <c r="F71" s="26"/>
      <c r="G71" s="26"/>
      <c r="H71" s="26" t="s">
        <v>154</v>
      </c>
      <c r="I71" s="27">
        <v>593704</v>
      </c>
      <c r="K71" s="146"/>
      <c r="L71" s="146"/>
      <c r="M71" s="146"/>
      <c r="N71" s="146" t="s">
        <v>999</v>
      </c>
    </row>
    <row r="72" spans="3:14">
      <c r="C72" s="19" t="s">
        <v>925</v>
      </c>
      <c r="D72" s="26"/>
      <c r="E72" s="26"/>
      <c r="F72" s="26"/>
      <c r="G72" s="26"/>
      <c r="H72" s="26" t="s">
        <v>155</v>
      </c>
      <c r="I72" s="27">
        <v>16313</v>
      </c>
      <c r="K72" s="146"/>
      <c r="L72" s="146"/>
      <c r="M72" s="146" t="s">
        <v>1000</v>
      </c>
      <c r="N72" s="146" t="s">
        <v>155</v>
      </c>
    </row>
    <row r="73" spans="3:14">
      <c r="C73" s="19" t="s">
        <v>926</v>
      </c>
      <c r="D73" s="26"/>
      <c r="E73" s="26"/>
      <c r="F73" s="26"/>
      <c r="G73" s="26"/>
      <c r="H73" s="26" t="s">
        <v>156</v>
      </c>
      <c r="I73" s="27">
        <v>10680</v>
      </c>
      <c r="K73" s="146"/>
      <c r="L73" s="146"/>
      <c r="M73" s="146" t="s">
        <v>1001</v>
      </c>
      <c r="N73" s="146" t="s">
        <v>156</v>
      </c>
    </row>
    <row r="74" spans="3:14">
      <c r="C74" s="19" t="s">
        <v>927</v>
      </c>
      <c r="D74" s="26"/>
      <c r="E74" s="26"/>
      <c r="F74" s="26"/>
      <c r="G74" s="26"/>
      <c r="H74" s="26" t="s">
        <v>157</v>
      </c>
      <c r="I74" s="27">
        <v>18642</v>
      </c>
      <c r="K74" s="146"/>
      <c r="L74" s="146"/>
      <c r="M74" s="146" t="s">
        <v>1002</v>
      </c>
      <c r="N74" s="146" t="s">
        <v>157</v>
      </c>
    </row>
    <row r="75" spans="3:14">
      <c r="C75" s="19" t="s">
        <v>928</v>
      </c>
      <c r="D75" s="26"/>
      <c r="E75" s="26"/>
      <c r="F75" s="26"/>
      <c r="G75" s="26"/>
      <c r="H75" s="26" t="s">
        <v>158</v>
      </c>
      <c r="I75" s="27">
        <v>755</v>
      </c>
      <c r="K75" s="146"/>
      <c r="L75" s="146"/>
      <c r="M75" s="146" t="s">
        <v>1003</v>
      </c>
      <c r="N75" s="146" t="s">
        <v>158</v>
      </c>
    </row>
    <row r="76" spans="3:14">
      <c r="D76" s="26"/>
      <c r="E76" s="26"/>
      <c r="F76" s="26" t="s">
        <v>159</v>
      </c>
      <c r="G76" s="26"/>
      <c r="H76" s="26"/>
      <c r="I76" s="149">
        <v>36972</v>
      </c>
      <c r="K76" s="146"/>
      <c r="L76" s="146" t="s">
        <v>159</v>
      </c>
      <c r="M76" s="146"/>
      <c r="N76" s="146"/>
    </row>
    <row r="77" spans="3:14">
      <c r="C77" s="19" t="s">
        <v>934</v>
      </c>
      <c r="D77" s="26"/>
      <c r="E77" s="26"/>
      <c r="F77" s="26"/>
      <c r="G77" s="26" t="s">
        <v>160</v>
      </c>
      <c r="H77" s="26"/>
      <c r="I77" s="27">
        <v>6287</v>
      </c>
      <c r="K77" s="146"/>
      <c r="L77" s="146"/>
      <c r="M77" s="146" t="s">
        <v>160</v>
      </c>
      <c r="N77" s="146" t="s">
        <v>934</v>
      </c>
    </row>
    <row r="78" spans="3:14">
      <c r="C78" s="19" t="s">
        <v>935</v>
      </c>
      <c r="D78" s="26"/>
      <c r="E78" s="26"/>
      <c r="F78" s="26"/>
      <c r="G78" s="26" t="s">
        <v>161</v>
      </c>
      <c r="H78" s="26"/>
      <c r="I78" s="27">
        <v>428</v>
      </c>
      <c r="K78" s="146"/>
      <c r="L78" s="146"/>
      <c r="M78" s="146" t="s">
        <v>161</v>
      </c>
      <c r="N78" s="146" t="s">
        <v>935</v>
      </c>
    </row>
    <row r="79" spans="3:14">
      <c r="C79" s="19" t="s">
        <v>936</v>
      </c>
      <c r="D79" s="26"/>
      <c r="E79" s="26"/>
      <c r="F79" s="26"/>
      <c r="G79" s="26" t="s">
        <v>162</v>
      </c>
      <c r="H79" s="26"/>
      <c r="I79" s="27">
        <v>10</v>
      </c>
      <c r="K79" s="146"/>
      <c r="L79" s="146"/>
      <c r="M79" s="146" t="s">
        <v>162</v>
      </c>
      <c r="N79" s="146" t="s">
        <v>936</v>
      </c>
    </row>
    <row r="80" spans="3:14">
      <c r="C80" s="19" t="s">
        <v>937</v>
      </c>
      <c r="D80" s="26"/>
      <c r="E80" s="26"/>
      <c r="F80" s="26"/>
      <c r="G80" s="26" t="s">
        <v>163</v>
      </c>
      <c r="H80" s="26"/>
      <c r="I80" s="27">
        <v>69</v>
      </c>
      <c r="K80" s="146"/>
      <c r="L80" s="146"/>
      <c r="M80" s="146" t="s">
        <v>163</v>
      </c>
      <c r="N80" s="146" t="s">
        <v>937</v>
      </c>
    </row>
    <row r="81" spans="3:14">
      <c r="C81" s="19" t="s">
        <v>938</v>
      </c>
      <c r="D81" s="26"/>
      <c r="E81" s="26"/>
      <c r="F81" s="26"/>
      <c r="G81" s="26" t="s">
        <v>164</v>
      </c>
      <c r="H81" s="26"/>
      <c r="I81" s="27">
        <v>15665</v>
      </c>
      <c r="K81" s="146"/>
      <c r="L81" s="146"/>
      <c r="M81" s="146" t="s">
        <v>164</v>
      </c>
      <c r="N81" s="146" t="s">
        <v>938</v>
      </c>
    </row>
    <row r="82" spans="3:14">
      <c r="C82" s="19" t="s">
        <v>939</v>
      </c>
      <c r="D82" s="26"/>
      <c r="E82" s="26"/>
      <c r="F82" s="26"/>
      <c r="G82" s="26" t="s">
        <v>165</v>
      </c>
      <c r="H82" s="26"/>
      <c r="I82" s="27">
        <v>14513</v>
      </c>
      <c r="K82" s="146"/>
      <c r="L82" s="146"/>
      <c r="M82" s="146" t="s">
        <v>165</v>
      </c>
      <c r="N82" s="146" t="s">
        <v>939</v>
      </c>
    </row>
    <row r="83" spans="3:14">
      <c r="C83" s="19" t="s">
        <v>940</v>
      </c>
      <c r="D83" s="26"/>
      <c r="E83" s="26" t="s">
        <v>166</v>
      </c>
      <c r="F83" s="26"/>
      <c r="G83" s="26"/>
      <c r="H83" s="26"/>
      <c r="I83" s="28">
        <v>3615245</v>
      </c>
      <c r="K83" s="146" t="s">
        <v>166</v>
      </c>
      <c r="L83" s="146"/>
      <c r="M83" s="146"/>
      <c r="N83" s="146" t="s">
        <v>940</v>
      </c>
    </row>
    <row r="84" spans="3:14">
      <c r="D84" s="26"/>
      <c r="E84" s="26"/>
      <c r="F84" s="26" t="s">
        <v>167</v>
      </c>
      <c r="G84" s="26"/>
      <c r="H84" s="26"/>
      <c r="I84" s="28">
        <v>2574857</v>
      </c>
      <c r="K84" s="146"/>
      <c r="L84" s="146" t="s">
        <v>167</v>
      </c>
      <c r="M84" s="146"/>
      <c r="N84" s="146"/>
    </row>
    <row r="85" spans="3:14">
      <c r="C85" s="19" t="s">
        <v>941</v>
      </c>
      <c r="D85" s="26"/>
      <c r="E85" s="26"/>
      <c r="F85" s="26"/>
      <c r="G85" s="26" t="s">
        <v>168</v>
      </c>
      <c r="H85" s="26"/>
      <c r="I85" s="150">
        <v>333040</v>
      </c>
      <c r="K85" s="146"/>
      <c r="L85" s="146"/>
      <c r="M85" s="146" t="s">
        <v>168</v>
      </c>
      <c r="N85" s="146"/>
    </row>
    <row r="86" spans="3:14">
      <c r="C86" s="19" t="s">
        <v>942</v>
      </c>
      <c r="D86" s="26"/>
      <c r="E86" s="26"/>
      <c r="F86" s="26"/>
      <c r="G86" s="26" t="s">
        <v>169</v>
      </c>
      <c r="H86" s="26"/>
      <c r="I86" s="150">
        <v>2241817</v>
      </c>
      <c r="K86" s="146"/>
      <c r="L86" s="146"/>
      <c r="M86" s="146" t="s">
        <v>169</v>
      </c>
      <c r="N86" s="146"/>
    </row>
    <row r="87" spans="3:14">
      <c r="C87" s="19" t="s">
        <v>943</v>
      </c>
      <c r="D87" s="26"/>
      <c r="E87" s="26"/>
      <c r="F87" s="26"/>
      <c r="G87" s="26"/>
      <c r="H87" s="26" t="s">
        <v>170</v>
      </c>
      <c r="I87" s="150">
        <v>1787347</v>
      </c>
      <c r="K87" s="146"/>
      <c r="L87" s="146"/>
      <c r="M87" s="146" t="s">
        <v>943</v>
      </c>
      <c r="N87" s="146" t="s">
        <v>170</v>
      </c>
    </row>
    <row r="88" spans="3:14">
      <c r="C88" s="19" t="s">
        <v>944</v>
      </c>
      <c r="D88" s="26"/>
      <c r="E88" s="26"/>
      <c r="F88" s="26"/>
      <c r="G88" s="26"/>
      <c r="H88" s="26" t="s">
        <v>171</v>
      </c>
      <c r="I88" s="150">
        <v>170571</v>
      </c>
      <c r="K88" s="146"/>
      <c r="L88" s="146"/>
      <c r="M88" s="146" t="s">
        <v>944</v>
      </c>
      <c r="N88" s="146" t="s">
        <v>171</v>
      </c>
    </row>
    <row r="89" spans="3:14">
      <c r="C89" s="19" t="s">
        <v>945</v>
      </c>
      <c r="D89" s="26"/>
      <c r="E89" s="26"/>
      <c r="F89" s="26"/>
      <c r="G89" s="26"/>
      <c r="H89" s="26" t="s">
        <v>172</v>
      </c>
      <c r="I89" s="150">
        <v>130627</v>
      </c>
      <c r="K89" s="146"/>
      <c r="L89" s="146"/>
      <c r="M89" s="146" t="s">
        <v>945</v>
      </c>
      <c r="N89" s="146" t="s">
        <v>172</v>
      </c>
    </row>
    <row r="90" spans="3:14">
      <c r="C90" s="19" t="s">
        <v>946</v>
      </c>
      <c r="D90" s="26"/>
      <c r="E90" s="26"/>
      <c r="F90" s="26"/>
      <c r="G90" s="26"/>
      <c r="H90" s="26" t="s">
        <v>173</v>
      </c>
      <c r="I90" s="151">
        <v>74425</v>
      </c>
      <c r="K90" s="146"/>
      <c r="L90" s="146"/>
      <c r="M90" s="146" t="s">
        <v>946</v>
      </c>
      <c r="N90" s="146" t="s">
        <v>173</v>
      </c>
    </row>
    <row r="91" spans="3:14">
      <c r="C91" s="19" t="s">
        <v>947</v>
      </c>
      <c r="D91" s="26"/>
      <c r="E91" s="26"/>
      <c r="F91" s="26"/>
      <c r="G91" s="26"/>
      <c r="H91" s="26" t="s">
        <v>174</v>
      </c>
      <c r="I91" s="151">
        <v>14941</v>
      </c>
      <c r="K91" s="146"/>
      <c r="L91" s="146"/>
      <c r="M91" s="146" t="s">
        <v>947</v>
      </c>
      <c r="N91" s="146" t="s">
        <v>174</v>
      </c>
    </row>
    <row r="92" spans="3:14">
      <c r="C92" s="19" t="s">
        <v>948</v>
      </c>
      <c r="D92" s="26"/>
      <c r="E92" s="26"/>
      <c r="F92" s="26"/>
      <c r="G92" s="26"/>
      <c r="H92" s="26" t="s">
        <v>175</v>
      </c>
      <c r="I92" s="151">
        <v>7354</v>
      </c>
      <c r="K92" s="146"/>
      <c r="L92" s="146"/>
      <c r="M92" s="146" t="s">
        <v>948</v>
      </c>
      <c r="N92" s="146" t="s">
        <v>175</v>
      </c>
    </row>
    <row r="93" spans="3:14">
      <c r="C93" s="19" t="s">
        <v>949</v>
      </c>
      <c r="D93" s="26"/>
      <c r="E93" s="26"/>
      <c r="F93" s="26"/>
      <c r="G93" s="26"/>
      <c r="H93" s="26" t="s">
        <v>176</v>
      </c>
      <c r="I93" s="151">
        <v>56552</v>
      </c>
      <c r="K93" s="146"/>
      <c r="L93" s="146"/>
      <c r="M93" s="146" t="s">
        <v>949</v>
      </c>
      <c r="N93" s="146" t="s">
        <v>176</v>
      </c>
    </row>
    <row r="94" spans="3:14">
      <c r="C94" s="19" t="s">
        <v>950</v>
      </c>
      <c r="D94" s="26"/>
      <c r="E94" s="26"/>
      <c r="F94" s="26" t="s">
        <v>177</v>
      </c>
      <c r="G94" s="26"/>
      <c r="H94" s="26"/>
      <c r="I94" s="28">
        <v>55089</v>
      </c>
      <c r="K94" s="146"/>
      <c r="L94" s="146" t="s">
        <v>177</v>
      </c>
      <c r="M94" s="146"/>
      <c r="N94" s="146"/>
    </row>
    <row r="95" spans="3:14">
      <c r="C95" s="19" t="s">
        <v>951</v>
      </c>
      <c r="D95" s="26"/>
      <c r="E95" s="26"/>
      <c r="F95" s="26"/>
      <c r="G95" s="26"/>
      <c r="H95" s="26" t="s">
        <v>178</v>
      </c>
      <c r="I95" s="150">
        <v>32795</v>
      </c>
      <c r="K95" s="146"/>
      <c r="L95" s="146"/>
      <c r="M95" s="146"/>
      <c r="N95" s="146" t="s">
        <v>178</v>
      </c>
    </row>
    <row r="96" spans="3:14">
      <c r="C96" s="19" t="s">
        <v>952</v>
      </c>
      <c r="D96" s="26"/>
      <c r="E96" s="26"/>
      <c r="F96" s="26"/>
      <c r="G96" s="26"/>
      <c r="H96" s="26" t="s">
        <v>179</v>
      </c>
      <c r="I96" s="150">
        <v>14871</v>
      </c>
      <c r="K96" s="146"/>
      <c r="L96" s="146"/>
      <c r="M96" s="146"/>
      <c r="N96" s="146" t="s">
        <v>179</v>
      </c>
    </row>
    <row r="97" spans="3:14">
      <c r="C97" s="19" t="s">
        <v>953</v>
      </c>
      <c r="D97" s="26"/>
      <c r="E97" s="26"/>
      <c r="F97" s="26"/>
      <c r="G97" s="26"/>
      <c r="H97" s="26" t="s">
        <v>180</v>
      </c>
      <c r="I97" s="151">
        <v>7061</v>
      </c>
      <c r="K97" s="146"/>
      <c r="L97" s="146"/>
      <c r="M97" s="146"/>
      <c r="N97" s="146" t="s">
        <v>180</v>
      </c>
    </row>
    <row r="98" spans="3:14">
      <c r="C98" s="19" t="s">
        <v>954</v>
      </c>
      <c r="D98" s="26"/>
      <c r="E98" s="26"/>
      <c r="F98" s="26"/>
      <c r="G98" s="26"/>
      <c r="H98" s="26" t="s">
        <v>181</v>
      </c>
      <c r="I98" s="151">
        <v>362</v>
      </c>
      <c r="K98" s="146"/>
      <c r="L98" s="146"/>
      <c r="M98" s="146"/>
      <c r="N98" s="146" t="s">
        <v>181</v>
      </c>
    </row>
    <row r="99" spans="3:14">
      <c r="C99" s="19" t="s">
        <v>958</v>
      </c>
      <c r="D99" s="26"/>
      <c r="E99" s="26"/>
      <c r="F99" s="26" t="s">
        <v>182</v>
      </c>
      <c r="G99" s="26"/>
      <c r="H99" s="26"/>
      <c r="I99" s="28">
        <v>389491</v>
      </c>
      <c r="K99" s="146"/>
      <c r="L99" s="146" t="s">
        <v>182</v>
      </c>
      <c r="M99" s="146"/>
      <c r="N99" s="146"/>
    </row>
    <row r="100" spans="3:14">
      <c r="C100" s="19" t="s">
        <v>955</v>
      </c>
      <c r="D100" s="26"/>
      <c r="E100" s="26"/>
      <c r="F100" s="26"/>
      <c r="G100" s="26"/>
      <c r="H100" s="26" t="s">
        <v>183</v>
      </c>
      <c r="I100" s="150">
        <v>384960</v>
      </c>
      <c r="K100" s="146"/>
      <c r="L100" s="146"/>
      <c r="M100" s="146"/>
      <c r="N100" s="146" t="s">
        <v>183</v>
      </c>
    </row>
    <row r="101" spans="3:14">
      <c r="C101" s="19" t="s">
        <v>956</v>
      </c>
      <c r="D101" s="26"/>
      <c r="E101" s="26"/>
      <c r="F101" s="26"/>
      <c r="G101" s="26"/>
      <c r="H101" s="26" t="s">
        <v>184</v>
      </c>
      <c r="I101" s="150">
        <v>4337</v>
      </c>
      <c r="K101" s="146"/>
      <c r="L101" s="146"/>
      <c r="M101" s="146"/>
      <c r="N101" s="146" t="s">
        <v>184</v>
      </c>
    </row>
    <row r="102" spans="3:14">
      <c r="C102" s="19" t="s">
        <v>957</v>
      </c>
      <c r="D102" s="26"/>
      <c r="E102" s="26"/>
      <c r="F102" s="26"/>
      <c r="G102" s="26"/>
      <c r="H102" s="26" t="s">
        <v>185</v>
      </c>
      <c r="I102" s="151">
        <v>194</v>
      </c>
      <c r="K102" s="146"/>
      <c r="L102" s="146"/>
      <c r="M102" s="146"/>
      <c r="N102" s="146" t="s">
        <v>185</v>
      </c>
    </row>
    <row r="103" spans="3:14">
      <c r="C103" s="19" t="s">
        <v>965</v>
      </c>
      <c r="D103" s="26"/>
      <c r="E103" s="26"/>
      <c r="F103" s="26" t="s">
        <v>186</v>
      </c>
      <c r="G103" s="26"/>
      <c r="H103" s="26"/>
      <c r="I103" s="28">
        <v>595808</v>
      </c>
      <c r="K103" s="146"/>
      <c r="L103" s="146" t="s">
        <v>186</v>
      </c>
      <c r="M103" s="146"/>
      <c r="N103" s="146"/>
    </row>
    <row r="104" spans="3:14">
      <c r="C104" s="19" t="s">
        <v>959</v>
      </c>
      <c r="D104" s="26"/>
      <c r="E104" s="26"/>
      <c r="F104" s="26"/>
      <c r="G104" s="26" t="s">
        <v>187</v>
      </c>
      <c r="H104" s="26"/>
      <c r="I104" s="151">
        <v>14595</v>
      </c>
      <c r="K104" s="146"/>
      <c r="L104" s="146"/>
      <c r="M104" s="146" t="s">
        <v>187</v>
      </c>
      <c r="N104" s="146"/>
    </row>
    <row r="105" spans="3:14">
      <c r="C105" s="19" t="s">
        <v>960</v>
      </c>
      <c r="D105" s="26"/>
      <c r="E105" s="26"/>
      <c r="F105" s="26"/>
      <c r="G105" s="26" t="s">
        <v>188</v>
      </c>
      <c r="H105" s="26"/>
      <c r="I105" s="151">
        <v>2042</v>
      </c>
      <c r="K105" s="146"/>
      <c r="L105" s="146"/>
      <c r="M105" s="146" t="s">
        <v>188</v>
      </c>
      <c r="N105" s="146"/>
    </row>
    <row r="106" spans="3:14">
      <c r="C106" s="19" t="s">
        <v>961</v>
      </c>
      <c r="D106" s="26"/>
      <c r="E106" s="26"/>
      <c r="F106" s="26"/>
      <c r="G106" s="26" t="s">
        <v>189</v>
      </c>
      <c r="H106" s="26"/>
      <c r="I106" s="151">
        <v>1330</v>
      </c>
      <c r="K106" s="146"/>
      <c r="L106" s="146"/>
      <c r="M106" s="146" t="s">
        <v>189</v>
      </c>
      <c r="N106" s="146"/>
    </row>
    <row r="107" spans="3:14">
      <c r="C107" s="19" t="s">
        <v>962</v>
      </c>
      <c r="D107" s="26"/>
      <c r="E107" s="26"/>
      <c r="F107" s="26"/>
      <c r="G107" s="26" t="s">
        <v>190</v>
      </c>
      <c r="H107" s="26"/>
      <c r="I107" s="151">
        <v>4632</v>
      </c>
      <c r="K107" s="146"/>
      <c r="L107" s="146"/>
      <c r="M107" s="146" t="s">
        <v>190</v>
      </c>
      <c r="N107" s="146"/>
    </row>
    <row r="108" spans="3:14">
      <c r="C108" s="19" t="s">
        <v>963</v>
      </c>
      <c r="D108" s="26"/>
      <c r="E108" s="26"/>
      <c r="F108" s="26"/>
      <c r="G108" s="26" t="s">
        <v>191</v>
      </c>
      <c r="H108" s="26"/>
      <c r="I108" s="151">
        <v>131150</v>
      </c>
      <c r="K108" s="146"/>
      <c r="L108" s="146"/>
      <c r="M108" s="146" t="s">
        <v>191</v>
      </c>
      <c r="N108" s="146"/>
    </row>
    <row r="109" spans="3:14">
      <c r="C109" s="19" t="s">
        <v>964</v>
      </c>
      <c r="D109" s="26"/>
      <c r="E109" s="26"/>
      <c r="F109" s="26"/>
      <c r="G109" s="26" t="s">
        <v>192</v>
      </c>
      <c r="H109" s="26"/>
      <c r="I109" s="151">
        <v>2237</v>
      </c>
      <c r="K109" s="146"/>
      <c r="L109" s="146"/>
      <c r="M109" s="146" t="s">
        <v>192</v>
      </c>
      <c r="N109" s="146"/>
    </row>
    <row r="110" spans="3:14">
      <c r="C110" s="19" t="s">
        <v>971</v>
      </c>
      <c r="D110" s="26"/>
      <c r="E110" s="26"/>
      <c r="F110" s="26"/>
      <c r="G110" s="26" t="s">
        <v>193</v>
      </c>
      <c r="H110" s="26"/>
      <c r="I110" s="151">
        <v>14480</v>
      </c>
      <c r="K110" s="146"/>
      <c r="L110" s="146"/>
      <c r="M110" s="146" t="s">
        <v>193</v>
      </c>
      <c r="N110" s="146"/>
    </row>
    <row r="111" spans="3:14">
      <c r="C111" s="19" t="s">
        <v>966</v>
      </c>
      <c r="D111" s="26"/>
      <c r="E111" s="26"/>
      <c r="F111" s="26"/>
      <c r="G111" s="26"/>
      <c r="H111" s="26" t="s">
        <v>194</v>
      </c>
      <c r="I111" s="28">
        <v>294</v>
      </c>
      <c r="K111" s="146"/>
      <c r="L111" s="146"/>
      <c r="M111" s="146"/>
      <c r="N111" s="146" t="s">
        <v>194</v>
      </c>
    </row>
    <row r="112" spans="3:14">
      <c r="C112" s="19" t="s">
        <v>967</v>
      </c>
      <c r="D112" s="26"/>
      <c r="E112" s="26"/>
      <c r="F112" s="26"/>
      <c r="G112" s="26"/>
      <c r="H112" s="26" t="s">
        <v>195</v>
      </c>
      <c r="I112" s="28">
        <v>87</v>
      </c>
      <c r="K112" s="146"/>
      <c r="L112" s="146"/>
      <c r="M112" s="146"/>
      <c r="N112" s="146" t="s">
        <v>195</v>
      </c>
    </row>
    <row r="113" spans="3:14">
      <c r="C113" s="19" t="s">
        <v>968</v>
      </c>
      <c r="D113" s="26"/>
      <c r="E113" s="26"/>
      <c r="F113" s="26"/>
      <c r="G113" s="26"/>
      <c r="H113" s="26" t="s">
        <v>196</v>
      </c>
      <c r="I113" s="28">
        <v>12228</v>
      </c>
      <c r="K113" s="146"/>
      <c r="L113" s="146"/>
      <c r="M113" s="146"/>
      <c r="N113" s="146" t="s">
        <v>196</v>
      </c>
    </row>
    <row r="114" spans="3:14">
      <c r="C114" s="19" t="s">
        <v>969</v>
      </c>
      <c r="D114" s="26"/>
      <c r="E114" s="26"/>
      <c r="F114" s="26"/>
      <c r="G114" s="26"/>
      <c r="H114" s="26" t="s">
        <v>197</v>
      </c>
      <c r="I114" s="28">
        <v>45</v>
      </c>
      <c r="K114" s="146"/>
      <c r="L114" s="146"/>
      <c r="M114" s="146"/>
      <c r="N114" s="146" t="s">
        <v>197</v>
      </c>
    </row>
    <row r="115" spans="3:14">
      <c r="C115" s="19" t="s">
        <v>970</v>
      </c>
      <c r="D115" s="26"/>
      <c r="E115" s="26"/>
      <c r="F115" s="26"/>
      <c r="G115" s="26"/>
      <c r="H115" s="26" t="s">
        <v>198</v>
      </c>
      <c r="I115" s="28">
        <v>1826</v>
      </c>
      <c r="K115" s="146"/>
      <c r="L115" s="146"/>
      <c r="M115" s="146"/>
      <c r="N115" s="146" t="s">
        <v>198</v>
      </c>
    </row>
    <row r="116" spans="3:14">
      <c r="D116" s="26"/>
      <c r="E116" s="26"/>
      <c r="F116" s="26"/>
      <c r="G116" s="26" t="s">
        <v>199</v>
      </c>
      <c r="H116" s="26"/>
      <c r="I116" s="151">
        <v>9536</v>
      </c>
      <c r="K116" s="146"/>
      <c r="L116" s="146"/>
      <c r="M116" s="146" t="s">
        <v>199</v>
      </c>
      <c r="N116" s="146"/>
    </row>
    <row r="117" spans="3:14">
      <c r="C117" s="19" t="s">
        <v>972</v>
      </c>
      <c r="D117" s="26"/>
      <c r="E117" s="26"/>
      <c r="F117" s="26"/>
      <c r="G117" s="26"/>
      <c r="H117" s="26" t="s">
        <v>200</v>
      </c>
      <c r="I117" s="28">
        <v>270</v>
      </c>
      <c r="K117" s="146"/>
      <c r="L117" s="146"/>
      <c r="M117" s="146"/>
      <c r="N117" s="146" t="s">
        <v>200</v>
      </c>
    </row>
    <row r="118" spans="3:14">
      <c r="C118" s="19" t="s">
        <v>973</v>
      </c>
      <c r="D118" s="26"/>
      <c r="E118" s="26"/>
      <c r="F118" s="26"/>
      <c r="G118" s="26"/>
      <c r="H118" s="26" t="s">
        <v>201</v>
      </c>
      <c r="I118" s="28">
        <v>647</v>
      </c>
      <c r="K118" s="146"/>
      <c r="L118" s="146"/>
      <c r="M118" s="146"/>
      <c r="N118" s="146" t="s">
        <v>201</v>
      </c>
    </row>
    <row r="119" spans="3:14">
      <c r="C119" s="19" t="s">
        <v>974</v>
      </c>
      <c r="D119" s="26"/>
      <c r="E119" s="26"/>
      <c r="F119" s="26"/>
      <c r="G119" s="26"/>
      <c r="H119" s="26" t="s">
        <v>202</v>
      </c>
      <c r="I119" s="28">
        <v>245</v>
      </c>
      <c r="K119" s="146"/>
      <c r="L119" s="146"/>
      <c r="M119" s="146"/>
      <c r="N119" s="146" t="s">
        <v>202</v>
      </c>
    </row>
    <row r="120" spans="3:14">
      <c r="C120" s="19" t="s">
        <v>975</v>
      </c>
      <c r="D120" s="26"/>
      <c r="E120" s="26"/>
      <c r="F120" s="26"/>
      <c r="G120" s="26"/>
      <c r="H120" s="26" t="s">
        <v>203</v>
      </c>
      <c r="I120" s="28">
        <v>8374</v>
      </c>
      <c r="K120" s="146"/>
      <c r="L120" s="146"/>
      <c r="M120" s="146"/>
      <c r="N120" s="146" t="s">
        <v>203</v>
      </c>
    </row>
    <row r="121" spans="3:14">
      <c r="C121" s="19" t="s">
        <v>981</v>
      </c>
      <c r="D121" s="26"/>
      <c r="E121" s="26"/>
      <c r="F121" s="26"/>
      <c r="G121" s="26" t="s">
        <v>204</v>
      </c>
      <c r="H121" s="26"/>
      <c r="I121" s="151">
        <v>104827</v>
      </c>
      <c r="K121" s="146"/>
      <c r="L121" s="146"/>
      <c r="M121" s="146" t="s">
        <v>204</v>
      </c>
      <c r="N121" s="146"/>
    </row>
    <row r="122" spans="3:14">
      <c r="C122" s="19" t="s">
        <v>976</v>
      </c>
      <c r="D122" s="26"/>
      <c r="E122" s="26"/>
      <c r="F122" s="26"/>
      <c r="G122" s="26"/>
      <c r="H122" s="26" t="s">
        <v>205</v>
      </c>
      <c r="I122" s="28">
        <v>10701</v>
      </c>
      <c r="K122" s="146"/>
      <c r="L122" s="146"/>
      <c r="M122" s="146"/>
      <c r="N122" s="146" t="s">
        <v>205</v>
      </c>
    </row>
    <row r="123" spans="3:14">
      <c r="C123" s="19" t="s">
        <v>977</v>
      </c>
      <c r="D123" s="26"/>
      <c r="E123" s="26"/>
      <c r="F123" s="26"/>
      <c r="G123" s="26"/>
      <c r="H123" s="26" t="s">
        <v>206</v>
      </c>
      <c r="I123" s="28">
        <v>4153</v>
      </c>
      <c r="K123" s="146"/>
      <c r="L123" s="146"/>
      <c r="M123" s="146"/>
      <c r="N123" s="146" t="s">
        <v>206</v>
      </c>
    </row>
    <row r="124" spans="3:14">
      <c r="C124" s="19" t="s">
        <v>978</v>
      </c>
      <c r="D124" s="26"/>
      <c r="E124" s="26"/>
      <c r="F124" s="26"/>
      <c r="G124" s="26"/>
      <c r="H124" s="26" t="s">
        <v>207</v>
      </c>
      <c r="I124" s="28">
        <v>12951</v>
      </c>
      <c r="K124" s="146"/>
      <c r="L124" s="146"/>
      <c r="M124" s="146"/>
      <c r="N124" s="146" t="s">
        <v>207</v>
      </c>
    </row>
    <row r="125" spans="3:14">
      <c r="C125" s="19" t="s">
        <v>979</v>
      </c>
      <c r="D125" s="26"/>
      <c r="E125" s="26"/>
      <c r="F125" s="26"/>
      <c r="G125" s="26"/>
      <c r="H125" s="26" t="s">
        <v>208</v>
      </c>
      <c r="I125" s="28">
        <v>32595</v>
      </c>
      <c r="K125" s="146"/>
      <c r="L125" s="146"/>
      <c r="M125" s="146"/>
      <c r="N125" s="146" t="s">
        <v>208</v>
      </c>
    </row>
    <row r="126" spans="3:14">
      <c r="C126" s="19" t="s">
        <v>980</v>
      </c>
      <c r="D126" s="26"/>
      <c r="E126" s="26"/>
      <c r="F126" s="26"/>
      <c r="G126" s="26"/>
      <c r="H126" s="26" t="s">
        <v>209</v>
      </c>
      <c r="I126" s="28">
        <v>44427</v>
      </c>
      <c r="K126" s="146"/>
      <c r="L126" s="146"/>
      <c r="M126" s="146"/>
      <c r="N126" s="146" t="s">
        <v>209</v>
      </c>
    </row>
    <row r="127" spans="3:14">
      <c r="C127" s="19" t="s">
        <v>985</v>
      </c>
      <c r="D127" s="26"/>
      <c r="E127" s="26"/>
      <c r="F127" s="26"/>
      <c r="G127" s="26" t="s">
        <v>210</v>
      </c>
      <c r="H127" s="26"/>
      <c r="I127" s="151">
        <v>310979</v>
      </c>
      <c r="K127" s="146"/>
      <c r="L127" s="146"/>
      <c r="M127" s="146" t="s">
        <v>210</v>
      </c>
      <c r="N127" s="146"/>
    </row>
    <row r="128" spans="3:14">
      <c r="C128" s="19" t="s">
        <v>986</v>
      </c>
      <c r="D128" s="26"/>
      <c r="E128" s="26" t="s">
        <v>211</v>
      </c>
      <c r="F128" s="26"/>
      <c r="G128" s="26"/>
      <c r="H128" s="26"/>
      <c r="I128" s="28">
        <v>105937</v>
      </c>
      <c r="K128" s="146" t="s">
        <v>211</v>
      </c>
      <c r="L128" s="146"/>
      <c r="M128" s="146"/>
      <c r="N128" s="146"/>
    </row>
    <row r="129" spans="3:14">
      <c r="C129" s="19" t="s">
        <v>987</v>
      </c>
      <c r="D129" s="26"/>
      <c r="E129" s="26"/>
      <c r="F129" s="26" t="s">
        <v>212</v>
      </c>
      <c r="G129" s="26"/>
      <c r="H129" s="26"/>
      <c r="I129" s="28">
        <v>11800</v>
      </c>
      <c r="K129" s="146"/>
      <c r="L129" s="146" t="s">
        <v>212</v>
      </c>
      <c r="M129" s="146"/>
      <c r="N129" s="146"/>
    </row>
    <row r="130" spans="3:14">
      <c r="C130" s="19" t="s">
        <v>982</v>
      </c>
      <c r="D130" s="26"/>
      <c r="E130" s="26"/>
      <c r="F130" s="26"/>
      <c r="G130" s="26"/>
      <c r="H130" s="26" t="s">
        <v>213</v>
      </c>
      <c r="I130" s="150">
        <v>11258</v>
      </c>
      <c r="K130" s="146"/>
      <c r="L130" s="146"/>
      <c r="M130" s="146"/>
      <c r="N130" s="146" t="s">
        <v>213</v>
      </c>
    </row>
    <row r="131" spans="3:14">
      <c r="C131" s="19" t="s">
        <v>983</v>
      </c>
      <c r="D131" s="26"/>
      <c r="E131" s="26"/>
      <c r="F131" s="26"/>
      <c r="G131" s="26"/>
      <c r="H131" s="26" t="s">
        <v>214</v>
      </c>
      <c r="I131" s="150">
        <v>325</v>
      </c>
      <c r="K131" s="146"/>
      <c r="L131" s="146"/>
      <c r="M131" s="146"/>
      <c r="N131" s="146" t="s">
        <v>214</v>
      </c>
    </row>
    <row r="132" spans="3:14">
      <c r="C132" s="19" t="s">
        <v>984</v>
      </c>
      <c r="D132" s="26"/>
      <c r="E132" s="26"/>
      <c r="F132" s="26"/>
      <c r="G132" s="26"/>
      <c r="H132" s="26" t="s">
        <v>215</v>
      </c>
      <c r="I132" s="151">
        <v>217</v>
      </c>
      <c r="K132" s="146"/>
      <c r="L132" s="146"/>
      <c r="M132" s="146"/>
      <c r="N132" s="146" t="s">
        <v>215</v>
      </c>
    </row>
    <row r="133" spans="3:14">
      <c r="C133" s="19" t="s">
        <v>988</v>
      </c>
      <c r="D133" s="26"/>
      <c r="E133" s="26"/>
      <c r="F133" s="26" t="s">
        <v>216</v>
      </c>
      <c r="G133" s="26"/>
      <c r="H133" s="26"/>
      <c r="I133" s="28">
        <v>39781</v>
      </c>
      <c r="K133" s="146"/>
      <c r="L133" s="146" t="s">
        <v>216</v>
      </c>
      <c r="M133" s="146"/>
      <c r="N133" s="146"/>
    </row>
    <row r="134" spans="3:14">
      <c r="C134" s="19" t="s">
        <v>989</v>
      </c>
      <c r="D134" s="26"/>
      <c r="E134" s="26"/>
      <c r="F134" s="26"/>
      <c r="G134" s="26"/>
      <c r="H134" s="26" t="s">
        <v>217</v>
      </c>
      <c r="I134" s="150">
        <v>549</v>
      </c>
      <c r="K134" s="146"/>
      <c r="L134" s="146"/>
      <c r="M134" s="146"/>
      <c r="N134" s="146" t="s">
        <v>217</v>
      </c>
    </row>
    <row r="135" spans="3:14">
      <c r="C135" s="19" t="s">
        <v>990</v>
      </c>
      <c r="D135" s="26"/>
      <c r="E135" s="26"/>
      <c r="F135" s="26"/>
      <c r="G135" s="26"/>
      <c r="H135" s="26" t="s">
        <v>218</v>
      </c>
      <c r="I135" s="150">
        <v>395</v>
      </c>
      <c r="K135" s="146"/>
      <c r="L135" s="146"/>
      <c r="M135" s="146"/>
      <c r="N135" s="146" t="s">
        <v>218</v>
      </c>
    </row>
    <row r="136" spans="3:14">
      <c r="C136" s="19" t="s">
        <v>991</v>
      </c>
      <c r="D136" s="26"/>
      <c r="E136" s="26"/>
      <c r="F136" s="26"/>
      <c r="G136" s="26"/>
      <c r="H136" s="26" t="s">
        <v>219</v>
      </c>
      <c r="I136" s="151">
        <v>38837</v>
      </c>
      <c r="K136" s="146"/>
      <c r="L136" s="146"/>
      <c r="M136" s="146"/>
      <c r="N136" s="146" t="s">
        <v>219</v>
      </c>
    </row>
    <row r="137" spans="3:14">
      <c r="C137" s="19" t="s">
        <v>992</v>
      </c>
      <c r="D137" s="26"/>
      <c r="E137" s="26"/>
      <c r="F137" s="26" t="s">
        <v>220</v>
      </c>
      <c r="G137" s="26"/>
      <c r="H137" s="26"/>
      <c r="I137" s="28">
        <v>54356</v>
      </c>
      <c r="K137" s="146"/>
      <c r="L137" s="146" t="s">
        <v>846</v>
      </c>
      <c r="M137" s="146"/>
      <c r="N137" s="146"/>
    </row>
    <row r="138" spans="3:14">
      <c r="C138" s="19" t="s">
        <v>929</v>
      </c>
      <c r="D138" s="26"/>
      <c r="E138" s="26"/>
      <c r="F138" s="26"/>
      <c r="G138" s="26" t="s">
        <v>221</v>
      </c>
      <c r="H138" s="26"/>
      <c r="I138" s="151">
        <v>23969</v>
      </c>
      <c r="K138" s="146"/>
      <c r="L138" s="146"/>
      <c r="M138" s="146" t="s">
        <v>847</v>
      </c>
      <c r="N138" s="146"/>
    </row>
    <row r="139" spans="3:14">
      <c r="C139" s="19" t="s">
        <v>930</v>
      </c>
      <c r="D139" s="26"/>
      <c r="E139" s="26"/>
      <c r="F139" s="26"/>
      <c r="G139" s="26" t="s">
        <v>222</v>
      </c>
      <c r="H139" s="26"/>
      <c r="I139" s="151">
        <v>1031</v>
      </c>
      <c r="K139" s="146"/>
      <c r="L139" s="146"/>
      <c r="M139" s="146" t="s">
        <v>848</v>
      </c>
      <c r="N139" s="146"/>
    </row>
    <row r="140" spans="3:14">
      <c r="C140" s="19" t="s">
        <v>931</v>
      </c>
      <c r="D140" s="26"/>
      <c r="E140" s="26"/>
      <c r="F140" s="26"/>
      <c r="G140" s="26" t="s">
        <v>223</v>
      </c>
      <c r="H140" s="26"/>
      <c r="I140" s="151">
        <v>2</v>
      </c>
      <c r="K140" s="146"/>
      <c r="L140" s="146"/>
      <c r="M140" s="146" t="s">
        <v>849</v>
      </c>
      <c r="N140" s="146"/>
    </row>
    <row r="141" spans="3:14">
      <c r="C141" s="19" t="s">
        <v>932</v>
      </c>
      <c r="D141" s="26"/>
      <c r="E141" s="26"/>
      <c r="F141" s="26"/>
      <c r="G141" s="26" t="s">
        <v>224</v>
      </c>
      <c r="H141" s="26"/>
      <c r="I141" s="151">
        <v>3804</v>
      </c>
      <c r="K141" s="146"/>
      <c r="L141" s="146"/>
      <c r="M141" s="146" t="s">
        <v>850</v>
      </c>
      <c r="N141" s="146"/>
    </row>
    <row r="142" spans="3:14">
      <c r="C142" s="19" t="s">
        <v>933</v>
      </c>
      <c r="D142" s="26"/>
      <c r="E142" s="26"/>
      <c r="F142" s="26"/>
      <c r="G142" s="26" t="s">
        <v>225</v>
      </c>
      <c r="H142" s="26"/>
      <c r="I142" s="151">
        <v>25550</v>
      </c>
      <c r="K142" s="146"/>
      <c r="L142" s="146"/>
      <c r="M142" s="146" t="s">
        <v>851</v>
      </c>
      <c r="N142" s="146"/>
    </row>
    <row r="143" spans="3:14" ht="13.5" thickBot="1"/>
    <row r="144" spans="3:14" s="6" customFormat="1" ht="15">
      <c r="D144" s="103" t="s">
        <v>226</v>
      </c>
      <c r="E144" s="99"/>
    </row>
    <row r="145" spans="4:5" s="6" customFormat="1" ht="15">
      <c r="D145" s="104" t="s">
        <v>227</v>
      </c>
      <c r="E145" s="100"/>
    </row>
    <row r="146" spans="4:5" s="6" customFormat="1" ht="15">
      <c r="D146" s="105" t="s">
        <v>228</v>
      </c>
      <c r="E146" s="101"/>
    </row>
    <row r="147" spans="4:5" s="6" customFormat="1" ht="15.75" thickBot="1">
      <c r="D147" s="106" t="s">
        <v>229</v>
      </c>
      <c r="E147" s="102"/>
    </row>
  </sheetData>
  <phoneticPr fontId="3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8CF2C-4D71-4580-985F-F10EA038A7D2}">
  <dimension ref="A2:N70"/>
  <sheetViews>
    <sheetView workbookViewId="0"/>
  </sheetViews>
  <sheetFormatPr defaultColWidth="9" defaultRowHeight="15"/>
  <cols>
    <col min="1" max="1" width="9" style="6"/>
    <col min="2" max="2" width="25.28515625" style="6" customWidth="1"/>
    <col min="3" max="3" width="13.7109375" style="6" customWidth="1"/>
    <col min="4" max="4" width="14.5703125" style="6" bestFit="1" customWidth="1"/>
    <col min="5" max="16384" width="9" style="6"/>
  </cols>
  <sheetData>
    <row r="2" spans="2:4">
      <c r="B2" s="10" t="s">
        <v>226</v>
      </c>
      <c r="C2" s="10">
        <v>2020</v>
      </c>
    </row>
    <row r="3" spans="2:4">
      <c r="B3" s="11" t="s">
        <v>230</v>
      </c>
      <c r="C3" s="181">
        <f>Cal!$C$5*'DV-Regis'!$I$5</f>
        <v>114917.60648530474</v>
      </c>
    </row>
    <row r="4" spans="2:4">
      <c r="B4" s="11" t="s">
        <v>231</v>
      </c>
      <c r="C4" s="181">
        <f>Cal!$D$5*'DV-Regis'!$I$5</f>
        <v>34230.059993082032</v>
      </c>
    </row>
    <row r="5" spans="2:4">
      <c r="B5" s="11" t="s">
        <v>232</v>
      </c>
      <c r="C5" s="181">
        <f>Cal!$E$5*'DV-Regis'!$I$5</f>
        <v>10959476.048499774</v>
      </c>
    </row>
    <row r="6" spans="2:4">
      <c r="B6" s="11" t="s">
        <v>233</v>
      </c>
      <c r="C6" s="181">
        <f>Cal!$F$5*'DV-Regis'!$I$5</f>
        <v>6290827.1892583873</v>
      </c>
    </row>
    <row r="7" spans="2:4">
      <c r="B7" s="11" t="s">
        <v>234</v>
      </c>
      <c r="C7" s="181">
        <f>Cal!$G$5*'DV-Regis'!$I$5</f>
        <v>648853.05339912046</v>
      </c>
    </row>
    <row r="8" spans="2:4">
      <c r="B8" s="11" t="s">
        <v>235</v>
      </c>
      <c r="C8" s="181">
        <f>Cal!$H$5*'DV-Regis'!$I$5</f>
        <v>1786472.2280383769</v>
      </c>
    </row>
    <row r="9" spans="2:4">
      <c r="B9" s="11" t="s">
        <v>236</v>
      </c>
      <c r="C9" s="181">
        <f>Cal!$I$5*'DV-Regis'!$I$5</f>
        <v>10491.920808424515</v>
      </c>
    </row>
    <row r="10" spans="2:4">
      <c r="C10" s="12"/>
      <c r="D10" s="12"/>
    </row>
    <row r="11" spans="2:4">
      <c r="B11" s="10" t="s">
        <v>227</v>
      </c>
      <c r="C11" s="12"/>
    </row>
    <row r="12" spans="2:4">
      <c r="B12" s="11" t="s">
        <v>230</v>
      </c>
      <c r="C12" s="181">
        <f>Cal!$C$5*'DV-Regis'!$I$62</f>
        <v>4535.3935146952517</v>
      </c>
    </row>
    <row r="13" spans="2:4">
      <c r="B13" s="11" t="s">
        <v>231</v>
      </c>
      <c r="C13" s="181">
        <f>Cal!$D$5*'DV-Regis'!$I$62</f>
        <v>1350.9400069179658</v>
      </c>
    </row>
    <row r="14" spans="2:4">
      <c r="B14" s="11" t="s">
        <v>232</v>
      </c>
      <c r="C14" s="181">
        <f>Cal!$E$5*'DV-Regis'!$I$62</f>
        <v>432531.9515002254</v>
      </c>
    </row>
    <row r="15" spans="2:4">
      <c r="B15" s="11" t="s">
        <v>233</v>
      </c>
      <c r="C15" s="181">
        <f>Cal!$F$5*'DV-Regis'!$I$62</f>
        <v>248276.81074161202</v>
      </c>
    </row>
    <row r="16" spans="2:4">
      <c r="B16" s="11" t="s">
        <v>234</v>
      </c>
      <c r="C16" s="181">
        <f>Cal!$G$5*'DV-Regis'!$I$62</f>
        <v>25607.946600879633</v>
      </c>
    </row>
    <row r="17" spans="2:4">
      <c r="B17" s="11" t="s">
        <v>235</v>
      </c>
      <c r="C17" s="181">
        <f>Cal!$H$5*'DV-Regis'!$I$62</f>
        <v>70505.771961623075</v>
      </c>
    </row>
    <row r="18" spans="2:4">
      <c r="B18" s="11" t="s">
        <v>236</v>
      </c>
      <c r="C18" s="181">
        <f>Cal!$I$5*'DV-Regis'!$I$62</f>
        <v>414.07919157548508</v>
      </c>
    </row>
    <row r="19" spans="2:4">
      <c r="C19" s="12"/>
      <c r="D19" s="12"/>
    </row>
    <row r="20" spans="2:4">
      <c r="B20" s="10" t="s">
        <v>237</v>
      </c>
      <c r="C20" s="12"/>
    </row>
    <row r="21" spans="2:4">
      <c r="B21" s="11" t="s">
        <v>230</v>
      </c>
      <c r="C21" s="12">
        <f>Cal!$C$9*SUM('DV-Regis'!$I$85,'DV-Regis'!$I$87:$I$89,'DV-Regis'!$I$95:$I$96,'DV-Regis'!$I$100:$I$101,'DV-Regis'!$I$130:$I$131,'DV-Regis'!$I$134:$I$135)</f>
        <v>11965.956562995307</v>
      </c>
    </row>
    <row r="22" spans="2:4">
      <c r="B22" s="11" t="s">
        <v>231</v>
      </c>
      <c r="C22" s="129">
        <f>Cal!D8</f>
        <v>1366</v>
      </c>
    </row>
    <row r="23" spans="2:4">
      <c r="B23" s="11" t="s">
        <v>232</v>
      </c>
      <c r="C23" s="12">
        <f>Cal!$E$9*SUM('DV-Regis'!$I$85,'DV-Regis'!$I$87:$I$89,'DV-Regis'!$I$95:$I$96,'DV-Regis'!$I$100:$I$101,'DV-Regis'!$I$130:$I$131,'DV-Regis'!$I$134:$I$135)</f>
        <v>14255.143043258835</v>
      </c>
    </row>
    <row r="24" spans="2:4">
      <c r="B24" s="11" t="s">
        <v>233</v>
      </c>
      <c r="C24" s="12">
        <f>Cal!$F$9*SUM('DV-Regis'!$I$85,'DV-Regis'!$I$87:$I$89,'DV-Regis'!$I$95:$I$96,'DV-Regis'!$I$100:$I$101,'DV-Regis'!$I$130:$I$131,'DV-Regis'!$I$134:$I$135)</f>
        <v>2664174.8230804084</v>
      </c>
    </row>
    <row r="25" spans="2:4">
      <c r="B25" s="11" t="s">
        <v>234</v>
      </c>
      <c r="C25" s="12">
        <f>Cal!$G$9*SUM('DV-Regis'!$I$85,'DV-Regis'!$I$87:$I$89,'DV-Regis'!$I$95:$I$96,'DV-Regis'!$I$100:$I$101,'DV-Regis'!$I$130:$I$131,'DV-Regis'!$I$134:$I$135)</f>
        <v>0</v>
      </c>
    </row>
    <row r="26" spans="2:4">
      <c r="B26" s="11" t="s">
        <v>235</v>
      </c>
      <c r="C26" s="12">
        <f>Cal!$H$9*SUM('DV-Regis'!$I$85,'DV-Regis'!$I$87:$I$89,'DV-Regis'!$I$95:$I$96,'DV-Regis'!$I$100:$I$101,'DV-Regis'!$I$130:$I$131,'DV-Regis'!$I$134:$I$135)</f>
        <v>94459.997166222995</v>
      </c>
    </row>
    <row r="27" spans="2:4">
      <c r="B27" s="11" t="s">
        <v>236</v>
      </c>
      <c r="C27" s="12">
        <f>Cal!$I$9*SUM('DV-Regis'!$I$85,'DV-Regis'!$I$87:$I$89,'DV-Regis'!$I$95:$I$96,'DV-Regis'!$I$100:$I$101,'DV-Regis'!$I$130:$I$131,'DV-Regis'!$I$134:$I$135)</f>
        <v>0</v>
      </c>
    </row>
    <row r="28" spans="2:4">
      <c r="C28" s="12"/>
    </row>
    <row r="29" spans="2:4">
      <c r="B29" s="10" t="s">
        <v>238</v>
      </c>
      <c r="C29" s="12"/>
    </row>
    <row r="30" spans="2:4">
      <c r="B30" s="11" t="s">
        <v>230</v>
      </c>
      <c r="C30" s="12">
        <f>Cal!$C$9*SUM('DV-Regis'!$I$90:$I$93,'DV-Regis'!$I$97:$I$98,'DV-Regis'!$I$102,'DV-Regis'!$I$104:$I$110,'DV-Regis'!$I$116,'DV-Regis'!$I$121,'DV-Regis'!$I$127,'DV-Regis'!$I$132,'DV-Regis'!$I$136,'DV-Regis'!$I$138:$I$142)</f>
        <v>3543.0434370046937</v>
      </c>
    </row>
    <row r="31" spans="2:4">
      <c r="B31" s="11" t="s">
        <v>231</v>
      </c>
      <c r="C31" s="129">
        <v>0</v>
      </c>
    </row>
    <row r="32" spans="2:4">
      <c r="B32" s="11" t="s">
        <v>232</v>
      </c>
      <c r="C32" s="12">
        <f>Cal!$E$9*SUM('DV-Regis'!$I$90:$I$93,'DV-Regis'!$I$97:$I$98,'DV-Regis'!$I$102,'DV-Regis'!$I$104:$I$110,'DV-Regis'!$I$116,'DV-Regis'!$I$121,'DV-Regis'!$I$127,'DV-Regis'!$I$132,'DV-Regis'!$I$136,'DV-Regis'!$I$138:$I$142)</f>
        <v>4220.8569567411641</v>
      </c>
    </row>
    <row r="33" spans="1:14">
      <c r="B33" s="11" t="s">
        <v>233</v>
      </c>
      <c r="C33" s="12">
        <f>Cal!$F$9*SUM('DV-Regis'!$I$90:$I$93,'DV-Regis'!$I$97:$I$98,'DV-Regis'!$I$102,'DV-Regis'!$I$104:$I$110,'DV-Regis'!$I$116,'DV-Regis'!$I$121,'DV-Regis'!$I$127,'DV-Regis'!$I$132,'DV-Regis'!$I$136,'DV-Regis'!$I$138:$I$142)</f>
        <v>788845.17691959161</v>
      </c>
    </row>
    <row r="34" spans="1:14">
      <c r="B34" s="11" t="s">
        <v>234</v>
      </c>
      <c r="C34" s="12">
        <f>Cal!$G$9*SUM('DV-Regis'!$I$90:$I$93,'DV-Regis'!$I$97:$I$98,'DV-Regis'!$I$102,'DV-Regis'!$I$104:$I$110,'DV-Regis'!$I$116,'DV-Regis'!$I$121,'DV-Regis'!$I$127,'DV-Regis'!$I$132,'DV-Regis'!$I$136,'DV-Regis'!$I$138:$I$142)</f>
        <v>0</v>
      </c>
    </row>
    <row r="35" spans="1:14">
      <c r="B35" s="11" t="s">
        <v>235</v>
      </c>
      <c r="C35" s="12">
        <f>Cal!$H$9*SUM('DV-Regis'!$I$90:$I$93,'DV-Regis'!$I$97:$I$98,'DV-Regis'!$I$102,'DV-Regis'!$I$104:$I$110,'DV-Regis'!$I$116,'DV-Regis'!$I$121,'DV-Regis'!$I$127,'DV-Regis'!$I$132,'DV-Regis'!$I$136,'DV-Regis'!$I$138:$I$142)</f>
        <v>27969.002833777009</v>
      </c>
    </row>
    <row r="36" spans="1:14">
      <c r="B36" s="11" t="s">
        <v>236</v>
      </c>
      <c r="C36" s="12">
        <f>Cal!$I$9*SUM('DV-Regis'!$I$90:$I$93,'DV-Regis'!$I$97:$I$98,'DV-Regis'!$I$102,'DV-Regis'!$I$104:$I$110,'DV-Regis'!$I$116,'DV-Regis'!$I$121,'DV-Regis'!$I$127,'DV-Regis'!$I$132,'DV-Regis'!$I$136,'DV-Regis'!$I$138:$I$142)</f>
        <v>0</v>
      </c>
    </row>
    <row r="38" spans="1:14">
      <c r="A38" s="13" t="s">
        <v>38</v>
      </c>
    </row>
    <row r="39" spans="1:14">
      <c r="A39" s="130" t="s">
        <v>239</v>
      </c>
    </row>
    <row r="40" spans="1:14">
      <c r="A40" s="131" t="s">
        <v>240</v>
      </c>
    </row>
    <row r="41" spans="1:14">
      <c r="A41" s="13"/>
    </row>
    <row r="42" spans="1:14" ht="15.75" thickBot="1">
      <c r="A42" s="13" t="s">
        <v>241</v>
      </c>
    </row>
    <row r="43" spans="1:14" ht="15.75" thickBot="1">
      <c r="A43" s="13"/>
      <c r="B43" s="82" t="s">
        <v>242</v>
      </c>
      <c r="C43" s="83" t="s">
        <v>243</v>
      </c>
      <c r="D43" s="84" t="s">
        <v>244</v>
      </c>
    </row>
    <row r="44" spans="1:14" ht="15.75" thickBot="1">
      <c r="A44" s="13"/>
      <c r="B44" s="82" t="s">
        <v>245</v>
      </c>
      <c r="C44" s="83" t="s">
        <v>246</v>
      </c>
      <c r="D44" s="84" t="s">
        <v>247</v>
      </c>
    </row>
    <row r="45" spans="1:14">
      <c r="A45" s="13"/>
      <c r="B45" s="15" t="s">
        <v>248</v>
      </c>
      <c r="C45" s="80" t="s">
        <v>249</v>
      </c>
      <c r="D45" s="80"/>
    </row>
    <row r="46" spans="1:14">
      <c r="A46" s="13"/>
      <c r="B46" s="15" t="s">
        <v>250</v>
      </c>
      <c r="C46" s="80" t="s">
        <v>251</v>
      </c>
      <c r="D46" s="80"/>
    </row>
    <row r="47" spans="1:14" ht="15.75" thickBot="1">
      <c r="F47" s="80"/>
      <c r="J47" s="80"/>
    </row>
    <row r="48" spans="1:14">
      <c r="B48" s="217" t="s">
        <v>252</v>
      </c>
      <c r="C48" s="85" t="s">
        <v>253</v>
      </c>
      <c r="D48" s="86" t="s">
        <v>254</v>
      </c>
      <c r="E48" s="86"/>
      <c r="F48" s="86"/>
      <c r="G48" s="86"/>
      <c r="H48" s="86"/>
      <c r="I48" s="86"/>
      <c r="J48" s="86"/>
      <c r="K48" s="86"/>
      <c r="L48" s="86"/>
      <c r="M48" s="86"/>
      <c r="N48" s="87"/>
    </row>
    <row r="49" spans="2:14" ht="16.5">
      <c r="B49" s="218"/>
      <c r="C49" s="10" t="s">
        <v>255</v>
      </c>
      <c r="D49" s="88" t="s">
        <v>256</v>
      </c>
      <c r="E49" s="11"/>
      <c r="N49" s="89"/>
    </row>
    <row r="50" spans="2:14">
      <c r="B50" s="218"/>
      <c r="C50" s="90" t="s">
        <v>257</v>
      </c>
      <c r="D50" s="91" t="s">
        <v>258</v>
      </c>
      <c r="N50" s="89"/>
    </row>
    <row r="51" spans="2:14" ht="16.5">
      <c r="B51" s="218"/>
      <c r="C51" s="90" t="s">
        <v>259</v>
      </c>
      <c r="D51" s="88" t="s">
        <v>260</v>
      </c>
      <c r="N51" s="89"/>
    </row>
    <row r="52" spans="2:14" ht="17.25" thickBot="1">
      <c r="B52" s="219"/>
      <c r="C52" s="92" t="s">
        <v>261</v>
      </c>
      <c r="D52" s="93" t="s">
        <v>262</v>
      </c>
      <c r="E52" s="94"/>
      <c r="F52" s="94"/>
      <c r="G52" s="94"/>
      <c r="H52" s="94"/>
      <c r="I52" s="94"/>
      <c r="J52" s="94"/>
      <c r="K52" s="94"/>
      <c r="L52" s="94"/>
      <c r="M52" s="94"/>
      <c r="N52" s="95"/>
    </row>
    <row r="53" spans="2:14" ht="15.75" thickBot="1">
      <c r="C53" s="81"/>
    </row>
    <row r="54" spans="2:14">
      <c r="B54" s="217" t="s">
        <v>263</v>
      </c>
      <c r="C54" s="96" t="s">
        <v>253</v>
      </c>
      <c r="D54" s="86" t="s">
        <v>254</v>
      </c>
      <c r="E54" s="86"/>
      <c r="F54" s="86"/>
      <c r="G54" s="86"/>
      <c r="H54" s="86"/>
      <c r="I54" s="86"/>
      <c r="J54" s="86"/>
      <c r="K54" s="86"/>
      <c r="L54" s="86"/>
      <c r="M54" s="86"/>
      <c r="N54" s="87"/>
    </row>
    <row r="55" spans="2:14">
      <c r="B55" s="218"/>
      <c r="C55" s="90" t="s">
        <v>255</v>
      </c>
      <c r="D55" s="91" t="s">
        <v>264</v>
      </c>
      <c r="N55" s="89"/>
    </row>
    <row r="56" spans="2:14" ht="16.5">
      <c r="B56" s="218"/>
      <c r="C56" s="90" t="s">
        <v>257</v>
      </c>
      <c r="D56" s="88" t="s">
        <v>265</v>
      </c>
      <c r="N56" s="89"/>
    </row>
    <row r="57" spans="2:14">
      <c r="B57" s="218"/>
      <c r="C57" s="90" t="s">
        <v>259</v>
      </c>
      <c r="D57" s="91" t="s">
        <v>266</v>
      </c>
      <c r="N57" s="89"/>
    </row>
    <row r="58" spans="2:14" ht="17.25" thickBot="1">
      <c r="B58" s="219"/>
      <c r="C58" s="92" t="s">
        <v>261</v>
      </c>
      <c r="D58" s="93" t="s">
        <v>267</v>
      </c>
      <c r="E58" s="94"/>
      <c r="F58" s="94"/>
      <c r="G58" s="94"/>
      <c r="H58" s="94"/>
      <c r="I58" s="94"/>
      <c r="J58" s="94"/>
      <c r="K58" s="94"/>
      <c r="L58" s="94"/>
      <c r="M58" s="94"/>
      <c r="N58" s="95"/>
    </row>
    <row r="59" spans="2:14" ht="15.75" thickBot="1">
      <c r="C59" s="10"/>
    </row>
    <row r="60" spans="2:14">
      <c r="B60" s="217" t="s">
        <v>268</v>
      </c>
      <c r="C60" s="96" t="s">
        <v>253</v>
      </c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7"/>
    </row>
    <row r="61" spans="2:14">
      <c r="B61" s="218"/>
      <c r="C61" s="90" t="s">
        <v>255</v>
      </c>
      <c r="D61" s="91" t="s">
        <v>264</v>
      </c>
      <c r="N61" s="89"/>
    </row>
    <row r="62" spans="2:14">
      <c r="B62" s="218"/>
      <c r="C62" s="90" t="s">
        <v>257</v>
      </c>
      <c r="D62" s="91" t="s">
        <v>269</v>
      </c>
      <c r="E62" s="11"/>
      <c r="N62" s="89"/>
    </row>
    <row r="63" spans="2:14">
      <c r="B63" s="218"/>
      <c r="C63" s="90" t="s">
        <v>259</v>
      </c>
      <c r="D63" s="91" t="s">
        <v>270</v>
      </c>
      <c r="N63" s="89"/>
    </row>
    <row r="64" spans="2:14" ht="17.25" thickBot="1">
      <c r="B64" s="219"/>
      <c r="C64" s="92" t="s">
        <v>261</v>
      </c>
      <c r="D64" s="93" t="s">
        <v>271</v>
      </c>
      <c r="E64" s="94"/>
      <c r="F64" s="94"/>
      <c r="G64" s="94"/>
      <c r="H64" s="94"/>
      <c r="I64" s="94"/>
      <c r="J64" s="94"/>
      <c r="K64" s="94"/>
      <c r="L64" s="94"/>
      <c r="M64" s="94"/>
      <c r="N64" s="95"/>
    </row>
    <row r="65" spans="2:14" ht="15.75" thickBot="1">
      <c r="C65" s="81"/>
    </row>
    <row r="66" spans="2:14">
      <c r="B66" s="217" t="s">
        <v>272</v>
      </c>
      <c r="C66" s="96" t="s">
        <v>255</v>
      </c>
      <c r="D66" s="97" t="s">
        <v>264</v>
      </c>
      <c r="E66" s="86"/>
      <c r="F66" s="86"/>
      <c r="G66" s="86"/>
      <c r="H66" s="86"/>
      <c r="I66" s="86"/>
      <c r="J66" s="86"/>
      <c r="K66" s="86"/>
      <c r="L66" s="86"/>
      <c r="M66" s="86"/>
      <c r="N66" s="87"/>
    </row>
    <row r="67" spans="2:14">
      <c r="B67" s="218"/>
      <c r="C67" s="90" t="s">
        <v>257</v>
      </c>
      <c r="D67" s="91" t="s">
        <v>273</v>
      </c>
      <c r="N67" s="89"/>
    </row>
    <row r="68" spans="2:14" ht="16.5">
      <c r="B68" s="218"/>
      <c r="C68" s="90" t="s">
        <v>259</v>
      </c>
      <c r="D68" s="88" t="s">
        <v>274</v>
      </c>
      <c r="N68" s="89"/>
    </row>
    <row r="69" spans="2:14" ht="16.5">
      <c r="B69" s="218"/>
      <c r="C69" s="90" t="s">
        <v>261</v>
      </c>
      <c r="D69" s="88" t="s">
        <v>275</v>
      </c>
      <c r="N69" s="89"/>
    </row>
    <row r="70" spans="2:14" ht="15.75" thickBot="1">
      <c r="B70" s="219"/>
      <c r="C70" s="98" t="s">
        <v>276</v>
      </c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5"/>
    </row>
  </sheetData>
  <mergeCells count="4">
    <mergeCell ref="B48:B52"/>
    <mergeCell ref="B54:B58"/>
    <mergeCell ref="B60:B64"/>
    <mergeCell ref="B66:B70"/>
  </mergeCells>
  <phoneticPr fontId="37" type="noConversion"/>
  <hyperlinks>
    <hyperlink ref="A40" r:id="rId1" xr:uid="{A79990A9-6C9A-41A1-9222-9B2BC231FAE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86FE7-B24A-49FF-9E8E-F2443844584B}">
  <dimension ref="A1:M71"/>
  <sheetViews>
    <sheetView workbookViewId="0">
      <selection activeCell="C4" sqref="C4:C12"/>
    </sheetView>
  </sheetViews>
  <sheetFormatPr defaultRowHeight="15"/>
  <cols>
    <col min="1" max="1" width="26.28515625" customWidth="1"/>
    <col min="3" max="3" width="13.7109375" bestFit="1" customWidth="1"/>
    <col min="5" max="5" width="15.85546875" customWidth="1"/>
    <col min="9" max="9" width="11.5703125" customWidth="1"/>
    <col min="12" max="12" width="20.140625" customWidth="1"/>
  </cols>
  <sheetData>
    <row r="1" spans="1:13" s="199" customFormat="1">
      <c r="A1" s="199" t="s">
        <v>1202</v>
      </c>
    </row>
    <row r="3" spans="1:13">
      <c r="B3" t="s">
        <v>277</v>
      </c>
      <c r="C3" t="s">
        <v>278</v>
      </c>
      <c r="D3" t="s">
        <v>279</v>
      </c>
      <c r="E3" t="s">
        <v>280</v>
      </c>
      <c r="F3" t="s">
        <v>281</v>
      </c>
      <c r="H3" t="s">
        <v>282</v>
      </c>
      <c r="I3" t="s">
        <v>283</v>
      </c>
    </row>
    <row r="4" spans="1:13">
      <c r="F4" t="s">
        <v>284</v>
      </c>
      <c r="G4" t="s">
        <v>285</v>
      </c>
      <c r="M4" t="s">
        <v>286</v>
      </c>
    </row>
    <row r="5" spans="1:13">
      <c r="A5" t="s">
        <v>287</v>
      </c>
      <c r="B5" s="108">
        <v>10</v>
      </c>
      <c r="C5" s="108">
        <v>160</v>
      </c>
      <c r="D5" s="108">
        <f>C5/B5</f>
        <v>16</v>
      </c>
      <c r="E5" s="109">
        <v>101188</v>
      </c>
      <c r="F5" s="108">
        <v>514</v>
      </c>
      <c r="G5" s="108">
        <v>464</v>
      </c>
      <c r="H5" s="108">
        <f>SUM(F5*5,G5*2)/7</f>
        <v>499.71428571428572</v>
      </c>
      <c r="I5" s="108">
        <f>E5/H5</f>
        <v>202.49170954831331</v>
      </c>
      <c r="J5" s="108"/>
      <c r="K5" s="108"/>
      <c r="L5" s="108" t="s">
        <v>288</v>
      </c>
      <c r="M5" s="107" t="s">
        <v>289</v>
      </c>
    </row>
    <row r="6" spans="1:13">
      <c r="A6" s="202" t="s">
        <v>290</v>
      </c>
      <c r="B6" s="128">
        <f>C6/D6</f>
        <v>9.4523809523809526</v>
      </c>
      <c r="C6" s="128">
        <v>794</v>
      </c>
      <c r="D6" s="128">
        <f>SUM(C68:C70)</f>
        <v>84</v>
      </c>
      <c r="E6" s="109">
        <v>562103</v>
      </c>
      <c r="F6">
        <v>947</v>
      </c>
      <c r="G6" s="108">
        <v>853</v>
      </c>
      <c r="H6" s="108">
        <f t="shared" ref="H6:H28" si="0">SUM(F6*5,G6*2)/7</f>
        <v>920.14285714285711</v>
      </c>
      <c r="I6" s="108">
        <f t="shared" ref="I6:I27" si="1">E6/H6</f>
        <v>610.88666356155875</v>
      </c>
      <c r="J6" s="108"/>
      <c r="K6" s="108"/>
      <c r="L6" s="108" t="s">
        <v>291</v>
      </c>
      <c r="M6" s="107" t="s">
        <v>292</v>
      </c>
    </row>
    <row r="7" spans="1:13">
      <c r="A7" t="s">
        <v>293</v>
      </c>
      <c r="B7" s="108">
        <v>10</v>
      </c>
      <c r="C7" s="108">
        <v>490</v>
      </c>
      <c r="D7" s="108">
        <f t="shared" ref="D7:D8" si="2">C7/B7</f>
        <v>49</v>
      </c>
      <c r="E7" s="109">
        <v>208987</v>
      </c>
      <c r="F7">
        <v>362</v>
      </c>
      <c r="G7" s="108">
        <v>350</v>
      </c>
      <c r="H7" s="108">
        <f t="shared" si="0"/>
        <v>358.57142857142856</v>
      </c>
      <c r="I7" s="108">
        <f t="shared" si="1"/>
        <v>582.83227091633466</v>
      </c>
      <c r="J7" s="108"/>
      <c r="K7" s="108"/>
      <c r="L7" s="108" t="s">
        <v>294</v>
      </c>
      <c r="M7" s="107" t="s">
        <v>295</v>
      </c>
    </row>
    <row r="8" spans="1:13">
      <c r="A8" t="s">
        <v>296</v>
      </c>
      <c r="B8" s="108">
        <v>10</v>
      </c>
      <c r="C8" s="108">
        <v>470</v>
      </c>
      <c r="D8" s="108">
        <f t="shared" si="2"/>
        <v>47</v>
      </c>
      <c r="E8" s="109">
        <v>210968</v>
      </c>
      <c r="F8" s="108">
        <v>453</v>
      </c>
      <c r="G8" s="108">
        <v>394</v>
      </c>
      <c r="H8" s="108">
        <f t="shared" si="0"/>
        <v>436.14285714285717</v>
      </c>
      <c r="I8" s="108">
        <f t="shared" si="1"/>
        <v>483.71306911234848</v>
      </c>
      <c r="J8" s="108"/>
      <c r="K8" s="108"/>
      <c r="L8" s="108" t="s">
        <v>297</v>
      </c>
      <c r="M8" t="s">
        <v>298</v>
      </c>
    </row>
    <row r="9" spans="1:13">
      <c r="A9" t="s">
        <v>299</v>
      </c>
      <c r="B9" s="108">
        <v>8</v>
      </c>
      <c r="C9" s="108">
        <f>640-12</f>
        <v>628</v>
      </c>
      <c r="D9" s="108">
        <f>C9/B9</f>
        <v>78.5</v>
      </c>
      <c r="E9" s="109">
        <v>223186</v>
      </c>
      <c r="F9" s="108">
        <v>431</v>
      </c>
      <c r="G9" s="108">
        <v>372</v>
      </c>
      <c r="H9" s="108">
        <f t="shared" si="0"/>
        <v>414.14285714285717</v>
      </c>
      <c r="I9" s="108">
        <f t="shared" si="1"/>
        <v>538.91065884787849</v>
      </c>
      <c r="J9" s="108"/>
      <c r="K9" s="108"/>
      <c r="L9" s="108"/>
      <c r="M9" s="107"/>
    </row>
    <row r="10" spans="1:13">
      <c r="A10" t="s">
        <v>300</v>
      </c>
      <c r="B10" s="108">
        <v>8</v>
      </c>
      <c r="C10" s="108">
        <v>312</v>
      </c>
      <c r="D10" s="108">
        <f t="shared" ref="D10:D28" si="3">C10/B10</f>
        <v>39</v>
      </c>
      <c r="E10" s="109">
        <v>130600</v>
      </c>
      <c r="F10" s="108">
        <v>330</v>
      </c>
      <c r="G10" s="108">
        <v>277</v>
      </c>
      <c r="H10" s="108">
        <f t="shared" si="0"/>
        <v>314.85714285714283</v>
      </c>
      <c r="I10" s="108">
        <f t="shared" si="1"/>
        <v>414.79128856624322</v>
      </c>
      <c r="J10" s="108"/>
      <c r="K10" s="108"/>
      <c r="L10" s="108"/>
    </row>
    <row r="11" spans="1:13">
      <c r="A11" t="s">
        <v>301</v>
      </c>
      <c r="B11" s="108">
        <v>8</v>
      </c>
      <c r="C11" s="108">
        <v>577</v>
      </c>
      <c r="D11" s="108">
        <f t="shared" si="3"/>
        <v>72.125</v>
      </c>
      <c r="E11" s="109">
        <v>261991</v>
      </c>
      <c r="F11" s="108">
        <v>415</v>
      </c>
      <c r="G11" s="108">
        <v>353</v>
      </c>
      <c r="H11" s="108">
        <f t="shared" si="0"/>
        <v>397.28571428571428</v>
      </c>
      <c r="I11" s="108">
        <f t="shared" si="1"/>
        <v>659.45235526788929</v>
      </c>
      <c r="J11" s="108"/>
      <c r="K11" s="108"/>
    </row>
    <row r="12" spans="1:13">
      <c r="A12" t="s">
        <v>302</v>
      </c>
      <c r="B12" s="108">
        <v>6</v>
      </c>
      <c r="C12" s="108">
        <v>120</v>
      </c>
      <c r="D12" s="108">
        <f t="shared" si="3"/>
        <v>20</v>
      </c>
      <c r="E12" s="109">
        <v>70133</v>
      </c>
      <c r="F12" s="108">
        <v>282</v>
      </c>
      <c r="G12" s="108">
        <v>270</v>
      </c>
      <c r="H12" s="108">
        <f t="shared" si="0"/>
        <v>278.57142857142856</v>
      </c>
      <c r="I12" s="108">
        <f t="shared" si="1"/>
        <v>251.75948717948719</v>
      </c>
      <c r="J12" s="108"/>
      <c r="K12" s="108"/>
      <c r="L12" s="108" t="s">
        <v>303</v>
      </c>
      <c r="M12" t="s">
        <v>304</v>
      </c>
    </row>
    <row r="13" spans="1:13">
      <c r="A13" t="s">
        <v>305</v>
      </c>
      <c r="B13" s="108">
        <v>6</v>
      </c>
      <c r="C13" s="108">
        <v>270</v>
      </c>
      <c r="D13" s="108">
        <f t="shared" si="3"/>
        <v>45</v>
      </c>
      <c r="E13" s="109">
        <v>130859</v>
      </c>
      <c r="F13" s="108">
        <v>502</v>
      </c>
      <c r="H13" s="108">
        <f>F13</f>
        <v>502</v>
      </c>
      <c r="I13" s="108">
        <f t="shared" si="1"/>
        <v>260.67529880478088</v>
      </c>
      <c r="J13" s="108"/>
      <c r="K13" s="108"/>
      <c r="L13" s="108" t="s">
        <v>306</v>
      </c>
      <c r="M13" s="107" t="s">
        <v>307</v>
      </c>
    </row>
    <row r="14" spans="1:13">
      <c r="A14" t="s">
        <v>308</v>
      </c>
      <c r="B14" s="108">
        <v>4</v>
      </c>
      <c r="C14" s="108">
        <v>84</v>
      </c>
      <c r="D14" s="108">
        <f t="shared" si="3"/>
        <v>21</v>
      </c>
      <c r="E14" s="109">
        <v>40262</v>
      </c>
      <c r="F14" s="108">
        <v>242</v>
      </c>
      <c r="G14" s="108">
        <v>218</v>
      </c>
      <c r="H14" s="108">
        <f t="shared" si="0"/>
        <v>235.14285714285714</v>
      </c>
      <c r="I14" s="108">
        <f t="shared" si="1"/>
        <v>171.22357229647631</v>
      </c>
      <c r="J14" s="108"/>
      <c r="K14" s="108"/>
      <c r="L14" s="108" t="s">
        <v>309</v>
      </c>
      <c r="M14" s="107" t="s">
        <v>310</v>
      </c>
    </row>
    <row r="15" spans="1:13">
      <c r="A15" t="s">
        <v>311</v>
      </c>
      <c r="B15" s="108">
        <v>8</v>
      </c>
      <c r="C15" s="108">
        <v>408</v>
      </c>
      <c r="D15" s="108">
        <f t="shared" si="3"/>
        <v>51</v>
      </c>
      <c r="E15" s="109">
        <v>173271</v>
      </c>
      <c r="F15">
        <v>364</v>
      </c>
      <c r="G15" s="108">
        <v>328</v>
      </c>
      <c r="H15" s="108">
        <f t="shared" si="0"/>
        <v>353.71428571428572</v>
      </c>
      <c r="I15" s="108">
        <f t="shared" si="1"/>
        <v>489.8614701130856</v>
      </c>
      <c r="J15" s="108"/>
      <c r="K15" s="108"/>
      <c r="L15" s="108" t="s">
        <v>312</v>
      </c>
      <c r="M15" s="107" t="s">
        <v>313</v>
      </c>
    </row>
    <row r="16" spans="1:13">
      <c r="A16" t="s">
        <v>314</v>
      </c>
      <c r="B16" s="108">
        <v>6</v>
      </c>
      <c r="C16" s="108">
        <v>336</v>
      </c>
      <c r="D16" s="108">
        <f t="shared" si="3"/>
        <v>56</v>
      </c>
      <c r="E16" s="109">
        <v>123856</v>
      </c>
      <c r="F16">
        <v>349</v>
      </c>
      <c r="G16" s="108">
        <v>305</v>
      </c>
      <c r="H16" s="108">
        <f t="shared" si="0"/>
        <v>336.42857142857144</v>
      </c>
      <c r="I16" s="108">
        <f t="shared" si="1"/>
        <v>368.14946921443737</v>
      </c>
      <c r="J16" s="108"/>
      <c r="K16" s="108"/>
      <c r="L16" s="108" t="s">
        <v>315</v>
      </c>
      <c r="M16" t="s">
        <v>316</v>
      </c>
    </row>
    <row r="17" spans="1:13">
      <c r="A17" t="s">
        <v>317</v>
      </c>
      <c r="B17" s="108">
        <v>4</v>
      </c>
      <c r="C17" s="108">
        <v>80</v>
      </c>
      <c r="D17" s="108">
        <f t="shared" si="3"/>
        <v>20</v>
      </c>
      <c r="E17" s="109">
        <v>34438</v>
      </c>
      <c r="F17">
        <v>320</v>
      </c>
      <c r="G17" s="108">
        <v>284</v>
      </c>
      <c r="H17" s="108">
        <f t="shared" si="0"/>
        <v>309.71428571428572</v>
      </c>
      <c r="I17" s="108">
        <f t="shared" si="1"/>
        <v>111.19280442804428</v>
      </c>
      <c r="J17" s="108"/>
      <c r="K17" s="108"/>
      <c r="L17" s="108"/>
    </row>
    <row r="18" spans="1:13">
      <c r="A18" t="s">
        <v>318</v>
      </c>
      <c r="B18" s="108">
        <v>6</v>
      </c>
      <c r="C18" s="108">
        <v>102</v>
      </c>
      <c r="D18" s="108">
        <f t="shared" si="3"/>
        <v>17</v>
      </c>
      <c r="E18" s="109">
        <v>10984</v>
      </c>
      <c r="F18">
        <v>310</v>
      </c>
      <c r="G18" s="108">
        <v>278</v>
      </c>
      <c r="H18" s="108">
        <f t="shared" si="0"/>
        <v>300.85714285714283</v>
      </c>
      <c r="I18" s="108">
        <f t="shared" si="1"/>
        <v>36.509021842355182</v>
      </c>
      <c r="J18" s="108"/>
      <c r="K18" s="108"/>
      <c r="L18" s="108" t="s">
        <v>319</v>
      </c>
      <c r="M18" t="s">
        <v>320</v>
      </c>
    </row>
    <row r="19" spans="1:13">
      <c r="A19" t="s">
        <v>321</v>
      </c>
      <c r="B19" s="108">
        <v>8</v>
      </c>
      <c r="C19" s="108">
        <v>272</v>
      </c>
      <c r="D19" s="108">
        <f t="shared" si="3"/>
        <v>34</v>
      </c>
      <c r="E19" s="109">
        <v>74427</v>
      </c>
      <c r="F19">
        <v>312</v>
      </c>
      <c r="G19" s="108">
        <v>272</v>
      </c>
      <c r="H19" s="108">
        <f t="shared" si="0"/>
        <v>300.57142857142856</v>
      </c>
      <c r="I19" s="108">
        <f t="shared" si="1"/>
        <v>247.61834600760457</v>
      </c>
      <c r="J19" s="108"/>
      <c r="K19" s="108"/>
      <c r="L19" s="108" t="s">
        <v>322</v>
      </c>
      <c r="M19" s="107" t="s">
        <v>323</v>
      </c>
    </row>
    <row r="20" spans="1:13">
      <c r="A20" t="s">
        <v>324</v>
      </c>
      <c r="B20" s="108">
        <v>2</v>
      </c>
      <c r="C20" s="108">
        <v>74</v>
      </c>
      <c r="D20" s="108">
        <f t="shared" si="3"/>
        <v>37</v>
      </c>
      <c r="E20" s="109">
        <v>41388</v>
      </c>
      <c r="F20">
        <v>460</v>
      </c>
      <c r="G20" s="108">
        <v>376</v>
      </c>
      <c r="H20" s="108">
        <f t="shared" si="0"/>
        <v>436</v>
      </c>
      <c r="I20" s="108">
        <f t="shared" si="1"/>
        <v>94.926605504587158</v>
      </c>
      <c r="J20" s="108"/>
      <c r="K20" s="108"/>
      <c r="L20" s="108" t="s">
        <v>325</v>
      </c>
      <c r="M20" s="107" t="s">
        <v>326</v>
      </c>
    </row>
    <row r="21" spans="1:13">
      <c r="A21" t="s">
        <v>327</v>
      </c>
      <c r="B21" s="108">
        <v>6</v>
      </c>
      <c r="C21" s="108">
        <v>204</v>
      </c>
      <c r="D21" s="108">
        <f t="shared" si="3"/>
        <v>34</v>
      </c>
      <c r="E21" s="109">
        <v>74572</v>
      </c>
      <c r="F21" s="108">
        <f>105112/365</f>
        <v>287.9780821917808</v>
      </c>
      <c r="H21" s="108">
        <f>F21</f>
        <v>287.9780821917808</v>
      </c>
      <c r="I21" s="108">
        <f t="shared" si="1"/>
        <v>258.9502625770607</v>
      </c>
      <c r="J21" s="108"/>
      <c r="K21" s="108"/>
      <c r="L21" s="108" t="s">
        <v>328</v>
      </c>
      <c r="M21" s="107" t="s">
        <v>329</v>
      </c>
    </row>
    <row r="22" spans="1:13">
      <c r="A22" t="s">
        <v>330</v>
      </c>
      <c r="B22" s="108">
        <v>6</v>
      </c>
      <c r="C22" s="108">
        <v>180</v>
      </c>
      <c r="D22" s="108">
        <f t="shared" si="3"/>
        <v>30</v>
      </c>
      <c r="E22" s="109">
        <v>64876</v>
      </c>
      <c r="F22" s="108">
        <f>96192/365</f>
        <v>263.53972602739725</v>
      </c>
      <c r="H22" s="108">
        <f t="shared" ref="H22:H23" si="4">F22</f>
        <v>263.53972602739725</v>
      </c>
      <c r="I22" s="108">
        <f t="shared" si="1"/>
        <v>246.1716151031271</v>
      </c>
      <c r="J22" s="108"/>
      <c r="K22" s="108"/>
      <c r="L22" s="108" t="s">
        <v>331</v>
      </c>
      <c r="M22" s="107" t="s">
        <v>332</v>
      </c>
    </row>
    <row r="23" spans="1:13">
      <c r="A23" t="s">
        <v>333</v>
      </c>
      <c r="B23" s="108">
        <v>3</v>
      </c>
      <c r="C23" s="108">
        <v>84</v>
      </c>
      <c r="D23" s="108">
        <f t="shared" si="3"/>
        <v>28</v>
      </c>
      <c r="E23" s="109">
        <v>28180</v>
      </c>
      <c r="F23" s="108">
        <f>111480/365</f>
        <v>305.42465753424659</v>
      </c>
      <c r="H23" s="108">
        <f t="shared" si="4"/>
        <v>305.42465753424659</v>
      </c>
      <c r="I23" s="108">
        <f t="shared" si="1"/>
        <v>92.264980265518474</v>
      </c>
      <c r="J23" s="108"/>
      <c r="K23" s="108"/>
      <c r="L23" s="108" t="s">
        <v>334</v>
      </c>
      <c r="M23" t="s">
        <v>335</v>
      </c>
    </row>
    <row r="24" spans="1:13">
      <c r="A24" t="s">
        <v>336</v>
      </c>
      <c r="B24" s="108">
        <v>4</v>
      </c>
      <c r="C24" s="108">
        <v>92</v>
      </c>
      <c r="D24" s="108">
        <f t="shared" si="3"/>
        <v>23</v>
      </c>
      <c r="E24" s="109">
        <v>19319</v>
      </c>
      <c r="F24" s="108">
        <f>G24*(F14/G14)</f>
        <v>224.23853211009174</v>
      </c>
      <c r="G24">
        <v>202</v>
      </c>
      <c r="H24" s="108">
        <f t="shared" si="0"/>
        <v>217.88466579292268</v>
      </c>
      <c r="I24" s="108">
        <f t="shared" si="1"/>
        <v>88.666175426777187</v>
      </c>
      <c r="J24" s="108"/>
      <c r="K24" s="108"/>
      <c r="L24" s="108" t="s">
        <v>337</v>
      </c>
      <c r="M24" s="107" t="s">
        <v>338</v>
      </c>
    </row>
    <row r="25" spans="1:13">
      <c r="A25" t="s">
        <v>339</v>
      </c>
      <c r="B25" s="108">
        <v>2</v>
      </c>
      <c r="C25" s="108">
        <v>50</v>
      </c>
      <c r="D25" s="108">
        <f t="shared" si="3"/>
        <v>25</v>
      </c>
      <c r="E25" s="109">
        <v>18480</v>
      </c>
      <c r="F25">
        <v>424</v>
      </c>
      <c r="H25" s="108">
        <f t="shared" si="0"/>
        <v>302.85714285714283</v>
      </c>
      <c r="I25" s="108">
        <f t="shared" si="1"/>
        <v>61.018867924528308</v>
      </c>
      <c r="J25" s="108"/>
      <c r="K25" s="108"/>
      <c r="L25" s="108" t="s">
        <v>340</v>
      </c>
      <c r="M25" s="107" t="s">
        <v>341</v>
      </c>
    </row>
    <row r="26" spans="1:13">
      <c r="A26" t="s">
        <v>342</v>
      </c>
      <c r="B26" s="108">
        <v>2</v>
      </c>
      <c r="C26" s="108">
        <v>30</v>
      </c>
      <c r="D26" s="108">
        <f t="shared" si="3"/>
        <v>15</v>
      </c>
      <c r="E26" s="109">
        <v>12953</v>
      </c>
      <c r="F26">
        <v>362</v>
      </c>
      <c r="H26" s="108">
        <f t="shared" si="0"/>
        <v>258.57142857142856</v>
      </c>
      <c r="I26" s="108">
        <f t="shared" si="1"/>
        <v>50.094475138121553</v>
      </c>
      <c r="J26" s="108"/>
      <c r="K26" s="108"/>
      <c r="L26" s="108" t="s">
        <v>343</v>
      </c>
      <c r="M26" s="107" t="s">
        <v>344</v>
      </c>
    </row>
    <row r="27" spans="1:13">
      <c r="A27" t="s">
        <v>345</v>
      </c>
      <c r="B27" s="108">
        <v>1</v>
      </c>
      <c r="C27" s="108">
        <v>30</v>
      </c>
      <c r="D27" s="108">
        <f t="shared" si="3"/>
        <v>30</v>
      </c>
      <c r="E27" s="109">
        <v>8848</v>
      </c>
      <c r="F27">
        <v>398</v>
      </c>
      <c r="H27" s="108">
        <f t="shared" si="0"/>
        <v>284.28571428571428</v>
      </c>
      <c r="I27" s="108">
        <f t="shared" si="1"/>
        <v>31.123618090452261</v>
      </c>
      <c r="J27" s="108"/>
      <c r="K27" s="108"/>
      <c r="L27" s="108" t="s">
        <v>346</v>
      </c>
      <c r="M27" s="107" t="s">
        <v>347</v>
      </c>
    </row>
    <row r="28" spans="1:13">
      <c r="A28" t="s">
        <v>348</v>
      </c>
      <c r="B28" s="108">
        <v>2</v>
      </c>
      <c r="C28" s="108">
        <v>36</v>
      </c>
      <c r="D28" s="108">
        <f t="shared" si="3"/>
        <v>18</v>
      </c>
      <c r="E28" s="109">
        <v>16157</v>
      </c>
      <c r="F28">
        <v>516</v>
      </c>
      <c r="H28" s="108">
        <f t="shared" si="0"/>
        <v>368.57142857142856</v>
      </c>
      <c r="I28" s="108">
        <f>E28/H28</f>
        <v>43.83682170542636</v>
      </c>
      <c r="J28" s="108"/>
      <c r="K28" s="108"/>
      <c r="L28" s="108" t="s">
        <v>349</v>
      </c>
      <c r="M28" s="107" t="s">
        <v>350</v>
      </c>
    </row>
    <row r="29" spans="1:13">
      <c r="A29" t="s">
        <v>351</v>
      </c>
      <c r="B29" s="108"/>
      <c r="C29">
        <v>5883</v>
      </c>
      <c r="D29" s="111">
        <f>SUM(D5:D28)</f>
        <v>889.625</v>
      </c>
      <c r="E29" s="109">
        <f>SUM($E$5:$E$28)</f>
        <v>2642026</v>
      </c>
      <c r="L29" s="108" t="s">
        <v>352</v>
      </c>
      <c r="M29" t="s">
        <v>353</v>
      </c>
    </row>
    <row r="30" spans="1:13">
      <c r="B30" s="110" t="s">
        <v>354</v>
      </c>
      <c r="C30" s="128">
        <f>SUMPRODUCT(D5:D28,I5:I28)/D29</f>
        <v>356.82478102755613</v>
      </c>
      <c r="L30" s="108" t="s">
        <v>355</v>
      </c>
      <c r="M30" t="s">
        <v>356</v>
      </c>
    </row>
    <row r="32" spans="1:13">
      <c r="L32" s="108"/>
      <c r="M32" s="107"/>
    </row>
    <row r="33" spans="1:10">
      <c r="A33" s="8" t="s">
        <v>38</v>
      </c>
    </row>
    <row r="34" spans="1:10">
      <c r="A34" t="s">
        <v>357</v>
      </c>
    </row>
    <row r="35" spans="1:10">
      <c r="A35" s="6" t="s">
        <v>358</v>
      </c>
      <c r="B35" s="6"/>
    </row>
    <row r="36" spans="1:10">
      <c r="A36" s="6" t="s">
        <v>359</v>
      </c>
      <c r="B36" s="6"/>
    </row>
    <row r="39" spans="1:10">
      <c r="A39" s="220" t="s">
        <v>1166</v>
      </c>
      <c r="B39" s="221" t="s">
        <v>1123</v>
      </c>
      <c r="C39" s="221" t="s">
        <v>1123</v>
      </c>
      <c r="D39" s="221" t="s">
        <v>1123</v>
      </c>
      <c r="E39" s="221" t="s">
        <v>1123</v>
      </c>
      <c r="F39" s="221" t="s">
        <v>1123</v>
      </c>
      <c r="G39" s="221" t="s">
        <v>1123</v>
      </c>
      <c r="H39" s="221" t="s">
        <v>1123</v>
      </c>
    </row>
    <row r="40" spans="1:10">
      <c r="A40" s="221" t="s">
        <v>1166</v>
      </c>
      <c r="B40" s="222" t="s">
        <v>1167</v>
      </c>
      <c r="C40" s="222" t="s">
        <v>1167</v>
      </c>
      <c r="D40" s="222" t="s">
        <v>1167</v>
      </c>
      <c r="E40" s="222" t="s">
        <v>1167</v>
      </c>
      <c r="F40" s="222" t="s">
        <v>1167</v>
      </c>
      <c r="G40" s="222" t="s">
        <v>1167</v>
      </c>
      <c r="H40" s="222" t="s">
        <v>1167</v>
      </c>
    </row>
    <row r="41" spans="1:10">
      <c r="A41" s="221" t="s">
        <v>1166</v>
      </c>
      <c r="B41" s="196" t="s">
        <v>79</v>
      </c>
      <c r="C41" s="196" t="s">
        <v>1168</v>
      </c>
      <c r="D41" s="196" t="s">
        <v>1169</v>
      </c>
      <c r="E41" s="196" t="s">
        <v>1170</v>
      </c>
      <c r="F41" s="196" t="s">
        <v>1171</v>
      </c>
      <c r="G41" s="196" t="s">
        <v>1172</v>
      </c>
      <c r="H41" s="196" t="s">
        <v>1173</v>
      </c>
      <c r="I41" s="196" t="s">
        <v>1186</v>
      </c>
      <c r="J41" s="196" t="s">
        <v>1187</v>
      </c>
    </row>
    <row r="42" spans="1:10">
      <c r="A42" s="194" t="s">
        <v>72</v>
      </c>
      <c r="B42" s="198">
        <v>5895</v>
      </c>
      <c r="C42" s="198">
        <v>770</v>
      </c>
      <c r="D42" s="198">
        <v>352</v>
      </c>
      <c r="E42" s="198">
        <v>996</v>
      </c>
      <c r="F42" s="198">
        <v>535</v>
      </c>
      <c r="G42" s="198">
        <v>2053</v>
      </c>
      <c r="H42" s="198">
        <v>1189</v>
      </c>
      <c r="I42" s="175"/>
      <c r="J42" s="175"/>
    </row>
    <row r="43" spans="1:10">
      <c r="A43" s="194" t="s">
        <v>1174</v>
      </c>
      <c r="B43" s="198">
        <v>3563</v>
      </c>
      <c r="C43" s="198">
        <v>446</v>
      </c>
      <c r="D43" s="198">
        <v>56</v>
      </c>
      <c r="E43" s="198">
        <v>624</v>
      </c>
      <c r="F43" s="198">
        <v>87</v>
      </c>
      <c r="G43" s="198">
        <v>1421</v>
      </c>
      <c r="H43" s="198">
        <v>929</v>
      </c>
      <c r="I43" s="201">
        <f>AVERAGE(B5:B12)</f>
        <v>8.6815476190476186</v>
      </c>
      <c r="J43" s="175">
        <f>ROUND(B43/I43,0)</f>
        <v>410</v>
      </c>
    </row>
    <row r="44" spans="1:10">
      <c r="A44" s="194" t="s">
        <v>1175</v>
      </c>
      <c r="B44" s="198">
        <v>216</v>
      </c>
      <c r="C44" s="198">
        <v>72</v>
      </c>
      <c r="D44" s="198" t="s">
        <v>363</v>
      </c>
      <c r="E44" s="198">
        <v>144</v>
      </c>
      <c r="F44" s="198" t="s">
        <v>363</v>
      </c>
      <c r="G44" s="198" t="s">
        <v>363</v>
      </c>
      <c r="H44" s="198" t="s">
        <v>363</v>
      </c>
      <c r="I44" s="201">
        <f>B13</f>
        <v>6</v>
      </c>
      <c r="J44" s="175">
        <f t="shared" ref="J44:J54" si="5">ROUND(B44/I44,0)</f>
        <v>36</v>
      </c>
    </row>
    <row r="45" spans="1:10">
      <c r="A45" s="194" t="s">
        <v>1176</v>
      </c>
      <c r="B45" s="198">
        <v>54</v>
      </c>
      <c r="C45" s="198">
        <v>54</v>
      </c>
      <c r="D45" s="198" t="s">
        <v>363</v>
      </c>
      <c r="E45" s="198" t="s">
        <v>363</v>
      </c>
      <c r="F45" s="198" t="s">
        <v>363</v>
      </c>
      <c r="G45" s="198" t="s">
        <v>363</v>
      </c>
      <c r="H45" s="198" t="s">
        <v>363</v>
      </c>
      <c r="I45" s="201">
        <f>I44</f>
        <v>6</v>
      </c>
      <c r="J45" s="175">
        <f t="shared" si="5"/>
        <v>9</v>
      </c>
    </row>
    <row r="46" spans="1:10">
      <c r="A46" s="194" t="s">
        <v>1177</v>
      </c>
      <c r="B46" s="198">
        <v>926</v>
      </c>
      <c r="C46" s="198">
        <v>88</v>
      </c>
      <c r="D46" s="198">
        <v>102</v>
      </c>
      <c r="E46" s="198">
        <v>80</v>
      </c>
      <c r="F46" s="198">
        <v>168</v>
      </c>
      <c r="G46" s="198">
        <v>228</v>
      </c>
      <c r="H46" s="198">
        <v>260</v>
      </c>
      <c r="I46" s="201">
        <f>AVERAGE(B15:B18)</f>
        <v>6</v>
      </c>
      <c r="J46" s="175">
        <f t="shared" si="5"/>
        <v>154</v>
      </c>
    </row>
    <row r="47" spans="1:10">
      <c r="A47" s="194" t="s">
        <v>1178</v>
      </c>
      <c r="B47" s="198">
        <v>468</v>
      </c>
      <c r="C47" s="198" t="s">
        <v>363</v>
      </c>
      <c r="D47" s="198">
        <v>84</v>
      </c>
      <c r="E47" s="198" t="s">
        <v>363</v>
      </c>
      <c r="F47" s="198">
        <v>180</v>
      </c>
      <c r="G47" s="198">
        <v>204</v>
      </c>
      <c r="H47" s="198" t="s">
        <v>363</v>
      </c>
      <c r="I47" s="201">
        <f>AVERAGE(B21:B23)</f>
        <v>5</v>
      </c>
      <c r="J47" s="175">
        <f t="shared" si="5"/>
        <v>94</v>
      </c>
    </row>
    <row r="48" spans="1:10">
      <c r="A48" s="194" t="s">
        <v>1179</v>
      </c>
      <c r="B48" s="198">
        <v>346</v>
      </c>
      <c r="C48" s="198">
        <v>74</v>
      </c>
      <c r="D48" s="198" t="s">
        <v>363</v>
      </c>
      <c r="E48" s="198">
        <v>72</v>
      </c>
      <c r="F48" s="198" t="s">
        <v>363</v>
      </c>
      <c r="G48" s="198">
        <v>200</v>
      </c>
      <c r="H48" s="198" t="s">
        <v>363</v>
      </c>
      <c r="I48" s="201">
        <f>AVERAGE(B19:B20)</f>
        <v>5</v>
      </c>
      <c r="J48" s="175">
        <f t="shared" si="5"/>
        <v>69</v>
      </c>
    </row>
    <row r="49" spans="1:10">
      <c r="A49" s="194" t="s">
        <v>1180</v>
      </c>
      <c r="B49" s="198">
        <v>92</v>
      </c>
      <c r="C49" s="198" t="s">
        <v>363</v>
      </c>
      <c r="D49" s="198" t="s">
        <v>363</v>
      </c>
      <c r="E49" s="198">
        <v>40</v>
      </c>
      <c r="F49" s="198">
        <v>52</v>
      </c>
      <c r="G49" s="198" t="s">
        <v>363</v>
      </c>
      <c r="H49" s="198" t="s">
        <v>363</v>
      </c>
      <c r="I49" s="201">
        <f>AVERAGE(B24)</f>
        <v>4</v>
      </c>
      <c r="J49" s="175">
        <f t="shared" si="5"/>
        <v>23</v>
      </c>
    </row>
    <row r="50" spans="1:10">
      <c r="A50" s="194" t="s">
        <v>1181</v>
      </c>
      <c r="B50" s="198">
        <v>84</v>
      </c>
      <c r="C50" s="198" t="s">
        <v>363</v>
      </c>
      <c r="D50" s="198" t="s">
        <v>363</v>
      </c>
      <c r="E50" s="198">
        <v>36</v>
      </c>
      <c r="F50" s="198">
        <v>48</v>
      </c>
      <c r="G50" s="198" t="s">
        <v>363</v>
      </c>
      <c r="H50" s="198" t="s">
        <v>363</v>
      </c>
      <c r="I50" s="201">
        <f>AVERAGE(B14)</f>
        <v>4</v>
      </c>
      <c r="J50" s="175">
        <f t="shared" si="5"/>
        <v>21</v>
      </c>
    </row>
    <row r="51" spans="1:10">
      <c r="A51" s="194" t="s">
        <v>1182</v>
      </c>
      <c r="B51" s="198">
        <v>50</v>
      </c>
      <c r="C51" s="198" t="s">
        <v>363</v>
      </c>
      <c r="D51" s="198">
        <v>50</v>
      </c>
      <c r="E51" s="198" t="s">
        <v>363</v>
      </c>
      <c r="F51" s="198" t="s">
        <v>363</v>
      </c>
      <c r="G51" s="198" t="s">
        <v>363</v>
      </c>
      <c r="H51" s="198" t="s">
        <v>363</v>
      </c>
      <c r="I51" s="201">
        <f>B25</f>
        <v>2</v>
      </c>
      <c r="J51" s="175">
        <f t="shared" si="5"/>
        <v>25</v>
      </c>
    </row>
    <row r="52" spans="1:10">
      <c r="A52" s="194" t="s">
        <v>1183</v>
      </c>
      <c r="B52" s="198">
        <v>30</v>
      </c>
      <c r="C52" s="198" t="s">
        <v>363</v>
      </c>
      <c r="D52" s="198">
        <v>30</v>
      </c>
      <c r="E52" s="198" t="s">
        <v>363</v>
      </c>
      <c r="F52" s="198" t="s">
        <v>363</v>
      </c>
      <c r="G52" s="198" t="s">
        <v>363</v>
      </c>
      <c r="H52" s="198" t="s">
        <v>363</v>
      </c>
      <c r="I52" s="201">
        <f>B26</f>
        <v>2</v>
      </c>
      <c r="J52" s="175">
        <f t="shared" si="5"/>
        <v>15</v>
      </c>
    </row>
    <row r="53" spans="1:10">
      <c r="A53" s="194" t="s">
        <v>1184</v>
      </c>
      <c r="B53" s="198">
        <v>30</v>
      </c>
      <c r="C53" s="198" t="s">
        <v>363</v>
      </c>
      <c r="D53" s="198">
        <v>30</v>
      </c>
      <c r="E53" s="198" t="s">
        <v>363</v>
      </c>
      <c r="F53" s="198" t="s">
        <v>363</v>
      </c>
      <c r="G53" s="198" t="s">
        <v>363</v>
      </c>
      <c r="H53" s="198" t="s">
        <v>363</v>
      </c>
      <c r="I53" s="201">
        <f>B27</f>
        <v>1</v>
      </c>
      <c r="J53" s="175">
        <f t="shared" si="5"/>
        <v>30</v>
      </c>
    </row>
    <row r="54" spans="1:10">
      <c r="A54" s="195" t="s">
        <v>1185</v>
      </c>
      <c r="B54" s="198">
        <v>36</v>
      </c>
      <c r="C54" s="198">
        <v>36</v>
      </c>
      <c r="D54" s="198" t="s">
        <v>363</v>
      </c>
      <c r="E54" s="198" t="s">
        <v>363</v>
      </c>
      <c r="F54" s="198" t="s">
        <v>363</v>
      </c>
      <c r="G54" s="198" t="s">
        <v>363</v>
      </c>
      <c r="H54" s="198" t="s">
        <v>363</v>
      </c>
      <c r="I54" s="201">
        <f>B28</f>
        <v>2</v>
      </c>
      <c r="J54" s="175">
        <f t="shared" si="5"/>
        <v>18</v>
      </c>
    </row>
    <row r="55" spans="1:10">
      <c r="J55">
        <f>SUM(J43:J54)</f>
        <v>904</v>
      </c>
    </row>
    <row r="58" spans="1:10">
      <c r="A58" s="197" t="s">
        <v>1132</v>
      </c>
      <c r="B58" s="197" t="s">
        <v>1188</v>
      </c>
    </row>
    <row r="59" spans="1:10">
      <c r="A59" s="197" t="s">
        <v>1133</v>
      </c>
      <c r="B59" s="197" t="s">
        <v>1189</v>
      </c>
    </row>
    <row r="60" spans="1:10">
      <c r="A60" s="197" t="s">
        <v>1134</v>
      </c>
      <c r="B60" s="197" t="s">
        <v>1190</v>
      </c>
    </row>
    <row r="61" spans="1:10">
      <c r="A61" s="197" t="s">
        <v>1135</v>
      </c>
      <c r="B61" s="197" t="s">
        <v>1191</v>
      </c>
    </row>
    <row r="62" spans="1:10">
      <c r="A62" s="197" t="s">
        <v>1136</v>
      </c>
      <c r="B62" s="197" t="s">
        <v>1192</v>
      </c>
    </row>
    <row r="63" spans="1:10">
      <c r="A63" s="197" t="s">
        <v>1137</v>
      </c>
      <c r="B63" s="197" t="s">
        <v>1193</v>
      </c>
    </row>
    <row r="64" spans="1:10">
      <c r="A64" s="197" t="s">
        <v>367</v>
      </c>
      <c r="B64" s="197" t="s">
        <v>1138</v>
      </c>
    </row>
    <row r="65" spans="1:4">
      <c r="A65" s="197" t="s">
        <v>1139</v>
      </c>
      <c r="B65" s="197" t="s">
        <v>1194</v>
      </c>
    </row>
    <row r="66" spans="1:4">
      <c r="A66" s="197" t="s">
        <v>1203</v>
      </c>
    </row>
    <row r="67" spans="1:4">
      <c r="A67" s="200" t="s">
        <v>1199</v>
      </c>
      <c r="B67" s="200" t="s">
        <v>1186</v>
      </c>
      <c r="C67" s="200" t="s">
        <v>1198</v>
      </c>
      <c r="D67" s="175" t="s">
        <v>1200</v>
      </c>
    </row>
    <row r="68" spans="1:4">
      <c r="A68" s="175" t="s">
        <v>1197</v>
      </c>
      <c r="B68" s="175">
        <v>10</v>
      </c>
      <c r="C68" s="200">
        <v>75</v>
      </c>
      <c r="D68" s="175">
        <f>C68*B68</f>
        <v>750</v>
      </c>
    </row>
    <row r="69" spans="1:4">
      <c r="A69" s="175" t="s">
        <v>1196</v>
      </c>
      <c r="B69" s="175">
        <v>4</v>
      </c>
      <c r="C69" s="200">
        <v>5</v>
      </c>
      <c r="D69" s="175">
        <f>C69*B69</f>
        <v>20</v>
      </c>
    </row>
    <row r="70" spans="1:4">
      <c r="A70" s="175" t="s">
        <v>1195</v>
      </c>
      <c r="B70" s="175">
        <v>6</v>
      </c>
      <c r="C70" s="200">
        <v>4</v>
      </c>
      <c r="D70" s="175">
        <f>C70*B70</f>
        <v>24</v>
      </c>
    </row>
    <row r="71" spans="1:4">
      <c r="A71" t="s">
        <v>1201</v>
      </c>
    </row>
  </sheetData>
  <mergeCells count="3">
    <mergeCell ref="A39:A41"/>
    <mergeCell ref="B39:H39"/>
    <mergeCell ref="B40:H40"/>
  </mergeCells>
  <phoneticPr fontId="37" type="noConversion"/>
  <hyperlinks>
    <hyperlink ref="M15" r:id="rId1" xr:uid="{7C037131-1B71-4BD1-8419-891ECEEB6EF4}"/>
    <hyperlink ref="M6" r:id="rId2" xr:uid="{78D3FDED-91BE-41A9-911E-CA89059EA125}"/>
    <hyperlink ref="M13" r:id="rId3" xr:uid="{97B68D76-903A-4FBA-99D0-3506CB53453A}"/>
    <hyperlink ref="M14" r:id="rId4" xr:uid="{7D1A2512-C264-4773-BB26-6CCD8D38C2B0}"/>
    <hyperlink ref="M19" r:id="rId5" xr:uid="{427A2D69-F81D-453A-A1A9-964FE6B7E132}"/>
    <hyperlink ref="M20" r:id="rId6" xr:uid="{D9CD2DBA-42E3-4138-A45C-89882F290EB6}"/>
    <hyperlink ref="M21" r:id="rId7" xr:uid="{F92C74D7-67C7-44CE-AC7C-3DBE54D082C7}"/>
    <hyperlink ref="M22" r:id="rId8" xr:uid="{E9527FA8-D11D-49B2-9D12-C106AF371F6B}"/>
    <hyperlink ref="M24" r:id="rId9" xr:uid="{68B8C6E9-9FEA-4D47-A3CC-9D8EFEC4F70C}"/>
    <hyperlink ref="M25" r:id="rId10" xr:uid="{8C550C46-7D26-4685-9D35-35539819EAFF}"/>
    <hyperlink ref="M26" r:id="rId11" xr:uid="{5152C9B2-2EE0-4F16-9C8D-72202EE1F7A1}"/>
    <hyperlink ref="M27" r:id="rId12" xr:uid="{99B26EE2-589D-4650-957A-D9AA9AAA926E}"/>
    <hyperlink ref="M28" r:id="rId13" xr:uid="{B1C14B6C-2919-4722-B4AE-452DBADEBFD6}"/>
    <hyperlink ref="M7" r:id="rId14" xr:uid="{B11A7F40-1D57-4AD1-B56F-160194EC9A1B}"/>
    <hyperlink ref="M5" r:id="rId15" xr:uid="{0C9A49A5-5998-40F1-A9CB-18E859F1974F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98EDC-2173-4F08-8F4D-1DBD92A6B41E}">
  <dimension ref="A1:J62"/>
  <sheetViews>
    <sheetView workbookViewId="0">
      <selection activeCell="B22" sqref="B22"/>
    </sheetView>
  </sheetViews>
  <sheetFormatPr defaultColWidth="9" defaultRowHeight="12.75"/>
  <cols>
    <col min="1" max="1" width="18.140625" style="20" customWidth="1"/>
    <col min="2" max="2" width="14.7109375" style="20" customWidth="1"/>
    <col min="3" max="3" width="12.28515625" style="20" customWidth="1"/>
    <col min="4" max="4" width="10.28515625" style="20" customWidth="1"/>
    <col min="5" max="16384" width="9" style="20"/>
  </cols>
  <sheetData>
    <row r="1" spans="2:10" ht="15">
      <c r="B1" s="188" t="s">
        <v>1155</v>
      </c>
      <c r="G1" s="153"/>
      <c r="H1" s="153"/>
      <c r="I1" s="153"/>
      <c r="J1" s="153"/>
    </row>
    <row r="2" spans="2:10" ht="15">
      <c r="B2" s="188" t="s">
        <v>1159</v>
      </c>
      <c r="G2" s="153"/>
      <c r="H2" s="153"/>
      <c r="I2" s="153"/>
      <c r="J2" s="153"/>
    </row>
    <row r="3" spans="2:10" ht="15">
      <c r="B3" s="41" t="s">
        <v>360</v>
      </c>
      <c r="C3" s="41" t="s">
        <v>361</v>
      </c>
      <c r="D3" s="117">
        <v>2020</v>
      </c>
      <c r="G3" s="191"/>
      <c r="H3" s="191"/>
      <c r="I3" s="192"/>
      <c r="J3" s="192"/>
    </row>
    <row r="4" spans="2:10" ht="15">
      <c r="B4" s="183" t="s">
        <v>1156</v>
      </c>
      <c r="C4" s="44" t="s">
        <v>362</v>
      </c>
      <c r="D4" s="45">
        <v>1530</v>
      </c>
      <c r="E4" s="42"/>
      <c r="F4" s="42"/>
      <c r="G4" s="192"/>
      <c r="H4" s="192"/>
      <c r="I4" s="193"/>
      <c r="J4" s="193"/>
    </row>
    <row r="5" spans="2:10" ht="15">
      <c r="B5" s="189"/>
      <c r="C5" s="44" t="s">
        <v>364</v>
      </c>
      <c r="D5" s="45">
        <v>100</v>
      </c>
      <c r="E5" s="42"/>
      <c r="F5" s="42"/>
      <c r="G5" s="192"/>
      <c r="H5" s="192"/>
      <c r="I5" s="193"/>
      <c r="J5" s="193"/>
    </row>
    <row r="6" spans="2:10" ht="15">
      <c r="B6" s="190"/>
      <c r="C6" s="183" t="s">
        <v>1157</v>
      </c>
      <c r="D6" s="45">
        <v>30</v>
      </c>
      <c r="E6" s="42"/>
      <c r="F6" s="42"/>
      <c r="G6" s="192"/>
      <c r="H6" s="192"/>
      <c r="I6" s="193"/>
      <c r="J6" s="193"/>
    </row>
    <row r="7" spans="2:10" ht="15">
      <c r="B7" s="44" t="s">
        <v>365</v>
      </c>
      <c r="C7" s="44" t="s">
        <v>366</v>
      </c>
      <c r="D7" s="45">
        <v>243</v>
      </c>
      <c r="E7" s="42"/>
      <c r="F7" s="42"/>
      <c r="G7" s="192"/>
      <c r="H7" s="192"/>
      <c r="I7" s="193"/>
      <c r="J7" s="193"/>
    </row>
    <row r="8" spans="2:10" ht="15">
      <c r="B8" s="46" t="s">
        <v>367</v>
      </c>
      <c r="C8" s="44" t="s">
        <v>368</v>
      </c>
      <c r="D8" s="45">
        <v>175</v>
      </c>
      <c r="E8" s="42"/>
      <c r="F8" s="42"/>
      <c r="G8" s="192"/>
      <c r="H8" s="192"/>
      <c r="I8" s="193"/>
      <c r="J8" s="193"/>
    </row>
    <row r="9" spans="2:10" ht="15">
      <c r="B9" s="46" t="s">
        <v>367</v>
      </c>
      <c r="C9" s="44" t="s">
        <v>369</v>
      </c>
      <c r="D9" s="45"/>
      <c r="G9" s="192"/>
      <c r="H9" s="192"/>
      <c r="I9" s="193"/>
      <c r="J9" s="193"/>
    </row>
    <row r="10" spans="2:10" ht="15">
      <c r="B10" s="44" t="s">
        <v>370</v>
      </c>
      <c r="C10" s="44" t="s">
        <v>371</v>
      </c>
      <c r="D10" s="45">
        <v>121</v>
      </c>
      <c r="E10" s="42"/>
      <c r="F10" s="42"/>
      <c r="G10" s="192"/>
      <c r="H10" s="192"/>
      <c r="I10" s="193"/>
      <c r="J10" s="193"/>
    </row>
    <row r="11" spans="2:10" ht="15">
      <c r="B11" s="46" t="s">
        <v>367</v>
      </c>
      <c r="C11" s="44" t="s">
        <v>372</v>
      </c>
      <c r="D11" s="45">
        <v>2627</v>
      </c>
      <c r="E11" s="42"/>
      <c r="F11" s="42"/>
      <c r="G11" s="192"/>
      <c r="H11" s="192"/>
      <c r="I11" s="193"/>
      <c r="J11" s="193"/>
    </row>
    <row r="12" spans="2:10" ht="15">
      <c r="B12" s="46" t="s">
        <v>367</v>
      </c>
      <c r="C12" s="44" t="s">
        <v>373</v>
      </c>
      <c r="D12" s="45"/>
      <c r="G12" s="192"/>
      <c r="H12" s="192"/>
      <c r="I12" s="193"/>
      <c r="J12" s="193"/>
    </row>
    <row r="13" spans="2:10" ht="15">
      <c r="B13" s="46" t="s">
        <v>367</v>
      </c>
      <c r="C13" s="44" t="s">
        <v>374</v>
      </c>
      <c r="D13" s="45">
        <v>166</v>
      </c>
      <c r="E13" s="42"/>
      <c r="F13" s="42"/>
      <c r="G13" s="192"/>
      <c r="H13" s="192"/>
      <c r="I13" s="193"/>
      <c r="J13" s="193"/>
    </row>
    <row r="14" spans="2:10" ht="15">
      <c r="B14" s="46" t="s">
        <v>367</v>
      </c>
      <c r="C14" s="44" t="s">
        <v>375</v>
      </c>
      <c r="D14" s="45">
        <v>64</v>
      </c>
      <c r="E14" s="42"/>
      <c r="F14" s="42"/>
      <c r="G14" s="192"/>
      <c r="H14" s="192"/>
      <c r="I14" s="193"/>
      <c r="J14" s="193"/>
    </row>
    <row r="15" spans="2:10" ht="15">
      <c r="B15" s="44" t="s">
        <v>376</v>
      </c>
      <c r="C15" s="44" t="s">
        <v>79</v>
      </c>
      <c r="D15" s="45">
        <v>761</v>
      </c>
      <c r="E15" s="42"/>
      <c r="F15" s="42"/>
      <c r="G15" s="192"/>
      <c r="H15" s="192"/>
      <c r="I15" s="193"/>
      <c r="J15" s="193"/>
    </row>
    <row r="16" spans="2:10" ht="15">
      <c r="B16" s="44" t="s">
        <v>377</v>
      </c>
      <c r="C16" s="44" t="s">
        <v>79</v>
      </c>
      <c r="D16" s="45">
        <v>99</v>
      </c>
      <c r="E16" s="42"/>
      <c r="F16" s="42"/>
      <c r="G16" s="192"/>
      <c r="H16" s="192"/>
      <c r="I16" s="193"/>
      <c r="J16" s="193"/>
    </row>
    <row r="17" spans="1:10" ht="15">
      <c r="B17" s="44" t="s">
        <v>378</v>
      </c>
      <c r="C17" s="44" t="s">
        <v>79</v>
      </c>
      <c r="D17" s="45">
        <v>10008</v>
      </c>
      <c r="E17" s="42"/>
      <c r="F17" s="42"/>
      <c r="G17" s="192"/>
      <c r="H17" s="192"/>
      <c r="I17" s="193"/>
      <c r="J17" s="193"/>
    </row>
    <row r="18" spans="1:10" ht="15">
      <c r="B18" s="44" t="s">
        <v>379</v>
      </c>
      <c r="C18" s="44" t="s">
        <v>79</v>
      </c>
      <c r="D18" s="45"/>
      <c r="E18" s="42"/>
      <c r="F18" s="42"/>
      <c r="G18" s="192"/>
      <c r="H18" s="192"/>
      <c r="I18" s="193"/>
      <c r="J18" s="193"/>
    </row>
    <row r="19" spans="1:10" ht="15">
      <c r="B19" s="47" t="s">
        <v>380</v>
      </c>
      <c r="C19" s="47" t="s">
        <v>79</v>
      </c>
      <c r="D19" s="45">
        <v>13</v>
      </c>
      <c r="E19" s="42"/>
      <c r="F19" s="42"/>
      <c r="G19" s="153"/>
      <c r="H19" s="153"/>
      <c r="I19" s="153"/>
      <c r="J19" s="153"/>
    </row>
    <row r="21" spans="1:10">
      <c r="B21" s="43" t="s">
        <v>1165</v>
      </c>
    </row>
    <row r="22" spans="1:10">
      <c r="B22" s="57" t="s">
        <v>381</v>
      </c>
      <c r="C22" s="73">
        <v>20</v>
      </c>
      <c r="D22" s="7" t="s">
        <v>382</v>
      </c>
      <c r="E22" s="20">
        <v>920</v>
      </c>
      <c r="F22" s="20" t="s">
        <v>383</v>
      </c>
      <c r="G22" s="20" t="s">
        <v>1160</v>
      </c>
    </row>
    <row r="23" spans="1:10">
      <c r="B23" s="57" t="s">
        <v>384</v>
      </c>
      <c r="C23" s="73">
        <v>10</v>
      </c>
      <c r="D23" s="7" t="s">
        <v>382</v>
      </c>
    </row>
    <row r="24" spans="1:10">
      <c r="B24" s="57" t="s">
        <v>1161</v>
      </c>
      <c r="C24" s="73">
        <v>6</v>
      </c>
      <c r="D24" s="7" t="s">
        <v>382</v>
      </c>
    </row>
    <row r="25" spans="1:10">
      <c r="B25" s="57" t="s">
        <v>385</v>
      </c>
      <c r="C25" s="73">
        <v>10</v>
      </c>
      <c r="D25" s="7" t="s">
        <v>382</v>
      </c>
    </row>
    <row r="26" spans="1:10">
      <c r="B26" s="74" t="s">
        <v>386</v>
      </c>
      <c r="C26" s="75" t="s">
        <v>387</v>
      </c>
      <c r="D26" s="76" t="s">
        <v>382</v>
      </c>
      <c r="E26" s="49">
        <v>4</v>
      </c>
      <c r="F26" s="49" t="s">
        <v>388</v>
      </c>
    </row>
    <row r="27" spans="1:10">
      <c r="B27" s="74" t="s">
        <v>389</v>
      </c>
      <c r="C27" s="75" t="s">
        <v>390</v>
      </c>
      <c r="D27" s="76" t="s">
        <v>382</v>
      </c>
      <c r="E27" s="49">
        <v>6</v>
      </c>
      <c r="F27" s="49" t="s">
        <v>388</v>
      </c>
    </row>
    <row r="28" spans="1:10">
      <c r="B28" s="74" t="s">
        <v>245</v>
      </c>
      <c r="C28" s="75">
        <v>30</v>
      </c>
      <c r="D28" s="76" t="s">
        <v>382</v>
      </c>
      <c r="E28" s="49"/>
      <c r="F28" s="49" t="s">
        <v>388</v>
      </c>
    </row>
    <row r="29" spans="1:10">
      <c r="B29" s="63"/>
      <c r="C29" s="40"/>
    </row>
    <row r="30" spans="1:10">
      <c r="C30" s="20" t="s">
        <v>1158</v>
      </c>
    </row>
    <row r="31" spans="1:10">
      <c r="B31" s="77"/>
      <c r="C31" s="77" t="s">
        <v>391</v>
      </c>
      <c r="D31" s="77">
        <v>2020</v>
      </c>
    </row>
    <row r="32" spans="1:10">
      <c r="A32" s="226" t="s">
        <v>230</v>
      </c>
      <c r="B32" s="223" t="s">
        <v>392</v>
      </c>
      <c r="C32" s="7" t="s">
        <v>381</v>
      </c>
      <c r="D32" s="7">
        <f>$E$22/$C$22</f>
        <v>46</v>
      </c>
      <c r="E32" s="223" t="s">
        <v>242</v>
      </c>
      <c r="F32" s="225" t="s">
        <v>393</v>
      </c>
    </row>
    <row r="33" spans="1:7">
      <c r="A33" s="226"/>
      <c r="B33" s="223"/>
      <c r="C33" s="7" t="s">
        <v>384</v>
      </c>
      <c r="D33" s="58">
        <f>(D4-$E$22)/$C$23-22</f>
        <v>39</v>
      </c>
      <c r="E33" s="223"/>
      <c r="F33" s="225"/>
    </row>
    <row r="34" spans="1:7">
      <c r="A34" s="226"/>
      <c r="B34" s="223"/>
      <c r="C34" s="7" t="s">
        <v>1161</v>
      </c>
      <c r="D34" s="58">
        <f>D6/C24</f>
        <v>5</v>
      </c>
      <c r="E34" s="223"/>
      <c r="F34" s="225"/>
    </row>
    <row r="35" spans="1:7">
      <c r="A35" s="226"/>
      <c r="B35" s="223"/>
      <c r="C35" s="7" t="s">
        <v>385</v>
      </c>
      <c r="D35" s="58">
        <f>D5/C25+22</f>
        <v>32</v>
      </c>
      <c r="E35" s="223"/>
      <c r="F35" s="225"/>
    </row>
    <row r="36" spans="1:7">
      <c r="A36" s="43" t="s">
        <v>233</v>
      </c>
      <c r="B36" s="7"/>
      <c r="C36" s="7" t="s">
        <v>394</v>
      </c>
      <c r="D36" s="58">
        <f>D7</f>
        <v>243</v>
      </c>
      <c r="E36" s="227" t="s">
        <v>395</v>
      </c>
      <c r="F36" s="114" t="s">
        <v>396</v>
      </c>
      <c r="G36" s="115" t="s">
        <v>397</v>
      </c>
    </row>
    <row r="37" spans="1:7">
      <c r="A37" s="43" t="s">
        <v>230</v>
      </c>
      <c r="B37" s="7"/>
      <c r="C37" s="7" t="s">
        <v>398</v>
      </c>
      <c r="D37" s="58">
        <f>D8</f>
        <v>175</v>
      </c>
      <c r="E37" s="227"/>
      <c r="F37" s="114" t="s">
        <v>396</v>
      </c>
      <c r="G37" s="115" t="s">
        <v>399</v>
      </c>
    </row>
    <row r="38" spans="1:7">
      <c r="A38" s="43" t="s">
        <v>233</v>
      </c>
      <c r="B38" s="57" t="s">
        <v>386</v>
      </c>
      <c r="C38" s="7" t="s">
        <v>400</v>
      </c>
      <c r="D38" s="48">
        <f>D10/$E$26</f>
        <v>30.25</v>
      </c>
      <c r="E38" s="223" t="s">
        <v>401</v>
      </c>
      <c r="F38" s="224" t="s">
        <v>396</v>
      </c>
    </row>
    <row r="39" spans="1:7">
      <c r="A39" s="226" t="s">
        <v>230</v>
      </c>
      <c r="B39" s="223" t="s">
        <v>389</v>
      </c>
      <c r="C39" s="7" t="s">
        <v>389</v>
      </c>
      <c r="D39" s="48">
        <f>D11/$E$27</f>
        <v>437.83333333333331</v>
      </c>
      <c r="E39" s="223"/>
      <c r="F39" s="224"/>
    </row>
    <row r="40" spans="1:7">
      <c r="A40" s="226"/>
      <c r="B40" s="223"/>
      <c r="C40" s="7" t="s">
        <v>402</v>
      </c>
      <c r="D40" s="48">
        <f>D13/$E$27</f>
        <v>27.666666666666668</v>
      </c>
      <c r="E40" s="223"/>
      <c r="F40" s="225" t="s">
        <v>393</v>
      </c>
    </row>
    <row r="41" spans="1:7">
      <c r="A41" s="226"/>
      <c r="B41" s="223"/>
      <c r="C41" s="7" t="s">
        <v>403</v>
      </c>
      <c r="D41" s="48">
        <f>D14/$E$27</f>
        <v>10.666666666666666</v>
      </c>
      <c r="E41" s="223"/>
      <c r="F41" s="225"/>
    </row>
    <row r="42" spans="1:7">
      <c r="B42" s="63"/>
      <c r="D42" s="42"/>
    </row>
    <row r="43" spans="1:7">
      <c r="B43" s="223" t="s">
        <v>404</v>
      </c>
      <c r="C43" s="7" t="s">
        <v>405</v>
      </c>
      <c r="D43" s="48">
        <f>D15</f>
        <v>761</v>
      </c>
    </row>
    <row r="44" spans="1:7">
      <c r="B44" s="223"/>
      <c r="C44" s="7" t="s">
        <v>406</v>
      </c>
      <c r="D44" s="48">
        <f>D16</f>
        <v>99</v>
      </c>
    </row>
    <row r="45" spans="1:7">
      <c r="B45" s="223"/>
      <c r="C45" s="7" t="s">
        <v>407</v>
      </c>
      <c r="D45" s="48">
        <f>D17</f>
        <v>10008</v>
      </c>
    </row>
    <row r="46" spans="1:7">
      <c r="B46" s="223"/>
      <c r="C46" s="7" t="s">
        <v>408</v>
      </c>
      <c r="D46" s="48">
        <f>D19</f>
        <v>13</v>
      </c>
    </row>
    <row r="48" spans="1:7">
      <c r="A48" s="37" t="s">
        <v>38</v>
      </c>
    </row>
    <row r="49" spans="1:3">
      <c r="A49" s="20" t="s">
        <v>1162</v>
      </c>
    </row>
    <row r="50" spans="1:3">
      <c r="A50" s="20" t="s">
        <v>1163</v>
      </c>
    </row>
    <row r="51" spans="1:3">
      <c r="A51" s="31" t="s">
        <v>1164</v>
      </c>
    </row>
    <row r="52" spans="1:3">
      <c r="B52" s="63"/>
      <c r="C52" s="40"/>
    </row>
    <row r="53" spans="1:3">
      <c r="A53" s="20" t="s">
        <v>409</v>
      </c>
      <c r="B53" s="63"/>
      <c r="C53" s="40"/>
    </row>
    <row r="54" spans="1:3">
      <c r="A54" s="20" t="s">
        <v>410</v>
      </c>
      <c r="B54" s="63"/>
      <c r="C54" s="40"/>
    </row>
    <row r="55" spans="1:3">
      <c r="A55" s="20" t="s">
        <v>411</v>
      </c>
    </row>
    <row r="57" spans="1:3">
      <c r="A57" s="20" t="s">
        <v>412</v>
      </c>
    </row>
    <row r="58" spans="1:3">
      <c r="A58" s="20" t="s">
        <v>413</v>
      </c>
    </row>
    <row r="59" spans="1:3">
      <c r="A59" s="20" t="s">
        <v>414</v>
      </c>
    </row>
    <row r="60" spans="1:3">
      <c r="A60" s="20" t="s">
        <v>415</v>
      </c>
    </row>
    <row r="62" spans="1:3">
      <c r="A62" s="20" t="s">
        <v>1160</v>
      </c>
    </row>
  </sheetData>
  <mergeCells count="11">
    <mergeCell ref="B43:B46"/>
    <mergeCell ref="F38:F39"/>
    <mergeCell ref="F32:F35"/>
    <mergeCell ref="A32:A35"/>
    <mergeCell ref="B32:B35"/>
    <mergeCell ref="E32:E35"/>
    <mergeCell ref="A39:A41"/>
    <mergeCell ref="B39:B41"/>
    <mergeCell ref="F40:F41"/>
    <mergeCell ref="E36:E37"/>
    <mergeCell ref="E38:E41"/>
  </mergeCells>
  <phoneticPr fontId="37" type="noConversion"/>
  <pageMargins left="0.7" right="0.7" top="0.75" bottom="0.75" header="0.3" footer="0.3"/>
  <pageSetup paperSize="9" orientation="portrait" horizontalDpi="4294967292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7FF1F-3A3C-4D72-B711-48B5D7119FCE}">
  <dimension ref="A3:L78"/>
  <sheetViews>
    <sheetView workbookViewId="0">
      <selection activeCell="K17" sqref="K17:K19"/>
    </sheetView>
  </sheetViews>
  <sheetFormatPr defaultColWidth="9" defaultRowHeight="12.75"/>
  <cols>
    <col min="1" max="1" width="9" style="59"/>
    <col min="2" max="2" width="11.28515625" style="59" customWidth="1"/>
    <col min="3" max="3" width="10.42578125" style="59" customWidth="1"/>
    <col min="4" max="4" width="7.42578125" style="59" customWidth="1"/>
    <col min="5" max="5" width="11" style="59" customWidth="1"/>
    <col min="6" max="6" width="8.85546875" style="59" customWidth="1"/>
    <col min="7" max="10" width="9.42578125" style="59" customWidth="1"/>
    <col min="11" max="11" width="19.28515625" style="59" bestFit="1" customWidth="1"/>
    <col min="12" max="16384" width="9" style="59"/>
  </cols>
  <sheetData>
    <row r="3" spans="2:12">
      <c r="B3" s="60"/>
      <c r="C3" s="60" t="s">
        <v>416</v>
      </c>
      <c r="D3" s="60" t="s">
        <v>417</v>
      </c>
      <c r="E3" s="60" t="s">
        <v>418</v>
      </c>
      <c r="F3" s="60" t="s">
        <v>419</v>
      </c>
      <c r="G3" s="60" t="s">
        <v>420</v>
      </c>
      <c r="H3" s="61"/>
      <c r="I3" s="62"/>
      <c r="J3" s="60" t="s">
        <v>421</v>
      </c>
      <c r="K3" s="60" t="s">
        <v>422</v>
      </c>
      <c r="L3" s="60" t="s">
        <v>423</v>
      </c>
    </row>
    <row r="4" spans="2:12">
      <c r="B4" s="223" t="s">
        <v>424</v>
      </c>
      <c r="C4" s="228" t="s">
        <v>425</v>
      </c>
      <c r="D4" s="223" t="s">
        <v>426</v>
      </c>
      <c r="E4" s="62" t="s">
        <v>427</v>
      </c>
      <c r="F4" s="62">
        <v>1</v>
      </c>
      <c r="G4" s="223"/>
      <c r="H4" s="63"/>
      <c r="I4" s="223" t="s">
        <v>242</v>
      </c>
      <c r="J4" s="64" t="s">
        <v>428</v>
      </c>
      <c r="K4" s="62">
        <f>SUM($F$63:$G$66)</f>
        <v>201</v>
      </c>
      <c r="L4" s="65">
        <f>K4/$K$8</f>
        <v>0.25283018867924528</v>
      </c>
    </row>
    <row r="5" spans="2:12">
      <c r="B5" s="223"/>
      <c r="C5" s="228"/>
      <c r="D5" s="223"/>
      <c r="E5" s="62" t="s">
        <v>429</v>
      </c>
      <c r="F5" s="62">
        <v>10</v>
      </c>
      <c r="G5" s="223"/>
      <c r="H5" s="63"/>
      <c r="I5" s="223"/>
      <c r="J5" s="64" t="s">
        <v>430</v>
      </c>
      <c r="K5" s="62">
        <f>SUM($F$62:$G$62,$F$67:$G$67)+SUM($F$12,$F$25,$F$30,$F$33,$F$36,$F$40,$F$42,$F$44,$F$48,F50,$F$52:$G$59)</f>
        <v>586</v>
      </c>
      <c r="L5" s="65">
        <f t="shared" ref="L5:L7" si="0">K5/$K$8</f>
        <v>0.73710691823899366</v>
      </c>
    </row>
    <row r="6" spans="2:12">
      <c r="B6" s="223"/>
      <c r="C6" s="228"/>
      <c r="D6" s="223"/>
      <c r="E6" s="62" t="s">
        <v>431</v>
      </c>
      <c r="F6" s="62">
        <v>42</v>
      </c>
      <c r="G6" s="223"/>
      <c r="H6" s="63"/>
      <c r="I6" s="223"/>
      <c r="J6" s="64" t="s">
        <v>432</v>
      </c>
      <c r="K6" s="62">
        <f>E72</f>
        <v>8</v>
      </c>
      <c r="L6" s="65">
        <f t="shared" si="0"/>
        <v>1.0062893081761006E-2</v>
      </c>
    </row>
    <row r="7" spans="2:12">
      <c r="B7" s="223"/>
      <c r="C7" s="228"/>
      <c r="D7" s="223"/>
      <c r="E7" s="62" t="s">
        <v>433</v>
      </c>
      <c r="F7" s="62">
        <v>10</v>
      </c>
      <c r="G7" s="223"/>
      <c r="H7" s="63"/>
      <c r="I7" s="223"/>
      <c r="J7" s="64" t="s">
        <v>434</v>
      </c>
      <c r="K7" s="62">
        <v>0</v>
      </c>
      <c r="L7" s="65">
        <f t="shared" si="0"/>
        <v>0</v>
      </c>
    </row>
    <row r="8" spans="2:12">
      <c r="B8" s="223"/>
      <c r="C8" s="228"/>
      <c r="D8" s="223"/>
      <c r="E8" s="62" t="s">
        <v>435</v>
      </c>
      <c r="F8" s="62">
        <v>25</v>
      </c>
      <c r="G8" s="223"/>
      <c r="H8" s="63"/>
      <c r="I8" s="223"/>
      <c r="J8" s="57" t="s">
        <v>436</v>
      </c>
      <c r="K8" s="62">
        <f>SUM($K$4:$K$7)</f>
        <v>795</v>
      </c>
      <c r="L8" s="65"/>
    </row>
    <row r="9" spans="2:12">
      <c r="B9" s="223"/>
      <c r="C9" s="228"/>
      <c r="D9" s="223"/>
      <c r="E9" s="62" t="s">
        <v>437</v>
      </c>
      <c r="F9" s="62">
        <v>29</v>
      </c>
      <c r="G9" s="223"/>
      <c r="H9" s="63"/>
      <c r="I9" s="223" t="s">
        <v>245</v>
      </c>
      <c r="J9" s="64" t="s">
        <v>428</v>
      </c>
      <c r="K9" s="62">
        <v>0</v>
      </c>
      <c r="L9" s="65">
        <f>K9/$K$13</f>
        <v>0</v>
      </c>
    </row>
    <row r="10" spans="2:12">
      <c r="B10" s="223"/>
      <c r="C10" s="228"/>
      <c r="D10" s="223"/>
      <c r="E10" s="62" t="s">
        <v>438</v>
      </c>
      <c r="F10" s="62">
        <v>10</v>
      </c>
      <c r="G10" s="223"/>
      <c r="H10" s="63"/>
      <c r="I10" s="223"/>
      <c r="J10" s="64" t="s">
        <v>430</v>
      </c>
      <c r="K10" s="62">
        <f>SUM($F$16,$F$28,$F$46)</f>
        <v>36</v>
      </c>
      <c r="L10" s="65">
        <f t="shared" ref="L10:L12" si="1">K10/$K$13</f>
        <v>1</v>
      </c>
    </row>
    <row r="11" spans="2:12">
      <c r="B11" s="223"/>
      <c r="C11" s="228"/>
      <c r="D11" s="223"/>
      <c r="E11" s="62" t="s">
        <v>439</v>
      </c>
      <c r="F11" s="62">
        <v>10</v>
      </c>
      <c r="G11" s="223"/>
      <c r="H11" s="63"/>
      <c r="I11" s="223"/>
      <c r="J11" s="64" t="s">
        <v>432</v>
      </c>
      <c r="K11" s="62">
        <v>0</v>
      </c>
      <c r="L11" s="65">
        <f t="shared" si="1"/>
        <v>0</v>
      </c>
    </row>
    <row r="12" spans="2:12">
      <c r="B12" s="223"/>
      <c r="C12" s="228"/>
      <c r="D12" s="223"/>
      <c r="E12" s="62" t="s">
        <v>440</v>
      </c>
      <c r="F12" s="62">
        <f>SUM($F$4:$F$11)</f>
        <v>137</v>
      </c>
      <c r="G12" s="223"/>
      <c r="H12" s="63"/>
      <c r="I12" s="223"/>
      <c r="J12" s="64" t="s">
        <v>434</v>
      </c>
      <c r="K12" s="62">
        <v>0</v>
      </c>
      <c r="L12" s="65">
        <f t="shared" si="1"/>
        <v>0</v>
      </c>
    </row>
    <row r="13" spans="2:12">
      <c r="B13" s="223"/>
      <c r="C13" s="228"/>
      <c r="D13" s="223" t="s">
        <v>441</v>
      </c>
      <c r="E13" s="62" t="s">
        <v>442</v>
      </c>
      <c r="F13" s="62">
        <v>4</v>
      </c>
      <c r="G13" s="223"/>
      <c r="H13" s="63"/>
      <c r="I13" s="223"/>
      <c r="J13" s="57" t="s">
        <v>436</v>
      </c>
      <c r="K13" s="62">
        <f>SUM($K$9:$K$12)</f>
        <v>36</v>
      </c>
      <c r="L13" s="65"/>
    </row>
    <row r="14" spans="2:12" ht="16.5" customHeight="1">
      <c r="B14" s="223"/>
      <c r="C14" s="228"/>
      <c r="D14" s="223"/>
      <c r="E14" s="62" t="s">
        <v>443</v>
      </c>
      <c r="F14" s="62">
        <v>7</v>
      </c>
      <c r="G14" s="223"/>
      <c r="H14" s="63"/>
      <c r="I14" s="223" t="s">
        <v>444</v>
      </c>
      <c r="J14" s="223"/>
      <c r="K14" s="66">
        <f>SUM($K$8,$K$13)</f>
        <v>831</v>
      </c>
      <c r="L14" s="62"/>
    </row>
    <row r="15" spans="2:12">
      <c r="B15" s="223"/>
      <c r="C15" s="228"/>
      <c r="D15" s="223"/>
      <c r="E15" s="62" t="s">
        <v>445</v>
      </c>
      <c r="F15" s="62">
        <v>12</v>
      </c>
      <c r="G15" s="223"/>
      <c r="H15" s="63"/>
      <c r="I15" s="63"/>
      <c r="J15" s="63"/>
    </row>
    <row r="16" spans="2:12">
      <c r="B16" s="223"/>
      <c r="C16" s="228"/>
      <c r="D16" s="223"/>
      <c r="E16" s="62" t="s">
        <v>440</v>
      </c>
      <c r="F16" s="62">
        <f>SUM($F$13:$F$15)</f>
        <v>23</v>
      </c>
      <c r="G16" s="223"/>
      <c r="H16" s="63"/>
      <c r="I16" s="67" t="s">
        <v>446</v>
      </c>
      <c r="J16" s="34"/>
      <c r="K16" s="34">
        <v>2020</v>
      </c>
    </row>
    <row r="17" spans="2:11">
      <c r="B17" s="223"/>
      <c r="C17" s="228" t="s">
        <v>447</v>
      </c>
      <c r="D17" s="223" t="s">
        <v>426</v>
      </c>
      <c r="E17" s="62" t="s">
        <v>427</v>
      </c>
      <c r="F17" s="62">
        <v>1</v>
      </c>
      <c r="G17" s="223"/>
      <c r="H17" s="63"/>
      <c r="I17" s="230" t="s">
        <v>242</v>
      </c>
      <c r="J17" s="35" t="s">
        <v>426</v>
      </c>
      <c r="K17" s="35">
        <f>SUM(F12,F25,F30,F33,F36,F40,F42,F44,F48,F50)</f>
        <v>353</v>
      </c>
    </row>
    <row r="18" spans="2:11">
      <c r="B18" s="223"/>
      <c r="C18" s="228"/>
      <c r="D18" s="223"/>
      <c r="E18" s="62" t="s">
        <v>448</v>
      </c>
      <c r="F18" s="62">
        <v>9</v>
      </c>
      <c r="G18" s="223"/>
      <c r="H18" s="63"/>
      <c r="I18" s="230"/>
      <c r="J18" s="35" t="s">
        <v>449</v>
      </c>
      <c r="K18" s="35">
        <f>SUM(F52:F59,F62:F67,E72)</f>
        <v>234</v>
      </c>
    </row>
    <row r="19" spans="2:11">
      <c r="B19" s="223"/>
      <c r="C19" s="228"/>
      <c r="D19" s="223"/>
      <c r="E19" s="62" t="s">
        <v>450</v>
      </c>
      <c r="F19" s="62">
        <v>6</v>
      </c>
      <c r="G19" s="223"/>
      <c r="H19" s="63"/>
      <c r="I19" s="230"/>
      <c r="J19" s="35" t="s">
        <v>451</v>
      </c>
      <c r="K19" s="35">
        <f>SUM(G52:G59,G62:G67)</f>
        <v>208</v>
      </c>
    </row>
    <row r="20" spans="2:11">
      <c r="B20" s="223"/>
      <c r="C20" s="228"/>
      <c r="D20" s="223"/>
      <c r="E20" s="62" t="s">
        <v>452</v>
      </c>
      <c r="F20" s="62">
        <v>18</v>
      </c>
      <c r="G20" s="223"/>
      <c r="H20" s="63"/>
      <c r="I20" s="57" t="s">
        <v>245</v>
      </c>
      <c r="J20" s="35" t="s">
        <v>441</v>
      </c>
      <c r="K20" s="35">
        <f>SUM(F28,F46,F16)</f>
        <v>36</v>
      </c>
    </row>
    <row r="21" spans="2:11">
      <c r="B21" s="223"/>
      <c r="C21" s="228"/>
      <c r="D21" s="223"/>
      <c r="E21" s="62" t="s">
        <v>453</v>
      </c>
      <c r="F21" s="62">
        <v>15</v>
      </c>
      <c r="G21" s="223"/>
      <c r="H21" s="63"/>
      <c r="I21" s="223" t="s">
        <v>444</v>
      </c>
      <c r="J21" s="223"/>
      <c r="K21" s="68">
        <f>SUM($K$17:$K$20)</f>
        <v>831</v>
      </c>
    </row>
    <row r="22" spans="2:11">
      <c r="B22" s="223"/>
      <c r="C22" s="228"/>
      <c r="D22" s="223"/>
      <c r="E22" s="62" t="s">
        <v>454</v>
      </c>
      <c r="F22" s="62">
        <v>5</v>
      </c>
      <c r="G22" s="223"/>
      <c r="H22" s="63"/>
      <c r="I22" s="63"/>
      <c r="J22" s="63"/>
    </row>
    <row r="23" spans="2:11">
      <c r="B23" s="223"/>
      <c r="C23" s="228"/>
      <c r="D23" s="223"/>
      <c r="E23" s="62" t="s">
        <v>438</v>
      </c>
      <c r="F23" s="62">
        <v>6</v>
      </c>
      <c r="G23" s="223"/>
      <c r="H23" s="63"/>
      <c r="I23" s="63"/>
      <c r="J23" s="63"/>
    </row>
    <row r="24" spans="2:11">
      <c r="B24" s="223"/>
      <c r="C24" s="228"/>
      <c r="D24" s="223"/>
      <c r="E24" s="62" t="s">
        <v>455</v>
      </c>
      <c r="F24" s="62">
        <v>13</v>
      </c>
      <c r="G24" s="223"/>
      <c r="H24" s="63"/>
      <c r="I24" s="63"/>
      <c r="J24" s="63"/>
    </row>
    <row r="25" spans="2:11">
      <c r="B25" s="223"/>
      <c r="C25" s="228"/>
      <c r="D25" s="223"/>
      <c r="E25" s="62" t="s">
        <v>440</v>
      </c>
      <c r="F25" s="62">
        <f>SUM($F$17:$F$24)</f>
        <v>73</v>
      </c>
      <c r="G25" s="223"/>
      <c r="H25" s="63"/>
      <c r="I25" s="63"/>
      <c r="J25" s="63"/>
    </row>
    <row r="26" spans="2:11">
      <c r="B26" s="223"/>
      <c r="C26" s="228"/>
      <c r="D26" s="223" t="s">
        <v>441</v>
      </c>
      <c r="E26" s="62" t="s">
        <v>442</v>
      </c>
      <c r="F26" s="62">
        <v>11</v>
      </c>
      <c r="G26" s="223"/>
      <c r="H26" s="63"/>
      <c r="I26" s="63"/>
      <c r="J26" s="63"/>
    </row>
    <row r="27" spans="2:11">
      <c r="B27" s="223"/>
      <c r="C27" s="228"/>
      <c r="D27" s="223"/>
      <c r="E27" s="62" t="s">
        <v>456</v>
      </c>
      <c r="F27" s="62">
        <v>1</v>
      </c>
      <c r="G27" s="223"/>
      <c r="H27" s="63"/>
      <c r="I27" s="63"/>
      <c r="J27" s="63"/>
    </row>
    <row r="28" spans="2:11">
      <c r="B28" s="223"/>
      <c r="C28" s="228"/>
      <c r="D28" s="223"/>
      <c r="E28" s="62" t="s">
        <v>440</v>
      </c>
      <c r="F28" s="62">
        <f>SUM($F$26:$F$27)</f>
        <v>12</v>
      </c>
      <c r="G28" s="223"/>
      <c r="H28" s="63"/>
      <c r="I28" s="63"/>
      <c r="J28" s="63"/>
    </row>
    <row r="29" spans="2:11">
      <c r="B29" s="223"/>
      <c r="C29" s="228" t="s">
        <v>457</v>
      </c>
      <c r="D29" s="223" t="s">
        <v>426</v>
      </c>
      <c r="E29" s="62" t="s">
        <v>458</v>
      </c>
      <c r="F29" s="62">
        <v>44</v>
      </c>
      <c r="G29" s="223"/>
      <c r="H29" s="63"/>
      <c r="I29" s="63"/>
      <c r="J29" s="63"/>
    </row>
    <row r="30" spans="2:11">
      <c r="B30" s="223"/>
      <c r="C30" s="228"/>
      <c r="D30" s="223"/>
      <c r="E30" s="62" t="s">
        <v>440</v>
      </c>
      <c r="F30" s="62">
        <v>44</v>
      </c>
      <c r="G30" s="223"/>
      <c r="H30" s="63"/>
      <c r="I30" s="63"/>
      <c r="J30" s="63"/>
    </row>
    <row r="31" spans="2:11">
      <c r="B31" s="223"/>
      <c r="C31" s="228" t="s">
        <v>459</v>
      </c>
      <c r="D31" s="223" t="s">
        <v>426</v>
      </c>
      <c r="E31" s="62" t="s">
        <v>458</v>
      </c>
      <c r="F31" s="62">
        <v>24</v>
      </c>
      <c r="G31" s="223"/>
      <c r="H31" s="63"/>
      <c r="I31" s="63"/>
      <c r="J31" s="63"/>
    </row>
    <row r="32" spans="2:11">
      <c r="B32" s="223"/>
      <c r="C32" s="228"/>
      <c r="D32" s="223"/>
      <c r="E32" s="62" t="s">
        <v>448</v>
      </c>
      <c r="F32" s="62">
        <v>4</v>
      </c>
      <c r="G32" s="223"/>
      <c r="H32" s="63"/>
      <c r="I32" s="63"/>
      <c r="J32" s="63"/>
    </row>
    <row r="33" spans="2:10">
      <c r="B33" s="223"/>
      <c r="C33" s="228"/>
      <c r="D33" s="223"/>
      <c r="E33" s="62" t="s">
        <v>440</v>
      </c>
      <c r="F33" s="62">
        <f>SUM($F$31:$F$32)</f>
        <v>28</v>
      </c>
      <c r="G33" s="223"/>
      <c r="H33" s="63"/>
      <c r="I33" s="63"/>
      <c r="J33" s="63"/>
    </row>
    <row r="34" spans="2:10">
      <c r="B34" s="223"/>
      <c r="C34" s="228" t="s">
        <v>460</v>
      </c>
      <c r="D34" s="223" t="s">
        <v>426</v>
      </c>
      <c r="E34" s="62" t="s">
        <v>454</v>
      </c>
      <c r="F34" s="62">
        <v>9</v>
      </c>
      <c r="G34" s="223"/>
      <c r="H34" s="63"/>
      <c r="I34" s="63"/>
      <c r="J34" s="63"/>
    </row>
    <row r="35" spans="2:10">
      <c r="B35" s="223"/>
      <c r="C35" s="228"/>
      <c r="D35" s="223"/>
      <c r="E35" s="62" t="s">
        <v>461</v>
      </c>
      <c r="F35" s="62">
        <v>15</v>
      </c>
      <c r="G35" s="223"/>
      <c r="H35" s="63"/>
      <c r="I35" s="63"/>
      <c r="J35" s="63"/>
    </row>
    <row r="36" spans="2:10">
      <c r="B36" s="223"/>
      <c r="C36" s="228"/>
      <c r="D36" s="223"/>
      <c r="E36" s="62" t="s">
        <v>440</v>
      </c>
      <c r="F36" s="62">
        <f>SUM($F$34:$F$35)</f>
        <v>24</v>
      </c>
      <c r="G36" s="223"/>
      <c r="H36" s="63"/>
      <c r="I36" s="63"/>
      <c r="J36" s="63"/>
    </row>
    <row r="37" spans="2:10">
      <c r="B37" s="223"/>
      <c r="C37" s="228" t="s">
        <v>462</v>
      </c>
      <c r="D37" s="223" t="s">
        <v>426</v>
      </c>
      <c r="E37" s="62" t="s">
        <v>463</v>
      </c>
      <c r="F37" s="62">
        <v>2</v>
      </c>
      <c r="G37" s="223"/>
      <c r="H37" s="63"/>
      <c r="I37" s="63"/>
      <c r="J37" s="63"/>
    </row>
    <row r="38" spans="2:10">
      <c r="B38" s="223"/>
      <c r="C38" s="228"/>
      <c r="D38" s="223"/>
      <c r="E38" s="62" t="s">
        <v>458</v>
      </c>
      <c r="F38" s="62">
        <v>6</v>
      </c>
      <c r="G38" s="223"/>
      <c r="H38" s="63"/>
      <c r="I38" s="63"/>
      <c r="J38" s="63"/>
    </row>
    <row r="39" spans="2:10">
      <c r="B39" s="223"/>
      <c r="C39" s="228"/>
      <c r="D39" s="223"/>
      <c r="E39" s="62" t="s">
        <v>464</v>
      </c>
      <c r="F39" s="62">
        <v>2</v>
      </c>
      <c r="G39" s="223"/>
      <c r="H39" s="63"/>
      <c r="I39" s="63"/>
      <c r="J39" s="63"/>
    </row>
    <row r="40" spans="2:10">
      <c r="B40" s="223"/>
      <c r="C40" s="228"/>
      <c r="D40" s="223"/>
      <c r="E40" s="62" t="s">
        <v>440</v>
      </c>
      <c r="F40" s="62">
        <f>SUM($F$37:$F$39)</f>
        <v>10</v>
      </c>
      <c r="G40" s="223"/>
      <c r="H40" s="63"/>
      <c r="I40" s="63"/>
      <c r="J40" s="63"/>
    </row>
    <row r="41" spans="2:10">
      <c r="B41" s="223"/>
      <c r="C41" s="228" t="s">
        <v>465</v>
      </c>
      <c r="D41" s="223" t="s">
        <v>426</v>
      </c>
      <c r="E41" s="62" t="s">
        <v>458</v>
      </c>
      <c r="F41" s="62">
        <v>27</v>
      </c>
      <c r="G41" s="223"/>
      <c r="H41" s="63"/>
      <c r="I41" s="63"/>
      <c r="J41" s="63"/>
    </row>
    <row r="42" spans="2:10">
      <c r="B42" s="223"/>
      <c r="C42" s="228"/>
      <c r="D42" s="223"/>
      <c r="E42" s="62" t="s">
        <v>440</v>
      </c>
      <c r="F42" s="62">
        <v>27</v>
      </c>
      <c r="G42" s="223"/>
      <c r="H42" s="63"/>
      <c r="I42" s="63"/>
      <c r="J42" s="63"/>
    </row>
    <row r="43" spans="2:10">
      <c r="B43" s="223"/>
      <c r="C43" s="228" t="s">
        <v>466</v>
      </c>
      <c r="D43" s="223" t="s">
        <v>426</v>
      </c>
      <c r="E43" s="62" t="s">
        <v>461</v>
      </c>
      <c r="F43" s="62">
        <v>6</v>
      </c>
      <c r="G43" s="223"/>
      <c r="H43" s="63"/>
      <c r="I43" s="63"/>
      <c r="J43" s="63"/>
    </row>
    <row r="44" spans="2:10">
      <c r="B44" s="223"/>
      <c r="C44" s="228"/>
      <c r="D44" s="223"/>
      <c r="E44" s="62" t="s">
        <v>440</v>
      </c>
      <c r="F44" s="62">
        <v>6</v>
      </c>
      <c r="G44" s="223"/>
      <c r="H44" s="63"/>
      <c r="I44" s="63"/>
      <c r="J44" s="63"/>
    </row>
    <row r="45" spans="2:10">
      <c r="B45" s="223"/>
      <c r="C45" s="228" t="s">
        <v>467</v>
      </c>
      <c r="D45" s="223" t="s">
        <v>441</v>
      </c>
      <c r="E45" s="62" t="s">
        <v>468</v>
      </c>
      <c r="F45" s="62">
        <v>1</v>
      </c>
      <c r="G45" s="223"/>
      <c r="H45" s="63"/>
      <c r="I45" s="63"/>
      <c r="J45" s="63"/>
    </row>
    <row r="46" spans="2:10">
      <c r="B46" s="223"/>
      <c r="C46" s="228"/>
      <c r="D46" s="223"/>
      <c r="E46" s="62" t="s">
        <v>440</v>
      </c>
      <c r="F46" s="62">
        <v>1</v>
      </c>
      <c r="G46" s="223"/>
      <c r="H46" s="63"/>
      <c r="I46" s="63"/>
      <c r="J46" s="63"/>
    </row>
    <row r="47" spans="2:10">
      <c r="B47" s="223"/>
      <c r="C47" s="228" t="s">
        <v>469</v>
      </c>
      <c r="D47" s="223" t="s">
        <v>426</v>
      </c>
      <c r="E47" s="62" t="s">
        <v>458</v>
      </c>
      <c r="F47" s="62">
        <v>3</v>
      </c>
      <c r="G47" s="223"/>
      <c r="H47" s="63"/>
      <c r="I47" s="63"/>
      <c r="J47" s="63"/>
    </row>
    <row r="48" spans="2:10">
      <c r="B48" s="223"/>
      <c r="C48" s="228"/>
      <c r="D48" s="223"/>
      <c r="E48" s="62" t="s">
        <v>440</v>
      </c>
      <c r="F48" s="62">
        <f>F47</f>
        <v>3</v>
      </c>
      <c r="G48" s="223"/>
      <c r="H48" s="63"/>
      <c r="I48" s="63"/>
      <c r="J48" s="63"/>
    </row>
    <row r="49" spans="2:10">
      <c r="B49" s="223"/>
      <c r="C49" s="228" t="s">
        <v>1281</v>
      </c>
      <c r="D49" s="223" t="s">
        <v>426</v>
      </c>
      <c r="E49" s="62" t="s">
        <v>1232</v>
      </c>
      <c r="F49" s="62">
        <v>1</v>
      </c>
      <c r="G49" s="223"/>
      <c r="H49" s="63"/>
      <c r="I49" s="63"/>
      <c r="J49" s="63"/>
    </row>
    <row r="50" spans="2:10">
      <c r="B50" s="223"/>
      <c r="C50" s="228"/>
      <c r="D50" s="223"/>
      <c r="E50" s="62" t="s">
        <v>1221</v>
      </c>
      <c r="F50" s="62">
        <v>1</v>
      </c>
      <c r="G50" s="223"/>
      <c r="H50" s="63"/>
      <c r="I50" s="63"/>
      <c r="J50" s="63"/>
    </row>
    <row r="51" spans="2:10">
      <c r="B51" s="223"/>
      <c r="C51" s="223" t="s">
        <v>440</v>
      </c>
      <c r="D51" s="223"/>
      <c r="E51" s="223"/>
      <c r="F51" s="62">
        <f>SUM($F$12,$F$16,$F$25,$F$28,$F$30,$F$33,$F$36,$F$40,$F$42,$F$44,$F$46,$F$48,F50)</f>
        <v>389</v>
      </c>
      <c r="G51" s="223"/>
      <c r="H51" s="63"/>
      <c r="I51" s="63"/>
      <c r="J51" s="63"/>
    </row>
    <row r="52" spans="2:10">
      <c r="B52" s="223" t="s">
        <v>257</v>
      </c>
      <c r="C52" s="229" t="s">
        <v>470</v>
      </c>
      <c r="D52" s="229"/>
      <c r="E52" s="229"/>
      <c r="F52" s="62">
        <v>1</v>
      </c>
      <c r="G52" s="62">
        <v>1</v>
      </c>
      <c r="J52" s="63"/>
    </row>
    <row r="53" spans="2:10">
      <c r="B53" s="223"/>
      <c r="C53" s="229" t="s">
        <v>425</v>
      </c>
      <c r="D53" s="229"/>
      <c r="E53" s="229"/>
      <c r="F53" s="62">
        <v>3</v>
      </c>
      <c r="G53" s="62">
        <v>5</v>
      </c>
      <c r="J53" s="63"/>
    </row>
    <row r="54" spans="2:10">
      <c r="B54" s="223"/>
      <c r="C54" s="229" t="s">
        <v>1282</v>
      </c>
      <c r="D54" s="229"/>
      <c r="E54" s="229"/>
      <c r="F54" s="62">
        <v>0</v>
      </c>
      <c r="G54" s="62">
        <v>3</v>
      </c>
    </row>
    <row r="55" spans="2:10">
      <c r="B55" s="223"/>
      <c r="C55" s="229" t="s">
        <v>471</v>
      </c>
      <c r="D55" s="229"/>
      <c r="E55" s="229"/>
      <c r="F55" s="62">
        <v>1</v>
      </c>
      <c r="G55" s="62"/>
    </row>
    <row r="56" spans="2:10">
      <c r="B56" s="223"/>
      <c r="C56" s="229" t="s">
        <v>472</v>
      </c>
      <c r="D56" s="229"/>
      <c r="E56" s="229"/>
      <c r="F56" s="62">
        <v>1</v>
      </c>
      <c r="G56" s="62"/>
    </row>
    <row r="57" spans="2:10">
      <c r="B57" s="223"/>
      <c r="C57" s="229" t="s">
        <v>473</v>
      </c>
      <c r="D57" s="229"/>
      <c r="E57" s="229"/>
      <c r="F57" s="62"/>
      <c r="G57" s="62">
        <v>4</v>
      </c>
    </row>
    <row r="58" spans="2:10">
      <c r="B58" s="223"/>
      <c r="C58" s="229" t="s">
        <v>474</v>
      </c>
      <c r="D58" s="229"/>
      <c r="E58" s="229"/>
      <c r="F58" s="62">
        <v>0</v>
      </c>
      <c r="G58" s="62">
        <v>1</v>
      </c>
    </row>
    <row r="59" spans="2:10">
      <c r="B59" s="223"/>
      <c r="C59" s="229" t="s">
        <v>475</v>
      </c>
      <c r="D59" s="229"/>
      <c r="E59" s="229"/>
      <c r="F59" s="62">
        <v>2</v>
      </c>
      <c r="G59" s="62"/>
    </row>
    <row r="60" spans="2:10">
      <c r="B60" s="223"/>
      <c r="C60" s="223" t="s">
        <v>440</v>
      </c>
      <c r="D60" s="223"/>
      <c r="E60" s="223"/>
      <c r="F60" s="62">
        <f>SUM($F$52:$F$59)</f>
        <v>8</v>
      </c>
      <c r="G60" s="62">
        <f>SUM($G$52:$G$59)</f>
        <v>14</v>
      </c>
    </row>
    <row r="61" spans="2:10">
      <c r="B61" s="230" t="s">
        <v>476</v>
      </c>
      <c r="C61" s="230"/>
      <c r="D61" s="230"/>
      <c r="E61" s="230"/>
      <c r="F61" s="62">
        <f>SUM($F$51,$F$60)</f>
        <v>397</v>
      </c>
      <c r="G61" s="62">
        <f>$G$60</f>
        <v>14</v>
      </c>
    </row>
    <row r="62" spans="2:10">
      <c r="B62" s="60" t="s">
        <v>477</v>
      </c>
      <c r="C62" s="229" t="s">
        <v>478</v>
      </c>
      <c r="D62" s="229"/>
      <c r="E62" s="229"/>
      <c r="F62" s="62">
        <v>79</v>
      </c>
      <c r="G62" s="62">
        <v>97</v>
      </c>
    </row>
    <row r="63" spans="2:10">
      <c r="B63" s="230" t="s">
        <v>479</v>
      </c>
      <c r="C63" s="231" t="s">
        <v>480</v>
      </c>
      <c r="D63" s="231"/>
      <c r="E63" s="231"/>
      <c r="F63" s="62">
        <v>115</v>
      </c>
      <c r="G63" s="62">
        <v>3</v>
      </c>
    </row>
    <row r="64" spans="2:10">
      <c r="B64" s="230"/>
      <c r="C64" s="231" t="s">
        <v>481</v>
      </c>
      <c r="D64" s="231"/>
      <c r="E64" s="231"/>
      <c r="F64" s="62"/>
      <c r="G64" s="62">
        <v>2</v>
      </c>
    </row>
    <row r="65" spans="1:8">
      <c r="B65" s="230"/>
      <c r="C65" s="231" t="s">
        <v>482</v>
      </c>
      <c r="D65" s="231"/>
      <c r="E65" s="231"/>
      <c r="F65" s="62">
        <v>2</v>
      </c>
      <c r="G65" s="62"/>
    </row>
    <row r="66" spans="1:8">
      <c r="B66" s="230"/>
      <c r="C66" s="231" t="s">
        <v>483</v>
      </c>
      <c r="D66" s="231"/>
      <c r="E66" s="231"/>
      <c r="F66" s="62">
        <v>0</v>
      </c>
      <c r="G66" s="62">
        <v>79</v>
      </c>
    </row>
    <row r="67" spans="1:8">
      <c r="B67" s="230"/>
      <c r="C67" s="229" t="s">
        <v>484</v>
      </c>
      <c r="D67" s="229"/>
      <c r="E67" s="229"/>
      <c r="F67" s="62">
        <v>22</v>
      </c>
      <c r="G67" s="62">
        <v>13</v>
      </c>
    </row>
    <row r="68" spans="1:8">
      <c r="B68" s="230"/>
      <c r="C68" s="230" t="s">
        <v>440</v>
      </c>
      <c r="D68" s="230"/>
      <c r="E68" s="230"/>
      <c r="F68" s="62">
        <f>SUM($F$63:$F$67)</f>
        <v>139</v>
      </c>
      <c r="G68" s="62">
        <f>SUM($G$63:$G$67)</f>
        <v>97</v>
      </c>
    </row>
    <row r="69" spans="1:8">
      <c r="B69" s="230" t="s">
        <v>485</v>
      </c>
      <c r="C69" s="230"/>
      <c r="D69" s="230"/>
      <c r="E69" s="230"/>
      <c r="F69" s="62">
        <f>SUM($F$68,$F$61,$F$62)</f>
        <v>615</v>
      </c>
      <c r="G69" s="62">
        <f>SUM($G$68,$G$62,$G$61)</f>
        <v>208</v>
      </c>
    </row>
    <row r="71" spans="1:8">
      <c r="B71" s="60" t="s">
        <v>391</v>
      </c>
      <c r="C71" s="69" t="s">
        <v>486</v>
      </c>
      <c r="D71" s="69" t="s">
        <v>487</v>
      </c>
      <c r="E71" s="60" t="s">
        <v>488</v>
      </c>
    </row>
    <row r="72" spans="1:8">
      <c r="B72" s="62" t="s">
        <v>489</v>
      </c>
      <c r="C72" s="62">
        <v>3</v>
      </c>
      <c r="D72" s="62">
        <v>5</v>
      </c>
      <c r="E72" s="62">
        <v>8</v>
      </c>
      <c r="G72" s="61"/>
      <c r="H72" s="61"/>
    </row>
    <row r="74" spans="1:8">
      <c r="A74" s="37" t="s">
        <v>38</v>
      </c>
    </row>
    <row r="75" spans="1:8">
      <c r="A75" s="59" t="s">
        <v>490</v>
      </c>
    </row>
    <row r="76" spans="1:8">
      <c r="A76" s="70" t="s">
        <v>491</v>
      </c>
      <c r="B76" s="70"/>
    </row>
    <row r="77" spans="1:8">
      <c r="A77" s="71" t="s">
        <v>492</v>
      </c>
      <c r="B77" s="71"/>
      <c r="C77" s="71"/>
      <c r="D77" s="71"/>
    </row>
    <row r="78" spans="1:8">
      <c r="A78" s="72" t="s">
        <v>493</v>
      </c>
      <c r="B78" s="72"/>
    </row>
  </sheetData>
  <mergeCells count="52">
    <mergeCell ref="C52:E52"/>
    <mergeCell ref="C57:E57"/>
    <mergeCell ref="C58:E58"/>
    <mergeCell ref="C59:E59"/>
    <mergeCell ref="B61:E61"/>
    <mergeCell ref="C62:E62"/>
    <mergeCell ref="B69:E69"/>
    <mergeCell ref="B63:B68"/>
    <mergeCell ref="C63:E63"/>
    <mergeCell ref="C64:E64"/>
    <mergeCell ref="C65:E65"/>
    <mergeCell ref="C66:E66"/>
    <mergeCell ref="C67:E67"/>
    <mergeCell ref="C68:E68"/>
    <mergeCell ref="C54:E54"/>
    <mergeCell ref="C55:E55"/>
    <mergeCell ref="C56:E56"/>
    <mergeCell ref="I4:I8"/>
    <mergeCell ref="I9:I13"/>
    <mergeCell ref="I14:J14"/>
    <mergeCell ref="I17:I19"/>
    <mergeCell ref="I21:J21"/>
    <mergeCell ref="C51:E51"/>
    <mergeCell ref="C34:C36"/>
    <mergeCell ref="C37:C40"/>
    <mergeCell ref="C41:C42"/>
    <mergeCell ref="C43:C44"/>
    <mergeCell ref="C4:C16"/>
    <mergeCell ref="C17:C28"/>
    <mergeCell ref="C49:C50"/>
    <mergeCell ref="G4:G51"/>
    <mergeCell ref="C60:E60"/>
    <mergeCell ref="B52:B60"/>
    <mergeCell ref="C45:C46"/>
    <mergeCell ref="C47:C48"/>
    <mergeCell ref="D29:D30"/>
    <mergeCell ref="D31:D33"/>
    <mergeCell ref="D34:D36"/>
    <mergeCell ref="D37:D40"/>
    <mergeCell ref="D41:D42"/>
    <mergeCell ref="D43:D44"/>
    <mergeCell ref="D45:D46"/>
    <mergeCell ref="D47:D48"/>
    <mergeCell ref="C29:C30"/>
    <mergeCell ref="C31:C33"/>
    <mergeCell ref="C53:E53"/>
    <mergeCell ref="D4:D12"/>
    <mergeCell ref="D13:D16"/>
    <mergeCell ref="D17:D25"/>
    <mergeCell ref="D26:D28"/>
    <mergeCell ref="B4:B51"/>
    <mergeCell ref="D49:D50"/>
  </mergeCells>
  <phoneticPr fontId="3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61B17-5B51-46A7-BA3A-DD54CDCC543F}">
  <dimension ref="A1:G99"/>
  <sheetViews>
    <sheetView topLeftCell="A63" workbookViewId="0">
      <selection activeCell="C58" sqref="C58:D59"/>
    </sheetView>
  </sheetViews>
  <sheetFormatPr defaultRowHeight="15"/>
  <sheetData>
    <row r="1" spans="1:7" ht="15.75">
      <c r="A1" s="232" t="s">
        <v>1253</v>
      </c>
      <c r="B1" s="233"/>
      <c r="C1" s="233"/>
      <c r="D1" s="233"/>
      <c r="E1" s="233"/>
      <c r="F1" s="233"/>
      <c r="G1" s="233"/>
    </row>
    <row r="2" spans="1:7">
      <c r="A2" s="208" t="s">
        <v>1204</v>
      </c>
      <c r="B2" s="208" t="s">
        <v>1205</v>
      </c>
      <c r="C2" s="208" t="s">
        <v>1206</v>
      </c>
      <c r="D2" s="208" t="s">
        <v>1207</v>
      </c>
      <c r="E2" s="208" t="s">
        <v>1208</v>
      </c>
      <c r="F2" s="208" t="s">
        <v>1209</v>
      </c>
      <c r="G2" s="208" t="s">
        <v>1210</v>
      </c>
    </row>
    <row r="3" spans="1:7">
      <c r="A3" s="204" t="s">
        <v>1211</v>
      </c>
      <c r="B3" s="204" t="s">
        <v>1212</v>
      </c>
      <c r="C3" t="s">
        <v>1213</v>
      </c>
      <c r="D3" s="204">
        <v>1</v>
      </c>
      <c r="E3" s="204">
        <v>1</v>
      </c>
      <c r="F3" s="204" t="s">
        <v>363</v>
      </c>
      <c r="G3" s="204">
        <v>19</v>
      </c>
    </row>
    <row r="4" spans="1:7">
      <c r="C4" t="s">
        <v>1214</v>
      </c>
      <c r="D4" s="204">
        <v>10</v>
      </c>
      <c r="E4" s="204">
        <v>10</v>
      </c>
      <c r="F4" s="204" t="s">
        <v>363</v>
      </c>
      <c r="G4" s="204">
        <v>5</v>
      </c>
    </row>
    <row r="5" spans="1:7">
      <c r="C5" t="s">
        <v>1215</v>
      </c>
      <c r="D5" s="204">
        <v>42</v>
      </c>
      <c r="E5" s="204">
        <v>37</v>
      </c>
      <c r="F5" s="204">
        <v>5</v>
      </c>
      <c r="G5" s="204">
        <v>11</v>
      </c>
    </row>
    <row r="6" spans="1:7">
      <c r="C6" t="s">
        <v>1216</v>
      </c>
      <c r="D6" s="204">
        <v>10</v>
      </c>
      <c r="E6" s="204">
        <v>10</v>
      </c>
      <c r="F6" s="204" t="s">
        <v>363</v>
      </c>
      <c r="G6" s="204">
        <v>3</v>
      </c>
    </row>
    <row r="7" spans="1:7">
      <c r="C7" t="s">
        <v>1217</v>
      </c>
      <c r="D7" s="204">
        <v>25</v>
      </c>
      <c r="E7" s="204">
        <v>25</v>
      </c>
      <c r="F7" s="204" t="s">
        <v>363</v>
      </c>
      <c r="G7" s="204">
        <v>15</v>
      </c>
    </row>
    <row r="8" spans="1:7">
      <c r="C8" t="s">
        <v>1218</v>
      </c>
      <c r="D8" s="204">
        <v>29</v>
      </c>
      <c r="E8" s="204">
        <v>11</v>
      </c>
      <c r="F8" s="204">
        <v>10</v>
      </c>
      <c r="G8" s="204">
        <v>16</v>
      </c>
    </row>
    <row r="9" spans="1:7">
      <c r="C9" t="s">
        <v>1219</v>
      </c>
      <c r="D9" s="204">
        <v>10</v>
      </c>
      <c r="E9" s="204">
        <v>10</v>
      </c>
      <c r="F9" s="204" t="s">
        <v>363</v>
      </c>
      <c r="G9" s="204">
        <v>9</v>
      </c>
    </row>
    <row r="10" spans="1:7">
      <c r="C10" t="s">
        <v>1220</v>
      </c>
      <c r="D10" s="204">
        <v>10</v>
      </c>
      <c r="E10" s="204">
        <v>10</v>
      </c>
      <c r="F10" s="204" t="s">
        <v>363</v>
      </c>
      <c r="G10" s="204">
        <v>3</v>
      </c>
    </row>
    <row r="11" spans="1:7">
      <c r="C11" s="5" t="s">
        <v>1221</v>
      </c>
      <c r="D11" s="205">
        <v>137</v>
      </c>
      <c r="E11" s="205">
        <v>122</v>
      </c>
      <c r="F11" s="205">
        <v>15</v>
      </c>
      <c r="G11" s="205">
        <v>11</v>
      </c>
    </row>
    <row r="12" spans="1:7">
      <c r="B12" s="204" t="s">
        <v>1222</v>
      </c>
      <c r="C12" t="s">
        <v>1223</v>
      </c>
      <c r="D12" s="204">
        <v>4</v>
      </c>
      <c r="E12" s="204">
        <v>4</v>
      </c>
      <c r="F12" s="204" t="s">
        <v>363</v>
      </c>
      <c r="G12" s="204">
        <v>15</v>
      </c>
    </row>
    <row r="13" spans="1:7">
      <c r="C13" t="s">
        <v>1224</v>
      </c>
      <c r="D13" s="204">
        <v>7</v>
      </c>
      <c r="E13" s="204">
        <v>7</v>
      </c>
      <c r="F13" s="204" t="s">
        <v>363</v>
      </c>
      <c r="G13" s="204">
        <v>7</v>
      </c>
    </row>
    <row r="14" spans="1:7">
      <c r="C14" t="s">
        <v>1225</v>
      </c>
      <c r="D14" s="204">
        <v>12</v>
      </c>
      <c r="E14" s="204">
        <v>12</v>
      </c>
      <c r="F14" s="204" t="s">
        <v>363</v>
      </c>
      <c r="G14" s="204">
        <v>6</v>
      </c>
    </row>
    <row r="15" spans="1:7">
      <c r="C15" s="5" t="s">
        <v>1221</v>
      </c>
      <c r="D15" s="205">
        <v>23</v>
      </c>
      <c r="E15" s="205">
        <v>23</v>
      </c>
      <c r="F15" s="205" t="s">
        <v>363</v>
      </c>
      <c r="G15" s="205">
        <v>8</v>
      </c>
    </row>
    <row r="16" spans="1:7">
      <c r="B16" s="205" t="s">
        <v>1226</v>
      </c>
      <c r="D16" s="205">
        <v>160</v>
      </c>
      <c r="E16" s="205">
        <v>145</v>
      </c>
      <c r="F16" s="205">
        <v>15</v>
      </c>
      <c r="G16" s="205">
        <v>11</v>
      </c>
    </row>
    <row r="17" spans="1:7">
      <c r="A17" s="204" t="s">
        <v>1227</v>
      </c>
      <c r="B17" s="204" t="s">
        <v>1212</v>
      </c>
      <c r="C17" t="s">
        <v>1213</v>
      </c>
      <c r="D17" s="204">
        <v>1</v>
      </c>
      <c r="E17" s="204" t="s">
        <v>363</v>
      </c>
      <c r="F17" s="204">
        <v>1</v>
      </c>
      <c r="G17" s="204">
        <v>23</v>
      </c>
    </row>
    <row r="18" spans="1:7">
      <c r="C18" t="s">
        <v>1228</v>
      </c>
      <c r="D18" s="204">
        <v>9</v>
      </c>
      <c r="E18" s="204">
        <v>9</v>
      </c>
      <c r="F18" s="204" t="s">
        <v>363</v>
      </c>
      <c r="G18" s="204">
        <v>13</v>
      </c>
    </row>
    <row r="19" spans="1:7">
      <c r="C19" t="s">
        <v>1229</v>
      </c>
      <c r="D19" s="204">
        <v>6</v>
      </c>
      <c r="E19" s="204" t="s">
        <v>363</v>
      </c>
      <c r="F19" s="204">
        <v>6</v>
      </c>
      <c r="G19" s="204">
        <v>24</v>
      </c>
    </row>
    <row r="20" spans="1:7">
      <c r="C20" t="s">
        <v>1230</v>
      </c>
      <c r="D20" s="204">
        <v>18</v>
      </c>
      <c r="E20" s="204">
        <v>18</v>
      </c>
      <c r="F20" s="204" t="s">
        <v>363</v>
      </c>
      <c r="G20" s="204">
        <v>7</v>
      </c>
    </row>
    <row r="21" spans="1:7">
      <c r="C21" t="s">
        <v>1231</v>
      </c>
      <c r="D21" s="204">
        <v>15</v>
      </c>
      <c r="E21" s="204">
        <v>15</v>
      </c>
      <c r="F21" s="204" t="s">
        <v>363</v>
      </c>
      <c r="G21" s="204">
        <v>12</v>
      </c>
    </row>
    <row r="22" spans="1:7">
      <c r="C22" t="s">
        <v>1232</v>
      </c>
      <c r="D22" s="204">
        <v>5</v>
      </c>
      <c r="E22" s="204">
        <v>5</v>
      </c>
      <c r="F22" s="204" t="s">
        <v>363</v>
      </c>
      <c r="G22" s="204">
        <v>14</v>
      </c>
    </row>
    <row r="23" spans="1:7">
      <c r="C23" t="s">
        <v>1219</v>
      </c>
      <c r="D23" s="204">
        <v>6</v>
      </c>
      <c r="E23" s="204">
        <v>6</v>
      </c>
      <c r="F23" s="204" t="s">
        <v>363</v>
      </c>
      <c r="G23" s="204">
        <v>6</v>
      </c>
    </row>
    <row r="24" spans="1:7">
      <c r="C24" t="s">
        <v>1233</v>
      </c>
      <c r="D24" s="204">
        <v>13</v>
      </c>
      <c r="E24" s="204">
        <v>13</v>
      </c>
      <c r="F24" s="204" t="s">
        <v>363</v>
      </c>
      <c r="G24" s="204">
        <v>2</v>
      </c>
    </row>
    <row r="25" spans="1:7">
      <c r="C25" s="5" t="s">
        <v>1221</v>
      </c>
      <c r="D25" s="205">
        <v>73</v>
      </c>
      <c r="E25" s="205">
        <v>66</v>
      </c>
      <c r="F25" s="205">
        <v>7</v>
      </c>
      <c r="G25" s="205">
        <v>10</v>
      </c>
    </row>
    <row r="26" spans="1:7">
      <c r="B26" s="204" t="s">
        <v>1222</v>
      </c>
      <c r="C26" t="s">
        <v>1234</v>
      </c>
      <c r="D26" s="204">
        <v>11</v>
      </c>
      <c r="E26" s="204">
        <v>2</v>
      </c>
      <c r="F26" s="204">
        <v>9</v>
      </c>
      <c r="G26" s="204">
        <v>25</v>
      </c>
    </row>
    <row r="27" spans="1:7">
      <c r="C27" t="s">
        <v>1235</v>
      </c>
      <c r="D27" s="204">
        <v>1</v>
      </c>
      <c r="E27" s="204" t="s">
        <v>363</v>
      </c>
      <c r="F27" s="204">
        <v>1</v>
      </c>
      <c r="G27" s="204">
        <v>25</v>
      </c>
    </row>
    <row r="28" spans="1:7">
      <c r="C28" s="5" t="s">
        <v>1221</v>
      </c>
      <c r="D28" s="205">
        <v>12</v>
      </c>
      <c r="E28" s="205">
        <v>2</v>
      </c>
      <c r="F28" s="205">
        <v>10</v>
      </c>
      <c r="G28" s="205">
        <v>25</v>
      </c>
    </row>
    <row r="29" spans="1:7">
      <c r="B29" s="205" t="s">
        <v>1226</v>
      </c>
      <c r="D29" s="205">
        <v>85</v>
      </c>
      <c r="E29" s="205">
        <v>68</v>
      </c>
      <c r="F29" s="205">
        <v>17</v>
      </c>
      <c r="G29" s="205">
        <v>12</v>
      </c>
    </row>
    <row r="30" spans="1:7">
      <c r="A30" s="204" t="s">
        <v>1236</v>
      </c>
      <c r="B30" s="204" t="s">
        <v>1212</v>
      </c>
      <c r="C30" t="s">
        <v>1237</v>
      </c>
      <c r="D30" s="205">
        <v>44</v>
      </c>
      <c r="E30" s="205">
        <v>44</v>
      </c>
      <c r="F30" s="204" t="s">
        <v>363</v>
      </c>
      <c r="G30" s="205">
        <v>12</v>
      </c>
    </row>
    <row r="31" spans="1:7">
      <c r="C31" s="5" t="s">
        <v>1221</v>
      </c>
      <c r="D31" s="205">
        <v>44</v>
      </c>
      <c r="E31" s="205">
        <v>44</v>
      </c>
      <c r="F31" s="205" t="s">
        <v>363</v>
      </c>
      <c r="G31" s="205">
        <v>12</v>
      </c>
    </row>
    <row r="32" spans="1:7">
      <c r="B32" s="205" t="s">
        <v>1226</v>
      </c>
      <c r="D32" s="205">
        <v>44</v>
      </c>
      <c r="E32" s="205">
        <v>44</v>
      </c>
      <c r="F32" s="205" t="s">
        <v>363</v>
      </c>
      <c r="G32" s="205">
        <v>12</v>
      </c>
    </row>
    <row r="33" spans="1:7">
      <c r="A33" s="204" t="s">
        <v>1238</v>
      </c>
      <c r="B33" s="204" t="s">
        <v>1212</v>
      </c>
      <c r="C33" t="s">
        <v>1237</v>
      </c>
      <c r="D33" s="205">
        <v>24</v>
      </c>
      <c r="E33" s="205">
        <v>20</v>
      </c>
      <c r="F33" s="204">
        <v>4</v>
      </c>
      <c r="G33" s="205">
        <v>12</v>
      </c>
    </row>
    <row r="34" spans="1:7">
      <c r="C34" t="s">
        <v>1228</v>
      </c>
      <c r="D34" s="205">
        <v>4</v>
      </c>
      <c r="E34" s="205">
        <v>4</v>
      </c>
      <c r="F34" s="205" t="s">
        <v>363</v>
      </c>
      <c r="G34" s="205">
        <v>15</v>
      </c>
    </row>
    <row r="35" spans="1:7">
      <c r="C35" s="5" t="s">
        <v>1221</v>
      </c>
      <c r="D35" s="205">
        <v>28</v>
      </c>
      <c r="E35" s="205">
        <v>24</v>
      </c>
      <c r="F35" s="205">
        <v>4</v>
      </c>
      <c r="G35" s="205">
        <v>13</v>
      </c>
    </row>
    <row r="36" spans="1:7">
      <c r="B36" s="205" t="s">
        <v>1226</v>
      </c>
      <c r="D36" s="205">
        <v>28</v>
      </c>
      <c r="E36" s="205">
        <v>24</v>
      </c>
      <c r="F36" s="205">
        <v>4</v>
      </c>
      <c r="G36" s="205">
        <v>13</v>
      </c>
    </row>
    <row r="37" spans="1:7">
      <c r="A37" s="204" t="s">
        <v>1239</v>
      </c>
      <c r="B37" s="204" t="s">
        <v>1212</v>
      </c>
      <c r="C37" t="s">
        <v>1232</v>
      </c>
      <c r="D37" s="205">
        <v>9</v>
      </c>
      <c r="E37" s="205">
        <v>9</v>
      </c>
      <c r="F37" s="204" t="s">
        <v>363</v>
      </c>
      <c r="G37" s="205">
        <v>12</v>
      </c>
    </row>
    <row r="38" spans="1:7">
      <c r="C38" t="s">
        <v>1240</v>
      </c>
      <c r="D38" s="205">
        <v>15</v>
      </c>
      <c r="E38" s="205">
        <v>15</v>
      </c>
      <c r="F38" s="204" t="s">
        <v>363</v>
      </c>
      <c r="G38" s="205">
        <v>12</v>
      </c>
    </row>
    <row r="39" spans="1:7">
      <c r="C39" s="5" t="s">
        <v>1221</v>
      </c>
      <c r="D39" s="205">
        <v>24</v>
      </c>
      <c r="E39" s="205">
        <v>24</v>
      </c>
      <c r="F39" s="205" t="s">
        <v>363</v>
      </c>
      <c r="G39" s="205">
        <v>12</v>
      </c>
    </row>
    <row r="40" spans="1:7">
      <c r="B40" s="205" t="s">
        <v>1226</v>
      </c>
      <c r="D40" s="205">
        <v>24</v>
      </c>
      <c r="E40" s="205">
        <v>24</v>
      </c>
      <c r="F40" s="205" t="s">
        <v>363</v>
      </c>
      <c r="G40" s="205">
        <v>12</v>
      </c>
    </row>
    <row r="41" spans="1:7">
      <c r="A41" s="204" t="s">
        <v>1241</v>
      </c>
      <c r="B41" s="204" t="s">
        <v>1212</v>
      </c>
      <c r="C41" t="s">
        <v>1242</v>
      </c>
      <c r="D41" s="205">
        <v>2</v>
      </c>
      <c r="E41" s="205">
        <v>2</v>
      </c>
      <c r="F41" s="205" t="s">
        <v>363</v>
      </c>
      <c r="G41" s="205">
        <v>2</v>
      </c>
    </row>
    <row r="42" spans="1:7">
      <c r="C42" t="s">
        <v>1237</v>
      </c>
      <c r="D42" s="205">
        <v>6</v>
      </c>
      <c r="E42" s="205">
        <v>6</v>
      </c>
      <c r="F42" s="205" t="s">
        <v>363</v>
      </c>
      <c r="G42" s="205">
        <v>11</v>
      </c>
    </row>
    <row r="43" spans="1:7">
      <c r="C43" t="s">
        <v>1243</v>
      </c>
      <c r="D43" s="205">
        <v>2</v>
      </c>
      <c r="E43" s="205">
        <v>2</v>
      </c>
      <c r="F43" s="205" t="s">
        <v>363</v>
      </c>
      <c r="G43" s="205">
        <v>14</v>
      </c>
    </row>
    <row r="44" spans="1:7">
      <c r="C44" s="5" t="s">
        <v>1221</v>
      </c>
      <c r="D44" s="205">
        <v>10</v>
      </c>
      <c r="E44" s="205">
        <v>10</v>
      </c>
      <c r="F44" s="205" t="s">
        <v>363</v>
      </c>
      <c r="G44" s="205">
        <v>10</v>
      </c>
    </row>
    <row r="45" spans="1:7">
      <c r="B45" s="205" t="s">
        <v>1226</v>
      </c>
      <c r="D45" s="205">
        <v>10</v>
      </c>
      <c r="E45" s="205">
        <v>10</v>
      </c>
      <c r="F45" s="205" t="s">
        <v>363</v>
      </c>
      <c r="G45" s="205">
        <v>10</v>
      </c>
    </row>
    <row r="46" spans="1:7">
      <c r="A46" s="204" t="s">
        <v>1244</v>
      </c>
      <c r="B46" s="204" t="s">
        <v>1212</v>
      </c>
      <c r="C46" t="s">
        <v>1237</v>
      </c>
      <c r="D46" s="205">
        <v>27</v>
      </c>
      <c r="E46" s="205">
        <v>27</v>
      </c>
      <c r="F46" s="205" t="s">
        <v>363</v>
      </c>
      <c r="G46" s="205">
        <v>12</v>
      </c>
    </row>
    <row r="47" spans="1:7">
      <c r="C47" s="5" t="s">
        <v>1221</v>
      </c>
      <c r="D47" s="205">
        <v>27</v>
      </c>
      <c r="E47" s="205">
        <v>27</v>
      </c>
      <c r="F47" s="205" t="s">
        <v>363</v>
      </c>
      <c r="G47" s="205">
        <v>12</v>
      </c>
    </row>
    <row r="48" spans="1:7">
      <c r="B48" s="205" t="s">
        <v>1226</v>
      </c>
      <c r="D48" s="205">
        <v>27</v>
      </c>
      <c r="E48" s="205">
        <v>27</v>
      </c>
      <c r="F48" s="205" t="s">
        <v>363</v>
      </c>
      <c r="G48" s="205">
        <v>12</v>
      </c>
    </row>
    <row r="49" spans="1:7">
      <c r="A49" s="204" t="s">
        <v>1245</v>
      </c>
      <c r="B49" s="204" t="s">
        <v>1212</v>
      </c>
      <c r="C49" t="s">
        <v>1246</v>
      </c>
      <c r="D49" s="205">
        <v>6</v>
      </c>
      <c r="E49" s="205">
        <v>6</v>
      </c>
      <c r="F49" s="205" t="s">
        <v>363</v>
      </c>
      <c r="G49" s="205">
        <v>8</v>
      </c>
    </row>
    <row r="50" spans="1:7">
      <c r="C50" s="5" t="s">
        <v>1221</v>
      </c>
      <c r="D50" s="205">
        <v>6</v>
      </c>
      <c r="E50" s="205">
        <v>6</v>
      </c>
      <c r="F50" s="205" t="s">
        <v>363</v>
      </c>
      <c r="G50" s="205">
        <v>8</v>
      </c>
    </row>
    <row r="51" spans="1:7">
      <c r="B51" s="205" t="s">
        <v>1226</v>
      </c>
      <c r="D51" s="205">
        <v>6</v>
      </c>
      <c r="E51" s="205">
        <v>6</v>
      </c>
      <c r="F51" s="205" t="s">
        <v>363</v>
      </c>
      <c r="G51" s="205">
        <v>8</v>
      </c>
    </row>
    <row r="52" spans="1:7">
      <c r="A52" s="204" t="s">
        <v>1247</v>
      </c>
      <c r="B52" s="204" t="s">
        <v>1222</v>
      </c>
      <c r="C52" t="s">
        <v>1248</v>
      </c>
      <c r="D52" s="205">
        <v>1</v>
      </c>
      <c r="E52" s="204" t="s">
        <v>363</v>
      </c>
      <c r="F52" s="204">
        <v>1</v>
      </c>
      <c r="G52" s="205">
        <v>30</v>
      </c>
    </row>
    <row r="53" spans="1:7">
      <c r="C53" s="5" t="s">
        <v>1221</v>
      </c>
      <c r="D53" s="205">
        <v>1</v>
      </c>
      <c r="E53" s="205" t="s">
        <v>363</v>
      </c>
      <c r="F53" s="205">
        <v>1</v>
      </c>
      <c r="G53" s="205">
        <v>30</v>
      </c>
    </row>
    <row r="54" spans="1:7">
      <c r="B54" s="205" t="s">
        <v>1226</v>
      </c>
      <c r="D54" s="205">
        <v>1</v>
      </c>
      <c r="E54" s="205" t="s">
        <v>363</v>
      </c>
      <c r="F54" s="205">
        <v>1</v>
      </c>
      <c r="G54" s="205">
        <v>30</v>
      </c>
    </row>
    <row r="55" spans="1:7">
      <c r="A55" s="204" t="s">
        <v>1249</v>
      </c>
      <c r="B55" s="204" t="s">
        <v>1212</v>
      </c>
      <c r="C55" t="s">
        <v>1237</v>
      </c>
      <c r="D55" s="205">
        <v>3</v>
      </c>
      <c r="E55" s="204">
        <v>3</v>
      </c>
      <c r="F55" s="204" t="s">
        <v>363</v>
      </c>
      <c r="G55" s="205">
        <v>9</v>
      </c>
    </row>
    <row r="56" spans="1:7">
      <c r="C56" s="5" t="s">
        <v>1221</v>
      </c>
      <c r="D56" s="205">
        <v>3</v>
      </c>
      <c r="E56" s="205">
        <v>3</v>
      </c>
      <c r="F56" s="205" t="s">
        <v>363</v>
      </c>
      <c r="G56" s="205">
        <v>9</v>
      </c>
    </row>
    <row r="57" spans="1:7">
      <c r="B57" s="205" t="s">
        <v>1226</v>
      </c>
      <c r="D57" s="205">
        <v>3</v>
      </c>
      <c r="E57" s="205">
        <v>3</v>
      </c>
      <c r="F57" s="205" t="s">
        <v>363</v>
      </c>
      <c r="G57" s="205">
        <v>9</v>
      </c>
    </row>
    <row r="58" spans="1:7">
      <c r="A58" s="204" t="s">
        <v>1250</v>
      </c>
      <c r="B58" s="204" t="s">
        <v>1212</v>
      </c>
      <c r="C58" t="s">
        <v>1232</v>
      </c>
      <c r="D58" s="205">
        <v>1</v>
      </c>
      <c r="E58" s="205">
        <v>1</v>
      </c>
      <c r="F58" s="205" t="s">
        <v>363</v>
      </c>
      <c r="G58" s="205">
        <v>14</v>
      </c>
    </row>
    <row r="59" spans="1:7">
      <c r="C59" s="5" t="s">
        <v>1221</v>
      </c>
      <c r="D59" s="205">
        <v>1</v>
      </c>
      <c r="E59" s="205">
        <v>1</v>
      </c>
      <c r="F59" s="205" t="s">
        <v>363</v>
      </c>
      <c r="G59" s="205">
        <v>14</v>
      </c>
    </row>
    <row r="60" spans="1:7">
      <c r="B60" s="205" t="s">
        <v>1226</v>
      </c>
      <c r="D60" s="205">
        <v>1</v>
      </c>
      <c r="E60" s="205">
        <v>1</v>
      </c>
      <c r="F60" s="205" t="s">
        <v>363</v>
      </c>
      <c r="G60" s="205">
        <v>14</v>
      </c>
    </row>
    <row r="61" spans="1:7">
      <c r="A61" s="203" t="s">
        <v>1251</v>
      </c>
      <c r="B61" s="206"/>
      <c r="C61" s="206"/>
      <c r="D61" s="203">
        <v>389</v>
      </c>
      <c r="E61" s="203">
        <v>352</v>
      </c>
      <c r="F61" s="203">
        <v>37</v>
      </c>
      <c r="G61" s="203">
        <v>14</v>
      </c>
    </row>
    <row r="62" spans="1:7">
      <c r="A62" s="207" t="s">
        <v>1252</v>
      </c>
      <c r="D62" s="204"/>
      <c r="E62" s="204"/>
      <c r="F62" s="204"/>
      <c r="G62" s="204"/>
    </row>
    <row r="64" spans="1:7" ht="15.75">
      <c r="A64" s="234" t="s">
        <v>1254</v>
      </c>
      <c r="B64" s="234"/>
      <c r="C64" s="234"/>
      <c r="D64" s="234"/>
      <c r="E64" s="234"/>
      <c r="F64" s="234"/>
    </row>
    <row r="65" spans="1:6">
      <c r="A65" s="208" t="s">
        <v>1255</v>
      </c>
      <c r="B65" s="208" t="s">
        <v>1256</v>
      </c>
      <c r="C65" s="208" t="s">
        <v>1257</v>
      </c>
      <c r="D65" s="208" t="s">
        <v>1258</v>
      </c>
      <c r="E65" s="208" t="s">
        <v>1259</v>
      </c>
      <c r="F65" s="208" t="s">
        <v>72</v>
      </c>
    </row>
    <row r="66" spans="1:6">
      <c r="A66" s="204" t="s">
        <v>1260</v>
      </c>
      <c r="B66" s="204" t="s">
        <v>1261</v>
      </c>
      <c r="C66" s="204" t="s">
        <v>1211</v>
      </c>
      <c r="D66" s="204">
        <v>160</v>
      </c>
      <c r="E66" s="204" t="s">
        <v>363</v>
      </c>
      <c r="F66" s="204">
        <v>160</v>
      </c>
    </row>
    <row r="67" spans="1:6">
      <c r="C67" s="204" t="s">
        <v>1227</v>
      </c>
      <c r="D67" s="204">
        <v>85</v>
      </c>
      <c r="E67" s="204" t="s">
        <v>363</v>
      </c>
      <c r="F67" s="204">
        <v>85</v>
      </c>
    </row>
    <row r="68" spans="1:6">
      <c r="C68" s="204" t="s">
        <v>1236</v>
      </c>
      <c r="D68" s="204">
        <v>44</v>
      </c>
      <c r="E68" s="204" t="s">
        <v>363</v>
      </c>
      <c r="F68" s="204">
        <v>44</v>
      </c>
    </row>
    <row r="69" spans="1:6">
      <c r="C69" s="204" t="s">
        <v>1238</v>
      </c>
      <c r="D69" s="204">
        <v>28</v>
      </c>
      <c r="E69" s="204" t="s">
        <v>363</v>
      </c>
      <c r="F69" s="204">
        <v>28</v>
      </c>
    </row>
    <row r="70" spans="1:6">
      <c r="C70" s="204" t="s">
        <v>1239</v>
      </c>
      <c r="D70" s="204">
        <v>24</v>
      </c>
      <c r="E70" s="204" t="s">
        <v>363</v>
      </c>
      <c r="F70" s="204">
        <v>24</v>
      </c>
    </row>
    <row r="71" spans="1:6">
      <c r="C71" s="204" t="s">
        <v>1241</v>
      </c>
      <c r="D71" s="204">
        <v>10</v>
      </c>
      <c r="E71" s="204" t="s">
        <v>363</v>
      </c>
      <c r="F71" s="204">
        <v>10</v>
      </c>
    </row>
    <row r="72" spans="1:6">
      <c r="C72" s="204" t="s">
        <v>1244</v>
      </c>
      <c r="D72" s="204">
        <v>27</v>
      </c>
      <c r="E72" s="204" t="s">
        <v>363</v>
      </c>
      <c r="F72" s="204">
        <v>27</v>
      </c>
    </row>
    <row r="73" spans="1:6">
      <c r="C73" s="204" t="s">
        <v>1245</v>
      </c>
      <c r="D73" s="204">
        <v>6</v>
      </c>
      <c r="E73" s="204" t="s">
        <v>363</v>
      </c>
      <c r="F73" s="204">
        <v>6</v>
      </c>
    </row>
    <row r="74" spans="1:6">
      <c r="C74" s="204" t="s">
        <v>1247</v>
      </c>
      <c r="D74" s="204">
        <v>1</v>
      </c>
      <c r="E74" s="204" t="s">
        <v>363</v>
      </c>
      <c r="F74" s="204">
        <v>1</v>
      </c>
    </row>
    <row r="75" spans="1:6">
      <c r="C75" s="204" t="s">
        <v>1249</v>
      </c>
      <c r="D75" s="204">
        <v>3</v>
      </c>
      <c r="E75" s="204" t="s">
        <v>363</v>
      </c>
      <c r="F75" s="204">
        <v>3</v>
      </c>
    </row>
    <row r="76" spans="1:6">
      <c r="C76" s="204" t="s">
        <v>1250</v>
      </c>
      <c r="D76" s="204">
        <v>1</v>
      </c>
      <c r="E76" s="204" t="s">
        <v>363</v>
      </c>
      <c r="F76" s="204">
        <v>1</v>
      </c>
    </row>
    <row r="77" spans="1:6">
      <c r="C77" s="209" t="s">
        <v>79</v>
      </c>
      <c r="D77" s="209">
        <v>389</v>
      </c>
      <c r="E77" s="209" t="s">
        <v>363</v>
      </c>
      <c r="F77" s="209">
        <v>389</v>
      </c>
    </row>
    <row r="78" spans="1:6">
      <c r="B78" s="204" t="s">
        <v>811</v>
      </c>
      <c r="C78" s="204" t="s">
        <v>1262</v>
      </c>
      <c r="D78" s="204">
        <v>1</v>
      </c>
      <c r="E78" s="204">
        <v>1</v>
      </c>
      <c r="F78" s="204">
        <v>2</v>
      </c>
    </row>
    <row r="79" spans="1:6">
      <c r="C79" s="204" t="s">
        <v>1211</v>
      </c>
      <c r="D79" s="204">
        <v>3</v>
      </c>
      <c r="E79" s="204">
        <v>5</v>
      </c>
      <c r="F79" s="204">
        <v>8</v>
      </c>
    </row>
    <row r="80" spans="1:6">
      <c r="C80" s="204" t="s">
        <v>1263</v>
      </c>
      <c r="D80" s="204" t="s">
        <v>363</v>
      </c>
      <c r="E80" s="204">
        <v>3</v>
      </c>
      <c r="F80" s="204">
        <v>3</v>
      </c>
    </row>
    <row r="81" spans="1:6">
      <c r="C81" s="204" t="s">
        <v>1264</v>
      </c>
      <c r="D81" s="204">
        <v>1</v>
      </c>
      <c r="E81" s="204" t="s">
        <v>363</v>
      </c>
      <c r="F81" s="204">
        <v>1</v>
      </c>
    </row>
    <row r="82" spans="1:6">
      <c r="C82" s="204" t="s">
        <v>1265</v>
      </c>
      <c r="D82" s="204">
        <v>1</v>
      </c>
      <c r="E82" s="204" t="s">
        <v>363</v>
      </c>
      <c r="F82" s="204">
        <v>1</v>
      </c>
    </row>
    <row r="83" spans="1:6">
      <c r="C83" s="204" t="s">
        <v>1266</v>
      </c>
      <c r="D83" s="204" t="s">
        <v>363</v>
      </c>
      <c r="E83" s="204">
        <v>4</v>
      </c>
      <c r="F83" s="204">
        <v>4</v>
      </c>
    </row>
    <row r="84" spans="1:6">
      <c r="C84" s="204" t="s">
        <v>1267</v>
      </c>
      <c r="D84" s="204" t="s">
        <v>363</v>
      </c>
      <c r="E84" s="204">
        <v>1</v>
      </c>
      <c r="F84" s="204">
        <v>1</v>
      </c>
    </row>
    <row r="85" spans="1:6">
      <c r="C85" s="204" t="s">
        <v>1268</v>
      </c>
      <c r="D85" s="204">
        <v>2</v>
      </c>
      <c r="E85" s="204" t="s">
        <v>363</v>
      </c>
      <c r="F85" s="204">
        <v>2</v>
      </c>
    </row>
    <row r="86" spans="1:6">
      <c r="C86" s="209" t="s">
        <v>79</v>
      </c>
      <c r="D86" s="209">
        <v>8</v>
      </c>
      <c r="E86" s="209">
        <v>14</v>
      </c>
      <c r="F86" s="209">
        <v>22</v>
      </c>
    </row>
    <row r="87" spans="1:6">
      <c r="B87" s="203" t="s">
        <v>1269</v>
      </c>
      <c r="C87" s="211"/>
      <c r="D87" s="203">
        <v>397</v>
      </c>
      <c r="E87" s="203">
        <v>14</v>
      </c>
      <c r="F87" s="203">
        <v>411</v>
      </c>
    </row>
    <row r="88" spans="1:6">
      <c r="A88" s="235" t="s">
        <v>1270</v>
      </c>
      <c r="B88" s="235"/>
      <c r="C88" s="204"/>
      <c r="D88" s="204">
        <v>79</v>
      </c>
      <c r="E88" s="204">
        <v>97</v>
      </c>
      <c r="F88" s="204">
        <v>176</v>
      </c>
    </row>
    <row r="89" spans="1:6">
      <c r="A89" s="204" t="s">
        <v>74</v>
      </c>
      <c r="B89" s="204" t="s">
        <v>1271</v>
      </c>
      <c r="C89" s="204"/>
      <c r="D89" s="204">
        <v>115</v>
      </c>
      <c r="E89" s="204">
        <v>3</v>
      </c>
      <c r="F89" s="204">
        <v>120</v>
      </c>
    </row>
    <row r="90" spans="1:6">
      <c r="B90" s="204" t="s">
        <v>1272</v>
      </c>
      <c r="C90" s="204"/>
      <c r="D90" s="204" t="s">
        <v>363</v>
      </c>
      <c r="E90" s="204">
        <v>2</v>
      </c>
      <c r="F90" s="204">
        <v>2</v>
      </c>
    </row>
    <row r="91" spans="1:6">
      <c r="B91" s="204" t="s">
        <v>1273</v>
      </c>
      <c r="C91" s="204"/>
      <c r="D91" s="204">
        <v>2</v>
      </c>
      <c r="E91" s="204" t="s">
        <v>363</v>
      </c>
      <c r="F91" s="204">
        <v>2</v>
      </c>
    </row>
    <row r="92" spans="1:6">
      <c r="B92" s="204" t="s">
        <v>1274</v>
      </c>
      <c r="C92" s="204"/>
      <c r="D92" s="204" t="s">
        <v>363</v>
      </c>
      <c r="E92" s="204">
        <v>79</v>
      </c>
      <c r="F92" s="204">
        <v>79</v>
      </c>
    </row>
    <row r="93" spans="1:6">
      <c r="B93" s="204" t="s">
        <v>1275</v>
      </c>
      <c r="C93" s="204"/>
      <c r="D93" s="204">
        <v>22</v>
      </c>
      <c r="E93" s="204">
        <v>13</v>
      </c>
      <c r="F93" s="204">
        <v>36</v>
      </c>
    </row>
    <row r="94" spans="1:6">
      <c r="B94" s="209" t="s">
        <v>79</v>
      </c>
      <c r="C94" s="212"/>
      <c r="D94" s="209">
        <v>139</v>
      </c>
      <c r="E94" s="209">
        <v>97</v>
      </c>
      <c r="F94" s="209">
        <v>239</v>
      </c>
    </row>
    <row r="95" spans="1:6">
      <c r="A95" s="208" t="s">
        <v>85</v>
      </c>
      <c r="B95" s="210"/>
      <c r="C95" s="213"/>
      <c r="D95" s="208">
        <v>615</v>
      </c>
      <c r="E95" s="208">
        <v>208</v>
      </c>
      <c r="F95" s="208">
        <v>826</v>
      </c>
    </row>
    <row r="97" spans="1:5">
      <c r="A97" s="236" t="s">
        <v>1276</v>
      </c>
      <c r="B97" s="236"/>
      <c r="C97" s="208" t="s">
        <v>1277</v>
      </c>
      <c r="D97" s="208" t="s">
        <v>808</v>
      </c>
      <c r="E97" s="208" t="s">
        <v>87</v>
      </c>
    </row>
    <row r="98" spans="1:5">
      <c r="A98" s="235" t="s">
        <v>1278</v>
      </c>
      <c r="B98" s="235"/>
      <c r="C98" s="204">
        <v>3</v>
      </c>
      <c r="D98" s="204">
        <v>5</v>
      </c>
      <c r="E98" s="204">
        <v>8</v>
      </c>
    </row>
    <row r="99" spans="1:5">
      <c r="A99" s="207" t="s">
        <v>1252</v>
      </c>
    </row>
  </sheetData>
  <mergeCells count="5">
    <mergeCell ref="A1:G1"/>
    <mergeCell ref="A64:F64"/>
    <mergeCell ref="A88:B88"/>
    <mergeCell ref="A97:B97"/>
    <mergeCell ref="A98:B98"/>
  </mergeCells>
  <phoneticPr fontId="37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9AB7A-990B-4FF3-BB53-4B6A092AC7D1}">
  <dimension ref="A2:AG26"/>
  <sheetViews>
    <sheetView zoomScale="85" zoomScaleNormal="85" workbookViewId="0">
      <selection activeCell="C4" sqref="A4:C4"/>
    </sheetView>
  </sheetViews>
  <sheetFormatPr defaultColWidth="9" defaultRowHeight="15"/>
  <cols>
    <col min="1" max="1" width="100.140625" style="6" customWidth="1"/>
    <col min="2" max="2" width="13" style="6" bestFit="1" customWidth="1"/>
    <col min="3" max="16384" width="9" style="6"/>
  </cols>
  <sheetData>
    <row r="2" spans="1:33">
      <c r="A2" s="6" t="str">
        <f>_xlfn.TRANSLATE(B2,"ko","en")</f>
        <v>Classification</v>
      </c>
      <c r="B2" s="10" t="s">
        <v>391</v>
      </c>
      <c r="C2" s="140">
        <v>2020</v>
      </c>
    </row>
    <row r="3" spans="1:33">
      <c r="A3" s="6" t="str">
        <f t="shared" ref="A3:A9" si="0">_xlfn.TRANSLATE(B3,"ko","en")</f>
        <v>Passenger Ship</v>
      </c>
      <c r="B3" s="54" t="s">
        <v>494</v>
      </c>
      <c r="C3" s="140">
        <v>328</v>
      </c>
    </row>
    <row r="4" spans="1:33">
      <c r="A4" s="6" t="str">
        <f t="shared" si="0"/>
        <v>Cargo Ship</v>
      </c>
      <c r="B4" s="54" t="s">
        <v>495</v>
      </c>
      <c r="C4" s="140">
        <v>657</v>
      </c>
    </row>
    <row r="5" spans="1:33">
      <c r="A5" s="6" t="str">
        <f t="shared" si="0"/>
        <v>Tankers</v>
      </c>
      <c r="B5" s="54" t="s">
        <v>496</v>
      </c>
      <c r="C5" s="140">
        <v>778</v>
      </c>
    </row>
    <row r="6" spans="1:33">
      <c r="A6" s="6" t="str">
        <f t="shared" si="0"/>
        <v>Qualifiers</v>
      </c>
      <c r="B6" s="10" t="s">
        <v>497</v>
      </c>
      <c r="C6" s="140"/>
    </row>
    <row r="7" spans="1:33">
      <c r="A7" s="6" t="str">
        <f t="shared" si="0"/>
        <v>Buoy</v>
      </c>
      <c r="B7" s="10" t="s">
        <v>498</v>
      </c>
      <c r="C7" s="140"/>
    </row>
    <row r="8" spans="1:33">
      <c r="A8" s="6" t="str">
        <f t="shared" si="0"/>
        <v>Other Lines</v>
      </c>
      <c r="B8" s="10" t="s">
        <v>499</v>
      </c>
      <c r="C8" s="140">
        <v>7117</v>
      </c>
    </row>
    <row r="9" spans="1:33">
      <c r="A9" s="6" t="str">
        <f t="shared" si="0"/>
        <v>Total</v>
      </c>
      <c r="B9" s="10" t="s">
        <v>485</v>
      </c>
      <c r="C9" s="140">
        <f>SUM(C$3:C$8)</f>
        <v>8880</v>
      </c>
    </row>
    <row r="10" spans="1:33">
      <c r="C10" s="152" t="s">
        <v>500</v>
      </c>
      <c r="D10" s="39"/>
    </row>
    <row r="11" spans="1:33" ht="15.75" thickBot="1"/>
    <row r="12" spans="1:33" ht="15.75" thickBot="1">
      <c r="A12" s="13" t="s">
        <v>38</v>
      </c>
      <c r="E12" s="134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</row>
    <row r="13" spans="1:33" ht="15.75" thickBot="1">
      <c r="A13" s="113" t="s">
        <v>501</v>
      </c>
      <c r="B13" s="6" t="str">
        <f>_xlfn.TRANSLATE(A13,"ko","en")</f>
        <v>Only passenger ships are classified as passengers, cargo ships and oil tankers are classified as freights, and the rest are excluded.</v>
      </c>
      <c r="E13" s="135" t="s">
        <v>502</v>
      </c>
      <c r="F13" s="135" t="s">
        <v>503</v>
      </c>
      <c r="G13" s="135" t="s">
        <v>504</v>
      </c>
      <c r="H13" s="135" t="s">
        <v>505</v>
      </c>
      <c r="I13" s="135" t="s">
        <v>506</v>
      </c>
      <c r="J13" s="135" t="s">
        <v>507</v>
      </c>
      <c r="K13" s="135" t="s">
        <v>508</v>
      </c>
      <c r="L13" s="135" t="s">
        <v>509</v>
      </c>
      <c r="M13" s="135" t="s">
        <v>510</v>
      </c>
      <c r="N13" s="135" t="s">
        <v>511</v>
      </c>
      <c r="O13" s="135" t="s">
        <v>512</v>
      </c>
      <c r="P13" s="135" t="s">
        <v>513</v>
      </c>
      <c r="Q13" s="135" t="s">
        <v>514</v>
      </c>
      <c r="R13" s="135" t="s">
        <v>506</v>
      </c>
      <c r="S13" s="135" t="s">
        <v>506</v>
      </c>
      <c r="T13" s="135" t="s">
        <v>515</v>
      </c>
      <c r="U13" s="135" t="s">
        <v>516</v>
      </c>
      <c r="V13" s="135" t="s">
        <v>517</v>
      </c>
      <c r="W13" s="135" t="s">
        <v>518</v>
      </c>
      <c r="X13" s="135" t="s">
        <v>519</v>
      </c>
      <c r="Y13" s="135" t="s">
        <v>520</v>
      </c>
      <c r="Z13" s="135" t="s">
        <v>521</v>
      </c>
      <c r="AA13" s="135" t="s">
        <v>522</v>
      </c>
      <c r="AB13" s="135" t="s">
        <v>523</v>
      </c>
      <c r="AC13" s="135" t="s">
        <v>524</v>
      </c>
      <c r="AD13" s="135" t="s">
        <v>516</v>
      </c>
      <c r="AE13" s="135" t="s">
        <v>525</v>
      </c>
      <c r="AF13" s="133"/>
      <c r="AG13" s="133"/>
    </row>
    <row r="14" spans="1:33" ht="15.75" thickBot="1">
      <c r="E14" s="136"/>
      <c r="F14" s="137" t="s">
        <v>526</v>
      </c>
      <c r="G14" s="135" t="s">
        <v>527</v>
      </c>
      <c r="H14" s="134" t="s">
        <v>528</v>
      </c>
      <c r="I14" s="134" t="s">
        <v>529</v>
      </c>
      <c r="J14" s="134" t="s">
        <v>530</v>
      </c>
      <c r="K14" s="134" t="s">
        <v>531</v>
      </c>
      <c r="L14" s="134" t="s">
        <v>532</v>
      </c>
      <c r="M14" s="134" t="s">
        <v>533</v>
      </c>
      <c r="N14" s="134" t="s">
        <v>534</v>
      </c>
      <c r="O14" s="134" t="s">
        <v>535</v>
      </c>
      <c r="P14" s="134" t="s">
        <v>536</v>
      </c>
      <c r="Q14" s="134" t="s">
        <v>537</v>
      </c>
      <c r="R14" s="134" t="s">
        <v>529</v>
      </c>
      <c r="S14" s="134" t="s">
        <v>538</v>
      </c>
      <c r="T14" s="134" t="s">
        <v>539</v>
      </c>
      <c r="U14" s="134" t="s">
        <v>540</v>
      </c>
      <c r="V14" s="134" t="s">
        <v>541</v>
      </c>
      <c r="W14" s="134" t="s">
        <v>534</v>
      </c>
      <c r="X14" s="134" t="s">
        <v>542</v>
      </c>
      <c r="Y14" s="134" t="s">
        <v>543</v>
      </c>
      <c r="Z14" s="134" t="s">
        <v>544</v>
      </c>
      <c r="AA14" s="134" t="s">
        <v>529</v>
      </c>
      <c r="AB14" s="134" t="s">
        <v>530</v>
      </c>
      <c r="AC14" s="134" t="s">
        <v>545</v>
      </c>
      <c r="AD14" s="134" t="s">
        <v>546</v>
      </c>
      <c r="AE14" s="134" t="s">
        <v>533</v>
      </c>
      <c r="AF14" s="134" t="s">
        <v>547</v>
      </c>
      <c r="AG14" s="134" t="s">
        <v>535</v>
      </c>
    </row>
    <row r="15" spans="1:33" ht="15.75" thickBot="1">
      <c r="A15" s="6" t="s">
        <v>548</v>
      </c>
      <c r="B15" s="6" t="str">
        <f t="shared" ref="B14:B16" si="1">_xlfn.TRANSLATE(A15,"ko","en")</f>
        <v>In the case of a tug-boat, it is a special vessel and is used for docking/berthing of other ships, so it is excluded from passenger or freight.</v>
      </c>
      <c r="E15" s="136"/>
      <c r="F15" s="137" t="s">
        <v>549</v>
      </c>
      <c r="G15" s="135" t="s">
        <v>550</v>
      </c>
      <c r="H15" s="134" t="s">
        <v>532</v>
      </c>
      <c r="I15" s="134" t="s">
        <v>551</v>
      </c>
      <c r="J15" s="134" t="s">
        <v>552</v>
      </c>
      <c r="K15" s="134" t="s">
        <v>553</v>
      </c>
      <c r="L15" s="134" t="s">
        <v>541</v>
      </c>
      <c r="M15" s="134" t="s">
        <v>554</v>
      </c>
      <c r="N15" s="134" t="s">
        <v>555</v>
      </c>
      <c r="O15" s="134" t="s">
        <v>552</v>
      </c>
      <c r="P15" s="134" t="s">
        <v>556</v>
      </c>
      <c r="Q15" s="134" t="s">
        <v>532</v>
      </c>
      <c r="R15" s="134" t="s">
        <v>557</v>
      </c>
      <c r="S15" s="134" t="s">
        <v>558</v>
      </c>
      <c r="T15" s="134" t="s">
        <v>559</v>
      </c>
      <c r="U15" s="134" t="s">
        <v>533</v>
      </c>
      <c r="V15" s="134" t="s">
        <v>560</v>
      </c>
      <c r="W15" s="134" t="s">
        <v>555</v>
      </c>
      <c r="X15" s="134" t="s">
        <v>558</v>
      </c>
      <c r="Y15" s="134" t="s">
        <v>561</v>
      </c>
      <c r="Z15" s="134" t="s">
        <v>562</v>
      </c>
      <c r="AA15" s="134" t="s">
        <v>563</v>
      </c>
      <c r="AB15" s="134" t="s">
        <v>558</v>
      </c>
      <c r="AC15" s="134" t="s">
        <v>559</v>
      </c>
      <c r="AD15" s="134" t="s">
        <v>532</v>
      </c>
      <c r="AE15" s="134" t="s">
        <v>554</v>
      </c>
      <c r="AF15" s="134" t="s">
        <v>555</v>
      </c>
      <c r="AG15" s="134" t="s">
        <v>564</v>
      </c>
    </row>
    <row r="16" spans="1:33" ht="15.75" thickBot="1">
      <c r="A16" s="6" t="s">
        <v>565</v>
      </c>
      <c r="B16" s="6" t="str">
        <f t="shared" si="1"/>
        <v>In addition, most of them do not have self-power, so they are excluded</v>
      </c>
      <c r="E16" s="136"/>
      <c r="F16" s="137" t="s">
        <v>566</v>
      </c>
      <c r="G16" s="135" t="s">
        <v>567</v>
      </c>
      <c r="H16" s="134" t="s">
        <v>568</v>
      </c>
      <c r="I16" s="134" t="s">
        <v>569</v>
      </c>
      <c r="J16" s="134" t="s">
        <v>532</v>
      </c>
      <c r="K16" s="134" t="s">
        <v>570</v>
      </c>
      <c r="L16" s="134" t="s">
        <v>571</v>
      </c>
      <c r="M16" s="134" t="s">
        <v>564</v>
      </c>
      <c r="N16" s="134" t="s">
        <v>572</v>
      </c>
      <c r="O16" s="134" t="s">
        <v>573</v>
      </c>
      <c r="P16" s="134" t="s">
        <v>574</v>
      </c>
      <c r="Q16" s="134" t="s">
        <v>568</v>
      </c>
      <c r="R16" s="134" t="s">
        <v>575</v>
      </c>
      <c r="S16" s="134" t="s">
        <v>562</v>
      </c>
      <c r="T16" s="134" t="s">
        <v>576</v>
      </c>
      <c r="U16" s="134" t="s">
        <v>571</v>
      </c>
      <c r="V16" s="134" t="s">
        <v>564</v>
      </c>
      <c r="W16" s="134" t="s">
        <v>563</v>
      </c>
      <c r="X16" s="134" t="s">
        <v>577</v>
      </c>
      <c r="Y16" s="134" t="s">
        <v>578</v>
      </c>
      <c r="Z16" s="134" t="s">
        <v>579</v>
      </c>
      <c r="AA16" s="134" t="s">
        <v>568</v>
      </c>
      <c r="AB16" s="134" t="s">
        <v>544</v>
      </c>
      <c r="AC16" s="134" t="s">
        <v>580</v>
      </c>
      <c r="AD16" s="134" t="s">
        <v>581</v>
      </c>
      <c r="AE16" s="134" t="s">
        <v>582</v>
      </c>
      <c r="AF16" s="134" t="s">
        <v>583</v>
      </c>
      <c r="AG16" s="134" t="s">
        <v>584</v>
      </c>
    </row>
    <row r="17" spans="1:33" ht="15.75" thickBot="1">
      <c r="E17" s="136"/>
      <c r="F17" s="137" t="s">
        <v>585</v>
      </c>
      <c r="G17" s="135" t="s">
        <v>586</v>
      </c>
      <c r="H17" s="134" t="s">
        <v>587</v>
      </c>
      <c r="I17" s="134" t="s">
        <v>552</v>
      </c>
      <c r="J17" s="134" t="s">
        <v>558</v>
      </c>
      <c r="K17" s="134" t="s">
        <v>532</v>
      </c>
      <c r="L17" s="134" t="s">
        <v>538</v>
      </c>
      <c r="M17" s="134" t="s">
        <v>576</v>
      </c>
      <c r="N17" s="134" t="s">
        <v>588</v>
      </c>
      <c r="O17" s="134" t="s">
        <v>589</v>
      </c>
      <c r="P17" s="134" t="s">
        <v>590</v>
      </c>
      <c r="Q17" s="134" t="s">
        <v>591</v>
      </c>
      <c r="R17" s="134" t="s">
        <v>552</v>
      </c>
      <c r="S17" s="134" t="s">
        <v>564</v>
      </c>
      <c r="T17" s="134" t="s">
        <v>532</v>
      </c>
      <c r="U17" s="134" t="s">
        <v>530</v>
      </c>
      <c r="V17" s="134" t="s">
        <v>559</v>
      </c>
      <c r="W17" s="134" t="s">
        <v>592</v>
      </c>
      <c r="X17" s="134" t="s">
        <v>593</v>
      </c>
      <c r="Y17" s="134" t="s">
        <v>594</v>
      </c>
      <c r="Z17" s="134" t="s">
        <v>591</v>
      </c>
      <c r="AA17" s="134" t="s">
        <v>582</v>
      </c>
      <c r="AB17" s="134" t="s">
        <v>554</v>
      </c>
      <c r="AC17" s="134" t="s">
        <v>532</v>
      </c>
      <c r="AD17" s="134" t="s">
        <v>546</v>
      </c>
      <c r="AE17" s="134" t="s">
        <v>559</v>
      </c>
      <c r="AF17" s="134" t="s">
        <v>595</v>
      </c>
      <c r="AG17" s="134" t="s">
        <v>593</v>
      </c>
    </row>
    <row r="18" spans="1:33" ht="15.75" thickBot="1">
      <c r="A18" s="14" t="s">
        <v>596</v>
      </c>
      <c r="E18" s="136"/>
      <c r="F18" s="137" t="s">
        <v>597</v>
      </c>
      <c r="G18" s="135" t="s">
        <v>598</v>
      </c>
      <c r="H18" s="134" t="s">
        <v>541</v>
      </c>
      <c r="I18" s="134" t="s">
        <v>529</v>
      </c>
      <c r="J18" s="134" t="s">
        <v>599</v>
      </c>
      <c r="K18" s="134" t="s">
        <v>584</v>
      </c>
      <c r="L18" s="134" t="s">
        <v>600</v>
      </c>
      <c r="M18" s="134" t="s">
        <v>601</v>
      </c>
      <c r="N18" s="134" t="s">
        <v>602</v>
      </c>
      <c r="O18" s="134" t="s">
        <v>603</v>
      </c>
      <c r="P18" s="134" t="s">
        <v>604</v>
      </c>
      <c r="Q18" s="134" t="s">
        <v>540</v>
      </c>
      <c r="R18" s="134" t="s">
        <v>605</v>
      </c>
      <c r="S18" s="134" t="s">
        <v>606</v>
      </c>
      <c r="T18" s="134" t="s">
        <v>607</v>
      </c>
      <c r="U18" s="134" t="s">
        <v>608</v>
      </c>
      <c r="V18" s="134" t="s">
        <v>609</v>
      </c>
      <c r="W18" s="134" t="s">
        <v>610</v>
      </c>
      <c r="X18" s="134" t="s">
        <v>611</v>
      </c>
      <c r="Y18" s="134" t="s">
        <v>612</v>
      </c>
      <c r="Z18" s="134" t="s">
        <v>541</v>
      </c>
      <c r="AA18" s="134" t="s">
        <v>613</v>
      </c>
      <c r="AB18" s="134" t="s">
        <v>599</v>
      </c>
      <c r="AC18" s="134" t="s">
        <v>614</v>
      </c>
      <c r="AD18" s="134" t="s">
        <v>600</v>
      </c>
      <c r="AE18" s="134" t="s">
        <v>615</v>
      </c>
      <c r="AF18" s="134" t="s">
        <v>616</v>
      </c>
      <c r="AG18" s="134" t="s">
        <v>617</v>
      </c>
    </row>
    <row r="19" spans="1:33" ht="15.75" thickBot="1">
      <c r="A19" s="6" t="s">
        <v>618</v>
      </c>
      <c r="B19" s="6">
        <v>1.4</v>
      </c>
      <c r="E19" s="136"/>
      <c r="F19" s="137" t="s">
        <v>619</v>
      </c>
      <c r="G19" s="135" t="s">
        <v>620</v>
      </c>
      <c r="H19" s="134" t="s">
        <v>621</v>
      </c>
      <c r="I19" s="134" t="s">
        <v>622</v>
      </c>
      <c r="J19" s="134" t="s">
        <v>623</v>
      </c>
      <c r="K19" s="134" t="s">
        <v>624</v>
      </c>
      <c r="L19" s="134" t="s">
        <v>625</v>
      </c>
      <c r="M19" s="134" t="s">
        <v>626</v>
      </c>
      <c r="N19" s="134" t="s">
        <v>627</v>
      </c>
      <c r="O19" s="134" t="s">
        <v>628</v>
      </c>
      <c r="P19" s="134" t="s">
        <v>629</v>
      </c>
      <c r="Q19" s="134" t="s">
        <v>630</v>
      </c>
      <c r="R19" s="134" t="s">
        <v>631</v>
      </c>
      <c r="S19" s="134" t="s">
        <v>632</v>
      </c>
      <c r="T19" s="134" t="s">
        <v>633</v>
      </c>
      <c r="U19" s="134" t="s">
        <v>634</v>
      </c>
      <c r="V19" s="134" t="s">
        <v>626</v>
      </c>
      <c r="W19" s="134" t="s">
        <v>635</v>
      </c>
      <c r="X19" s="134" t="s">
        <v>628</v>
      </c>
      <c r="Y19" s="134" t="s">
        <v>636</v>
      </c>
      <c r="Z19" s="134" t="s">
        <v>637</v>
      </c>
      <c r="AA19" s="134" t="s">
        <v>638</v>
      </c>
      <c r="AB19" s="134" t="s">
        <v>639</v>
      </c>
      <c r="AC19" s="134" t="s">
        <v>640</v>
      </c>
      <c r="AD19" s="134" t="s">
        <v>634</v>
      </c>
      <c r="AE19" s="134" t="s">
        <v>641</v>
      </c>
      <c r="AF19" s="134" t="s">
        <v>642</v>
      </c>
      <c r="AG19" s="134" t="s">
        <v>643</v>
      </c>
    </row>
    <row r="20" spans="1:33" ht="23.25" thickBot="1">
      <c r="A20" s="6" t="s">
        <v>644</v>
      </c>
      <c r="B20" s="6">
        <v>0.44</v>
      </c>
      <c r="E20" s="137" t="s">
        <v>645</v>
      </c>
      <c r="F20" s="137" t="s">
        <v>646</v>
      </c>
      <c r="G20" s="135" t="s">
        <v>647</v>
      </c>
      <c r="H20" s="134" t="s">
        <v>648</v>
      </c>
      <c r="I20" s="134" t="s">
        <v>649</v>
      </c>
      <c r="J20" s="134" t="s">
        <v>650</v>
      </c>
      <c r="K20" s="134" t="s">
        <v>651</v>
      </c>
      <c r="L20" s="134" t="s">
        <v>652</v>
      </c>
      <c r="M20" s="134" t="s">
        <v>653</v>
      </c>
      <c r="N20" s="134" t="s">
        <v>654</v>
      </c>
      <c r="O20" s="134" t="s">
        <v>655</v>
      </c>
      <c r="P20" s="134" t="s">
        <v>656</v>
      </c>
      <c r="Q20" s="134" t="s">
        <v>657</v>
      </c>
      <c r="R20" s="134" t="s">
        <v>658</v>
      </c>
      <c r="S20" s="134" t="s">
        <v>659</v>
      </c>
      <c r="T20" s="134" t="s">
        <v>660</v>
      </c>
      <c r="U20" s="134" t="s">
        <v>661</v>
      </c>
      <c r="V20" s="134" t="s">
        <v>662</v>
      </c>
      <c r="W20" s="134" t="s">
        <v>663</v>
      </c>
      <c r="X20" s="134" t="s">
        <v>664</v>
      </c>
      <c r="Y20" s="134" t="s">
        <v>665</v>
      </c>
      <c r="Z20" s="134" t="s">
        <v>666</v>
      </c>
      <c r="AA20" s="134" t="s">
        <v>667</v>
      </c>
      <c r="AB20" s="134" t="s">
        <v>668</v>
      </c>
      <c r="AC20" s="134" t="s">
        <v>669</v>
      </c>
      <c r="AD20" s="134" t="s">
        <v>670</v>
      </c>
      <c r="AE20" s="134" t="s">
        <v>671</v>
      </c>
      <c r="AF20" s="134" t="s">
        <v>672</v>
      </c>
      <c r="AG20" s="134" t="s">
        <v>673</v>
      </c>
    </row>
    <row r="21" spans="1:33" ht="15.75" thickBot="1">
      <c r="E21" s="136"/>
      <c r="F21" s="137" t="s">
        <v>526</v>
      </c>
      <c r="G21" s="135" t="s">
        <v>674</v>
      </c>
      <c r="H21" s="134" t="s">
        <v>675</v>
      </c>
      <c r="I21" s="134" t="s">
        <v>676</v>
      </c>
      <c r="J21" s="134" t="s">
        <v>677</v>
      </c>
      <c r="K21" s="134" t="s">
        <v>678</v>
      </c>
      <c r="L21" s="134" t="s">
        <v>679</v>
      </c>
      <c r="M21" s="134" t="s">
        <v>680</v>
      </c>
      <c r="N21" s="134" t="s">
        <v>681</v>
      </c>
      <c r="O21" s="134" t="s">
        <v>682</v>
      </c>
      <c r="P21" s="134" t="s">
        <v>683</v>
      </c>
      <c r="Q21" s="134" t="s">
        <v>684</v>
      </c>
      <c r="R21" s="134" t="s">
        <v>676</v>
      </c>
      <c r="S21" s="134" t="s">
        <v>685</v>
      </c>
      <c r="T21" s="134" t="s">
        <v>686</v>
      </c>
      <c r="U21" s="134" t="s">
        <v>687</v>
      </c>
      <c r="V21" s="134" t="s">
        <v>688</v>
      </c>
      <c r="W21" s="134" t="s">
        <v>681</v>
      </c>
      <c r="X21" s="134" t="s">
        <v>689</v>
      </c>
      <c r="Y21" s="134" t="s">
        <v>690</v>
      </c>
      <c r="Z21" s="134" t="s">
        <v>691</v>
      </c>
      <c r="AA21" s="134" t="s">
        <v>692</v>
      </c>
      <c r="AB21" s="134" t="s">
        <v>693</v>
      </c>
      <c r="AC21" s="134" t="s">
        <v>694</v>
      </c>
      <c r="AD21" s="134" t="s">
        <v>695</v>
      </c>
      <c r="AE21" s="134" t="s">
        <v>696</v>
      </c>
      <c r="AF21" s="134" t="s">
        <v>697</v>
      </c>
      <c r="AG21" s="134" t="s">
        <v>698</v>
      </c>
    </row>
    <row r="22" spans="1:33" ht="23.25" thickBot="1">
      <c r="E22" s="136"/>
      <c r="F22" s="137" t="s">
        <v>549</v>
      </c>
      <c r="G22" s="135" t="s">
        <v>699</v>
      </c>
      <c r="H22" s="134" t="s">
        <v>700</v>
      </c>
      <c r="I22" s="134" t="s">
        <v>701</v>
      </c>
      <c r="J22" s="134" t="s">
        <v>702</v>
      </c>
      <c r="K22" s="134" t="s">
        <v>703</v>
      </c>
      <c r="L22" s="134" t="s">
        <v>704</v>
      </c>
      <c r="M22" s="134" t="s">
        <v>705</v>
      </c>
      <c r="N22" s="134" t="s">
        <v>706</v>
      </c>
      <c r="O22" s="134" t="s">
        <v>707</v>
      </c>
      <c r="P22" s="134" t="s">
        <v>708</v>
      </c>
      <c r="Q22" s="134" t="s">
        <v>700</v>
      </c>
      <c r="R22" s="134" t="s">
        <v>709</v>
      </c>
      <c r="S22" s="134" t="s">
        <v>710</v>
      </c>
      <c r="T22" s="134" t="s">
        <v>711</v>
      </c>
      <c r="U22" s="134" t="s">
        <v>712</v>
      </c>
      <c r="V22" s="134" t="s">
        <v>713</v>
      </c>
      <c r="W22" s="134" t="s">
        <v>706</v>
      </c>
      <c r="X22" s="134" t="s">
        <v>714</v>
      </c>
      <c r="Y22" s="134" t="s">
        <v>715</v>
      </c>
      <c r="Z22" s="134" t="s">
        <v>716</v>
      </c>
      <c r="AA22" s="134" t="s">
        <v>717</v>
      </c>
      <c r="AB22" s="134" t="s">
        <v>718</v>
      </c>
      <c r="AC22" s="134" t="s">
        <v>719</v>
      </c>
      <c r="AD22" s="134" t="s">
        <v>720</v>
      </c>
      <c r="AE22" s="134" t="s">
        <v>721</v>
      </c>
      <c r="AF22" s="134" t="s">
        <v>722</v>
      </c>
      <c r="AG22" s="134" t="s">
        <v>723</v>
      </c>
    </row>
    <row r="23" spans="1:33" ht="15.75" thickBot="1">
      <c r="E23" s="136"/>
      <c r="F23" s="137" t="s">
        <v>566</v>
      </c>
      <c r="G23" s="135" t="s">
        <v>724</v>
      </c>
      <c r="H23" s="134" t="s">
        <v>725</v>
      </c>
      <c r="I23" s="134" t="s">
        <v>726</v>
      </c>
      <c r="J23" s="134" t="s">
        <v>727</v>
      </c>
      <c r="K23" s="134" t="s">
        <v>728</v>
      </c>
      <c r="L23" s="134" t="s">
        <v>729</v>
      </c>
      <c r="M23" s="134" t="s">
        <v>730</v>
      </c>
      <c r="N23" s="134" t="s">
        <v>731</v>
      </c>
      <c r="O23" s="134" t="s">
        <v>732</v>
      </c>
      <c r="P23" s="134" t="s">
        <v>733</v>
      </c>
      <c r="Q23" s="134" t="s">
        <v>734</v>
      </c>
      <c r="R23" s="134" t="s">
        <v>735</v>
      </c>
      <c r="S23" s="134" t="s">
        <v>736</v>
      </c>
      <c r="T23" s="134" t="s">
        <v>737</v>
      </c>
      <c r="U23" s="134" t="s">
        <v>738</v>
      </c>
      <c r="V23" s="134" t="s">
        <v>739</v>
      </c>
      <c r="W23" s="134" t="s">
        <v>740</v>
      </c>
      <c r="X23" s="134" t="s">
        <v>741</v>
      </c>
      <c r="Y23" s="134" t="s">
        <v>742</v>
      </c>
      <c r="Z23" s="134" t="s">
        <v>743</v>
      </c>
      <c r="AA23" s="134" t="s">
        <v>744</v>
      </c>
      <c r="AB23" s="134" t="s">
        <v>745</v>
      </c>
      <c r="AC23" s="134" t="s">
        <v>746</v>
      </c>
      <c r="AD23" s="134" t="s">
        <v>747</v>
      </c>
      <c r="AE23" s="134" t="s">
        <v>748</v>
      </c>
      <c r="AF23" s="134" t="s">
        <v>749</v>
      </c>
      <c r="AG23" s="134" t="s">
        <v>750</v>
      </c>
    </row>
    <row r="24" spans="1:33" ht="15.75" thickBot="1">
      <c r="E24" s="136"/>
      <c r="F24" s="137" t="s">
        <v>585</v>
      </c>
      <c r="G24" s="135" t="s">
        <v>751</v>
      </c>
      <c r="H24" s="134" t="s">
        <v>752</v>
      </c>
      <c r="I24" s="134" t="s">
        <v>753</v>
      </c>
      <c r="J24" s="134" t="s">
        <v>754</v>
      </c>
      <c r="K24" s="134" t="s">
        <v>755</v>
      </c>
      <c r="L24" s="134" t="s">
        <v>756</v>
      </c>
      <c r="M24" s="134" t="s">
        <v>757</v>
      </c>
      <c r="N24" s="134" t="s">
        <v>758</v>
      </c>
      <c r="O24" s="134" t="s">
        <v>759</v>
      </c>
      <c r="P24" s="134" t="s">
        <v>760</v>
      </c>
      <c r="Q24" s="134" t="s">
        <v>761</v>
      </c>
      <c r="R24" s="134" t="s">
        <v>762</v>
      </c>
      <c r="S24" s="134" t="s">
        <v>763</v>
      </c>
      <c r="T24" s="134" t="s">
        <v>764</v>
      </c>
      <c r="U24" s="134" t="s">
        <v>765</v>
      </c>
      <c r="V24" s="134" t="s">
        <v>766</v>
      </c>
      <c r="W24" s="134" t="s">
        <v>767</v>
      </c>
      <c r="X24" s="134" t="s">
        <v>768</v>
      </c>
      <c r="Y24" s="134" t="s">
        <v>769</v>
      </c>
      <c r="Z24" s="134" t="s">
        <v>761</v>
      </c>
      <c r="AA24" s="134" t="s">
        <v>770</v>
      </c>
      <c r="AB24" s="134" t="s">
        <v>771</v>
      </c>
      <c r="AC24" s="134" t="s">
        <v>764</v>
      </c>
      <c r="AD24" s="134" t="s">
        <v>772</v>
      </c>
      <c r="AE24" s="134" t="s">
        <v>773</v>
      </c>
      <c r="AF24" s="134" t="s">
        <v>774</v>
      </c>
      <c r="AG24" s="134" t="s">
        <v>775</v>
      </c>
    </row>
    <row r="25" spans="1:33" ht="15.75" thickBot="1">
      <c r="E25" s="136"/>
      <c r="F25" s="137" t="s">
        <v>597</v>
      </c>
      <c r="G25" s="135" t="s">
        <v>776</v>
      </c>
      <c r="H25" s="134" t="s">
        <v>777</v>
      </c>
      <c r="I25" s="134" t="s">
        <v>778</v>
      </c>
      <c r="J25" s="134" t="s">
        <v>779</v>
      </c>
      <c r="K25" s="134" t="s">
        <v>780</v>
      </c>
      <c r="L25" s="134" t="s">
        <v>781</v>
      </c>
      <c r="M25" s="134" t="s">
        <v>782</v>
      </c>
      <c r="N25" s="134" t="s">
        <v>783</v>
      </c>
      <c r="O25" s="134" t="s">
        <v>784</v>
      </c>
      <c r="P25" s="134" t="s">
        <v>785</v>
      </c>
      <c r="Q25" s="134" t="s">
        <v>786</v>
      </c>
      <c r="R25" s="134" t="s">
        <v>787</v>
      </c>
      <c r="S25" s="134" t="s">
        <v>788</v>
      </c>
      <c r="T25" s="134" t="s">
        <v>789</v>
      </c>
      <c r="U25" s="134" t="s">
        <v>790</v>
      </c>
      <c r="V25" s="134" t="s">
        <v>791</v>
      </c>
      <c r="W25" s="134" t="s">
        <v>792</v>
      </c>
      <c r="X25" s="134" t="s">
        <v>793</v>
      </c>
      <c r="Y25" s="134" t="s">
        <v>794</v>
      </c>
      <c r="Z25" s="134" t="s">
        <v>795</v>
      </c>
      <c r="AA25" s="134" t="s">
        <v>796</v>
      </c>
      <c r="AB25" s="134" t="s">
        <v>797</v>
      </c>
      <c r="AC25" s="134" t="s">
        <v>798</v>
      </c>
      <c r="AD25" s="134" t="s">
        <v>799</v>
      </c>
      <c r="AE25" s="134" t="s">
        <v>800</v>
      </c>
      <c r="AF25" s="134" t="s">
        <v>801</v>
      </c>
      <c r="AG25" s="134" t="s">
        <v>802</v>
      </c>
    </row>
    <row r="26" spans="1:33" ht="15.75" thickBot="1">
      <c r="E26" s="138"/>
      <c r="F26" s="139" t="s">
        <v>619</v>
      </c>
      <c r="G26" s="135" t="s">
        <v>803</v>
      </c>
      <c r="H26" s="134" t="s">
        <v>804</v>
      </c>
      <c r="I26" s="134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</row>
  </sheetData>
  <phoneticPr fontId="3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1D476-F0CB-42EA-9C51-F86641CEEDE0}">
  <dimension ref="A1:R47"/>
  <sheetViews>
    <sheetView topLeftCell="A4" workbookViewId="0"/>
  </sheetViews>
  <sheetFormatPr defaultColWidth="9" defaultRowHeight="12.75"/>
  <cols>
    <col min="1" max="1" width="7.85546875" style="20" customWidth="1"/>
    <col min="2" max="2" width="9.42578125" style="20" customWidth="1"/>
    <col min="3" max="4" width="9.140625" style="20" bestFit="1" customWidth="1"/>
    <col min="5" max="5" width="9.85546875" style="20" bestFit="1" customWidth="1"/>
    <col min="6" max="6" width="8.42578125" style="20" bestFit="1" customWidth="1"/>
    <col min="7" max="7" width="8" style="20" bestFit="1" customWidth="1"/>
    <col min="8" max="9" width="7" style="20" bestFit="1" customWidth="1"/>
    <col min="10" max="10" width="8" style="20" bestFit="1" customWidth="1"/>
    <col min="11" max="11" width="7" style="20" customWidth="1"/>
    <col min="12" max="12" width="10.28515625" style="20" customWidth="1"/>
    <col min="13" max="14" width="9.140625" style="20" bestFit="1" customWidth="1"/>
    <col min="15" max="15" width="9.85546875" style="20" bestFit="1" customWidth="1"/>
    <col min="16" max="16" width="8.42578125" style="20" bestFit="1" customWidth="1"/>
    <col min="17" max="17" width="16.42578125" style="20" bestFit="1" customWidth="1"/>
    <col min="18" max="16384" width="9" style="20"/>
  </cols>
  <sheetData>
    <row r="1" spans="1:18">
      <c r="D1" s="20" t="s">
        <v>49</v>
      </c>
      <c r="E1" s="20" t="s">
        <v>852</v>
      </c>
      <c r="F1" s="20" t="s">
        <v>805</v>
      </c>
      <c r="H1" s="20" t="s">
        <v>54</v>
      </c>
    </row>
    <row r="2" spans="1:18">
      <c r="A2" s="153" t="s">
        <v>853</v>
      </c>
      <c r="B2" s="141" t="s">
        <v>854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</row>
    <row r="3" spans="1:18">
      <c r="A3" s="154" t="s">
        <v>806</v>
      </c>
      <c r="B3" s="155" t="s">
        <v>72</v>
      </c>
      <c r="C3" s="156"/>
      <c r="D3" s="156"/>
      <c r="E3" s="156"/>
      <c r="F3" s="157"/>
      <c r="G3" s="155" t="s">
        <v>807</v>
      </c>
      <c r="H3" s="156"/>
      <c r="I3" s="156"/>
      <c r="J3" s="156"/>
      <c r="K3" s="157"/>
      <c r="L3" s="155" t="s">
        <v>808</v>
      </c>
      <c r="M3" s="156"/>
      <c r="N3" s="156"/>
      <c r="O3" s="156"/>
      <c r="P3" s="157"/>
    </row>
    <row r="4" spans="1:18">
      <c r="A4" s="154" t="s">
        <v>809</v>
      </c>
      <c r="B4" s="154" t="s">
        <v>79</v>
      </c>
      <c r="C4" s="154" t="s">
        <v>810</v>
      </c>
      <c r="D4" s="154" t="s">
        <v>811</v>
      </c>
      <c r="E4" s="154" t="s">
        <v>812</v>
      </c>
      <c r="F4" s="154" t="s">
        <v>813</v>
      </c>
      <c r="G4" s="154" t="s">
        <v>79</v>
      </c>
      <c r="H4" s="154" t="s">
        <v>810</v>
      </c>
      <c r="I4" s="154" t="s">
        <v>811</v>
      </c>
      <c r="J4" s="154" t="s">
        <v>812</v>
      </c>
      <c r="K4" s="154" t="s">
        <v>813</v>
      </c>
      <c r="L4" s="154" t="s">
        <v>79</v>
      </c>
      <c r="M4" s="154" t="s">
        <v>810</v>
      </c>
      <c r="N4" s="154" t="s">
        <v>811</v>
      </c>
      <c r="O4" s="154" t="s">
        <v>812</v>
      </c>
      <c r="P4" s="154" t="s">
        <v>813</v>
      </c>
    </row>
    <row r="5" spans="1:18">
      <c r="A5" s="158" t="s">
        <v>55</v>
      </c>
      <c r="B5" s="159">
        <v>459002</v>
      </c>
      <c r="C5" s="160">
        <v>20003</v>
      </c>
      <c r="D5" s="160">
        <v>144907</v>
      </c>
      <c r="E5" s="160">
        <v>260786</v>
      </c>
      <c r="F5" s="160">
        <v>33306</v>
      </c>
      <c r="G5" s="160">
        <v>4554</v>
      </c>
      <c r="H5" s="160">
        <v>329</v>
      </c>
      <c r="I5" s="160">
        <v>942</v>
      </c>
      <c r="J5" s="160">
        <v>3125</v>
      </c>
      <c r="K5" s="160">
        <v>158</v>
      </c>
      <c r="L5" s="160">
        <v>454448</v>
      </c>
      <c r="M5" s="160">
        <v>19674</v>
      </c>
      <c r="N5" s="160">
        <v>143965</v>
      </c>
      <c r="O5" s="160">
        <v>257661</v>
      </c>
      <c r="P5" s="160">
        <v>33148</v>
      </c>
      <c r="Q5" s="36"/>
      <c r="R5" s="36"/>
    </row>
    <row r="6" spans="1:18">
      <c r="A6" s="158" t="s">
        <v>56</v>
      </c>
      <c r="B6" s="159">
        <v>136158</v>
      </c>
      <c r="C6" s="160">
        <v>6197</v>
      </c>
      <c r="D6" s="160">
        <v>36920</v>
      </c>
      <c r="E6" s="160">
        <v>84750</v>
      </c>
      <c r="F6" s="160">
        <v>8291</v>
      </c>
      <c r="G6" s="160">
        <v>1376</v>
      </c>
      <c r="H6" s="160">
        <v>144</v>
      </c>
      <c r="I6" s="160">
        <v>149</v>
      </c>
      <c r="J6" s="160">
        <v>1038</v>
      </c>
      <c r="K6" s="160">
        <v>45</v>
      </c>
      <c r="L6" s="160">
        <v>134782</v>
      </c>
      <c r="M6" s="160">
        <v>6053</v>
      </c>
      <c r="N6" s="160">
        <v>36771</v>
      </c>
      <c r="O6" s="160">
        <v>83712</v>
      </c>
      <c r="P6" s="160">
        <v>8246</v>
      </c>
      <c r="Q6" s="36"/>
      <c r="R6" s="36"/>
    </row>
    <row r="7" spans="1:18">
      <c r="A7" s="158" t="s">
        <v>57</v>
      </c>
      <c r="B7" s="159">
        <v>137000</v>
      </c>
      <c r="C7" s="160">
        <v>10429</v>
      </c>
      <c r="D7" s="160">
        <v>57996</v>
      </c>
      <c r="E7" s="160">
        <v>62190</v>
      </c>
      <c r="F7" s="160">
        <v>6385</v>
      </c>
      <c r="G7" s="160">
        <v>1212</v>
      </c>
      <c r="H7" s="160">
        <v>173</v>
      </c>
      <c r="I7" s="160">
        <v>202</v>
      </c>
      <c r="J7" s="160">
        <v>803</v>
      </c>
      <c r="K7" s="160">
        <v>34</v>
      </c>
      <c r="L7" s="160">
        <v>135788</v>
      </c>
      <c r="M7" s="160">
        <v>10256</v>
      </c>
      <c r="N7" s="160">
        <v>57794</v>
      </c>
      <c r="O7" s="160">
        <v>61387</v>
      </c>
      <c r="P7" s="160">
        <v>6351</v>
      </c>
      <c r="Q7" s="36"/>
      <c r="R7" s="36"/>
    </row>
    <row r="8" spans="1:18">
      <c r="A8" s="158" t="s">
        <v>58</v>
      </c>
      <c r="B8" s="159">
        <v>79420</v>
      </c>
      <c r="C8" s="160">
        <v>3996</v>
      </c>
      <c r="D8" s="160">
        <v>29465</v>
      </c>
      <c r="E8" s="160">
        <v>40059</v>
      </c>
      <c r="F8" s="160">
        <v>5900</v>
      </c>
      <c r="G8" s="160">
        <v>1006</v>
      </c>
      <c r="H8" s="160">
        <v>13</v>
      </c>
      <c r="I8" s="160">
        <v>192</v>
      </c>
      <c r="J8" s="160">
        <v>767</v>
      </c>
      <c r="K8" s="160">
        <v>34</v>
      </c>
      <c r="L8" s="160">
        <v>78414</v>
      </c>
      <c r="M8" s="160">
        <v>3983</v>
      </c>
      <c r="N8" s="160">
        <v>29273</v>
      </c>
      <c r="O8" s="160">
        <v>39292</v>
      </c>
      <c r="P8" s="160">
        <v>5866</v>
      </c>
      <c r="Q8" s="36"/>
      <c r="R8" s="36"/>
    </row>
    <row r="9" spans="1:18">
      <c r="A9" s="158" t="s">
        <v>59</v>
      </c>
      <c r="B9" s="159">
        <v>40782</v>
      </c>
      <c r="C9" s="160">
        <v>1974</v>
      </c>
      <c r="D9" s="160">
        <v>15885</v>
      </c>
      <c r="E9" s="160">
        <v>20761</v>
      </c>
      <c r="F9" s="160">
        <v>2162</v>
      </c>
      <c r="G9" s="160">
        <v>496</v>
      </c>
      <c r="H9" s="160">
        <v>20</v>
      </c>
      <c r="I9" s="160">
        <v>50</v>
      </c>
      <c r="J9" s="160">
        <v>416</v>
      </c>
      <c r="K9" s="160">
        <v>10</v>
      </c>
      <c r="L9" s="160">
        <v>40286</v>
      </c>
      <c r="M9" s="160">
        <v>1954</v>
      </c>
      <c r="N9" s="160">
        <v>15835</v>
      </c>
      <c r="O9" s="160">
        <v>20345</v>
      </c>
      <c r="P9" s="160">
        <v>2152</v>
      </c>
      <c r="Q9" s="36"/>
      <c r="R9" s="36"/>
    </row>
    <row r="10" spans="1:18">
      <c r="A10" s="158" t="s">
        <v>60</v>
      </c>
      <c r="B10" s="159">
        <v>39242</v>
      </c>
      <c r="C10" s="160">
        <v>3605</v>
      </c>
      <c r="D10" s="160">
        <v>11428</v>
      </c>
      <c r="E10" s="160">
        <v>20900</v>
      </c>
      <c r="F10" s="160">
        <v>3309</v>
      </c>
      <c r="G10" s="160">
        <v>491</v>
      </c>
      <c r="H10" s="160">
        <v>33</v>
      </c>
      <c r="I10" s="160">
        <v>66</v>
      </c>
      <c r="J10" s="160">
        <v>381</v>
      </c>
      <c r="K10" s="160">
        <v>11</v>
      </c>
      <c r="L10" s="160">
        <v>38751</v>
      </c>
      <c r="M10" s="160">
        <v>3572</v>
      </c>
      <c r="N10" s="160">
        <v>11362</v>
      </c>
      <c r="O10" s="160">
        <v>20519</v>
      </c>
      <c r="P10" s="160">
        <v>3298</v>
      </c>
      <c r="Q10" s="36"/>
      <c r="R10" s="36"/>
    </row>
    <row r="11" spans="1:18">
      <c r="A11" s="158" t="s">
        <v>61</v>
      </c>
      <c r="B11" s="159">
        <v>64499</v>
      </c>
      <c r="C11" s="160">
        <v>3635</v>
      </c>
      <c r="D11" s="160">
        <v>12054</v>
      </c>
      <c r="E11" s="160">
        <v>45559</v>
      </c>
      <c r="F11" s="160">
        <v>3251</v>
      </c>
      <c r="G11" s="160">
        <v>471</v>
      </c>
      <c r="H11" s="160">
        <v>99</v>
      </c>
      <c r="I11" s="160">
        <v>49</v>
      </c>
      <c r="J11" s="160">
        <v>312</v>
      </c>
      <c r="K11" s="160">
        <v>11</v>
      </c>
      <c r="L11" s="160">
        <v>64028</v>
      </c>
      <c r="M11" s="160">
        <v>3536</v>
      </c>
      <c r="N11" s="160">
        <v>12005</v>
      </c>
      <c r="O11" s="160">
        <v>45247</v>
      </c>
      <c r="P11" s="160">
        <v>3240</v>
      </c>
      <c r="Q11" s="36"/>
      <c r="R11" s="36"/>
    </row>
    <row r="12" spans="1:18">
      <c r="A12" s="158" t="s">
        <v>814</v>
      </c>
      <c r="B12" s="159">
        <v>11667</v>
      </c>
      <c r="C12" s="160">
        <v>776</v>
      </c>
      <c r="D12" s="160">
        <v>5323</v>
      </c>
      <c r="E12" s="160">
        <v>4847</v>
      </c>
      <c r="F12" s="160">
        <v>721</v>
      </c>
      <c r="G12" s="160">
        <v>128</v>
      </c>
      <c r="H12" s="160">
        <v>7</v>
      </c>
      <c r="I12" s="160">
        <v>10</v>
      </c>
      <c r="J12" s="160">
        <v>105</v>
      </c>
      <c r="K12" s="160">
        <v>6</v>
      </c>
      <c r="L12" s="160">
        <v>11539</v>
      </c>
      <c r="M12" s="160">
        <v>769</v>
      </c>
      <c r="N12" s="160">
        <v>5313</v>
      </c>
      <c r="O12" s="160">
        <v>4742</v>
      </c>
      <c r="P12" s="160">
        <v>715</v>
      </c>
      <c r="Q12" s="36"/>
      <c r="R12" s="36"/>
    </row>
    <row r="13" spans="1:18">
      <c r="A13" s="158" t="s">
        <v>63</v>
      </c>
      <c r="B13" s="159">
        <v>417370</v>
      </c>
      <c r="C13" s="160">
        <v>19455</v>
      </c>
      <c r="D13" s="160">
        <v>153490</v>
      </c>
      <c r="E13" s="160">
        <v>210862</v>
      </c>
      <c r="F13" s="160">
        <v>33563</v>
      </c>
      <c r="G13" s="160">
        <v>4891</v>
      </c>
      <c r="H13" s="160">
        <v>172</v>
      </c>
      <c r="I13" s="160">
        <v>1000</v>
      </c>
      <c r="J13" s="160">
        <v>3595</v>
      </c>
      <c r="K13" s="160">
        <v>124</v>
      </c>
      <c r="L13" s="160">
        <v>412479</v>
      </c>
      <c r="M13" s="160">
        <v>19283</v>
      </c>
      <c r="N13" s="160">
        <v>152490</v>
      </c>
      <c r="O13" s="160">
        <v>207267</v>
      </c>
      <c r="P13" s="160">
        <v>33439</v>
      </c>
      <c r="Q13" s="36"/>
      <c r="R13" s="36"/>
    </row>
    <row r="14" spans="1:18">
      <c r="A14" s="158" t="s">
        <v>64</v>
      </c>
      <c r="B14" s="159">
        <v>66937</v>
      </c>
      <c r="C14" s="160">
        <v>5621</v>
      </c>
      <c r="D14" s="160">
        <v>24548</v>
      </c>
      <c r="E14" s="160">
        <v>32935</v>
      </c>
      <c r="F14" s="160">
        <v>3833</v>
      </c>
      <c r="G14" s="160">
        <v>955</v>
      </c>
      <c r="H14" s="160">
        <v>55</v>
      </c>
      <c r="I14" s="160">
        <v>55</v>
      </c>
      <c r="J14" s="160">
        <v>808</v>
      </c>
      <c r="K14" s="160">
        <v>37</v>
      </c>
      <c r="L14" s="160">
        <v>65982</v>
      </c>
      <c r="M14" s="160">
        <v>5566</v>
      </c>
      <c r="N14" s="160">
        <v>24493</v>
      </c>
      <c r="O14" s="160">
        <v>32127</v>
      </c>
      <c r="P14" s="160">
        <v>3796</v>
      </c>
      <c r="Q14" s="36"/>
      <c r="R14" s="36"/>
    </row>
    <row r="15" spans="1:18">
      <c r="A15" s="158" t="s">
        <v>65</v>
      </c>
      <c r="B15" s="159">
        <v>92408</v>
      </c>
      <c r="C15" s="160">
        <v>6993</v>
      </c>
      <c r="D15" s="160">
        <v>40721</v>
      </c>
      <c r="E15" s="160">
        <v>40588</v>
      </c>
      <c r="F15" s="160">
        <v>4106</v>
      </c>
      <c r="G15" s="160">
        <v>1220</v>
      </c>
      <c r="H15" s="160">
        <v>73</v>
      </c>
      <c r="I15" s="160">
        <v>269</v>
      </c>
      <c r="J15" s="160">
        <v>843</v>
      </c>
      <c r="K15" s="160">
        <v>35</v>
      </c>
      <c r="L15" s="160">
        <v>91188</v>
      </c>
      <c r="M15" s="160">
        <v>6920</v>
      </c>
      <c r="N15" s="160">
        <v>40452</v>
      </c>
      <c r="O15" s="160">
        <v>39745</v>
      </c>
      <c r="P15" s="160">
        <v>4071</v>
      </c>
      <c r="Q15" s="36"/>
      <c r="R15" s="36"/>
    </row>
    <row r="16" spans="1:18">
      <c r="A16" s="158" t="s">
        <v>66</v>
      </c>
      <c r="B16" s="159">
        <v>136965</v>
      </c>
      <c r="C16" s="160">
        <v>9184</v>
      </c>
      <c r="D16" s="160">
        <v>64801</v>
      </c>
      <c r="E16" s="160">
        <v>57567</v>
      </c>
      <c r="F16" s="160">
        <v>5413</v>
      </c>
      <c r="G16" s="160">
        <v>1816</v>
      </c>
      <c r="H16" s="160">
        <v>194</v>
      </c>
      <c r="I16" s="160">
        <v>448</v>
      </c>
      <c r="J16" s="160">
        <v>1138</v>
      </c>
      <c r="K16" s="160">
        <v>36</v>
      </c>
      <c r="L16" s="160">
        <v>135149</v>
      </c>
      <c r="M16" s="160">
        <v>8990</v>
      </c>
      <c r="N16" s="160">
        <v>64353</v>
      </c>
      <c r="O16" s="160">
        <v>56429</v>
      </c>
      <c r="P16" s="160">
        <v>5377</v>
      </c>
      <c r="Q16" s="36"/>
      <c r="R16" s="36"/>
    </row>
    <row r="17" spans="1:18">
      <c r="A17" s="158" t="s">
        <v>67</v>
      </c>
      <c r="B17" s="159">
        <v>100541</v>
      </c>
      <c r="C17" s="160">
        <v>7029</v>
      </c>
      <c r="D17" s="160">
        <v>49980</v>
      </c>
      <c r="E17" s="160">
        <v>40478</v>
      </c>
      <c r="F17" s="160">
        <v>3054</v>
      </c>
      <c r="G17" s="160">
        <v>1355</v>
      </c>
      <c r="H17" s="160">
        <v>90</v>
      </c>
      <c r="I17" s="160">
        <v>303</v>
      </c>
      <c r="J17" s="160">
        <v>935</v>
      </c>
      <c r="K17" s="160">
        <v>27</v>
      </c>
      <c r="L17" s="160">
        <v>99186</v>
      </c>
      <c r="M17" s="160">
        <v>6939</v>
      </c>
      <c r="N17" s="160">
        <v>49677</v>
      </c>
      <c r="O17" s="160">
        <v>39543</v>
      </c>
      <c r="P17" s="160">
        <v>3027</v>
      </c>
      <c r="Q17" s="36"/>
      <c r="R17" s="36"/>
    </row>
    <row r="18" spans="1:18">
      <c r="A18" s="158" t="s">
        <v>68</v>
      </c>
      <c r="B18" s="159">
        <v>119183</v>
      </c>
      <c r="C18" s="160">
        <v>7735</v>
      </c>
      <c r="D18" s="160">
        <v>59264</v>
      </c>
      <c r="E18" s="160">
        <v>48995</v>
      </c>
      <c r="F18" s="160">
        <v>3189</v>
      </c>
      <c r="G18" s="160">
        <v>2066</v>
      </c>
      <c r="H18" s="160">
        <v>129</v>
      </c>
      <c r="I18" s="160">
        <v>618</v>
      </c>
      <c r="J18" s="160">
        <v>1279</v>
      </c>
      <c r="K18" s="160">
        <v>40</v>
      </c>
      <c r="L18" s="160">
        <v>117117</v>
      </c>
      <c r="M18" s="160">
        <v>7606</v>
      </c>
      <c r="N18" s="160">
        <v>58646</v>
      </c>
      <c r="O18" s="160">
        <v>47716</v>
      </c>
      <c r="P18" s="160">
        <v>3149</v>
      </c>
      <c r="Q18" s="36"/>
      <c r="R18" s="36"/>
    </row>
    <row r="19" spans="1:18">
      <c r="A19" s="158" t="s">
        <v>69</v>
      </c>
      <c r="B19" s="159">
        <v>189150</v>
      </c>
      <c r="C19" s="160">
        <v>15420</v>
      </c>
      <c r="D19" s="160">
        <v>86281</v>
      </c>
      <c r="E19" s="160">
        <v>80983</v>
      </c>
      <c r="F19" s="160">
        <v>6466</v>
      </c>
      <c r="G19" s="160">
        <v>2124</v>
      </c>
      <c r="H19" s="160">
        <v>124</v>
      </c>
      <c r="I19" s="160">
        <v>504</v>
      </c>
      <c r="J19" s="160">
        <v>1436</v>
      </c>
      <c r="K19" s="160">
        <v>60</v>
      </c>
      <c r="L19" s="160">
        <v>187026</v>
      </c>
      <c r="M19" s="160">
        <v>15296</v>
      </c>
      <c r="N19" s="160">
        <v>85777</v>
      </c>
      <c r="O19" s="160">
        <v>79547</v>
      </c>
      <c r="P19" s="160">
        <v>6406</v>
      </c>
      <c r="Q19" s="36"/>
      <c r="R19" s="36"/>
    </row>
    <row r="20" spans="1:18">
      <c r="A20" s="158" t="s">
        <v>70</v>
      </c>
      <c r="B20" s="159">
        <v>165512</v>
      </c>
      <c r="C20" s="160">
        <v>11305</v>
      </c>
      <c r="D20" s="160">
        <v>58936</v>
      </c>
      <c r="E20" s="160">
        <v>87506</v>
      </c>
      <c r="F20" s="160">
        <v>7765</v>
      </c>
      <c r="G20" s="160">
        <v>2144</v>
      </c>
      <c r="H20" s="160">
        <v>147</v>
      </c>
      <c r="I20" s="160">
        <v>409</v>
      </c>
      <c r="J20" s="160">
        <v>1552</v>
      </c>
      <c r="K20" s="160">
        <v>36</v>
      </c>
      <c r="L20" s="160">
        <v>163368</v>
      </c>
      <c r="M20" s="160">
        <v>11158</v>
      </c>
      <c r="N20" s="160">
        <v>58527</v>
      </c>
      <c r="O20" s="160">
        <v>85954</v>
      </c>
      <c r="P20" s="160">
        <v>7729</v>
      </c>
      <c r="Q20" s="36"/>
      <c r="R20" s="36"/>
    </row>
    <row r="21" spans="1:18" ht="13.5" thickBot="1">
      <c r="A21" s="161" t="s">
        <v>71</v>
      </c>
      <c r="B21" s="162">
        <v>33173</v>
      </c>
      <c r="C21" s="163">
        <v>6923</v>
      </c>
      <c r="D21" s="163">
        <v>10642</v>
      </c>
      <c r="E21" s="163">
        <v>14038</v>
      </c>
      <c r="F21" s="163">
        <v>1570</v>
      </c>
      <c r="G21" s="163">
        <v>505</v>
      </c>
      <c r="H21" s="163">
        <v>139</v>
      </c>
      <c r="I21" s="163">
        <v>76</v>
      </c>
      <c r="J21" s="163">
        <v>266</v>
      </c>
      <c r="K21" s="163">
        <v>24</v>
      </c>
      <c r="L21" s="163">
        <v>32668</v>
      </c>
      <c r="M21" s="163">
        <v>6784</v>
      </c>
      <c r="N21" s="163">
        <v>10566</v>
      </c>
      <c r="O21" s="163">
        <v>13772</v>
      </c>
      <c r="P21" s="163">
        <v>1546</v>
      </c>
      <c r="Q21" s="36"/>
      <c r="R21" s="36"/>
    </row>
    <row r="22" spans="1:18" ht="13.5" thickBot="1">
      <c r="A22" s="164" t="s">
        <v>87</v>
      </c>
      <c r="B22" s="165">
        <v>2289009</v>
      </c>
      <c r="C22" s="166">
        <v>140280</v>
      </c>
      <c r="D22" s="166">
        <v>862641</v>
      </c>
      <c r="E22" s="166">
        <v>1153804</v>
      </c>
      <c r="F22" s="166">
        <v>132284</v>
      </c>
      <c r="G22" s="166">
        <v>26810</v>
      </c>
      <c r="H22" s="166">
        <v>1941</v>
      </c>
      <c r="I22" s="166">
        <v>5342</v>
      </c>
      <c r="J22" s="166">
        <v>18799</v>
      </c>
      <c r="K22" s="166">
        <v>728</v>
      </c>
      <c r="L22" s="166">
        <v>2262199</v>
      </c>
      <c r="M22" s="166">
        <v>138339</v>
      </c>
      <c r="N22" s="166">
        <v>857299</v>
      </c>
      <c r="O22" s="166">
        <v>1135005</v>
      </c>
      <c r="P22" s="166">
        <v>131556</v>
      </c>
      <c r="Q22" s="36"/>
      <c r="R22" s="36"/>
    </row>
    <row r="24" spans="1:18">
      <c r="A24" s="167" t="s">
        <v>855</v>
      </c>
    </row>
    <row r="25" spans="1:18">
      <c r="A25" s="167" t="s">
        <v>856</v>
      </c>
    </row>
    <row r="26" spans="1:18" ht="13.5" thickBot="1">
      <c r="R26" s="36"/>
    </row>
    <row r="27" spans="1:18">
      <c r="B27" s="118" t="s">
        <v>815</v>
      </c>
      <c r="C27" s="119"/>
      <c r="D27" s="120"/>
      <c r="F27" s="38"/>
      <c r="R27" s="36"/>
    </row>
    <row r="28" spans="1:18">
      <c r="B28" s="121" t="s">
        <v>816</v>
      </c>
      <c r="C28" s="20" t="s">
        <v>245</v>
      </c>
      <c r="D28" s="124">
        <f>SUM(D22:E22)</f>
        <v>2016445</v>
      </c>
      <c r="R28" s="36"/>
    </row>
    <row r="29" spans="1:18" ht="13.5" thickBot="1">
      <c r="B29" s="122" t="s">
        <v>817</v>
      </c>
      <c r="C29" s="123" t="s">
        <v>242</v>
      </c>
      <c r="D29" s="125">
        <f>SUM(C22,F22)</f>
        <v>272564</v>
      </c>
      <c r="R29" s="36"/>
    </row>
    <row r="30" spans="1:18">
      <c r="R30" s="36"/>
    </row>
    <row r="31" spans="1:18">
      <c r="A31" s="37" t="s">
        <v>38</v>
      </c>
      <c r="R31" s="36"/>
    </row>
    <row r="32" spans="1:18">
      <c r="A32" s="20" t="s">
        <v>818</v>
      </c>
      <c r="R32" s="36"/>
    </row>
    <row r="33" spans="1:18">
      <c r="A33" s="20" t="s">
        <v>819</v>
      </c>
      <c r="R33" s="36"/>
    </row>
    <row r="34" spans="1:18">
      <c r="R34" s="36"/>
    </row>
    <row r="35" spans="1:18">
      <c r="R35" s="36"/>
    </row>
    <row r="36" spans="1:18">
      <c r="R36" s="36"/>
    </row>
    <row r="37" spans="1:18">
      <c r="R37" s="36"/>
    </row>
    <row r="38" spans="1:18">
      <c r="R38" s="36"/>
    </row>
    <row r="39" spans="1:18">
      <c r="R39" s="36"/>
    </row>
    <row r="40" spans="1:18">
      <c r="R40" s="36"/>
    </row>
    <row r="41" spans="1:18">
      <c r="R41" s="36"/>
    </row>
    <row r="42" spans="1:18">
      <c r="R42" s="36"/>
    </row>
    <row r="43" spans="1:18">
      <c r="R43" s="36"/>
    </row>
    <row r="44" spans="1:18">
      <c r="R44" s="36"/>
    </row>
    <row r="45" spans="1:18">
      <c r="R45" s="36"/>
    </row>
    <row r="46" spans="1:18">
      <c r="R46" s="36"/>
    </row>
    <row r="47" spans="1:18">
      <c r="R47" s="36"/>
    </row>
  </sheetData>
  <phoneticPr fontId="37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85900-48EB-4220-ABDB-2EB75701AFAA}">
  <dimension ref="A2:L58"/>
  <sheetViews>
    <sheetView workbookViewId="0">
      <selection activeCell="G24" sqref="G24"/>
    </sheetView>
  </sheetViews>
  <sheetFormatPr defaultColWidth="9" defaultRowHeight="15"/>
  <cols>
    <col min="1" max="1" width="15.140625" style="6" customWidth="1"/>
    <col min="2" max="2" width="16.85546875" style="6" customWidth="1"/>
    <col min="3" max="3" width="18.42578125" style="6" bestFit="1" customWidth="1"/>
    <col min="4" max="4" width="16.7109375" style="6" bestFit="1" customWidth="1"/>
    <col min="5" max="5" width="16.28515625" style="6" bestFit="1" customWidth="1"/>
    <col min="6" max="7" width="16.7109375" style="6" bestFit="1" customWidth="1"/>
    <col min="8" max="8" width="14.7109375" style="6" customWidth="1"/>
    <col min="9" max="9" width="16.42578125" style="6" bestFit="1" customWidth="1"/>
    <col min="10" max="10" width="9" style="6"/>
    <col min="11" max="11" width="9.42578125" style="6" bestFit="1" customWidth="1"/>
    <col min="12" max="16384" width="9" style="6"/>
  </cols>
  <sheetData>
    <row r="2" spans="1:11">
      <c r="A2" s="13"/>
    </row>
    <row r="3" spans="1:11">
      <c r="A3" s="13" t="s">
        <v>820</v>
      </c>
      <c r="B3" s="126" t="s">
        <v>242</v>
      </c>
      <c r="C3" s="50" t="s">
        <v>821</v>
      </c>
      <c r="D3" s="50" t="s">
        <v>231</v>
      </c>
      <c r="E3" s="50" t="s">
        <v>232</v>
      </c>
      <c r="F3" s="50" t="s">
        <v>233</v>
      </c>
      <c r="G3" s="50" t="s">
        <v>234</v>
      </c>
      <c r="H3" s="50" t="s">
        <v>235</v>
      </c>
      <c r="I3" s="50" t="s">
        <v>236</v>
      </c>
      <c r="J3" s="50" t="s">
        <v>444</v>
      </c>
    </row>
    <row r="4" spans="1:11">
      <c r="A4" s="13" t="s">
        <v>1008</v>
      </c>
      <c r="B4" s="13" t="s">
        <v>822</v>
      </c>
      <c r="C4" s="51">
        <f>SUM('DV-per fuel'!$U$77,'DV-per fuel'!$U$80)</f>
        <v>119453</v>
      </c>
      <c r="D4" s="51">
        <f>SUM('DV-per fuel'!$U$128,'DV-per fuel'!$U$131,'DV-per fuel'!$U$148)</f>
        <v>35581</v>
      </c>
      <c r="E4" s="51">
        <f>SUM('DV-per fuel'!$U$9,'DV-per fuel'!$U$12)</f>
        <v>11392008</v>
      </c>
      <c r="F4" s="51">
        <f>SUM('DV-per fuel'!$U$26,'DV-per fuel'!$U$29)</f>
        <v>6539104</v>
      </c>
      <c r="G4" s="51">
        <f>SUM('DV-per fuel'!$U$225,'DV-per fuel'!$U$208,'DV-per fuel'!$U$191,'DV-per fuel'!$U$174)</f>
        <v>674461</v>
      </c>
      <c r="H4" s="51">
        <f>SUM('DV-per fuel'!$U$43,'DV-per fuel'!$U$46)</f>
        <v>1856978</v>
      </c>
      <c r="I4" s="51">
        <f>SUM('DV-per fuel'!$U$259)</f>
        <v>10906</v>
      </c>
      <c r="J4" s="51">
        <f>SUM('DV-per fuel'!$U$281,'DV-per fuel'!$U$284)</f>
        <v>20644797</v>
      </c>
    </row>
    <row r="5" spans="1:11">
      <c r="A5" s="6" t="s">
        <v>1009</v>
      </c>
      <c r="B5" s="13" t="s">
        <v>823</v>
      </c>
      <c r="C5" s="52">
        <f>SUM('DV-per fuel'!$U$77,'DV-per fuel'!$U$80)/$J$4</f>
        <v>5.7861067851623822E-3</v>
      </c>
      <c r="D5" s="52">
        <f>D4/$J$4</f>
        <v>1.7234850989331597E-3</v>
      </c>
      <c r="E5" s="52">
        <f>SUM('DV-per fuel'!$U$9,'DV-per fuel'!$U$12)/$J$4</f>
        <v>0.55181012436208499</v>
      </c>
      <c r="F5" s="52">
        <f>SUM('DV-per fuel'!$U$26,'DV-per fuel'!$U$29)/$J$4</f>
        <v>0.31674343903696411</v>
      </c>
      <c r="G5" s="52">
        <f>SUM('DV-per fuel'!$U$225,'DV-per fuel'!$U$208,'DV-per fuel'!$U$191,'DV-per fuel'!$U$174)/$J$4</f>
        <v>3.2669781155997807E-2</v>
      </c>
      <c r="H5" s="52">
        <f>SUM('DV-per fuel'!$U$43,'DV-per fuel'!$U$46)/$J$4</f>
        <v>8.9948959052491534E-2</v>
      </c>
      <c r="I5" s="52">
        <f>SUM('DV-per fuel'!$U$259)/$J$4</f>
        <v>5.2826869646623313E-4</v>
      </c>
      <c r="J5" s="52">
        <f>SUM($C$4:$I$4)/J4</f>
        <v>0.99921016418810027</v>
      </c>
      <c r="K5" s="39"/>
    </row>
    <row r="7" spans="1:11">
      <c r="B7" s="126" t="s">
        <v>245</v>
      </c>
      <c r="C7" s="50" t="s">
        <v>821</v>
      </c>
      <c r="D7" s="50" t="s">
        <v>231</v>
      </c>
      <c r="E7" s="50" t="s">
        <v>232</v>
      </c>
      <c r="F7" s="50" t="s">
        <v>233</v>
      </c>
      <c r="G7" s="50" t="s">
        <v>234</v>
      </c>
      <c r="H7" s="50" t="s">
        <v>235</v>
      </c>
      <c r="I7" s="50" t="s">
        <v>236</v>
      </c>
      <c r="J7" s="50" t="s">
        <v>444</v>
      </c>
    </row>
    <row r="8" spans="1:11">
      <c r="A8" s="6" t="s">
        <v>1008</v>
      </c>
      <c r="B8" s="13" t="s">
        <v>822</v>
      </c>
      <c r="C8" s="51">
        <f>SUM('DV-per fuel'!$U$83,'DV-per fuel'!$U$86)</f>
        <v>15509</v>
      </c>
      <c r="D8" s="51">
        <f>SUM('DV-per fuel'!$U$134,'DV-per fuel'!$U$137,'DV-per fuel'!$U$151,'DV-per fuel'!$U$154)</f>
        <v>1366</v>
      </c>
      <c r="E8" s="51">
        <f>SUM('DV-per fuel'!$U$15,'DV-per fuel'!$U$18)</f>
        <v>18476</v>
      </c>
      <c r="F8" s="51">
        <f>SUM('DV-per fuel'!$U$32,'DV-per fuel'!$U$35)</f>
        <v>3453020</v>
      </c>
      <c r="G8" s="6">
        <v>0</v>
      </c>
      <c r="H8" s="51">
        <f>SUM('DV-per fuel'!$U$49,'DV-per fuel'!$U$52)</f>
        <v>122429</v>
      </c>
      <c r="I8" s="6">
        <v>0</v>
      </c>
      <c r="J8" s="51">
        <f>SUM('DV-per fuel'!U287,'DV-per fuel'!U290)</f>
        <v>3721182</v>
      </c>
    </row>
    <row r="9" spans="1:11">
      <c r="A9" s="6" t="s">
        <v>1009</v>
      </c>
      <c r="B9" s="13" t="s">
        <v>823</v>
      </c>
      <c r="C9" s="52">
        <f>SUM('DV-per fuel'!$U$83,'DV-per fuel'!$U$86)/$J$8</f>
        <v>4.1677617488206703E-3</v>
      </c>
      <c r="D9" s="52">
        <f>D8/$J$8</f>
        <v>3.6708766193107461E-4</v>
      </c>
      <c r="E9" s="52">
        <f>SUM('DV-per fuel'!$U$15,'DV-per fuel'!$U$18)/$J$8</f>
        <v>4.9650890496621769E-3</v>
      </c>
      <c r="F9" s="52">
        <f>SUM('DV-per fuel'!$U$32,'DV-per fuel'!$U$35)/$J$8</f>
        <v>0.92793633850749568</v>
      </c>
      <c r="G9" s="52">
        <v>0</v>
      </c>
      <c r="H9" s="52">
        <f>SUM('DV-per fuel'!$U$49,'DV-per fuel'!$U$52)/$J$8</f>
        <v>3.2900567615343726E-2</v>
      </c>
      <c r="I9" s="52">
        <v>0</v>
      </c>
      <c r="J9" s="52">
        <f>SUM($C$8:$I$8)/$J$8</f>
        <v>0.97033684458325342</v>
      </c>
      <c r="K9" s="39"/>
    </row>
    <row r="10" spans="1:11">
      <c r="C10" s="52"/>
      <c r="D10" s="52"/>
      <c r="E10" s="52"/>
      <c r="F10" s="52"/>
      <c r="G10" s="52"/>
      <c r="H10" s="52"/>
      <c r="I10" s="52"/>
      <c r="J10" s="52"/>
      <c r="K10" s="39"/>
    </row>
    <row r="11" spans="1:11">
      <c r="A11" s="13" t="s">
        <v>38</v>
      </c>
    </row>
    <row r="12" spans="1:11">
      <c r="A12" s="6" t="s">
        <v>824</v>
      </c>
      <c r="F12" s="6" t="s">
        <v>1005</v>
      </c>
    </row>
    <row r="13" spans="1:11">
      <c r="A13" s="6" t="s">
        <v>825</v>
      </c>
      <c r="F13" s="6" t="s">
        <v>1006</v>
      </c>
    </row>
    <row r="14" spans="1:11">
      <c r="A14" s="127" t="s">
        <v>826</v>
      </c>
      <c r="F14" s="6" t="s">
        <v>1007</v>
      </c>
    </row>
    <row r="17" spans="1:12">
      <c r="A17" s="13" t="s">
        <v>827</v>
      </c>
      <c r="B17" s="6" t="s">
        <v>828</v>
      </c>
      <c r="C17" s="6" t="s">
        <v>1004</v>
      </c>
      <c r="J17" s="237" t="s">
        <v>829</v>
      </c>
      <c r="K17" s="6" t="str">
        <f>_xlfn.TRANSLATE(J17,"ko","en")</f>
        <v>Assumption of result table</v>
      </c>
    </row>
    <row r="18" spans="1:12">
      <c r="A18" s="185" t="s">
        <v>1139</v>
      </c>
      <c r="B18" s="185" t="s">
        <v>1140</v>
      </c>
      <c r="J18" s="56"/>
    </row>
    <row r="19" spans="1:12">
      <c r="A19" s="41" t="s">
        <v>1120</v>
      </c>
      <c r="B19" s="41" t="s">
        <v>1121</v>
      </c>
      <c r="C19" s="41" t="s">
        <v>1122</v>
      </c>
      <c r="D19" s="182" t="s">
        <v>1123</v>
      </c>
      <c r="E19" s="53" t="s">
        <v>1151</v>
      </c>
      <c r="F19" s="186" t="s">
        <v>1141</v>
      </c>
      <c r="G19" s="56"/>
      <c r="J19" s="54">
        <v>2020</v>
      </c>
      <c r="K19" s="54" t="s">
        <v>830</v>
      </c>
      <c r="L19" s="54" t="s">
        <v>831</v>
      </c>
    </row>
    <row r="20" spans="1:12">
      <c r="A20" s="187" t="s">
        <v>1124</v>
      </c>
      <c r="B20" s="187" t="s">
        <v>1125</v>
      </c>
      <c r="C20" s="187" t="s">
        <v>87</v>
      </c>
      <c r="D20" s="184">
        <v>20125</v>
      </c>
      <c r="E20" s="53"/>
      <c r="F20" s="53"/>
      <c r="I20" s="6" t="str">
        <f>_xlfn.TRANSLATE(J20,"ko","en")</f>
        <v>Diesel</v>
      </c>
      <c r="J20" s="54" t="s">
        <v>832</v>
      </c>
      <c r="K20" s="53">
        <f>SUMIF($E$21:$E$29,$J20,D$21:D$29)</f>
        <v>20114</v>
      </c>
      <c r="L20" s="55">
        <f>K20/SUM($K$20:$K$22)</f>
        <v>0.99945341614906835</v>
      </c>
    </row>
    <row r="21" spans="1:12">
      <c r="A21" s="187" t="s">
        <v>367</v>
      </c>
      <c r="B21" s="187" t="s">
        <v>367</v>
      </c>
      <c r="C21" s="187" t="s">
        <v>1126</v>
      </c>
      <c r="D21" s="184">
        <v>1</v>
      </c>
      <c r="E21" s="53" t="s">
        <v>833</v>
      </c>
      <c r="F21" s="53" t="s">
        <v>1142</v>
      </c>
      <c r="I21" s="6" t="str">
        <f>_xlfn.TRANSLATE(J21,"ko","en")</f>
        <v>Gasoline</v>
      </c>
      <c r="J21" s="54" t="s">
        <v>833</v>
      </c>
      <c r="K21" s="53">
        <f>SUMIF($E$21:$E$29,$J21,D$21:D$29)</f>
        <v>1</v>
      </c>
      <c r="L21" s="55">
        <f>K21/SUM($K$20:$K$22)</f>
        <v>4.968944099378882E-5</v>
      </c>
    </row>
    <row r="22" spans="1:12">
      <c r="A22" s="187" t="s">
        <v>367</v>
      </c>
      <c r="B22" s="187" t="s">
        <v>367</v>
      </c>
      <c r="C22" s="187" t="s">
        <v>81</v>
      </c>
      <c r="D22" s="184">
        <v>1</v>
      </c>
      <c r="E22" s="53" t="s">
        <v>832</v>
      </c>
      <c r="F22" s="53" t="s">
        <v>1143</v>
      </c>
      <c r="I22" s="6" t="str">
        <f>_xlfn.TRANSLATE(J22,"ko","en")</f>
        <v>LPG</v>
      </c>
      <c r="J22" s="54" t="s">
        <v>834</v>
      </c>
      <c r="K22" s="53">
        <f>SUMIF($E$21:$E$29,$J22,D$21:D$29)</f>
        <v>10</v>
      </c>
      <c r="L22" s="55">
        <f>K22/SUM($K$20:$K$22)</f>
        <v>4.9689440993788822E-4</v>
      </c>
    </row>
    <row r="23" spans="1:12">
      <c r="A23" s="187" t="s">
        <v>367</v>
      </c>
      <c r="B23" s="187" t="s">
        <v>367</v>
      </c>
      <c r="C23" s="187" t="s">
        <v>80</v>
      </c>
      <c r="D23" s="184">
        <v>4512</v>
      </c>
      <c r="E23" s="53" t="s">
        <v>832</v>
      </c>
      <c r="F23" s="53" t="s">
        <v>1144</v>
      </c>
    </row>
    <row r="24" spans="1:12">
      <c r="A24" s="187" t="s">
        <v>367</v>
      </c>
      <c r="B24" s="187" t="s">
        <v>367</v>
      </c>
      <c r="C24" s="187" t="s">
        <v>1127</v>
      </c>
      <c r="D24" s="184">
        <v>707</v>
      </c>
      <c r="E24" s="53" t="s">
        <v>832</v>
      </c>
      <c r="F24" s="53" t="s">
        <v>1145</v>
      </c>
    </row>
    <row r="25" spans="1:12">
      <c r="A25" s="187" t="s">
        <v>367</v>
      </c>
      <c r="B25" s="187" t="s">
        <v>367</v>
      </c>
      <c r="C25" s="187" t="s">
        <v>1128</v>
      </c>
      <c r="D25" s="184">
        <v>42</v>
      </c>
      <c r="E25" s="53" t="s">
        <v>832</v>
      </c>
      <c r="F25" s="53" t="s">
        <v>1146</v>
      </c>
    </row>
    <row r="26" spans="1:12">
      <c r="A26" s="187" t="s">
        <v>367</v>
      </c>
      <c r="B26" s="187" t="s">
        <v>367</v>
      </c>
      <c r="C26" s="187" t="s">
        <v>1129</v>
      </c>
      <c r="D26" s="184">
        <v>14812</v>
      </c>
      <c r="E26" s="53" t="s">
        <v>832</v>
      </c>
      <c r="F26" s="53" t="s">
        <v>1147</v>
      </c>
    </row>
    <row r="27" spans="1:12">
      <c r="A27" s="187" t="s">
        <v>367</v>
      </c>
      <c r="B27" s="187" t="s">
        <v>367</v>
      </c>
      <c r="C27" s="187" t="s">
        <v>1130</v>
      </c>
      <c r="D27" s="184">
        <v>0</v>
      </c>
      <c r="E27" s="53" t="s">
        <v>833</v>
      </c>
      <c r="F27" s="53" t="s">
        <v>1148</v>
      </c>
    </row>
    <row r="28" spans="1:12">
      <c r="A28" s="187" t="s">
        <v>367</v>
      </c>
      <c r="B28" s="187" t="s">
        <v>367</v>
      </c>
      <c r="C28" s="187" t="s">
        <v>1024</v>
      </c>
      <c r="D28" s="184">
        <v>10</v>
      </c>
      <c r="E28" s="53" t="s">
        <v>834</v>
      </c>
      <c r="F28" s="53" t="s">
        <v>1149</v>
      </c>
    </row>
    <row r="29" spans="1:12">
      <c r="A29" s="187" t="s">
        <v>367</v>
      </c>
      <c r="B29" s="187" t="s">
        <v>367</v>
      </c>
      <c r="C29" s="187" t="s">
        <v>1131</v>
      </c>
      <c r="D29" s="184">
        <v>40</v>
      </c>
      <c r="E29" s="53" t="s">
        <v>832</v>
      </c>
      <c r="F29" s="53" t="s">
        <v>1150</v>
      </c>
    </row>
    <row r="44" spans="1:2">
      <c r="A44" s="185"/>
      <c r="B44" s="185"/>
    </row>
    <row r="45" spans="1:2">
      <c r="A45" s="185"/>
    </row>
    <row r="46" spans="1:2">
      <c r="A46" s="185"/>
      <c r="B46" s="185"/>
    </row>
    <row r="47" spans="1:2">
      <c r="A47" s="185"/>
    </row>
    <row r="48" spans="1:2">
      <c r="A48" s="185"/>
      <c r="B48" s="185"/>
    </row>
    <row r="49" spans="1:2">
      <c r="A49" s="185"/>
    </row>
    <row r="50" spans="1:2">
      <c r="A50" s="185"/>
      <c r="B50" s="185"/>
    </row>
    <row r="52" spans="1:2">
      <c r="A52" s="185"/>
    </row>
    <row r="53" spans="1:2">
      <c r="A53" s="185"/>
      <c r="B53" s="185"/>
    </row>
    <row r="54" spans="1:2">
      <c r="A54" s="185"/>
      <c r="B54" s="185"/>
    </row>
    <row r="55" spans="1:2">
      <c r="A55" s="185"/>
      <c r="B55" s="185"/>
    </row>
    <row r="56" spans="1:2">
      <c r="A56" s="185"/>
      <c r="B56" s="185"/>
    </row>
    <row r="57" spans="1:2">
      <c r="A57" s="185"/>
      <c r="B57" s="185"/>
    </row>
    <row r="58" spans="1:2">
      <c r="A58" s="185"/>
      <c r="B58" s="185"/>
    </row>
  </sheetData>
  <phoneticPr fontId="37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H21"/>
  <sheetViews>
    <sheetView workbookViewId="0">
      <selection activeCell="H32" sqref="H32"/>
    </sheetView>
  </sheetViews>
  <sheetFormatPr defaultRowHeight="15"/>
  <cols>
    <col min="1" max="1" width="16.85546875" customWidth="1"/>
    <col min="2" max="2" width="24.42578125" customWidth="1"/>
    <col min="3" max="3" width="20.85546875" customWidth="1"/>
    <col min="4" max="4" width="18.28515625" customWidth="1"/>
    <col min="5" max="5" width="17.140625" customWidth="1"/>
    <col min="6" max="8" width="23.28515625" customWidth="1"/>
    <col min="9" max="9" width="10" bestFit="1" customWidth="1"/>
    <col min="10" max="10" width="14.42578125" bestFit="1" customWidth="1"/>
  </cols>
  <sheetData>
    <row r="1" spans="1:8" ht="30">
      <c r="A1" s="3" t="s">
        <v>835</v>
      </c>
      <c r="B1" s="4" t="s">
        <v>821</v>
      </c>
      <c r="C1" s="4" t="s">
        <v>231</v>
      </c>
      <c r="D1" s="4" t="s">
        <v>232</v>
      </c>
      <c r="E1" s="4" t="s">
        <v>233</v>
      </c>
      <c r="F1" s="4" t="s">
        <v>234</v>
      </c>
      <c r="G1" s="4" t="s">
        <v>235</v>
      </c>
      <c r="H1" s="4" t="s">
        <v>236</v>
      </c>
    </row>
    <row r="2" spans="1:8">
      <c r="A2" s="5" t="s">
        <v>836</v>
      </c>
      <c r="B2" s="1">
        <f>DV!C3</f>
        <v>114917.60648530474</v>
      </c>
      <c r="C2" s="1">
        <f>DV!C4</f>
        <v>34230.059993082032</v>
      </c>
      <c r="D2" s="1">
        <f>DV!C5</f>
        <v>10959476.048499774</v>
      </c>
      <c r="E2" s="1">
        <f>DV!C6</f>
        <v>6290827.1892583873</v>
      </c>
      <c r="F2" s="1">
        <f>DV!C7</f>
        <v>648853.05339912046</v>
      </c>
      <c r="G2" s="1">
        <f>DV!C8</f>
        <v>1786472.2280383769</v>
      </c>
      <c r="H2" s="1">
        <f>DV!C9</f>
        <v>10491.920808424515</v>
      </c>
    </row>
    <row r="3" spans="1:8">
      <c r="A3" s="5" t="s">
        <v>837</v>
      </c>
      <c r="B3" s="1">
        <f>DV!C12</f>
        <v>4535.3935146952517</v>
      </c>
      <c r="C3" s="1">
        <f>DV!C13</f>
        <v>1350.9400069179658</v>
      </c>
      <c r="D3" s="1">
        <f>DV!C14</f>
        <v>432531.9515002254</v>
      </c>
      <c r="E3" s="1">
        <f>DV!C15</f>
        <v>248276.81074161202</v>
      </c>
      <c r="F3" s="1">
        <f>DV!C16</f>
        <v>25607.946600879633</v>
      </c>
      <c r="G3" s="1">
        <f>DV!C17</f>
        <v>70505.771961623075</v>
      </c>
      <c r="H3" s="1">
        <f>DV!C18</f>
        <v>414.07919157548508</v>
      </c>
    </row>
    <row r="4" spans="1:8">
      <c r="A4" s="5" t="s">
        <v>838</v>
      </c>
      <c r="B4" s="1">
        <v>0</v>
      </c>
      <c r="C4" s="1">
        <v>0</v>
      </c>
      <c r="D4" s="1">
        <v>0</v>
      </c>
      <c r="E4" s="1">
        <f>SUM(Aircraft!K17:K19)</f>
        <v>795</v>
      </c>
      <c r="F4" s="1">
        <v>0</v>
      </c>
      <c r="G4" s="1">
        <v>0</v>
      </c>
      <c r="H4" s="1">
        <v>0</v>
      </c>
    </row>
    <row r="5" spans="1:8">
      <c r="A5" s="116" t="s">
        <v>839</v>
      </c>
      <c r="B5" s="1">
        <f>SUM(Rail!D32:D35,Rail!D39:D41)+Rail!D37*0.5+'Rail-subway'!J55</f>
        <v>1589.6666666666665</v>
      </c>
      <c r="C5" s="1">
        <v>0</v>
      </c>
      <c r="D5" s="1">
        <v>0</v>
      </c>
      <c r="E5" s="1">
        <f>Rail!D38+Rail!D36*0.5</f>
        <v>151.75</v>
      </c>
      <c r="F5" s="1">
        <v>0</v>
      </c>
      <c r="G5" s="1">
        <v>0</v>
      </c>
      <c r="H5" s="1">
        <v>0</v>
      </c>
    </row>
    <row r="6" spans="1:8">
      <c r="A6" s="116" t="s">
        <v>840</v>
      </c>
      <c r="B6" s="1">
        <v>0</v>
      </c>
      <c r="C6" s="1">
        <v>0</v>
      </c>
      <c r="D6" s="143">
        <f>Ships!$C$3*Cal!L21</f>
        <v>1.6298136645962732E-2</v>
      </c>
      <c r="E6" s="1">
        <f>Ships!C$3</f>
        <v>328</v>
      </c>
      <c r="F6" s="1">
        <v>0</v>
      </c>
      <c r="G6" s="1">
        <f>Ships!C$3*Cal!L22</f>
        <v>0.16298136645962732</v>
      </c>
      <c r="H6" s="1">
        <v>0</v>
      </c>
    </row>
    <row r="7" spans="1:8">
      <c r="A7" s="5" t="s">
        <v>841</v>
      </c>
      <c r="B7" s="1">
        <v>0</v>
      </c>
      <c r="C7" s="1">
        <v>0</v>
      </c>
      <c r="D7" s="1">
        <f>Motorbikes!D29</f>
        <v>272564</v>
      </c>
      <c r="E7" s="1">
        <v>0</v>
      </c>
      <c r="F7" s="1">
        <v>0</v>
      </c>
      <c r="G7" s="1">
        <v>0</v>
      </c>
      <c r="H7" s="1">
        <v>0</v>
      </c>
    </row>
    <row r="9" spans="1:8">
      <c r="A9" s="8"/>
      <c r="B9" s="9"/>
      <c r="C9" s="9"/>
      <c r="D9" s="9"/>
      <c r="E9" s="9"/>
      <c r="F9" s="9"/>
      <c r="G9" s="9"/>
      <c r="H9" s="9"/>
    </row>
    <row r="10" spans="1:8">
      <c r="A10" s="8"/>
      <c r="B10" s="1"/>
      <c r="C10" s="1"/>
      <c r="D10" s="1"/>
      <c r="E10" s="1"/>
      <c r="F10" s="1"/>
      <c r="G10" s="1"/>
      <c r="H10" s="1"/>
    </row>
    <row r="11" spans="1:8">
      <c r="A11" s="8"/>
      <c r="B11" s="1"/>
      <c r="C11" s="1"/>
      <c r="D11" s="1"/>
      <c r="E11" s="1"/>
      <c r="F11" s="1"/>
      <c r="G11" s="1"/>
      <c r="H11" s="1"/>
    </row>
    <row r="12" spans="1:8">
      <c r="A12" s="8"/>
      <c r="B12" s="1"/>
      <c r="C12" s="1"/>
      <c r="D12" s="1"/>
      <c r="E12" s="1"/>
      <c r="F12" s="1"/>
      <c r="G12" s="1"/>
      <c r="H12" s="1"/>
    </row>
    <row r="13" spans="1:8">
      <c r="A13" s="8"/>
      <c r="B13" s="1"/>
      <c r="C13" s="1"/>
      <c r="D13" s="1"/>
      <c r="E13" s="1"/>
      <c r="F13" s="1"/>
      <c r="G13" s="1"/>
      <c r="H13" s="1"/>
    </row>
    <row r="14" spans="1:8">
      <c r="A14" s="8"/>
      <c r="B14" s="1"/>
      <c r="C14" s="1"/>
      <c r="D14" s="1"/>
      <c r="E14" s="1"/>
      <c r="F14" s="1"/>
      <c r="G14" s="1"/>
      <c r="H14" s="1"/>
    </row>
    <row r="15" spans="1:8">
      <c r="A15" s="8"/>
      <c r="B15" s="1"/>
      <c r="C15" s="1"/>
      <c r="D15" s="1"/>
      <c r="E15" s="1"/>
      <c r="F15" s="1"/>
      <c r="G15" s="1"/>
      <c r="H15" s="1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honeticPr fontId="37" type="noConversion"/>
  <pageMargins left="0.7" right="0.7" top="0.75" bottom="0.75" header="0.3" footer="0.3"/>
  <pageSetup orientation="portrait" horizontalDpi="4294967292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H15"/>
  <sheetViews>
    <sheetView tabSelected="1" workbookViewId="0">
      <selection activeCell="B6" sqref="B6:H6"/>
    </sheetView>
  </sheetViews>
  <sheetFormatPr defaultRowHeight="15"/>
  <cols>
    <col min="1" max="1" width="16.85546875" customWidth="1"/>
    <col min="2" max="2" width="24.42578125" customWidth="1"/>
    <col min="3" max="3" width="20.85546875" customWidth="1"/>
    <col min="4" max="4" width="18.28515625" customWidth="1"/>
    <col min="5" max="5" width="17.140625" customWidth="1"/>
    <col min="6" max="8" width="23.28515625" customWidth="1"/>
    <col min="9" max="9" width="10" bestFit="1" customWidth="1"/>
    <col min="10" max="10" width="14.42578125" bestFit="1" customWidth="1"/>
  </cols>
  <sheetData>
    <row r="1" spans="1:8" ht="30">
      <c r="A1" s="3" t="s">
        <v>835</v>
      </c>
      <c r="B1" s="4" t="s">
        <v>230</v>
      </c>
      <c r="C1" s="4" t="s">
        <v>231</v>
      </c>
      <c r="D1" s="4" t="s">
        <v>232</v>
      </c>
      <c r="E1" s="4" t="s">
        <v>233</v>
      </c>
      <c r="F1" s="4" t="s">
        <v>234</v>
      </c>
      <c r="G1" s="4" t="s">
        <v>235</v>
      </c>
      <c r="H1" s="4" t="s">
        <v>236</v>
      </c>
    </row>
    <row r="2" spans="1:8">
      <c r="A2" s="5" t="s">
        <v>836</v>
      </c>
      <c r="B2" s="1">
        <f>DV!C21</f>
        <v>11965.956562995307</v>
      </c>
      <c r="C2" s="1">
        <f>DV!C22</f>
        <v>1366</v>
      </c>
      <c r="D2" s="1">
        <f>DV!C23</f>
        <v>14255.143043258835</v>
      </c>
      <c r="E2" s="1">
        <f>DV!C24</f>
        <v>2664174.8230804084</v>
      </c>
      <c r="F2" s="1">
        <f>DV!C25</f>
        <v>0</v>
      </c>
      <c r="G2" s="1">
        <f>DV!C26</f>
        <v>94459.997166222995</v>
      </c>
      <c r="H2" s="1">
        <f>DV!C27</f>
        <v>0</v>
      </c>
    </row>
    <row r="3" spans="1:8">
      <c r="A3" s="5" t="s">
        <v>837</v>
      </c>
      <c r="B3" s="1">
        <f>DV!C30</f>
        <v>3543.0434370046937</v>
      </c>
      <c r="C3" s="1">
        <f>DV!C31</f>
        <v>0</v>
      </c>
      <c r="D3" s="1">
        <f>DV!C32</f>
        <v>4220.8569567411641</v>
      </c>
      <c r="E3" s="1">
        <f>DV!C33</f>
        <v>788845.17691959161</v>
      </c>
      <c r="F3" s="1">
        <f>DV!C34</f>
        <v>0</v>
      </c>
      <c r="G3" s="1">
        <f>DV!C35</f>
        <v>27969.002833777009</v>
      </c>
      <c r="H3" s="1">
        <f>DV!C36</f>
        <v>0</v>
      </c>
    </row>
    <row r="4" spans="1:8">
      <c r="A4" s="5" t="s">
        <v>838</v>
      </c>
      <c r="B4" s="1">
        <v>0</v>
      </c>
      <c r="C4" s="1">
        <v>0</v>
      </c>
      <c r="D4" s="1">
        <v>0</v>
      </c>
      <c r="E4" s="1">
        <f>SUM(Aircraft!K20)</f>
        <v>36</v>
      </c>
      <c r="F4" s="1">
        <v>0</v>
      </c>
      <c r="G4" s="1">
        <v>0</v>
      </c>
      <c r="H4" s="1">
        <v>0</v>
      </c>
    </row>
    <row r="5" spans="1:8">
      <c r="A5" s="116" t="s">
        <v>839</v>
      </c>
      <c r="B5" s="1">
        <f>Rail!D37*0.5</f>
        <v>87.5</v>
      </c>
      <c r="C5" s="1">
        <v>0</v>
      </c>
      <c r="D5" s="1">
        <v>0</v>
      </c>
      <c r="E5" s="1">
        <f>Rail!D36*0.5</f>
        <v>121.5</v>
      </c>
      <c r="F5" s="1">
        <v>0</v>
      </c>
      <c r="G5" s="1">
        <v>0</v>
      </c>
      <c r="H5" s="1">
        <v>0</v>
      </c>
    </row>
    <row r="6" spans="1:8">
      <c r="A6" s="116" t="s">
        <v>840</v>
      </c>
      <c r="B6" s="1">
        <v>0</v>
      </c>
      <c r="C6" s="1">
        <v>0</v>
      </c>
      <c r="D6" s="1">
        <f>ROUND(SUM(Ships!C4:C5)*Cal!L21,0)</f>
        <v>0</v>
      </c>
      <c r="E6" s="1">
        <f>ROUND(SUM(Ships!C4:C5)*Cal!L20*Ships!B20,0)</f>
        <v>631</v>
      </c>
      <c r="F6" s="1">
        <v>0</v>
      </c>
      <c r="G6" s="1">
        <f>ROUND(SUM(Ships!C4:C5)*Cal!L22,0)</f>
        <v>1</v>
      </c>
      <c r="H6" s="1">
        <v>0</v>
      </c>
    </row>
    <row r="7" spans="1:8">
      <c r="A7" s="5" t="s">
        <v>841</v>
      </c>
      <c r="B7" s="1">
        <v>0</v>
      </c>
      <c r="C7" s="1">
        <v>0</v>
      </c>
      <c r="D7" s="1">
        <f>Motorbikes!D28</f>
        <v>2016445</v>
      </c>
      <c r="E7" s="1">
        <v>0</v>
      </c>
      <c r="F7" s="1">
        <v>0</v>
      </c>
      <c r="G7" s="1">
        <v>0</v>
      </c>
      <c r="H7" s="1">
        <v>0</v>
      </c>
    </row>
    <row r="9" spans="1:8">
      <c r="A9" s="5"/>
      <c r="B9" s="8"/>
      <c r="C9" s="8"/>
      <c r="D9" s="8"/>
      <c r="E9" s="8"/>
      <c r="F9" s="8"/>
      <c r="G9" s="8"/>
      <c r="H9" s="8"/>
    </row>
    <row r="10" spans="1:8">
      <c r="A10" s="8"/>
    </row>
    <row r="11" spans="1:8">
      <c r="A11" s="8"/>
    </row>
    <row r="12" spans="1:8">
      <c r="A12" s="8"/>
    </row>
    <row r="13" spans="1:8">
      <c r="A13" s="8"/>
    </row>
    <row r="14" spans="1:8">
      <c r="A14" s="8"/>
    </row>
    <row r="15" spans="1:8">
      <c r="A15" s="8"/>
    </row>
  </sheetData>
  <phoneticPr fontId="37" type="noConversion"/>
  <pageMargins left="0.7" right="0.7" top="0.75" bottom="0.75" header="0.3" footer="0.3"/>
  <pageSetup paperSize="9" orientation="portrait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447411B-1723-4375-BAF9-B0A797A296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4d404-d193-41dc-bb72-733c1e774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1D8FD8-7766-490A-A652-A34C0B526A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8A871D-C9CE-46D1-86D5-659DFBEAFF1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About</vt:lpstr>
      <vt:lpstr>DV-per fuel</vt:lpstr>
      <vt:lpstr>Marklines for hybrid split</vt:lpstr>
      <vt:lpstr>DV-Regis</vt:lpstr>
      <vt:lpstr>DV</vt:lpstr>
      <vt:lpstr>Rail-subway</vt:lpstr>
      <vt:lpstr>Rail</vt:lpstr>
      <vt:lpstr>Aircraft</vt:lpstr>
      <vt:lpstr>Aricraft_Pocket Aviation</vt:lpstr>
      <vt:lpstr>Ships</vt:lpstr>
      <vt:lpstr>Motorbikes</vt:lpstr>
      <vt:lpstr>Cal</vt:lpstr>
      <vt:lpstr>SYVbT-passenger</vt:lpstr>
      <vt:lpstr>SYVbT-freight</vt:lpstr>
      <vt:lpstr>'DV-per fuel'!_12</vt:lpstr>
      <vt:lpstr>'DV-per fuel'!_12_1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Dan O'Brien</cp:lastModifiedBy>
  <cp:revision/>
  <dcterms:created xsi:type="dcterms:W3CDTF">2017-06-22T21:46:10Z</dcterms:created>
  <dcterms:modified xsi:type="dcterms:W3CDTF">2026-03-30T14:29:19Z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