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SYVbT\"/>
    </mc:Choice>
  </mc:AlternateContent>
  <xr:revisionPtr revIDLastSave="0" documentId="8_{05102C6E-63CF-4A32-B604-3F9EAD8C789F}" xr6:coauthVersionLast="47" xr6:coauthVersionMax="47" xr10:uidLastSave="{00000000-0000-0000-0000-000000000000}"/>
  <bookViews>
    <workbookView xWindow="735" yWindow="735" windowWidth="27045" windowHeight="14955" tabRatio="763" xr2:uid="{B06041E8-9A89-4377-8AB3-50A65CB423EB}"/>
  </bookViews>
  <sheets>
    <sheet name="About" sheetId="1" r:id="rId1"/>
    <sheet name="DV-per fuel" sheetId="16" r:id="rId2"/>
    <sheet name="Marklines for hybrid split" sheetId="30" r:id="rId3"/>
    <sheet name="DV-Regis" sheetId="23" r:id="rId4"/>
    <sheet name="DV" sheetId="27" r:id="rId5"/>
    <sheet name="Rail-subway" sheetId="29" r:id="rId6"/>
    <sheet name="Rail" sheetId="21" r:id="rId7"/>
    <sheet name="Aircraft" sheetId="19" r:id="rId8"/>
    <sheet name="Aricraft_Pocket Aviation" sheetId="31" r:id="rId9"/>
    <sheet name="Ships" sheetId="20" r:id="rId10"/>
    <sheet name="Motorbikes" sheetId="17" r:id="rId11"/>
    <sheet name="Cal" sheetId="22" r:id="rId12"/>
    <sheet name="SYVbT-passenger" sheetId="2" r:id="rId13"/>
    <sheet name="SYVbT-freight" sheetId="4" r:id="rId14"/>
  </sheets>
  <externalReferences>
    <externalReference r:id="rId15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fuel'!#REF!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9" l="1"/>
  <c r="K5" i="19"/>
  <c r="F51" i="19"/>
  <c r="F48" i="19"/>
  <c r="B5" i="2" l="1"/>
  <c r="D6" i="29"/>
  <c r="B6" i="29" s="1"/>
  <c r="I43" i="29" s="1"/>
  <c r="J43" i="29" s="1"/>
  <c r="D69" i="29"/>
  <c r="D70" i="29"/>
  <c r="D68" i="29"/>
  <c r="I54" i="29"/>
  <c r="J54" i="29" s="1"/>
  <c r="I53" i="29"/>
  <c r="J53" i="29" s="1"/>
  <c r="I52" i="29"/>
  <c r="J52" i="29" s="1"/>
  <c r="I51" i="29"/>
  <c r="J51" i="29" s="1"/>
  <c r="I50" i="29"/>
  <c r="J50" i="29" s="1"/>
  <c r="I49" i="29"/>
  <c r="J49" i="29" s="1"/>
  <c r="I48" i="29"/>
  <c r="J48" i="29" s="1"/>
  <c r="I47" i="29"/>
  <c r="J47" i="29" s="1"/>
  <c r="I46" i="29"/>
  <c r="J46" i="29" s="1"/>
  <c r="I44" i="29"/>
  <c r="J44" i="29" s="1"/>
  <c r="D35" i="21"/>
  <c r="D34" i="21"/>
  <c r="D33" i="21"/>
  <c r="I45" i="29" l="1"/>
  <c r="J45" i="29" s="1"/>
  <c r="J55" i="29" s="1"/>
  <c r="K20" i="22"/>
  <c r="K21" i="22"/>
  <c r="K22" i="22"/>
  <c r="L22" i="22" s="1"/>
  <c r="T6" i="30"/>
  <c r="T5" i="30"/>
  <c r="T2" i="30"/>
  <c r="H15" i="30"/>
  <c r="I15" i="30"/>
  <c r="J15" i="30"/>
  <c r="K15" i="30"/>
  <c r="L15" i="30"/>
  <c r="M15" i="30"/>
  <c r="N15" i="30"/>
  <c r="O15" i="30"/>
  <c r="P15" i="30"/>
  <c r="H16" i="30"/>
  <c r="I16" i="30"/>
  <c r="J16" i="30"/>
  <c r="K16" i="30"/>
  <c r="L16" i="30"/>
  <c r="M16" i="30"/>
  <c r="N16" i="30"/>
  <c r="O16" i="30"/>
  <c r="P16" i="30"/>
  <c r="H17" i="30"/>
  <c r="I17" i="30"/>
  <c r="J17" i="30"/>
  <c r="K17" i="30"/>
  <c r="L17" i="30"/>
  <c r="M17" i="30"/>
  <c r="N17" i="30"/>
  <c r="O17" i="30"/>
  <c r="P17" i="30"/>
  <c r="H18" i="30"/>
  <c r="I18" i="30"/>
  <c r="J18" i="30"/>
  <c r="K18" i="30"/>
  <c r="L18" i="30"/>
  <c r="M18" i="30"/>
  <c r="N18" i="30"/>
  <c r="O18" i="30"/>
  <c r="P18" i="30"/>
  <c r="H19" i="30"/>
  <c r="I19" i="30"/>
  <c r="J19" i="30"/>
  <c r="K19" i="30"/>
  <c r="L19" i="30"/>
  <c r="M19" i="30"/>
  <c r="N19" i="30"/>
  <c r="O19" i="30"/>
  <c r="P19" i="30"/>
  <c r="H20" i="30"/>
  <c r="I20" i="30"/>
  <c r="J20" i="30"/>
  <c r="K20" i="30"/>
  <c r="L20" i="30"/>
  <c r="M20" i="30"/>
  <c r="N20" i="30"/>
  <c r="O20" i="30"/>
  <c r="P20" i="30"/>
  <c r="H21" i="30"/>
  <c r="I21" i="30"/>
  <c r="J21" i="30"/>
  <c r="K21" i="30"/>
  <c r="L21" i="30"/>
  <c r="M21" i="30"/>
  <c r="N21" i="30"/>
  <c r="O21" i="30"/>
  <c r="P21" i="30"/>
  <c r="H22" i="30"/>
  <c r="I22" i="30"/>
  <c r="J22" i="30"/>
  <c r="K22" i="30"/>
  <c r="L22" i="30"/>
  <c r="M22" i="30"/>
  <c r="N22" i="30"/>
  <c r="O22" i="30"/>
  <c r="P22" i="30"/>
  <c r="G21" i="30"/>
  <c r="G16" i="30"/>
  <c r="G17" i="30"/>
  <c r="G18" i="30"/>
  <c r="G19" i="30"/>
  <c r="G20" i="30"/>
  <c r="G22" i="30"/>
  <c r="G15" i="30"/>
  <c r="D29" i="17"/>
  <c r="D7" i="2" s="1"/>
  <c r="D28" i="17"/>
  <c r="C9" i="20"/>
  <c r="E6" i="2"/>
  <c r="L21" i="22" l="1"/>
  <c r="L20" i="22"/>
  <c r="D4" i="22"/>
  <c r="D8" i="22"/>
  <c r="C22" i="27" s="1"/>
  <c r="E29" i="29" l="1"/>
  <c r="C9" i="29"/>
  <c r="H28" i="29" l="1"/>
  <c r="I28" i="29" s="1"/>
  <c r="D28" i="29"/>
  <c r="H27" i="29"/>
  <c r="I27" i="29" s="1"/>
  <c r="D27" i="29"/>
  <c r="H26" i="29"/>
  <c r="I26" i="29" s="1"/>
  <c r="D26" i="29"/>
  <c r="H25" i="29"/>
  <c r="I25" i="29" s="1"/>
  <c r="D25" i="29"/>
  <c r="F24" i="29"/>
  <c r="H24" i="29" s="1"/>
  <c r="D24" i="29"/>
  <c r="F23" i="29"/>
  <c r="H23" i="29" s="1"/>
  <c r="I23" i="29" s="1"/>
  <c r="D23" i="29"/>
  <c r="F22" i="29"/>
  <c r="H22" i="29" s="1"/>
  <c r="D22" i="29"/>
  <c r="F21" i="29"/>
  <c r="H21" i="29" s="1"/>
  <c r="I21" i="29" s="1"/>
  <c r="D21" i="29"/>
  <c r="H20" i="29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H5" i="29"/>
  <c r="I5" i="29" s="1"/>
  <c r="D5" i="29"/>
  <c r="D29" i="29" l="1"/>
  <c r="I22" i="29"/>
  <c r="I24" i="29"/>
  <c r="C30" i="29" s="1"/>
  <c r="D46" i="21" l="1"/>
  <c r="D45" i="21"/>
  <c r="D44" i="21"/>
  <c r="D43" i="21"/>
  <c r="D41" i="21"/>
  <c r="D40" i="21"/>
  <c r="D39" i="21"/>
  <c r="D38" i="21"/>
  <c r="D37" i="21"/>
  <c r="D36" i="21"/>
  <c r="D32" i="21"/>
  <c r="E5" i="2" l="1"/>
  <c r="B5" i="4"/>
  <c r="E5" i="4"/>
  <c r="G68" i="19"/>
  <c r="F68" i="19"/>
  <c r="G60" i="19"/>
  <c r="G61" i="19" s="1"/>
  <c r="F60" i="19"/>
  <c r="F40" i="19"/>
  <c r="F36" i="19"/>
  <c r="F33" i="19"/>
  <c r="F28" i="19"/>
  <c r="F25" i="19"/>
  <c r="K19" i="19"/>
  <c r="K18" i="19"/>
  <c r="F16" i="19"/>
  <c r="F12" i="19"/>
  <c r="K6" i="19"/>
  <c r="K4" i="19"/>
  <c r="K20" i="19" l="1"/>
  <c r="E4" i="4" s="1"/>
  <c r="K10" i="19"/>
  <c r="K13" i="19" s="1"/>
  <c r="L10" i="19" s="1"/>
  <c r="G69" i="19"/>
  <c r="F61" i="19"/>
  <c r="F69" i="19" s="1"/>
  <c r="K21" i="19" l="1"/>
  <c r="E4" i="2"/>
  <c r="L11" i="19"/>
  <c r="L9" i="19"/>
  <c r="L12" i="19"/>
  <c r="K8" i="19"/>
  <c r="K14" i="19" l="1"/>
  <c r="L7" i="19"/>
  <c r="L6" i="19"/>
  <c r="L4" i="19"/>
  <c r="L5" i="19"/>
  <c r="E6" i="4" l="1"/>
  <c r="D6" i="4" l="1"/>
  <c r="D6" i="2"/>
  <c r="G6" i="4"/>
  <c r="G6" i="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I4" i="22"/>
  <c r="H4" i="22"/>
  <c r="G4" i="22"/>
  <c r="F4" i="22"/>
  <c r="E4" i="22"/>
  <c r="C4" i="22"/>
  <c r="D5" i="22" l="1"/>
  <c r="G5" i="22"/>
  <c r="J5" i="22"/>
  <c r="J9" i="22"/>
  <c r="E5" i="22"/>
  <c r="C9" i="22"/>
  <c r="F5" i="22"/>
  <c r="E9" i="22"/>
  <c r="H5" i="22"/>
  <c r="F9" i="22"/>
  <c r="C5" i="22"/>
  <c r="I5" i="22"/>
  <c r="H9" i="22"/>
  <c r="C4" i="27" l="1"/>
  <c r="C2" i="2" s="1"/>
  <c r="C13" i="27"/>
  <c r="C3" i="2" s="1"/>
  <c r="C9" i="27"/>
  <c r="H2" i="2" s="1"/>
  <c r="C18" i="27"/>
  <c r="H3" i="2" s="1"/>
  <c r="C3" i="27"/>
  <c r="B2" i="2" s="1"/>
  <c r="C12" i="27"/>
  <c r="B3" i="2" s="1"/>
  <c r="C8" i="27"/>
  <c r="G2" i="2" s="1"/>
  <c r="C17" i="27"/>
  <c r="G3" i="2" s="1"/>
  <c r="C6" i="27"/>
  <c r="E2" i="2" s="1"/>
  <c r="C15" i="27"/>
  <c r="E3" i="2" s="1"/>
  <c r="C14" i="27"/>
  <c r="D3" i="2" s="1"/>
  <c r="C5" i="27"/>
  <c r="D2" i="2" s="1"/>
  <c r="C7" i="27"/>
  <c r="F2" i="2" s="1"/>
  <c r="C16" i="27"/>
  <c r="F3" i="2" s="1"/>
  <c r="C35" i="27"/>
  <c r="G3" i="4" s="1"/>
  <c r="C26" i="27"/>
  <c r="G2" i="4" s="1"/>
  <c r="C2" i="4"/>
  <c r="C3" i="4"/>
  <c r="C24" i="27"/>
  <c r="E2" i="4" s="1"/>
  <c r="C33" i="27"/>
  <c r="E3" i="4" s="1"/>
  <c r="C32" i="27"/>
  <c r="D3" i="4" s="1"/>
  <c r="C23" i="27"/>
  <c r="D2" i="4" s="1"/>
  <c r="C21" i="27"/>
  <c r="B2" i="4" s="1"/>
  <c r="C30" i="27"/>
  <c r="B3" i="4" s="1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<sst xmlns="http://schemas.openxmlformats.org/spreadsheetml/2006/main" count="4315" uniqueCount="1283">
  <si>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</si>
  <si>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</si>
  <si>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</si>
  <si>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</si>
  <si>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</si>
  <si>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</si>
  <si>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</si>
  <si>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</si>
  <si>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</si>
  <si>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</si>
  <si>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</si>
  <si>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</si>
  <si>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</si>
  <si>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</si>
  <si>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</si>
  <si>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</si>
  <si>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</si>
  <si>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</si>
  <si>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</si>
  <si>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</si>
  <si>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</si>
  <si>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</si>
  <si>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</si>
  <si>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</si>
  <si>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</si>
  <si>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</si>
  <si>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</si>
  <si>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</si>
  <si>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</si>
  <si>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</si>
  <si>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</si>
  <si>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</si>
  <si>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</si>
  <si>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</si>
  <si>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</si>
  <si>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</si>
  <si>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</si>
  <si>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</si>
  <si>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</si>
  <si>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</si>
  <si>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</si>
  <si>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</si>
  <si>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</si>
  <si>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</si>
  <si>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</si>
  <si>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</si>
  <si>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</si>
  <si>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</si>
  <si>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</si>
  <si>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</si>
  <si>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</si>
  <si>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</si>
  <si>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</si>
  <si>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</si>
  <si>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</si>
  <si>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</si>
  <si>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</si>
  <si>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</si>
  <si>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</si>
  <si>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</si>
  <si>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</si>
  <si>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</si>
  <si>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</si>
  <si>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</si>
  <si>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</si>
  <si>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</si>
  <si>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</si>
  <si>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</si>
  <si>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</si>
  <si>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</si>
  <si>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</si>
  <si>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</si>
  <si>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</si>
  <si>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</si>
  <si>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</si>
  <si>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</si>
  <si>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</si>
  <si>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</si>
  <si>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</si>
  <si>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</si>
  <si>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</si>
  <si>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</si>
  <si>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</si>
  <si>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</si>
  <si>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</si>
  <si>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</si>
  <si>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</si>
  <si>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</si>
  <si>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</si>
  <si>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</si>
  <si>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</si>
  <si>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</si>
  <si>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</si>
  <si>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</si>
  <si>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</si>
  <si>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</si>
  <si>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</si>
  <si>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</si>
  <si>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</si>
  <si>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</si>
  <si>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</si>
  <si>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</si>
  <si>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</si>
  <si>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</si>
  <si>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</si>
  <si>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</si>
  <si>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</si>
  <si>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</si>
  <si>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</si>
  <si>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</si>
  <si>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</si>
  <si>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</si>
  <si>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</si>
  <si>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</si>
  <si>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</si>
  <si>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</si>
  <si>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</si>
  <si>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</si>
  <si>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</si>
  <si>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</si>
  <si>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</si>
  <si>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</si>
  <si>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</si>
  <si>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</si>
  <si>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</si>
  <si>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</si>
  <si>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</si>
  <si>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</si>
  <si>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</si>
  <si>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</si>
  <si>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</si>
  <si>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</si>
  <si>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</si>
  <si>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</si>
  <si>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</si>
  <si>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</si>
  <si>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</si>
  <si>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</si>
  <si>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</si>
  <si>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</si>
  <si>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</si>
  <si>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</si>
  <si>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</si>
  <si>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</si>
  <si>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</si>
  <si>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</si>
  <si>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</si>
  <si>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</si>
  <si>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</si>
  <si>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</si>
  <si>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</si>
  <si>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</si>
  <si>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</si>
  <si>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</si>
  <si>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</si>
  <si>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</si>
  <si>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</si>
  <si>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</si>
  <si>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</si>
  <si>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</si>
  <si>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</si>
  <si>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</si>
  <si>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</si>
  <si>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</si>
  <si>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</si>
  <si>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</si>
  <si>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</si>
  <si>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</si>
  <si>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</si>
  <si>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</si>
  <si>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</si>
  <si>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</si>
  <si>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</si>
  <si>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</si>
  <si>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</si>
  <si>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</si>
  <si>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</si>
  <si>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</si>
  <si>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</si>
  <si>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</si>
  <si>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</si>
  <si>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</si>
  <si>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</si>
  <si>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</si>
  <si>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</si>
  <si>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</si>
  <si>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</si>
  <si>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</si>
  <si>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</si>
  <si>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</si>
  <si>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</si>
  <si>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</si>
  <si>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</si>
  <si>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</si>
  <si>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</si>
  <si>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</si>
  <si>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</si>
  <si>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</si>
  <si>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</si>
  <si>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</si>
  <si>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</si>
  <si>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</si>
  <si>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</si>
  <si>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</si>
  <si>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</si>
  <si>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</si>
  <si>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</si>
  <si>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</si>
  <si>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</si>
  <si>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</si>
  <si>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</si>
  <si>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</si>
  <si>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</si>
  <si>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</si>
  <si>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</si>
  <si>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</si>
  <si>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</si>
  <si>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</si>
  <si>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</si>
  <si>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</si>
  <si>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</si>
  <si>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</si>
  <si>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</si>
  <si>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</si>
  <si>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</si>
  <si>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</si>
  <si>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</si>
  <si>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</si>
  <si>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</si>
  <si>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</si>
  <si>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</si>
  <si>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</si>
  <si>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</si>
  <si>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</si>
  <si>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</si>
  <si>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</si>
  <si>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</si>
  <si>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</si>
  <si>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</si>
  <si>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</si>
  <si>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</si>
  <si>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</si>
  <si>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</si>
  <si>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</si>
  <si>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</si>
  <si>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</si>
  <si>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</si>
  <si>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</si>
  <si>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</si>
  <si>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</si>
  <si>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</si>
  <si>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</si>
  <si>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</si>
  <si>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</si>
  <si>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</si>
  <si>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</si>
  <si>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</si>
  <si>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</si>
  <si>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</si>
  <si>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</si>
  <si>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</si>
  <si>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</si>
  <si>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</si>
  <si>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</si>
  <si>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</si>
  <si>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</si>
  <si>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</si>
  <si>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</si>
  <si>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</si>
  <si>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</si>
  <si>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</si>
  <si>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</si>
  <si>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</si>
  <si>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</si>
  <si>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</si>
  <si>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</si>
  <si>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</si>
  <si>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</si>
  <si>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</si>
  <si>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</si>
  <si>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</si>
  <si>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</si>
  <si>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</si>
  <si>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</si>
  <si>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</si>
  <si>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</si>
  <si>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</si>
  <si>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</si>
  <si>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</si>
  <si>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</si>
  <si>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</si>
  <si>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</si>
  <si>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</si>
  <si>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</si>
  <si>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</si>
  <si>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</si>
  <si>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</si>
  <si>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</si>
  <si>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</si>
  <si>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</si>
  <si>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</si>
  <si>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</si>
  <si>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</si>
  <si>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</si>
  <si>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</si>
  <si>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</si>
  <si>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</si>
  <si>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</si>
  <si>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</si>
  <si>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</si>
  <si>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</si>
  <si>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</si>
  <si>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</si>
  <si>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</si>
  <si>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</si>
  <si>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</si>
  <si>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</si>
  <si>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</si>
  <si>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</si>
  <si>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</si>
  <si>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</si>
  <si>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</si>
  <si>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</si>
  <si>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</si>
  <si>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</si>
  <si>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</si>
  <si>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</si>
  <si>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</si>
  <si>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</si>
  <si>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</si>
  <si>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</si>
  <si>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</si>
  <si>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</si>
  <si>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</si>
  <si>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</si>
  <si>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</si>
  <si>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</si>
  <si>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</si>
  <si>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</si>
  <si>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</si>
  <si>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</si>
  <si>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</si>
  <si>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</si>
  <si>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</si>
  <si>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</si>
  <si>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</si>
  <si>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</si>
  <si>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</si>
  <si>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</si>
  <si>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</si>
  <si>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</si>
  <si>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</si>
  <si>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</si>
  <si>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</si>
  <si>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</si>
  <si>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</si>
  <si>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</si>
  <si>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</si>
  <si>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</si>
  <si>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</si>
  <si>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</si>
  <si>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</si>
  <si>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</si>
  <si>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</si>
  <si>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</si>
  <si>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</si>
  <si>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</si>
  <si>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</si>
  <si>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</si>
  <si>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</si>
  <si>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</si>
  <si>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</si>
  <si>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</si>
  <si>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</si>
  <si>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</si>
  <si>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</si>
  <si>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</si>
  <si>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</si>
  <si>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</si>
  <si>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</si>
  <si>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</si>
  <si>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</si>
  <si>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</si>
  <si>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</si>
  <si>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</si>
  <si>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</si>
  <si>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</si>
  <si>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</si>
  <si>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</si>
  <si>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</si>
  <si>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</si>
  <si>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</si>
  <si>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</si>
  <si>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</si>
  <si>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</si>
  <si>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</si>
  <si>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</si>
  <si>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</si>
  <si>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</si>
  <si>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</si>
  <si>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</si>
  <si>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</si>
  <si>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</si>
  <si>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</si>
  <si>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</si>
  <si>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</si>
  <si>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</si>
  <si>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</si>
  <si>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</si>
  <si>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</si>
  <si>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</si>
  <si>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</si>
  <si>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</si>
  <si>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</si>
  <si>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</si>
  <si>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</si>
  <si>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</si>
  <si>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</si>
  <si>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</si>
  <si>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</si>
  <si>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</si>
  <si>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</si>
  <si>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</si>
  <si>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</si>
  <si>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</si>
  <si>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</si>
  <si>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</si>
  <si>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</si>
  <si>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</si>
  <si>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</si>
  <si>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</si>
  <si>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</si>
  <si>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</si>
  <si>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</si>
  <si>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</si>
  <si>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</si>
  <si>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</si>
  <si>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</si>
  <si>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</si>
  <si>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</si>
  <si>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</si>
  <si>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</si>
  <si>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</si>
  <si>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</si>
  <si>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</si>
  <si>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</si>
  <si>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</si>
  <si>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</si>
  <si>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</si>
  <si>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</si>
  <si>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</si>
  <si>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</si>
  <si>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</si>
  <si>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</si>
  <si>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</si>
  <si>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</si>
  <si>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</si>
  <si>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</si>
  <si>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</si>
  <si>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</si>
  <si>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</si>
  <si>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</si>
  <si>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</si>
  <si>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</si>
  <si>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</si>
  <si>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</si>
  <si>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</si>
  <si>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</si>
  <si>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</si>
  <si>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</si>
  <si>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</si>
  <si>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</si>
  <si>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</si>
  <si>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</si>
  <si>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</si>
  <si>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</si>
  <si>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</si>
  <si>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</si>
  <si>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</si>
  <si>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</si>
  <si>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</si>
  <si>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</si>
  <si>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</si>
  <si>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</si>
  <si>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</si>
  <si>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</si>
  <si>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</si>
  <si>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</si>
  <si>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</si>
  <si>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</si>
  <si>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</si>
  <si>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</si>
  <si>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</si>
  <si>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</si>
  <si>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</si>
  <si>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</si>
  <si>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</si>
  <si>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</si>
  <si>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</si>
  <si>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</si>
  <si>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</si>
  <si>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</si>
  <si>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</si>
  <si>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</si>
  <si>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</si>
  <si>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</si>
  <si>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</si>
  <si>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</si>
  <si>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</si>
  <si>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</si>
  <si>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</si>
  <si>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</si>
  <si>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</si>
  <si>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</si>
  <si>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</si>
  <si>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</si>
  <si>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</si>
  <si>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</si>
  <si>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</si>
  <si>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</si>
  <si>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</si>
  <si>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</si>
  <si>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</si>
  <si>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</si>
  <si>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</si>
  <si>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</si>
  <si>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</si>
  <si>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</si>
  <si>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</si>
  <si>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</si>
  <si>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</si>
  <si>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</si>
  <si>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</si>
  <si>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</si>
  <si>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</si>
  <si>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</si>
  <si>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</si>
  <si>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</si>
  <si>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</si>
  <si>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</si>
  <si>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</si>
  <si>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</si>
  <si>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</si>
  <si>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</si>
  <si>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</si>
  <si>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</si>
  <si>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</si>
  <si>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</si>
  <si>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</si>
  <si>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</si>
  <si>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</si>
  <si>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</si>
  <si>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</si>
  <si>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</si>
  <si>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</si>
  <si>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</si>
  <si>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</si>
  <si>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</si>
  <si>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</si>
  <si>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</si>
  <si>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</si>
  <si>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</si>
  <si>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</si>
  <si>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</si>
  <si>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</si>
  <si>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</si>
  <si>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</si>
  <si>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</si>
  <si>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</si>
  <si>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</si>
  <si>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</si>
  <si>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</si>
  <si>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</si>
  <si>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</si>
  <si>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</si>
  <si>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</si>
  <si>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</si>
  <si>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</si>
  <si>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</si>
  <si>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</si>
  <si>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</si>
  <si>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</si>
  <si>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</si>
  <si>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</si>
  <si>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</si>
  <si>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</si>
  <si>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</si>
  <si>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</si>
  <si>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</si>
  <si>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</si>
  <si>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</si>
  <si>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</si>
  <si>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</si>
  <si>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</si>
  <si>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</si>
  <si>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</si>
  <si>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</si>
  <si>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</si>
  <si>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</si>
  <si>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</si>
  <si>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</si>
  <si>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</si>
  <si>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</si>
  <si>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</si>
  <si>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</si>
  <si>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</si>
  <si>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</si>
  <si>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</si>
  <si>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</si>
  <si>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</si>
  <si>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</si>
  <si>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</si>
  <si>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</si>
  <si>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</si>
  <si>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</si>
  <si>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</si>
  <si>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</si>
  <si>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</si>
  <si>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</si>
  <si>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</si>
  <si>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</si>
  <si>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</si>
  <si>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</si>
  <si>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</si>
  <si>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</si>
  <si>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</si>
  <si>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</si>
  <si>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</si>
  <si>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</si>
  <si>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</si>
  <si>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</si>
  <si>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</si>
  <si>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</si>
  <si>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</si>
  <si>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</si>
  <si>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</si>
  <si>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</si>
  <si>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</si>
  <si>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</si>
  <si>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</si>
  <si>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</si>
  <si>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</si>
  <si>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</si>
  <si>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</si>
  <si>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</si>
  <si>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</si>
  <si>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</si>
  <si>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</si>
  <si>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</si>
  <si>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</si>
  <si>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</si>
  <si>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</si>
  <si>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</si>
  <si>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</si>
  <si>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</si>
  <si>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</si>
  <si>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</si>
  <si>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</si>
  <si>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</si>
  <si>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</si>
  <si>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</si>
  <si>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</si>
  <si>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</si>
  <si>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</si>
  <si>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</si>
  <si>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</si>
  <si>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</si>
  <si>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</si>
  <si>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</si>
  <si>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</si>
  <si>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</si>
  <si>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</si>
  <si>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</si>
  <si>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</si>
  <si>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</si>
  <si>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</si>
  <si>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</si>
  <si>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</si>
  <si>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</si>
  <si>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</si>
  <si>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</si>
  <si>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</si>
  <si>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</si>
  <si>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</si>
  <si>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</si>
  <si>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</si>
  <si>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</si>
  <si>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</si>
  <si>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</si>
  <si>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</si>
  <si>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</si>
  <si>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</si>
  <si>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</si>
  <si>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</si>
  <si>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</si>
  <si>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</si>
  <si>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</si>
  <si>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</si>
  <si>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</si>
  <si>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</si>
  <si>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</si>
  <si>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</si>
  <si>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</si>
  <si>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</si>
  <si>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</si>
  <si>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</si>
  <si>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</si>
  <si>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</si>
  <si>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</si>
  <si>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</si>
  <si>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</si>
  <si>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</si>
  <si>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</si>
  <si>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</si>
  <si>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</si>
  <si>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</si>
  <si>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</si>
  <si>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</si>
  <si>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</si>
  <si>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</si>
  <si>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</si>
  <si>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</si>
  <si>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</si>
  <si>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</si>
  <si>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</si>
  <si>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</si>
  <si>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</si>
  <si>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</si>
  <si>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</si>
  <si>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</si>
  <si>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</si>
  <si>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</si>
  <si>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</si>
  <si>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</si>
  <si>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</si>
  <si>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</si>
  <si>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</si>
  <si>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</si>
  <si>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</si>
  <si>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</si>
  <si>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</si>
  <si>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</si>
  <si>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</si>
  <si>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</si>
  <si>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</si>
  <si>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</si>
  <si>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</si>
  <si>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</si>
  <si>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</si>
  <si>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</si>
  <si>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</si>
  <si>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</si>
  <si>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</si>
  <si>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</si>
  <si>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</si>
  <si>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</si>
  <si>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</si>
  <si>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</si>
  <si>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</si>
  <si>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</si>
  <si>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</si>
  <si>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</si>
  <si>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</si>
  <si>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</si>
  <si>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</si>
  <si>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</si>
  <si>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</si>
  <si>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</si>
  <si>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</si>
  <si>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</si>
  <si>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</si>
  <si>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</si>
  <si>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</si>
  <si>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</si>
  <si>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</si>
  <si>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</si>
  <si>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</si>
  <si>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</si>
  <si>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</si>
  <si>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</si>
  <si>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</si>
  <si>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</si>
  <si>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</si>
  <si>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</si>
  <si>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</si>
  <si>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</si>
  <si>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</si>
  <si>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</si>
  <si>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</si>
  <si>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</si>
  <si>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</si>
  <si>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</si>
  <si>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</si>
  <si>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</si>
  <si>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</si>
  <si>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</si>
  <si>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</si>
  <si>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</si>
  <si>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</si>
  <si>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</si>
  <si>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</si>
  <si>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</si>
  <si>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</si>
  <si>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</si>
  <si>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</si>
  <si>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</si>
  <si>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</si>
  <si>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</si>
  <si>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</si>
  <si>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</si>
  <si>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</si>
  <si>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</si>
  <si>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</si>
  <si>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</si>
  <si>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</si>
  <si>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</si>
  <si>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</si>
  <si>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</si>
  <si>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</si>
  <si>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</si>
  <si>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</si>
  <si>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</si>
  <si>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</si>
  <si>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</si>
  <si>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</si>
  <si>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</si>
  <si>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</si>
  <si>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</si>
  <si>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</si>
  <si>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</si>
  <si>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</si>
  <si>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</si>
  <si>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디젤</t>
    <phoneticPr fontId="37" type="noConversion"/>
  </si>
  <si>
    <t>가솔린</t>
    <phoneticPr fontId="37" type="noConversion"/>
  </si>
  <si>
    <t>LPG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</si>
  <si>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</si>
  <si>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</si>
  <si>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</si>
  <si>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</si>
  <si>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</si>
  <si>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</si>
  <si>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</si>
  <si>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</si>
  <si>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</si>
  <si>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</si>
  <si>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</si>
  <si>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</si>
  <si>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</si>
  <si>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</si>
  <si>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</si>
  <si>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</si>
  <si>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</si>
  <si>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</si>
  <si>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</si>
  <si>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</si>
  <si>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</si>
  <si>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</si>
  <si>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</si>
  <si>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</si>
  <si>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</si>
  <si>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</si>
  <si>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</si>
  <si>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</si>
  <si>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</si>
  <si>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</si>
  <si>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</si>
  <si>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</si>
  <si>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</si>
  <si>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</si>
  <si>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</si>
  <si>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</si>
  <si>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</si>
  <si>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</si>
  <si>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</si>
  <si>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</si>
  <si>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</si>
  <si>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</si>
  <si>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</si>
  <si>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</si>
  <si>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</si>
  <si>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</si>
  <si>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</si>
  <si>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</si>
  <si>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</si>
  <si>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</si>
  <si>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</si>
  <si>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</si>
  <si>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</si>
  <si>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</si>
  <si>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</si>
  <si>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</si>
  <si>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</si>
  <si>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</si>
  <si>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</si>
  <si>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</si>
  <si>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</si>
  <si>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</si>
  <si>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</si>
  <si>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</si>
  <si>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</si>
  <si>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</si>
  <si>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</si>
  <si>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</si>
  <si>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</si>
  <si>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</si>
  <si>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</si>
  <si>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</si>
  <si>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</si>
  <si>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</si>
  <si>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</si>
  <si>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</si>
  <si>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</si>
  <si>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</si>
  <si>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</si>
  <si>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</si>
  <si>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</si>
  <si>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</si>
  <si>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</si>
  <si>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</si>
  <si>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</si>
  <si>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</si>
  <si>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</si>
  <si>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</si>
  <si>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</si>
  <si>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</si>
  <si>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</si>
  <si>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</si>
  <si>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</si>
  <si>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</si>
  <si>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</si>
  <si>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</si>
  <si>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</si>
  <si>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</si>
  <si>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</si>
  <si>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</si>
  <si>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</si>
  <si>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</si>
  <si>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</si>
  <si>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</si>
  <si>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</si>
  <si>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</si>
  <si>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</si>
  <si>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</si>
  <si>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</si>
  <si>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</si>
  <si>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</si>
  <si>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</si>
  <si>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</si>
  <si>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</si>
  <si>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</si>
  <si>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</si>
  <si>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</si>
  <si>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</si>
  <si>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</si>
  <si>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</si>
  <si>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</si>
  <si>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</si>
  <si>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</si>
  <si>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</si>
  <si>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</si>
  <si>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</si>
  <si>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</si>
  <si>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</si>
  <si>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</si>
  <si>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</si>
  <si>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</si>
  <si>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</si>
  <si>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</si>
  <si>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</si>
  <si>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</si>
  <si>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</si>
  <si>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</si>
  <si>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</si>
  <si>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</si>
  <si>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</si>
  <si>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</si>
  <si>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</si>
  <si>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</si>
  <si>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</si>
  <si>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</si>
  <si>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</si>
  <si>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</si>
  <si>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</si>
  <si>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</si>
  <si>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</si>
  <si>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</si>
  <si>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</si>
  <si>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</si>
  <si>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</si>
  <si>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</si>
  <si>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</si>
  <si>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</si>
  <si>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</si>
  <si>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</si>
  <si>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</si>
  <si>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</si>
  <si>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</si>
  <si>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</si>
  <si>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</si>
  <si>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</si>
  <si>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</si>
  <si>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</si>
  <si>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</si>
  <si>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</si>
  <si>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</si>
  <si>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</si>
  <si>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</si>
  <si>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</si>
  <si>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</si>
  <si>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</si>
  <si>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</si>
  <si>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</si>
  <si>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</si>
  <si>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</si>
  <si>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</si>
  <si>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</si>
  <si>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</si>
  <si>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</si>
  <si>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</si>
  <si>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</si>
  <si>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</si>
  <si>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</si>
  <si>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</si>
  <si>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gas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</si>
  <si>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</si>
  <si>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</si>
  <si>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</si>
  <si>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</si>
  <si>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</si>
  <si>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</si>
  <si>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</si>
  <si>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</si>
  <si>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</si>
  <si>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</si>
  <si>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</si>
  <si>
    <t>Country</t>
  </si>
  <si>
    <t>Group</t>
  </si>
  <si>
    <t>Maker/Brand</t>
  </si>
  <si>
    <t>Korea</t>
  </si>
  <si>
    <t>Toyota Group</t>
  </si>
  <si>
    <t>Toyota</t>
  </si>
  <si>
    <t>HV</t>
  </si>
  <si>
    <t>ICE</t>
  </si>
  <si>
    <t>N/A</t>
  </si>
  <si>
    <t>PHV</t>
  </si>
  <si>
    <t>Lexus</t>
  </si>
  <si>
    <t>EV</t>
  </si>
  <si>
    <t>VW Group</t>
  </si>
  <si>
    <t>VW</t>
  </si>
  <si>
    <t>Audi</t>
  </si>
  <si>
    <t>Porsche (2013-)</t>
  </si>
  <si>
    <t>Bentley</t>
  </si>
  <si>
    <t>Lamborghini</t>
  </si>
  <si>
    <t>Hyundai Kia Automotive Group</t>
  </si>
  <si>
    <t>Hyundai</t>
  </si>
  <si>
    <t>FCV</t>
  </si>
  <si>
    <t>Kia</t>
  </si>
  <si>
    <t>Genesis</t>
  </si>
  <si>
    <t>Stellantis</t>
  </si>
  <si>
    <t>Jeep (2021-)</t>
  </si>
  <si>
    <t>Maserati (2021-)</t>
  </si>
  <si>
    <t>MHV</t>
  </si>
  <si>
    <t>Peugeot (2021-)</t>
  </si>
  <si>
    <t>Citroen (2021-)</t>
  </si>
  <si>
    <t>DS (2021-)</t>
  </si>
  <si>
    <t>GM Group</t>
  </si>
  <si>
    <t>Chevrolet</t>
  </si>
  <si>
    <t>GMC</t>
  </si>
  <si>
    <t>Cadillac</t>
  </si>
  <si>
    <t>Damas</t>
  </si>
  <si>
    <t>Labo</t>
  </si>
  <si>
    <t>Ford Group</t>
  </si>
  <si>
    <t>Ford</t>
  </si>
  <si>
    <t>Lincoln</t>
  </si>
  <si>
    <t>Tesla</t>
  </si>
  <si>
    <t>Nissan</t>
  </si>
  <si>
    <t>Infiniti</t>
  </si>
  <si>
    <t>Honda</t>
  </si>
  <si>
    <t>Geely Holding Group</t>
  </si>
  <si>
    <t>Volvo Cars (2011-)</t>
  </si>
  <si>
    <t>MHV/PHV</t>
  </si>
  <si>
    <t>Polestar</t>
  </si>
  <si>
    <t>Mercedes-Benz Group</t>
  </si>
  <si>
    <t>Mercedes-Benz (2022-)</t>
  </si>
  <si>
    <t>Daimler Group (-2021)</t>
  </si>
  <si>
    <t>Mercedes-Benz (-2021)</t>
  </si>
  <si>
    <t>BMW Group</t>
  </si>
  <si>
    <t>BMW</t>
  </si>
  <si>
    <t>MINI</t>
  </si>
  <si>
    <t>Rolls-Royce</t>
  </si>
  <si>
    <t>PSA</t>
  </si>
  <si>
    <t>Peugeot (-2020)</t>
  </si>
  <si>
    <t>Citroen (-2020)</t>
  </si>
  <si>
    <t>Opel/Chevrolet (2018-20)</t>
  </si>
  <si>
    <t>DS (-2020)</t>
  </si>
  <si>
    <t>FCA</t>
  </si>
  <si>
    <t>Jeep (2009-20)</t>
  </si>
  <si>
    <t>Maserati (-2020)</t>
  </si>
  <si>
    <t>Renault</t>
  </si>
  <si>
    <t>Renault Samsung (-2021)</t>
  </si>
  <si>
    <t>Renault Korea</t>
  </si>
  <si>
    <t>Tata Group</t>
  </si>
  <si>
    <t>Land Rover (2008-)</t>
  </si>
  <si>
    <t>Jaguar (2008-)</t>
  </si>
  <si>
    <t>Tata/Daewoo</t>
  </si>
  <si>
    <t>Mahindra &amp; Mahindra</t>
  </si>
  <si>
    <t>Ssangyong (2011-)</t>
  </si>
  <si>
    <t>KG Group</t>
  </si>
  <si>
    <t>KGM</t>
  </si>
  <si>
    <t>Daewoo Bus Corporation</t>
  </si>
  <si>
    <t>Sales</t>
  </si>
  <si>
    <t>Powertrain</t>
  </si>
  <si>
    <t>Country / Region</t>
  </si>
  <si>
    <t>Source: Marklines</t>
  </si>
  <si>
    <t>PHEV breakdown</t>
  </si>
  <si>
    <t>Marklines</t>
  </si>
  <si>
    <t>Share:</t>
  </si>
  <si>
    <t>Hybrids --&gt; ICE</t>
  </si>
  <si>
    <t>Hybrids --&gt; PHEVs</t>
  </si>
  <si>
    <t>Hybrids+PHEVs</t>
  </si>
  <si>
    <t>산업종류별(1)</t>
  </si>
  <si>
    <t>산업종류별(2)</t>
  </si>
  <si>
    <t>제품별(1)</t>
  </si>
  <si>
    <t>2020</t>
  </si>
  <si>
    <t>수송별</t>
  </si>
  <si>
    <t>해운</t>
  </si>
  <si>
    <t>휘발유</t>
  </si>
  <si>
    <t>A중유</t>
  </si>
  <si>
    <t>B중유</t>
  </si>
  <si>
    <t>C중유</t>
  </si>
  <si>
    <t>용제</t>
  </si>
  <si>
    <t>부생연료유</t>
  </si>
  <si>
    <t>○ 통계표ID</t>
  </si>
  <si>
    <t>○ 통계표명</t>
  </si>
  <si>
    <t>○ 조회기간</t>
  </si>
  <si>
    <t>○ 출처</t>
  </si>
  <si>
    <t>○ 자료다운일자</t>
  </si>
  <si>
    <t>○ 통계표URL</t>
  </si>
  <si>
    <t>* KOSIS 개편 시 통계표 URL은 달라질 수 있음</t>
  </si>
  <si>
    <t>○ 단위</t>
  </si>
  <si>
    <t>천배럴</t>
  </si>
  <si>
    <t>근거</t>
  </si>
  <si>
    <t>휘발유 = 가솔린, 동일 연료</t>
  </si>
  <si>
    <t>중간 유분, 난방·항공유 계열. EPS에서는 디젤 계열로 처리</t>
  </si>
  <si>
    <t>경유 = 디젤, 동일 연료</t>
  </si>
  <si>
    <t>경유와 혼합 비율 높음, 선박·산업용 디젤 계열</t>
  </si>
  <si>
    <t>중질유이나 EPS에서는 디젤 계열로 통합 처리</t>
  </si>
  <si>
    <t>중질유(Residual Fuel Oil), 디젤 계열로 처리</t>
  </si>
  <si>
    <t>나프타·솔벤트 계열, 경질 유분으로 가솔린 계열로 분류</t>
  </si>
  <si>
    <t>동일</t>
  </si>
  <si>
    <t>석유화학 공정 부산물, 주로 중유 계열로 디젤에 포함</t>
  </si>
  <si>
    <t>EPS 분류기준</t>
    <phoneticPr fontId="37" type="noConversion"/>
  </si>
  <si>
    <t>Page 303, Oil consumption of the domestic transport sector</t>
    <phoneticPr fontId="37" type="noConversion"/>
  </si>
  <si>
    <t>National transport statistics 2021</t>
    <phoneticPr fontId="37" type="noConversion"/>
  </si>
  <si>
    <t>https://www.ktdb.go.kr/www/selectPblcteWebList.do?key=39&amp;searchLclasCode=PBL03</t>
    <phoneticPr fontId="37" type="noConversion"/>
  </si>
  <si>
    <t>연도별 차량 보유현황 (출처: 「한국철도통계」, 한국철도공사)</t>
    <phoneticPr fontId="37" type="noConversion"/>
  </si>
  <si>
    <t>고속철도차량</t>
  </si>
  <si>
    <t>KTX-이음</t>
  </si>
  <si>
    <t>2020 구분별 편성수</t>
    <phoneticPr fontId="37" type="noConversion"/>
  </si>
  <si>
    <t>(단위: 칸)</t>
    <phoneticPr fontId="37" type="noConversion"/>
  </si>
  <si>
    <t>reference: wikipedia (https://ko.wikipedia.org/wiki/KTX_(%EC%B0%A8%EB%9F%89))</t>
    <phoneticPr fontId="37" type="noConversion"/>
  </si>
  <si>
    <t>KTX-이음</t>
    <phoneticPr fontId="37" type="noConversion"/>
  </si>
  <si>
    <t>KTX-산천의 사용량 = (2020년 기준 KTX 소계 - KTX 도입량)/편성량 량수 - 22</t>
    <phoneticPr fontId="37" type="noConversion"/>
  </si>
  <si>
    <t>SRT = 2020년 기준 SRT 소계/편성당 량수 + 22</t>
    <phoneticPr fontId="37" type="noConversion"/>
  </si>
  <si>
    <t>* SR 사에서 KTX-산천차량 22편성 대여하여 사용중</t>
    <phoneticPr fontId="37" type="noConversion"/>
  </si>
  <si>
    <t>편성당 량수(칸수) 구분</t>
    <phoneticPr fontId="37" type="noConversion"/>
  </si>
  <si>
    <t>운영기관별(1)</t>
  </si>
  <si>
    <t>보유차량</t>
  </si>
  <si>
    <t>1~5년</t>
  </si>
  <si>
    <t>6~10년</t>
  </si>
  <si>
    <t>11~15년</t>
  </si>
  <si>
    <t>16~20년</t>
  </si>
  <si>
    <t>21~25년</t>
  </si>
  <si>
    <t>26년 이상</t>
  </si>
  <si>
    <t>서울교통공사</t>
  </si>
  <si>
    <t>서울시메트로9호선㈜</t>
  </si>
  <si>
    <t>서울교통공사9호선운영부문</t>
  </si>
  <si>
    <t>부산교통공사</t>
  </si>
  <si>
    <t>대구교통공사</t>
  </si>
  <si>
    <t>인천교통공사</t>
  </si>
  <si>
    <t>광주교통공사</t>
  </si>
  <si>
    <t>대전교통공사</t>
  </si>
  <si>
    <t>부산-김해경전철㈜</t>
  </si>
  <si>
    <t>의정부경량전철㈜</t>
  </si>
  <si>
    <t>용인경량전철㈜</t>
  </si>
  <si>
    <t>우이신설경전철㈜</t>
  </si>
  <si>
    <t>편성당 량수</t>
    <phoneticPr fontId="37" type="noConversion"/>
  </si>
  <si>
    <t>편성수</t>
    <phoneticPr fontId="37" type="noConversion"/>
  </si>
  <si>
    <t>DT_357001_CE001</t>
  </si>
  <si>
    <t>차령별 차량 보유현황</t>
  </si>
  <si>
    <t xml:space="preserve">[년] 2020~2020  </t>
  </si>
  <si>
    <t>「한국철도통계」, 한국철도공사</t>
  </si>
  <si>
    <t>2026.03.19 16:02</t>
  </si>
  <si>
    <t>https://kosis.kr/statHtml/statHtml.do?orgId=357&amp;tblId=DT_357001_CE001&amp;conn_path=I3</t>
  </si>
  <si>
    <t>칸</t>
  </si>
  <si>
    <t>신정지선</t>
    <phoneticPr fontId="37" type="noConversion"/>
  </si>
  <si>
    <t>성수지선</t>
    <phoneticPr fontId="37" type="noConversion"/>
  </si>
  <si>
    <t>외선내선 순환</t>
    <phoneticPr fontId="37" type="noConversion"/>
  </si>
  <si>
    <t>편수</t>
    <phoneticPr fontId="37" type="noConversion"/>
  </si>
  <si>
    <t>2호선 종류</t>
    <phoneticPr fontId="37" type="noConversion"/>
  </si>
  <si>
    <t>보유량</t>
    <phoneticPr fontId="37" type="noConversion"/>
  </si>
  <si>
    <t>*reference: https://ko.wikipedia.org/wiki/%EC%84%9C%EC%9A%B8_%EC%A7%80%ED%95%98%EC%B2%A0_2%ED%98%B8%EC%84%A0</t>
    <phoneticPr fontId="37" type="noConversion"/>
  </si>
  <si>
    <t>[Reference : 2019]</t>
    <phoneticPr fontId="37" type="noConversion"/>
  </si>
  <si>
    <t>* 참고: 2호선 편성당 량수 계산</t>
    <phoneticPr fontId="37" type="noConversion"/>
  </si>
  <si>
    <t>항공사</t>
  </si>
  <si>
    <t>용도</t>
  </si>
  <si>
    <t>기종</t>
  </si>
  <si>
    <t>대수</t>
  </si>
  <si>
    <t>20년 이하</t>
  </si>
  <si>
    <t>20년 초과</t>
  </si>
  <si>
    <t>평균기령</t>
  </si>
  <si>
    <t>대한항공</t>
  </si>
  <si>
    <t>여객기</t>
  </si>
  <si>
    <t>B747-400</t>
  </si>
  <si>
    <t>B747-8</t>
  </si>
  <si>
    <t>B777-200/300/300ER</t>
  </si>
  <si>
    <t>B787-9</t>
  </si>
  <si>
    <t>B737-800/900/900ER</t>
  </si>
  <si>
    <t>A330-200/300</t>
  </si>
  <si>
    <t>A380-800</t>
  </si>
  <si>
    <t>BD-500-1A11</t>
  </si>
  <si>
    <t>소 계</t>
  </si>
  <si>
    <t>화물기</t>
  </si>
  <si>
    <t>B747-400F</t>
  </si>
  <si>
    <t>B747-8F</t>
  </si>
  <si>
    <t>B777F</t>
  </si>
  <si>
    <t>합 계</t>
  </si>
  <si>
    <t>아시아나항공</t>
  </si>
  <si>
    <t>B777-200</t>
  </si>
  <si>
    <t>B767-300</t>
  </si>
  <si>
    <t>A321-100/200/200NEO</t>
  </si>
  <si>
    <t>A330-300</t>
  </si>
  <si>
    <t>A320-200</t>
  </si>
  <si>
    <t>A350-900</t>
  </si>
  <si>
    <t>B747-400/400F/100SF/400BDSF</t>
  </si>
  <si>
    <t>B767-300F</t>
  </si>
  <si>
    <t>제주항공</t>
  </si>
  <si>
    <t>B737-800</t>
  </si>
  <si>
    <t>진에어</t>
  </si>
  <si>
    <t>에어부산</t>
  </si>
  <si>
    <t>A321-200/200NEO</t>
  </si>
  <si>
    <t>이스타항공</t>
  </si>
  <si>
    <t>B737-8</t>
  </si>
  <si>
    <t>B737-900ER</t>
  </si>
  <si>
    <t>티웨이항공</t>
  </si>
  <si>
    <t>에어서울</t>
  </si>
  <si>
    <t>A321-200</t>
  </si>
  <si>
    <t>에어인천</t>
  </si>
  <si>
    <t>B737-400F</t>
  </si>
  <si>
    <t>플라이강원</t>
  </si>
  <si>
    <t>에어로케이</t>
  </si>
  <si>
    <t>총 계</t>
  </si>
  <si>
    <t>자료: 국토교통부 항공기술과</t>
  </si>
  <si>
    <t>기령별 항공기 현황 ('20.12월 기준)</t>
  </si>
  <si>
    <t>2) 업체별 항공기 현황 ('20.12월 기준)</t>
  </si>
  <si>
    <t>항공기 구분</t>
  </si>
  <si>
    <t>소유자</t>
  </si>
  <si>
    <t>비행기</t>
  </si>
  <si>
    <t>회전익</t>
  </si>
  <si>
    <t>비행선</t>
  </si>
  <si>
    <t>운송용</t>
  </si>
  <si>
    <t>국내·국제</t>
  </si>
  <si>
    <t>코리아익스프레스</t>
  </si>
  <si>
    <t>(주)더스카이</t>
  </si>
  <si>
    <t>에어포항</t>
  </si>
  <si>
    <t>스타항공우주</t>
  </si>
  <si>
    <t>헬리코리아</t>
  </si>
  <si>
    <t>에어필립</t>
  </si>
  <si>
    <t>하이에어</t>
  </si>
  <si>
    <t>운송용 소계</t>
  </si>
  <si>
    <t>사용사업</t>
  </si>
  <si>
    <t>교육기관(10)</t>
  </si>
  <si>
    <t>보도기관(2)</t>
  </si>
  <si>
    <t>정부기관(국토교통부)</t>
  </si>
  <si>
    <t>국가기관(소방/산림)</t>
  </si>
  <si>
    <t>기타(LG전자 등 18개사)</t>
  </si>
  <si>
    <t>구 분</t>
  </si>
  <si>
    <t>소형항공</t>
  </si>
  <si>
    <t>비즈니스(비행기)</t>
  </si>
  <si>
    <t>https://www.airportal.go.kr/ebook/ebookList.do?id=2</t>
    <phoneticPr fontId="37" type="noConversion"/>
  </si>
  <si>
    <t>Pocket aviation status 2021</t>
    <phoneticPr fontId="37" type="noConversion"/>
  </si>
  <si>
    <t>에어로케이</t>
    <phoneticPr fontId="37" type="noConversion"/>
  </si>
  <si>
    <t>㈜ 더스카이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</si>
</sst>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##0.00_)"/>
    <numFmt numFmtId="167" formatCode="#,##0_)"/>
    <numFmt numFmtId="168" formatCode="#,##0_ "/>
    <numFmt numFmtId="169" formatCode="0_ "/>
    <numFmt numFmtId="170" formatCode="0_);[Red]\(0\)"/>
    <numFmt numFmtId="171" formatCode="0.000%"/>
  </numFmts>
  <fonts count="8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10"/>
      <color indexed="8"/>
      <name val="굴림"/>
      <family val="3"/>
      <charset val="129"/>
    </font>
    <font>
      <sz val="11"/>
      <name val="ＭＳ ゴシック"/>
      <family val="3"/>
      <charset val="129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  <fill>
      <patternFill patternType="solid">
        <fgColor indexed="1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9E1F2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765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6" fontId="17" fillId="0" borderId="6" applyNumberFormat="0" applyFill="0">
      <alignment horizontal="right"/>
    </xf>
    <xf numFmtId="167" fontId="18" fillId="0" borderId="6">
      <alignment horizontal="right" vertical="center"/>
    </xf>
    <xf numFmtId="49" fontId="19" fillId="0" borderId="6">
      <alignment horizontal="left" vertical="center"/>
    </xf>
    <xf numFmtId="166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6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164" fontId="39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164" fontId="62" fillId="0" borderId="0" applyFont="0" applyFill="0" applyBorder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164" fontId="39" fillId="0" borderId="0" applyFont="0" applyFill="0" applyBorder="0" applyAlignment="0" applyProtection="0">
      <alignment vertical="center"/>
    </xf>
    <xf numFmtId="0" fontId="80" fillId="0" borderId="0">
      <alignment vertical="center"/>
    </xf>
  </cellStyleXfs>
  <cellXfs count="238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68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164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164" fontId="52" fillId="0" borderId="18" xfId="141" applyFont="1" applyFill="1" applyBorder="1">
      <alignment vertical="center"/>
    </xf>
    <xf numFmtId="164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164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8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69" fontId="0" fillId="0" borderId="0" xfId="0" applyNumberFormat="1"/>
    <xf numFmtId="168" fontId="0" fillId="0" borderId="0" xfId="0" applyNumberFormat="1"/>
    <xf numFmtId="0" fontId="0" fillId="0" borderId="0" xfId="0" applyAlignment="1">
      <alignment horizontal="right"/>
    </xf>
    <xf numFmtId="169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68" fontId="40" fillId="30" borderId="34" xfId="0" applyNumberFormat="1" applyFont="1" applyFill="1" applyBorder="1" applyAlignment="1">
      <alignment vertical="center"/>
    </xf>
    <xf numFmtId="168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69" fontId="0" fillId="30" borderId="0" xfId="0" applyNumberFormat="1" applyFill="1"/>
    <xf numFmtId="168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70" fontId="0" fillId="0" borderId="0" xfId="0" applyNumberFormat="1"/>
    <xf numFmtId="0" fontId="60" fillId="0" borderId="0" xfId="143" applyFont="1" applyAlignment="1">
      <alignment horizontal="left" vertical="center"/>
    </xf>
    <xf numFmtId="49" fontId="53" fillId="0" borderId="0" xfId="0" applyNumberFormat="1" applyFont="1" applyAlignment="1">
      <alignment horizontal="left"/>
    </xf>
    <xf numFmtId="0" fontId="78" fillId="0" borderId="18" xfId="3757" applyFont="1" applyBorder="1">
      <alignment vertical="center"/>
    </xf>
    <xf numFmtId="164" fontId="52" fillId="0" borderId="18" xfId="141" applyFont="1" applyFill="1" applyBorder="1" applyAlignment="1">
      <alignment horizontal="left" vertical="center"/>
    </xf>
    <xf numFmtId="164" fontId="52" fillId="33" borderId="18" xfId="141" applyFont="1" applyFill="1" applyBorder="1">
      <alignment vertical="center"/>
    </xf>
    <xf numFmtId="164" fontId="52" fillId="32" borderId="18" xfId="141" applyFont="1" applyFill="1" applyBorder="1">
      <alignment vertical="center"/>
    </xf>
    <xf numFmtId="164" fontId="52" fillId="34" borderId="18" xfId="141" applyFont="1" applyFill="1" applyBorder="1">
      <alignment vertical="center"/>
    </xf>
    <xf numFmtId="164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68" fontId="58" fillId="0" borderId="18" xfId="0" applyNumberFormat="1" applyFont="1" applyBorder="1" applyAlignment="1">
      <alignment vertical="center"/>
    </xf>
    <xf numFmtId="168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68" fontId="58" fillId="0" borderId="22" xfId="0" applyNumberFormat="1" applyFont="1" applyBorder="1" applyAlignment="1">
      <alignment vertical="center"/>
    </xf>
    <xf numFmtId="168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68" fontId="77" fillId="30" borderId="24" xfId="0" applyNumberFormat="1" applyFont="1" applyFill="1" applyBorder="1" applyAlignment="1">
      <alignment vertical="center"/>
    </xf>
    <xf numFmtId="168" fontId="77" fillId="29" borderId="24" xfId="0" applyNumberFormat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79" fillId="74" borderId="18" xfId="0" applyFont="1" applyFill="1" applyBorder="1" applyAlignment="1">
      <alignment horizontal="center"/>
    </xf>
    <xf numFmtId="0" fontId="79" fillId="0" borderId="18" xfId="0" applyFont="1" applyBorder="1"/>
    <xf numFmtId="0" fontId="1" fillId="0" borderId="56" xfId="0" applyFont="1" applyBorder="1" applyAlignment="1">
      <alignment horizontal="center" vertical="top"/>
    </xf>
    <xf numFmtId="0" fontId="0" fillId="0" borderId="56" xfId="0" applyBorder="1"/>
    <xf numFmtId="3" fontId="0" fillId="0" borderId="56" xfId="0" applyNumberFormat="1" applyBorder="1"/>
    <xf numFmtId="0" fontId="1" fillId="0" borderId="58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0" fillId="0" borderId="18" xfId="0" applyBorder="1"/>
    <xf numFmtId="171" fontId="0" fillId="0" borderId="56" xfId="140" applyNumberFormat="1" applyFont="1" applyBorder="1"/>
    <xf numFmtId="0" fontId="1" fillId="0" borderId="57" xfId="0" applyFont="1" applyBorder="1" applyAlignment="1">
      <alignment horizontal="center" vertical="top"/>
    </xf>
    <xf numFmtId="17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4" fontId="52" fillId="33" borderId="18" xfId="141" applyFont="1" applyFill="1" applyBorder="1" applyAlignment="1">
      <alignment horizontal="left" vertical="center"/>
    </xf>
    <xf numFmtId="165" fontId="0" fillId="0" borderId="0" xfId="0" applyNumberFormat="1" applyAlignment="1">
      <alignment vertical="center"/>
    </xf>
    <xf numFmtId="0" fontId="0" fillId="36" borderId="18" xfId="0" applyFill="1" applyBorder="1"/>
    <xf numFmtId="0" fontId="0" fillId="37" borderId="22" xfId="0" applyFill="1" applyBorder="1"/>
    <xf numFmtId="3" fontId="0" fillId="0" borderId="18" xfId="0" applyNumberFormat="1" applyBorder="1" applyAlignment="1">
      <alignment horizontal="right"/>
    </xf>
    <xf numFmtId="0" fontId="0" fillId="0" borderId="0" xfId="0" applyAlignment="1">
      <alignment horizontal="left"/>
    </xf>
    <xf numFmtId="0" fontId="42" fillId="0" borderId="18" xfId="0" applyFont="1" applyBorder="1" applyAlignment="1">
      <alignment horizontal="center" vertical="center"/>
    </xf>
    <xf numFmtId="2" fontId="0" fillId="0" borderId="0" xfId="0" applyNumberFormat="1"/>
    <xf numFmtId="0" fontId="0" fillId="37" borderId="18" xfId="0" applyFill="1" applyBorder="1"/>
    <xf numFmtId="0" fontId="42" fillId="0" borderId="0" xfId="0" applyFont="1" applyAlignment="1">
      <alignment horizontal="left"/>
    </xf>
    <xf numFmtId="0" fontId="0" fillId="37" borderId="25" xfId="0" applyFill="1" applyBorder="1"/>
    <xf numFmtId="0" fontId="0" fillId="37" borderId="59" xfId="0" applyFill="1" applyBorder="1"/>
    <xf numFmtId="0" fontId="61" fillId="0" borderId="0" xfId="0" applyFont="1" applyAlignment="1">
      <alignment vertical="center"/>
    </xf>
    <xf numFmtId="0" fontId="61" fillId="0" borderId="0" xfId="0" applyFont="1"/>
    <xf numFmtId="3" fontId="61" fillId="0" borderId="0" xfId="0" applyNumberFormat="1" applyFont="1" applyAlignment="1">
      <alignment horizontal="right"/>
    </xf>
    <xf numFmtId="0" fontId="80" fillId="37" borderId="22" xfId="3764" applyFill="1" applyBorder="1" applyAlignment="1"/>
    <xf numFmtId="0" fontId="80" fillId="37" borderId="18" xfId="3764" applyFill="1" applyBorder="1" applyAlignment="1"/>
    <xf numFmtId="0" fontId="80" fillId="36" borderId="18" xfId="3764" applyFill="1" applyBorder="1" applyAlignment="1"/>
    <xf numFmtId="0" fontId="80" fillId="0" borderId="0" xfId="3764" applyAlignment="1">
      <alignment horizontal="left"/>
    </xf>
    <xf numFmtId="3" fontId="80" fillId="0" borderId="18" xfId="3764" applyNumberFormat="1" applyBorder="1" applyAlignment="1">
      <alignment horizontal="right"/>
    </xf>
    <xf numFmtId="0" fontId="0" fillId="75" borderId="0" xfId="0" applyFill="1"/>
    <xf numFmtId="0" fontId="80" fillId="0" borderId="18" xfId="3764" applyBorder="1" applyAlignment="1">
      <alignment horizontal="left"/>
    </xf>
    <xf numFmtId="169" fontId="0" fillId="0" borderId="18" xfId="0" applyNumberFormat="1" applyBorder="1"/>
    <xf numFmtId="0" fontId="0" fillId="30" borderId="0" xfId="0" applyFill="1"/>
    <xf numFmtId="0" fontId="1" fillId="7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76" borderId="0" xfId="0" applyFill="1"/>
    <xf numFmtId="0" fontId="81" fillId="0" borderId="0" xfId="0" applyFont="1"/>
    <xf numFmtId="0" fontId="82" fillId="77" borderId="0" xfId="0" applyFont="1" applyFill="1" applyAlignment="1">
      <alignment horizontal="center"/>
    </xf>
    <xf numFmtId="0" fontId="1" fillId="78" borderId="0" xfId="0" applyFont="1" applyFill="1" applyAlignment="1">
      <alignment horizontal="center"/>
    </xf>
    <xf numFmtId="0" fontId="0" fillId="77" borderId="0" xfId="0" applyFill="1"/>
    <xf numFmtId="0" fontId="0" fillId="76" borderId="0" xfId="0" applyFill="1" applyAlignment="1">
      <alignment horizontal="center"/>
    </xf>
    <xf numFmtId="0" fontId="0" fillId="78" borderId="0" xfId="0" applyFill="1" applyAlignment="1">
      <alignment horizontal="center"/>
    </xf>
    <xf numFmtId="0" fontId="0" fillId="77" borderId="0" xfId="0" applyFill="1" applyAlignment="1">
      <alignment horizontal="center"/>
    </xf>
    <xf numFmtId="0" fontId="1" fillId="0" borderId="56" xfId="0" applyFont="1" applyBorder="1" applyAlignment="1">
      <alignment horizontal="center" vertical="top"/>
    </xf>
    <xf numFmtId="0" fontId="0" fillId="0" borderId="57" xfId="0" applyBorder="1"/>
    <xf numFmtId="0" fontId="0" fillId="0" borderId="56" xfId="0" applyBorder="1"/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80" fillId="35" borderId="18" xfId="3764" applyFill="1" applyBorder="1">
      <alignment vertical="center"/>
    </xf>
    <xf numFmtId="0" fontId="80" fillId="36" borderId="18" xfId="3764" applyFill="1" applyBorder="1" applyAlignment="1"/>
    <xf numFmtId="0" fontId="80" fillId="36" borderId="22" xfId="3764" applyFill="1" applyBorder="1" applyAlignment="1"/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83" fillId="78" borderId="0" xfId="0" applyFont="1" applyFill="1" applyAlignment="1">
      <alignment horizontal="center"/>
    </xf>
    <xf numFmtId="0" fontId="0" fillId="0" borderId="0" xfId="0"/>
    <xf numFmtId="0" fontId="83" fillId="78" borderId="0" xfId="0" applyFont="1" applyFill="1"/>
    <xf numFmtId="0" fontId="0" fillId="0" borderId="0" xfId="0" applyAlignment="1">
      <alignment horizontal="center"/>
    </xf>
    <xf numFmtId="0" fontId="82" fillId="77" borderId="0" xfId="0" applyFont="1" applyFill="1" applyAlignment="1">
      <alignment horizontal="center"/>
    </xf>
  </cellXfs>
  <cellStyles count="3765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[0]" xfId="142" builtinId="6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3" builtinId="8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" xfId="0" builtinId="0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" xfId="140" builtinId="5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" xfId="3764" xr:uid="{4E9D4680-D38D-49B6-9764-3620C6F6BE3A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85725</xdr:colOff>
      <xdr:row>1</xdr:row>
      <xdr:rowOff>152400</xdr:rowOff>
    </xdr:from>
    <xdr:to>
      <xdr:col>22</xdr:col>
      <xdr:colOff>572908</xdr:colOff>
      <xdr:row>32</xdr:row>
      <xdr:rowOff>67570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213C7D1-4476-78CC-6499-CE6B0B37A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2125" y="371475"/>
          <a:ext cx="10088383" cy="641122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64</xdr:row>
      <xdr:rowOff>0</xdr:rowOff>
    </xdr:from>
    <xdr:to>
      <xdr:col>15</xdr:col>
      <xdr:colOff>400680</xdr:colOff>
      <xdr:row>94</xdr:row>
      <xdr:rowOff>172351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C118B1B-4FD2-48AE-8E58-B89F57320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13420725"/>
          <a:ext cx="4515480" cy="64588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AFFF03-463B-4AD1-92FD-336E70A0D9DB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searchLclasCode=PBL03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book/ebookList.do?id=2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abSelected="1" workbookViewId="0">
      <selection activeCell="C56" sqref="C56"/>
    </sheetView>
  </sheetViews>
  <sheetFormatPr defaultColWidth="9" defaultRowHeight="15"/>
  <cols>
    <col min="1" max="1" width="9" style="6"/>
    <col min="2" max="2" width="9" style="6" customWidth="1"/>
    <col min="3" max="16384" width="9" style="6"/>
  </cols>
  <sheetData>
    <row r="1" spans="1:15">
      <c r="A1" s="14" t="s">
        <v>0</v>
      </c>
    </row>
    <row r="3" spans="1:15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  <c r="O3" s="78" t="s">
        <v>1114</v>
      </c>
    </row>
    <row r="4" spans="1:15">
      <c r="B4" s="15" t="s">
        <v>4</v>
      </c>
      <c r="I4" s="15" t="s">
        <v>5</v>
      </c>
      <c r="O4" s="6" t="s">
        <v>1115</v>
      </c>
    </row>
    <row r="5" spans="1:15">
      <c r="B5" s="142">
        <v>2020</v>
      </c>
      <c r="I5" s="15">
        <v>2020</v>
      </c>
    </row>
    <row r="6" spans="1:15">
      <c r="B6" s="144" t="s">
        <v>842</v>
      </c>
      <c r="I6" s="15" t="s">
        <v>6</v>
      </c>
    </row>
    <row r="7" spans="1:15">
      <c r="B7" s="18" t="s">
        <v>7</v>
      </c>
      <c r="I7" s="18" t="s">
        <v>8</v>
      </c>
    </row>
    <row r="8" spans="1:15">
      <c r="B8" s="15" t="s">
        <v>9</v>
      </c>
    </row>
    <row r="9" spans="1:15">
      <c r="B9" s="15"/>
    </row>
    <row r="10" spans="1:15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5">
      <c r="B11" s="15" t="s">
        <v>12</v>
      </c>
      <c r="I11" s="15" t="s">
        <v>13</v>
      </c>
    </row>
    <row r="12" spans="1:15">
      <c r="B12" s="15">
        <v>2021</v>
      </c>
      <c r="I12" s="15">
        <v>2019</v>
      </c>
    </row>
    <row r="13" spans="1:15">
      <c r="B13" s="16" t="s">
        <v>14</v>
      </c>
      <c r="I13" s="15" t="s">
        <v>15</v>
      </c>
    </row>
    <row r="14" spans="1:15">
      <c r="B14" s="18" t="s">
        <v>16</v>
      </c>
      <c r="I14" s="18" t="s">
        <v>17</v>
      </c>
    </row>
    <row r="15" spans="1:15">
      <c r="B15" s="15" t="s">
        <v>18</v>
      </c>
      <c r="I15" s="15"/>
    </row>
    <row r="16" spans="1:15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2021</v>
      </c>
      <c r="I19" s="18" t="s">
        <v>23</v>
      </c>
      <c r="R19"/>
      <c r="S19"/>
      <c r="T19"/>
    </row>
    <row r="20" spans="2:22">
      <c r="B20" s="15" t="s">
        <v>1280</v>
      </c>
      <c r="R20" s="108"/>
      <c r="S20" s="107"/>
      <c r="T20"/>
    </row>
    <row r="21" spans="2:22">
      <c r="B21" s="18" t="s">
        <v>1279</v>
      </c>
      <c r="R21"/>
      <c r="S21"/>
      <c r="T21"/>
    </row>
    <row r="22" spans="2:22">
      <c r="B22" s="15" t="s">
        <v>24</v>
      </c>
    </row>
    <row r="23" spans="2:22">
      <c r="B23" s="15"/>
      <c r="U23"/>
      <c r="V23"/>
    </row>
    <row r="24" spans="2:22">
      <c r="B24" s="78" t="s">
        <v>25</v>
      </c>
      <c r="C24" s="79"/>
      <c r="D24" s="79"/>
      <c r="E24" s="79"/>
      <c r="I24" s="112" t="s">
        <v>26</v>
      </c>
      <c r="J24" s="112"/>
      <c r="K24" s="112"/>
      <c r="L24" s="112"/>
    </row>
    <row r="25" spans="2:22">
      <c r="B25" s="15" t="s">
        <v>27</v>
      </c>
      <c r="I25" s="6" t="s">
        <v>28</v>
      </c>
    </row>
    <row r="26" spans="2:22">
      <c r="B26" s="142">
        <v>2020</v>
      </c>
      <c r="I26" s="6">
        <v>2020</v>
      </c>
    </row>
    <row r="27" spans="2:22">
      <c r="B27" s="15" t="s">
        <v>29</v>
      </c>
      <c r="I27" s="6" t="s">
        <v>26</v>
      </c>
    </row>
    <row r="28" spans="2:22">
      <c r="B28" s="18" t="s">
        <v>30</v>
      </c>
      <c r="I28" s="17" t="s">
        <v>31</v>
      </c>
    </row>
    <row r="29" spans="2:22">
      <c r="B29" s="15" t="s">
        <v>32</v>
      </c>
    </row>
    <row r="30" spans="2:22">
      <c r="B30" s="15"/>
    </row>
    <row r="31" spans="2:22">
      <c r="B31" s="78" t="s">
        <v>33</v>
      </c>
      <c r="C31" s="79"/>
      <c r="D31" s="79"/>
      <c r="E31" s="79"/>
      <c r="J31" s="13"/>
      <c r="K31" s="13"/>
      <c r="L31" s="13"/>
    </row>
    <row r="32" spans="2:22">
      <c r="B32" s="15" t="s">
        <v>34</v>
      </c>
      <c r="G32" s="185"/>
    </row>
    <row r="33" spans="1:12">
      <c r="B33" s="15">
        <v>2021</v>
      </c>
      <c r="G33" s="185"/>
    </row>
    <row r="34" spans="1:12">
      <c r="B34" s="15" t="s">
        <v>1153</v>
      </c>
      <c r="G34" s="185"/>
    </row>
    <row r="35" spans="1:12">
      <c r="B35" s="18" t="s">
        <v>1154</v>
      </c>
    </row>
    <row r="36" spans="1:12">
      <c r="B36" s="15" t="s">
        <v>1152</v>
      </c>
    </row>
    <row r="37" spans="1:12">
      <c r="B37" s="15"/>
    </row>
    <row r="38" spans="1:12">
      <c r="B38" s="78" t="s">
        <v>35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36</v>
      </c>
    </row>
    <row r="42" spans="1:12">
      <c r="B42" s="18" t="s">
        <v>7</v>
      </c>
    </row>
    <row r="43" spans="1:12">
      <c r="B43" s="15" t="s">
        <v>37</v>
      </c>
    </row>
    <row r="45" spans="1:12">
      <c r="A45" s="13" t="s">
        <v>38</v>
      </c>
    </row>
    <row r="46" spans="1:12">
      <c r="A46" s="6" t="s">
        <v>39</v>
      </c>
    </row>
    <row r="47" spans="1:12">
      <c r="A47" s="6" t="s">
        <v>40</v>
      </c>
    </row>
    <row r="49" spans="1:2">
      <c r="A49" s="6" t="s">
        <v>41</v>
      </c>
    </row>
    <row r="50" spans="1:2">
      <c r="A50" s="6" t="s">
        <v>42</v>
      </c>
    </row>
    <row r="51" spans="1:2">
      <c r="A51" s="6" t="s">
        <v>43</v>
      </c>
    </row>
    <row r="52" spans="1:2">
      <c r="A52" s="6" t="s">
        <v>44</v>
      </c>
    </row>
    <row r="54" spans="1:2">
      <c r="A54" s="6" t="s">
        <v>45</v>
      </c>
    </row>
    <row r="55" spans="1:2">
      <c r="A55" s="6" t="s">
        <v>46</v>
      </c>
    </row>
    <row r="56" spans="1:2">
      <c r="A56" s="6" t="s">
        <v>47</v>
      </c>
    </row>
    <row r="58" spans="1:2">
      <c r="A58" s="6" t="s">
        <v>48</v>
      </c>
      <c r="B58" s="6">
        <v>2020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U294"/>
  <sheetViews>
    <sheetView workbookViewId="0"/>
  </sheetViews>
  <sheetFormatPr defaultColWidth="9" defaultRowHeight="12.75"/>
  <cols>
    <col min="1" max="1" width="14.42578125" style="20" customWidth="1"/>
    <col min="2" max="3" width="9" style="20"/>
    <col min="4" max="5" width="11.42578125" style="20" hidden="1" customWidth="1"/>
    <col min="6" max="6" width="10.7109375" style="20" hidden="1" customWidth="1"/>
    <col min="7" max="7" width="11.42578125" style="20" hidden="1" customWidth="1"/>
    <col min="8" max="10" width="9.85546875" style="20" hidden="1" customWidth="1"/>
    <col min="11" max="12" width="11.42578125" style="20" hidden="1" customWidth="1"/>
    <col min="13" max="17" width="9.85546875" style="20" hidden="1" customWidth="1"/>
    <col min="18" max="19" width="11.42578125" style="20" hidden="1" customWidth="1"/>
    <col min="20" max="20" width="9.85546875" style="20" hidden="1" customWidth="1"/>
    <col min="21" max="21" width="12.42578125" style="20" bestFit="1" customWidth="1"/>
    <col min="22" max="16384" width="9" style="20"/>
  </cols>
  <sheetData>
    <row r="1" spans="1:21" ht="15" customHeight="1">
      <c r="A1" s="19"/>
      <c r="B1" s="19"/>
      <c r="C1" s="19"/>
      <c r="D1" s="19" t="s">
        <v>49</v>
      </c>
      <c r="E1" s="19" t="s">
        <v>50</v>
      </c>
      <c r="F1" s="19" t="s">
        <v>51</v>
      </c>
      <c r="G1" s="19" t="s">
        <v>52</v>
      </c>
      <c r="H1" s="19" t="s">
        <v>53</v>
      </c>
      <c r="I1" s="19"/>
      <c r="J1" s="19" t="s">
        <v>54</v>
      </c>
      <c r="K1" s="19"/>
      <c r="L1" s="19"/>
      <c r="M1" s="19"/>
      <c r="N1" s="19"/>
    </row>
    <row r="2" spans="1:21" ht="15" customHeight="1">
      <c r="A2" s="19" t="s">
        <v>1020</v>
      </c>
      <c r="B2" s="132" t="s">
        <v>843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1" ht="15" customHeight="1">
      <c r="A3" s="21" t="s">
        <v>1019</v>
      </c>
      <c r="B3" s="21" t="s">
        <v>1021</v>
      </c>
      <c r="C3" s="21"/>
      <c r="D3" s="22" t="s">
        <v>55</v>
      </c>
      <c r="E3" s="22" t="s">
        <v>56</v>
      </c>
      <c r="F3" s="22" t="s">
        <v>57</v>
      </c>
      <c r="G3" s="22" t="s">
        <v>58</v>
      </c>
      <c r="H3" s="22" t="s">
        <v>59</v>
      </c>
      <c r="I3" s="22" t="s">
        <v>60</v>
      </c>
      <c r="J3" s="22" t="s">
        <v>61</v>
      </c>
      <c r="K3" s="22" t="s">
        <v>62</v>
      </c>
      <c r="L3" s="22" t="s">
        <v>63</v>
      </c>
      <c r="M3" s="22" t="s">
        <v>64</v>
      </c>
      <c r="N3" s="22" t="s">
        <v>65</v>
      </c>
      <c r="O3" s="23" t="s">
        <v>66</v>
      </c>
      <c r="P3" s="23" t="s">
        <v>67</v>
      </c>
      <c r="Q3" s="23" t="s">
        <v>68</v>
      </c>
      <c r="R3" s="23" t="s">
        <v>69</v>
      </c>
      <c r="S3" s="23" t="s">
        <v>70</v>
      </c>
      <c r="T3" s="23" t="s">
        <v>71</v>
      </c>
      <c r="U3" s="23" t="s">
        <v>994</v>
      </c>
    </row>
    <row r="4" spans="1:21" ht="15" customHeight="1">
      <c r="A4" s="21"/>
      <c r="B4" s="21" t="s">
        <v>1022</v>
      </c>
      <c r="C4" s="21" t="s">
        <v>52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844</v>
      </c>
    </row>
    <row r="5" spans="1:21" ht="15" customHeight="1">
      <c r="A5" s="25" t="s">
        <v>1023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 ht="15" customHeight="1">
      <c r="A7" s="26" t="s">
        <v>1010</v>
      </c>
      <c r="B7" s="26" t="s">
        <v>73</v>
      </c>
      <c r="C7" s="26" t="s">
        <v>1016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</row>
    <row r="8" spans="1:21" ht="15" customHeight="1">
      <c r="A8" s="26"/>
      <c r="B8" s="26"/>
      <c r="C8" s="26" t="s">
        <v>1017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</row>
    <row r="9" spans="1:21" ht="15" customHeight="1">
      <c r="B9" s="26"/>
      <c r="C9" s="26" t="s">
        <v>1018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</row>
    <row r="10" spans="1:21" ht="15" customHeight="1">
      <c r="A10" s="26" t="s">
        <v>1011</v>
      </c>
      <c r="B10" s="26" t="s">
        <v>76</v>
      </c>
      <c r="C10" s="26" t="s">
        <v>1016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</row>
    <row r="11" spans="1:21" ht="15" customHeight="1">
      <c r="B11" s="26"/>
      <c r="C11" s="26" t="s">
        <v>1017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</row>
    <row r="12" spans="1:21" ht="15" customHeight="1">
      <c r="A12" s="26"/>
      <c r="C12" s="26" t="s">
        <v>1018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</row>
    <row r="13" spans="1:21" ht="15" customHeight="1">
      <c r="A13" s="26" t="s">
        <v>1012</v>
      </c>
      <c r="B13" s="26" t="s">
        <v>77</v>
      </c>
      <c r="C13" s="26" t="s">
        <v>1016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</row>
    <row r="14" spans="1:21" ht="15" customHeight="1">
      <c r="B14" s="26"/>
      <c r="C14" s="26" t="s">
        <v>1017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</row>
    <row r="15" spans="1:21" ht="15" customHeight="1">
      <c r="A15" s="26"/>
      <c r="B15" s="26"/>
      <c r="C15" s="26" t="s">
        <v>1018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</row>
    <row r="16" spans="1:21" ht="15" customHeight="1">
      <c r="A16" s="26" t="s">
        <v>1013</v>
      </c>
      <c r="B16" s="26" t="s">
        <v>78</v>
      </c>
      <c r="C16" s="26" t="s">
        <v>1016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</row>
    <row r="17" spans="1:21" ht="15" customHeight="1">
      <c r="B17" s="26"/>
      <c r="C17" s="26" t="s">
        <v>1017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</row>
    <row r="18" spans="1:21" ht="15" customHeight="1">
      <c r="A18" s="26"/>
      <c r="B18" s="26"/>
      <c r="C18" s="26" t="s">
        <v>1018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</row>
    <row r="19" spans="1:21" ht="15" customHeight="1">
      <c r="A19" s="26" t="s">
        <v>1014</v>
      </c>
      <c r="B19" s="26" t="s">
        <v>79</v>
      </c>
      <c r="C19" s="26" t="s">
        <v>1016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</row>
    <row r="20" spans="1:21" ht="15" customHeight="1">
      <c r="A20" s="26"/>
      <c r="B20" s="26"/>
      <c r="C20" s="26" t="s">
        <v>1017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</row>
    <row r="21" spans="1:21" ht="15" customHeight="1">
      <c r="A21" s="26"/>
      <c r="B21" s="26"/>
      <c r="C21" s="26" t="s">
        <v>1018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</row>
    <row r="22" spans="1:21" ht="15" customHeight="1">
      <c r="A22" s="25" t="s">
        <v>80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 ht="15" customHeight="1">
      <c r="A24" s="26" t="s">
        <v>1010</v>
      </c>
      <c r="B24" s="26" t="s">
        <v>73</v>
      </c>
      <c r="C24" s="26" t="s">
        <v>74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</row>
    <row r="25" spans="1:21" ht="15" customHeight="1">
      <c r="A25" s="26"/>
      <c r="B25" s="26"/>
      <c r="C25" s="26" t="s">
        <v>75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</row>
    <row r="26" spans="1:21" ht="15" customHeight="1">
      <c r="B26" s="26"/>
      <c r="C26" s="26" t="s">
        <v>72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</row>
    <row r="27" spans="1:21" ht="15" customHeight="1">
      <c r="A27" s="26" t="s">
        <v>1011</v>
      </c>
      <c r="B27" s="26" t="s">
        <v>76</v>
      </c>
      <c r="C27" s="26" t="s">
        <v>74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</row>
    <row r="28" spans="1:21" ht="15" customHeight="1">
      <c r="B28" s="26"/>
      <c r="C28" s="26" t="s">
        <v>75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</row>
    <row r="29" spans="1:21" ht="15" customHeight="1">
      <c r="A29" s="26"/>
      <c r="B29" s="26"/>
      <c r="C29" s="26" t="s">
        <v>72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</row>
    <row r="30" spans="1:21" ht="15" customHeight="1">
      <c r="A30" s="26" t="s">
        <v>1012</v>
      </c>
      <c r="B30" s="26" t="s">
        <v>77</v>
      </c>
      <c r="C30" s="26" t="s">
        <v>74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</row>
    <row r="31" spans="1:21" ht="15" customHeight="1">
      <c r="B31" s="26"/>
      <c r="C31" s="26" t="s">
        <v>75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</row>
    <row r="32" spans="1:21" ht="15" customHeight="1">
      <c r="A32" s="26"/>
      <c r="B32" s="26"/>
      <c r="C32" s="26" t="s">
        <v>72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</row>
    <row r="33" spans="1:21" ht="15" customHeight="1">
      <c r="A33" s="26" t="s">
        <v>1013</v>
      </c>
      <c r="B33" s="26" t="s">
        <v>78</v>
      </c>
      <c r="C33" s="26" t="s">
        <v>74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</row>
    <row r="34" spans="1:21" ht="15" customHeight="1">
      <c r="B34" s="26"/>
      <c r="C34" s="26" t="s">
        <v>75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</row>
    <row r="35" spans="1:21" ht="15" customHeight="1">
      <c r="A35" s="26"/>
      <c r="B35" s="26"/>
      <c r="C35" s="26" t="s">
        <v>72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</row>
    <row r="36" spans="1:21" ht="15" customHeight="1">
      <c r="A36" s="26" t="s">
        <v>1014</v>
      </c>
      <c r="B36" s="26" t="s">
        <v>79</v>
      </c>
      <c r="C36" s="26" t="s">
        <v>74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</row>
    <row r="37" spans="1:21" ht="15" customHeight="1">
      <c r="A37" s="26"/>
      <c r="B37" s="26"/>
      <c r="C37" s="26" t="s">
        <v>75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</row>
    <row r="38" spans="1:21" ht="15" customHeight="1">
      <c r="A38" s="26"/>
      <c r="B38" s="26"/>
      <c r="C38" s="26" t="s">
        <v>72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</row>
    <row r="39" spans="1:21" ht="15" customHeight="1">
      <c r="A39" s="25" t="s">
        <v>1024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:21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:21" ht="15" customHeight="1">
      <c r="A41" s="26" t="s">
        <v>1010</v>
      </c>
      <c r="B41" s="26" t="s">
        <v>73</v>
      </c>
      <c r="C41" s="26" t="s">
        <v>1016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</row>
    <row r="42" spans="1:21" ht="15" customHeight="1">
      <c r="A42" s="26"/>
      <c r="B42" s="26"/>
      <c r="C42" s="26" t="s">
        <v>1015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</row>
    <row r="43" spans="1:21" ht="15" customHeight="1">
      <c r="B43" s="26"/>
      <c r="C43" s="26" t="s">
        <v>994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</row>
    <row r="44" spans="1:21" ht="15" customHeight="1">
      <c r="A44" s="26" t="s">
        <v>1011</v>
      </c>
      <c r="B44" s="26" t="s">
        <v>76</v>
      </c>
      <c r="C44" s="26" t="s">
        <v>1016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</row>
    <row r="45" spans="1:21" ht="15" customHeight="1">
      <c r="B45" s="26"/>
      <c r="C45" s="26" t="s">
        <v>1015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</row>
    <row r="46" spans="1:21" ht="15" customHeight="1">
      <c r="A46" s="26"/>
      <c r="B46" s="26"/>
      <c r="C46" s="26" t="s">
        <v>994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</row>
    <row r="47" spans="1:21" ht="15" customHeight="1">
      <c r="A47" s="26" t="s">
        <v>1012</v>
      </c>
      <c r="B47" s="26" t="s">
        <v>77</v>
      </c>
      <c r="C47" s="26" t="s">
        <v>1016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</row>
    <row r="48" spans="1:21" ht="15" customHeight="1">
      <c r="B48" s="26"/>
      <c r="C48" s="26" t="s">
        <v>1015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</row>
    <row r="49" spans="1:21" ht="15" customHeight="1">
      <c r="A49" s="26"/>
      <c r="B49" s="26"/>
      <c r="C49" s="26" t="s">
        <v>994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</row>
    <row r="50" spans="1:21" ht="15" customHeight="1">
      <c r="A50" s="26" t="s">
        <v>1013</v>
      </c>
      <c r="B50" s="26" t="s">
        <v>78</v>
      </c>
      <c r="C50" s="26" t="s">
        <v>1016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</row>
    <row r="51" spans="1:21" ht="15" customHeight="1">
      <c r="B51" s="26"/>
      <c r="C51" s="26" t="s">
        <v>1015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</row>
    <row r="52" spans="1:21" ht="15" customHeight="1">
      <c r="A52" s="26"/>
      <c r="B52" s="26"/>
      <c r="C52" s="26" t="s">
        <v>994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</row>
    <row r="53" spans="1:21" ht="15" customHeight="1">
      <c r="A53" s="26" t="s">
        <v>1014</v>
      </c>
      <c r="B53" s="26" t="s">
        <v>79</v>
      </c>
      <c r="C53" s="26" t="s">
        <v>1016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</row>
    <row r="54" spans="1:21" ht="15" customHeight="1">
      <c r="A54" s="26"/>
      <c r="B54" s="26"/>
      <c r="C54" s="26" t="s">
        <v>1015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</row>
    <row r="55" spans="1:21" ht="15" customHeight="1">
      <c r="A55" s="26"/>
      <c r="B55" s="26"/>
      <c r="C55" s="26" t="s">
        <v>994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</row>
    <row r="56" spans="1:21" ht="15" customHeight="1">
      <c r="A56" s="25" t="s">
        <v>81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:21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:21" ht="15" customHeight="1">
      <c r="A58" s="26" t="s">
        <v>1010</v>
      </c>
      <c r="B58" s="26" t="s">
        <v>73</v>
      </c>
      <c r="C58" s="26" t="s">
        <v>1016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</row>
    <row r="59" spans="1:21" ht="15" customHeight="1">
      <c r="A59" s="26"/>
      <c r="B59" s="26"/>
      <c r="C59" s="26" t="s">
        <v>1015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</row>
    <row r="60" spans="1:21" ht="15" customHeight="1">
      <c r="B60" s="26"/>
      <c r="C60" s="26" t="s">
        <v>994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</row>
    <row r="61" spans="1:21" ht="15" customHeight="1">
      <c r="A61" s="26" t="s">
        <v>1011</v>
      </c>
      <c r="B61" s="26" t="s">
        <v>76</v>
      </c>
      <c r="C61" s="26" t="s">
        <v>1016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</row>
    <row r="62" spans="1:21" ht="15" customHeight="1">
      <c r="B62" s="26"/>
      <c r="C62" s="26" t="s">
        <v>1015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</row>
    <row r="63" spans="1:21" ht="15" customHeight="1">
      <c r="A63" s="26"/>
      <c r="B63" s="26"/>
      <c r="C63" s="26" t="s">
        <v>994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</row>
    <row r="64" spans="1:21" ht="15" customHeight="1">
      <c r="A64" s="26" t="s">
        <v>1012</v>
      </c>
      <c r="B64" s="26" t="s">
        <v>77</v>
      </c>
      <c r="C64" s="26" t="s">
        <v>1016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</row>
    <row r="65" spans="1:21" ht="15" customHeight="1">
      <c r="B65" s="26"/>
      <c r="C65" s="26" t="s">
        <v>1015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</row>
    <row r="66" spans="1:21" ht="15" customHeight="1">
      <c r="A66" s="26"/>
      <c r="B66" s="26"/>
      <c r="C66" s="26" t="s">
        <v>994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</row>
    <row r="67" spans="1:21" ht="15" customHeight="1">
      <c r="A67" s="26" t="s">
        <v>1013</v>
      </c>
      <c r="B67" s="26" t="s">
        <v>78</v>
      </c>
      <c r="C67" s="26" t="s">
        <v>1016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</row>
    <row r="68" spans="1:21" ht="15" customHeight="1">
      <c r="B68" s="26"/>
      <c r="C68" s="26" t="s">
        <v>1015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</row>
    <row r="69" spans="1:21" ht="15" customHeight="1">
      <c r="A69" s="26"/>
      <c r="B69" s="26"/>
      <c r="C69" s="26" t="s">
        <v>994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</row>
    <row r="70" spans="1:21" ht="15" customHeight="1">
      <c r="A70" s="26" t="s">
        <v>1014</v>
      </c>
      <c r="B70" s="26" t="s">
        <v>79</v>
      </c>
      <c r="C70" s="26" t="s">
        <v>1016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</row>
    <row r="71" spans="1:21" ht="15" customHeight="1">
      <c r="A71" s="26"/>
      <c r="B71" s="26" t="s">
        <v>79</v>
      </c>
      <c r="C71" s="26" t="s">
        <v>1015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</row>
    <row r="72" spans="1:21" ht="15" customHeight="1">
      <c r="A72" s="26"/>
      <c r="B72" s="26" t="s">
        <v>79</v>
      </c>
      <c r="C72" s="26" t="s">
        <v>994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</row>
    <row r="73" spans="1:21" ht="15" customHeight="1">
      <c r="A73" s="25" t="s">
        <v>1025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:21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:21" ht="15" customHeight="1">
      <c r="A75" s="26" t="s">
        <v>1010</v>
      </c>
      <c r="B75" s="26" t="s">
        <v>73</v>
      </c>
      <c r="C75" s="26" t="s">
        <v>1016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</row>
    <row r="76" spans="1:21" ht="15" customHeight="1">
      <c r="A76" s="26"/>
      <c r="B76" s="26"/>
      <c r="C76" s="26" t="s">
        <v>1015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</row>
    <row r="77" spans="1:21" ht="15" customHeight="1">
      <c r="B77" s="26"/>
      <c r="C77" s="26" t="s">
        <v>994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</row>
    <row r="78" spans="1:21" ht="15" customHeight="1">
      <c r="A78" s="26" t="s">
        <v>1011</v>
      </c>
      <c r="B78" s="26" t="s">
        <v>76</v>
      </c>
      <c r="C78" s="26" t="s">
        <v>1016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</row>
    <row r="79" spans="1:21" ht="15" customHeight="1">
      <c r="B79" s="26"/>
      <c r="C79" s="26" t="s">
        <v>1015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</row>
    <row r="80" spans="1:21" ht="15" customHeight="1">
      <c r="A80" s="26"/>
      <c r="B80" s="26"/>
      <c r="C80" s="26" t="s">
        <v>994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</row>
    <row r="81" spans="1:21" ht="15" customHeight="1">
      <c r="A81" s="26" t="s">
        <v>1012</v>
      </c>
      <c r="B81" s="26" t="s">
        <v>77</v>
      </c>
      <c r="C81" s="26" t="s">
        <v>1016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</row>
    <row r="82" spans="1:21" ht="15" customHeight="1">
      <c r="B82" s="26"/>
      <c r="C82" s="26" t="s">
        <v>1015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</row>
    <row r="83" spans="1:21" ht="15" customHeight="1">
      <c r="A83" s="26"/>
      <c r="B83" s="26"/>
      <c r="C83" s="26" t="s">
        <v>994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</row>
    <row r="84" spans="1:21" ht="15" customHeight="1">
      <c r="A84" s="26" t="s">
        <v>1013</v>
      </c>
      <c r="B84" s="26" t="s">
        <v>78</v>
      </c>
      <c r="C84" s="26" t="s">
        <v>1016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</row>
    <row r="85" spans="1:21" ht="15" customHeight="1">
      <c r="B85" s="26"/>
      <c r="C85" s="26" t="s">
        <v>1015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</row>
    <row r="86" spans="1:21" ht="15" customHeight="1">
      <c r="A86" s="26"/>
      <c r="B86" s="26"/>
      <c r="C86" s="26" t="s">
        <v>994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</row>
    <row r="87" spans="1:21" ht="15" customHeight="1">
      <c r="A87" s="26" t="s">
        <v>1014</v>
      </c>
      <c r="B87" s="26" t="s">
        <v>79</v>
      </c>
      <c r="C87" s="26" t="s">
        <v>1016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</row>
    <row r="88" spans="1:21" ht="15" customHeight="1">
      <c r="A88" s="26"/>
      <c r="B88" s="26"/>
      <c r="C88" s="26" t="s">
        <v>1015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</row>
    <row r="89" spans="1:21" ht="15" customHeight="1">
      <c r="A89" s="26"/>
      <c r="B89" s="26"/>
      <c r="C89" s="26" t="s">
        <v>994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</row>
    <row r="90" spans="1:21" ht="15" customHeight="1">
      <c r="A90" s="25" t="s">
        <v>82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:21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:21" ht="15" customHeight="1">
      <c r="A92" s="26" t="s">
        <v>1010</v>
      </c>
      <c r="B92" s="26" t="s">
        <v>73</v>
      </c>
      <c r="C92" s="26" t="s">
        <v>1016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</row>
    <row r="93" spans="1:21" ht="15" customHeight="1">
      <c r="A93" s="26"/>
      <c r="B93" s="26"/>
      <c r="C93" s="26" t="s">
        <v>1015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</row>
    <row r="94" spans="1:21" ht="15" customHeight="1">
      <c r="B94" s="26"/>
      <c r="C94" s="26" t="s">
        <v>994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</row>
    <row r="95" spans="1:21" ht="15" customHeight="1">
      <c r="A95" s="26" t="s">
        <v>1011</v>
      </c>
      <c r="B95" s="26" t="s">
        <v>76</v>
      </c>
      <c r="C95" s="26" t="s">
        <v>1016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</row>
    <row r="96" spans="1:21" ht="15" customHeight="1">
      <c r="B96" s="26"/>
      <c r="C96" s="26" t="s">
        <v>1015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</row>
    <row r="97" spans="1:21" ht="15" customHeight="1">
      <c r="A97" s="26"/>
      <c r="B97" s="26"/>
      <c r="C97" s="26" t="s">
        <v>994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</row>
    <row r="98" spans="1:21" ht="15" customHeight="1">
      <c r="A98" s="26" t="s">
        <v>1012</v>
      </c>
      <c r="B98" s="26" t="s">
        <v>77</v>
      </c>
      <c r="C98" s="26" t="s">
        <v>1016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</row>
    <row r="99" spans="1:21" ht="15" customHeight="1">
      <c r="B99" s="26"/>
      <c r="C99" s="26" t="s">
        <v>1015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</row>
    <row r="100" spans="1:21" ht="15" customHeight="1">
      <c r="A100" s="26"/>
      <c r="B100" s="26"/>
      <c r="C100" s="26" t="s">
        <v>994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</row>
    <row r="101" spans="1:21" ht="15" customHeight="1">
      <c r="A101" s="26" t="s">
        <v>1013</v>
      </c>
      <c r="B101" s="26" t="s">
        <v>78</v>
      </c>
      <c r="C101" s="26" t="s">
        <v>1016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</row>
    <row r="102" spans="1:21" ht="15" customHeight="1">
      <c r="B102" s="26"/>
      <c r="C102" s="26" t="s">
        <v>1015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</row>
    <row r="103" spans="1:21" ht="15" customHeight="1">
      <c r="A103" s="26"/>
      <c r="B103" s="26"/>
      <c r="C103" s="26" t="s">
        <v>994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</row>
    <row r="104" spans="1:21" ht="15" customHeight="1">
      <c r="A104" s="26" t="s">
        <v>1014</v>
      </c>
      <c r="B104" s="26" t="s">
        <v>79</v>
      </c>
      <c r="C104" s="26" t="s">
        <v>1016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</row>
    <row r="105" spans="1:21" ht="15" customHeight="1">
      <c r="A105" s="26"/>
      <c r="B105" s="26"/>
      <c r="C105" s="26" t="s">
        <v>1015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</row>
    <row r="106" spans="1:21" ht="15" customHeight="1">
      <c r="A106" s="26"/>
      <c r="B106" s="26"/>
      <c r="C106" s="26" t="s">
        <v>994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</row>
    <row r="107" spans="1:21" ht="15" customHeight="1">
      <c r="A107" s="25" t="s">
        <v>1027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:21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:21" ht="15" customHeight="1">
      <c r="A109" s="26" t="s">
        <v>1010</v>
      </c>
      <c r="B109" s="26" t="s">
        <v>73</v>
      </c>
      <c r="C109" s="26" t="s">
        <v>1016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</row>
    <row r="110" spans="1:21" ht="15" customHeight="1">
      <c r="A110" s="26"/>
      <c r="B110" s="26"/>
      <c r="C110" s="26" t="s">
        <v>1015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</row>
    <row r="111" spans="1:21" ht="15" customHeight="1">
      <c r="B111" s="26"/>
      <c r="C111" s="26" t="s">
        <v>994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</row>
    <row r="112" spans="1:21" ht="15" customHeight="1">
      <c r="A112" s="26" t="s">
        <v>1011</v>
      </c>
      <c r="B112" s="26" t="s">
        <v>76</v>
      </c>
      <c r="C112" s="26" t="s">
        <v>1016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</row>
    <row r="113" spans="1:21" ht="15" customHeight="1">
      <c r="B113" s="26"/>
      <c r="C113" s="26" t="s">
        <v>1015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</row>
    <row r="114" spans="1:21" ht="15" customHeight="1">
      <c r="A114" s="26"/>
      <c r="B114" s="26"/>
      <c r="C114" s="26" t="s">
        <v>994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</row>
    <row r="115" spans="1:21" ht="15" customHeight="1">
      <c r="A115" s="26" t="s">
        <v>1012</v>
      </c>
      <c r="B115" s="26" t="s">
        <v>77</v>
      </c>
      <c r="C115" s="26" t="s">
        <v>1016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</row>
    <row r="116" spans="1:21" ht="15" customHeight="1">
      <c r="B116" s="26"/>
      <c r="C116" s="26" t="s">
        <v>1015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</row>
    <row r="117" spans="1:21" ht="15" customHeight="1">
      <c r="A117" s="26"/>
      <c r="B117" s="26"/>
      <c r="C117" s="26" t="s">
        <v>994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</row>
    <row r="118" spans="1:21" ht="15" customHeight="1">
      <c r="A118" s="26" t="s">
        <v>1013</v>
      </c>
      <c r="B118" s="26" t="s">
        <v>78</v>
      </c>
      <c r="C118" s="26" t="s">
        <v>1016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</row>
    <row r="119" spans="1:21" ht="15" customHeight="1">
      <c r="B119" s="26"/>
      <c r="C119" s="26" t="s">
        <v>1015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</row>
    <row r="120" spans="1:21" ht="15" customHeight="1">
      <c r="A120" s="26"/>
      <c r="B120" s="26"/>
      <c r="C120" s="26" t="s">
        <v>994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</row>
    <row r="121" spans="1:21" ht="15" customHeight="1">
      <c r="A121" s="26" t="s">
        <v>1014</v>
      </c>
      <c r="B121" s="26" t="s">
        <v>79</v>
      </c>
      <c r="C121" s="26" t="s">
        <v>1016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</row>
    <row r="122" spans="1:21" ht="15" customHeight="1">
      <c r="A122" s="26"/>
      <c r="B122" s="26"/>
      <c r="C122" s="26" t="s">
        <v>1015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</row>
    <row r="123" spans="1:21" ht="15" customHeight="1">
      <c r="A123" s="26"/>
      <c r="B123" s="26"/>
      <c r="C123" s="26" t="s">
        <v>994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</row>
    <row r="124" spans="1:21" ht="15" customHeight="1">
      <c r="A124" s="25" t="s">
        <v>83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:21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:21" ht="15" customHeight="1">
      <c r="A126" s="26" t="s">
        <v>1010</v>
      </c>
      <c r="B126" s="26" t="s">
        <v>73</v>
      </c>
      <c r="C126" s="26" t="s">
        <v>1016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</row>
    <row r="127" spans="1:21" ht="15" customHeight="1">
      <c r="A127" s="26"/>
      <c r="B127" s="26"/>
      <c r="C127" s="26" t="s">
        <v>1015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</row>
    <row r="128" spans="1:21" ht="15" customHeight="1">
      <c r="B128" s="26"/>
      <c r="C128" s="26" t="s">
        <v>994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</row>
    <row r="129" spans="1:21" ht="15" customHeight="1">
      <c r="A129" s="26" t="s">
        <v>1011</v>
      </c>
      <c r="B129" s="26" t="s">
        <v>76</v>
      </c>
      <c r="C129" s="26" t="s">
        <v>1016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</row>
    <row r="130" spans="1:21" ht="15" customHeight="1">
      <c r="B130" s="26"/>
      <c r="C130" s="26" t="s">
        <v>1015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</row>
    <row r="131" spans="1:21" ht="15" customHeight="1">
      <c r="A131" s="26"/>
      <c r="B131" s="26"/>
      <c r="C131" s="26" t="s">
        <v>994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</row>
    <row r="132" spans="1:21" ht="15" customHeight="1">
      <c r="A132" s="26" t="s">
        <v>1012</v>
      </c>
      <c r="B132" s="26" t="s">
        <v>77</v>
      </c>
      <c r="C132" s="26" t="s">
        <v>1016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</row>
    <row r="133" spans="1:21" ht="15" customHeight="1">
      <c r="B133" s="26"/>
      <c r="C133" s="26" t="s">
        <v>1015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</row>
    <row r="134" spans="1:21" ht="15" customHeight="1">
      <c r="A134" s="26"/>
      <c r="B134" s="26"/>
      <c r="C134" s="26" t="s">
        <v>994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</row>
    <row r="135" spans="1:21" ht="15" customHeight="1">
      <c r="A135" s="26" t="s">
        <v>1013</v>
      </c>
      <c r="B135" s="26" t="s">
        <v>78</v>
      </c>
      <c r="C135" s="26" t="s">
        <v>1016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</row>
    <row r="136" spans="1:21" ht="15" customHeight="1">
      <c r="B136" s="26"/>
      <c r="C136" s="26" t="s">
        <v>1015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</row>
    <row r="137" spans="1:21" ht="15" customHeight="1">
      <c r="A137" s="26"/>
      <c r="B137" s="26"/>
      <c r="C137" s="26" t="s">
        <v>994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</row>
    <row r="138" spans="1:21" ht="15" customHeight="1">
      <c r="A138" s="26" t="s">
        <v>1014</v>
      </c>
      <c r="B138" s="26" t="s">
        <v>79</v>
      </c>
      <c r="C138" s="26" t="s">
        <v>1016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</row>
    <row r="139" spans="1:21" ht="15" customHeight="1">
      <c r="A139" s="26"/>
      <c r="B139" s="26"/>
      <c r="C139" s="26" t="s">
        <v>1015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</row>
    <row r="140" spans="1:21" ht="15" customHeight="1">
      <c r="A140" s="26"/>
      <c r="B140" s="26"/>
      <c r="C140" s="26" t="s">
        <v>994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</row>
    <row r="141" spans="1:21" ht="15" customHeight="1">
      <c r="A141" s="25" t="s">
        <v>84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:21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:21" ht="15" customHeight="1">
      <c r="A143" s="26" t="s">
        <v>1010</v>
      </c>
      <c r="B143" s="26" t="s">
        <v>73</v>
      </c>
      <c r="C143" s="26" t="s">
        <v>1016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</row>
    <row r="144" spans="1:21" ht="15" customHeight="1">
      <c r="A144" s="26"/>
      <c r="B144" s="26"/>
      <c r="C144" s="26" t="s">
        <v>1015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</row>
    <row r="145" spans="1:21" ht="15" customHeight="1">
      <c r="B145" s="26"/>
      <c r="C145" s="26" t="s">
        <v>994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</row>
    <row r="146" spans="1:21" ht="15" customHeight="1">
      <c r="A146" s="26" t="s">
        <v>1011</v>
      </c>
      <c r="B146" s="26" t="s">
        <v>76</v>
      </c>
      <c r="C146" s="26" t="s">
        <v>1016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</row>
    <row r="147" spans="1:21" ht="15" customHeight="1">
      <c r="B147" s="26"/>
      <c r="C147" s="26" t="s">
        <v>1015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</row>
    <row r="148" spans="1:21" ht="15" customHeight="1">
      <c r="A148" s="26"/>
      <c r="B148" s="26"/>
      <c r="C148" s="26" t="s">
        <v>994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</row>
    <row r="149" spans="1:21" ht="15" customHeight="1">
      <c r="A149" s="26" t="s">
        <v>1012</v>
      </c>
      <c r="B149" s="26" t="s">
        <v>77</v>
      </c>
      <c r="C149" s="26" t="s">
        <v>1016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</row>
    <row r="150" spans="1:21" ht="15" customHeight="1">
      <c r="B150" s="26"/>
      <c r="C150" s="26" t="s">
        <v>1015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</row>
    <row r="151" spans="1:21" ht="15" customHeight="1">
      <c r="A151" s="26"/>
      <c r="B151" s="26"/>
      <c r="C151" s="26" t="s">
        <v>994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</row>
    <row r="152" spans="1:21" ht="15" customHeight="1">
      <c r="A152" s="26" t="s">
        <v>1013</v>
      </c>
      <c r="B152" s="26" t="s">
        <v>78</v>
      </c>
      <c r="C152" s="26" t="s">
        <v>1016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</row>
    <row r="153" spans="1:21" ht="15" customHeight="1">
      <c r="B153" s="26"/>
      <c r="C153" s="26" t="s">
        <v>1015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</row>
    <row r="154" spans="1:21" ht="15" customHeight="1">
      <c r="A154" s="26"/>
      <c r="B154" s="26"/>
      <c r="C154" s="26" t="s">
        <v>994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</row>
    <row r="155" spans="1:21" ht="15" customHeight="1">
      <c r="A155" s="26" t="s">
        <v>1014</v>
      </c>
      <c r="B155" s="26" t="s">
        <v>79</v>
      </c>
      <c r="C155" s="26" t="s">
        <v>1016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</row>
    <row r="156" spans="1:21" ht="15" customHeight="1">
      <c r="A156" s="26"/>
      <c r="B156" s="26"/>
      <c r="C156" s="26" t="s">
        <v>1015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</row>
    <row r="157" spans="1:21" ht="15" customHeight="1">
      <c r="A157" s="26"/>
      <c r="B157" s="26"/>
      <c r="C157" s="26" t="s">
        <v>994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</row>
    <row r="158" spans="1:21" ht="15" customHeight="1">
      <c r="A158" s="25" t="s">
        <v>1026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:21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  <row r="160" spans="1:21" ht="15" customHeight="1">
      <c r="A160" s="26" t="s">
        <v>1010</v>
      </c>
      <c r="B160" s="26" t="s">
        <v>73</v>
      </c>
      <c r="C160" s="26" t="s">
        <v>1016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</row>
    <row r="161" spans="1:21" ht="15" customHeight="1">
      <c r="A161" s="26"/>
      <c r="B161" s="26"/>
      <c r="C161" s="26" t="s">
        <v>1015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</row>
    <row r="162" spans="1:21" ht="15" customHeight="1">
      <c r="B162" s="26"/>
      <c r="C162" s="26" t="s">
        <v>994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</row>
    <row r="163" spans="1:21" ht="15" customHeight="1">
      <c r="A163" s="26" t="s">
        <v>1011</v>
      </c>
      <c r="B163" s="26" t="s">
        <v>76</v>
      </c>
      <c r="C163" s="26" t="s">
        <v>1016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</row>
    <row r="164" spans="1:21" ht="15" customHeight="1">
      <c r="B164" s="26"/>
      <c r="C164" s="26" t="s">
        <v>1015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</row>
    <row r="165" spans="1:21" ht="15" customHeight="1">
      <c r="A165" s="26"/>
      <c r="B165" s="26"/>
      <c r="C165" s="26" t="s">
        <v>994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</row>
    <row r="166" spans="1:21" ht="15" customHeight="1">
      <c r="A166" s="26" t="s">
        <v>1012</v>
      </c>
      <c r="B166" s="26" t="s">
        <v>77</v>
      </c>
      <c r="C166" s="26" t="s">
        <v>1016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</row>
    <row r="167" spans="1:21" ht="15" customHeight="1">
      <c r="B167" s="26"/>
      <c r="C167" s="26" t="s">
        <v>1015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</row>
    <row r="168" spans="1:21" ht="15" customHeight="1">
      <c r="A168" s="26"/>
      <c r="B168" s="26"/>
      <c r="C168" s="26" t="s">
        <v>994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</row>
    <row r="169" spans="1:21" ht="15" customHeight="1">
      <c r="A169" s="26" t="s">
        <v>1013</v>
      </c>
      <c r="B169" s="26" t="s">
        <v>78</v>
      </c>
      <c r="C169" s="26" t="s">
        <v>1016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</row>
    <row r="170" spans="1:21" ht="15" customHeight="1">
      <c r="B170" s="26"/>
      <c r="C170" s="26" t="s">
        <v>1015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</row>
    <row r="171" spans="1:21" ht="15" customHeight="1">
      <c r="A171" s="26"/>
      <c r="B171" s="26"/>
      <c r="C171" s="26" t="s">
        <v>994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</row>
    <row r="172" spans="1:21" ht="15" customHeight="1">
      <c r="A172" s="26" t="s">
        <v>1014</v>
      </c>
      <c r="B172" s="26" t="s">
        <v>79</v>
      </c>
      <c r="C172" s="26" t="s">
        <v>1016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</row>
    <row r="173" spans="1:21" ht="15" customHeight="1">
      <c r="A173" s="26"/>
      <c r="B173" s="26"/>
      <c r="C173" s="26" t="s">
        <v>1015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</row>
    <row r="174" spans="1:21" ht="15" customHeight="1">
      <c r="A174" s="26"/>
      <c r="B174" s="26"/>
      <c r="C174" s="26" t="s">
        <v>994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</row>
    <row r="175" spans="1:21" ht="15" customHeight="1">
      <c r="A175" s="25" t="s">
        <v>1028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</row>
    <row r="176" spans="1:21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</row>
    <row r="177" spans="1:21" ht="15" customHeight="1">
      <c r="A177" s="26" t="s">
        <v>1010</v>
      </c>
      <c r="B177" s="26" t="s">
        <v>73</v>
      </c>
      <c r="C177" s="26" t="s">
        <v>1016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</row>
    <row r="178" spans="1:21" ht="15" customHeight="1">
      <c r="A178" s="26"/>
      <c r="B178" s="26"/>
      <c r="C178" s="26" t="s">
        <v>1015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</row>
    <row r="179" spans="1:21" ht="15" customHeight="1">
      <c r="B179" s="26"/>
      <c r="C179" s="26" t="s">
        <v>994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</row>
    <row r="180" spans="1:21" ht="15" customHeight="1">
      <c r="A180" s="26" t="s">
        <v>1011</v>
      </c>
      <c r="B180" s="26" t="s">
        <v>76</v>
      </c>
      <c r="C180" s="26" t="s">
        <v>1016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</row>
    <row r="181" spans="1:21" ht="15" customHeight="1">
      <c r="B181" s="26"/>
      <c r="C181" s="26" t="s">
        <v>1015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</row>
    <row r="182" spans="1:21" ht="15" customHeight="1">
      <c r="A182" s="26"/>
      <c r="B182" s="26"/>
      <c r="C182" s="26" t="s">
        <v>994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</row>
    <row r="183" spans="1:21" ht="15" customHeight="1">
      <c r="A183" s="26" t="s">
        <v>1012</v>
      </c>
      <c r="B183" s="26" t="s">
        <v>77</v>
      </c>
      <c r="C183" s="26" t="s">
        <v>1016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</row>
    <row r="184" spans="1:21" ht="15" customHeight="1">
      <c r="B184" s="26"/>
      <c r="C184" s="26" t="s">
        <v>1015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</row>
    <row r="185" spans="1:21" ht="15" customHeight="1">
      <c r="A185" s="26"/>
      <c r="B185" s="26"/>
      <c r="C185" s="26" t="s">
        <v>994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</row>
    <row r="186" spans="1:21" ht="15" customHeight="1">
      <c r="A186" s="26" t="s">
        <v>1013</v>
      </c>
      <c r="B186" s="26" t="s">
        <v>78</v>
      </c>
      <c r="C186" s="26" t="s">
        <v>1016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</row>
    <row r="187" spans="1:21" ht="15" customHeight="1">
      <c r="B187" s="26"/>
      <c r="C187" s="26" t="s">
        <v>1015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</row>
    <row r="188" spans="1:21" ht="15" customHeight="1">
      <c r="A188" s="26"/>
      <c r="B188" s="26"/>
      <c r="C188" s="26" t="s">
        <v>994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</row>
    <row r="189" spans="1:21" ht="15" customHeight="1">
      <c r="A189" s="26" t="s">
        <v>1014</v>
      </c>
      <c r="B189" s="26" t="s">
        <v>79</v>
      </c>
      <c r="C189" s="26" t="s">
        <v>1016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</row>
    <row r="190" spans="1:21" ht="15" customHeight="1">
      <c r="A190" s="26"/>
      <c r="B190" s="26"/>
      <c r="C190" s="26" t="s">
        <v>1015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</row>
    <row r="191" spans="1:21" ht="15" customHeight="1">
      <c r="A191" s="26"/>
      <c r="B191" s="26"/>
      <c r="C191" s="26" t="s">
        <v>994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</row>
    <row r="192" spans="1:21" ht="15" customHeight="1">
      <c r="A192" s="25" t="s">
        <v>1029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</row>
    <row r="193" spans="1:21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</row>
    <row r="194" spans="1:21" ht="15" customHeight="1">
      <c r="A194" s="26" t="s">
        <v>1010</v>
      </c>
      <c r="B194" s="26" t="s">
        <v>73</v>
      </c>
      <c r="C194" s="26" t="s">
        <v>1016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</row>
    <row r="195" spans="1:21" ht="15" customHeight="1">
      <c r="A195" s="26"/>
      <c r="B195" s="26"/>
      <c r="C195" s="26" t="s">
        <v>1015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</row>
    <row r="196" spans="1:21" ht="15" customHeight="1">
      <c r="B196" s="26"/>
      <c r="C196" s="26" t="s">
        <v>994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</row>
    <row r="197" spans="1:21" ht="15" customHeight="1">
      <c r="A197" s="26" t="s">
        <v>1011</v>
      </c>
      <c r="B197" s="26" t="s">
        <v>76</v>
      </c>
      <c r="C197" s="26" t="s">
        <v>1016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</row>
    <row r="198" spans="1:21" ht="15" customHeight="1">
      <c r="B198" s="26"/>
      <c r="C198" s="26" t="s">
        <v>1015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</row>
    <row r="199" spans="1:21" ht="15" customHeight="1">
      <c r="A199" s="26"/>
      <c r="B199" s="26"/>
      <c r="C199" s="26" t="s">
        <v>994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</row>
    <row r="200" spans="1:21" ht="15" customHeight="1">
      <c r="A200" s="26" t="s">
        <v>1012</v>
      </c>
      <c r="B200" s="26" t="s">
        <v>77</v>
      </c>
      <c r="C200" s="26" t="s">
        <v>1016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</row>
    <row r="201" spans="1:21" ht="15" customHeight="1">
      <c r="B201" s="26"/>
      <c r="C201" s="26" t="s">
        <v>1015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</row>
    <row r="202" spans="1:21" ht="15" customHeight="1">
      <c r="A202" s="26"/>
      <c r="B202" s="26"/>
      <c r="C202" s="26" t="s">
        <v>994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</row>
    <row r="203" spans="1:21" ht="15" customHeight="1">
      <c r="A203" s="26" t="s">
        <v>1013</v>
      </c>
      <c r="B203" s="26" t="s">
        <v>78</v>
      </c>
      <c r="C203" s="26" t="s">
        <v>1016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</row>
    <row r="204" spans="1:21" ht="15" customHeight="1">
      <c r="B204" s="26"/>
      <c r="C204" s="26" t="s">
        <v>1015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</row>
    <row r="205" spans="1:21" ht="15" customHeight="1">
      <c r="A205" s="26"/>
      <c r="B205" s="26"/>
      <c r="C205" s="26" t="s">
        <v>994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</row>
    <row r="206" spans="1:21" ht="15" customHeight="1">
      <c r="A206" s="26" t="s">
        <v>1014</v>
      </c>
      <c r="B206" s="26" t="s">
        <v>79</v>
      </c>
      <c r="C206" s="26" t="s">
        <v>1016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</row>
    <row r="207" spans="1:21" ht="15" customHeight="1">
      <c r="A207" s="26"/>
      <c r="B207" s="26"/>
      <c r="C207" s="26" t="s">
        <v>1015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</row>
    <row r="208" spans="1:21" ht="15" customHeight="1">
      <c r="A208" s="26"/>
      <c r="B208" s="26"/>
      <c r="C208" s="26" t="s">
        <v>994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</row>
    <row r="209" spans="1:21" ht="15" customHeight="1">
      <c r="A209" s="25" t="s">
        <v>1030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</row>
    <row r="210" spans="1:21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</row>
    <row r="211" spans="1:21" ht="15" customHeight="1">
      <c r="A211" s="26" t="s">
        <v>1010</v>
      </c>
      <c r="B211" s="26" t="s">
        <v>73</v>
      </c>
      <c r="C211" s="26" t="s">
        <v>1016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</row>
    <row r="212" spans="1:21" ht="15" customHeight="1">
      <c r="A212" s="26"/>
      <c r="B212" s="26"/>
      <c r="C212" s="26" t="s">
        <v>1015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</row>
    <row r="213" spans="1:21" ht="15" customHeight="1">
      <c r="B213" s="26"/>
      <c r="C213" s="26" t="s">
        <v>994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</row>
    <row r="214" spans="1:21" ht="15" customHeight="1">
      <c r="A214" s="26" t="s">
        <v>1011</v>
      </c>
      <c r="B214" s="26" t="s">
        <v>76</v>
      </c>
      <c r="C214" s="26" t="s">
        <v>1016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</row>
    <row r="215" spans="1:21" ht="15" customHeight="1">
      <c r="B215" s="26"/>
      <c r="C215" s="26" t="s">
        <v>1015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</row>
    <row r="216" spans="1:21" ht="15" customHeight="1">
      <c r="A216" s="26"/>
      <c r="B216" s="26"/>
      <c r="C216" s="26" t="s">
        <v>994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</row>
    <row r="217" spans="1:21" ht="15" customHeight="1">
      <c r="A217" s="26" t="s">
        <v>1012</v>
      </c>
      <c r="B217" s="26" t="s">
        <v>77</v>
      </c>
      <c r="C217" s="26" t="s">
        <v>1016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</row>
    <row r="218" spans="1:21" ht="15" customHeight="1">
      <c r="B218" s="26"/>
      <c r="C218" s="26" t="s">
        <v>1015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</row>
    <row r="219" spans="1:21" ht="15" customHeight="1">
      <c r="A219" s="26"/>
      <c r="B219" s="26"/>
      <c r="C219" s="26" t="s">
        <v>994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</row>
    <row r="220" spans="1:21" ht="15" customHeight="1">
      <c r="A220" s="26" t="s">
        <v>1013</v>
      </c>
      <c r="B220" s="26" t="s">
        <v>78</v>
      </c>
      <c r="C220" s="26" t="s">
        <v>1016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</row>
    <row r="221" spans="1:21" ht="15" customHeight="1">
      <c r="B221" s="26"/>
      <c r="C221" s="26" t="s">
        <v>1015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</row>
    <row r="222" spans="1:21" ht="15" customHeight="1">
      <c r="A222" s="26"/>
      <c r="B222" s="26"/>
      <c r="C222" s="26" t="s">
        <v>994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</row>
    <row r="223" spans="1:21" ht="15" customHeight="1">
      <c r="A223" s="26" t="s">
        <v>1014</v>
      </c>
      <c r="B223" s="26" t="s">
        <v>79</v>
      </c>
      <c r="C223" s="26" t="s">
        <v>1016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</row>
    <row r="224" spans="1:21" ht="15" customHeight="1">
      <c r="A224" s="26"/>
      <c r="B224" s="26"/>
      <c r="C224" s="26" t="s">
        <v>1015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</row>
    <row r="225" spans="1:21" ht="15" customHeight="1">
      <c r="A225" s="26"/>
      <c r="B225" s="26"/>
      <c r="C225" s="26" t="s">
        <v>994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</row>
    <row r="226" spans="1:21" ht="15" customHeight="1">
      <c r="A226" s="25" t="s">
        <v>1031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</row>
    <row r="227" spans="1:21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</row>
    <row r="228" spans="1:21" ht="15" customHeight="1">
      <c r="A228" s="26" t="s">
        <v>1010</v>
      </c>
      <c r="B228" s="26" t="s">
        <v>73</v>
      </c>
      <c r="C228" s="26" t="s">
        <v>1016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</row>
    <row r="229" spans="1:21" ht="15" customHeight="1">
      <c r="A229" s="26"/>
      <c r="B229" s="26"/>
      <c r="C229" s="26" t="s">
        <v>1015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</row>
    <row r="230" spans="1:21" ht="15" customHeight="1">
      <c r="B230" s="26"/>
      <c r="C230" s="26" t="s">
        <v>994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</row>
    <row r="231" spans="1:21" ht="15" customHeight="1">
      <c r="A231" s="26" t="s">
        <v>1011</v>
      </c>
      <c r="B231" s="26" t="s">
        <v>76</v>
      </c>
      <c r="C231" s="26" t="s">
        <v>1016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</row>
    <row r="232" spans="1:21" ht="15" customHeight="1">
      <c r="B232" s="26"/>
      <c r="C232" s="26" t="s">
        <v>1015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</row>
    <row r="233" spans="1:21" ht="15" customHeight="1">
      <c r="A233" s="26"/>
      <c r="B233" s="26"/>
      <c r="C233" s="26" t="s">
        <v>994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</row>
    <row r="234" spans="1:21" ht="15" customHeight="1">
      <c r="A234" s="26" t="s">
        <v>1012</v>
      </c>
      <c r="B234" s="26" t="s">
        <v>77</v>
      </c>
      <c r="C234" s="26" t="s">
        <v>1016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</row>
    <row r="235" spans="1:21" ht="15" customHeight="1">
      <c r="B235" s="26"/>
      <c r="C235" s="26" t="s">
        <v>1015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</row>
    <row r="236" spans="1:21" ht="15" customHeight="1">
      <c r="A236" s="26"/>
      <c r="B236" s="26"/>
      <c r="C236" s="26" t="s">
        <v>994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</row>
    <row r="237" spans="1:21" ht="15" customHeight="1">
      <c r="A237" s="26" t="s">
        <v>1013</v>
      </c>
      <c r="B237" s="26" t="s">
        <v>78</v>
      </c>
      <c r="C237" s="26" t="s">
        <v>1016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</row>
    <row r="238" spans="1:21" ht="15" customHeight="1">
      <c r="B238" s="26"/>
      <c r="C238" s="26" t="s">
        <v>1015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</row>
    <row r="239" spans="1:21" ht="15" customHeight="1">
      <c r="A239" s="26"/>
      <c r="B239" s="26"/>
      <c r="C239" s="26" t="s">
        <v>994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</row>
    <row r="240" spans="1:21" ht="15" customHeight="1">
      <c r="A240" s="26" t="s">
        <v>1014</v>
      </c>
      <c r="B240" s="26" t="s">
        <v>79</v>
      </c>
      <c r="C240" s="26" t="s">
        <v>1016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</row>
    <row r="241" spans="1:21" ht="15" customHeight="1">
      <c r="A241" s="26"/>
      <c r="B241" s="26"/>
      <c r="C241" s="26" t="s">
        <v>1015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</row>
    <row r="242" spans="1:21" ht="15" customHeight="1">
      <c r="A242" s="26"/>
      <c r="B242" s="26"/>
      <c r="C242" s="26" t="s">
        <v>994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</row>
    <row r="243" spans="1:21" ht="15" customHeight="1">
      <c r="A243" s="25" t="s">
        <v>1032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</row>
    <row r="244" spans="1:21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</row>
    <row r="245" spans="1:21" ht="15" customHeight="1">
      <c r="A245" s="26" t="s">
        <v>1010</v>
      </c>
      <c r="B245" s="26" t="s">
        <v>73</v>
      </c>
      <c r="C245" s="26" t="s">
        <v>1016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</row>
    <row r="246" spans="1:21" ht="15" customHeight="1">
      <c r="A246" s="26"/>
      <c r="B246" s="26"/>
      <c r="C246" s="26" t="s">
        <v>1015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</row>
    <row r="247" spans="1:21" ht="15" customHeight="1">
      <c r="B247" s="26"/>
      <c r="C247" s="26" t="s">
        <v>994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</row>
    <row r="248" spans="1:21" ht="15" customHeight="1">
      <c r="A248" s="26" t="s">
        <v>1011</v>
      </c>
      <c r="B248" s="26" t="s">
        <v>76</v>
      </c>
      <c r="C248" s="26" t="s">
        <v>1016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</row>
    <row r="249" spans="1:21" ht="15" customHeight="1">
      <c r="B249" s="26"/>
      <c r="C249" s="26" t="s">
        <v>1015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</row>
    <row r="250" spans="1:21" ht="15" customHeight="1">
      <c r="A250" s="26"/>
      <c r="B250" s="26"/>
      <c r="C250" s="26" t="s">
        <v>994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</row>
    <row r="251" spans="1:21" ht="15" customHeight="1">
      <c r="A251" s="26" t="s">
        <v>1012</v>
      </c>
      <c r="B251" s="26" t="s">
        <v>77</v>
      </c>
      <c r="C251" s="26" t="s">
        <v>1016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</row>
    <row r="252" spans="1:21" ht="15" customHeight="1">
      <c r="B252" s="26"/>
      <c r="C252" s="26" t="s">
        <v>1015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</row>
    <row r="253" spans="1:21" ht="15" customHeight="1">
      <c r="A253" s="26"/>
      <c r="B253" s="26"/>
      <c r="C253" s="26" t="s">
        <v>994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</row>
    <row r="254" spans="1:21" ht="15" customHeight="1">
      <c r="A254" s="26" t="s">
        <v>1013</v>
      </c>
      <c r="B254" s="26" t="s">
        <v>78</v>
      </c>
      <c r="C254" s="26" t="s">
        <v>1016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</row>
    <row r="255" spans="1:21" ht="15" customHeight="1">
      <c r="B255" s="26"/>
      <c r="C255" s="26" t="s">
        <v>1015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</row>
    <row r="256" spans="1:21" ht="15" customHeight="1">
      <c r="A256" s="26"/>
      <c r="B256" s="26"/>
      <c r="C256" s="26" t="s">
        <v>994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</row>
    <row r="257" spans="1:21" ht="15" customHeight="1">
      <c r="A257" s="26" t="s">
        <v>1014</v>
      </c>
      <c r="B257" s="26" t="s">
        <v>79</v>
      </c>
      <c r="C257" s="26" t="s">
        <v>1016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</row>
    <row r="258" spans="1:21" ht="15" customHeight="1">
      <c r="A258" s="26"/>
      <c r="B258" s="26"/>
      <c r="C258" s="26" t="s">
        <v>1015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</row>
    <row r="259" spans="1:21" ht="15" customHeight="1">
      <c r="A259" s="26"/>
      <c r="B259" s="26"/>
      <c r="C259" s="26" t="s">
        <v>994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</row>
    <row r="260" spans="1:21" ht="15" customHeight="1">
      <c r="A260" s="29" t="s">
        <v>1033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</row>
    <row r="261" spans="1:21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</row>
    <row r="262" spans="1:21" ht="15" customHeight="1">
      <c r="A262" s="26" t="s">
        <v>1010</v>
      </c>
      <c r="B262" s="7" t="s">
        <v>73</v>
      </c>
      <c r="C262" s="26" t="s">
        <v>1016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</row>
    <row r="263" spans="1:21" ht="15" customHeight="1">
      <c r="A263" s="26"/>
      <c r="B263" s="7"/>
      <c r="C263" s="26" t="s">
        <v>1015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</row>
    <row r="264" spans="1:21" ht="15" customHeight="1">
      <c r="B264" s="7"/>
      <c r="C264" s="26" t="s">
        <v>994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</row>
    <row r="265" spans="1:21" ht="15" customHeight="1">
      <c r="A265" s="26" t="s">
        <v>1011</v>
      </c>
      <c r="B265" s="7" t="s">
        <v>76</v>
      </c>
      <c r="C265" s="26" t="s">
        <v>1016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</row>
    <row r="266" spans="1:21" ht="15" customHeight="1">
      <c r="B266" s="7"/>
      <c r="C266" s="26" t="s">
        <v>1015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</row>
    <row r="267" spans="1:21" ht="15" customHeight="1">
      <c r="A267" s="26"/>
      <c r="B267" s="7"/>
      <c r="C267" s="26" t="s">
        <v>994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</row>
    <row r="268" spans="1:21" ht="15" customHeight="1">
      <c r="A268" s="26" t="s">
        <v>1012</v>
      </c>
      <c r="B268" s="7" t="s">
        <v>77</v>
      </c>
      <c r="C268" s="26" t="s">
        <v>1016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</row>
    <row r="269" spans="1:21" ht="15" customHeight="1">
      <c r="B269" s="7"/>
      <c r="C269" s="26" t="s">
        <v>1015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</row>
    <row r="270" spans="1:21" ht="15" customHeight="1">
      <c r="A270" s="26"/>
      <c r="B270" s="7"/>
      <c r="C270" s="26" t="s">
        <v>994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</row>
    <row r="271" spans="1:21" ht="15" customHeight="1">
      <c r="A271" s="26" t="s">
        <v>1013</v>
      </c>
      <c r="B271" s="7" t="s">
        <v>78</v>
      </c>
      <c r="C271" s="26" t="s">
        <v>1016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</row>
    <row r="272" spans="1:21" ht="15" customHeight="1">
      <c r="B272" s="7"/>
      <c r="C272" s="26" t="s">
        <v>1015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</row>
    <row r="273" spans="1:21" ht="15" customHeight="1">
      <c r="A273" s="26"/>
      <c r="B273" s="7"/>
      <c r="C273" s="26" t="s">
        <v>994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</row>
    <row r="274" spans="1:21" ht="15" customHeight="1">
      <c r="A274" s="26" t="s">
        <v>1014</v>
      </c>
      <c r="B274" s="7" t="s">
        <v>79</v>
      </c>
      <c r="C274" s="26" t="s">
        <v>1016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</row>
    <row r="275" spans="1:21" ht="15" customHeight="1">
      <c r="A275" s="7"/>
      <c r="B275" s="7"/>
      <c r="C275" s="26" t="s">
        <v>1015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</row>
    <row r="276" spans="1:21" ht="15" customHeight="1">
      <c r="A276" s="7"/>
      <c r="B276" s="7"/>
      <c r="C276" s="26" t="s">
        <v>994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</row>
    <row r="277" spans="1:21" ht="15" customHeight="1">
      <c r="A277" s="29" t="s">
        <v>1034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</row>
    <row r="278" spans="1:21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</row>
    <row r="279" spans="1:21" ht="15" customHeight="1">
      <c r="A279" s="26" t="s">
        <v>1010</v>
      </c>
      <c r="B279" s="7" t="s">
        <v>73</v>
      </c>
      <c r="C279" s="26" t="s">
        <v>1016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</row>
    <row r="280" spans="1:21" ht="15" customHeight="1">
      <c r="A280" s="26"/>
      <c r="B280" s="7"/>
      <c r="C280" s="26" t="s">
        <v>1015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</row>
    <row r="281" spans="1:21" ht="15" customHeight="1">
      <c r="B281" s="7"/>
      <c r="C281" s="26" t="s">
        <v>994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</row>
    <row r="282" spans="1:21" ht="15" customHeight="1">
      <c r="A282" s="26" t="s">
        <v>1011</v>
      </c>
      <c r="B282" s="7" t="s">
        <v>76</v>
      </c>
      <c r="C282" s="26" t="s">
        <v>1016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</row>
    <row r="283" spans="1:21" ht="15" customHeight="1">
      <c r="B283" s="7"/>
      <c r="C283" s="26" t="s">
        <v>1015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</row>
    <row r="284" spans="1:21" ht="15" customHeight="1">
      <c r="A284" s="26"/>
      <c r="B284" s="7"/>
      <c r="C284" s="26" t="s">
        <v>994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</row>
    <row r="285" spans="1:21" ht="15" customHeight="1">
      <c r="A285" s="26" t="s">
        <v>1012</v>
      </c>
      <c r="B285" s="7" t="s">
        <v>77</v>
      </c>
      <c r="C285" s="26" t="s">
        <v>1016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</row>
    <row r="286" spans="1:21" ht="15" customHeight="1">
      <c r="B286" s="7"/>
      <c r="C286" s="26" t="s">
        <v>1015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</row>
    <row r="287" spans="1:21" ht="15" customHeight="1">
      <c r="A287" s="26"/>
      <c r="B287" s="7"/>
      <c r="C287" s="26" t="s">
        <v>994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</row>
    <row r="288" spans="1:21" ht="15" customHeight="1">
      <c r="A288" s="26" t="s">
        <v>1013</v>
      </c>
      <c r="B288" s="7" t="s">
        <v>78</v>
      </c>
      <c r="C288" s="26" t="s">
        <v>1016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</row>
    <row r="289" spans="1:21" ht="15" customHeight="1">
      <c r="B289" s="7"/>
      <c r="C289" s="26" t="s">
        <v>1015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</row>
    <row r="290" spans="1:21" ht="15" customHeight="1">
      <c r="A290" s="26"/>
      <c r="B290" s="7"/>
      <c r="C290" s="26" t="s">
        <v>994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</row>
    <row r="291" spans="1:21" ht="15" customHeight="1">
      <c r="A291" s="26" t="s">
        <v>1014</v>
      </c>
      <c r="B291" s="7" t="s">
        <v>79</v>
      </c>
      <c r="C291" s="26" t="s">
        <v>1016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</row>
    <row r="292" spans="1:21" ht="15" customHeight="1">
      <c r="A292" s="7"/>
      <c r="B292" s="7"/>
      <c r="C292" s="26" t="s">
        <v>1015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</row>
    <row r="293" spans="1:21" ht="15" customHeight="1">
      <c r="A293" s="7"/>
      <c r="B293" s="7"/>
      <c r="C293" s="26" t="s">
        <v>994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</row>
    <row r="294" spans="1:21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2C554-A471-40C1-86F1-1A9C0780967F}">
  <dimension ref="A2:T656"/>
  <sheetViews>
    <sheetView workbookViewId="0"/>
  </sheetViews>
  <sheetFormatPr defaultColWidth="9.140625" defaultRowHeight="15"/>
  <cols>
    <col min="1" max="1" width="8.28515625" style="6" customWidth="1"/>
    <col min="2" max="2" width="29.28515625" style="6" customWidth="1"/>
    <col min="3" max="3" width="24.28515625" style="6" customWidth="1"/>
    <col min="4" max="4" width="9.140625" style="6"/>
    <col min="5" max="6" width="19.85546875" style="6" customWidth="1"/>
    <col min="7" max="18" width="9.140625" style="6"/>
    <col min="19" max="19" width="21.28515625" style="6" customWidth="1"/>
    <col min="20" max="16384" width="9.140625" style="6"/>
  </cols>
  <sheetData>
    <row r="2" spans="1:20">
      <c r="A2" s="168" t="s">
        <v>1035</v>
      </c>
      <c r="B2" s="168" t="s">
        <v>1036</v>
      </c>
      <c r="C2" s="168" t="s">
        <v>1037</v>
      </c>
      <c r="E2" s="173"/>
      <c r="F2" s="170"/>
      <c r="G2" s="215" t="s">
        <v>1110</v>
      </c>
      <c r="H2" s="216"/>
      <c r="I2" s="216"/>
      <c r="J2" s="216"/>
      <c r="K2" s="216"/>
      <c r="L2" s="216"/>
      <c r="M2" s="216"/>
      <c r="N2" s="216"/>
      <c r="O2" s="216"/>
      <c r="P2" s="217"/>
      <c r="S2" s="6" t="s">
        <v>1119</v>
      </c>
      <c r="T2" s="179">
        <f>M6+M11</f>
        <v>170503</v>
      </c>
    </row>
    <row r="3" spans="1:20">
      <c r="A3" s="169" t="s">
        <v>1038</v>
      </c>
      <c r="B3" s="169" t="s">
        <v>1039</v>
      </c>
      <c r="C3" s="169" t="s">
        <v>1040</v>
      </c>
      <c r="E3" s="174" t="s">
        <v>1111</v>
      </c>
      <c r="F3" s="170" t="s">
        <v>1112</v>
      </c>
      <c r="G3" s="170">
        <v>2015</v>
      </c>
      <c r="H3" s="170">
        <v>2016</v>
      </c>
      <c r="I3" s="170">
        <v>2017</v>
      </c>
      <c r="J3" s="170">
        <v>2018</v>
      </c>
      <c r="K3" s="170">
        <v>2019</v>
      </c>
      <c r="L3" s="170">
        <v>2020</v>
      </c>
      <c r="M3" s="170">
        <v>2021</v>
      </c>
      <c r="N3" s="170">
        <v>2022</v>
      </c>
      <c r="O3" s="170">
        <v>2023</v>
      </c>
      <c r="P3" s="170">
        <v>2024</v>
      </c>
    </row>
    <row r="4" spans="1:20">
      <c r="A4" s="169" t="s">
        <v>1038</v>
      </c>
      <c r="B4" s="169" t="s">
        <v>1039</v>
      </c>
      <c r="C4" s="169" t="s">
        <v>1040</v>
      </c>
      <c r="E4" s="175" t="s">
        <v>1046</v>
      </c>
      <c r="F4" s="171" t="s">
        <v>1038</v>
      </c>
      <c r="G4" s="172">
        <v>3025</v>
      </c>
      <c r="H4" s="172">
        <v>5753</v>
      </c>
      <c r="I4" s="172">
        <v>13541</v>
      </c>
      <c r="J4" s="172">
        <v>29632</v>
      </c>
      <c r="K4" s="172">
        <v>29251</v>
      </c>
      <c r="L4" s="172">
        <v>33132</v>
      </c>
      <c r="M4" s="172">
        <v>79177</v>
      </c>
      <c r="N4" s="172">
        <v>144152</v>
      </c>
      <c r="O4" s="172">
        <v>139437</v>
      </c>
      <c r="P4" s="172">
        <v>143436</v>
      </c>
    </row>
    <row r="5" spans="1:20">
      <c r="A5" s="169" t="s">
        <v>1038</v>
      </c>
      <c r="B5" s="169" t="s">
        <v>1039</v>
      </c>
      <c r="C5" s="169" t="s">
        <v>1040</v>
      </c>
      <c r="E5" s="175" t="s">
        <v>1055</v>
      </c>
      <c r="F5" s="171" t="s">
        <v>1038</v>
      </c>
      <c r="G5" s="172"/>
      <c r="H5" s="172">
        <v>80</v>
      </c>
      <c r="I5" s="172">
        <v>61</v>
      </c>
      <c r="J5" s="172">
        <v>744</v>
      </c>
      <c r="K5" s="172">
        <v>4194</v>
      </c>
      <c r="L5" s="172">
        <v>5865</v>
      </c>
      <c r="M5" s="172">
        <v>8555</v>
      </c>
      <c r="N5" s="172">
        <v>10336</v>
      </c>
      <c r="O5" s="172">
        <v>4631</v>
      </c>
      <c r="P5" s="172">
        <v>3688</v>
      </c>
      <c r="S5" s="6" t="s">
        <v>1117</v>
      </c>
      <c r="T5" s="178">
        <f>M6/T2</f>
        <v>0.89791968469762995</v>
      </c>
    </row>
    <row r="6" spans="1:20">
      <c r="A6" s="169" t="s">
        <v>1038</v>
      </c>
      <c r="B6" s="169" t="s">
        <v>1039</v>
      </c>
      <c r="C6" s="169" t="s">
        <v>1040</v>
      </c>
      <c r="E6" s="175" t="s">
        <v>1041</v>
      </c>
      <c r="F6" s="171" t="s">
        <v>1038</v>
      </c>
      <c r="G6" s="172">
        <v>38473</v>
      </c>
      <c r="H6" s="172">
        <v>62420</v>
      </c>
      <c r="I6" s="172">
        <v>83548</v>
      </c>
      <c r="J6" s="172">
        <v>88865</v>
      </c>
      <c r="K6" s="172">
        <v>97004</v>
      </c>
      <c r="L6" s="172">
        <v>137027</v>
      </c>
      <c r="M6" s="172">
        <v>153098</v>
      </c>
      <c r="N6" s="172">
        <v>197803</v>
      </c>
      <c r="O6" s="172">
        <v>304931</v>
      </c>
      <c r="P6" s="172">
        <v>385073</v>
      </c>
      <c r="S6" s="6" t="s">
        <v>1118</v>
      </c>
      <c r="T6" s="178">
        <f>M11/T2</f>
        <v>0.10208031530237005</v>
      </c>
    </row>
    <row r="7" spans="1:20">
      <c r="A7" s="169" t="s">
        <v>1038</v>
      </c>
      <c r="B7" s="169" t="s">
        <v>1039</v>
      </c>
      <c r="C7" s="169" t="s">
        <v>1040</v>
      </c>
      <c r="E7" s="175" t="s">
        <v>1042</v>
      </c>
      <c r="F7" s="171" t="s">
        <v>1038</v>
      </c>
      <c r="G7" s="172"/>
      <c r="H7" s="172"/>
      <c r="I7" s="172"/>
      <c r="J7" s="172"/>
      <c r="K7" s="172"/>
      <c r="L7" s="172"/>
      <c r="M7" s="172">
        <v>1267271</v>
      </c>
      <c r="N7" s="172">
        <v>1139702</v>
      </c>
      <c r="O7" s="172">
        <v>1098054</v>
      </c>
      <c r="P7" s="172">
        <v>935640</v>
      </c>
    </row>
    <row r="8" spans="1:20">
      <c r="A8" s="169" t="s">
        <v>1038</v>
      </c>
      <c r="B8" s="169" t="s">
        <v>1039</v>
      </c>
      <c r="C8" s="169" t="s">
        <v>1040</v>
      </c>
      <c r="E8" s="175" t="s">
        <v>1061</v>
      </c>
      <c r="F8" s="171" t="s">
        <v>1038</v>
      </c>
      <c r="G8" s="172"/>
      <c r="H8" s="172"/>
      <c r="I8" s="172"/>
      <c r="J8" s="172"/>
      <c r="K8" s="172"/>
      <c r="L8" s="172"/>
      <c r="M8" s="172">
        <v>2755</v>
      </c>
      <c r="N8" s="172">
        <v>2018</v>
      </c>
      <c r="O8" s="172">
        <v>5160</v>
      </c>
      <c r="P8" s="172">
        <v>16289</v>
      </c>
    </row>
    <row r="9" spans="1:20">
      <c r="A9" s="169" t="s">
        <v>1038</v>
      </c>
      <c r="B9" s="169" t="s">
        <v>1039</v>
      </c>
      <c r="C9" s="169" t="s">
        <v>1040</v>
      </c>
      <c r="E9" s="175" t="s">
        <v>1080</v>
      </c>
      <c r="F9" s="171" t="s">
        <v>1038</v>
      </c>
      <c r="G9" s="172"/>
      <c r="H9" s="172"/>
      <c r="I9" s="172"/>
      <c r="J9" s="172"/>
      <c r="K9" s="172"/>
      <c r="L9" s="172"/>
      <c r="M9" s="172">
        <v>4908</v>
      </c>
      <c r="N9" s="172">
        <v>4774</v>
      </c>
      <c r="O9" s="172">
        <v>8299</v>
      </c>
      <c r="P9" s="172">
        <v>7604</v>
      </c>
    </row>
    <row r="10" spans="1:20">
      <c r="A10" s="169" t="s">
        <v>1038</v>
      </c>
      <c r="B10" s="169" t="s">
        <v>1039</v>
      </c>
      <c r="C10" s="169" t="s">
        <v>1040</v>
      </c>
      <c r="E10" s="175" t="s">
        <v>1043</v>
      </c>
      <c r="F10" s="171" t="s">
        <v>1038</v>
      </c>
      <c r="G10" s="172">
        <v>1752721</v>
      </c>
      <c r="H10" s="172">
        <v>1714242</v>
      </c>
      <c r="I10" s="172">
        <v>1653482</v>
      </c>
      <c r="J10" s="172">
        <v>1671543</v>
      </c>
      <c r="K10" s="172">
        <v>1631269</v>
      </c>
      <c r="L10" s="172">
        <v>1672773</v>
      </c>
      <c r="M10" s="172">
        <v>158777</v>
      </c>
      <c r="N10" s="172">
        <v>141194</v>
      </c>
      <c r="O10" s="172">
        <v>131958</v>
      </c>
      <c r="P10" s="172">
        <v>110809</v>
      </c>
    </row>
    <row r="11" spans="1:20">
      <c r="A11" s="169" t="s">
        <v>1038</v>
      </c>
      <c r="B11" s="169" t="s">
        <v>1039</v>
      </c>
      <c r="C11" s="169" t="s">
        <v>1040</v>
      </c>
      <c r="E11" s="175" t="s">
        <v>1044</v>
      </c>
      <c r="F11" s="171" t="s">
        <v>1038</v>
      </c>
      <c r="G11" s="172">
        <v>273</v>
      </c>
      <c r="H11" s="172">
        <v>281</v>
      </c>
      <c r="I11" s="172">
        <v>466</v>
      </c>
      <c r="J11" s="172">
        <v>4048</v>
      </c>
      <c r="K11" s="172">
        <v>2730</v>
      </c>
      <c r="L11" s="172">
        <v>8743</v>
      </c>
      <c r="M11" s="172">
        <v>17405</v>
      </c>
      <c r="N11" s="172">
        <v>11249</v>
      </c>
      <c r="O11" s="172">
        <v>9388</v>
      </c>
      <c r="P11" s="172">
        <v>7836</v>
      </c>
    </row>
    <row r="12" spans="1:20">
      <c r="A12" s="169" t="s">
        <v>1038</v>
      </c>
      <c r="B12" s="169" t="s">
        <v>1039</v>
      </c>
      <c r="C12" s="169" t="s">
        <v>1040</v>
      </c>
    </row>
    <row r="13" spans="1:20">
      <c r="A13" s="169" t="s">
        <v>1038</v>
      </c>
      <c r="B13" s="169" t="s">
        <v>1039</v>
      </c>
      <c r="C13" s="169" t="s">
        <v>1040</v>
      </c>
      <c r="E13" s="14" t="s">
        <v>1116</v>
      </c>
    </row>
    <row r="14" spans="1:20">
      <c r="A14" s="169" t="s">
        <v>1038</v>
      </c>
      <c r="B14" s="169" t="s">
        <v>1039</v>
      </c>
      <c r="C14" s="169" t="s">
        <v>1040</v>
      </c>
      <c r="E14" s="174" t="s">
        <v>1111</v>
      </c>
      <c r="F14" s="177" t="s">
        <v>1112</v>
      </c>
      <c r="G14" s="174">
        <v>2015</v>
      </c>
      <c r="H14" s="174">
        <v>2016</v>
      </c>
      <c r="I14" s="174">
        <v>2017</v>
      </c>
      <c r="J14" s="174">
        <v>2018</v>
      </c>
      <c r="K14" s="174">
        <v>2019</v>
      </c>
      <c r="L14" s="174">
        <v>2020</v>
      </c>
      <c r="M14" s="174">
        <v>2021</v>
      </c>
      <c r="N14" s="174">
        <v>2022</v>
      </c>
      <c r="O14" s="174">
        <v>2023</v>
      </c>
      <c r="P14" s="174">
        <v>2024</v>
      </c>
    </row>
    <row r="15" spans="1:20">
      <c r="A15" s="169" t="s">
        <v>1038</v>
      </c>
      <c r="B15" s="169" t="s">
        <v>1039</v>
      </c>
      <c r="C15" s="169" t="s">
        <v>1040</v>
      </c>
      <c r="E15" s="175" t="s">
        <v>1046</v>
      </c>
      <c r="F15" s="171" t="s">
        <v>1038</v>
      </c>
      <c r="G15" s="176">
        <f>G4/SUM(G$4:G$11)</f>
        <v>1.6857138399056669E-3</v>
      </c>
      <c r="H15" s="176">
        <f t="shared" ref="H15:P15" si="0">H4/SUM(H$4:H$11)</f>
        <v>3.2269898181263379E-3</v>
      </c>
      <c r="I15" s="176">
        <f t="shared" si="0"/>
        <v>7.7328624668636476E-3</v>
      </c>
      <c r="J15" s="176">
        <f t="shared" si="0"/>
        <v>1.6509623184788325E-2</v>
      </c>
      <c r="K15" s="176">
        <f t="shared" si="0"/>
        <v>1.6577989263497704E-2</v>
      </c>
      <c r="L15" s="176">
        <f t="shared" si="0"/>
        <v>1.7836493426790272E-2</v>
      </c>
      <c r="M15" s="176">
        <f t="shared" si="0"/>
        <v>4.6796410760154283E-2</v>
      </c>
      <c r="N15" s="176">
        <f t="shared" si="0"/>
        <v>8.72998762133394E-2</v>
      </c>
      <c r="O15" s="176">
        <f t="shared" si="0"/>
        <v>8.1932217611575112E-2</v>
      </c>
      <c r="P15" s="176">
        <f t="shared" si="0"/>
        <v>8.9069937126445703E-2</v>
      </c>
    </row>
    <row r="16" spans="1:20">
      <c r="A16" s="169" t="s">
        <v>1038</v>
      </c>
      <c r="B16" s="169" t="s">
        <v>1039</v>
      </c>
      <c r="C16" s="169" t="s">
        <v>1040</v>
      </c>
      <c r="E16" s="175" t="s">
        <v>1055</v>
      </c>
      <c r="F16" s="171" t="s">
        <v>1038</v>
      </c>
      <c r="G16" s="176">
        <f t="shared" ref="G16:P22" si="1">G5/SUM(G$4:G$11)</f>
        <v>0</v>
      </c>
      <c r="H16" s="176">
        <f t="shared" si="1"/>
        <v>4.4873837206693385E-5</v>
      </c>
      <c r="I16" s="176">
        <f t="shared" si="1"/>
        <v>3.4835286203285024E-5</v>
      </c>
      <c r="J16" s="176">
        <f t="shared" si="1"/>
        <v>4.1452347629193149E-4</v>
      </c>
      <c r="K16" s="176">
        <f t="shared" si="1"/>
        <v>2.3769473512395946E-3</v>
      </c>
      <c r="L16" s="176">
        <f t="shared" si="1"/>
        <v>3.1574017248619142E-3</v>
      </c>
      <c r="M16" s="176">
        <f t="shared" si="1"/>
        <v>5.0563079436341347E-3</v>
      </c>
      <c r="N16" s="176">
        <f t="shared" si="1"/>
        <v>6.2595837764378992E-3</v>
      </c>
      <c r="O16" s="176">
        <f t="shared" si="1"/>
        <v>2.7211435971743825E-3</v>
      </c>
      <c r="P16" s="176">
        <f t="shared" si="1"/>
        <v>2.2901498098269035E-3</v>
      </c>
    </row>
    <row r="17" spans="1:16">
      <c r="A17" s="169" t="s">
        <v>1038</v>
      </c>
      <c r="B17" s="169" t="s">
        <v>1039</v>
      </c>
      <c r="C17" s="169" t="s">
        <v>1040</v>
      </c>
      <c r="E17" s="175" t="s">
        <v>1041</v>
      </c>
      <c r="F17" s="171" t="s">
        <v>1038</v>
      </c>
      <c r="G17" s="176">
        <f t="shared" si="1"/>
        <v>2.143949373973247E-2</v>
      </c>
      <c r="H17" s="176">
        <f t="shared" si="1"/>
        <v>3.5012811480522509E-2</v>
      </c>
      <c r="I17" s="176">
        <f t="shared" si="1"/>
        <v>4.7711778552656674E-2</v>
      </c>
      <c r="J17" s="176">
        <f t="shared" si="1"/>
        <v>4.9511597742852811E-2</v>
      </c>
      <c r="K17" s="176">
        <f t="shared" si="1"/>
        <v>5.4976967300821557E-2</v>
      </c>
      <c r="L17" s="176">
        <f t="shared" si="1"/>
        <v>7.3767994228926423E-2</v>
      </c>
      <c r="M17" s="176">
        <f t="shared" si="1"/>
        <v>9.0486339398538729E-2</v>
      </c>
      <c r="N17" s="176">
        <f t="shared" si="1"/>
        <v>0.11979145217983223</v>
      </c>
      <c r="O17" s="176">
        <f t="shared" si="1"/>
        <v>0.17917534835456309</v>
      </c>
      <c r="P17" s="176">
        <f t="shared" si="1"/>
        <v>0.23912008072653884</v>
      </c>
    </row>
    <row r="18" spans="1:16">
      <c r="A18" s="169" t="s">
        <v>1038</v>
      </c>
      <c r="B18" s="169" t="s">
        <v>1039</v>
      </c>
      <c r="C18" s="169" t="s">
        <v>1040</v>
      </c>
      <c r="E18" s="175" t="s">
        <v>1042</v>
      </c>
      <c r="F18" s="171" t="s">
        <v>1038</v>
      </c>
      <c r="G18" s="176">
        <f t="shared" si="1"/>
        <v>0</v>
      </c>
      <c r="H18" s="176">
        <f t="shared" si="1"/>
        <v>0</v>
      </c>
      <c r="I18" s="176">
        <f t="shared" si="1"/>
        <v>0</v>
      </c>
      <c r="J18" s="176">
        <f t="shared" si="1"/>
        <v>0</v>
      </c>
      <c r="K18" s="176">
        <f t="shared" si="1"/>
        <v>0</v>
      </c>
      <c r="L18" s="176">
        <f t="shared" si="1"/>
        <v>0</v>
      </c>
      <c r="M18" s="176">
        <f t="shared" si="1"/>
        <v>0.74900203670802734</v>
      </c>
      <c r="N18" s="176">
        <f t="shared" si="1"/>
        <v>0.69021479771418603</v>
      </c>
      <c r="O18" s="176">
        <f t="shared" si="1"/>
        <v>0.64520894222667224</v>
      </c>
      <c r="P18" s="176">
        <f t="shared" si="1"/>
        <v>0.58100752930218114</v>
      </c>
    </row>
    <row r="19" spans="1:16">
      <c r="A19" s="169" t="s">
        <v>1038</v>
      </c>
      <c r="B19" s="169" t="s">
        <v>1039</v>
      </c>
      <c r="C19" s="169" t="s">
        <v>1040</v>
      </c>
      <c r="E19" s="175" t="s">
        <v>1061</v>
      </c>
      <c r="F19" s="171" t="s">
        <v>1038</v>
      </c>
      <c r="G19" s="176">
        <f t="shared" si="1"/>
        <v>0</v>
      </c>
      <c r="H19" s="176">
        <f t="shared" si="1"/>
        <v>0</v>
      </c>
      <c r="I19" s="176">
        <f t="shared" si="1"/>
        <v>0</v>
      </c>
      <c r="J19" s="176">
        <f t="shared" si="1"/>
        <v>0</v>
      </c>
      <c r="K19" s="176">
        <f t="shared" si="1"/>
        <v>0</v>
      </c>
      <c r="L19" s="176">
        <f t="shared" si="1"/>
        <v>0</v>
      </c>
      <c r="M19" s="176">
        <f t="shared" si="1"/>
        <v>1.6283025581194672E-3</v>
      </c>
      <c r="N19" s="176">
        <f t="shared" si="1"/>
        <v>1.2221207489214088E-3</v>
      </c>
      <c r="O19" s="176">
        <f t="shared" si="1"/>
        <v>3.0319803414855999E-3</v>
      </c>
      <c r="P19" s="176">
        <f t="shared" si="1"/>
        <v>1.0115035317860746E-2</v>
      </c>
    </row>
    <row r="20" spans="1:16">
      <c r="A20" s="169" t="s">
        <v>1038</v>
      </c>
      <c r="B20" s="169" t="s">
        <v>1039</v>
      </c>
      <c r="C20" s="169" t="s">
        <v>1040</v>
      </c>
      <c r="E20" s="175" t="s">
        <v>1080</v>
      </c>
      <c r="F20" s="171" t="s">
        <v>1038</v>
      </c>
      <c r="G20" s="176">
        <f t="shared" si="1"/>
        <v>0</v>
      </c>
      <c r="H20" s="176">
        <f t="shared" si="1"/>
        <v>0</v>
      </c>
      <c r="I20" s="176">
        <f t="shared" si="1"/>
        <v>0</v>
      </c>
      <c r="J20" s="176">
        <f t="shared" si="1"/>
        <v>0</v>
      </c>
      <c r="K20" s="176">
        <f t="shared" si="1"/>
        <v>0</v>
      </c>
      <c r="L20" s="176">
        <f t="shared" si="1"/>
        <v>0</v>
      </c>
      <c r="M20" s="176">
        <f t="shared" si="1"/>
        <v>2.9008017986389637E-3</v>
      </c>
      <c r="N20" s="176">
        <f t="shared" si="1"/>
        <v>2.8911815933353843E-3</v>
      </c>
      <c r="O20" s="176">
        <f t="shared" si="1"/>
        <v>4.876435049222673E-3</v>
      </c>
      <c r="P20" s="176">
        <f t="shared" si="1"/>
        <v>4.7218815493285729E-3</v>
      </c>
    </row>
    <row r="21" spans="1:16">
      <c r="A21" s="169" t="s">
        <v>1038</v>
      </c>
      <c r="B21" s="169" t="s">
        <v>1039</v>
      </c>
      <c r="C21" s="169" t="s">
        <v>1040</v>
      </c>
      <c r="E21" s="175" t="s">
        <v>1043</v>
      </c>
      <c r="F21" s="171" t="s">
        <v>1038</v>
      </c>
      <c r="G21" s="176">
        <f>G10/SUM(G$4:G$11)</f>
        <v>0.97672266022919019</v>
      </c>
      <c r="H21" s="176">
        <f t="shared" ref="H21:P21" si="2">H10/SUM(H$4:H$11)</f>
        <v>0.96155770551095598</v>
      </c>
      <c r="I21" s="176">
        <f t="shared" si="2"/>
        <v>0.94425440495049395</v>
      </c>
      <c r="J21" s="176">
        <f t="shared" si="2"/>
        <v>0.93130889130570438</v>
      </c>
      <c r="K21" s="176">
        <f t="shared" si="2"/>
        <v>0.92452086998313354</v>
      </c>
      <c r="L21" s="176">
        <f t="shared" si="2"/>
        <v>0.90053134791175427</v>
      </c>
      <c r="M21" s="176">
        <f t="shared" si="2"/>
        <v>9.3842829499286615E-2</v>
      </c>
      <c r="N21" s="176">
        <f t="shared" si="2"/>
        <v>8.5508482172056186E-2</v>
      </c>
      <c r="O21" s="176">
        <f t="shared" si="2"/>
        <v>7.7537608895689294E-2</v>
      </c>
      <c r="P21" s="176">
        <f t="shared" si="2"/>
        <v>6.880943879531165E-2</v>
      </c>
    </row>
    <row r="22" spans="1:16">
      <c r="A22" s="169" t="s">
        <v>1038</v>
      </c>
      <c r="B22" s="169" t="s">
        <v>1039</v>
      </c>
      <c r="C22" s="169" t="s">
        <v>1040</v>
      </c>
      <c r="E22" s="175" t="s">
        <v>1044</v>
      </c>
      <c r="F22" s="171" t="s">
        <v>1038</v>
      </c>
      <c r="G22" s="176">
        <f t="shared" si="1"/>
        <v>1.5213219117165191E-4</v>
      </c>
      <c r="H22" s="176">
        <f t="shared" si="1"/>
        <v>1.5761935318851051E-4</v>
      </c>
      <c r="I22" s="176">
        <f t="shared" si="1"/>
        <v>2.6611874378247249E-4</v>
      </c>
      <c r="J22" s="176">
        <f t="shared" si="1"/>
        <v>2.2553642903625519E-3</v>
      </c>
      <c r="K22" s="176">
        <f t="shared" si="1"/>
        <v>1.5472261013076045E-3</v>
      </c>
      <c r="L22" s="176">
        <f t="shared" si="1"/>
        <v>4.7067627076671295E-3</v>
      </c>
      <c r="M22" s="176">
        <f t="shared" si="1"/>
        <v>1.0286971333600481E-2</v>
      </c>
      <c r="N22" s="176">
        <f t="shared" si="1"/>
        <v>6.8125056018914412E-3</v>
      </c>
      <c r="O22" s="176">
        <f t="shared" si="1"/>
        <v>5.5163239236175991E-3</v>
      </c>
      <c r="P22" s="176">
        <f t="shared" si="1"/>
        <v>4.865947372506404E-3</v>
      </c>
    </row>
    <row r="23" spans="1:16">
      <c r="A23" s="169" t="s">
        <v>1038</v>
      </c>
      <c r="B23" s="169" t="s">
        <v>1039</v>
      </c>
      <c r="C23" s="169" t="s">
        <v>1045</v>
      </c>
    </row>
    <row r="24" spans="1:16">
      <c r="A24" s="169" t="s">
        <v>1038</v>
      </c>
      <c r="B24" s="169" t="s">
        <v>1039</v>
      </c>
      <c r="C24" s="169" t="s">
        <v>1045</v>
      </c>
    </row>
    <row r="25" spans="1:16">
      <c r="A25" s="169" t="s">
        <v>1038</v>
      </c>
      <c r="B25" s="169" t="s">
        <v>1039</v>
      </c>
      <c r="C25" s="169" t="s">
        <v>1045</v>
      </c>
      <c r="E25" s="6" t="s">
        <v>1113</v>
      </c>
    </row>
    <row r="26" spans="1:16">
      <c r="A26" s="169" t="s">
        <v>1038</v>
      </c>
      <c r="B26" s="169" t="s">
        <v>1039</v>
      </c>
      <c r="C26" s="169" t="s">
        <v>1045</v>
      </c>
    </row>
    <row r="27" spans="1:16">
      <c r="A27" s="169" t="s">
        <v>1038</v>
      </c>
      <c r="B27" s="169" t="s">
        <v>1039</v>
      </c>
      <c r="C27" s="169" t="s">
        <v>1045</v>
      </c>
    </row>
    <row r="28" spans="1:16">
      <c r="A28" s="169" t="s">
        <v>1038</v>
      </c>
      <c r="B28" s="169" t="s">
        <v>1039</v>
      </c>
      <c r="C28" s="169" t="s">
        <v>1045</v>
      </c>
    </row>
    <row r="29" spans="1:16">
      <c r="A29" s="169" t="s">
        <v>1038</v>
      </c>
      <c r="B29" s="169" t="s">
        <v>1039</v>
      </c>
      <c r="C29" s="169" t="s">
        <v>1045</v>
      </c>
    </row>
    <row r="30" spans="1:16">
      <c r="A30" s="169" t="s">
        <v>1038</v>
      </c>
      <c r="B30" s="169" t="s">
        <v>1039</v>
      </c>
      <c r="C30" s="169" t="s">
        <v>1045</v>
      </c>
    </row>
    <row r="31" spans="1:16">
      <c r="A31" s="169" t="s">
        <v>1038</v>
      </c>
      <c r="B31" s="169" t="s">
        <v>1039</v>
      </c>
      <c r="C31" s="169" t="s">
        <v>1045</v>
      </c>
    </row>
    <row r="32" spans="1:16">
      <c r="A32" s="169" t="s">
        <v>1038</v>
      </c>
      <c r="B32" s="169" t="s">
        <v>1039</v>
      </c>
      <c r="C32" s="169" t="s">
        <v>1045</v>
      </c>
    </row>
    <row r="33" spans="1:3">
      <c r="A33" s="169" t="s">
        <v>1038</v>
      </c>
      <c r="B33" s="169" t="s">
        <v>1039</v>
      </c>
      <c r="C33" s="169" t="s">
        <v>1045</v>
      </c>
    </row>
    <row r="34" spans="1:3">
      <c r="A34" s="169" t="s">
        <v>1038</v>
      </c>
      <c r="B34" s="169" t="s">
        <v>1039</v>
      </c>
      <c r="C34" s="169" t="s">
        <v>1045</v>
      </c>
    </row>
    <row r="35" spans="1:3">
      <c r="A35" s="169" t="s">
        <v>1038</v>
      </c>
      <c r="B35" s="169" t="s">
        <v>1039</v>
      </c>
      <c r="C35" s="169" t="s">
        <v>1045</v>
      </c>
    </row>
    <row r="36" spans="1:3">
      <c r="A36" s="169" t="s">
        <v>1038</v>
      </c>
      <c r="B36" s="169" t="s">
        <v>1039</v>
      </c>
      <c r="C36" s="169" t="s">
        <v>1045</v>
      </c>
    </row>
    <row r="37" spans="1:3">
      <c r="A37" s="169" t="s">
        <v>1038</v>
      </c>
      <c r="B37" s="169" t="s">
        <v>1039</v>
      </c>
      <c r="C37" s="169" t="s">
        <v>1045</v>
      </c>
    </row>
    <row r="38" spans="1:3">
      <c r="A38" s="169" t="s">
        <v>1038</v>
      </c>
      <c r="B38" s="169" t="s">
        <v>1039</v>
      </c>
      <c r="C38" s="169" t="s">
        <v>1045</v>
      </c>
    </row>
    <row r="39" spans="1:3">
      <c r="A39" s="169" t="s">
        <v>1038</v>
      </c>
      <c r="B39" s="169" t="s">
        <v>1039</v>
      </c>
      <c r="C39" s="169" t="s">
        <v>1045</v>
      </c>
    </row>
    <row r="40" spans="1:3">
      <c r="A40" s="169" t="s">
        <v>1038</v>
      </c>
      <c r="B40" s="169" t="s">
        <v>1039</v>
      </c>
      <c r="C40" s="169" t="s">
        <v>1045</v>
      </c>
    </row>
    <row r="41" spans="1:3">
      <c r="A41" s="169" t="s">
        <v>1038</v>
      </c>
      <c r="B41" s="169" t="s">
        <v>1039</v>
      </c>
      <c r="C41" s="169" t="s">
        <v>1045</v>
      </c>
    </row>
    <row r="42" spans="1:3">
      <c r="A42" s="169" t="s">
        <v>1038</v>
      </c>
      <c r="B42" s="169" t="s">
        <v>1039</v>
      </c>
      <c r="C42" s="169" t="s">
        <v>1045</v>
      </c>
    </row>
    <row r="43" spans="1:3">
      <c r="A43" s="169" t="s">
        <v>1038</v>
      </c>
      <c r="B43" s="169" t="s">
        <v>1039</v>
      </c>
      <c r="C43" s="169" t="s">
        <v>1045</v>
      </c>
    </row>
    <row r="44" spans="1:3">
      <c r="A44" s="169" t="s">
        <v>1038</v>
      </c>
      <c r="B44" s="169" t="s">
        <v>1039</v>
      </c>
      <c r="C44" s="169" t="s">
        <v>1045</v>
      </c>
    </row>
    <row r="45" spans="1:3">
      <c r="A45" s="169" t="s">
        <v>1038</v>
      </c>
      <c r="B45" s="169" t="s">
        <v>1039</v>
      </c>
      <c r="C45" s="169" t="s">
        <v>1045</v>
      </c>
    </row>
    <row r="46" spans="1:3">
      <c r="A46" s="169" t="s">
        <v>1038</v>
      </c>
      <c r="B46" s="169" t="s">
        <v>1039</v>
      </c>
      <c r="C46" s="169" t="s">
        <v>1045</v>
      </c>
    </row>
    <row r="47" spans="1:3">
      <c r="A47" s="169" t="s">
        <v>1038</v>
      </c>
      <c r="B47" s="169" t="s">
        <v>1039</v>
      </c>
      <c r="C47" s="169" t="s">
        <v>1045</v>
      </c>
    </row>
    <row r="48" spans="1:3">
      <c r="A48" s="169" t="s">
        <v>1038</v>
      </c>
      <c r="B48" s="169" t="s">
        <v>1039</v>
      </c>
      <c r="C48" s="169" t="s">
        <v>1045</v>
      </c>
    </row>
    <row r="49" spans="1:3">
      <c r="A49" s="169" t="s">
        <v>1038</v>
      </c>
      <c r="B49" s="169" t="s">
        <v>1039</v>
      </c>
      <c r="C49" s="169" t="s">
        <v>1045</v>
      </c>
    </row>
    <row r="50" spans="1:3">
      <c r="A50" s="169" t="s">
        <v>1038</v>
      </c>
      <c r="B50" s="169" t="s">
        <v>1047</v>
      </c>
      <c r="C50" s="169" t="s">
        <v>1048</v>
      </c>
    </row>
    <row r="51" spans="1:3">
      <c r="A51" s="169" t="s">
        <v>1038</v>
      </c>
      <c r="B51" s="169" t="s">
        <v>1047</v>
      </c>
      <c r="C51" s="169" t="s">
        <v>1048</v>
      </c>
    </row>
    <row r="52" spans="1:3">
      <c r="A52" s="169" t="s">
        <v>1038</v>
      </c>
      <c r="B52" s="169" t="s">
        <v>1047</v>
      </c>
      <c r="C52" s="169" t="s">
        <v>1048</v>
      </c>
    </row>
    <row r="53" spans="1:3">
      <c r="A53" s="169" t="s">
        <v>1038</v>
      </c>
      <c r="B53" s="169" t="s">
        <v>1047</v>
      </c>
      <c r="C53" s="169" t="s">
        <v>1048</v>
      </c>
    </row>
    <row r="54" spans="1:3">
      <c r="A54" s="169" t="s">
        <v>1038</v>
      </c>
      <c r="B54" s="169" t="s">
        <v>1047</v>
      </c>
      <c r="C54" s="169" t="s">
        <v>1048</v>
      </c>
    </row>
    <row r="55" spans="1:3">
      <c r="A55" s="169" t="s">
        <v>1038</v>
      </c>
      <c r="B55" s="169" t="s">
        <v>1047</v>
      </c>
      <c r="C55" s="169" t="s">
        <v>1048</v>
      </c>
    </row>
    <row r="56" spans="1:3">
      <c r="A56" s="169" t="s">
        <v>1038</v>
      </c>
      <c r="B56" s="169" t="s">
        <v>1047</v>
      </c>
      <c r="C56" s="169" t="s">
        <v>1048</v>
      </c>
    </row>
    <row r="57" spans="1:3">
      <c r="A57" s="169" t="s">
        <v>1038</v>
      </c>
      <c r="B57" s="169" t="s">
        <v>1047</v>
      </c>
      <c r="C57" s="169" t="s">
        <v>1048</v>
      </c>
    </row>
    <row r="58" spans="1:3">
      <c r="A58" s="169" t="s">
        <v>1038</v>
      </c>
      <c r="B58" s="169" t="s">
        <v>1047</v>
      </c>
      <c r="C58" s="169" t="s">
        <v>1048</v>
      </c>
    </row>
    <row r="59" spans="1:3">
      <c r="A59" s="169" t="s">
        <v>1038</v>
      </c>
      <c r="B59" s="169" t="s">
        <v>1047</v>
      </c>
      <c r="C59" s="169" t="s">
        <v>1048</v>
      </c>
    </row>
    <row r="60" spans="1:3">
      <c r="A60" s="169" t="s">
        <v>1038</v>
      </c>
      <c r="B60" s="169" t="s">
        <v>1047</v>
      </c>
      <c r="C60" s="169" t="s">
        <v>1048</v>
      </c>
    </row>
    <row r="61" spans="1:3">
      <c r="A61" s="169" t="s">
        <v>1038</v>
      </c>
      <c r="B61" s="169" t="s">
        <v>1047</v>
      </c>
      <c r="C61" s="169" t="s">
        <v>1048</v>
      </c>
    </row>
    <row r="62" spans="1:3">
      <c r="A62" s="169" t="s">
        <v>1038</v>
      </c>
      <c r="B62" s="169" t="s">
        <v>1047</v>
      </c>
      <c r="C62" s="169" t="s">
        <v>1048</v>
      </c>
    </row>
    <row r="63" spans="1:3">
      <c r="A63" s="169" t="s">
        <v>1038</v>
      </c>
      <c r="B63" s="169" t="s">
        <v>1047</v>
      </c>
      <c r="C63" s="169" t="s">
        <v>1048</v>
      </c>
    </row>
    <row r="64" spans="1:3">
      <c r="A64" s="169" t="s">
        <v>1038</v>
      </c>
      <c r="B64" s="169" t="s">
        <v>1047</v>
      </c>
      <c r="C64" s="169" t="s">
        <v>1048</v>
      </c>
    </row>
    <row r="65" spans="1:3">
      <c r="A65" s="169" t="s">
        <v>1038</v>
      </c>
      <c r="B65" s="169" t="s">
        <v>1047</v>
      </c>
      <c r="C65" s="169" t="s">
        <v>1049</v>
      </c>
    </row>
    <row r="66" spans="1:3">
      <c r="A66" s="169" t="s">
        <v>1038</v>
      </c>
      <c r="B66" s="169" t="s">
        <v>1047</v>
      </c>
      <c r="C66" s="169" t="s">
        <v>1049</v>
      </c>
    </row>
    <row r="67" spans="1:3">
      <c r="A67" s="169" t="s">
        <v>1038</v>
      </c>
      <c r="B67" s="169" t="s">
        <v>1047</v>
      </c>
      <c r="C67" s="169" t="s">
        <v>1049</v>
      </c>
    </row>
    <row r="68" spans="1:3">
      <c r="A68" s="169" t="s">
        <v>1038</v>
      </c>
      <c r="B68" s="169" t="s">
        <v>1047</v>
      </c>
      <c r="C68" s="169" t="s">
        <v>1049</v>
      </c>
    </row>
    <row r="69" spans="1:3">
      <c r="A69" s="169" t="s">
        <v>1038</v>
      </c>
      <c r="B69" s="169" t="s">
        <v>1047</v>
      </c>
      <c r="C69" s="169" t="s">
        <v>1049</v>
      </c>
    </row>
    <row r="70" spans="1:3">
      <c r="A70" s="169" t="s">
        <v>1038</v>
      </c>
      <c r="B70" s="169" t="s">
        <v>1047</v>
      </c>
      <c r="C70" s="169" t="s">
        <v>1049</v>
      </c>
    </row>
    <row r="71" spans="1:3">
      <c r="A71" s="169" t="s">
        <v>1038</v>
      </c>
      <c r="B71" s="169" t="s">
        <v>1047</v>
      </c>
      <c r="C71" s="169" t="s">
        <v>1049</v>
      </c>
    </row>
    <row r="72" spans="1:3">
      <c r="A72" s="169" t="s">
        <v>1038</v>
      </c>
      <c r="B72" s="169" t="s">
        <v>1047</v>
      </c>
      <c r="C72" s="169" t="s">
        <v>1049</v>
      </c>
    </row>
    <row r="73" spans="1:3">
      <c r="A73" s="169" t="s">
        <v>1038</v>
      </c>
      <c r="B73" s="169" t="s">
        <v>1047</v>
      </c>
      <c r="C73" s="169" t="s">
        <v>1049</v>
      </c>
    </row>
    <row r="74" spans="1:3">
      <c r="A74" s="169" t="s">
        <v>1038</v>
      </c>
      <c r="B74" s="169" t="s">
        <v>1047</v>
      </c>
      <c r="C74" s="169" t="s">
        <v>1049</v>
      </c>
    </row>
    <row r="75" spans="1:3">
      <c r="A75" s="169" t="s">
        <v>1038</v>
      </c>
      <c r="B75" s="169" t="s">
        <v>1047</v>
      </c>
      <c r="C75" s="169" t="s">
        <v>1049</v>
      </c>
    </row>
    <row r="76" spans="1:3">
      <c r="A76" s="169" t="s">
        <v>1038</v>
      </c>
      <c r="B76" s="169" t="s">
        <v>1047</v>
      </c>
      <c r="C76" s="169" t="s">
        <v>1049</v>
      </c>
    </row>
    <row r="77" spans="1:3">
      <c r="A77" s="169" t="s">
        <v>1038</v>
      </c>
      <c r="B77" s="169" t="s">
        <v>1047</v>
      </c>
      <c r="C77" s="169" t="s">
        <v>1049</v>
      </c>
    </row>
    <row r="78" spans="1:3">
      <c r="A78" s="169" t="s">
        <v>1038</v>
      </c>
      <c r="B78" s="169" t="s">
        <v>1047</v>
      </c>
      <c r="C78" s="169" t="s">
        <v>1049</v>
      </c>
    </row>
    <row r="79" spans="1:3">
      <c r="A79" s="169" t="s">
        <v>1038</v>
      </c>
      <c r="B79" s="169" t="s">
        <v>1047</v>
      </c>
      <c r="C79" s="169" t="s">
        <v>1049</v>
      </c>
    </row>
    <row r="80" spans="1:3">
      <c r="A80" s="169" t="s">
        <v>1038</v>
      </c>
      <c r="B80" s="169" t="s">
        <v>1047</v>
      </c>
      <c r="C80" s="169" t="s">
        <v>1049</v>
      </c>
    </row>
    <row r="81" spans="1:3">
      <c r="A81" s="169" t="s">
        <v>1038</v>
      </c>
      <c r="B81" s="169" t="s">
        <v>1047</v>
      </c>
      <c r="C81" s="169" t="s">
        <v>1049</v>
      </c>
    </row>
    <row r="82" spans="1:3">
      <c r="A82" s="169" t="s">
        <v>1038</v>
      </c>
      <c r="B82" s="169" t="s">
        <v>1047</v>
      </c>
      <c r="C82" s="169" t="s">
        <v>1049</v>
      </c>
    </row>
    <row r="83" spans="1:3">
      <c r="A83" s="169" t="s">
        <v>1038</v>
      </c>
      <c r="B83" s="169" t="s">
        <v>1047</v>
      </c>
      <c r="C83" s="169" t="s">
        <v>1049</v>
      </c>
    </row>
    <row r="84" spans="1:3">
      <c r="A84" s="169" t="s">
        <v>1038</v>
      </c>
      <c r="B84" s="169" t="s">
        <v>1047</v>
      </c>
      <c r="C84" s="169" t="s">
        <v>1049</v>
      </c>
    </row>
    <row r="85" spans="1:3">
      <c r="A85" s="169" t="s">
        <v>1038</v>
      </c>
      <c r="B85" s="169" t="s">
        <v>1047</v>
      </c>
      <c r="C85" s="169" t="s">
        <v>1049</v>
      </c>
    </row>
    <row r="86" spans="1:3">
      <c r="A86" s="169" t="s">
        <v>1038</v>
      </c>
      <c r="B86" s="169" t="s">
        <v>1047</v>
      </c>
      <c r="C86" s="169" t="s">
        <v>1049</v>
      </c>
    </row>
    <row r="87" spans="1:3">
      <c r="A87" s="169" t="s">
        <v>1038</v>
      </c>
      <c r="B87" s="169" t="s">
        <v>1047</v>
      </c>
      <c r="C87" s="169" t="s">
        <v>1049</v>
      </c>
    </row>
    <row r="88" spans="1:3">
      <c r="A88" s="169" t="s">
        <v>1038</v>
      </c>
      <c r="B88" s="169" t="s">
        <v>1047</v>
      </c>
      <c r="C88" s="169" t="s">
        <v>1049</v>
      </c>
    </row>
    <row r="89" spans="1:3">
      <c r="A89" s="169" t="s">
        <v>1038</v>
      </c>
      <c r="B89" s="169" t="s">
        <v>1047</v>
      </c>
      <c r="C89" s="169" t="s">
        <v>1049</v>
      </c>
    </row>
    <row r="90" spans="1:3">
      <c r="A90" s="169" t="s">
        <v>1038</v>
      </c>
      <c r="B90" s="169" t="s">
        <v>1047</v>
      </c>
      <c r="C90" s="169" t="s">
        <v>1049</v>
      </c>
    </row>
    <row r="91" spans="1:3">
      <c r="A91" s="169" t="s">
        <v>1038</v>
      </c>
      <c r="B91" s="169" t="s">
        <v>1047</v>
      </c>
      <c r="C91" s="169" t="s">
        <v>1049</v>
      </c>
    </row>
    <row r="92" spans="1:3">
      <c r="A92" s="169" t="s">
        <v>1038</v>
      </c>
      <c r="B92" s="169" t="s">
        <v>1047</v>
      </c>
      <c r="C92" s="169" t="s">
        <v>1049</v>
      </c>
    </row>
    <row r="93" spans="1:3">
      <c r="A93" s="169" t="s">
        <v>1038</v>
      </c>
      <c r="B93" s="169" t="s">
        <v>1047</v>
      </c>
      <c r="C93" s="169" t="s">
        <v>1049</v>
      </c>
    </row>
    <row r="94" spans="1:3">
      <c r="A94" s="169" t="s">
        <v>1038</v>
      </c>
      <c r="B94" s="169" t="s">
        <v>1047</v>
      </c>
      <c r="C94" s="169" t="s">
        <v>1049</v>
      </c>
    </row>
    <row r="95" spans="1:3">
      <c r="A95" s="169" t="s">
        <v>1038</v>
      </c>
      <c r="B95" s="169" t="s">
        <v>1047</v>
      </c>
      <c r="C95" s="169" t="s">
        <v>1049</v>
      </c>
    </row>
    <row r="96" spans="1:3">
      <c r="A96" s="169" t="s">
        <v>1038</v>
      </c>
      <c r="B96" s="169" t="s">
        <v>1047</v>
      </c>
      <c r="C96" s="169" t="s">
        <v>1049</v>
      </c>
    </row>
    <row r="97" spans="1:3">
      <c r="A97" s="169" t="s">
        <v>1038</v>
      </c>
      <c r="B97" s="169" t="s">
        <v>1047</v>
      </c>
      <c r="C97" s="169" t="s">
        <v>1049</v>
      </c>
    </row>
    <row r="98" spans="1:3">
      <c r="A98" s="169" t="s">
        <v>1038</v>
      </c>
      <c r="B98" s="169" t="s">
        <v>1047</v>
      </c>
      <c r="C98" s="169" t="s">
        <v>1049</v>
      </c>
    </row>
    <row r="99" spans="1:3">
      <c r="A99" s="169" t="s">
        <v>1038</v>
      </c>
      <c r="B99" s="169" t="s">
        <v>1047</v>
      </c>
      <c r="C99" s="169" t="s">
        <v>1049</v>
      </c>
    </row>
    <row r="100" spans="1:3">
      <c r="A100" s="169" t="s">
        <v>1038</v>
      </c>
      <c r="B100" s="169" t="s">
        <v>1047</v>
      </c>
      <c r="C100" s="169" t="s">
        <v>1049</v>
      </c>
    </row>
    <row r="101" spans="1:3">
      <c r="A101" s="169" t="s">
        <v>1038</v>
      </c>
      <c r="B101" s="169" t="s">
        <v>1047</v>
      </c>
      <c r="C101" s="169" t="s">
        <v>1049</v>
      </c>
    </row>
    <row r="102" spans="1:3">
      <c r="A102" s="169" t="s">
        <v>1038</v>
      </c>
      <c r="B102" s="169" t="s">
        <v>1047</v>
      </c>
      <c r="C102" s="169" t="s">
        <v>1049</v>
      </c>
    </row>
    <row r="103" spans="1:3">
      <c r="A103" s="169" t="s">
        <v>1038</v>
      </c>
      <c r="B103" s="169" t="s">
        <v>1047</v>
      </c>
      <c r="C103" s="169" t="s">
        <v>1049</v>
      </c>
    </row>
    <row r="104" spans="1:3">
      <c r="A104" s="169" t="s">
        <v>1038</v>
      </c>
      <c r="B104" s="169" t="s">
        <v>1047</v>
      </c>
      <c r="C104" s="169" t="s">
        <v>1049</v>
      </c>
    </row>
    <row r="105" spans="1:3">
      <c r="A105" s="169" t="s">
        <v>1038</v>
      </c>
      <c r="B105" s="169" t="s">
        <v>1047</v>
      </c>
      <c r="C105" s="169" t="s">
        <v>1049</v>
      </c>
    </row>
    <row r="106" spans="1:3">
      <c r="A106" s="169" t="s">
        <v>1038</v>
      </c>
      <c r="B106" s="169" t="s">
        <v>1047</v>
      </c>
      <c r="C106" s="169" t="s">
        <v>1049</v>
      </c>
    </row>
    <row r="107" spans="1:3">
      <c r="A107" s="169" t="s">
        <v>1038</v>
      </c>
      <c r="B107" s="169" t="s">
        <v>1047</v>
      </c>
      <c r="C107" s="169" t="s">
        <v>1049</v>
      </c>
    </row>
    <row r="108" spans="1:3">
      <c r="A108" s="169" t="s">
        <v>1038</v>
      </c>
      <c r="B108" s="169" t="s">
        <v>1047</v>
      </c>
      <c r="C108" s="169" t="s">
        <v>1049</v>
      </c>
    </row>
    <row r="109" spans="1:3">
      <c r="A109" s="169" t="s">
        <v>1038</v>
      </c>
      <c r="B109" s="169" t="s">
        <v>1047</v>
      </c>
      <c r="C109" s="169" t="s">
        <v>1049</v>
      </c>
    </row>
    <row r="110" spans="1:3">
      <c r="A110" s="169" t="s">
        <v>1038</v>
      </c>
      <c r="B110" s="169" t="s">
        <v>1047</v>
      </c>
      <c r="C110" s="169" t="s">
        <v>1049</v>
      </c>
    </row>
    <row r="111" spans="1:3">
      <c r="A111" s="169" t="s">
        <v>1038</v>
      </c>
      <c r="B111" s="169" t="s">
        <v>1047</v>
      </c>
      <c r="C111" s="169" t="s">
        <v>1049</v>
      </c>
    </row>
    <row r="112" spans="1:3">
      <c r="A112" s="169" t="s">
        <v>1038</v>
      </c>
      <c r="B112" s="169" t="s">
        <v>1047</v>
      </c>
      <c r="C112" s="169" t="s">
        <v>1049</v>
      </c>
    </row>
    <row r="113" spans="1:3">
      <c r="A113" s="169" t="s">
        <v>1038</v>
      </c>
      <c r="B113" s="169" t="s">
        <v>1047</v>
      </c>
      <c r="C113" s="169" t="s">
        <v>1049</v>
      </c>
    </row>
    <row r="114" spans="1:3">
      <c r="A114" s="169" t="s">
        <v>1038</v>
      </c>
      <c r="B114" s="169" t="s">
        <v>1047</v>
      </c>
      <c r="C114" s="169" t="s">
        <v>1050</v>
      </c>
    </row>
    <row r="115" spans="1:3">
      <c r="A115" s="169" t="s">
        <v>1038</v>
      </c>
      <c r="B115" s="169" t="s">
        <v>1047</v>
      </c>
      <c r="C115" s="169" t="s">
        <v>1050</v>
      </c>
    </row>
    <row r="116" spans="1:3">
      <c r="A116" s="169" t="s">
        <v>1038</v>
      </c>
      <c r="B116" s="169" t="s">
        <v>1047</v>
      </c>
      <c r="C116" s="169" t="s">
        <v>1050</v>
      </c>
    </row>
    <row r="117" spans="1:3">
      <c r="A117" s="169" t="s">
        <v>1038</v>
      </c>
      <c r="B117" s="169" t="s">
        <v>1047</v>
      </c>
      <c r="C117" s="169" t="s">
        <v>1050</v>
      </c>
    </row>
    <row r="118" spans="1:3">
      <c r="A118" s="169" t="s">
        <v>1038</v>
      </c>
      <c r="B118" s="169" t="s">
        <v>1047</v>
      </c>
      <c r="C118" s="169" t="s">
        <v>1050</v>
      </c>
    </row>
    <row r="119" spans="1:3">
      <c r="A119" s="169" t="s">
        <v>1038</v>
      </c>
      <c r="B119" s="169" t="s">
        <v>1047</v>
      </c>
      <c r="C119" s="169" t="s">
        <v>1050</v>
      </c>
    </row>
    <row r="120" spans="1:3">
      <c r="A120" s="169" t="s">
        <v>1038</v>
      </c>
      <c r="B120" s="169" t="s">
        <v>1047</v>
      </c>
      <c r="C120" s="169" t="s">
        <v>1050</v>
      </c>
    </row>
    <row r="121" spans="1:3">
      <c r="A121" s="169" t="s">
        <v>1038</v>
      </c>
      <c r="B121" s="169" t="s">
        <v>1047</v>
      </c>
      <c r="C121" s="169" t="s">
        <v>1050</v>
      </c>
    </row>
    <row r="122" spans="1:3">
      <c r="A122" s="169" t="s">
        <v>1038</v>
      </c>
      <c r="B122" s="169" t="s">
        <v>1047</v>
      </c>
      <c r="C122" s="169" t="s">
        <v>1050</v>
      </c>
    </row>
    <row r="123" spans="1:3">
      <c r="A123" s="169" t="s">
        <v>1038</v>
      </c>
      <c r="B123" s="169" t="s">
        <v>1047</v>
      </c>
      <c r="C123" s="169" t="s">
        <v>1050</v>
      </c>
    </row>
    <row r="124" spans="1:3">
      <c r="A124" s="169" t="s">
        <v>1038</v>
      </c>
      <c r="B124" s="169" t="s">
        <v>1047</v>
      </c>
      <c r="C124" s="169" t="s">
        <v>1050</v>
      </c>
    </row>
    <row r="125" spans="1:3">
      <c r="A125" s="169" t="s">
        <v>1038</v>
      </c>
      <c r="B125" s="169" t="s">
        <v>1047</v>
      </c>
      <c r="C125" s="169" t="s">
        <v>1050</v>
      </c>
    </row>
    <row r="126" spans="1:3">
      <c r="A126" s="169" t="s">
        <v>1038</v>
      </c>
      <c r="B126" s="169" t="s">
        <v>1047</v>
      </c>
      <c r="C126" s="169" t="s">
        <v>1050</v>
      </c>
    </row>
    <row r="127" spans="1:3">
      <c r="A127" s="169" t="s">
        <v>1038</v>
      </c>
      <c r="B127" s="169" t="s">
        <v>1047</v>
      </c>
      <c r="C127" s="169" t="s">
        <v>1050</v>
      </c>
    </row>
    <row r="128" spans="1:3">
      <c r="A128" s="169" t="s">
        <v>1038</v>
      </c>
      <c r="B128" s="169" t="s">
        <v>1047</v>
      </c>
      <c r="C128" s="169" t="s">
        <v>1050</v>
      </c>
    </row>
    <row r="129" spans="1:3">
      <c r="A129" s="169" t="s">
        <v>1038</v>
      </c>
      <c r="B129" s="169" t="s">
        <v>1047</v>
      </c>
      <c r="C129" s="169" t="s">
        <v>1050</v>
      </c>
    </row>
    <row r="130" spans="1:3">
      <c r="A130" s="169" t="s">
        <v>1038</v>
      </c>
      <c r="B130" s="169" t="s">
        <v>1047</v>
      </c>
      <c r="C130" s="169" t="s">
        <v>1051</v>
      </c>
    </row>
    <row r="131" spans="1:3">
      <c r="A131" s="169" t="s">
        <v>1038</v>
      </c>
      <c r="B131" s="169" t="s">
        <v>1047</v>
      </c>
      <c r="C131" s="169" t="s">
        <v>1051</v>
      </c>
    </row>
    <row r="132" spans="1:3">
      <c r="A132" s="169" t="s">
        <v>1038</v>
      </c>
      <c r="B132" s="169" t="s">
        <v>1047</v>
      </c>
      <c r="C132" s="169" t="s">
        <v>1051</v>
      </c>
    </row>
    <row r="133" spans="1:3">
      <c r="A133" s="169" t="s">
        <v>1038</v>
      </c>
      <c r="B133" s="169" t="s">
        <v>1047</v>
      </c>
      <c r="C133" s="169" t="s">
        <v>1051</v>
      </c>
    </row>
    <row r="134" spans="1:3">
      <c r="A134" s="169" t="s">
        <v>1038</v>
      </c>
      <c r="B134" s="169" t="s">
        <v>1047</v>
      </c>
      <c r="C134" s="169" t="s">
        <v>1051</v>
      </c>
    </row>
    <row r="135" spans="1:3">
      <c r="A135" s="169" t="s">
        <v>1038</v>
      </c>
      <c r="B135" s="169" t="s">
        <v>1047</v>
      </c>
      <c r="C135" s="169" t="s">
        <v>1051</v>
      </c>
    </row>
    <row r="136" spans="1:3">
      <c r="A136" s="169" t="s">
        <v>1038</v>
      </c>
      <c r="B136" s="169" t="s">
        <v>1047</v>
      </c>
      <c r="C136" s="169" t="s">
        <v>1052</v>
      </c>
    </row>
    <row r="137" spans="1:3">
      <c r="A137" s="169" t="s">
        <v>1038</v>
      </c>
      <c r="B137" s="169" t="s">
        <v>1047</v>
      </c>
      <c r="C137" s="169" t="s">
        <v>1052</v>
      </c>
    </row>
    <row r="138" spans="1:3">
      <c r="A138" s="169" t="s">
        <v>1038</v>
      </c>
      <c r="B138" s="169" t="s">
        <v>1047</v>
      </c>
      <c r="C138" s="169" t="s">
        <v>1052</v>
      </c>
    </row>
    <row r="139" spans="1:3">
      <c r="A139" s="169" t="s">
        <v>1038</v>
      </c>
      <c r="B139" s="169" t="s">
        <v>1047</v>
      </c>
      <c r="C139" s="169" t="s">
        <v>1052</v>
      </c>
    </row>
    <row r="140" spans="1:3">
      <c r="A140" s="169" t="s">
        <v>1038</v>
      </c>
      <c r="B140" s="169" t="s">
        <v>1047</v>
      </c>
      <c r="C140" s="169" t="s">
        <v>1052</v>
      </c>
    </row>
    <row r="141" spans="1:3">
      <c r="A141" s="169" t="s">
        <v>1038</v>
      </c>
      <c r="B141" s="169" t="s">
        <v>1047</v>
      </c>
      <c r="C141" s="169" t="s">
        <v>1052</v>
      </c>
    </row>
    <row r="142" spans="1:3">
      <c r="A142" s="169" t="s">
        <v>1038</v>
      </c>
      <c r="B142" s="169" t="s">
        <v>1047</v>
      </c>
      <c r="C142" s="169" t="s">
        <v>1052</v>
      </c>
    </row>
    <row r="143" spans="1:3">
      <c r="A143" s="169" t="s">
        <v>1038</v>
      </c>
      <c r="B143" s="169" t="s">
        <v>1053</v>
      </c>
      <c r="C143" s="169" t="s">
        <v>1054</v>
      </c>
    </row>
    <row r="144" spans="1:3">
      <c r="A144" s="169" t="s">
        <v>1038</v>
      </c>
      <c r="B144" s="169" t="s">
        <v>1053</v>
      </c>
      <c r="C144" s="169" t="s">
        <v>1054</v>
      </c>
    </row>
    <row r="145" spans="1:3">
      <c r="A145" s="169" t="s">
        <v>1038</v>
      </c>
      <c r="B145" s="169" t="s">
        <v>1053</v>
      </c>
      <c r="C145" s="169" t="s">
        <v>1054</v>
      </c>
    </row>
    <row r="146" spans="1:3">
      <c r="A146" s="169" t="s">
        <v>1038</v>
      </c>
      <c r="B146" s="169" t="s">
        <v>1053</v>
      </c>
      <c r="C146" s="169" t="s">
        <v>1054</v>
      </c>
    </row>
    <row r="147" spans="1:3">
      <c r="A147" s="169" t="s">
        <v>1038</v>
      </c>
      <c r="B147" s="169" t="s">
        <v>1053</v>
      </c>
      <c r="C147" s="169" t="s">
        <v>1054</v>
      </c>
    </row>
    <row r="148" spans="1:3">
      <c r="A148" s="169" t="s">
        <v>1038</v>
      </c>
      <c r="B148" s="169" t="s">
        <v>1053</v>
      </c>
      <c r="C148" s="169" t="s">
        <v>1054</v>
      </c>
    </row>
    <row r="149" spans="1:3">
      <c r="A149" s="169" t="s">
        <v>1038</v>
      </c>
      <c r="B149" s="169" t="s">
        <v>1053</v>
      </c>
      <c r="C149" s="169" t="s">
        <v>1054</v>
      </c>
    </row>
    <row r="150" spans="1:3">
      <c r="A150" s="169" t="s">
        <v>1038</v>
      </c>
      <c r="B150" s="169" t="s">
        <v>1053</v>
      </c>
      <c r="C150" s="169" t="s">
        <v>1054</v>
      </c>
    </row>
    <row r="151" spans="1:3">
      <c r="A151" s="169" t="s">
        <v>1038</v>
      </c>
      <c r="B151" s="169" t="s">
        <v>1053</v>
      </c>
      <c r="C151" s="169" t="s">
        <v>1054</v>
      </c>
    </row>
    <row r="152" spans="1:3">
      <c r="A152" s="169" t="s">
        <v>1038</v>
      </c>
      <c r="B152" s="169" t="s">
        <v>1053</v>
      </c>
      <c r="C152" s="169" t="s">
        <v>1054</v>
      </c>
    </row>
    <row r="153" spans="1:3">
      <c r="A153" s="169" t="s">
        <v>1038</v>
      </c>
      <c r="B153" s="169" t="s">
        <v>1053</v>
      </c>
      <c r="C153" s="169" t="s">
        <v>1054</v>
      </c>
    </row>
    <row r="154" spans="1:3">
      <c r="A154" s="169" t="s">
        <v>1038</v>
      </c>
      <c r="B154" s="169" t="s">
        <v>1053</v>
      </c>
      <c r="C154" s="169" t="s">
        <v>1054</v>
      </c>
    </row>
    <row r="155" spans="1:3">
      <c r="A155" s="169" t="s">
        <v>1038</v>
      </c>
      <c r="B155" s="169" t="s">
        <v>1053</v>
      </c>
      <c r="C155" s="169" t="s">
        <v>1054</v>
      </c>
    </row>
    <row r="156" spans="1:3">
      <c r="A156" s="169" t="s">
        <v>1038</v>
      </c>
      <c r="B156" s="169" t="s">
        <v>1053</v>
      </c>
      <c r="C156" s="169" t="s">
        <v>1054</v>
      </c>
    </row>
    <row r="157" spans="1:3">
      <c r="A157" s="169" t="s">
        <v>1038</v>
      </c>
      <c r="B157" s="169" t="s">
        <v>1053</v>
      </c>
      <c r="C157" s="169" t="s">
        <v>1054</v>
      </c>
    </row>
    <row r="158" spans="1:3">
      <c r="A158" s="169" t="s">
        <v>1038</v>
      </c>
      <c r="B158" s="169" t="s">
        <v>1053</v>
      </c>
      <c r="C158" s="169" t="s">
        <v>1054</v>
      </c>
    </row>
    <row r="159" spans="1:3">
      <c r="A159" s="169" t="s">
        <v>1038</v>
      </c>
      <c r="B159" s="169" t="s">
        <v>1053</v>
      </c>
      <c r="C159" s="169" t="s">
        <v>1054</v>
      </c>
    </row>
    <row r="160" spans="1:3">
      <c r="A160" s="169" t="s">
        <v>1038</v>
      </c>
      <c r="B160" s="169" t="s">
        <v>1053</v>
      </c>
      <c r="C160" s="169" t="s">
        <v>1054</v>
      </c>
    </row>
    <row r="161" spans="1:3">
      <c r="A161" s="169" t="s">
        <v>1038</v>
      </c>
      <c r="B161" s="169" t="s">
        <v>1053</v>
      </c>
      <c r="C161" s="169" t="s">
        <v>1054</v>
      </c>
    </row>
    <row r="162" spans="1:3">
      <c r="A162" s="169" t="s">
        <v>1038</v>
      </c>
      <c r="B162" s="169" t="s">
        <v>1053</v>
      </c>
      <c r="C162" s="169" t="s">
        <v>1054</v>
      </c>
    </row>
    <row r="163" spans="1:3">
      <c r="A163" s="169" t="s">
        <v>1038</v>
      </c>
      <c r="B163" s="169" t="s">
        <v>1053</v>
      </c>
      <c r="C163" s="169" t="s">
        <v>1054</v>
      </c>
    </row>
    <row r="164" spans="1:3">
      <c r="A164" s="169" t="s">
        <v>1038</v>
      </c>
      <c r="B164" s="169" t="s">
        <v>1053</v>
      </c>
      <c r="C164" s="169" t="s">
        <v>1054</v>
      </c>
    </row>
    <row r="165" spans="1:3">
      <c r="A165" s="169" t="s">
        <v>1038</v>
      </c>
      <c r="B165" s="169" t="s">
        <v>1053</v>
      </c>
      <c r="C165" s="169" t="s">
        <v>1054</v>
      </c>
    </row>
    <row r="166" spans="1:3">
      <c r="A166" s="169" t="s">
        <v>1038</v>
      </c>
      <c r="B166" s="169" t="s">
        <v>1053</v>
      </c>
      <c r="C166" s="169" t="s">
        <v>1054</v>
      </c>
    </row>
    <row r="167" spans="1:3">
      <c r="A167" s="169" t="s">
        <v>1038</v>
      </c>
      <c r="B167" s="169" t="s">
        <v>1053</v>
      </c>
      <c r="C167" s="169" t="s">
        <v>1054</v>
      </c>
    </row>
    <row r="168" spans="1:3">
      <c r="A168" s="169" t="s">
        <v>1038</v>
      </c>
      <c r="B168" s="169" t="s">
        <v>1053</v>
      </c>
      <c r="C168" s="169" t="s">
        <v>1054</v>
      </c>
    </row>
    <row r="169" spans="1:3">
      <c r="A169" s="169" t="s">
        <v>1038</v>
      </c>
      <c r="B169" s="169" t="s">
        <v>1053</v>
      </c>
      <c r="C169" s="169" t="s">
        <v>1054</v>
      </c>
    </row>
    <row r="170" spans="1:3">
      <c r="A170" s="169" t="s">
        <v>1038</v>
      </c>
      <c r="B170" s="169" t="s">
        <v>1053</v>
      </c>
      <c r="C170" s="169" t="s">
        <v>1054</v>
      </c>
    </row>
    <row r="171" spans="1:3">
      <c r="A171" s="169" t="s">
        <v>1038</v>
      </c>
      <c r="B171" s="169" t="s">
        <v>1053</v>
      </c>
      <c r="C171" s="169" t="s">
        <v>1054</v>
      </c>
    </row>
    <row r="172" spans="1:3">
      <c r="A172" s="169" t="s">
        <v>1038</v>
      </c>
      <c r="B172" s="169" t="s">
        <v>1053</v>
      </c>
      <c r="C172" s="169" t="s">
        <v>1054</v>
      </c>
    </row>
    <row r="173" spans="1:3">
      <c r="A173" s="169" t="s">
        <v>1038</v>
      </c>
      <c r="B173" s="169" t="s">
        <v>1053</v>
      </c>
      <c r="C173" s="169" t="s">
        <v>1054</v>
      </c>
    </row>
    <row r="174" spans="1:3">
      <c r="A174" s="169" t="s">
        <v>1038</v>
      </c>
      <c r="B174" s="169" t="s">
        <v>1053</v>
      </c>
      <c r="C174" s="169" t="s">
        <v>1054</v>
      </c>
    </row>
    <row r="175" spans="1:3">
      <c r="A175" s="169" t="s">
        <v>1038</v>
      </c>
      <c r="B175" s="169" t="s">
        <v>1053</v>
      </c>
      <c r="C175" s="169" t="s">
        <v>1054</v>
      </c>
    </row>
    <row r="176" spans="1:3">
      <c r="A176" s="169" t="s">
        <v>1038</v>
      </c>
      <c r="B176" s="169" t="s">
        <v>1053</v>
      </c>
      <c r="C176" s="169" t="s">
        <v>1054</v>
      </c>
    </row>
    <row r="177" spans="1:3">
      <c r="A177" s="169" t="s">
        <v>1038</v>
      </c>
      <c r="B177" s="169" t="s">
        <v>1053</v>
      </c>
      <c r="C177" s="169" t="s">
        <v>1054</v>
      </c>
    </row>
    <row r="178" spans="1:3">
      <c r="A178" s="169" t="s">
        <v>1038</v>
      </c>
      <c r="B178" s="169" t="s">
        <v>1053</v>
      </c>
      <c r="C178" s="169" t="s">
        <v>1054</v>
      </c>
    </row>
    <row r="179" spans="1:3">
      <c r="A179" s="169" t="s">
        <v>1038</v>
      </c>
      <c r="B179" s="169" t="s">
        <v>1053</v>
      </c>
      <c r="C179" s="169" t="s">
        <v>1054</v>
      </c>
    </row>
    <row r="180" spans="1:3">
      <c r="A180" s="169" t="s">
        <v>1038</v>
      </c>
      <c r="B180" s="169" t="s">
        <v>1053</v>
      </c>
      <c r="C180" s="169" t="s">
        <v>1054</v>
      </c>
    </row>
    <row r="181" spans="1:3">
      <c r="A181" s="169" t="s">
        <v>1038</v>
      </c>
      <c r="B181" s="169" t="s">
        <v>1053</v>
      </c>
      <c r="C181" s="169" t="s">
        <v>1054</v>
      </c>
    </row>
    <row r="182" spans="1:3">
      <c r="A182" s="169" t="s">
        <v>1038</v>
      </c>
      <c r="B182" s="169" t="s">
        <v>1053</v>
      </c>
      <c r="C182" s="169" t="s">
        <v>1054</v>
      </c>
    </row>
    <row r="183" spans="1:3">
      <c r="A183" s="169" t="s">
        <v>1038</v>
      </c>
      <c r="B183" s="169" t="s">
        <v>1053</v>
      </c>
      <c r="C183" s="169" t="s">
        <v>1054</v>
      </c>
    </row>
    <row r="184" spans="1:3">
      <c r="A184" s="169" t="s">
        <v>1038</v>
      </c>
      <c r="B184" s="169" t="s">
        <v>1053</v>
      </c>
      <c r="C184" s="169" t="s">
        <v>1054</v>
      </c>
    </row>
    <row r="185" spans="1:3">
      <c r="A185" s="169" t="s">
        <v>1038</v>
      </c>
      <c r="B185" s="169" t="s">
        <v>1053</v>
      </c>
      <c r="C185" s="169" t="s">
        <v>1054</v>
      </c>
    </row>
    <row r="186" spans="1:3">
      <c r="A186" s="169" t="s">
        <v>1038</v>
      </c>
      <c r="B186" s="169" t="s">
        <v>1053</v>
      </c>
      <c r="C186" s="169" t="s">
        <v>1054</v>
      </c>
    </row>
    <row r="187" spans="1:3">
      <c r="A187" s="169" t="s">
        <v>1038</v>
      </c>
      <c r="B187" s="169" t="s">
        <v>1053</v>
      </c>
      <c r="C187" s="169" t="s">
        <v>1054</v>
      </c>
    </row>
    <row r="188" spans="1:3">
      <c r="A188" s="169" t="s">
        <v>1038</v>
      </c>
      <c r="B188" s="169" t="s">
        <v>1053</v>
      </c>
      <c r="C188" s="169" t="s">
        <v>1054</v>
      </c>
    </row>
    <row r="189" spans="1:3">
      <c r="A189" s="169" t="s">
        <v>1038</v>
      </c>
      <c r="B189" s="169" t="s">
        <v>1053</v>
      </c>
      <c r="C189" s="169" t="s">
        <v>1054</v>
      </c>
    </row>
    <row r="190" spans="1:3">
      <c r="A190" s="169" t="s">
        <v>1038</v>
      </c>
      <c r="B190" s="169" t="s">
        <v>1053</v>
      </c>
      <c r="C190" s="169" t="s">
        <v>1054</v>
      </c>
    </row>
    <row r="191" spans="1:3">
      <c r="A191" s="169" t="s">
        <v>1038</v>
      </c>
      <c r="B191" s="169" t="s">
        <v>1053</v>
      </c>
      <c r="C191" s="169" t="s">
        <v>1054</v>
      </c>
    </row>
    <row r="192" spans="1:3">
      <c r="A192" s="169" t="s">
        <v>1038</v>
      </c>
      <c r="B192" s="169" t="s">
        <v>1053</v>
      </c>
      <c r="C192" s="169" t="s">
        <v>1054</v>
      </c>
    </row>
    <row r="193" spans="1:3">
      <c r="A193" s="169" t="s">
        <v>1038</v>
      </c>
      <c r="B193" s="169" t="s">
        <v>1053</v>
      </c>
      <c r="C193" s="169" t="s">
        <v>1054</v>
      </c>
    </row>
    <row r="194" spans="1:3">
      <c r="A194" s="169" t="s">
        <v>1038</v>
      </c>
      <c r="B194" s="169" t="s">
        <v>1053</v>
      </c>
      <c r="C194" s="169" t="s">
        <v>1054</v>
      </c>
    </row>
    <row r="195" spans="1:3">
      <c r="A195" s="169" t="s">
        <v>1038</v>
      </c>
      <c r="B195" s="169" t="s">
        <v>1053</v>
      </c>
      <c r="C195" s="169" t="s">
        <v>1054</v>
      </c>
    </row>
    <row r="196" spans="1:3">
      <c r="A196" s="169" t="s">
        <v>1038</v>
      </c>
      <c r="B196" s="169" t="s">
        <v>1053</v>
      </c>
      <c r="C196" s="169" t="s">
        <v>1054</v>
      </c>
    </row>
    <row r="197" spans="1:3">
      <c r="A197" s="169" t="s">
        <v>1038</v>
      </c>
      <c r="B197" s="169" t="s">
        <v>1053</v>
      </c>
      <c r="C197" s="169" t="s">
        <v>1054</v>
      </c>
    </row>
    <row r="198" spans="1:3">
      <c r="A198" s="169" t="s">
        <v>1038</v>
      </c>
      <c r="B198" s="169" t="s">
        <v>1053</v>
      </c>
      <c r="C198" s="169" t="s">
        <v>1054</v>
      </c>
    </row>
    <row r="199" spans="1:3">
      <c r="A199" s="169" t="s">
        <v>1038</v>
      </c>
      <c r="B199" s="169" t="s">
        <v>1053</v>
      </c>
      <c r="C199" s="169" t="s">
        <v>1054</v>
      </c>
    </row>
    <row r="200" spans="1:3">
      <c r="A200" s="169" t="s">
        <v>1038</v>
      </c>
      <c r="B200" s="169" t="s">
        <v>1053</v>
      </c>
      <c r="C200" s="169" t="s">
        <v>1054</v>
      </c>
    </row>
    <row r="201" spans="1:3">
      <c r="A201" s="169" t="s">
        <v>1038</v>
      </c>
      <c r="B201" s="169" t="s">
        <v>1053</v>
      </c>
      <c r="C201" s="169" t="s">
        <v>1056</v>
      </c>
    </row>
    <row r="202" spans="1:3">
      <c r="A202" s="169" t="s">
        <v>1038</v>
      </c>
      <c r="B202" s="169" t="s">
        <v>1053</v>
      </c>
      <c r="C202" s="169" t="s">
        <v>1056</v>
      </c>
    </row>
    <row r="203" spans="1:3">
      <c r="A203" s="169" t="s">
        <v>1038</v>
      </c>
      <c r="B203" s="169" t="s">
        <v>1053</v>
      </c>
      <c r="C203" s="169" t="s">
        <v>1056</v>
      </c>
    </row>
    <row r="204" spans="1:3">
      <c r="A204" s="169" t="s">
        <v>1038</v>
      </c>
      <c r="B204" s="169" t="s">
        <v>1053</v>
      </c>
      <c r="C204" s="169" t="s">
        <v>1056</v>
      </c>
    </row>
    <row r="205" spans="1:3">
      <c r="A205" s="169" t="s">
        <v>1038</v>
      </c>
      <c r="B205" s="169" t="s">
        <v>1053</v>
      </c>
      <c r="C205" s="169" t="s">
        <v>1056</v>
      </c>
    </row>
    <row r="206" spans="1:3">
      <c r="A206" s="169" t="s">
        <v>1038</v>
      </c>
      <c r="B206" s="169" t="s">
        <v>1053</v>
      </c>
      <c r="C206" s="169" t="s">
        <v>1056</v>
      </c>
    </row>
    <row r="207" spans="1:3">
      <c r="A207" s="169" t="s">
        <v>1038</v>
      </c>
      <c r="B207" s="169" t="s">
        <v>1053</v>
      </c>
      <c r="C207" s="169" t="s">
        <v>1056</v>
      </c>
    </row>
    <row r="208" spans="1:3">
      <c r="A208" s="169" t="s">
        <v>1038</v>
      </c>
      <c r="B208" s="169" t="s">
        <v>1053</v>
      </c>
      <c r="C208" s="169" t="s">
        <v>1056</v>
      </c>
    </row>
    <row r="209" spans="1:3">
      <c r="A209" s="169" t="s">
        <v>1038</v>
      </c>
      <c r="B209" s="169" t="s">
        <v>1053</v>
      </c>
      <c r="C209" s="169" t="s">
        <v>1056</v>
      </c>
    </row>
    <row r="210" spans="1:3">
      <c r="A210" s="169" t="s">
        <v>1038</v>
      </c>
      <c r="B210" s="169" t="s">
        <v>1053</v>
      </c>
      <c r="C210" s="169" t="s">
        <v>1056</v>
      </c>
    </row>
    <row r="211" spans="1:3">
      <c r="A211" s="169" t="s">
        <v>1038</v>
      </c>
      <c r="B211" s="169" t="s">
        <v>1053</v>
      </c>
      <c r="C211" s="169" t="s">
        <v>1056</v>
      </c>
    </row>
    <row r="212" spans="1:3">
      <c r="A212" s="169" t="s">
        <v>1038</v>
      </c>
      <c r="B212" s="169" t="s">
        <v>1053</v>
      </c>
      <c r="C212" s="169" t="s">
        <v>1056</v>
      </c>
    </row>
    <row r="213" spans="1:3">
      <c r="A213" s="169" t="s">
        <v>1038</v>
      </c>
      <c r="B213" s="169" t="s">
        <v>1053</v>
      </c>
      <c r="C213" s="169" t="s">
        <v>1056</v>
      </c>
    </row>
    <row r="214" spans="1:3">
      <c r="A214" s="169" t="s">
        <v>1038</v>
      </c>
      <c r="B214" s="169" t="s">
        <v>1053</v>
      </c>
      <c r="C214" s="169" t="s">
        <v>1056</v>
      </c>
    </row>
    <row r="215" spans="1:3">
      <c r="A215" s="169" t="s">
        <v>1038</v>
      </c>
      <c r="B215" s="169" t="s">
        <v>1053</v>
      </c>
      <c r="C215" s="169" t="s">
        <v>1056</v>
      </c>
    </row>
    <row r="216" spans="1:3">
      <c r="A216" s="169" t="s">
        <v>1038</v>
      </c>
      <c r="B216" s="169" t="s">
        <v>1053</v>
      </c>
      <c r="C216" s="169" t="s">
        <v>1056</v>
      </c>
    </row>
    <row r="217" spans="1:3">
      <c r="A217" s="169" t="s">
        <v>1038</v>
      </c>
      <c r="B217" s="169" t="s">
        <v>1053</v>
      </c>
      <c r="C217" s="169" t="s">
        <v>1056</v>
      </c>
    </row>
    <row r="218" spans="1:3">
      <c r="A218" s="169" t="s">
        <v>1038</v>
      </c>
      <c r="B218" s="169" t="s">
        <v>1053</v>
      </c>
      <c r="C218" s="169" t="s">
        <v>1056</v>
      </c>
    </row>
    <row r="219" spans="1:3">
      <c r="A219" s="169" t="s">
        <v>1038</v>
      </c>
      <c r="B219" s="169" t="s">
        <v>1053</v>
      </c>
      <c r="C219" s="169" t="s">
        <v>1056</v>
      </c>
    </row>
    <row r="220" spans="1:3">
      <c r="A220" s="169" t="s">
        <v>1038</v>
      </c>
      <c r="B220" s="169" t="s">
        <v>1053</v>
      </c>
      <c r="C220" s="169" t="s">
        <v>1056</v>
      </c>
    </row>
    <row r="221" spans="1:3">
      <c r="A221" s="169" t="s">
        <v>1038</v>
      </c>
      <c r="B221" s="169" t="s">
        <v>1053</v>
      </c>
      <c r="C221" s="169" t="s">
        <v>1056</v>
      </c>
    </row>
    <row r="222" spans="1:3">
      <c r="A222" s="169" t="s">
        <v>1038</v>
      </c>
      <c r="B222" s="169" t="s">
        <v>1053</v>
      </c>
      <c r="C222" s="169" t="s">
        <v>1056</v>
      </c>
    </row>
    <row r="223" spans="1:3">
      <c r="A223" s="169" t="s">
        <v>1038</v>
      </c>
      <c r="B223" s="169" t="s">
        <v>1053</v>
      </c>
      <c r="C223" s="169" t="s">
        <v>1056</v>
      </c>
    </row>
    <row r="224" spans="1:3">
      <c r="A224" s="169" t="s">
        <v>1038</v>
      </c>
      <c r="B224" s="169" t="s">
        <v>1053</v>
      </c>
      <c r="C224" s="169" t="s">
        <v>1056</v>
      </c>
    </row>
    <row r="225" spans="1:3">
      <c r="A225" s="169" t="s">
        <v>1038</v>
      </c>
      <c r="B225" s="169" t="s">
        <v>1053</v>
      </c>
      <c r="C225" s="169" t="s">
        <v>1056</v>
      </c>
    </row>
    <row r="226" spans="1:3">
      <c r="A226" s="169" t="s">
        <v>1038</v>
      </c>
      <c r="B226" s="169" t="s">
        <v>1053</v>
      </c>
      <c r="C226" s="169" t="s">
        <v>1056</v>
      </c>
    </row>
    <row r="227" spans="1:3">
      <c r="A227" s="169" t="s">
        <v>1038</v>
      </c>
      <c r="B227" s="169" t="s">
        <v>1053</v>
      </c>
      <c r="C227" s="169" t="s">
        <v>1056</v>
      </c>
    </row>
    <row r="228" spans="1:3">
      <c r="A228" s="169" t="s">
        <v>1038</v>
      </c>
      <c r="B228" s="169" t="s">
        <v>1053</v>
      </c>
      <c r="C228" s="169" t="s">
        <v>1056</v>
      </c>
    </row>
    <row r="229" spans="1:3">
      <c r="A229" s="169" t="s">
        <v>1038</v>
      </c>
      <c r="B229" s="169" t="s">
        <v>1053</v>
      </c>
      <c r="C229" s="169" t="s">
        <v>1056</v>
      </c>
    </row>
    <row r="230" spans="1:3">
      <c r="A230" s="169" t="s">
        <v>1038</v>
      </c>
      <c r="B230" s="169" t="s">
        <v>1053</v>
      </c>
      <c r="C230" s="169" t="s">
        <v>1056</v>
      </c>
    </row>
    <row r="231" spans="1:3">
      <c r="A231" s="169" t="s">
        <v>1038</v>
      </c>
      <c r="B231" s="169" t="s">
        <v>1053</v>
      </c>
      <c r="C231" s="169" t="s">
        <v>1056</v>
      </c>
    </row>
    <row r="232" spans="1:3">
      <c r="A232" s="169" t="s">
        <v>1038</v>
      </c>
      <c r="B232" s="169" t="s">
        <v>1053</v>
      </c>
      <c r="C232" s="169" t="s">
        <v>1056</v>
      </c>
    </row>
    <row r="233" spans="1:3">
      <c r="A233" s="169" t="s">
        <v>1038</v>
      </c>
      <c r="B233" s="169" t="s">
        <v>1053</v>
      </c>
      <c r="C233" s="169" t="s">
        <v>1056</v>
      </c>
    </row>
    <row r="234" spans="1:3">
      <c r="A234" s="169" t="s">
        <v>1038</v>
      </c>
      <c r="B234" s="169" t="s">
        <v>1053</v>
      </c>
      <c r="C234" s="169" t="s">
        <v>1056</v>
      </c>
    </row>
    <row r="235" spans="1:3">
      <c r="A235" s="169" t="s">
        <v>1038</v>
      </c>
      <c r="B235" s="169" t="s">
        <v>1053</v>
      </c>
      <c r="C235" s="169" t="s">
        <v>1056</v>
      </c>
    </row>
    <row r="236" spans="1:3">
      <c r="A236" s="169" t="s">
        <v>1038</v>
      </c>
      <c r="B236" s="169" t="s">
        <v>1053</v>
      </c>
      <c r="C236" s="169" t="s">
        <v>1056</v>
      </c>
    </row>
    <row r="237" spans="1:3">
      <c r="A237" s="169" t="s">
        <v>1038</v>
      </c>
      <c r="B237" s="169" t="s">
        <v>1053</v>
      </c>
      <c r="C237" s="169" t="s">
        <v>1056</v>
      </c>
    </row>
    <row r="238" spans="1:3">
      <c r="A238" s="169" t="s">
        <v>1038</v>
      </c>
      <c r="B238" s="169" t="s">
        <v>1053</v>
      </c>
      <c r="C238" s="169" t="s">
        <v>1056</v>
      </c>
    </row>
    <row r="239" spans="1:3">
      <c r="A239" s="169" t="s">
        <v>1038</v>
      </c>
      <c r="B239" s="169" t="s">
        <v>1053</v>
      </c>
      <c r="C239" s="169" t="s">
        <v>1056</v>
      </c>
    </row>
    <row r="240" spans="1:3">
      <c r="A240" s="169" t="s">
        <v>1038</v>
      </c>
      <c r="B240" s="169" t="s">
        <v>1053</v>
      </c>
      <c r="C240" s="169" t="s">
        <v>1056</v>
      </c>
    </row>
    <row r="241" spans="1:3">
      <c r="A241" s="169" t="s">
        <v>1038</v>
      </c>
      <c r="B241" s="169" t="s">
        <v>1053</v>
      </c>
      <c r="C241" s="169" t="s">
        <v>1056</v>
      </c>
    </row>
    <row r="242" spans="1:3">
      <c r="A242" s="169" t="s">
        <v>1038</v>
      </c>
      <c r="B242" s="169" t="s">
        <v>1053</v>
      </c>
      <c r="C242" s="169" t="s">
        <v>1056</v>
      </c>
    </row>
    <row r="243" spans="1:3">
      <c r="A243" s="169" t="s">
        <v>1038</v>
      </c>
      <c r="B243" s="169" t="s">
        <v>1053</v>
      </c>
      <c r="C243" s="169" t="s">
        <v>1056</v>
      </c>
    </row>
    <row r="244" spans="1:3">
      <c r="A244" s="169" t="s">
        <v>1038</v>
      </c>
      <c r="B244" s="169" t="s">
        <v>1053</v>
      </c>
      <c r="C244" s="169" t="s">
        <v>1056</v>
      </c>
    </row>
    <row r="245" spans="1:3">
      <c r="A245" s="169" t="s">
        <v>1038</v>
      </c>
      <c r="B245" s="169" t="s">
        <v>1053</v>
      </c>
      <c r="C245" s="169" t="s">
        <v>1056</v>
      </c>
    </row>
    <row r="246" spans="1:3">
      <c r="A246" s="169" t="s">
        <v>1038</v>
      </c>
      <c r="B246" s="169" t="s">
        <v>1053</v>
      </c>
      <c r="C246" s="169" t="s">
        <v>1056</v>
      </c>
    </row>
    <row r="247" spans="1:3">
      <c r="A247" s="169" t="s">
        <v>1038</v>
      </c>
      <c r="B247" s="169" t="s">
        <v>1053</v>
      </c>
      <c r="C247" s="169" t="s">
        <v>1056</v>
      </c>
    </row>
    <row r="248" spans="1:3">
      <c r="A248" s="169" t="s">
        <v>1038</v>
      </c>
      <c r="B248" s="169" t="s">
        <v>1053</v>
      </c>
      <c r="C248" s="169" t="s">
        <v>1056</v>
      </c>
    </row>
    <row r="249" spans="1:3">
      <c r="A249" s="169" t="s">
        <v>1038</v>
      </c>
      <c r="B249" s="169" t="s">
        <v>1053</v>
      </c>
      <c r="C249" s="169" t="s">
        <v>1056</v>
      </c>
    </row>
    <row r="250" spans="1:3">
      <c r="A250" s="169" t="s">
        <v>1038</v>
      </c>
      <c r="B250" s="169" t="s">
        <v>1053</v>
      </c>
      <c r="C250" s="169" t="s">
        <v>1056</v>
      </c>
    </row>
    <row r="251" spans="1:3">
      <c r="A251" s="169" t="s">
        <v>1038</v>
      </c>
      <c r="B251" s="169" t="s">
        <v>1053</v>
      </c>
      <c r="C251" s="169" t="s">
        <v>1056</v>
      </c>
    </row>
    <row r="252" spans="1:3">
      <c r="A252" s="169" t="s">
        <v>1038</v>
      </c>
      <c r="B252" s="169" t="s">
        <v>1053</v>
      </c>
      <c r="C252" s="169" t="s">
        <v>1056</v>
      </c>
    </row>
    <row r="253" spans="1:3">
      <c r="A253" s="169" t="s">
        <v>1038</v>
      </c>
      <c r="B253" s="169" t="s">
        <v>1053</v>
      </c>
      <c r="C253" s="169" t="s">
        <v>1057</v>
      </c>
    </row>
    <row r="254" spans="1:3">
      <c r="A254" s="169" t="s">
        <v>1038</v>
      </c>
      <c r="B254" s="169" t="s">
        <v>1053</v>
      </c>
      <c r="C254" s="169" t="s">
        <v>1057</v>
      </c>
    </row>
    <row r="255" spans="1:3">
      <c r="A255" s="169" t="s">
        <v>1038</v>
      </c>
      <c r="B255" s="169" t="s">
        <v>1053</v>
      </c>
      <c r="C255" s="169" t="s">
        <v>1057</v>
      </c>
    </row>
    <row r="256" spans="1:3">
      <c r="A256" s="169" t="s">
        <v>1038</v>
      </c>
      <c r="B256" s="169" t="s">
        <v>1053</v>
      </c>
      <c r="C256" s="169" t="s">
        <v>1057</v>
      </c>
    </row>
    <row r="257" spans="1:3">
      <c r="A257" s="169" t="s">
        <v>1038</v>
      </c>
      <c r="B257" s="169" t="s">
        <v>1053</v>
      </c>
      <c r="C257" s="169" t="s">
        <v>1057</v>
      </c>
    </row>
    <row r="258" spans="1:3">
      <c r="A258" s="169" t="s">
        <v>1038</v>
      </c>
      <c r="B258" s="169" t="s">
        <v>1053</v>
      </c>
      <c r="C258" s="169" t="s">
        <v>1057</v>
      </c>
    </row>
    <row r="259" spans="1:3">
      <c r="A259" s="169" t="s">
        <v>1038</v>
      </c>
      <c r="B259" s="169" t="s">
        <v>1053</v>
      </c>
      <c r="C259" s="169" t="s">
        <v>1057</v>
      </c>
    </row>
    <row r="260" spans="1:3">
      <c r="A260" s="169" t="s">
        <v>1038</v>
      </c>
      <c r="B260" s="169" t="s">
        <v>1053</v>
      </c>
      <c r="C260" s="169" t="s">
        <v>1057</v>
      </c>
    </row>
    <row r="261" spans="1:3">
      <c r="A261" s="169" t="s">
        <v>1038</v>
      </c>
      <c r="B261" s="169" t="s">
        <v>1053</v>
      </c>
      <c r="C261" s="169" t="s">
        <v>1057</v>
      </c>
    </row>
    <row r="262" spans="1:3">
      <c r="A262" s="169" t="s">
        <v>1038</v>
      </c>
      <c r="B262" s="169" t="s">
        <v>1053</v>
      </c>
      <c r="C262" s="169" t="s">
        <v>1057</v>
      </c>
    </row>
    <row r="263" spans="1:3">
      <c r="A263" s="169" t="s">
        <v>1038</v>
      </c>
      <c r="B263" s="169" t="s">
        <v>1053</v>
      </c>
      <c r="C263" s="169" t="s">
        <v>1057</v>
      </c>
    </row>
    <row r="264" spans="1:3">
      <c r="A264" s="169" t="s">
        <v>1038</v>
      </c>
      <c r="B264" s="169" t="s">
        <v>1053</v>
      </c>
      <c r="C264" s="169" t="s">
        <v>1057</v>
      </c>
    </row>
    <row r="265" spans="1:3">
      <c r="A265" s="169" t="s">
        <v>1038</v>
      </c>
      <c r="B265" s="169" t="s">
        <v>1053</v>
      </c>
      <c r="C265" s="169" t="s">
        <v>1057</v>
      </c>
    </row>
    <row r="266" spans="1:3">
      <c r="A266" s="169" t="s">
        <v>1038</v>
      </c>
      <c r="B266" s="169" t="s">
        <v>1058</v>
      </c>
      <c r="C266" s="169" t="s">
        <v>1059</v>
      </c>
    </row>
    <row r="267" spans="1:3">
      <c r="A267" s="169" t="s">
        <v>1038</v>
      </c>
      <c r="B267" s="169" t="s">
        <v>1058</v>
      </c>
      <c r="C267" s="169" t="s">
        <v>1059</v>
      </c>
    </row>
    <row r="268" spans="1:3">
      <c r="A268" s="169" t="s">
        <v>1038</v>
      </c>
      <c r="B268" s="169" t="s">
        <v>1058</v>
      </c>
      <c r="C268" s="169" t="s">
        <v>1059</v>
      </c>
    </row>
    <row r="269" spans="1:3">
      <c r="A269" s="169" t="s">
        <v>1038</v>
      </c>
      <c r="B269" s="169" t="s">
        <v>1058</v>
      </c>
      <c r="C269" s="169" t="s">
        <v>1059</v>
      </c>
    </row>
    <row r="270" spans="1:3">
      <c r="A270" s="169" t="s">
        <v>1038</v>
      </c>
      <c r="B270" s="169" t="s">
        <v>1058</v>
      </c>
      <c r="C270" s="169" t="s">
        <v>1059</v>
      </c>
    </row>
    <row r="271" spans="1:3">
      <c r="A271" s="169" t="s">
        <v>1038</v>
      </c>
      <c r="B271" s="169" t="s">
        <v>1058</v>
      </c>
      <c r="C271" s="169" t="s">
        <v>1059</v>
      </c>
    </row>
    <row r="272" spans="1:3">
      <c r="A272" s="169" t="s">
        <v>1038</v>
      </c>
      <c r="B272" s="169" t="s">
        <v>1058</v>
      </c>
      <c r="C272" s="169" t="s">
        <v>1059</v>
      </c>
    </row>
    <row r="273" spans="1:3">
      <c r="A273" s="169" t="s">
        <v>1038</v>
      </c>
      <c r="B273" s="169" t="s">
        <v>1058</v>
      </c>
      <c r="C273" s="169" t="s">
        <v>1059</v>
      </c>
    </row>
    <row r="274" spans="1:3">
      <c r="A274" s="169" t="s">
        <v>1038</v>
      </c>
      <c r="B274" s="169" t="s">
        <v>1058</v>
      </c>
      <c r="C274" s="169" t="s">
        <v>1059</v>
      </c>
    </row>
    <row r="275" spans="1:3">
      <c r="A275" s="169" t="s">
        <v>1038</v>
      </c>
      <c r="B275" s="169" t="s">
        <v>1058</v>
      </c>
      <c r="C275" s="169" t="s">
        <v>1060</v>
      </c>
    </row>
    <row r="276" spans="1:3">
      <c r="A276" s="169" t="s">
        <v>1038</v>
      </c>
      <c r="B276" s="169" t="s">
        <v>1058</v>
      </c>
      <c r="C276" s="169" t="s">
        <v>1060</v>
      </c>
    </row>
    <row r="277" spans="1:3">
      <c r="A277" s="169" t="s">
        <v>1038</v>
      </c>
      <c r="B277" s="169" t="s">
        <v>1058</v>
      </c>
      <c r="C277" s="169" t="s">
        <v>1060</v>
      </c>
    </row>
    <row r="278" spans="1:3">
      <c r="A278" s="169" t="s">
        <v>1038</v>
      </c>
      <c r="B278" s="169" t="s">
        <v>1058</v>
      </c>
      <c r="C278" s="169" t="s">
        <v>1060</v>
      </c>
    </row>
    <row r="279" spans="1:3">
      <c r="A279" s="169" t="s">
        <v>1038</v>
      </c>
      <c r="B279" s="169" t="s">
        <v>1058</v>
      </c>
      <c r="C279" s="169" t="s">
        <v>1060</v>
      </c>
    </row>
    <row r="280" spans="1:3">
      <c r="A280" s="169" t="s">
        <v>1038</v>
      </c>
      <c r="B280" s="169" t="s">
        <v>1058</v>
      </c>
      <c r="C280" s="169" t="s">
        <v>1060</v>
      </c>
    </row>
    <row r="281" spans="1:3">
      <c r="A281" s="169" t="s">
        <v>1038</v>
      </c>
      <c r="B281" s="169" t="s">
        <v>1058</v>
      </c>
      <c r="C281" s="169" t="s">
        <v>1060</v>
      </c>
    </row>
    <row r="282" spans="1:3">
      <c r="A282" s="169" t="s">
        <v>1038</v>
      </c>
      <c r="B282" s="169" t="s">
        <v>1058</v>
      </c>
      <c r="C282" s="169" t="s">
        <v>1060</v>
      </c>
    </row>
    <row r="283" spans="1:3">
      <c r="A283" s="169" t="s">
        <v>1038</v>
      </c>
      <c r="B283" s="169" t="s">
        <v>1058</v>
      </c>
      <c r="C283" s="169" t="s">
        <v>1062</v>
      </c>
    </row>
    <row r="284" spans="1:3">
      <c r="A284" s="169" t="s">
        <v>1038</v>
      </c>
      <c r="B284" s="169" t="s">
        <v>1058</v>
      </c>
      <c r="C284" s="169" t="s">
        <v>1062</v>
      </c>
    </row>
    <row r="285" spans="1:3">
      <c r="A285" s="169" t="s">
        <v>1038</v>
      </c>
      <c r="B285" s="169" t="s">
        <v>1058</v>
      </c>
      <c r="C285" s="169" t="s">
        <v>1062</v>
      </c>
    </row>
    <row r="286" spans="1:3">
      <c r="A286" s="169" t="s">
        <v>1038</v>
      </c>
      <c r="B286" s="169" t="s">
        <v>1058</v>
      </c>
      <c r="C286" s="169" t="s">
        <v>1062</v>
      </c>
    </row>
    <row r="287" spans="1:3">
      <c r="A287" s="169" t="s">
        <v>1038</v>
      </c>
      <c r="B287" s="169" t="s">
        <v>1058</v>
      </c>
      <c r="C287" s="169" t="s">
        <v>1062</v>
      </c>
    </row>
    <row r="288" spans="1:3">
      <c r="A288" s="169" t="s">
        <v>1038</v>
      </c>
      <c r="B288" s="169" t="s">
        <v>1058</v>
      </c>
      <c r="C288" s="169" t="s">
        <v>1062</v>
      </c>
    </row>
    <row r="289" spans="1:3">
      <c r="A289" s="169" t="s">
        <v>1038</v>
      </c>
      <c r="B289" s="169" t="s">
        <v>1058</v>
      </c>
      <c r="C289" s="169" t="s">
        <v>1062</v>
      </c>
    </row>
    <row r="290" spans="1:3">
      <c r="A290" s="169" t="s">
        <v>1038</v>
      </c>
      <c r="B290" s="169" t="s">
        <v>1058</v>
      </c>
      <c r="C290" s="169" t="s">
        <v>1062</v>
      </c>
    </row>
    <row r="291" spans="1:3">
      <c r="A291" s="169" t="s">
        <v>1038</v>
      </c>
      <c r="B291" s="169" t="s">
        <v>1058</v>
      </c>
      <c r="C291" s="169" t="s">
        <v>1063</v>
      </c>
    </row>
    <row r="292" spans="1:3">
      <c r="A292" s="169" t="s">
        <v>1038</v>
      </c>
      <c r="B292" s="169" t="s">
        <v>1058</v>
      </c>
      <c r="C292" s="169" t="s">
        <v>1063</v>
      </c>
    </row>
    <row r="293" spans="1:3">
      <c r="A293" s="169" t="s">
        <v>1038</v>
      </c>
      <c r="B293" s="169" t="s">
        <v>1058</v>
      </c>
      <c r="C293" s="169" t="s">
        <v>1063</v>
      </c>
    </row>
    <row r="294" spans="1:3">
      <c r="A294" s="169" t="s">
        <v>1038</v>
      </c>
      <c r="B294" s="169" t="s">
        <v>1058</v>
      </c>
      <c r="C294" s="169" t="s">
        <v>1063</v>
      </c>
    </row>
    <row r="295" spans="1:3">
      <c r="A295" s="169" t="s">
        <v>1038</v>
      </c>
      <c r="B295" s="169" t="s">
        <v>1058</v>
      </c>
      <c r="C295" s="169" t="s">
        <v>1064</v>
      </c>
    </row>
    <row r="296" spans="1:3">
      <c r="A296" s="169" t="s">
        <v>1038</v>
      </c>
      <c r="B296" s="169" t="s">
        <v>1058</v>
      </c>
      <c r="C296" s="169" t="s">
        <v>1064</v>
      </c>
    </row>
    <row r="297" spans="1:3">
      <c r="A297" s="169" t="s">
        <v>1038</v>
      </c>
      <c r="B297" s="169" t="s">
        <v>1058</v>
      </c>
      <c r="C297" s="169" t="s">
        <v>1064</v>
      </c>
    </row>
    <row r="298" spans="1:3">
      <c r="A298" s="169" t="s">
        <v>1038</v>
      </c>
      <c r="B298" s="169" t="s">
        <v>1058</v>
      </c>
      <c r="C298" s="169" t="s">
        <v>1064</v>
      </c>
    </row>
    <row r="299" spans="1:3">
      <c r="A299" s="169" t="s">
        <v>1038</v>
      </c>
      <c r="B299" s="169" t="s">
        <v>1058</v>
      </c>
      <c r="C299" s="169" t="s">
        <v>1064</v>
      </c>
    </row>
    <row r="300" spans="1:3">
      <c r="A300" s="169" t="s">
        <v>1038</v>
      </c>
      <c r="B300" s="169" t="s">
        <v>1058</v>
      </c>
      <c r="C300" s="169" t="s">
        <v>1064</v>
      </c>
    </row>
    <row r="301" spans="1:3">
      <c r="A301" s="169" t="s">
        <v>1038</v>
      </c>
      <c r="B301" s="169" t="s">
        <v>1065</v>
      </c>
      <c r="C301" s="169" t="s">
        <v>1066</v>
      </c>
    </row>
    <row r="302" spans="1:3">
      <c r="A302" s="169" t="s">
        <v>1038</v>
      </c>
      <c r="B302" s="169" t="s">
        <v>1065</v>
      </c>
      <c r="C302" s="169" t="s">
        <v>1066</v>
      </c>
    </row>
    <row r="303" spans="1:3">
      <c r="A303" s="169" t="s">
        <v>1038</v>
      </c>
      <c r="B303" s="169" t="s">
        <v>1065</v>
      </c>
      <c r="C303" s="169" t="s">
        <v>1066</v>
      </c>
    </row>
    <row r="304" spans="1:3">
      <c r="A304" s="169" t="s">
        <v>1038</v>
      </c>
      <c r="B304" s="169" t="s">
        <v>1065</v>
      </c>
      <c r="C304" s="169" t="s">
        <v>1066</v>
      </c>
    </row>
    <row r="305" spans="1:3">
      <c r="A305" s="169" t="s">
        <v>1038</v>
      </c>
      <c r="B305" s="169" t="s">
        <v>1065</v>
      </c>
      <c r="C305" s="169" t="s">
        <v>1066</v>
      </c>
    </row>
    <row r="306" spans="1:3">
      <c r="A306" s="169" t="s">
        <v>1038</v>
      </c>
      <c r="B306" s="169" t="s">
        <v>1065</v>
      </c>
      <c r="C306" s="169" t="s">
        <v>1066</v>
      </c>
    </row>
    <row r="307" spans="1:3">
      <c r="A307" s="169" t="s">
        <v>1038</v>
      </c>
      <c r="B307" s="169" t="s">
        <v>1065</v>
      </c>
      <c r="C307" s="169" t="s">
        <v>1066</v>
      </c>
    </row>
    <row r="308" spans="1:3">
      <c r="A308" s="169" t="s">
        <v>1038</v>
      </c>
      <c r="B308" s="169" t="s">
        <v>1065</v>
      </c>
      <c r="C308" s="169" t="s">
        <v>1066</v>
      </c>
    </row>
    <row r="309" spans="1:3">
      <c r="A309" s="169" t="s">
        <v>1038</v>
      </c>
      <c r="B309" s="169" t="s">
        <v>1065</v>
      </c>
      <c r="C309" s="169" t="s">
        <v>1066</v>
      </c>
    </row>
    <row r="310" spans="1:3">
      <c r="A310" s="169" t="s">
        <v>1038</v>
      </c>
      <c r="B310" s="169" t="s">
        <v>1065</v>
      </c>
      <c r="C310" s="169" t="s">
        <v>1066</v>
      </c>
    </row>
    <row r="311" spans="1:3">
      <c r="A311" s="169" t="s">
        <v>1038</v>
      </c>
      <c r="B311" s="169" t="s">
        <v>1065</v>
      </c>
      <c r="C311" s="169" t="s">
        <v>1066</v>
      </c>
    </row>
    <row r="312" spans="1:3">
      <c r="A312" s="169" t="s">
        <v>1038</v>
      </c>
      <c r="B312" s="169" t="s">
        <v>1065</v>
      </c>
      <c r="C312" s="169" t="s">
        <v>1066</v>
      </c>
    </row>
    <row r="313" spans="1:3">
      <c r="A313" s="169" t="s">
        <v>1038</v>
      </c>
      <c r="B313" s="169" t="s">
        <v>1065</v>
      </c>
      <c r="C313" s="169" t="s">
        <v>1066</v>
      </c>
    </row>
    <row r="314" spans="1:3">
      <c r="A314" s="169" t="s">
        <v>1038</v>
      </c>
      <c r="B314" s="169" t="s">
        <v>1065</v>
      </c>
      <c r="C314" s="169" t="s">
        <v>1066</v>
      </c>
    </row>
    <row r="315" spans="1:3">
      <c r="A315" s="169" t="s">
        <v>1038</v>
      </c>
      <c r="B315" s="169" t="s">
        <v>1065</v>
      </c>
      <c r="C315" s="169" t="s">
        <v>1066</v>
      </c>
    </row>
    <row r="316" spans="1:3">
      <c r="A316" s="169" t="s">
        <v>1038</v>
      </c>
      <c r="B316" s="169" t="s">
        <v>1065</v>
      </c>
      <c r="C316" s="169" t="s">
        <v>1066</v>
      </c>
    </row>
    <row r="317" spans="1:3">
      <c r="A317" s="169" t="s">
        <v>1038</v>
      </c>
      <c r="B317" s="169" t="s">
        <v>1065</v>
      </c>
      <c r="C317" s="169" t="s">
        <v>1066</v>
      </c>
    </row>
    <row r="318" spans="1:3">
      <c r="A318" s="169" t="s">
        <v>1038</v>
      </c>
      <c r="B318" s="169" t="s">
        <v>1065</v>
      </c>
      <c r="C318" s="169" t="s">
        <v>1066</v>
      </c>
    </row>
    <row r="319" spans="1:3">
      <c r="A319" s="169" t="s">
        <v>1038</v>
      </c>
      <c r="B319" s="169" t="s">
        <v>1065</v>
      </c>
      <c r="C319" s="169" t="s">
        <v>1066</v>
      </c>
    </row>
    <row r="320" spans="1:3">
      <c r="A320" s="169" t="s">
        <v>1038</v>
      </c>
      <c r="B320" s="169" t="s">
        <v>1065</v>
      </c>
      <c r="C320" s="169" t="s">
        <v>1066</v>
      </c>
    </row>
    <row r="321" spans="1:3">
      <c r="A321" s="169" t="s">
        <v>1038</v>
      </c>
      <c r="B321" s="169" t="s">
        <v>1065</v>
      </c>
      <c r="C321" s="169" t="s">
        <v>1066</v>
      </c>
    </row>
    <row r="322" spans="1:3">
      <c r="A322" s="169" t="s">
        <v>1038</v>
      </c>
      <c r="B322" s="169" t="s">
        <v>1065</v>
      </c>
      <c r="C322" s="169" t="s">
        <v>1067</v>
      </c>
    </row>
    <row r="323" spans="1:3">
      <c r="A323" s="169" t="s">
        <v>1038</v>
      </c>
      <c r="B323" s="169" t="s">
        <v>1065</v>
      </c>
      <c r="C323" s="169" t="s">
        <v>1068</v>
      </c>
    </row>
    <row r="324" spans="1:3">
      <c r="A324" s="169" t="s">
        <v>1038</v>
      </c>
      <c r="B324" s="169" t="s">
        <v>1065</v>
      </c>
      <c r="C324" s="169" t="s">
        <v>1068</v>
      </c>
    </row>
    <row r="325" spans="1:3">
      <c r="A325" s="169" t="s">
        <v>1038</v>
      </c>
      <c r="B325" s="169" t="s">
        <v>1065</v>
      </c>
      <c r="C325" s="169" t="s">
        <v>1068</v>
      </c>
    </row>
    <row r="326" spans="1:3">
      <c r="A326" s="169" t="s">
        <v>1038</v>
      </c>
      <c r="B326" s="169" t="s">
        <v>1065</v>
      </c>
      <c r="C326" s="169" t="s">
        <v>1068</v>
      </c>
    </row>
    <row r="327" spans="1:3">
      <c r="A327" s="169" t="s">
        <v>1038</v>
      </c>
      <c r="B327" s="169" t="s">
        <v>1065</v>
      </c>
      <c r="C327" s="169" t="s">
        <v>1068</v>
      </c>
    </row>
    <row r="328" spans="1:3">
      <c r="A328" s="169" t="s">
        <v>1038</v>
      </c>
      <c r="B328" s="169" t="s">
        <v>1065</v>
      </c>
      <c r="C328" s="169" t="s">
        <v>1068</v>
      </c>
    </row>
    <row r="329" spans="1:3">
      <c r="A329" s="169" t="s">
        <v>1038</v>
      </c>
      <c r="B329" s="169" t="s">
        <v>1065</v>
      </c>
      <c r="C329" s="169" t="s">
        <v>1068</v>
      </c>
    </row>
    <row r="330" spans="1:3">
      <c r="A330" s="169" t="s">
        <v>1038</v>
      </c>
      <c r="B330" s="169" t="s">
        <v>1065</v>
      </c>
      <c r="C330" s="169" t="s">
        <v>1068</v>
      </c>
    </row>
    <row r="331" spans="1:3">
      <c r="A331" s="169" t="s">
        <v>1038</v>
      </c>
      <c r="B331" s="169" t="s">
        <v>1065</v>
      </c>
      <c r="C331" s="169" t="s">
        <v>1068</v>
      </c>
    </row>
    <row r="332" spans="1:3">
      <c r="A332" s="169" t="s">
        <v>1038</v>
      </c>
      <c r="B332" s="169" t="s">
        <v>1065</v>
      </c>
      <c r="C332" s="169" t="s">
        <v>1068</v>
      </c>
    </row>
    <row r="333" spans="1:3">
      <c r="A333" s="169" t="s">
        <v>1038</v>
      </c>
      <c r="B333" s="169" t="s">
        <v>1065</v>
      </c>
      <c r="C333" s="169" t="s">
        <v>1068</v>
      </c>
    </row>
    <row r="334" spans="1:3">
      <c r="A334" s="169" t="s">
        <v>1038</v>
      </c>
      <c r="B334" s="169" t="s">
        <v>1065</v>
      </c>
      <c r="C334" s="169" t="s">
        <v>1068</v>
      </c>
    </row>
    <row r="335" spans="1:3">
      <c r="A335" s="169" t="s">
        <v>1038</v>
      </c>
      <c r="B335" s="169" t="s">
        <v>1065</v>
      </c>
      <c r="C335" s="169" t="s">
        <v>1068</v>
      </c>
    </row>
    <row r="336" spans="1:3">
      <c r="A336" s="169" t="s">
        <v>1038</v>
      </c>
      <c r="B336" s="169" t="s">
        <v>1065</v>
      </c>
      <c r="C336" s="169" t="s">
        <v>1068</v>
      </c>
    </row>
    <row r="337" spans="1:3">
      <c r="A337" s="169" t="s">
        <v>1038</v>
      </c>
      <c r="B337" s="169" t="s">
        <v>1065</v>
      </c>
      <c r="C337" s="169" t="s">
        <v>1068</v>
      </c>
    </row>
    <row r="338" spans="1:3">
      <c r="A338" s="169" t="s">
        <v>1038</v>
      </c>
      <c r="B338" s="169" t="s">
        <v>1065</v>
      </c>
      <c r="C338" s="169" t="s">
        <v>1068</v>
      </c>
    </row>
    <row r="339" spans="1:3">
      <c r="A339" s="169" t="s">
        <v>1038</v>
      </c>
      <c r="B339" s="169" t="s">
        <v>1065</v>
      </c>
      <c r="C339" s="169" t="s">
        <v>1069</v>
      </c>
    </row>
    <row r="340" spans="1:3">
      <c r="A340" s="169" t="s">
        <v>1038</v>
      </c>
      <c r="B340" s="169" t="s">
        <v>1065</v>
      </c>
      <c r="C340" s="169" t="s">
        <v>1070</v>
      </c>
    </row>
    <row r="341" spans="1:3">
      <c r="A341" s="169" t="s">
        <v>1038</v>
      </c>
      <c r="B341" s="169" t="s">
        <v>1071</v>
      </c>
      <c r="C341" s="169" t="s">
        <v>1072</v>
      </c>
    </row>
    <row r="342" spans="1:3">
      <c r="A342" s="169" t="s">
        <v>1038</v>
      </c>
      <c r="B342" s="169" t="s">
        <v>1071</v>
      </c>
      <c r="C342" s="169" t="s">
        <v>1072</v>
      </c>
    </row>
    <row r="343" spans="1:3">
      <c r="A343" s="169" t="s">
        <v>1038</v>
      </c>
      <c r="B343" s="169" t="s">
        <v>1071</v>
      </c>
      <c r="C343" s="169" t="s">
        <v>1072</v>
      </c>
    </row>
    <row r="344" spans="1:3">
      <c r="A344" s="169" t="s">
        <v>1038</v>
      </c>
      <c r="B344" s="169" t="s">
        <v>1071</v>
      </c>
      <c r="C344" s="169" t="s">
        <v>1072</v>
      </c>
    </row>
    <row r="345" spans="1:3">
      <c r="A345" s="169" t="s">
        <v>1038</v>
      </c>
      <c r="B345" s="169" t="s">
        <v>1071</v>
      </c>
      <c r="C345" s="169" t="s">
        <v>1072</v>
      </c>
    </row>
    <row r="346" spans="1:3">
      <c r="A346" s="169" t="s">
        <v>1038</v>
      </c>
      <c r="B346" s="169" t="s">
        <v>1071</v>
      </c>
      <c r="C346" s="169" t="s">
        <v>1072</v>
      </c>
    </row>
    <row r="347" spans="1:3">
      <c r="A347" s="169" t="s">
        <v>1038</v>
      </c>
      <c r="B347" s="169" t="s">
        <v>1071</v>
      </c>
      <c r="C347" s="169" t="s">
        <v>1072</v>
      </c>
    </row>
    <row r="348" spans="1:3">
      <c r="A348" s="169" t="s">
        <v>1038</v>
      </c>
      <c r="B348" s="169" t="s">
        <v>1071</v>
      </c>
      <c r="C348" s="169" t="s">
        <v>1072</v>
      </c>
    </row>
    <row r="349" spans="1:3">
      <c r="A349" s="169" t="s">
        <v>1038</v>
      </c>
      <c r="B349" s="169" t="s">
        <v>1071</v>
      </c>
      <c r="C349" s="169" t="s">
        <v>1072</v>
      </c>
    </row>
    <row r="350" spans="1:3">
      <c r="A350" s="169" t="s">
        <v>1038</v>
      </c>
      <c r="B350" s="169" t="s">
        <v>1071</v>
      </c>
      <c r="C350" s="169" t="s">
        <v>1072</v>
      </c>
    </row>
    <row r="351" spans="1:3">
      <c r="A351" s="169" t="s">
        <v>1038</v>
      </c>
      <c r="B351" s="169" t="s">
        <v>1071</v>
      </c>
      <c r="C351" s="169" t="s">
        <v>1072</v>
      </c>
    </row>
    <row r="352" spans="1:3">
      <c r="A352" s="169" t="s">
        <v>1038</v>
      </c>
      <c r="B352" s="169" t="s">
        <v>1071</v>
      </c>
      <c r="C352" s="169" t="s">
        <v>1073</v>
      </c>
    </row>
    <row r="353" spans="1:3">
      <c r="A353" s="169" t="s">
        <v>1038</v>
      </c>
      <c r="B353" s="169" t="s">
        <v>1071</v>
      </c>
      <c r="C353" s="169" t="s">
        <v>1073</v>
      </c>
    </row>
    <row r="354" spans="1:3">
      <c r="A354" s="169" t="s">
        <v>1038</v>
      </c>
      <c r="B354" s="169" t="s">
        <v>1071</v>
      </c>
      <c r="C354" s="169" t="s">
        <v>1073</v>
      </c>
    </row>
    <row r="355" spans="1:3">
      <c r="A355" s="169" t="s">
        <v>1038</v>
      </c>
      <c r="B355" s="169" t="s">
        <v>1071</v>
      </c>
      <c r="C355" s="169" t="s">
        <v>1073</v>
      </c>
    </row>
    <row r="356" spans="1:3">
      <c r="A356" s="169" t="s">
        <v>1038</v>
      </c>
      <c r="B356" s="169" t="s">
        <v>1071</v>
      </c>
      <c r="C356" s="169" t="s">
        <v>1073</v>
      </c>
    </row>
    <row r="357" spans="1:3">
      <c r="A357" s="169" t="s">
        <v>1038</v>
      </c>
      <c r="B357" s="169" t="s">
        <v>1071</v>
      </c>
      <c r="C357" s="169" t="s">
        <v>1073</v>
      </c>
    </row>
    <row r="358" spans="1:3">
      <c r="A358" s="169" t="s">
        <v>1038</v>
      </c>
      <c r="B358" s="169" t="s">
        <v>1071</v>
      </c>
      <c r="C358" s="169" t="s">
        <v>1073</v>
      </c>
    </row>
    <row r="359" spans="1:3">
      <c r="A359" s="169" t="s">
        <v>1038</v>
      </c>
      <c r="B359" s="169" t="s">
        <v>1071</v>
      </c>
      <c r="C359" s="169" t="s">
        <v>1073</v>
      </c>
    </row>
    <row r="360" spans="1:3">
      <c r="A360" s="169" t="s">
        <v>1038</v>
      </c>
      <c r="B360" s="169" t="s">
        <v>1071</v>
      </c>
      <c r="C360" s="169" t="s">
        <v>1073</v>
      </c>
    </row>
    <row r="361" spans="1:3">
      <c r="A361" s="169" t="s">
        <v>1038</v>
      </c>
      <c r="B361" s="169" t="s">
        <v>1071</v>
      </c>
      <c r="C361" s="169" t="s">
        <v>1073</v>
      </c>
    </row>
    <row r="362" spans="1:3">
      <c r="A362" s="169" t="s">
        <v>1038</v>
      </c>
      <c r="B362" s="169" t="s">
        <v>1071</v>
      </c>
      <c r="C362" s="169" t="s">
        <v>1073</v>
      </c>
    </row>
    <row r="363" spans="1:3">
      <c r="A363" s="169" t="s">
        <v>1038</v>
      </c>
      <c r="B363" s="169" t="s">
        <v>1071</v>
      </c>
      <c r="C363" s="169" t="s">
        <v>1073</v>
      </c>
    </row>
    <row r="364" spans="1:3">
      <c r="A364" s="169" t="s">
        <v>1038</v>
      </c>
      <c r="B364" s="169" t="s">
        <v>1074</v>
      </c>
      <c r="C364" s="169" t="s">
        <v>1074</v>
      </c>
    </row>
    <row r="365" spans="1:3">
      <c r="A365" s="169" t="s">
        <v>1038</v>
      </c>
      <c r="B365" s="169" t="s">
        <v>1074</v>
      </c>
      <c r="C365" s="169" t="s">
        <v>1074</v>
      </c>
    </row>
    <row r="366" spans="1:3">
      <c r="A366" s="169" t="s">
        <v>1038</v>
      </c>
      <c r="B366" s="169" t="s">
        <v>1074</v>
      </c>
      <c r="C366" s="169" t="s">
        <v>1074</v>
      </c>
    </row>
    <row r="367" spans="1:3">
      <c r="A367" s="169" t="s">
        <v>1038</v>
      </c>
      <c r="B367" s="169" t="s">
        <v>1074</v>
      </c>
      <c r="C367" s="169" t="s">
        <v>1074</v>
      </c>
    </row>
    <row r="368" spans="1:3">
      <c r="A368" s="169" t="s">
        <v>1038</v>
      </c>
      <c r="B368" s="169" t="s">
        <v>1075</v>
      </c>
      <c r="C368" s="169" t="s">
        <v>1075</v>
      </c>
    </row>
    <row r="369" spans="1:3">
      <c r="A369" s="169" t="s">
        <v>1038</v>
      </c>
      <c r="B369" s="169" t="s">
        <v>1075</v>
      </c>
      <c r="C369" s="169" t="s">
        <v>1075</v>
      </c>
    </row>
    <row r="370" spans="1:3">
      <c r="A370" s="169" t="s">
        <v>1038</v>
      </c>
      <c r="B370" s="169" t="s">
        <v>1075</v>
      </c>
      <c r="C370" s="169" t="s">
        <v>1075</v>
      </c>
    </row>
    <row r="371" spans="1:3">
      <c r="A371" s="169" t="s">
        <v>1038</v>
      </c>
      <c r="B371" s="169" t="s">
        <v>1075</v>
      </c>
      <c r="C371" s="169" t="s">
        <v>1076</v>
      </c>
    </row>
    <row r="372" spans="1:3">
      <c r="A372" s="169" t="s">
        <v>1038</v>
      </c>
      <c r="B372" s="169" t="s">
        <v>1075</v>
      </c>
      <c r="C372" s="169" t="s">
        <v>1076</v>
      </c>
    </row>
    <row r="373" spans="1:3">
      <c r="A373" s="169" t="s">
        <v>1038</v>
      </c>
      <c r="B373" s="169" t="s">
        <v>1075</v>
      </c>
      <c r="C373" s="169" t="s">
        <v>1076</v>
      </c>
    </row>
    <row r="374" spans="1:3">
      <c r="A374" s="169" t="s">
        <v>1038</v>
      </c>
      <c r="B374" s="169" t="s">
        <v>1075</v>
      </c>
      <c r="C374" s="169" t="s">
        <v>1076</v>
      </c>
    </row>
    <row r="375" spans="1:3">
      <c r="A375" s="169" t="s">
        <v>1038</v>
      </c>
      <c r="B375" s="169" t="s">
        <v>1077</v>
      </c>
      <c r="C375" s="169" t="s">
        <v>1077</v>
      </c>
    </row>
    <row r="376" spans="1:3">
      <c r="A376" s="169" t="s">
        <v>1038</v>
      </c>
      <c r="B376" s="169" t="s">
        <v>1077</v>
      </c>
      <c r="C376" s="169" t="s">
        <v>1077</v>
      </c>
    </row>
    <row r="377" spans="1:3">
      <c r="A377" s="169" t="s">
        <v>1038</v>
      </c>
      <c r="B377" s="169" t="s">
        <v>1077</v>
      </c>
      <c r="C377" s="169" t="s">
        <v>1077</v>
      </c>
    </row>
    <row r="378" spans="1:3">
      <c r="A378" s="169" t="s">
        <v>1038</v>
      </c>
      <c r="B378" s="169" t="s">
        <v>1077</v>
      </c>
      <c r="C378" s="169" t="s">
        <v>1077</v>
      </c>
    </row>
    <row r="379" spans="1:3">
      <c r="A379" s="169" t="s">
        <v>1038</v>
      </c>
      <c r="B379" s="169" t="s">
        <v>1077</v>
      </c>
      <c r="C379" s="169" t="s">
        <v>1077</v>
      </c>
    </row>
    <row r="380" spans="1:3">
      <c r="A380" s="169" t="s">
        <v>1038</v>
      </c>
      <c r="B380" s="169" t="s">
        <v>1077</v>
      </c>
      <c r="C380" s="169" t="s">
        <v>1077</v>
      </c>
    </row>
    <row r="381" spans="1:3">
      <c r="A381" s="169" t="s">
        <v>1038</v>
      </c>
      <c r="B381" s="169" t="s">
        <v>1077</v>
      </c>
      <c r="C381" s="169" t="s">
        <v>1077</v>
      </c>
    </row>
    <row r="382" spans="1:3">
      <c r="A382" s="169" t="s">
        <v>1038</v>
      </c>
      <c r="B382" s="169" t="s">
        <v>1077</v>
      </c>
      <c r="C382" s="169" t="s">
        <v>1077</v>
      </c>
    </row>
    <row r="383" spans="1:3">
      <c r="A383" s="169" t="s">
        <v>1038</v>
      </c>
      <c r="B383" s="169" t="s">
        <v>1077</v>
      </c>
      <c r="C383" s="169" t="s">
        <v>1077</v>
      </c>
    </row>
    <row r="384" spans="1:3">
      <c r="A384" s="169" t="s">
        <v>1038</v>
      </c>
      <c r="B384" s="169" t="s">
        <v>1077</v>
      </c>
      <c r="C384" s="169" t="s">
        <v>1077</v>
      </c>
    </row>
    <row r="385" spans="1:3">
      <c r="A385" s="169" t="s">
        <v>1038</v>
      </c>
      <c r="B385" s="169" t="s">
        <v>1077</v>
      </c>
      <c r="C385" s="169" t="s">
        <v>1077</v>
      </c>
    </row>
    <row r="386" spans="1:3">
      <c r="A386" s="169" t="s">
        <v>1038</v>
      </c>
      <c r="B386" s="169" t="s">
        <v>1077</v>
      </c>
      <c r="C386" s="169" t="s">
        <v>1077</v>
      </c>
    </row>
    <row r="387" spans="1:3">
      <c r="A387" s="169" t="s">
        <v>1038</v>
      </c>
      <c r="B387" s="169" t="s">
        <v>1078</v>
      </c>
      <c r="C387" s="169" t="s">
        <v>1079</v>
      </c>
    </row>
    <row r="388" spans="1:3">
      <c r="A388" s="169" t="s">
        <v>1038</v>
      </c>
      <c r="B388" s="169" t="s">
        <v>1078</v>
      </c>
      <c r="C388" s="169" t="s">
        <v>1079</v>
      </c>
    </row>
    <row r="389" spans="1:3">
      <c r="A389" s="169" t="s">
        <v>1038</v>
      </c>
      <c r="B389" s="169" t="s">
        <v>1078</v>
      </c>
      <c r="C389" s="169" t="s">
        <v>1079</v>
      </c>
    </row>
    <row r="390" spans="1:3">
      <c r="A390" s="169" t="s">
        <v>1038</v>
      </c>
      <c r="B390" s="169" t="s">
        <v>1078</v>
      </c>
      <c r="C390" s="169" t="s">
        <v>1079</v>
      </c>
    </row>
    <row r="391" spans="1:3">
      <c r="A391" s="169" t="s">
        <v>1038</v>
      </c>
      <c r="B391" s="169" t="s">
        <v>1078</v>
      </c>
      <c r="C391" s="169" t="s">
        <v>1079</v>
      </c>
    </row>
    <row r="392" spans="1:3">
      <c r="A392" s="169" t="s">
        <v>1038</v>
      </c>
      <c r="B392" s="169" t="s">
        <v>1078</v>
      </c>
      <c r="C392" s="169" t="s">
        <v>1079</v>
      </c>
    </row>
    <row r="393" spans="1:3">
      <c r="A393" s="169" t="s">
        <v>1038</v>
      </c>
      <c r="B393" s="169" t="s">
        <v>1078</v>
      </c>
      <c r="C393" s="169" t="s">
        <v>1079</v>
      </c>
    </row>
    <row r="394" spans="1:3">
      <c r="A394" s="169" t="s">
        <v>1038</v>
      </c>
      <c r="B394" s="169" t="s">
        <v>1078</v>
      </c>
      <c r="C394" s="169" t="s">
        <v>1079</v>
      </c>
    </row>
    <row r="395" spans="1:3">
      <c r="A395" s="169" t="s">
        <v>1038</v>
      </c>
      <c r="B395" s="169" t="s">
        <v>1078</v>
      </c>
      <c r="C395" s="169" t="s">
        <v>1079</v>
      </c>
    </row>
    <row r="396" spans="1:3">
      <c r="A396" s="169" t="s">
        <v>1038</v>
      </c>
      <c r="B396" s="169" t="s">
        <v>1078</v>
      </c>
      <c r="C396" s="169" t="s">
        <v>1079</v>
      </c>
    </row>
    <row r="397" spans="1:3">
      <c r="A397" s="169" t="s">
        <v>1038</v>
      </c>
      <c r="B397" s="169" t="s">
        <v>1078</v>
      </c>
      <c r="C397" s="169" t="s">
        <v>1079</v>
      </c>
    </row>
    <row r="398" spans="1:3">
      <c r="A398" s="169" t="s">
        <v>1038</v>
      </c>
      <c r="B398" s="169" t="s">
        <v>1078</v>
      </c>
      <c r="C398" s="169" t="s">
        <v>1079</v>
      </c>
    </row>
    <row r="399" spans="1:3">
      <c r="A399" s="169" t="s">
        <v>1038</v>
      </c>
      <c r="B399" s="169" t="s">
        <v>1078</v>
      </c>
      <c r="C399" s="169" t="s">
        <v>1079</v>
      </c>
    </row>
    <row r="400" spans="1:3">
      <c r="A400" s="169" t="s">
        <v>1038</v>
      </c>
      <c r="B400" s="169" t="s">
        <v>1078</v>
      </c>
      <c r="C400" s="169" t="s">
        <v>1079</v>
      </c>
    </row>
    <row r="401" spans="1:3">
      <c r="A401" s="169" t="s">
        <v>1038</v>
      </c>
      <c r="B401" s="169" t="s">
        <v>1078</v>
      </c>
      <c r="C401" s="169" t="s">
        <v>1079</v>
      </c>
    </row>
    <row r="402" spans="1:3">
      <c r="A402" s="169" t="s">
        <v>1038</v>
      </c>
      <c r="B402" s="169" t="s">
        <v>1078</v>
      </c>
      <c r="C402" s="169" t="s">
        <v>1079</v>
      </c>
    </row>
    <row r="403" spans="1:3">
      <c r="A403" s="169" t="s">
        <v>1038</v>
      </c>
      <c r="B403" s="169" t="s">
        <v>1078</v>
      </c>
      <c r="C403" s="169" t="s">
        <v>1079</v>
      </c>
    </row>
    <row r="404" spans="1:3">
      <c r="A404" s="169" t="s">
        <v>1038</v>
      </c>
      <c r="B404" s="169" t="s">
        <v>1078</v>
      </c>
      <c r="C404" s="169" t="s">
        <v>1079</v>
      </c>
    </row>
    <row r="405" spans="1:3">
      <c r="A405" s="169" t="s">
        <v>1038</v>
      </c>
      <c r="B405" s="169" t="s">
        <v>1078</v>
      </c>
      <c r="C405" s="169" t="s">
        <v>1079</v>
      </c>
    </row>
    <row r="406" spans="1:3">
      <c r="A406" s="169" t="s">
        <v>1038</v>
      </c>
      <c r="B406" s="169" t="s">
        <v>1078</v>
      </c>
      <c r="C406" s="169" t="s">
        <v>1081</v>
      </c>
    </row>
    <row r="407" spans="1:3">
      <c r="A407" s="169" t="s">
        <v>1038</v>
      </c>
      <c r="B407" s="169" t="s">
        <v>1078</v>
      </c>
      <c r="C407" s="169" t="s">
        <v>1081</v>
      </c>
    </row>
    <row r="408" spans="1:3">
      <c r="A408" s="169" t="s">
        <v>1038</v>
      </c>
      <c r="B408" s="169" t="s">
        <v>1082</v>
      </c>
      <c r="C408" s="169" t="s">
        <v>1083</v>
      </c>
    </row>
    <row r="409" spans="1:3">
      <c r="A409" s="169" t="s">
        <v>1038</v>
      </c>
      <c r="B409" s="169" t="s">
        <v>1082</v>
      </c>
      <c r="C409" s="169" t="s">
        <v>1083</v>
      </c>
    </row>
    <row r="410" spans="1:3">
      <c r="A410" s="169" t="s">
        <v>1038</v>
      </c>
      <c r="B410" s="169" t="s">
        <v>1082</v>
      </c>
      <c r="C410" s="169" t="s">
        <v>1083</v>
      </c>
    </row>
    <row r="411" spans="1:3">
      <c r="A411" s="169" t="s">
        <v>1038</v>
      </c>
      <c r="B411" s="169" t="s">
        <v>1082</v>
      </c>
      <c r="C411" s="169" t="s">
        <v>1083</v>
      </c>
    </row>
    <row r="412" spans="1:3">
      <c r="A412" s="169" t="s">
        <v>1038</v>
      </c>
      <c r="B412" s="169" t="s">
        <v>1082</v>
      </c>
      <c r="C412" s="169" t="s">
        <v>1083</v>
      </c>
    </row>
    <row r="413" spans="1:3">
      <c r="A413" s="169" t="s">
        <v>1038</v>
      </c>
      <c r="B413" s="169" t="s">
        <v>1082</v>
      </c>
      <c r="C413" s="169" t="s">
        <v>1083</v>
      </c>
    </row>
    <row r="414" spans="1:3">
      <c r="A414" s="169" t="s">
        <v>1038</v>
      </c>
      <c r="B414" s="169" t="s">
        <v>1082</v>
      </c>
      <c r="C414" s="169" t="s">
        <v>1083</v>
      </c>
    </row>
    <row r="415" spans="1:3">
      <c r="A415" s="169" t="s">
        <v>1038</v>
      </c>
      <c r="B415" s="169" t="s">
        <v>1082</v>
      </c>
      <c r="C415" s="169" t="s">
        <v>1083</v>
      </c>
    </row>
    <row r="416" spans="1:3">
      <c r="A416" s="169" t="s">
        <v>1038</v>
      </c>
      <c r="B416" s="169" t="s">
        <v>1082</v>
      </c>
      <c r="C416" s="169" t="s">
        <v>1083</v>
      </c>
    </row>
    <row r="417" spans="1:3">
      <c r="A417" s="169" t="s">
        <v>1038</v>
      </c>
      <c r="B417" s="169" t="s">
        <v>1082</v>
      </c>
      <c r="C417" s="169" t="s">
        <v>1083</v>
      </c>
    </row>
    <row r="418" spans="1:3">
      <c r="A418" s="169" t="s">
        <v>1038</v>
      </c>
      <c r="B418" s="169" t="s">
        <v>1082</v>
      </c>
      <c r="C418" s="169" t="s">
        <v>1083</v>
      </c>
    </row>
    <row r="419" spans="1:3">
      <c r="A419" s="169" t="s">
        <v>1038</v>
      </c>
      <c r="B419" s="169" t="s">
        <v>1082</v>
      </c>
      <c r="C419" s="169" t="s">
        <v>1083</v>
      </c>
    </row>
    <row r="420" spans="1:3">
      <c r="A420" s="169" t="s">
        <v>1038</v>
      </c>
      <c r="B420" s="169" t="s">
        <v>1082</v>
      </c>
      <c r="C420" s="169" t="s">
        <v>1083</v>
      </c>
    </row>
    <row r="421" spans="1:3">
      <c r="A421" s="169" t="s">
        <v>1038</v>
      </c>
      <c r="B421" s="169" t="s">
        <v>1082</v>
      </c>
      <c r="C421" s="169" t="s">
        <v>1083</v>
      </c>
    </row>
    <row r="422" spans="1:3">
      <c r="A422" s="169" t="s">
        <v>1038</v>
      </c>
      <c r="B422" s="169" t="s">
        <v>1082</v>
      </c>
      <c r="C422" s="169" t="s">
        <v>1083</v>
      </c>
    </row>
    <row r="423" spans="1:3">
      <c r="A423" s="169" t="s">
        <v>1038</v>
      </c>
      <c r="B423" s="169" t="s">
        <v>1082</v>
      </c>
      <c r="C423" s="169" t="s">
        <v>1083</v>
      </c>
    </row>
    <row r="424" spans="1:3">
      <c r="A424" s="169" t="s">
        <v>1038</v>
      </c>
      <c r="B424" s="169" t="s">
        <v>1082</v>
      </c>
      <c r="C424" s="169" t="s">
        <v>1083</v>
      </c>
    </row>
    <row r="425" spans="1:3">
      <c r="A425" s="169" t="s">
        <v>1038</v>
      </c>
      <c r="B425" s="169" t="s">
        <v>1082</v>
      </c>
      <c r="C425" s="169" t="s">
        <v>1083</v>
      </c>
    </row>
    <row r="426" spans="1:3">
      <c r="A426" s="169" t="s">
        <v>1038</v>
      </c>
      <c r="B426" s="169" t="s">
        <v>1082</v>
      </c>
      <c r="C426" s="169" t="s">
        <v>1083</v>
      </c>
    </row>
    <row r="427" spans="1:3">
      <c r="A427" s="169" t="s">
        <v>1038</v>
      </c>
      <c r="B427" s="169" t="s">
        <v>1082</v>
      </c>
      <c r="C427" s="169" t="s">
        <v>1083</v>
      </c>
    </row>
    <row r="428" spans="1:3">
      <c r="A428" s="169" t="s">
        <v>1038</v>
      </c>
      <c r="B428" s="169" t="s">
        <v>1082</v>
      </c>
      <c r="C428" s="169" t="s">
        <v>1083</v>
      </c>
    </row>
    <row r="429" spans="1:3">
      <c r="A429" s="169" t="s">
        <v>1038</v>
      </c>
      <c r="B429" s="169" t="s">
        <v>1082</v>
      </c>
      <c r="C429" s="169" t="s">
        <v>1083</v>
      </c>
    </row>
    <row r="430" spans="1:3">
      <c r="A430" s="169" t="s">
        <v>1038</v>
      </c>
      <c r="B430" s="169" t="s">
        <v>1082</v>
      </c>
      <c r="C430" s="169" t="s">
        <v>1083</v>
      </c>
    </row>
    <row r="431" spans="1:3">
      <c r="A431" s="169" t="s">
        <v>1038</v>
      </c>
      <c r="B431" s="169" t="s">
        <v>1082</v>
      </c>
      <c r="C431" s="169" t="s">
        <v>1083</v>
      </c>
    </row>
    <row r="432" spans="1:3">
      <c r="A432" s="169" t="s">
        <v>1038</v>
      </c>
      <c r="B432" s="169" t="s">
        <v>1082</v>
      </c>
      <c r="C432" s="169" t="s">
        <v>1083</v>
      </c>
    </row>
    <row r="433" spans="1:3">
      <c r="A433" s="169" t="s">
        <v>1038</v>
      </c>
      <c r="B433" s="169" t="s">
        <v>1082</v>
      </c>
      <c r="C433" s="169" t="s">
        <v>1083</v>
      </c>
    </row>
    <row r="434" spans="1:3">
      <c r="A434" s="169" t="s">
        <v>1038</v>
      </c>
      <c r="B434" s="169" t="s">
        <v>1082</v>
      </c>
      <c r="C434" s="169" t="s">
        <v>1083</v>
      </c>
    </row>
    <row r="435" spans="1:3">
      <c r="A435" s="169" t="s">
        <v>1038</v>
      </c>
      <c r="B435" s="169" t="s">
        <v>1082</v>
      </c>
      <c r="C435" s="169" t="s">
        <v>1083</v>
      </c>
    </row>
    <row r="436" spans="1:3">
      <c r="A436" s="169" t="s">
        <v>1038</v>
      </c>
      <c r="B436" s="169" t="s">
        <v>1082</v>
      </c>
      <c r="C436" s="169" t="s">
        <v>1083</v>
      </c>
    </row>
    <row r="437" spans="1:3">
      <c r="A437" s="169" t="s">
        <v>1038</v>
      </c>
      <c r="B437" s="169" t="s">
        <v>1082</v>
      </c>
      <c r="C437" s="169" t="s">
        <v>1083</v>
      </c>
    </row>
    <row r="438" spans="1:3">
      <c r="A438" s="169" t="s">
        <v>1038</v>
      </c>
      <c r="B438" s="169" t="s">
        <v>1082</v>
      </c>
      <c r="C438" s="169" t="s">
        <v>1083</v>
      </c>
    </row>
    <row r="439" spans="1:3">
      <c r="A439" s="169" t="s">
        <v>1038</v>
      </c>
      <c r="B439" s="169" t="s">
        <v>1082</v>
      </c>
      <c r="C439" s="169" t="s">
        <v>1083</v>
      </c>
    </row>
    <row r="440" spans="1:3">
      <c r="A440" s="169" t="s">
        <v>1038</v>
      </c>
      <c r="B440" s="169" t="s">
        <v>1084</v>
      </c>
      <c r="C440" s="169" t="s">
        <v>1085</v>
      </c>
    </row>
    <row r="441" spans="1:3">
      <c r="A441" s="169" t="s">
        <v>1038</v>
      </c>
      <c r="B441" s="169" t="s">
        <v>1084</v>
      </c>
      <c r="C441" s="169" t="s">
        <v>1085</v>
      </c>
    </row>
    <row r="442" spans="1:3">
      <c r="A442" s="169" t="s">
        <v>1038</v>
      </c>
      <c r="B442" s="169" t="s">
        <v>1084</v>
      </c>
      <c r="C442" s="169" t="s">
        <v>1085</v>
      </c>
    </row>
    <row r="443" spans="1:3">
      <c r="A443" s="169" t="s">
        <v>1038</v>
      </c>
      <c r="B443" s="169" t="s">
        <v>1084</v>
      </c>
      <c r="C443" s="169" t="s">
        <v>1085</v>
      </c>
    </row>
    <row r="444" spans="1:3">
      <c r="A444" s="169" t="s">
        <v>1038</v>
      </c>
      <c r="B444" s="169" t="s">
        <v>1084</v>
      </c>
      <c r="C444" s="169" t="s">
        <v>1085</v>
      </c>
    </row>
    <row r="445" spans="1:3">
      <c r="A445" s="169" t="s">
        <v>1038</v>
      </c>
      <c r="B445" s="169" t="s">
        <v>1084</v>
      </c>
      <c r="C445" s="169" t="s">
        <v>1085</v>
      </c>
    </row>
    <row r="446" spans="1:3">
      <c r="A446" s="169" t="s">
        <v>1038</v>
      </c>
      <c r="B446" s="169" t="s">
        <v>1084</v>
      </c>
      <c r="C446" s="169" t="s">
        <v>1085</v>
      </c>
    </row>
    <row r="447" spans="1:3">
      <c r="A447" s="169" t="s">
        <v>1038</v>
      </c>
      <c r="B447" s="169" t="s">
        <v>1084</v>
      </c>
      <c r="C447" s="169" t="s">
        <v>1085</v>
      </c>
    </row>
    <row r="448" spans="1:3">
      <c r="A448" s="169" t="s">
        <v>1038</v>
      </c>
      <c r="B448" s="169" t="s">
        <v>1084</v>
      </c>
      <c r="C448" s="169" t="s">
        <v>1085</v>
      </c>
    </row>
    <row r="449" spans="1:3">
      <c r="A449" s="169" t="s">
        <v>1038</v>
      </c>
      <c r="B449" s="169" t="s">
        <v>1084</v>
      </c>
      <c r="C449" s="169" t="s">
        <v>1085</v>
      </c>
    </row>
    <row r="450" spans="1:3">
      <c r="A450" s="169" t="s">
        <v>1038</v>
      </c>
      <c r="B450" s="169" t="s">
        <v>1084</v>
      </c>
      <c r="C450" s="169" t="s">
        <v>1085</v>
      </c>
    </row>
    <row r="451" spans="1:3">
      <c r="A451" s="169" t="s">
        <v>1038</v>
      </c>
      <c r="B451" s="169" t="s">
        <v>1084</v>
      </c>
      <c r="C451" s="169" t="s">
        <v>1085</v>
      </c>
    </row>
    <row r="452" spans="1:3">
      <c r="A452" s="169" t="s">
        <v>1038</v>
      </c>
      <c r="B452" s="169" t="s">
        <v>1084</v>
      </c>
      <c r="C452" s="169" t="s">
        <v>1085</v>
      </c>
    </row>
    <row r="453" spans="1:3">
      <c r="A453" s="169" t="s">
        <v>1038</v>
      </c>
      <c r="B453" s="169" t="s">
        <v>1084</v>
      </c>
      <c r="C453" s="169" t="s">
        <v>1085</v>
      </c>
    </row>
    <row r="454" spans="1:3">
      <c r="A454" s="169" t="s">
        <v>1038</v>
      </c>
      <c r="B454" s="169" t="s">
        <v>1084</v>
      </c>
      <c r="C454" s="169" t="s">
        <v>1085</v>
      </c>
    </row>
    <row r="455" spans="1:3">
      <c r="A455" s="169" t="s">
        <v>1038</v>
      </c>
      <c r="B455" s="169" t="s">
        <v>1084</v>
      </c>
      <c r="C455" s="169" t="s">
        <v>1085</v>
      </c>
    </row>
    <row r="456" spans="1:3">
      <c r="A456" s="169" t="s">
        <v>1038</v>
      </c>
      <c r="B456" s="169" t="s">
        <v>1084</v>
      </c>
      <c r="C456" s="169" t="s">
        <v>1085</v>
      </c>
    </row>
    <row r="457" spans="1:3">
      <c r="A457" s="169" t="s">
        <v>1038</v>
      </c>
      <c r="B457" s="169" t="s">
        <v>1084</v>
      </c>
      <c r="C457" s="169" t="s">
        <v>1085</v>
      </c>
    </row>
    <row r="458" spans="1:3">
      <c r="A458" s="169" t="s">
        <v>1038</v>
      </c>
      <c r="B458" s="169" t="s">
        <v>1084</v>
      </c>
      <c r="C458" s="169" t="s">
        <v>1085</v>
      </c>
    </row>
    <row r="459" spans="1:3">
      <c r="A459" s="169" t="s">
        <v>1038</v>
      </c>
      <c r="B459" s="169" t="s">
        <v>1084</v>
      </c>
      <c r="C459" s="169" t="s">
        <v>1085</v>
      </c>
    </row>
    <row r="460" spans="1:3">
      <c r="A460" s="169" t="s">
        <v>1038</v>
      </c>
      <c r="B460" s="169" t="s">
        <v>1084</v>
      </c>
      <c r="C460" s="169" t="s">
        <v>1085</v>
      </c>
    </row>
    <row r="461" spans="1:3">
      <c r="A461" s="169" t="s">
        <v>1038</v>
      </c>
      <c r="B461" s="169" t="s">
        <v>1084</v>
      </c>
      <c r="C461" s="169" t="s">
        <v>1085</v>
      </c>
    </row>
    <row r="462" spans="1:3">
      <c r="A462" s="169" t="s">
        <v>1038</v>
      </c>
      <c r="B462" s="169" t="s">
        <v>1084</v>
      </c>
      <c r="C462" s="169" t="s">
        <v>1085</v>
      </c>
    </row>
    <row r="463" spans="1:3">
      <c r="A463" s="169" t="s">
        <v>1038</v>
      </c>
      <c r="B463" s="169" t="s">
        <v>1084</v>
      </c>
      <c r="C463" s="169" t="s">
        <v>1085</v>
      </c>
    </row>
    <row r="464" spans="1:3">
      <c r="A464" s="169" t="s">
        <v>1038</v>
      </c>
      <c r="B464" s="169" t="s">
        <v>1084</v>
      </c>
      <c r="C464" s="169" t="s">
        <v>1085</v>
      </c>
    </row>
    <row r="465" spans="1:3">
      <c r="A465" s="169" t="s">
        <v>1038</v>
      </c>
      <c r="B465" s="169" t="s">
        <v>1084</v>
      </c>
      <c r="C465" s="169" t="s">
        <v>1085</v>
      </c>
    </row>
    <row r="466" spans="1:3">
      <c r="A466" s="169" t="s">
        <v>1038</v>
      </c>
      <c r="B466" s="169" t="s">
        <v>1084</v>
      </c>
      <c r="C466" s="169" t="s">
        <v>1085</v>
      </c>
    </row>
    <row r="467" spans="1:3">
      <c r="A467" s="169" t="s">
        <v>1038</v>
      </c>
      <c r="B467" s="169" t="s">
        <v>1084</v>
      </c>
      <c r="C467" s="169" t="s">
        <v>1085</v>
      </c>
    </row>
    <row r="468" spans="1:3">
      <c r="A468" s="169" t="s">
        <v>1038</v>
      </c>
      <c r="B468" s="169" t="s">
        <v>1084</v>
      </c>
      <c r="C468" s="169" t="s">
        <v>1085</v>
      </c>
    </row>
    <row r="469" spans="1:3">
      <c r="A469" s="169" t="s">
        <v>1038</v>
      </c>
      <c r="B469" s="169" t="s">
        <v>1084</v>
      </c>
      <c r="C469" s="169" t="s">
        <v>1085</v>
      </c>
    </row>
    <row r="470" spans="1:3">
      <c r="A470" s="169" t="s">
        <v>1038</v>
      </c>
      <c r="B470" s="169" t="s">
        <v>1084</v>
      </c>
      <c r="C470" s="169" t="s">
        <v>1085</v>
      </c>
    </row>
    <row r="471" spans="1:3">
      <c r="A471" s="169" t="s">
        <v>1038</v>
      </c>
      <c r="B471" s="169" t="s">
        <v>1084</v>
      </c>
      <c r="C471" s="169" t="s">
        <v>1085</v>
      </c>
    </row>
    <row r="472" spans="1:3">
      <c r="A472" s="169" t="s">
        <v>1038</v>
      </c>
      <c r="B472" s="169" t="s">
        <v>1084</v>
      </c>
      <c r="C472" s="169" t="s">
        <v>1085</v>
      </c>
    </row>
    <row r="473" spans="1:3">
      <c r="A473" s="169" t="s">
        <v>1038</v>
      </c>
      <c r="B473" s="169" t="s">
        <v>1084</v>
      </c>
      <c r="C473" s="169" t="s">
        <v>1085</v>
      </c>
    </row>
    <row r="474" spans="1:3">
      <c r="A474" s="169" t="s">
        <v>1038</v>
      </c>
      <c r="B474" s="169" t="s">
        <v>1084</v>
      </c>
      <c r="C474" s="169" t="s">
        <v>1085</v>
      </c>
    </row>
    <row r="475" spans="1:3">
      <c r="A475" s="169" t="s">
        <v>1038</v>
      </c>
      <c r="B475" s="169" t="s">
        <v>1084</v>
      </c>
      <c r="C475" s="169" t="s">
        <v>1085</v>
      </c>
    </row>
    <row r="476" spans="1:3">
      <c r="A476" s="169" t="s">
        <v>1038</v>
      </c>
      <c r="B476" s="169" t="s">
        <v>1084</v>
      </c>
      <c r="C476" s="169" t="s">
        <v>1085</v>
      </c>
    </row>
    <row r="477" spans="1:3">
      <c r="A477" s="169" t="s">
        <v>1038</v>
      </c>
      <c r="B477" s="169" t="s">
        <v>1084</v>
      </c>
      <c r="C477" s="169" t="s">
        <v>1085</v>
      </c>
    </row>
    <row r="478" spans="1:3">
      <c r="A478" s="169" t="s">
        <v>1038</v>
      </c>
      <c r="B478" s="169" t="s">
        <v>1084</v>
      </c>
      <c r="C478" s="169" t="s">
        <v>1085</v>
      </c>
    </row>
    <row r="479" spans="1:3">
      <c r="A479" s="169" t="s">
        <v>1038</v>
      </c>
      <c r="B479" s="169" t="s">
        <v>1086</v>
      </c>
      <c r="C479" s="169" t="s">
        <v>1087</v>
      </c>
    </row>
    <row r="480" spans="1:3">
      <c r="A480" s="169" t="s">
        <v>1038</v>
      </c>
      <c r="B480" s="169" t="s">
        <v>1086</v>
      </c>
      <c r="C480" s="169" t="s">
        <v>1087</v>
      </c>
    </row>
    <row r="481" spans="1:3">
      <c r="A481" s="169" t="s">
        <v>1038</v>
      </c>
      <c r="B481" s="169" t="s">
        <v>1086</v>
      </c>
      <c r="C481" s="169" t="s">
        <v>1087</v>
      </c>
    </row>
    <row r="482" spans="1:3">
      <c r="A482" s="169" t="s">
        <v>1038</v>
      </c>
      <c r="B482" s="169" t="s">
        <v>1086</v>
      </c>
      <c r="C482" s="169" t="s">
        <v>1087</v>
      </c>
    </row>
    <row r="483" spans="1:3">
      <c r="A483" s="169" t="s">
        <v>1038</v>
      </c>
      <c r="B483" s="169" t="s">
        <v>1086</v>
      </c>
      <c r="C483" s="169" t="s">
        <v>1087</v>
      </c>
    </row>
    <row r="484" spans="1:3">
      <c r="A484" s="169" t="s">
        <v>1038</v>
      </c>
      <c r="B484" s="169" t="s">
        <v>1086</v>
      </c>
      <c r="C484" s="169" t="s">
        <v>1087</v>
      </c>
    </row>
    <row r="485" spans="1:3">
      <c r="A485" s="169" t="s">
        <v>1038</v>
      </c>
      <c r="B485" s="169" t="s">
        <v>1086</v>
      </c>
      <c r="C485" s="169" t="s">
        <v>1087</v>
      </c>
    </row>
    <row r="486" spans="1:3">
      <c r="A486" s="169" t="s">
        <v>1038</v>
      </c>
      <c r="B486" s="169" t="s">
        <v>1086</v>
      </c>
      <c r="C486" s="169" t="s">
        <v>1087</v>
      </c>
    </row>
    <row r="487" spans="1:3">
      <c r="A487" s="169" t="s">
        <v>1038</v>
      </c>
      <c r="B487" s="169" t="s">
        <v>1086</v>
      </c>
      <c r="C487" s="169" t="s">
        <v>1087</v>
      </c>
    </row>
    <row r="488" spans="1:3">
      <c r="A488" s="169" t="s">
        <v>1038</v>
      </c>
      <c r="B488" s="169" t="s">
        <v>1086</v>
      </c>
      <c r="C488" s="169" t="s">
        <v>1087</v>
      </c>
    </row>
    <row r="489" spans="1:3">
      <c r="A489" s="169" t="s">
        <v>1038</v>
      </c>
      <c r="B489" s="169" t="s">
        <v>1086</v>
      </c>
      <c r="C489" s="169" t="s">
        <v>1087</v>
      </c>
    </row>
    <row r="490" spans="1:3">
      <c r="A490" s="169" t="s">
        <v>1038</v>
      </c>
      <c r="B490" s="169" t="s">
        <v>1086</v>
      </c>
      <c r="C490" s="169" t="s">
        <v>1087</v>
      </c>
    </row>
    <row r="491" spans="1:3">
      <c r="A491" s="169" t="s">
        <v>1038</v>
      </c>
      <c r="B491" s="169" t="s">
        <v>1086</v>
      </c>
      <c r="C491" s="169" t="s">
        <v>1087</v>
      </c>
    </row>
    <row r="492" spans="1:3">
      <c r="A492" s="169" t="s">
        <v>1038</v>
      </c>
      <c r="B492" s="169" t="s">
        <v>1086</v>
      </c>
      <c r="C492" s="169" t="s">
        <v>1087</v>
      </c>
    </row>
    <row r="493" spans="1:3">
      <c r="A493" s="169" t="s">
        <v>1038</v>
      </c>
      <c r="B493" s="169" t="s">
        <v>1086</v>
      </c>
      <c r="C493" s="169" t="s">
        <v>1087</v>
      </c>
    </row>
    <row r="494" spans="1:3">
      <c r="A494" s="169" t="s">
        <v>1038</v>
      </c>
      <c r="B494" s="169" t="s">
        <v>1086</v>
      </c>
      <c r="C494" s="169" t="s">
        <v>1087</v>
      </c>
    </row>
    <row r="495" spans="1:3">
      <c r="A495" s="169" t="s">
        <v>1038</v>
      </c>
      <c r="B495" s="169" t="s">
        <v>1086</v>
      </c>
      <c r="C495" s="169" t="s">
        <v>1087</v>
      </c>
    </row>
    <row r="496" spans="1:3">
      <c r="A496" s="169" t="s">
        <v>1038</v>
      </c>
      <c r="B496" s="169" t="s">
        <v>1086</v>
      </c>
      <c r="C496" s="169" t="s">
        <v>1087</v>
      </c>
    </row>
    <row r="497" spans="1:3">
      <c r="A497" s="169" t="s">
        <v>1038</v>
      </c>
      <c r="B497" s="169" t="s">
        <v>1086</v>
      </c>
      <c r="C497" s="169" t="s">
        <v>1087</v>
      </c>
    </row>
    <row r="498" spans="1:3">
      <c r="A498" s="169" t="s">
        <v>1038</v>
      </c>
      <c r="B498" s="169" t="s">
        <v>1086</v>
      </c>
      <c r="C498" s="169" t="s">
        <v>1087</v>
      </c>
    </row>
    <row r="499" spans="1:3">
      <c r="A499" s="169" t="s">
        <v>1038</v>
      </c>
      <c r="B499" s="169" t="s">
        <v>1086</v>
      </c>
      <c r="C499" s="169" t="s">
        <v>1087</v>
      </c>
    </row>
    <row r="500" spans="1:3">
      <c r="A500" s="169" t="s">
        <v>1038</v>
      </c>
      <c r="B500" s="169" t="s">
        <v>1086</v>
      </c>
      <c r="C500" s="169" t="s">
        <v>1087</v>
      </c>
    </row>
    <row r="501" spans="1:3">
      <c r="A501" s="169" t="s">
        <v>1038</v>
      </c>
      <c r="B501" s="169" t="s">
        <v>1086</v>
      </c>
      <c r="C501" s="169" t="s">
        <v>1087</v>
      </c>
    </row>
    <row r="502" spans="1:3">
      <c r="A502" s="169" t="s">
        <v>1038</v>
      </c>
      <c r="B502" s="169" t="s">
        <v>1086</v>
      </c>
      <c r="C502" s="169" t="s">
        <v>1087</v>
      </c>
    </row>
    <row r="503" spans="1:3">
      <c r="A503" s="169" t="s">
        <v>1038</v>
      </c>
      <c r="B503" s="169" t="s">
        <v>1086</v>
      </c>
      <c r="C503" s="169" t="s">
        <v>1087</v>
      </c>
    </row>
    <row r="504" spans="1:3">
      <c r="A504" s="169" t="s">
        <v>1038</v>
      </c>
      <c r="B504" s="169" t="s">
        <v>1086</v>
      </c>
      <c r="C504" s="169" t="s">
        <v>1087</v>
      </c>
    </row>
    <row r="505" spans="1:3">
      <c r="A505" s="169" t="s">
        <v>1038</v>
      </c>
      <c r="B505" s="169" t="s">
        <v>1086</v>
      </c>
      <c r="C505" s="169" t="s">
        <v>1087</v>
      </c>
    </row>
    <row r="506" spans="1:3">
      <c r="A506" s="169" t="s">
        <v>1038</v>
      </c>
      <c r="B506" s="169" t="s">
        <v>1086</v>
      </c>
      <c r="C506" s="169" t="s">
        <v>1087</v>
      </c>
    </row>
    <row r="507" spans="1:3">
      <c r="A507" s="169" t="s">
        <v>1038</v>
      </c>
      <c r="B507" s="169" t="s">
        <v>1086</v>
      </c>
      <c r="C507" s="169" t="s">
        <v>1087</v>
      </c>
    </row>
    <row r="508" spans="1:3">
      <c r="A508" s="169" t="s">
        <v>1038</v>
      </c>
      <c r="B508" s="169" t="s">
        <v>1086</v>
      </c>
      <c r="C508" s="169" t="s">
        <v>1087</v>
      </c>
    </row>
    <row r="509" spans="1:3">
      <c r="A509" s="169" t="s">
        <v>1038</v>
      </c>
      <c r="B509" s="169" t="s">
        <v>1086</v>
      </c>
      <c r="C509" s="169" t="s">
        <v>1087</v>
      </c>
    </row>
    <row r="510" spans="1:3">
      <c r="A510" s="169" t="s">
        <v>1038</v>
      </c>
      <c r="B510" s="169" t="s">
        <v>1086</v>
      </c>
      <c r="C510" s="169" t="s">
        <v>1087</v>
      </c>
    </row>
    <row r="511" spans="1:3">
      <c r="A511" s="169" t="s">
        <v>1038</v>
      </c>
      <c r="B511" s="169" t="s">
        <v>1086</v>
      </c>
      <c r="C511" s="169" t="s">
        <v>1087</v>
      </c>
    </row>
    <row r="512" spans="1:3">
      <c r="A512" s="169" t="s">
        <v>1038</v>
      </c>
      <c r="B512" s="169" t="s">
        <v>1086</v>
      </c>
      <c r="C512" s="169" t="s">
        <v>1087</v>
      </c>
    </row>
    <row r="513" spans="1:3">
      <c r="A513" s="169" t="s">
        <v>1038</v>
      </c>
      <c r="B513" s="169" t="s">
        <v>1086</v>
      </c>
      <c r="C513" s="169" t="s">
        <v>1087</v>
      </c>
    </row>
    <row r="514" spans="1:3">
      <c r="A514" s="169" t="s">
        <v>1038</v>
      </c>
      <c r="B514" s="169" t="s">
        <v>1086</v>
      </c>
      <c r="C514" s="169" t="s">
        <v>1087</v>
      </c>
    </row>
    <row r="515" spans="1:3">
      <c r="A515" s="169" t="s">
        <v>1038</v>
      </c>
      <c r="B515" s="169" t="s">
        <v>1086</v>
      </c>
      <c r="C515" s="169" t="s">
        <v>1087</v>
      </c>
    </row>
    <row r="516" spans="1:3">
      <c r="A516" s="169" t="s">
        <v>1038</v>
      </c>
      <c r="B516" s="169" t="s">
        <v>1086</v>
      </c>
      <c r="C516" s="169" t="s">
        <v>1087</v>
      </c>
    </row>
    <row r="517" spans="1:3">
      <c r="A517" s="169" t="s">
        <v>1038</v>
      </c>
      <c r="B517" s="169" t="s">
        <v>1086</v>
      </c>
      <c r="C517" s="169" t="s">
        <v>1087</v>
      </c>
    </row>
    <row r="518" spans="1:3">
      <c r="A518" s="169" t="s">
        <v>1038</v>
      </c>
      <c r="B518" s="169" t="s">
        <v>1086</v>
      </c>
      <c r="C518" s="169" t="s">
        <v>1087</v>
      </c>
    </row>
    <row r="519" spans="1:3">
      <c r="A519" s="169" t="s">
        <v>1038</v>
      </c>
      <c r="B519" s="169" t="s">
        <v>1086</v>
      </c>
      <c r="C519" s="169" t="s">
        <v>1087</v>
      </c>
    </row>
    <row r="520" spans="1:3">
      <c r="A520" s="169" t="s">
        <v>1038</v>
      </c>
      <c r="B520" s="169" t="s">
        <v>1086</v>
      </c>
      <c r="C520" s="169" t="s">
        <v>1087</v>
      </c>
    </row>
    <row r="521" spans="1:3">
      <c r="A521" s="169" t="s">
        <v>1038</v>
      </c>
      <c r="B521" s="169" t="s">
        <v>1086</v>
      </c>
      <c r="C521" s="169" t="s">
        <v>1087</v>
      </c>
    </row>
    <row r="522" spans="1:3">
      <c r="A522" s="169" t="s">
        <v>1038</v>
      </c>
      <c r="B522" s="169" t="s">
        <v>1086</v>
      </c>
      <c r="C522" s="169" t="s">
        <v>1087</v>
      </c>
    </row>
    <row r="523" spans="1:3">
      <c r="A523" s="169" t="s">
        <v>1038</v>
      </c>
      <c r="B523" s="169" t="s">
        <v>1086</v>
      </c>
      <c r="C523" s="169" t="s">
        <v>1087</v>
      </c>
    </row>
    <row r="524" spans="1:3">
      <c r="A524" s="169" t="s">
        <v>1038</v>
      </c>
      <c r="B524" s="169" t="s">
        <v>1086</v>
      </c>
      <c r="C524" s="169" t="s">
        <v>1087</v>
      </c>
    </row>
    <row r="525" spans="1:3">
      <c r="A525" s="169" t="s">
        <v>1038</v>
      </c>
      <c r="B525" s="169" t="s">
        <v>1086</v>
      </c>
      <c r="C525" s="169" t="s">
        <v>1087</v>
      </c>
    </row>
    <row r="526" spans="1:3">
      <c r="A526" s="169" t="s">
        <v>1038</v>
      </c>
      <c r="B526" s="169" t="s">
        <v>1086</v>
      </c>
      <c r="C526" s="169" t="s">
        <v>1087</v>
      </c>
    </row>
    <row r="527" spans="1:3">
      <c r="A527" s="169" t="s">
        <v>1038</v>
      </c>
      <c r="B527" s="169" t="s">
        <v>1086</v>
      </c>
      <c r="C527" s="169" t="s">
        <v>1087</v>
      </c>
    </row>
    <row r="528" spans="1:3">
      <c r="A528" s="169" t="s">
        <v>1038</v>
      </c>
      <c r="B528" s="169" t="s">
        <v>1086</v>
      </c>
      <c r="C528" s="169" t="s">
        <v>1087</v>
      </c>
    </row>
    <row r="529" spans="1:3">
      <c r="A529" s="169" t="s">
        <v>1038</v>
      </c>
      <c r="B529" s="169" t="s">
        <v>1086</v>
      </c>
      <c r="C529" s="169" t="s">
        <v>1087</v>
      </c>
    </row>
    <row r="530" spans="1:3">
      <c r="A530" s="169" t="s">
        <v>1038</v>
      </c>
      <c r="B530" s="169" t="s">
        <v>1086</v>
      </c>
      <c r="C530" s="169" t="s">
        <v>1087</v>
      </c>
    </row>
    <row r="531" spans="1:3">
      <c r="A531" s="169" t="s">
        <v>1038</v>
      </c>
      <c r="B531" s="169" t="s">
        <v>1086</v>
      </c>
      <c r="C531" s="169" t="s">
        <v>1087</v>
      </c>
    </row>
    <row r="532" spans="1:3">
      <c r="A532" s="169" t="s">
        <v>1038</v>
      </c>
      <c r="B532" s="169" t="s">
        <v>1086</v>
      </c>
      <c r="C532" s="169" t="s">
        <v>1087</v>
      </c>
    </row>
    <row r="533" spans="1:3">
      <c r="A533" s="169" t="s">
        <v>1038</v>
      </c>
      <c r="B533" s="169" t="s">
        <v>1086</v>
      </c>
      <c r="C533" s="169" t="s">
        <v>1087</v>
      </c>
    </row>
    <row r="534" spans="1:3">
      <c r="A534" s="169" t="s">
        <v>1038</v>
      </c>
      <c r="B534" s="169" t="s">
        <v>1086</v>
      </c>
      <c r="C534" s="169" t="s">
        <v>1087</v>
      </c>
    </row>
    <row r="535" spans="1:3">
      <c r="A535" s="169" t="s">
        <v>1038</v>
      </c>
      <c r="B535" s="169" t="s">
        <v>1086</v>
      </c>
      <c r="C535" s="169" t="s">
        <v>1088</v>
      </c>
    </row>
    <row r="536" spans="1:3">
      <c r="A536" s="169" t="s">
        <v>1038</v>
      </c>
      <c r="B536" s="169" t="s">
        <v>1086</v>
      </c>
      <c r="C536" s="169" t="s">
        <v>1088</v>
      </c>
    </row>
    <row r="537" spans="1:3">
      <c r="A537" s="169" t="s">
        <v>1038</v>
      </c>
      <c r="B537" s="169" t="s">
        <v>1086</v>
      </c>
      <c r="C537" s="169" t="s">
        <v>1088</v>
      </c>
    </row>
    <row r="538" spans="1:3">
      <c r="A538" s="169" t="s">
        <v>1038</v>
      </c>
      <c r="B538" s="169" t="s">
        <v>1086</v>
      </c>
      <c r="C538" s="169" t="s">
        <v>1088</v>
      </c>
    </row>
    <row r="539" spans="1:3">
      <c r="A539" s="169" t="s">
        <v>1038</v>
      </c>
      <c r="B539" s="169" t="s">
        <v>1086</v>
      </c>
      <c r="C539" s="169" t="s">
        <v>1088</v>
      </c>
    </row>
    <row r="540" spans="1:3">
      <c r="A540" s="169" t="s">
        <v>1038</v>
      </c>
      <c r="B540" s="169" t="s">
        <v>1086</v>
      </c>
      <c r="C540" s="169" t="s">
        <v>1088</v>
      </c>
    </row>
    <row r="541" spans="1:3">
      <c r="A541" s="169" t="s">
        <v>1038</v>
      </c>
      <c r="B541" s="169" t="s">
        <v>1086</v>
      </c>
      <c r="C541" s="169" t="s">
        <v>1088</v>
      </c>
    </row>
    <row r="542" spans="1:3">
      <c r="A542" s="169" t="s">
        <v>1038</v>
      </c>
      <c r="B542" s="169" t="s">
        <v>1086</v>
      </c>
      <c r="C542" s="169" t="s">
        <v>1088</v>
      </c>
    </row>
    <row r="543" spans="1:3">
      <c r="A543" s="169" t="s">
        <v>1038</v>
      </c>
      <c r="B543" s="169" t="s">
        <v>1086</v>
      </c>
      <c r="C543" s="169" t="s">
        <v>1088</v>
      </c>
    </row>
    <row r="544" spans="1:3">
      <c r="A544" s="169" t="s">
        <v>1038</v>
      </c>
      <c r="B544" s="169" t="s">
        <v>1086</v>
      </c>
      <c r="C544" s="169" t="s">
        <v>1088</v>
      </c>
    </row>
    <row r="545" spans="1:3">
      <c r="A545" s="169" t="s">
        <v>1038</v>
      </c>
      <c r="B545" s="169" t="s">
        <v>1086</v>
      </c>
      <c r="C545" s="169" t="s">
        <v>1088</v>
      </c>
    </row>
    <row r="546" spans="1:3">
      <c r="A546" s="169" t="s">
        <v>1038</v>
      </c>
      <c r="B546" s="169" t="s">
        <v>1086</v>
      </c>
      <c r="C546" s="169" t="s">
        <v>1089</v>
      </c>
    </row>
    <row r="547" spans="1:3">
      <c r="A547" s="169" t="s">
        <v>1038</v>
      </c>
      <c r="B547" s="169" t="s">
        <v>1086</v>
      </c>
      <c r="C547" s="169" t="s">
        <v>1089</v>
      </c>
    </row>
    <row r="548" spans="1:3">
      <c r="A548" s="169" t="s">
        <v>1038</v>
      </c>
      <c r="B548" s="169" t="s">
        <v>1086</v>
      </c>
      <c r="C548" s="169" t="s">
        <v>1089</v>
      </c>
    </row>
    <row r="549" spans="1:3">
      <c r="A549" s="169" t="s">
        <v>1038</v>
      </c>
      <c r="B549" s="169" t="s">
        <v>1086</v>
      </c>
      <c r="C549" s="169" t="s">
        <v>1089</v>
      </c>
    </row>
    <row r="550" spans="1:3">
      <c r="A550" s="169" t="s">
        <v>1038</v>
      </c>
      <c r="B550" s="169" t="s">
        <v>1086</v>
      </c>
      <c r="C550" s="169" t="s">
        <v>1089</v>
      </c>
    </row>
    <row r="551" spans="1:3">
      <c r="A551" s="169" t="s">
        <v>1038</v>
      </c>
      <c r="B551" s="169" t="s">
        <v>1086</v>
      </c>
      <c r="C551" s="169" t="s">
        <v>1089</v>
      </c>
    </row>
    <row r="552" spans="1:3">
      <c r="A552" s="169" t="s">
        <v>1038</v>
      </c>
      <c r="B552" s="169" t="s">
        <v>1086</v>
      </c>
      <c r="C552" s="169" t="s">
        <v>1089</v>
      </c>
    </row>
    <row r="553" spans="1:3">
      <c r="A553" s="169" t="s">
        <v>1038</v>
      </c>
      <c r="B553" s="169" t="s">
        <v>1086</v>
      </c>
      <c r="C553" s="169" t="s">
        <v>1089</v>
      </c>
    </row>
    <row r="554" spans="1:3">
      <c r="A554" s="169" t="s">
        <v>1038</v>
      </c>
      <c r="B554" s="169" t="s">
        <v>1086</v>
      </c>
      <c r="C554" s="169" t="s">
        <v>1089</v>
      </c>
    </row>
    <row r="555" spans="1:3">
      <c r="A555" s="169" t="s">
        <v>1038</v>
      </c>
      <c r="B555" s="169" t="s">
        <v>1086</v>
      </c>
      <c r="C555" s="169" t="s">
        <v>1089</v>
      </c>
    </row>
    <row r="556" spans="1:3">
      <c r="A556" s="169" t="s">
        <v>1038</v>
      </c>
      <c r="B556" s="169" t="s">
        <v>1090</v>
      </c>
      <c r="C556" s="169" t="s">
        <v>1091</v>
      </c>
    </row>
    <row r="557" spans="1:3">
      <c r="A557" s="169" t="s">
        <v>1038</v>
      </c>
      <c r="B557" s="169" t="s">
        <v>1090</v>
      </c>
      <c r="C557" s="169" t="s">
        <v>1091</v>
      </c>
    </row>
    <row r="558" spans="1:3">
      <c r="A558" s="169" t="s">
        <v>1038</v>
      </c>
      <c r="B558" s="169" t="s">
        <v>1090</v>
      </c>
      <c r="C558" s="169" t="s">
        <v>1091</v>
      </c>
    </row>
    <row r="559" spans="1:3">
      <c r="A559" s="169" t="s">
        <v>1038</v>
      </c>
      <c r="B559" s="169" t="s">
        <v>1090</v>
      </c>
      <c r="C559" s="169" t="s">
        <v>1091</v>
      </c>
    </row>
    <row r="560" spans="1:3">
      <c r="A560" s="169" t="s">
        <v>1038</v>
      </c>
      <c r="B560" s="169" t="s">
        <v>1090</v>
      </c>
      <c r="C560" s="169" t="s">
        <v>1091</v>
      </c>
    </row>
    <row r="561" spans="1:3">
      <c r="A561" s="169" t="s">
        <v>1038</v>
      </c>
      <c r="B561" s="169" t="s">
        <v>1090</v>
      </c>
      <c r="C561" s="169" t="s">
        <v>1091</v>
      </c>
    </row>
    <row r="562" spans="1:3">
      <c r="A562" s="169" t="s">
        <v>1038</v>
      </c>
      <c r="B562" s="169" t="s">
        <v>1090</v>
      </c>
      <c r="C562" s="169" t="s">
        <v>1091</v>
      </c>
    </row>
    <row r="563" spans="1:3">
      <c r="A563" s="169" t="s">
        <v>1038</v>
      </c>
      <c r="B563" s="169" t="s">
        <v>1090</v>
      </c>
      <c r="C563" s="169" t="s">
        <v>1092</v>
      </c>
    </row>
    <row r="564" spans="1:3">
      <c r="A564" s="169" t="s">
        <v>1038</v>
      </c>
      <c r="B564" s="169" t="s">
        <v>1090</v>
      </c>
      <c r="C564" s="169" t="s">
        <v>1092</v>
      </c>
    </row>
    <row r="565" spans="1:3">
      <c r="A565" s="169" t="s">
        <v>1038</v>
      </c>
      <c r="B565" s="169" t="s">
        <v>1090</v>
      </c>
      <c r="C565" s="169" t="s">
        <v>1092</v>
      </c>
    </row>
    <row r="566" spans="1:3">
      <c r="A566" s="169" t="s">
        <v>1038</v>
      </c>
      <c r="B566" s="169" t="s">
        <v>1090</v>
      </c>
      <c r="C566" s="169" t="s">
        <v>1092</v>
      </c>
    </row>
    <row r="567" spans="1:3">
      <c r="A567" s="169" t="s">
        <v>1038</v>
      </c>
      <c r="B567" s="169" t="s">
        <v>1090</v>
      </c>
      <c r="C567" s="169" t="s">
        <v>1093</v>
      </c>
    </row>
    <row r="568" spans="1:3">
      <c r="A568" s="169" t="s">
        <v>1038</v>
      </c>
      <c r="B568" s="169" t="s">
        <v>1090</v>
      </c>
      <c r="C568" s="169" t="s">
        <v>1094</v>
      </c>
    </row>
    <row r="569" spans="1:3">
      <c r="A569" s="169" t="s">
        <v>1038</v>
      </c>
      <c r="B569" s="169" t="s">
        <v>1090</v>
      </c>
      <c r="C569" s="169" t="s">
        <v>1094</v>
      </c>
    </row>
    <row r="570" spans="1:3">
      <c r="A570" s="169" t="s">
        <v>1038</v>
      </c>
      <c r="B570" s="169" t="s">
        <v>1090</v>
      </c>
      <c r="C570" s="169" t="s">
        <v>1094</v>
      </c>
    </row>
    <row r="571" spans="1:3">
      <c r="A571" s="169" t="s">
        <v>1038</v>
      </c>
      <c r="B571" s="169" t="s">
        <v>1095</v>
      </c>
      <c r="C571" s="169" t="s">
        <v>1096</v>
      </c>
    </row>
    <row r="572" spans="1:3">
      <c r="A572" s="169" t="s">
        <v>1038</v>
      </c>
      <c r="B572" s="169" t="s">
        <v>1095</v>
      </c>
      <c r="C572" s="169" t="s">
        <v>1096</v>
      </c>
    </row>
    <row r="573" spans="1:3">
      <c r="A573" s="169" t="s">
        <v>1038</v>
      </c>
      <c r="B573" s="169" t="s">
        <v>1095</v>
      </c>
      <c r="C573" s="169" t="s">
        <v>1096</v>
      </c>
    </row>
    <row r="574" spans="1:3">
      <c r="A574" s="169" t="s">
        <v>1038</v>
      </c>
      <c r="B574" s="169" t="s">
        <v>1095</v>
      </c>
      <c r="C574" s="169" t="s">
        <v>1096</v>
      </c>
    </row>
    <row r="575" spans="1:3">
      <c r="A575" s="169" t="s">
        <v>1038</v>
      </c>
      <c r="B575" s="169" t="s">
        <v>1095</v>
      </c>
      <c r="C575" s="169" t="s">
        <v>1096</v>
      </c>
    </row>
    <row r="576" spans="1:3">
      <c r="A576" s="169" t="s">
        <v>1038</v>
      </c>
      <c r="B576" s="169" t="s">
        <v>1095</v>
      </c>
      <c r="C576" s="169" t="s">
        <v>1096</v>
      </c>
    </row>
    <row r="577" spans="1:3">
      <c r="A577" s="169" t="s">
        <v>1038</v>
      </c>
      <c r="B577" s="169" t="s">
        <v>1095</v>
      </c>
      <c r="C577" s="169" t="s">
        <v>1097</v>
      </c>
    </row>
    <row r="578" spans="1:3">
      <c r="A578" s="169" t="s">
        <v>1038</v>
      </c>
      <c r="B578" s="169" t="s">
        <v>1095</v>
      </c>
      <c r="C578" s="169" t="s">
        <v>1097</v>
      </c>
    </row>
    <row r="579" spans="1:3">
      <c r="A579" s="169" t="s">
        <v>1038</v>
      </c>
      <c r="B579" s="169" t="s">
        <v>1095</v>
      </c>
      <c r="C579" s="169" t="s">
        <v>1097</v>
      </c>
    </row>
    <row r="580" spans="1:3">
      <c r="A580" s="169" t="s">
        <v>1038</v>
      </c>
      <c r="B580" s="169" t="s">
        <v>1098</v>
      </c>
      <c r="C580" s="169" t="s">
        <v>1098</v>
      </c>
    </row>
    <row r="581" spans="1:3">
      <c r="A581" s="169" t="s">
        <v>1038</v>
      </c>
      <c r="B581" s="169" t="s">
        <v>1098</v>
      </c>
      <c r="C581" s="169" t="s">
        <v>1098</v>
      </c>
    </row>
    <row r="582" spans="1:3">
      <c r="A582" s="169" t="s">
        <v>1038</v>
      </c>
      <c r="B582" s="169" t="s">
        <v>1098</v>
      </c>
      <c r="C582" s="169" t="s">
        <v>1098</v>
      </c>
    </row>
    <row r="583" spans="1:3">
      <c r="A583" s="169" t="s">
        <v>1038</v>
      </c>
      <c r="B583" s="169" t="s">
        <v>1098</v>
      </c>
      <c r="C583" s="169" t="s">
        <v>1098</v>
      </c>
    </row>
    <row r="584" spans="1:3">
      <c r="A584" s="169" t="s">
        <v>1038</v>
      </c>
      <c r="B584" s="169" t="s">
        <v>1098</v>
      </c>
      <c r="C584" s="169" t="s">
        <v>1098</v>
      </c>
    </row>
    <row r="585" spans="1:3">
      <c r="A585" s="169" t="s">
        <v>1038</v>
      </c>
      <c r="B585" s="169" t="s">
        <v>1098</v>
      </c>
      <c r="C585" s="169" t="s">
        <v>1098</v>
      </c>
    </row>
    <row r="586" spans="1:3">
      <c r="A586" s="169" t="s">
        <v>1038</v>
      </c>
      <c r="B586" s="169" t="s">
        <v>1098</v>
      </c>
      <c r="C586" s="169" t="s">
        <v>1098</v>
      </c>
    </row>
    <row r="587" spans="1:3">
      <c r="A587" s="169" t="s">
        <v>1038</v>
      </c>
      <c r="B587" s="169" t="s">
        <v>1098</v>
      </c>
      <c r="C587" s="169" t="s">
        <v>1099</v>
      </c>
    </row>
    <row r="588" spans="1:3">
      <c r="A588" s="169" t="s">
        <v>1038</v>
      </c>
      <c r="B588" s="169" t="s">
        <v>1098</v>
      </c>
      <c r="C588" s="169" t="s">
        <v>1099</v>
      </c>
    </row>
    <row r="589" spans="1:3">
      <c r="A589" s="169" t="s">
        <v>1038</v>
      </c>
      <c r="B589" s="169" t="s">
        <v>1098</v>
      </c>
      <c r="C589" s="169" t="s">
        <v>1099</v>
      </c>
    </row>
    <row r="590" spans="1:3">
      <c r="A590" s="169" t="s">
        <v>1038</v>
      </c>
      <c r="B590" s="169" t="s">
        <v>1098</v>
      </c>
      <c r="C590" s="169" t="s">
        <v>1099</v>
      </c>
    </row>
    <row r="591" spans="1:3">
      <c r="A591" s="169" t="s">
        <v>1038</v>
      </c>
      <c r="B591" s="169" t="s">
        <v>1098</v>
      </c>
      <c r="C591" s="169" t="s">
        <v>1099</v>
      </c>
    </row>
    <row r="592" spans="1:3">
      <c r="A592" s="169" t="s">
        <v>1038</v>
      </c>
      <c r="B592" s="169" t="s">
        <v>1098</v>
      </c>
      <c r="C592" s="169" t="s">
        <v>1099</v>
      </c>
    </row>
    <row r="593" spans="1:3">
      <c r="A593" s="169" t="s">
        <v>1038</v>
      </c>
      <c r="B593" s="169" t="s">
        <v>1098</v>
      </c>
      <c r="C593" s="169" t="s">
        <v>1099</v>
      </c>
    </row>
    <row r="594" spans="1:3">
      <c r="A594" s="169" t="s">
        <v>1038</v>
      </c>
      <c r="B594" s="169" t="s">
        <v>1098</v>
      </c>
      <c r="C594" s="169" t="s">
        <v>1100</v>
      </c>
    </row>
    <row r="595" spans="1:3">
      <c r="A595" s="169" t="s">
        <v>1038</v>
      </c>
      <c r="B595" s="169" t="s">
        <v>1098</v>
      </c>
      <c r="C595" s="169" t="s">
        <v>1100</v>
      </c>
    </row>
    <row r="596" spans="1:3">
      <c r="A596" s="169" t="s">
        <v>1038</v>
      </c>
      <c r="B596" s="169" t="s">
        <v>1098</v>
      </c>
      <c r="C596" s="169" t="s">
        <v>1100</v>
      </c>
    </row>
    <row r="597" spans="1:3">
      <c r="A597" s="169" t="s">
        <v>1038</v>
      </c>
      <c r="B597" s="169" t="s">
        <v>1098</v>
      </c>
      <c r="C597" s="169" t="s">
        <v>1100</v>
      </c>
    </row>
    <row r="598" spans="1:3">
      <c r="A598" s="169" t="s">
        <v>1038</v>
      </c>
      <c r="B598" s="169" t="s">
        <v>1098</v>
      </c>
      <c r="C598" s="169" t="s">
        <v>1100</v>
      </c>
    </row>
    <row r="599" spans="1:3">
      <c r="A599" s="169" t="s">
        <v>1038</v>
      </c>
      <c r="B599" s="169" t="s">
        <v>1098</v>
      </c>
      <c r="C599" s="169" t="s">
        <v>1100</v>
      </c>
    </row>
    <row r="600" spans="1:3">
      <c r="A600" s="169" t="s">
        <v>1038</v>
      </c>
      <c r="B600" s="169" t="s">
        <v>1098</v>
      </c>
      <c r="C600" s="169" t="s">
        <v>1100</v>
      </c>
    </row>
    <row r="601" spans="1:3">
      <c r="A601" s="169" t="s">
        <v>1038</v>
      </c>
      <c r="B601" s="169" t="s">
        <v>1098</v>
      </c>
      <c r="C601" s="169" t="s">
        <v>1100</v>
      </c>
    </row>
    <row r="602" spans="1:3">
      <c r="A602" s="169" t="s">
        <v>1038</v>
      </c>
      <c r="B602" s="169" t="s">
        <v>1098</v>
      </c>
      <c r="C602" s="169" t="s">
        <v>1100</v>
      </c>
    </row>
    <row r="603" spans="1:3">
      <c r="A603" s="169" t="s">
        <v>1038</v>
      </c>
      <c r="B603" s="169" t="s">
        <v>1098</v>
      </c>
      <c r="C603" s="169" t="s">
        <v>1100</v>
      </c>
    </row>
    <row r="604" spans="1:3">
      <c r="A604" s="169" t="s">
        <v>1038</v>
      </c>
      <c r="B604" s="169" t="s">
        <v>1101</v>
      </c>
      <c r="C604" s="169" t="s">
        <v>1102</v>
      </c>
    </row>
    <row r="605" spans="1:3">
      <c r="A605" s="169" t="s">
        <v>1038</v>
      </c>
      <c r="B605" s="169" t="s">
        <v>1101</v>
      </c>
      <c r="C605" s="169" t="s">
        <v>1102</v>
      </c>
    </row>
    <row r="606" spans="1:3">
      <c r="A606" s="169" t="s">
        <v>1038</v>
      </c>
      <c r="B606" s="169" t="s">
        <v>1101</v>
      </c>
      <c r="C606" s="169" t="s">
        <v>1102</v>
      </c>
    </row>
    <row r="607" spans="1:3">
      <c r="A607" s="169" t="s">
        <v>1038</v>
      </c>
      <c r="B607" s="169" t="s">
        <v>1101</v>
      </c>
      <c r="C607" s="169" t="s">
        <v>1102</v>
      </c>
    </row>
    <row r="608" spans="1:3">
      <c r="A608" s="169" t="s">
        <v>1038</v>
      </c>
      <c r="B608" s="169" t="s">
        <v>1101</v>
      </c>
      <c r="C608" s="169" t="s">
        <v>1102</v>
      </c>
    </row>
    <row r="609" spans="1:3">
      <c r="A609" s="169" t="s">
        <v>1038</v>
      </c>
      <c r="B609" s="169" t="s">
        <v>1101</v>
      </c>
      <c r="C609" s="169" t="s">
        <v>1102</v>
      </c>
    </row>
    <row r="610" spans="1:3">
      <c r="A610" s="169" t="s">
        <v>1038</v>
      </c>
      <c r="B610" s="169" t="s">
        <v>1101</v>
      </c>
      <c r="C610" s="169" t="s">
        <v>1102</v>
      </c>
    </row>
    <row r="611" spans="1:3">
      <c r="A611" s="169" t="s">
        <v>1038</v>
      </c>
      <c r="B611" s="169" t="s">
        <v>1101</v>
      </c>
      <c r="C611" s="169" t="s">
        <v>1102</v>
      </c>
    </row>
    <row r="612" spans="1:3">
      <c r="A612" s="169" t="s">
        <v>1038</v>
      </c>
      <c r="B612" s="169" t="s">
        <v>1101</v>
      </c>
      <c r="C612" s="169" t="s">
        <v>1102</v>
      </c>
    </row>
    <row r="613" spans="1:3">
      <c r="A613" s="169" t="s">
        <v>1038</v>
      </c>
      <c r="B613" s="169" t="s">
        <v>1101</v>
      </c>
      <c r="C613" s="169" t="s">
        <v>1102</v>
      </c>
    </row>
    <row r="614" spans="1:3">
      <c r="A614" s="169" t="s">
        <v>1038</v>
      </c>
      <c r="B614" s="169" t="s">
        <v>1101</v>
      </c>
      <c r="C614" s="169" t="s">
        <v>1102</v>
      </c>
    </row>
    <row r="615" spans="1:3">
      <c r="A615" s="169" t="s">
        <v>1038</v>
      </c>
      <c r="B615" s="169" t="s">
        <v>1101</v>
      </c>
      <c r="C615" s="169" t="s">
        <v>1102</v>
      </c>
    </row>
    <row r="616" spans="1:3">
      <c r="A616" s="169" t="s">
        <v>1038</v>
      </c>
      <c r="B616" s="169" t="s">
        <v>1101</v>
      </c>
      <c r="C616" s="169" t="s">
        <v>1102</v>
      </c>
    </row>
    <row r="617" spans="1:3">
      <c r="A617" s="169" t="s">
        <v>1038</v>
      </c>
      <c r="B617" s="169" t="s">
        <v>1101</v>
      </c>
      <c r="C617" s="169" t="s">
        <v>1102</v>
      </c>
    </row>
    <row r="618" spans="1:3">
      <c r="A618" s="169" t="s">
        <v>1038</v>
      </c>
      <c r="B618" s="169" t="s">
        <v>1101</v>
      </c>
      <c r="C618" s="169" t="s">
        <v>1102</v>
      </c>
    </row>
    <row r="619" spans="1:3">
      <c r="A619" s="169" t="s">
        <v>1038</v>
      </c>
      <c r="B619" s="169" t="s">
        <v>1101</v>
      </c>
      <c r="C619" s="169" t="s">
        <v>1102</v>
      </c>
    </row>
    <row r="620" spans="1:3">
      <c r="A620" s="169" t="s">
        <v>1038</v>
      </c>
      <c r="B620" s="169" t="s">
        <v>1101</v>
      </c>
      <c r="C620" s="169" t="s">
        <v>1102</v>
      </c>
    </row>
    <row r="621" spans="1:3">
      <c r="A621" s="169" t="s">
        <v>1038</v>
      </c>
      <c r="B621" s="169" t="s">
        <v>1101</v>
      </c>
      <c r="C621" s="169" t="s">
        <v>1103</v>
      </c>
    </row>
    <row r="622" spans="1:3">
      <c r="A622" s="169" t="s">
        <v>1038</v>
      </c>
      <c r="B622" s="169" t="s">
        <v>1101</v>
      </c>
      <c r="C622" s="169" t="s">
        <v>1103</v>
      </c>
    </row>
    <row r="623" spans="1:3">
      <c r="A623" s="169" t="s">
        <v>1038</v>
      </c>
      <c r="B623" s="169" t="s">
        <v>1101</v>
      </c>
      <c r="C623" s="169" t="s">
        <v>1103</v>
      </c>
    </row>
    <row r="624" spans="1:3">
      <c r="A624" s="169" t="s">
        <v>1038</v>
      </c>
      <c r="B624" s="169" t="s">
        <v>1101</v>
      </c>
      <c r="C624" s="169" t="s">
        <v>1103</v>
      </c>
    </row>
    <row r="625" spans="1:3">
      <c r="A625" s="169" t="s">
        <v>1038</v>
      </c>
      <c r="B625" s="169" t="s">
        <v>1101</v>
      </c>
      <c r="C625" s="169" t="s">
        <v>1103</v>
      </c>
    </row>
    <row r="626" spans="1:3">
      <c r="A626" s="169" t="s">
        <v>1038</v>
      </c>
      <c r="B626" s="169" t="s">
        <v>1101</v>
      </c>
      <c r="C626" s="169" t="s">
        <v>1103</v>
      </c>
    </row>
    <row r="627" spans="1:3">
      <c r="A627" s="169" t="s">
        <v>1038</v>
      </c>
      <c r="B627" s="169" t="s">
        <v>1101</v>
      </c>
      <c r="C627" s="169" t="s">
        <v>1103</v>
      </c>
    </row>
    <row r="628" spans="1:3">
      <c r="A628" s="169" t="s">
        <v>1038</v>
      </c>
      <c r="B628" s="169" t="s">
        <v>1101</v>
      </c>
      <c r="C628" s="169" t="s">
        <v>1103</v>
      </c>
    </row>
    <row r="629" spans="1:3">
      <c r="A629" s="169" t="s">
        <v>1038</v>
      </c>
      <c r="B629" s="169" t="s">
        <v>1101</v>
      </c>
      <c r="C629" s="169" t="s">
        <v>1103</v>
      </c>
    </row>
    <row r="630" spans="1:3">
      <c r="A630" s="169" t="s">
        <v>1038</v>
      </c>
      <c r="B630" s="169" t="s">
        <v>1101</v>
      </c>
      <c r="C630" s="169" t="s">
        <v>1103</v>
      </c>
    </row>
    <row r="631" spans="1:3">
      <c r="A631" s="169" t="s">
        <v>1038</v>
      </c>
      <c r="B631" s="169" t="s">
        <v>1101</v>
      </c>
      <c r="C631" s="169" t="s">
        <v>1103</v>
      </c>
    </row>
    <row r="632" spans="1:3">
      <c r="A632" s="169" t="s">
        <v>1038</v>
      </c>
      <c r="B632" s="169" t="s">
        <v>1101</v>
      </c>
      <c r="C632" s="169" t="s">
        <v>1103</v>
      </c>
    </row>
    <row r="633" spans="1:3">
      <c r="A633" s="169" t="s">
        <v>1038</v>
      </c>
      <c r="B633" s="169" t="s">
        <v>1101</v>
      </c>
      <c r="C633" s="169" t="s">
        <v>1103</v>
      </c>
    </row>
    <row r="634" spans="1:3">
      <c r="A634" s="169" t="s">
        <v>1038</v>
      </c>
      <c r="B634" s="169" t="s">
        <v>1101</v>
      </c>
      <c r="C634" s="169" t="s">
        <v>1104</v>
      </c>
    </row>
    <row r="635" spans="1:3">
      <c r="A635" s="169" t="s">
        <v>1038</v>
      </c>
      <c r="B635" s="169" t="s">
        <v>1101</v>
      </c>
      <c r="C635" s="169" t="s">
        <v>1104</v>
      </c>
    </row>
    <row r="636" spans="1:3">
      <c r="A636" s="169" t="s">
        <v>1038</v>
      </c>
      <c r="B636" s="169" t="s">
        <v>1101</v>
      </c>
      <c r="C636" s="169" t="s">
        <v>1104</v>
      </c>
    </row>
    <row r="637" spans="1:3">
      <c r="A637" s="169" t="s">
        <v>1038</v>
      </c>
      <c r="B637" s="169" t="s">
        <v>1105</v>
      </c>
      <c r="C637" s="169" t="s">
        <v>1106</v>
      </c>
    </row>
    <row r="638" spans="1:3">
      <c r="A638" s="169" t="s">
        <v>1038</v>
      </c>
      <c r="B638" s="169" t="s">
        <v>1105</v>
      </c>
      <c r="C638" s="169" t="s">
        <v>1106</v>
      </c>
    </row>
    <row r="639" spans="1:3">
      <c r="A639" s="169" t="s">
        <v>1038</v>
      </c>
      <c r="B639" s="169" t="s">
        <v>1105</v>
      </c>
      <c r="C639" s="169" t="s">
        <v>1106</v>
      </c>
    </row>
    <row r="640" spans="1:3">
      <c r="A640" s="169" t="s">
        <v>1038</v>
      </c>
      <c r="B640" s="169" t="s">
        <v>1105</v>
      </c>
      <c r="C640" s="169" t="s">
        <v>1106</v>
      </c>
    </row>
    <row r="641" spans="1:3">
      <c r="A641" s="169" t="s">
        <v>1038</v>
      </c>
      <c r="B641" s="169" t="s">
        <v>1105</v>
      </c>
      <c r="C641" s="169" t="s">
        <v>1106</v>
      </c>
    </row>
    <row r="642" spans="1:3">
      <c r="A642" s="169" t="s">
        <v>1038</v>
      </c>
      <c r="B642" s="169" t="s">
        <v>1105</v>
      </c>
      <c r="C642" s="169" t="s">
        <v>1106</v>
      </c>
    </row>
    <row r="643" spans="1:3">
      <c r="A643" s="169" t="s">
        <v>1038</v>
      </c>
      <c r="B643" s="169" t="s">
        <v>1105</v>
      </c>
      <c r="C643" s="169" t="s">
        <v>1106</v>
      </c>
    </row>
    <row r="644" spans="1:3">
      <c r="A644" s="169" t="s">
        <v>1038</v>
      </c>
      <c r="B644" s="169" t="s">
        <v>1105</v>
      </c>
      <c r="C644" s="169" t="s">
        <v>1106</v>
      </c>
    </row>
    <row r="645" spans="1:3">
      <c r="A645" s="169" t="s">
        <v>1038</v>
      </c>
      <c r="B645" s="169" t="s">
        <v>1105</v>
      </c>
      <c r="C645" s="169" t="s">
        <v>1106</v>
      </c>
    </row>
    <row r="646" spans="1:3">
      <c r="A646" s="169" t="s">
        <v>1038</v>
      </c>
      <c r="B646" s="169" t="s">
        <v>1107</v>
      </c>
      <c r="C646" s="169" t="s">
        <v>1108</v>
      </c>
    </row>
    <row r="647" spans="1:3">
      <c r="A647" s="169" t="s">
        <v>1038</v>
      </c>
      <c r="B647" s="169" t="s">
        <v>1107</v>
      </c>
      <c r="C647" s="169" t="s">
        <v>1108</v>
      </c>
    </row>
    <row r="648" spans="1:3">
      <c r="A648" s="169" t="s">
        <v>1038</v>
      </c>
      <c r="B648" s="169" t="s">
        <v>1107</v>
      </c>
      <c r="C648" s="169" t="s">
        <v>1108</v>
      </c>
    </row>
    <row r="649" spans="1:3">
      <c r="A649" s="169" t="s">
        <v>1038</v>
      </c>
      <c r="B649" s="169" t="s">
        <v>1107</v>
      </c>
      <c r="C649" s="169" t="s">
        <v>1108</v>
      </c>
    </row>
    <row r="650" spans="1:3">
      <c r="A650" s="169" t="s">
        <v>1038</v>
      </c>
      <c r="B650" s="169" t="s">
        <v>1107</v>
      </c>
      <c r="C650" s="169" t="s">
        <v>1108</v>
      </c>
    </row>
    <row r="651" spans="1:3">
      <c r="A651" s="169" t="s">
        <v>1038</v>
      </c>
      <c r="B651" s="169" t="s">
        <v>1107</v>
      </c>
      <c r="C651" s="169" t="s">
        <v>1108</v>
      </c>
    </row>
    <row r="652" spans="1:3">
      <c r="A652" s="169" t="s">
        <v>1038</v>
      </c>
      <c r="B652" s="169" t="s">
        <v>1107</v>
      </c>
      <c r="C652" s="169" t="s">
        <v>1108</v>
      </c>
    </row>
    <row r="653" spans="1:3">
      <c r="A653" s="169" t="s">
        <v>1038</v>
      </c>
      <c r="B653" s="169" t="s">
        <v>1107</v>
      </c>
      <c r="C653" s="169" t="s">
        <v>1108</v>
      </c>
    </row>
    <row r="654" spans="1:3">
      <c r="A654" s="169" t="s">
        <v>1038</v>
      </c>
      <c r="B654" s="169" t="s">
        <v>1109</v>
      </c>
      <c r="C654" s="169" t="s">
        <v>1109</v>
      </c>
    </row>
    <row r="655" spans="1:3">
      <c r="A655" s="169" t="s">
        <v>1038</v>
      </c>
      <c r="B655" s="169" t="s">
        <v>1109</v>
      </c>
      <c r="C655" s="169" t="s">
        <v>1109</v>
      </c>
    </row>
    <row r="656" spans="1:3">
      <c r="A656" s="169" t="s">
        <v>1038</v>
      </c>
      <c r="B656" s="169" t="s">
        <v>1109</v>
      </c>
      <c r="C656" s="169" t="s">
        <v>1109</v>
      </c>
    </row>
  </sheetData>
  <mergeCells count="1">
    <mergeCell ref="G2:P2"/>
  </mergeCells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N147"/>
  <sheetViews>
    <sheetView workbookViewId="0"/>
  </sheetViews>
  <sheetFormatPr defaultColWidth="9" defaultRowHeight="12.75"/>
  <cols>
    <col min="1" max="3" width="9" style="19"/>
    <col min="4" max="4" width="19.28515625" style="19" customWidth="1"/>
    <col min="5" max="5" width="3.42578125" style="19" customWidth="1"/>
    <col min="6" max="7" width="1.42578125" style="19" customWidth="1"/>
    <col min="8" max="8" width="23.28515625" style="19" customWidth="1"/>
    <col min="9" max="9" width="12.42578125" style="19" bestFit="1" customWidth="1"/>
    <col min="10" max="16384" width="9" style="19"/>
  </cols>
  <sheetData>
    <row r="1" spans="3:14">
      <c r="D1" s="31" t="s">
        <v>86</v>
      </c>
    </row>
    <row r="2" spans="3:14">
      <c r="D2" s="145" t="s">
        <v>845</v>
      </c>
      <c r="E2" s="32"/>
    </row>
    <row r="3" spans="3:14">
      <c r="D3" s="21"/>
      <c r="E3" s="21"/>
      <c r="F3" s="21"/>
      <c r="G3" s="21"/>
      <c r="H3" s="21" t="s">
        <v>993</v>
      </c>
      <c r="I3" s="33">
        <v>2020.12</v>
      </c>
    </row>
    <row r="4" spans="3:14">
      <c r="C4" s="19" t="s">
        <v>870</v>
      </c>
      <c r="D4" s="26" t="s">
        <v>85</v>
      </c>
      <c r="E4" s="26"/>
      <c r="F4" s="26"/>
      <c r="G4" s="26"/>
      <c r="H4" s="26"/>
      <c r="I4" s="28">
        <v>24365979</v>
      </c>
      <c r="K4" s="146" t="s">
        <v>997</v>
      </c>
      <c r="L4" s="146"/>
      <c r="M4" s="146"/>
      <c r="N4" s="146"/>
    </row>
    <row r="5" spans="3:14">
      <c r="C5" s="19" t="s">
        <v>871</v>
      </c>
      <c r="D5" s="26"/>
      <c r="E5" s="26" t="s">
        <v>88</v>
      </c>
      <c r="F5" s="26"/>
      <c r="G5" s="26"/>
      <c r="H5" s="26"/>
      <c r="I5" s="180">
        <v>19860955</v>
      </c>
      <c r="K5" s="146" t="s">
        <v>88</v>
      </c>
      <c r="L5" s="146"/>
      <c r="M5" s="146"/>
      <c r="N5" s="146"/>
    </row>
    <row r="6" spans="3:14">
      <c r="C6" s="19" t="s">
        <v>872</v>
      </c>
      <c r="D6" s="26"/>
      <c r="E6" s="26"/>
      <c r="F6" s="26" t="s">
        <v>89</v>
      </c>
      <c r="G6" s="26"/>
      <c r="H6" s="26"/>
      <c r="I6" s="147">
        <v>13627521</v>
      </c>
      <c r="K6" s="146" t="s">
        <v>996</v>
      </c>
      <c r="L6" s="146" t="s">
        <v>89</v>
      </c>
      <c r="M6" s="146"/>
      <c r="N6" s="146"/>
    </row>
    <row r="7" spans="3:14">
      <c r="C7" s="19" t="s">
        <v>873</v>
      </c>
      <c r="D7" s="26"/>
      <c r="E7" s="26"/>
      <c r="F7" s="26"/>
      <c r="G7" s="26" t="s">
        <v>90</v>
      </c>
      <c r="H7" s="26"/>
      <c r="I7" s="180">
        <v>11689470</v>
      </c>
      <c r="K7" s="146"/>
      <c r="L7" s="146" t="s">
        <v>995</v>
      </c>
      <c r="M7" s="146" t="s">
        <v>90</v>
      </c>
      <c r="N7" s="146"/>
    </row>
    <row r="8" spans="3:14">
      <c r="C8" s="19" t="s">
        <v>857</v>
      </c>
      <c r="D8" s="26"/>
      <c r="E8" s="26"/>
      <c r="F8" s="26"/>
      <c r="G8" s="26"/>
      <c r="H8" s="26" t="s">
        <v>91</v>
      </c>
      <c r="I8" s="27">
        <v>146185</v>
      </c>
      <c r="K8" s="146"/>
      <c r="L8" s="146"/>
      <c r="M8" s="146" t="s">
        <v>857</v>
      </c>
      <c r="N8" s="146" t="s">
        <v>91</v>
      </c>
    </row>
    <row r="9" spans="3:14">
      <c r="C9" s="19" t="s">
        <v>858</v>
      </c>
      <c r="D9" s="26"/>
      <c r="E9" s="26"/>
      <c r="F9" s="26"/>
      <c r="G9" s="26"/>
      <c r="H9" s="26" t="s">
        <v>92</v>
      </c>
      <c r="I9" s="27">
        <v>1763118</v>
      </c>
      <c r="K9" s="146"/>
      <c r="L9" s="146"/>
      <c r="M9" s="146" t="s">
        <v>858</v>
      </c>
      <c r="N9" s="146" t="s">
        <v>92</v>
      </c>
    </row>
    <row r="10" spans="3:14">
      <c r="C10" s="19" t="s">
        <v>859</v>
      </c>
      <c r="D10" s="26"/>
      <c r="E10" s="26"/>
      <c r="F10" s="26"/>
      <c r="G10" s="26"/>
      <c r="H10" s="26" t="s">
        <v>93</v>
      </c>
      <c r="I10" s="27">
        <v>705219</v>
      </c>
      <c r="K10" s="146"/>
      <c r="L10" s="146"/>
      <c r="M10" s="146" t="s">
        <v>859</v>
      </c>
      <c r="N10" s="146" t="s">
        <v>93</v>
      </c>
    </row>
    <row r="11" spans="3:14">
      <c r="C11" s="19" t="s">
        <v>860</v>
      </c>
      <c r="D11" s="26"/>
      <c r="E11" s="26"/>
      <c r="F11" s="26"/>
      <c r="G11" s="26"/>
      <c r="H11" s="26" t="s">
        <v>94</v>
      </c>
      <c r="I11" s="27">
        <v>6114232</v>
      </c>
      <c r="K11" s="146"/>
      <c r="L11" s="146"/>
      <c r="M11" s="146" t="s">
        <v>860</v>
      </c>
      <c r="N11" s="146" t="s">
        <v>94</v>
      </c>
    </row>
    <row r="12" spans="3:14">
      <c r="C12" s="19" t="s">
        <v>861</v>
      </c>
      <c r="D12" s="26"/>
      <c r="E12" s="26"/>
      <c r="F12" s="26"/>
      <c r="G12" s="26"/>
      <c r="H12" s="26" t="s">
        <v>95</v>
      </c>
      <c r="I12" s="27">
        <v>1146082</v>
      </c>
      <c r="K12" s="146"/>
      <c r="L12" s="146"/>
      <c r="M12" s="146" t="s">
        <v>861</v>
      </c>
      <c r="N12" s="146" t="s">
        <v>95</v>
      </c>
    </row>
    <row r="13" spans="3:14">
      <c r="C13" s="19" t="s">
        <v>862</v>
      </c>
      <c r="D13" s="26"/>
      <c r="E13" s="26"/>
      <c r="F13" s="26"/>
      <c r="G13" s="26"/>
      <c r="H13" s="26" t="s">
        <v>96</v>
      </c>
      <c r="I13" s="27">
        <v>983921</v>
      </c>
      <c r="K13" s="146"/>
      <c r="L13" s="146"/>
      <c r="M13" s="146" t="s">
        <v>862</v>
      </c>
      <c r="N13" s="146" t="s">
        <v>96</v>
      </c>
    </row>
    <row r="14" spans="3:14">
      <c r="C14" s="19" t="s">
        <v>863</v>
      </c>
      <c r="D14" s="26"/>
      <c r="E14" s="26"/>
      <c r="F14" s="26"/>
      <c r="G14" s="26"/>
      <c r="H14" s="26" t="s">
        <v>97</v>
      </c>
      <c r="I14" s="27">
        <v>561245</v>
      </c>
      <c r="K14" s="146"/>
      <c r="L14" s="146"/>
      <c r="M14" s="146" t="s">
        <v>863</v>
      </c>
      <c r="N14" s="146" t="s">
        <v>97</v>
      </c>
    </row>
    <row r="15" spans="3:14">
      <c r="C15" s="19" t="s">
        <v>864</v>
      </c>
      <c r="D15" s="26"/>
      <c r="E15" s="26"/>
      <c r="F15" s="26"/>
      <c r="G15" s="26"/>
      <c r="H15" s="26" t="s">
        <v>98</v>
      </c>
      <c r="I15" s="27">
        <v>230840</v>
      </c>
      <c r="K15" s="146"/>
      <c r="L15" s="146"/>
      <c r="M15" s="146" t="s">
        <v>864</v>
      </c>
      <c r="N15" s="146" t="s">
        <v>98</v>
      </c>
    </row>
    <row r="16" spans="3:14">
      <c r="C16" s="19" t="s">
        <v>865</v>
      </c>
      <c r="D16" s="26"/>
      <c r="E16" s="26"/>
      <c r="F16" s="26"/>
      <c r="G16" s="26"/>
      <c r="H16" s="26" t="s">
        <v>99</v>
      </c>
      <c r="I16" s="27">
        <v>2792</v>
      </c>
      <c r="K16" s="146"/>
      <c r="L16" s="146"/>
      <c r="M16" s="146" t="s">
        <v>865</v>
      </c>
      <c r="N16" s="146" t="s">
        <v>99</v>
      </c>
    </row>
    <row r="17" spans="3:14">
      <c r="C17" s="19" t="s">
        <v>866</v>
      </c>
      <c r="D17" s="26"/>
      <c r="E17" s="26"/>
      <c r="F17" s="26"/>
      <c r="G17" s="26"/>
      <c r="H17" s="26" t="s">
        <v>100</v>
      </c>
      <c r="I17" s="27">
        <v>7003</v>
      </c>
      <c r="K17" s="146"/>
      <c r="L17" s="146"/>
      <c r="M17" s="146" t="s">
        <v>866</v>
      </c>
      <c r="N17" s="146" t="s">
        <v>100</v>
      </c>
    </row>
    <row r="18" spans="3:14">
      <c r="C18" s="19" t="s">
        <v>867</v>
      </c>
      <c r="D18" s="26"/>
      <c r="E18" s="26"/>
      <c r="F18" s="26"/>
      <c r="G18" s="26"/>
      <c r="H18" s="26" t="s">
        <v>101</v>
      </c>
      <c r="I18" s="27">
        <v>18352</v>
      </c>
      <c r="K18" s="146"/>
      <c r="L18" s="146"/>
      <c r="M18" s="146" t="s">
        <v>867</v>
      </c>
      <c r="N18" s="146" t="s">
        <v>101</v>
      </c>
    </row>
    <row r="19" spans="3:14">
      <c r="C19" s="19" t="s">
        <v>868</v>
      </c>
      <c r="D19" s="26"/>
      <c r="E19" s="26"/>
      <c r="F19" s="26"/>
      <c r="G19" s="26"/>
      <c r="H19" s="26" t="s">
        <v>102</v>
      </c>
      <c r="I19" s="27">
        <v>30</v>
      </c>
      <c r="K19" s="146"/>
      <c r="L19" s="146"/>
      <c r="M19" s="146" t="s">
        <v>868</v>
      </c>
      <c r="N19" s="146" t="s">
        <v>102</v>
      </c>
    </row>
    <row r="20" spans="3:14">
      <c r="C20" s="19" t="s">
        <v>869</v>
      </c>
      <c r="D20" s="26"/>
      <c r="E20" s="26"/>
      <c r="F20" s="26"/>
      <c r="G20" s="26"/>
      <c r="H20" s="26" t="s">
        <v>103</v>
      </c>
      <c r="I20" s="27">
        <v>10451</v>
      </c>
      <c r="K20" s="146"/>
      <c r="L20" s="146"/>
      <c r="M20" s="146" t="s">
        <v>869</v>
      </c>
      <c r="N20" s="146" t="s">
        <v>103</v>
      </c>
    </row>
    <row r="21" spans="3:14">
      <c r="C21" s="19" t="s">
        <v>887</v>
      </c>
      <c r="D21" s="26"/>
      <c r="E21" s="26"/>
      <c r="F21" s="26"/>
      <c r="G21" s="26" t="s">
        <v>104</v>
      </c>
      <c r="H21" s="26"/>
      <c r="I21" s="148">
        <v>1938051</v>
      </c>
      <c r="K21" s="146"/>
      <c r="L21" s="146"/>
      <c r="M21" s="146" t="s">
        <v>104</v>
      </c>
      <c r="N21" s="146"/>
    </row>
    <row r="22" spans="3:14">
      <c r="C22" s="19" t="s">
        <v>874</v>
      </c>
      <c r="D22" s="26"/>
      <c r="E22" s="26"/>
      <c r="F22" s="26"/>
      <c r="G22" s="26"/>
      <c r="H22" s="26" t="s">
        <v>105</v>
      </c>
      <c r="I22" s="27">
        <v>2469</v>
      </c>
      <c r="K22" s="146"/>
      <c r="L22" s="146"/>
      <c r="M22" s="146"/>
      <c r="N22" s="146" t="s">
        <v>105</v>
      </c>
    </row>
    <row r="23" spans="3:14">
      <c r="C23" s="19" t="s">
        <v>875</v>
      </c>
      <c r="D23" s="26"/>
      <c r="E23" s="26"/>
      <c r="F23" s="26"/>
      <c r="G23" s="26"/>
      <c r="H23" s="26" t="s">
        <v>106</v>
      </c>
      <c r="I23" s="27">
        <v>1963</v>
      </c>
      <c r="K23" s="146"/>
      <c r="L23" s="146"/>
      <c r="M23" s="146"/>
      <c r="N23" s="146" t="s">
        <v>106</v>
      </c>
    </row>
    <row r="24" spans="3:14">
      <c r="C24" s="19" t="s">
        <v>876</v>
      </c>
      <c r="D24" s="26"/>
      <c r="E24" s="26"/>
      <c r="F24" s="26"/>
      <c r="G24" s="26"/>
      <c r="H24" s="26" t="s">
        <v>107</v>
      </c>
      <c r="I24" s="27">
        <v>149213</v>
      </c>
      <c r="K24" s="146"/>
      <c r="L24" s="146"/>
      <c r="M24" s="146"/>
      <c r="N24" s="146" t="s">
        <v>107</v>
      </c>
    </row>
    <row r="25" spans="3:14">
      <c r="C25" s="19" t="s">
        <v>877</v>
      </c>
      <c r="D25" s="26"/>
      <c r="E25" s="26"/>
      <c r="F25" s="26"/>
      <c r="G25" s="26"/>
      <c r="H25" s="26" t="s">
        <v>108</v>
      </c>
      <c r="I25" s="27">
        <v>964949</v>
      </c>
      <c r="K25" s="146"/>
      <c r="L25" s="146"/>
      <c r="M25" s="146"/>
      <c r="N25" s="146" t="s">
        <v>108</v>
      </c>
    </row>
    <row r="26" spans="3:14">
      <c r="C26" s="19" t="s">
        <v>878</v>
      </c>
      <c r="D26" s="26"/>
      <c r="E26" s="26"/>
      <c r="F26" s="26"/>
      <c r="G26" s="26"/>
      <c r="H26" s="26" t="s">
        <v>109</v>
      </c>
      <c r="I26" s="27">
        <v>280102</v>
      </c>
      <c r="K26" s="146"/>
      <c r="L26" s="146"/>
      <c r="M26" s="146"/>
      <c r="N26" s="146" t="s">
        <v>109</v>
      </c>
    </row>
    <row r="27" spans="3:14">
      <c r="C27" s="19" t="s">
        <v>879</v>
      </c>
      <c r="D27" s="26"/>
      <c r="E27" s="26"/>
      <c r="F27" s="26"/>
      <c r="G27" s="26"/>
      <c r="H27" s="26" t="s">
        <v>110</v>
      </c>
      <c r="I27" s="27">
        <v>252821</v>
      </c>
      <c r="K27" s="146"/>
      <c r="L27" s="146"/>
      <c r="M27" s="146"/>
      <c r="N27" s="146" t="s">
        <v>110</v>
      </c>
    </row>
    <row r="28" spans="3:14">
      <c r="C28" s="19" t="s">
        <v>880</v>
      </c>
      <c r="D28" s="26"/>
      <c r="E28" s="26"/>
      <c r="F28" s="26"/>
      <c r="G28" s="26"/>
      <c r="H28" s="26" t="s">
        <v>111</v>
      </c>
      <c r="I28" s="27">
        <v>128341</v>
      </c>
      <c r="K28" s="146"/>
      <c r="L28" s="146"/>
      <c r="M28" s="146"/>
      <c r="N28" s="146" t="s">
        <v>111</v>
      </c>
    </row>
    <row r="29" spans="3:14">
      <c r="C29" s="19" t="s">
        <v>881</v>
      </c>
      <c r="D29" s="26"/>
      <c r="E29" s="26"/>
      <c r="F29" s="26"/>
      <c r="G29" s="26"/>
      <c r="H29" s="26" t="s">
        <v>112</v>
      </c>
      <c r="I29" s="27">
        <v>60285</v>
      </c>
      <c r="K29" s="146"/>
      <c r="L29" s="146"/>
      <c r="M29" s="146"/>
      <c r="N29" s="146" t="s">
        <v>112</v>
      </c>
    </row>
    <row r="30" spans="3:14">
      <c r="C30" s="19" t="s">
        <v>882</v>
      </c>
      <c r="D30" s="26"/>
      <c r="E30" s="26"/>
      <c r="F30" s="26"/>
      <c r="G30" s="26"/>
      <c r="H30" s="26" t="s">
        <v>113</v>
      </c>
      <c r="I30" s="27">
        <v>19969</v>
      </c>
      <c r="K30" s="146"/>
      <c r="L30" s="146"/>
      <c r="M30" s="146"/>
      <c r="N30" s="146" t="s">
        <v>113</v>
      </c>
    </row>
    <row r="31" spans="3:14">
      <c r="C31" s="19" t="s">
        <v>883</v>
      </c>
      <c r="D31" s="26"/>
      <c r="E31" s="26"/>
      <c r="F31" s="26"/>
      <c r="G31" s="26"/>
      <c r="H31" s="26" t="s">
        <v>114</v>
      </c>
      <c r="I31" s="27">
        <v>22420</v>
      </c>
      <c r="K31" s="146"/>
      <c r="L31" s="146"/>
      <c r="M31" s="146"/>
      <c r="N31" s="146" t="s">
        <v>114</v>
      </c>
    </row>
    <row r="32" spans="3:14">
      <c r="C32" s="19" t="s">
        <v>884</v>
      </c>
      <c r="D32" s="26"/>
      <c r="E32" s="26"/>
      <c r="F32" s="26"/>
      <c r="G32" s="26"/>
      <c r="H32" s="26" t="s">
        <v>115</v>
      </c>
      <c r="I32" s="27">
        <v>26121</v>
      </c>
      <c r="K32" s="146"/>
      <c r="L32" s="146"/>
      <c r="M32" s="146"/>
      <c r="N32" s="146" t="s">
        <v>115</v>
      </c>
    </row>
    <row r="33" spans="3:14">
      <c r="C33" s="19" t="s">
        <v>885</v>
      </c>
      <c r="D33" s="26"/>
      <c r="E33" s="26"/>
      <c r="F33" s="26"/>
      <c r="G33" s="26"/>
      <c r="H33" s="26" t="s">
        <v>116</v>
      </c>
      <c r="I33" s="27">
        <v>0</v>
      </c>
      <c r="K33" s="146"/>
      <c r="L33" s="146"/>
      <c r="M33" s="146"/>
      <c r="N33" s="146" t="s">
        <v>116</v>
      </c>
    </row>
    <row r="34" spans="3:14">
      <c r="C34" s="19" t="s">
        <v>886</v>
      </c>
      <c r="D34" s="26"/>
      <c r="E34" s="26"/>
      <c r="F34" s="26"/>
      <c r="G34" s="26"/>
      <c r="H34" s="26" t="s">
        <v>117</v>
      </c>
      <c r="I34" s="27">
        <v>29398</v>
      </c>
      <c r="K34" s="146"/>
      <c r="L34" s="146"/>
      <c r="M34" s="146"/>
      <c r="N34" s="146" t="s">
        <v>117</v>
      </c>
    </row>
    <row r="35" spans="3:14">
      <c r="C35" s="19" t="s">
        <v>896</v>
      </c>
      <c r="D35" s="26"/>
      <c r="E35" s="26"/>
      <c r="F35" s="26" t="s">
        <v>118</v>
      </c>
      <c r="G35" s="26"/>
      <c r="H35" s="26"/>
      <c r="I35" s="148">
        <v>76936</v>
      </c>
      <c r="K35" s="146" t="s">
        <v>896</v>
      </c>
      <c r="L35" s="146" t="s">
        <v>118</v>
      </c>
      <c r="M35" s="146"/>
      <c r="N35" s="146"/>
    </row>
    <row r="36" spans="3:14">
      <c r="C36" s="19" t="s">
        <v>888</v>
      </c>
      <c r="D36" s="26"/>
      <c r="E36" s="26"/>
      <c r="F36" s="26"/>
      <c r="G36" s="26"/>
      <c r="H36" s="26" t="s">
        <v>119</v>
      </c>
      <c r="I36" s="27">
        <v>72950</v>
      </c>
      <c r="K36" s="146"/>
      <c r="L36" s="146"/>
      <c r="M36" s="146" t="s">
        <v>888</v>
      </c>
      <c r="N36" s="146" t="s">
        <v>119</v>
      </c>
    </row>
    <row r="37" spans="3:14">
      <c r="C37" s="19" t="s">
        <v>889</v>
      </c>
      <c r="D37" s="26"/>
      <c r="E37" s="26"/>
      <c r="F37" s="26"/>
      <c r="G37" s="26"/>
      <c r="H37" s="26" t="s">
        <v>120</v>
      </c>
      <c r="I37" s="27">
        <v>43</v>
      </c>
      <c r="K37" s="146"/>
      <c r="L37" s="146"/>
      <c r="M37" s="146" t="s">
        <v>889</v>
      </c>
      <c r="N37" s="146" t="s">
        <v>120</v>
      </c>
    </row>
    <row r="38" spans="3:14">
      <c r="C38" s="19" t="s">
        <v>890</v>
      </c>
      <c r="D38" s="26"/>
      <c r="E38" s="26"/>
      <c r="F38" s="26"/>
      <c r="G38" s="26"/>
      <c r="H38" s="26" t="s">
        <v>121</v>
      </c>
      <c r="I38" s="27">
        <v>3158</v>
      </c>
      <c r="K38" s="146"/>
      <c r="L38" s="146"/>
      <c r="M38" s="146" t="s">
        <v>890</v>
      </c>
      <c r="N38" s="146" t="s">
        <v>121</v>
      </c>
    </row>
    <row r="39" spans="3:14">
      <c r="C39" s="19" t="s">
        <v>891</v>
      </c>
      <c r="D39" s="26"/>
      <c r="E39" s="26"/>
      <c r="F39" s="26"/>
      <c r="G39" s="26"/>
      <c r="H39" s="26" t="s">
        <v>122</v>
      </c>
      <c r="I39" s="27">
        <v>239</v>
      </c>
      <c r="K39" s="146"/>
      <c r="L39" s="146"/>
      <c r="M39" s="146" t="s">
        <v>891</v>
      </c>
      <c r="N39" s="146" t="s">
        <v>122</v>
      </c>
    </row>
    <row r="40" spans="3:14">
      <c r="C40" s="19" t="s">
        <v>892</v>
      </c>
      <c r="D40" s="26"/>
      <c r="E40" s="26"/>
      <c r="F40" s="26"/>
      <c r="G40" s="26"/>
      <c r="H40" s="26" t="s">
        <v>123</v>
      </c>
      <c r="I40" s="27">
        <v>60</v>
      </c>
      <c r="K40" s="146"/>
      <c r="L40" s="146"/>
      <c r="M40" s="146" t="s">
        <v>892</v>
      </c>
      <c r="N40" s="146" t="s">
        <v>123</v>
      </c>
    </row>
    <row r="41" spans="3:14">
      <c r="C41" s="19" t="s">
        <v>893</v>
      </c>
      <c r="D41" s="26"/>
      <c r="E41" s="26"/>
      <c r="F41" s="26"/>
      <c r="G41" s="26"/>
      <c r="H41" s="26" t="s">
        <v>124</v>
      </c>
      <c r="I41" s="27">
        <v>486</v>
      </c>
      <c r="K41" s="146"/>
      <c r="L41" s="146"/>
      <c r="M41" s="146" t="s">
        <v>893</v>
      </c>
      <c r="N41" s="146" t="s">
        <v>124</v>
      </c>
    </row>
    <row r="42" spans="3:14">
      <c r="C42" s="19" t="s">
        <v>894</v>
      </c>
      <c r="D42" s="26"/>
      <c r="E42" s="26"/>
      <c r="F42" s="26"/>
      <c r="G42" s="26"/>
      <c r="H42" s="26" t="s">
        <v>125</v>
      </c>
      <c r="I42" s="27">
        <v>0</v>
      </c>
      <c r="K42" s="146"/>
      <c r="L42" s="146"/>
      <c r="M42" s="146" t="s">
        <v>894</v>
      </c>
      <c r="N42" s="146" t="s">
        <v>125</v>
      </c>
    </row>
    <row r="43" spans="3:14">
      <c r="C43" s="19" t="s">
        <v>895</v>
      </c>
      <c r="D43" s="26"/>
      <c r="E43" s="26"/>
      <c r="F43" s="26"/>
      <c r="G43" s="26"/>
      <c r="H43" s="26" t="s">
        <v>126</v>
      </c>
      <c r="I43" s="27">
        <v>0</v>
      </c>
      <c r="K43" s="146"/>
      <c r="L43" s="146"/>
      <c r="M43" s="146" t="s">
        <v>895</v>
      </c>
      <c r="N43" s="146" t="s">
        <v>126</v>
      </c>
    </row>
    <row r="44" spans="3:14">
      <c r="C44" s="19" t="s">
        <v>905</v>
      </c>
      <c r="D44" s="26"/>
      <c r="E44" s="26"/>
      <c r="F44" s="26" t="s">
        <v>127</v>
      </c>
      <c r="G44" s="26"/>
      <c r="H44" s="26"/>
      <c r="I44" s="148">
        <v>4927216</v>
      </c>
      <c r="K44" s="146"/>
      <c r="L44" s="146" t="s">
        <v>127</v>
      </c>
      <c r="M44" s="146"/>
      <c r="N44" s="146"/>
    </row>
    <row r="45" spans="3:14">
      <c r="C45" s="19" t="s">
        <v>897</v>
      </c>
      <c r="D45" s="26"/>
      <c r="E45" s="26"/>
      <c r="F45" s="26"/>
      <c r="G45" s="26"/>
      <c r="H45" s="26" t="s">
        <v>128</v>
      </c>
      <c r="I45" s="27">
        <v>32827</v>
      </c>
      <c r="K45" s="146"/>
      <c r="L45" s="146"/>
      <c r="M45" s="146" t="s">
        <v>897</v>
      </c>
      <c r="N45" s="146" t="s">
        <v>128</v>
      </c>
    </row>
    <row r="46" spans="3:14">
      <c r="C46" s="19" t="s">
        <v>898</v>
      </c>
      <c r="D46" s="26"/>
      <c r="E46" s="26"/>
      <c r="F46" s="26"/>
      <c r="G46" s="26"/>
      <c r="H46" s="26" t="s">
        <v>129</v>
      </c>
      <c r="I46" s="27">
        <v>3269202</v>
      </c>
      <c r="K46" s="146"/>
      <c r="L46" s="146"/>
      <c r="M46" s="146" t="s">
        <v>898</v>
      </c>
      <c r="N46" s="146" t="s">
        <v>129</v>
      </c>
    </row>
    <row r="47" spans="3:14">
      <c r="C47" s="19" t="s">
        <v>899</v>
      </c>
      <c r="D47" s="26"/>
      <c r="E47" s="26"/>
      <c r="F47" s="26"/>
      <c r="G47" s="26"/>
      <c r="H47" s="26" t="s">
        <v>130</v>
      </c>
      <c r="I47" s="27">
        <v>971998</v>
      </c>
      <c r="K47" s="146"/>
      <c r="L47" s="146"/>
      <c r="M47" s="146" t="s">
        <v>899</v>
      </c>
      <c r="N47" s="146" t="s">
        <v>130</v>
      </c>
    </row>
    <row r="48" spans="3:14">
      <c r="C48" s="19" t="s">
        <v>900</v>
      </c>
      <c r="D48" s="26"/>
      <c r="E48" s="26"/>
      <c r="F48" s="26"/>
      <c r="G48" s="26"/>
      <c r="H48" s="26" t="s">
        <v>131</v>
      </c>
      <c r="I48" s="27">
        <v>472657</v>
      </c>
      <c r="K48" s="146"/>
      <c r="L48" s="146"/>
      <c r="M48" s="146" t="s">
        <v>900</v>
      </c>
      <c r="N48" s="146" t="s">
        <v>131</v>
      </c>
    </row>
    <row r="49" spans="3:14">
      <c r="C49" s="19" t="s">
        <v>901</v>
      </c>
      <c r="D49" s="26"/>
      <c r="E49" s="26"/>
      <c r="F49" s="26"/>
      <c r="G49" s="26"/>
      <c r="H49" s="26" t="s">
        <v>132</v>
      </c>
      <c r="I49" s="27">
        <v>46478</v>
      </c>
      <c r="K49" s="146"/>
      <c r="L49" s="146"/>
      <c r="M49" s="146" t="s">
        <v>901</v>
      </c>
      <c r="N49" s="146" t="s">
        <v>132</v>
      </c>
    </row>
    <row r="50" spans="3:14">
      <c r="C50" s="19" t="s">
        <v>902</v>
      </c>
      <c r="D50" s="26"/>
      <c r="E50" s="26"/>
      <c r="F50" s="26"/>
      <c r="G50" s="26"/>
      <c r="H50" s="26" t="s">
        <v>133</v>
      </c>
      <c r="I50" s="27">
        <v>88510</v>
      </c>
      <c r="K50" s="146"/>
      <c r="L50" s="146"/>
      <c r="M50" s="146" t="s">
        <v>902</v>
      </c>
      <c r="N50" s="146" t="s">
        <v>133</v>
      </c>
    </row>
    <row r="51" spans="3:14">
      <c r="C51" s="19" t="s">
        <v>903</v>
      </c>
      <c r="D51" s="26"/>
      <c r="E51" s="26"/>
      <c r="F51" s="26"/>
      <c r="G51" s="26"/>
      <c r="H51" s="26" t="s">
        <v>134</v>
      </c>
      <c r="I51" s="27">
        <v>3</v>
      </c>
      <c r="K51" s="146"/>
      <c r="L51" s="146"/>
      <c r="M51" s="146" t="s">
        <v>903</v>
      </c>
      <c r="N51" s="146" t="s">
        <v>134</v>
      </c>
    </row>
    <row r="52" spans="3:14">
      <c r="C52" s="19" t="s">
        <v>904</v>
      </c>
      <c r="D52" s="26"/>
      <c r="E52" s="26"/>
      <c r="F52" s="26"/>
      <c r="G52" s="26"/>
      <c r="H52" s="26" t="s">
        <v>135</v>
      </c>
      <c r="I52" s="27">
        <v>45541</v>
      </c>
      <c r="K52" s="146"/>
      <c r="L52" s="146"/>
      <c r="M52" s="146" t="s">
        <v>904</v>
      </c>
      <c r="N52" s="146" t="s">
        <v>135</v>
      </c>
    </row>
    <row r="53" spans="3:14">
      <c r="C53" s="19" t="s">
        <v>914</v>
      </c>
      <c r="D53" s="26"/>
      <c r="E53" s="26"/>
      <c r="F53" s="26" t="s">
        <v>136</v>
      </c>
      <c r="G53" s="26"/>
      <c r="H53" s="26"/>
      <c r="I53" s="148">
        <v>1229282</v>
      </c>
      <c r="K53" s="146"/>
      <c r="L53" s="146" t="s">
        <v>136</v>
      </c>
      <c r="M53" s="146"/>
      <c r="N53" s="146"/>
    </row>
    <row r="54" spans="3:14">
      <c r="C54" s="19" t="s">
        <v>912</v>
      </c>
      <c r="D54" s="26"/>
      <c r="E54" s="26"/>
      <c r="F54" s="26"/>
      <c r="G54" s="26"/>
      <c r="H54" s="26" t="s">
        <v>137</v>
      </c>
      <c r="I54" s="27">
        <v>105816</v>
      </c>
      <c r="K54" s="146"/>
      <c r="L54" s="146"/>
      <c r="M54" s="146" t="s">
        <v>912</v>
      </c>
      <c r="N54" s="146" t="s">
        <v>137</v>
      </c>
    </row>
    <row r="55" spans="3:14">
      <c r="C55" s="19" t="s">
        <v>906</v>
      </c>
      <c r="D55" s="26"/>
      <c r="E55" s="26"/>
      <c r="F55" s="26"/>
      <c r="G55" s="26"/>
      <c r="H55" s="26" t="s">
        <v>138</v>
      </c>
      <c r="I55" s="27">
        <v>572188</v>
      </c>
      <c r="K55" s="146"/>
      <c r="L55" s="146"/>
      <c r="M55" s="146" t="s">
        <v>906</v>
      </c>
      <c r="N55" s="146" t="s">
        <v>138</v>
      </c>
    </row>
    <row r="56" spans="3:14">
      <c r="C56" s="19" t="s">
        <v>907</v>
      </c>
      <c r="D56" s="26"/>
      <c r="E56" s="26"/>
      <c r="F56" s="26"/>
      <c r="G56" s="26"/>
      <c r="H56" s="26" t="s">
        <v>139</v>
      </c>
      <c r="I56" s="27">
        <v>447550</v>
      </c>
      <c r="K56" s="146"/>
      <c r="L56" s="146"/>
      <c r="M56" s="146" t="s">
        <v>907</v>
      </c>
      <c r="N56" s="146" t="s">
        <v>139</v>
      </c>
    </row>
    <row r="57" spans="3:14">
      <c r="C57" s="19" t="s">
        <v>908</v>
      </c>
      <c r="D57" s="26"/>
      <c r="E57" s="26"/>
      <c r="F57" s="26"/>
      <c r="G57" s="26"/>
      <c r="H57" s="26" t="s">
        <v>140</v>
      </c>
      <c r="I57" s="27">
        <v>47492</v>
      </c>
      <c r="K57" s="146"/>
      <c r="L57" s="146"/>
      <c r="M57" s="146" t="s">
        <v>908</v>
      </c>
      <c r="N57" s="146" t="s">
        <v>140</v>
      </c>
    </row>
    <row r="58" spans="3:14">
      <c r="C58" s="19" t="s">
        <v>909</v>
      </c>
      <c r="D58" s="26"/>
      <c r="E58" s="26"/>
      <c r="F58" s="26"/>
      <c r="G58" s="26"/>
      <c r="H58" s="26" t="s">
        <v>141</v>
      </c>
      <c r="I58" s="27">
        <v>37226</v>
      </c>
      <c r="K58" s="146"/>
      <c r="L58" s="146"/>
      <c r="M58" s="146" t="s">
        <v>909</v>
      </c>
      <c r="N58" s="146" t="s">
        <v>141</v>
      </c>
    </row>
    <row r="59" spans="3:14">
      <c r="C59" s="19" t="s">
        <v>910</v>
      </c>
      <c r="D59" s="26"/>
      <c r="E59" s="26"/>
      <c r="F59" s="26"/>
      <c r="G59" s="26"/>
      <c r="H59" s="26" t="s">
        <v>142</v>
      </c>
      <c r="I59" s="27">
        <v>2219</v>
      </c>
      <c r="K59" s="146"/>
      <c r="L59" s="146"/>
      <c r="M59" s="146" t="s">
        <v>910</v>
      </c>
      <c r="N59" s="146" t="s">
        <v>142</v>
      </c>
    </row>
    <row r="60" spans="3:14">
      <c r="C60" s="19" t="s">
        <v>911</v>
      </c>
      <c r="D60" s="26"/>
      <c r="E60" s="26"/>
      <c r="F60" s="26"/>
      <c r="G60" s="26"/>
      <c r="H60" s="26" t="s">
        <v>143</v>
      </c>
      <c r="I60" s="27">
        <v>136</v>
      </c>
      <c r="K60" s="146"/>
      <c r="L60" s="146"/>
      <c r="M60" s="146" t="s">
        <v>911</v>
      </c>
      <c r="N60" s="146" t="s">
        <v>143</v>
      </c>
    </row>
    <row r="61" spans="3:14">
      <c r="C61" s="19" t="s">
        <v>913</v>
      </c>
      <c r="D61" s="26"/>
      <c r="E61" s="26"/>
      <c r="F61" s="26"/>
      <c r="G61" s="26"/>
      <c r="H61" s="26" t="s">
        <v>144</v>
      </c>
      <c r="I61" s="27">
        <v>16655</v>
      </c>
      <c r="K61" s="146"/>
      <c r="L61" s="146"/>
      <c r="M61" s="146" t="s">
        <v>913</v>
      </c>
      <c r="N61" s="146" t="s">
        <v>144</v>
      </c>
    </row>
    <row r="62" spans="3:14">
      <c r="C62" s="19" t="s">
        <v>915</v>
      </c>
      <c r="D62" s="26"/>
      <c r="E62" s="26" t="s">
        <v>145</v>
      </c>
      <c r="F62" s="26"/>
      <c r="G62" s="26"/>
      <c r="H62" s="26"/>
      <c r="I62" s="149">
        <v>783842</v>
      </c>
      <c r="K62" s="146" t="s">
        <v>145</v>
      </c>
      <c r="L62" s="146"/>
      <c r="M62" s="146"/>
      <c r="N62" s="146"/>
    </row>
    <row r="63" spans="3:14">
      <c r="C63" s="19" t="s">
        <v>922</v>
      </c>
      <c r="D63" s="26"/>
      <c r="E63" s="26"/>
      <c r="F63" s="26" t="s">
        <v>146</v>
      </c>
      <c r="G63" s="26"/>
      <c r="H63" s="26"/>
      <c r="I63" s="27">
        <v>746870</v>
      </c>
      <c r="K63" s="146"/>
      <c r="L63" s="146" t="s">
        <v>146</v>
      </c>
      <c r="M63" s="146"/>
      <c r="N63" s="146"/>
    </row>
    <row r="64" spans="3:14">
      <c r="C64" s="19" t="s">
        <v>916</v>
      </c>
      <c r="D64" s="26"/>
      <c r="E64" s="26"/>
      <c r="F64" s="26"/>
      <c r="G64" s="26" t="s">
        <v>147</v>
      </c>
      <c r="H64" s="26"/>
      <c r="I64" s="149">
        <v>42182</v>
      </c>
      <c r="K64" s="146"/>
      <c r="L64" s="146"/>
      <c r="M64" s="146" t="s">
        <v>147</v>
      </c>
      <c r="N64" s="146" t="s">
        <v>916</v>
      </c>
    </row>
    <row r="65" spans="3:14">
      <c r="C65" s="19" t="s">
        <v>917</v>
      </c>
      <c r="D65" s="26"/>
      <c r="E65" s="26"/>
      <c r="F65" s="26"/>
      <c r="G65" s="26" t="s">
        <v>148</v>
      </c>
      <c r="H65" s="26"/>
      <c r="I65" s="149">
        <v>24283</v>
      </c>
      <c r="K65" s="146"/>
      <c r="L65" s="146"/>
      <c r="M65" s="146" t="s">
        <v>148</v>
      </c>
      <c r="N65" s="146" t="s">
        <v>917</v>
      </c>
    </row>
    <row r="66" spans="3:14">
      <c r="C66" s="19" t="s">
        <v>918</v>
      </c>
      <c r="D66" s="26"/>
      <c r="E66" s="26"/>
      <c r="F66" s="26"/>
      <c r="G66" s="26" t="s">
        <v>149</v>
      </c>
      <c r="H66" s="26"/>
      <c r="I66" s="149">
        <v>40287</v>
      </c>
      <c r="K66" s="146"/>
      <c r="L66" s="146"/>
      <c r="M66" s="146" t="s">
        <v>149</v>
      </c>
      <c r="N66" s="146" t="s">
        <v>918</v>
      </c>
    </row>
    <row r="67" spans="3:14">
      <c r="C67" s="19" t="s">
        <v>919</v>
      </c>
      <c r="D67" s="26"/>
      <c r="E67" s="26"/>
      <c r="F67" s="26"/>
      <c r="G67" s="26" t="s">
        <v>150</v>
      </c>
      <c r="H67" s="26"/>
      <c r="I67" s="149">
        <v>24</v>
      </c>
      <c r="K67" s="146"/>
      <c r="L67" s="146"/>
      <c r="M67" s="146" t="s">
        <v>150</v>
      </c>
      <c r="N67" s="146" t="s">
        <v>919</v>
      </c>
    </row>
    <row r="68" spans="3:14">
      <c r="C68" s="19" t="s">
        <v>920</v>
      </c>
      <c r="D68" s="26"/>
      <c r="E68" s="26"/>
      <c r="F68" s="26"/>
      <c r="G68" s="26" t="s">
        <v>151</v>
      </c>
      <c r="H68" s="26"/>
      <c r="I68" s="28">
        <v>0</v>
      </c>
      <c r="K68" s="146"/>
      <c r="L68" s="146"/>
      <c r="M68" s="146" t="s">
        <v>151</v>
      </c>
      <c r="N68" s="146" t="s">
        <v>920</v>
      </c>
    </row>
    <row r="69" spans="3:14">
      <c r="C69" s="19" t="s">
        <v>921</v>
      </c>
      <c r="D69" s="26"/>
      <c r="E69" s="26"/>
      <c r="F69" s="26"/>
      <c r="G69" s="26" t="s">
        <v>152</v>
      </c>
      <c r="H69" s="26"/>
      <c r="I69" s="28">
        <v>0</v>
      </c>
      <c r="K69" s="146"/>
      <c r="L69" s="146"/>
      <c r="M69" s="146" t="s">
        <v>152</v>
      </c>
      <c r="N69" s="146" t="s">
        <v>921</v>
      </c>
    </row>
    <row r="70" spans="3:14">
      <c r="C70" s="19" t="s">
        <v>923</v>
      </c>
      <c r="D70" s="26"/>
      <c r="E70" s="26"/>
      <c r="F70" s="26"/>
      <c r="G70" s="26" t="s">
        <v>153</v>
      </c>
      <c r="H70" s="26"/>
      <c r="I70" s="149">
        <v>640094</v>
      </c>
      <c r="K70" s="146"/>
      <c r="L70" s="146"/>
      <c r="M70" s="146" t="s">
        <v>153</v>
      </c>
      <c r="N70" s="146" t="s">
        <v>998</v>
      </c>
    </row>
    <row r="71" spans="3:14">
      <c r="C71" s="19" t="s">
        <v>924</v>
      </c>
      <c r="D71" s="26"/>
      <c r="E71" s="26"/>
      <c r="F71" s="26"/>
      <c r="G71" s="26"/>
      <c r="H71" s="26" t="s">
        <v>154</v>
      </c>
      <c r="I71" s="27">
        <v>593704</v>
      </c>
      <c r="K71" s="146"/>
      <c r="L71" s="146"/>
      <c r="M71" s="146"/>
      <c r="N71" s="146" t="s">
        <v>999</v>
      </c>
    </row>
    <row r="72" spans="3:14">
      <c r="C72" s="19" t="s">
        <v>925</v>
      </c>
      <c r="D72" s="26"/>
      <c r="E72" s="26"/>
      <c r="F72" s="26"/>
      <c r="G72" s="26"/>
      <c r="H72" s="26" t="s">
        <v>155</v>
      </c>
      <c r="I72" s="27">
        <v>16313</v>
      </c>
      <c r="K72" s="146"/>
      <c r="L72" s="146"/>
      <c r="M72" s="146" t="s">
        <v>1000</v>
      </c>
      <c r="N72" s="146" t="s">
        <v>155</v>
      </c>
    </row>
    <row r="73" spans="3:14">
      <c r="C73" s="19" t="s">
        <v>926</v>
      </c>
      <c r="D73" s="26"/>
      <c r="E73" s="26"/>
      <c r="F73" s="26"/>
      <c r="G73" s="26"/>
      <c r="H73" s="26" t="s">
        <v>156</v>
      </c>
      <c r="I73" s="27">
        <v>10680</v>
      </c>
      <c r="K73" s="146"/>
      <c r="L73" s="146"/>
      <c r="M73" s="146" t="s">
        <v>1001</v>
      </c>
      <c r="N73" s="146" t="s">
        <v>156</v>
      </c>
    </row>
    <row r="74" spans="3:14">
      <c r="C74" s="19" t="s">
        <v>927</v>
      </c>
      <c r="D74" s="26"/>
      <c r="E74" s="26"/>
      <c r="F74" s="26"/>
      <c r="G74" s="26"/>
      <c r="H74" s="26" t="s">
        <v>157</v>
      </c>
      <c r="I74" s="27">
        <v>18642</v>
      </c>
      <c r="K74" s="146"/>
      <c r="L74" s="146"/>
      <c r="M74" s="146" t="s">
        <v>1002</v>
      </c>
      <c r="N74" s="146" t="s">
        <v>157</v>
      </c>
    </row>
    <row r="75" spans="3:14">
      <c r="C75" s="19" t="s">
        <v>928</v>
      </c>
      <c r="D75" s="26"/>
      <c r="E75" s="26"/>
      <c r="F75" s="26"/>
      <c r="G75" s="26"/>
      <c r="H75" s="26" t="s">
        <v>158</v>
      </c>
      <c r="I75" s="27">
        <v>755</v>
      </c>
      <c r="K75" s="146"/>
      <c r="L75" s="146"/>
      <c r="M75" s="146" t="s">
        <v>1003</v>
      </c>
      <c r="N75" s="146" t="s">
        <v>158</v>
      </c>
    </row>
    <row r="76" spans="3:14">
      <c r="D76" s="26"/>
      <c r="E76" s="26"/>
      <c r="F76" s="26" t="s">
        <v>159</v>
      </c>
      <c r="G76" s="26"/>
      <c r="H76" s="26"/>
      <c r="I76" s="149">
        <v>36972</v>
      </c>
      <c r="K76" s="146"/>
      <c r="L76" s="146" t="s">
        <v>159</v>
      </c>
      <c r="M76" s="146"/>
      <c r="N76" s="146"/>
    </row>
    <row r="77" spans="3:14">
      <c r="C77" s="19" t="s">
        <v>934</v>
      </c>
      <c r="D77" s="26"/>
      <c r="E77" s="26"/>
      <c r="F77" s="26"/>
      <c r="G77" s="26" t="s">
        <v>160</v>
      </c>
      <c r="H77" s="26"/>
      <c r="I77" s="27">
        <v>6287</v>
      </c>
      <c r="K77" s="146"/>
      <c r="L77" s="146"/>
      <c r="M77" s="146" t="s">
        <v>160</v>
      </c>
      <c r="N77" s="146" t="s">
        <v>934</v>
      </c>
    </row>
    <row r="78" spans="3:14">
      <c r="C78" s="19" t="s">
        <v>935</v>
      </c>
      <c r="D78" s="26"/>
      <c r="E78" s="26"/>
      <c r="F78" s="26"/>
      <c r="G78" s="26" t="s">
        <v>161</v>
      </c>
      <c r="H78" s="26"/>
      <c r="I78" s="27">
        <v>428</v>
      </c>
      <c r="K78" s="146"/>
      <c r="L78" s="146"/>
      <c r="M78" s="146" t="s">
        <v>161</v>
      </c>
      <c r="N78" s="146" t="s">
        <v>935</v>
      </c>
    </row>
    <row r="79" spans="3:14">
      <c r="C79" s="19" t="s">
        <v>936</v>
      </c>
      <c r="D79" s="26"/>
      <c r="E79" s="26"/>
      <c r="F79" s="26"/>
      <c r="G79" s="26" t="s">
        <v>162</v>
      </c>
      <c r="H79" s="26"/>
      <c r="I79" s="27">
        <v>10</v>
      </c>
      <c r="K79" s="146"/>
      <c r="L79" s="146"/>
      <c r="M79" s="146" t="s">
        <v>162</v>
      </c>
      <c r="N79" s="146" t="s">
        <v>936</v>
      </c>
    </row>
    <row r="80" spans="3:14">
      <c r="C80" s="19" t="s">
        <v>937</v>
      </c>
      <c r="D80" s="26"/>
      <c r="E80" s="26"/>
      <c r="F80" s="26"/>
      <c r="G80" s="26" t="s">
        <v>163</v>
      </c>
      <c r="H80" s="26"/>
      <c r="I80" s="27">
        <v>69</v>
      </c>
      <c r="K80" s="146"/>
      <c r="L80" s="146"/>
      <c r="M80" s="146" t="s">
        <v>163</v>
      </c>
      <c r="N80" s="146" t="s">
        <v>937</v>
      </c>
    </row>
    <row r="81" spans="3:14">
      <c r="C81" s="19" t="s">
        <v>938</v>
      </c>
      <c r="D81" s="26"/>
      <c r="E81" s="26"/>
      <c r="F81" s="26"/>
      <c r="G81" s="26" t="s">
        <v>164</v>
      </c>
      <c r="H81" s="26"/>
      <c r="I81" s="27">
        <v>15665</v>
      </c>
      <c r="K81" s="146"/>
      <c r="L81" s="146"/>
      <c r="M81" s="146" t="s">
        <v>164</v>
      </c>
      <c r="N81" s="146" t="s">
        <v>938</v>
      </c>
    </row>
    <row r="82" spans="3:14">
      <c r="C82" s="19" t="s">
        <v>939</v>
      </c>
      <c r="D82" s="26"/>
      <c r="E82" s="26"/>
      <c r="F82" s="26"/>
      <c r="G82" s="26" t="s">
        <v>165</v>
      </c>
      <c r="H82" s="26"/>
      <c r="I82" s="27">
        <v>14513</v>
      </c>
      <c r="K82" s="146"/>
      <c r="L82" s="146"/>
      <c r="M82" s="146" t="s">
        <v>165</v>
      </c>
      <c r="N82" s="146" t="s">
        <v>939</v>
      </c>
    </row>
    <row r="83" spans="3:14">
      <c r="C83" s="19" t="s">
        <v>940</v>
      </c>
      <c r="D83" s="26"/>
      <c r="E83" s="26" t="s">
        <v>166</v>
      </c>
      <c r="F83" s="26"/>
      <c r="G83" s="26"/>
      <c r="H83" s="26"/>
      <c r="I83" s="28">
        <v>3615245</v>
      </c>
      <c r="K83" s="146" t="s">
        <v>166</v>
      </c>
      <c r="L83" s="146"/>
      <c r="M83" s="146"/>
      <c r="N83" s="146" t="s">
        <v>940</v>
      </c>
    </row>
    <row r="84" spans="3:14">
      <c r="D84" s="26"/>
      <c r="E84" s="26"/>
      <c r="F84" s="26" t="s">
        <v>167</v>
      </c>
      <c r="G84" s="26"/>
      <c r="H84" s="26"/>
      <c r="I84" s="28">
        <v>2574857</v>
      </c>
      <c r="K84" s="146"/>
      <c r="L84" s="146" t="s">
        <v>167</v>
      </c>
      <c r="M84" s="146"/>
      <c r="N84" s="146"/>
    </row>
    <row r="85" spans="3:14">
      <c r="C85" s="19" t="s">
        <v>941</v>
      </c>
      <c r="D85" s="26"/>
      <c r="E85" s="26"/>
      <c r="F85" s="26"/>
      <c r="G85" s="26" t="s">
        <v>168</v>
      </c>
      <c r="H85" s="26"/>
      <c r="I85" s="150">
        <v>333040</v>
      </c>
      <c r="K85" s="146"/>
      <c r="L85" s="146"/>
      <c r="M85" s="146" t="s">
        <v>168</v>
      </c>
      <c r="N85" s="146"/>
    </row>
    <row r="86" spans="3:14">
      <c r="C86" s="19" t="s">
        <v>942</v>
      </c>
      <c r="D86" s="26"/>
      <c r="E86" s="26"/>
      <c r="F86" s="26"/>
      <c r="G86" s="26" t="s">
        <v>169</v>
      </c>
      <c r="H86" s="26"/>
      <c r="I86" s="150">
        <v>2241817</v>
      </c>
      <c r="K86" s="146"/>
      <c r="L86" s="146"/>
      <c r="M86" s="146" t="s">
        <v>169</v>
      </c>
      <c r="N86" s="146"/>
    </row>
    <row r="87" spans="3:14">
      <c r="C87" s="19" t="s">
        <v>943</v>
      </c>
      <c r="D87" s="26"/>
      <c r="E87" s="26"/>
      <c r="F87" s="26"/>
      <c r="G87" s="26"/>
      <c r="H87" s="26" t="s">
        <v>170</v>
      </c>
      <c r="I87" s="150">
        <v>1787347</v>
      </c>
      <c r="K87" s="146"/>
      <c r="L87" s="146"/>
      <c r="M87" s="146" t="s">
        <v>943</v>
      </c>
      <c r="N87" s="146" t="s">
        <v>170</v>
      </c>
    </row>
    <row r="88" spans="3:14">
      <c r="C88" s="19" t="s">
        <v>944</v>
      </c>
      <c r="D88" s="26"/>
      <c r="E88" s="26"/>
      <c r="F88" s="26"/>
      <c r="G88" s="26"/>
      <c r="H88" s="26" t="s">
        <v>171</v>
      </c>
      <c r="I88" s="150">
        <v>170571</v>
      </c>
      <c r="K88" s="146"/>
      <c r="L88" s="146"/>
      <c r="M88" s="146" t="s">
        <v>944</v>
      </c>
      <c r="N88" s="146" t="s">
        <v>171</v>
      </c>
    </row>
    <row r="89" spans="3:14">
      <c r="C89" s="19" t="s">
        <v>945</v>
      </c>
      <c r="D89" s="26"/>
      <c r="E89" s="26"/>
      <c r="F89" s="26"/>
      <c r="G89" s="26"/>
      <c r="H89" s="26" t="s">
        <v>172</v>
      </c>
      <c r="I89" s="150">
        <v>130627</v>
      </c>
      <c r="K89" s="146"/>
      <c r="L89" s="146"/>
      <c r="M89" s="146" t="s">
        <v>945</v>
      </c>
      <c r="N89" s="146" t="s">
        <v>172</v>
      </c>
    </row>
    <row r="90" spans="3:14">
      <c r="C90" s="19" t="s">
        <v>946</v>
      </c>
      <c r="D90" s="26"/>
      <c r="E90" s="26"/>
      <c r="F90" s="26"/>
      <c r="G90" s="26"/>
      <c r="H90" s="26" t="s">
        <v>173</v>
      </c>
      <c r="I90" s="151">
        <v>74425</v>
      </c>
      <c r="K90" s="146"/>
      <c r="L90" s="146"/>
      <c r="M90" s="146" t="s">
        <v>946</v>
      </c>
      <c r="N90" s="146" t="s">
        <v>173</v>
      </c>
    </row>
    <row r="91" spans="3:14">
      <c r="C91" s="19" t="s">
        <v>947</v>
      </c>
      <c r="D91" s="26"/>
      <c r="E91" s="26"/>
      <c r="F91" s="26"/>
      <c r="G91" s="26"/>
      <c r="H91" s="26" t="s">
        <v>174</v>
      </c>
      <c r="I91" s="151">
        <v>14941</v>
      </c>
      <c r="K91" s="146"/>
      <c r="L91" s="146"/>
      <c r="M91" s="146" t="s">
        <v>947</v>
      </c>
      <c r="N91" s="146" t="s">
        <v>174</v>
      </c>
    </row>
    <row r="92" spans="3:14">
      <c r="C92" s="19" t="s">
        <v>948</v>
      </c>
      <c r="D92" s="26"/>
      <c r="E92" s="26"/>
      <c r="F92" s="26"/>
      <c r="G92" s="26"/>
      <c r="H92" s="26" t="s">
        <v>175</v>
      </c>
      <c r="I92" s="151">
        <v>7354</v>
      </c>
      <c r="K92" s="146"/>
      <c r="L92" s="146"/>
      <c r="M92" s="146" t="s">
        <v>948</v>
      </c>
      <c r="N92" s="146" t="s">
        <v>175</v>
      </c>
    </row>
    <row r="93" spans="3:14">
      <c r="C93" s="19" t="s">
        <v>949</v>
      </c>
      <c r="D93" s="26"/>
      <c r="E93" s="26"/>
      <c r="F93" s="26"/>
      <c r="G93" s="26"/>
      <c r="H93" s="26" t="s">
        <v>176</v>
      </c>
      <c r="I93" s="151">
        <v>56552</v>
      </c>
      <c r="K93" s="146"/>
      <c r="L93" s="146"/>
      <c r="M93" s="146" t="s">
        <v>949</v>
      </c>
      <c r="N93" s="146" t="s">
        <v>176</v>
      </c>
    </row>
    <row r="94" spans="3:14">
      <c r="C94" s="19" t="s">
        <v>950</v>
      </c>
      <c r="D94" s="26"/>
      <c r="E94" s="26"/>
      <c r="F94" s="26" t="s">
        <v>177</v>
      </c>
      <c r="G94" s="26"/>
      <c r="H94" s="26"/>
      <c r="I94" s="28">
        <v>55089</v>
      </c>
      <c r="K94" s="146"/>
      <c r="L94" s="146" t="s">
        <v>177</v>
      </c>
      <c r="M94" s="146"/>
      <c r="N94" s="146"/>
    </row>
    <row r="95" spans="3:14">
      <c r="C95" s="19" t="s">
        <v>951</v>
      </c>
      <c r="D95" s="26"/>
      <c r="E95" s="26"/>
      <c r="F95" s="26"/>
      <c r="G95" s="26"/>
      <c r="H95" s="26" t="s">
        <v>178</v>
      </c>
      <c r="I95" s="150">
        <v>32795</v>
      </c>
      <c r="K95" s="146"/>
      <c r="L95" s="146"/>
      <c r="M95" s="146"/>
      <c r="N95" s="146" t="s">
        <v>178</v>
      </c>
    </row>
    <row r="96" spans="3:14">
      <c r="C96" s="19" t="s">
        <v>952</v>
      </c>
      <c r="D96" s="26"/>
      <c r="E96" s="26"/>
      <c r="F96" s="26"/>
      <c r="G96" s="26"/>
      <c r="H96" s="26" t="s">
        <v>179</v>
      </c>
      <c r="I96" s="150">
        <v>14871</v>
      </c>
      <c r="K96" s="146"/>
      <c r="L96" s="146"/>
      <c r="M96" s="146"/>
      <c r="N96" s="146" t="s">
        <v>179</v>
      </c>
    </row>
    <row r="97" spans="3:14">
      <c r="C97" s="19" t="s">
        <v>953</v>
      </c>
      <c r="D97" s="26"/>
      <c r="E97" s="26"/>
      <c r="F97" s="26"/>
      <c r="G97" s="26"/>
      <c r="H97" s="26" t="s">
        <v>180</v>
      </c>
      <c r="I97" s="151">
        <v>7061</v>
      </c>
      <c r="K97" s="146"/>
      <c r="L97" s="146"/>
      <c r="M97" s="146"/>
      <c r="N97" s="146" t="s">
        <v>180</v>
      </c>
    </row>
    <row r="98" spans="3:14">
      <c r="C98" s="19" t="s">
        <v>954</v>
      </c>
      <c r="D98" s="26"/>
      <c r="E98" s="26"/>
      <c r="F98" s="26"/>
      <c r="G98" s="26"/>
      <c r="H98" s="26" t="s">
        <v>181</v>
      </c>
      <c r="I98" s="151">
        <v>362</v>
      </c>
      <c r="K98" s="146"/>
      <c r="L98" s="146"/>
      <c r="M98" s="146"/>
      <c r="N98" s="146" t="s">
        <v>181</v>
      </c>
    </row>
    <row r="99" spans="3:14">
      <c r="C99" s="19" t="s">
        <v>958</v>
      </c>
      <c r="D99" s="26"/>
      <c r="E99" s="26"/>
      <c r="F99" s="26" t="s">
        <v>182</v>
      </c>
      <c r="G99" s="26"/>
      <c r="H99" s="26"/>
      <c r="I99" s="28">
        <v>389491</v>
      </c>
      <c r="K99" s="146"/>
      <c r="L99" s="146" t="s">
        <v>182</v>
      </c>
      <c r="M99" s="146"/>
      <c r="N99" s="146"/>
    </row>
    <row r="100" spans="3:14">
      <c r="C100" s="19" t="s">
        <v>955</v>
      </c>
      <c r="D100" s="26"/>
      <c r="E100" s="26"/>
      <c r="F100" s="26"/>
      <c r="G100" s="26"/>
      <c r="H100" s="26" t="s">
        <v>183</v>
      </c>
      <c r="I100" s="150">
        <v>384960</v>
      </c>
      <c r="K100" s="146"/>
      <c r="L100" s="146"/>
      <c r="M100" s="146"/>
      <c r="N100" s="146" t="s">
        <v>183</v>
      </c>
    </row>
    <row r="101" spans="3:14">
      <c r="C101" s="19" t="s">
        <v>956</v>
      </c>
      <c r="D101" s="26"/>
      <c r="E101" s="26"/>
      <c r="F101" s="26"/>
      <c r="G101" s="26"/>
      <c r="H101" s="26" t="s">
        <v>184</v>
      </c>
      <c r="I101" s="150">
        <v>4337</v>
      </c>
      <c r="K101" s="146"/>
      <c r="L101" s="146"/>
      <c r="M101" s="146"/>
      <c r="N101" s="146" t="s">
        <v>184</v>
      </c>
    </row>
    <row r="102" spans="3:14">
      <c r="C102" s="19" t="s">
        <v>957</v>
      </c>
      <c r="D102" s="26"/>
      <c r="E102" s="26"/>
      <c r="F102" s="26"/>
      <c r="G102" s="26"/>
      <c r="H102" s="26" t="s">
        <v>185</v>
      </c>
      <c r="I102" s="151">
        <v>194</v>
      </c>
      <c r="K102" s="146"/>
      <c r="L102" s="146"/>
      <c r="M102" s="146"/>
      <c r="N102" s="146" t="s">
        <v>185</v>
      </c>
    </row>
    <row r="103" spans="3:14">
      <c r="C103" s="19" t="s">
        <v>965</v>
      </c>
      <c r="D103" s="26"/>
      <c r="E103" s="26"/>
      <c r="F103" s="26" t="s">
        <v>186</v>
      </c>
      <c r="G103" s="26"/>
      <c r="H103" s="26"/>
      <c r="I103" s="28">
        <v>595808</v>
      </c>
      <c r="K103" s="146"/>
      <c r="L103" s="146" t="s">
        <v>186</v>
      </c>
      <c r="M103" s="146"/>
      <c r="N103" s="146"/>
    </row>
    <row r="104" spans="3:14">
      <c r="C104" s="19" t="s">
        <v>959</v>
      </c>
      <c r="D104" s="26"/>
      <c r="E104" s="26"/>
      <c r="F104" s="26"/>
      <c r="G104" s="26" t="s">
        <v>187</v>
      </c>
      <c r="H104" s="26"/>
      <c r="I104" s="151">
        <v>14595</v>
      </c>
      <c r="K104" s="146"/>
      <c r="L104" s="146"/>
      <c r="M104" s="146" t="s">
        <v>187</v>
      </c>
      <c r="N104" s="146"/>
    </row>
    <row r="105" spans="3:14">
      <c r="C105" s="19" t="s">
        <v>960</v>
      </c>
      <c r="D105" s="26"/>
      <c r="E105" s="26"/>
      <c r="F105" s="26"/>
      <c r="G105" s="26" t="s">
        <v>188</v>
      </c>
      <c r="H105" s="26"/>
      <c r="I105" s="151">
        <v>2042</v>
      </c>
      <c r="K105" s="146"/>
      <c r="L105" s="146"/>
      <c r="M105" s="146" t="s">
        <v>188</v>
      </c>
      <c r="N105" s="146"/>
    </row>
    <row r="106" spans="3:14">
      <c r="C106" s="19" t="s">
        <v>961</v>
      </c>
      <c r="D106" s="26"/>
      <c r="E106" s="26"/>
      <c r="F106" s="26"/>
      <c r="G106" s="26" t="s">
        <v>189</v>
      </c>
      <c r="H106" s="26"/>
      <c r="I106" s="151">
        <v>1330</v>
      </c>
      <c r="K106" s="146"/>
      <c r="L106" s="146"/>
      <c r="M106" s="146" t="s">
        <v>189</v>
      </c>
      <c r="N106" s="146"/>
    </row>
    <row r="107" spans="3:14">
      <c r="C107" s="19" t="s">
        <v>962</v>
      </c>
      <c r="D107" s="26"/>
      <c r="E107" s="26"/>
      <c r="F107" s="26"/>
      <c r="G107" s="26" t="s">
        <v>190</v>
      </c>
      <c r="H107" s="26"/>
      <c r="I107" s="151">
        <v>4632</v>
      </c>
      <c r="K107" s="146"/>
      <c r="L107" s="146"/>
      <c r="M107" s="146" t="s">
        <v>190</v>
      </c>
      <c r="N107" s="146"/>
    </row>
    <row r="108" spans="3:14">
      <c r="C108" s="19" t="s">
        <v>963</v>
      </c>
      <c r="D108" s="26"/>
      <c r="E108" s="26"/>
      <c r="F108" s="26"/>
      <c r="G108" s="26" t="s">
        <v>191</v>
      </c>
      <c r="H108" s="26"/>
      <c r="I108" s="151">
        <v>131150</v>
      </c>
      <c r="K108" s="146"/>
      <c r="L108" s="146"/>
      <c r="M108" s="146" t="s">
        <v>191</v>
      </c>
      <c r="N108" s="146"/>
    </row>
    <row r="109" spans="3:14">
      <c r="C109" s="19" t="s">
        <v>964</v>
      </c>
      <c r="D109" s="26"/>
      <c r="E109" s="26"/>
      <c r="F109" s="26"/>
      <c r="G109" s="26" t="s">
        <v>192</v>
      </c>
      <c r="H109" s="26"/>
      <c r="I109" s="151">
        <v>2237</v>
      </c>
      <c r="K109" s="146"/>
      <c r="L109" s="146"/>
      <c r="M109" s="146" t="s">
        <v>192</v>
      </c>
      <c r="N109" s="146"/>
    </row>
    <row r="110" spans="3:14">
      <c r="C110" s="19" t="s">
        <v>971</v>
      </c>
      <c r="D110" s="26"/>
      <c r="E110" s="26"/>
      <c r="F110" s="26"/>
      <c r="G110" s="26" t="s">
        <v>193</v>
      </c>
      <c r="H110" s="26"/>
      <c r="I110" s="151">
        <v>14480</v>
      </c>
      <c r="K110" s="146"/>
      <c r="L110" s="146"/>
      <c r="M110" s="146" t="s">
        <v>193</v>
      </c>
      <c r="N110" s="146"/>
    </row>
    <row r="111" spans="3:14">
      <c r="C111" s="19" t="s">
        <v>966</v>
      </c>
      <c r="D111" s="26"/>
      <c r="E111" s="26"/>
      <c r="F111" s="26"/>
      <c r="G111" s="26"/>
      <c r="H111" s="26" t="s">
        <v>194</v>
      </c>
      <c r="I111" s="28">
        <v>294</v>
      </c>
      <c r="K111" s="146"/>
      <c r="L111" s="146"/>
      <c r="M111" s="146"/>
      <c r="N111" s="146" t="s">
        <v>194</v>
      </c>
    </row>
    <row r="112" spans="3:14">
      <c r="C112" s="19" t="s">
        <v>967</v>
      </c>
      <c r="D112" s="26"/>
      <c r="E112" s="26"/>
      <c r="F112" s="26"/>
      <c r="G112" s="26"/>
      <c r="H112" s="26" t="s">
        <v>195</v>
      </c>
      <c r="I112" s="28">
        <v>87</v>
      </c>
      <c r="K112" s="146"/>
      <c r="L112" s="146"/>
      <c r="M112" s="146"/>
      <c r="N112" s="146" t="s">
        <v>195</v>
      </c>
    </row>
    <row r="113" spans="3:14">
      <c r="C113" s="19" t="s">
        <v>968</v>
      </c>
      <c r="D113" s="26"/>
      <c r="E113" s="26"/>
      <c r="F113" s="26"/>
      <c r="G113" s="26"/>
      <c r="H113" s="26" t="s">
        <v>196</v>
      </c>
      <c r="I113" s="28">
        <v>12228</v>
      </c>
      <c r="K113" s="146"/>
      <c r="L113" s="146"/>
      <c r="M113" s="146"/>
      <c r="N113" s="146" t="s">
        <v>196</v>
      </c>
    </row>
    <row r="114" spans="3:14">
      <c r="C114" s="19" t="s">
        <v>969</v>
      </c>
      <c r="D114" s="26"/>
      <c r="E114" s="26"/>
      <c r="F114" s="26"/>
      <c r="G114" s="26"/>
      <c r="H114" s="26" t="s">
        <v>197</v>
      </c>
      <c r="I114" s="28">
        <v>45</v>
      </c>
      <c r="K114" s="146"/>
      <c r="L114" s="146"/>
      <c r="M114" s="146"/>
      <c r="N114" s="146" t="s">
        <v>197</v>
      </c>
    </row>
    <row r="115" spans="3:14">
      <c r="C115" s="19" t="s">
        <v>970</v>
      </c>
      <c r="D115" s="26"/>
      <c r="E115" s="26"/>
      <c r="F115" s="26"/>
      <c r="G115" s="26"/>
      <c r="H115" s="26" t="s">
        <v>198</v>
      </c>
      <c r="I115" s="28">
        <v>1826</v>
      </c>
      <c r="K115" s="146"/>
      <c r="L115" s="146"/>
      <c r="M115" s="146"/>
      <c r="N115" s="146" t="s">
        <v>198</v>
      </c>
    </row>
    <row r="116" spans="3:14">
      <c r="D116" s="26"/>
      <c r="E116" s="26"/>
      <c r="F116" s="26"/>
      <c r="G116" s="26" t="s">
        <v>199</v>
      </c>
      <c r="H116" s="26"/>
      <c r="I116" s="151">
        <v>9536</v>
      </c>
      <c r="K116" s="146"/>
      <c r="L116" s="146"/>
      <c r="M116" s="146" t="s">
        <v>199</v>
      </c>
      <c r="N116" s="146"/>
    </row>
    <row r="117" spans="3:14">
      <c r="C117" s="19" t="s">
        <v>972</v>
      </c>
      <c r="D117" s="26"/>
      <c r="E117" s="26"/>
      <c r="F117" s="26"/>
      <c r="G117" s="26"/>
      <c r="H117" s="26" t="s">
        <v>200</v>
      </c>
      <c r="I117" s="28">
        <v>270</v>
      </c>
      <c r="K117" s="146"/>
      <c r="L117" s="146"/>
      <c r="M117" s="146"/>
      <c r="N117" s="146" t="s">
        <v>200</v>
      </c>
    </row>
    <row r="118" spans="3:14">
      <c r="C118" s="19" t="s">
        <v>973</v>
      </c>
      <c r="D118" s="26"/>
      <c r="E118" s="26"/>
      <c r="F118" s="26"/>
      <c r="G118" s="26"/>
      <c r="H118" s="26" t="s">
        <v>201</v>
      </c>
      <c r="I118" s="28">
        <v>647</v>
      </c>
      <c r="K118" s="146"/>
      <c r="L118" s="146"/>
      <c r="M118" s="146"/>
      <c r="N118" s="146" t="s">
        <v>201</v>
      </c>
    </row>
    <row r="119" spans="3:14">
      <c r="C119" s="19" t="s">
        <v>974</v>
      </c>
      <c r="D119" s="26"/>
      <c r="E119" s="26"/>
      <c r="F119" s="26"/>
      <c r="G119" s="26"/>
      <c r="H119" s="26" t="s">
        <v>202</v>
      </c>
      <c r="I119" s="28">
        <v>245</v>
      </c>
      <c r="K119" s="146"/>
      <c r="L119" s="146"/>
      <c r="M119" s="146"/>
      <c r="N119" s="146" t="s">
        <v>202</v>
      </c>
    </row>
    <row r="120" spans="3:14">
      <c r="C120" s="19" t="s">
        <v>975</v>
      </c>
      <c r="D120" s="26"/>
      <c r="E120" s="26"/>
      <c r="F120" s="26"/>
      <c r="G120" s="26"/>
      <c r="H120" s="26" t="s">
        <v>203</v>
      </c>
      <c r="I120" s="28">
        <v>8374</v>
      </c>
      <c r="K120" s="146"/>
      <c r="L120" s="146"/>
      <c r="M120" s="146"/>
      <c r="N120" s="146" t="s">
        <v>203</v>
      </c>
    </row>
    <row r="121" spans="3:14">
      <c r="C121" s="19" t="s">
        <v>981</v>
      </c>
      <c r="D121" s="26"/>
      <c r="E121" s="26"/>
      <c r="F121" s="26"/>
      <c r="G121" s="26" t="s">
        <v>204</v>
      </c>
      <c r="H121" s="26"/>
      <c r="I121" s="151">
        <v>104827</v>
      </c>
      <c r="K121" s="146"/>
      <c r="L121" s="146"/>
      <c r="M121" s="146" t="s">
        <v>204</v>
      </c>
      <c r="N121" s="146"/>
    </row>
    <row r="122" spans="3:14">
      <c r="C122" s="19" t="s">
        <v>976</v>
      </c>
      <c r="D122" s="26"/>
      <c r="E122" s="26"/>
      <c r="F122" s="26"/>
      <c r="G122" s="26"/>
      <c r="H122" s="26" t="s">
        <v>205</v>
      </c>
      <c r="I122" s="28">
        <v>10701</v>
      </c>
      <c r="K122" s="146"/>
      <c r="L122" s="146"/>
      <c r="M122" s="146"/>
      <c r="N122" s="146" t="s">
        <v>205</v>
      </c>
    </row>
    <row r="123" spans="3:14">
      <c r="C123" s="19" t="s">
        <v>977</v>
      </c>
      <c r="D123" s="26"/>
      <c r="E123" s="26"/>
      <c r="F123" s="26"/>
      <c r="G123" s="26"/>
      <c r="H123" s="26" t="s">
        <v>206</v>
      </c>
      <c r="I123" s="28">
        <v>4153</v>
      </c>
      <c r="K123" s="146"/>
      <c r="L123" s="146"/>
      <c r="M123" s="146"/>
      <c r="N123" s="146" t="s">
        <v>206</v>
      </c>
    </row>
    <row r="124" spans="3:14">
      <c r="C124" s="19" t="s">
        <v>978</v>
      </c>
      <c r="D124" s="26"/>
      <c r="E124" s="26"/>
      <c r="F124" s="26"/>
      <c r="G124" s="26"/>
      <c r="H124" s="26" t="s">
        <v>207</v>
      </c>
      <c r="I124" s="28">
        <v>12951</v>
      </c>
      <c r="K124" s="146"/>
      <c r="L124" s="146"/>
      <c r="M124" s="146"/>
      <c r="N124" s="146" t="s">
        <v>207</v>
      </c>
    </row>
    <row r="125" spans="3:14">
      <c r="C125" s="19" t="s">
        <v>979</v>
      </c>
      <c r="D125" s="26"/>
      <c r="E125" s="26"/>
      <c r="F125" s="26"/>
      <c r="G125" s="26"/>
      <c r="H125" s="26" t="s">
        <v>208</v>
      </c>
      <c r="I125" s="28">
        <v>32595</v>
      </c>
      <c r="K125" s="146"/>
      <c r="L125" s="146"/>
      <c r="M125" s="146"/>
      <c r="N125" s="146" t="s">
        <v>208</v>
      </c>
    </row>
    <row r="126" spans="3:14">
      <c r="C126" s="19" t="s">
        <v>980</v>
      </c>
      <c r="D126" s="26"/>
      <c r="E126" s="26"/>
      <c r="F126" s="26"/>
      <c r="G126" s="26"/>
      <c r="H126" s="26" t="s">
        <v>209</v>
      </c>
      <c r="I126" s="28">
        <v>44427</v>
      </c>
      <c r="K126" s="146"/>
      <c r="L126" s="146"/>
      <c r="M126" s="146"/>
      <c r="N126" s="146" t="s">
        <v>209</v>
      </c>
    </row>
    <row r="127" spans="3:14">
      <c r="C127" s="19" t="s">
        <v>985</v>
      </c>
      <c r="D127" s="26"/>
      <c r="E127" s="26"/>
      <c r="F127" s="26"/>
      <c r="G127" s="26" t="s">
        <v>210</v>
      </c>
      <c r="H127" s="26"/>
      <c r="I127" s="151">
        <v>310979</v>
      </c>
      <c r="K127" s="146"/>
      <c r="L127" s="146"/>
      <c r="M127" s="146" t="s">
        <v>210</v>
      </c>
      <c r="N127" s="146"/>
    </row>
    <row r="128" spans="3:14">
      <c r="C128" s="19" t="s">
        <v>986</v>
      </c>
      <c r="D128" s="26"/>
      <c r="E128" s="26" t="s">
        <v>211</v>
      </c>
      <c r="F128" s="26"/>
      <c r="G128" s="26"/>
      <c r="H128" s="26"/>
      <c r="I128" s="28">
        <v>105937</v>
      </c>
      <c r="K128" s="146" t="s">
        <v>211</v>
      </c>
      <c r="L128" s="146"/>
      <c r="M128" s="146"/>
      <c r="N128" s="146"/>
    </row>
    <row r="129" spans="3:14">
      <c r="C129" s="19" t="s">
        <v>987</v>
      </c>
      <c r="D129" s="26"/>
      <c r="E129" s="26"/>
      <c r="F129" s="26" t="s">
        <v>212</v>
      </c>
      <c r="G129" s="26"/>
      <c r="H129" s="26"/>
      <c r="I129" s="28">
        <v>11800</v>
      </c>
      <c r="K129" s="146"/>
      <c r="L129" s="146" t="s">
        <v>212</v>
      </c>
      <c r="M129" s="146"/>
      <c r="N129" s="146"/>
    </row>
    <row r="130" spans="3:14">
      <c r="C130" s="19" t="s">
        <v>982</v>
      </c>
      <c r="D130" s="26"/>
      <c r="E130" s="26"/>
      <c r="F130" s="26"/>
      <c r="G130" s="26"/>
      <c r="H130" s="26" t="s">
        <v>213</v>
      </c>
      <c r="I130" s="150">
        <v>11258</v>
      </c>
      <c r="K130" s="146"/>
      <c r="L130" s="146"/>
      <c r="M130" s="146"/>
      <c r="N130" s="146" t="s">
        <v>213</v>
      </c>
    </row>
    <row r="131" spans="3:14">
      <c r="C131" s="19" t="s">
        <v>983</v>
      </c>
      <c r="D131" s="26"/>
      <c r="E131" s="26"/>
      <c r="F131" s="26"/>
      <c r="G131" s="26"/>
      <c r="H131" s="26" t="s">
        <v>214</v>
      </c>
      <c r="I131" s="150">
        <v>325</v>
      </c>
      <c r="K131" s="146"/>
      <c r="L131" s="146"/>
      <c r="M131" s="146"/>
      <c r="N131" s="146" t="s">
        <v>214</v>
      </c>
    </row>
    <row r="132" spans="3:14">
      <c r="C132" s="19" t="s">
        <v>984</v>
      </c>
      <c r="D132" s="26"/>
      <c r="E132" s="26"/>
      <c r="F132" s="26"/>
      <c r="G132" s="26"/>
      <c r="H132" s="26" t="s">
        <v>215</v>
      </c>
      <c r="I132" s="151">
        <v>217</v>
      </c>
      <c r="K132" s="146"/>
      <c r="L132" s="146"/>
      <c r="M132" s="146"/>
      <c r="N132" s="146" t="s">
        <v>215</v>
      </c>
    </row>
    <row r="133" spans="3:14">
      <c r="C133" s="19" t="s">
        <v>988</v>
      </c>
      <c r="D133" s="26"/>
      <c r="E133" s="26"/>
      <c r="F133" s="26" t="s">
        <v>216</v>
      </c>
      <c r="G133" s="26"/>
      <c r="H133" s="26"/>
      <c r="I133" s="28">
        <v>39781</v>
      </c>
      <c r="K133" s="146"/>
      <c r="L133" s="146" t="s">
        <v>216</v>
      </c>
      <c r="M133" s="146"/>
      <c r="N133" s="146"/>
    </row>
    <row r="134" spans="3:14">
      <c r="C134" s="19" t="s">
        <v>989</v>
      </c>
      <c r="D134" s="26"/>
      <c r="E134" s="26"/>
      <c r="F134" s="26"/>
      <c r="G134" s="26"/>
      <c r="H134" s="26" t="s">
        <v>217</v>
      </c>
      <c r="I134" s="150">
        <v>549</v>
      </c>
      <c r="K134" s="146"/>
      <c r="L134" s="146"/>
      <c r="M134" s="146"/>
      <c r="N134" s="146" t="s">
        <v>217</v>
      </c>
    </row>
    <row r="135" spans="3:14">
      <c r="C135" s="19" t="s">
        <v>990</v>
      </c>
      <c r="D135" s="26"/>
      <c r="E135" s="26"/>
      <c r="F135" s="26"/>
      <c r="G135" s="26"/>
      <c r="H135" s="26" t="s">
        <v>218</v>
      </c>
      <c r="I135" s="150">
        <v>395</v>
      </c>
      <c r="K135" s="146"/>
      <c r="L135" s="146"/>
      <c r="M135" s="146"/>
      <c r="N135" s="146" t="s">
        <v>218</v>
      </c>
    </row>
    <row r="136" spans="3:14">
      <c r="C136" s="19" t="s">
        <v>991</v>
      </c>
      <c r="D136" s="26"/>
      <c r="E136" s="26"/>
      <c r="F136" s="26"/>
      <c r="G136" s="26"/>
      <c r="H136" s="26" t="s">
        <v>219</v>
      </c>
      <c r="I136" s="151">
        <v>38837</v>
      </c>
      <c r="K136" s="146"/>
      <c r="L136" s="146"/>
      <c r="M136" s="146"/>
      <c r="N136" s="146" t="s">
        <v>219</v>
      </c>
    </row>
    <row r="137" spans="3:14">
      <c r="C137" s="19" t="s">
        <v>992</v>
      </c>
      <c r="D137" s="26"/>
      <c r="E137" s="26"/>
      <c r="F137" s="26" t="s">
        <v>220</v>
      </c>
      <c r="G137" s="26"/>
      <c r="H137" s="26"/>
      <c r="I137" s="28">
        <v>54356</v>
      </c>
      <c r="K137" s="146"/>
      <c r="L137" s="146" t="s">
        <v>846</v>
      </c>
      <c r="M137" s="146"/>
      <c r="N137" s="146"/>
    </row>
    <row r="138" spans="3:14">
      <c r="C138" s="19" t="s">
        <v>929</v>
      </c>
      <c r="D138" s="26"/>
      <c r="E138" s="26"/>
      <c r="F138" s="26"/>
      <c r="G138" s="26" t="s">
        <v>221</v>
      </c>
      <c r="H138" s="26"/>
      <c r="I138" s="151">
        <v>23969</v>
      </c>
      <c r="K138" s="146"/>
      <c r="L138" s="146"/>
      <c r="M138" s="146" t="s">
        <v>847</v>
      </c>
      <c r="N138" s="146"/>
    </row>
    <row r="139" spans="3:14">
      <c r="C139" s="19" t="s">
        <v>930</v>
      </c>
      <c r="D139" s="26"/>
      <c r="E139" s="26"/>
      <c r="F139" s="26"/>
      <c r="G139" s="26" t="s">
        <v>222</v>
      </c>
      <c r="H139" s="26"/>
      <c r="I139" s="151">
        <v>1031</v>
      </c>
      <c r="K139" s="146"/>
      <c r="L139" s="146"/>
      <c r="M139" s="146" t="s">
        <v>848</v>
      </c>
      <c r="N139" s="146"/>
    </row>
    <row r="140" spans="3:14">
      <c r="C140" s="19" t="s">
        <v>931</v>
      </c>
      <c r="D140" s="26"/>
      <c r="E140" s="26"/>
      <c r="F140" s="26"/>
      <c r="G140" s="26" t="s">
        <v>223</v>
      </c>
      <c r="H140" s="26"/>
      <c r="I140" s="151">
        <v>2</v>
      </c>
      <c r="K140" s="146"/>
      <c r="L140" s="146"/>
      <c r="M140" s="146" t="s">
        <v>849</v>
      </c>
      <c r="N140" s="146"/>
    </row>
    <row r="141" spans="3:14">
      <c r="C141" s="19" t="s">
        <v>932</v>
      </c>
      <c r="D141" s="26"/>
      <c r="E141" s="26"/>
      <c r="F141" s="26"/>
      <c r="G141" s="26" t="s">
        <v>224</v>
      </c>
      <c r="H141" s="26"/>
      <c r="I141" s="151">
        <v>3804</v>
      </c>
      <c r="K141" s="146"/>
      <c r="L141" s="146"/>
      <c r="M141" s="146" t="s">
        <v>850</v>
      </c>
      <c r="N141" s="146"/>
    </row>
    <row r="142" spans="3:14">
      <c r="C142" s="19" t="s">
        <v>933</v>
      </c>
      <c r="D142" s="26"/>
      <c r="E142" s="26"/>
      <c r="F142" s="26"/>
      <c r="G142" s="26" t="s">
        <v>225</v>
      </c>
      <c r="H142" s="26"/>
      <c r="I142" s="151">
        <v>25550</v>
      </c>
      <c r="K142" s="146"/>
      <c r="L142" s="146"/>
      <c r="M142" s="146" t="s">
        <v>851</v>
      </c>
      <c r="N142" s="146"/>
    </row>
    <row r="143" spans="3:14" ht="13.5" thickBot="1"/>
    <row r="144" spans="3:14" s="6" customFormat="1" ht="15">
      <c r="D144" s="103" t="s">
        <v>226</v>
      </c>
      <c r="E144" s="99"/>
    </row>
    <row r="145" spans="4:5" s="6" customFormat="1" ht="15">
      <c r="D145" s="104" t="s">
        <v>227</v>
      </c>
      <c r="E145" s="100"/>
    </row>
    <row r="146" spans="4:5" s="6" customFormat="1" ht="15">
      <c r="D146" s="105" t="s">
        <v>228</v>
      </c>
      <c r="E146" s="101"/>
    </row>
    <row r="147" spans="4:5" s="6" customFormat="1" ht="15.75" thickBot="1">
      <c r="D147" s="106" t="s">
        <v>229</v>
      </c>
      <c r="E147" s="102"/>
    </row>
  </sheetData>
  <phoneticPr fontId="3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workbookViewId="0"/>
  </sheetViews>
  <sheetFormatPr defaultColWidth="9" defaultRowHeight="15"/>
  <cols>
    <col min="1" max="1" width="9" style="6"/>
    <col min="2" max="2" width="25.28515625" style="6" customWidth="1"/>
    <col min="3" max="3" width="13.7109375" style="6" customWidth="1"/>
    <col min="4" max="4" width="14.5703125" style="6" bestFit="1" customWidth="1"/>
    <col min="5" max="16384" width="9" style="6"/>
  </cols>
  <sheetData>
    <row r="2" spans="2:4">
      <c r="B2" s="10" t="s">
        <v>226</v>
      </c>
      <c r="C2" s="10">
        <v>2020</v>
      </c>
    </row>
    <row r="3" spans="2:4">
      <c r="B3" s="11" t="s">
        <v>230</v>
      </c>
      <c r="C3" s="181">
        <f>Cal!$C$5*'DV-Regis'!$I$5</f>
        <v>114917.60648530474</v>
      </c>
    </row>
    <row r="4" spans="2:4">
      <c r="B4" s="11" t="s">
        <v>231</v>
      </c>
      <c r="C4" s="181">
        <f>Cal!$D$5*'DV-Regis'!$I$5</f>
        <v>34230.059993082032</v>
      </c>
    </row>
    <row r="5" spans="2:4">
      <c r="B5" s="11" t="s">
        <v>232</v>
      </c>
      <c r="C5" s="181">
        <f>Cal!$E$5*'DV-Regis'!$I$5</f>
        <v>10959476.048499774</v>
      </c>
    </row>
    <row r="6" spans="2:4">
      <c r="B6" s="11" t="s">
        <v>233</v>
      </c>
      <c r="C6" s="181">
        <f>Cal!$F$5*'DV-Regis'!$I$5</f>
        <v>6290827.1892583873</v>
      </c>
    </row>
    <row r="7" spans="2:4">
      <c r="B7" s="11" t="s">
        <v>234</v>
      </c>
      <c r="C7" s="181">
        <f>Cal!$G$5*'DV-Regis'!$I$5</f>
        <v>648853.05339912046</v>
      </c>
    </row>
    <row r="8" spans="2:4">
      <c r="B8" s="11" t="s">
        <v>235</v>
      </c>
      <c r="C8" s="181">
        <f>Cal!$H$5*'DV-Regis'!$I$5</f>
        <v>1786472.2280383769</v>
      </c>
    </row>
    <row r="9" spans="2:4">
      <c r="B9" s="11" t="s">
        <v>236</v>
      </c>
      <c r="C9" s="181">
        <f>Cal!$I$5*'DV-Regis'!$I$5</f>
        <v>10491.920808424515</v>
      </c>
    </row>
    <row r="10" spans="2:4">
      <c r="C10" s="12"/>
      <c r="D10" s="12"/>
    </row>
    <row r="11" spans="2:4">
      <c r="B11" s="10" t="s">
        <v>227</v>
      </c>
      <c r="C11" s="12"/>
    </row>
    <row r="12" spans="2:4">
      <c r="B12" s="11" t="s">
        <v>230</v>
      </c>
      <c r="C12" s="181">
        <f>Cal!$C$5*'DV-Regis'!$I$62</f>
        <v>4535.3935146952517</v>
      </c>
    </row>
    <row r="13" spans="2:4">
      <c r="B13" s="11" t="s">
        <v>231</v>
      </c>
      <c r="C13" s="181">
        <f>Cal!$D$5*'DV-Regis'!$I$62</f>
        <v>1350.9400069179658</v>
      </c>
    </row>
    <row r="14" spans="2:4">
      <c r="B14" s="11" t="s">
        <v>232</v>
      </c>
      <c r="C14" s="181">
        <f>Cal!$E$5*'DV-Regis'!$I$62</f>
        <v>432531.9515002254</v>
      </c>
    </row>
    <row r="15" spans="2:4">
      <c r="B15" s="11" t="s">
        <v>233</v>
      </c>
      <c r="C15" s="181">
        <f>Cal!$F$5*'DV-Regis'!$I$62</f>
        <v>248276.81074161202</v>
      </c>
    </row>
    <row r="16" spans="2:4">
      <c r="B16" s="11" t="s">
        <v>234</v>
      </c>
      <c r="C16" s="181">
        <f>Cal!$G$5*'DV-Regis'!$I$62</f>
        <v>25607.946600879633</v>
      </c>
    </row>
    <row r="17" spans="2:4">
      <c r="B17" s="11" t="s">
        <v>235</v>
      </c>
      <c r="C17" s="181">
        <f>Cal!$H$5*'DV-Regis'!$I$62</f>
        <v>70505.771961623075</v>
      </c>
    </row>
    <row r="18" spans="2:4">
      <c r="B18" s="11" t="s">
        <v>236</v>
      </c>
      <c r="C18" s="181">
        <f>Cal!$I$5*'DV-Regis'!$I$62</f>
        <v>414.07919157548508</v>
      </c>
    </row>
    <row r="19" spans="2:4">
      <c r="C19" s="12"/>
      <c r="D19" s="12"/>
    </row>
    <row r="20" spans="2:4">
      <c r="B20" s="10" t="s">
        <v>237</v>
      </c>
      <c r="C20" s="12"/>
    </row>
    <row r="21" spans="2:4">
      <c r="B21" s="11" t="s">
        <v>230</v>
      </c>
      <c r="C21" s="12">
        <f>Cal!$C$9*SUM('DV-Regis'!$I$85,'DV-Regis'!$I$87:$I$89,'DV-Regis'!$I$95:$I$96,'DV-Regis'!$I$100:$I$101,'DV-Regis'!$I$130:$I$131,'DV-Regis'!$I$134:$I$135)</f>
        <v>11965.956562995307</v>
      </c>
    </row>
    <row r="22" spans="2:4">
      <c r="B22" s="11" t="s">
        <v>231</v>
      </c>
      <c r="C22" s="129">
        <f>Cal!D8</f>
        <v>1366</v>
      </c>
    </row>
    <row r="23" spans="2:4">
      <c r="B23" s="11" t="s">
        <v>232</v>
      </c>
      <c r="C23" s="12">
        <f>Cal!$E$9*SUM('DV-Regis'!$I$85,'DV-Regis'!$I$87:$I$89,'DV-Regis'!$I$95:$I$96,'DV-Regis'!$I$100:$I$101,'DV-Regis'!$I$130:$I$131,'DV-Regis'!$I$134:$I$135)</f>
        <v>14255.143043258835</v>
      </c>
    </row>
    <row r="24" spans="2:4">
      <c r="B24" s="11" t="s">
        <v>233</v>
      </c>
      <c r="C24" s="12">
        <f>Cal!$F$9*SUM('DV-Regis'!$I$85,'DV-Regis'!$I$87:$I$89,'DV-Regis'!$I$95:$I$96,'DV-Regis'!$I$100:$I$101,'DV-Regis'!$I$130:$I$131,'DV-Regis'!$I$134:$I$135)</f>
        <v>2664174.8230804084</v>
      </c>
    </row>
    <row r="25" spans="2:4">
      <c r="B25" s="11" t="s">
        <v>234</v>
      </c>
      <c r="C25" s="12">
        <f>Cal!$G$9*SUM('DV-Regis'!$I$85,'DV-Regis'!$I$87:$I$89,'DV-Regis'!$I$95:$I$96,'DV-Regis'!$I$100:$I$101,'DV-Regis'!$I$130:$I$131,'DV-Regis'!$I$134:$I$135)</f>
        <v>0</v>
      </c>
    </row>
    <row r="26" spans="2:4">
      <c r="B26" s="11" t="s">
        <v>235</v>
      </c>
      <c r="C26" s="12">
        <f>Cal!$H$9*SUM('DV-Regis'!$I$85,'DV-Regis'!$I$87:$I$89,'DV-Regis'!$I$95:$I$96,'DV-Regis'!$I$100:$I$101,'DV-Regis'!$I$130:$I$131,'DV-Regis'!$I$134:$I$135)</f>
        <v>94459.997166222995</v>
      </c>
    </row>
    <row r="27" spans="2:4">
      <c r="B27" s="11" t="s">
        <v>236</v>
      </c>
      <c r="C27" s="12">
        <f>Cal!$I$9*SUM('DV-Regis'!$I$85,'DV-Regis'!$I$87:$I$89,'DV-Regis'!$I$95:$I$96,'DV-Regis'!$I$100:$I$101,'DV-Regis'!$I$130:$I$131,'DV-Regis'!$I$134:$I$135)</f>
        <v>0</v>
      </c>
    </row>
    <row r="28" spans="2:4">
      <c r="C28" s="12"/>
    </row>
    <row r="29" spans="2:4">
      <c r="B29" s="10" t="s">
        <v>238</v>
      </c>
      <c r="C29" s="12"/>
    </row>
    <row r="30" spans="2:4">
      <c r="B30" s="11" t="s">
        <v>230</v>
      </c>
      <c r="C30" s="12">
        <f>Cal!$C$9*SUM('DV-Regis'!$I$90:$I$93,'DV-Regis'!$I$97:$I$98,'DV-Regis'!$I$102,'DV-Regis'!$I$104:$I$110,'DV-Regis'!$I$116,'DV-Regis'!$I$121,'DV-Regis'!$I$127,'DV-Regis'!$I$132,'DV-Regis'!$I$136,'DV-Regis'!$I$138:$I$142)</f>
        <v>3543.0434370046937</v>
      </c>
    </row>
    <row r="31" spans="2:4">
      <c r="B31" s="11" t="s">
        <v>231</v>
      </c>
      <c r="C31" s="129">
        <v>0</v>
      </c>
    </row>
    <row r="32" spans="2:4">
      <c r="B32" s="11" t="s">
        <v>232</v>
      </c>
      <c r="C32" s="12">
        <f>Cal!$E$9*SUM('DV-Regis'!$I$90:$I$93,'DV-Regis'!$I$97:$I$98,'DV-Regis'!$I$102,'DV-Regis'!$I$104:$I$110,'DV-Regis'!$I$116,'DV-Regis'!$I$121,'DV-Regis'!$I$127,'DV-Regis'!$I$132,'DV-Regis'!$I$136,'DV-Regis'!$I$138:$I$142)</f>
        <v>4220.8569567411641</v>
      </c>
    </row>
    <row r="33" spans="1:14">
      <c r="B33" s="11" t="s">
        <v>233</v>
      </c>
      <c r="C33" s="12">
        <f>Cal!$F$9*SUM('DV-Regis'!$I$90:$I$93,'DV-Regis'!$I$97:$I$98,'DV-Regis'!$I$102,'DV-Regis'!$I$104:$I$110,'DV-Regis'!$I$116,'DV-Regis'!$I$121,'DV-Regis'!$I$127,'DV-Regis'!$I$132,'DV-Regis'!$I$136,'DV-Regis'!$I$138:$I$142)</f>
        <v>788845.17691959161</v>
      </c>
    </row>
    <row r="34" spans="1:14">
      <c r="B34" s="11" t="s">
        <v>234</v>
      </c>
      <c r="C34" s="12">
        <f>Cal!$G$9*SUM('DV-Regis'!$I$90:$I$93,'DV-Regis'!$I$97:$I$98,'DV-Regis'!$I$102,'DV-Regis'!$I$104:$I$110,'DV-Regis'!$I$116,'DV-Regis'!$I$121,'DV-Regis'!$I$127,'DV-Regis'!$I$132,'DV-Regis'!$I$136,'DV-Regis'!$I$138:$I$142)</f>
        <v>0</v>
      </c>
    </row>
    <row r="35" spans="1:14">
      <c r="B35" s="11" t="s">
        <v>235</v>
      </c>
      <c r="C35" s="12">
        <f>Cal!$H$9*SUM('DV-Regis'!$I$90:$I$93,'DV-Regis'!$I$97:$I$98,'DV-Regis'!$I$102,'DV-Regis'!$I$104:$I$110,'DV-Regis'!$I$116,'DV-Regis'!$I$121,'DV-Regis'!$I$127,'DV-Regis'!$I$132,'DV-Regis'!$I$136,'DV-Regis'!$I$138:$I$142)</f>
        <v>27969.002833777009</v>
      </c>
    </row>
    <row r="36" spans="1:14">
      <c r="B36" s="11" t="s">
        <v>236</v>
      </c>
      <c r="C36" s="12">
        <f>Cal!$I$9*SUM('DV-Regis'!$I$90:$I$93,'DV-Regis'!$I$97:$I$98,'DV-Regis'!$I$102,'DV-Regis'!$I$104:$I$110,'DV-Regis'!$I$116,'DV-Regis'!$I$121,'DV-Regis'!$I$127,'DV-Regis'!$I$132,'DV-Regis'!$I$136,'DV-Regis'!$I$138:$I$142)</f>
        <v>0</v>
      </c>
    </row>
    <row r="38" spans="1:14">
      <c r="A38" s="13" t="s">
        <v>38</v>
      </c>
    </row>
    <row r="39" spans="1:14">
      <c r="A39" s="130" t="s">
        <v>239</v>
      </c>
    </row>
    <row r="40" spans="1:14">
      <c r="A40" s="131" t="s">
        <v>240</v>
      </c>
    </row>
    <row r="41" spans="1:14">
      <c r="A41" s="13"/>
    </row>
    <row r="42" spans="1:14" ht="15.75" thickBot="1">
      <c r="A42" s="13" t="s">
        <v>241</v>
      </c>
    </row>
    <row r="43" spans="1:14" ht="15.75" thickBot="1">
      <c r="A43" s="13"/>
      <c r="B43" s="82" t="s">
        <v>242</v>
      </c>
      <c r="C43" s="83" t="s">
        <v>243</v>
      </c>
      <c r="D43" s="84" t="s">
        <v>244</v>
      </c>
    </row>
    <row r="44" spans="1:14" ht="15.75" thickBot="1">
      <c r="A44" s="13"/>
      <c r="B44" s="82" t="s">
        <v>245</v>
      </c>
      <c r="C44" s="83" t="s">
        <v>246</v>
      </c>
      <c r="D44" s="84" t="s">
        <v>247</v>
      </c>
    </row>
    <row r="45" spans="1:14">
      <c r="A45" s="13"/>
      <c r="B45" s="15" t="s">
        <v>248</v>
      </c>
      <c r="C45" s="80" t="s">
        <v>249</v>
      </c>
      <c r="D45" s="80"/>
    </row>
    <row r="46" spans="1:14">
      <c r="A46" s="13"/>
      <c r="B46" s="15" t="s">
        <v>250</v>
      </c>
      <c r="C46" s="80" t="s">
        <v>251</v>
      </c>
      <c r="D46" s="80"/>
    </row>
    <row r="47" spans="1:14" ht="15.75" thickBot="1">
      <c r="F47" s="80"/>
      <c r="J47" s="80"/>
    </row>
    <row r="48" spans="1:14">
      <c r="B48" s="218" t="s">
        <v>252</v>
      </c>
      <c r="C48" s="85" t="s">
        <v>253</v>
      </c>
      <c r="D48" s="86" t="s">
        <v>254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 ht="16.5">
      <c r="B49" s="219"/>
      <c r="C49" s="10" t="s">
        <v>255</v>
      </c>
      <c r="D49" s="88" t="s">
        <v>256</v>
      </c>
      <c r="E49" s="11"/>
      <c r="N49" s="89"/>
    </row>
    <row r="50" spans="2:14">
      <c r="B50" s="219"/>
      <c r="C50" s="90" t="s">
        <v>257</v>
      </c>
      <c r="D50" s="91" t="s">
        <v>258</v>
      </c>
      <c r="N50" s="89"/>
    </row>
    <row r="51" spans="2:14" ht="16.5">
      <c r="B51" s="219"/>
      <c r="C51" s="90" t="s">
        <v>259</v>
      </c>
      <c r="D51" s="88" t="s">
        <v>260</v>
      </c>
      <c r="N51" s="89"/>
    </row>
    <row r="52" spans="2:14" ht="17.25" thickBot="1">
      <c r="B52" s="220"/>
      <c r="C52" s="92" t="s">
        <v>261</v>
      </c>
      <c r="D52" s="93" t="s">
        <v>262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5.75" thickBot="1">
      <c r="C53" s="81"/>
    </row>
    <row r="54" spans="2:14">
      <c r="B54" s="218" t="s">
        <v>263</v>
      </c>
      <c r="C54" s="96" t="s">
        <v>253</v>
      </c>
      <c r="D54" s="86" t="s">
        <v>254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219"/>
      <c r="C55" s="90" t="s">
        <v>255</v>
      </c>
      <c r="D55" s="91" t="s">
        <v>264</v>
      </c>
      <c r="N55" s="89"/>
    </row>
    <row r="56" spans="2:14" ht="16.5">
      <c r="B56" s="219"/>
      <c r="C56" s="90" t="s">
        <v>257</v>
      </c>
      <c r="D56" s="88" t="s">
        <v>265</v>
      </c>
      <c r="N56" s="89"/>
    </row>
    <row r="57" spans="2:14">
      <c r="B57" s="219"/>
      <c r="C57" s="90" t="s">
        <v>259</v>
      </c>
      <c r="D57" s="91" t="s">
        <v>266</v>
      </c>
      <c r="N57" s="89"/>
    </row>
    <row r="58" spans="2:14" ht="17.25" thickBot="1">
      <c r="B58" s="220"/>
      <c r="C58" s="92" t="s">
        <v>261</v>
      </c>
      <c r="D58" s="93" t="s">
        <v>267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5.75" thickBot="1">
      <c r="C59" s="10"/>
    </row>
    <row r="60" spans="2:14">
      <c r="B60" s="218" t="s">
        <v>268</v>
      </c>
      <c r="C60" s="96" t="s">
        <v>253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219"/>
      <c r="C61" s="90" t="s">
        <v>255</v>
      </c>
      <c r="D61" s="91" t="s">
        <v>264</v>
      </c>
      <c r="N61" s="89"/>
    </row>
    <row r="62" spans="2:14">
      <c r="B62" s="219"/>
      <c r="C62" s="90" t="s">
        <v>257</v>
      </c>
      <c r="D62" s="91" t="s">
        <v>269</v>
      </c>
      <c r="E62" s="11"/>
      <c r="N62" s="89"/>
    </row>
    <row r="63" spans="2:14">
      <c r="B63" s="219"/>
      <c r="C63" s="90" t="s">
        <v>259</v>
      </c>
      <c r="D63" s="91" t="s">
        <v>270</v>
      </c>
      <c r="N63" s="89"/>
    </row>
    <row r="64" spans="2:14" ht="17.25" thickBot="1">
      <c r="B64" s="220"/>
      <c r="C64" s="92" t="s">
        <v>261</v>
      </c>
      <c r="D64" s="93" t="s">
        <v>271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5.75" thickBot="1">
      <c r="C65" s="81"/>
    </row>
    <row r="66" spans="2:14">
      <c r="B66" s="218" t="s">
        <v>272</v>
      </c>
      <c r="C66" s="96" t="s">
        <v>255</v>
      </c>
      <c r="D66" s="97" t="s">
        <v>264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219"/>
      <c r="C67" s="90" t="s">
        <v>257</v>
      </c>
      <c r="D67" s="91" t="s">
        <v>273</v>
      </c>
      <c r="N67" s="89"/>
    </row>
    <row r="68" spans="2:14" ht="16.5">
      <c r="B68" s="219"/>
      <c r="C68" s="90" t="s">
        <v>259</v>
      </c>
      <c r="D68" s="88" t="s">
        <v>274</v>
      </c>
      <c r="N68" s="89"/>
    </row>
    <row r="69" spans="2:14" ht="16.5">
      <c r="B69" s="219"/>
      <c r="C69" s="90" t="s">
        <v>261</v>
      </c>
      <c r="D69" s="88" t="s">
        <v>275</v>
      </c>
      <c r="N69" s="89"/>
    </row>
    <row r="70" spans="2:14" ht="15.75" thickBot="1">
      <c r="B70" s="220"/>
      <c r="C70" s="98" t="s">
        <v>276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1:M71"/>
  <sheetViews>
    <sheetView workbookViewId="0">
      <selection activeCell="C4" sqref="C4:C12"/>
    </sheetView>
  </sheetViews>
  <sheetFormatPr defaultRowHeight="15"/>
  <cols>
    <col min="1" max="1" width="26.28515625" customWidth="1"/>
    <col min="3" max="3" width="13.7109375" bestFit="1" customWidth="1"/>
    <col min="5" max="5" width="15.85546875" customWidth="1"/>
    <col min="9" max="9" width="11.5703125" customWidth="1"/>
    <col min="12" max="12" width="20.140625" customWidth="1"/>
  </cols>
  <sheetData>
    <row r="1" spans="1:13" s="200" customFormat="1">
      <c r="A1" s="200" t="s">
        <v>1202</v>
      </c>
    </row>
    <row r="3" spans="1:13">
      <c r="B3" t="s">
        <v>277</v>
      </c>
      <c r="C3" t="s">
        <v>278</v>
      </c>
      <c r="D3" t="s">
        <v>279</v>
      </c>
      <c r="E3" t="s">
        <v>280</v>
      </c>
      <c r="F3" t="s">
        <v>281</v>
      </c>
      <c r="H3" t="s">
        <v>282</v>
      </c>
      <c r="I3" t="s">
        <v>283</v>
      </c>
    </row>
    <row r="4" spans="1:13">
      <c r="F4" t="s">
        <v>284</v>
      </c>
      <c r="G4" t="s">
        <v>285</v>
      </c>
      <c r="M4" t="s">
        <v>286</v>
      </c>
    </row>
    <row r="5" spans="1:13">
      <c r="A5" t="s">
        <v>287</v>
      </c>
      <c r="B5" s="108">
        <v>10</v>
      </c>
      <c r="C5" s="108">
        <v>160</v>
      </c>
      <c r="D5" s="108">
        <f>C5/B5</f>
        <v>16</v>
      </c>
      <c r="E5" s="109">
        <v>101188</v>
      </c>
      <c r="F5" s="108">
        <v>514</v>
      </c>
      <c r="G5" s="108">
        <v>464</v>
      </c>
      <c r="H5" s="108">
        <f>SUM(F5*5,G5*2)/7</f>
        <v>499.71428571428572</v>
      </c>
      <c r="I5" s="108">
        <f>E5/H5</f>
        <v>202.49170954831331</v>
      </c>
      <c r="J5" s="108"/>
      <c r="K5" s="108"/>
      <c r="L5" s="108" t="s">
        <v>288</v>
      </c>
      <c r="M5" s="107" t="s">
        <v>289</v>
      </c>
    </row>
    <row r="6" spans="1:13">
      <c r="A6" s="203" t="s">
        <v>290</v>
      </c>
      <c r="B6" s="128">
        <f>C6/D6</f>
        <v>9.4523809523809526</v>
      </c>
      <c r="C6" s="128">
        <v>794</v>
      </c>
      <c r="D6" s="128">
        <f>SUM(C68:C70)</f>
        <v>84</v>
      </c>
      <c r="E6" s="109">
        <v>562103</v>
      </c>
      <c r="F6">
        <v>947</v>
      </c>
      <c r="G6" s="108">
        <v>853</v>
      </c>
      <c r="H6" s="108">
        <f t="shared" ref="H6:H28" si="0">SUM(F6*5,G6*2)/7</f>
        <v>920.14285714285711</v>
      </c>
      <c r="I6" s="108">
        <f t="shared" ref="I6:I27" si="1">E6/H6</f>
        <v>610.88666356155875</v>
      </c>
      <c r="J6" s="108"/>
      <c r="K6" s="108"/>
      <c r="L6" s="108" t="s">
        <v>291</v>
      </c>
      <c r="M6" s="107" t="s">
        <v>292</v>
      </c>
    </row>
    <row r="7" spans="1:13">
      <c r="A7" t="s">
        <v>293</v>
      </c>
      <c r="B7" s="108">
        <v>10</v>
      </c>
      <c r="C7" s="108">
        <v>490</v>
      </c>
      <c r="D7" s="108">
        <f t="shared" ref="D7:D8" si="2">C7/B7</f>
        <v>49</v>
      </c>
      <c r="E7" s="109">
        <v>208987</v>
      </c>
      <c r="F7">
        <v>362</v>
      </c>
      <c r="G7" s="108">
        <v>350</v>
      </c>
      <c r="H7" s="108">
        <f t="shared" si="0"/>
        <v>358.57142857142856</v>
      </c>
      <c r="I7" s="108">
        <f t="shared" si="1"/>
        <v>582.83227091633466</v>
      </c>
      <c r="J7" s="108"/>
      <c r="K7" s="108"/>
      <c r="L7" s="108" t="s">
        <v>294</v>
      </c>
      <c r="M7" s="107" t="s">
        <v>295</v>
      </c>
    </row>
    <row r="8" spans="1:13">
      <c r="A8" t="s">
        <v>296</v>
      </c>
      <c r="B8" s="108">
        <v>10</v>
      </c>
      <c r="C8" s="108">
        <v>470</v>
      </c>
      <c r="D8" s="108">
        <f t="shared" si="2"/>
        <v>47</v>
      </c>
      <c r="E8" s="109">
        <v>210968</v>
      </c>
      <c r="F8" s="108">
        <v>453</v>
      </c>
      <c r="G8" s="108">
        <v>394</v>
      </c>
      <c r="H8" s="108">
        <f t="shared" si="0"/>
        <v>436.14285714285717</v>
      </c>
      <c r="I8" s="108">
        <f t="shared" si="1"/>
        <v>483.71306911234848</v>
      </c>
      <c r="J8" s="108"/>
      <c r="K8" s="108"/>
      <c r="L8" s="108" t="s">
        <v>297</v>
      </c>
      <c r="M8" t="s">
        <v>298</v>
      </c>
    </row>
    <row r="9" spans="1:13">
      <c r="A9" t="s">
        <v>299</v>
      </c>
      <c r="B9" s="108">
        <v>8</v>
      </c>
      <c r="C9" s="108">
        <f>640-12</f>
        <v>628</v>
      </c>
      <c r="D9" s="108">
        <f>C9/B9</f>
        <v>78.5</v>
      </c>
      <c r="E9" s="109">
        <v>223186</v>
      </c>
      <c r="F9" s="108">
        <v>431</v>
      </c>
      <c r="G9" s="108">
        <v>372</v>
      </c>
      <c r="H9" s="108">
        <f t="shared" si="0"/>
        <v>414.14285714285717</v>
      </c>
      <c r="I9" s="108">
        <f t="shared" si="1"/>
        <v>538.91065884787849</v>
      </c>
      <c r="J9" s="108"/>
      <c r="K9" s="108"/>
      <c r="L9" s="108"/>
      <c r="M9" s="107"/>
    </row>
    <row r="10" spans="1:13">
      <c r="A10" t="s">
        <v>300</v>
      </c>
      <c r="B10" s="108">
        <v>8</v>
      </c>
      <c r="C10" s="108">
        <v>312</v>
      </c>
      <c r="D10" s="108">
        <f t="shared" ref="D10:D28" si="3">C10/B10</f>
        <v>39</v>
      </c>
      <c r="E10" s="109">
        <v>130600</v>
      </c>
      <c r="F10" s="108">
        <v>330</v>
      </c>
      <c r="G10" s="108">
        <v>277</v>
      </c>
      <c r="H10" s="108">
        <f t="shared" si="0"/>
        <v>314.85714285714283</v>
      </c>
      <c r="I10" s="108">
        <f t="shared" si="1"/>
        <v>414.79128856624322</v>
      </c>
      <c r="J10" s="108"/>
      <c r="K10" s="108"/>
      <c r="L10" s="108"/>
    </row>
    <row r="11" spans="1:13">
      <c r="A11" t="s">
        <v>301</v>
      </c>
      <c r="B11" s="108">
        <v>8</v>
      </c>
      <c r="C11" s="108">
        <v>577</v>
      </c>
      <c r="D11" s="108">
        <f t="shared" si="3"/>
        <v>72.125</v>
      </c>
      <c r="E11" s="109">
        <v>261991</v>
      </c>
      <c r="F11" s="108">
        <v>415</v>
      </c>
      <c r="G11" s="108">
        <v>353</v>
      </c>
      <c r="H11" s="108">
        <f t="shared" si="0"/>
        <v>397.28571428571428</v>
      </c>
      <c r="I11" s="108">
        <f t="shared" si="1"/>
        <v>659.45235526788929</v>
      </c>
      <c r="J11" s="108"/>
      <c r="K11" s="108"/>
    </row>
    <row r="12" spans="1:13">
      <c r="A12" t="s">
        <v>302</v>
      </c>
      <c r="B12" s="108">
        <v>6</v>
      </c>
      <c r="C12" s="108">
        <v>120</v>
      </c>
      <c r="D12" s="108">
        <f t="shared" si="3"/>
        <v>20</v>
      </c>
      <c r="E12" s="109">
        <v>70133</v>
      </c>
      <c r="F12" s="108">
        <v>282</v>
      </c>
      <c r="G12" s="108">
        <v>270</v>
      </c>
      <c r="H12" s="108">
        <f t="shared" si="0"/>
        <v>278.57142857142856</v>
      </c>
      <c r="I12" s="108">
        <f t="shared" si="1"/>
        <v>251.75948717948719</v>
      </c>
      <c r="J12" s="108"/>
      <c r="K12" s="108"/>
      <c r="L12" s="108" t="s">
        <v>303</v>
      </c>
      <c r="M12" t="s">
        <v>304</v>
      </c>
    </row>
    <row r="13" spans="1:13">
      <c r="A13" t="s">
        <v>305</v>
      </c>
      <c r="B13" s="108">
        <v>6</v>
      </c>
      <c r="C13" s="108">
        <v>270</v>
      </c>
      <c r="D13" s="108">
        <f t="shared" si="3"/>
        <v>45</v>
      </c>
      <c r="E13" s="109">
        <v>130859</v>
      </c>
      <c r="F13" s="108">
        <v>502</v>
      </c>
      <c r="H13" s="108">
        <f>F13</f>
        <v>502</v>
      </c>
      <c r="I13" s="108">
        <f t="shared" si="1"/>
        <v>260.67529880478088</v>
      </c>
      <c r="J13" s="108"/>
      <c r="K13" s="108"/>
      <c r="L13" s="108" t="s">
        <v>306</v>
      </c>
      <c r="M13" s="107" t="s">
        <v>307</v>
      </c>
    </row>
    <row r="14" spans="1:13">
      <c r="A14" t="s">
        <v>308</v>
      </c>
      <c r="B14" s="108">
        <v>4</v>
      </c>
      <c r="C14" s="108">
        <v>84</v>
      </c>
      <c r="D14" s="108">
        <f t="shared" si="3"/>
        <v>21</v>
      </c>
      <c r="E14" s="109">
        <v>40262</v>
      </c>
      <c r="F14" s="108">
        <v>242</v>
      </c>
      <c r="G14" s="108">
        <v>218</v>
      </c>
      <c r="H14" s="108">
        <f t="shared" si="0"/>
        <v>235.14285714285714</v>
      </c>
      <c r="I14" s="108">
        <f t="shared" si="1"/>
        <v>171.22357229647631</v>
      </c>
      <c r="J14" s="108"/>
      <c r="K14" s="108"/>
      <c r="L14" s="108" t="s">
        <v>309</v>
      </c>
      <c r="M14" s="107" t="s">
        <v>310</v>
      </c>
    </row>
    <row r="15" spans="1:13">
      <c r="A15" t="s">
        <v>311</v>
      </c>
      <c r="B15" s="108">
        <v>8</v>
      </c>
      <c r="C15" s="108">
        <v>408</v>
      </c>
      <c r="D15" s="108">
        <f t="shared" si="3"/>
        <v>51</v>
      </c>
      <c r="E15" s="109">
        <v>173271</v>
      </c>
      <c r="F15">
        <v>364</v>
      </c>
      <c r="G15" s="108">
        <v>328</v>
      </c>
      <c r="H15" s="108">
        <f t="shared" si="0"/>
        <v>353.71428571428572</v>
      </c>
      <c r="I15" s="108">
        <f t="shared" si="1"/>
        <v>489.8614701130856</v>
      </c>
      <c r="J15" s="108"/>
      <c r="K15" s="108"/>
      <c r="L15" s="108" t="s">
        <v>312</v>
      </c>
      <c r="M15" s="107" t="s">
        <v>313</v>
      </c>
    </row>
    <row r="16" spans="1:13">
      <c r="A16" t="s">
        <v>314</v>
      </c>
      <c r="B16" s="108">
        <v>6</v>
      </c>
      <c r="C16" s="108">
        <v>336</v>
      </c>
      <c r="D16" s="108">
        <f t="shared" si="3"/>
        <v>56</v>
      </c>
      <c r="E16" s="109">
        <v>123856</v>
      </c>
      <c r="F16">
        <v>349</v>
      </c>
      <c r="G16" s="108">
        <v>305</v>
      </c>
      <c r="H16" s="108">
        <f t="shared" si="0"/>
        <v>336.42857142857144</v>
      </c>
      <c r="I16" s="108">
        <f t="shared" si="1"/>
        <v>368.14946921443737</v>
      </c>
      <c r="J16" s="108"/>
      <c r="K16" s="108"/>
      <c r="L16" s="108" t="s">
        <v>315</v>
      </c>
      <c r="M16" t="s">
        <v>316</v>
      </c>
    </row>
    <row r="17" spans="1:13">
      <c r="A17" t="s">
        <v>317</v>
      </c>
      <c r="B17" s="108">
        <v>4</v>
      </c>
      <c r="C17" s="108">
        <v>80</v>
      </c>
      <c r="D17" s="108">
        <f t="shared" si="3"/>
        <v>20</v>
      </c>
      <c r="E17" s="109">
        <v>34438</v>
      </c>
      <c r="F17">
        <v>320</v>
      </c>
      <c r="G17" s="108">
        <v>284</v>
      </c>
      <c r="H17" s="108">
        <f t="shared" si="0"/>
        <v>309.71428571428572</v>
      </c>
      <c r="I17" s="108">
        <f t="shared" si="1"/>
        <v>111.19280442804428</v>
      </c>
      <c r="J17" s="108"/>
      <c r="K17" s="108"/>
      <c r="L17" s="108"/>
    </row>
    <row r="18" spans="1:13">
      <c r="A18" t="s">
        <v>318</v>
      </c>
      <c r="B18" s="108">
        <v>6</v>
      </c>
      <c r="C18" s="108">
        <v>102</v>
      </c>
      <c r="D18" s="108">
        <f t="shared" si="3"/>
        <v>17</v>
      </c>
      <c r="E18" s="109">
        <v>10984</v>
      </c>
      <c r="F18">
        <v>310</v>
      </c>
      <c r="G18" s="108">
        <v>278</v>
      </c>
      <c r="H18" s="108">
        <f t="shared" si="0"/>
        <v>300.85714285714283</v>
      </c>
      <c r="I18" s="108">
        <f t="shared" si="1"/>
        <v>36.509021842355182</v>
      </c>
      <c r="J18" s="108"/>
      <c r="K18" s="108"/>
      <c r="L18" s="108" t="s">
        <v>319</v>
      </c>
      <c r="M18" t="s">
        <v>320</v>
      </c>
    </row>
    <row r="19" spans="1:13">
      <c r="A19" t="s">
        <v>321</v>
      </c>
      <c r="B19" s="108">
        <v>8</v>
      </c>
      <c r="C19" s="108">
        <v>272</v>
      </c>
      <c r="D19" s="108">
        <f t="shared" si="3"/>
        <v>34</v>
      </c>
      <c r="E19" s="109">
        <v>74427</v>
      </c>
      <c r="F19">
        <v>312</v>
      </c>
      <c r="G19" s="108">
        <v>272</v>
      </c>
      <c r="H19" s="108">
        <f t="shared" si="0"/>
        <v>300.57142857142856</v>
      </c>
      <c r="I19" s="108">
        <f t="shared" si="1"/>
        <v>247.61834600760457</v>
      </c>
      <c r="J19" s="108"/>
      <c r="K19" s="108"/>
      <c r="L19" s="108" t="s">
        <v>322</v>
      </c>
      <c r="M19" s="107" t="s">
        <v>323</v>
      </c>
    </row>
    <row r="20" spans="1:13">
      <c r="A20" t="s">
        <v>324</v>
      </c>
      <c r="B20" s="108">
        <v>2</v>
      </c>
      <c r="C20" s="108">
        <v>74</v>
      </c>
      <c r="D20" s="108">
        <f t="shared" si="3"/>
        <v>37</v>
      </c>
      <c r="E20" s="109">
        <v>41388</v>
      </c>
      <c r="F20">
        <v>460</v>
      </c>
      <c r="G20" s="108">
        <v>376</v>
      </c>
      <c r="H20" s="108">
        <f t="shared" si="0"/>
        <v>436</v>
      </c>
      <c r="I20" s="108">
        <f t="shared" si="1"/>
        <v>94.926605504587158</v>
      </c>
      <c r="J20" s="108"/>
      <c r="K20" s="108"/>
      <c r="L20" s="108" t="s">
        <v>325</v>
      </c>
      <c r="M20" s="107" t="s">
        <v>326</v>
      </c>
    </row>
    <row r="21" spans="1:13">
      <c r="A21" t="s">
        <v>327</v>
      </c>
      <c r="B21" s="108">
        <v>6</v>
      </c>
      <c r="C21" s="108">
        <v>204</v>
      </c>
      <c r="D21" s="108">
        <f t="shared" si="3"/>
        <v>34</v>
      </c>
      <c r="E21" s="109">
        <v>74572</v>
      </c>
      <c r="F21" s="108">
        <f>105112/365</f>
        <v>287.9780821917808</v>
      </c>
      <c r="H21" s="108">
        <f>F21</f>
        <v>287.9780821917808</v>
      </c>
      <c r="I21" s="108">
        <f t="shared" si="1"/>
        <v>258.9502625770607</v>
      </c>
      <c r="J21" s="108"/>
      <c r="K21" s="108"/>
      <c r="L21" s="108" t="s">
        <v>328</v>
      </c>
      <c r="M21" s="107" t="s">
        <v>329</v>
      </c>
    </row>
    <row r="22" spans="1:13">
      <c r="A22" t="s">
        <v>330</v>
      </c>
      <c r="B22" s="108">
        <v>6</v>
      </c>
      <c r="C22" s="108">
        <v>180</v>
      </c>
      <c r="D22" s="108">
        <f t="shared" si="3"/>
        <v>30</v>
      </c>
      <c r="E22" s="109">
        <v>64876</v>
      </c>
      <c r="F22" s="108">
        <f>96192/365</f>
        <v>263.53972602739725</v>
      </c>
      <c r="H22" s="108">
        <f t="shared" ref="H22:H23" si="4">F22</f>
        <v>263.53972602739725</v>
      </c>
      <c r="I22" s="108">
        <f t="shared" si="1"/>
        <v>246.1716151031271</v>
      </c>
      <c r="J22" s="108"/>
      <c r="K22" s="108"/>
      <c r="L22" s="108" t="s">
        <v>331</v>
      </c>
      <c r="M22" s="107" t="s">
        <v>332</v>
      </c>
    </row>
    <row r="23" spans="1:13">
      <c r="A23" t="s">
        <v>333</v>
      </c>
      <c r="B23" s="108">
        <v>3</v>
      </c>
      <c r="C23" s="108">
        <v>84</v>
      </c>
      <c r="D23" s="108">
        <f t="shared" si="3"/>
        <v>28</v>
      </c>
      <c r="E23" s="109">
        <v>28180</v>
      </c>
      <c r="F23" s="108">
        <f>111480/365</f>
        <v>305.42465753424659</v>
      </c>
      <c r="H23" s="108">
        <f t="shared" si="4"/>
        <v>305.42465753424659</v>
      </c>
      <c r="I23" s="108">
        <f t="shared" si="1"/>
        <v>92.264980265518474</v>
      </c>
      <c r="J23" s="108"/>
      <c r="K23" s="108"/>
      <c r="L23" s="108" t="s">
        <v>334</v>
      </c>
      <c r="M23" t="s">
        <v>335</v>
      </c>
    </row>
    <row r="24" spans="1:13">
      <c r="A24" t="s">
        <v>336</v>
      </c>
      <c r="B24" s="108">
        <v>4</v>
      </c>
      <c r="C24" s="108">
        <v>92</v>
      </c>
      <c r="D24" s="108">
        <f t="shared" si="3"/>
        <v>23</v>
      </c>
      <c r="E24" s="109">
        <v>19319</v>
      </c>
      <c r="F24" s="108">
        <f>G24*(F14/G14)</f>
        <v>224.23853211009174</v>
      </c>
      <c r="G24">
        <v>202</v>
      </c>
      <c r="H24" s="108">
        <f t="shared" si="0"/>
        <v>217.88466579292268</v>
      </c>
      <c r="I24" s="108">
        <f t="shared" si="1"/>
        <v>88.666175426777187</v>
      </c>
      <c r="J24" s="108"/>
      <c r="K24" s="108"/>
      <c r="L24" s="108" t="s">
        <v>337</v>
      </c>
      <c r="M24" s="107" t="s">
        <v>338</v>
      </c>
    </row>
    <row r="25" spans="1:13">
      <c r="A25" t="s">
        <v>339</v>
      </c>
      <c r="B25" s="108">
        <v>2</v>
      </c>
      <c r="C25" s="108">
        <v>50</v>
      </c>
      <c r="D25" s="108">
        <f t="shared" si="3"/>
        <v>25</v>
      </c>
      <c r="E25" s="109">
        <v>18480</v>
      </c>
      <c r="F25">
        <v>424</v>
      </c>
      <c r="H25" s="108">
        <f t="shared" si="0"/>
        <v>302.85714285714283</v>
      </c>
      <c r="I25" s="108">
        <f t="shared" si="1"/>
        <v>61.018867924528308</v>
      </c>
      <c r="J25" s="108"/>
      <c r="K25" s="108"/>
      <c r="L25" s="108" t="s">
        <v>340</v>
      </c>
      <c r="M25" s="107" t="s">
        <v>341</v>
      </c>
    </row>
    <row r="26" spans="1:13">
      <c r="A26" t="s">
        <v>342</v>
      </c>
      <c r="B26" s="108">
        <v>2</v>
      </c>
      <c r="C26" s="108">
        <v>30</v>
      </c>
      <c r="D26" s="108">
        <f t="shared" si="3"/>
        <v>15</v>
      </c>
      <c r="E26" s="109">
        <v>12953</v>
      </c>
      <c r="F26">
        <v>362</v>
      </c>
      <c r="H26" s="108">
        <f t="shared" si="0"/>
        <v>258.57142857142856</v>
      </c>
      <c r="I26" s="108">
        <f t="shared" si="1"/>
        <v>50.094475138121553</v>
      </c>
      <c r="J26" s="108"/>
      <c r="K26" s="108"/>
      <c r="L26" s="108" t="s">
        <v>343</v>
      </c>
      <c r="M26" s="107" t="s">
        <v>344</v>
      </c>
    </row>
    <row r="27" spans="1:13">
      <c r="A27" t="s">
        <v>345</v>
      </c>
      <c r="B27" s="108">
        <v>1</v>
      </c>
      <c r="C27" s="108">
        <v>30</v>
      </c>
      <c r="D27" s="108">
        <f t="shared" si="3"/>
        <v>30</v>
      </c>
      <c r="E27" s="109">
        <v>8848</v>
      </c>
      <c r="F27">
        <v>398</v>
      </c>
      <c r="H27" s="108">
        <f t="shared" si="0"/>
        <v>284.28571428571428</v>
      </c>
      <c r="I27" s="108">
        <f t="shared" si="1"/>
        <v>31.123618090452261</v>
      </c>
      <c r="J27" s="108"/>
      <c r="K27" s="108"/>
      <c r="L27" s="108" t="s">
        <v>346</v>
      </c>
      <c r="M27" s="107" t="s">
        <v>347</v>
      </c>
    </row>
    <row r="28" spans="1:13">
      <c r="A28" t="s">
        <v>348</v>
      </c>
      <c r="B28" s="108">
        <v>2</v>
      </c>
      <c r="C28" s="108">
        <v>36</v>
      </c>
      <c r="D28" s="108">
        <f t="shared" si="3"/>
        <v>18</v>
      </c>
      <c r="E28" s="109">
        <v>16157</v>
      </c>
      <c r="F28">
        <v>516</v>
      </c>
      <c r="H28" s="108">
        <f t="shared" si="0"/>
        <v>368.57142857142856</v>
      </c>
      <c r="I28" s="108">
        <f>E28/H28</f>
        <v>43.83682170542636</v>
      </c>
      <c r="J28" s="108"/>
      <c r="K28" s="108"/>
      <c r="L28" s="108" t="s">
        <v>349</v>
      </c>
      <c r="M28" s="107" t="s">
        <v>350</v>
      </c>
    </row>
    <row r="29" spans="1:13">
      <c r="A29" t="s">
        <v>351</v>
      </c>
      <c r="B29" s="108"/>
      <c r="C29">
        <v>5883</v>
      </c>
      <c r="D29" s="111">
        <f>SUM(D5:D28)</f>
        <v>889.625</v>
      </c>
      <c r="E29" s="109">
        <f>SUM($E$5:$E$28)</f>
        <v>2642026</v>
      </c>
      <c r="L29" s="108" t="s">
        <v>352</v>
      </c>
      <c r="M29" t="s">
        <v>353</v>
      </c>
    </row>
    <row r="30" spans="1:13">
      <c r="B30" s="110" t="s">
        <v>354</v>
      </c>
      <c r="C30" s="128">
        <f>SUMPRODUCT(D5:D28,I5:I28)/D29</f>
        <v>356.82478102755613</v>
      </c>
      <c r="L30" s="108" t="s">
        <v>355</v>
      </c>
      <c r="M30" t="s">
        <v>356</v>
      </c>
    </row>
    <row r="32" spans="1:13">
      <c r="L32" s="108"/>
      <c r="M32" s="107"/>
    </row>
    <row r="33" spans="1:10">
      <c r="A33" s="8" t="s">
        <v>38</v>
      </c>
    </row>
    <row r="34" spans="1:10">
      <c r="A34" t="s">
        <v>357</v>
      </c>
    </row>
    <row r="35" spans="1:10">
      <c r="A35" s="6" t="s">
        <v>358</v>
      </c>
      <c r="B35" s="6"/>
    </row>
    <row r="36" spans="1:10">
      <c r="A36" s="6" t="s">
        <v>359</v>
      </c>
      <c r="B36" s="6"/>
    </row>
    <row r="39" spans="1:10">
      <c r="A39" s="221" t="s">
        <v>1166</v>
      </c>
      <c r="B39" s="222" t="s">
        <v>1123</v>
      </c>
      <c r="C39" s="222" t="s">
        <v>1123</v>
      </c>
      <c r="D39" s="222" t="s">
        <v>1123</v>
      </c>
      <c r="E39" s="222" t="s">
        <v>1123</v>
      </c>
      <c r="F39" s="222" t="s">
        <v>1123</v>
      </c>
      <c r="G39" s="222" t="s">
        <v>1123</v>
      </c>
      <c r="H39" s="222" t="s">
        <v>1123</v>
      </c>
    </row>
    <row r="40" spans="1:10">
      <c r="A40" s="222" t="s">
        <v>1166</v>
      </c>
      <c r="B40" s="223" t="s">
        <v>1167</v>
      </c>
      <c r="C40" s="223" t="s">
        <v>1167</v>
      </c>
      <c r="D40" s="223" t="s">
        <v>1167</v>
      </c>
      <c r="E40" s="223" t="s">
        <v>1167</v>
      </c>
      <c r="F40" s="223" t="s">
        <v>1167</v>
      </c>
      <c r="G40" s="223" t="s">
        <v>1167</v>
      </c>
      <c r="H40" s="223" t="s">
        <v>1167</v>
      </c>
    </row>
    <row r="41" spans="1:10">
      <c r="A41" s="222" t="s">
        <v>1166</v>
      </c>
      <c r="B41" s="197" t="s">
        <v>79</v>
      </c>
      <c r="C41" s="197" t="s">
        <v>1168</v>
      </c>
      <c r="D41" s="197" t="s">
        <v>1169</v>
      </c>
      <c r="E41" s="197" t="s">
        <v>1170</v>
      </c>
      <c r="F41" s="197" t="s">
        <v>1171</v>
      </c>
      <c r="G41" s="197" t="s">
        <v>1172</v>
      </c>
      <c r="H41" s="197" t="s">
        <v>1173</v>
      </c>
      <c r="I41" s="197" t="s">
        <v>1186</v>
      </c>
      <c r="J41" s="197" t="s">
        <v>1187</v>
      </c>
    </row>
    <row r="42" spans="1:10">
      <c r="A42" s="195" t="s">
        <v>72</v>
      </c>
      <c r="B42" s="199">
        <v>5895</v>
      </c>
      <c r="C42" s="199">
        <v>770</v>
      </c>
      <c r="D42" s="199">
        <v>352</v>
      </c>
      <c r="E42" s="199">
        <v>996</v>
      </c>
      <c r="F42" s="199">
        <v>535</v>
      </c>
      <c r="G42" s="199">
        <v>2053</v>
      </c>
      <c r="H42" s="199">
        <v>1189</v>
      </c>
      <c r="I42" s="175"/>
      <c r="J42" s="175"/>
    </row>
    <row r="43" spans="1:10">
      <c r="A43" s="195" t="s">
        <v>1174</v>
      </c>
      <c r="B43" s="199">
        <v>3563</v>
      </c>
      <c r="C43" s="199">
        <v>446</v>
      </c>
      <c r="D43" s="199">
        <v>56</v>
      </c>
      <c r="E43" s="199">
        <v>624</v>
      </c>
      <c r="F43" s="199">
        <v>87</v>
      </c>
      <c r="G43" s="199">
        <v>1421</v>
      </c>
      <c r="H43" s="199">
        <v>929</v>
      </c>
      <c r="I43" s="202">
        <f>AVERAGE(B5:B12)</f>
        <v>8.6815476190476186</v>
      </c>
      <c r="J43" s="175">
        <f>ROUND(B43/I43,0)</f>
        <v>410</v>
      </c>
    </row>
    <row r="44" spans="1:10">
      <c r="A44" s="195" t="s">
        <v>1175</v>
      </c>
      <c r="B44" s="199">
        <v>216</v>
      </c>
      <c r="C44" s="199">
        <v>72</v>
      </c>
      <c r="D44" s="199" t="s">
        <v>363</v>
      </c>
      <c r="E44" s="199">
        <v>144</v>
      </c>
      <c r="F44" s="199" t="s">
        <v>363</v>
      </c>
      <c r="G44" s="199" t="s">
        <v>363</v>
      </c>
      <c r="H44" s="199" t="s">
        <v>363</v>
      </c>
      <c r="I44" s="202">
        <f>B13</f>
        <v>6</v>
      </c>
      <c r="J44" s="175">
        <f t="shared" ref="J44:J54" si="5">ROUND(B44/I44,0)</f>
        <v>36</v>
      </c>
    </row>
    <row r="45" spans="1:10">
      <c r="A45" s="195" t="s">
        <v>1176</v>
      </c>
      <c r="B45" s="199">
        <v>54</v>
      </c>
      <c r="C45" s="199">
        <v>54</v>
      </c>
      <c r="D45" s="199" t="s">
        <v>363</v>
      </c>
      <c r="E45" s="199" t="s">
        <v>363</v>
      </c>
      <c r="F45" s="199" t="s">
        <v>363</v>
      </c>
      <c r="G45" s="199" t="s">
        <v>363</v>
      </c>
      <c r="H45" s="199" t="s">
        <v>363</v>
      </c>
      <c r="I45" s="202">
        <f>I44</f>
        <v>6</v>
      </c>
      <c r="J45" s="175">
        <f t="shared" si="5"/>
        <v>9</v>
      </c>
    </row>
    <row r="46" spans="1:10">
      <c r="A46" s="195" t="s">
        <v>1177</v>
      </c>
      <c r="B46" s="199">
        <v>926</v>
      </c>
      <c r="C46" s="199">
        <v>88</v>
      </c>
      <c r="D46" s="199">
        <v>102</v>
      </c>
      <c r="E46" s="199">
        <v>80</v>
      </c>
      <c r="F46" s="199">
        <v>168</v>
      </c>
      <c r="G46" s="199">
        <v>228</v>
      </c>
      <c r="H46" s="199">
        <v>260</v>
      </c>
      <c r="I46" s="202">
        <f>AVERAGE(B15:B18)</f>
        <v>6</v>
      </c>
      <c r="J46" s="175">
        <f t="shared" si="5"/>
        <v>154</v>
      </c>
    </row>
    <row r="47" spans="1:10">
      <c r="A47" s="195" t="s">
        <v>1178</v>
      </c>
      <c r="B47" s="199">
        <v>468</v>
      </c>
      <c r="C47" s="199" t="s">
        <v>363</v>
      </c>
      <c r="D47" s="199">
        <v>84</v>
      </c>
      <c r="E47" s="199" t="s">
        <v>363</v>
      </c>
      <c r="F47" s="199">
        <v>180</v>
      </c>
      <c r="G47" s="199">
        <v>204</v>
      </c>
      <c r="H47" s="199" t="s">
        <v>363</v>
      </c>
      <c r="I47" s="202">
        <f>AVERAGE(B21:B23)</f>
        <v>5</v>
      </c>
      <c r="J47" s="175">
        <f t="shared" si="5"/>
        <v>94</v>
      </c>
    </row>
    <row r="48" spans="1:10">
      <c r="A48" s="195" t="s">
        <v>1179</v>
      </c>
      <c r="B48" s="199">
        <v>346</v>
      </c>
      <c r="C48" s="199">
        <v>74</v>
      </c>
      <c r="D48" s="199" t="s">
        <v>363</v>
      </c>
      <c r="E48" s="199">
        <v>72</v>
      </c>
      <c r="F48" s="199" t="s">
        <v>363</v>
      </c>
      <c r="G48" s="199">
        <v>200</v>
      </c>
      <c r="H48" s="199" t="s">
        <v>363</v>
      </c>
      <c r="I48" s="202">
        <f>AVERAGE(B19:B20)</f>
        <v>5</v>
      </c>
      <c r="J48" s="175">
        <f t="shared" si="5"/>
        <v>69</v>
      </c>
    </row>
    <row r="49" spans="1:10">
      <c r="A49" s="195" t="s">
        <v>1180</v>
      </c>
      <c r="B49" s="199">
        <v>92</v>
      </c>
      <c r="C49" s="199" t="s">
        <v>363</v>
      </c>
      <c r="D49" s="199" t="s">
        <v>363</v>
      </c>
      <c r="E49" s="199">
        <v>40</v>
      </c>
      <c r="F49" s="199">
        <v>52</v>
      </c>
      <c r="G49" s="199" t="s">
        <v>363</v>
      </c>
      <c r="H49" s="199" t="s">
        <v>363</v>
      </c>
      <c r="I49" s="202">
        <f>AVERAGE(B24)</f>
        <v>4</v>
      </c>
      <c r="J49" s="175">
        <f t="shared" si="5"/>
        <v>23</v>
      </c>
    </row>
    <row r="50" spans="1:10">
      <c r="A50" s="195" t="s">
        <v>1181</v>
      </c>
      <c r="B50" s="199">
        <v>84</v>
      </c>
      <c r="C50" s="199" t="s">
        <v>363</v>
      </c>
      <c r="D50" s="199" t="s">
        <v>363</v>
      </c>
      <c r="E50" s="199">
        <v>36</v>
      </c>
      <c r="F50" s="199">
        <v>48</v>
      </c>
      <c r="G50" s="199" t="s">
        <v>363</v>
      </c>
      <c r="H50" s="199" t="s">
        <v>363</v>
      </c>
      <c r="I50" s="202">
        <f>AVERAGE(B14)</f>
        <v>4</v>
      </c>
      <c r="J50" s="175">
        <f t="shared" si="5"/>
        <v>21</v>
      </c>
    </row>
    <row r="51" spans="1:10">
      <c r="A51" s="195" t="s">
        <v>1182</v>
      </c>
      <c r="B51" s="199">
        <v>50</v>
      </c>
      <c r="C51" s="199" t="s">
        <v>363</v>
      </c>
      <c r="D51" s="199">
        <v>50</v>
      </c>
      <c r="E51" s="199" t="s">
        <v>363</v>
      </c>
      <c r="F51" s="199" t="s">
        <v>363</v>
      </c>
      <c r="G51" s="199" t="s">
        <v>363</v>
      </c>
      <c r="H51" s="199" t="s">
        <v>363</v>
      </c>
      <c r="I51" s="202">
        <f>B25</f>
        <v>2</v>
      </c>
      <c r="J51" s="175">
        <f t="shared" si="5"/>
        <v>25</v>
      </c>
    </row>
    <row r="52" spans="1:10">
      <c r="A52" s="195" t="s">
        <v>1183</v>
      </c>
      <c r="B52" s="199">
        <v>30</v>
      </c>
      <c r="C52" s="199" t="s">
        <v>363</v>
      </c>
      <c r="D52" s="199">
        <v>30</v>
      </c>
      <c r="E52" s="199" t="s">
        <v>363</v>
      </c>
      <c r="F52" s="199" t="s">
        <v>363</v>
      </c>
      <c r="G52" s="199" t="s">
        <v>363</v>
      </c>
      <c r="H52" s="199" t="s">
        <v>363</v>
      </c>
      <c r="I52" s="202">
        <f>B26</f>
        <v>2</v>
      </c>
      <c r="J52" s="175">
        <f t="shared" si="5"/>
        <v>15</v>
      </c>
    </row>
    <row r="53" spans="1:10">
      <c r="A53" s="195" t="s">
        <v>1184</v>
      </c>
      <c r="B53" s="199">
        <v>30</v>
      </c>
      <c r="C53" s="199" t="s">
        <v>363</v>
      </c>
      <c r="D53" s="199">
        <v>30</v>
      </c>
      <c r="E53" s="199" t="s">
        <v>363</v>
      </c>
      <c r="F53" s="199" t="s">
        <v>363</v>
      </c>
      <c r="G53" s="199" t="s">
        <v>363</v>
      </c>
      <c r="H53" s="199" t="s">
        <v>363</v>
      </c>
      <c r="I53" s="202">
        <f>B27</f>
        <v>1</v>
      </c>
      <c r="J53" s="175">
        <f t="shared" si="5"/>
        <v>30</v>
      </c>
    </row>
    <row r="54" spans="1:10">
      <c r="A54" s="196" t="s">
        <v>1185</v>
      </c>
      <c r="B54" s="199">
        <v>36</v>
      </c>
      <c r="C54" s="199">
        <v>36</v>
      </c>
      <c r="D54" s="199" t="s">
        <v>363</v>
      </c>
      <c r="E54" s="199" t="s">
        <v>363</v>
      </c>
      <c r="F54" s="199" t="s">
        <v>363</v>
      </c>
      <c r="G54" s="199" t="s">
        <v>363</v>
      </c>
      <c r="H54" s="199" t="s">
        <v>363</v>
      </c>
      <c r="I54" s="202">
        <f>B28</f>
        <v>2</v>
      </c>
      <c r="J54" s="175">
        <f t="shared" si="5"/>
        <v>18</v>
      </c>
    </row>
    <row r="55" spans="1:10">
      <c r="J55">
        <f>SUM(J43:J54)</f>
        <v>904</v>
      </c>
    </row>
    <row r="58" spans="1:10">
      <c r="A58" s="198" t="s">
        <v>1132</v>
      </c>
      <c r="B58" s="198" t="s">
        <v>1188</v>
      </c>
    </row>
    <row r="59" spans="1:10">
      <c r="A59" s="198" t="s">
        <v>1133</v>
      </c>
      <c r="B59" s="198" t="s">
        <v>1189</v>
      </c>
    </row>
    <row r="60" spans="1:10">
      <c r="A60" s="198" t="s">
        <v>1134</v>
      </c>
      <c r="B60" s="198" t="s">
        <v>1190</v>
      </c>
    </row>
    <row r="61" spans="1:10">
      <c r="A61" s="198" t="s">
        <v>1135</v>
      </c>
      <c r="B61" s="198" t="s">
        <v>1191</v>
      </c>
    </row>
    <row r="62" spans="1:10">
      <c r="A62" s="198" t="s">
        <v>1136</v>
      </c>
      <c r="B62" s="198" t="s">
        <v>1192</v>
      </c>
    </row>
    <row r="63" spans="1:10">
      <c r="A63" s="198" t="s">
        <v>1137</v>
      </c>
      <c r="B63" s="198" t="s">
        <v>1193</v>
      </c>
    </row>
    <row r="64" spans="1:10">
      <c r="A64" s="198" t="s">
        <v>367</v>
      </c>
      <c r="B64" s="198" t="s">
        <v>1138</v>
      </c>
    </row>
    <row r="65" spans="1:4">
      <c r="A65" s="198" t="s">
        <v>1139</v>
      </c>
      <c r="B65" s="198" t="s">
        <v>1194</v>
      </c>
    </row>
    <row r="66" spans="1:4">
      <c r="A66" s="198" t="s">
        <v>1203</v>
      </c>
    </row>
    <row r="67" spans="1:4">
      <c r="A67" s="201" t="s">
        <v>1199</v>
      </c>
      <c r="B67" s="201" t="s">
        <v>1186</v>
      </c>
      <c r="C67" s="201" t="s">
        <v>1198</v>
      </c>
      <c r="D67" s="175" t="s">
        <v>1200</v>
      </c>
    </row>
    <row r="68" spans="1:4">
      <c r="A68" s="175" t="s">
        <v>1197</v>
      </c>
      <c r="B68" s="175">
        <v>10</v>
      </c>
      <c r="C68" s="201">
        <v>75</v>
      </c>
      <c r="D68" s="175">
        <f>C68*B68</f>
        <v>750</v>
      </c>
    </row>
    <row r="69" spans="1:4">
      <c r="A69" s="175" t="s">
        <v>1196</v>
      </c>
      <c r="B69" s="175">
        <v>4</v>
      </c>
      <c r="C69" s="201">
        <v>5</v>
      </c>
      <c r="D69" s="175">
        <f>C69*B69</f>
        <v>20</v>
      </c>
    </row>
    <row r="70" spans="1:4">
      <c r="A70" s="175" t="s">
        <v>1195</v>
      </c>
      <c r="B70" s="175">
        <v>6</v>
      </c>
      <c r="C70" s="201">
        <v>4</v>
      </c>
      <c r="D70" s="175">
        <f>C70*B70</f>
        <v>24</v>
      </c>
    </row>
    <row r="71" spans="1:4">
      <c r="A71" t="s">
        <v>1201</v>
      </c>
    </row>
  </sheetData>
  <mergeCells count="3">
    <mergeCell ref="A39:A41"/>
    <mergeCell ref="B39:H39"/>
    <mergeCell ref="B40:H40"/>
  </mergeCells>
  <phoneticPr fontId="37" type="noConversion"/>
  <hyperlinks>
    <hyperlink ref="M15" r:id="rId1" xr:uid="{7C037131-1B71-4BD1-8419-891ECEEB6EF4}"/>
    <hyperlink ref="M6" r:id="rId2" xr:uid="{78D3FDED-91BE-41A9-911E-CA89059EA125}"/>
    <hyperlink ref="M13" r:id="rId3" xr:uid="{97B68D76-903A-4FBA-99D0-3506CB53453A}"/>
    <hyperlink ref="M14" r:id="rId4" xr:uid="{7D1A2512-C264-4773-BB26-6CCD8D38C2B0}"/>
    <hyperlink ref="M19" r:id="rId5" xr:uid="{427A2D69-F81D-453A-A1A9-964FE6B7E132}"/>
    <hyperlink ref="M20" r:id="rId6" xr:uid="{D9CD2DBA-42E3-4138-A45C-89882F290EB6}"/>
    <hyperlink ref="M21" r:id="rId7" xr:uid="{F92C74D7-67C7-44CE-AC7C-3DBE54D082C7}"/>
    <hyperlink ref="M22" r:id="rId8" xr:uid="{E9527FA8-D11D-49B2-9D12-C106AF371F6B}"/>
    <hyperlink ref="M24" r:id="rId9" xr:uid="{68B8C6E9-9FEA-4D47-A3CC-9D8EFEC4F70C}"/>
    <hyperlink ref="M25" r:id="rId10" xr:uid="{8C550C46-7D26-4685-9D35-35539819EAFF}"/>
    <hyperlink ref="M26" r:id="rId11" xr:uid="{5152C9B2-2EE0-4F16-9C8D-72202EE1F7A1}"/>
    <hyperlink ref="M27" r:id="rId12" xr:uid="{99B26EE2-589D-4650-957A-D9AA9AAA926E}"/>
    <hyperlink ref="M28" r:id="rId13" xr:uid="{B1C14B6C-2919-4722-B4AE-452DBADEBFD6}"/>
    <hyperlink ref="M7" r:id="rId14" xr:uid="{B11A7F40-1D57-4AD1-B56F-160194EC9A1B}"/>
    <hyperlink ref="M5" r:id="rId15" xr:uid="{0C9A49A5-5998-40F1-A9CB-18E859F19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J62"/>
  <sheetViews>
    <sheetView workbookViewId="0">
      <selection activeCell="B22" sqref="B22"/>
    </sheetView>
  </sheetViews>
  <sheetFormatPr defaultColWidth="9" defaultRowHeight="12.75"/>
  <cols>
    <col min="1" max="1" width="18.140625" style="20" customWidth="1"/>
    <col min="2" max="2" width="14.7109375" style="20" customWidth="1"/>
    <col min="3" max="3" width="12.28515625" style="20" customWidth="1"/>
    <col min="4" max="4" width="10.28515625" style="20" customWidth="1"/>
    <col min="5" max="16384" width="9" style="20"/>
  </cols>
  <sheetData>
    <row r="1" spans="2:10" ht="15">
      <c r="B1" s="189" t="s">
        <v>1155</v>
      </c>
      <c r="G1" s="153"/>
      <c r="H1" s="153"/>
      <c r="I1" s="153"/>
      <c r="J1" s="153"/>
    </row>
    <row r="2" spans="2:10" ht="15">
      <c r="B2" s="189" t="s">
        <v>1159</v>
      </c>
      <c r="G2" s="153"/>
      <c r="H2" s="153"/>
      <c r="I2" s="153"/>
      <c r="J2" s="153"/>
    </row>
    <row r="3" spans="2:10" ht="15">
      <c r="B3" s="41" t="s">
        <v>360</v>
      </c>
      <c r="C3" s="41" t="s">
        <v>361</v>
      </c>
      <c r="D3" s="117">
        <v>2020</v>
      </c>
      <c r="G3" s="192"/>
      <c r="H3" s="192"/>
      <c r="I3" s="193"/>
      <c r="J3" s="193"/>
    </row>
    <row r="4" spans="2:10" ht="15">
      <c r="B4" s="183" t="s">
        <v>1156</v>
      </c>
      <c r="C4" s="44" t="s">
        <v>362</v>
      </c>
      <c r="D4" s="45">
        <v>1530</v>
      </c>
      <c r="E4" s="42"/>
      <c r="F4" s="42"/>
      <c r="G4" s="193"/>
      <c r="H4" s="193"/>
      <c r="I4" s="194"/>
      <c r="J4" s="194"/>
    </row>
    <row r="5" spans="2:10" ht="15">
      <c r="B5" s="190"/>
      <c r="C5" s="44" t="s">
        <v>364</v>
      </c>
      <c r="D5" s="45">
        <v>100</v>
      </c>
      <c r="E5" s="42"/>
      <c r="F5" s="42"/>
      <c r="G5" s="193"/>
      <c r="H5" s="193"/>
      <c r="I5" s="194"/>
      <c r="J5" s="194"/>
    </row>
    <row r="6" spans="2:10" ht="15">
      <c r="B6" s="191"/>
      <c r="C6" s="183" t="s">
        <v>1157</v>
      </c>
      <c r="D6" s="45">
        <v>30</v>
      </c>
      <c r="E6" s="42"/>
      <c r="F6" s="42"/>
      <c r="G6" s="193"/>
      <c r="H6" s="193"/>
      <c r="I6" s="194"/>
      <c r="J6" s="194"/>
    </row>
    <row r="7" spans="2:10" ht="15">
      <c r="B7" s="44" t="s">
        <v>365</v>
      </c>
      <c r="C7" s="44" t="s">
        <v>366</v>
      </c>
      <c r="D7" s="45">
        <v>243</v>
      </c>
      <c r="E7" s="42"/>
      <c r="F7" s="42"/>
      <c r="G7" s="193"/>
      <c r="H7" s="193"/>
      <c r="I7" s="194"/>
      <c r="J7" s="194"/>
    </row>
    <row r="8" spans="2:10" ht="15">
      <c r="B8" s="46" t="s">
        <v>367</v>
      </c>
      <c r="C8" s="44" t="s">
        <v>368</v>
      </c>
      <c r="D8" s="45">
        <v>175</v>
      </c>
      <c r="E8" s="42"/>
      <c r="F8" s="42"/>
      <c r="G8" s="193"/>
      <c r="H8" s="193"/>
      <c r="I8" s="194"/>
      <c r="J8" s="194"/>
    </row>
    <row r="9" spans="2:10" ht="15">
      <c r="B9" s="46" t="s">
        <v>367</v>
      </c>
      <c r="C9" s="44" t="s">
        <v>369</v>
      </c>
      <c r="D9" s="45"/>
      <c r="G9" s="193"/>
      <c r="H9" s="193"/>
      <c r="I9" s="194"/>
      <c r="J9" s="194"/>
    </row>
    <row r="10" spans="2:10" ht="15">
      <c r="B10" s="44" t="s">
        <v>370</v>
      </c>
      <c r="C10" s="44" t="s">
        <v>371</v>
      </c>
      <c r="D10" s="45">
        <v>121</v>
      </c>
      <c r="E10" s="42"/>
      <c r="F10" s="42"/>
      <c r="G10" s="193"/>
      <c r="H10" s="193"/>
      <c r="I10" s="194"/>
      <c r="J10" s="194"/>
    </row>
    <row r="11" spans="2:10" ht="15">
      <c r="B11" s="46" t="s">
        <v>367</v>
      </c>
      <c r="C11" s="44" t="s">
        <v>372</v>
      </c>
      <c r="D11" s="45">
        <v>2627</v>
      </c>
      <c r="E11" s="42"/>
      <c r="F11" s="42"/>
      <c r="G11" s="193"/>
      <c r="H11" s="193"/>
      <c r="I11" s="194"/>
      <c r="J11" s="194"/>
    </row>
    <row r="12" spans="2:10" ht="15">
      <c r="B12" s="46" t="s">
        <v>367</v>
      </c>
      <c r="C12" s="44" t="s">
        <v>373</v>
      </c>
      <c r="D12" s="45"/>
      <c r="G12" s="193"/>
      <c r="H12" s="193"/>
      <c r="I12" s="194"/>
      <c r="J12" s="194"/>
    </row>
    <row r="13" spans="2:10" ht="15">
      <c r="B13" s="46" t="s">
        <v>367</v>
      </c>
      <c r="C13" s="44" t="s">
        <v>374</v>
      </c>
      <c r="D13" s="45">
        <v>166</v>
      </c>
      <c r="E13" s="42"/>
      <c r="F13" s="42"/>
      <c r="G13" s="193"/>
      <c r="H13" s="193"/>
      <c r="I13" s="194"/>
      <c r="J13" s="194"/>
    </row>
    <row r="14" spans="2:10" ht="15">
      <c r="B14" s="46" t="s">
        <v>367</v>
      </c>
      <c r="C14" s="44" t="s">
        <v>375</v>
      </c>
      <c r="D14" s="45">
        <v>64</v>
      </c>
      <c r="E14" s="42"/>
      <c r="F14" s="42"/>
      <c r="G14" s="193"/>
      <c r="H14" s="193"/>
      <c r="I14" s="194"/>
      <c r="J14" s="194"/>
    </row>
    <row r="15" spans="2:10" ht="15">
      <c r="B15" s="44" t="s">
        <v>376</v>
      </c>
      <c r="C15" s="44" t="s">
        <v>79</v>
      </c>
      <c r="D15" s="45">
        <v>761</v>
      </c>
      <c r="E15" s="42"/>
      <c r="F15" s="42"/>
      <c r="G15" s="193"/>
      <c r="H15" s="193"/>
      <c r="I15" s="194"/>
      <c r="J15" s="194"/>
    </row>
    <row r="16" spans="2:10" ht="15">
      <c r="B16" s="44" t="s">
        <v>377</v>
      </c>
      <c r="C16" s="44" t="s">
        <v>79</v>
      </c>
      <c r="D16" s="45">
        <v>99</v>
      </c>
      <c r="E16" s="42"/>
      <c r="F16" s="42"/>
      <c r="G16" s="193"/>
      <c r="H16" s="193"/>
      <c r="I16" s="194"/>
      <c r="J16" s="194"/>
    </row>
    <row r="17" spans="1:10" ht="15">
      <c r="B17" s="44" t="s">
        <v>378</v>
      </c>
      <c r="C17" s="44" t="s">
        <v>79</v>
      </c>
      <c r="D17" s="45">
        <v>10008</v>
      </c>
      <c r="E17" s="42"/>
      <c r="F17" s="42"/>
      <c r="G17" s="193"/>
      <c r="H17" s="193"/>
      <c r="I17" s="194"/>
      <c r="J17" s="194"/>
    </row>
    <row r="18" spans="1:10" ht="15">
      <c r="B18" s="44" t="s">
        <v>379</v>
      </c>
      <c r="C18" s="44" t="s">
        <v>79</v>
      </c>
      <c r="D18" s="45"/>
      <c r="E18" s="42"/>
      <c r="F18" s="42"/>
      <c r="G18" s="193"/>
      <c r="H18" s="193"/>
      <c r="I18" s="194"/>
      <c r="J18" s="194"/>
    </row>
    <row r="19" spans="1:10" ht="15">
      <c r="B19" s="47" t="s">
        <v>380</v>
      </c>
      <c r="C19" s="47" t="s">
        <v>79</v>
      </c>
      <c r="D19" s="45">
        <v>13</v>
      </c>
      <c r="E19" s="42"/>
      <c r="F19" s="42"/>
      <c r="G19" s="153"/>
      <c r="H19" s="153"/>
      <c r="I19" s="153"/>
      <c r="J19" s="153"/>
    </row>
    <row r="21" spans="1:10">
      <c r="B21" s="43" t="s">
        <v>1165</v>
      </c>
    </row>
    <row r="22" spans="1:10">
      <c r="B22" s="57" t="s">
        <v>381</v>
      </c>
      <c r="C22" s="73">
        <v>20</v>
      </c>
      <c r="D22" s="7" t="s">
        <v>382</v>
      </c>
      <c r="E22" s="20">
        <v>920</v>
      </c>
      <c r="F22" s="20" t="s">
        <v>383</v>
      </c>
      <c r="G22" s="20" t="s">
        <v>1160</v>
      </c>
    </row>
    <row r="23" spans="1:10">
      <c r="B23" s="57" t="s">
        <v>384</v>
      </c>
      <c r="C23" s="73">
        <v>10</v>
      </c>
      <c r="D23" s="7" t="s">
        <v>382</v>
      </c>
    </row>
    <row r="24" spans="1:10">
      <c r="B24" s="57" t="s">
        <v>1161</v>
      </c>
      <c r="C24" s="73">
        <v>6</v>
      </c>
      <c r="D24" s="7" t="s">
        <v>382</v>
      </c>
    </row>
    <row r="25" spans="1:10">
      <c r="B25" s="57" t="s">
        <v>385</v>
      </c>
      <c r="C25" s="73">
        <v>10</v>
      </c>
      <c r="D25" s="7" t="s">
        <v>382</v>
      </c>
    </row>
    <row r="26" spans="1:10">
      <c r="B26" s="74" t="s">
        <v>386</v>
      </c>
      <c r="C26" s="75" t="s">
        <v>387</v>
      </c>
      <c r="D26" s="76" t="s">
        <v>382</v>
      </c>
      <c r="E26" s="49">
        <v>4</v>
      </c>
      <c r="F26" s="49" t="s">
        <v>388</v>
      </c>
    </row>
    <row r="27" spans="1:10">
      <c r="B27" s="74" t="s">
        <v>389</v>
      </c>
      <c r="C27" s="75" t="s">
        <v>390</v>
      </c>
      <c r="D27" s="76" t="s">
        <v>382</v>
      </c>
      <c r="E27" s="49">
        <v>6</v>
      </c>
      <c r="F27" s="49" t="s">
        <v>388</v>
      </c>
    </row>
    <row r="28" spans="1:10">
      <c r="B28" s="74" t="s">
        <v>245</v>
      </c>
      <c r="C28" s="75">
        <v>30</v>
      </c>
      <c r="D28" s="76" t="s">
        <v>382</v>
      </c>
      <c r="E28" s="49"/>
      <c r="F28" s="49" t="s">
        <v>388</v>
      </c>
    </row>
    <row r="29" spans="1:10">
      <c r="B29" s="63"/>
      <c r="C29" s="40"/>
    </row>
    <row r="30" spans="1:10">
      <c r="C30" s="20" t="s">
        <v>1158</v>
      </c>
    </row>
    <row r="31" spans="1:10">
      <c r="B31" s="77"/>
      <c r="C31" s="77" t="s">
        <v>391</v>
      </c>
      <c r="D31" s="77">
        <v>2020</v>
      </c>
    </row>
    <row r="32" spans="1:10">
      <c r="A32" s="227" t="s">
        <v>230</v>
      </c>
      <c r="B32" s="224" t="s">
        <v>392</v>
      </c>
      <c r="C32" s="7" t="s">
        <v>381</v>
      </c>
      <c r="D32" s="7">
        <f>$E$22/$C$22</f>
        <v>46</v>
      </c>
      <c r="E32" s="224" t="s">
        <v>242</v>
      </c>
      <c r="F32" s="226" t="s">
        <v>393</v>
      </c>
    </row>
    <row r="33" spans="1:7">
      <c r="A33" s="227"/>
      <c r="B33" s="224"/>
      <c r="C33" s="7" t="s">
        <v>384</v>
      </c>
      <c r="D33" s="58">
        <f>(D4-$E$22)/$C$23-22</f>
        <v>39</v>
      </c>
      <c r="E33" s="224"/>
      <c r="F33" s="226"/>
    </row>
    <row r="34" spans="1:7">
      <c r="A34" s="227"/>
      <c r="B34" s="224"/>
      <c r="C34" s="7" t="s">
        <v>1161</v>
      </c>
      <c r="D34" s="58">
        <f>D6/C24</f>
        <v>5</v>
      </c>
      <c r="E34" s="224"/>
      <c r="F34" s="226"/>
    </row>
    <row r="35" spans="1:7">
      <c r="A35" s="227"/>
      <c r="B35" s="224"/>
      <c r="C35" s="7" t="s">
        <v>385</v>
      </c>
      <c r="D35" s="58">
        <f>D5/C25+22</f>
        <v>32</v>
      </c>
      <c r="E35" s="224"/>
      <c r="F35" s="226"/>
    </row>
    <row r="36" spans="1:7">
      <c r="A36" s="43" t="s">
        <v>233</v>
      </c>
      <c r="B36" s="7"/>
      <c r="C36" s="7" t="s">
        <v>394</v>
      </c>
      <c r="D36" s="58">
        <f>D7</f>
        <v>243</v>
      </c>
      <c r="E36" s="228" t="s">
        <v>395</v>
      </c>
      <c r="F36" s="114" t="s">
        <v>396</v>
      </c>
      <c r="G36" s="115" t="s">
        <v>397</v>
      </c>
    </row>
    <row r="37" spans="1:7">
      <c r="A37" s="43" t="s">
        <v>230</v>
      </c>
      <c r="B37" s="7"/>
      <c r="C37" s="7" t="s">
        <v>398</v>
      </c>
      <c r="D37" s="58">
        <f>D8</f>
        <v>175</v>
      </c>
      <c r="E37" s="228"/>
      <c r="F37" s="114" t="s">
        <v>396</v>
      </c>
      <c r="G37" s="115" t="s">
        <v>399</v>
      </c>
    </row>
    <row r="38" spans="1:7">
      <c r="A38" s="43" t="s">
        <v>233</v>
      </c>
      <c r="B38" s="57" t="s">
        <v>386</v>
      </c>
      <c r="C38" s="7" t="s">
        <v>400</v>
      </c>
      <c r="D38" s="48">
        <f>D10/$E$26</f>
        <v>30.25</v>
      </c>
      <c r="E38" s="224" t="s">
        <v>401</v>
      </c>
      <c r="F38" s="225" t="s">
        <v>396</v>
      </c>
    </row>
    <row r="39" spans="1:7">
      <c r="A39" s="227" t="s">
        <v>230</v>
      </c>
      <c r="B39" s="224" t="s">
        <v>389</v>
      </c>
      <c r="C39" s="7" t="s">
        <v>389</v>
      </c>
      <c r="D39" s="48">
        <f>D11/$E$27</f>
        <v>437.83333333333331</v>
      </c>
      <c r="E39" s="224"/>
      <c r="F39" s="225"/>
    </row>
    <row r="40" spans="1:7">
      <c r="A40" s="227"/>
      <c r="B40" s="224"/>
      <c r="C40" s="7" t="s">
        <v>402</v>
      </c>
      <c r="D40" s="48">
        <f>D13/$E$27</f>
        <v>27.666666666666668</v>
      </c>
      <c r="E40" s="224"/>
      <c r="F40" s="226" t="s">
        <v>393</v>
      </c>
    </row>
    <row r="41" spans="1:7">
      <c r="A41" s="227"/>
      <c r="B41" s="224"/>
      <c r="C41" s="7" t="s">
        <v>403</v>
      </c>
      <c r="D41" s="48">
        <f>D14/$E$27</f>
        <v>10.666666666666666</v>
      </c>
      <c r="E41" s="224"/>
      <c r="F41" s="226"/>
    </row>
    <row r="42" spans="1:7">
      <c r="B42" s="63"/>
      <c r="D42" s="42"/>
    </row>
    <row r="43" spans="1:7">
      <c r="B43" s="224" t="s">
        <v>404</v>
      </c>
      <c r="C43" s="7" t="s">
        <v>405</v>
      </c>
      <c r="D43" s="48">
        <f>D15</f>
        <v>761</v>
      </c>
    </row>
    <row r="44" spans="1:7">
      <c r="B44" s="224"/>
      <c r="C44" s="7" t="s">
        <v>406</v>
      </c>
      <c r="D44" s="48">
        <f>D16</f>
        <v>99</v>
      </c>
    </row>
    <row r="45" spans="1:7">
      <c r="B45" s="224"/>
      <c r="C45" s="7" t="s">
        <v>407</v>
      </c>
      <c r="D45" s="48">
        <f>D17</f>
        <v>10008</v>
      </c>
    </row>
    <row r="46" spans="1:7">
      <c r="B46" s="224"/>
      <c r="C46" s="7" t="s">
        <v>408</v>
      </c>
      <c r="D46" s="48">
        <f>D19</f>
        <v>13</v>
      </c>
    </row>
    <row r="48" spans="1:7">
      <c r="A48" s="37" t="s">
        <v>38</v>
      </c>
    </row>
    <row r="49" spans="1:3">
      <c r="A49" s="20" t="s">
        <v>1162</v>
      </c>
    </row>
    <row r="50" spans="1:3">
      <c r="A50" s="20" t="s">
        <v>1163</v>
      </c>
    </row>
    <row r="51" spans="1:3">
      <c r="A51" s="31" t="s">
        <v>1164</v>
      </c>
    </row>
    <row r="52" spans="1:3">
      <c r="B52" s="63"/>
      <c r="C52" s="40"/>
    </row>
    <row r="53" spans="1:3">
      <c r="A53" s="20" t="s">
        <v>409</v>
      </c>
      <c r="B53" s="63"/>
      <c r="C53" s="40"/>
    </row>
    <row r="54" spans="1:3">
      <c r="A54" s="20" t="s">
        <v>410</v>
      </c>
      <c r="B54" s="63"/>
      <c r="C54" s="40"/>
    </row>
    <row r="55" spans="1:3">
      <c r="A55" s="20" t="s">
        <v>411</v>
      </c>
    </row>
    <row r="57" spans="1:3">
      <c r="A57" s="20" t="s">
        <v>412</v>
      </c>
    </row>
    <row r="58" spans="1:3">
      <c r="A58" s="20" t="s">
        <v>413</v>
      </c>
    </row>
    <row r="59" spans="1:3">
      <c r="A59" s="20" t="s">
        <v>414</v>
      </c>
    </row>
    <row r="60" spans="1:3">
      <c r="A60" s="20" t="s">
        <v>415</v>
      </c>
    </row>
    <row r="62" spans="1:3">
      <c r="A62" s="20" t="s">
        <v>1160</v>
      </c>
    </row>
  </sheetData>
  <mergeCells count="11">
    <mergeCell ref="B43:B46"/>
    <mergeCell ref="F38:F39"/>
    <mergeCell ref="F32:F35"/>
    <mergeCell ref="A32:A35"/>
    <mergeCell ref="B32:B35"/>
    <mergeCell ref="E32:E35"/>
    <mergeCell ref="A39:A41"/>
    <mergeCell ref="B39:B41"/>
    <mergeCell ref="F40:F41"/>
    <mergeCell ref="E36:E37"/>
    <mergeCell ref="E38:E41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L78"/>
  <sheetViews>
    <sheetView workbookViewId="0">
      <selection activeCell="K17" sqref="K17:K19"/>
    </sheetView>
  </sheetViews>
  <sheetFormatPr defaultColWidth="9" defaultRowHeight="12.75"/>
  <cols>
    <col min="1" max="1" width="9" style="59"/>
    <col min="2" max="2" width="11.28515625" style="59" customWidth="1"/>
    <col min="3" max="3" width="10.42578125" style="59" customWidth="1"/>
    <col min="4" max="4" width="7.42578125" style="59" customWidth="1"/>
    <col min="5" max="5" width="11" style="59" customWidth="1"/>
    <col min="6" max="6" width="8.85546875" style="59" customWidth="1"/>
    <col min="7" max="10" width="9.42578125" style="59" customWidth="1"/>
    <col min="11" max="11" width="19.28515625" style="59" bestFit="1" customWidth="1"/>
    <col min="12" max="16384" width="9" style="59"/>
  </cols>
  <sheetData>
    <row r="3" spans="2:12">
      <c r="B3" s="60"/>
      <c r="C3" s="60" t="s">
        <v>416</v>
      </c>
      <c r="D3" s="60" t="s">
        <v>417</v>
      </c>
      <c r="E3" s="60" t="s">
        <v>418</v>
      </c>
      <c r="F3" s="60" t="s">
        <v>419</v>
      </c>
      <c r="G3" s="60" t="s">
        <v>420</v>
      </c>
      <c r="H3" s="61"/>
      <c r="I3" s="62"/>
      <c r="J3" s="60" t="s">
        <v>421</v>
      </c>
      <c r="K3" s="60" t="s">
        <v>422</v>
      </c>
      <c r="L3" s="60" t="s">
        <v>423</v>
      </c>
    </row>
    <row r="4" spans="2:12">
      <c r="B4" s="224" t="s">
        <v>424</v>
      </c>
      <c r="C4" s="229" t="s">
        <v>425</v>
      </c>
      <c r="D4" s="224" t="s">
        <v>426</v>
      </c>
      <c r="E4" s="62" t="s">
        <v>427</v>
      </c>
      <c r="F4" s="62">
        <v>1</v>
      </c>
      <c r="G4" s="224"/>
      <c r="H4" s="63"/>
      <c r="I4" s="224" t="s">
        <v>242</v>
      </c>
      <c r="J4" s="64" t="s">
        <v>428</v>
      </c>
      <c r="K4" s="62">
        <f>SUM($F$63:$G$66)</f>
        <v>201</v>
      </c>
      <c r="L4" s="65">
        <f>K4/$K$8</f>
        <v>0.25283018867924528</v>
      </c>
    </row>
    <row r="5" spans="2:12">
      <c r="B5" s="224"/>
      <c r="C5" s="229"/>
      <c r="D5" s="224"/>
      <c r="E5" s="62" t="s">
        <v>429</v>
      </c>
      <c r="F5" s="62">
        <v>10</v>
      </c>
      <c r="G5" s="224"/>
      <c r="H5" s="63"/>
      <c r="I5" s="224"/>
      <c r="J5" s="64" t="s">
        <v>430</v>
      </c>
      <c r="K5" s="62">
        <f>SUM($F$62:$G$62,$F$67:$G$67)+SUM($F$12,$F$25,$F$30,$F$33,$F$36,$F$40,$F$42,$F$44,$F$48,F50,$F$52:$G$59)</f>
        <v>586</v>
      </c>
      <c r="L5" s="65">
        <f t="shared" ref="L5:L7" si="0">K5/$K$8</f>
        <v>0.73710691823899366</v>
      </c>
    </row>
    <row r="6" spans="2:12">
      <c r="B6" s="224"/>
      <c r="C6" s="229"/>
      <c r="D6" s="224"/>
      <c r="E6" s="62" t="s">
        <v>431</v>
      </c>
      <c r="F6" s="62">
        <v>42</v>
      </c>
      <c r="G6" s="224"/>
      <c r="H6" s="63"/>
      <c r="I6" s="224"/>
      <c r="J6" s="64" t="s">
        <v>432</v>
      </c>
      <c r="K6" s="62">
        <f>E72</f>
        <v>8</v>
      </c>
      <c r="L6" s="65">
        <f t="shared" si="0"/>
        <v>1.0062893081761006E-2</v>
      </c>
    </row>
    <row r="7" spans="2:12">
      <c r="B7" s="224"/>
      <c r="C7" s="229"/>
      <c r="D7" s="224"/>
      <c r="E7" s="62" t="s">
        <v>433</v>
      </c>
      <c r="F7" s="62">
        <v>10</v>
      </c>
      <c r="G7" s="224"/>
      <c r="H7" s="63"/>
      <c r="I7" s="224"/>
      <c r="J7" s="64" t="s">
        <v>434</v>
      </c>
      <c r="K7" s="62">
        <v>0</v>
      </c>
      <c r="L7" s="65">
        <f t="shared" si="0"/>
        <v>0</v>
      </c>
    </row>
    <row r="8" spans="2:12">
      <c r="B8" s="224"/>
      <c r="C8" s="229"/>
      <c r="D8" s="224"/>
      <c r="E8" s="62" t="s">
        <v>435</v>
      </c>
      <c r="F8" s="62">
        <v>25</v>
      </c>
      <c r="G8" s="224"/>
      <c r="H8" s="63"/>
      <c r="I8" s="224"/>
      <c r="J8" s="57" t="s">
        <v>436</v>
      </c>
      <c r="K8" s="62">
        <f>SUM($K$4:$K$7)</f>
        <v>795</v>
      </c>
      <c r="L8" s="65"/>
    </row>
    <row r="9" spans="2:12">
      <c r="B9" s="224"/>
      <c r="C9" s="229"/>
      <c r="D9" s="224"/>
      <c r="E9" s="62" t="s">
        <v>437</v>
      </c>
      <c r="F9" s="62">
        <v>29</v>
      </c>
      <c r="G9" s="224"/>
      <c r="H9" s="63"/>
      <c r="I9" s="224" t="s">
        <v>245</v>
      </c>
      <c r="J9" s="64" t="s">
        <v>428</v>
      </c>
      <c r="K9" s="62">
        <v>0</v>
      </c>
      <c r="L9" s="65">
        <f>K9/$K$13</f>
        <v>0</v>
      </c>
    </row>
    <row r="10" spans="2:12">
      <c r="B10" s="224"/>
      <c r="C10" s="229"/>
      <c r="D10" s="224"/>
      <c r="E10" s="62" t="s">
        <v>438</v>
      </c>
      <c r="F10" s="62">
        <v>10</v>
      </c>
      <c r="G10" s="224"/>
      <c r="H10" s="63"/>
      <c r="I10" s="224"/>
      <c r="J10" s="64" t="s">
        <v>430</v>
      </c>
      <c r="K10" s="62">
        <f>SUM($F$16,$F$28,$F$46)</f>
        <v>36</v>
      </c>
      <c r="L10" s="65">
        <f t="shared" ref="L10:L12" si="1">K10/$K$13</f>
        <v>1</v>
      </c>
    </row>
    <row r="11" spans="2:12">
      <c r="B11" s="224"/>
      <c r="C11" s="229"/>
      <c r="D11" s="224"/>
      <c r="E11" s="62" t="s">
        <v>439</v>
      </c>
      <c r="F11" s="62">
        <v>10</v>
      </c>
      <c r="G11" s="224"/>
      <c r="H11" s="63"/>
      <c r="I11" s="224"/>
      <c r="J11" s="64" t="s">
        <v>432</v>
      </c>
      <c r="K11" s="62">
        <v>0</v>
      </c>
      <c r="L11" s="65">
        <f t="shared" si="1"/>
        <v>0</v>
      </c>
    </row>
    <row r="12" spans="2:12">
      <c r="B12" s="224"/>
      <c r="C12" s="229"/>
      <c r="D12" s="224"/>
      <c r="E12" s="62" t="s">
        <v>440</v>
      </c>
      <c r="F12" s="62">
        <f>SUM($F$4:$F$11)</f>
        <v>137</v>
      </c>
      <c r="G12" s="224"/>
      <c r="H12" s="63"/>
      <c r="I12" s="224"/>
      <c r="J12" s="64" t="s">
        <v>434</v>
      </c>
      <c r="K12" s="62">
        <v>0</v>
      </c>
      <c r="L12" s="65">
        <f t="shared" si="1"/>
        <v>0</v>
      </c>
    </row>
    <row r="13" spans="2:12">
      <c r="B13" s="224"/>
      <c r="C13" s="229"/>
      <c r="D13" s="224" t="s">
        <v>441</v>
      </c>
      <c r="E13" s="62" t="s">
        <v>442</v>
      </c>
      <c r="F13" s="62">
        <v>4</v>
      </c>
      <c r="G13" s="224"/>
      <c r="H13" s="63"/>
      <c r="I13" s="224"/>
      <c r="J13" s="57" t="s">
        <v>436</v>
      </c>
      <c r="K13" s="62">
        <f>SUM($K$9:$K$12)</f>
        <v>36</v>
      </c>
      <c r="L13" s="65"/>
    </row>
    <row r="14" spans="2:12" ht="16.5" customHeight="1">
      <c r="B14" s="224"/>
      <c r="C14" s="229"/>
      <c r="D14" s="224"/>
      <c r="E14" s="62" t="s">
        <v>443</v>
      </c>
      <c r="F14" s="62">
        <v>7</v>
      </c>
      <c r="G14" s="224"/>
      <c r="H14" s="63"/>
      <c r="I14" s="224" t="s">
        <v>444</v>
      </c>
      <c r="J14" s="224"/>
      <c r="K14" s="66">
        <f>SUM($K$8,$K$13)</f>
        <v>831</v>
      </c>
      <c r="L14" s="62"/>
    </row>
    <row r="15" spans="2:12">
      <c r="B15" s="224"/>
      <c r="C15" s="229"/>
      <c r="D15" s="224"/>
      <c r="E15" s="62" t="s">
        <v>445</v>
      </c>
      <c r="F15" s="62">
        <v>12</v>
      </c>
      <c r="G15" s="224"/>
      <c r="H15" s="63"/>
      <c r="I15" s="63"/>
      <c r="J15" s="63"/>
    </row>
    <row r="16" spans="2:12">
      <c r="B16" s="224"/>
      <c r="C16" s="229"/>
      <c r="D16" s="224"/>
      <c r="E16" s="62" t="s">
        <v>440</v>
      </c>
      <c r="F16" s="62">
        <f>SUM($F$13:$F$15)</f>
        <v>23</v>
      </c>
      <c r="G16" s="224"/>
      <c r="H16" s="63"/>
      <c r="I16" s="67" t="s">
        <v>446</v>
      </c>
      <c r="J16" s="34"/>
      <c r="K16" s="34">
        <v>2020</v>
      </c>
    </row>
    <row r="17" spans="2:11">
      <c r="B17" s="224"/>
      <c r="C17" s="229" t="s">
        <v>447</v>
      </c>
      <c r="D17" s="224" t="s">
        <v>426</v>
      </c>
      <c r="E17" s="62" t="s">
        <v>427</v>
      </c>
      <c r="F17" s="62">
        <v>1</v>
      </c>
      <c r="G17" s="224"/>
      <c r="H17" s="63"/>
      <c r="I17" s="230" t="s">
        <v>242</v>
      </c>
      <c r="J17" s="35" t="s">
        <v>426</v>
      </c>
      <c r="K17" s="35">
        <f>SUM(F12,F25,F30,F33,F36,F40,F42,F44,F48,F50)</f>
        <v>353</v>
      </c>
    </row>
    <row r="18" spans="2:11">
      <c r="B18" s="224"/>
      <c r="C18" s="229"/>
      <c r="D18" s="224"/>
      <c r="E18" s="62" t="s">
        <v>448</v>
      </c>
      <c r="F18" s="62">
        <v>9</v>
      </c>
      <c r="G18" s="224"/>
      <c r="H18" s="63"/>
      <c r="I18" s="230"/>
      <c r="J18" s="35" t="s">
        <v>449</v>
      </c>
      <c r="K18" s="35">
        <f>SUM(F52:F59,F62:F67,E72)</f>
        <v>234</v>
      </c>
    </row>
    <row r="19" spans="2:11">
      <c r="B19" s="224"/>
      <c r="C19" s="229"/>
      <c r="D19" s="224"/>
      <c r="E19" s="62" t="s">
        <v>450</v>
      </c>
      <c r="F19" s="62">
        <v>6</v>
      </c>
      <c r="G19" s="224"/>
      <c r="H19" s="63"/>
      <c r="I19" s="230"/>
      <c r="J19" s="35" t="s">
        <v>451</v>
      </c>
      <c r="K19" s="35">
        <f>SUM(G52:G59,G62:G67)</f>
        <v>208</v>
      </c>
    </row>
    <row r="20" spans="2:11">
      <c r="B20" s="224"/>
      <c r="C20" s="229"/>
      <c r="D20" s="224"/>
      <c r="E20" s="62" t="s">
        <v>452</v>
      </c>
      <c r="F20" s="62">
        <v>18</v>
      </c>
      <c r="G20" s="224"/>
      <c r="H20" s="63"/>
      <c r="I20" s="57" t="s">
        <v>245</v>
      </c>
      <c r="J20" s="35" t="s">
        <v>441</v>
      </c>
      <c r="K20" s="35">
        <f>SUM(F28,F46,F16)</f>
        <v>36</v>
      </c>
    </row>
    <row r="21" spans="2:11">
      <c r="B21" s="224"/>
      <c r="C21" s="229"/>
      <c r="D21" s="224"/>
      <c r="E21" s="62" t="s">
        <v>453</v>
      </c>
      <c r="F21" s="62">
        <v>15</v>
      </c>
      <c r="G21" s="224"/>
      <c r="H21" s="63"/>
      <c r="I21" s="224" t="s">
        <v>444</v>
      </c>
      <c r="J21" s="224"/>
      <c r="K21" s="68">
        <f>SUM($K$17:$K$20)</f>
        <v>831</v>
      </c>
    </row>
    <row r="22" spans="2:11">
      <c r="B22" s="224"/>
      <c r="C22" s="229"/>
      <c r="D22" s="224"/>
      <c r="E22" s="62" t="s">
        <v>454</v>
      </c>
      <c r="F22" s="62">
        <v>5</v>
      </c>
      <c r="G22" s="224"/>
      <c r="H22" s="63"/>
      <c r="I22" s="63"/>
      <c r="J22" s="63"/>
    </row>
    <row r="23" spans="2:11">
      <c r="B23" s="224"/>
      <c r="C23" s="229"/>
      <c r="D23" s="224"/>
      <c r="E23" s="62" t="s">
        <v>438</v>
      </c>
      <c r="F23" s="62">
        <v>6</v>
      </c>
      <c r="G23" s="224"/>
      <c r="H23" s="63"/>
      <c r="I23" s="63"/>
      <c r="J23" s="63"/>
    </row>
    <row r="24" spans="2:11">
      <c r="B24" s="224"/>
      <c r="C24" s="229"/>
      <c r="D24" s="224"/>
      <c r="E24" s="62" t="s">
        <v>455</v>
      </c>
      <c r="F24" s="62">
        <v>13</v>
      </c>
      <c r="G24" s="224"/>
      <c r="H24" s="63"/>
      <c r="I24" s="63"/>
      <c r="J24" s="63"/>
    </row>
    <row r="25" spans="2:11">
      <c r="B25" s="224"/>
      <c r="C25" s="229"/>
      <c r="D25" s="224"/>
      <c r="E25" s="62" t="s">
        <v>440</v>
      </c>
      <c r="F25" s="62">
        <f>SUM($F$17:$F$24)</f>
        <v>73</v>
      </c>
      <c r="G25" s="224"/>
      <c r="H25" s="63"/>
      <c r="I25" s="63"/>
      <c r="J25" s="63"/>
    </row>
    <row r="26" spans="2:11">
      <c r="B26" s="224"/>
      <c r="C26" s="229"/>
      <c r="D26" s="224" t="s">
        <v>441</v>
      </c>
      <c r="E26" s="62" t="s">
        <v>442</v>
      </c>
      <c r="F26" s="62">
        <v>11</v>
      </c>
      <c r="G26" s="224"/>
      <c r="H26" s="63"/>
      <c r="I26" s="63"/>
      <c r="J26" s="63"/>
    </row>
    <row r="27" spans="2:11">
      <c r="B27" s="224"/>
      <c r="C27" s="229"/>
      <c r="D27" s="224"/>
      <c r="E27" s="62" t="s">
        <v>456</v>
      </c>
      <c r="F27" s="62">
        <v>1</v>
      </c>
      <c r="G27" s="224"/>
      <c r="H27" s="63"/>
      <c r="I27" s="63"/>
      <c r="J27" s="63"/>
    </row>
    <row r="28" spans="2:11">
      <c r="B28" s="224"/>
      <c r="C28" s="229"/>
      <c r="D28" s="224"/>
      <c r="E28" s="62" t="s">
        <v>440</v>
      </c>
      <c r="F28" s="62">
        <f>SUM($F$26:$F$27)</f>
        <v>12</v>
      </c>
      <c r="G28" s="224"/>
      <c r="H28" s="63"/>
      <c r="I28" s="63"/>
      <c r="J28" s="63"/>
    </row>
    <row r="29" spans="2:11">
      <c r="B29" s="224"/>
      <c r="C29" s="229" t="s">
        <v>457</v>
      </c>
      <c r="D29" s="224" t="s">
        <v>426</v>
      </c>
      <c r="E29" s="62" t="s">
        <v>458</v>
      </c>
      <c r="F29" s="62">
        <v>44</v>
      </c>
      <c r="G29" s="224"/>
      <c r="H29" s="63"/>
      <c r="I29" s="63"/>
      <c r="J29" s="63"/>
    </row>
    <row r="30" spans="2:11">
      <c r="B30" s="224"/>
      <c r="C30" s="229"/>
      <c r="D30" s="224"/>
      <c r="E30" s="62" t="s">
        <v>440</v>
      </c>
      <c r="F30" s="62">
        <v>44</v>
      </c>
      <c r="G30" s="224"/>
      <c r="H30" s="63"/>
      <c r="I30" s="63"/>
      <c r="J30" s="63"/>
    </row>
    <row r="31" spans="2:11">
      <c r="B31" s="224"/>
      <c r="C31" s="229" t="s">
        <v>459</v>
      </c>
      <c r="D31" s="224" t="s">
        <v>426</v>
      </c>
      <c r="E31" s="62" t="s">
        <v>458</v>
      </c>
      <c r="F31" s="62">
        <v>24</v>
      </c>
      <c r="G31" s="224"/>
      <c r="H31" s="63"/>
      <c r="I31" s="63"/>
      <c r="J31" s="63"/>
    </row>
    <row r="32" spans="2:11">
      <c r="B32" s="224"/>
      <c r="C32" s="229"/>
      <c r="D32" s="224"/>
      <c r="E32" s="62" t="s">
        <v>448</v>
      </c>
      <c r="F32" s="62">
        <v>4</v>
      </c>
      <c r="G32" s="224"/>
      <c r="H32" s="63"/>
      <c r="I32" s="63"/>
      <c r="J32" s="63"/>
    </row>
    <row r="33" spans="2:10">
      <c r="B33" s="224"/>
      <c r="C33" s="229"/>
      <c r="D33" s="224"/>
      <c r="E33" s="62" t="s">
        <v>440</v>
      </c>
      <c r="F33" s="62">
        <f>SUM($F$31:$F$32)</f>
        <v>28</v>
      </c>
      <c r="G33" s="224"/>
      <c r="H33" s="63"/>
      <c r="I33" s="63"/>
      <c r="J33" s="63"/>
    </row>
    <row r="34" spans="2:10">
      <c r="B34" s="224"/>
      <c r="C34" s="229" t="s">
        <v>460</v>
      </c>
      <c r="D34" s="224" t="s">
        <v>426</v>
      </c>
      <c r="E34" s="62" t="s">
        <v>454</v>
      </c>
      <c r="F34" s="62">
        <v>9</v>
      </c>
      <c r="G34" s="224"/>
      <c r="H34" s="63"/>
      <c r="I34" s="63"/>
      <c r="J34" s="63"/>
    </row>
    <row r="35" spans="2:10">
      <c r="B35" s="224"/>
      <c r="C35" s="229"/>
      <c r="D35" s="224"/>
      <c r="E35" s="62" t="s">
        <v>461</v>
      </c>
      <c r="F35" s="62">
        <v>15</v>
      </c>
      <c r="G35" s="224"/>
      <c r="H35" s="63"/>
      <c r="I35" s="63"/>
      <c r="J35" s="63"/>
    </row>
    <row r="36" spans="2:10">
      <c r="B36" s="224"/>
      <c r="C36" s="229"/>
      <c r="D36" s="224"/>
      <c r="E36" s="62" t="s">
        <v>440</v>
      </c>
      <c r="F36" s="62">
        <f>SUM($F$34:$F$35)</f>
        <v>24</v>
      </c>
      <c r="G36" s="224"/>
      <c r="H36" s="63"/>
      <c r="I36" s="63"/>
      <c r="J36" s="63"/>
    </row>
    <row r="37" spans="2:10">
      <c r="B37" s="224"/>
      <c r="C37" s="229" t="s">
        <v>462</v>
      </c>
      <c r="D37" s="224" t="s">
        <v>426</v>
      </c>
      <c r="E37" s="62" t="s">
        <v>463</v>
      </c>
      <c r="F37" s="62">
        <v>2</v>
      </c>
      <c r="G37" s="224"/>
      <c r="H37" s="63"/>
      <c r="I37" s="63"/>
      <c r="J37" s="63"/>
    </row>
    <row r="38" spans="2:10">
      <c r="B38" s="224"/>
      <c r="C38" s="229"/>
      <c r="D38" s="224"/>
      <c r="E38" s="62" t="s">
        <v>458</v>
      </c>
      <c r="F38" s="62">
        <v>6</v>
      </c>
      <c r="G38" s="224"/>
      <c r="H38" s="63"/>
      <c r="I38" s="63"/>
      <c r="J38" s="63"/>
    </row>
    <row r="39" spans="2:10">
      <c r="B39" s="224"/>
      <c r="C39" s="229"/>
      <c r="D39" s="224"/>
      <c r="E39" s="62" t="s">
        <v>464</v>
      </c>
      <c r="F39" s="62">
        <v>2</v>
      </c>
      <c r="G39" s="224"/>
      <c r="H39" s="63"/>
      <c r="I39" s="63"/>
      <c r="J39" s="63"/>
    </row>
    <row r="40" spans="2:10">
      <c r="B40" s="224"/>
      <c r="C40" s="229"/>
      <c r="D40" s="224"/>
      <c r="E40" s="62" t="s">
        <v>440</v>
      </c>
      <c r="F40" s="62">
        <f>SUM($F$37:$F$39)</f>
        <v>10</v>
      </c>
      <c r="G40" s="224"/>
      <c r="H40" s="63"/>
      <c r="I40" s="63"/>
      <c r="J40" s="63"/>
    </row>
    <row r="41" spans="2:10">
      <c r="B41" s="224"/>
      <c r="C41" s="229" t="s">
        <v>465</v>
      </c>
      <c r="D41" s="224" t="s">
        <v>426</v>
      </c>
      <c r="E41" s="62" t="s">
        <v>458</v>
      </c>
      <c r="F41" s="62">
        <v>27</v>
      </c>
      <c r="G41" s="224"/>
      <c r="H41" s="63"/>
      <c r="I41" s="63"/>
      <c r="J41" s="63"/>
    </row>
    <row r="42" spans="2:10">
      <c r="B42" s="224"/>
      <c r="C42" s="229"/>
      <c r="D42" s="224"/>
      <c r="E42" s="62" t="s">
        <v>440</v>
      </c>
      <c r="F42" s="62">
        <v>27</v>
      </c>
      <c r="G42" s="224"/>
      <c r="H42" s="63"/>
      <c r="I42" s="63"/>
      <c r="J42" s="63"/>
    </row>
    <row r="43" spans="2:10">
      <c r="B43" s="224"/>
      <c r="C43" s="229" t="s">
        <v>466</v>
      </c>
      <c r="D43" s="224" t="s">
        <v>426</v>
      </c>
      <c r="E43" s="62" t="s">
        <v>461</v>
      </c>
      <c r="F43" s="62">
        <v>6</v>
      </c>
      <c r="G43" s="224"/>
      <c r="H43" s="63"/>
      <c r="I43" s="63"/>
      <c r="J43" s="63"/>
    </row>
    <row r="44" spans="2:10">
      <c r="B44" s="224"/>
      <c r="C44" s="229"/>
      <c r="D44" s="224"/>
      <c r="E44" s="62" t="s">
        <v>440</v>
      </c>
      <c r="F44" s="62">
        <v>6</v>
      </c>
      <c r="G44" s="224"/>
      <c r="H44" s="63"/>
      <c r="I44" s="63"/>
      <c r="J44" s="63"/>
    </row>
    <row r="45" spans="2:10">
      <c r="B45" s="224"/>
      <c r="C45" s="229" t="s">
        <v>467</v>
      </c>
      <c r="D45" s="224" t="s">
        <v>441</v>
      </c>
      <c r="E45" s="62" t="s">
        <v>468</v>
      </c>
      <c r="F45" s="62">
        <v>1</v>
      </c>
      <c r="G45" s="224"/>
      <c r="H45" s="63"/>
      <c r="I45" s="63"/>
      <c r="J45" s="63"/>
    </row>
    <row r="46" spans="2:10">
      <c r="B46" s="224"/>
      <c r="C46" s="229"/>
      <c r="D46" s="224"/>
      <c r="E46" s="62" t="s">
        <v>440</v>
      </c>
      <c r="F46" s="62">
        <v>1</v>
      </c>
      <c r="G46" s="224"/>
      <c r="H46" s="63"/>
      <c r="I46" s="63"/>
      <c r="J46" s="63"/>
    </row>
    <row r="47" spans="2:10">
      <c r="B47" s="224"/>
      <c r="C47" s="229" t="s">
        <v>469</v>
      </c>
      <c r="D47" s="224" t="s">
        <v>426</v>
      </c>
      <c r="E47" s="62" t="s">
        <v>458</v>
      </c>
      <c r="F47" s="62">
        <v>3</v>
      </c>
      <c r="G47" s="224"/>
      <c r="H47" s="63"/>
      <c r="I47" s="63"/>
      <c r="J47" s="63"/>
    </row>
    <row r="48" spans="2:10">
      <c r="B48" s="224"/>
      <c r="C48" s="229"/>
      <c r="D48" s="224"/>
      <c r="E48" s="62" t="s">
        <v>440</v>
      </c>
      <c r="F48" s="62">
        <f>F47</f>
        <v>3</v>
      </c>
      <c r="G48" s="224"/>
      <c r="H48" s="63"/>
      <c r="I48" s="63"/>
      <c r="J48" s="63"/>
    </row>
    <row r="49" spans="2:10">
      <c r="B49" s="224"/>
      <c r="C49" s="229" t="s">
        <v>1281</v>
      </c>
      <c r="D49" s="224" t="s">
        <v>426</v>
      </c>
      <c r="E49" s="62" t="s">
        <v>1232</v>
      </c>
      <c r="F49" s="62">
        <v>1</v>
      </c>
      <c r="G49" s="224"/>
      <c r="H49" s="63"/>
      <c r="I49" s="63"/>
      <c r="J49" s="63"/>
    </row>
    <row r="50" spans="2:10">
      <c r="B50" s="224"/>
      <c r="C50" s="229"/>
      <c r="D50" s="224"/>
      <c r="E50" s="62" t="s">
        <v>1221</v>
      </c>
      <c r="F50" s="62">
        <v>1</v>
      </c>
      <c r="G50" s="224"/>
      <c r="H50" s="63"/>
      <c r="I50" s="63"/>
      <c r="J50" s="63"/>
    </row>
    <row r="51" spans="2:10">
      <c r="B51" s="224"/>
      <c r="C51" s="224" t="s">
        <v>440</v>
      </c>
      <c r="D51" s="224"/>
      <c r="E51" s="224"/>
      <c r="F51" s="62">
        <f>SUM($F$12,$F$16,$F$25,$F$28,$F$30,$F$33,$F$36,$F$40,$F$42,$F$44,$F$46,$F$48,F50)</f>
        <v>389</v>
      </c>
      <c r="G51" s="224"/>
      <c r="H51" s="63"/>
      <c r="I51" s="63"/>
      <c r="J51" s="63"/>
    </row>
    <row r="52" spans="2:10">
      <c r="B52" s="224" t="s">
        <v>257</v>
      </c>
      <c r="C52" s="232" t="s">
        <v>470</v>
      </c>
      <c r="D52" s="232"/>
      <c r="E52" s="232"/>
      <c r="F52" s="62">
        <v>1</v>
      </c>
      <c r="G52" s="62">
        <v>1</v>
      </c>
      <c r="J52" s="63"/>
    </row>
    <row r="53" spans="2:10">
      <c r="B53" s="224"/>
      <c r="C53" s="232" t="s">
        <v>425</v>
      </c>
      <c r="D53" s="232"/>
      <c r="E53" s="232"/>
      <c r="F53" s="62">
        <v>3</v>
      </c>
      <c r="G53" s="62">
        <v>5</v>
      </c>
      <c r="J53" s="63"/>
    </row>
    <row r="54" spans="2:10">
      <c r="B54" s="224"/>
      <c r="C54" s="232" t="s">
        <v>1282</v>
      </c>
      <c r="D54" s="232"/>
      <c r="E54" s="232"/>
      <c r="F54" s="62">
        <v>0</v>
      </c>
      <c r="G54" s="62">
        <v>3</v>
      </c>
    </row>
    <row r="55" spans="2:10">
      <c r="B55" s="224"/>
      <c r="C55" s="232" t="s">
        <v>471</v>
      </c>
      <c r="D55" s="232"/>
      <c r="E55" s="232"/>
      <c r="F55" s="62">
        <v>1</v>
      </c>
      <c r="G55" s="62"/>
    </row>
    <row r="56" spans="2:10">
      <c r="B56" s="224"/>
      <c r="C56" s="232" t="s">
        <v>472</v>
      </c>
      <c r="D56" s="232"/>
      <c r="E56" s="232"/>
      <c r="F56" s="62">
        <v>1</v>
      </c>
      <c r="G56" s="62"/>
    </row>
    <row r="57" spans="2:10">
      <c r="B57" s="224"/>
      <c r="C57" s="232" t="s">
        <v>473</v>
      </c>
      <c r="D57" s="232"/>
      <c r="E57" s="232"/>
      <c r="F57" s="62"/>
      <c r="G57" s="62">
        <v>4</v>
      </c>
    </row>
    <row r="58" spans="2:10">
      <c r="B58" s="224"/>
      <c r="C58" s="232" t="s">
        <v>474</v>
      </c>
      <c r="D58" s="232"/>
      <c r="E58" s="232"/>
      <c r="F58" s="62">
        <v>0</v>
      </c>
      <c r="G58" s="62">
        <v>1</v>
      </c>
    </row>
    <row r="59" spans="2:10">
      <c r="B59" s="224"/>
      <c r="C59" s="232" t="s">
        <v>475</v>
      </c>
      <c r="D59" s="232"/>
      <c r="E59" s="232"/>
      <c r="F59" s="62">
        <v>2</v>
      </c>
      <c r="G59" s="62"/>
    </row>
    <row r="60" spans="2:10">
      <c r="B60" s="224"/>
      <c r="C60" s="224" t="s">
        <v>440</v>
      </c>
      <c r="D60" s="224"/>
      <c r="E60" s="224"/>
      <c r="F60" s="62">
        <f>SUM($F$52:$F$59)</f>
        <v>8</v>
      </c>
      <c r="G60" s="62">
        <f>SUM($G$52:$G$59)</f>
        <v>14</v>
      </c>
    </row>
    <row r="61" spans="2:10">
      <c r="B61" s="230" t="s">
        <v>476</v>
      </c>
      <c r="C61" s="230"/>
      <c r="D61" s="230"/>
      <c r="E61" s="230"/>
      <c r="F61" s="62">
        <f>SUM($F$51,$F$60)</f>
        <v>397</v>
      </c>
      <c r="G61" s="62">
        <f>$G$60</f>
        <v>14</v>
      </c>
    </row>
    <row r="62" spans="2:10">
      <c r="B62" s="60" t="s">
        <v>477</v>
      </c>
      <c r="C62" s="232" t="s">
        <v>478</v>
      </c>
      <c r="D62" s="232"/>
      <c r="E62" s="232"/>
      <c r="F62" s="62">
        <v>79</v>
      </c>
      <c r="G62" s="62">
        <v>97</v>
      </c>
    </row>
    <row r="63" spans="2:10">
      <c r="B63" s="230" t="s">
        <v>479</v>
      </c>
      <c r="C63" s="231" t="s">
        <v>480</v>
      </c>
      <c r="D63" s="231"/>
      <c r="E63" s="231"/>
      <c r="F63" s="62">
        <v>115</v>
      </c>
      <c r="G63" s="62">
        <v>3</v>
      </c>
    </row>
    <row r="64" spans="2:10">
      <c r="B64" s="230"/>
      <c r="C64" s="231" t="s">
        <v>481</v>
      </c>
      <c r="D64" s="231"/>
      <c r="E64" s="231"/>
      <c r="F64" s="62"/>
      <c r="G64" s="62">
        <v>2</v>
      </c>
    </row>
    <row r="65" spans="1:8">
      <c r="B65" s="230"/>
      <c r="C65" s="231" t="s">
        <v>482</v>
      </c>
      <c r="D65" s="231"/>
      <c r="E65" s="231"/>
      <c r="F65" s="62">
        <v>2</v>
      </c>
      <c r="G65" s="62"/>
    </row>
    <row r="66" spans="1:8">
      <c r="B66" s="230"/>
      <c r="C66" s="231" t="s">
        <v>483</v>
      </c>
      <c r="D66" s="231"/>
      <c r="E66" s="231"/>
      <c r="F66" s="62">
        <v>0</v>
      </c>
      <c r="G66" s="62">
        <v>79</v>
      </c>
    </row>
    <row r="67" spans="1:8">
      <c r="B67" s="230"/>
      <c r="C67" s="232" t="s">
        <v>484</v>
      </c>
      <c r="D67" s="232"/>
      <c r="E67" s="232"/>
      <c r="F67" s="62">
        <v>22</v>
      </c>
      <c r="G67" s="62">
        <v>13</v>
      </c>
    </row>
    <row r="68" spans="1:8">
      <c r="B68" s="230"/>
      <c r="C68" s="230" t="s">
        <v>440</v>
      </c>
      <c r="D68" s="230"/>
      <c r="E68" s="230"/>
      <c r="F68" s="62">
        <f>SUM($F$63:$F$67)</f>
        <v>139</v>
      </c>
      <c r="G68" s="62">
        <f>SUM($G$63:$G$67)</f>
        <v>97</v>
      </c>
    </row>
    <row r="69" spans="1:8">
      <c r="B69" s="230" t="s">
        <v>485</v>
      </c>
      <c r="C69" s="230"/>
      <c r="D69" s="230"/>
      <c r="E69" s="230"/>
      <c r="F69" s="62">
        <f>SUM($F$68,$F$61,$F$62)</f>
        <v>615</v>
      </c>
      <c r="G69" s="62">
        <f>SUM($G$68,$G$62,$G$61)</f>
        <v>208</v>
      </c>
    </row>
    <row r="71" spans="1:8">
      <c r="B71" s="60" t="s">
        <v>391</v>
      </c>
      <c r="C71" s="69" t="s">
        <v>486</v>
      </c>
      <c r="D71" s="69" t="s">
        <v>487</v>
      </c>
      <c r="E71" s="60" t="s">
        <v>488</v>
      </c>
    </row>
    <row r="72" spans="1:8">
      <c r="B72" s="62" t="s">
        <v>489</v>
      </c>
      <c r="C72" s="62">
        <v>3</v>
      </c>
      <c r="D72" s="62">
        <v>5</v>
      </c>
      <c r="E72" s="62">
        <v>8</v>
      </c>
      <c r="G72" s="61"/>
      <c r="H72" s="61"/>
    </row>
    <row r="74" spans="1:8">
      <c r="A74" s="37" t="s">
        <v>38</v>
      </c>
    </row>
    <row r="75" spans="1:8">
      <c r="A75" s="59" t="s">
        <v>490</v>
      </c>
    </row>
    <row r="76" spans="1:8">
      <c r="A76" s="70" t="s">
        <v>491</v>
      </c>
      <c r="B76" s="70"/>
    </row>
    <row r="77" spans="1:8">
      <c r="A77" s="71" t="s">
        <v>492</v>
      </c>
      <c r="B77" s="71"/>
      <c r="C77" s="71"/>
      <c r="D77" s="71"/>
    </row>
    <row r="78" spans="1:8">
      <c r="A78" s="72" t="s">
        <v>493</v>
      </c>
      <c r="B78" s="72"/>
    </row>
  </sheetData>
  <mergeCells count="52">
    <mergeCell ref="D4:D12"/>
    <mergeCell ref="D13:D16"/>
    <mergeCell ref="D17:D25"/>
    <mergeCell ref="D26:D28"/>
    <mergeCell ref="B4:B51"/>
    <mergeCell ref="G4:G51"/>
    <mergeCell ref="C60:E60"/>
    <mergeCell ref="B52:B60"/>
    <mergeCell ref="C45:C46"/>
    <mergeCell ref="C47:C48"/>
    <mergeCell ref="D29:D30"/>
    <mergeCell ref="D31:D33"/>
    <mergeCell ref="D34:D36"/>
    <mergeCell ref="D37:D40"/>
    <mergeCell ref="D41:D42"/>
    <mergeCell ref="D43:D44"/>
    <mergeCell ref="D45:D46"/>
    <mergeCell ref="D47:D48"/>
    <mergeCell ref="C29:C30"/>
    <mergeCell ref="C31:C33"/>
    <mergeCell ref="C53:E53"/>
    <mergeCell ref="C54:E54"/>
    <mergeCell ref="C55:E55"/>
    <mergeCell ref="C56:E56"/>
    <mergeCell ref="I4:I8"/>
    <mergeCell ref="I9:I13"/>
    <mergeCell ref="I14:J14"/>
    <mergeCell ref="I17:I19"/>
    <mergeCell ref="I21:J21"/>
    <mergeCell ref="C51:E51"/>
    <mergeCell ref="C34:C36"/>
    <mergeCell ref="C37:C40"/>
    <mergeCell ref="C41:C42"/>
    <mergeCell ref="C43:C44"/>
    <mergeCell ref="C4:C16"/>
    <mergeCell ref="C17:C28"/>
    <mergeCell ref="C49:C50"/>
    <mergeCell ref="D49:D50"/>
    <mergeCell ref="B69:E69"/>
    <mergeCell ref="B63:B68"/>
    <mergeCell ref="C63:E63"/>
    <mergeCell ref="C64:E64"/>
    <mergeCell ref="C65:E65"/>
    <mergeCell ref="C66:E66"/>
    <mergeCell ref="C67:E67"/>
    <mergeCell ref="C68:E68"/>
    <mergeCell ref="C57:E57"/>
    <mergeCell ref="C58:E58"/>
    <mergeCell ref="C59:E59"/>
    <mergeCell ref="B61:E61"/>
    <mergeCell ref="C62:E62"/>
    <mergeCell ref="C52:E52"/>
  </mergeCells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61B17-5B51-46A7-BA3A-DD54CDCC543F}">
  <dimension ref="A1:G99"/>
  <sheetViews>
    <sheetView topLeftCell="A63" workbookViewId="0">
      <selection activeCell="C58" sqref="C58:D59"/>
    </sheetView>
  </sheetViews>
  <sheetFormatPr defaultRowHeight="15"/>
  <sheetData>
    <row r="1" spans="1:7" ht="15.75">
      <c r="A1" s="233" t="s">
        <v>1253</v>
      </c>
      <c r="B1" s="234"/>
      <c r="C1" s="234"/>
      <c r="D1" s="234"/>
      <c r="E1" s="234"/>
      <c r="F1" s="234"/>
      <c r="G1" s="234"/>
    </row>
    <row r="2" spans="1:7">
      <c r="A2" s="209" t="s">
        <v>1204</v>
      </c>
      <c r="B2" s="209" t="s">
        <v>1205</v>
      </c>
      <c r="C2" s="209" t="s">
        <v>1206</v>
      </c>
      <c r="D2" s="209" t="s">
        <v>1207</v>
      </c>
      <c r="E2" s="209" t="s">
        <v>1208</v>
      </c>
      <c r="F2" s="209" t="s">
        <v>1209</v>
      </c>
      <c r="G2" s="209" t="s">
        <v>1210</v>
      </c>
    </row>
    <row r="3" spans="1:7">
      <c r="A3" s="205" t="s">
        <v>1211</v>
      </c>
      <c r="B3" s="205" t="s">
        <v>1212</v>
      </c>
      <c r="C3" t="s">
        <v>1213</v>
      </c>
      <c r="D3" s="205">
        <v>1</v>
      </c>
      <c r="E3" s="205">
        <v>1</v>
      </c>
      <c r="F3" s="205" t="s">
        <v>363</v>
      </c>
      <c r="G3" s="205">
        <v>19</v>
      </c>
    </row>
    <row r="4" spans="1:7">
      <c r="C4" t="s">
        <v>1214</v>
      </c>
      <c r="D4" s="205">
        <v>10</v>
      </c>
      <c r="E4" s="205">
        <v>10</v>
      </c>
      <c r="F4" s="205" t="s">
        <v>363</v>
      </c>
      <c r="G4" s="205">
        <v>5</v>
      </c>
    </row>
    <row r="5" spans="1:7">
      <c r="C5" t="s">
        <v>1215</v>
      </c>
      <c r="D5" s="205">
        <v>42</v>
      </c>
      <c r="E5" s="205">
        <v>37</v>
      </c>
      <c r="F5" s="205">
        <v>5</v>
      </c>
      <c r="G5" s="205">
        <v>11</v>
      </c>
    </row>
    <row r="6" spans="1:7">
      <c r="C6" t="s">
        <v>1216</v>
      </c>
      <c r="D6" s="205">
        <v>10</v>
      </c>
      <c r="E6" s="205">
        <v>10</v>
      </c>
      <c r="F6" s="205" t="s">
        <v>363</v>
      </c>
      <c r="G6" s="205">
        <v>3</v>
      </c>
    </row>
    <row r="7" spans="1:7">
      <c r="C7" t="s">
        <v>1217</v>
      </c>
      <c r="D7" s="205">
        <v>25</v>
      </c>
      <c r="E7" s="205">
        <v>25</v>
      </c>
      <c r="F7" s="205" t="s">
        <v>363</v>
      </c>
      <c r="G7" s="205">
        <v>15</v>
      </c>
    </row>
    <row r="8" spans="1:7">
      <c r="C8" t="s">
        <v>1218</v>
      </c>
      <c r="D8" s="205">
        <v>29</v>
      </c>
      <c r="E8" s="205">
        <v>11</v>
      </c>
      <c r="F8" s="205">
        <v>10</v>
      </c>
      <c r="G8" s="205">
        <v>16</v>
      </c>
    </row>
    <row r="9" spans="1:7">
      <c r="C9" t="s">
        <v>1219</v>
      </c>
      <c r="D9" s="205">
        <v>10</v>
      </c>
      <c r="E9" s="205">
        <v>10</v>
      </c>
      <c r="F9" s="205" t="s">
        <v>363</v>
      </c>
      <c r="G9" s="205">
        <v>9</v>
      </c>
    </row>
    <row r="10" spans="1:7">
      <c r="C10" t="s">
        <v>1220</v>
      </c>
      <c r="D10" s="205">
        <v>10</v>
      </c>
      <c r="E10" s="205">
        <v>10</v>
      </c>
      <c r="F10" s="205" t="s">
        <v>363</v>
      </c>
      <c r="G10" s="205">
        <v>3</v>
      </c>
    </row>
    <row r="11" spans="1:7">
      <c r="C11" s="5" t="s">
        <v>1221</v>
      </c>
      <c r="D11" s="206">
        <v>137</v>
      </c>
      <c r="E11" s="206">
        <v>122</v>
      </c>
      <c r="F11" s="206">
        <v>15</v>
      </c>
      <c r="G11" s="206">
        <v>11</v>
      </c>
    </row>
    <row r="12" spans="1:7">
      <c r="B12" s="205" t="s">
        <v>1222</v>
      </c>
      <c r="C12" t="s">
        <v>1223</v>
      </c>
      <c r="D12" s="205">
        <v>4</v>
      </c>
      <c r="E12" s="205">
        <v>4</v>
      </c>
      <c r="F12" s="205" t="s">
        <v>363</v>
      </c>
      <c r="G12" s="205">
        <v>15</v>
      </c>
    </row>
    <row r="13" spans="1:7">
      <c r="C13" t="s">
        <v>1224</v>
      </c>
      <c r="D13" s="205">
        <v>7</v>
      </c>
      <c r="E13" s="205">
        <v>7</v>
      </c>
      <c r="F13" s="205" t="s">
        <v>363</v>
      </c>
      <c r="G13" s="205">
        <v>7</v>
      </c>
    </row>
    <row r="14" spans="1:7">
      <c r="C14" t="s">
        <v>1225</v>
      </c>
      <c r="D14" s="205">
        <v>12</v>
      </c>
      <c r="E14" s="205">
        <v>12</v>
      </c>
      <c r="F14" s="205" t="s">
        <v>363</v>
      </c>
      <c r="G14" s="205">
        <v>6</v>
      </c>
    </row>
    <row r="15" spans="1:7">
      <c r="C15" s="5" t="s">
        <v>1221</v>
      </c>
      <c r="D15" s="206">
        <v>23</v>
      </c>
      <c r="E15" s="206">
        <v>23</v>
      </c>
      <c r="F15" s="206" t="s">
        <v>363</v>
      </c>
      <c r="G15" s="206">
        <v>8</v>
      </c>
    </row>
    <row r="16" spans="1:7">
      <c r="B16" s="206" t="s">
        <v>1226</v>
      </c>
      <c r="D16" s="206">
        <v>160</v>
      </c>
      <c r="E16" s="206">
        <v>145</v>
      </c>
      <c r="F16" s="206">
        <v>15</v>
      </c>
      <c r="G16" s="206">
        <v>11</v>
      </c>
    </row>
    <row r="17" spans="1:7">
      <c r="A17" s="205" t="s">
        <v>1227</v>
      </c>
      <c r="B17" s="205" t="s">
        <v>1212</v>
      </c>
      <c r="C17" t="s">
        <v>1213</v>
      </c>
      <c r="D17" s="205">
        <v>1</v>
      </c>
      <c r="E17" s="205" t="s">
        <v>363</v>
      </c>
      <c r="F17" s="205">
        <v>1</v>
      </c>
      <c r="G17" s="205">
        <v>23</v>
      </c>
    </row>
    <row r="18" spans="1:7">
      <c r="C18" t="s">
        <v>1228</v>
      </c>
      <c r="D18" s="205">
        <v>9</v>
      </c>
      <c r="E18" s="205">
        <v>9</v>
      </c>
      <c r="F18" s="205" t="s">
        <v>363</v>
      </c>
      <c r="G18" s="205">
        <v>13</v>
      </c>
    </row>
    <row r="19" spans="1:7">
      <c r="C19" t="s">
        <v>1229</v>
      </c>
      <c r="D19" s="205">
        <v>6</v>
      </c>
      <c r="E19" s="205" t="s">
        <v>363</v>
      </c>
      <c r="F19" s="205">
        <v>6</v>
      </c>
      <c r="G19" s="205">
        <v>24</v>
      </c>
    </row>
    <row r="20" spans="1:7">
      <c r="C20" t="s">
        <v>1230</v>
      </c>
      <c r="D20" s="205">
        <v>18</v>
      </c>
      <c r="E20" s="205">
        <v>18</v>
      </c>
      <c r="F20" s="205" t="s">
        <v>363</v>
      </c>
      <c r="G20" s="205">
        <v>7</v>
      </c>
    </row>
    <row r="21" spans="1:7">
      <c r="C21" t="s">
        <v>1231</v>
      </c>
      <c r="D21" s="205">
        <v>15</v>
      </c>
      <c r="E21" s="205">
        <v>15</v>
      </c>
      <c r="F21" s="205" t="s">
        <v>363</v>
      </c>
      <c r="G21" s="205">
        <v>12</v>
      </c>
    </row>
    <row r="22" spans="1:7">
      <c r="C22" t="s">
        <v>1232</v>
      </c>
      <c r="D22" s="205">
        <v>5</v>
      </c>
      <c r="E22" s="205">
        <v>5</v>
      </c>
      <c r="F22" s="205" t="s">
        <v>363</v>
      </c>
      <c r="G22" s="205">
        <v>14</v>
      </c>
    </row>
    <row r="23" spans="1:7">
      <c r="C23" t="s">
        <v>1219</v>
      </c>
      <c r="D23" s="205">
        <v>6</v>
      </c>
      <c r="E23" s="205">
        <v>6</v>
      </c>
      <c r="F23" s="205" t="s">
        <v>363</v>
      </c>
      <c r="G23" s="205">
        <v>6</v>
      </c>
    </row>
    <row r="24" spans="1:7">
      <c r="C24" t="s">
        <v>1233</v>
      </c>
      <c r="D24" s="205">
        <v>13</v>
      </c>
      <c r="E24" s="205">
        <v>13</v>
      </c>
      <c r="F24" s="205" t="s">
        <v>363</v>
      </c>
      <c r="G24" s="205">
        <v>2</v>
      </c>
    </row>
    <row r="25" spans="1:7">
      <c r="C25" s="5" t="s">
        <v>1221</v>
      </c>
      <c r="D25" s="206">
        <v>73</v>
      </c>
      <c r="E25" s="206">
        <v>66</v>
      </c>
      <c r="F25" s="206">
        <v>7</v>
      </c>
      <c r="G25" s="206">
        <v>10</v>
      </c>
    </row>
    <row r="26" spans="1:7">
      <c r="B26" s="205" t="s">
        <v>1222</v>
      </c>
      <c r="C26" t="s">
        <v>1234</v>
      </c>
      <c r="D26" s="205">
        <v>11</v>
      </c>
      <c r="E26" s="205">
        <v>2</v>
      </c>
      <c r="F26" s="205">
        <v>9</v>
      </c>
      <c r="G26" s="205">
        <v>25</v>
      </c>
    </row>
    <row r="27" spans="1:7">
      <c r="C27" t="s">
        <v>1235</v>
      </c>
      <c r="D27" s="205">
        <v>1</v>
      </c>
      <c r="E27" s="205" t="s">
        <v>363</v>
      </c>
      <c r="F27" s="205">
        <v>1</v>
      </c>
      <c r="G27" s="205">
        <v>25</v>
      </c>
    </row>
    <row r="28" spans="1:7">
      <c r="C28" s="5" t="s">
        <v>1221</v>
      </c>
      <c r="D28" s="206">
        <v>12</v>
      </c>
      <c r="E28" s="206">
        <v>2</v>
      </c>
      <c r="F28" s="206">
        <v>10</v>
      </c>
      <c r="G28" s="206">
        <v>25</v>
      </c>
    </row>
    <row r="29" spans="1:7">
      <c r="B29" s="206" t="s">
        <v>1226</v>
      </c>
      <c r="D29" s="206">
        <v>85</v>
      </c>
      <c r="E29" s="206">
        <v>68</v>
      </c>
      <c r="F29" s="206">
        <v>17</v>
      </c>
      <c r="G29" s="206">
        <v>12</v>
      </c>
    </row>
    <row r="30" spans="1:7">
      <c r="A30" s="205" t="s">
        <v>1236</v>
      </c>
      <c r="B30" s="205" t="s">
        <v>1212</v>
      </c>
      <c r="C30" t="s">
        <v>1237</v>
      </c>
      <c r="D30" s="206">
        <v>44</v>
      </c>
      <c r="E30" s="206">
        <v>44</v>
      </c>
      <c r="F30" s="205" t="s">
        <v>363</v>
      </c>
      <c r="G30" s="206">
        <v>12</v>
      </c>
    </row>
    <row r="31" spans="1:7">
      <c r="C31" s="5" t="s">
        <v>1221</v>
      </c>
      <c r="D31" s="206">
        <v>44</v>
      </c>
      <c r="E31" s="206">
        <v>44</v>
      </c>
      <c r="F31" s="206" t="s">
        <v>363</v>
      </c>
      <c r="G31" s="206">
        <v>12</v>
      </c>
    </row>
    <row r="32" spans="1:7">
      <c r="B32" s="206" t="s">
        <v>1226</v>
      </c>
      <c r="D32" s="206">
        <v>44</v>
      </c>
      <c r="E32" s="206">
        <v>44</v>
      </c>
      <c r="F32" s="206" t="s">
        <v>363</v>
      </c>
      <c r="G32" s="206">
        <v>12</v>
      </c>
    </row>
    <row r="33" spans="1:7">
      <c r="A33" s="205" t="s">
        <v>1238</v>
      </c>
      <c r="B33" s="205" t="s">
        <v>1212</v>
      </c>
      <c r="C33" t="s">
        <v>1237</v>
      </c>
      <c r="D33" s="206">
        <v>24</v>
      </c>
      <c r="E33" s="206">
        <v>20</v>
      </c>
      <c r="F33" s="205">
        <v>4</v>
      </c>
      <c r="G33" s="206">
        <v>12</v>
      </c>
    </row>
    <row r="34" spans="1:7">
      <c r="C34" t="s">
        <v>1228</v>
      </c>
      <c r="D34" s="206">
        <v>4</v>
      </c>
      <c r="E34" s="206">
        <v>4</v>
      </c>
      <c r="F34" s="206" t="s">
        <v>363</v>
      </c>
      <c r="G34" s="206">
        <v>15</v>
      </c>
    </row>
    <row r="35" spans="1:7">
      <c r="C35" s="5" t="s">
        <v>1221</v>
      </c>
      <c r="D35" s="206">
        <v>28</v>
      </c>
      <c r="E35" s="206">
        <v>24</v>
      </c>
      <c r="F35" s="206">
        <v>4</v>
      </c>
      <c r="G35" s="206">
        <v>13</v>
      </c>
    </row>
    <row r="36" spans="1:7">
      <c r="B36" s="206" t="s">
        <v>1226</v>
      </c>
      <c r="D36" s="206">
        <v>28</v>
      </c>
      <c r="E36" s="206">
        <v>24</v>
      </c>
      <c r="F36" s="206">
        <v>4</v>
      </c>
      <c r="G36" s="206">
        <v>13</v>
      </c>
    </row>
    <row r="37" spans="1:7">
      <c r="A37" s="205" t="s">
        <v>1239</v>
      </c>
      <c r="B37" s="205" t="s">
        <v>1212</v>
      </c>
      <c r="C37" t="s">
        <v>1232</v>
      </c>
      <c r="D37" s="206">
        <v>9</v>
      </c>
      <c r="E37" s="206">
        <v>9</v>
      </c>
      <c r="F37" s="205" t="s">
        <v>363</v>
      </c>
      <c r="G37" s="206">
        <v>12</v>
      </c>
    </row>
    <row r="38" spans="1:7">
      <c r="C38" t="s">
        <v>1240</v>
      </c>
      <c r="D38" s="206">
        <v>15</v>
      </c>
      <c r="E38" s="206">
        <v>15</v>
      </c>
      <c r="F38" s="205" t="s">
        <v>363</v>
      </c>
      <c r="G38" s="206">
        <v>12</v>
      </c>
    </row>
    <row r="39" spans="1:7">
      <c r="C39" s="5" t="s">
        <v>1221</v>
      </c>
      <c r="D39" s="206">
        <v>24</v>
      </c>
      <c r="E39" s="206">
        <v>24</v>
      </c>
      <c r="F39" s="206" t="s">
        <v>363</v>
      </c>
      <c r="G39" s="206">
        <v>12</v>
      </c>
    </row>
    <row r="40" spans="1:7">
      <c r="B40" s="206" t="s">
        <v>1226</v>
      </c>
      <c r="D40" s="206">
        <v>24</v>
      </c>
      <c r="E40" s="206">
        <v>24</v>
      </c>
      <c r="F40" s="206" t="s">
        <v>363</v>
      </c>
      <c r="G40" s="206">
        <v>12</v>
      </c>
    </row>
    <row r="41" spans="1:7">
      <c r="A41" s="205" t="s">
        <v>1241</v>
      </c>
      <c r="B41" s="205" t="s">
        <v>1212</v>
      </c>
      <c r="C41" t="s">
        <v>1242</v>
      </c>
      <c r="D41" s="206">
        <v>2</v>
      </c>
      <c r="E41" s="206">
        <v>2</v>
      </c>
      <c r="F41" s="206" t="s">
        <v>363</v>
      </c>
      <c r="G41" s="206">
        <v>2</v>
      </c>
    </row>
    <row r="42" spans="1:7">
      <c r="C42" t="s">
        <v>1237</v>
      </c>
      <c r="D42" s="206">
        <v>6</v>
      </c>
      <c r="E42" s="206">
        <v>6</v>
      </c>
      <c r="F42" s="206" t="s">
        <v>363</v>
      </c>
      <c r="G42" s="206">
        <v>11</v>
      </c>
    </row>
    <row r="43" spans="1:7">
      <c r="C43" t="s">
        <v>1243</v>
      </c>
      <c r="D43" s="206">
        <v>2</v>
      </c>
      <c r="E43" s="206">
        <v>2</v>
      </c>
      <c r="F43" s="206" t="s">
        <v>363</v>
      </c>
      <c r="G43" s="206">
        <v>14</v>
      </c>
    </row>
    <row r="44" spans="1:7">
      <c r="C44" s="5" t="s">
        <v>1221</v>
      </c>
      <c r="D44" s="206">
        <v>10</v>
      </c>
      <c r="E44" s="206">
        <v>10</v>
      </c>
      <c r="F44" s="206" t="s">
        <v>363</v>
      </c>
      <c r="G44" s="206">
        <v>10</v>
      </c>
    </row>
    <row r="45" spans="1:7">
      <c r="B45" s="206" t="s">
        <v>1226</v>
      </c>
      <c r="D45" s="206">
        <v>10</v>
      </c>
      <c r="E45" s="206">
        <v>10</v>
      </c>
      <c r="F45" s="206" t="s">
        <v>363</v>
      </c>
      <c r="G45" s="206">
        <v>10</v>
      </c>
    </row>
    <row r="46" spans="1:7">
      <c r="A46" s="205" t="s">
        <v>1244</v>
      </c>
      <c r="B46" s="205" t="s">
        <v>1212</v>
      </c>
      <c r="C46" t="s">
        <v>1237</v>
      </c>
      <c r="D46" s="206">
        <v>27</v>
      </c>
      <c r="E46" s="206">
        <v>27</v>
      </c>
      <c r="F46" s="206" t="s">
        <v>363</v>
      </c>
      <c r="G46" s="206">
        <v>12</v>
      </c>
    </row>
    <row r="47" spans="1:7">
      <c r="C47" s="5" t="s">
        <v>1221</v>
      </c>
      <c r="D47" s="206">
        <v>27</v>
      </c>
      <c r="E47" s="206">
        <v>27</v>
      </c>
      <c r="F47" s="206" t="s">
        <v>363</v>
      </c>
      <c r="G47" s="206">
        <v>12</v>
      </c>
    </row>
    <row r="48" spans="1:7">
      <c r="B48" s="206" t="s">
        <v>1226</v>
      </c>
      <c r="D48" s="206">
        <v>27</v>
      </c>
      <c r="E48" s="206">
        <v>27</v>
      </c>
      <c r="F48" s="206" t="s">
        <v>363</v>
      </c>
      <c r="G48" s="206">
        <v>12</v>
      </c>
    </row>
    <row r="49" spans="1:7">
      <c r="A49" s="205" t="s">
        <v>1245</v>
      </c>
      <c r="B49" s="205" t="s">
        <v>1212</v>
      </c>
      <c r="C49" t="s">
        <v>1246</v>
      </c>
      <c r="D49" s="206">
        <v>6</v>
      </c>
      <c r="E49" s="206">
        <v>6</v>
      </c>
      <c r="F49" s="206" t="s">
        <v>363</v>
      </c>
      <c r="G49" s="206">
        <v>8</v>
      </c>
    </row>
    <row r="50" spans="1:7">
      <c r="C50" s="5" t="s">
        <v>1221</v>
      </c>
      <c r="D50" s="206">
        <v>6</v>
      </c>
      <c r="E50" s="206">
        <v>6</v>
      </c>
      <c r="F50" s="206" t="s">
        <v>363</v>
      </c>
      <c r="G50" s="206">
        <v>8</v>
      </c>
    </row>
    <row r="51" spans="1:7">
      <c r="B51" s="206" t="s">
        <v>1226</v>
      </c>
      <c r="D51" s="206">
        <v>6</v>
      </c>
      <c r="E51" s="206">
        <v>6</v>
      </c>
      <c r="F51" s="206" t="s">
        <v>363</v>
      </c>
      <c r="G51" s="206">
        <v>8</v>
      </c>
    </row>
    <row r="52" spans="1:7">
      <c r="A52" s="205" t="s">
        <v>1247</v>
      </c>
      <c r="B52" s="205" t="s">
        <v>1222</v>
      </c>
      <c r="C52" t="s">
        <v>1248</v>
      </c>
      <c r="D52" s="206">
        <v>1</v>
      </c>
      <c r="E52" s="205" t="s">
        <v>363</v>
      </c>
      <c r="F52" s="205">
        <v>1</v>
      </c>
      <c r="G52" s="206">
        <v>30</v>
      </c>
    </row>
    <row r="53" spans="1:7">
      <c r="C53" s="5" t="s">
        <v>1221</v>
      </c>
      <c r="D53" s="206">
        <v>1</v>
      </c>
      <c r="E53" s="206" t="s">
        <v>363</v>
      </c>
      <c r="F53" s="206">
        <v>1</v>
      </c>
      <c r="G53" s="206">
        <v>30</v>
      </c>
    </row>
    <row r="54" spans="1:7">
      <c r="B54" s="206" t="s">
        <v>1226</v>
      </c>
      <c r="D54" s="206">
        <v>1</v>
      </c>
      <c r="E54" s="206" t="s">
        <v>363</v>
      </c>
      <c r="F54" s="206">
        <v>1</v>
      </c>
      <c r="G54" s="206">
        <v>30</v>
      </c>
    </row>
    <row r="55" spans="1:7">
      <c r="A55" s="205" t="s">
        <v>1249</v>
      </c>
      <c r="B55" s="205" t="s">
        <v>1212</v>
      </c>
      <c r="C55" t="s">
        <v>1237</v>
      </c>
      <c r="D55" s="206">
        <v>3</v>
      </c>
      <c r="E55" s="205">
        <v>3</v>
      </c>
      <c r="F55" s="205" t="s">
        <v>363</v>
      </c>
      <c r="G55" s="206">
        <v>9</v>
      </c>
    </row>
    <row r="56" spans="1:7">
      <c r="C56" s="5" t="s">
        <v>1221</v>
      </c>
      <c r="D56" s="206">
        <v>3</v>
      </c>
      <c r="E56" s="206">
        <v>3</v>
      </c>
      <c r="F56" s="206" t="s">
        <v>363</v>
      </c>
      <c r="G56" s="206">
        <v>9</v>
      </c>
    </row>
    <row r="57" spans="1:7">
      <c r="B57" s="206" t="s">
        <v>1226</v>
      </c>
      <c r="D57" s="206">
        <v>3</v>
      </c>
      <c r="E57" s="206">
        <v>3</v>
      </c>
      <c r="F57" s="206" t="s">
        <v>363</v>
      </c>
      <c r="G57" s="206">
        <v>9</v>
      </c>
    </row>
    <row r="58" spans="1:7">
      <c r="A58" s="205" t="s">
        <v>1250</v>
      </c>
      <c r="B58" s="205" t="s">
        <v>1212</v>
      </c>
      <c r="C58" t="s">
        <v>1232</v>
      </c>
      <c r="D58" s="206">
        <v>1</v>
      </c>
      <c r="E58" s="206">
        <v>1</v>
      </c>
      <c r="F58" s="206" t="s">
        <v>363</v>
      </c>
      <c r="G58" s="206">
        <v>14</v>
      </c>
    </row>
    <row r="59" spans="1:7">
      <c r="C59" s="5" t="s">
        <v>1221</v>
      </c>
      <c r="D59" s="206">
        <v>1</v>
      </c>
      <c r="E59" s="206">
        <v>1</v>
      </c>
      <c r="F59" s="206" t="s">
        <v>363</v>
      </c>
      <c r="G59" s="206">
        <v>14</v>
      </c>
    </row>
    <row r="60" spans="1:7">
      <c r="B60" s="206" t="s">
        <v>1226</v>
      </c>
      <c r="D60" s="206">
        <v>1</v>
      </c>
      <c r="E60" s="206">
        <v>1</v>
      </c>
      <c r="F60" s="206" t="s">
        <v>363</v>
      </c>
      <c r="G60" s="206">
        <v>14</v>
      </c>
    </row>
    <row r="61" spans="1:7">
      <c r="A61" s="204" t="s">
        <v>1251</v>
      </c>
      <c r="B61" s="207"/>
      <c r="C61" s="207"/>
      <c r="D61" s="204">
        <v>389</v>
      </c>
      <c r="E61" s="204">
        <v>352</v>
      </c>
      <c r="F61" s="204">
        <v>37</v>
      </c>
      <c r="G61" s="204">
        <v>14</v>
      </c>
    </row>
    <row r="62" spans="1:7">
      <c r="A62" s="208" t="s">
        <v>1252</v>
      </c>
      <c r="D62" s="205"/>
      <c r="E62" s="205"/>
      <c r="F62" s="205"/>
      <c r="G62" s="205"/>
    </row>
    <row r="64" spans="1:7" ht="15.75">
      <c r="A64" s="235" t="s">
        <v>1254</v>
      </c>
      <c r="B64" s="235"/>
      <c r="C64" s="235"/>
      <c r="D64" s="235"/>
      <c r="E64" s="235"/>
      <c r="F64" s="235"/>
    </row>
    <row r="65" spans="1:6">
      <c r="A65" s="209" t="s">
        <v>1255</v>
      </c>
      <c r="B65" s="209" t="s">
        <v>1256</v>
      </c>
      <c r="C65" s="209" t="s">
        <v>1257</v>
      </c>
      <c r="D65" s="209" t="s">
        <v>1258</v>
      </c>
      <c r="E65" s="209" t="s">
        <v>1259</v>
      </c>
      <c r="F65" s="209" t="s">
        <v>72</v>
      </c>
    </row>
    <row r="66" spans="1:6">
      <c r="A66" s="205" t="s">
        <v>1260</v>
      </c>
      <c r="B66" s="205" t="s">
        <v>1261</v>
      </c>
      <c r="C66" s="205" t="s">
        <v>1211</v>
      </c>
      <c r="D66" s="205">
        <v>160</v>
      </c>
      <c r="E66" s="205" t="s">
        <v>363</v>
      </c>
      <c r="F66" s="205">
        <v>160</v>
      </c>
    </row>
    <row r="67" spans="1:6">
      <c r="C67" s="205" t="s">
        <v>1227</v>
      </c>
      <c r="D67" s="205">
        <v>85</v>
      </c>
      <c r="E67" s="205" t="s">
        <v>363</v>
      </c>
      <c r="F67" s="205">
        <v>85</v>
      </c>
    </row>
    <row r="68" spans="1:6">
      <c r="C68" s="205" t="s">
        <v>1236</v>
      </c>
      <c r="D68" s="205">
        <v>44</v>
      </c>
      <c r="E68" s="205" t="s">
        <v>363</v>
      </c>
      <c r="F68" s="205">
        <v>44</v>
      </c>
    </row>
    <row r="69" spans="1:6">
      <c r="C69" s="205" t="s">
        <v>1238</v>
      </c>
      <c r="D69" s="205">
        <v>28</v>
      </c>
      <c r="E69" s="205" t="s">
        <v>363</v>
      </c>
      <c r="F69" s="205">
        <v>28</v>
      </c>
    </row>
    <row r="70" spans="1:6">
      <c r="C70" s="205" t="s">
        <v>1239</v>
      </c>
      <c r="D70" s="205">
        <v>24</v>
      </c>
      <c r="E70" s="205" t="s">
        <v>363</v>
      </c>
      <c r="F70" s="205">
        <v>24</v>
      </c>
    </row>
    <row r="71" spans="1:6">
      <c r="C71" s="205" t="s">
        <v>1241</v>
      </c>
      <c r="D71" s="205">
        <v>10</v>
      </c>
      <c r="E71" s="205" t="s">
        <v>363</v>
      </c>
      <c r="F71" s="205">
        <v>10</v>
      </c>
    </row>
    <row r="72" spans="1:6">
      <c r="C72" s="205" t="s">
        <v>1244</v>
      </c>
      <c r="D72" s="205">
        <v>27</v>
      </c>
      <c r="E72" s="205" t="s">
        <v>363</v>
      </c>
      <c r="F72" s="205">
        <v>27</v>
      </c>
    </row>
    <row r="73" spans="1:6">
      <c r="C73" s="205" t="s">
        <v>1245</v>
      </c>
      <c r="D73" s="205">
        <v>6</v>
      </c>
      <c r="E73" s="205" t="s">
        <v>363</v>
      </c>
      <c r="F73" s="205">
        <v>6</v>
      </c>
    </row>
    <row r="74" spans="1:6">
      <c r="C74" s="205" t="s">
        <v>1247</v>
      </c>
      <c r="D74" s="205">
        <v>1</v>
      </c>
      <c r="E74" s="205" t="s">
        <v>363</v>
      </c>
      <c r="F74" s="205">
        <v>1</v>
      </c>
    </row>
    <row r="75" spans="1:6">
      <c r="C75" s="205" t="s">
        <v>1249</v>
      </c>
      <c r="D75" s="205">
        <v>3</v>
      </c>
      <c r="E75" s="205" t="s">
        <v>363</v>
      </c>
      <c r="F75" s="205">
        <v>3</v>
      </c>
    </row>
    <row r="76" spans="1:6">
      <c r="C76" s="205" t="s">
        <v>1250</v>
      </c>
      <c r="D76" s="205">
        <v>1</v>
      </c>
      <c r="E76" s="205" t="s">
        <v>363</v>
      </c>
      <c r="F76" s="205">
        <v>1</v>
      </c>
    </row>
    <row r="77" spans="1:6">
      <c r="C77" s="210" t="s">
        <v>79</v>
      </c>
      <c r="D77" s="210">
        <v>389</v>
      </c>
      <c r="E77" s="210" t="s">
        <v>363</v>
      </c>
      <c r="F77" s="210">
        <v>389</v>
      </c>
    </row>
    <row r="78" spans="1:6">
      <c r="B78" s="205" t="s">
        <v>811</v>
      </c>
      <c r="C78" s="205" t="s">
        <v>1262</v>
      </c>
      <c r="D78" s="205">
        <v>1</v>
      </c>
      <c r="E78" s="205">
        <v>1</v>
      </c>
      <c r="F78" s="205">
        <v>2</v>
      </c>
    </row>
    <row r="79" spans="1:6">
      <c r="C79" s="205" t="s">
        <v>1211</v>
      </c>
      <c r="D79" s="205">
        <v>3</v>
      </c>
      <c r="E79" s="205">
        <v>5</v>
      </c>
      <c r="F79" s="205">
        <v>8</v>
      </c>
    </row>
    <row r="80" spans="1:6">
      <c r="C80" s="205" t="s">
        <v>1263</v>
      </c>
      <c r="D80" s="205" t="s">
        <v>363</v>
      </c>
      <c r="E80" s="205">
        <v>3</v>
      </c>
      <c r="F80" s="205">
        <v>3</v>
      </c>
    </row>
    <row r="81" spans="1:6">
      <c r="C81" s="205" t="s">
        <v>1264</v>
      </c>
      <c r="D81" s="205">
        <v>1</v>
      </c>
      <c r="E81" s="205" t="s">
        <v>363</v>
      </c>
      <c r="F81" s="205">
        <v>1</v>
      </c>
    </row>
    <row r="82" spans="1:6">
      <c r="C82" s="205" t="s">
        <v>1265</v>
      </c>
      <c r="D82" s="205">
        <v>1</v>
      </c>
      <c r="E82" s="205" t="s">
        <v>363</v>
      </c>
      <c r="F82" s="205">
        <v>1</v>
      </c>
    </row>
    <row r="83" spans="1:6">
      <c r="C83" s="205" t="s">
        <v>1266</v>
      </c>
      <c r="D83" s="205" t="s">
        <v>363</v>
      </c>
      <c r="E83" s="205">
        <v>4</v>
      </c>
      <c r="F83" s="205">
        <v>4</v>
      </c>
    </row>
    <row r="84" spans="1:6">
      <c r="C84" s="205" t="s">
        <v>1267</v>
      </c>
      <c r="D84" s="205" t="s">
        <v>363</v>
      </c>
      <c r="E84" s="205">
        <v>1</v>
      </c>
      <c r="F84" s="205">
        <v>1</v>
      </c>
    </row>
    <row r="85" spans="1:6">
      <c r="C85" s="205" t="s">
        <v>1268</v>
      </c>
      <c r="D85" s="205">
        <v>2</v>
      </c>
      <c r="E85" s="205" t="s">
        <v>363</v>
      </c>
      <c r="F85" s="205">
        <v>2</v>
      </c>
    </row>
    <row r="86" spans="1:6">
      <c r="C86" s="210" t="s">
        <v>79</v>
      </c>
      <c r="D86" s="210">
        <v>8</v>
      </c>
      <c r="E86" s="210">
        <v>14</v>
      </c>
      <c r="F86" s="210">
        <v>22</v>
      </c>
    </row>
    <row r="87" spans="1:6">
      <c r="B87" s="204" t="s">
        <v>1269</v>
      </c>
      <c r="C87" s="212"/>
      <c r="D87" s="204">
        <v>397</v>
      </c>
      <c r="E87" s="204">
        <v>14</v>
      </c>
      <c r="F87" s="204">
        <v>411</v>
      </c>
    </row>
    <row r="88" spans="1:6">
      <c r="A88" s="236" t="s">
        <v>1270</v>
      </c>
      <c r="B88" s="236"/>
      <c r="C88" s="205"/>
      <c r="D88" s="205">
        <v>79</v>
      </c>
      <c r="E88" s="205">
        <v>97</v>
      </c>
      <c r="F88" s="205">
        <v>176</v>
      </c>
    </row>
    <row r="89" spans="1:6">
      <c r="A89" s="205" t="s">
        <v>74</v>
      </c>
      <c r="B89" s="205" t="s">
        <v>1271</v>
      </c>
      <c r="C89" s="205"/>
      <c r="D89" s="205">
        <v>115</v>
      </c>
      <c r="E89" s="205">
        <v>3</v>
      </c>
      <c r="F89" s="205">
        <v>120</v>
      </c>
    </row>
    <row r="90" spans="1:6">
      <c r="B90" s="205" t="s">
        <v>1272</v>
      </c>
      <c r="C90" s="205"/>
      <c r="D90" s="205" t="s">
        <v>363</v>
      </c>
      <c r="E90" s="205">
        <v>2</v>
      </c>
      <c r="F90" s="205">
        <v>2</v>
      </c>
    </row>
    <row r="91" spans="1:6">
      <c r="B91" s="205" t="s">
        <v>1273</v>
      </c>
      <c r="C91" s="205"/>
      <c r="D91" s="205">
        <v>2</v>
      </c>
      <c r="E91" s="205" t="s">
        <v>363</v>
      </c>
      <c r="F91" s="205">
        <v>2</v>
      </c>
    </row>
    <row r="92" spans="1:6">
      <c r="B92" s="205" t="s">
        <v>1274</v>
      </c>
      <c r="C92" s="205"/>
      <c r="D92" s="205" t="s">
        <v>363</v>
      </c>
      <c r="E92" s="205">
        <v>79</v>
      </c>
      <c r="F92" s="205">
        <v>79</v>
      </c>
    </row>
    <row r="93" spans="1:6">
      <c r="B93" s="205" t="s">
        <v>1275</v>
      </c>
      <c r="C93" s="205"/>
      <c r="D93" s="205">
        <v>22</v>
      </c>
      <c r="E93" s="205">
        <v>13</v>
      </c>
      <c r="F93" s="205">
        <v>36</v>
      </c>
    </row>
    <row r="94" spans="1:6">
      <c r="B94" s="210" t="s">
        <v>79</v>
      </c>
      <c r="C94" s="213"/>
      <c r="D94" s="210">
        <v>139</v>
      </c>
      <c r="E94" s="210">
        <v>97</v>
      </c>
      <c r="F94" s="210">
        <v>239</v>
      </c>
    </row>
    <row r="95" spans="1:6">
      <c r="A95" s="209" t="s">
        <v>85</v>
      </c>
      <c r="B95" s="211"/>
      <c r="C95" s="214"/>
      <c r="D95" s="209">
        <v>615</v>
      </c>
      <c r="E95" s="209">
        <v>208</v>
      </c>
      <c r="F95" s="209">
        <v>826</v>
      </c>
    </row>
    <row r="97" spans="1:5">
      <c r="A97" s="237" t="s">
        <v>1276</v>
      </c>
      <c r="B97" s="237"/>
      <c r="C97" s="209" t="s">
        <v>1277</v>
      </c>
      <c r="D97" s="209" t="s">
        <v>808</v>
      </c>
      <c r="E97" s="209" t="s">
        <v>87</v>
      </c>
    </row>
    <row r="98" spans="1:5">
      <c r="A98" s="236" t="s">
        <v>1278</v>
      </c>
      <c r="B98" s="236"/>
      <c r="C98" s="205">
        <v>3</v>
      </c>
      <c r="D98" s="205">
        <v>5</v>
      </c>
      <c r="E98" s="205">
        <v>8</v>
      </c>
    </row>
    <row r="99" spans="1:5">
      <c r="A99" s="208" t="s">
        <v>1252</v>
      </c>
    </row>
  </sheetData>
  <mergeCells count="5">
    <mergeCell ref="A1:G1"/>
    <mergeCell ref="A64:F64"/>
    <mergeCell ref="A88:B88"/>
    <mergeCell ref="A97:B97"/>
    <mergeCell ref="A98:B98"/>
  </mergeCells>
  <phoneticPr fontId="3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N26"/>
  <sheetViews>
    <sheetView workbookViewId="0"/>
  </sheetViews>
  <sheetFormatPr defaultColWidth="9" defaultRowHeight="15"/>
  <cols>
    <col min="1" max="1" width="28.42578125" style="6" customWidth="1"/>
    <col min="2" max="2" width="13" style="6" bestFit="1" customWidth="1"/>
    <col min="3" max="16384" width="9" style="6"/>
  </cols>
  <sheetData>
    <row r="2" spans="1:40">
      <c r="B2" s="10" t="s">
        <v>391</v>
      </c>
      <c r="C2" s="140">
        <v>2020</v>
      </c>
    </row>
    <row r="3" spans="1:40">
      <c r="B3" s="54" t="s">
        <v>494</v>
      </c>
      <c r="C3" s="140">
        <v>328</v>
      </c>
    </row>
    <row r="4" spans="1:40">
      <c r="B4" s="54" t="s">
        <v>495</v>
      </c>
      <c r="C4" s="140">
        <v>657</v>
      </c>
    </row>
    <row r="5" spans="1:40">
      <c r="B5" s="54" t="s">
        <v>496</v>
      </c>
      <c r="C5" s="140">
        <v>778</v>
      </c>
    </row>
    <row r="6" spans="1:40">
      <c r="B6" s="10" t="s">
        <v>497</v>
      </c>
      <c r="C6" s="140"/>
    </row>
    <row r="7" spans="1:40">
      <c r="B7" s="10" t="s">
        <v>498</v>
      </c>
      <c r="C7" s="140"/>
    </row>
    <row r="8" spans="1:40">
      <c r="B8" s="10" t="s">
        <v>499</v>
      </c>
      <c r="C8" s="140">
        <v>7117</v>
      </c>
    </row>
    <row r="9" spans="1:40">
      <c r="B9" s="10" t="s">
        <v>485</v>
      </c>
      <c r="C9" s="140">
        <f>SUM(C$3:C$8)</f>
        <v>8880</v>
      </c>
    </row>
    <row r="10" spans="1:40">
      <c r="C10" s="152" t="s">
        <v>500</v>
      </c>
      <c r="D10" s="39"/>
      <c r="E10" s="39"/>
    </row>
    <row r="11" spans="1:40" ht="15.75" thickBot="1"/>
    <row r="12" spans="1:40" ht="15.75" thickBot="1">
      <c r="A12" s="13" t="s">
        <v>38</v>
      </c>
      <c r="L12" s="134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</row>
    <row r="13" spans="1:40" ht="15.75" thickBot="1">
      <c r="A13" s="113" t="s">
        <v>501</v>
      </c>
      <c r="L13" s="135" t="s">
        <v>502</v>
      </c>
      <c r="M13" s="135" t="s">
        <v>503</v>
      </c>
      <c r="N13" s="135" t="s">
        <v>504</v>
      </c>
      <c r="O13" s="135" t="s">
        <v>505</v>
      </c>
      <c r="P13" s="135" t="s">
        <v>506</v>
      </c>
      <c r="Q13" s="135" t="s">
        <v>507</v>
      </c>
      <c r="R13" s="135" t="s">
        <v>508</v>
      </c>
      <c r="S13" s="135" t="s">
        <v>509</v>
      </c>
      <c r="T13" s="135" t="s">
        <v>510</v>
      </c>
      <c r="U13" s="135" t="s">
        <v>511</v>
      </c>
      <c r="V13" s="135" t="s">
        <v>512</v>
      </c>
      <c r="W13" s="135" t="s">
        <v>513</v>
      </c>
      <c r="X13" s="135" t="s">
        <v>514</v>
      </c>
      <c r="Y13" s="135" t="s">
        <v>506</v>
      </c>
      <c r="Z13" s="135" t="s">
        <v>506</v>
      </c>
      <c r="AA13" s="135" t="s">
        <v>515</v>
      </c>
      <c r="AB13" s="135" t="s">
        <v>516</v>
      </c>
      <c r="AC13" s="135" t="s">
        <v>517</v>
      </c>
      <c r="AD13" s="135" t="s">
        <v>518</v>
      </c>
      <c r="AE13" s="135" t="s">
        <v>519</v>
      </c>
      <c r="AF13" s="135" t="s">
        <v>520</v>
      </c>
      <c r="AG13" s="135" t="s">
        <v>521</v>
      </c>
      <c r="AH13" s="135" t="s">
        <v>522</v>
      </c>
      <c r="AI13" s="135" t="s">
        <v>523</v>
      </c>
      <c r="AJ13" s="135" t="s">
        <v>524</v>
      </c>
      <c r="AK13" s="135" t="s">
        <v>516</v>
      </c>
      <c r="AL13" s="135" t="s">
        <v>525</v>
      </c>
      <c r="AM13" s="133"/>
      <c r="AN13" s="133"/>
    </row>
    <row r="14" spans="1:40" ht="15.75" thickBot="1">
      <c r="L14" s="136"/>
      <c r="M14" s="137" t="s">
        <v>526</v>
      </c>
      <c r="N14" s="135" t="s">
        <v>527</v>
      </c>
      <c r="O14" s="134" t="s">
        <v>528</v>
      </c>
      <c r="P14" s="134" t="s">
        <v>529</v>
      </c>
      <c r="Q14" s="134" t="s">
        <v>530</v>
      </c>
      <c r="R14" s="134" t="s">
        <v>531</v>
      </c>
      <c r="S14" s="134" t="s">
        <v>532</v>
      </c>
      <c r="T14" s="134" t="s">
        <v>533</v>
      </c>
      <c r="U14" s="134" t="s">
        <v>534</v>
      </c>
      <c r="V14" s="134" t="s">
        <v>535</v>
      </c>
      <c r="W14" s="134" t="s">
        <v>536</v>
      </c>
      <c r="X14" s="134" t="s">
        <v>537</v>
      </c>
      <c r="Y14" s="134" t="s">
        <v>529</v>
      </c>
      <c r="Z14" s="134" t="s">
        <v>538</v>
      </c>
      <c r="AA14" s="134" t="s">
        <v>539</v>
      </c>
      <c r="AB14" s="134" t="s">
        <v>540</v>
      </c>
      <c r="AC14" s="134" t="s">
        <v>541</v>
      </c>
      <c r="AD14" s="134" t="s">
        <v>534</v>
      </c>
      <c r="AE14" s="134" t="s">
        <v>542</v>
      </c>
      <c r="AF14" s="134" t="s">
        <v>543</v>
      </c>
      <c r="AG14" s="134" t="s">
        <v>544</v>
      </c>
      <c r="AH14" s="134" t="s">
        <v>529</v>
      </c>
      <c r="AI14" s="134" t="s">
        <v>530</v>
      </c>
      <c r="AJ14" s="134" t="s">
        <v>545</v>
      </c>
      <c r="AK14" s="134" t="s">
        <v>546</v>
      </c>
      <c r="AL14" s="134" t="s">
        <v>533</v>
      </c>
      <c r="AM14" s="134" t="s">
        <v>547</v>
      </c>
      <c r="AN14" s="134" t="s">
        <v>535</v>
      </c>
    </row>
    <row r="15" spans="1:40" ht="15.75" thickBot="1">
      <c r="A15" s="6" t="s">
        <v>548</v>
      </c>
      <c r="L15" s="136"/>
      <c r="M15" s="137" t="s">
        <v>549</v>
      </c>
      <c r="N15" s="135" t="s">
        <v>550</v>
      </c>
      <c r="O15" s="134" t="s">
        <v>532</v>
      </c>
      <c r="P15" s="134" t="s">
        <v>551</v>
      </c>
      <c r="Q15" s="134" t="s">
        <v>552</v>
      </c>
      <c r="R15" s="134" t="s">
        <v>553</v>
      </c>
      <c r="S15" s="134" t="s">
        <v>541</v>
      </c>
      <c r="T15" s="134" t="s">
        <v>554</v>
      </c>
      <c r="U15" s="134" t="s">
        <v>555</v>
      </c>
      <c r="V15" s="134" t="s">
        <v>552</v>
      </c>
      <c r="W15" s="134" t="s">
        <v>556</v>
      </c>
      <c r="X15" s="134" t="s">
        <v>532</v>
      </c>
      <c r="Y15" s="134" t="s">
        <v>557</v>
      </c>
      <c r="Z15" s="134" t="s">
        <v>558</v>
      </c>
      <c r="AA15" s="134" t="s">
        <v>559</v>
      </c>
      <c r="AB15" s="134" t="s">
        <v>533</v>
      </c>
      <c r="AC15" s="134" t="s">
        <v>560</v>
      </c>
      <c r="AD15" s="134" t="s">
        <v>555</v>
      </c>
      <c r="AE15" s="134" t="s">
        <v>558</v>
      </c>
      <c r="AF15" s="134" t="s">
        <v>561</v>
      </c>
      <c r="AG15" s="134" t="s">
        <v>562</v>
      </c>
      <c r="AH15" s="134" t="s">
        <v>563</v>
      </c>
      <c r="AI15" s="134" t="s">
        <v>558</v>
      </c>
      <c r="AJ15" s="134" t="s">
        <v>559</v>
      </c>
      <c r="AK15" s="134" t="s">
        <v>532</v>
      </c>
      <c r="AL15" s="134" t="s">
        <v>554</v>
      </c>
      <c r="AM15" s="134" t="s">
        <v>555</v>
      </c>
      <c r="AN15" s="134" t="s">
        <v>564</v>
      </c>
    </row>
    <row r="16" spans="1:40" ht="15.75" thickBot="1">
      <c r="A16" s="6" t="s">
        <v>565</v>
      </c>
      <c r="L16" s="136"/>
      <c r="M16" s="137" t="s">
        <v>566</v>
      </c>
      <c r="N16" s="135" t="s">
        <v>567</v>
      </c>
      <c r="O16" s="134" t="s">
        <v>568</v>
      </c>
      <c r="P16" s="134" t="s">
        <v>569</v>
      </c>
      <c r="Q16" s="134" t="s">
        <v>532</v>
      </c>
      <c r="R16" s="134" t="s">
        <v>570</v>
      </c>
      <c r="S16" s="134" t="s">
        <v>571</v>
      </c>
      <c r="T16" s="134" t="s">
        <v>564</v>
      </c>
      <c r="U16" s="134" t="s">
        <v>572</v>
      </c>
      <c r="V16" s="134" t="s">
        <v>573</v>
      </c>
      <c r="W16" s="134" t="s">
        <v>574</v>
      </c>
      <c r="X16" s="134" t="s">
        <v>568</v>
      </c>
      <c r="Y16" s="134" t="s">
        <v>575</v>
      </c>
      <c r="Z16" s="134" t="s">
        <v>562</v>
      </c>
      <c r="AA16" s="134" t="s">
        <v>576</v>
      </c>
      <c r="AB16" s="134" t="s">
        <v>571</v>
      </c>
      <c r="AC16" s="134" t="s">
        <v>564</v>
      </c>
      <c r="AD16" s="134" t="s">
        <v>563</v>
      </c>
      <c r="AE16" s="134" t="s">
        <v>577</v>
      </c>
      <c r="AF16" s="134" t="s">
        <v>578</v>
      </c>
      <c r="AG16" s="134" t="s">
        <v>579</v>
      </c>
      <c r="AH16" s="134" t="s">
        <v>568</v>
      </c>
      <c r="AI16" s="134" t="s">
        <v>544</v>
      </c>
      <c r="AJ16" s="134" t="s">
        <v>580</v>
      </c>
      <c r="AK16" s="134" t="s">
        <v>581</v>
      </c>
      <c r="AL16" s="134" t="s">
        <v>582</v>
      </c>
      <c r="AM16" s="134" t="s">
        <v>583</v>
      </c>
      <c r="AN16" s="134" t="s">
        <v>584</v>
      </c>
    </row>
    <row r="17" spans="1:40" ht="15.75" thickBot="1">
      <c r="L17" s="136"/>
      <c r="M17" s="137" t="s">
        <v>585</v>
      </c>
      <c r="N17" s="135" t="s">
        <v>586</v>
      </c>
      <c r="O17" s="134" t="s">
        <v>587</v>
      </c>
      <c r="P17" s="134" t="s">
        <v>552</v>
      </c>
      <c r="Q17" s="134" t="s">
        <v>558</v>
      </c>
      <c r="R17" s="134" t="s">
        <v>532</v>
      </c>
      <c r="S17" s="134" t="s">
        <v>538</v>
      </c>
      <c r="T17" s="134" t="s">
        <v>576</v>
      </c>
      <c r="U17" s="134" t="s">
        <v>588</v>
      </c>
      <c r="V17" s="134" t="s">
        <v>589</v>
      </c>
      <c r="W17" s="134" t="s">
        <v>590</v>
      </c>
      <c r="X17" s="134" t="s">
        <v>591</v>
      </c>
      <c r="Y17" s="134" t="s">
        <v>552</v>
      </c>
      <c r="Z17" s="134" t="s">
        <v>564</v>
      </c>
      <c r="AA17" s="134" t="s">
        <v>532</v>
      </c>
      <c r="AB17" s="134" t="s">
        <v>530</v>
      </c>
      <c r="AC17" s="134" t="s">
        <v>559</v>
      </c>
      <c r="AD17" s="134" t="s">
        <v>592</v>
      </c>
      <c r="AE17" s="134" t="s">
        <v>593</v>
      </c>
      <c r="AF17" s="134" t="s">
        <v>594</v>
      </c>
      <c r="AG17" s="134" t="s">
        <v>591</v>
      </c>
      <c r="AH17" s="134" t="s">
        <v>582</v>
      </c>
      <c r="AI17" s="134" t="s">
        <v>554</v>
      </c>
      <c r="AJ17" s="134" t="s">
        <v>532</v>
      </c>
      <c r="AK17" s="134" t="s">
        <v>546</v>
      </c>
      <c r="AL17" s="134" t="s">
        <v>559</v>
      </c>
      <c r="AM17" s="134" t="s">
        <v>595</v>
      </c>
      <c r="AN17" s="134" t="s">
        <v>593</v>
      </c>
    </row>
    <row r="18" spans="1:40" ht="15.75" thickBot="1">
      <c r="A18" s="14" t="s">
        <v>596</v>
      </c>
      <c r="L18" s="136"/>
      <c r="M18" s="137" t="s">
        <v>597</v>
      </c>
      <c r="N18" s="135" t="s">
        <v>598</v>
      </c>
      <c r="O18" s="134" t="s">
        <v>541</v>
      </c>
      <c r="P18" s="134" t="s">
        <v>529</v>
      </c>
      <c r="Q18" s="134" t="s">
        <v>599</v>
      </c>
      <c r="R18" s="134" t="s">
        <v>584</v>
      </c>
      <c r="S18" s="134" t="s">
        <v>600</v>
      </c>
      <c r="T18" s="134" t="s">
        <v>601</v>
      </c>
      <c r="U18" s="134" t="s">
        <v>602</v>
      </c>
      <c r="V18" s="134" t="s">
        <v>603</v>
      </c>
      <c r="W18" s="134" t="s">
        <v>604</v>
      </c>
      <c r="X18" s="134" t="s">
        <v>540</v>
      </c>
      <c r="Y18" s="134" t="s">
        <v>605</v>
      </c>
      <c r="Z18" s="134" t="s">
        <v>606</v>
      </c>
      <c r="AA18" s="134" t="s">
        <v>607</v>
      </c>
      <c r="AB18" s="134" t="s">
        <v>608</v>
      </c>
      <c r="AC18" s="134" t="s">
        <v>609</v>
      </c>
      <c r="AD18" s="134" t="s">
        <v>610</v>
      </c>
      <c r="AE18" s="134" t="s">
        <v>611</v>
      </c>
      <c r="AF18" s="134" t="s">
        <v>612</v>
      </c>
      <c r="AG18" s="134" t="s">
        <v>541</v>
      </c>
      <c r="AH18" s="134" t="s">
        <v>613</v>
      </c>
      <c r="AI18" s="134" t="s">
        <v>599</v>
      </c>
      <c r="AJ18" s="134" t="s">
        <v>614</v>
      </c>
      <c r="AK18" s="134" t="s">
        <v>600</v>
      </c>
      <c r="AL18" s="134" t="s">
        <v>615</v>
      </c>
      <c r="AM18" s="134" t="s">
        <v>616</v>
      </c>
      <c r="AN18" s="134" t="s">
        <v>617</v>
      </c>
    </row>
    <row r="19" spans="1:40" ht="15.75" thickBot="1">
      <c r="A19" s="6" t="s">
        <v>618</v>
      </c>
      <c r="B19" s="6">
        <v>1.4</v>
      </c>
      <c r="L19" s="136"/>
      <c r="M19" s="137" t="s">
        <v>619</v>
      </c>
      <c r="N19" s="135" t="s">
        <v>620</v>
      </c>
      <c r="O19" s="134" t="s">
        <v>621</v>
      </c>
      <c r="P19" s="134" t="s">
        <v>622</v>
      </c>
      <c r="Q19" s="134" t="s">
        <v>623</v>
      </c>
      <c r="R19" s="134" t="s">
        <v>624</v>
      </c>
      <c r="S19" s="134" t="s">
        <v>625</v>
      </c>
      <c r="T19" s="134" t="s">
        <v>626</v>
      </c>
      <c r="U19" s="134" t="s">
        <v>627</v>
      </c>
      <c r="V19" s="134" t="s">
        <v>628</v>
      </c>
      <c r="W19" s="134" t="s">
        <v>629</v>
      </c>
      <c r="X19" s="134" t="s">
        <v>630</v>
      </c>
      <c r="Y19" s="134" t="s">
        <v>631</v>
      </c>
      <c r="Z19" s="134" t="s">
        <v>632</v>
      </c>
      <c r="AA19" s="134" t="s">
        <v>633</v>
      </c>
      <c r="AB19" s="134" t="s">
        <v>634</v>
      </c>
      <c r="AC19" s="134" t="s">
        <v>626</v>
      </c>
      <c r="AD19" s="134" t="s">
        <v>635</v>
      </c>
      <c r="AE19" s="134" t="s">
        <v>628</v>
      </c>
      <c r="AF19" s="134" t="s">
        <v>636</v>
      </c>
      <c r="AG19" s="134" t="s">
        <v>637</v>
      </c>
      <c r="AH19" s="134" t="s">
        <v>638</v>
      </c>
      <c r="AI19" s="134" t="s">
        <v>639</v>
      </c>
      <c r="AJ19" s="134" t="s">
        <v>640</v>
      </c>
      <c r="AK19" s="134" t="s">
        <v>634</v>
      </c>
      <c r="AL19" s="134" t="s">
        <v>641</v>
      </c>
      <c r="AM19" s="134" t="s">
        <v>642</v>
      </c>
      <c r="AN19" s="134" t="s">
        <v>643</v>
      </c>
    </row>
    <row r="20" spans="1:40" ht="23.25" thickBot="1">
      <c r="A20" s="6" t="s">
        <v>644</v>
      </c>
      <c r="B20" s="6">
        <v>0.44</v>
      </c>
      <c r="L20" s="137" t="s">
        <v>645</v>
      </c>
      <c r="M20" s="137" t="s">
        <v>646</v>
      </c>
      <c r="N20" s="135" t="s">
        <v>647</v>
      </c>
      <c r="O20" s="134" t="s">
        <v>648</v>
      </c>
      <c r="P20" s="134" t="s">
        <v>649</v>
      </c>
      <c r="Q20" s="134" t="s">
        <v>650</v>
      </c>
      <c r="R20" s="134" t="s">
        <v>651</v>
      </c>
      <c r="S20" s="134" t="s">
        <v>652</v>
      </c>
      <c r="T20" s="134" t="s">
        <v>653</v>
      </c>
      <c r="U20" s="134" t="s">
        <v>654</v>
      </c>
      <c r="V20" s="134" t="s">
        <v>655</v>
      </c>
      <c r="W20" s="134" t="s">
        <v>656</v>
      </c>
      <c r="X20" s="134" t="s">
        <v>657</v>
      </c>
      <c r="Y20" s="134" t="s">
        <v>658</v>
      </c>
      <c r="Z20" s="134" t="s">
        <v>659</v>
      </c>
      <c r="AA20" s="134" t="s">
        <v>660</v>
      </c>
      <c r="AB20" s="134" t="s">
        <v>661</v>
      </c>
      <c r="AC20" s="134" t="s">
        <v>662</v>
      </c>
      <c r="AD20" s="134" t="s">
        <v>663</v>
      </c>
      <c r="AE20" s="134" t="s">
        <v>664</v>
      </c>
      <c r="AF20" s="134" t="s">
        <v>665</v>
      </c>
      <c r="AG20" s="134" t="s">
        <v>666</v>
      </c>
      <c r="AH20" s="134" t="s">
        <v>667</v>
      </c>
      <c r="AI20" s="134" t="s">
        <v>668</v>
      </c>
      <c r="AJ20" s="134" t="s">
        <v>669</v>
      </c>
      <c r="AK20" s="134" t="s">
        <v>670</v>
      </c>
      <c r="AL20" s="134" t="s">
        <v>671</v>
      </c>
      <c r="AM20" s="134" t="s">
        <v>672</v>
      </c>
      <c r="AN20" s="134" t="s">
        <v>673</v>
      </c>
    </row>
    <row r="21" spans="1:40" ht="15.75" thickBot="1">
      <c r="L21" s="136"/>
      <c r="M21" s="137" t="s">
        <v>526</v>
      </c>
      <c r="N21" s="135" t="s">
        <v>674</v>
      </c>
      <c r="O21" s="134" t="s">
        <v>675</v>
      </c>
      <c r="P21" s="134" t="s">
        <v>676</v>
      </c>
      <c r="Q21" s="134" t="s">
        <v>677</v>
      </c>
      <c r="R21" s="134" t="s">
        <v>678</v>
      </c>
      <c r="S21" s="134" t="s">
        <v>679</v>
      </c>
      <c r="T21" s="134" t="s">
        <v>680</v>
      </c>
      <c r="U21" s="134" t="s">
        <v>681</v>
      </c>
      <c r="V21" s="134" t="s">
        <v>682</v>
      </c>
      <c r="W21" s="134" t="s">
        <v>683</v>
      </c>
      <c r="X21" s="134" t="s">
        <v>684</v>
      </c>
      <c r="Y21" s="134" t="s">
        <v>676</v>
      </c>
      <c r="Z21" s="134" t="s">
        <v>685</v>
      </c>
      <c r="AA21" s="134" t="s">
        <v>686</v>
      </c>
      <c r="AB21" s="134" t="s">
        <v>687</v>
      </c>
      <c r="AC21" s="134" t="s">
        <v>688</v>
      </c>
      <c r="AD21" s="134" t="s">
        <v>681</v>
      </c>
      <c r="AE21" s="134" t="s">
        <v>689</v>
      </c>
      <c r="AF21" s="134" t="s">
        <v>690</v>
      </c>
      <c r="AG21" s="134" t="s">
        <v>691</v>
      </c>
      <c r="AH21" s="134" t="s">
        <v>692</v>
      </c>
      <c r="AI21" s="134" t="s">
        <v>693</v>
      </c>
      <c r="AJ21" s="134" t="s">
        <v>694</v>
      </c>
      <c r="AK21" s="134" t="s">
        <v>695</v>
      </c>
      <c r="AL21" s="134" t="s">
        <v>696</v>
      </c>
      <c r="AM21" s="134" t="s">
        <v>697</v>
      </c>
      <c r="AN21" s="134" t="s">
        <v>698</v>
      </c>
    </row>
    <row r="22" spans="1:40" ht="23.25" thickBot="1">
      <c r="L22" s="136"/>
      <c r="M22" s="137" t="s">
        <v>549</v>
      </c>
      <c r="N22" s="135" t="s">
        <v>699</v>
      </c>
      <c r="O22" s="134" t="s">
        <v>700</v>
      </c>
      <c r="P22" s="134" t="s">
        <v>701</v>
      </c>
      <c r="Q22" s="134" t="s">
        <v>702</v>
      </c>
      <c r="R22" s="134" t="s">
        <v>703</v>
      </c>
      <c r="S22" s="134" t="s">
        <v>704</v>
      </c>
      <c r="T22" s="134" t="s">
        <v>705</v>
      </c>
      <c r="U22" s="134" t="s">
        <v>706</v>
      </c>
      <c r="V22" s="134" t="s">
        <v>707</v>
      </c>
      <c r="W22" s="134" t="s">
        <v>708</v>
      </c>
      <c r="X22" s="134" t="s">
        <v>700</v>
      </c>
      <c r="Y22" s="134" t="s">
        <v>709</v>
      </c>
      <c r="Z22" s="134" t="s">
        <v>710</v>
      </c>
      <c r="AA22" s="134" t="s">
        <v>711</v>
      </c>
      <c r="AB22" s="134" t="s">
        <v>712</v>
      </c>
      <c r="AC22" s="134" t="s">
        <v>713</v>
      </c>
      <c r="AD22" s="134" t="s">
        <v>706</v>
      </c>
      <c r="AE22" s="134" t="s">
        <v>714</v>
      </c>
      <c r="AF22" s="134" t="s">
        <v>715</v>
      </c>
      <c r="AG22" s="134" t="s">
        <v>716</v>
      </c>
      <c r="AH22" s="134" t="s">
        <v>717</v>
      </c>
      <c r="AI22" s="134" t="s">
        <v>718</v>
      </c>
      <c r="AJ22" s="134" t="s">
        <v>719</v>
      </c>
      <c r="AK22" s="134" t="s">
        <v>720</v>
      </c>
      <c r="AL22" s="134" t="s">
        <v>721</v>
      </c>
      <c r="AM22" s="134" t="s">
        <v>722</v>
      </c>
      <c r="AN22" s="134" t="s">
        <v>723</v>
      </c>
    </row>
    <row r="23" spans="1:40" ht="15.75" thickBot="1">
      <c r="L23" s="136"/>
      <c r="M23" s="137" t="s">
        <v>566</v>
      </c>
      <c r="N23" s="135" t="s">
        <v>724</v>
      </c>
      <c r="O23" s="134" t="s">
        <v>725</v>
      </c>
      <c r="P23" s="134" t="s">
        <v>726</v>
      </c>
      <c r="Q23" s="134" t="s">
        <v>727</v>
      </c>
      <c r="R23" s="134" t="s">
        <v>728</v>
      </c>
      <c r="S23" s="134" t="s">
        <v>729</v>
      </c>
      <c r="T23" s="134" t="s">
        <v>730</v>
      </c>
      <c r="U23" s="134" t="s">
        <v>731</v>
      </c>
      <c r="V23" s="134" t="s">
        <v>732</v>
      </c>
      <c r="W23" s="134" t="s">
        <v>733</v>
      </c>
      <c r="X23" s="134" t="s">
        <v>734</v>
      </c>
      <c r="Y23" s="134" t="s">
        <v>735</v>
      </c>
      <c r="Z23" s="134" t="s">
        <v>736</v>
      </c>
      <c r="AA23" s="134" t="s">
        <v>737</v>
      </c>
      <c r="AB23" s="134" t="s">
        <v>738</v>
      </c>
      <c r="AC23" s="134" t="s">
        <v>739</v>
      </c>
      <c r="AD23" s="134" t="s">
        <v>740</v>
      </c>
      <c r="AE23" s="134" t="s">
        <v>741</v>
      </c>
      <c r="AF23" s="134" t="s">
        <v>742</v>
      </c>
      <c r="AG23" s="134" t="s">
        <v>743</v>
      </c>
      <c r="AH23" s="134" t="s">
        <v>744</v>
      </c>
      <c r="AI23" s="134" t="s">
        <v>745</v>
      </c>
      <c r="AJ23" s="134" t="s">
        <v>746</v>
      </c>
      <c r="AK23" s="134" t="s">
        <v>747</v>
      </c>
      <c r="AL23" s="134" t="s">
        <v>748</v>
      </c>
      <c r="AM23" s="134" t="s">
        <v>749</v>
      </c>
      <c r="AN23" s="134" t="s">
        <v>750</v>
      </c>
    </row>
    <row r="24" spans="1:40" ht="15.75" thickBot="1">
      <c r="L24" s="136"/>
      <c r="M24" s="137" t="s">
        <v>585</v>
      </c>
      <c r="N24" s="135" t="s">
        <v>751</v>
      </c>
      <c r="O24" s="134" t="s">
        <v>752</v>
      </c>
      <c r="P24" s="134" t="s">
        <v>753</v>
      </c>
      <c r="Q24" s="134" t="s">
        <v>754</v>
      </c>
      <c r="R24" s="134" t="s">
        <v>755</v>
      </c>
      <c r="S24" s="134" t="s">
        <v>756</v>
      </c>
      <c r="T24" s="134" t="s">
        <v>757</v>
      </c>
      <c r="U24" s="134" t="s">
        <v>758</v>
      </c>
      <c r="V24" s="134" t="s">
        <v>759</v>
      </c>
      <c r="W24" s="134" t="s">
        <v>760</v>
      </c>
      <c r="X24" s="134" t="s">
        <v>761</v>
      </c>
      <c r="Y24" s="134" t="s">
        <v>762</v>
      </c>
      <c r="Z24" s="134" t="s">
        <v>763</v>
      </c>
      <c r="AA24" s="134" t="s">
        <v>764</v>
      </c>
      <c r="AB24" s="134" t="s">
        <v>765</v>
      </c>
      <c r="AC24" s="134" t="s">
        <v>766</v>
      </c>
      <c r="AD24" s="134" t="s">
        <v>767</v>
      </c>
      <c r="AE24" s="134" t="s">
        <v>768</v>
      </c>
      <c r="AF24" s="134" t="s">
        <v>769</v>
      </c>
      <c r="AG24" s="134" t="s">
        <v>761</v>
      </c>
      <c r="AH24" s="134" t="s">
        <v>770</v>
      </c>
      <c r="AI24" s="134" t="s">
        <v>771</v>
      </c>
      <c r="AJ24" s="134" t="s">
        <v>764</v>
      </c>
      <c r="AK24" s="134" t="s">
        <v>772</v>
      </c>
      <c r="AL24" s="134" t="s">
        <v>773</v>
      </c>
      <c r="AM24" s="134" t="s">
        <v>774</v>
      </c>
      <c r="AN24" s="134" t="s">
        <v>775</v>
      </c>
    </row>
    <row r="25" spans="1:40" ht="15.75" thickBot="1">
      <c r="L25" s="136"/>
      <c r="M25" s="137" t="s">
        <v>597</v>
      </c>
      <c r="N25" s="135" t="s">
        <v>776</v>
      </c>
      <c r="O25" s="134" t="s">
        <v>777</v>
      </c>
      <c r="P25" s="134" t="s">
        <v>778</v>
      </c>
      <c r="Q25" s="134" t="s">
        <v>779</v>
      </c>
      <c r="R25" s="134" t="s">
        <v>780</v>
      </c>
      <c r="S25" s="134" t="s">
        <v>781</v>
      </c>
      <c r="T25" s="134" t="s">
        <v>782</v>
      </c>
      <c r="U25" s="134" t="s">
        <v>783</v>
      </c>
      <c r="V25" s="134" t="s">
        <v>784</v>
      </c>
      <c r="W25" s="134" t="s">
        <v>785</v>
      </c>
      <c r="X25" s="134" t="s">
        <v>786</v>
      </c>
      <c r="Y25" s="134" t="s">
        <v>787</v>
      </c>
      <c r="Z25" s="134" t="s">
        <v>788</v>
      </c>
      <c r="AA25" s="134" t="s">
        <v>789</v>
      </c>
      <c r="AB25" s="134" t="s">
        <v>790</v>
      </c>
      <c r="AC25" s="134" t="s">
        <v>791</v>
      </c>
      <c r="AD25" s="134" t="s">
        <v>792</v>
      </c>
      <c r="AE25" s="134" t="s">
        <v>793</v>
      </c>
      <c r="AF25" s="134" t="s">
        <v>794</v>
      </c>
      <c r="AG25" s="134" t="s">
        <v>795</v>
      </c>
      <c r="AH25" s="134" t="s">
        <v>796</v>
      </c>
      <c r="AI25" s="134" t="s">
        <v>797</v>
      </c>
      <c r="AJ25" s="134" t="s">
        <v>798</v>
      </c>
      <c r="AK25" s="134" t="s">
        <v>799</v>
      </c>
      <c r="AL25" s="134" t="s">
        <v>800</v>
      </c>
      <c r="AM25" s="134" t="s">
        <v>801</v>
      </c>
      <c r="AN25" s="134" t="s">
        <v>802</v>
      </c>
    </row>
    <row r="26" spans="1:40" ht="15.75" thickBot="1">
      <c r="L26" s="138"/>
      <c r="M26" s="139" t="s">
        <v>619</v>
      </c>
      <c r="N26" s="135" t="s">
        <v>803</v>
      </c>
      <c r="O26" s="134" t="s">
        <v>804</v>
      </c>
      <c r="P26" s="134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</sheetData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topLeftCell="A4" workbookViewId="0"/>
  </sheetViews>
  <sheetFormatPr defaultColWidth="9" defaultRowHeight="12.75"/>
  <cols>
    <col min="1" max="1" width="7.85546875" style="20" customWidth="1"/>
    <col min="2" max="2" width="9.42578125" style="20" customWidth="1"/>
    <col min="3" max="4" width="9.140625" style="20" bestFit="1" customWidth="1"/>
    <col min="5" max="5" width="9.85546875" style="20" bestFit="1" customWidth="1"/>
    <col min="6" max="6" width="8.4257812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8515625" style="20" customWidth="1"/>
    <col min="13" max="14" width="9.140625" style="20" bestFit="1" customWidth="1"/>
    <col min="15" max="15" width="9.85546875" style="20" bestFit="1" customWidth="1"/>
    <col min="16" max="16" width="8.42578125" style="20" bestFit="1" customWidth="1"/>
    <col min="17" max="17" width="16.42578125" style="20" bestFit="1" customWidth="1"/>
    <col min="18" max="16384" width="9" style="20"/>
  </cols>
  <sheetData>
    <row r="1" spans="1:18">
      <c r="D1" s="20" t="s">
        <v>49</v>
      </c>
      <c r="E1" s="20" t="s">
        <v>852</v>
      </c>
      <c r="F1" s="20" t="s">
        <v>805</v>
      </c>
      <c r="H1" s="20" t="s">
        <v>54</v>
      </c>
    </row>
    <row r="2" spans="1:18">
      <c r="A2" s="153" t="s">
        <v>853</v>
      </c>
      <c r="B2" s="141" t="s">
        <v>854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</row>
    <row r="3" spans="1:18">
      <c r="A3" s="154" t="s">
        <v>806</v>
      </c>
      <c r="B3" s="155" t="s">
        <v>72</v>
      </c>
      <c r="C3" s="156"/>
      <c r="D3" s="156"/>
      <c r="E3" s="156"/>
      <c r="F3" s="157"/>
      <c r="G3" s="155" t="s">
        <v>807</v>
      </c>
      <c r="H3" s="156"/>
      <c r="I3" s="156"/>
      <c r="J3" s="156"/>
      <c r="K3" s="157"/>
      <c r="L3" s="155" t="s">
        <v>808</v>
      </c>
      <c r="M3" s="156"/>
      <c r="N3" s="156"/>
      <c r="O3" s="156"/>
      <c r="P3" s="157"/>
    </row>
    <row r="4" spans="1:18">
      <c r="A4" s="154" t="s">
        <v>809</v>
      </c>
      <c r="B4" s="154" t="s">
        <v>79</v>
      </c>
      <c r="C4" s="154" t="s">
        <v>810</v>
      </c>
      <c r="D4" s="154" t="s">
        <v>811</v>
      </c>
      <c r="E4" s="154" t="s">
        <v>812</v>
      </c>
      <c r="F4" s="154" t="s">
        <v>813</v>
      </c>
      <c r="G4" s="154" t="s">
        <v>79</v>
      </c>
      <c r="H4" s="154" t="s">
        <v>810</v>
      </c>
      <c r="I4" s="154" t="s">
        <v>811</v>
      </c>
      <c r="J4" s="154" t="s">
        <v>812</v>
      </c>
      <c r="K4" s="154" t="s">
        <v>813</v>
      </c>
      <c r="L4" s="154" t="s">
        <v>79</v>
      </c>
      <c r="M4" s="154" t="s">
        <v>810</v>
      </c>
      <c r="N4" s="154" t="s">
        <v>811</v>
      </c>
      <c r="O4" s="154" t="s">
        <v>812</v>
      </c>
      <c r="P4" s="154" t="s">
        <v>813</v>
      </c>
    </row>
    <row r="5" spans="1:18">
      <c r="A5" s="158" t="s">
        <v>55</v>
      </c>
      <c r="B5" s="159">
        <v>459002</v>
      </c>
      <c r="C5" s="160">
        <v>20003</v>
      </c>
      <c r="D5" s="160">
        <v>144907</v>
      </c>
      <c r="E5" s="160">
        <v>260786</v>
      </c>
      <c r="F5" s="160">
        <v>33306</v>
      </c>
      <c r="G5" s="160">
        <v>4554</v>
      </c>
      <c r="H5" s="160">
        <v>329</v>
      </c>
      <c r="I5" s="160">
        <v>942</v>
      </c>
      <c r="J5" s="160">
        <v>3125</v>
      </c>
      <c r="K5" s="160">
        <v>158</v>
      </c>
      <c r="L5" s="160">
        <v>454448</v>
      </c>
      <c r="M5" s="160">
        <v>19674</v>
      </c>
      <c r="N5" s="160">
        <v>143965</v>
      </c>
      <c r="O5" s="160">
        <v>257661</v>
      </c>
      <c r="P5" s="160">
        <v>33148</v>
      </c>
      <c r="Q5" s="36"/>
      <c r="R5" s="36"/>
    </row>
    <row r="6" spans="1:18">
      <c r="A6" s="158" t="s">
        <v>56</v>
      </c>
      <c r="B6" s="159">
        <v>136158</v>
      </c>
      <c r="C6" s="160">
        <v>6197</v>
      </c>
      <c r="D6" s="160">
        <v>36920</v>
      </c>
      <c r="E6" s="160">
        <v>84750</v>
      </c>
      <c r="F6" s="160">
        <v>8291</v>
      </c>
      <c r="G6" s="160">
        <v>1376</v>
      </c>
      <c r="H6" s="160">
        <v>144</v>
      </c>
      <c r="I6" s="160">
        <v>149</v>
      </c>
      <c r="J6" s="160">
        <v>1038</v>
      </c>
      <c r="K6" s="160">
        <v>45</v>
      </c>
      <c r="L6" s="160">
        <v>134782</v>
      </c>
      <c r="M6" s="160">
        <v>6053</v>
      </c>
      <c r="N6" s="160">
        <v>36771</v>
      </c>
      <c r="O6" s="160">
        <v>83712</v>
      </c>
      <c r="P6" s="160">
        <v>8246</v>
      </c>
      <c r="Q6" s="36"/>
      <c r="R6" s="36"/>
    </row>
    <row r="7" spans="1:18">
      <c r="A7" s="158" t="s">
        <v>57</v>
      </c>
      <c r="B7" s="159">
        <v>137000</v>
      </c>
      <c r="C7" s="160">
        <v>10429</v>
      </c>
      <c r="D7" s="160">
        <v>57996</v>
      </c>
      <c r="E7" s="160">
        <v>62190</v>
      </c>
      <c r="F7" s="160">
        <v>6385</v>
      </c>
      <c r="G7" s="160">
        <v>1212</v>
      </c>
      <c r="H7" s="160">
        <v>173</v>
      </c>
      <c r="I7" s="160">
        <v>202</v>
      </c>
      <c r="J7" s="160">
        <v>803</v>
      </c>
      <c r="K7" s="160">
        <v>34</v>
      </c>
      <c r="L7" s="160">
        <v>135788</v>
      </c>
      <c r="M7" s="160">
        <v>10256</v>
      </c>
      <c r="N7" s="160">
        <v>57794</v>
      </c>
      <c r="O7" s="160">
        <v>61387</v>
      </c>
      <c r="P7" s="160">
        <v>6351</v>
      </c>
      <c r="Q7" s="36"/>
      <c r="R7" s="36"/>
    </row>
    <row r="8" spans="1:18">
      <c r="A8" s="158" t="s">
        <v>58</v>
      </c>
      <c r="B8" s="159">
        <v>79420</v>
      </c>
      <c r="C8" s="160">
        <v>3996</v>
      </c>
      <c r="D8" s="160">
        <v>29465</v>
      </c>
      <c r="E8" s="160">
        <v>40059</v>
      </c>
      <c r="F8" s="160">
        <v>5900</v>
      </c>
      <c r="G8" s="160">
        <v>1006</v>
      </c>
      <c r="H8" s="160">
        <v>13</v>
      </c>
      <c r="I8" s="160">
        <v>192</v>
      </c>
      <c r="J8" s="160">
        <v>767</v>
      </c>
      <c r="K8" s="160">
        <v>34</v>
      </c>
      <c r="L8" s="160">
        <v>78414</v>
      </c>
      <c r="M8" s="160">
        <v>3983</v>
      </c>
      <c r="N8" s="160">
        <v>29273</v>
      </c>
      <c r="O8" s="160">
        <v>39292</v>
      </c>
      <c r="P8" s="160">
        <v>5866</v>
      </c>
      <c r="Q8" s="36"/>
      <c r="R8" s="36"/>
    </row>
    <row r="9" spans="1:18">
      <c r="A9" s="158" t="s">
        <v>59</v>
      </c>
      <c r="B9" s="159">
        <v>40782</v>
      </c>
      <c r="C9" s="160">
        <v>1974</v>
      </c>
      <c r="D9" s="160">
        <v>15885</v>
      </c>
      <c r="E9" s="160">
        <v>20761</v>
      </c>
      <c r="F9" s="160">
        <v>2162</v>
      </c>
      <c r="G9" s="160">
        <v>496</v>
      </c>
      <c r="H9" s="160">
        <v>20</v>
      </c>
      <c r="I9" s="160">
        <v>50</v>
      </c>
      <c r="J9" s="160">
        <v>416</v>
      </c>
      <c r="K9" s="160">
        <v>10</v>
      </c>
      <c r="L9" s="160">
        <v>40286</v>
      </c>
      <c r="M9" s="160">
        <v>1954</v>
      </c>
      <c r="N9" s="160">
        <v>15835</v>
      </c>
      <c r="O9" s="160">
        <v>20345</v>
      </c>
      <c r="P9" s="160">
        <v>2152</v>
      </c>
      <c r="Q9" s="36"/>
      <c r="R9" s="36"/>
    </row>
    <row r="10" spans="1:18">
      <c r="A10" s="158" t="s">
        <v>60</v>
      </c>
      <c r="B10" s="159">
        <v>39242</v>
      </c>
      <c r="C10" s="160">
        <v>3605</v>
      </c>
      <c r="D10" s="160">
        <v>11428</v>
      </c>
      <c r="E10" s="160">
        <v>20900</v>
      </c>
      <c r="F10" s="160">
        <v>3309</v>
      </c>
      <c r="G10" s="160">
        <v>491</v>
      </c>
      <c r="H10" s="160">
        <v>33</v>
      </c>
      <c r="I10" s="160">
        <v>66</v>
      </c>
      <c r="J10" s="160">
        <v>381</v>
      </c>
      <c r="K10" s="160">
        <v>11</v>
      </c>
      <c r="L10" s="160">
        <v>38751</v>
      </c>
      <c r="M10" s="160">
        <v>3572</v>
      </c>
      <c r="N10" s="160">
        <v>11362</v>
      </c>
      <c r="O10" s="160">
        <v>20519</v>
      </c>
      <c r="P10" s="160">
        <v>3298</v>
      </c>
      <c r="Q10" s="36"/>
      <c r="R10" s="36"/>
    </row>
    <row r="11" spans="1:18">
      <c r="A11" s="158" t="s">
        <v>61</v>
      </c>
      <c r="B11" s="159">
        <v>64499</v>
      </c>
      <c r="C11" s="160">
        <v>3635</v>
      </c>
      <c r="D11" s="160">
        <v>12054</v>
      </c>
      <c r="E11" s="160">
        <v>45559</v>
      </c>
      <c r="F11" s="160">
        <v>3251</v>
      </c>
      <c r="G11" s="160">
        <v>471</v>
      </c>
      <c r="H11" s="160">
        <v>99</v>
      </c>
      <c r="I11" s="160">
        <v>49</v>
      </c>
      <c r="J11" s="160">
        <v>312</v>
      </c>
      <c r="K11" s="160">
        <v>11</v>
      </c>
      <c r="L11" s="160">
        <v>64028</v>
      </c>
      <c r="M11" s="160">
        <v>3536</v>
      </c>
      <c r="N11" s="160">
        <v>12005</v>
      </c>
      <c r="O11" s="160">
        <v>45247</v>
      </c>
      <c r="P11" s="160">
        <v>3240</v>
      </c>
      <c r="Q11" s="36"/>
      <c r="R11" s="36"/>
    </row>
    <row r="12" spans="1:18">
      <c r="A12" s="158" t="s">
        <v>814</v>
      </c>
      <c r="B12" s="159">
        <v>11667</v>
      </c>
      <c r="C12" s="160">
        <v>776</v>
      </c>
      <c r="D12" s="160">
        <v>5323</v>
      </c>
      <c r="E12" s="160">
        <v>4847</v>
      </c>
      <c r="F12" s="160">
        <v>721</v>
      </c>
      <c r="G12" s="160">
        <v>128</v>
      </c>
      <c r="H12" s="160">
        <v>7</v>
      </c>
      <c r="I12" s="160">
        <v>10</v>
      </c>
      <c r="J12" s="160">
        <v>105</v>
      </c>
      <c r="K12" s="160">
        <v>6</v>
      </c>
      <c r="L12" s="160">
        <v>11539</v>
      </c>
      <c r="M12" s="160">
        <v>769</v>
      </c>
      <c r="N12" s="160">
        <v>5313</v>
      </c>
      <c r="O12" s="160">
        <v>4742</v>
      </c>
      <c r="P12" s="160">
        <v>715</v>
      </c>
      <c r="Q12" s="36"/>
      <c r="R12" s="36"/>
    </row>
    <row r="13" spans="1:18">
      <c r="A13" s="158" t="s">
        <v>63</v>
      </c>
      <c r="B13" s="159">
        <v>417370</v>
      </c>
      <c r="C13" s="160">
        <v>19455</v>
      </c>
      <c r="D13" s="160">
        <v>153490</v>
      </c>
      <c r="E13" s="160">
        <v>210862</v>
      </c>
      <c r="F13" s="160">
        <v>33563</v>
      </c>
      <c r="G13" s="160">
        <v>4891</v>
      </c>
      <c r="H13" s="160">
        <v>172</v>
      </c>
      <c r="I13" s="160">
        <v>1000</v>
      </c>
      <c r="J13" s="160">
        <v>3595</v>
      </c>
      <c r="K13" s="160">
        <v>124</v>
      </c>
      <c r="L13" s="160">
        <v>412479</v>
      </c>
      <c r="M13" s="160">
        <v>19283</v>
      </c>
      <c r="N13" s="160">
        <v>152490</v>
      </c>
      <c r="O13" s="160">
        <v>207267</v>
      </c>
      <c r="P13" s="160">
        <v>33439</v>
      </c>
      <c r="Q13" s="36"/>
      <c r="R13" s="36"/>
    </row>
    <row r="14" spans="1:18">
      <c r="A14" s="158" t="s">
        <v>64</v>
      </c>
      <c r="B14" s="159">
        <v>66937</v>
      </c>
      <c r="C14" s="160">
        <v>5621</v>
      </c>
      <c r="D14" s="160">
        <v>24548</v>
      </c>
      <c r="E14" s="160">
        <v>32935</v>
      </c>
      <c r="F14" s="160">
        <v>3833</v>
      </c>
      <c r="G14" s="160">
        <v>955</v>
      </c>
      <c r="H14" s="160">
        <v>55</v>
      </c>
      <c r="I14" s="160">
        <v>55</v>
      </c>
      <c r="J14" s="160">
        <v>808</v>
      </c>
      <c r="K14" s="160">
        <v>37</v>
      </c>
      <c r="L14" s="160">
        <v>65982</v>
      </c>
      <c r="M14" s="160">
        <v>5566</v>
      </c>
      <c r="N14" s="160">
        <v>24493</v>
      </c>
      <c r="O14" s="160">
        <v>32127</v>
      </c>
      <c r="P14" s="160">
        <v>3796</v>
      </c>
      <c r="Q14" s="36"/>
      <c r="R14" s="36"/>
    </row>
    <row r="15" spans="1:18">
      <c r="A15" s="158" t="s">
        <v>65</v>
      </c>
      <c r="B15" s="159">
        <v>92408</v>
      </c>
      <c r="C15" s="160">
        <v>6993</v>
      </c>
      <c r="D15" s="160">
        <v>40721</v>
      </c>
      <c r="E15" s="160">
        <v>40588</v>
      </c>
      <c r="F15" s="160">
        <v>4106</v>
      </c>
      <c r="G15" s="160">
        <v>1220</v>
      </c>
      <c r="H15" s="160">
        <v>73</v>
      </c>
      <c r="I15" s="160">
        <v>269</v>
      </c>
      <c r="J15" s="160">
        <v>843</v>
      </c>
      <c r="K15" s="160">
        <v>35</v>
      </c>
      <c r="L15" s="160">
        <v>91188</v>
      </c>
      <c r="M15" s="160">
        <v>6920</v>
      </c>
      <c r="N15" s="160">
        <v>40452</v>
      </c>
      <c r="O15" s="160">
        <v>39745</v>
      </c>
      <c r="P15" s="160">
        <v>4071</v>
      </c>
      <c r="Q15" s="36"/>
      <c r="R15" s="36"/>
    </row>
    <row r="16" spans="1:18">
      <c r="A16" s="158" t="s">
        <v>66</v>
      </c>
      <c r="B16" s="159">
        <v>136965</v>
      </c>
      <c r="C16" s="160">
        <v>9184</v>
      </c>
      <c r="D16" s="160">
        <v>64801</v>
      </c>
      <c r="E16" s="160">
        <v>57567</v>
      </c>
      <c r="F16" s="160">
        <v>5413</v>
      </c>
      <c r="G16" s="160">
        <v>1816</v>
      </c>
      <c r="H16" s="160">
        <v>194</v>
      </c>
      <c r="I16" s="160">
        <v>448</v>
      </c>
      <c r="J16" s="160">
        <v>1138</v>
      </c>
      <c r="K16" s="160">
        <v>36</v>
      </c>
      <c r="L16" s="160">
        <v>135149</v>
      </c>
      <c r="M16" s="160">
        <v>8990</v>
      </c>
      <c r="N16" s="160">
        <v>64353</v>
      </c>
      <c r="O16" s="160">
        <v>56429</v>
      </c>
      <c r="P16" s="160">
        <v>5377</v>
      </c>
      <c r="Q16" s="36"/>
      <c r="R16" s="36"/>
    </row>
    <row r="17" spans="1:18">
      <c r="A17" s="158" t="s">
        <v>67</v>
      </c>
      <c r="B17" s="159">
        <v>100541</v>
      </c>
      <c r="C17" s="160">
        <v>7029</v>
      </c>
      <c r="D17" s="160">
        <v>49980</v>
      </c>
      <c r="E17" s="160">
        <v>40478</v>
      </c>
      <c r="F17" s="160">
        <v>3054</v>
      </c>
      <c r="G17" s="160">
        <v>1355</v>
      </c>
      <c r="H17" s="160">
        <v>90</v>
      </c>
      <c r="I17" s="160">
        <v>303</v>
      </c>
      <c r="J17" s="160">
        <v>935</v>
      </c>
      <c r="K17" s="160">
        <v>27</v>
      </c>
      <c r="L17" s="160">
        <v>99186</v>
      </c>
      <c r="M17" s="160">
        <v>6939</v>
      </c>
      <c r="N17" s="160">
        <v>49677</v>
      </c>
      <c r="O17" s="160">
        <v>39543</v>
      </c>
      <c r="P17" s="160">
        <v>3027</v>
      </c>
      <c r="Q17" s="36"/>
      <c r="R17" s="36"/>
    </row>
    <row r="18" spans="1:18">
      <c r="A18" s="158" t="s">
        <v>68</v>
      </c>
      <c r="B18" s="159">
        <v>119183</v>
      </c>
      <c r="C18" s="160">
        <v>7735</v>
      </c>
      <c r="D18" s="160">
        <v>59264</v>
      </c>
      <c r="E18" s="160">
        <v>48995</v>
      </c>
      <c r="F18" s="160">
        <v>3189</v>
      </c>
      <c r="G18" s="160">
        <v>2066</v>
      </c>
      <c r="H18" s="160">
        <v>129</v>
      </c>
      <c r="I18" s="160">
        <v>618</v>
      </c>
      <c r="J18" s="160">
        <v>1279</v>
      </c>
      <c r="K18" s="160">
        <v>40</v>
      </c>
      <c r="L18" s="160">
        <v>117117</v>
      </c>
      <c r="M18" s="160">
        <v>7606</v>
      </c>
      <c r="N18" s="160">
        <v>58646</v>
      </c>
      <c r="O18" s="160">
        <v>47716</v>
      </c>
      <c r="P18" s="160">
        <v>3149</v>
      </c>
      <c r="Q18" s="36"/>
      <c r="R18" s="36"/>
    </row>
    <row r="19" spans="1:18">
      <c r="A19" s="158" t="s">
        <v>69</v>
      </c>
      <c r="B19" s="159">
        <v>189150</v>
      </c>
      <c r="C19" s="160">
        <v>15420</v>
      </c>
      <c r="D19" s="160">
        <v>86281</v>
      </c>
      <c r="E19" s="160">
        <v>80983</v>
      </c>
      <c r="F19" s="160">
        <v>6466</v>
      </c>
      <c r="G19" s="160">
        <v>2124</v>
      </c>
      <c r="H19" s="160">
        <v>124</v>
      </c>
      <c r="I19" s="160">
        <v>504</v>
      </c>
      <c r="J19" s="160">
        <v>1436</v>
      </c>
      <c r="K19" s="160">
        <v>60</v>
      </c>
      <c r="L19" s="160">
        <v>187026</v>
      </c>
      <c r="M19" s="160">
        <v>15296</v>
      </c>
      <c r="N19" s="160">
        <v>85777</v>
      </c>
      <c r="O19" s="160">
        <v>79547</v>
      </c>
      <c r="P19" s="160">
        <v>6406</v>
      </c>
      <c r="Q19" s="36"/>
      <c r="R19" s="36"/>
    </row>
    <row r="20" spans="1:18">
      <c r="A20" s="158" t="s">
        <v>70</v>
      </c>
      <c r="B20" s="159">
        <v>165512</v>
      </c>
      <c r="C20" s="160">
        <v>11305</v>
      </c>
      <c r="D20" s="160">
        <v>58936</v>
      </c>
      <c r="E20" s="160">
        <v>87506</v>
      </c>
      <c r="F20" s="160">
        <v>7765</v>
      </c>
      <c r="G20" s="160">
        <v>2144</v>
      </c>
      <c r="H20" s="160">
        <v>147</v>
      </c>
      <c r="I20" s="160">
        <v>409</v>
      </c>
      <c r="J20" s="160">
        <v>1552</v>
      </c>
      <c r="K20" s="160">
        <v>36</v>
      </c>
      <c r="L20" s="160">
        <v>163368</v>
      </c>
      <c r="M20" s="160">
        <v>11158</v>
      </c>
      <c r="N20" s="160">
        <v>58527</v>
      </c>
      <c r="O20" s="160">
        <v>85954</v>
      </c>
      <c r="P20" s="160">
        <v>7729</v>
      </c>
      <c r="Q20" s="36"/>
      <c r="R20" s="36"/>
    </row>
    <row r="21" spans="1:18" ht="13.5" thickBot="1">
      <c r="A21" s="161" t="s">
        <v>71</v>
      </c>
      <c r="B21" s="162">
        <v>33173</v>
      </c>
      <c r="C21" s="163">
        <v>6923</v>
      </c>
      <c r="D21" s="163">
        <v>10642</v>
      </c>
      <c r="E21" s="163">
        <v>14038</v>
      </c>
      <c r="F21" s="163">
        <v>1570</v>
      </c>
      <c r="G21" s="163">
        <v>505</v>
      </c>
      <c r="H21" s="163">
        <v>139</v>
      </c>
      <c r="I21" s="163">
        <v>76</v>
      </c>
      <c r="J21" s="163">
        <v>266</v>
      </c>
      <c r="K21" s="163">
        <v>24</v>
      </c>
      <c r="L21" s="163">
        <v>32668</v>
      </c>
      <c r="M21" s="163">
        <v>6784</v>
      </c>
      <c r="N21" s="163">
        <v>10566</v>
      </c>
      <c r="O21" s="163">
        <v>13772</v>
      </c>
      <c r="P21" s="163">
        <v>1546</v>
      </c>
      <c r="Q21" s="36"/>
      <c r="R21" s="36"/>
    </row>
    <row r="22" spans="1:18" ht="13.5" thickBot="1">
      <c r="A22" s="164" t="s">
        <v>87</v>
      </c>
      <c r="B22" s="165">
        <v>2289009</v>
      </c>
      <c r="C22" s="166">
        <v>140280</v>
      </c>
      <c r="D22" s="166">
        <v>862641</v>
      </c>
      <c r="E22" s="166">
        <v>1153804</v>
      </c>
      <c r="F22" s="166">
        <v>132284</v>
      </c>
      <c r="G22" s="166">
        <v>26810</v>
      </c>
      <c r="H22" s="166">
        <v>1941</v>
      </c>
      <c r="I22" s="166">
        <v>5342</v>
      </c>
      <c r="J22" s="166">
        <v>18799</v>
      </c>
      <c r="K22" s="166">
        <v>728</v>
      </c>
      <c r="L22" s="166">
        <v>2262199</v>
      </c>
      <c r="M22" s="166">
        <v>138339</v>
      </c>
      <c r="N22" s="166">
        <v>857299</v>
      </c>
      <c r="O22" s="166">
        <v>1135005</v>
      </c>
      <c r="P22" s="166">
        <v>131556</v>
      </c>
      <c r="Q22" s="36"/>
      <c r="R22" s="36"/>
    </row>
    <row r="24" spans="1:18">
      <c r="A24" s="167" t="s">
        <v>855</v>
      </c>
    </row>
    <row r="25" spans="1:18">
      <c r="A25" s="167" t="s">
        <v>856</v>
      </c>
    </row>
    <row r="26" spans="1:18" ht="13.5" thickBot="1">
      <c r="R26" s="36"/>
    </row>
    <row r="27" spans="1:18">
      <c r="B27" s="118" t="s">
        <v>815</v>
      </c>
      <c r="C27" s="119"/>
      <c r="D27" s="120"/>
      <c r="F27" s="38"/>
      <c r="R27" s="36"/>
    </row>
    <row r="28" spans="1:18">
      <c r="B28" s="121" t="s">
        <v>816</v>
      </c>
      <c r="C28" s="20" t="s">
        <v>245</v>
      </c>
      <c r="D28" s="124">
        <f>SUM(D22:E22)</f>
        <v>2016445</v>
      </c>
      <c r="R28" s="36"/>
    </row>
    <row r="29" spans="1:18" ht="13.5" thickBot="1">
      <c r="B29" s="122" t="s">
        <v>817</v>
      </c>
      <c r="C29" s="123" t="s">
        <v>242</v>
      </c>
      <c r="D29" s="125">
        <f>SUM(C22,F22)</f>
        <v>272564</v>
      </c>
      <c r="R29" s="36"/>
    </row>
    <row r="30" spans="1:18">
      <c r="R30" s="36"/>
    </row>
    <row r="31" spans="1:18">
      <c r="A31" s="37" t="s">
        <v>38</v>
      </c>
      <c r="R31" s="36"/>
    </row>
    <row r="32" spans="1:18">
      <c r="A32" s="20" t="s">
        <v>818</v>
      </c>
      <c r="R32" s="36"/>
    </row>
    <row r="33" spans="1:18">
      <c r="A33" s="20" t="s">
        <v>819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L58"/>
  <sheetViews>
    <sheetView workbookViewId="0"/>
  </sheetViews>
  <sheetFormatPr defaultColWidth="9" defaultRowHeight="15"/>
  <cols>
    <col min="1" max="1" width="15.140625" style="6" customWidth="1"/>
    <col min="2" max="2" width="16.85546875" style="6" customWidth="1"/>
    <col min="3" max="3" width="18.42578125" style="6" bestFit="1" customWidth="1"/>
    <col min="4" max="4" width="16.7109375" style="6" bestFit="1" customWidth="1"/>
    <col min="5" max="5" width="16.28515625" style="6" bestFit="1" customWidth="1"/>
    <col min="6" max="7" width="16.7109375" style="6" bestFit="1" customWidth="1"/>
    <col min="8" max="8" width="14.7109375" style="6" customWidth="1"/>
    <col min="9" max="16384" width="9" style="6"/>
  </cols>
  <sheetData>
    <row r="2" spans="1:11">
      <c r="A2" s="13"/>
    </row>
    <row r="3" spans="1:11">
      <c r="A3" s="13" t="s">
        <v>820</v>
      </c>
      <c r="B3" s="126" t="s">
        <v>242</v>
      </c>
      <c r="C3" s="50" t="s">
        <v>821</v>
      </c>
      <c r="D3" s="50" t="s">
        <v>231</v>
      </c>
      <c r="E3" s="50" t="s">
        <v>232</v>
      </c>
      <c r="F3" s="50" t="s">
        <v>233</v>
      </c>
      <c r="G3" s="50" t="s">
        <v>234</v>
      </c>
      <c r="H3" s="50" t="s">
        <v>235</v>
      </c>
      <c r="I3" s="50" t="s">
        <v>236</v>
      </c>
      <c r="J3" s="50" t="s">
        <v>444</v>
      </c>
    </row>
    <row r="4" spans="1:11">
      <c r="A4" s="13" t="s">
        <v>1008</v>
      </c>
      <c r="B4" s="13" t="s">
        <v>822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A5" s="6" t="s">
        <v>1009</v>
      </c>
      <c r="B5" s="13" t="s">
        <v>823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245</v>
      </c>
      <c r="C7" s="50" t="s">
        <v>821</v>
      </c>
      <c r="D7" s="50" t="s">
        <v>231</v>
      </c>
      <c r="E7" s="50" t="s">
        <v>232</v>
      </c>
      <c r="F7" s="50" t="s">
        <v>233</v>
      </c>
      <c r="G7" s="50" t="s">
        <v>234</v>
      </c>
      <c r="H7" s="50" t="s">
        <v>235</v>
      </c>
      <c r="I7" s="50" t="s">
        <v>236</v>
      </c>
      <c r="J7" s="50" t="s">
        <v>444</v>
      </c>
    </row>
    <row r="8" spans="1:11">
      <c r="A8" s="6" t="s">
        <v>1008</v>
      </c>
      <c r="B8" s="13" t="s">
        <v>822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A9" s="6" t="s">
        <v>1009</v>
      </c>
      <c r="B9" s="13" t="s">
        <v>823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38</v>
      </c>
    </row>
    <row r="12" spans="1:11">
      <c r="A12" s="6" t="s">
        <v>824</v>
      </c>
      <c r="F12" s="6" t="s">
        <v>1005</v>
      </c>
    </row>
    <row r="13" spans="1:11">
      <c r="A13" s="6" t="s">
        <v>825</v>
      </c>
      <c r="F13" s="6" t="s">
        <v>1006</v>
      </c>
    </row>
    <row r="14" spans="1:11">
      <c r="A14" s="127" t="s">
        <v>826</v>
      </c>
      <c r="F14" s="6" t="s">
        <v>1007</v>
      </c>
    </row>
    <row r="17" spans="1:12">
      <c r="A17" s="13" t="s">
        <v>827</v>
      </c>
      <c r="B17" s="6" t="s">
        <v>828</v>
      </c>
      <c r="C17" s="6" t="s">
        <v>1004</v>
      </c>
      <c r="J17" s="56" t="s">
        <v>829</v>
      </c>
    </row>
    <row r="18" spans="1:12">
      <c r="A18" s="185" t="s">
        <v>1139</v>
      </c>
      <c r="B18" s="185" t="s">
        <v>1140</v>
      </c>
      <c r="J18" s="56"/>
    </row>
    <row r="19" spans="1:12">
      <c r="A19" s="41" t="s">
        <v>1120</v>
      </c>
      <c r="B19" s="41" t="s">
        <v>1121</v>
      </c>
      <c r="C19" s="41" t="s">
        <v>1122</v>
      </c>
      <c r="D19" s="182" t="s">
        <v>1123</v>
      </c>
      <c r="E19" s="53" t="s">
        <v>1151</v>
      </c>
      <c r="F19" s="186" t="s">
        <v>1141</v>
      </c>
      <c r="G19" s="56"/>
      <c r="J19" s="54">
        <v>2020</v>
      </c>
      <c r="K19" s="54" t="s">
        <v>830</v>
      </c>
      <c r="L19" s="54" t="s">
        <v>831</v>
      </c>
    </row>
    <row r="20" spans="1:12">
      <c r="A20" s="188" t="s">
        <v>1124</v>
      </c>
      <c r="B20" s="188" t="s">
        <v>1125</v>
      </c>
      <c r="C20" s="188" t="s">
        <v>87</v>
      </c>
      <c r="D20" s="184">
        <v>20125</v>
      </c>
      <c r="E20" s="53"/>
      <c r="F20" s="53"/>
      <c r="J20" s="54" t="s">
        <v>832</v>
      </c>
      <c r="K20" s="53">
        <f>SUMIF($E$21:$E$29,$J20,D$21:D$29)</f>
        <v>20114</v>
      </c>
      <c r="L20" s="55">
        <f>K20/SUM($K$20:$K$22)</f>
        <v>0.99945341614906835</v>
      </c>
    </row>
    <row r="21" spans="1:12">
      <c r="A21" s="188" t="s">
        <v>367</v>
      </c>
      <c r="B21" s="188" t="s">
        <v>367</v>
      </c>
      <c r="C21" s="188" t="s">
        <v>1126</v>
      </c>
      <c r="D21" s="184">
        <v>1</v>
      </c>
      <c r="E21" s="53" t="s">
        <v>833</v>
      </c>
      <c r="F21" s="53" t="s">
        <v>1142</v>
      </c>
      <c r="J21" s="54" t="s">
        <v>833</v>
      </c>
      <c r="K21" s="53">
        <f>SUMIF($E$21:$E$29,$J21,D$21:D$29)</f>
        <v>1</v>
      </c>
      <c r="L21" s="55">
        <f>K21/SUM($K$20:$K$22)</f>
        <v>4.968944099378882E-5</v>
      </c>
    </row>
    <row r="22" spans="1:12">
      <c r="A22" s="188" t="s">
        <v>367</v>
      </c>
      <c r="B22" s="188" t="s">
        <v>367</v>
      </c>
      <c r="C22" s="188" t="s">
        <v>81</v>
      </c>
      <c r="D22" s="184">
        <v>1</v>
      </c>
      <c r="E22" s="53" t="s">
        <v>832</v>
      </c>
      <c r="F22" s="53" t="s">
        <v>1143</v>
      </c>
      <c r="J22" s="54" t="s">
        <v>834</v>
      </c>
      <c r="K22" s="53">
        <f>SUMIF($E$21:$E$29,$J22,D$21:D$29)</f>
        <v>10</v>
      </c>
      <c r="L22" s="55">
        <f>K22/SUM($K$20:$K$22)</f>
        <v>4.9689440993788822E-4</v>
      </c>
    </row>
    <row r="23" spans="1:12">
      <c r="A23" s="188" t="s">
        <v>367</v>
      </c>
      <c r="B23" s="188" t="s">
        <v>367</v>
      </c>
      <c r="C23" s="188" t="s">
        <v>80</v>
      </c>
      <c r="D23" s="184">
        <v>4512</v>
      </c>
      <c r="E23" s="53" t="s">
        <v>832</v>
      </c>
      <c r="F23" s="53" t="s">
        <v>1144</v>
      </c>
    </row>
    <row r="24" spans="1:12">
      <c r="A24" s="188" t="s">
        <v>367</v>
      </c>
      <c r="B24" s="188" t="s">
        <v>367</v>
      </c>
      <c r="C24" s="188" t="s">
        <v>1127</v>
      </c>
      <c r="D24" s="184">
        <v>707</v>
      </c>
      <c r="E24" s="53" t="s">
        <v>832</v>
      </c>
      <c r="F24" s="53" t="s">
        <v>1145</v>
      </c>
    </row>
    <row r="25" spans="1:12">
      <c r="A25" s="188" t="s">
        <v>367</v>
      </c>
      <c r="B25" s="188" t="s">
        <v>367</v>
      </c>
      <c r="C25" s="188" t="s">
        <v>1128</v>
      </c>
      <c r="D25" s="184">
        <v>42</v>
      </c>
      <c r="E25" s="53" t="s">
        <v>832</v>
      </c>
      <c r="F25" s="53" t="s">
        <v>1146</v>
      </c>
    </row>
    <row r="26" spans="1:12">
      <c r="A26" s="188" t="s">
        <v>367</v>
      </c>
      <c r="B26" s="188" t="s">
        <v>367</v>
      </c>
      <c r="C26" s="188" t="s">
        <v>1129</v>
      </c>
      <c r="D26" s="184">
        <v>14812</v>
      </c>
      <c r="E26" s="53" t="s">
        <v>832</v>
      </c>
      <c r="F26" s="53" t="s">
        <v>1147</v>
      </c>
    </row>
    <row r="27" spans="1:12">
      <c r="A27" s="188" t="s">
        <v>367</v>
      </c>
      <c r="B27" s="188" t="s">
        <v>367</v>
      </c>
      <c r="C27" s="188" t="s">
        <v>1130</v>
      </c>
      <c r="D27" s="184">
        <v>0</v>
      </c>
      <c r="E27" s="53" t="s">
        <v>833</v>
      </c>
      <c r="F27" s="53" t="s">
        <v>1148</v>
      </c>
    </row>
    <row r="28" spans="1:12">
      <c r="A28" s="188" t="s">
        <v>367</v>
      </c>
      <c r="B28" s="188" t="s">
        <v>367</v>
      </c>
      <c r="C28" s="188" t="s">
        <v>1024</v>
      </c>
      <c r="D28" s="184">
        <v>10</v>
      </c>
      <c r="E28" s="53" t="s">
        <v>834</v>
      </c>
      <c r="F28" s="53" t="s">
        <v>1149</v>
      </c>
    </row>
    <row r="29" spans="1:12">
      <c r="A29" s="188" t="s">
        <v>367</v>
      </c>
      <c r="B29" s="188" t="s">
        <v>367</v>
      </c>
      <c r="C29" s="188" t="s">
        <v>1131</v>
      </c>
      <c r="D29" s="184">
        <v>40</v>
      </c>
      <c r="E29" s="53" t="s">
        <v>832</v>
      </c>
      <c r="F29" s="53" t="s">
        <v>1150</v>
      </c>
    </row>
    <row r="44" spans="1:2">
      <c r="A44" s="185"/>
      <c r="B44" s="185"/>
    </row>
    <row r="45" spans="1:2">
      <c r="A45" s="185"/>
    </row>
    <row r="46" spans="1:2">
      <c r="A46" s="185"/>
      <c r="B46" s="185"/>
    </row>
    <row r="47" spans="1:2">
      <c r="A47" s="185"/>
    </row>
    <row r="48" spans="1:2">
      <c r="A48" s="185"/>
      <c r="B48" s="185"/>
    </row>
    <row r="49" spans="1:2">
      <c r="A49" s="185"/>
    </row>
    <row r="50" spans="1:2">
      <c r="A50" s="185"/>
      <c r="B50" s="185"/>
    </row>
    <row r="52" spans="1:2">
      <c r="A52" s="185"/>
    </row>
    <row r="53" spans="1:2">
      <c r="A53" s="185"/>
      <c r="B53" s="185"/>
    </row>
    <row r="54" spans="1:2">
      <c r="A54" s="185"/>
      <c r="B54" s="185"/>
    </row>
    <row r="55" spans="1:2">
      <c r="A55" s="185"/>
      <c r="B55" s="185"/>
    </row>
    <row r="56" spans="1:2">
      <c r="A56" s="185"/>
      <c r="B56" s="185"/>
    </row>
    <row r="57" spans="1:2">
      <c r="A57" s="185"/>
      <c r="B57" s="185"/>
    </row>
    <row r="58" spans="1:2">
      <c r="A58" s="185"/>
      <c r="B58" s="185"/>
    </row>
  </sheetData>
  <phoneticPr fontId="3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workbookViewId="0">
      <selection activeCell="E4" sqref="E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835</v>
      </c>
      <c r="B1" s="4" t="s">
        <v>821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</row>
    <row r="2" spans="1:8">
      <c r="A2" s="5" t="s">
        <v>836</v>
      </c>
      <c r="B2" s="1">
        <f>DV!C3</f>
        <v>114917.60648530474</v>
      </c>
      <c r="C2" s="1">
        <f>DV!C4</f>
        <v>34230.059993082032</v>
      </c>
      <c r="D2" s="1">
        <f>DV!C5</f>
        <v>10959476.048499774</v>
      </c>
      <c r="E2" s="1">
        <f>DV!C6</f>
        <v>6290827.1892583873</v>
      </c>
      <c r="F2" s="1">
        <f>DV!C7</f>
        <v>648853.05339912046</v>
      </c>
      <c r="G2" s="1">
        <f>DV!C8</f>
        <v>1786472.2280383769</v>
      </c>
      <c r="H2" s="1">
        <f>DV!C9</f>
        <v>10491.920808424515</v>
      </c>
    </row>
    <row r="3" spans="1:8">
      <c r="A3" s="5" t="s">
        <v>837</v>
      </c>
      <c r="B3" s="1">
        <f>DV!C12</f>
        <v>4535.3935146952517</v>
      </c>
      <c r="C3" s="1">
        <f>DV!C13</f>
        <v>1350.9400069179658</v>
      </c>
      <c r="D3" s="1">
        <f>DV!C14</f>
        <v>432531.9515002254</v>
      </c>
      <c r="E3" s="1">
        <f>DV!C15</f>
        <v>248276.81074161202</v>
      </c>
      <c r="F3" s="1">
        <f>DV!C16</f>
        <v>25607.946600879633</v>
      </c>
      <c r="G3" s="1">
        <f>DV!C17</f>
        <v>70505.771961623075</v>
      </c>
      <c r="H3" s="1">
        <f>DV!C18</f>
        <v>414.07919157548508</v>
      </c>
    </row>
    <row r="4" spans="1:8">
      <c r="A4" s="5" t="s">
        <v>838</v>
      </c>
      <c r="B4" s="1">
        <v>0</v>
      </c>
      <c r="C4" s="1">
        <v>0</v>
      </c>
      <c r="D4" s="1">
        <v>0</v>
      </c>
      <c r="E4" s="1">
        <f>SUM(Aircraft!K17:K19)</f>
        <v>795</v>
      </c>
      <c r="F4" s="1">
        <v>0</v>
      </c>
      <c r="G4" s="1">
        <v>0</v>
      </c>
      <c r="H4" s="1">
        <v>0</v>
      </c>
    </row>
    <row r="5" spans="1:8">
      <c r="A5" s="116" t="s">
        <v>839</v>
      </c>
      <c r="B5" s="1">
        <f>SUM(Rail!D32:D35,Rail!D39:D41)+Rail!D37*0.5+'Rail-subway'!J55</f>
        <v>1589.6666666666665</v>
      </c>
      <c r="C5" s="1">
        <v>0</v>
      </c>
      <c r="D5" s="1">
        <v>0</v>
      </c>
      <c r="E5" s="1">
        <f>Rail!D38+Rail!D36*0.5</f>
        <v>151.75</v>
      </c>
      <c r="F5" s="1">
        <v>0</v>
      </c>
      <c r="G5" s="1">
        <v>0</v>
      </c>
      <c r="H5" s="1">
        <v>0</v>
      </c>
    </row>
    <row r="6" spans="1:8">
      <c r="A6" s="116" t="s">
        <v>840</v>
      </c>
      <c r="B6" s="1">
        <v>0</v>
      </c>
      <c r="C6" s="1">
        <v>0</v>
      </c>
      <c r="D6" s="143">
        <f>Ships!$C$3*Cal!L21</f>
        <v>1.6298136645962732E-2</v>
      </c>
      <c r="E6" s="1">
        <f>Ships!C$3</f>
        <v>328</v>
      </c>
      <c r="F6" s="1">
        <v>0</v>
      </c>
      <c r="G6" s="1">
        <f>Ships!C$3*Cal!L22</f>
        <v>0.16298136645962732</v>
      </c>
      <c r="H6" s="1">
        <v>0</v>
      </c>
    </row>
    <row r="7" spans="1:8">
      <c r="A7" s="5" t="s">
        <v>841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workbookViewId="0">
      <selection activeCell="A6" sqref="A6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835</v>
      </c>
      <c r="B1" s="4" t="s">
        <v>230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</row>
    <row r="2" spans="1:8">
      <c r="A2" s="5" t="s">
        <v>836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837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838</v>
      </c>
      <c r="B4" s="1">
        <v>0</v>
      </c>
      <c r="C4" s="1">
        <v>0</v>
      </c>
      <c r="D4" s="1">
        <v>0</v>
      </c>
      <c r="E4" s="1">
        <f>SUM(Aircraft!K20)</f>
        <v>36</v>
      </c>
      <c r="F4" s="1">
        <v>0</v>
      </c>
      <c r="G4" s="1">
        <v>0</v>
      </c>
      <c r="H4" s="1">
        <v>0</v>
      </c>
    </row>
    <row r="5" spans="1:8">
      <c r="A5" s="116" t="s">
        <v>839</v>
      </c>
      <c r="B5" s="1">
        <f>Rail!D37*0.5</f>
        <v>87.5</v>
      </c>
      <c r="C5" s="1">
        <v>0</v>
      </c>
      <c r="D5" s="1">
        <v>0</v>
      </c>
      <c r="E5" s="1">
        <f>Rail!D36*0.5</f>
        <v>121.5</v>
      </c>
      <c r="F5" s="1">
        <v>0</v>
      </c>
      <c r="G5" s="1">
        <v>0</v>
      </c>
      <c r="H5" s="1">
        <v>0</v>
      </c>
    </row>
    <row r="6" spans="1:8">
      <c r="A6" s="116" t="s">
        <v>840</v>
      </c>
      <c r="B6" s="1">
        <v>0</v>
      </c>
      <c r="C6" s="1">
        <v>0</v>
      </c>
      <c r="D6" s="187">
        <f>SUM(Ships!C4:C5)*Cal!L21</f>
        <v>7.1304347826086953E-2</v>
      </c>
      <c r="E6" s="1">
        <f>SUM(Ships!C4:C5)*Cal!L20*Ships!B20</f>
        <v>631.05488695652173</v>
      </c>
      <c r="F6" s="1">
        <v>0</v>
      </c>
      <c r="G6" s="1">
        <f>SUM(Ships!C4:C5)*Cal!L22</f>
        <v>0.71304347826086956</v>
      </c>
      <c r="H6" s="1">
        <v>0</v>
      </c>
    </row>
    <row r="7" spans="1:8">
      <c r="A7" s="5" t="s">
        <v>841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  <ignoredErrors>
    <ignoredError sqref="D6 G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DV-per fuel</vt:lpstr>
      <vt:lpstr>Marklines for hybrid split</vt:lpstr>
      <vt:lpstr>DV-Regis</vt:lpstr>
      <vt:lpstr>DV</vt:lpstr>
      <vt:lpstr>Rail-subway</vt:lpstr>
      <vt:lpstr>Rail</vt:lpstr>
      <vt:lpstr>Aircraft</vt:lpstr>
      <vt:lpstr>Aricraft_Pocket Aviation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2017-06-22T21:46:10Z</dcterms:created>
  <dcterms:modified xsi:type="dcterms:W3CDTF">2026-03-19T18:04:09Z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