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trans\SoCDTtiNTY\"/>
    </mc:Choice>
  </mc:AlternateContent>
  <xr:revisionPtr revIDLastSave="0" documentId="13_ncr:1_{91EF0957-B562-4E54-8945-54421D16958F}" xr6:coauthVersionLast="47" xr6:coauthVersionMax="47" xr10:uidLastSave="{00000000-0000-0000-0000-000000000000}"/>
  <bookViews>
    <workbookView xWindow="43725" yWindow="3000" windowWidth="20145" windowHeight="11235" activeTab="1" xr2:uid="{00000000-000D-0000-FFFF-FFFF00000000}"/>
  </bookViews>
  <sheets>
    <sheet name="About" sheetId="1" r:id="rId1"/>
    <sheet name="AVL" sheetId="5" r:id="rId2"/>
    <sheet name="SoCDTtiNTY-psgr" sheetId="2" r:id="rId3"/>
    <sheet name="SoCDTtiNTY-frgt" sheetId="4" r:id="rId4"/>
  </sheets>
  <externalReferences>
    <externalReference r:id="rId5"/>
  </externalReference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5" l="1"/>
  <c r="C7" i="5" s="1"/>
  <c r="B6" i="5"/>
  <c r="C6" i="5" s="1"/>
  <c r="C5" i="5"/>
  <c r="B5" i="5"/>
  <c r="B4" i="5"/>
  <c r="C4" i="5" s="1"/>
  <c r="B3" i="5"/>
  <c r="C3" i="5" s="1"/>
  <c r="B2" i="5"/>
  <c r="C2" i="5" s="1"/>
  <c r="H5" i="2" l="1"/>
  <c r="C12" i="5"/>
  <c r="G3" i="4" s="1"/>
  <c r="C13" i="5"/>
  <c r="F4" i="4" s="1"/>
  <c r="C14" i="5"/>
  <c r="E5" i="4" s="1"/>
  <c r="B14" i="5"/>
  <c r="C5" i="2" s="1"/>
  <c r="B15" i="5"/>
  <c r="C6" i="2" s="1"/>
  <c r="B16" i="5"/>
  <c r="B7" i="2" s="1"/>
  <c r="B11" i="5"/>
  <c r="F2" i="2" s="1"/>
  <c r="C16" i="5"/>
  <c r="C15" i="5"/>
  <c r="C11" i="5"/>
  <c r="B5" i="2" l="1"/>
  <c r="B6" i="2"/>
  <c r="H6" i="2"/>
  <c r="H7" i="2"/>
  <c r="F3" i="4"/>
  <c r="E3" i="4"/>
  <c r="E4" i="4"/>
  <c r="C7" i="4"/>
  <c r="D7" i="4"/>
  <c r="E7" i="4"/>
  <c r="F7" i="4"/>
  <c r="G7" i="4"/>
  <c r="H7" i="4"/>
  <c r="B7" i="4"/>
  <c r="D6" i="4"/>
  <c r="E6" i="4"/>
  <c r="B6" i="4"/>
  <c r="C6" i="4"/>
  <c r="F6" i="4"/>
  <c r="G6" i="4"/>
  <c r="H6" i="4"/>
  <c r="H2" i="4"/>
  <c r="F2" i="4"/>
  <c r="B2" i="4"/>
  <c r="C2" i="4"/>
  <c r="D2" i="4"/>
  <c r="E2" i="4"/>
  <c r="G2" i="4"/>
  <c r="D5" i="4"/>
  <c r="G7" i="2"/>
  <c r="D4" i="4"/>
  <c r="F7" i="2"/>
  <c r="D3" i="4"/>
  <c r="C4" i="4"/>
  <c r="G5" i="2"/>
  <c r="F6" i="2"/>
  <c r="E7" i="2"/>
  <c r="C3" i="4"/>
  <c r="B5" i="4"/>
  <c r="B13" i="5"/>
  <c r="B2" i="2"/>
  <c r="F5" i="2"/>
  <c r="E6" i="2"/>
  <c r="D7" i="2"/>
  <c r="B4" i="4"/>
  <c r="H5" i="4"/>
  <c r="B12" i="5"/>
  <c r="H2" i="2"/>
  <c r="E5" i="2"/>
  <c r="D6" i="2"/>
  <c r="C7" i="2"/>
  <c r="B3" i="4"/>
  <c r="H4" i="4"/>
  <c r="G5" i="4"/>
  <c r="E2" i="2"/>
  <c r="C5" i="4"/>
  <c r="C2" i="2"/>
  <c r="G6" i="2"/>
  <c r="G2" i="2"/>
  <c r="D5" i="2"/>
  <c r="H3" i="4"/>
  <c r="G4" i="4"/>
  <c r="F5" i="4"/>
  <c r="D2" i="2"/>
  <c r="E3" i="2" l="1"/>
  <c r="F3" i="2"/>
  <c r="D3" i="2"/>
  <c r="G3" i="2"/>
  <c r="H3" i="2"/>
  <c r="B3" i="2"/>
  <c r="C3" i="2"/>
  <c r="D4" i="2"/>
  <c r="C4" i="2"/>
  <c r="E4" i="2"/>
  <c r="B4" i="2"/>
  <c r="F4" i="2"/>
  <c r="G4" i="2"/>
  <c r="H4" i="2"/>
</calcChain>
</file>

<file path=xl/sharedStrings.xml><?xml version="1.0" encoding="utf-8"?>
<sst xmlns="http://schemas.openxmlformats.org/spreadsheetml/2006/main" count="59" uniqueCount="30">
  <si>
    <t>SoCDTtiNTY Share of Cargo Dist Transported that is New This Year</t>
  </si>
  <si>
    <t>Source:</t>
  </si>
  <si>
    <t>None, this variable is determined via calibration.</t>
  </si>
  <si>
    <t>It effectively relies upon the sources used in the</t>
  </si>
  <si>
    <t>variables trans/BCDT and trans/AVL.</t>
  </si>
  <si>
    <t>Notes</t>
  </si>
  <si>
    <t>The value for each vehicle type/cargo type combination should</t>
  </si>
  <si>
    <t>typically be found via calibration.  After all other Transportation</t>
  </si>
  <si>
    <t>Sector data are in place, adjust the values of SoCDTtiNTY so as</t>
  </si>
  <si>
    <t>to eliminate abrupt changes in the variable "Retiring Vehicles</t>
  </si>
  <si>
    <t>Summed Across Techologies" at the years corresponding to</t>
  </si>
  <si>
    <t>vehicle lifetimes.</t>
  </si>
  <si>
    <t>LDVs</t>
  </si>
  <si>
    <t>HDVs</t>
  </si>
  <si>
    <t>aircraft</t>
  </si>
  <si>
    <t>rail</t>
  </si>
  <si>
    <t>ships</t>
  </si>
  <si>
    <t>motorbikes</t>
  </si>
  <si>
    <t>Share that is New (dimensionless)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</si>
  <si>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</si>
  <si>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</si>
  <si>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</si>
  <si>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</si>
  <si>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</si>
  <si>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</si>
  <si>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</si>
  <si>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Vehicle Lifetime (years)</t>
  </si>
  <si>
    <t>Passenger</t>
  </si>
  <si>
    <t>Freight</t>
  </si>
  <si>
    <t>Calculated SoCDTtiNTY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</si>
</sst>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1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chel%20Goldstein\Desktop\EPS%20Models\SouthKorea%20EPS\InputData\trans\AVL\Avg%20Vehicle%20Lifetime.xlsx" TargetMode="External"/><Relationship Id="rId1" Type="http://schemas.openxmlformats.org/officeDocument/2006/relationships/externalLinkPath" Target="/Users/Rachel%20Goldstein/Desktop/EPS%20Models/SouthKorea%20EPS/InputData/trans/AVL/Avg%20Vehicle%20Lifeti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NTS 1-20"/>
      <sheetName val="Data"/>
      <sheetName val="SK calcs"/>
      <sheetName val="AVL"/>
    </sheetNames>
    <sheetDataSet>
      <sheetData sheetId="0" refreshError="1"/>
      <sheetData sheetId="1" refreshError="1"/>
      <sheetData sheetId="2">
        <row r="16">
          <cell r="A16">
            <v>24</v>
          </cell>
        </row>
        <row r="22">
          <cell r="C22">
            <v>34</v>
          </cell>
        </row>
        <row r="28">
          <cell r="C28">
            <v>33</v>
          </cell>
        </row>
        <row r="48">
          <cell r="A48">
            <v>17.22332068760786</v>
          </cell>
        </row>
      </sheetData>
      <sheetData sheetId="3">
        <row r="36">
          <cell r="J36">
            <v>15.4</v>
          </cell>
        </row>
        <row r="37">
          <cell r="J37">
            <v>16.8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>
      <selection activeCell="B32" sqref="B32"/>
    </sheetView>
  </sheetViews>
  <sheetFormatPr defaultRowHeight="14.4" x14ac:dyDescent="0.3"/>
  <sheetData>
    <row r="1" spans="1:2" x14ac:dyDescent="0.3">
      <c r="A1" s="1" t="s">
        <v>0</v>
      </c>
    </row>
    <row r="3" spans="1:2" x14ac:dyDescent="0.3">
      <c r="A3" s="1" t="s">
        <v>1</v>
      </c>
      <c r="B3" t="s">
        <v>2</v>
      </c>
    </row>
    <row r="4" spans="1:2" x14ac:dyDescent="0.3">
      <c r="B4" t="s">
        <v>3</v>
      </c>
    </row>
    <row r="5" spans="1:2" x14ac:dyDescent="0.3">
      <c r="B5" t="s">
        <v>4</v>
      </c>
    </row>
    <row r="8" spans="1:2" x14ac:dyDescent="0.3">
      <c r="A8" s="1" t="s">
        <v>5</v>
      </c>
    </row>
    <row r="9" spans="1:2" x14ac:dyDescent="0.3">
      <c r="A9" t="s">
        <v>6</v>
      </c>
    </row>
    <row r="10" spans="1:2" x14ac:dyDescent="0.3">
      <c r="A10" t="s">
        <v>7</v>
      </c>
    </row>
    <row r="11" spans="1:2" x14ac:dyDescent="0.3">
      <c r="A11" t="s">
        <v>8</v>
      </c>
    </row>
    <row r="12" spans="1:2" x14ac:dyDescent="0.3">
      <c r="A12" t="s">
        <v>9</v>
      </c>
    </row>
    <row r="13" spans="1:2" x14ac:dyDescent="0.3">
      <c r="A13" t="s">
        <v>10</v>
      </c>
    </row>
    <row r="14" spans="1:2" x14ac:dyDescent="0.3">
      <c r="A14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974D0-35AB-448C-ABAC-291E7575B7A2}">
  <dimension ref="A1:C16"/>
  <sheetViews>
    <sheetView tabSelected="1" workbookViewId="0">
      <selection activeCell="M5" sqref="M5"/>
    </sheetView>
  </sheetViews>
  <sheetFormatPr defaultRowHeight="14.4" x14ac:dyDescent="0.3"/>
  <sheetData>
    <row r="1" spans="1:3" ht="43.2" x14ac:dyDescent="0.3">
      <c r="A1" s="2" t="s">
        <v>26</v>
      </c>
      <c r="B1" s="5" t="s">
        <v>27</v>
      </c>
      <c r="C1" s="5" t="s">
        <v>28</v>
      </c>
    </row>
    <row r="2" spans="1:3" x14ac:dyDescent="0.3">
      <c r="A2" t="s">
        <v>12</v>
      </c>
      <c r="B2" s="8">
        <f>'[1]SK calcs'!J36</f>
        <v>15.4</v>
      </c>
      <c r="C2" s="8">
        <f t="shared" ref="C2:C7" si="0">B2</f>
        <v>15.4</v>
      </c>
    </row>
    <row r="3" spans="1:3" x14ac:dyDescent="0.3">
      <c r="A3" t="s">
        <v>13</v>
      </c>
      <c r="B3" s="8">
        <f>'[1]SK calcs'!J37</f>
        <v>16.8</v>
      </c>
      <c r="C3" s="8">
        <f t="shared" si="0"/>
        <v>16.8</v>
      </c>
    </row>
    <row r="4" spans="1:3" x14ac:dyDescent="0.3">
      <c r="A4" t="s">
        <v>14</v>
      </c>
      <c r="B4" s="6">
        <f>ROUND([1]Data!A16,0)</f>
        <v>24</v>
      </c>
      <c r="C4" s="6">
        <f t="shared" si="0"/>
        <v>24</v>
      </c>
    </row>
    <row r="5" spans="1:3" x14ac:dyDescent="0.3">
      <c r="A5" t="s">
        <v>15</v>
      </c>
      <c r="B5">
        <f>ROUND([1]Data!C22,0)</f>
        <v>34</v>
      </c>
      <c r="C5">
        <f t="shared" si="0"/>
        <v>34</v>
      </c>
    </row>
    <row r="6" spans="1:3" x14ac:dyDescent="0.3">
      <c r="A6" t="s">
        <v>16</v>
      </c>
      <c r="B6">
        <f>ROUND([1]Data!C28,0)</f>
        <v>33</v>
      </c>
      <c r="C6">
        <f t="shared" si="0"/>
        <v>33</v>
      </c>
    </row>
    <row r="7" spans="1:3" x14ac:dyDescent="0.3">
      <c r="A7" t="s">
        <v>17</v>
      </c>
      <c r="B7">
        <f>ROUND([1]Data!A48,0)</f>
        <v>17</v>
      </c>
      <c r="C7">
        <f t="shared" si="0"/>
        <v>17</v>
      </c>
    </row>
    <row r="9" spans="1:3" x14ac:dyDescent="0.3">
      <c r="A9" s="1" t="s">
        <v>29</v>
      </c>
    </row>
    <row r="10" spans="1:3" ht="43.2" x14ac:dyDescent="0.3">
      <c r="A10" s="2" t="s">
        <v>26</v>
      </c>
      <c r="B10" s="5" t="s">
        <v>27</v>
      </c>
      <c r="C10" s="5" t="s">
        <v>28</v>
      </c>
    </row>
    <row r="11" spans="1:3" x14ac:dyDescent="0.3">
      <c r="A11" t="s">
        <v>12</v>
      </c>
      <c r="B11" s="7">
        <f>1/B2</f>
        <v>6.4935064935064929E-2</v>
      </c>
      <c r="C11" s="7">
        <f>1/C2</f>
        <v>6.4935064935064929E-2</v>
      </c>
    </row>
    <row r="12" spans="1:3" x14ac:dyDescent="0.3">
      <c r="A12" t="s">
        <v>13</v>
      </c>
      <c r="B12" s="7">
        <f t="shared" ref="B12:C16" si="1">1/B3</f>
        <v>5.9523809523809521E-2</v>
      </c>
      <c r="C12" s="7">
        <f t="shared" si="1"/>
        <v>5.9523809523809521E-2</v>
      </c>
    </row>
    <row r="13" spans="1:3" x14ac:dyDescent="0.3">
      <c r="A13" t="s">
        <v>14</v>
      </c>
      <c r="B13" s="7">
        <f t="shared" si="1"/>
        <v>4.1666666666666664E-2</v>
      </c>
      <c r="C13" s="7">
        <f t="shared" si="1"/>
        <v>4.1666666666666664E-2</v>
      </c>
    </row>
    <row r="14" spans="1:3" x14ac:dyDescent="0.3">
      <c r="A14" t="s">
        <v>15</v>
      </c>
      <c r="B14" s="7">
        <f t="shared" si="1"/>
        <v>2.9411764705882353E-2</v>
      </c>
      <c r="C14" s="7">
        <f t="shared" si="1"/>
        <v>2.9411764705882353E-2</v>
      </c>
    </row>
    <row r="15" spans="1:3" x14ac:dyDescent="0.3">
      <c r="A15" t="s">
        <v>16</v>
      </c>
      <c r="B15" s="7">
        <f t="shared" si="1"/>
        <v>3.0303030303030304E-2</v>
      </c>
      <c r="C15" s="7">
        <f t="shared" si="1"/>
        <v>3.0303030303030304E-2</v>
      </c>
    </row>
    <row r="16" spans="1:3" x14ac:dyDescent="0.3">
      <c r="A16" t="s">
        <v>17</v>
      </c>
      <c r="B16" s="7">
        <f t="shared" si="1"/>
        <v>5.8823529411764705E-2</v>
      </c>
      <c r="C16" s="7">
        <f t="shared" si="1"/>
        <v>5.8823529411764705E-2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H7"/>
  <sheetViews>
    <sheetView workbookViewId="0">
      <selection activeCell="E10" sqref="E10"/>
    </sheetView>
  </sheetViews>
  <sheetFormatPr defaultRowHeight="14.4" x14ac:dyDescent="0.3"/>
  <cols>
    <col min="1" max="1" width="19.109375" customWidth="1"/>
    <col min="2" max="8" width="14.44140625" customWidth="1"/>
  </cols>
  <sheetData>
    <row r="1" spans="1:8" s="4" customFormat="1" ht="28.8" x14ac:dyDescent="0.3">
      <c r="A1" s="2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</row>
    <row r="2" spans="1:8" x14ac:dyDescent="0.3">
      <c r="A2" t="s">
        <v>12</v>
      </c>
      <c r="B2">
        <f>AVL!$B$11</f>
        <v>6.4935064935064929E-2</v>
      </c>
      <c r="C2">
        <f>AVL!$B$11</f>
        <v>6.4935064935064929E-2</v>
      </c>
      <c r="D2">
        <f>AVL!$B$11</f>
        <v>6.4935064935064929E-2</v>
      </c>
      <c r="E2">
        <f>AVL!$B$11</f>
        <v>6.4935064935064929E-2</v>
      </c>
      <c r="F2">
        <f>AVL!$B$11</f>
        <v>6.4935064935064929E-2</v>
      </c>
      <c r="G2">
        <f>AVL!$B$11</f>
        <v>6.4935064935064929E-2</v>
      </c>
      <c r="H2">
        <f>AVL!$B$11</f>
        <v>6.4935064935064929E-2</v>
      </c>
    </row>
    <row r="3" spans="1:8" x14ac:dyDescent="0.3">
      <c r="A3" t="s">
        <v>13</v>
      </c>
      <c r="B3">
        <f>AVL!$B$12</f>
        <v>5.9523809523809521E-2</v>
      </c>
      <c r="C3">
        <f>AVL!$B$12</f>
        <v>5.9523809523809521E-2</v>
      </c>
      <c r="D3">
        <f>AVL!$B$12</f>
        <v>5.9523809523809521E-2</v>
      </c>
      <c r="E3">
        <f>AVL!$B$12</f>
        <v>5.9523809523809521E-2</v>
      </c>
      <c r="F3">
        <f>AVL!$B$12</f>
        <v>5.9523809523809521E-2</v>
      </c>
      <c r="G3">
        <f>AVL!$B$12</f>
        <v>5.9523809523809521E-2</v>
      </c>
      <c r="H3">
        <f>AVL!$B$12</f>
        <v>5.9523809523809521E-2</v>
      </c>
    </row>
    <row r="4" spans="1:8" x14ac:dyDescent="0.3">
      <c r="A4" t="s">
        <v>14</v>
      </c>
      <c r="B4">
        <f>AVL!$B$13</f>
        <v>4.1666666666666664E-2</v>
      </c>
      <c r="C4">
        <f>AVL!$B$13</f>
        <v>4.1666666666666664E-2</v>
      </c>
      <c r="D4">
        <f>AVL!$B$13</f>
        <v>4.1666666666666664E-2</v>
      </c>
      <c r="E4">
        <f>AVL!$B$13</f>
        <v>4.1666666666666664E-2</v>
      </c>
      <c r="F4">
        <f>AVL!$B$13</f>
        <v>4.1666666666666664E-2</v>
      </c>
      <c r="G4">
        <f>AVL!$B$13</f>
        <v>4.1666666666666664E-2</v>
      </c>
      <c r="H4">
        <f>AVL!$B$13</f>
        <v>4.1666666666666664E-2</v>
      </c>
    </row>
    <row r="5" spans="1:8" x14ac:dyDescent="0.3">
      <c r="A5" t="s">
        <v>15</v>
      </c>
      <c r="B5">
        <f>AVL!$B$14</f>
        <v>2.9411764705882353E-2</v>
      </c>
      <c r="C5">
        <f>AVL!$B$14</f>
        <v>2.9411764705882353E-2</v>
      </c>
      <c r="D5">
        <f>AVL!$B$14</f>
        <v>2.9411764705882353E-2</v>
      </c>
      <c r="E5">
        <f>AVL!$B$14</f>
        <v>2.9411764705882353E-2</v>
      </c>
      <c r="F5">
        <f>AVL!$B$14</f>
        <v>2.9411764705882353E-2</v>
      </c>
      <c r="G5">
        <f>AVL!$B$14</f>
        <v>2.9411764705882353E-2</v>
      </c>
      <c r="H5">
        <f>AVL!$B$14</f>
        <v>2.9411764705882353E-2</v>
      </c>
    </row>
    <row r="6" spans="1:8" x14ac:dyDescent="0.3">
      <c r="A6" t="s">
        <v>16</v>
      </c>
      <c r="B6">
        <f>AVL!$B$15</f>
        <v>3.0303030303030304E-2</v>
      </c>
      <c r="C6">
        <f>AVL!$B$15</f>
        <v>3.0303030303030304E-2</v>
      </c>
      <c r="D6">
        <f>AVL!$B$15</f>
        <v>3.0303030303030304E-2</v>
      </c>
      <c r="E6">
        <f>AVL!$B$15</f>
        <v>3.0303030303030304E-2</v>
      </c>
      <c r="F6">
        <f>AVL!$B$15</f>
        <v>3.0303030303030304E-2</v>
      </c>
      <c r="G6">
        <f>AVL!$B$15</f>
        <v>3.0303030303030304E-2</v>
      </c>
      <c r="H6">
        <f>AVL!$B$15</f>
        <v>3.0303030303030304E-2</v>
      </c>
    </row>
    <row r="7" spans="1:8" x14ac:dyDescent="0.3">
      <c r="A7" t="s">
        <v>17</v>
      </c>
      <c r="B7">
        <f>AVL!$B$16</f>
        <v>5.8823529411764705E-2</v>
      </c>
      <c r="C7">
        <f>AVL!$B$16</f>
        <v>5.8823529411764705E-2</v>
      </c>
      <c r="D7">
        <f>AVL!$B$16</f>
        <v>5.8823529411764705E-2</v>
      </c>
      <c r="E7">
        <f>AVL!$B$16</f>
        <v>5.8823529411764705E-2</v>
      </c>
      <c r="F7">
        <f>AVL!$B$16</f>
        <v>5.8823529411764705E-2</v>
      </c>
      <c r="G7">
        <f>AVL!$B$16</f>
        <v>5.8823529411764705E-2</v>
      </c>
      <c r="H7">
        <f>AVL!$B$16</f>
        <v>5.8823529411764705E-2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H7"/>
  <sheetViews>
    <sheetView workbookViewId="0">
      <selection activeCell="B7" sqref="B7:H7"/>
    </sheetView>
  </sheetViews>
  <sheetFormatPr defaultRowHeight="14.4" x14ac:dyDescent="0.3"/>
  <cols>
    <col min="1" max="1" width="19.109375" customWidth="1"/>
    <col min="2" max="8" width="14.44140625" customWidth="1"/>
  </cols>
  <sheetData>
    <row r="1" spans="1:8" s="4" customFormat="1" ht="28.8" x14ac:dyDescent="0.3">
      <c r="A1" s="2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</row>
    <row r="2" spans="1:8" x14ac:dyDescent="0.3">
      <c r="A2" t="s">
        <v>12</v>
      </c>
      <c r="B2">
        <f>AVL!$C$11</f>
        <v>6.4935064935064929E-2</v>
      </c>
      <c r="C2">
        <f>AVL!$C$11</f>
        <v>6.4935064935064929E-2</v>
      </c>
      <c r="D2">
        <f>AVL!$C$11</f>
        <v>6.4935064935064929E-2</v>
      </c>
      <c r="E2">
        <f>AVL!$C$11</f>
        <v>6.4935064935064929E-2</v>
      </c>
      <c r="F2">
        <f>AVL!$C$11</f>
        <v>6.4935064935064929E-2</v>
      </c>
      <c r="G2">
        <f>AVL!$C$11</f>
        <v>6.4935064935064929E-2</v>
      </c>
      <c r="H2">
        <f>AVL!$C$11</f>
        <v>6.4935064935064929E-2</v>
      </c>
    </row>
    <row r="3" spans="1:8" x14ac:dyDescent="0.3">
      <c r="A3" t="s">
        <v>13</v>
      </c>
      <c r="B3">
        <f>AVL!$C$12</f>
        <v>5.9523809523809521E-2</v>
      </c>
      <c r="C3">
        <f>AVL!$C$12</f>
        <v>5.9523809523809521E-2</v>
      </c>
      <c r="D3">
        <f>AVL!$C$12</f>
        <v>5.9523809523809521E-2</v>
      </c>
      <c r="E3">
        <f>AVL!$C$12</f>
        <v>5.9523809523809521E-2</v>
      </c>
      <c r="F3">
        <f>AVL!$C$12</f>
        <v>5.9523809523809521E-2</v>
      </c>
      <c r="G3">
        <f>AVL!$C$12</f>
        <v>5.9523809523809521E-2</v>
      </c>
      <c r="H3">
        <f>AVL!$C$12</f>
        <v>5.9523809523809521E-2</v>
      </c>
    </row>
    <row r="4" spans="1:8" x14ac:dyDescent="0.3">
      <c r="A4" t="s">
        <v>14</v>
      </c>
      <c r="B4">
        <f>AVL!$C$13</f>
        <v>4.1666666666666664E-2</v>
      </c>
      <c r="C4">
        <f>AVL!$C$13</f>
        <v>4.1666666666666664E-2</v>
      </c>
      <c r="D4">
        <f>AVL!$C$13</f>
        <v>4.1666666666666664E-2</v>
      </c>
      <c r="E4">
        <f>AVL!$C$13</f>
        <v>4.1666666666666664E-2</v>
      </c>
      <c r="F4">
        <f>AVL!$C$13</f>
        <v>4.1666666666666664E-2</v>
      </c>
      <c r="G4">
        <f>AVL!$C$13</f>
        <v>4.1666666666666664E-2</v>
      </c>
      <c r="H4">
        <f>AVL!$C$13</f>
        <v>4.1666666666666664E-2</v>
      </c>
    </row>
    <row r="5" spans="1:8" x14ac:dyDescent="0.3">
      <c r="A5" t="s">
        <v>15</v>
      </c>
      <c r="B5">
        <f>AVL!$C$14</f>
        <v>2.9411764705882353E-2</v>
      </c>
      <c r="C5">
        <f>AVL!$C$14</f>
        <v>2.9411764705882353E-2</v>
      </c>
      <c r="D5">
        <f>AVL!$C$14</f>
        <v>2.9411764705882353E-2</v>
      </c>
      <c r="E5">
        <f>AVL!$C$14</f>
        <v>2.9411764705882353E-2</v>
      </c>
      <c r="F5">
        <f>AVL!$C$14</f>
        <v>2.9411764705882353E-2</v>
      </c>
      <c r="G5">
        <f>AVL!$C$14</f>
        <v>2.9411764705882353E-2</v>
      </c>
      <c r="H5">
        <f>AVL!$C$14</f>
        <v>2.9411764705882353E-2</v>
      </c>
    </row>
    <row r="6" spans="1:8" x14ac:dyDescent="0.3">
      <c r="A6" t="s">
        <v>16</v>
      </c>
      <c r="B6">
        <f>AVL!$C$15</f>
        <v>3.0303030303030304E-2</v>
      </c>
      <c r="C6">
        <f>AVL!$C$15</f>
        <v>3.0303030303030304E-2</v>
      </c>
      <c r="D6">
        <f>AVL!$C$15</f>
        <v>3.0303030303030304E-2</v>
      </c>
      <c r="E6">
        <f>AVL!$C$15</f>
        <v>3.0303030303030304E-2</v>
      </c>
      <c r="F6">
        <f>AVL!$C$15</f>
        <v>3.0303030303030304E-2</v>
      </c>
      <c r="G6">
        <f>AVL!$C$15</f>
        <v>3.0303030303030304E-2</v>
      </c>
      <c r="H6">
        <f>AVL!$C$15</f>
        <v>3.0303030303030304E-2</v>
      </c>
    </row>
    <row r="7" spans="1:8" x14ac:dyDescent="0.3">
      <c r="A7" t="s">
        <v>17</v>
      </c>
      <c r="B7">
        <f>AVL!$C$16</f>
        <v>5.8823529411764705E-2</v>
      </c>
      <c r="C7">
        <f>AVL!$C$16</f>
        <v>5.8823529411764705E-2</v>
      </c>
      <c r="D7">
        <f>AVL!$C$16</f>
        <v>5.8823529411764705E-2</v>
      </c>
      <c r="E7">
        <f>AVL!$C$16</f>
        <v>5.8823529411764705E-2</v>
      </c>
      <c r="F7">
        <f>AVL!$C$16</f>
        <v>5.8823529411764705E-2</v>
      </c>
      <c r="G7">
        <f>AVL!$C$16</f>
        <v>5.8823529411764705E-2</v>
      </c>
      <c r="H7">
        <f>AVL!$C$16</f>
        <v>5.8823529411764705E-2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0A502D4-C09A-449A-A258-EE541B81638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41C2D10-A603-4499-828F-5FADDAF9DE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149AAAE-ABCC-460E-97F6-A6D332D480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AVL</vt:lpstr>
      <vt:lpstr>SoCDTtiNTY-psgr</vt:lpstr>
      <vt:lpstr>SoCDTtiNTY-frgt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Rachel Goldstein</cp:lastModifiedBy>
  <dcterms:created xsi:type="dcterms:W3CDTF">2017-07-19T22:43:44Z</dcterms:created>
  <dcterms:modified xsi:type="dcterms:W3CDTF">2025-10-16T16:17:38Z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