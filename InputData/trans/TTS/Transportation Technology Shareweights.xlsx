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mahajan\Documents\eps-southkorea\InputData\trans\TTS\"/>
    </mc:Choice>
  </mc:AlternateContent>
  <xr:revisionPtr revIDLastSave="0" documentId="13_ncr:1_{33B31A4D-0923-47BC-873C-DACF09A052E7}" xr6:coauthVersionLast="47" xr6:coauthVersionMax="47" xr10:uidLastSave="{00000000-0000-0000-0000-000000000000}"/>
  <bookViews>
    <workbookView xWindow="-28920" yWindow="-120" windowWidth="29040" windowHeight="17640" activeTab="3" xr2:uid="{00000000-000D-0000-FFFF-FFFF00000000}"/>
  </bookViews>
  <sheets>
    <sheet name="About" sheetId="1" r:id="rId1"/>
    <sheet name="SYVbT-passenger" sheetId="6" r:id="rId2"/>
    <sheet name="SYVbT-freight" sheetId="19" r:id="rId3"/>
    <sheet name="Data" sheetId="3" r:id="rId4"/>
    <sheet name="TTS-LDVs-psgr" sheetId="2" r:id="rId5"/>
    <sheet name="TTS-LDVs-frgt" sheetId="8" r:id="rId6"/>
    <sheet name="TTS-HDVs-psgr" sheetId="9" r:id="rId7"/>
    <sheet name="TTS-HDVs-frgt" sheetId="10" r:id="rId8"/>
    <sheet name="TTS-aircraft-psgr" sheetId="11" r:id="rId9"/>
    <sheet name="TTS-aircraft-frgt" sheetId="12" r:id="rId10"/>
    <sheet name="TTS-rail-psgr" sheetId="13" r:id="rId11"/>
    <sheet name="TTS-rail-frgt" sheetId="14" r:id="rId12"/>
    <sheet name="TTS-ships-psgr" sheetId="15" r:id="rId13"/>
    <sheet name="TTS-ships-frgt" sheetId="16" r:id="rId14"/>
    <sheet name="TTS-motorbikes-psgr" sheetId="17" r:id="rId15"/>
    <sheet name="TTS-motorbikes-frgt" sheetId="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3" l="1"/>
  <c r="D34" i="3"/>
  <c r="D33" i="3"/>
  <c r="D27" i="3"/>
  <c r="D26" i="3"/>
  <c r="D13" i="3"/>
  <c r="D12" i="3"/>
  <c r="C2" i="18" l="1"/>
  <c r="D2" i="18"/>
  <c r="E2" i="18"/>
  <c r="F2" i="18"/>
  <c r="G2" i="18"/>
  <c r="H2" i="18"/>
  <c r="I2" i="18"/>
  <c r="J2" i="18"/>
  <c r="K2" i="18"/>
  <c r="L2" i="18"/>
  <c r="M2" i="18"/>
  <c r="N2" i="18"/>
  <c r="O2" i="18"/>
  <c r="P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C3" i="18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B3" i="18"/>
  <c r="B5" i="18"/>
  <c r="B6" i="18"/>
  <c r="B7" i="18"/>
  <c r="B8" i="18"/>
  <c r="B2" i="18"/>
  <c r="E37" i="3"/>
  <c r="E30" i="3"/>
  <c r="E23" i="3"/>
  <c r="E16" i="3"/>
  <c r="E33" i="3"/>
  <c r="E34" i="3"/>
  <c r="E35" i="3"/>
  <c r="E36" i="3"/>
  <c r="E32" i="3"/>
  <c r="E26" i="3"/>
  <c r="E27" i="3"/>
  <c r="E28" i="3"/>
  <c r="E29" i="3"/>
  <c r="E25" i="3"/>
  <c r="E87" i="3"/>
  <c r="E88" i="3"/>
  <c r="E89" i="3"/>
  <c r="E90" i="3"/>
  <c r="E91" i="3"/>
  <c r="E92" i="3"/>
  <c r="D88" i="3"/>
  <c r="D89" i="3"/>
  <c r="D90" i="3"/>
  <c r="D91" i="3"/>
  <c r="D92" i="3"/>
  <c r="D93" i="3"/>
  <c r="D87" i="3"/>
  <c r="D73" i="3"/>
  <c r="E73" i="3" s="1"/>
  <c r="E74" i="3"/>
  <c r="E75" i="3"/>
  <c r="E76" i="3"/>
  <c r="E77" i="3"/>
  <c r="E78" i="3"/>
  <c r="E79" i="3"/>
  <c r="D74" i="3"/>
  <c r="D75" i="3"/>
  <c r="D76" i="3"/>
  <c r="D77" i="3"/>
  <c r="D78" i="3"/>
  <c r="D79" i="3"/>
  <c r="D59" i="3"/>
  <c r="E59" i="3" s="1"/>
  <c r="E60" i="3"/>
  <c r="E61" i="3"/>
  <c r="E62" i="3"/>
  <c r="E63" i="3"/>
  <c r="E64" i="3"/>
  <c r="E65" i="3"/>
  <c r="D60" i="3"/>
  <c r="D61" i="3"/>
  <c r="D62" i="3"/>
  <c r="D63" i="3"/>
  <c r="D64" i="3"/>
  <c r="D65" i="3"/>
  <c r="D52" i="3"/>
  <c r="E52" i="3" s="1"/>
  <c r="E53" i="3"/>
  <c r="E54" i="3"/>
  <c r="E55" i="3"/>
  <c r="E56" i="3"/>
  <c r="E57" i="3"/>
  <c r="E58" i="3"/>
  <c r="D53" i="3"/>
  <c r="D54" i="3"/>
  <c r="D55" i="3"/>
  <c r="D56" i="3"/>
  <c r="D57" i="3"/>
  <c r="D58" i="3"/>
  <c r="D31" i="3"/>
  <c r="E31" i="3"/>
  <c r="D32" i="3"/>
  <c r="D35" i="3"/>
  <c r="D36" i="3"/>
  <c r="D37" i="3"/>
  <c r="D24" i="3"/>
  <c r="D25" i="3"/>
  <c r="D28" i="3"/>
  <c r="D29" i="3"/>
  <c r="D30" i="3"/>
  <c r="D17" i="3"/>
  <c r="D18" i="3"/>
  <c r="E19" i="3"/>
  <c r="E20" i="3"/>
  <c r="D21" i="3"/>
  <c r="D22" i="3"/>
  <c r="D23" i="3"/>
  <c r="E21" i="3"/>
  <c r="E22" i="3"/>
  <c r="E18" i="3"/>
  <c r="E11" i="3"/>
  <c r="E13" i="3"/>
  <c r="E14" i="3"/>
  <c r="E15" i="3"/>
  <c r="D11" i="3"/>
  <c r="E12" i="3"/>
  <c r="D14" i="3"/>
  <c r="D15" i="3"/>
  <c r="D16" i="3"/>
  <c r="H9" i="3" l="1"/>
  <c r="I9" i="3" s="1"/>
  <c r="D86" i="3" l="1"/>
  <c r="D85" i="3"/>
  <c r="D84" i="3"/>
  <c r="D83" i="3"/>
  <c r="D81" i="3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B4" i="18" s="1"/>
  <c r="H90" i="3"/>
  <c r="H91" i="3"/>
  <c r="H92" i="3"/>
  <c r="H93" i="3"/>
  <c r="H19" i="3"/>
  <c r="H22" i="3"/>
  <c r="B7" i="8" s="1"/>
  <c r="H23" i="3"/>
  <c r="B8" i="8" s="1"/>
  <c r="H15" i="3"/>
  <c r="B7" i="2" s="1"/>
  <c r="F16" i="3" l="1"/>
  <c r="H16" i="3"/>
  <c r="B8" i="2" s="1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I14" i="3" s="1"/>
  <c r="C6" i="2" s="1"/>
  <c r="J36" i="3" l="1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10" i="3"/>
  <c r="B2" i="2" s="1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H14" i="3"/>
  <c r="B6" i="2" s="1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H4" i="17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I4" i="18" s="1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J4" i="18" s="1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K4" i="18" s="1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4" i="10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B6" i="10"/>
  <c r="F17" i="3"/>
  <c r="B3" i="9"/>
  <c r="K10" i="3" l="1"/>
  <c r="E2" i="2" s="1"/>
  <c r="S10" i="3"/>
  <c r="M2" i="2" s="1"/>
  <c r="AA10" i="3"/>
  <c r="U2" i="2" s="1"/>
  <c r="AI10" i="3"/>
  <c r="AC2" i="2" s="1"/>
  <c r="W10" i="3"/>
  <c r="Q2" i="2" s="1"/>
  <c r="I10" i="3"/>
  <c r="C2" i="2" s="1"/>
  <c r="AF10" i="3"/>
  <c r="Z2" i="2" s="1"/>
  <c r="J10" i="3"/>
  <c r="D2" i="2" s="1"/>
  <c r="L10" i="3"/>
  <c r="F2" i="2" s="1"/>
  <c r="T10" i="3"/>
  <c r="N2" i="2" s="1"/>
  <c r="AB10" i="3"/>
  <c r="V2" i="2" s="1"/>
  <c r="AJ10" i="3"/>
  <c r="AD2" i="2" s="1"/>
  <c r="U10" i="3"/>
  <c r="O2" i="2" s="1"/>
  <c r="AC10" i="3"/>
  <c r="W2" i="2" s="1"/>
  <c r="AK10" i="3"/>
  <c r="AE2" i="2" s="1"/>
  <c r="M10" i="3"/>
  <c r="G2" i="2" s="1"/>
  <c r="X10" i="3"/>
  <c r="R2" i="2" s="1"/>
  <c r="Z10" i="3"/>
  <c r="T2" i="2" s="1"/>
  <c r="N10" i="3"/>
  <c r="H2" i="2" s="1"/>
  <c r="V10" i="3"/>
  <c r="P2" i="2" s="1"/>
  <c r="AD10" i="3"/>
  <c r="X2" i="2" s="1"/>
  <c r="AL10" i="3"/>
  <c r="AF2" i="2" s="1"/>
  <c r="O10" i="3"/>
  <c r="I2" i="2" s="1"/>
  <c r="AE10" i="3"/>
  <c r="Y2" i="2" s="1"/>
  <c r="P10" i="3"/>
  <c r="J2" i="2" s="1"/>
  <c r="Q10" i="3"/>
  <c r="K2" i="2" s="1"/>
  <c r="Y10" i="3"/>
  <c r="S2" i="2" s="1"/>
  <c r="AG10" i="3"/>
  <c r="AA2" i="2" s="1"/>
  <c r="R10" i="3"/>
  <c r="L2" i="2" s="1"/>
  <c r="AH10" i="3"/>
  <c r="AB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K17" i="3"/>
  <c r="E2" i="8" s="1"/>
  <c r="O17" i="3"/>
  <c r="I2" i="8" s="1"/>
  <c r="J17" i="3"/>
  <c r="D2" i="8" s="1"/>
  <c r="L17" i="3"/>
  <c r="F2" i="8" s="1"/>
  <c r="P17" i="3"/>
  <c r="J2" i="8" s="1"/>
  <c r="N17" i="3"/>
  <c r="H2" i="8" s="1"/>
  <c r="I17" i="3"/>
  <c r="C2" i="8" s="1"/>
  <c r="M17" i="3"/>
  <c r="G2" i="8" s="1"/>
  <c r="Q17" i="3"/>
  <c r="K2" i="8" s="1"/>
  <c r="R17" i="3"/>
  <c r="L2" i="8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O14" i="3"/>
  <c r="I6" i="2" s="1"/>
  <c r="P14" i="3"/>
  <c r="J6" i="2" s="1"/>
  <c r="Q14" i="3"/>
  <c r="K6" i="2" s="1"/>
  <c r="J14" i="3"/>
  <c r="D6" i="2" s="1"/>
  <c r="R14" i="3"/>
  <c r="L6" i="2" s="1"/>
  <c r="K14" i="3"/>
  <c r="E6" i="2" s="1"/>
  <c r="M14" i="3"/>
  <c r="G6" i="2" s="1"/>
  <c r="N14" i="3"/>
  <c r="H6" i="2" s="1"/>
  <c r="L14" i="3"/>
  <c r="F6" i="2" s="1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S14" i="3"/>
  <c r="M6" i="2" s="1"/>
  <c r="S11" i="3"/>
  <c r="M3" i="2" s="1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M4" i="18" s="1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S17" i="3"/>
  <c r="M2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N4" i="18" s="1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17" i="3"/>
  <c r="N2" i="8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T14" i="3"/>
  <c r="N6" i="2" s="1"/>
  <c r="U25" i="3" l="1"/>
  <c r="O3" i="9" s="1"/>
  <c r="U32" i="3"/>
  <c r="O3" i="10" s="1"/>
  <c r="U21" i="3"/>
  <c r="O6" i="8" s="1"/>
  <c r="U14" i="3"/>
  <c r="O6" i="2" s="1"/>
  <c r="U11" i="3"/>
  <c r="O3" i="2" s="1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U17" i="3"/>
  <c r="O2" i="8" s="1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17" i="3"/>
  <c r="P2" i="8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V14" i="3"/>
  <c r="P6" i="2" s="1"/>
  <c r="W11" i="3" l="1"/>
  <c r="Q3" i="2" s="1"/>
  <c r="W14" i="3"/>
  <c r="Q6" i="2" s="1"/>
  <c r="W36" i="3"/>
  <c r="Q7" i="10" s="1"/>
  <c r="W37" i="3"/>
  <c r="Q8" i="10" s="1"/>
  <c r="W21" i="3"/>
  <c r="Q6" i="8" s="1"/>
  <c r="W31" i="3"/>
  <c r="Q2" i="10" s="1"/>
  <c r="W17" i="3"/>
  <c r="Q2" i="8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X31" i="3" l="1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R4" i="18" s="1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X17" i="3"/>
  <c r="R2" i="8" s="1"/>
  <c r="X25" i="3"/>
  <c r="R3" i="9" s="1"/>
  <c r="X24" i="3"/>
  <c r="R2" i="9" s="1"/>
  <c r="X32" i="3"/>
  <c r="R3" i="10" s="1"/>
  <c r="Y9" i="3"/>
  <c r="Y14" i="3" s="1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X14" i="3"/>
  <c r="R6" i="2" s="1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S4" i="18" s="1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Y17" i="3"/>
  <c r="S2" i="8" s="1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T4" i="18" s="1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17" i="3"/>
  <c r="T2" i="8" s="1"/>
  <c r="Z80" i="3"/>
  <c r="T2" i="17" s="1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Z14" i="3"/>
  <c r="T6" i="2" s="1"/>
  <c r="AA14" i="3" l="1"/>
  <c r="U6" i="2" s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U4" i="18" s="1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17" i="3"/>
  <c r="U2" i="8" s="1"/>
  <c r="AA21" i="3"/>
  <c r="U6" i="8" s="1"/>
  <c r="AA80" i="3"/>
  <c r="U2" i="17" s="1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V4" i="18" s="1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17" i="3"/>
  <c r="V2" i="8" s="1"/>
  <c r="AB24" i="3"/>
  <c r="V2" i="9" s="1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AB14" i="3"/>
  <c r="V6" i="2" s="1"/>
  <c r="AC14" i="3" l="1"/>
  <c r="W6" i="2" s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W4" i="18" s="1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17" i="3"/>
  <c r="W2" i="8" s="1"/>
  <c r="AC24" i="3"/>
  <c r="W2" i="9" s="1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X4" i="18" s="1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17" i="3"/>
  <c r="X2" i="8" s="1"/>
  <c r="AD80" i="3"/>
  <c r="X2" i="17" s="1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AD14" i="3"/>
  <c r="X6" i="2" s="1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Y4" i="18" s="1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E17" i="3"/>
  <c r="Y2" i="8" s="1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AE14" i="3"/>
  <c r="Y6" i="2" s="1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Z3" i="13" s="1"/>
  <c r="AF42" i="3"/>
  <c r="AF91" i="3"/>
  <c r="AF89" i="3"/>
  <c r="Z4" i="18" s="1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17" i="3"/>
  <c r="Z2" i="8" s="1"/>
  <c r="AF24" i="3"/>
  <c r="Z2" i="9" s="1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6" i="11"/>
  <c r="AF13" i="3"/>
  <c r="Z5" i="2" s="1"/>
  <c r="AF14" i="3"/>
  <c r="Z6" i="2" s="1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A3" i="13" s="1"/>
  <c r="AG91" i="3"/>
  <c r="AG89" i="3"/>
  <c r="AA4" i="18" s="1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G17" i="3"/>
  <c r="AA2" i="8" s="1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G13" i="3"/>
  <c r="AA5" i="2" s="1"/>
  <c r="AG11" i="3"/>
  <c r="AA3" i="2" s="1"/>
  <c r="AG14" i="3"/>
  <c r="AA6" i="2" s="1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B4" i="18" s="1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H17" i="3"/>
  <c r="AB2" i="8" s="1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H14" i="3"/>
  <c r="AB6" i="2" s="1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I17" i="3"/>
  <c r="AC2" i="8" s="1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I14" i="3"/>
  <c r="AC6" i="2" s="1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D4" i="18" s="1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17" i="3"/>
  <c r="AD2" i="8" s="1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J14" i="3"/>
  <c r="AD6" i="2" s="1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E4" i="18" s="1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17" i="3"/>
  <c r="AE2" i="8" s="1"/>
  <c r="AK21" i="3"/>
  <c r="AE6" i="8" s="1"/>
  <c r="AK24" i="3"/>
  <c r="AE2" i="9" s="1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K14" i="3"/>
  <c r="AE6" i="2" s="1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F4" i="18" s="1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L17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L14" i="3"/>
  <c r="AF6" i="2" s="1"/>
  <c r="AL11" i="3"/>
  <c r="AF3" i="2" s="1"/>
</calcChain>
</file>

<file path=xl/sharedStrings.xml><?xml version="1.0" encoding="utf-8"?>
<sst xmlns="http://schemas.openxmlformats.org/spreadsheetml/2006/main" count="323" uniqueCount="103">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</sst>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1" fontId="0" fillId="0" borderId="0" xfId="0" applyNumberForma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0" borderId="0" xfId="0" applyFont="1" applyAlignment="1"/>
    <xf numFmtId="0" fontId="0" fillId="0" borderId="0" xfId="0" applyAlignment="1"/>
    <xf numFmtId="0" fontId="1" fillId="2" borderId="0" xfId="0" applyFont="1" applyFill="1" applyAlignment="1"/>
    <xf numFmtId="0" fontId="5" fillId="0" borderId="0" xfId="0" applyFont="1" applyAlignment="1"/>
    <xf numFmtId="0" fontId="0" fillId="2" borderId="0" xfId="0" applyFill="1" applyAlignment="1"/>
    <xf numFmtId="0" fontId="1" fillId="0" borderId="0" xfId="0" applyFont="1" applyFill="1" applyAlignment="1"/>
    <xf numFmtId="0" fontId="0" fillId="4" borderId="6" xfId="0" applyFill="1" applyBorder="1" applyAlignment="1"/>
    <xf numFmtId="0" fontId="0" fillId="4" borderId="7" xfId="0" applyFill="1" applyBorder="1" applyAlignment="1"/>
    <xf numFmtId="0" fontId="0" fillId="4" borderId="0" xfId="0" applyFill="1" applyAlignment="1"/>
    <xf numFmtId="0" fontId="0" fillId="0" borderId="9" xfId="0" applyBorder="1" applyAlignment="1"/>
    <xf numFmtId="0" fontId="0" fillId="0" borderId="11" xfId="0" applyBorder="1" applyAlignment="1"/>
    <xf numFmtId="0" fontId="1" fillId="4" borderId="0" xfId="0" applyFont="1" applyFill="1" applyAlignment="1"/>
    <xf numFmtId="164" fontId="0" fillId="0" borderId="0" xfId="0" applyNumberFormat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0" xfId="0" applyFill="1" applyBorder="1" applyAlignment="1"/>
    <xf numFmtId="0" fontId="0" fillId="0" borderId="0" xfId="0" applyFill="1" applyAlignment="1"/>
    <xf numFmtId="165" fontId="0" fillId="0" borderId="0" xfId="9" applyNumberFormat="1" applyFont="1"/>
    <xf numFmtId="0" fontId="0" fillId="0" borderId="0" xfId="0" applyFont="1" applyAlignment="1"/>
    <xf numFmtId="0" fontId="1" fillId="0" borderId="0" xfId="0" applyFont="1" applyAlignment="1">
      <alignment wrapText="1"/>
    </xf>
    <xf numFmtId="164" fontId="0" fillId="0" borderId="5" xfId="0" applyNumberFormat="1" applyBorder="1" applyAlignment="1"/>
    <xf numFmtId="0" fontId="0" fillId="0" borderId="5" xfId="0" applyFill="1" applyBorder="1" applyAlignment="1"/>
    <xf numFmtId="0" fontId="0" fillId="0" borderId="0" xfId="0" applyFill="1"/>
    <xf numFmtId="0" fontId="8" fillId="2" borderId="0" xfId="0" applyFont="1" applyFill="1" applyAlignment="1">
      <alignment horizontal="right" wrapText="1"/>
    </xf>
    <xf numFmtId="166" fontId="0" fillId="0" borderId="0" xfId="0" applyNumberFormat="1" applyAlignment="1"/>
    <xf numFmtId="0" fontId="6" fillId="0" borderId="0" xfId="8" applyAlignment="1"/>
    <xf numFmtId="164" fontId="0" fillId="3" borderId="0" xfId="0" applyNumberFormat="1" applyFill="1" applyAlignment="1"/>
    <xf numFmtId="164" fontId="0" fillId="0" borderId="0" xfId="0" applyNumberFormat="1" applyFill="1" applyAlignment="1"/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Data!$H$10:$AL$10</c:f>
              <c:numCache>
                <c:formatCode>General</c:formatCode>
                <c:ptCount val="31"/>
                <c:pt idx="0" formatCode="0.0000">
                  <c:v>0.1</c:v>
                </c:pt>
                <c:pt idx="1">
                  <c:v>0.11329662852394576</c:v>
                </c:pt>
                <c:pt idx="2">
                  <c:v>0.11785627516066977</c:v>
                </c:pt>
                <c:pt idx="3">
                  <c:v>0.12393729421917929</c:v>
                </c:pt>
                <c:pt idx="4">
                  <c:v>0.13201407034537258</c:v>
                </c:pt>
                <c:pt idx="5">
                  <c:v>0.14268328585981011</c:v>
                </c:pt>
                <c:pt idx="6">
                  <c:v>0.15667602045129686</c:v>
                </c:pt>
                <c:pt idx="7">
                  <c:v>0.17485542684453015</c:v>
                </c:pt>
                <c:pt idx="8">
                  <c:v>0.19818713907605162</c:v>
                </c:pt>
                <c:pt idx="9">
                  <c:v>0.22766595841043905</c:v>
                </c:pt>
                <c:pt idx="10">
                  <c:v>0.26418297142572073</c:v>
                </c:pt>
                <c:pt idx="11">
                  <c:v>0.30832769485088418</c:v>
                </c:pt>
                <c:pt idx="12">
                  <c:v>0.36014544763749645</c:v>
                </c:pt>
                <c:pt idx="13">
                  <c:v>0.41890932439678408</c:v>
                </c:pt>
                <c:pt idx="14">
                  <c:v>0.48300173486950693</c:v>
                </c:pt>
                <c:pt idx="15">
                  <c:v>0.55000000000000004</c:v>
                </c:pt>
                <c:pt idx="16">
                  <c:v>0.61699826513049316</c:v>
                </c:pt>
                <c:pt idx="17">
                  <c:v>0.6810906756032159</c:v>
                </c:pt>
                <c:pt idx="18">
                  <c:v>0.73985455236250353</c:v>
                </c:pt>
                <c:pt idx="19">
                  <c:v>0.7916723051491158</c:v>
                </c:pt>
                <c:pt idx="20">
                  <c:v>0.8358170285742792</c:v>
                </c:pt>
                <c:pt idx="21">
                  <c:v>0.87233404158956107</c:v>
                </c:pt>
                <c:pt idx="22">
                  <c:v>0.90181286092394841</c:v>
                </c:pt>
                <c:pt idx="23">
                  <c:v>0.92514457315546994</c:v>
                </c:pt>
                <c:pt idx="24">
                  <c:v>0.94332397954870317</c:v>
                </c:pt>
                <c:pt idx="25">
                  <c:v>0.95731671414018993</c:v>
                </c:pt>
                <c:pt idx="26">
                  <c:v>0.96798592965462749</c:v>
                </c:pt>
                <c:pt idx="27">
                  <c:v>0.97606270578082066</c:v>
                </c:pt>
                <c:pt idx="28">
                  <c:v>0.98214372483933032</c:v>
                </c:pt>
                <c:pt idx="29">
                  <c:v>0.98670337147605425</c:v>
                </c:pt>
                <c:pt idx="30">
                  <c:v>0.99011175163246612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79374</xdr:colOff>
      <xdr:row>17</xdr:row>
      <xdr:rowOff>67468</xdr:rowOff>
    </xdr:from>
    <xdr:to>
      <xdr:col>15</xdr:col>
      <xdr:colOff>391320</xdr:colOff>
      <xdr:row>35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1796875" defaultRowHeight="14.5" x14ac:dyDescent="0.35"/>
  <cols>
    <col min="1" max="1" width="9.1796875" style="13"/>
    <col min="2" max="2" width="56.26953125" style="13" customWidth="1"/>
    <col min="3" max="16384" width="9.1796875" style="13"/>
  </cols>
  <sheetData>
    <row r="1" spans="1:2" x14ac:dyDescent="0.35">
      <c r="A1" s="12" t="s">
        <v>91</v>
      </c>
    </row>
    <row r="3" spans="1:2" x14ac:dyDescent="0.35">
      <c r="A3" s="12" t="s">
        <v>0</v>
      </c>
      <c r="B3" s="14" t="s">
        <v>102</v>
      </c>
    </row>
    <row r="4" spans="1:2" x14ac:dyDescent="0.35">
      <c r="B4" s="15" t="s">
        <v>36</v>
      </c>
    </row>
    <row r="6" spans="1:2" x14ac:dyDescent="0.35">
      <c r="A6" s="12" t="s">
        <v>6</v>
      </c>
    </row>
    <row r="7" spans="1:2" x14ac:dyDescent="0.35">
      <c r="A7" s="30" t="s">
        <v>93</v>
      </c>
    </row>
    <row r="8" spans="1:2" x14ac:dyDescent="0.35">
      <c r="A8" s="30" t="s">
        <v>94</v>
      </c>
    </row>
    <row r="9" spans="1:2" x14ac:dyDescent="0.35">
      <c r="A9" s="30" t="s">
        <v>95</v>
      </c>
    </row>
    <row r="10" spans="1:2" x14ac:dyDescent="0.35">
      <c r="A10" s="37" t="s">
        <v>96</v>
      </c>
    </row>
    <row r="11" spans="1:2" x14ac:dyDescent="0.35">
      <c r="A11" s="12"/>
    </row>
    <row r="12" spans="1:2" x14ac:dyDescent="0.35">
      <c r="A12" s="13" t="s">
        <v>7</v>
      </c>
    </row>
    <row r="13" spans="1:2" x14ac:dyDescent="0.35">
      <c r="A13" s="13" t="s">
        <v>8</v>
      </c>
    </row>
    <row r="15" spans="1:2" x14ac:dyDescent="0.35">
      <c r="A15" s="13" t="s">
        <v>70</v>
      </c>
    </row>
    <row r="16" spans="1:2" x14ac:dyDescent="0.35">
      <c r="A16" s="13" t="s">
        <v>30</v>
      </c>
    </row>
    <row r="17" spans="1:2" x14ac:dyDescent="0.35">
      <c r="A17" s="13" t="s">
        <v>92</v>
      </c>
    </row>
    <row r="18" spans="1:2" x14ac:dyDescent="0.35">
      <c r="A18" s="13" t="s">
        <v>31</v>
      </c>
    </row>
    <row r="20" spans="1:2" x14ac:dyDescent="0.35">
      <c r="A20" s="14" t="s">
        <v>29</v>
      </c>
      <c r="B20" s="16"/>
    </row>
    <row r="22" spans="1:2" x14ac:dyDescent="0.35">
      <c r="B22" s="14" t="s">
        <v>33</v>
      </c>
    </row>
    <row r="23" spans="1:2" x14ac:dyDescent="0.35">
      <c r="B23" s="17"/>
    </row>
    <row r="24" spans="1:2" x14ac:dyDescent="0.35">
      <c r="B24" s="13" t="s">
        <v>24</v>
      </c>
    </row>
    <row r="25" spans="1:2" x14ac:dyDescent="0.35">
      <c r="B25" s="13" t="s">
        <v>25</v>
      </c>
    </row>
    <row r="26" spans="1:2" x14ac:dyDescent="0.35">
      <c r="B26" s="13" t="s">
        <v>26</v>
      </c>
    </row>
    <row r="28" spans="1:2" x14ac:dyDescent="0.35">
      <c r="B28" s="13" t="s">
        <v>27</v>
      </c>
    </row>
    <row r="29" spans="1:2" x14ac:dyDescent="0.35">
      <c r="B29" s="13" t="s">
        <v>28</v>
      </c>
    </row>
    <row r="31" spans="1:2" x14ac:dyDescent="0.35">
      <c r="B31" s="13" t="s">
        <v>21</v>
      </c>
    </row>
    <row r="32" spans="1:2" x14ac:dyDescent="0.35">
      <c r="B32" s="13" t="s">
        <v>22</v>
      </c>
    </row>
    <row r="33" spans="2:2" x14ac:dyDescent="0.35">
      <c r="B33" s="13" t="s">
        <v>23</v>
      </c>
    </row>
    <row r="35" spans="2:2" x14ac:dyDescent="0.35">
      <c r="B35" s="14" t="s">
        <v>34</v>
      </c>
    </row>
    <row r="37" spans="2:2" x14ac:dyDescent="0.35">
      <c r="B37" s="13" t="s">
        <v>82</v>
      </c>
    </row>
    <row r="38" spans="2:2" x14ac:dyDescent="0.35">
      <c r="B38" s="13" t="s">
        <v>98</v>
      </c>
    </row>
    <row r="39" spans="2:2" x14ac:dyDescent="0.35">
      <c r="B39" s="13" t="s">
        <v>83</v>
      </c>
    </row>
    <row r="40" spans="2:2" x14ac:dyDescent="0.35">
      <c r="B40" s="13" t="s">
        <v>99</v>
      </c>
    </row>
    <row r="41" spans="2:2" x14ac:dyDescent="0.35">
      <c r="B41" s="13" t="s">
        <v>100</v>
      </c>
    </row>
    <row r="43" spans="2:2" x14ac:dyDescent="0.35">
      <c r="B43" s="13" t="s">
        <v>87</v>
      </c>
    </row>
    <row r="44" spans="2:2" x14ac:dyDescent="0.35">
      <c r="B44" s="13" t="s">
        <v>32</v>
      </c>
    </row>
    <row r="46" spans="2:2" x14ac:dyDescent="0.35">
      <c r="B46" s="13" t="s">
        <v>97</v>
      </c>
    </row>
    <row r="47" spans="2:2" x14ac:dyDescent="0.35">
      <c r="B47" s="13" t="s">
        <v>35</v>
      </c>
    </row>
    <row r="49" spans="2:2" x14ac:dyDescent="0.35">
      <c r="B49" s="13" t="s">
        <v>37</v>
      </c>
    </row>
    <row r="50" spans="2:2" x14ac:dyDescent="0.35">
      <c r="B50" s="13" t="s">
        <v>35</v>
      </c>
    </row>
    <row r="52" spans="2:2" x14ac:dyDescent="0.35">
      <c r="B52" s="14" t="s">
        <v>38</v>
      </c>
    </row>
    <row r="54" spans="2:2" x14ac:dyDescent="0.35">
      <c r="B54" s="13" t="s">
        <v>52</v>
      </c>
    </row>
    <row r="55" spans="2:2" x14ac:dyDescent="0.35">
      <c r="B55" s="13" t="s">
        <v>88</v>
      </c>
    </row>
    <row r="56" spans="2:2" x14ac:dyDescent="0.35">
      <c r="B56" s="13" t="s">
        <v>89</v>
      </c>
    </row>
    <row r="57" spans="2:2" x14ac:dyDescent="0.35">
      <c r="B57" s="13" t="s">
        <v>90</v>
      </c>
    </row>
    <row r="59" spans="2:2" x14ac:dyDescent="0.35">
      <c r="B59" s="13" t="s">
        <v>55</v>
      </c>
    </row>
    <row r="60" spans="2:2" x14ac:dyDescent="0.35">
      <c r="B60" s="13" t="s">
        <v>53</v>
      </c>
    </row>
    <row r="61" spans="2:2" x14ac:dyDescent="0.35">
      <c r="B61" s="13" t="s">
        <v>59</v>
      </c>
    </row>
    <row r="62" spans="2:2" x14ac:dyDescent="0.35">
      <c r="B62" s="13" t="s">
        <v>54</v>
      </c>
    </row>
    <row r="63" spans="2:2" x14ac:dyDescent="0.35">
      <c r="B63" s="13" t="s">
        <v>60</v>
      </c>
    </row>
    <row r="64" spans="2:2" x14ac:dyDescent="0.35">
      <c r="B64" s="13" t="s">
        <v>56</v>
      </c>
    </row>
    <row r="65" spans="2:2" x14ac:dyDescent="0.35">
      <c r="B65" s="13" t="s">
        <v>57</v>
      </c>
    </row>
    <row r="66" spans="2:2" x14ac:dyDescent="0.35">
      <c r="B66" s="13" t="s">
        <v>58</v>
      </c>
    </row>
    <row r="68" spans="2:2" x14ac:dyDescent="0.35">
      <c r="B68" s="13" t="s">
        <v>71</v>
      </c>
    </row>
    <row r="69" spans="2:2" x14ac:dyDescent="0.35">
      <c r="B69" s="13" t="s">
        <v>75</v>
      </c>
    </row>
    <row r="70" spans="2:2" x14ac:dyDescent="0.35">
      <c r="B70" s="13" t="s">
        <v>72</v>
      </c>
    </row>
    <row r="71" spans="2:2" x14ac:dyDescent="0.35">
      <c r="B71" s="13" t="s">
        <v>73</v>
      </c>
    </row>
    <row r="72" spans="2:2" x14ac:dyDescent="0.35">
      <c r="B72" s="13" t="s">
        <v>74</v>
      </c>
    </row>
    <row r="74" spans="2:2" x14ac:dyDescent="0.35">
      <c r="B74" s="13" t="s">
        <v>46</v>
      </c>
    </row>
    <row r="75" spans="2:2" x14ac:dyDescent="0.35">
      <c r="B75" s="13" t="s">
        <v>47</v>
      </c>
    </row>
    <row r="76" spans="2:2" x14ac:dyDescent="0.35">
      <c r="B76" s="13" t="s">
        <v>48</v>
      </c>
    </row>
    <row r="77" spans="2:2" x14ac:dyDescent="0.35">
      <c r="B77" s="13" t="s">
        <v>49</v>
      </c>
    </row>
    <row r="78" spans="2:2" x14ac:dyDescent="0.35">
      <c r="B78" s="13" t="s">
        <v>50</v>
      </c>
    </row>
    <row r="79" spans="2:2" x14ac:dyDescent="0.35">
      <c r="B79" s="13" t="s">
        <v>51</v>
      </c>
    </row>
    <row r="81" spans="2:2" x14ac:dyDescent="0.35">
      <c r="B81" s="13" t="s">
        <v>77</v>
      </c>
    </row>
    <row r="83" spans="2:2" x14ac:dyDescent="0.35">
      <c r="B83" s="13" t="s">
        <v>39</v>
      </c>
    </row>
    <row r="84" spans="2:2" x14ac:dyDescent="0.35">
      <c r="B84" s="13" t="s">
        <v>40</v>
      </c>
    </row>
    <row r="85" spans="2:2" x14ac:dyDescent="0.35">
      <c r="B85" s="13" t="s">
        <v>41</v>
      </c>
    </row>
    <row r="86" spans="2:2" x14ac:dyDescent="0.35">
      <c r="B86" s="13" t="s">
        <v>42</v>
      </c>
    </row>
    <row r="87" spans="2:2" x14ac:dyDescent="0.35">
      <c r="B87" s="13" t="s">
        <v>43</v>
      </c>
    </row>
    <row r="88" spans="2:2" x14ac:dyDescent="0.35">
      <c r="B88" s="13" t="s">
        <v>44</v>
      </c>
    </row>
    <row r="89" spans="2:2" x14ac:dyDescent="0.35">
      <c r="B89" s="13" t="s">
        <v>45</v>
      </c>
    </row>
  </sheetData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E30" sqref="E30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1796875" customWidth="1"/>
    <col min="6" max="8" width="23.26953125" customWidth="1"/>
    <col min="10" max="10" width="14.453125" bestFit="1" customWidth="1"/>
  </cols>
  <sheetData>
    <row r="1" spans="1:10" ht="29" x14ac:dyDescent="0.35">
      <c r="A1" s="31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 x14ac:dyDescent="0.35">
      <c r="A2" s="1" t="s">
        <v>12</v>
      </c>
      <c r="B2" s="4">
        <v>63750.17917891738</v>
      </c>
      <c r="C2" s="4">
        <v>26529.653513907131</v>
      </c>
      <c r="D2" s="4">
        <v>7863874.8584673926</v>
      </c>
      <c r="E2" s="4">
        <v>4673131.4869109076</v>
      </c>
      <c r="F2" s="4">
        <v>363483.18862196186</v>
      </c>
      <c r="G2" s="4">
        <v>1352441.2970028589</v>
      </c>
      <c r="H2" s="5">
        <v>3651.0147234652754</v>
      </c>
      <c r="J2" s="4"/>
    </row>
    <row r="3" spans="1:10" x14ac:dyDescent="0.35">
      <c r="A3" s="1" t="s">
        <v>13</v>
      </c>
      <c r="B3" s="5">
        <v>25003.820821082623</v>
      </c>
      <c r="C3" s="4">
        <v>10353.088786529765</v>
      </c>
      <c r="D3" s="5">
        <v>3068845.0029395702</v>
      </c>
      <c r="E3" s="4">
        <v>1823670.4512463559</v>
      </c>
      <c r="F3" s="5">
        <v>141847.82783693049</v>
      </c>
      <c r="G3" s="4">
        <v>527784.68512979639</v>
      </c>
      <c r="H3" s="4">
        <v>1424.7935644221143</v>
      </c>
      <c r="I3" s="4"/>
      <c r="J3" s="29"/>
    </row>
    <row r="4" spans="1:10" x14ac:dyDescent="0.35">
      <c r="A4" s="1" t="s">
        <v>14</v>
      </c>
      <c r="B4" s="5">
        <v>0</v>
      </c>
      <c r="C4" s="5">
        <v>0</v>
      </c>
      <c r="D4" s="5">
        <v>0</v>
      </c>
      <c r="E4" s="4">
        <v>822</v>
      </c>
      <c r="F4" s="5">
        <v>0</v>
      </c>
      <c r="G4" s="5">
        <v>0</v>
      </c>
      <c r="H4" s="5">
        <v>0</v>
      </c>
    </row>
    <row r="5" spans="1:10" x14ac:dyDescent="0.35">
      <c r="A5" s="1" t="s">
        <v>15</v>
      </c>
      <c r="B5" s="5">
        <v>1046.875</v>
      </c>
      <c r="C5" s="5">
        <v>0</v>
      </c>
      <c r="D5" s="5">
        <v>0</v>
      </c>
      <c r="E5" s="4">
        <v>669.83333333333326</v>
      </c>
      <c r="F5" s="5">
        <v>0</v>
      </c>
      <c r="G5" s="5">
        <v>0</v>
      </c>
      <c r="H5" s="5">
        <v>0</v>
      </c>
    </row>
    <row r="6" spans="1:10" x14ac:dyDescent="0.35">
      <c r="A6" s="1" t="s">
        <v>16</v>
      </c>
      <c r="B6" s="5">
        <v>0</v>
      </c>
      <c r="C6" s="5">
        <v>0</v>
      </c>
      <c r="D6" s="5">
        <v>0.4823245691429916</v>
      </c>
      <c r="E6" s="4">
        <v>328</v>
      </c>
      <c r="F6" s="5">
        <v>0</v>
      </c>
      <c r="G6" s="5">
        <v>0.19292982765719663</v>
      </c>
      <c r="H6" s="5">
        <v>0</v>
      </c>
    </row>
    <row r="7" spans="1:10" x14ac:dyDescent="0.35">
      <c r="A7" s="1" t="s">
        <v>17</v>
      </c>
      <c r="B7" s="5">
        <v>0</v>
      </c>
      <c r="C7" s="5">
        <v>0</v>
      </c>
      <c r="D7" s="5">
        <v>256111</v>
      </c>
      <c r="E7" s="5">
        <v>0</v>
      </c>
      <c r="F7" s="5">
        <v>0</v>
      </c>
      <c r="G7" s="5">
        <v>0</v>
      </c>
      <c r="H7" s="5">
        <v>0</v>
      </c>
    </row>
    <row r="8" spans="1:10" x14ac:dyDescent="0.35">
      <c r="B8" s="34"/>
      <c r="C8" s="34"/>
    </row>
    <row r="9" spans="1:10" x14ac:dyDescent="0.35">
      <c r="B9" s="4"/>
      <c r="C9" s="4"/>
      <c r="D9" s="4"/>
      <c r="E9" s="4"/>
      <c r="F9" s="4"/>
      <c r="G9" s="4"/>
      <c r="H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workbookViewId="0">
      <selection activeCell="G13" sqref="G13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1796875" customWidth="1"/>
    <col min="6" max="8" width="23.26953125" customWidth="1"/>
    <col min="9" max="9" width="13.453125" bestFit="1" customWidth="1"/>
    <col min="10" max="10" width="12.54296875" bestFit="1" customWidth="1"/>
  </cols>
  <sheetData>
    <row r="1" spans="1:10" ht="29" x14ac:dyDescent="0.35">
      <c r="A1" s="31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 x14ac:dyDescent="0.35">
      <c r="A2" s="1" t="s">
        <v>12</v>
      </c>
      <c r="B2" s="5">
        <v>907.7514621547972</v>
      </c>
      <c r="C2" s="5">
        <v>1217</v>
      </c>
      <c r="D2" s="5">
        <v>9802.0001098141292</v>
      </c>
      <c r="E2" s="5">
        <v>2691698.325326392</v>
      </c>
      <c r="F2" s="5">
        <v>0</v>
      </c>
      <c r="G2" s="5">
        <v>95017.558547199747</v>
      </c>
      <c r="H2" s="34">
        <v>0</v>
      </c>
      <c r="I2" s="29"/>
      <c r="J2" s="4"/>
    </row>
    <row r="3" spans="1:10" x14ac:dyDescent="0.35">
      <c r="A3" s="1" t="s">
        <v>13</v>
      </c>
      <c r="B3" s="34">
        <v>256.24853784520275</v>
      </c>
      <c r="C3" s="34">
        <v>0</v>
      </c>
      <c r="D3" s="34">
        <v>2766.9998901858708</v>
      </c>
      <c r="E3" s="34">
        <v>759837.67467360804</v>
      </c>
      <c r="F3" s="34">
        <v>0</v>
      </c>
      <c r="G3" s="5">
        <v>26822.441452800264</v>
      </c>
      <c r="H3" s="5">
        <v>0</v>
      </c>
      <c r="J3" s="4"/>
    </row>
    <row r="4" spans="1:10" x14ac:dyDescent="0.35">
      <c r="A4" s="1" t="s">
        <v>14</v>
      </c>
      <c r="B4" s="34">
        <v>0</v>
      </c>
      <c r="C4" s="34">
        <v>0</v>
      </c>
      <c r="D4" s="34">
        <v>0</v>
      </c>
      <c r="E4" s="11">
        <v>36</v>
      </c>
      <c r="F4" s="34">
        <v>0</v>
      </c>
      <c r="G4" s="5">
        <v>0</v>
      </c>
      <c r="H4" s="5">
        <v>0</v>
      </c>
    </row>
    <row r="5" spans="1:10" x14ac:dyDescent="0.35">
      <c r="A5" s="1" t="s">
        <v>15</v>
      </c>
      <c r="B5" s="34">
        <v>87.5</v>
      </c>
      <c r="C5" s="34">
        <v>0</v>
      </c>
      <c r="D5" s="34">
        <v>0</v>
      </c>
      <c r="E5" s="4">
        <v>127</v>
      </c>
      <c r="F5" s="34">
        <v>0</v>
      </c>
      <c r="G5" s="5">
        <v>0</v>
      </c>
      <c r="H5" s="5">
        <v>0</v>
      </c>
    </row>
    <row r="6" spans="1:10" x14ac:dyDescent="0.35">
      <c r="A6" s="1" t="s">
        <v>16</v>
      </c>
      <c r="B6" s="34">
        <v>0</v>
      </c>
      <c r="C6" s="34">
        <v>0</v>
      </c>
      <c r="D6" s="34">
        <v>2.0689959414152108</v>
      </c>
      <c r="E6" s="4">
        <v>1404.1034056820188</v>
      </c>
      <c r="F6" s="34">
        <v>0</v>
      </c>
      <c r="G6" s="5">
        <v>0.82759837656608437</v>
      </c>
      <c r="H6" s="5">
        <v>0</v>
      </c>
    </row>
    <row r="7" spans="1:10" x14ac:dyDescent="0.35">
      <c r="A7" s="1" t="s">
        <v>17</v>
      </c>
      <c r="B7" s="34">
        <v>0</v>
      </c>
      <c r="C7" s="34">
        <v>0</v>
      </c>
      <c r="D7" s="34">
        <v>1980784</v>
      </c>
      <c r="E7" s="34">
        <v>0</v>
      </c>
      <c r="F7" s="34">
        <v>0</v>
      </c>
      <c r="G7" s="5">
        <v>0</v>
      </c>
      <c r="H7" s="5">
        <v>0</v>
      </c>
    </row>
    <row r="8" spans="1:10" x14ac:dyDescent="0.35">
      <c r="B8" s="34"/>
      <c r="C8" s="34"/>
      <c r="D8" s="34"/>
      <c r="E8" s="34"/>
      <c r="F8" s="34"/>
      <c r="G8" s="34"/>
      <c r="H8" s="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A2" workbookViewId="0">
      <selection activeCell="D11" sqref="D11"/>
    </sheetView>
  </sheetViews>
  <sheetFormatPr defaultColWidth="9.1796875" defaultRowHeight="14.5" x14ac:dyDescent="0.35"/>
  <cols>
    <col min="1" max="1" width="23.26953125" style="13" customWidth="1"/>
    <col min="2" max="2" width="18.81640625" style="13" customWidth="1"/>
    <col min="3" max="3" width="24.1796875" style="13" customWidth="1"/>
    <col min="4" max="4" width="14.7265625" style="13" customWidth="1"/>
    <col min="5" max="5" width="16.26953125" style="13" customWidth="1"/>
    <col min="6" max="6" width="18" style="7" customWidth="1"/>
    <col min="7" max="7" width="9.1796875" style="13"/>
    <col min="8" max="9" width="9.1796875" style="13" customWidth="1"/>
    <col min="10" max="16384" width="9.1796875" style="13"/>
  </cols>
  <sheetData>
    <row r="1" spans="1:38" x14ac:dyDescent="0.35">
      <c r="A1" s="13" t="s">
        <v>65</v>
      </c>
      <c r="H1" s="18" t="s">
        <v>86</v>
      </c>
      <c r="I1" s="19"/>
      <c r="J1" s="20"/>
      <c r="K1" s="20"/>
      <c r="L1" s="20"/>
      <c r="N1" s="18" t="s">
        <v>85</v>
      </c>
      <c r="O1" s="19"/>
      <c r="P1" s="20"/>
      <c r="Q1" s="20"/>
      <c r="R1" s="20"/>
    </row>
    <row r="2" spans="1:38" x14ac:dyDescent="0.35">
      <c r="A2" s="13" t="s">
        <v>66</v>
      </c>
      <c r="H2" s="9" t="s">
        <v>61</v>
      </c>
      <c r="I2" s="21">
        <v>1</v>
      </c>
      <c r="N2" s="9" t="s">
        <v>61</v>
      </c>
      <c r="O2" s="21">
        <v>1</v>
      </c>
    </row>
    <row r="3" spans="1:38" x14ac:dyDescent="0.35">
      <c r="A3" s="13" t="s">
        <v>67</v>
      </c>
      <c r="H3" s="9" t="s">
        <v>62</v>
      </c>
      <c r="I3" s="21">
        <v>-0.3</v>
      </c>
      <c r="N3" s="9" t="s">
        <v>62</v>
      </c>
      <c r="O3" s="21">
        <v>-1</v>
      </c>
    </row>
    <row r="4" spans="1:38" ht="15" thickBot="1" x14ac:dyDescent="0.4">
      <c r="A4" s="13" t="s">
        <v>68</v>
      </c>
      <c r="H4" s="10" t="s">
        <v>63</v>
      </c>
      <c r="I4" s="22">
        <v>-16</v>
      </c>
      <c r="N4" s="10" t="s">
        <v>63</v>
      </c>
      <c r="O4" s="22">
        <v>-5</v>
      </c>
    </row>
    <row r="5" spans="1:38" x14ac:dyDescent="0.35">
      <c r="A5" s="13" t="s">
        <v>69</v>
      </c>
    </row>
    <row r="6" spans="1:38" ht="29" x14ac:dyDescent="0.35">
      <c r="A6" s="14"/>
      <c r="B6" s="14"/>
      <c r="C6" s="14"/>
      <c r="D6" s="2" t="s">
        <v>20</v>
      </c>
      <c r="E6" s="2" t="s">
        <v>20</v>
      </c>
      <c r="F6" s="2" t="s">
        <v>64</v>
      </c>
    </row>
    <row r="7" spans="1:38" x14ac:dyDescent="0.35">
      <c r="A7" s="14"/>
      <c r="B7" s="14"/>
      <c r="C7" s="14" t="s">
        <v>101</v>
      </c>
      <c r="D7" s="2">
        <v>2020</v>
      </c>
      <c r="E7" s="2">
        <v>2035</v>
      </c>
      <c r="F7" s="2"/>
    </row>
    <row r="8" spans="1:38" ht="43.5" x14ac:dyDescent="0.35">
      <c r="A8" s="14"/>
      <c r="B8" s="14"/>
      <c r="C8" s="14"/>
      <c r="D8" s="35">
        <v>2020</v>
      </c>
      <c r="E8" s="35">
        <v>2050</v>
      </c>
      <c r="F8" s="35" t="s">
        <v>84</v>
      </c>
    </row>
    <row r="9" spans="1:38" x14ac:dyDescent="0.35">
      <c r="A9" s="14" t="s">
        <v>9</v>
      </c>
      <c r="B9" s="14" t="s">
        <v>10</v>
      </c>
      <c r="C9" s="14" t="s">
        <v>11</v>
      </c>
      <c r="D9" s="14">
        <v>2020</v>
      </c>
      <c r="E9" s="14">
        <v>2050</v>
      </c>
      <c r="F9" s="6"/>
      <c r="H9" s="23">
        <f>D9</f>
        <v>2020</v>
      </c>
      <c r="I9" s="23">
        <f>H9+1</f>
        <v>2021</v>
      </c>
      <c r="J9" s="23">
        <f t="shared" ref="J9:AL9" si="0">I9+1</f>
        <v>2022</v>
      </c>
      <c r="K9" s="23">
        <f t="shared" si="0"/>
        <v>2023</v>
      </c>
      <c r="L9" s="23">
        <f t="shared" si="0"/>
        <v>2024</v>
      </c>
      <c r="M9" s="23">
        <f t="shared" si="0"/>
        <v>2025</v>
      </c>
      <c r="N9" s="23">
        <f t="shared" si="0"/>
        <v>2026</v>
      </c>
      <c r="O9" s="23">
        <f t="shared" si="0"/>
        <v>2027</v>
      </c>
      <c r="P9" s="23">
        <f t="shared" si="0"/>
        <v>2028</v>
      </c>
      <c r="Q9" s="23">
        <f t="shared" si="0"/>
        <v>2029</v>
      </c>
      <c r="R9" s="23">
        <f t="shared" si="0"/>
        <v>2030</v>
      </c>
      <c r="S9" s="23">
        <f t="shared" si="0"/>
        <v>2031</v>
      </c>
      <c r="T9" s="23">
        <f t="shared" si="0"/>
        <v>2032</v>
      </c>
      <c r="U9" s="23">
        <f t="shared" si="0"/>
        <v>2033</v>
      </c>
      <c r="V9" s="23">
        <f t="shared" si="0"/>
        <v>2034</v>
      </c>
      <c r="W9" s="23">
        <f t="shared" si="0"/>
        <v>2035</v>
      </c>
      <c r="X9" s="23">
        <f t="shared" si="0"/>
        <v>2036</v>
      </c>
      <c r="Y9" s="23">
        <f t="shared" si="0"/>
        <v>2037</v>
      </c>
      <c r="Z9" s="23">
        <f t="shared" si="0"/>
        <v>2038</v>
      </c>
      <c r="AA9" s="23">
        <f t="shared" si="0"/>
        <v>2039</v>
      </c>
      <c r="AB9" s="23">
        <f t="shared" si="0"/>
        <v>2040</v>
      </c>
      <c r="AC9" s="23">
        <f t="shared" si="0"/>
        <v>2041</v>
      </c>
      <c r="AD9" s="23">
        <f t="shared" si="0"/>
        <v>2042</v>
      </c>
      <c r="AE9" s="23">
        <f t="shared" si="0"/>
        <v>2043</v>
      </c>
      <c r="AF9" s="23">
        <f t="shared" si="0"/>
        <v>2044</v>
      </c>
      <c r="AG9" s="23">
        <f t="shared" si="0"/>
        <v>2045</v>
      </c>
      <c r="AH9" s="23">
        <f t="shared" si="0"/>
        <v>2046</v>
      </c>
      <c r="AI9" s="23">
        <f t="shared" si="0"/>
        <v>2047</v>
      </c>
      <c r="AJ9" s="23">
        <f t="shared" si="0"/>
        <v>2048</v>
      </c>
      <c r="AK9" s="23">
        <f t="shared" si="0"/>
        <v>2049</v>
      </c>
      <c r="AL9" s="23">
        <f t="shared" si="0"/>
        <v>2050</v>
      </c>
    </row>
    <row r="10" spans="1:38" x14ac:dyDescent="0.35">
      <c r="A10" s="13" t="s">
        <v>12</v>
      </c>
      <c r="B10" s="13" t="s">
        <v>19</v>
      </c>
      <c r="C10" s="13" t="s">
        <v>1</v>
      </c>
      <c r="D10" s="38">
        <v>0.1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 s="24">
        <f t="shared" ref="H10:H40" si="1">D10</f>
        <v>0.1</v>
      </c>
      <c r="I10" s="13">
        <f>IF($F10="s-curve",$D10+($E10-$D10)*$I$2/(1+EXP($I$3*(COUNT($H$9:I$9)+$I$4))),TREND($D10:$E10,$D$9:$E$9,I$9))</f>
        <v>0.11329662852394576</v>
      </c>
      <c r="J10" s="13">
        <f>IF($F10="s-curve",$D10+($E10-$D10)*$I$2/(1+EXP($I$3*(COUNT($H$9:J$9)+$I$4))),TREND($D10:$E10,$D$9:$E$9,J$9))</f>
        <v>0.11785627516066977</v>
      </c>
      <c r="K10" s="13">
        <f>IF($F10="s-curve",$D10+($E10-$D10)*$I$2/(1+EXP($I$3*(COUNT($H$9:K$9)+$I$4))),TREND($D10:$E10,$D$9:$E$9,K$9))</f>
        <v>0.12393729421917929</v>
      </c>
      <c r="L10" s="13">
        <f>IF($F10="s-curve",$D10+($E10-$D10)*$I$2/(1+EXP($I$3*(COUNT($H$9:L$9)+$I$4))),TREND($D10:$E10,$D$9:$E$9,L$9))</f>
        <v>0.13201407034537258</v>
      </c>
      <c r="M10" s="13">
        <f>IF($F10="s-curve",$D10+($E10-$D10)*$I$2/(1+EXP($I$3*(COUNT($H$9:M$9)+$I$4))),TREND($D10:$E10,$D$9:$E$9,M$9))</f>
        <v>0.14268328585981011</v>
      </c>
      <c r="N10" s="13">
        <f>IF($F10="s-curve",$D10+($E10-$D10)*$I$2/(1+EXP($I$3*(COUNT($H$9:N$9)+$I$4))),TREND($D10:$E10,$D$9:$E$9,N$9))</f>
        <v>0.15667602045129686</v>
      </c>
      <c r="O10" s="13">
        <f>IF($F10="s-curve",$D10+($E10-$D10)*$I$2/(1+EXP($I$3*(COUNT($H$9:O$9)+$I$4))),TREND($D10:$E10,$D$9:$E$9,O$9))</f>
        <v>0.17485542684453015</v>
      </c>
      <c r="P10" s="13">
        <f>IF($F10="s-curve",$D10+($E10-$D10)*$I$2/(1+EXP($I$3*(COUNT($H$9:P$9)+$I$4))),TREND($D10:$E10,$D$9:$E$9,P$9))</f>
        <v>0.19818713907605162</v>
      </c>
      <c r="Q10" s="13">
        <f>IF($F10="s-curve",$D10+($E10-$D10)*$I$2/(1+EXP($I$3*(COUNT($H$9:Q$9)+$I$4))),TREND($D10:$E10,$D$9:$E$9,Q$9))</f>
        <v>0.22766595841043905</v>
      </c>
      <c r="R10" s="13">
        <f>IF($F10="s-curve",$D10+($E10-$D10)*$I$2/(1+EXP($I$3*(COUNT($H$9:R$9)+$I$4))),TREND($D10:$E10,$D$9:$E$9,R$9))</f>
        <v>0.26418297142572073</v>
      </c>
      <c r="S10" s="13">
        <f>IF($F10="s-curve",$D10+($E10-$D10)*$I$2/(1+EXP($I$3*(COUNT($H$9:S$9)+$I$4))),TREND($D10:$E10,$D$9:$E$9,S$9))</f>
        <v>0.30832769485088418</v>
      </c>
      <c r="T10" s="13">
        <f>IF($F10="s-curve",$D10+($E10-$D10)*$I$2/(1+EXP($I$3*(COUNT($H$9:T$9)+$I$4))),TREND($D10:$E10,$D$9:$E$9,T$9))</f>
        <v>0.36014544763749645</v>
      </c>
      <c r="U10" s="13">
        <f>IF($F10="s-curve",$D10+($E10-$D10)*$I$2/(1+EXP($I$3*(COUNT($H$9:U$9)+$I$4))),TREND($D10:$E10,$D$9:$E$9,U$9))</f>
        <v>0.41890932439678408</v>
      </c>
      <c r="V10" s="13">
        <f>IF($F10="s-curve",$D10+($E10-$D10)*$I$2/(1+EXP($I$3*(COUNT($H$9:V$9)+$I$4))),TREND($D10:$E10,$D$9:$E$9,V$9))</f>
        <v>0.48300173486950693</v>
      </c>
      <c r="W10" s="13">
        <f>IF($F10="s-curve",$D10+($E10-$D10)*$I$2/(1+EXP($I$3*(COUNT($H$9:W$9)+$I$4))),TREND($D10:$E10,$D$9:$E$9,W$9))</f>
        <v>0.55000000000000004</v>
      </c>
      <c r="X10" s="13">
        <f>IF($F10="s-curve",$D10+($E10-$D10)*$I$2/(1+EXP($I$3*(COUNT($H$9:X$9)+$I$4))),TREND($D10:$E10,$D$9:$E$9,X$9))</f>
        <v>0.61699826513049316</v>
      </c>
      <c r="Y10" s="13">
        <f>IF($F10="s-curve",$D10+($E10-$D10)*$I$2/(1+EXP($I$3*(COUNT($H$9:Y$9)+$I$4))),TREND($D10:$E10,$D$9:$E$9,Y$9))</f>
        <v>0.6810906756032159</v>
      </c>
      <c r="Z10" s="13">
        <f>IF($F10="s-curve",$D10+($E10-$D10)*$I$2/(1+EXP($I$3*(COUNT($H$9:Z$9)+$I$4))),TREND($D10:$E10,$D$9:$E$9,Z$9))</f>
        <v>0.73985455236250353</v>
      </c>
      <c r="AA10" s="13">
        <f>IF($F10="s-curve",$D10+($E10-$D10)*$I$2/(1+EXP($I$3*(COUNT($H$9:AA$9)+$I$4))),TREND($D10:$E10,$D$9:$E$9,AA$9))</f>
        <v>0.7916723051491158</v>
      </c>
      <c r="AB10" s="13">
        <f>IF($F10="s-curve",$D10+($E10-$D10)*$I$2/(1+EXP($I$3*(COUNT($H$9:AB$9)+$I$4))),TREND($D10:$E10,$D$9:$E$9,AB$9))</f>
        <v>0.8358170285742792</v>
      </c>
      <c r="AC10" s="13">
        <f>IF($F10="s-curve",$D10+($E10-$D10)*$I$2/(1+EXP($I$3*(COUNT($H$9:AC$9)+$I$4))),TREND($D10:$E10,$D$9:$E$9,AC$9))</f>
        <v>0.87233404158956107</v>
      </c>
      <c r="AD10" s="13">
        <f>IF($F10="s-curve",$D10+($E10-$D10)*$I$2/(1+EXP($I$3*(COUNT($H$9:AD$9)+$I$4))),TREND($D10:$E10,$D$9:$E$9,AD$9))</f>
        <v>0.90181286092394841</v>
      </c>
      <c r="AE10" s="13">
        <f>IF($F10="s-curve",$D10+($E10-$D10)*$I$2/(1+EXP($I$3*(COUNT($H$9:AE$9)+$I$4))),TREND($D10:$E10,$D$9:$E$9,AE$9))</f>
        <v>0.92514457315546994</v>
      </c>
      <c r="AF10" s="13">
        <f>IF($F10="s-curve",$D10+($E10-$D10)*$I$2/(1+EXP($I$3*(COUNT($H$9:AF$9)+$I$4))),TREND($D10:$E10,$D$9:$E$9,AF$9))</f>
        <v>0.94332397954870317</v>
      </c>
      <c r="AG10" s="13">
        <f>IF($F10="s-curve",$D10+($E10-$D10)*$I$2/(1+EXP($I$3*(COUNT($H$9:AG$9)+$I$4))),TREND($D10:$E10,$D$9:$E$9,AG$9))</f>
        <v>0.95731671414018993</v>
      </c>
      <c r="AH10" s="13">
        <f>IF($F10="s-curve",$D10+($E10-$D10)*$I$2/(1+EXP($I$3*(COUNT($H$9:AH$9)+$I$4))),TREND($D10:$E10,$D$9:$E$9,AH$9))</f>
        <v>0.96798592965462749</v>
      </c>
      <c r="AI10" s="13">
        <f>IF($F10="s-curve",$D10+($E10-$D10)*$I$2/(1+EXP($I$3*(COUNT($H$9:AI$9)+$I$4))),TREND($D10:$E10,$D$9:$E$9,AI$9))</f>
        <v>0.97606270578082066</v>
      </c>
      <c r="AJ10" s="13">
        <f>IF($F10="s-curve",$D10+($E10-$D10)*$I$2/(1+EXP($I$3*(COUNT($H$9:AJ$9)+$I$4))),TREND($D10:$E10,$D$9:$E$9,AJ$9))</f>
        <v>0.98214372483933032</v>
      </c>
      <c r="AK10" s="13">
        <f>IF($F10="s-curve",$D10+($E10-$D10)*$I$2/(1+EXP($I$3*(COUNT($H$9:AK$9)+$I$4))),TREND($D10:$E10,$D$9:$E$9,AK$9))</f>
        <v>0.98670337147605425</v>
      </c>
      <c r="AL10" s="13">
        <f>IF($F10="s-curve",$D10+($E10-$D10)*$I$2/(1+EXP($I$3*(COUNT($H$9:AL$9)+$I$4))),TREND($D10:$E10,$D$9:$E$9,AL$9))</f>
        <v>0.99011175163246612</v>
      </c>
    </row>
    <row r="11" spans="1:38" x14ac:dyDescent="0.35">
      <c r="C11" s="13" t="s">
        <v>2</v>
      </c>
      <c r="D11" s="39">
        <f>1.25*INDEX('SYVbT-passenger'!$B$2:$H$2,MATCH(Data!$C11,'SYVbT-passenger'!$B$1:$H$1,0))/SUM('SYVbT-passenger'!$B$2:$H$2)</f>
        <v>2.3114509385886379E-3</v>
      </c>
      <c r="E11" s="24">
        <f>D11</f>
        <v>2.3114509385886379E-3</v>
      </c>
      <c r="F11" s="7" t="str">
        <f>IF(D11=E11,"n/a",IF(OR(C11="battery electric vehicle",C11="natural gas vehicle",C11="plugin hybrid vehicle"),"s-curve","linear"))</f>
        <v>n/a</v>
      </c>
      <c r="H11" s="24">
        <f t="shared" si="1"/>
        <v>2.3114509385886379E-3</v>
      </c>
      <c r="I11" s="13">
        <f>IF($F11="s-curve",$D11+($E11-$D11)*$I$2/(1+EXP($I$3*(COUNT($H$9:I$9)+$I$4))),TREND($D11:$E11,$D$9:$E$9,I$9))</f>
        <v>2.3114509385886379E-3</v>
      </c>
      <c r="J11" s="13">
        <f>IF($F11="s-curve",$D11+($E11-$D11)*$I$2/(1+EXP($I$3*(COUNT($H$9:J$9)+$I$4))),TREND($D11:$E11,$D$9:$E$9,J$9))</f>
        <v>2.3114509385886379E-3</v>
      </c>
      <c r="K11" s="13">
        <f>IF($F11="s-curve",$D11+($E11-$D11)*$I$2/(1+EXP($I$3*(COUNT($H$9:K$9)+$I$4))),TREND($D11:$E11,$D$9:$E$9,K$9))</f>
        <v>2.3114509385886379E-3</v>
      </c>
      <c r="L11" s="13">
        <f>IF($F11="s-curve",$D11+($E11-$D11)*$I$2/(1+EXP($I$3*(COUNT($H$9:L$9)+$I$4))),TREND($D11:$E11,$D$9:$E$9,L$9))</f>
        <v>2.3114509385886379E-3</v>
      </c>
      <c r="M11" s="13">
        <f>IF($F11="s-curve",$D11+($E11-$D11)*$I$2/(1+EXP($I$3*(COUNT($H$9:M$9)+$I$4))),TREND($D11:$E11,$D$9:$E$9,M$9))</f>
        <v>2.3114509385886379E-3</v>
      </c>
      <c r="N11" s="13">
        <f>IF($F11="s-curve",$D11+($E11-$D11)*$I$2/(1+EXP($I$3*(COUNT($H$9:N$9)+$I$4))),TREND($D11:$E11,$D$9:$E$9,N$9))</f>
        <v>2.3114509385886379E-3</v>
      </c>
      <c r="O11" s="13">
        <f>IF($F11="s-curve",$D11+($E11-$D11)*$I$2/(1+EXP($I$3*(COUNT($H$9:O$9)+$I$4))),TREND($D11:$E11,$D$9:$E$9,O$9))</f>
        <v>2.3114509385886379E-3</v>
      </c>
      <c r="P11" s="13">
        <f>IF($F11="s-curve",$D11+($E11-$D11)*$I$2/(1+EXP($I$3*(COUNT($H$9:P$9)+$I$4))),TREND($D11:$E11,$D$9:$E$9,P$9))</f>
        <v>2.3114509385886379E-3</v>
      </c>
      <c r="Q11" s="13">
        <f>IF($F11="s-curve",$D11+($E11-$D11)*$I$2/(1+EXP($I$3*(COUNT($H$9:Q$9)+$I$4))),TREND($D11:$E11,$D$9:$E$9,Q$9))</f>
        <v>2.3114509385886379E-3</v>
      </c>
      <c r="R11" s="13">
        <f>IF($F11="s-curve",$D11+($E11-$D11)*$I$2/(1+EXP($I$3*(COUNT($H$9:R$9)+$I$4))),TREND($D11:$E11,$D$9:$E$9,R$9))</f>
        <v>2.3114509385886379E-3</v>
      </c>
      <c r="S11" s="13">
        <f>IF($F11="s-curve",$D11+($E11-$D11)*$I$2/(1+EXP($I$3*(COUNT($H$9:S$9)+$I$4))),TREND($D11:$E11,$D$9:$E$9,S$9))</f>
        <v>2.3114509385886379E-3</v>
      </c>
      <c r="T11" s="13">
        <f>IF($F11="s-curve",$D11+($E11-$D11)*$I$2/(1+EXP($I$3*(COUNT($H$9:T$9)+$I$4))),TREND($D11:$E11,$D$9:$E$9,T$9))</f>
        <v>2.3114509385886379E-3</v>
      </c>
      <c r="U11" s="13">
        <f>IF($F11="s-curve",$D11+($E11-$D11)*$I$2/(1+EXP($I$3*(COUNT($H$9:U$9)+$I$4))),TREND($D11:$E11,$D$9:$E$9,U$9))</f>
        <v>2.3114509385886379E-3</v>
      </c>
      <c r="V11" s="13">
        <f>IF($F11="s-curve",$D11+($E11-$D11)*$I$2/(1+EXP($I$3*(COUNT($H$9:V$9)+$I$4))),TREND($D11:$E11,$D$9:$E$9,V$9))</f>
        <v>2.3114509385886379E-3</v>
      </c>
      <c r="W11" s="13">
        <f>IF($F11="s-curve",$D11+($E11-$D11)*$I$2/(1+EXP($I$3*(COUNT($H$9:W$9)+$I$4))),TREND($D11:$E11,$D$9:$E$9,W$9))</f>
        <v>2.3114509385886379E-3</v>
      </c>
      <c r="X11" s="13">
        <f>IF($F11="s-curve",$D11+($E11-$D11)*$I$2/(1+EXP($I$3*(COUNT($H$9:X$9)+$I$4))),TREND($D11:$E11,$D$9:$E$9,X$9))</f>
        <v>2.3114509385886379E-3</v>
      </c>
      <c r="Y11" s="13">
        <f>IF($F11="s-curve",$D11+($E11-$D11)*$I$2/(1+EXP($I$3*(COUNT($H$9:Y$9)+$I$4))),TREND($D11:$E11,$D$9:$E$9,Y$9))</f>
        <v>2.3114509385886379E-3</v>
      </c>
      <c r="Z11" s="13">
        <f>IF($F11="s-curve",$D11+($E11-$D11)*$I$2/(1+EXP($I$3*(COUNT($H$9:Z$9)+$I$4))),TREND($D11:$E11,$D$9:$E$9,Z$9))</f>
        <v>2.3114509385886379E-3</v>
      </c>
      <c r="AA11" s="13">
        <f>IF($F11="s-curve",$D11+($E11-$D11)*$I$2/(1+EXP($I$3*(COUNT($H$9:AA$9)+$I$4))),TREND($D11:$E11,$D$9:$E$9,AA$9))</f>
        <v>2.3114509385886379E-3</v>
      </c>
      <c r="AB11" s="13">
        <f>IF($F11="s-curve",$D11+($E11-$D11)*$I$2/(1+EXP($I$3*(COUNT($H$9:AB$9)+$I$4))),TREND($D11:$E11,$D$9:$E$9,AB$9))</f>
        <v>2.3114509385886379E-3</v>
      </c>
      <c r="AC11" s="13">
        <f>IF($F11="s-curve",$D11+($E11-$D11)*$I$2/(1+EXP($I$3*(COUNT($H$9:AC$9)+$I$4))),TREND($D11:$E11,$D$9:$E$9,AC$9))</f>
        <v>2.3114509385886379E-3</v>
      </c>
      <c r="AD11" s="13">
        <f>IF($F11="s-curve",$D11+($E11-$D11)*$I$2/(1+EXP($I$3*(COUNT($H$9:AD$9)+$I$4))),TREND($D11:$E11,$D$9:$E$9,AD$9))</f>
        <v>2.3114509385886379E-3</v>
      </c>
      <c r="AE11" s="13">
        <f>IF($F11="s-curve",$D11+($E11-$D11)*$I$2/(1+EXP($I$3*(COUNT($H$9:AE$9)+$I$4))),TREND($D11:$E11,$D$9:$E$9,AE$9))</f>
        <v>2.3114509385886379E-3</v>
      </c>
      <c r="AF11" s="13">
        <f>IF($F11="s-curve",$D11+($E11-$D11)*$I$2/(1+EXP($I$3*(COUNT($H$9:AF$9)+$I$4))),TREND($D11:$E11,$D$9:$E$9,AF$9))</f>
        <v>2.3114509385886379E-3</v>
      </c>
      <c r="AG11" s="13">
        <f>IF($F11="s-curve",$D11+($E11-$D11)*$I$2/(1+EXP($I$3*(COUNT($H$9:AG$9)+$I$4))),TREND($D11:$E11,$D$9:$E$9,AG$9))</f>
        <v>2.3114509385886379E-3</v>
      </c>
      <c r="AH11" s="13">
        <f>IF($F11="s-curve",$D11+($E11-$D11)*$I$2/(1+EXP($I$3*(COUNT($H$9:AH$9)+$I$4))),TREND($D11:$E11,$D$9:$E$9,AH$9))</f>
        <v>2.3114509385886379E-3</v>
      </c>
      <c r="AI11" s="13">
        <f>IF($F11="s-curve",$D11+($E11-$D11)*$I$2/(1+EXP($I$3*(COUNT($H$9:AI$9)+$I$4))),TREND($D11:$E11,$D$9:$E$9,AI$9))</f>
        <v>2.3114509385886379E-3</v>
      </c>
      <c r="AJ11" s="13">
        <f>IF($F11="s-curve",$D11+($E11-$D11)*$I$2/(1+EXP($I$3*(COUNT($H$9:AJ$9)+$I$4))),TREND($D11:$E11,$D$9:$E$9,AJ$9))</f>
        <v>2.3114509385886379E-3</v>
      </c>
      <c r="AK11" s="13">
        <f>IF($F11="s-curve",$D11+($E11-$D11)*$I$2/(1+EXP($I$3*(COUNT($H$9:AK$9)+$I$4))),TREND($D11:$E11,$D$9:$E$9,AK$9))</f>
        <v>2.3114509385886379E-3</v>
      </c>
      <c r="AL11" s="13">
        <f>IF($F11="s-curve",$D11+($E11-$D11)*$I$2/(1+EXP($I$3*(COUNT($H$9:AL$9)+$I$4))),TREND($D11:$E11,$D$9:$E$9,AL$9))</f>
        <v>2.3114509385886379E-3</v>
      </c>
    </row>
    <row r="12" spans="1:38" x14ac:dyDescent="0.35">
      <c r="C12" s="13" t="s">
        <v>3</v>
      </c>
      <c r="D12" s="39">
        <f>1.25*INDEX('SYVbT-passenger'!$B$2:$H$2,MATCH(Data!$C12,'SYVbT-passenger'!$B$1:$H$1,0))/SUM('SYVbT-passenger'!$B$2:$H$2)*3</f>
        <v>2.0554690900527017</v>
      </c>
      <c r="E12" s="24">
        <f>D12</f>
        <v>2.0554690900527017</v>
      </c>
      <c r="F12" s="7" t="str">
        <f>IF(D12=E12,"n/a",IF(OR(C12="battery electric vehicle",C12="natural gas vehicle",C12="plugin hybrid vehicle"),"s-curve","linear"))</f>
        <v>n/a</v>
      </c>
      <c r="H12" s="24">
        <f t="shared" si="1"/>
        <v>2.0554690900527017</v>
      </c>
      <c r="I12" s="13">
        <f>IF($F12="s-curve",$D12+($E12-$D12)*$I$2/(1+EXP($I$3*(COUNT($H$9:I$9)+$I$4))),TREND($D12:$E12,$D$9:$E$9,I$9))</f>
        <v>2.0554690900527017</v>
      </c>
      <c r="J12" s="13">
        <f>IF($F12="s-curve",$D12+($E12-$D12)*$I$2/(1+EXP($I$3*(COUNT($H$9:J$9)+$I$4))),TREND($D12:$E12,$D$9:$E$9,J$9))</f>
        <v>2.0554690900527017</v>
      </c>
      <c r="K12" s="13">
        <f>IF($F12="s-curve",$D12+($E12-$D12)*$I$2/(1+EXP($I$3*(COUNT($H$9:K$9)+$I$4))),TREND($D12:$E12,$D$9:$E$9,K$9))</f>
        <v>2.0554690900527017</v>
      </c>
      <c r="L12" s="13">
        <f>IF($F12="s-curve",$D12+($E12-$D12)*$I$2/(1+EXP($I$3*(COUNT($H$9:L$9)+$I$4))),TREND($D12:$E12,$D$9:$E$9,L$9))</f>
        <v>2.0554690900527017</v>
      </c>
      <c r="M12" s="13">
        <f>IF($F12="s-curve",$D12+($E12-$D12)*$I$2/(1+EXP($I$3*(COUNT($H$9:M$9)+$I$4))),TREND($D12:$E12,$D$9:$E$9,M$9))</f>
        <v>2.0554690900527017</v>
      </c>
      <c r="N12" s="13">
        <f>IF($F12="s-curve",$D12+($E12-$D12)*$I$2/(1+EXP($I$3*(COUNT($H$9:N$9)+$I$4))),TREND($D12:$E12,$D$9:$E$9,N$9))</f>
        <v>2.0554690900527017</v>
      </c>
      <c r="O12" s="13">
        <f>IF($F12="s-curve",$D12+($E12-$D12)*$I$2/(1+EXP($I$3*(COUNT($H$9:O$9)+$I$4))),TREND($D12:$E12,$D$9:$E$9,O$9))</f>
        <v>2.0554690900527017</v>
      </c>
      <c r="P12" s="13">
        <f>IF($F12="s-curve",$D12+($E12-$D12)*$I$2/(1+EXP($I$3*(COUNT($H$9:P$9)+$I$4))),TREND($D12:$E12,$D$9:$E$9,P$9))</f>
        <v>2.0554690900527017</v>
      </c>
      <c r="Q12" s="13">
        <f>IF($F12="s-curve",$D12+($E12-$D12)*$I$2/(1+EXP($I$3*(COUNT($H$9:Q$9)+$I$4))),TREND($D12:$E12,$D$9:$E$9,Q$9))</f>
        <v>2.0554690900527017</v>
      </c>
      <c r="R12" s="13">
        <f>IF($F12="s-curve",$D12+($E12-$D12)*$I$2/(1+EXP($I$3*(COUNT($H$9:R$9)+$I$4))),TREND($D12:$E12,$D$9:$E$9,R$9))</f>
        <v>2.0554690900527017</v>
      </c>
      <c r="S12" s="13">
        <f>IF($F12="s-curve",$D12+($E12-$D12)*$I$2/(1+EXP($I$3*(COUNT($H$9:S$9)+$I$4))),TREND($D12:$E12,$D$9:$E$9,S$9))</f>
        <v>2.0554690900527017</v>
      </c>
      <c r="T12" s="13">
        <f>IF($F12="s-curve",$D12+($E12-$D12)*$I$2/(1+EXP($I$3*(COUNT($H$9:T$9)+$I$4))),TREND($D12:$E12,$D$9:$E$9,T$9))</f>
        <v>2.0554690900527017</v>
      </c>
      <c r="U12" s="13">
        <f>IF($F12="s-curve",$D12+($E12-$D12)*$I$2/(1+EXP($I$3*(COUNT($H$9:U$9)+$I$4))),TREND($D12:$E12,$D$9:$E$9,U$9))</f>
        <v>2.0554690900527017</v>
      </c>
      <c r="V12" s="13">
        <f>IF($F12="s-curve",$D12+($E12-$D12)*$I$2/(1+EXP($I$3*(COUNT($H$9:V$9)+$I$4))),TREND($D12:$E12,$D$9:$E$9,V$9))</f>
        <v>2.0554690900527017</v>
      </c>
      <c r="W12" s="13">
        <f>IF($F12="s-curve",$D12+($E12-$D12)*$I$2/(1+EXP($I$3*(COUNT($H$9:W$9)+$I$4))),TREND($D12:$E12,$D$9:$E$9,W$9))</f>
        <v>2.0554690900527017</v>
      </c>
      <c r="X12" s="13">
        <f>IF($F12="s-curve",$D12+($E12-$D12)*$I$2/(1+EXP($I$3*(COUNT($H$9:X$9)+$I$4))),TREND($D12:$E12,$D$9:$E$9,X$9))</f>
        <v>2.0554690900527017</v>
      </c>
      <c r="Y12" s="13">
        <f>IF($F12="s-curve",$D12+($E12-$D12)*$I$2/(1+EXP($I$3*(COUNT($H$9:Y$9)+$I$4))),TREND($D12:$E12,$D$9:$E$9,Y$9))</f>
        <v>2.0554690900527017</v>
      </c>
      <c r="Z12" s="13">
        <f>IF($F12="s-curve",$D12+($E12-$D12)*$I$2/(1+EXP($I$3*(COUNT($H$9:Z$9)+$I$4))),TREND($D12:$E12,$D$9:$E$9,Z$9))</f>
        <v>2.0554690900527017</v>
      </c>
      <c r="AA12" s="13">
        <f>IF($F12="s-curve",$D12+($E12-$D12)*$I$2/(1+EXP($I$3*(COUNT($H$9:AA$9)+$I$4))),TREND($D12:$E12,$D$9:$E$9,AA$9))</f>
        <v>2.0554690900527017</v>
      </c>
      <c r="AB12" s="13">
        <f>IF($F12="s-curve",$D12+($E12-$D12)*$I$2/(1+EXP($I$3*(COUNT($H$9:AB$9)+$I$4))),TREND($D12:$E12,$D$9:$E$9,AB$9))</f>
        <v>2.0554690900527017</v>
      </c>
      <c r="AC12" s="13">
        <f>IF($F12="s-curve",$D12+($E12-$D12)*$I$2/(1+EXP($I$3*(COUNT($H$9:AC$9)+$I$4))),TREND($D12:$E12,$D$9:$E$9,AC$9))</f>
        <v>2.0554690900527017</v>
      </c>
      <c r="AD12" s="13">
        <f>IF($F12="s-curve",$D12+($E12-$D12)*$I$2/(1+EXP($I$3*(COUNT($H$9:AD$9)+$I$4))),TREND($D12:$E12,$D$9:$E$9,AD$9))</f>
        <v>2.0554690900527017</v>
      </c>
      <c r="AE12" s="13">
        <f>IF($F12="s-curve",$D12+($E12-$D12)*$I$2/(1+EXP($I$3*(COUNT($H$9:AE$9)+$I$4))),TREND($D12:$E12,$D$9:$E$9,AE$9))</f>
        <v>2.0554690900527017</v>
      </c>
      <c r="AF12" s="13">
        <f>IF($F12="s-curve",$D12+($E12-$D12)*$I$2/(1+EXP($I$3*(COUNT($H$9:AF$9)+$I$4))),TREND($D12:$E12,$D$9:$E$9,AF$9))</f>
        <v>2.0554690900527017</v>
      </c>
      <c r="AG12" s="13">
        <f>IF($F12="s-curve",$D12+($E12-$D12)*$I$2/(1+EXP($I$3*(COUNT($H$9:AG$9)+$I$4))),TREND($D12:$E12,$D$9:$E$9,AG$9))</f>
        <v>2.0554690900527017</v>
      </c>
      <c r="AH12" s="13">
        <f>IF($F12="s-curve",$D12+($E12-$D12)*$I$2/(1+EXP($I$3*(COUNT($H$9:AH$9)+$I$4))),TREND($D12:$E12,$D$9:$E$9,AH$9))</f>
        <v>2.0554690900527017</v>
      </c>
      <c r="AI12" s="13">
        <f>IF($F12="s-curve",$D12+($E12-$D12)*$I$2/(1+EXP($I$3*(COUNT($H$9:AI$9)+$I$4))),TREND($D12:$E12,$D$9:$E$9,AI$9))</f>
        <v>2.0554690900527017</v>
      </c>
      <c r="AJ12" s="13">
        <f>IF($F12="s-curve",$D12+($E12-$D12)*$I$2/(1+EXP($I$3*(COUNT($H$9:AJ$9)+$I$4))),TREND($D12:$E12,$D$9:$E$9,AJ$9))</f>
        <v>2.0554690900527017</v>
      </c>
      <c r="AK12" s="13">
        <f>IF($F12="s-curve",$D12+($E12-$D12)*$I$2/(1+EXP($I$3*(COUNT($H$9:AK$9)+$I$4))),TREND($D12:$E12,$D$9:$E$9,AK$9))</f>
        <v>2.0554690900527017</v>
      </c>
      <c r="AL12" s="13">
        <f>IF($F12="s-curve",$D12+($E12-$D12)*$I$2/(1+EXP($I$3*(COUNT($H$9:AL$9)+$I$4))),TREND($D12:$E12,$D$9:$E$9,AL$9))</f>
        <v>2.0554690900527017</v>
      </c>
    </row>
    <row r="13" spans="1:38" x14ac:dyDescent="0.35">
      <c r="C13" s="13" t="s">
        <v>4</v>
      </c>
      <c r="D13" s="39">
        <f>1.25*INDEX('SYVbT-passenger'!$B$2:$H$2,MATCH(Data!$C13,'SYVbT-passenger'!$B$1:$H$1,0))/SUM('SYVbT-passenger'!$B$2:$H$2)*3</f>
        <v>1.2214687412980303</v>
      </c>
      <c r="E13" s="24">
        <f t="shared" ref="E13:E15" si="2">D13</f>
        <v>1.2214687412980303</v>
      </c>
      <c r="F13" s="7" t="str">
        <f>IF(D13=E13,"n/a",IF(OR(C13="battery electric vehicle",C13="natural gas vehicle",C13="plugin hybrid vehicle"),"s-curve","linear"))</f>
        <v>n/a</v>
      </c>
      <c r="H13" s="24">
        <f t="shared" si="1"/>
        <v>1.2214687412980303</v>
      </c>
      <c r="I13" s="13">
        <f>IF($F13="s-curve",$D13+($E13-$D13)*$I$2/(1+EXP($I$3*(COUNT($H$9:I$9)+$I$4))),TREND($D13:$E13,$D$9:$E$9,I$9))</f>
        <v>1.2214687412980303</v>
      </c>
      <c r="J13" s="13">
        <f>IF($F13="s-curve",$D13+($E13-$D13)*$I$2/(1+EXP($I$3*(COUNT($H$9:J$9)+$I$4))),TREND($D13:$E13,$D$9:$E$9,J$9))</f>
        <v>1.2214687412980303</v>
      </c>
      <c r="K13" s="13">
        <f>IF($F13="s-curve",$D13+($E13-$D13)*$I$2/(1+EXP($I$3*(COUNT($H$9:K$9)+$I$4))),TREND($D13:$E13,$D$9:$E$9,K$9))</f>
        <v>1.2214687412980303</v>
      </c>
      <c r="L13" s="13">
        <f>IF($F13="s-curve",$D13+($E13-$D13)*$I$2/(1+EXP($I$3*(COUNT($H$9:L$9)+$I$4))),TREND($D13:$E13,$D$9:$E$9,L$9))</f>
        <v>1.2214687412980303</v>
      </c>
      <c r="M13" s="13">
        <f>IF($F13="s-curve",$D13+($E13-$D13)*$I$2/(1+EXP($I$3*(COUNT($H$9:M$9)+$I$4))),TREND($D13:$E13,$D$9:$E$9,M$9))</f>
        <v>1.2214687412980303</v>
      </c>
      <c r="N13" s="13">
        <f>IF($F13="s-curve",$D13+($E13-$D13)*$I$2/(1+EXP($I$3*(COUNT($H$9:N$9)+$I$4))),TREND($D13:$E13,$D$9:$E$9,N$9))</f>
        <v>1.2214687412980303</v>
      </c>
      <c r="O13" s="13">
        <f>IF($F13="s-curve",$D13+($E13-$D13)*$I$2/(1+EXP($I$3*(COUNT($H$9:O$9)+$I$4))),TREND($D13:$E13,$D$9:$E$9,O$9))</f>
        <v>1.2214687412980303</v>
      </c>
      <c r="P13" s="13">
        <f>IF($F13="s-curve",$D13+($E13-$D13)*$I$2/(1+EXP($I$3*(COUNT($H$9:P$9)+$I$4))),TREND($D13:$E13,$D$9:$E$9,P$9))</f>
        <v>1.2214687412980303</v>
      </c>
      <c r="Q13" s="13">
        <f>IF($F13="s-curve",$D13+($E13-$D13)*$I$2/(1+EXP($I$3*(COUNT($H$9:Q$9)+$I$4))),TREND($D13:$E13,$D$9:$E$9,Q$9))</f>
        <v>1.2214687412980303</v>
      </c>
      <c r="R13" s="13">
        <f>IF($F13="s-curve",$D13+($E13-$D13)*$I$2/(1+EXP($I$3*(COUNT($H$9:R$9)+$I$4))),TREND($D13:$E13,$D$9:$E$9,R$9))</f>
        <v>1.2214687412980303</v>
      </c>
      <c r="S13" s="13">
        <f>IF($F13="s-curve",$D13+($E13-$D13)*$I$2/(1+EXP($I$3*(COUNT($H$9:S$9)+$I$4))),TREND($D13:$E13,$D$9:$E$9,S$9))</f>
        <v>1.2214687412980303</v>
      </c>
      <c r="T13" s="13">
        <f>IF($F13="s-curve",$D13+($E13-$D13)*$I$2/(1+EXP($I$3*(COUNT($H$9:T$9)+$I$4))),TREND($D13:$E13,$D$9:$E$9,T$9))</f>
        <v>1.2214687412980303</v>
      </c>
      <c r="U13" s="13">
        <f>IF($F13="s-curve",$D13+($E13-$D13)*$I$2/(1+EXP($I$3*(COUNT($H$9:U$9)+$I$4))),TREND($D13:$E13,$D$9:$E$9,U$9))</f>
        <v>1.2214687412980303</v>
      </c>
      <c r="V13" s="13">
        <f>IF($F13="s-curve",$D13+($E13-$D13)*$I$2/(1+EXP($I$3*(COUNT($H$9:V$9)+$I$4))),TREND($D13:$E13,$D$9:$E$9,V$9))</f>
        <v>1.2214687412980303</v>
      </c>
      <c r="W13" s="13">
        <f>IF($F13="s-curve",$D13+($E13-$D13)*$I$2/(1+EXP($I$3*(COUNT($H$9:W$9)+$I$4))),TREND($D13:$E13,$D$9:$E$9,W$9))</f>
        <v>1.2214687412980303</v>
      </c>
      <c r="X13" s="13">
        <f>IF($F13="s-curve",$D13+($E13-$D13)*$I$2/(1+EXP($I$3*(COUNT($H$9:X$9)+$I$4))),TREND($D13:$E13,$D$9:$E$9,X$9))</f>
        <v>1.2214687412980303</v>
      </c>
      <c r="Y13" s="13">
        <f>IF($F13="s-curve",$D13+($E13-$D13)*$I$2/(1+EXP($I$3*(COUNT($H$9:Y$9)+$I$4))),TREND($D13:$E13,$D$9:$E$9,Y$9))</f>
        <v>1.2214687412980303</v>
      </c>
      <c r="Z13" s="13">
        <f>IF($F13="s-curve",$D13+($E13-$D13)*$I$2/(1+EXP($I$3*(COUNT($H$9:Z$9)+$I$4))),TREND($D13:$E13,$D$9:$E$9,Z$9))</f>
        <v>1.2214687412980303</v>
      </c>
      <c r="AA13" s="13">
        <f>IF($F13="s-curve",$D13+($E13-$D13)*$I$2/(1+EXP($I$3*(COUNT($H$9:AA$9)+$I$4))),TREND($D13:$E13,$D$9:$E$9,AA$9))</f>
        <v>1.2214687412980303</v>
      </c>
      <c r="AB13" s="13">
        <f>IF($F13="s-curve",$D13+($E13-$D13)*$I$2/(1+EXP($I$3*(COUNT($H$9:AB$9)+$I$4))),TREND($D13:$E13,$D$9:$E$9,AB$9))</f>
        <v>1.2214687412980303</v>
      </c>
      <c r="AC13" s="13">
        <f>IF($F13="s-curve",$D13+($E13-$D13)*$I$2/(1+EXP($I$3*(COUNT($H$9:AC$9)+$I$4))),TREND($D13:$E13,$D$9:$E$9,AC$9))</f>
        <v>1.2214687412980303</v>
      </c>
      <c r="AD13" s="13">
        <f>IF($F13="s-curve",$D13+($E13-$D13)*$I$2/(1+EXP($I$3*(COUNT($H$9:AD$9)+$I$4))),TREND($D13:$E13,$D$9:$E$9,AD$9))</f>
        <v>1.2214687412980303</v>
      </c>
      <c r="AE13" s="13">
        <f>IF($F13="s-curve",$D13+($E13-$D13)*$I$2/(1+EXP($I$3*(COUNT($H$9:AE$9)+$I$4))),TREND($D13:$E13,$D$9:$E$9,AE$9))</f>
        <v>1.2214687412980303</v>
      </c>
      <c r="AF13" s="13">
        <f>IF($F13="s-curve",$D13+($E13-$D13)*$I$2/(1+EXP($I$3*(COUNT($H$9:AF$9)+$I$4))),TREND($D13:$E13,$D$9:$E$9,AF$9))</f>
        <v>1.2214687412980303</v>
      </c>
      <c r="AG13" s="13">
        <f>IF($F13="s-curve",$D13+($E13-$D13)*$I$2/(1+EXP($I$3*(COUNT($H$9:AG$9)+$I$4))),TREND($D13:$E13,$D$9:$E$9,AG$9))</f>
        <v>1.2214687412980303</v>
      </c>
      <c r="AH13" s="13">
        <f>IF($F13="s-curve",$D13+($E13-$D13)*$I$2/(1+EXP($I$3*(COUNT($H$9:AH$9)+$I$4))),TREND($D13:$E13,$D$9:$E$9,AH$9))</f>
        <v>1.2214687412980303</v>
      </c>
      <c r="AI13" s="13">
        <f>IF($F13="s-curve",$D13+($E13-$D13)*$I$2/(1+EXP($I$3*(COUNT($H$9:AI$9)+$I$4))),TREND($D13:$E13,$D$9:$E$9,AI$9))</f>
        <v>1.2214687412980303</v>
      </c>
      <c r="AJ13" s="13">
        <f>IF($F13="s-curve",$D13+($E13-$D13)*$I$2/(1+EXP($I$3*(COUNT($H$9:AJ$9)+$I$4))),TREND($D13:$E13,$D$9:$E$9,AJ$9))</f>
        <v>1.2214687412980303</v>
      </c>
      <c r="AK13" s="13">
        <f>IF($F13="s-curve",$D13+($E13-$D13)*$I$2/(1+EXP($I$3*(COUNT($H$9:AK$9)+$I$4))),TREND($D13:$E13,$D$9:$E$9,AK$9))</f>
        <v>1.2214687412980303</v>
      </c>
      <c r="AL13" s="13">
        <f>IF($F13="s-curve",$D13+($E13-$D13)*$I$2/(1+EXP($I$3*(COUNT($H$9:AL$9)+$I$4))),TREND($D13:$E13,$D$9:$E$9,AL$9))</f>
        <v>1.2214687412980303</v>
      </c>
    </row>
    <row r="14" spans="1:38" x14ac:dyDescent="0.35">
      <c r="C14" s="13" t="s">
        <v>5</v>
      </c>
      <c r="D14" s="39">
        <f>1.25*INDEX('SYVbT-passenger'!$B$2:$H$2,MATCH(Data!$C14,'SYVbT-passenger'!$B$1:$H$1,0))/SUM('SYVbT-passenger'!$B$2:$H$2)</f>
        <v>3.1669224668199936E-2</v>
      </c>
      <c r="E14" s="24">
        <f t="shared" si="2"/>
        <v>3.1669224668199936E-2</v>
      </c>
      <c r="F14" s="7" t="str">
        <f>IF(D14=E14,"n/a",IF(OR(C14="battery electric vehicle",C14="natural gas vehicle",C14="plugin hybrid vehicle",C14="hydrogen vehicle"),"s-curve","linear"))</f>
        <v>n/a</v>
      </c>
      <c r="H14" s="24">
        <f t="shared" si="1"/>
        <v>3.1669224668199936E-2</v>
      </c>
      <c r="I14" s="13">
        <f>IF($F14="s-curve",$D14+($E14-$D14)*$I$2/(1+EXP($I$3*(COUNT($H$9:I$9)+$I$4))),TREND($D14:$E14,$D$9:$E$9,I$9))</f>
        <v>3.1669224668199936E-2</v>
      </c>
      <c r="J14" s="13">
        <f>IF($F14="s-curve",$D14+($E14-$D14)*$I$2/(1+EXP($I$3*(COUNT($H$9:J$9)+$I$4))),TREND($D14:$E14,$D$9:$E$9,J$9))</f>
        <v>3.1669224668199936E-2</v>
      </c>
      <c r="K14" s="13">
        <f>IF($F14="s-curve",$D14+($E14-$D14)*$I$2/(1+EXP($I$3*(COUNT($H$9:K$9)+$I$4))),TREND($D14:$E14,$D$9:$E$9,K$9))</f>
        <v>3.1669224668199936E-2</v>
      </c>
      <c r="L14" s="13">
        <f>IF($F14="s-curve",$D14+($E14-$D14)*$I$2/(1+EXP($I$3*(COUNT($H$9:L$9)+$I$4))),TREND($D14:$E14,$D$9:$E$9,L$9))</f>
        <v>3.1669224668199936E-2</v>
      </c>
      <c r="M14" s="13">
        <f>IF($F14="s-curve",$D14+($E14-$D14)*$I$2/(1+EXP($I$3*(COUNT($H$9:M$9)+$I$4))),TREND($D14:$E14,$D$9:$E$9,M$9))</f>
        <v>3.1669224668199936E-2</v>
      </c>
      <c r="N14" s="13">
        <f>IF($F14="s-curve",$D14+($E14-$D14)*$I$2/(1+EXP($I$3*(COUNT($H$9:N$9)+$I$4))),TREND($D14:$E14,$D$9:$E$9,N$9))</f>
        <v>3.1669224668199936E-2</v>
      </c>
      <c r="O14" s="13">
        <f>IF($F14="s-curve",$D14+($E14-$D14)*$I$2/(1+EXP($I$3*(COUNT($H$9:O$9)+$I$4))),TREND($D14:$E14,$D$9:$E$9,O$9))</f>
        <v>3.1669224668199936E-2</v>
      </c>
      <c r="P14" s="13">
        <f>IF($F14="s-curve",$D14+($E14-$D14)*$I$2/(1+EXP($I$3*(COUNT($H$9:P$9)+$I$4))),TREND($D14:$E14,$D$9:$E$9,P$9))</f>
        <v>3.1669224668199936E-2</v>
      </c>
      <c r="Q14" s="13">
        <f>IF($F14="s-curve",$D14+($E14-$D14)*$I$2/(1+EXP($I$3*(COUNT($H$9:Q$9)+$I$4))),TREND($D14:$E14,$D$9:$E$9,Q$9))</f>
        <v>3.1669224668199936E-2</v>
      </c>
      <c r="R14" s="13">
        <f>IF($F14="s-curve",$D14+($E14-$D14)*$I$2/(1+EXP($I$3*(COUNT($H$9:R$9)+$I$4))),TREND($D14:$E14,$D$9:$E$9,R$9))</f>
        <v>3.1669224668199936E-2</v>
      </c>
      <c r="S14" s="13">
        <f>IF($F14="s-curve",$D14+($E14-$D14)*$I$2/(1+EXP($I$3*(COUNT($H$9:S$9)+$I$4))),TREND($D14:$E14,$D$9:$E$9,S$9))</f>
        <v>3.1669224668199936E-2</v>
      </c>
      <c r="T14" s="13">
        <f>IF($F14="s-curve",$D14+($E14-$D14)*$I$2/(1+EXP($I$3*(COUNT($H$9:T$9)+$I$4))),TREND($D14:$E14,$D$9:$E$9,T$9))</f>
        <v>3.1669224668199936E-2</v>
      </c>
      <c r="U14" s="13">
        <f>IF($F14="s-curve",$D14+($E14-$D14)*$I$2/(1+EXP($I$3*(COUNT($H$9:U$9)+$I$4))),TREND($D14:$E14,$D$9:$E$9,U$9))</f>
        <v>3.1669224668199936E-2</v>
      </c>
      <c r="V14" s="13">
        <f>IF($F14="s-curve",$D14+($E14-$D14)*$I$2/(1+EXP($I$3*(COUNT($H$9:V$9)+$I$4))),TREND($D14:$E14,$D$9:$E$9,V$9))</f>
        <v>3.1669224668199936E-2</v>
      </c>
      <c r="W14" s="13">
        <f>IF($F14="s-curve",$D14+($E14-$D14)*$I$2/(1+EXP($I$3*(COUNT($H$9:W$9)+$I$4))),TREND($D14:$E14,$D$9:$E$9,W$9))</f>
        <v>3.1669224668199936E-2</v>
      </c>
      <c r="X14" s="13">
        <f>IF($F14="s-curve",$D14+($E14-$D14)*$I$2/(1+EXP($I$3*(COUNT($H$9:X$9)+$I$4))),TREND($D14:$E14,$D$9:$E$9,X$9))</f>
        <v>3.1669224668199936E-2</v>
      </c>
      <c r="Y14" s="13">
        <f>IF($F14="s-curve",$D14+($E14-$D14)*$I$2/(1+EXP($I$3*(COUNT($H$9:Y$9)+$I$4))),TREND($D14:$E14,$D$9:$E$9,Y$9))</f>
        <v>3.1669224668199936E-2</v>
      </c>
      <c r="Z14" s="13">
        <f>IF($F14="s-curve",$D14+($E14-$D14)*$I$2/(1+EXP($I$3*(COUNT($H$9:Z$9)+$I$4))),TREND($D14:$E14,$D$9:$E$9,Z$9))</f>
        <v>3.1669224668199936E-2</v>
      </c>
      <c r="AA14" s="13">
        <f>IF($F14="s-curve",$D14+($E14-$D14)*$I$2/(1+EXP($I$3*(COUNT($H$9:AA$9)+$I$4))),TREND($D14:$E14,$D$9:$E$9,AA$9))</f>
        <v>3.1669224668199936E-2</v>
      </c>
      <c r="AB14" s="13">
        <f>IF($F14="s-curve",$D14+($E14-$D14)*$I$2/(1+EXP($I$3*(COUNT($H$9:AB$9)+$I$4))),TREND($D14:$E14,$D$9:$E$9,AB$9))</f>
        <v>3.1669224668199936E-2</v>
      </c>
      <c r="AC14" s="13">
        <f>IF($F14="s-curve",$D14+($E14-$D14)*$I$2/(1+EXP($I$3*(COUNT($H$9:AC$9)+$I$4))),TREND($D14:$E14,$D$9:$E$9,AC$9))</f>
        <v>3.1669224668199936E-2</v>
      </c>
      <c r="AD14" s="13">
        <f>IF($F14="s-curve",$D14+($E14-$D14)*$I$2/(1+EXP($I$3*(COUNT($H$9:AD$9)+$I$4))),TREND($D14:$E14,$D$9:$E$9,AD$9))</f>
        <v>3.1669224668199936E-2</v>
      </c>
      <c r="AE14" s="13">
        <f>IF($F14="s-curve",$D14+($E14-$D14)*$I$2/(1+EXP($I$3*(COUNT($H$9:AE$9)+$I$4))),TREND($D14:$E14,$D$9:$E$9,AE$9))</f>
        <v>3.1669224668199936E-2</v>
      </c>
      <c r="AF14" s="13">
        <f>IF($F14="s-curve",$D14+($E14-$D14)*$I$2/(1+EXP($I$3*(COUNT($H$9:AF$9)+$I$4))),TREND($D14:$E14,$D$9:$E$9,AF$9))</f>
        <v>3.1669224668199936E-2</v>
      </c>
      <c r="AG14" s="13">
        <f>IF($F14="s-curve",$D14+($E14-$D14)*$I$2/(1+EXP($I$3*(COUNT($H$9:AG$9)+$I$4))),TREND($D14:$E14,$D$9:$E$9,AG$9))</f>
        <v>3.1669224668199936E-2</v>
      </c>
      <c r="AH14" s="13">
        <f>IF($F14="s-curve",$D14+($E14-$D14)*$I$2/(1+EXP($I$3*(COUNT($H$9:AH$9)+$I$4))),TREND($D14:$E14,$D$9:$E$9,AH$9))</f>
        <v>3.1669224668199936E-2</v>
      </c>
      <c r="AI14" s="13">
        <f>IF($F14="s-curve",$D14+($E14-$D14)*$I$2/(1+EXP($I$3*(COUNT($H$9:AI$9)+$I$4))),TREND($D14:$E14,$D$9:$E$9,AI$9))</f>
        <v>3.1669224668199936E-2</v>
      </c>
      <c r="AJ14" s="13">
        <f>IF($F14="s-curve",$D14+($E14-$D14)*$I$2/(1+EXP($I$3*(COUNT($H$9:AJ$9)+$I$4))),TREND($D14:$E14,$D$9:$E$9,AJ$9))</f>
        <v>3.1669224668199936E-2</v>
      </c>
      <c r="AK14" s="13">
        <f>IF($F14="s-curve",$D14+($E14-$D14)*$I$2/(1+EXP($I$3*(COUNT($H$9:AK$9)+$I$4))),TREND($D14:$E14,$D$9:$E$9,AK$9))</f>
        <v>3.1669224668199936E-2</v>
      </c>
      <c r="AL14" s="13">
        <f>IF($F14="s-curve",$D14+($E14-$D14)*$I$2/(1+EXP($I$3*(COUNT($H$9:AL$9)+$I$4))),TREND($D14:$E14,$D$9:$E$9,AL$9))</f>
        <v>3.1669224668199936E-2</v>
      </c>
    </row>
    <row r="15" spans="1:38" x14ac:dyDescent="0.35">
      <c r="C15" s="13" t="s">
        <v>78</v>
      </c>
      <c r="D15" s="39">
        <f>1.25*INDEX('SYVbT-passenger'!$B$2:$H$2,MATCH(Data!$C15,'SYVbT-passenger'!$B$1:$H$1,0))/SUM('SYVbT-passenger'!$B$2:$H$2)</f>
        <v>0.11783424550586601</v>
      </c>
      <c r="E15" s="24">
        <f t="shared" si="2"/>
        <v>0.11783424550586601</v>
      </c>
      <c r="F15" s="7" t="str">
        <f>IF(D15=E15,"n/a",IF(OR(C15="battery electric vehicle",C15="natural gas vehicle",C15="plugin hybrid vehicle",C15="hydrogen vehicle"),"s-curve","linear"))</f>
        <v>n/a</v>
      </c>
      <c r="H15" s="24">
        <f t="shared" si="1"/>
        <v>0.11783424550586601</v>
      </c>
      <c r="I15" s="13">
        <f>IF($F15="s-curve",$D15+($E15-$D15)*$I$2/(1+EXP($I$3*(COUNT($H$9:I$9)+$I$4))),TREND($D15:$E15,$D$9:$E$9,I$9))</f>
        <v>0.11783424550586601</v>
      </c>
      <c r="J15" s="13">
        <f>IF($F15="s-curve",$D15+($E15-$D15)*$I$2/(1+EXP($I$3*(COUNT($H$9:J$9)+$I$4))),TREND($D15:$E15,$D$9:$E$9,J$9))</f>
        <v>0.11783424550586601</v>
      </c>
      <c r="K15" s="13">
        <f>IF($F15="s-curve",$D15+($E15-$D15)*$I$2/(1+EXP($I$3*(COUNT($H$9:K$9)+$I$4))),TREND($D15:$E15,$D$9:$E$9,K$9))</f>
        <v>0.11783424550586601</v>
      </c>
      <c r="L15" s="13">
        <f>IF($F15="s-curve",$D15+($E15-$D15)*$I$2/(1+EXP($I$3*(COUNT($H$9:L$9)+$I$4))),TREND($D15:$E15,$D$9:$E$9,L$9))</f>
        <v>0.11783424550586601</v>
      </c>
      <c r="M15" s="13">
        <f>IF($F15="s-curve",$D15+($E15-$D15)*$I$2/(1+EXP($I$3*(COUNT($H$9:M$9)+$I$4))),TREND($D15:$E15,$D$9:$E$9,M$9))</f>
        <v>0.11783424550586601</v>
      </c>
      <c r="N15" s="13">
        <f>IF($F15="s-curve",$D15+($E15-$D15)*$I$2/(1+EXP($I$3*(COUNT($H$9:N$9)+$I$4))),TREND($D15:$E15,$D$9:$E$9,N$9))</f>
        <v>0.11783424550586601</v>
      </c>
      <c r="O15" s="13">
        <f>IF($F15="s-curve",$D15+($E15-$D15)*$I$2/(1+EXP($I$3*(COUNT($H$9:O$9)+$I$4))),TREND($D15:$E15,$D$9:$E$9,O$9))</f>
        <v>0.11783424550586601</v>
      </c>
      <c r="P15" s="13">
        <f>IF($F15="s-curve",$D15+($E15-$D15)*$I$2/(1+EXP($I$3*(COUNT($H$9:P$9)+$I$4))),TREND($D15:$E15,$D$9:$E$9,P$9))</f>
        <v>0.11783424550586601</v>
      </c>
      <c r="Q15" s="13">
        <f>IF($F15="s-curve",$D15+($E15-$D15)*$I$2/(1+EXP($I$3*(COUNT($H$9:Q$9)+$I$4))),TREND($D15:$E15,$D$9:$E$9,Q$9))</f>
        <v>0.11783424550586601</v>
      </c>
      <c r="R15" s="13">
        <f>IF($F15="s-curve",$D15+($E15-$D15)*$I$2/(1+EXP($I$3*(COUNT($H$9:R$9)+$I$4))),TREND($D15:$E15,$D$9:$E$9,R$9))</f>
        <v>0.11783424550586601</v>
      </c>
      <c r="S15" s="13">
        <f>IF($F15="s-curve",$D15+($E15-$D15)*$I$2/(1+EXP($I$3*(COUNT($H$9:S$9)+$I$4))),TREND($D15:$E15,$D$9:$E$9,S$9))</f>
        <v>0.11783424550586601</v>
      </c>
      <c r="T15" s="13">
        <f>IF($F15="s-curve",$D15+($E15-$D15)*$I$2/(1+EXP($I$3*(COUNT($H$9:T$9)+$I$4))),TREND($D15:$E15,$D$9:$E$9,T$9))</f>
        <v>0.11783424550586601</v>
      </c>
      <c r="U15" s="13">
        <f>IF($F15="s-curve",$D15+($E15-$D15)*$I$2/(1+EXP($I$3*(COUNT($H$9:U$9)+$I$4))),TREND($D15:$E15,$D$9:$E$9,U$9))</f>
        <v>0.11783424550586601</v>
      </c>
      <c r="V15" s="13">
        <f>IF($F15="s-curve",$D15+($E15-$D15)*$I$2/(1+EXP($I$3*(COUNT($H$9:V$9)+$I$4))),TREND($D15:$E15,$D$9:$E$9,V$9))</f>
        <v>0.11783424550586601</v>
      </c>
      <c r="W15" s="13">
        <f>IF($F15="s-curve",$D15+($E15-$D15)*$I$2/(1+EXP($I$3*(COUNT($H$9:W$9)+$I$4))),TREND($D15:$E15,$D$9:$E$9,W$9))</f>
        <v>0.11783424550586601</v>
      </c>
      <c r="X15" s="13">
        <f>IF($F15="s-curve",$D15+($E15-$D15)*$I$2/(1+EXP($I$3*(COUNT($H$9:X$9)+$I$4))),TREND($D15:$E15,$D$9:$E$9,X$9))</f>
        <v>0.11783424550586601</v>
      </c>
      <c r="Y15" s="13">
        <f>IF($F15="s-curve",$D15+($E15-$D15)*$I$2/(1+EXP($I$3*(COUNT($H$9:Y$9)+$I$4))),TREND($D15:$E15,$D$9:$E$9,Y$9))</f>
        <v>0.11783424550586601</v>
      </c>
      <c r="Z15" s="13">
        <f>IF($F15="s-curve",$D15+($E15-$D15)*$I$2/(1+EXP($I$3*(COUNT($H$9:Z$9)+$I$4))),TREND($D15:$E15,$D$9:$E$9,Z$9))</f>
        <v>0.11783424550586601</v>
      </c>
      <c r="AA15" s="13">
        <f>IF($F15="s-curve",$D15+($E15-$D15)*$I$2/(1+EXP($I$3*(COUNT($H$9:AA$9)+$I$4))),TREND($D15:$E15,$D$9:$E$9,AA$9))</f>
        <v>0.11783424550586601</v>
      </c>
      <c r="AB15" s="13">
        <f>IF($F15="s-curve",$D15+($E15-$D15)*$I$2/(1+EXP($I$3*(COUNT($H$9:AB$9)+$I$4))),TREND($D15:$E15,$D$9:$E$9,AB$9))</f>
        <v>0.11783424550586601</v>
      </c>
      <c r="AC15" s="13">
        <f>IF($F15="s-curve",$D15+($E15-$D15)*$I$2/(1+EXP($I$3*(COUNT($H$9:AC$9)+$I$4))),TREND($D15:$E15,$D$9:$E$9,AC$9))</f>
        <v>0.11783424550586601</v>
      </c>
      <c r="AD15" s="13">
        <f>IF($F15="s-curve",$D15+($E15-$D15)*$I$2/(1+EXP($I$3*(COUNT($H$9:AD$9)+$I$4))),TREND($D15:$E15,$D$9:$E$9,AD$9))</f>
        <v>0.11783424550586601</v>
      </c>
      <c r="AE15" s="13">
        <f>IF($F15="s-curve",$D15+($E15-$D15)*$I$2/(1+EXP($I$3*(COUNT($H$9:AE$9)+$I$4))),TREND($D15:$E15,$D$9:$E$9,AE$9))</f>
        <v>0.11783424550586601</v>
      </c>
      <c r="AF15" s="13">
        <f>IF($F15="s-curve",$D15+($E15-$D15)*$I$2/(1+EXP($I$3*(COUNT($H$9:AF$9)+$I$4))),TREND($D15:$E15,$D$9:$E$9,AF$9))</f>
        <v>0.11783424550586601</v>
      </c>
      <c r="AG15" s="13">
        <f>IF($F15="s-curve",$D15+($E15-$D15)*$I$2/(1+EXP($I$3*(COUNT($H$9:AG$9)+$I$4))),TREND($D15:$E15,$D$9:$E$9,AG$9))</f>
        <v>0.11783424550586601</v>
      </c>
      <c r="AH15" s="13">
        <f>IF($F15="s-curve",$D15+($E15-$D15)*$I$2/(1+EXP($I$3*(COUNT($H$9:AH$9)+$I$4))),TREND($D15:$E15,$D$9:$E$9,AH$9))</f>
        <v>0.11783424550586601</v>
      </c>
      <c r="AI15" s="13">
        <f>IF($F15="s-curve",$D15+($E15-$D15)*$I$2/(1+EXP($I$3*(COUNT($H$9:AI$9)+$I$4))),TREND($D15:$E15,$D$9:$E$9,AI$9))</f>
        <v>0.11783424550586601</v>
      </c>
      <c r="AJ15" s="13">
        <f>IF($F15="s-curve",$D15+($E15-$D15)*$I$2/(1+EXP($I$3*(COUNT($H$9:AJ$9)+$I$4))),TREND($D15:$E15,$D$9:$E$9,AJ$9))</f>
        <v>0.11783424550586601</v>
      </c>
      <c r="AK15" s="13">
        <f>IF($F15="s-curve",$D15+($E15-$D15)*$I$2/(1+EXP($I$3*(COUNT($H$9:AK$9)+$I$4))),TREND($D15:$E15,$D$9:$E$9,AK$9))</f>
        <v>0.11783424550586601</v>
      </c>
      <c r="AL15" s="13">
        <f>IF($F15="s-curve",$D15+($E15-$D15)*$I$2/(1+EXP($I$3*(COUNT($H$9:AL$9)+$I$4))),TREND($D15:$E15,$D$9:$E$9,AL$9))</f>
        <v>0.11783424550586601</v>
      </c>
    </row>
    <row r="16" spans="1:38" ht="15" thickBot="1" x14ac:dyDescent="0.4">
      <c r="A16" s="26"/>
      <c r="B16" s="26"/>
      <c r="C16" s="26" t="s">
        <v>79</v>
      </c>
      <c r="D16" s="26">
        <f>1.25*INDEX('SYVbT-passenger'!$B$2:$H$2,MATCH(Data!$C16,'SYVbT-passenger'!$B$1:$H$1,0))/SUM('SYVbT-passenger'!$B$2:$H$2)</f>
        <v>3.1810220985098274E-4</v>
      </c>
      <c r="E16" s="32">
        <f>E11</f>
        <v>2.3114509385886379E-3</v>
      </c>
      <c r="F16" s="8" t="str">
        <f>IF(D16=E16,"n/a",IF(OR(C16="battery electric vehicle",C16="natural gas vehicle",C16="plugin hybrid vehicle",C16="hydrogen vehicle"),"s-curve","linear"))</f>
        <v>s-curve</v>
      </c>
      <c r="H16" s="24">
        <f t="shared" si="1"/>
        <v>3.1810220985098274E-4</v>
      </c>
      <c r="I16" s="13">
        <f>IF($F16="s-curve",$D16+($E16-$D16)*$I$2/(1+EXP($I$3*(COUNT($H$9:I$9)+$I$4))),TREND($D16:$E16,$D$9:$E$9,I$9))</f>
        <v>3.4755200714509842E-4</v>
      </c>
      <c r="J16" s="13">
        <f>IF($F16="s-curve",$D16+($E16-$D16)*$I$2/(1+EXP($I$3*(COUNT($H$9:J$9)+$I$4))),TREND($D16:$E16,$D$9:$E$9,J$9))</f>
        <v>3.5765085806377253E-4</v>
      </c>
      <c r="K16" s="13">
        <f>IF($F16="s-curve",$D16+($E16-$D16)*$I$2/(1+EXP($I$3*(COUNT($H$9:K$9)+$I$4))),TREND($D16:$E16,$D$9:$E$9,K$9))</f>
        <v>3.7111929318567186E-4</v>
      </c>
      <c r="L16" s="13">
        <f>IF($F16="s-curve",$D16+($E16-$D16)*$I$2/(1+EXP($I$3*(COUNT($H$9:L$9)+$I$4))),TREND($D16:$E16,$D$9:$E$9,L$9))</f>
        <v>3.8900799476727856E-4</v>
      </c>
      <c r="M16" s="13">
        <f>IF($F16="s-curve",$D16+($E16-$D16)*$I$2/(1+EXP($I$3*(COUNT($H$9:M$9)+$I$4))),TREND($D16:$E16,$D$9:$E$9,M$9))</f>
        <v>4.1263851385875871E-4</v>
      </c>
      <c r="N16" s="13">
        <f>IF($F16="s-curve",$D16+($E16-$D16)*$I$2/(1+EXP($I$3*(COUNT($H$9:N$9)+$I$4))),TREND($D16:$E16,$D$9:$E$9,N$9))</f>
        <v>4.4363006909154041E-4</v>
      </c>
      <c r="O16" s="13">
        <f>IF($F16="s-curve",$D16+($E16-$D16)*$I$2/(1+EXP($I$3*(COUNT($H$9:O$9)+$I$4))),TREND($D16:$E16,$D$9:$E$9,O$9))</f>
        <v>4.8389439867282572E-4</v>
      </c>
      <c r="P16" s="13">
        <f>IF($F16="s-curve",$D16+($E16-$D16)*$I$2/(1+EXP($I$3*(COUNT($H$9:P$9)+$I$4))),TREND($D16:$E16,$D$9:$E$9,P$9))</f>
        <v>5.3557021969057701E-4</v>
      </c>
      <c r="Q16" s="13">
        <f>IF($F16="s-curve",$D16+($E16-$D16)*$I$2/(1+EXP($I$3*(COUNT($H$9:Q$9)+$I$4))),TREND($D16:$E16,$D$9:$E$9,Q$9))</f>
        <v>6.0086084974045274E-4</v>
      </c>
      <c r="R16" s="13">
        <f>IF($F16="s-curve",$D16+($E16-$D16)*$I$2/(1+EXP($I$3*(COUNT($H$9:R$9)+$I$4))),TREND($D16:$E16,$D$9:$E$9,R$9))</f>
        <v>6.8173989581968406E-4</v>
      </c>
      <c r="S16" s="13">
        <f>IF($F16="s-curve",$D16+($E16-$D16)*$I$2/(1+EXP($I$3*(COUNT($H$9:S$9)+$I$4))),TREND($D16:$E16,$D$9:$E$9,S$9))</f>
        <v>7.7951303839748941E-4</v>
      </c>
      <c r="T16" s="13">
        <f>IF($F16="s-curve",$D16+($E16-$D16)*$I$2/(1+EXP($I$3*(COUNT($H$9:T$9)+$I$4))),TREND($D16:$E16,$D$9:$E$9,T$9))</f>
        <v>8.9428065133441805E-4</v>
      </c>
      <c r="U16" s="13">
        <f>IF($F16="s-curve",$D16+($E16-$D16)*$I$2/(1+EXP($I$3*(COUNT($H$9:U$9)+$I$4))),TREND($D16:$E16,$D$9:$E$9,U$9))</f>
        <v>1.0244327613719983E-3</v>
      </c>
      <c r="V16" s="13">
        <f>IF($F16="s-curve",$D16+($E16-$D16)*$I$2/(1+EXP($I$3*(COUNT($H$9:V$9)+$I$4))),TREND($D16:$E16,$D$9:$E$9,V$9))</f>
        <v>1.1663866779692581E-3</v>
      </c>
      <c r="W16" s="13">
        <f>IF($F16="s-curve",$D16+($E16-$D16)*$I$2/(1+EXP($I$3*(COUNT($H$9:W$9)+$I$4))),TREND($D16:$E16,$D$9:$E$9,W$9))</f>
        <v>1.3147765742198103E-3</v>
      </c>
      <c r="X16" s="13">
        <f>IF($F16="s-curve",$D16+($E16-$D16)*$I$2/(1+EXP($I$3*(COUNT($H$9:X$9)+$I$4))),TREND($D16:$E16,$D$9:$E$9,X$9))</f>
        <v>1.4631664704703622E-3</v>
      </c>
      <c r="Y16" s="13">
        <f>IF($F16="s-curve",$D16+($E16-$D16)*$I$2/(1+EXP($I$3*(COUNT($H$9:Y$9)+$I$4))),TREND($D16:$E16,$D$9:$E$9,Y$9))</f>
        <v>1.6051203870676221E-3</v>
      </c>
      <c r="Z16" s="13">
        <f>IF($F16="s-curve",$D16+($E16-$D16)*$I$2/(1+EXP($I$3*(COUNT($H$9:Z$9)+$I$4))),TREND($D16:$E16,$D$9:$E$9,Z$9))</f>
        <v>1.7352724971052024E-3</v>
      </c>
      <c r="AA16" s="13">
        <f>IF($F16="s-curve",$D16+($E16-$D16)*$I$2/(1+EXP($I$3*(COUNT($H$9:AA$9)+$I$4))),TREND($D16:$E16,$D$9:$E$9,AA$9))</f>
        <v>1.8500401100421311E-3</v>
      </c>
      <c r="AB16" s="13">
        <f>IF($F16="s-curve",$D16+($E16-$D16)*$I$2/(1+EXP($I$3*(COUNT($H$9:AB$9)+$I$4))),TREND($D16:$E16,$D$9:$E$9,AB$9))</f>
        <v>1.9478132526199365E-3</v>
      </c>
      <c r="AC16" s="13">
        <f>IF($F16="s-curve",$D16+($E16-$D16)*$I$2/(1+EXP($I$3*(COUNT($H$9:AC$9)+$I$4))),TREND($D16:$E16,$D$9:$E$9,AC$9))</f>
        <v>2.0286922986991682E-3</v>
      </c>
      <c r="AD16" s="13">
        <f>IF($F16="s-curve",$D16+($E16-$D16)*$I$2/(1+EXP($I$3*(COUNT($H$9:AD$9)+$I$4))),TREND($D16:$E16,$D$9:$E$9,AD$9))</f>
        <v>2.0939829287490437E-3</v>
      </c>
      <c r="AE16" s="13">
        <f>IF($F16="s-curve",$D16+($E16-$D16)*$I$2/(1+EXP($I$3*(COUNT($H$9:AE$9)+$I$4))),TREND($D16:$E16,$D$9:$E$9,AE$9))</f>
        <v>2.145658749766795E-3</v>
      </c>
      <c r="AF16" s="13">
        <f>IF($F16="s-curve",$D16+($E16-$D16)*$I$2/(1+EXP($I$3*(COUNT($H$9:AF$9)+$I$4))),TREND($D16:$E16,$D$9:$E$9,AF$9))</f>
        <v>2.1859230793480804E-3</v>
      </c>
      <c r="AG16" s="13">
        <f>IF($F16="s-curve",$D16+($E16-$D16)*$I$2/(1+EXP($I$3*(COUNT($H$9:AG$9)+$I$4))),TREND($D16:$E16,$D$9:$E$9,AG$9))</f>
        <v>2.2169146345808622E-3</v>
      </c>
      <c r="AH16" s="13">
        <f>IF($F16="s-curve",$D16+($E16-$D16)*$I$2/(1+EXP($I$3*(COUNT($H$9:AH$9)+$I$4))),TREND($D16:$E16,$D$9:$E$9,AH$9))</f>
        <v>2.2405451536723422E-3</v>
      </c>
      <c r="AI16" s="13">
        <f>IF($F16="s-curve",$D16+($E16-$D16)*$I$2/(1+EXP($I$3*(COUNT($H$9:AI$9)+$I$4))),TREND($D16:$E16,$D$9:$E$9,AI$9))</f>
        <v>2.2584338552539486E-3</v>
      </c>
      <c r="AJ16" s="13">
        <f>IF($F16="s-curve",$D16+($E16-$D16)*$I$2/(1+EXP($I$3*(COUNT($H$9:AJ$9)+$I$4))),TREND($D16:$E16,$D$9:$E$9,AJ$9))</f>
        <v>2.2719022903758481E-3</v>
      </c>
      <c r="AK16" s="13">
        <f>IF($F16="s-curve",$D16+($E16-$D16)*$I$2/(1+EXP($I$3*(COUNT($H$9:AK$9)+$I$4))),TREND($D16:$E16,$D$9:$E$9,AK$9))</f>
        <v>2.2820011412945222E-3</v>
      </c>
      <c r="AL16" s="13">
        <f>IF($F16="s-curve",$D16+($E16-$D16)*$I$2/(1+EXP($I$3*(COUNT($H$9:AL$9)+$I$4))),TREND($D16:$E16,$D$9:$E$9,AL$9))</f>
        <v>2.2895501304632314E-3</v>
      </c>
    </row>
    <row r="17" spans="1:38" x14ac:dyDescent="0.35">
      <c r="A17" s="25" t="s">
        <v>12</v>
      </c>
      <c r="B17" s="13" t="s">
        <v>18</v>
      </c>
      <c r="C17" s="13" t="s">
        <v>1</v>
      </c>
      <c r="D17" s="24">
        <f>MIN(1.25*INDEX('SYVbT-freight'!$B$2:$H$2,MATCH(Data!$C10,'SYVbT-passenger'!$B$1:$H$1,0))/SUM('SYVbT-freight'!$B$2:$H$2),1)</f>
        <v>4.0544273617587021E-4</v>
      </c>
      <c r="E17" s="13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4">
        <f t="shared" si="1"/>
        <v>4.0544273617587021E-4</v>
      </c>
      <c r="I17" s="13">
        <f>IF($F17="s-curve",$D17+($E17-$D17)*$I$2/(1+EXP($I$3*(COUNT($H$9:I$9)+$I$4))),TREND($D17:$E17,$D$9:$E$9,I$9))</f>
        <v>1.5173484405614857E-2</v>
      </c>
      <c r="J17" s="13">
        <f>IF($F17="s-curve",$D17+($E17-$D17)*$I$2/(1+EXP($I$3*(COUNT($H$9:J$9)+$I$4))),TREND($D17:$E17,$D$9:$E$9,J$9))</f>
        <v>2.023770436240999E-2</v>
      </c>
      <c r="K17" s="13">
        <f>IF($F17="s-curve",$D17+($E17-$D17)*$I$2/(1+EXP($I$3*(COUNT($H$9:K$9)+$I$4))),TREND($D17:$E17,$D$9:$E$9,K$9))</f>
        <v>2.6991652755191879E-2</v>
      </c>
      <c r="L17" s="13">
        <f>IF($F17="s-curve",$D17+($E17-$D17)*$I$2/(1+EXP($I$3*(COUNT($H$9:L$9)+$I$4))),TREND($D17:$E17,$D$9:$E$9,L$9))</f>
        <v>3.5962209928504324E-2</v>
      </c>
      <c r="M17" s="13">
        <f>IF($F17="s-curve",$D17+($E17-$D17)*$I$2/(1+EXP($I$3*(COUNT($H$9:M$9)+$I$4))),TREND($D17:$E17,$D$9:$E$9,M$9))</f>
        <v>4.7812087437956008E-2</v>
      </c>
      <c r="N17" s="13">
        <f>IF($F17="s-curve",$D17+($E17-$D17)*$I$2/(1+EXP($I$3*(COUNT($H$9:N$9)+$I$4))),TREND($D17:$E17,$D$9:$E$9,N$9))</f>
        <v>6.3353266703386465E-2</v>
      </c>
      <c r="O17" s="13">
        <f>IF($F17="s-curve",$D17+($E17-$D17)*$I$2/(1+EXP($I$3*(COUNT($H$9:O$9)+$I$4))),TREND($D17:$E17,$D$9:$E$9,O$9))</f>
        <v>8.3544417464456636E-2</v>
      </c>
      <c r="P17" s="13">
        <f>IF($F17="s-curve",$D17+($E17-$D17)*$I$2/(1+EXP($I$3*(COUNT($H$9:P$9)+$I$4))),TREND($D17:$E17,$D$9:$E$9,P$9))</f>
        <v>0.10945803141809517</v>
      </c>
      <c r="Q17" s="13">
        <f>IF($F17="s-curve",$D17+($E17-$D17)*$I$2/(1+EXP($I$3*(COUNT($H$9:Q$9)+$I$4))),TREND($D17:$E17,$D$9:$E$9,Q$9))</f>
        <v>0.14219899515278098</v>
      </c>
      <c r="R17" s="13">
        <f>IF($F17="s-curve",$D17+($E17-$D17)*$I$2/(1+EXP($I$3*(COUNT($H$9:R$9)+$I$4))),TREND($D17:$E17,$D$9:$E$9,R$9))</f>
        <v>0.18275700343901188</v>
      </c>
      <c r="S17" s="13">
        <f>IF($F17="s-curve",$D17+($E17-$D17)*$I$2/(1+EXP($I$3*(COUNT($H$9:S$9)+$I$4))),TREND($D17:$E17,$D$9:$E$9,S$9))</f>
        <v>0.23178680929202319</v>
      </c>
      <c r="T17" s="13">
        <f>IF($F17="s-curve",$D17+($E17-$D17)*$I$2/(1+EXP($I$3*(COUNT($H$9:T$9)+$I$4))),TREND($D17:$E17,$D$9:$E$9,T$9))</f>
        <v>0.28933874668662324</v>
      </c>
      <c r="U17" s="13">
        <f>IF($F17="s-curve",$D17+($E17-$D17)*$I$2/(1+EXP($I$3*(COUNT($H$9:U$9)+$I$4))),TREND($D17:$E17,$D$9:$E$9,U$9))</f>
        <v>0.35460547043362994</v>
      </c>
      <c r="V17" s="13">
        <f>IF($F17="s-curve",$D17+($E17-$D17)*$I$2/(1+EXP($I$3*(COUNT($H$9:V$9)+$I$4))),TREND($D17:$E17,$D$9:$E$9,V$9))</f>
        <v>0.42579038673413289</v>
      </c>
      <c r="W17" s="13">
        <f>IF($F17="s-curve",$D17+($E17-$D17)*$I$2/(1+EXP($I$3*(COUNT($H$9:W$9)+$I$4))),TREND($D17:$E17,$D$9:$E$9,W$9))</f>
        <v>0.50020272136808797</v>
      </c>
      <c r="X17" s="13">
        <f>IF($F17="s-curve",$D17+($E17-$D17)*$I$2/(1+EXP($I$3*(COUNT($H$9:X$9)+$I$4))),TREND($D17:$E17,$D$9:$E$9,X$9))</f>
        <v>0.57461505600204299</v>
      </c>
      <c r="Y17" s="13">
        <f>IF($F17="s-curve",$D17+($E17-$D17)*$I$2/(1+EXP($I$3*(COUNT($H$9:Y$9)+$I$4))),TREND($D17:$E17,$D$9:$E$9,Y$9))</f>
        <v>0.64579997230254593</v>
      </c>
      <c r="Z17" s="13">
        <f>IF($F17="s-curve",$D17+($E17-$D17)*$I$2/(1+EXP($I$3*(COUNT($H$9:Z$9)+$I$4))),TREND($D17:$E17,$D$9:$E$9,Z$9))</f>
        <v>0.71106669604955264</v>
      </c>
      <c r="AA17" s="13">
        <f>IF($F17="s-curve",$D17+($E17-$D17)*$I$2/(1+EXP($I$3*(COUNT($H$9:AA$9)+$I$4))),TREND($D17:$E17,$D$9:$E$9,AA$9))</f>
        <v>0.7686186334441526</v>
      </c>
      <c r="AB17" s="13">
        <f>IF($F17="s-curve",$D17+($E17-$D17)*$I$2/(1+EXP($I$3*(COUNT($H$9:AB$9)+$I$4))),TREND($D17:$E17,$D$9:$E$9,AB$9))</f>
        <v>0.81764843929716402</v>
      </c>
      <c r="AC17" s="13">
        <f>IF($F17="s-curve",$D17+($E17-$D17)*$I$2/(1+EXP($I$3*(COUNT($H$9:AC$9)+$I$4))),TREND($D17:$E17,$D$9:$E$9,AC$9))</f>
        <v>0.85820644758339504</v>
      </c>
      <c r="AD17" s="13">
        <f>IF($F17="s-curve",$D17+($E17-$D17)*$I$2/(1+EXP($I$3*(COUNT($H$9:AD$9)+$I$4))),TREND($D17:$E17,$D$9:$E$9,AD$9))</f>
        <v>0.89094741131808075</v>
      </c>
      <c r="AE17" s="13">
        <f>IF($F17="s-curve",$D17+($E17-$D17)*$I$2/(1+EXP($I$3*(COUNT($H$9:AE$9)+$I$4))),TREND($D17:$E17,$D$9:$E$9,AE$9))</f>
        <v>0.91686102527171931</v>
      </c>
      <c r="AF17" s="13">
        <f>IF($F17="s-curve",$D17+($E17-$D17)*$I$2/(1+EXP($I$3*(COUNT($H$9:AF$9)+$I$4))),TREND($D17:$E17,$D$9:$E$9,AF$9))</f>
        <v>0.93705217603278945</v>
      </c>
      <c r="AG17" s="13">
        <f>IF($F17="s-curve",$D17+($E17-$D17)*$I$2/(1+EXP($I$3*(COUNT($H$9:AG$9)+$I$4))),TREND($D17:$E17,$D$9:$E$9,AG$9))</f>
        <v>0.95259335529821998</v>
      </c>
      <c r="AH17" s="13">
        <f>IF($F17="s-curve",$D17+($E17-$D17)*$I$2/(1+EXP($I$3*(COUNT($H$9:AH$9)+$I$4))),TREND($D17:$E17,$D$9:$E$9,AH$9))</f>
        <v>0.96444323280767152</v>
      </c>
      <c r="AI17" s="13">
        <f>IF($F17="s-curve",$D17+($E17-$D17)*$I$2/(1+EXP($I$3*(COUNT($H$9:AI$9)+$I$4))),TREND($D17:$E17,$D$9:$E$9,AI$9))</f>
        <v>0.97341378998098393</v>
      </c>
      <c r="AJ17" s="13">
        <f>IF($F17="s-curve",$D17+($E17-$D17)*$I$2/(1+EXP($I$3*(COUNT($H$9:AJ$9)+$I$4))),TREND($D17:$E17,$D$9:$E$9,AJ$9))</f>
        <v>0.98016773837376592</v>
      </c>
      <c r="AK17" s="13">
        <f>IF($F17="s-curve",$D17+($E17-$D17)*$I$2/(1+EXP($I$3*(COUNT($H$9:AK$9)+$I$4))),TREND($D17:$E17,$D$9:$E$9,AK$9))</f>
        <v>0.98523195833056099</v>
      </c>
      <c r="AL17" s="13">
        <f>IF($F17="s-curve",$D17+($E17-$D17)*$I$2/(1+EXP($I$3*(COUNT($H$9:AL$9)+$I$4))),TREND($D17:$E17,$D$9:$E$9,AL$9))</f>
        <v>0.98901751194548926</v>
      </c>
    </row>
    <row r="18" spans="1:38" x14ac:dyDescent="0.35">
      <c r="C18" s="13" t="s">
        <v>2</v>
      </c>
      <c r="D18" s="24">
        <f>MIN(1.25*INDEX('SYVbT-freight'!$B$2:$H$2,MATCH(Data!$C11,'SYVbT-passenger'!$B$1:$H$1,0))/SUM('SYVbT-freight'!$B$2:$H$2),1)</f>
        <v>5.4356707810170545E-4</v>
      </c>
      <c r="E18" s="24">
        <f>D18</f>
        <v>5.4356707810170545E-4</v>
      </c>
      <c r="F18" s="7" t="s">
        <v>76</v>
      </c>
      <c r="H18" s="24">
        <f t="shared" si="1"/>
        <v>5.4356707810170545E-4</v>
      </c>
      <c r="I18" s="13">
        <f>IF($F18="s-curve",$D18+($E18-$D18)*$I$2/(1+EXP($I$3*(COUNT($H$9:I$9)+$I$4))),TREND($D18:$E18,$D$9:$E$9,I$9))</f>
        <v>5.4356707810170545E-4</v>
      </c>
      <c r="J18" s="13">
        <f>IF($F18="s-curve",$D18+($E18-$D18)*$I$2/(1+EXP($I$3*(COUNT($H$9:J$9)+$I$4))),TREND($D18:$E18,$D$9:$E$9,J$9))</f>
        <v>5.4356707810170545E-4</v>
      </c>
      <c r="K18" s="13">
        <f>IF($F18="s-curve",$D18+($E18-$D18)*$I$2/(1+EXP($I$3*(COUNT($H$9:K$9)+$I$4))),TREND($D18:$E18,$D$9:$E$9,K$9))</f>
        <v>5.4356707810170545E-4</v>
      </c>
      <c r="L18" s="13">
        <f>IF($F18="s-curve",$D18+($E18-$D18)*$I$2/(1+EXP($I$3*(COUNT($H$9:L$9)+$I$4))),TREND($D18:$E18,$D$9:$E$9,L$9))</f>
        <v>5.4356707810170545E-4</v>
      </c>
      <c r="M18" s="13">
        <f>IF($F18="s-curve",$D18+($E18-$D18)*$I$2/(1+EXP($I$3*(COUNT($H$9:M$9)+$I$4))),TREND($D18:$E18,$D$9:$E$9,M$9))</f>
        <v>5.4356707810170545E-4</v>
      </c>
      <c r="N18" s="13">
        <f>IF($F18="s-curve",$D18+($E18-$D18)*$I$2/(1+EXP($I$3*(COUNT($H$9:N$9)+$I$4))),TREND($D18:$E18,$D$9:$E$9,N$9))</f>
        <v>5.4356707810170545E-4</v>
      </c>
      <c r="O18" s="13">
        <f>IF($F18="s-curve",$D18+($E18-$D18)*$I$2/(1+EXP($I$3*(COUNT($H$9:O$9)+$I$4))),TREND($D18:$E18,$D$9:$E$9,O$9))</f>
        <v>5.4356707810170545E-4</v>
      </c>
      <c r="P18" s="13">
        <f>IF($F18="s-curve",$D18+($E18-$D18)*$I$2/(1+EXP($I$3*(COUNT($H$9:P$9)+$I$4))),TREND($D18:$E18,$D$9:$E$9,P$9))</f>
        <v>5.4356707810170545E-4</v>
      </c>
      <c r="Q18" s="13">
        <f>IF($F18="s-curve",$D18+($E18-$D18)*$I$2/(1+EXP($I$3*(COUNT($H$9:Q$9)+$I$4))),TREND($D18:$E18,$D$9:$E$9,Q$9))</f>
        <v>5.4356707810170545E-4</v>
      </c>
      <c r="R18" s="13">
        <f>IF($F18="s-curve",$D18+($E18-$D18)*$I$2/(1+EXP($I$3*(COUNT($H$9:R$9)+$I$4))),TREND($D18:$E18,$D$9:$E$9,R$9))</f>
        <v>5.4356707810170545E-4</v>
      </c>
      <c r="S18" s="13">
        <f>IF($F18="s-curve",$D18+($E18-$D18)*$I$2/(1+EXP($I$3*(COUNT($H$9:S$9)+$I$4))),TREND($D18:$E18,$D$9:$E$9,S$9))</f>
        <v>5.4356707810170545E-4</v>
      </c>
      <c r="T18" s="13">
        <f>IF($F18="s-curve",$D18+($E18-$D18)*$I$2/(1+EXP($I$3*(COUNT($H$9:T$9)+$I$4))),TREND($D18:$E18,$D$9:$E$9,T$9))</f>
        <v>5.4356707810170545E-4</v>
      </c>
      <c r="U18" s="13">
        <f>IF($F18="s-curve",$D18+($E18-$D18)*$I$2/(1+EXP($I$3*(COUNT($H$9:U$9)+$I$4))),TREND($D18:$E18,$D$9:$E$9,U$9))</f>
        <v>5.4356707810170545E-4</v>
      </c>
      <c r="V18" s="13">
        <f>IF($F18="s-curve",$D18+($E18-$D18)*$I$2/(1+EXP($I$3*(COUNT($H$9:V$9)+$I$4))),TREND($D18:$E18,$D$9:$E$9,V$9))</f>
        <v>5.4356707810170545E-4</v>
      </c>
      <c r="W18" s="13">
        <f>IF($F18="s-curve",$D18+($E18-$D18)*$I$2/(1+EXP($I$3*(COUNT($H$9:W$9)+$I$4))),TREND($D18:$E18,$D$9:$E$9,W$9))</f>
        <v>5.4356707810170545E-4</v>
      </c>
      <c r="X18" s="13">
        <f>IF($F18="s-curve",$D18+($E18-$D18)*$I$2/(1+EXP($I$3*(COUNT($H$9:X$9)+$I$4))),TREND($D18:$E18,$D$9:$E$9,X$9))</f>
        <v>5.4356707810170545E-4</v>
      </c>
      <c r="Y18" s="13">
        <f>IF($F18="s-curve",$D18+($E18-$D18)*$I$2/(1+EXP($I$3*(COUNT($H$9:Y$9)+$I$4))),TREND($D18:$E18,$D$9:$E$9,Y$9))</f>
        <v>5.4356707810170545E-4</v>
      </c>
      <c r="Z18" s="13">
        <f>IF($F18="s-curve",$D18+($E18-$D18)*$I$2/(1+EXP($I$3*(COUNT($H$9:Z$9)+$I$4))),TREND($D18:$E18,$D$9:$E$9,Z$9))</f>
        <v>5.4356707810170545E-4</v>
      </c>
      <c r="AA18" s="13">
        <f>IF($F18="s-curve",$D18+($E18-$D18)*$I$2/(1+EXP($I$3*(COUNT($H$9:AA$9)+$I$4))),TREND($D18:$E18,$D$9:$E$9,AA$9))</f>
        <v>5.4356707810170545E-4</v>
      </c>
      <c r="AB18" s="13">
        <f>IF($F18="s-curve",$D18+($E18-$D18)*$I$2/(1+EXP($I$3*(COUNT($H$9:AB$9)+$I$4))),TREND($D18:$E18,$D$9:$E$9,AB$9))</f>
        <v>5.4356707810170545E-4</v>
      </c>
      <c r="AC18" s="13">
        <f>IF($F18="s-curve",$D18+($E18-$D18)*$I$2/(1+EXP($I$3*(COUNT($H$9:AC$9)+$I$4))),TREND($D18:$E18,$D$9:$E$9,AC$9))</f>
        <v>5.4356707810170545E-4</v>
      </c>
      <c r="AD18" s="13">
        <f>IF($F18="s-curve",$D18+($E18-$D18)*$I$2/(1+EXP($I$3*(COUNT($H$9:AD$9)+$I$4))),TREND($D18:$E18,$D$9:$E$9,AD$9))</f>
        <v>5.4356707810170545E-4</v>
      </c>
      <c r="AE18" s="13">
        <f>IF($F18="s-curve",$D18+($E18-$D18)*$I$2/(1+EXP($I$3*(COUNT($H$9:AE$9)+$I$4))),TREND($D18:$E18,$D$9:$E$9,AE$9))</f>
        <v>5.4356707810170545E-4</v>
      </c>
      <c r="AF18" s="13">
        <f>IF($F18="s-curve",$D18+($E18-$D18)*$I$2/(1+EXP($I$3*(COUNT($H$9:AF$9)+$I$4))),TREND($D18:$E18,$D$9:$E$9,AF$9))</f>
        <v>5.4356707810170545E-4</v>
      </c>
      <c r="AG18" s="13">
        <f>IF($F18="s-curve",$D18+($E18-$D18)*$I$2/(1+EXP($I$3*(COUNT($H$9:AG$9)+$I$4))),TREND($D18:$E18,$D$9:$E$9,AG$9))</f>
        <v>5.4356707810170545E-4</v>
      </c>
      <c r="AH18" s="13">
        <f>IF($F18="s-curve",$D18+($E18-$D18)*$I$2/(1+EXP($I$3*(COUNT($H$9:AH$9)+$I$4))),TREND($D18:$E18,$D$9:$E$9,AH$9))</f>
        <v>5.4356707810170545E-4</v>
      </c>
      <c r="AI18" s="13">
        <f>IF($F18="s-curve",$D18+($E18-$D18)*$I$2/(1+EXP($I$3*(COUNT($H$9:AI$9)+$I$4))),TREND($D18:$E18,$D$9:$E$9,AI$9))</f>
        <v>5.4356707810170545E-4</v>
      </c>
      <c r="AJ18" s="13">
        <f>IF($F18="s-curve",$D18+($E18-$D18)*$I$2/(1+EXP($I$3*(COUNT($H$9:AJ$9)+$I$4))),TREND($D18:$E18,$D$9:$E$9,AJ$9))</f>
        <v>5.4356707810170545E-4</v>
      </c>
      <c r="AK18" s="13">
        <f>IF($F18="s-curve",$D18+($E18-$D18)*$I$2/(1+EXP($I$3*(COUNT($H$9:AK$9)+$I$4))),TREND($D18:$E18,$D$9:$E$9,AK$9))</f>
        <v>5.4356707810170545E-4</v>
      </c>
      <c r="AL18" s="13">
        <f>IF($F18="s-curve",$D18+($E18-$D18)*$I$2/(1+EXP($I$3*(COUNT($H$9:AL$9)+$I$4))),TREND($D18:$E18,$D$9:$E$9,AL$9))</f>
        <v>5.4356707810170545E-4</v>
      </c>
    </row>
    <row r="19" spans="1:38" x14ac:dyDescent="0.35">
      <c r="C19" s="13" t="s">
        <v>3</v>
      </c>
      <c r="D19" s="24">
        <f>MIN(1.25*INDEX('SYVbT-freight'!$B$2:$H$2,MATCH(Data!$C12,'SYVbT-passenger'!$B$1:$H$1,0))/SUM('SYVbT-freight'!$B$2:$H$2),1)*3</f>
        <v>1.3134045749985857E-2</v>
      </c>
      <c r="E19" s="24">
        <f t="shared" ref="E19:E22" si="3">D19</f>
        <v>1.3134045749985857E-2</v>
      </c>
      <c r="F19" s="7" t="str">
        <f>IF(D19=E19,"n/a",IF(OR(C19="battery electric vehicle",C19="natural gas vehicle",C19="plugin hybrid vehicle"),"s-curve","linear"))</f>
        <v>n/a</v>
      </c>
      <c r="H19" s="24">
        <f t="shared" si="1"/>
        <v>1.3134045749985857E-2</v>
      </c>
      <c r="I19" s="13">
        <f>IF($F19="s-curve",$D19+($E19-$D19)*$I$2/(1+EXP($I$3*(COUNT($H$9:I$9)+$I$4))),TREND($D19:$E19,$D$9:$E$9,I$9))</f>
        <v>1.3134045749985857E-2</v>
      </c>
      <c r="J19" s="13">
        <f>IF($F19="s-curve",$D19+($E19-$D19)*$I$2/(1+EXP($I$3*(COUNT($H$9:J$9)+$I$4))),TREND($D19:$E19,$D$9:$E$9,J$9))</f>
        <v>1.3134045749985857E-2</v>
      </c>
      <c r="K19" s="13">
        <f>IF($F19="s-curve",$D19+($E19-$D19)*$I$2/(1+EXP($I$3*(COUNT($H$9:K$9)+$I$4))),TREND($D19:$E19,$D$9:$E$9,K$9))</f>
        <v>1.3134045749985857E-2</v>
      </c>
      <c r="L19" s="13">
        <f>IF($F19="s-curve",$D19+($E19-$D19)*$I$2/(1+EXP($I$3*(COUNT($H$9:L$9)+$I$4))),TREND($D19:$E19,$D$9:$E$9,L$9))</f>
        <v>1.3134045749985857E-2</v>
      </c>
      <c r="M19" s="13">
        <f>IF($F19="s-curve",$D19+($E19-$D19)*$I$2/(1+EXP($I$3*(COUNT($H$9:M$9)+$I$4))),TREND($D19:$E19,$D$9:$E$9,M$9))</f>
        <v>1.3134045749985857E-2</v>
      </c>
      <c r="N19" s="13">
        <f>IF($F19="s-curve",$D19+($E19-$D19)*$I$2/(1+EXP($I$3*(COUNT($H$9:N$9)+$I$4))),TREND($D19:$E19,$D$9:$E$9,N$9))</f>
        <v>1.3134045749985857E-2</v>
      </c>
      <c r="O19" s="13">
        <f>IF($F19="s-curve",$D19+($E19-$D19)*$I$2/(1+EXP($I$3*(COUNT($H$9:O$9)+$I$4))),TREND($D19:$E19,$D$9:$E$9,O$9))</f>
        <v>1.3134045749985857E-2</v>
      </c>
      <c r="P19" s="13">
        <f>IF($F19="s-curve",$D19+($E19-$D19)*$I$2/(1+EXP($I$3*(COUNT($H$9:P$9)+$I$4))),TREND($D19:$E19,$D$9:$E$9,P$9))</f>
        <v>1.3134045749985857E-2</v>
      </c>
      <c r="Q19" s="13">
        <f>IF($F19="s-curve",$D19+($E19-$D19)*$I$2/(1+EXP($I$3*(COUNT($H$9:Q$9)+$I$4))),TREND($D19:$E19,$D$9:$E$9,Q$9))</f>
        <v>1.3134045749985857E-2</v>
      </c>
      <c r="R19" s="13">
        <f>IF($F19="s-curve",$D19+($E19-$D19)*$I$2/(1+EXP($I$3*(COUNT($H$9:R$9)+$I$4))),TREND($D19:$E19,$D$9:$E$9,R$9))</f>
        <v>1.3134045749985857E-2</v>
      </c>
      <c r="S19" s="13">
        <f>IF($F19="s-curve",$D19+($E19-$D19)*$I$2/(1+EXP($I$3*(COUNT($H$9:S$9)+$I$4))),TREND($D19:$E19,$D$9:$E$9,S$9))</f>
        <v>1.3134045749985857E-2</v>
      </c>
      <c r="T19" s="13">
        <f>IF($F19="s-curve",$D19+($E19-$D19)*$I$2/(1+EXP($I$3*(COUNT($H$9:T$9)+$I$4))),TREND($D19:$E19,$D$9:$E$9,T$9))</f>
        <v>1.3134045749985857E-2</v>
      </c>
      <c r="U19" s="13">
        <f>IF($F19="s-curve",$D19+($E19-$D19)*$I$2/(1+EXP($I$3*(COUNT($H$9:U$9)+$I$4))),TREND($D19:$E19,$D$9:$E$9,U$9))</f>
        <v>1.3134045749985857E-2</v>
      </c>
      <c r="V19" s="13">
        <f>IF($F19="s-curve",$D19+($E19-$D19)*$I$2/(1+EXP($I$3*(COUNT($H$9:V$9)+$I$4))),TREND($D19:$E19,$D$9:$E$9,V$9))</f>
        <v>1.3134045749985857E-2</v>
      </c>
      <c r="W19" s="13">
        <f>IF($F19="s-curve",$D19+($E19-$D19)*$I$2/(1+EXP($I$3*(COUNT($H$9:W$9)+$I$4))),TREND($D19:$E19,$D$9:$E$9,W$9))</f>
        <v>1.3134045749985857E-2</v>
      </c>
      <c r="X19" s="13">
        <f>IF($F19="s-curve",$D19+($E19-$D19)*$I$2/(1+EXP($I$3*(COUNT($H$9:X$9)+$I$4))),TREND($D19:$E19,$D$9:$E$9,X$9))</f>
        <v>1.3134045749985857E-2</v>
      </c>
      <c r="Y19" s="13">
        <f>IF($F19="s-curve",$D19+($E19-$D19)*$I$2/(1+EXP($I$3*(COUNT($H$9:Y$9)+$I$4))),TREND($D19:$E19,$D$9:$E$9,Y$9))</f>
        <v>1.3134045749985857E-2</v>
      </c>
      <c r="Z19" s="13">
        <f>IF($F19="s-curve",$D19+($E19-$D19)*$I$2/(1+EXP($I$3*(COUNT($H$9:Z$9)+$I$4))),TREND($D19:$E19,$D$9:$E$9,Z$9))</f>
        <v>1.3134045749985857E-2</v>
      </c>
      <c r="AA19" s="13">
        <f>IF($F19="s-curve",$D19+($E19-$D19)*$I$2/(1+EXP($I$3*(COUNT($H$9:AA$9)+$I$4))),TREND($D19:$E19,$D$9:$E$9,AA$9))</f>
        <v>1.3134045749985857E-2</v>
      </c>
      <c r="AB19" s="13">
        <f>IF($F19="s-curve",$D19+($E19-$D19)*$I$2/(1+EXP($I$3*(COUNT($H$9:AB$9)+$I$4))),TREND($D19:$E19,$D$9:$E$9,AB$9))</f>
        <v>1.3134045749985857E-2</v>
      </c>
      <c r="AC19" s="13">
        <f>IF($F19="s-curve",$D19+($E19-$D19)*$I$2/(1+EXP($I$3*(COUNT($H$9:AC$9)+$I$4))),TREND($D19:$E19,$D$9:$E$9,AC$9))</f>
        <v>1.3134045749985857E-2</v>
      </c>
      <c r="AD19" s="13">
        <f>IF($F19="s-curve",$D19+($E19-$D19)*$I$2/(1+EXP($I$3*(COUNT($H$9:AD$9)+$I$4))),TREND($D19:$E19,$D$9:$E$9,AD$9))</f>
        <v>1.3134045749985857E-2</v>
      </c>
      <c r="AE19" s="13">
        <f>IF($F19="s-curve",$D19+($E19-$D19)*$I$2/(1+EXP($I$3*(COUNT($H$9:AE$9)+$I$4))),TREND($D19:$E19,$D$9:$E$9,AE$9))</f>
        <v>1.3134045749985857E-2</v>
      </c>
      <c r="AF19" s="13">
        <f>IF($F19="s-curve",$D19+($E19-$D19)*$I$2/(1+EXP($I$3*(COUNT($H$9:AF$9)+$I$4))),TREND($D19:$E19,$D$9:$E$9,AF$9))</f>
        <v>1.3134045749985857E-2</v>
      </c>
      <c r="AG19" s="13">
        <f>IF($F19="s-curve",$D19+($E19-$D19)*$I$2/(1+EXP($I$3*(COUNT($H$9:AG$9)+$I$4))),TREND($D19:$E19,$D$9:$E$9,AG$9))</f>
        <v>1.3134045749985857E-2</v>
      </c>
      <c r="AH19" s="13">
        <f>IF($F19="s-curve",$D19+($E19-$D19)*$I$2/(1+EXP($I$3*(COUNT($H$9:AH$9)+$I$4))),TREND($D19:$E19,$D$9:$E$9,AH$9))</f>
        <v>1.3134045749985857E-2</v>
      </c>
      <c r="AI19" s="13">
        <f>IF($F19="s-curve",$D19+($E19-$D19)*$I$2/(1+EXP($I$3*(COUNT($H$9:AI$9)+$I$4))),TREND($D19:$E19,$D$9:$E$9,AI$9))</f>
        <v>1.3134045749985857E-2</v>
      </c>
      <c r="AJ19" s="13">
        <f>IF($F19="s-curve",$D19+($E19-$D19)*$I$2/(1+EXP($I$3*(COUNT($H$9:AJ$9)+$I$4))),TREND($D19:$E19,$D$9:$E$9,AJ$9))</f>
        <v>1.3134045749985857E-2</v>
      </c>
      <c r="AK19" s="13">
        <f>IF($F19="s-curve",$D19+($E19-$D19)*$I$2/(1+EXP($I$3*(COUNT($H$9:AK$9)+$I$4))),TREND($D19:$E19,$D$9:$E$9,AK$9))</f>
        <v>1.3134045749985857E-2</v>
      </c>
      <c r="AL19" s="13">
        <f>IF($F19="s-curve",$D19+($E19-$D19)*$I$2/(1+EXP($I$3*(COUNT($H$9:AL$9)+$I$4))),TREND($D19:$E19,$D$9:$E$9,AL$9))</f>
        <v>1.3134045749985857E-2</v>
      </c>
    </row>
    <row r="20" spans="1:38" x14ac:dyDescent="0.35">
      <c r="C20" s="13" t="s">
        <v>4</v>
      </c>
      <c r="D20" s="24">
        <v>3</v>
      </c>
      <c r="E20" s="24">
        <f t="shared" si="3"/>
        <v>3</v>
      </c>
      <c r="F20" s="7" t="str">
        <f>IF(D20=E20,"n/a",IF(OR(C20="battery electric vehicle",C20="natural gas vehicle",C20="plugin hybrid vehicle"),"s-curve","linear"))</f>
        <v>n/a</v>
      </c>
      <c r="H20" s="24">
        <f t="shared" si="1"/>
        <v>3</v>
      </c>
      <c r="I20" s="13">
        <f>IF($F20="s-curve",$D20+($E20-$D20)*$I$2/(1+EXP($I$3*(COUNT($H$9:I$9)+$I$4))),TREND($D20:$E20,$D$9:$E$9,I$9))</f>
        <v>3</v>
      </c>
      <c r="J20" s="13">
        <f>IF($F20="s-curve",$D20+($E20-$D20)*$I$2/(1+EXP($I$3*(COUNT($H$9:J$9)+$I$4))),TREND($D20:$E20,$D$9:$E$9,J$9))</f>
        <v>3</v>
      </c>
      <c r="K20" s="13">
        <f>IF($F20="s-curve",$D20+($E20-$D20)*$I$2/(1+EXP($I$3*(COUNT($H$9:K$9)+$I$4))),TREND($D20:$E20,$D$9:$E$9,K$9))</f>
        <v>3</v>
      </c>
      <c r="L20" s="13">
        <f>IF($F20="s-curve",$D20+($E20-$D20)*$I$2/(1+EXP($I$3*(COUNT($H$9:L$9)+$I$4))),TREND($D20:$E20,$D$9:$E$9,L$9))</f>
        <v>3</v>
      </c>
      <c r="M20" s="13">
        <f>IF($F20="s-curve",$D20+($E20-$D20)*$I$2/(1+EXP($I$3*(COUNT($H$9:M$9)+$I$4))),TREND($D20:$E20,$D$9:$E$9,M$9))</f>
        <v>3</v>
      </c>
      <c r="N20" s="13">
        <f>IF($F20="s-curve",$D20+($E20-$D20)*$I$2/(1+EXP($I$3*(COUNT($H$9:N$9)+$I$4))),TREND($D20:$E20,$D$9:$E$9,N$9))</f>
        <v>3</v>
      </c>
      <c r="O20" s="13">
        <f>IF($F20="s-curve",$D20+($E20-$D20)*$I$2/(1+EXP($I$3*(COUNT($H$9:O$9)+$I$4))),TREND($D20:$E20,$D$9:$E$9,O$9))</f>
        <v>3</v>
      </c>
      <c r="P20" s="13">
        <f>IF($F20="s-curve",$D20+($E20-$D20)*$I$2/(1+EXP($I$3*(COUNT($H$9:P$9)+$I$4))),TREND($D20:$E20,$D$9:$E$9,P$9))</f>
        <v>3</v>
      </c>
      <c r="Q20" s="13">
        <f>IF($F20="s-curve",$D20+($E20-$D20)*$I$2/(1+EXP($I$3*(COUNT($H$9:Q$9)+$I$4))),TREND($D20:$E20,$D$9:$E$9,Q$9))</f>
        <v>3</v>
      </c>
      <c r="R20" s="13">
        <f>IF($F20="s-curve",$D20+($E20-$D20)*$I$2/(1+EXP($I$3*(COUNT($H$9:R$9)+$I$4))),TREND($D20:$E20,$D$9:$E$9,R$9))</f>
        <v>3</v>
      </c>
      <c r="S20" s="13">
        <f>IF($F20="s-curve",$D20+($E20-$D20)*$I$2/(1+EXP($I$3*(COUNT($H$9:S$9)+$I$4))),TREND($D20:$E20,$D$9:$E$9,S$9))</f>
        <v>3</v>
      </c>
      <c r="T20" s="13">
        <f>IF($F20="s-curve",$D20+($E20-$D20)*$I$2/(1+EXP($I$3*(COUNT($H$9:T$9)+$I$4))),TREND($D20:$E20,$D$9:$E$9,T$9))</f>
        <v>3</v>
      </c>
      <c r="U20" s="13">
        <f>IF($F20="s-curve",$D20+($E20-$D20)*$I$2/(1+EXP($I$3*(COUNT($H$9:U$9)+$I$4))),TREND($D20:$E20,$D$9:$E$9,U$9))</f>
        <v>3</v>
      </c>
      <c r="V20" s="13">
        <f>IF($F20="s-curve",$D20+($E20-$D20)*$I$2/(1+EXP($I$3*(COUNT($H$9:V$9)+$I$4))),TREND($D20:$E20,$D$9:$E$9,V$9))</f>
        <v>3</v>
      </c>
      <c r="W20" s="13">
        <f>IF($F20="s-curve",$D20+($E20-$D20)*$I$2/(1+EXP($I$3*(COUNT($H$9:W$9)+$I$4))),TREND($D20:$E20,$D$9:$E$9,W$9))</f>
        <v>3</v>
      </c>
      <c r="X20" s="13">
        <f>IF($F20="s-curve",$D20+($E20-$D20)*$I$2/(1+EXP($I$3*(COUNT($H$9:X$9)+$I$4))),TREND($D20:$E20,$D$9:$E$9,X$9))</f>
        <v>3</v>
      </c>
      <c r="Y20" s="13">
        <f>IF($F20="s-curve",$D20+($E20-$D20)*$I$2/(1+EXP($I$3*(COUNT($H$9:Y$9)+$I$4))),TREND($D20:$E20,$D$9:$E$9,Y$9))</f>
        <v>3</v>
      </c>
      <c r="Z20" s="13">
        <f>IF($F20="s-curve",$D20+($E20-$D20)*$I$2/(1+EXP($I$3*(COUNT($H$9:Z$9)+$I$4))),TREND($D20:$E20,$D$9:$E$9,Z$9))</f>
        <v>3</v>
      </c>
      <c r="AA20" s="13">
        <f>IF($F20="s-curve",$D20+($E20-$D20)*$I$2/(1+EXP($I$3*(COUNT($H$9:AA$9)+$I$4))),TREND($D20:$E20,$D$9:$E$9,AA$9))</f>
        <v>3</v>
      </c>
      <c r="AB20" s="13">
        <f>IF($F20="s-curve",$D20+($E20-$D20)*$I$2/(1+EXP($I$3*(COUNT($H$9:AB$9)+$I$4))),TREND($D20:$E20,$D$9:$E$9,AB$9))</f>
        <v>3</v>
      </c>
      <c r="AC20" s="13">
        <f>IF($F20="s-curve",$D20+($E20-$D20)*$I$2/(1+EXP($I$3*(COUNT($H$9:AC$9)+$I$4))),TREND($D20:$E20,$D$9:$E$9,AC$9))</f>
        <v>3</v>
      </c>
      <c r="AD20" s="13">
        <f>IF($F20="s-curve",$D20+($E20-$D20)*$I$2/(1+EXP($I$3*(COUNT($H$9:AD$9)+$I$4))),TREND($D20:$E20,$D$9:$E$9,AD$9))</f>
        <v>3</v>
      </c>
      <c r="AE20" s="13">
        <f>IF($F20="s-curve",$D20+($E20-$D20)*$I$2/(1+EXP($I$3*(COUNT($H$9:AE$9)+$I$4))),TREND($D20:$E20,$D$9:$E$9,AE$9))</f>
        <v>3</v>
      </c>
      <c r="AF20" s="13">
        <f>IF($F20="s-curve",$D20+($E20-$D20)*$I$2/(1+EXP($I$3*(COUNT($H$9:AF$9)+$I$4))),TREND($D20:$E20,$D$9:$E$9,AF$9))</f>
        <v>3</v>
      </c>
      <c r="AG20" s="13">
        <f>IF($F20="s-curve",$D20+($E20-$D20)*$I$2/(1+EXP($I$3*(COUNT($H$9:AG$9)+$I$4))),TREND($D20:$E20,$D$9:$E$9,AG$9))</f>
        <v>3</v>
      </c>
      <c r="AH20" s="13">
        <f>IF($F20="s-curve",$D20+($E20-$D20)*$I$2/(1+EXP($I$3*(COUNT($H$9:AH$9)+$I$4))),TREND($D20:$E20,$D$9:$E$9,AH$9))</f>
        <v>3</v>
      </c>
      <c r="AI20" s="13">
        <f>IF($F20="s-curve",$D20+($E20-$D20)*$I$2/(1+EXP($I$3*(COUNT($H$9:AI$9)+$I$4))),TREND($D20:$E20,$D$9:$E$9,AI$9))</f>
        <v>3</v>
      </c>
      <c r="AJ20" s="13">
        <f>IF($F20="s-curve",$D20+($E20-$D20)*$I$2/(1+EXP($I$3*(COUNT($H$9:AJ$9)+$I$4))),TREND($D20:$E20,$D$9:$E$9,AJ$9))</f>
        <v>3</v>
      </c>
      <c r="AK20" s="13">
        <f>IF($F20="s-curve",$D20+($E20-$D20)*$I$2/(1+EXP($I$3*(COUNT($H$9:AK$9)+$I$4))),TREND($D20:$E20,$D$9:$E$9,AK$9))</f>
        <v>3</v>
      </c>
      <c r="AL20" s="13">
        <f>IF($F20="s-curve",$D20+($E20-$D20)*$I$2/(1+EXP($I$3*(COUNT($H$9:AL$9)+$I$4))),TREND($D20:$E20,$D$9:$E$9,AL$9))</f>
        <v>3</v>
      </c>
    </row>
    <row r="21" spans="1:38" x14ac:dyDescent="0.35">
      <c r="C21" s="13" t="s">
        <v>5</v>
      </c>
      <c r="D21" s="24">
        <f>MIN(1.25*INDEX('SYVbT-freight'!$B$2:$H$2,MATCH(Data!$C14,'SYVbT-passenger'!$B$1:$H$1,0))/SUM('SYVbT-freight'!$B$2:$H$2),1)</f>
        <v>0</v>
      </c>
      <c r="E21" s="24">
        <f t="shared" si="3"/>
        <v>0</v>
      </c>
      <c r="F21" s="7" t="str">
        <f>IF(D21=E21,"n/a",IF(OR(C21="battery electric vehicle",C21="natural gas vehicle",C21="plugin hybrid vehicle"),"s-curve","linear"))</f>
        <v>n/a</v>
      </c>
      <c r="H21" s="24">
        <f t="shared" si="1"/>
        <v>0</v>
      </c>
      <c r="I21" s="13">
        <f>IF($F21="s-curve",$D21+($E21-$D21)*$I$2/(1+EXP($I$3*(COUNT($H$9:I$9)+$I$4))),TREND($D21:$E21,$D$9:$E$9,I$9))</f>
        <v>0</v>
      </c>
      <c r="J21" s="13">
        <f>IF($F21="s-curve",$D21+($E21-$D21)*$I$2/(1+EXP($I$3*(COUNT($H$9:J$9)+$I$4))),TREND($D21:$E21,$D$9:$E$9,J$9))</f>
        <v>0</v>
      </c>
      <c r="K21" s="13">
        <f>IF($F21="s-curve",$D21+($E21-$D21)*$I$2/(1+EXP($I$3*(COUNT($H$9:K$9)+$I$4))),TREND($D21:$E21,$D$9:$E$9,K$9))</f>
        <v>0</v>
      </c>
      <c r="L21" s="13">
        <f>IF($F21="s-curve",$D21+($E21-$D21)*$I$2/(1+EXP($I$3*(COUNT($H$9:L$9)+$I$4))),TREND($D21:$E21,$D$9:$E$9,L$9))</f>
        <v>0</v>
      </c>
      <c r="M21" s="13">
        <f>IF($F21="s-curve",$D21+($E21-$D21)*$I$2/(1+EXP($I$3*(COUNT($H$9:M$9)+$I$4))),TREND($D21:$E21,$D$9:$E$9,M$9))</f>
        <v>0</v>
      </c>
      <c r="N21" s="13">
        <f>IF($F21="s-curve",$D21+($E21-$D21)*$I$2/(1+EXP($I$3*(COUNT($H$9:N$9)+$I$4))),TREND($D21:$E21,$D$9:$E$9,N$9))</f>
        <v>0</v>
      </c>
      <c r="O21" s="13">
        <f>IF($F21="s-curve",$D21+($E21-$D21)*$I$2/(1+EXP($I$3*(COUNT($H$9:O$9)+$I$4))),TREND($D21:$E21,$D$9:$E$9,O$9))</f>
        <v>0</v>
      </c>
      <c r="P21" s="13">
        <f>IF($F21="s-curve",$D21+($E21-$D21)*$I$2/(1+EXP($I$3*(COUNT($H$9:P$9)+$I$4))),TREND($D21:$E21,$D$9:$E$9,P$9))</f>
        <v>0</v>
      </c>
      <c r="Q21" s="13">
        <f>IF($F21="s-curve",$D21+($E21-$D21)*$I$2/(1+EXP($I$3*(COUNT($H$9:Q$9)+$I$4))),TREND($D21:$E21,$D$9:$E$9,Q$9))</f>
        <v>0</v>
      </c>
      <c r="R21" s="13">
        <f>IF($F21="s-curve",$D21+($E21-$D21)*$I$2/(1+EXP($I$3*(COUNT($H$9:R$9)+$I$4))),TREND($D21:$E21,$D$9:$E$9,R$9))</f>
        <v>0</v>
      </c>
      <c r="S21" s="13">
        <f>IF($F21="s-curve",$D21+($E21-$D21)*$I$2/(1+EXP($I$3*(COUNT($H$9:S$9)+$I$4))),TREND($D21:$E21,$D$9:$E$9,S$9))</f>
        <v>0</v>
      </c>
      <c r="T21" s="13">
        <f>IF($F21="s-curve",$D21+($E21-$D21)*$I$2/(1+EXP($I$3*(COUNT($H$9:T$9)+$I$4))),TREND($D21:$E21,$D$9:$E$9,T$9))</f>
        <v>0</v>
      </c>
      <c r="U21" s="13">
        <f>IF($F21="s-curve",$D21+($E21-$D21)*$I$2/(1+EXP($I$3*(COUNT($H$9:U$9)+$I$4))),TREND($D21:$E21,$D$9:$E$9,U$9))</f>
        <v>0</v>
      </c>
      <c r="V21" s="13">
        <f>IF($F21="s-curve",$D21+($E21-$D21)*$I$2/(1+EXP($I$3*(COUNT($H$9:V$9)+$I$4))),TREND($D21:$E21,$D$9:$E$9,V$9))</f>
        <v>0</v>
      </c>
      <c r="W21" s="13">
        <f>IF($F21="s-curve",$D21+($E21-$D21)*$I$2/(1+EXP($I$3*(COUNT($H$9:W$9)+$I$4))),TREND($D21:$E21,$D$9:$E$9,W$9))</f>
        <v>0</v>
      </c>
      <c r="X21" s="13">
        <f>IF($F21="s-curve",$D21+($E21-$D21)*$I$2/(1+EXP($I$3*(COUNT($H$9:X$9)+$I$4))),TREND($D21:$E21,$D$9:$E$9,X$9))</f>
        <v>0</v>
      </c>
      <c r="Y21" s="13">
        <f>IF($F21="s-curve",$D21+($E21-$D21)*$I$2/(1+EXP($I$3*(COUNT($H$9:Y$9)+$I$4))),TREND($D21:$E21,$D$9:$E$9,Y$9))</f>
        <v>0</v>
      </c>
      <c r="Z21" s="13">
        <f>IF($F21="s-curve",$D21+($E21-$D21)*$I$2/(1+EXP($I$3*(COUNT($H$9:Z$9)+$I$4))),TREND($D21:$E21,$D$9:$E$9,Z$9))</f>
        <v>0</v>
      </c>
      <c r="AA21" s="13">
        <f>IF($F21="s-curve",$D21+($E21-$D21)*$I$2/(1+EXP($I$3*(COUNT($H$9:AA$9)+$I$4))),TREND($D21:$E21,$D$9:$E$9,AA$9))</f>
        <v>0</v>
      </c>
      <c r="AB21" s="13">
        <f>IF($F21="s-curve",$D21+($E21-$D21)*$I$2/(1+EXP($I$3*(COUNT($H$9:AB$9)+$I$4))),TREND($D21:$E21,$D$9:$E$9,AB$9))</f>
        <v>0</v>
      </c>
      <c r="AC21" s="13">
        <f>IF($F21="s-curve",$D21+($E21-$D21)*$I$2/(1+EXP($I$3*(COUNT($H$9:AC$9)+$I$4))),TREND($D21:$E21,$D$9:$E$9,AC$9))</f>
        <v>0</v>
      </c>
      <c r="AD21" s="13">
        <f>IF($F21="s-curve",$D21+($E21-$D21)*$I$2/(1+EXP($I$3*(COUNT($H$9:AD$9)+$I$4))),TREND($D21:$E21,$D$9:$E$9,AD$9))</f>
        <v>0</v>
      </c>
      <c r="AE21" s="13">
        <f>IF($F21="s-curve",$D21+($E21-$D21)*$I$2/(1+EXP($I$3*(COUNT($H$9:AE$9)+$I$4))),TREND($D21:$E21,$D$9:$E$9,AE$9))</f>
        <v>0</v>
      </c>
      <c r="AF21" s="13">
        <f>IF($F21="s-curve",$D21+($E21-$D21)*$I$2/(1+EXP($I$3*(COUNT($H$9:AF$9)+$I$4))),TREND($D21:$E21,$D$9:$E$9,AF$9))</f>
        <v>0</v>
      </c>
      <c r="AG21" s="13">
        <f>IF($F21="s-curve",$D21+($E21-$D21)*$I$2/(1+EXP($I$3*(COUNT($H$9:AG$9)+$I$4))),TREND($D21:$E21,$D$9:$E$9,AG$9))</f>
        <v>0</v>
      </c>
      <c r="AH21" s="13">
        <f>IF($F21="s-curve",$D21+($E21-$D21)*$I$2/(1+EXP($I$3*(COUNT($H$9:AH$9)+$I$4))),TREND($D21:$E21,$D$9:$E$9,AH$9))</f>
        <v>0</v>
      </c>
      <c r="AI21" s="13">
        <f>IF($F21="s-curve",$D21+($E21-$D21)*$I$2/(1+EXP($I$3*(COUNT($H$9:AI$9)+$I$4))),TREND($D21:$E21,$D$9:$E$9,AI$9))</f>
        <v>0</v>
      </c>
      <c r="AJ21" s="13">
        <f>IF($F21="s-curve",$D21+($E21-$D21)*$I$2/(1+EXP($I$3*(COUNT($H$9:AJ$9)+$I$4))),TREND($D21:$E21,$D$9:$E$9,AJ$9))</f>
        <v>0</v>
      </c>
      <c r="AK21" s="13">
        <f>IF($F21="s-curve",$D21+($E21-$D21)*$I$2/(1+EXP($I$3*(COUNT($H$9:AK$9)+$I$4))),TREND($D21:$E21,$D$9:$E$9,AK$9))</f>
        <v>0</v>
      </c>
      <c r="AL21" s="13">
        <f>IF($F21="s-curve",$D21+($E21-$D21)*$I$2/(1+EXP($I$3*(COUNT($H$9:AL$9)+$I$4))),TREND($D21:$E21,$D$9:$E$9,AL$9))</f>
        <v>0</v>
      </c>
    </row>
    <row r="22" spans="1:38" x14ac:dyDescent="0.35">
      <c r="C22" s="13" t="s">
        <v>78</v>
      </c>
      <c r="D22" s="24">
        <f>MIN(1.25*INDEX('SYVbT-freight'!$B$2:$H$2,MATCH(Data!$C15,'SYVbT-passenger'!$B$1:$H$1,0))/SUM('SYVbT-freight'!$B$2:$H$2),1)</f>
        <v>4.243912626775604E-2</v>
      </c>
      <c r="E22" s="24">
        <f t="shared" si="3"/>
        <v>4.243912626775604E-2</v>
      </c>
      <c r="F22" s="7" t="str">
        <f>IF(D22=E22,"n/a",IF(OR(C22="battery electric vehicle",C22="natural gas vehicle",C22="plugin hybrid vehicle",C22="hydrogen vehicle"),"s-curve","linear"))</f>
        <v>n/a</v>
      </c>
      <c r="H22" s="24">
        <f t="shared" si="1"/>
        <v>4.243912626775604E-2</v>
      </c>
      <c r="I22" s="13">
        <f>IF($F22="s-curve",$D22+($E22-$D22)*$I$2/(1+EXP($I$3*(COUNT($H$9:I$9)+$I$4))),TREND($D22:$E22,$D$9:$E$9,I$9))</f>
        <v>4.243912626775604E-2</v>
      </c>
      <c r="J22" s="13">
        <f>IF($F22="s-curve",$D22+($E22-$D22)*$I$2/(1+EXP($I$3*(COUNT($H$9:J$9)+$I$4))),TREND($D22:$E22,$D$9:$E$9,J$9))</f>
        <v>4.243912626775604E-2</v>
      </c>
      <c r="K22" s="13">
        <f>IF($F22="s-curve",$D22+($E22-$D22)*$I$2/(1+EXP($I$3*(COUNT($H$9:K$9)+$I$4))),TREND($D22:$E22,$D$9:$E$9,K$9))</f>
        <v>4.243912626775604E-2</v>
      </c>
      <c r="L22" s="13">
        <f>IF($F22="s-curve",$D22+($E22-$D22)*$I$2/(1+EXP($I$3*(COUNT($H$9:L$9)+$I$4))),TREND($D22:$E22,$D$9:$E$9,L$9))</f>
        <v>4.243912626775604E-2</v>
      </c>
      <c r="M22" s="13">
        <f>IF($F22="s-curve",$D22+($E22-$D22)*$I$2/(1+EXP($I$3*(COUNT($H$9:M$9)+$I$4))),TREND($D22:$E22,$D$9:$E$9,M$9))</f>
        <v>4.243912626775604E-2</v>
      </c>
      <c r="N22" s="13">
        <f>IF($F22="s-curve",$D22+($E22-$D22)*$I$2/(1+EXP($I$3*(COUNT($H$9:N$9)+$I$4))),TREND($D22:$E22,$D$9:$E$9,N$9))</f>
        <v>4.243912626775604E-2</v>
      </c>
      <c r="O22" s="13">
        <f>IF($F22="s-curve",$D22+($E22-$D22)*$I$2/(1+EXP($I$3*(COUNT($H$9:O$9)+$I$4))),TREND($D22:$E22,$D$9:$E$9,O$9))</f>
        <v>4.243912626775604E-2</v>
      </c>
      <c r="P22" s="13">
        <f>IF($F22="s-curve",$D22+($E22-$D22)*$I$2/(1+EXP($I$3*(COUNT($H$9:P$9)+$I$4))),TREND($D22:$E22,$D$9:$E$9,P$9))</f>
        <v>4.243912626775604E-2</v>
      </c>
      <c r="Q22" s="13">
        <f>IF($F22="s-curve",$D22+($E22-$D22)*$I$2/(1+EXP($I$3*(COUNT($H$9:Q$9)+$I$4))),TREND($D22:$E22,$D$9:$E$9,Q$9))</f>
        <v>4.243912626775604E-2</v>
      </c>
      <c r="R22" s="13">
        <f>IF($F22="s-curve",$D22+($E22-$D22)*$I$2/(1+EXP($I$3*(COUNT($H$9:R$9)+$I$4))),TREND($D22:$E22,$D$9:$E$9,R$9))</f>
        <v>4.243912626775604E-2</v>
      </c>
      <c r="S22" s="13">
        <f>IF($F22="s-curve",$D22+($E22-$D22)*$I$2/(1+EXP($I$3*(COUNT($H$9:S$9)+$I$4))),TREND($D22:$E22,$D$9:$E$9,S$9))</f>
        <v>4.243912626775604E-2</v>
      </c>
      <c r="T22" s="13">
        <f>IF($F22="s-curve",$D22+($E22-$D22)*$I$2/(1+EXP($I$3*(COUNT($H$9:T$9)+$I$4))),TREND($D22:$E22,$D$9:$E$9,T$9))</f>
        <v>4.243912626775604E-2</v>
      </c>
      <c r="U22" s="13">
        <f>IF($F22="s-curve",$D22+($E22-$D22)*$I$2/(1+EXP($I$3*(COUNT($H$9:U$9)+$I$4))),TREND($D22:$E22,$D$9:$E$9,U$9))</f>
        <v>4.243912626775604E-2</v>
      </c>
      <c r="V22" s="13">
        <f>IF($F22="s-curve",$D22+($E22-$D22)*$I$2/(1+EXP($I$3*(COUNT($H$9:V$9)+$I$4))),TREND($D22:$E22,$D$9:$E$9,V$9))</f>
        <v>4.243912626775604E-2</v>
      </c>
      <c r="W22" s="13">
        <f>IF($F22="s-curve",$D22+($E22-$D22)*$I$2/(1+EXP($I$3*(COUNT($H$9:W$9)+$I$4))),TREND($D22:$E22,$D$9:$E$9,W$9))</f>
        <v>4.243912626775604E-2</v>
      </c>
      <c r="X22" s="13">
        <f>IF($F22="s-curve",$D22+($E22-$D22)*$I$2/(1+EXP($I$3*(COUNT($H$9:X$9)+$I$4))),TREND($D22:$E22,$D$9:$E$9,X$9))</f>
        <v>4.243912626775604E-2</v>
      </c>
      <c r="Y22" s="13">
        <f>IF($F22="s-curve",$D22+($E22-$D22)*$I$2/(1+EXP($I$3*(COUNT($H$9:Y$9)+$I$4))),TREND($D22:$E22,$D$9:$E$9,Y$9))</f>
        <v>4.243912626775604E-2</v>
      </c>
      <c r="Z22" s="13">
        <f>IF($F22="s-curve",$D22+($E22-$D22)*$I$2/(1+EXP($I$3*(COUNT($H$9:Z$9)+$I$4))),TREND($D22:$E22,$D$9:$E$9,Z$9))</f>
        <v>4.243912626775604E-2</v>
      </c>
      <c r="AA22" s="13">
        <f>IF($F22="s-curve",$D22+($E22-$D22)*$I$2/(1+EXP($I$3*(COUNT($H$9:AA$9)+$I$4))),TREND($D22:$E22,$D$9:$E$9,AA$9))</f>
        <v>4.243912626775604E-2</v>
      </c>
      <c r="AB22" s="13">
        <f>IF($F22="s-curve",$D22+($E22-$D22)*$I$2/(1+EXP($I$3*(COUNT($H$9:AB$9)+$I$4))),TREND($D22:$E22,$D$9:$E$9,AB$9))</f>
        <v>4.243912626775604E-2</v>
      </c>
      <c r="AC22" s="13">
        <f>IF($F22="s-curve",$D22+($E22-$D22)*$I$2/(1+EXP($I$3*(COUNT($H$9:AC$9)+$I$4))),TREND($D22:$E22,$D$9:$E$9,AC$9))</f>
        <v>4.243912626775604E-2</v>
      </c>
      <c r="AD22" s="13">
        <f>IF($F22="s-curve",$D22+($E22-$D22)*$I$2/(1+EXP($I$3*(COUNT($H$9:AD$9)+$I$4))),TREND($D22:$E22,$D$9:$E$9,AD$9))</f>
        <v>4.243912626775604E-2</v>
      </c>
      <c r="AE22" s="13">
        <f>IF($F22="s-curve",$D22+($E22-$D22)*$I$2/(1+EXP($I$3*(COUNT($H$9:AE$9)+$I$4))),TREND($D22:$E22,$D$9:$E$9,AE$9))</f>
        <v>4.243912626775604E-2</v>
      </c>
      <c r="AF22" s="13">
        <f>IF($F22="s-curve",$D22+($E22-$D22)*$I$2/(1+EXP($I$3*(COUNT($H$9:AF$9)+$I$4))),TREND($D22:$E22,$D$9:$E$9,AF$9))</f>
        <v>4.243912626775604E-2</v>
      </c>
      <c r="AG22" s="13">
        <f>IF($F22="s-curve",$D22+($E22-$D22)*$I$2/(1+EXP($I$3*(COUNT($H$9:AG$9)+$I$4))),TREND($D22:$E22,$D$9:$E$9,AG$9))</f>
        <v>4.243912626775604E-2</v>
      </c>
      <c r="AH22" s="13">
        <f>IF($F22="s-curve",$D22+($E22-$D22)*$I$2/(1+EXP($I$3*(COUNT($H$9:AH$9)+$I$4))),TREND($D22:$E22,$D$9:$E$9,AH$9))</f>
        <v>4.243912626775604E-2</v>
      </c>
      <c r="AI22" s="13">
        <f>IF($F22="s-curve",$D22+($E22-$D22)*$I$2/(1+EXP($I$3*(COUNT($H$9:AI$9)+$I$4))),TREND($D22:$E22,$D$9:$E$9,AI$9))</f>
        <v>4.243912626775604E-2</v>
      </c>
      <c r="AJ22" s="13">
        <f>IF($F22="s-curve",$D22+($E22-$D22)*$I$2/(1+EXP($I$3*(COUNT($H$9:AJ$9)+$I$4))),TREND($D22:$E22,$D$9:$E$9,AJ$9))</f>
        <v>4.243912626775604E-2</v>
      </c>
      <c r="AK22" s="13">
        <f>IF($F22="s-curve",$D22+($E22-$D22)*$I$2/(1+EXP($I$3*(COUNT($H$9:AK$9)+$I$4))),TREND($D22:$E22,$D$9:$E$9,AK$9))</f>
        <v>4.243912626775604E-2</v>
      </c>
      <c r="AL22" s="13">
        <f>IF($F22="s-curve",$D22+($E22-$D22)*$I$2/(1+EXP($I$3*(COUNT($H$9:AL$9)+$I$4))),TREND($D22:$E22,$D$9:$E$9,AL$9))</f>
        <v>4.243912626775604E-2</v>
      </c>
    </row>
    <row r="23" spans="1:38" ht="15" thickBot="1" x14ac:dyDescent="0.4">
      <c r="A23" s="26"/>
      <c r="B23" s="26"/>
      <c r="C23" s="26" t="s">
        <v>79</v>
      </c>
      <c r="D23" s="26">
        <f>MIN(1.25*INDEX('SYVbT-freight'!$B$2:$H$2,MATCH(Data!$C16,'SYVbT-passenger'!$B$1:$H$1,0))/SUM('SYVbT-freight'!$B$2:$H$2),1)</f>
        <v>0</v>
      </c>
      <c r="E23" s="32">
        <f>E18</f>
        <v>5.4356707810170545E-4</v>
      </c>
      <c r="F23" s="8" t="str">
        <f>IF(D23=E23,"n/a",IF(OR(C23="battery electric vehicle",C23="natural gas vehicle",C23="plugin hybrid vehicle",C23="hydrogen vehicle"),"s-curve","linear"))</f>
        <v>s-curve</v>
      </c>
      <c r="H23" s="24">
        <f t="shared" si="1"/>
        <v>0</v>
      </c>
      <c r="I23" s="13">
        <f>IF($F23="s-curve",$D23+($E23-$D23)*$I$2/(1+EXP($I$3*(COUNT($H$9:I$9)+$I$4))),TREND($D23:$E23,$D$9:$E$9,I$9))</f>
        <v>8.0306772392944271E-6</v>
      </c>
      <c r="J23" s="13">
        <f>IF($F23="s-curve",$D23+($E23-$D23)*$I$2/(1+EXP($I$3*(COUNT($H$9:J$9)+$I$4))),TREND($D23:$E23,$D$9:$E$9,J$9))</f>
        <v>1.0784537016517023E-5</v>
      </c>
      <c r="K23" s="13">
        <f>IF($F23="s-curve",$D23+($E23-$D23)*$I$2/(1+EXP($I$3*(COUNT($H$9:K$9)+$I$4))),TREND($D23:$E23,$D$9:$E$9,K$9))</f>
        <v>1.4457250084866805E-5</v>
      </c>
      <c r="L23" s="13">
        <f>IF($F23="s-curve",$D23+($E23-$D23)*$I$2/(1+EXP($I$3*(COUNT($H$9:L$9)+$I$4))),TREND($D23:$E23,$D$9:$E$9,L$9))</f>
        <v>1.9335327417529575E-5</v>
      </c>
      <c r="M23" s="13">
        <f>IF($F23="s-curve",$D23+($E23-$D23)*$I$2/(1+EXP($I$3*(COUNT($H$9:M$9)+$I$4))),TREND($D23:$E23,$D$9:$E$9,M$9))</f>
        <v>2.5779143309552019E-5</v>
      </c>
      <c r="N23" s="13">
        <f>IF($F23="s-curve",$D23+($E23-$D23)*$I$2/(1+EXP($I$3*(COUNT($H$9:N$9)+$I$4))),TREND($D23:$E23,$D$9:$E$9,N$9))</f>
        <v>3.4230243150159928E-5</v>
      </c>
      <c r="O23" s="13">
        <f>IF($F23="s-curve",$D23+($E23-$D23)*$I$2/(1+EXP($I$3*(COUNT($H$9:O$9)+$I$4))),TREND($D23:$E23,$D$9:$E$9,O$9))</f>
        <v>4.5209939611041344E-5</v>
      </c>
      <c r="P23" s="13">
        <f>IF($F23="s-curve",$D23+($E23-$D23)*$I$2/(1+EXP($I$3*(COUNT($H$9:P$9)+$I$4))),TREND($D23:$E23,$D$9:$E$9,P$9))</f>
        <v>5.9301440327483521E-5</v>
      </c>
      <c r="Q23" s="13">
        <f>IF($F23="s-curve",$D23+($E23-$D23)*$I$2/(1+EXP($I$3*(COUNT($H$9:Q$9)+$I$4))),TREND($D23:$E23,$D$9:$E$9,Q$9))</f>
        <v>7.7105568873573547E-5</v>
      </c>
      <c r="R23" s="13">
        <f>IF($F23="s-curve",$D23+($E23-$D23)*$I$2/(1+EXP($I$3*(COUNT($H$9:R$9)+$I$4))),TREND($D23:$E23,$D$9:$E$9,R$9))</f>
        <v>9.9160508946594225E-5</v>
      </c>
      <c r="S23" s="13">
        <f>IF($F23="s-curve",$D23+($E23-$D23)*$I$2/(1+EXP($I$3*(COUNT($H$9:S$9)+$I$4))),TREND($D23:$E23,$D$9:$E$9,S$9))</f>
        <v>1.2582230708639867E-4</v>
      </c>
      <c r="T23" s="13">
        <f>IF($F23="s-curve",$D23+($E23-$D23)*$I$2/(1+EXP($I$3*(COUNT($H$9:T$9)+$I$4))),TREND($D23:$E23,$D$9:$E$9,T$9))</f>
        <v>1.5711833428197128E-4</v>
      </c>
      <c r="U23" s="13">
        <f>IF($F23="s-curve",$D23+($E23-$D23)*$I$2/(1+EXP($I$3*(COUNT($H$9:U$9)+$I$4))),TREND($D23:$E23,$D$9:$E$9,U$9))</f>
        <v>1.9260956626860983E-4</v>
      </c>
      <c r="V23" s="13">
        <f>IF($F23="s-curve",$D23+($E23-$D23)*$I$2/(1+EXP($I$3*(COUNT($H$9:V$9)+$I$4))),TREND($D23:$E23,$D$9:$E$9,V$9))</f>
        <v>2.3131903770100216E-4</v>
      </c>
      <c r="W23" s="13">
        <f>IF($F23="s-curve",$D23+($E23-$D23)*$I$2/(1+EXP($I$3*(COUNT($H$9:W$9)+$I$4))),TREND($D23:$E23,$D$9:$E$9,W$9))</f>
        <v>2.7178353905085273E-4</v>
      </c>
      <c r="X23" s="13">
        <f>IF($F23="s-curve",$D23+($E23-$D23)*$I$2/(1+EXP($I$3*(COUNT($H$9:X$9)+$I$4))),TREND($D23:$E23,$D$9:$E$9,X$9))</f>
        <v>3.1224804040070329E-4</v>
      </c>
      <c r="Y23" s="13">
        <f>IF($F23="s-curve",$D23+($E23-$D23)*$I$2/(1+EXP($I$3*(COUNT($H$9:Y$9)+$I$4))),TREND($D23:$E23,$D$9:$E$9,Y$9))</f>
        <v>3.5095751183309559E-4</v>
      </c>
      <c r="Z23" s="13">
        <f>IF($F23="s-curve",$D23+($E23-$D23)*$I$2/(1+EXP($I$3*(COUNT($H$9:Z$9)+$I$4))),TREND($D23:$E23,$D$9:$E$9,Z$9))</f>
        <v>3.8644874381973417E-4</v>
      </c>
      <c r="AA23" s="13">
        <f>IF($F23="s-curve",$D23+($E23-$D23)*$I$2/(1+EXP($I$3*(COUNT($H$9:AA$9)+$I$4))),TREND($D23:$E23,$D$9:$E$9,AA$9))</f>
        <v>4.1774477101530678E-4</v>
      </c>
      <c r="AB23" s="13">
        <f>IF($F23="s-curve",$D23+($E23-$D23)*$I$2/(1+EXP($I$3*(COUNT($H$9:AB$9)+$I$4))),TREND($D23:$E23,$D$9:$E$9,AB$9))</f>
        <v>4.4440656915511122E-4</v>
      </c>
      <c r="AC23" s="13">
        <f>IF($F23="s-curve",$D23+($E23-$D23)*$I$2/(1+EXP($I$3*(COUNT($H$9:AC$9)+$I$4))),TREND($D23:$E23,$D$9:$E$9,AC$9))</f>
        <v>4.6646150922813193E-4</v>
      </c>
      <c r="AD23" s="13">
        <f>IF($F23="s-curve",$D23+($E23-$D23)*$I$2/(1+EXP($I$3*(COUNT($H$9:AD$9)+$I$4))),TREND($D23:$E23,$D$9:$E$9,AD$9))</f>
        <v>4.8426563777422194E-4</v>
      </c>
      <c r="AE23" s="13">
        <f>IF($F23="s-curve",$D23+($E23-$D23)*$I$2/(1+EXP($I$3*(COUNT($H$9:AE$9)+$I$4))),TREND($D23:$E23,$D$9:$E$9,AE$9))</f>
        <v>4.9835713849066409E-4</v>
      </c>
      <c r="AF23" s="13">
        <f>IF($F23="s-curve",$D23+($E23-$D23)*$I$2/(1+EXP($I$3*(COUNT($H$9:AF$9)+$I$4))),TREND($D23:$E23,$D$9:$E$9,AF$9))</f>
        <v>5.093368349515455E-4</v>
      </c>
      <c r="AG23" s="13">
        <f>IF($F23="s-curve",$D23+($E23-$D23)*$I$2/(1+EXP($I$3*(COUNT($H$9:AG$9)+$I$4))),TREND($D23:$E23,$D$9:$E$9,AG$9))</f>
        <v>5.1778793479215343E-4</v>
      </c>
      <c r="AH23" s="13">
        <f>IF($F23="s-curve",$D23+($E23-$D23)*$I$2/(1+EXP($I$3*(COUNT($H$9:AH$9)+$I$4))),TREND($D23:$E23,$D$9:$E$9,AH$9))</f>
        <v>5.2423175068417585E-4</v>
      </c>
      <c r="AI23" s="13">
        <f>IF($F23="s-curve",$D23+($E23-$D23)*$I$2/(1+EXP($I$3*(COUNT($H$9:AI$9)+$I$4))),TREND($D23:$E23,$D$9:$E$9,AI$9))</f>
        <v>5.2910982801683863E-4</v>
      </c>
      <c r="AJ23" s="13">
        <f>IF($F23="s-curve",$D23+($E23-$D23)*$I$2/(1+EXP($I$3*(COUNT($H$9:AJ$9)+$I$4))),TREND($D23:$E23,$D$9:$E$9,AJ$9))</f>
        <v>5.3278254108518846E-4</v>
      </c>
      <c r="AK23" s="13">
        <f>IF($F23="s-curve",$D23+($E23-$D23)*$I$2/(1+EXP($I$3*(COUNT($H$9:AK$9)+$I$4))),TREND($D23:$E23,$D$9:$E$9,AK$9))</f>
        <v>5.3553640086241106E-4</v>
      </c>
      <c r="AL23" s="13">
        <f>IF($F23="s-curve",$D23+($E23-$D23)*$I$2/(1+EXP($I$3*(COUNT($H$9:AL$9)+$I$4))),TREND($D23:$E23,$D$9:$E$9,AL$9))</f>
        <v>5.3759493779872286E-4</v>
      </c>
    </row>
    <row r="24" spans="1:38" x14ac:dyDescent="0.35">
      <c r="A24" s="13" t="s">
        <v>13</v>
      </c>
      <c r="B24" s="13" t="s">
        <v>19</v>
      </c>
      <c r="C24" s="13" t="s">
        <v>1</v>
      </c>
      <c r="D24" s="24">
        <f>MIN(1.25*INDEX('SYVbT-passenger'!$B$3:$H$3,MATCH(Data!$C10,'SYVbT-passenger'!$B$1:$H$1,0))/SUM('SYVbT-passenger'!$B$3:$H$3),1)</f>
        <v>5.5822769469688269E-3</v>
      </c>
      <c r="E24" s="36">
        <v>0.8</v>
      </c>
      <c r="F24" s="7" t="str">
        <f>IF(D24=E24,"n/a",IF(OR(C24="battery electric vehicle",C24="natural gas vehicle",C24="plugin hybrid vehicle"),"s-curve","linear"))</f>
        <v>s-curve</v>
      </c>
      <c r="H24" s="24">
        <f t="shared" si="1"/>
        <v>5.5822769469688269E-3</v>
      </c>
      <c r="I24" s="13">
        <f>IF($F24="s-curve",$D24+($E24-$D24)*$I$2/(1+EXP($I$3*(COUNT($H$9:I$9)+$I$4))),TREND($D24:$E24,$D$9:$E$9,I$9))</f>
        <v>1.731902956505213E-2</v>
      </c>
      <c r="J24" s="13">
        <f>IF($F24="s-curve",$D24+($E24-$D24)*$I$2/(1+EXP($I$3*(COUNT($H$9:J$9)+$I$4))),TREND($D24:$E24,$D$9:$E$9,J$9))</f>
        <v>2.1343767452910681E-2</v>
      </c>
      <c r="K24" s="13">
        <f>IF($F24="s-curve",$D24+($E24-$D24)*$I$2/(1+EXP($I$3*(COUNT($H$9:K$9)+$I$4))),TREND($D24:$E24,$D$9:$E$9,K$9))</f>
        <v>2.6711400024358706E-2</v>
      </c>
      <c r="L24" s="13">
        <f>IF($F24="s-curve",$D24+($E24-$D24)*$I$2/(1+EXP($I$3*(COUNT($H$9:L$9)+$I$4))),TREND($D24:$E24,$D$9:$E$9,L$9))</f>
        <v>3.3840660135224868E-2</v>
      </c>
      <c r="M24" s="13">
        <f>IF($F24="s-curve",$D24+($E24-$D24)*$I$2/(1+EXP($I$3*(COUNT($H$9:M$9)+$I$4))),TREND($D24:$E24,$D$9:$E$9,M$9))</f>
        <v>4.3258231130493256E-2</v>
      </c>
      <c r="N24" s="13">
        <f>IF($F24="s-curve",$D24+($E24-$D24)*$I$2/(1+EXP($I$3*(COUNT($H$9:N$9)+$I$4))),TREND($D24:$E24,$D$9:$E$9,N$9))</f>
        <v>5.5609427078775808E-2</v>
      </c>
      <c r="O24" s="13">
        <f>IF($F24="s-curve",$D24+($E24-$D24)*$I$2/(1+EXP($I$3*(COUNT($H$9:O$9)+$I$4))),TREND($D24:$E24,$D$9:$E$9,O$9))</f>
        <v>7.1656141115851474E-2</v>
      </c>
      <c r="P24" s="13">
        <f>IF($F24="s-curve",$D24+($E24-$D24)*$I$2/(1+EXP($I$3*(COUNT($H$9:P$9)+$I$4))),TREND($D24:$E24,$D$9:$E$9,P$9))</f>
        <v>9.2250725233511327E-2</v>
      </c>
      <c r="Q24" s="13">
        <f>IF($F24="s-curve",$D24+($E24-$D24)*$I$2/(1+EXP($I$3*(COUNT($H$9:Q$9)+$I$4))),TREND($D24:$E24,$D$9:$E$9,Q$9))</f>
        <v>0.11827127693786213</v>
      </c>
      <c r="R24" s="13">
        <f>IF($F24="s-curve",$D24+($E24-$D24)*$I$2/(1+EXP($I$3*(COUNT($H$9:R$9)+$I$4))),TREND($D24:$E24,$D$9:$E$9,R$9))</f>
        <v>0.150504346195971</v>
      </c>
      <c r="S24" s="13">
        <f>IF($F24="s-curve",$D24+($E24-$D24)*$I$2/(1+EXP($I$3*(COUNT($H$9:S$9)+$I$4))),TREND($D24:$E24,$D$9:$E$9,S$9))</f>
        <v>0.18947029138288671</v>
      </c>
      <c r="T24" s="13">
        <f>IF($F24="s-curve",$D24+($E24-$D24)*$I$2/(1+EXP($I$3*(COUNT($H$9:T$9)+$I$4))),TREND($D24:$E24,$D$9:$E$9,T$9))</f>
        <v>0.23520911491895941</v>
      </c>
      <c r="U24" s="13">
        <f>IF($F24="s-curve",$D24+($E24-$D24)*$I$2/(1+EXP($I$3*(COUNT($H$9:U$9)+$I$4))),TREND($D24:$E24,$D$9:$E$9,U$9))</f>
        <v>0.28707918733327298</v>
      </c>
      <c r="V24" s="13">
        <f>IF($F24="s-curve",$D24+($E24-$D24)*$I$2/(1+EXP($I$3*(COUNT($H$9:V$9)+$I$4))),TREND($D24:$E24,$D$9:$E$9,V$9))</f>
        <v>0.34365268376962932</v>
      </c>
      <c r="W24" s="13">
        <f>IF($F24="s-curve",$D24+($E24-$D24)*$I$2/(1+EXP($I$3*(COUNT($H$9:W$9)+$I$4))),TREND($D24:$E24,$D$9:$E$9,W$9))</f>
        <v>0.40279113847348447</v>
      </c>
      <c r="X24" s="13">
        <f>IF($F24="s-curve",$D24+($E24-$D24)*$I$2/(1+EXP($I$3*(COUNT($H$9:X$9)+$I$4))),TREND($D24:$E24,$D$9:$E$9,X$9))</f>
        <v>0.46192959317733961</v>
      </c>
      <c r="Y24" s="13">
        <f>IF($F24="s-curve",$D24+($E24-$D24)*$I$2/(1+EXP($I$3*(COUNT($H$9:Y$9)+$I$4))),TREND($D24:$E24,$D$9:$E$9,Y$9))</f>
        <v>0.51850308961369584</v>
      </c>
      <c r="Z24" s="13">
        <f>IF($F24="s-curve",$D24+($E24-$D24)*$I$2/(1+EXP($I$3*(COUNT($H$9:Z$9)+$I$4))),TREND($D24:$E24,$D$9:$E$9,Z$9))</f>
        <v>0.57037316202800947</v>
      </c>
      <c r="AA24" s="13">
        <f>IF($F24="s-curve",$D24+($E24-$D24)*$I$2/(1+EXP($I$3*(COUNT($H$9:AA$9)+$I$4))),TREND($D24:$E24,$D$9:$E$9,AA$9))</f>
        <v>0.6161119855640822</v>
      </c>
      <c r="AB24" s="13">
        <f>IF($F24="s-curve",$D24+($E24-$D24)*$I$2/(1+EXP($I$3*(COUNT($H$9:AB$9)+$I$4))),TREND($D24:$E24,$D$9:$E$9,AB$9))</f>
        <v>0.65507793075099785</v>
      </c>
      <c r="AC24" s="13">
        <f>IF($F24="s-curve",$D24+($E24-$D24)*$I$2/(1+EXP($I$3*(COUNT($H$9:AC$9)+$I$4))),TREND($D24:$E24,$D$9:$E$9,AC$9))</f>
        <v>0.68731100000910683</v>
      </c>
      <c r="AD24" s="13">
        <f>IF($F24="s-curve",$D24+($E24-$D24)*$I$2/(1+EXP($I$3*(COUNT($H$9:AD$9)+$I$4))),TREND($D24:$E24,$D$9:$E$9,AD$9))</f>
        <v>0.71333155171345752</v>
      </c>
      <c r="AE24" s="13">
        <f>IF($F24="s-curve",$D24+($E24-$D24)*$I$2/(1+EXP($I$3*(COUNT($H$9:AE$9)+$I$4))),TREND($D24:$E24,$D$9:$E$9,AE$9))</f>
        <v>0.73392613583111743</v>
      </c>
      <c r="AF24" s="13">
        <f>IF($F24="s-curve",$D24+($E24-$D24)*$I$2/(1+EXP($I$3*(COUNT($H$9:AF$9)+$I$4))),TREND($D24:$E24,$D$9:$E$9,AF$9))</f>
        <v>0.74997284986819313</v>
      </c>
      <c r="AG24" s="13">
        <f>IF($F24="s-curve",$D24+($E24-$D24)*$I$2/(1+EXP($I$3*(COUNT($H$9:AG$9)+$I$4))),TREND($D24:$E24,$D$9:$E$9,AG$9))</f>
        <v>0.76232404581647573</v>
      </c>
      <c r="AH24" s="13">
        <f>IF($F24="s-curve",$D24+($E24-$D24)*$I$2/(1+EXP($I$3*(COUNT($H$9:AH$9)+$I$4))),TREND($D24:$E24,$D$9:$E$9,AH$9))</f>
        <v>0.77174161681174402</v>
      </c>
      <c r="AI24" s="13">
        <f>IF($F24="s-curve",$D24+($E24-$D24)*$I$2/(1+EXP($I$3*(COUNT($H$9:AI$9)+$I$4))),TREND($D24:$E24,$D$9:$E$9,AI$9))</f>
        <v>0.77887087692261014</v>
      </c>
      <c r="AJ24" s="13">
        <f>IF($F24="s-curve",$D24+($E24-$D24)*$I$2/(1+EXP($I$3*(COUNT($H$9:AJ$9)+$I$4))),TREND($D24:$E24,$D$9:$E$9,AJ$9))</f>
        <v>0.78423850949405827</v>
      </c>
      <c r="AK24" s="13">
        <f>IF($F24="s-curve",$D24+($E24-$D24)*$I$2/(1+EXP($I$3*(COUNT($H$9:AK$9)+$I$4))),TREND($D24:$E24,$D$9:$E$9,AK$9))</f>
        <v>0.78826324738191678</v>
      </c>
      <c r="AL24" s="13">
        <f>IF($F24="s-curve",$D24+($E24-$D24)*$I$2/(1+EXP($I$3*(COUNT($H$9:AL$9)+$I$4))),TREND($D24:$E24,$D$9:$E$9,AL$9))</f>
        <v>0.79127177805208992</v>
      </c>
    </row>
    <row r="25" spans="1:38" x14ac:dyDescent="0.35">
      <c r="C25" s="13" t="s">
        <v>2</v>
      </c>
      <c r="D25" s="24">
        <f>MIN(1.25*INDEX('SYVbT-passenger'!$B$3:$H$3,MATCH(Data!$C11,'SYVbT-passenger'!$B$1:$H$1,0))/SUM('SYVbT-passenger'!$B$3:$H$3),1)</f>
        <v>2.3113990968226827E-3</v>
      </c>
      <c r="E25" s="24">
        <f>D25</f>
        <v>2.3113990968226827E-3</v>
      </c>
      <c r="F25" s="7" t="str">
        <f>IF(D25=E25,"n/a",IF(OR(C25="battery electric vehicle",C25="natural gas vehicle",C25="plugin hybrid vehicle"),"s-curve","linear"))</f>
        <v>n/a</v>
      </c>
      <c r="H25" s="24">
        <f t="shared" si="1"/>
        <v>2.3113990968226827E-3</v>
      </c>
      <c r="I25" s="13">
        <f>IF($F25="s-curve",$D25+($E25-$D25)*$I$2/(1+EXP($I$3*(COUNT($H$9:I$9)+$I$4))),TREND($D25:$E25,$D$9:$E$9,I$9))</f>
        <v>2.3113990968226827E-3</v>
      </c>
      <c r="J25" s="13">
        <f>IF($F25="s-curve",$D25+($E25-$D25)*$I$2/(1+EXP($I$3*(COUNT($H$9:J$9)+$I$4))),TREND($D25:$E25,$D$9:$E$9,J$9))</f>
        <v>2.3113990968226827E-3</v>
      </c>
      <c r="K25" s="13">
        <f>IF($F25="s-curve",$D25+($E25-$D25)*$I$2/(1+EXP($I$3*(COUNT($H$9:K$9)+$I$4))),TREND($D25:$E25,$D$9:$E$9,K$9))</f>
        <v>2.3113990968226827E-3</v>
      </c>
      <c r="L25" s="13">
        <f>IF($F25="s-curve",$D25+($E25-$D25)*$I$2/(1+EXP($I$3*(COUNT($H$9:L$9)+$I$4))),TREND($D25:$E25,$D$9:$E$9,L$9))</f>
        <v>2.3113990968226827E-3</v>
      </c>
      <c r="M25" s="13">
        <f>IF($F25="s-curve",$D25+($E25-$D25)*$I$2/(1+EXP($I$3*(COUNT($H$9:M$9)+$I$4))),TREND($D25:$E25,$D$9:$E$9,M$9))</f>
        <v>2.3113990968226827E-3</v>
      </c>
      <c r="N25" s="13">
        <f>IF($F25="s-curve",$D25+($E25-$D25)*$I$2/(1+EXP($I$3*(COUNT($H$9:N$9)+$I$4))),TREND($D25:$E25,$D$9:$E$9,N$9))</f>
        <v>2.3113990968226827E-3</v>
      </c>
      <c r="O25" s="13">
        <f>IF($F25="s-curve",$D25+($E25-$D25)*$I$2/(1+EXP($I$3*(COUNT($H$9:O$9)+$I$4))),TREND($D25:$E25,$D$9:$E$9,O$9))</f>
        <v>2.3113990968226827E-3</v>
      </c>
      <c r="P25" s="13">
        <f>IF($F25="s-curve",$D25+($E25-$D25)*$I$2/(1+EXP($I$3*(COUNT($H$9:P$9)+$I$4))),TREND($D25:$E25,$D$9:$E$9,P$9))</f>
        <v>2.3113990968226827E-3</v>
      </c>
      <c r="Q25" s="13">
        <f>IF($F25="s-curve",$D25+($E25-$D25)*$I$2/(1+EXP($I$3*(COUNT($H$9:Q$9)+$I$4))),TREND($D25:$E25,$D$9:$E$9,Q$9))</f>
        <v>2.3113990968226827E-3</v>
      </c>
      <c r="R25" s="13">
        <f>IF($F25="s-curve",$D25+($E25-$D25)*$I$2/(1+EXP($I$3*(COUNT($H$9:R$9)+$I$4))),TREND($D25:$E25,$D$9:$E$9,R$9))</f>
        <v>2.3113990968226827E-3</v>
      </c>
      <c r="S25" s="13">
        <f>IF($F25="s-curve",$D25+($E25-$D25)*$I$2/(1+EXP($I$3*(COUNT($H$9:S$9)+$I$4))),TREND($D25:$E25,$D$9:$E$9,S$9))</f>
        <v>2.3113990968226827E-3</v>
      </c>
      <c r="T25" s="13">
        <f>IF($F25="s-curve",$D25+($E25-$D25)*$I$2/(1+EXP($I$3*(COUNT($H$9:T$9)+$I$4))),TREND($D25:$E25,$D$9:$E$9,T$9))</f>
        <v>2.3113990968226827E-3</v>
      </c>
      <c r="U25" s="13">
        <f>IF($F25="s-curve",$D25+($E25-$D25)*$I$2/(1+EXP($I$3*(COUNT($H$9:U$9)+$I$4))),TREND($D25:$E25,$D$9:$E$9,U$9))</f>
        <v>2.3113990968226827E-3</v>
      </c>
      <c r="V25" s="13">
        <f>IF($F25="s-curve",$D25+($E25-$D25)*$I$2/(1+EXP($I$3*(COUNT($H$9:V$9)+$I$4))),TREND($D25:$E25,$D$9:$E$9,V$9))</f>
        <v>2.3113990968226827E-3</v>
      </c>
      <c r="W25" s="13">
        <f>IF($F25="s-curve",$D25+($E25-$D25)*$I$2/(1+EXP($I$3*(COUNT($H$9:W$9)+$I$4))),TREND($D25:$E25,$D$9:$E$9,W$9))</f>
        <v>2.3113990968226827E-3</v>
      </c>
      <c r="X25" s="13">
        <f>IF($F25="s-curve",$D25+($E25-$D25)*$I$2/(1+EXP($I$3*(COUNT($H$9:X$9)+$I$4))),TREND($D25:$E25,$D$9:$E$9,X$9))</f>
        <v>2.3113990968226827E-3</v>
      </c>
      <c r="Y25" s="13">
        <f>IF($F25="s-curve",$D25+($E25-$D25)*$I$2/(1+EXP($I$3*(COUNT($H$9:Y$9)+$I$4))),TREND($D25:$E25,$D$9:$E$9,Y$9))</f>
        <v>2.3113990968226827E-3</v>
      </c>
      <c r="Z25" s="13">
        <f>IF($F25="s-curve",$D25+($E25-$D25)*$I$2/(1+EXP($I$3*(COUNT($H$9:Z$9)+$I$4))),TREND($D25:$E25,$D$9:$E$9,Z$9))</f>
        <v>2.3113990968226827E-3</v>
      </c>
      <c r="AA25" s="13">
        <f>IF($F25="s-curve",$D25+($E25-$D25)*$I$2/(1+EXP($I$3*(COUNT($H$9:AA$9)+$I$4))),TREND($D25:$E25,$D$9:$E$9,AA$9))</f>
        <v>2.3113990968226827E-3</v>
      </c>
      <c r="AB25" s="13">
        <f>IF($F25="s-curve",$D25+($E25-$D25)*$I$2/(1+EXP($I$3*(COUNT($H$9:AB$9)+$I$4))),TREND($D25:$E25,$D$9:$E$9,AB$9))</f>
        <v>2.3113990968226827E-3</v>
      </c>
      <c r="AC25" s="13">
        <f>IF($F25="s-curve",$D25+($E25-$D25)*$I$2/(1+EXP($I$3*(COUNT($H$9:AC$9)+$I$4))),TREND($D25:$E25,$D$9:$E$9,AC$9))</f>
        <v>2.3113990968226827E-3</v>
      </c>
      <c r="AD25" s="13">
        <f>IF($F25="s-curve",$D25+($E25-$D25)*$I$2/(1+EXP($I$3*(COUNT($H$9:AD$9)+$I$4))),TREND($D25:$E25,$D$9:$E$9,AD$9))</f>
        <v>2.3113990968226827E-3</v>
      </c>
      <c r="AE25" s="13">
        <f>IF($F25="s-curve",$D25+($E25-$D25)*$I$2/(1+EXP($I$3*(COUNT($H$9:AE$9)+$I$4))),TREND($D25:$E25,$D$9:$E$9,AE$9))</f>
        <v>2.3113990968226827E-3</v>
      </c>
      <c r="AF25" s="13">
        <f>IF($F25="s-curve",$D25+($E25-$D25)*$I$2/(1+EXP($I$3*(COUNT($H$9:AF$9)+$I$4))),TREND($D25:$E25,$D$9:$E$9,AF$9))</f>
        <v>2.3113990968226827E-3</v>
      </c>
      <c r="AG25" s="13">
        <f>IF($F25="s-curve",$D25+($E25-$D25)*$I$2/(1+EXP($I$3*(COUNT($H$9:AG$9)+$I$4))),TREND($D25:$E25,$D$9:$E$9,AG$9))</f>
        <v>2.3113990968226827E-3</v>
      </c>
      <c r="AH25" s="13">
        <f>IF($F25="s-curve",$D25+($E25-$D25)*$I$2/(1+EXP($I$3*(COUNT($H$9:AH$9)+$I$4))),TREND($D25:$E25,$D$9:$E$9,AH$9))</f>
        <v>2.3113990968226827E-3</v>
      </c>
      <c r="AI25" s="13">
        <f>IF($F25="s-curve",$D25+($E25-$D25)*$I$2/(1+EXP($I$3*(COUNT($H$9:AI$9)+$I$4))),TREND($D25:$E25,$D$9:$E$9,AI$9))</f>
        <v>2.3113990968226827E-3</v>
      </c>
      <c r="AJ25" s="13">
        <f>IF($F25="s-curve",$D25+($E25-$D25)*$I$2/(1+EXP($I$3*(COUNT($H$9:AJ$9)+$I$4))),TREND($D25:$E25,$D$9:$E$9,AJ$9))</f>
        <v>2.3113990968226827E-3</v>
      </c>
      <c r="AK25" s="13">
        <f>IF($F25="s-curve",$D25+($E25-$D25)*$I$2/(1+EXP($I$3*(COUNT($H$9:AK$9)+$I$4))),TREND($D25:$E25,$D$9:$E$9,AK$9))</f>
        <v>2.3113990968226827E-3</v>
      </c>
      <c r="AL25" s="13">
        <f>IF($F25="s-curve",$D25+($E25-$D25)*$I$2/(1+EXP($I$3*(COUNT($H$9:AL$9)+$I$4))),TREND($D25:$E25,$D$9:$E$9,AL$9))</f>
        <v>2.3113990968226827E-3</v>
      </c>
    </row>
    <row r="26" spans="1:38" x14ac:dyDescent="0.35">
      <c r="C26" s="13" t="s">
        <v>3</v>
      </c>
      <c r="D26" s="24">
        <f>MIN(1.25*INDEX('SYVbT-passenger'!$B$3:$H$3,MATCH(Data!$C12,'SYVbT-passenger'!$B$1:$H$1,0))/SUM('SYVbT-passenger'!$B$3:$H$3),1)*3</f>
        <v>2.0554229895079246</v>
      </c>
      <c r="E26" s="24">
        <f t="shared" ref="E26:E29" si="4">D26</f>
        <v>2.0554229895079246</v>
      </c>
      <c r="F26" s="7" t="str">
        <f>IF(D26=E26,"n/a",IF(OR(C26="battery electric vehicle",C26="natural gas vehicle",C26="plugin hybrid vehicle"),"s-curve","linear"))</f>
        <v>n/a</v>
      </c>
      <c r="H26" s="24">
        <f t="shared" si="1"/>
        <v>2.0554229895079246</v>
      </c>
      <c r="I26" s="13">
        <f>IF($F26="s-curve",$D26+($E26-$D26)*$I$2/(1+EXP($I$3*(COUNT($H$9:I$9)+$I$4))),TREND($D26:$E26,$D$9:$E$9,I$9))</f>
        <v>2.0554229895079246</v>
      </c>
      <c r="J26" s="13">
        <f>IF($F26="s-curve",$D26+($E26-$D26)*$I$2/(1+EXP($I$3*(COUNT($H$9:J$9)+$I$4))),TREND($D26:$E26,$D$9:$E$9,J$9))</f>
        <v>2.0554229895079246</v>
      </c>
      <c r="K26" s="13">
        <f>IF($F26="s-curve",$D26+($E26-$D26)*$I$2/(1+EXP($I$3*(COUNT($H$9:K$9)+$I$4))),TREND($D26:$E26,$D$9:$E$9,K$9))</f>
        <v>2.0554229895079246</v>
      </c>
      <c r="L26" s="13">
        <f>IF($F26="s-curve",$D26+($E26-$D26)*$I$2/(1+EXP($I$3*(COUNT($H$9:L$9)+$I$4))),TREND($D26:$E26,$D$9:$E$9,L$9))</f>
        <v>2.0554229895079246</v>
      </c>
      <c r="M26" s="13">
        <f>IF($F26="s-curve",$D26+($E26-$D26)*$I$2/(1+EXP($I$3*(COUNT($H$9:M$9)+$I$4))),TREND($D26:$E26,$D$9:$E$9,M$9))</f>
        <v>2.0554229895079246</v>
      </c>
      <c r="N26" s="13">
        <f>IF($F26="s-curve",$D26+($E26-$D26)*$I$2/(1+EXP($I$3*(COUNT($H$9:N$9)+$I$4))),TREND($D26:$E26,$D$9:$E$9,N$9))</f>
        <v>2.0554229895079246</v>
      </c>
      <c r="O26" s="13">
        <f>IF($F26="s-curve",$D26+($E26-$D26)*$I$2/(1+EXP($I$3*(COUNT($H$9:O$9)+$I$4))),TREND($D26:$E26,$D$9:$E$9,O$9))</f>
        <v>2.0554229895079246</v>
      </c>
      <c r="P26" s="13">
        <f>IF($F26="s-curve",$D26+($E26-$D26)*$I$2/(1+EXP($I$3*(COUNT($H$9:P$9)+$I$4))),TREND($D26:$E26,$D$9:$E$9,P$9))</f>
        <v>2.0554229895079246</v>
      </c>
      <c r="Q26" s="13">
        <f>IF($F26="s-curve",$D26+($E26-$D26)*$I$2/(1+EXP($I$3*(COUNT($H$9:Q$9)+$I$4))),TREND($D26:$E26,$D$9:$E$9,Q$9))</f>
        <v>2.0554229895079246</v>
      </c>
      <c r="R26" s="13">
        <f>IF($F26="s-curve",$D26+($E26-$D26)*$I$2/(1+EXP($I$3*(COUNT($H$9:R$9)+$I$4))),TREND($D26:$E26,$D$9:$E$9,R$9))</f>
        <v>2.0554229895079246</v>
      </c>
      <c r="S26" s="13">
        <f>IF($F26="s-curve",$D26+($E26-$D26)*$I$2/(1+EXP($I$3*(COUNT($H$9:S$9)+$I$4))),TREND($D26:$E26,$D$9:$E$9,S$9))</f>
        <v>2.0554229895079246</v>
      </c>
      <c r="T26" s="13">
        <f>IF($F26="s-curve",$D26+($E26-$D26)*$I$2/(1+EXP($I$3*(COUNT($H$9:T$9)+$I$4))),TREND($D26:$E26,$D$9:$E$9,T$9))</f>
        <v>2.0554229895079246</v>
      </c>
      <c r="U26" s="13">
        <f>IF($F26="s-curve",$D26+($E26-$D26)*$I$2/(1+EXP($I$3*(COUNT($H$9:U$9)+$I$4))),TREND($D26:$E26,$D$9:$E$9,U$9))</f>
        <v>2.0554229895079246</v>
      </c>
      <c r="V26" s="13">
        <f>IF($F26="s-curve",$D26+($E26-$D26)*$I$2/(1+EXP($I$3*(COUNT($H$9:V$9)+$I$4))),TREND($D26:$E26,$D$9:$E$9,V$9))</f>
        <v>2.0554229895079246</v>
      </c>
      <c r="W26" s="13">
        <f>IF($F26="s-curve",$D26+($E26-$D26)*$I$2/(1+EXP($I$3*(COUNT($H$9:W$9)+$I$4))),TREND($D26:$E26,$D$9:$E$9,W$9))</f>
        <v>2.0554229895079246</v>
      </c>
      <c r="X26" s="13">
        <f>IF($F26="s-curve",$D26+($E26-$D26)*$I$2/(1+EXP($I$3*(COUNT($H$9:X$9)+$I$4))),TREND($D26:$E26,$D$9:$E$9,X$9))</f>
        <v>2.0554229895079246</v>
      </c>
      <c r="Y26" s="13">
        <f>IF($F26="s-curve",$D26+($E26-$D26)*$I$2/(1+EXP($I$3*(COUNT($H$9:Y$9)+$I$4))),TREND($D26:$E26,$D$9:$E$9,Y$9))</f>
        <v>2.0554229895079246</v>
      </c>
      <c r="Z26" s="13">
        <f>IF($F26="s-curve",$D26+($E26-$D26)*$I$2/(1+EXP($I$3*(COUNT($H$9:Z$9)+$I$4))),TREND($D26:$E26,$D$9:$E$9,Z$9))</f>
        <v>2.0554229895079246</v>
      </c>
      <c r="AA26" s="13">
        <f>IF($F26="s-curve",$D26+($E26-$D26)*$I$2/(1+EXP($I$3*(COUNT($H$9:AA$9)+$I$4))),TREND($D26:$E26,$D$9:$E$9,AA$9))</f>
        <v>2.0554229895079246</v>
      </c>
      <c r="AB26" s="13">
        <f>IF($F26="s-curve",$D26+($E26-$D26)*$I$2/(1+EXP($I$3*(COUNT($H$9:AB$9)+$I$4))),TREND($D26:$E26,$D$9:$E$9,AB$9))</f>
        <v>2.0554229895079246</v>
      </c>
      <c r="AC26" s="13">
        <f>IF($F26="s-curve",$D26+($E26-$D26)*$I$2/(1+EXP($I$3*(COUNT($H$9:AC$9)+$I$4))),TREND($D26:$E26,$D$9:$E$9,AC$9))</f>
        <v>2.0554229895079246</v>
      </c>
      <c r="AD26" s="13">
        <f>IF($F26="s-curve",$D26+($E26-$D26)*$I$2/(1+EXP($I$3*(COUNT($H$9:AD$9)+$I$4))),TREND($D26:$E26,$D$9:$E$9,AD$9))</f>
        <v>2.0554229895079246</v>
      </c>
      <c r="AE26" s="13">
        <f>IF($F26="s-curve",$D26+($E26-$D26)*$I$2/(1+EXP($I$3*(COUNT($H$9:AE$9)+$I$4))),TREND($D26:$E26,$D$9:$E$9,AE$9))</f>
        <v>2.0554229895079246</v>
      </c>
      <c r="AF26" s="13">
        <f>IF($F26="s-curve",$D26+($E26-$D26)*$I$2/(1+EXP($I$3*(COUNT($H$9:AF$9)+$I$4))),TREND($D26:$E26,$D$9:$E$9,AF$9))</f>
        <v>2.0554229895079246</v>
      </c>
      <c r="AG26" s="13">
        <f>IF($F26="s-curve",$D26+($E26-$D26)*$I$2/(1+EXP($I$3*(COUNT($H$9:AG$9)+$I$4))),TREND($D26:$E26,$D$9:$E$9,AG$9))</f>
        <v>2.0554229895079246</v>
      </c>
      <c r="AH26" s="13">
        <f>IF($F26="s-curve",$D26+($E26-$D26)*$I$2/(1+EXP($I$3*(COUNT($H$9:AH$9)+$I$4))),TREND($D26:$E26,$D$9:$E$9,AH$9))</f>
        <v>2.0554229895079246</v>
      </c>
      <c r="AI26" s="13">
        <f>IF($F26="s-curve",$D26+($E26-$D26)*$I$2/(1+EXP($I$3*(COUNT($H$9:AI$9)+$I$4))),TREND($D26:$E26,$D$9:$E$9,AI$9))</f>
        <v>2.0554229895079246</v>
      </c>
      <c r="AJ26" s="13">
        <f>IF($F26="s-curve",$D26+($E26-$D26)*$I$2/(1+EXP($I$3*(COUNT($H$9:AJ$9)+$I$4))),TREND($D26:$E26,$D$9:$E$9,AJ$9))</f>
        <v>2.0554229895079246</v>
      </c>
      <c r="AK26" s="13">
        <f>IF($F26="s-curve",$D26+($E26-$D26)*$I$2/(1+EXP($I$3*(COUNT($H$9:AK$9)+$I$4))),TREND($D26:$E26,$D$9:$E$9,AK$9))</f>
        <v>2.0554229895079246</v>
      </c>
      <c r="AL26" s="13">
        <f>IF($F26="s-curve",$D26+($E26-$D26)*$I$2/(1+EXP($I$3*(COUNT($H$9:AL$9)+$I$4))),TREND($D26:$E26,$D$9:$E$9,AL$9))</f>
        <v>2.0554229895079246</v>
      </c>
    </row>
    <row r="27" spans="1:38" x14ac:dyDescent="0.35">
      <c r="C27" s="13" t="s">
        <v>4</v>
      </c>
      <c r="D27" s="24">
        <f>MIN(1.25*INDEX('SYVbT-passenger'!$B$3:$H$3,MATCH(Data!$C13,'SYVbT-passenger'!$B$1:$H$1,0))/SUM('SYVbT-passenger'!$B$3:$H$3),1)*3</f>
        <v>1.2214413459094668</v>
      </c>
      <c r="E27" s="24">
        <f t="shared" si="4"/>
        <v>1.2214413459094668</v>
      </c>
      <c r="F27" s="7" t="str">
        <f>IF(D27=E27,"n/a",IF(OR(C27="battery electric vehicle",C27="natural gas vehicle",C27="plugin hybrid vehicle"),"s-curve","linear"))</f>
        <v>n/a</v>
      </c>
      <c r="H27" s="24">
        <f t="shared" si="1"/>
        <v>1.2214413459094668</v>
      </c>
      <c r="I27" s="13">
        <f>IF($F27="s-curve",$D27+($E27-$D27)*$I$2/(1+EXP($I$3*(COUNT($H$9:I$9)+$I$4))),TREND($D27:$E27,$D$9:$E$9,I$9))</f>
        <v>1.2214413459094668</v>
      </c>
      <c r="J27" s="13">
        <f>IF($F27="s-curve",$D27+($E27-$D27)*$I$2/(1+EXP($I$3*(COUNT($H$9:J$9)+$I$4))),TREND($D27:$E27,$D$9:$E$9,J$9))</f>
        <v>1.2214413459094668</v>
      </c>
      <c r="K27" s="13">
        <f>IF($F27="s-curve",$D27+($E27-$D27)*$I$2/(1+EXP($I$3*(COUNT($H$9:K$9)+$I$4))),TREND($D27:$E27,$D$9:$E$9,K$9))</f>
        <v>1.2214413459094668</v>
      </c>
      <c r="L27" s="13">
        <f>IF($F27="s-curve",$D27+($E27-$D27)*$I$2/(1+EXP($I$3*(COUNT($H$9:L$9)+$I$4))),TREND($D27:$E27,$D$9:$E$9,L$9))</f>
        <v>1.2214413459094668</v>
      </c>
      <c r="M27" s="13">
        <f>IF($F27="s-curve",$D27+($E27-$D27)*$I$2/(1+EXP($I$3*(COUNT($H$9:M$9)+$I$4))),TREND($D27:$E27,$D$9:$E$9,M$9))</f>
        <v>1.2214413459094668</v>
      </c>
      <c r="N27" s="13">
        <f>IF($F27="s-curve",$D27+($E27-$D27)*$I$2/(1+EXP($I$3*(COUNT($H$9:N$9)+$I$4))),TREND($D27:$E27,$D$9:$E$9,N$9))</f>
        <v>1.2214413459094668</v>
      </c>
      <c r="O27" s="13">
        <f>IF($F27="s-curve",$D27+($E27-$D27)*$I$2/(1+EXP($I$3*(COUNT($H$9:O$9)+$I$4))),TREND($D27:$E27,$D$9:$E$9,O$9))</f>
        <v>1.2214413459094668</v>
      </c>
      <c r="P27" s="13">
        <f>IF($F27="s-curve",$D27+($E27-$D27)*$I$2/(1+EXP($I$3*(COUNT($H$9:P$9)+$I$4))),TREND($D27:$E27,$D$9:$E$9,P$9))</f>
        <v>1.2214413459094668</v>
      </c>
      <c r="Q27" s="13">
        <f>IF($F27="s-curve",$D27+($E27-$D27)*$I$2/(1+EXP($I$3*(COUNT($H$9:Q$9)+$I$4))),TREND($D27:$E27,$D$9:$E$9,Q$9))</f>
        <v>1.2214413459094668</v>
      </c>
      <c r="R27" s="13">
        <f>IF($F27="s-curve",$D27+($E27-$D27)*$I$2/(1+EXP($I$3*(COUNT($H$9:R$9)+$I$4))),TREND($D27:$E27,$D$9:$E$9,R$9))</f>
        <v>1.2214413459094668</v>
      </c>
      <c r="S27" s="13">
        <f>IF($F27="s-curve",$D27+($E27-$D27)*$I$2/(1+EXP($I$3*(COUNT($H$9:S$9)+$I$4))),TREND($D27:$E27,$D$9:$E$9,S$9))</f>
        <v>1.2214413459094668</v>
      </c>
      <c r="T27" s="13">
        <f>IF($F27="s-curve",$D27+($E27-$D27)*$I$2/(1+EXP($I$3*(COUNT($H$9:T$9)+$I$4))),TREND($D27:$E27,$D$9:$E$9,T$9))</f>
        <v>1.2214413459094668</v>
      </c>
      <c r="U27" s="13">
        <f>IF($F27="s-curve",$D27+($E27-$D27)*$I$2/(1+EXP($I$3*(COUNT($H$9:U$9)+$I$4))),TREND($D27:$E27,$D$9:$E$9,U$9))</f>
        <v>1.2214413459094668</v>
      </c>
      <c r="V27" s="13">
        <f>IF($F27="s-curve",$D27+($E27-$D27)*$I$2/(1+EXP($I$3*(COUNT($H$9:V$9)+$I$4))),TREND($D27:$E27,$D$9:$E$9,V$9))</f>
        <v>1.2214413459094668</v>
      </c>
      <c r="W27" s="13">
        <f>IF($F27="s-curve",$D27+($E27-$D27)*$I$2/(1+EXP($I$3*(COUNT($H$9:W$9)+$I$4))),TREND($D27:$E27,$D$9:$E$9,W$9))</f>
        <v>1.2214413459094668</v>
      </c>
      <c r="X27" s="13">
        <f>IF($F27="s-curve",$D27+($E27-$D27)*$I$2/(1+EXP($I$3*(COUNT($H$9:X$9)+$I$4))),TREND($D27:$E27,$D$9:$E$9,X$9))</f>
        <v>1.2214413459094668</v>
      </c>
      <c r="Y27" s="13">
        <f>IF($F27="s-curve",$D27+($E27-$D27)*$I$2/(1+EXP($I$3*(COUNT($H$9:Y$9)+$I$4))),TREND($D27:$E27,$D$9:$E$9,Y$9))</f>
        <v>1.2214413459094668</v>
      </c>
      <c r="Z27" s="13">
        <f>IF($F27="s-curve",$D27+($E27-$D27)*$I$2/(1+EXP($I$3*(COUNT($H$9:Z$9)+$I$4))),TREND($D27:$E27,$D$9:$E$9,Z$9))</f>
        <v>1.2214413459094668</v>
      </c>
      <c r="AA27" s="13">
        <f>IF($F27="s-curve",$D27+($E27-$D27)*$I$2/(1+EXP($I$3*(COUNT($H$9:AA$9)+$I$4))),TREND($D27:$E27,$D$9:$E$9,AA$9))</f>
        <v>1.2214413459094668</v>
      </c>
      <c r="AB27" s="13">
        <f>IF($F27="s-curve",$D27+($E27-$D27)*$I$2/(1+EXP($I$3*(COUNT($H$9:AB$9)+$I$4))),TREND($D27:$E27,$D$9:$E$9,AB$9))</f>
        <v>1.2214413459094668</v>
      </c>
      <c r="AC27" s="13">
        <f>IF($F27="s-curve",$D27+($E27-$D27)*$I$2/(1+EXP($I$3*(COUNT($H$9:AC$9)+$I$4))),TREND($D27:$E27,$D$9:$E$9,AC$9))</f>
        <v>1.2214413459094668</v>
      </c>
      <c r="AD27" s="13">
        <f>IF($F27="s-curve",$D27+($E27-$D27)*$I$2/(1+EXP($I$3*(COUNT($H$9:AD$9)+$I$4))),TREND($D27:$E27,$D$9:$E$9,AD$9))</f>
        <v>1.2214413459094668</v>
      </c>
      <c r="AE27" s="13">
        <f>IF($F27="s-curve",$D27+($E27-$D27)*$I$2/(1+EXP($I$3*(COUNT($H$9:AE$9)+$I$4))),TREND($D27:$E27,$D$9:$E$9,AE$9))</f>
        <v>1.2214413459094668</v>
      </c>
      <c r="AF27" s="13">
        <f>IF($F27="s-curve",$D27+($E27-$D27)*$I$2/(1+EXP($I$3*(COUNT($H$9:AF$9)+$I$4))),TREND($D27:$E27,$D$9:$E$9,AF$9))</f>
        <v>1.2214413459094668</v>
      </c>
      <c r="AG27" s="13">
        <f>IF($F27="s-curve",$D27+($E27-$D27)*$I$2/(1+EXP($I$3*(COUNT($H$9:AG$9)+$I$4))),TREND($D27:$E27,$D$9:$E$9,AG$9))</f>
        <v>1.2214413459094668</v>
      </c>
      <c r="AH27" s="13">
        <f>IF($F27="s-curve",$D27+($E27-$D27)*$I$2/(1+EXP($I$3*(COUNT($H$9:AH$9)+$I$4))),TREND($D27:$E27,$D$9:$E$9,AH$9))</f>
        <v>1.2214413459094668</v>
      </c>
      <c r="AI27" s="13">
        <f>IF($F27="s-curve",$D27+($E27-$D27)*$I$2/(1+EXP($I$3*(COUNT($H$9:AI$9)+$I$4))),TREND($D27:$E27,$D$9:$E$9,AI$9))</f>
        <v>1.2214413459094668</v>
      </c>
      <c r="AJ27" s="13">
        <f>IF($F27="s-curve",$D27+($E27-$D27)*$I$2/(1+EXP($I$3*(COUNT($H$9:AJ$9)+$I$4))),TREND($D27:$E27,$D$9:$E$9,AJ$9))</f>
        <v>1.2214413459094668</v>
      </c>
      <c r="AK27" s="13">
        <f>IF($F27="s-curve",$D27+($E27-$D27)*$I$2/(1+EXP($I$3*(COUNT($H$9:AK$9)+$I$4))),TREND($D27:$E27,$D$9:$E$9,AK$9))</f>
        <v>1.2214413459094668</v>
      </c>
      <c r="AL27" s="13">
        <f>IF($F27="s-curve",$D27+($E27-$D27)*$I$2/(1+EXP($I$3*(COUNT($H$9:AL$9)+$I$4))),TREND($D27:$E27,$D$9:$E$9,AL$9))</f>
        <v>1.2214413459094668</v>
      </c>
    </row>
    <row r="28" spans="1:38" x14ac:dyDescent="0.35">
      <c r="C28" s="13" t="s">
        <v>5</v>
      </c>
      <c r="D28" s="24">
        <f>MIN(1.25*INDEX('SYVbT-passenger'!$B$3:$H$3,MATCH(Data!$C14,'SYVbT-passenger'!$B$1:$H$1,0))/SUM('SYVbT-passenger'!$B$3:$H$3),1)</f>
        <v>3.1668514383371552E-2</v>
      </c>
      <c r="E28" s="24">
        <f t="shared" si="4"/>
        <v>3.1668514383371552E-2</v>
      </c>
      <c r="F28" s="7" t="str">
        <f>IF(D28=E28,"n/a",IF(OR(C28="battery electric vehicle",C28="natural gas vehicle",C28="plugin hybrid vehicle"),"s-curve","linear"))</f>
        <v>n/a</v>
      </c>
      <c r="H28" s="24">
        <f t="shared" si="1"/>
        <v>3.1668514383371552E-2</v>
      </c>
      <c r="I28" s="13">
        <f>IF($F28="s-curve",$D28+($E28-$D28)*$I$2/(1+EXP($I$3*(COUNT($H$9:I$9)+$I$4))),TREND($D28:$E28,$D$9:$E$9,I$9))</f>
        <v>3.1668514383371552E-2</v>
      </c>
      <c r="J28" s="13">
        <f>IF($F28="s-curve",$D28+($E28-$D28)*$I$2/(1+EXP($I$3*(COUNT($H$9:J$9)+$I$4))),TREND($D28:$E28,$D$9:$E$9,J$9))</f>
        <v>3.1668514383371552E-2</v>
      </c>
      <c r="K28" s="13">
        <f>IF($F28="s-curve",$D28+($E28-$D28)*$I$2/(1+EXP($I$3*(COUNT($H$9:K$9)+$I$4))),TREND($D28:$E28,$D$9:$E$9,K$9))</f>
        <v>3.1668514383371552E-2</v>
      </c>
      <c r="L28" s="13">
        <f>IF($F28="s-curve",$D28+($E28-$D28)*$I$2/(1+EXP($I$3*(COUNT($H$9:L$9)+$I$4))),TREND($D28:$E28,$D$9:$E$9,L$9))</f>
        <v>3.1668514383371552E-2</v>
      </c>
      <c r="M28" s="13">
        <f>IF($F28="s-curve",$D28+($E28-$D28)*$I$2/(1+EXP($I$3*(COUNT($H$9:M$9)+$I$4))),TREND($D28:$E28,$D$9:$E$9,M$9))</f>
        <v>3.1668514383371552E-2</v>
      </c>
      <c r="N28" s="13">
        <f>IF($F28="s-curve",$D28+($E28-$D28)*$I$2/(1+EXP($I$3*(COUNT($H$9:N$9)+$I$4))),TREND($D28:$E28,$D$9:$E$9,N$9))</f>
        <v>3.1668514383371552E-2</v>
      </c>
      <c r="O28" s="13">
        <f>IF($F28="s-curve",$D28+($E28-$D28)*$I$2/(1+EXP($I$3*(COUNT($H$9:O$9)+$I$4))),TREND($D28:$E28,$D$9:$E$9,O$9))</f>
        <v>3.1668514383371552E-2</v>
      </c>
      <c r="P28" s="13">
        <f>IF($F28="s-curve",$D28+($E28-$D28)*$I$2/(1+EXP($I$3*(COUNT($H$9:P$9)+$I$4))),TREND($D28:$E28,$D$9:$E$9,P$9))</f>
        <v>3.1668514383371552E-2</v>
      </c>
      <c r="Q28" s="13">
        <f>IF($F28="s-curve",$D28+($E28-$D28)*$I$2/(1+EXP($I$3*(COUNT($H$9:Q$9)+$I$4))),TREND($D28:$E28,$D$9:$E$9,Q$9))</f>
        <v>3.1668514383371552E-2</v>
      </c>
      <c r="R28" s="13">
        <f>IF($F28="s-curve",$D28+($E28-$D28)*$I$2/(1+EXP($I$3*(COUNT($H$9:R$9)+$I$4))),TREND($D28:$E28,$D$9:$E$9,R$9))</f>
        <v>3.1668514383371552E-2</v>
      </c>
      <c r="S28" s="13">
        <f>IF($F28="s-curve",$D28+($E28-$D28)*$I$2/(1+EXP($I$3*(COUNT($H$9:S$9)+$I$4))),TREND($D28:$E28,$D$9:$E$9,S$9))</f>
        <v>3.1668514383371552E-2</v>
      </c>
      <c r="T28" s="13">
        <f>IF($F28="s-curve",$D28+($E28-$D28)*$I$2/(1+EXP($I$3*(COUNT($H$9:T$9)+$I$4))),TREND($D28:$E28,$D$9:$E$9,T$9))</f>
        <v>3.1668514383371552E-2</v>
      </c>
      <c r="U28" s="13">
        <f>IF($F28="s-curve",$D28+($E28-$D28)*$I$2/(1+EXP($I$3*(COUNT($H$9:U$9)+$I$4))),TREND($D28:$E28,$D$9:$E$9,U$9))</f>
        <v>3.1668514383371552E-2</v>
      </c>
      <c r="V28" s="13">
        <f>IF($F28="s-curve",$D28+($E28-$D28)*$I$2/(1+EXP($I$3*(COUNT($H$9:V$9)+$I$4))),TREND($D28:$E28,$D$9:$E$9,V$9))</f>
        <v>3.1668514383371552E-2</v>
      </c>
      <c r="W28" s="13">
        <f>IF($F28="s-curve",$D28+($E28-$D28)*$I$2/(1+EXP($I$3*(COUNT($H$9:W$9)+$I$4))),TREND($D28:$E28,$D$9:$E$9,W$9))</f>
        <v>3.1668514383371552E-2</v>
      </c>
      <c r="X28" s="13">
        <f>IF($F28="s-curve",$D28+($E28-$D28)*$I$2/(1+EXP($I$3*(COUNT($H$9:X$9)+$I$4))),TREND($D28:$E28,$D$9:$E$9,X$9))</f>
        <v>3.1668514383371552E-2</v>
      </c>
      <c r="Y28" s="13">
        <f>IF($F28="s-curve",$D28+($E28-$D28)*$I$2/(1+EXP($I$3*(COUNT($H$9:Y$9)+$I$4))),TREND($D28:$E28,$D$9:$E$9,Y$9))</f>
        <v>3.1668514383371552E-2</v>
      </c>
      <c r="Z28" s="13">
        <f>IF($F28="s-curve",$D28+($E28-$D28)*$I$2/(1+EXP($I$3*(COUNT($H$9:Z$9)+$I$4))),TREND($D28:$E28,$D$9:$E$9,Z$9))</f>
        <v>3.1668514383371552E-2</v>
      </c>
      <c r="AA28" s="13">
        <f>IF($F28="s-curve",$D28+($E28-$D28)*$I$2/(1+EXP($I$3*(COUNT($H$9:AA$9)+$I$4))),TREND($D28:$E28,$D$9:$E$9,AA$9))</f>
        <v>3.1668514383371552E-2</v>
      </c>
      <c r="AB28" s="13">
        <f>IF($F28="s-curve",$D28+($E28-$D28)*$I$2/(1+EXP($I$3*(COUNT($H$9:AB$9)+$I$4))),TREND($D28:$E28,$D$9:$E$9,AB$9))</f>
        <v>3.1668514383371552E-2</v>
      </c>
      <c r="AC28" s="13">
        <f>IF($F28="s-curve",$D28+($E28-$D28)*$I$2/(1+EXP($I$3*(COUNT($H$9:AC$9)+$I$4))),TREND($D28:$E28,$D$9:$E$9,AC$9))</f>
        <v>3.1668514383371552E-2</v>
      </c>
      <c r="AD28" s="13">
        <f>IF($F28="s-curve",$D28+($E28-$D28)*$I$2/(1+EXP($I$3*(COUNT($H$9:AD$9)+$I$4))),TREND($D28:$E28,$D$9:$E$9,AD$9))</f>
        <v>3.1668514383371552E-2</v>
      </c>
      <c r="AE28" s="13">
        <f>IF($F28="s-curve",$D28+($E28-$D28)*$I$2/(1+EXP($I$3*(COUNT($H$9:AE$9)+$I$4))),TREND($D28:$E28,$D$9:$E$9,AE$9))</f>
        <v>3.1668514383371552E-2</v>
      </c>
      <c r="AF28" s="13">
        <f>IF($F28="s-curve",$D28+($E28-$D28)*$I$2/(1+EXP($I$3*(COUNT($H$9:AF$9)+$I$4))),TREND($D28:$E28,$D$9:$E$9,AF$9))</f>
        <v>3.1668514383371552E-2</v>
      </c>
      <c r="AG28" s="13">
        <f>IF($F28="s-curve",$D28+($E28-$D28)*$I$2/(1+EXP($I$3*(COUNT($H$9:AG$9)+$I$4))),TREND($D28:$E28,$D$9:$E$9,AG$9))</f>
        <v>3.1668514383371552E-2</v>
      </c>
      <c r="AH28" s="13">
        <f>IF($F28="s-curve",$D28+($E28-$D28)*$I$2/(1+EXP($I$3*(COUNT($H$9:AH$9)+$I$4))),TREND($D28:$E28,$D$9:$E$9,AH$9))</f>
        <v>3.1668514383371552E-2</v>
      </c>
      <c r="AI28" s="13">
        <f>IF($F28="s-curve",$D28+($E28-$D28)*$I$2/(1+EXP($I$3*(COUNT($H$9:AI$9)+$I$4))),TREND($D28:$E28,$D$9:$E$9,AI$9))</f>
        <v>3.1668514383371552E-2</v>
      </c>
      <c r="AJ28" s="13">
        <f>IF($F28="s-curve",$D28+($E28-$D28)*$I$2/(1+EXP($I$3*(COUNT($H$9:AJ$9)+$I$4))),TREND($D28:$E28,$D$9:$E$9,AJ$9))</f>
        <v>3.1668514383371552E-2</v>
      </c>
      <c r="AK28" s="13">
        <f>IF($F28="s-curve",$D28+($E28-$D28)*$I$2/(1+EXP($I$3*(COUNT($H$9:AK$9)+$I$4))),TREND($D28:$E28,$D$9:$E$9,AK$9))</f>
        <v>3.1668514383371552E-2</v>
      </c>
      <c r="AL28" s="13">
        <f>IF($F28="s-curve",$D28+($E28-$D28)*$I$2/(1+EXP($I$3*(COUNT($H$9:AL$9)+$I$4))),TREND($D28:$E28,$D$9:$E$9,AL$9))</f>
        <v>3.1668514383371552E-2</v>
      </c>
    </row>
    <row r="29" spans="1:38" x14ac:dyDescent="0.35">
      <c r="C29" s="13" t="s">
        <v>78</v>
      </c>
      <c r="D29" s="24">
        <f>MIN(1.25*INDEX('SYVbT-passenger'!$B$3:$H$3,MATCH(Data!$C15,'SYVbT-passenger'!$B$1:$H$1,0))/SUM('SYVbT-passenger'!$B$3:$H$3),1)</f>
        <v>0.11783160269165999</v>
      </c>
      <c r="E29" s="24">
        <f t="shared" si="4"/>
        <v>0.11783160269165999</v>
      </c>
      <c r="F29" s="7" t="str">
        <f>IF(D29=E29,"n/a",IF(OR(C29="battery electric vehicle",C29="natural gas vehicle",C29="plugin hybrid vehicle",C29="hydrogen vehicle"),"s-curve","linear"))</f>
        <v>n/a</v>
      </c>
      <c r="H29" s="24">
        <f t="shared" si="1"/>
        <v>0.11783160269165999</v>
      </c>
      <c r="I29" s="13">
        <f>IF($F29="s-curve",$D29+($E29-$D29)*$I$2/(1+EXP($I$3*(COUNT($H$9:I$9)+$I$4))),TREND($D29:$E29,$D$9:$E$9,I$9))</f>
        <v>0.11783160269165999</v>
      </c>
      <c r="J29" s="13">
        <f>IF($F29="s-curve",$D29+($E29-$D29)*$I$2/(1+EXP($I$3*(COUNT($H$9:J$9)+$I$4))),TREND($D29:$E29,$D$9:$E$9,J$9))</f>
        <v>0.11783160269165999</v>
      </c>
      <c r="K29" s="13">
        <f>IF($F29="s-curve",$D29+($E29-$D29)*$I$2/(1+EXP($I$3*(COUNT($H$9:K$9)+$I$4))),TREND($D29:$E29,$D$9:$E$9,K$9))</f>
        <v>0.11783160269165999</v>
      </c>
      <c r="L29" s="13">
        <f>IF($F29="s-curve",$D29+($E29-$D29)*$I$2/(1+EXP($I$3*(COUNT($H$9:L$9)+$I$4))),TREND($D29:$E29,$D$9:$E$9,L$9))</f>
        <v>0.11783160269165999</v>
      </c>
      <c r="M29" s="13">
        <f>IF($F29="s-curve",$D29+($E29-$D29)*$I$2/(1+EXP($I$3*(COUNT($H$9:M$9)+$I$4))),TREND($D29:$E29,$D$9:$E$9,M$9))</f>
        <v>0.11783160269165999</v>
      </c>
      <c r="N29" s="13">
        <f>IF($F29="s-curve",$D29+($E29-$D29)*$I$2/(1+EXP($I$3*(COUNT($H$9:N$9)+$I$4))),TREND($D29:$E29,$D$9:$E$9,N$9))</f>
        <v>0.11783160269165999</v>
      </c>
      <c r="O29" s="13">
        <f>IF($F29="s-curve",$D29+($E29-$D29)*$I$2/(1+EXP($I$3*(COUNT($H$9:O$9)+$I$4))),TREND($D29:$E29,$D$9:$E$9,O$9))</f>
        <v>0.11783160269165999</v>
      </c>
      <c r="P29" s="13">
        <f>IF($F29="s-curve",$D29+($E29-$D29)*$I$2/(1+EXP($I$3*(COUNT($H$9:P$9)+$I$4))),TREND($D29:$E29,$D$9:$E$9,P$9))</f>
        <v>0.11783160269165999</v>
      </c>
      <c r="Q29" s="13">
        <f>IF($F29="s-curve",$D29+($E29-$D29)*$I$2/(1+EXP($I$3*(COUNT($H$9:Q$9)+$I$4))),TREND($D29:$E29,$D$9:$E$9,Q$9))</f>
        <v>0.11783160269165999</v>
      </c>
      <c r="R29" s="13">
        <f>IF($F29="s-curve",$D29+($E29-$D29)*$I$2/(1+EXP($I$3*(COUNT($H$9:R$9)+$I$4))),TREND($D29:$E29,$D$9:$E$9,R$9))</f>
        <v>0.11783160269165999</v>
      </c>
      <c r="S29" s="13">
        <f>IF($F29="s-curve",$D29+($E29-$D29)*$I$2/(1+EXP($I$3*(COUNT($H$9:S$9)+$I$4))),TREND($D29:$E29,$D$9:$E$9,S$9))</f>
        <v>0.11783160269165999</v>
      </c>
      <c r="T29" s="13">
        <f>IF($F29="s-curve",$D29+($E29-$D29)*$I$2/(1+EXP($I$3*(COUNT($H$9:T$9)+$I$4))),TREND($D29:$E29,$D$9:$E$9,T$9))</f>
        <v>0.11783160269165999</v>
      </c>
      <c r="U29" s="13">
        <f>IF($F29="s-curve",$D29+($E29-$D29)*$I$2/(1+EXP($I$3*(COUNT($H$9:U$9)+$I$4))),TREND($D29:$E29,$D$9:$E$9,U$9))</f>
        <v>0.11783160269165999</v>
      </c>
      <c r="V29" s="13">
        <f>IF($F29="s-curve",$D29+($E29-$D29)*$I$2/(1+EXP($I$3*(COUNT($H$9:V$9)+$I$4))),TREND($D29:$E29,$D$9:$E$9,V$9))</f>
        <v>0.11783160269165999</v>
      </c>
      <c r="W29" s="13">
        <f>IF($F29="s-curve",$D29+($E29-$D29)*$I$2/(1+EXP($I$3*(COUNT($H$9:W$9)+$I$4))),TREND($D29:$E29,$D$9:$E$9,W$9))</f>
        <v>0.11783160269165999</v>
      </c>
      <c r="X29" s="13">
        <f>IF($F29="s-curve",$D29+($E29-$D29)*$I$2/(1+EXP($I$3*(COUNT($H$9:X$9)+$I$4))),TREND($D29:$E29,$D$9:$E$9,X$9))</f>
        <v>0.11783160269165999</v>
      </c>
      <c r="Y29" s="13">
        <f>IF($F29="s-curve",$D29+($E29-$D29)*$I$2/(1+EXP($I$3*(COUNT($H$9:Y$9)+$I$4))),TREND($D29:$E29,$D$9:$E$9,Y$9))</f>
        <v>0.11783160269165999</v>
      </c>
      <c r="Z29" s="13">
        <f>IF($F29="s-curve",$D29+($E29-$D29)*$I$2/(1+EXP($I$3*(COUNT($H$9:Z$9)+$I$4))),TREND($D29:$E29,$D$9:$E$9,Z$9))</f>
        <v>0.11783160269165999</v>
      </c>
      <c r="AA29" s="13">
        <f>IF($F29="s-curve",$D29+($E29-$D29)*$I$2/(1+EXP($I$3*(COUNT($H$9:AA$9)+$I$4))),TREND($D29:$E29,$D$9:$E$9,AA$9))</f>
        <v>0.11783160269165999</v>
      </c>
      <c r="AB29" s="13">
        <f>IF($F29="s-curve",$D29+($E29-$D29)*$I$2/(1+EXP($I$3*(COUNT($H$9:AB$9)+$I$4))),TREND($D29:$E29,$D$9:$E$9,AB$9))</f>
        <v>0.11783160269165999</v>
      </c>
      <c r="AC29" s="13">
        <f>IF($F29="s-curve",$D29+($E29-$D29)*$I$2/(1+EXP($I$3*(COUNT($H$9:AC$9)+$I$4))),TREND($D29:$E29,$D$9:$E$9,AC$9))</f>
        <v>0.11783160269165999</v>
      </c>
      <c r="AD29" s="13">
        <f>IF($F29="s-curve",$D29+($E29-$D29)*$I$2/(1+EXP($I$3*(COUNT($H$9:AD$9)+$I$4))),TREND($D29:$E29,$D$9:$E$9,AD$9))</f>
        <v>0.11783160269165999</v>
      </c>
      <c r="AE29" s="13">
        <f>IF($F29="s-curve",$D29+($E29-$D29)*$I$2/(1+EXP($I$3*(COUNT($H$9:AE$9)+$I$4))),TREND($D29:$E29,$D$9:$E$9,AE$9))</f>
        <v>0.11783160269165999</v>
      </c>
      <c r="AF29" s="13">
        <f>IF($F29="s-curve",$D29+($E29-$D29)*$I$2/(1+EXP($I$3*(COUNT($H$9:AF$9)+$I$4))),TREND($D29:$E29,$D$9:$E$9,AF$9))</f>
        <v>0.11783160269165999</v>
      </c>
      <c r="AG29" s="13">
        <f>IF($F29="s-curve",$D29+($E29-$D29)*$I$2/(1+EXP($I$3*(COUNT($H$9:AG$9)+$I$4))),TREND($D29:$E29,$D$9:$E$9,AG$9))</f>
        <v>0.11783160269165999</v>
      </c>
      <c r="AH29" s="13">
        <f>IF($F29="s-curve",$D29+($E29-$D29)*$I$2/(1+EXP($I$3*(COUNT($H$9:AH$9)+$I$4))),TREND($D29:$E29,$D$9:$E$9,AH$9))</f>
        <v>0.11783160269165999</v>
      </c>
      <c r="AI29" s="13">
        <f>IF($F29="s-curve",$D29+($E29-$D29)*$I$2/(1+EXP($I$3*(COUNT($H$9:AI$9)+$I$4))),TREND($D29:$E29,$D$9:$E$9,AI$9))</f>
        <v>0.11783160269165999</v>
      </c>
      <c r="AJ29" s="13">
        <f>IF($F29="s-curve",$D29+($E29-$D29)*$I$2/(1+EXP($I$3*(COUNT($H$9:AJ$9)+$I$4))),TREND($D29:$E29,$D$9:$E$9,AJ$9))</f>
        <v>0.11783160269165999</v>
      </c>
      <c r="AK29" s="13">
        <f>IF($F29="s-curve",$D29+($E29-$D29)*$I$2/(1+EXP($I$3*(COUNT($H$9:AK$9)+$I$4))),TREND($D29:$E29,$D$9:$E$9,AK$9))</f>
        <v>0.11783160269165999</v>
      </c>
      <c r="AL29" s="13">
        <f>IF($F29="s-curve",$D29+($E29-$D29)*$I$2/(1+EXP($I$3*(COUNT($H$9:AL$9)+$I$4))),TREND($D29:$E29,$D$9:$E$9,AL$9))</f>
        <v>0.11783160269165999</v>
      </c>
    </row>
    <row r="30" spans="1:38" ht="15" thickBot="1" x14ac:dyDescent="0.4">
      <c r="A30" s="26"/>
      <c r="B30" s="26"/>
      <c r="C30" s="26" t="s">
        <v>79</v>
      </c>
      <c r="D30" s="26">
        <f>MIN(1.25*INDEX('SYVbT-passenger'!$B$3:$H$3,MATCH(Data!$C16,'SYVbT-passenger'!$B$1:$H$1,0))/SUM('SYVbT-passenger'!$B$3:$H$3),1)</f>
        <v>3.1809507537971295E-4</v>
      </c>
      <c r="E30" s="32">
        <f>E25</f>
        <v>2.3113990968226827E-3</v>
      </c>
      <c r="F30" s="8" t="str">
        <f>IF(D30=E30,"n/a",IF(OR(C30="battery electric vehicle",C30="natural gas vehicle",C30="plugin hybrid vehicle",C30="hydrogen vehicle"),"s-curve","linear"))</f>
        <v>s-curve</v>
      </c>
      <c r="H30" s="24">
        <f t="shared" si="1"/>
        <v>3.1809507537971295E-4</v>
      </c>
      <c r="I30" s="13">
        <f>IF($F30="s-curve",$D30+($E30-$D30)*$I$2/(1+EXP($I$3*(COUNT($H$9:I$9)+$I$4))),TREND($D30:$E30,$D$9:$E$9,I$9))</f>
        <v>3.4754421216684001E-4</v>
      </c>
      <c r="J30" s="13">
        <f>IF($F30="s-curve",$D30+($E30-$D30)*$I$2/(1+EXP($I$3*(COUNT($H$9:J$9)+$I$4))),TREND($D30:$E30,$D$9:$E$9,J$9))</f>
        <v>3.5764283658610766E-4</v>
      </c>
      <c r="K30" s="13">
        <f>IF($F30="s-curve",$D30+($E30-$D30)*$I$2/(1+EXP($I$3*(COUNT($H$9:K$9)+$I$4))),TREND($D30:$E30,$D$9:$E$9,K$9))</f>
        <v>3.711109696347725E-4</v>
      </c>
      <c r="L30" s="13">
        <f>IF($F30="s-curve",$D30+($E30-$D30)*$I$2/(1+EXP($I$3*(COUNT($H$9:L$9)+$I$4))),TREND($D30:$E30,$D$9:$E$9,L$9))</f>
        <v>3.8899927000436767E-4</v>
      </c>
      <c r="M30" s="13">
        <f>IF($F30="s-curve",$D30+($E30-$D30)*$I$2/(1+EXP($I$3*(COUNT($H$9:M$9)+$I$4))),TREND($D30:$E30,$D$9:$E$9,M$9))</f>
        <v>4.126292591050011E-4</v>
      </c>
      <c r="N30" s="13">
        <f>IF($F30="s-curve",$D30+($E30-$D30)*$I$2/(1+EXP($I$3*(COUNT($H$9:N$9)+$I$4))),TREND($D30:$E30,$D$9:$E$9,N$9))</f>
        <v>4.4362011925188412E-4</v>
      </c>
      <c r="O30" s="13">
        <f>IF($F30="s-curve",$D30+($E30-$D30)*$I$2/(1+EXP($I$3*(COUNT($H$9:O$9)+$I$4))),TREND($D30:$E30,$D$9:$E$9,O$9))</f>
        <v>4.8388354577530402E-4</v>
      </c>
      <c r="P30" s="13">
        <f>IF($F30="s-curve",$D30+($E30-$D30)*$I$2/(1+EXP($I$3*(COUNT($H$9:P$9)+$I$4))),TREND($D30:$E30,$D$9:$E$9,P$9))</f>
        <v>5.3555820779557285E-4</v>
      </c>
      <c r="Q30" s="13">
        <f>IF($F30="s-curve",$D30+($E30-$D30)*$I$2/(1+EXP($I$3*(COUNT($H$9:Q$9)+$I$4))),TREND($D30:$E30,$D$9:$E$9,Q$9))</f>
        <v>6.0084737349182303E-4</v>
      </c>
      <c r="R30" s="13">
        <f>IF($F30="s-curve",$D30+($E30-$D30)*$I$2/(1+EXP($I$3*(COUNT($H$9:R$9)+$I$4))),TREND($D30:$E30,$D$9:$E$9,R$9))</f>
        <v>6.8172460559676336E-4</v>
      </c>
      <c r="S30" s="13">
        <f>IF($F30="s-curve",$D30+($E30-$D30)*$I$2/(1+EXP($I$3*(COUNT($H$9:S$9)+$I$4))),TREND($D30:$E30,$D$9:$E$9,S$9))</f>
        <v>7.7949555529550321E-4</v>
      </c>
      <c r="T30" s="13">
        <f>IF($F30="s-curve",$D30+($E30-$D30)*$I$2/(1+EXP($I$3*(COUNT($H$9:T$9)+$I$4))),TREND($D30:$E30,$D$9:$E$9,T$9))</f>
        <v>8.9426059419738316E-4</v>
      </c>
      <c r="U30" s="13">
        <f>IF($F30="s-curve",$D30+($E30-$D30)*$I$2/(1+EXP($I$3*(COUNT($H$9:U$9)+$I$4))),TREND($D30:$E30,$D$9:$E$9,U$9))</f>
        <v>1.0244097851527911E-3</v>
      </c>
      <c r="V30" s="13">
        <f>IF($F30="s-curve",$D30+($E30-$D30)*$I$2/(1+EXP($I$3*(COUNT($H$9:V$9)+$I$4))),TREND($D30:$E30,$D$9:$E$9,V$9))</f>
        <v>1.1663605179741822E-3</v>
      </c>
      <c r="W30" s="13">
        <f>IF($F30="s-curve",$D30+($E30-$D30)*$I$2/(1+EXP($I$3*(COUNT($H$9:W$9)+$I$4))),TREND($D30:$E30,$D$9:$E$9,W$9))</f>
        <v>1.3147470861011978E-3</v>
      </c>
      <c r="X30" s="13">
        <f>IF($F30="s-curve",$D30+($E30-$D30)*$I$2/(1+EXP($I$3*(COUNT($H$9:X$9)+$I$4))),TREND($D30:$E30,$D$9:$E$9,X$9))</f>
        <v>1.4631336542282136E-3</v>
      </c>
      <c r="Y30" s="13">
        <f>IF($F30="s-curve",$D30+($E30-$D30)*$I$2/(1+EXP($I$3*(COUNT($H$9:Y$9)+$I$4))),TREND($D30:$E30,$D$9:$E$9,Y$9))</f>
        <v>1.6050843870496045E-3</v>
      </c>
      <c r="Z30" s="13">
        <f>IF($F30="s-curve",$D30+($E30-$D30)*$I$2/(1+EXP($I$3*(COUNT($H$9:Z$9)+$I$4))),TREND($D30:$E30,$D$9:$E$9,Z$9))</f>
        <v>1.7352335780050124E-3</v>
      </c>
      <c r="AA30" s="13">
        <f>IF($F30="s-curve",$D30+($E30-$D30)*$I$2/(1+EXP($I$3*(COUNT($H$9:AA$9)+$I$4))),TREND($D30:$E30,$D$9:$E$9,AA$9))</f>
        <v>1.8499986169068924E-3</v>
      </c>
      <c r="AB30" s="13">
        <f>IF($F30="s-curve",$D30+($E30-$D30)*$I$2/(1+EXP($I$3*(COUNT($H$9:AB$9)+$I$4))),TREND($D30:$E30,$D$9:$E$9,AB$9))</f>
        <v>1.9477695666056322E-3</v>
      </c>
      <c r="AC30" s="13">
        <f>IF($F30="s-curve",$D30+($E30-$D30)*$I$2/(1+EXP($I$3*(COUNT($H$9:AC$9)+$I$4))),TREND($D30:$E30,$D$9:$E$9,AC$9))</f>
        <v>2.0286467987105728E-3</v>
      </c>
      <c r="AD30" s="13">
        <f>IF($F30="s-curve",$D30+($E30-$D30)*$I$2/(1+EXP($I$3*(COUNT($H$9:AD$9)+$I$4))),TREND($D30:$E30,$D$9:$E$9,AD$9))</f>
        <v>2.093935964406823E-3</v>
      </c>
      <c r="AE30" s="13">
        <f>IF($F30="s-curve",$D30+($E30-$D30)*$I$2/(1+EXP($I$3*(COUNT($H$9:AE$9)+$I$4))),TREND($D30:$E30,$D$9:$E$9,AE$9))</f>
        <v>2.1456106264270917E-3</v>
      </c>
      <c r="AF30" s="13">
        <f>IF($F30="s-curve",$D30+($E30-$D30)*$I$2/(1+EXP($I$3*(COUNT($H$9:AF$9)+$I$4))),TREND($D30:$E30,$D$9:$E$9,AF$9))</f>
        <v>2.1858740529505116E-3</v>
      </c>
      <c r="AG30" s="13">
        <f>IF($F30="s-curve",$D30+($E30-$D30)*$I$2/(1+EXP($I$3*(COUNT($H$9:AG$9)+$I$4))),TREND($D30:$E30,$D$9:$E$9,AG$9))</f>
        <v>2.2168649130973948E-3</v>
      </c>
      <c r="AH30" s="13">
        <f>IF($F30="s-curve",$D30+($E30-$D30)*$I$2/(1+EXP($I$3*(COUNT($H$9:AH$9)+$I$4))),TREND($D30:$E30,$D$9:$E$9,AH$9))</f>
        <v>2.2404949021980281E-3</v>
      </c>
      <c r="AI30" s="13">
        <f>IF($F30="s-curve",$D30+($E30-$D30)*$I$2/(1+EXP($I$3*(COUNT($H$9:AI$9)+$I$4))),TREND($D30:$E30,$D$9:$E$9,AI$9))</f>
        <v>2.2583832025676229E-3</v>
      </c>
      <c r="AJ30" s="13">
        <f>IF($F30="s-curve",$D30+($E30-$D30)*$I$2/(1+EXP($I$3*(COUNT($H$9:AJ$9)+$I$4))),TREND($D30:$E30,$D$9:$E$9,AJ$9))</f>
        <v>2.2718513356162879E-3</v>
      </c>
      <c r="AK30" s="13">
        <f>IF($F30="s-curve",$D30+($E30-$D30)*$I$2/(1+EXP($I$3*(COUNT($H$9:AK$9)+$I$4))),TREND($D30:$E30,$D$9:$E$9,AK$9))</f>
        <v>2.2819499600355555E-3</v>
      </c>
      <c r="AL30" s="13">
        <f>IF($F30="s-curve",$D30+($E30-$D30)*$I$2/(1+EXP($I$3*(COUNT($H$9:AL$9)+$I$4))),TREND($D30:$E30,$D$9:$E$9,AL$9))</f>
        <v>2.2894987798937581E-3</v>
      </c>
    </row>
    <row r="31" spans="1:38" x14ac:dyDescent="0.35">
      <c r="A31" s="25" t="s">
        <v>13</v>
      </c>
      <c r="B31" s="13" t="s">
        <v>18</v>
      </c>
      <c r="C31" s="13" t="s">
        <v>1</v>
      </c>
      <c r="D31" s="24">
        <f>MIN(1.25*INDEX('SYVbT-freight'!$B$3:$H$3,MATCH(Data!$C10,'SYVbT-passenger'!$B$1:$H$1,0))/SUM('SYVbT-freight'!$B$3:$H$3),1)</f>
        <v>4.0561912113626873E-4</v>
      </c>
      <c r="E31" s="24">
        <f>E24</f>
        <v>0.8</v>
      </c>
      <c r="F31" s="7" t="str">
        <f>IF(D31=E31,"n/a",IF(OR(C31="battery electric vehicle",C31="natural gas vehicle",C31="plugin hybrid vehicle"),"s-curve","linear"))</f>
        <v>s-curve</v>
      </c>
      <c r="H31" s="24">
        <f t="shared" si="1"/>
        <v>4.0561912113626873E-4</v>
      </c>
      <c r="I31" s="13">
        <f>IF($F31="s-curve",$D31+($E31-$D31)*$I$2/(1+EXP($I$3*(COUNT($H$9:I$9)+$I$4))),TREND($D31:$E31,$D$9:$E$9,I$9))</f>
        <v>1.2218851846003648E-2</v>
      </c>
      <c r="J31" s="13">
        <f>IF($F31="s-curve",$D31+($E31-$D31)*$I$2/(1+EXP($I$3*(COUNT($H$9:J$9)+$I$4))),TREND($D31:$E31,$D$9:$E$9,J$9))</f>
        <v>1.6269816101023345E-2</v>
      </c>
      <c r="K31" s="13">
        <f>IF($F31="s-curve",$D31+($E31-$D31)*$I$2/(1+EXP($I$3*(COUNT($H$9:K$9)+$I$4))),TREND($D31:$E31,$D$9:$E$9,K$9))</f>
        <v>2.1672425733469447E-2</v>
      </c>
      <c r="L31" s="13">
        <f>IF($F31="s-curve",$D31+($E31-$D31)*$I$2/(1+EXP($I$3*(COUNT($H$9:L$9)+$I$4))),TREND($D31:$E31,$D$9:$E$9,L$9))</f>
        <v>2.8848142184714674E-2</v>
      </c>
      <c r="M31" s="13">
        <f>IF($F31="s-curve",$D31+($E31-$D31)*$I$2/(1+EXP($I$3*(COUNT($H$9:M$9)+$I$4))),TREND($D31:$E31,$D$9:$E$9,M$9))</f>
        <v>3.8327080822192293E-2</v>
      </c>
      <c r="N31" s="13">
        <f>IF($F31="s-curve",$D31+($E31-$D31)*$I$2/(1+EXP($I$3*(COUNT($H$9:N$9)+$I$4))),TREND($D31:$E31,$D$9:$E$9,N$9))</f>
        <v>5.0758760769394638E-2</v>
      </c>
      <c r="O31" s="13">
        <f>IF($F31="s-curve",$D31+($E31-$D31)*$I$2/(1+EXP($I$3*(COUNT($H$9:O$9)+$I$4))),TREND($D31:$E31,$D$9:$E$9,O$9))</f>
        <v>6.6910039880219777E-2</v>
      </c>
      <c r="P31" s="13">
        <f>IF($F31="s-curve",$D31+($E31-$D31)*$I$2/(1+EXP($I$3*(COUNT($H$9:P$9)+$I$4))),TREND($D31:$E31,$D$9:$E$9,P$9))</f>
        <v>8.7638824320894482E-2</v>
      </c>
      <c r="Q31" s="13">
        <f>IF($F31="s-curve",$D31+($E31-$D31)*$I$2/(1+EXP($I$3*(COUNT($H$9:Q$9)+$I$4))),TREND($D31:$E31,$D$9:$E$9,Q$9))</f>
        <v>0.11382893353724935</v>
      </c>
      <c r="R31" s="13">
        <f>IF($F31="s-curve",$D31+($E31-$D31)*$I$2/(1+EXP($I$3*(COUNT($H$9:R$9)+$I$4))),TREND($D31:$E31,$D$9:$E$9,R$9))</f>
        <v>0.14627204288558221</v>
      </c>
      <c r="S31" s="13">
        <f>IF($F31="s-curve",$D31+($E31-$D31)*$I$2/(1+EXP($I$3*(COUNT($H$9:S$9)+$I$4))),TREND($D31:$E31,$D$9:$E$9,S$9))</f>
        <v>0.18549190154804021</v>
      </c>
      <c r="T31" s="13">
        <f>IF($F31="s-curve",$D31+($E31-$D31)*$I$2/(1+EXP($I$3*(COUNT($H$9:T$9)+$I$4))),TREND($D31:$E31,$D$9:$E$9,T$9))</f>
        <v>0.23152877261242388</v>
      </c>
      <c r="U31" s="13">
        <f>IF($F31="s-curve",$D31+($E31-$D31)*$I$2/(1+EXP($I$3*(COUNT($H$9:U$9)+$I$4))),TREND($D31:$E31,$D$9:$E$9,U$9))</f>
        <v>0.28373684556285106</v>
      </c>
      <c r="V31" s="13">
        <f>IF($F31="s-curve",$D31+($E31-$D31)*$I$2/(1+EXP($I$3*(COUNT($H$9:V$9)+$I$4))),TREND($D31:$E31,$D$9:$E$9,V$9))</f>
        <v>0.34067899141948532</v>
      </c>
      <c r="W31" s="13">
        <f>IF($F31="s-curve",$D31+($E31-$D31)*$I$2/(1+EXP($I$3*(COUNT($H$9:W$9)+$I$4))),TREND($D31:$E31,$D$9:$E$9,W$9))</f>
        <v>0.4002028095605682</v>
      </c>
      <c r="X31" s="13">
        <f>IF($F31="s-curve",$D31+($E31-$D31)*$I$2/(1+EXP($I$3*(COUNT($H$9:X$9)+$I$4))),TREND($D31:$E31,$D$9:$E$9,X$9))</f>
        <v>0.45972662770165112</v>
      </c>
      <c r="Y31" s="13">
        <f>IF($F31="s-curve",$D31+($E31-$D31)*$I$2/(1+EXP($I$3*(COUNT($H$9:Y$9)+$I$4))),TREND($D31:$E31,$D$9:$E$9,Y$9))</f>
        <v>0.51666877355828522</v>
      </c>
      <c r="Z31" s="13">
        <f>IF($F31="s-curve",$D31+($E31-$D31)*$I$2/(1+EXP($I$3*(COUNT($H$9:Z$9)+$I$4))),TREND($D31:$E31,$D$9:$E$9,Z$9))</f>
        <v>0.5688768465087124</v>
      </c>
      <c r="AA31" s="13">
        <f>IF($F31="s-curve",$D31+($E31-$D31)*$I$2/(1+EXP($I$3*(COUNT($H$9:AA$9)+$I$4))),TREND($D31:$E31,$D$9:$E$9,AA$9))</f>
        <v>0.6149137175730961</v>
      </c>
      <c r="AB31" s="13">
        <f>IF($F31="s-curve",$D31+($E31-$D31)*$I$2/(1+EXP($I$3*(COUNT($H$9:AB$9)+$I$4))),TREND($D31:$E31,$D$9:$E$9,AB$9))</f>
        <v>0.65413357623555413</v>
      </c>
      <c r="AC31" s="13">
        <f>IF($F31="s-curve",$D31+($E31-$D31)*$I$2/(1+EXP($I$3*(COUNT($H$9:AC$9)+$I$4))),TREND($D31:$E31,$D$9:$E$9,AC$9))</f>
        <v>0.68657668558388707</v>
      </c>
      <c r="AD31" s="13">
        <f>IF($F31="s-curve",$D31+($E31-$D31)*$I$2/(1+EXP($I$3*(COUNT($H$9:AD$9)+$I$4))),TREND($D31:$E31,$D$9:$E$9,AD$9))</f>
        <v>0.71276679480024185</v>
      </c>
      <c r="AE31" s="13">
        <f>IF($F31="s-curve",$D31+($E31-$D31)*$I$2/(1+EXP($I$3*(COUNT($H$9:AE$9)+$I$4))),TREND($D31:$E31,$D$9:$E$9,AE$9))</f>
        <v>0.73349557924091657</v>
      </c>
      <c r="AF31" s="13">
        <f>IF($F31="s-curve",$D31+($E31-$D31)*$I$2/(1+EXP($I$3*(COUNT($H$9:AF$9)+$I$4))),TREND($D31:$E31,$D$9:$E$9,AF$9))</f>
        <v>0.74964685835174172</v>
      </c>
      <c r="AG31" s="13">
        <f>IF($F31="s-curve",$D31+($E31-$D31)*$I$2/(1+EXP($I$3*(COUNT($H$9:AG$9)+$I$4))),TREND($D31:$E31,$D$9:$E$9,AG$9))</f>
        <v>0.76207853829894412</v>
      </c>
      <c r="AH31" s="13">
        <f>IF($F31="s-curve",$D31+($E31-$D31)*$I$2/(1+EXP($I$3*(COUNT($H$9:AH$9)+$I$4))),TREND($D31:$E31,$D$9:$E$9,AH$9))</f>
        <v>0.77155747693642163</v>
      </c>
      <c r="AI31" s="13">
        <f>IF($F31="s-curve",$D31+($E31-$D31)*$I$2/(1+EXP($I$3*(COUNT($H$9:AI$9)+$I$4))),TREND($D31:$E31,$D$9:$E$9,AI$9))</f>
        <v>0.77873319338766678</v>
      </c>
      <c r="AJ31" s="13">
        <f>IF($F31="s-curve",$D31+($E31-$D31)*$I$2/(1+EXP($I$3*(COUNT($H$9:AJ$9)+$I$4))),TREND($D31:$E31,$D$9:$E$9,AJ$9))</f>
        <v>0.78413580302011299</v>
      </c>
      <c r="AK31" s="13">
        <f>IF($F31="s-curve",$D31+($E31-$D31)*$I$2/(1+EXP($I$3*(COUNT($H$9:AK$9)+$I$4))),TREND($D31:$E31,$D$9:$E$9,AK$9))</f>
        <v>0.7881867672751327</v>
      </c>
      <c r="AL31" s="13">
        <f>IF($F31="s-curve",$D31+($E31-$D31)*$I$2/(1+EXP($I$3*(COUNT($H$9:AL$9)+$I$4))),TREND($D31:$E31,$D$9:$E$9,AL$9))</f>
        <v>0.79121490240953929</v>
      </c>
    </row>
    <row r="32" spans="1:38" x14ac:dyDescent="0.35">
      <c r="C32" s="13" t="s">
        <v>2</v>
      </c>
      <c r="D32" s="24">
        <f>MIN(1.25*INDEX('SYVbT-freight'!$B$3:$H$3,MATCH(Data!$C11,'SYVbT-passenger'!$B$1:$H$1,0))/SUM('SYVbT-freight'!$B$3:$H$3),1)</f>
        <v>0</v>
      </c>
      <c r="E32" s="24">
        <f>D32</f>
        <v>0</v>
      </c>
      <c r="F32" s="7" t="str">
        <f>IF(D32=E32,"n/a",IF(OR(C32="battery electric vehicle",C32="natural gas vehicle",C32="plugin hybrid vehicle"),"s-curve","linear"))</f>
        <v>n/a</v>
      </c>
      <c r="H32" s="24">
        <f t="shared" si="1"/>
        <v>0</v>
      </c>
      <c r="I32" s="13">
        <f>IF($F32="s-curve",$D32+($E32-$D32)*$I$2/(1+EXP($I$3*(COUNT($H$9:I$9)+$I$4))),TREND($D32:$E32,$D$9:$E$9,I$9))</f>
        <v>0</v>
      </c>
      <c r="J32" s="13">
        <f>IF($F32="s-curve",$D32+($E32-$D32)*$I$2/(1+EXP($I$3*(COUNT($H$9:J$9)+$I$4))),TREND($D32:$E32,$D$9:$E$9,J$9))</f>
        <v>0</v>
      </c>
      <c r="K32" s="13">
        <f>IF($F32="s-curve",$D32+($E32-$D32)*$I$2/(1+EXP($I$3*(COUNT($H$9:K$9)+$I$4))),TREND($D32:$E32,$D$9:$E$9,K$9))</f>
        <v>0</v>
      </c>
      <c r="L32" s="13">
        <f>IF($F32="s-curve",$D32+($E32-$D32)*$I$2/(1+EXP($I$3*(COUNT($H$9:L$9)+$I$4))),TREND($D32:$E32,$D$9:$E$9,L$9))</f>
        <v>0</v>
      </c>
      <c r="M32" s="13">
        <f>IF($F32="s-curve",$D32+($E32-$D32)*$I$2/(1+EXP($I$3*(COUNT($H$9:M$9)+$I$4))),TREND($D32:$E32,$D$9:$E$9,M$9))</f>
        <v>0</v>
      </c>
      <c r="N32" s="13">
        <f>IF($F32="s-curve",$D32+($E32-$D32)*$I$2/(1+EXP($I$3*(COUNT($H$9:N$9)+$I$4))),TREND($D32:$E32,$D$9:$E$9,N$9))</f>
        <v>0</v>
      </c>
      <c r="O32" s="13">
        <f>IF($F32="s-curve",$D32+($E32-$D32)*$I$2/(1+EXP($I$3*(COUNT($H$9:O$9)+$I$4))),TREND($D32:$E32,$D$9:$E$9,O$9))</f>
        <v>0</v>
      </c>
      <c r="P32" s="13">
        <f>IF($F32="s-curve",$D32+($E32-$D32)*$I$2/(1+EXP($I$3*(COUNT($H$9:P$9)+$I$4))),TREND($D32:$E32,$D$9:$E$9,P$9))</f>
        <v>0</v>
      </c>
      <c r="Q32" s="13">
        <f>IF($F32="s-curve",$D32+($E32-$D32)*$I$2/(1+EXP($I$3*(COUNT($H$9:Q$9)+$I$4))),TREND($D32:$E32,$D$9:$E$9,Q$9))</f>
        <v>0</v>
      </c>
      <c r="R32" s="13">
        <f>IF($F32="s-curve",$D32+($E32-$D32)*$I$2/(1+EXP($I$3*(COUNT($H$9:R$9)+$I$4))),TREND($D32:$E32,$D$9:$E$9,R$9))</f>
        <v>0</v>
      </c>
      <c r="S32" s="13">
        <f>IF($F32="s-curve",$D32+($E32-$D32)*$I$2/(1+EXP($I$3*(COUNT($H$9:S$9)+$I$4))),TREND($D32:$E32,$D$9:$E$9,S$9))</f>
        <v>0</v>
      </c>
      <c r="T32" s="13">
        <f>IF($F32="s-curve",$D32+($E32-$D32)*$I$2/(1+EXP($I$3*(COUNT($H$9:T$9)+$I$4))),TREND($D32:$E32,$D$9:$E$9,T$9))</f>
        <v>0</v>
      </c>
      <c r="U32" s="13">
        <f>IF($F32="s-curve",$D32+($E32-$D32)*$I$2/(1+EXP($I$3*(COUNT($H$9:U$9)+$I$4))),TREND($D32:$E32,$D$9:$E$9,U$9))</f>
        <v>0</v>
      </c>
      <c r="V32" s="13">
        <f>IF($F32="s-curve",$D32+($E32-$D32)*$I$2/(1+EXP($I$3*(COUNT($H$9:V$9)+$I$4))),TREND($D32:$E32,$D$9:$E$9,V$9))</f>
        <v>0</v>
      </c>
      <c r="W32" s="13">
        <f>IF($F32="s-curve",$D32+($E32-$D32)*$I$2/(1+EXP($I$3*(COUNT($H$9:W$9)+$I$4))),TREND($D32:$E32,$D$9:$E$9,W$9))</f>
        <v>0</v>
      </c>
      <c r="X32" s="13">
        <f>IF($F32="s-curve",$D32+($E32-$D32)*$I$2/(1+EXP($I$3*(COUNT($H$9:X$9)+$I$4))),TREND($D32:$E32,$D$9:$E$9,X$9))</f>
        <v>0</v>
      </c>
      <c r="Y32" s="13">
        <f>IF($F32="s-curve",$D32+($E32-$D32)*$I$2/(1+EXP($I$3*(COUNT($H$9:Y$9)+$I$4))),TREND($D32:$E32,$D$9:$E$9,Y$9))</f>
        <v>0</v>
      </c>
      <c r="Z32" s="13">
        <f>IF($F32="s-curve",$D32+($E32-$D32)*$I$2/(1+EXP($I$3*(COUNT($H$9:Z$9)+$I$4))),TREND($D32:$E32,$D$9:$E$9,Z$9))</f>
        <v>0</v>
      </c>
      <c r="AA32" s="13">
        <f>IF($F32="s-curve",$D32+($E32-$D32)*$I$2/(1+EXP($I$3*(COUNT($H$9:AA$9)+$I$4))),TREND($D32:$E32,$D$9:$E$9,AA$9))</f>
        <v>0</v>
      </c>
      <c r="AB32" s="13">
        <f>IF($F32="s-curve",$D32+($E32-$D32)*$I$2/(1+EXP($I$3*(COUNT($H$9:AB$9)+$I$4))),TREND($D32:$E32,$D$9:$E$9,AB$9))</f>
        <v>0</v>
      </c>
      <c r="AC32" s="13">
        <f>IF($F32="s-curve",$D32+($E32-$D32)*$I$2/(1+EXP($I$3*(COUNT($H$9:AC$9)+$I$4))),TREND($D32:$E32,$D$9:$E$9,AC$9))</f>
        <v>0</v>
      </c>
      <c r="AD32" s="13">
        <f>IF($F32="s-curve",$D32+($E32-$D32)*$I$2/(1+EXP($I$3*(COUNT($H$9:AD$9)+$I$4))),TREND($D32:$E32,$D$9:$E$9,AD$9))</f>
        <v>0</v>
      </c>
      <c r="AE32" s="13">
        <f>IF($F32="s-curve",$D32+($E32-$D32)*$I$2/(1+EXP($I$3*(COUNT($H$9:AE$9)+$I$4))),TREND($D32:$E32,$D$9:$E$9,AE$9))</f>
        <v>0</v>
      </c>
      <c r="AF32" s="13">
        <f>IF($F32="s-curve",$D32+($E32-$D32)*$I$2/(1+EXP($I$3*(COUNT($H$9:AF$9)+$I$4))),TREND($D32:$E32,$D$9:$E$9,AF$9))</f>
        <v>0</v>
      </c>
      <c r="AG32" s="13">
        <f>IF($F32="s-curve",$D32+($E32-$D32)*$I$2/(1+EXP($I$3*(COUNT($H$9:AG$9)+$I$4))),TREND($D32:$E32,$D$9:$E$9,AG$9))</f>
        <v>0</v>
      </c>
      <c r="AH32" s="13">
        <f>IF($F32="s-curve",$D32+($E32-$D32)*$I$2/(1+EXP($I$3*(COUNT($H$9:AH$9)+$I$4))),TREND($D32:$E32,$D$9:$E$9,AH$9))</f>
        <v>0</v>
      </c>
      <c r="AI32" s="13">
        <f>IF($F32="s-curve",$D32+($E32-$D32)*$I$2/(1+EXP($I$3*(COUNT($H$9:AI$9)+$I$4))),TREND($D32:$E32,$D$9:$E$9,AI$9))</f>
        <v>0</v>
      </c>
      <c r="AJ32" s="13">
        <f>IF($F32="s-curve",$D32+($E32-$D32)*$I$2/(1+EXP($I$3*(COUNT($H$9:AJ$9)+$I$4))),TREND($D32:$E32,$D$9:$E$9,AJ$9))</f>
        <v>0</v>
      </c>
      <c r="AK32" s="13">
        <f>IF($F32="s-curve",$D32+($E32-$D32)*$I$2/(1+EXP($I$3*(COUNT($H$9:AK$9)+$I$4))),TREND($D32:$E32,$D$9:$E$9,AK$9))</f>
        <v>0</v>
      </c>
      <c r="AL32" s="13">
        <f>IF($F32="s-curve",$D32+($E32-$D32)*$I$2/(1+EXP($I$3*(COUNT($H$9:AL$9)+$I$4))),TREND($D32:$E32,$D$9:$E$9,AL$9))</f>
        <v>0</v>
      </c>
    </row>
    <row r="33" spans="1:38" x14ac:dyDescent="0.35">
      <c r="C33" s="13" t="s">
        <v>3</v>
      </c>
      <c r="D33" s="24">
        <f>MIN(1.25*INDEX('SYVbT-freight'!$B$3:$H$3,MATCH(Data!$C12,'SYVbT-passenger'!$B$1:$H$1,0))/SUM('SYVbT-freight'!$B$3:$H$3),1)*3</f>
        <v>1.3139759622581862E-2</v>
      </c>
      <c r="E33" s="24">
        <f t="shared" ref="E33:E36" si="5">D33</f>
        <v>1.3139759622581862E-2</v>
      </c>
      <c r="F33" s="7" t="str">
        <f>IF(D33=E33,"n/a",IF(OR(C33="battery electric vehicle",C33="natural gas vehicle",C33="plugin hybrid vehicle"),"s-curve","linear"))</f>
        <v>n/a</v>
      </c>
      <c r="H33" s="24">
        <f t="shared" si="1"/>
        <v>1.3139759622581862E-2</v>
      </c>
      <c r="I33" s="13">
        <f>IF($F33="s-curve",$D33+($E33-$D33)*$I$2/(1+EXP($I$3*(COUNT($H$9:I$9)+$I$4))),TREND($D33:$E33,$D$9:$E$9,I$9))</f>
        <v>1.3139759622581862E-2</v>
      </c>
      <c r="J33" s="13">
        <f>IF($F33="s-curve",$D33+($E33-$D33)*$I$2/(1+EXP($I$3*(COUNT($H$9:J$9)+$I$4))),TREND($D33:$E33,$D$9:$E$9,J$9))</f>
        <v>1.3139759622581862E-2</v>
      </c>
      <c r="K33" s="13">
        <f>IF($F33="s-curve",$D33+($E33-$D33)*$I$2/(1+EXP($I$3*(COUNT($H$9:K$9)+$I$4))),TREND($D33:$E33,$D$9:$E$9,K$9))</f>
        <v>1.3139759622581862E-2</v>
      </c>
      <c r="L33" s="13">
        <f>IF($F33="s-curve",$D33+($E33-$D33)*$I$2/(1+EXP($I$3*(COUNT($H$9:L$9)+$I$4))),TREND($D33:$E33,$D$9:$E$9,L$9))</f>
        <v>1.3139759622581862E-2</v>
      </c>
      <c r="M33" s="13">
        <f>IF($F33="s-curve",$D33+($E33-$D33)*$I$2/(1+EXP($I$3*(COUNT($H$9:M$9)+$I$4))),TREND($D33:$E33,$D$9:$E$9,M$9))</f>
        <v>1.3139759622581862E-2</v>
      </c>
      <c r="N33" s="13">
        <f>IF($F33="s-curve",$D33+($E33-$D33)*$I$2/(1+EXP($I$3*(COUNT($H$9:N$9)+$I$4))),TREND($D33:$E33,$D$9:$E$9,N$9))</f>
        <v>1.3139759622581862E-2</v>
      </c>
      <c r="O33" s="13">
        <f>IF($F33="s-curve",$D33+($E33-$D33)*$I$2/(1+EXP($I$3*(COUNT($H$9:O$9)+$I$4))),TREND($D33:$E33,$D$9:$E$9,O$9))</f>
        <v>1.3139759622581862E-2</v>
      </c>
      <c r="P33" s="13">
        <f>IF($F33="s-curve",$D33+($E33-$D33)*$I$2/(1+EXP($I$3*(COUNT($H$9:P$9)+$I$4))),TREND($D33:$E33,$D$9:$E$9,P$9))</f>
        <v>1.3139759622581862E-2</v>
      </c>
      <c r="Q33" s="13">
        <f>IF($F33="s-curve",$D33+($E33-$D33)*$I$2/(1+EXP($I$3*(COUNT($H$9:Q$9)+$I$4))),TREND($D33:$E33,$D$9:$E$9,Q$9))</f>
        <v>1.3139759622581862E-2</v>
      </c>
      <c r="R33" s="13">
        <f>IF($F33="s-curve",$D33+($E33-$D33)*$I$2/(1+EXP($I$3*(COUNT($H$9:R$9)+$I$4))),TREND($D33:$E33,$D$9:$E$9,R$9))</f>
        <v>1.3139759622581862E-2</v>
      </c>
      <c r="S33" s="13">
        <f>IF($F33="s-curve",$D33+($E33-$D33)*$I$2/(1+EXP($I$3*(COUNT($H$9:S$9)+$I$4))),TREND($D33:$E33,$D$9:$E$9,S$9))</f>
        <v>1.3139759622581862E-2</v>
      </c>
      <c r="T33" s="13">
        <f>IF($F33="s-curve",$D33+($E33-$D33)*$I$2/(1+EXP($I$3*(COUNT($H$9:T$9)+$I$4))),TREND($D33:$E33,$D$9:$E$9,T$9))</f>
        <v>1.3139759622581862E-2</v>
      </c>
      <c r="U33" s="13">
        <f>IF($F33="s-curve",$D33+($E33-$D33)*$I$2/(1+EXP($I$3*(COUNT($H$9:U$9)+$I$4))),TREND($D33:$E33,$D$9:$E$9,U$9))</f>
        <v>1.3139759622581862E-2</v>
      </c>
      <c r="V33" s="13">
        <f>IF($F33="s-curve",$D33+($E33-$D33)*$I$2/(1+EXP($I$3*(COUNT($H$9:V$9)+$I$4))),TREND($D33:$E33,$D$9:$E$9,V$9))</f>
        <v>1.3139759622581862E-2</v>
      </c>
      <c r="W33" s="13">
        <f>IF($F33="s-curve",$D33+($E33-$D33)*$I$2/(1+EXP($I$3*(COUNT($H$9:W$9)+$I$4))),TREND($D33:$E33,$D$9:$E$9,W$9))</f>
        <v>1.3139759622581862E-2</v>
      </c>
      <c r="X33" s="13">
        <f>IF($F33="s-curve",$D33+($E33-$D33)*$I$2/(1+EXP($I$3*(COUNT($H$9:X$9)+$I$4))),TREND($D33:$E33,$D$9:$E$9,X$9))</f>
        <v>1.3139759622581862E-2</v>
      </c>
      <c r="Y33" s="13">
        <f>IF($F33="s-curve",$D33+($E33-$D33)*$I$2/(1+EXP($I$3*(COUNT($H$9:Y$9)+$I$4))),TREND($D33:$E33,$D$9:$E$9,Y$9))</f>
        <v>1.3139759622581862E-2</v>
      </c>
      <c r="Z33" s="13">
        <f>IF($F33="s-curve",$D33+($E33-$D33)*$I$2/(1+EXP($I$3*(COUNT($H$9:Z$9)+$I$4))),TREND($D33:$E33,$D$9:$E$9,Z$9))</f>
        <v>1.3139759622581862E-2</v>
      </c>
      <c r="AA33" s="13">
        <f>IF($F33="s-curve",$D33+($E33-$D33)*$I$2/(1+EXP($I$3*(COUNT($H$9:AA$9)+$I$4))),TREND($D33:$E33,$D$9:$E$9,AA$9))</f>
        <v>1.3139759622581862E-2</v>
      </c>
      <c r="AB33" s="13">
        <f>IF($F33="s-curve",$D33+($E33-$D33)*$I$2/(1+EXP($I$3*(COUNT($H$9:AB$9)+$I$4))),TREND($D33:$E33,$D$9:$E$9,AB$9))</f>
        <v>1.3139759622581862E-2</v>
      </c>
      <c r="AC33" s="13">
        <f>IF($F33="s-curve",$D33+($E33-$D33)*$I$2/(1+EXP($I$3*(COUNT($H$9:AC$9)+$I$4))),TREND($D33:$E33,$D$9:$E$9,AC$9))</f>
        <v>1.3139759622581862E-2</v>
      </c>
      <c r="AD33" s="13">
        <f>IF($F33="s-curve",$D33+($E33-$D33)*$I$2/(1+EXP($I$3*(COUNT($H$9:AD$9)+$I$4))),TREND($D33:$E33,$D$9:$E$9,AD$9))</f>
        <v>1.3139759622581862E-2</v>
      </c>
      <c r="AE33" s="13">
        <f>IF($F33="s-curve",$D33+($E33-$D33)*$I$2/(1+EXP($I$3*(COUNT($H$9:AE$9)+$I$4))),TREND($D33:$E33,$D$9:$E$9,AE$9))</f>
        <v>1.3139759622581862E-2</v>
      </c>
      <c r="AF33" s="13">
        <f>IF($F33="s-curve",$D33+($E33-$D33)*$I$2/(1+EXP($I$3*(COUNT($H$9:AF$9)+$I$4))),TREND($D33:$E33,$D$9:$E$9,AF$9))</f>
        <v>1.3139759622581862E-2</v>
      </c>
      <c r="AG33" s="13">
        <f>IF($F33="s-curve",$D33+($E33-$D33)*$I$2/(1+EXP($I$3*(COUNT($H$9:AG$9)+$I$4))),TREND($D33:$E33,$D$9:$E$9,AG$9))</f>
        <v>1.3139759622581862E-2</v>
      </c>
      <c r="AH33" s="13">
        <f>IF($F33="s-curve",$D33+($E33-$D33)*$I$2/(1+EXP($I$3*(COUNT($H$9:AH$9)+$I$4))),TREND($D33:$E33,$D$9:$E$9,AH$9))</f>
        <v>1.3139759622581862E-2</v>
      </c>
      <c r="AI33" s="13">
        <f>IF($F33="s-curve",$D33+($E33-$D33)*$I$2/(1+EXP($I$3*(COUNT($H$9:AI$9)+$I$4))),TREND($D33:$E33,$D$9:$E$9,AI$9))</f>
        <v>1.3139759622581862E-2</v>
      </c>
      <c r="AJ33" s="13">
        <f>IF($F33="s-curve",$D33+($E33-$D33)*$I$2/(1+EXP($I$3*(COUNT($H$9:AJ$9)+$I$4))),TREND($D33:$E33,$D$9:$E$9,AJ$9))</f>
        <v>1.3139759622581862E-2</v>
      </c>
      <c r="AK33" s="13">
        <f>IF($F33="s-curve",$D33+($E33-$D33)*$I$2/(1+EXP($I$3*(COUNT($H$9:AK$9)+$I$4))),TREND($D33:$E33,$D$9:$E$9,AK$9))</f>
        <v>1.3139759622581862E-2</v>
      </c>
      <c r="AL33" s="13">
        <f>IF($F33="s-curve",$D33+($E33-$D33)*$I$2/(1+EXP($I$3*(COUNT($H$9:AL$9)+$I$4))),TREND($D33:$E33,$D$9:$E$9,AL$9))</f>
        <v>1.3139759622581862E-2</v>
      </c>
    </row>
    <row r="34" spans="1:38" x14ac:dyDescent="0.35">
      <c r="C34" s="13" t="s">
        <v>4</v>
      </c>
      <c r="D34" s="24">
        <f>MIN(1.25*INDEX('SYVbT-freight'!$B$3:$H$3,MATCH(Data!$C13,'SYVbT-passenger'!$B$1:$H$1,0))/SUM('SYVbT-freight'!$B$3:$H$3),1)*3</f>
        <v>3</v>
      </c>
      <c r="E34" s="24">
        <f t="shared" si="5"/>
        <v>3</v>
      </c>
      <c r="F34" s="7" t="str">
        <f>IF(D34=E34,"n/a",IF(OR(C34="battery electric vehicle",C34="natural gas vehicle",C34="plugin hybrid vehicle"),"s-curve","linear"))</f>
        <v>n/a</v>
      </c>
      <c r="H34" s="24">
        <f t="shared" si="1"/>
        <v>3</v>
      </c>
      <c r="I34" s="13">
        <f>IF($F34="s-curve",$D34+($E34-$D34)*$I$2/(1+EXP($I$3*(COUNT($H$9:I$9)+$I$4))),TREND($D34:$E34,$D$9:$E$9,I$9))</f>
        <v>3</v>
      </c>
      <c r="J34" s="13">
        <f>IF($F34="s-curve",$D34+($E34-$D34)*$I$2/(1+EXP($I$3*(COUNT($H$9:J$9)+$I$4))),TREND($D34:$E34,$D$9:$E$9,J$9))</f>
        <v>3</v>
      </c>
      <c r="K34" s="13">
        <f>IF($F34="s-curve",$D34+($E34-$D34)*$I$2/(1+EXP($I$3*(COUNT($H$9:K$9)+$I$4))),TREND($D34:$E34,$D$9:$E$9,K$9))</f>
        <v>3</v>
      </c>
      <c r="L34" s="13">
        <f>IF($F34="s-curve",$D34+($E34-$D34)*$I$2/(1+EXP($I$3*(COUNT($H$9:L$9)+$I$4))),TREND($D34:$E34,$D$9:$E$9,L$9))</f>
        <v>3</v>
      </c>
      <c r="M34" s="13">
        <f>IF($F34="s-curve",$D34+($E34-$D34)*$I$2/(1+EXP($I$3*(COUNT($H$9:M$9)+$I$4))),TREND($D34:$E34,$D$9:$E$9,M$9))</f>
        <v>3</v>
      </c>
      <c r="N34" s="13">
        <f>IF($F34="s-curve",$D34+($E34-$D34)*$I$2/(1+EXP($I$3*(COUNT($H$9:N$9)+$I$4))),TREND($D34:$E34,$D$9:$E$9,N$9))</f>
        <v>3</v>
      </c>
      <c r="O34" s="13">
        <f>IF($F34="s-curve",$D34+($E34-$D34)*$I$2/(1+EXP($I$3*(COUNT($H$9:O$9)+$I$4))),TREND($D34:$E34,$D$9:$E$9,O$9))</f>
        <v>3</v>
      </c>
      <c r="P34" s="13">
        <f>IF($F34="s-curve",$D34+($E34-$D34)*$I$2/(1+EXP($I$3*(COUNT($H$9:P$9)+$I$4))),TREND($D34:$E34,$D$9:$E$9,P$9))</f>
        <v>3</v>
      </c>
      <c r="Q34" s="13">
        <f>IF($F34="s-curve",$D34+($E34-$D34)*$I$2/(1+EXP($I$3*(COUNT($H$9:Q$9)+$I$4))),TREND($D34:$E34,$D$9:$E$9,Q$9))</f>
        <v>3</v>
      </c>
      <c r="R34" s="13">
        <f>IF($F34="s-curve",$D34+($E34-$D34)*$I$2/(1+EXP($I$3*(COUNT($H$9:R$9)+$I$4))),TREND($D34:$E34,$D$9:$E$9,R$9))</f>
        <v>3</v>
      </c>
      <c r="S34" s="13">
        <f>IF($F34="s-curve",$D34+($E34-$D34)*$I$2/(1+EXP($I$3*(COUNT($H$9:S$9)+$I$4))),TREND($D34:$E34,$D$9:$E$9,S$9))</f>
        <v>3</v>
      </c>
      <c r="T34" s="13">
        <f>IF($F34="s-curve",$D34+($E34-$D34)*$I$2/(1+EXP($I$3*(COUNT($H$9:T$9)+$I$4))),TREND($D34:$E34,$D$9:$E$9,T$9))</f>
        <v>3</v>
      </c>
      <c r="U34" s="13">
        <f>IF($F34="s-curve",$D34+($E34-$D34)*$I$2/(1+EXP($I$3*(COUNT($H$9:U$9)+$I$4))),TREND($D34:$E34,$D$9:$E$9,U$9))</f>
        <v>3</v>
      </c>
      <c r="V34" s="13">
        <f>IF($F34="s-curve",$D34+($E34-$D34)*$I$2/(1+EXP($I$3*(COUNT($H$9:V$9)+$I$4))),TREND($D34:$E34,$D$9:$E$9,V$9))</f>
        <v>3</v>
      </c>
      <c r="W34" s="13">
        <f>IF($F34="s-curve",$D34+($E34-$D34)*$I$2/(1+EXP($I$3*(COUNT($H$9:W$9)+$I$4))),TREND($D34:$E34,$D$9:$E$9,W$9))</f>
        <v>3</v>
      </c>
      <c r="X34" s="13">
        <f>IF($F34="s-curve",$D34+($E34-$D34)*$I$2/(1+EXP($I$3*(COUNT($H$9:X$9)+$I$4))),TREND($D34:$E34,$D$9:$E$9,X$9))</f>
        <v>3</v>
      </c>
      <c r="Y34" s="13">
        <f>IF($F34="s-curve",$D34+($E34-$D34)*$I$2/(1+EXP($I$3*(COUNT($H$9:Y$9)+$I$4))),TREND($D34:$E34,$D$9:$E$9,Y$9))</f>
        <v>3</v>
      </c>
      <c r="Z34" s="13">
        <f>IF($F34="s-curve",$D34+($E34-$D34)*$I$2/(1+EXP($I$3*(COUNT($H$9:Z$9)+$I$4))),TREND($D34:$E34,$D$9:$E$9,Z$9))</f>
        <v>3</v>
      </c>
      <c r="AA34" s="13">
        <f>IF($F34="s-curve",$D34+($E34-$D34)*$I$2/(1+EXP($I$3*(COUNT($H$9:AA$9)+$I$4))),TREND($D34:$E34,$D$9:$E$9,AA$9))</f>
        <v>3</v>
      </c>
      <c r="AB34" s="13">
        <f>IF($F34="s-curve",$D34+($E34-$D34)*$I$2/(1+EXP($I$3*(COUNT($H$9:AB$9)+$I$4))),TREND($D34:$E34,$D$9:$E$9,AB$9))</f>
        <v>3</v>
      </c>
      <c r="AC34" s="13">
        <f>IF($F34="s-curve",$D34+($E34-$D34)*$I$2/(1+EXP($I$3*(COUNT($H$9:AC$9)+$I$4))),TREND($D34:$E34,$D$9:$E$9,AC$9))</f>
        <v>3</v>
      </c>
      <c r="AD34" s="13">
        <f>IF($F34="s-curve",$D34+($E34-$D34)*$I$2/(1+EXP($I$3*(COUNT($H$9:AD$9)+$I$4))),TREND($D34:$E34,$D$9:$E$9,AD$9))</f>
        <v>3</v>
      </c>
      <c r="AE34" s="13">
        <f>IF($F34="s-curve",$D34+($E34-$D34)*$I$2/(1+EXP($I$3*(COUNT($H$9:AE$9)+$I$4))),TREND($D34:$E34,$D$9:$E$9,AE$9))</f>
        <v>3</v>
      </c>
      <c r="AF34" s="13">
        <f>IF($F34="s-curve",$D34+($E34-$D34)*$I$2/(1+EXP($I$3*(COUNT($H$9:AF$9)+$I$4))),TREND($D34:$E34,$D$9:$E$9,AF$9))</f>
        <v>3</v>
      </c>
      <c r="AG34" s="13">
        <f>IF($F34="s-curve",$D34+($E34-$D34)*$I$2/(1+EXP($I$3*(COUNT($H$9:AG$9)+$I$4))),TREND($D34:$E34,$D$9:$E$9,AG$9))</f>
        <v>3</v>
      </c>
      <c r="AH34" s="13">
        <f>IF($F34="s-curve",$D34+($E34-$D34)*$I$2/(1+EXP($I$3*(COUNT($H$9:AH$9)+$I$4))),TREND($D34:$E34,$D$9:$E$9,AH$9))</f>
        <v>3</v>
      </c>
      <c r="AI34" s="13">
        <f>IF($F34="s-curve",$D34+($E34-$D34)*$I$2/(1+EXP($I$3*(COUNT($H$9:AI$9)+$I$4))),TREND($D34:$E34,$D$9:$E$9,AI$9))</f>
        <v>3</v>
      </c>
      <c r="AJ34" s="13">
        <f>IF($F34="s-curve",$D34+($E34-$D34)*$I$2/(1+EXP($I$3*(COUNT($H$9:AJ$9)+$I$4))),TREND($D34:$E34,$D$9:$E$9,AJ$9))</f>
        <v>3</v>
      </c>
      <c r="AK34" s="13">
        <f>IF($F34="s-curve",$D34+($E34-$D34)*$I$2/(1+EXP($I$3*(COUNT($H$9:AK$9)+$I$4))),TREND($D34:$E34,$D$9:$E$9,AK$9))</f>
        <v>3</v>
      </c>
      <c r="AL34" s="13">
        <f>IF($F34="s-curve",$D34+($E34-$D34)*$I$2/(1+EXP($I$3*(COUNT($H$9:AL$9)+$I$4))),TREND($D34:$E34,$D$9:$E$9,AL$9))</f>
        <v>3</v>
      </c>
    </row>
    <row r="35" spans="1:38" x14ac:dyDescent="0.35">
      <c r="C35" s="13" t="s">
        <v>5</v>
      </c>
      <c r="D35" s="24">
        <f>MIN(1.25*INDEX('SYVbT-freight'!$B$3:$H$3,MATCH(Data!$C14,'SYVbT-passenger'!$B$1:$H$1,0))/SUM('SYVbT-freight'!$B$3:$H$3),1)</f>
        <v>0</v>
      </c>
      <c r="E35" s="24">
        <f t="shared" si="5"/>
        <v>0</v>
      </c>
      <c r="F35" s="7" t="str">
        <f>IF(D35=E35,"n/a",IF(OR(C35="battery electric vehicle",C35="natural gas vehicle",C35="plugin hybrid vehicle"),"s-curve","linear"))</f>
        <v>n/a</v>
      </c>
      <c r="H35" s="24">
        <f t="shared" si="1"/>
        <v>0</v>
      </c>
      <c r="I35" s="13">
        <f>IF($F35="s-curve",$D35+($E35-$D35)*$I$2/(1+EXP($I$3*(COUNT($H$9:I$9)+$I$4))),TREND($D35:$E35,$D$9:$E$9,I$9))</f>
        <v>0</v>
      </c>
      <c r="J35" s="13">
        <f>IF($F35="s-curve",$D35+($E35-$D35)*$I$2/(1+EXP($I$3*(COUNT($H$9:J$9)+$I$4))),TREND($D35:$E35,$D$9:$E$9,J$9))</f>
        <v>0</v>
      </c>
      <c r="K35" s="13">
        <f>IF($F35="s-curve",$D35+($E35-$D35)*$I$2/(1+EXP($I$3*(COUNT($H$9:K$9)+$I$4))),TREND($D35:$E35,$D$9:$E$9,K$9))</f>
        <v>0</v>
      </c>
      <c r="L35" s="13">
        <f>IF($F35="s-curve",$D35+($E35-$D35)*$I$2/(1+EXP($I$3*(COUNT($H$9:L$9)+$I$4))),TREND($D35:$E35,$D$9:$E$9,L$9))</f>
        <v>0</v>
      </c>
      <c r="M35" s="13">
        <f>IF($F35="s-curve",$D35+($E35-$D35)*$I$2/(1+EXP($I$3*(COUNT($H$9:M$9)+$I$4))),TREND($D35:$E35,$D$9:$E$9,M$9))</f>
        <v>0</v>
      </c>
      <c r="N35" s="13">
        <f>IF($F35="s-curve",$D35+($E35-$D35)*$I$2/(1+EXP($I$3*(COUNT($H$9:N$9)+$I$4))),TREND($D35:$E35,$D$9:$E$9,N$9))</f>
        <v>0</v>
      </c>
      <c r="O35" s="13">
        <f>IF($F35="s-curve",$D35+($E35-$D35)*$I$2/(1+EXP($I$3*(COUNT($H$9:O$9)+$I$4))),TREND($D35:$E35,$D$9:$E$9,O$9))</f>
        <v>0</v>
      </c>
      <c r="P35" s="13">
        <f>IF($F35="s-curve",$D35+($E35-$D35)*$I$2/(1+EXP($I$3*(COUNT($H$9:P$9)+$I$4))),TREND($D35:$E35,$D$9:$E$9,P$9))</f>
        <v>0</v>
      </c>
      <c r="Q35" s="13">
        <f>IF($F35="s-curve",$D35+($E35-$D35)*$I$2/(1+EXP($I$3*(COUNT($H$9:Q$9)+$I$4))),TREND($D35:$E35,$D$9:$E$9,Q$9))</f>
        <v>0</v>
      </c>
      <c r="R35" s="13">
        <f>IF($F35="s-curve",$D35+($E35-$D35)*$I$2/(1+EXP($I$3*(COUNT($H$9:R$9)+$I$4))),TREND($D35:$E35,$D$9:$E$9,R$9))</f>
        <v>0</v>
      </c>
      <c r="S35" s="13">
        <f>IF($F35="s-curve",$D35+($E35-$D35)*$I$2/(1+EXP($I$3*(COUNT($H$9:S$9)+$I$4))),TREND($D35:$E35,$D$9:$E$9,S$9))</f>
        <v>0</v>
      </c>
      <c r="T35" s="13">
        <f>IF($F35="s-curve",$D35+($E35-$D35)*$I$2/(1+EXP($I$3*(COUNT($H$9:T$9)+$I$4))),TREND($D35:$E35,$D$9:$E$9,T$9))</f>
        <v>0</v>
      </c>
      <c r="U35" s="13">
        <f>IF($F35="s-curve",$D35+($E35-$D35)*$I$2/(1+EXP($I$3*(COUNT($H$9:U$9)+$I$4))),TREND($D35:$E35,$D$9:$E$9,U$9))</f>
        <v>0</v>
      </c>
      <c r="V35" s="13">
        <f>IF($F35="s-curve",$D35+($E35-$D35)*$I$2/(1+EXP($I$3*(COUNT($H$9:V$9)+$I$4))),TREND($D35:$E35,$D$9:$E$9,V$9))</f>
        <v>0</v>
      </c>
      <c r="W35" s="13">
        <f>IF($F35="s-curve",$D35+($E35-$D35)*$I$2/(1+EXP($I$3*(COUNT($H$9:W$9)+$I$4))),TREND($D35:$E35,$D$9:$E$9,W$9))</f>
        <v>0</v>
      </c>
      <c r="X35" s="13">
        <f>IF($F35="s-curve",$D35+($E35-$D35)*$I$2/(1+EXP($I$3*(COUNT($H$9:X$9)+$I$4))),TREND($D35:$E35,$D$9:$E$9,X$9))</f>
        <v>0</v>
      </c>
      <c r="Y35" s="13">
        <f>IF($F35="s-curve",$D35+($E35-$D35)*$I$2/(1+EXP($I$3*(COUNT($H$9:Y$9)+$I$4))),TREND($D35:$E35,$D$9:$E$9,Y$9))</f>
        <v>0</v>
      </c>
      <c r="Z35" s="13">
        <f>IF($F35="s-curve",$D35+($E35-$D35)*$I$2/(1+EXP($I$3*(COUNT($H$9:Z$9)+$I$4))),TREND($D35:$E35,$D$9:$E$9,Z$9))</f>
        <v>0</v>
      </c>
      <c r="AA35" s="13">
        <f>IF($F35="s-curve",$D35+($E35-$D35)*$I$2/(1+EXP($I$3*(COUNT($H$9:AA$9)+$I$4))),TREND($D35:$E35,$D$9:$E$9,AA$9))</f>
        <v>0</v>
      </c>
      <c r="AB35" s="13">
        <f>IF($F35="s-curve",$D35+($E35-$D35)*$I$2/(1+EXP($I$3*(COUNT($H$9:AB$9)+$I$4))),TREND($D35:$E35,$D$9:$E$9,AB$9))</f>
        <v>0</v>
      </c>
      <c r="AC35" s="13">
        <f>IF($F35="s-curve",$D35+($E35-$D35)*$I$2/(1+EXP($I$3*(COUNT($H$9:AC$9)+$I$4))),TREND($D35:$E35,$D$9:$E$9,AC$9))</f>
        <v>0</v>
      </c>
      <c r="AD35" s="13">
        <f>IF($F35="s-curve",$D35+($E35-$D35)*$I$2/(1+EXP($I$3*(COUNT($H$9:AD$9)+$I$4))),TREND($D35:$E35,$D$9:$E$9,AD$9))</f>
        <v>0</v>
      </c>
      <c r="AE35" s="13">
        <f>IF($F35="s-curve",$D35+($E35-$D35)*$I$2/(1+EXP($I$3*(COUNT($H$9:AE$9)+$I$4))),TREND($D35:$E35,$D$9:$E$9,AE$9))</f>
        <v>0</v>
      </c>
      <c r="AF35" s="13">
        <f>IF($F35="s-curve",$D35+($E35-$D35)*$I$2/(1+EXP($I$3*(COUNT($H$9:AF$9)+$I$4))),TREND($D35:$E35,$D$9:$E$9,AF$9))</f>
        <v>0</v>
      </c>
      <c r="AG35" s="13">
        <f>IF($F35="s-curve",$D35+($E35-$D35)*$I$2/(1+EXP($I$3*(COUNT($H$9:AG$9)+$I$4))),TREND($D35:$E35,$D$9:$E$9,AG$9))</f>
        <v>0</v>
      </c>
      <c r="AH35" s="13">
        <f>IF($F35="s-curve",$D35+($E35-$D35)*$I$2/(1+EXP($I$3*(COUNT($H$9:AH$9)+$I$4))),TREND($D35:$E35,$D$9:$E$9,AH$9))</f>
        <v>0</v>
      </c>
      <c r="AI35" s="13">
        <f>IF($F35="s-curve",$D35+($E35-$D35)*$I$2/(1+EXP($I$3*(COUNT($H$9:AI$9)+$I$4))),TREND($D35:$E35,$D$9:$E$9,AI$9))</f>
        <v>0</v>
      </c>
      <c r="AJ35" s="13">
        <f>IF($F35="s-curve",$D35+($E35-$D35)*$I$2/(1+EXP($I$3*(COUNT($H$9:AJ$9)+$I$4))),TREND($D35:$E35,$D$9:$E$9,AJ$9))</f>
        <v>0</v>
      </c>
      <c r="AK35" s="13">
        <f>IF($F35="s-curve",$D35+($E35-$D35)*$I$2/(1+EXP($I$3*(COUNT($H$9:AK$9)+$I$4))),TREND($D35:$E35,$D$9:$E$9,AK$9))</f>
        <v>0</v>
      </c>
      <c r="AL35" s="13">
        <f>IF($F35="s-curve",$D35+($E35-$D35)*$I$2/(1+EXP($I$3*(COUNT($H$9:AL$9)+$I$4))),TREND($D35:$E35,$D$9:$E$9,AL$9))</f>
        <v>0</v>
      </c>
    </row>
    <row r="36" spans="1:38" x14ac:dyDescent="0.35">
      <c r="C36" s="13" t="s">
        <v>78</v>
      </c>
      <c r="D36" s="24">
        <f>MIN(1.25*INDEX('SYVbT-freight'!$B$3:$H$3,MATCH(Data!$C15,'SYVbT-passenger'!$B$1:$H$1,0))/SUM('SYVbT-freight'!$B$3:$H$3),1)</f>
        <v>4.2457589105878851E-2</v>
      </c>
      <c r="E36" s="24">
        <f t="shared" si="5"/>
        <v>4.2457589105878851E-2</v>
      </c>
      <c r="F36" s="7" t="str">
        <f>IF(D36=E36,"n/a",IF(OR(C36="battery electric vehicle",C36="natural gas vehicle",C36="plugin hybrid vehicle",C36="hydrogen vehicle"),"s-curve","linear"))</f>
        <v>n/a</v>
      </c>
      <c r="H36" s="24">
        <f t="shared" si="1"/>
        <v>4.2457589105878851E-2</v>
      </c>
      <c r="I36" s="13">
        <f>IF($F36="s-curve",$D36+($E36-$D36)*$I$2/(1+EXP($I$3*(COUNT($H$9:I$9)+$I$4))),TREND($D36:$E36,$D$9:$E$9,I$9))</f>
        <v>4.2457589105878851E-2</v>
      </c>
      <c r="J36" s="13">
        <f>IF($F36="s-curve",$D36+($E36-$D36)*$I$2/(1+EXP($I$3*(COUNT($H$9:J$9)+$I$4))),TREND($D36:$E36,$D$9:$E$9,J$9))</f>
        <v>4.2457589105878851E-2</v>
      </c>
      <c r="K36" s="13">
        <f>IF($F36="s-curve",$D36+($E36-$D36)*$I$2/(1+EXP($I$3*(COUNT($H$9:K$9)+$I$4))),TREND($D36:$E36,$D$9:$E$9,K$9))</f>
        <v>4.2457589105878851E-2</v>
      </c>
      <c r="L36" s="13">
        <f>IF($F36="s-curve",$D36+($E36-$D36)*$I$2/(1+EXP($I$3*(COUNT($H$9:L$9)+$I$4))),TREND($D36:$E36,$D$9:$E$9,L$9))</f>
        <v>4.2457589105878851E-2</v>
      </c>
      <c r="M36" s="13">
        <f>IF($F36="s-curve",$D36+($E36-$D36)*$I$2/(1+EXP($I$3*(COUNT($H$9:M$9)+$I$4))),TREND($D36:$E36,$D$9:$E$9,M$9))</f>
        <v>4.2457589105878851E-2</v>
      </c>
      <c r="N36" s="13">
        <f>IF($F36="s-curve",$D36+($E36-$D36)*$I$2/(1+EXP($I$3*(COUNT($H$9:N$9)+$I$4))),TREND($D36:$E36,$D$9:$E$9,N$9))</f>
        <v>4.2457589105878851E-2</v>
      </c>
      <c r="O36" s="13">
        <f>IF($F36="s-curve",$D36+($E36-$D36)*$I$2/(1+EXP($I$3*(COUNT($H$9:O$9)+$I$4))),TREND($D36:$E36,$D$9:$E$9,O$9))</f>
        <v>4.2457589105878851E-2</v>
      </c>
      <c r="P36" s="13">
        <f>IF($F36="s-curve",$D36+($E36-$D36)*$I$2/(1+EXP($I$3*(COUNT($H$9:P$9)+$I$4))),TREND($D36:$E36,$D$9:$E$9,P$9))</f>
        <v>4.2457589105878851E-2</v>
      </c>
      <c r="Q36" s="13">
        <f>IF($F36="s-curve",$D36+($E36-$D36)*$I$2/(1+EXP($I$3*(COUNT($H$9:Q$9)+$I$4))),TREND($D36:$E36,$D$9:$E$9,Q$9))</f>
        <v>4.2457589105878851E-2</v>
      </c>
      <c r="R36" s="13">
        <f>IF($F36="s-curve",$D36+($E36-$D36)*$I$2/(1+EXP($I$3*(COUNT($H$9:R$9)+$I$4))),TREND($D36:$E36,$D$9:$E$9,R$9))</f>
        <v>4.2457589105878851E-2</v>
      </c>
      <c r="S36" s="13">
        <f>IF($F36="s-curve",$D36+($E36-$D36)*$I$2/(1+EXP($I$3*(COUNT($H$9:S$9)+$I$4))),TREND($D36:$E36,$D$9:$E$9,S$9))</f>
        <v>4.2457589105878851E-2</v>
      </c>
      <c r="T36" s="13">
        <f>IF($F36="s-curve",$D36+($E36-$D36)*$I$2/(1+EXP($I$3*(COUNT($H$9:T$9)+$I$4))),TREND($D36:$E36,$D$9:$E$9,T$9))</f>
        <v>4.2457589105878851E-2</v>
      </c>
      <c r="U36" s="13">
        <f>IF($F36="s-curve",$D36+($E36-$D36)*$I$2/(1+EXP($I$3*(COUNT($H$9:U$9)+$I$4))),TREND($D36:$E36,$D$9:$E$9,U$9))</f>
        <v>4.2457589105878851E-2</v>
      </c>
      <c r="V36" s="13">
        <f>IF($F36="s-curve",$D36+($E36-$D36)*$I$2/(1+EXP($I$3*(COUNT($H$9:V$9)+$I$4))),TREND($D36:$E36,$D$9:$E$9,V$9))</f>
        <v>4.2457589105878851E-2</v>
      </c>
      <c r="W36" s="13">
        <f>IF($F36="s-curve",$D36+($E36-$D36)*$I$2/(1+EXP($I$3*(COUNT($H$9:W$9)+$I$4))),TREND($D36:$E36,$D$9:$E$9,W$9))</f>
        <v>4.2457589105878851E-2</v>
      </c>
      <c r="X36" s="13">
        <f>IF($F36="s-curve",$D36+($E36-$D36)*$I$2/(1+EXP($I$3*(COUNT($H$9:X$9)+$I$4))),TREND($D36:$E36,$D$9:$E$9,X$9))</f>
        <v>4.2457589105878851E-2</v>
      </c>
      <c r="Y36" s="13">
        <f>IF($F36="s-curve",$D36+($E36-$D36)*$I$2/(1+EXP($I$3*(COUNT($H$9:Y$9)+$I$4))),TREND($D36:$E36,$D$9:$E$9,Y$9))</f>
        <v>4.2457589105878851E-2</v>
      </c>
      <c r="Z36" s="13">
        <f>IF($F36="s-curve",$D36+($E36-$D36)*$I$2/(1+EXP($I$3*(COUNT($H$9:Z$9)+$I$4))),TREND($D36:$E36,$D$9:$E$9,Z$9))</f>
        <v>4.2457589105878851E-2</v>
      </c>
      <c r="AA36" s="13">
        <f>IF($F36="s-curve",$D36+($E36-$D36)*$I$2/(1+EXP($I$3*(COUNT($H$9:AA$9)+$I$4))),TREND($D36:$E36,$D$9:$E$9,AA$9))</f>
        <v>4.2457589105878851E-2</v>
      </c>
      <c r="AB36" s="13">
        <f>IF($F36="s-curve",$D36+($E36-$D36)*$I$2/(1+EXP($I$3*(COUNT($H$9:AB$9)+$I$4))),TREND($D36:$E36,$D$9:$E$9,AB$9))</f>
        <v>4.2457589105878851E-2</v>
      </c>
      <c r="AC36" s="13">
        <f>IF($F36="s-curve",$D36+($E36-$D36)*$I$2/(1+EXP($I$3*(COUNT($H$9:AC$9)+$I$4))),TREND($D36:$E36,$D$9:$E$9,AC$9))</f>
        <v>4.2457589105878851E-2</v>
      </c>
      <c r="AD36" s="13">
        <f>IF($F36="s-curve",$D36+($E36-$D36)*$I$2/(1+EXP($I$3*(COUNT($H$9:AD$9)+$I$4))),TREND($D36:$E36,$D$9:$E$9,AD$9))</f>
        <v>4.2457589105878851E-2</v>
      </c>
      <c r="AE36" s="13">
        <f>IF($F36="s-curve",$D36+($E36-$D36)*$I$2/(1+EXP($I$3*(COUNT($H$9:AE$9)+$I$4))),TREND($D36:$E36,$D$9:$E$9,AE$9))</f>
        <v>4.2457589105878851E-2</v>
      </c>
      <c r="AF36" s="13">
        <f>IF($F36="s-curve",$D36+($E36-$D36)*$I$2/(1+EXP($I$3*(COUNT($H$9:AF$9)+$I$4))),TREND($D36:$E36,$D$9:$E$9,AF$9))</f>
        <v>4.2457589105878851E-2</v>
      </c>
      <c r="AG36" s="13">
        <f>IF($F36="s-curve",$D36+($E36-$D36)*$I$2/(1+EXP($I$3*(COUNT($H$9:AG$9)+$I$4))),TREND($D36:$E36,$D$9:$E$9,AG$9))</f>
        <v>4.2457589105878851E-2</v>
      </c>
      <c r="AH36" s="13">
        <f>IF($F36="s-curve",$D36+($E36-$D36)*$I$2/(1+EXP($I$3*(COUNT($H$9:AH$9)+$I$4))),TREND($D36:$E36,$D$9:$E$9,AH$9))</f>
        <v>4.2457589105878851E-2</v>
      </c>
      <c r="AI36" s="13">
        <f>IF($F36="s-curve",$D36+($E36-$D36)*$I$2/(1+EXP($I$3*(COUNT($H$9:AI$9)+$I$4))),TREND($D36:$E36,$D$9:$E$9,AI$9))</f>
        <v>4.2457589105878851E-2</v>
      </c>
      <c r="AJ36" s="13">
        <f>IF($F36="s-curve",$D36+($E36-$D36)*$I$2/(1+EXP($I$3*(COUNT($H$9:AJ$9)+$I$4))),TREND($D36:$E36,$D$9:$E$9,AJ$9))</f>
        <v>4.2457589105878851E-2</v>
      </c>
      <c r="AK36" s="13">
        <f>IF($F36="s-curve",$D36+($E36-$D36)*$I$2/(1+EXP($I$3*(COUNT($H$9:AK$9)+$I$4))),TREND($D36:$E36,$D$9:$E$9,AK$9))</f>
        <v>4.2457589105878851E-2</v>
      </c>
      <c r="AL36" s="13">
        <f>IF($F36="s-curve",$D36+($E36-$D36)*$I$2/(1+EXP($I$3*(COUNT($H$9:AL$9)+$I$4))),TREND($D36:$E36,$D$9:$E$9,AL$9))</f>
        <v>4.2457589105878851E-2</v>
      </c>
    </row>
    <row r="37" spans="1:38" ht="15" thickBot="1" x14ac:dyDescent="0.4">
      <c r="A37" s="26"/>
      <c r="B37" s="26"/>
      <c r="C37" s="26" t="s">
        <v>79</v>
      </c>
      <c r="D37" s="26">
        <f>MIN(1.25*INDEX('SYVbT-freight'!$B$3:$H$3,MATCH(Data!$C16,'SYVbT-passenger'!$B$1:$H$1,0))/SUM('SYVbT-freight'!$B$3:$H$3),1)</f>
        <v>0</v>
      </c>
      <c r="E37" s="32">
        <f>E36</f>
        <v>4.2457589105878851E-2</v>
      </c>
      <c r="F37" s="8" t="str">
        <f>IF(D37=E37,"n/a",IF(OR(C37="battery electric vehicle",C37="natural gas vehicle",C37="plugin hybrid vehicle",C37="hydrogen vehicle"),"s-curve","linear"))</f>
        <v>s-curve</v>
      </c>
      <c r="H37" s="24">
        <f t="shared" si="1"/>
        <v>0</v>
      </c>
      <c r="I37" s="13">
        <f>IF($F37="s-curve",$D37+($E37-$D37)*$I$2/(1+EXP($I$3*(COUNT($H$9:I$9)+$I$4))),TREND($D37:$E37,$D$9:$E$9,I$9))</f>
        <v>6.2726976707021894E-4</v>
      </c>
      <c r="J37" s="13">
        <f>IF($F37="s-curve",$D37+($E37-$D37)*$I$2/(1+EXP($I$3*(COUNT($H$9:J$9)+$I$4))),TREND($D37:$E37,$D$9:$E$9,J$9))</f>
        <v>8.4237154859247501E-4</v>
      </c>
      <c r="K37" s="13">
        <f>IF($F37="s-curve",$D37+($E37-$D37)*$I$2/(1+EXP($I$3*(COUNT($H$9:K$9)+$I$4))),TREND($D37:$E37,$D$9:$E$9,K$9))</f>
        <v>1.1292442247382698E-3</v>
      </c>
      <c r="L37" s="13">
        <f>IF($F37="s-curve",$D37+($E37-$D37)*$I$2/(1+EXP($I$3*(COUNT($H$9:L$9)+$I$4))),TREND($D37:$E37,$D$9:$E$9,L$9))</f>
        <v>1.5102669381450325E-3</v>
      </c>
      <c r="M37" s="13">
        <f>IF($F37="s-curve",$D37+($E37-$D37)*$I$2/(1+EXP($I$3*(COUNT($H$9:M$9)+$I$4))),TREND($D37:$E37,$D$9:$E$9,M$9))</f>
        <v>2.0135882363606513E-3</v>
      </c>
      <c r="N37" s="13">
        <f>IF($F37="s-curve",$D37+($E37-$D37)*$I$2/(1+EXP($I$3*(COUNT($H$9:N$9)+$I$4))),TREND($D37:$E37,$D$9:$E$9,N$9))</f>
        <v>2.6736968760861647E-3</v>
      </c>
      <c r="O37" s="13">
        <f>IF($F37="s-curve",$D37+($E37-$D37)*$I$2/(1+EXP($I$3*(COUNT($H$9:O$9)+$I$4))),TREND($D37:$E37,$D$9:$E$9,O$9))</f>
        <v>3.5313121725669269E-3</v>
      </c>
      <c r="P37" s="13">
        <f>IF($F37="s-curve",$D37+($E37-$D37)*$I$2/(1+EXP($I$3*(COUNT($H$9:P$9)+$I$4))),TREND($D37:$E37,$D$9:$E$9,P$9))</f>
        <v>4.6319880070808681E-3</v>
      </c>
      <c r="Q37" s="13">
        <f>IF($F37="s-curve",$D37+($E37-$D37)*$I$2/(1+EXP($I$3*(COUNT($H$9:Q$9)+$I$4))),TREND($D37:$E37,$D$9:$E$9,Q$9))</f>
        <v>6.0226542277762654E-3</v>
      </c>
      <c r="R37" s="13">
        <f>IF($F37="s-curve",$D37+($E37-$D37)*$I$2/(1+EXP($I$3*(COUNT($H$9:R$9)+$I$4))),TREND($D37:$E37,$D$9:$E$9,R$9))</f>
        <v>7.7453479321949988E-3</v>
      </c>
      <c r="S37" s="13">
        <f>IF($F37="s-curve",$D37+($E37-$D37)*$I$2/(1+EXP($I$3*(COUNT($H$9:S$9)+$I$4))),TREND($D37:$E37,$D$9:$E$9,S$9))</f>
        <v>9.8278796303930584E-3</v>
      </c>
      <c r="T37" s="13">
        <f>IF($F37="s-curve",$D37+($E37-$D37)*$I$2/(1+EXP($I$3*(COUNT($H$9:T$9)+$I$4))),TREND($D37:$E37,$D$9:$E$9,T$9))</f>
        <v>1.2272387248397496E-2</v>
      </c>
      <c r="U37" s="13">
        <f>IF($F37="s-curve",$D37+($E37-$D37)*$I$2/(1+EXP($I$3*(COUNT($H$9:U$9)+$I$4))),TREND($D37:$E37,$D$9:$E$9,U$9))</f>
        <v>1.5044578952524538E-2</v>
      </c>
      <c r="V37" s="13">
        <f>IF($F37="s-curve",$D37+($E37-$D37)*$I$2/(1+EXP($I$3*(COUNT($H$9:V$9)+$I$4))),TREND($D37:$E37,$D$9:$E$9,V$9))</f>
        <v>1.8068144762142531E-2</v>
      </c>
      <c r="W37" s="13">
        <f>IF($F37="s-curve",$D37+($E37-$D37)*$I$2/(1+EXP($I$3*(COUNT($H$9:W$9)+$I$4))),TREND($D37:$E37,$D$9:$E$9,W$9))</f>
        <v>2.1228794552939426E-2</v>
      </c>
      <c r="X37" s="13">
        <f>IF($F37="s-curve",$D37+($E37-$D37)*$I$2/(1+EXP($I$3*(COUNT($H$9:X$9)+$I$4))),TREND($D37:$E37,$D$9:$E$9,X$9))</f>
        <v>2.4389444343736324E-2</v>
      </c>
      <c r="Y37" s="13">
        <f>IF($F37="s-curve",$D37+($E37-$D37)*$I$2/(1+EXP($I$3*(COUNT($H$9:Y$9)+$I$4))),TREND($D37:$E37,$D$9:$E$9,Y$9))</f>
        <v>2.741301015335431E-2</v>
      </c>
      <c r="Z37" s="13">
        <f>IF($F37="s-curve",$D37+($E37-$D37)*$I$2/(1+EXP($I$3*(COUNT($H$9:Z$9)+$I$4))),TREND($D37:$E37,$D$9:$E$9,Z$9))</f>
        <v>3.0185201857481355E-2</v>
      </c>
      <c r="AA37" s="13">
        <f>IF($F37="s-curve",$D37+($E37-$D37)*$I$2/(1+EXP($I$3*(COUNT($H$9:AA$9)+$I$4))),TREND($D37:$E37,$D$9:$E$9,AA$9))</f>
        <v>3.2629709475485789E-2</v>
      </c>
      <c r="AB37" s="13">
        <f>IF($F37="s-curve",$D37+($E37-$D37)*$I$2/(1+EXP($I$3*(COUNT($H$9:AB$9)+$I$4))),TREND($D37:$E37,$D$9:$E$9,AB$9))</f>
        <v>3.471224117368385E-2</v>
      </c>
      <c r="AC37" s="13">
        <f>IF($F37="s-curve",$D37+($E37-$D37)*$I$2/(1+EXP($I$3*(COUNT($H$9:AC$9)+$I$4))),TREND($D37:$E37,$D$9:$E$9,AC$9))</f>
        <v>3.6434934878102593E-2</v>
      </c>
      <c r="AD37" s="13">
        <f>IF($F37="s-curve",$D37+($E37-$D37)*$I$2/(1+EXP($I$3*(COUNT($H$9:AD$9)+$I$4))),TREND($D37:$E37,$D$9:$E$9,AD$9))</f>
        <v>3.7825601098797984E-2</v>
      </c>
      <c r="AE37" s="13">
        <f>IF($F37="s-curve",$D37+($E37-$D37)*$I$2/(1+EXP($I$3*(COUNT($H$9:AE$9)+$I$4))),TREND($D37:$E37,$D$9:$E$9,AE$9))</f>
        <v>3.8926276933311924E-2</v>
      </c>
      <c r="AF37" s="13">
        <f>IF($F37="s-curve",$D37+($E37-$D37)*$I$2/(1+EXP($I$3*(COUNT($H$9:AF$9)+$I$4))),TREND($D37:$E37,$D$9:$E$9,AF$9))</f>
        <v>3.9783892229792686E-2</v>
      </c>
      <c r="AG37" s="13">
        <f>IF($F37="s-curve",$D37+($E37-$D37)*$I$2/(1+EXP($I$3*(COUNT($H$9:AG$9)+$I$4))),TREND($D37:$E37,$D$9:$E$9,AG$9))</f>
        <v>4.0444000869518201E-2</v>
      </c>
      <c r="AH37" s="13">
        <f>IF($F37="s-curve",$D37+($E37-$D37)*$I$2/(1+EXP($I$3*(COUNT($H$9:AH$9)+$I$4))),TREND($D37:$E37,$D$9:$E$9,AH$9))</f>
        <v>4.0947322167733821E-2</v>
      </c>
      <c r="AI37" s="13">
        <f>IF($F37="s-curve",$D37+($E37-$D37)*$I$2/(1+EXP($I$3*(COUNT($H$9:AI$9)+$I$4))),TREND($D37:$E37,$D$9:$E$9,AI$9))</f>
        <v>4.132834488114058E-2</v>
      </c>
      <c r="AJ37" s="13">
        <f>IF($F37="s-curve",$D37+($E37-$D37)*$I$2/(1+EXP($I$3*(COUNT($H$9:AJ$9)+$I$4))),TREND($D37:$E37,$D$9:$E$9,AJ$9))</f>
        <v>4.161521755728638E-2</v>
      </c>
      <c r="AK37" s="13">
        <f>IF($F37="s-curve",$D37+($E37-$D37)*$I$2/(1+EXP($I$3*(COUNT($H$9:AK$9)+$I$4))),TREND($D37:$E37,$D$9:$E$9,AK$9))</f>
        <v>4.1830319338808632E-2</v>
      </c>
      <c r="AL37" s="13">
        <f>IF($F37="s-curve",$D37+($E37-$D37)*$I$2/(1+EXP($I$3*(COUNT($H$9:AL$9)+$I$4))),TREND($D37:$E37,$D$9:$E$9,AL$9))</f>
        <v>4.1991110010139263E-2</v>
      </c>
    </row>
    <row r="38" spans="1:38" x14ac:dyDescent="0.35">
      <c r="A38" s="13" t="s">
        <v>14</v>
      </c>
      <c r="B38" s="13" t="s">
        <v>19</v>
      </c>
      <c r="C38" s="13" t="s">
        <v>1</v>
      </c>
      <c r="D38" s="13">
        <v>0</v>
      </c>
      <c r="E38" s="13">
        <v>0</v>
      </c>
      <c r="F38" s="7" t="str">
        <f>IF(D38=E38,"n/a",IF(OR(C38="battery electric vehicle",C38="natural gas vehicle",C38="plugin hybrid vehicle"),"s-curve","linear"))</f>
        <v>n/a</v>
      </c>
      <c r="H38" s="24">
        <f t="shared" si="1"/>
        <v>0</v>
      </c>
      <c r="I38" s="13">
        <f>IF($F38="s-curve",$D38+($E38-$D38)*$I$2/(1+EXP($I$3*(COUNT($H$9:I$9)+$I$4))),TREND($D38:$E38,$D$9:$E$9,I$9))</f>
        <v>0</v>
      </c>
      <c r="J38" s="13">
        <f>IF($F38="s-curve",$D38+($E38-$D38)*$I$2/(1+EXP($I$3*(COUNT($H$9:J$9)+$I$4))),TREND($D38:$E38,$D$9:$E$9,J$9))</f>
        <v>0</v>
      </c>
      <c r="K38" s="13">
        <f>IF($F38="s-curve",$D38+($E38-$D38)*$I$2/(1+EXP($I$3*(COUNT($H$9:K$9)+$I$4))),TREND($D38:$E38,$D$9:$E$9,K$9))</f>
        <v>0</v>
      </c>
      <c r="L38" s="13">
        <f>IF($F38="s-curve",$D38+($E38-$D38)*$I$2/(1+EXP($I$3*(COUNT($H$9:L$9)+$I$4))),TREND($D38:$E38,$D$9:$E$9,L$9))</f>
        <v>0</v>
      </c>
      <c r="M38" s="13">
        <f>IF($F38="s-curve",$D38+($E38-$D38)*$I$2/(1+EXP($I$3*(COUNT($H$9:M$9)+$I$4))),TREND($D38:$E38,$D$9:$E$9,M$9))</f>
        <v>0</v>
      </c>
      <c r="N38" s="13">
        <f>IF($F38="s-curve",$D38+($E38-$D38)*$I$2/(1+EXP($I$3*(COUNT($H$9:N$9)+$I$4))),TREND($D38:$E38,$D$9:$E$9,N$9))</f>
        <v>0</v>
      </c>
      <c r="O38" s="13">
        <f>IF($F38="s-curve",$D38+($E38-$D38)*$I$2/(1+EXP($I$3*(COUNT($H$9:O$9)+$I$4))),TREND($D38:$E38,$D$9:$E$9,O$9))</f>
        <v>0</v>
      </c>
      <c r="P38" s="13">
        <f>IF($F38="s-curve",$D38+($E38-$D38)*$I$2/(1+EXP($I$3*(COUNT($H$9:P$9)+$I$4))),TREND($D38:$E38,$D$9:$E$9,P$9))</f>
        <v>0</v>
      </c>
      <c r="Q38" s="13">
        <f>IF($F38="s-curve",$D38+($E38-$D38)*$I$2/(1+EXP($I$3*(COUNT($H$9:Q$9)+$I$4))),TREND($D38:$E38,$D$9:$E$9,Q$9))</f>
        <v>0</v>
      </c>
      <c r="R38" s="13">
        <f>IF($F38="s-curve",$D38+($E38-$D38)*$I$2/(1+EXP($I$3*(COUNT($H$9:R$9)+$I$4))),TREND($D38:$E38,$D$9:$E$9,R$9))</f>
        <v>0</v>
      </c>
      <c r="S38" s="13">
        <f>IF($F38="s-curve",$D38+($E38-$D38)*$I$2/(1+EXP($I$3*(COUNT($H$9:S$9)+$I$4))),TREND($D38:$E38,$D$9:$E$9,S$9))</f>
        <v>0</v>
      </c>
      <c r="T38" s="13">
        <f>IF($F38="s-curve",$D38+($E38-$D38)*$I$2/(1+EXP($I$3*(COUNT($H$9:T$9)+$I$4))),TREND($D38:$E38,$D$9:$E$9,T$9))</f>
        <v>0</v>
      </c>
      <c r="U38" s="13">
        <f>IF($F38="s-curve",$D38+($E38-$D38)*$I$2/(1+EXP($I$3*(COUNT($H$9:U$9)+$I$4))),TREND($D38:$E38,$D$9:$E$9,U$9))</f>
        <v>0</v>
      </c>
      <c r="V38" s="13">
        <f>IF($F38="s-curve",$D38+($E38-$D38)*$I$2/(1+EXP($I$3*(COUNT($H$9:V$9)+$I$4))),TREND($D38:$E38,$D$9:$E$9,V$9))</f>
        <v>0</v>
      </c>
      <c r="W38" s="13">
        <f>IF($F38="s-curve",$D38+($E38-$D38)*$I$2/(1+EXP($I$3*(COUNT($H$9:W$9)+$I$4))),TREND($D38:$E38,$D$9:$E$9,W$9))</f>
        <v>0</v>
      </c>
      <c r="X38" s="13">
        <f>IF($F38="s-curve",$D38+($E38-$D38)*$I$2/(1+EXP($I$3*(COUNT($H$9:X$9)+$I$4))),TREND($D38:$E38,$D$9:$E$9,X$9))</f>
        <v>0</v>
      </c>
      <c r="Y38" s="13">
        <f>IF($F38="s-curve",$D38+($E38-$D38)*$I$2/(1+EXP($I$3*(COUNT($H$9:Y$9)+$I$4))),TREND($D38:$E38,$D$9:$E$9,Y$9))</f>
        <v>0</v>
      </c>
      <c r="Z38" s="13">
        <f>IF($F38="s-curve",$D38+($E38-$D38)*$I$2/(1+EXP($I$3*(COUNT($H$9:Z$9)+$I$4))),TREND($D38:$E38,$D$9:$E$9,Z$9))</f>
        <v>0</v>
      </c>
      <c r="AA38" s="13">
        <f>IF($F38="s-curve",$D38+($E38-$D38)*$I$2/(1+EXP($I$3*(COUNT($H$9:AA$9)+$I$4))),TREND($D38:$E38,$D$9:$E$9,AA$9))</f>
        <v>0</v>
      </c>
      <c r="AB38" s="13">
        <f>IF($F38="s-curve",$D38+($E38-$D38)*$I$2/(1+EXP($I$3*(COUNT($H$9:AB$9)+$I$4))),TREND($D38:$E38,$D$9:$E$9,AB$9))</f>
        <v>0</v>
      </c>
      <c r="AC38" s="13">
        <f>IF($F38="s-curve",$D38+($E38-$D38)*$I$2/(1+EXP($I$3*(COUNT($H$9:AC$9)+$I$4))),TREND($D38:$E38,$D$9:$E$9,AC$9))</f>
        <v>0</v>
      </c>
      <c r="AD38" s="13">
        <f>IF($F38="s-curve",$D38+($E38-$D38)*$I$2/(1+EXP($I$3*(COUNT($H$9:AD$9)+$I$4))),TREND($D38:$E38,$D$9:$E$9,AD$9))</f>
        <v>0</v>
      </c>
      <c r="AE38" s="13">
        <f>IF($F38="s-curve",$D38+($E38-$D38)*$I$2/(1+EXP($I$3*(COUNT($H$9:AE$9)+$I$4))),TREND($D38:$E38,$D$9:$E$9,AE$9))</f>
        <v>0</v>
      </c>
      <c r="AF38" s="13">
        <f>IF($F38="s-curve",$D38+($E38-$D38)*$I$2/(1+EXP($I$3*(COUNT($H$9:AF$9)+$I$4))),TREND($D38:$E38,$D$9:$E$9,AF$9))</f>
        <v>0</v>
      </c>
      <c r="AG38" s="13">
        <f>IF($F38="s-curve",$D38+($E38-$D38)*$I$2/(1+EXP($I$3*(COUNT($H$9:AG$9)+$I$4))),TREND($D38:$E38,$D$9:$E$9,AG$9))</f>
        <v>0</v>
      </c>
      <c r="AH38" s="13">
        <f>IF($F38="s-curve",$D38+($E38-$D38)*$I$2/(1+EXP($I$3*(COUNT($H$9:AH$9)+$I$4))),TREND($D38:$E38,$D$9:$E$9,AH$9))</f>
        <v>0</v>
      </c>
      <c r="AI38" s="13">
        <f>IF($F38="s-curve",$D38+($E38-$D38)*$I$2/(1+EXP($I$3*(COUNT($H$9:AI$9)+$I$4))),TREND($D38:$E38,$D$9:$E$9,AI$9))</f>
        <v>0</v>
      </c>
      <c r="AJ38" s="13">
        <f>IF($F38="s-curve",$D38+($E38-$D38)*$I$2/(1+EXP($I$3*(COUNT($H$9:AJ$9)+$I$4))),TREND($D38:$E38,$D$9:$E$9,AJ$9))</f>
        <v>0</v>
      </c>
      <c r="AK38" s="13">
        <f>IF($F38="s-curve",$D38+($E38-$D38)*$I$2/(1+EXP($I$3*(COUNT($H$9:AK$9)+$I$4))),TREND($D38:$E38,$D$9:$E$9,AK$9))</f>
        <v>0</v>
      </c>
      <c r="AL38" s="13">
        <f>IF($F38="s-curve",$D38+($E38-$D38)*$I$2/(1+EXP($I$3*(COUNT($H$9:AL$9)+$I$4))),TREND($D38:$E38,$D$9:$E$9,AL$9))</f>
        <v>0</v>
      </c>
    </row>
    <row r="39" spans="1:38" x14ac:dyDescent="0.35">
      <c r="C39" s="13" t="s">
        <v>2</v>
      </c>
      <c r="D39" s="13">
        <v>0</v>
      </c>
      <c r="E39" s="13">
        <v>0</v>
      </c>
      <c r="F39" s="7" t="str">
        <f>IF(D39=E39,"n/a",IF(OR(C39="battery electric vehicle",C39="natural gas vehicle",C39="plugin hybrid vehicle"),"s-curve","linear"))</f>
        <v>n/a</v>
      </c>
      <c r="H39" s="24">
        <f t="shared" si="1"/>
        <v>0</v>
      </c>
      <c r="I39" s="13">
        <f>IF($F39="s-curve",$D39+($E39-$D39)*$I$2/(1+EXP($I$3*(COUNT($H$9:I$9)+$I$4))),TREND($D39:$E39,$D$9:$E$9,I$9))</f>
        <v>0</v>
      </c>
      <c r="J39" s="13">
        <f>IF($F39="s-curve",$D39+($E39-$D39)*$I$2/(1+EXP($I$3*(COUNT($H$9:J$9)+$I$4))),TREND($D39:$E39,$D$9:$E$9,J$9))</f>
        <v>0</v>
      </c>
      <c r="K39" s="13">
        <f>IF($F39="s-curve",$D39+($E39-$D39)*$I$2/(1+EXP($I$3*(COUNT($H$9:K$9)+$I$4))),TREND($D39:$E39,$D$9:$E$9,K$9))</f>
        <v>0</v>
      </c>
      <c r="L39" s="13">
        <f>IF($F39="s-curve",$D39+($E39-$D39)*$I$2/(1+EXP($I$3*(COUNT($H$9:L$9)+$I$4))),TREND($D39:$E39,$D$9:$E$9,L$9))</f>
        <v>0</v>
      </c>
      <c r="M39" s="13">
        <f>IF($F39="s-curve",$D39+($E39-$D39)*$I$2/(1+EXP($I$3*(COUNT($H$9:M$9)+$I$4))),TREND($D39:$E39,$D$9:$E$9,M$9))</f>
        <v>0</v>
      </c>
      <c r="N39" s="13">
        <f>IF($F39="s-curve",$D39+($E39-$D39)*$I$2/(1+EXP($I$3*(COUNT($H$9:N$9)+$I$4))),TREND($D39:$E39,$D$9:$E$9,N$9))</f>
        <v>0</v>
      </c>
      <c r="O39" s="13">
        <f>IF($F39="s-curve",$D39+($E39-$D39)*$I$2/(1+EXP($I$3*(COUNT($H$9:O$9)+$I$4))),TREND($D39:$E39,$D$9:$E$9,O$9))</f>
        <v>0</v>
      </c>
      <c r="P39" s="13">
        <f>IF($F39="s-curve",$D39+($E39-$D39)*$I$2/(1+EXP($I$3*(COUNT($H$9:P$9)+$I$4))),TREND($D39:$E39,$D$9:$E$9,P$9))</f>
        <v>0</v>
      </c>
      <c r="Q39" s="13">
        <f>IF($F39="s-curve",$D39+($E39-$D39)*$I$2/(1+EXP($I$3*(COUNT($H$9:Q$9)+$I$4))),TREND($D39:$E39,$D$9:$E$9,Q$9))</f>
        <v>0</v>
      </c>
      <c r="R39" s="13">
        <f>IF($F39="s-curve",$D39+($E39-$D39)*$I$2/(1+EXP($I$3*(COUNT($H$9:R$9)+$I$4))),TREND($D39:$E39,$D$9:$E$9,R$9))</f>
        <v>0</v>
      </c>
      <c r="S39" s="13">
        <f>IF($F39="s-curve",$D39+($E39-$D39)*$I$2/(1+EXP($I$3*(COUNT($H$9:S$9)+$I$4))),TREND($D39:$E39,$D$9:$E$9,S$9))</f>
        <v>0</v>
      </c>
      <c r="T39" s="13">
        <f>IF($F39="s-curve",$D39+($E39-$D39)*$I$2/(1+EXP($I$3*(COUNT($H$9:T$9)+$I$4))),TREND($D39:$E39,$D$9:$E$9,T$9))</f>
        <v>0</v>
      </c>
      <c r="U39" s="13">
        <f>IF($F39="s-curve",$D39+($E39-$D39)*$I$2/(1+EXP($I$3*(COUNT($H$9:U$9)+$I$4))),TREND($D39:$E39,$D$9:$E$9,U$9))</f>
        <v>0</v>
      </c>
      <c r="V39" s="13">
        <f>IF($F39="s-curve",$D39+($E39-$D39)*$I$2/(1+EXP($I$3*(COUNT($H$9:V$9)+$I$4))),TREND($D39:$E39,$D$9:$E$9,V$9))</f>
        <v>0</v>
      </c>
      <c r="W39" s="13">
        <f>IF($F39="s-curve",$D39+($E39-$D39)*$I$2/(1+EXP($I$3*(COUNT($H$9:W$9)+$I$4))),TREND($D39:$E39,$D$9:$E$9,W$9))</f>
        <v>0</v>
      </c>
      <c r="X39" s="13">
        <f>IF($F39="s-curve",$D39+($E39-$D39)*$I$2/(1+EXP($I$3*(COUNT($H$9:X$9)+$I$4))),TREND($D39:$E39,$D$9:$E$9,X$9))</f>
        <v>0</v>
      </c>
      <c r="Y39" s="13">
        <f>IF($F39="s-curve",$D39+($E39-$D39)*$I$2/(1+EXP($I$3*(COUNT($H$9:Y$9)+$I$4))),TREND($D39:$E39,$D$9:$E$9,Y$9))</f>
        <v>0</v>
      </c>
      <c r="Z39" s="13">
        <f>IF($F39="s-curve",$D39+($E39-$D39)*$I$2/(1+EXP($I$3*(COUNT($H$9:Z$9)+$I$4))),TREND($D39:$E39,$D$9:$E$9,Z$9))</f>
        <v>0</v>
      </c>
      <c r="AA39" s="13">
        <f>IF($F39="s-curve",$D39+($E39-$D39)*$I$2/(1+EXP($I$3*(COUNT($H$9:AA$9)+$I$4))),TREND($D39:$E39,$D$9:$E$9,AA$9))</f>
        <v>0</v>
      </c>
      <c r="AB39" s="13">
        <f>IF($F39="s-curve",$D39+($E39-$D39)*$I$2/(1+EXP($I$3*(COUNT($H$9:AB$9)+$I$4))),TREND($D39:$E39,$D$9:$E$9,AB$9))</f>
        <v>0</v>
      </c>
      <c r="AC39" s="13">
        <f>IF($F39="s-curve",$D39+($E39-$D39)*$I$2/(1+EXP($I$3*(COUNT($H$9:AC$9)+$I$4))),TREND($D39:$E39,$D$9:$E$9,AC$9))</f>
        <v>0</v>
      </c>
      <c r="AD39" s="13">
        <f>IF($F39="s-curve",$D39+($E39-$D39)*$I$2/(1+EXP($I$3*(COUNT($H$9:AD$9)+$I$4))),TREND($D39:$E39,$D$9:$E$9,AD$9))</f>
        <v>0</v>
      </c>
      <c r="AE39" s="13">
        <f>IF($F39="s-curve",$D39+($E39-$D39)*$I$2/(1+EXP($I$3*(COUNT($H$9:AE$9)+$I$4))),TREND($D39:$E39,$D$9:$E$9,AE$9))</f>
        <v>0</v>
      </c>
      <c r="AF39" s="13">
        <f>IF($F39="s-curve",$D39+($E39-$D39)*$I$2/(1+EXP($I$3*(COUNT($H$9:AF$9)+$I$4))),TREND($D39:$E39,$D$9:$E$9,AF$9))</f>
        <v>0</v>
      </c>
      <c r="AG39" s="13">
        <f>IF($F39="s-curve",$D39+($E39-$D39)*$I$2/(1+EXP($I$3*(COUNT($H$9:AG$9)+$I$4))),TREND($D39:$E39,$D$9:$E$9,AG$9))</f>
        <v>0</v>
      </c>
      <c r="AH39" s="13">
        <f>IF($F39="s-curve",$D39+($E39-$D39)*$I$2/(1+EXP($I$3*(COUNT($H$9:AH$9)+$I$4))),TREND($D39:$E39,$D$9:$E$9,AH$9))</f>
        <v>0</v>
      </c>
      <c r="AI39" s="13">
        <f>IF($F39="s-curve",$D39+($E39-$D39)*$I$2/(1+EXP($I$3*(COUNT($H$9:AI$9)+$I$4))),TREND($D39:$E39,$D$9:$E$9,AI$9))</f>
        <v>0</v>
      </c>
      <c r="AJ39" s="13">
        <f>IF($F39="s-curve",$D39+($E39-$D39)*$I$2/(1+EXP($I$3*(COUNT($H$9:AJ$9)+$I$4))),TREND($D39:$E39,$D$9:$E$9,AJ$9))</f>
        <v>0</v>
      </c>
      <c r="AK39" s="13">
        <f>IF($F39="s-curve",$D39+($E39-$D39)*$I$2/(1+EXP($I$3*(COUNT($H$9:AK$9)+$I$4))),TREND($D39:$E39,$D$9:$E$9,AK$9))</f>
        <v>0</v>
      </c>
      <c r="AL39" s="13">
        <f>IF($F39="s-curve",$D39+($E39-$D39)*$I$2/(1+EXP($I$3*(COUNT($H$9:AL$9)+$I$4))),TREND($D39:$E39,$D$9:$E$9,AL$9))</f>
        <v>0</v>
      </c>
    </row>
    <row r="40" spans="1:38" x14ac:dyDescent="0.35">
      <c r="C40" s="13" t="s">
        <v>3</v>
      </c>
      <c r="D40" s="13">
        <v>0</v>
      </c>
      <c r="E40" s="13">
        <v>0</v>
      </c>
      <c r="F40" s="7" t="str">
        <f>IF(D40=E40,"n/a",IF(OR(C40="battery electric vehicle",C40="natural gas vehicle",C40="plugin hybrid vehicle"),"s-curve","linear"))</f>
        <v>n/a</v>
      </c>
      <c r="H40" s="24">
        <f t="shared" si="1"/>
        <v>0</v>
      </c>
      <c r="I40" s="13">
        <f>IF($F40="s-curve",$D40+($E40-$D40)*$I$2/(1+EXP($I$3*(COUNT($H$9:I$9)+$I$4))),TREND($D40:$E40,$D$9:$E$9,I$9))</f>
        <v>0</v>
      </c>
      <c r="J40" s="13">
        <f>IF($F40="s-curve",$D40+($E40-$D40)*$I$2/(1+EXP($I$3*(COUNT($H$9:J$9)+$I$4))),TREND($D40:$E40,$D$9:$E$9,J$9))</f>
        <v>0</v>
      </c>
      <c r="K40" s="13">
        <f>IF($F40="s-curve",$D40+($E40-$D40)*$I$2/(1+EXP($I$3*(COUNT($H$9:K$9)+$I$4))),TREND($D40:$E40,$D$9:$E$9,K$9))</f>
        <v>0</v>
      </c>
      <c r="L40" s="13">
        <f>IF($F40="s-curve",$D40+($E40-$D40)*$I$2/(1+EXP($I$3*(COUNT($H$9:L$9)+$I$4))),TREND($D40:$E40,$D$9:$E$9,L$9))</f>
        <v>0</v>
      </c>
      <c r="M40" s="13">
        <f>IF($F40="s-curve",$D40+($E40-$D40)*$I$2/(1+EXP($I$3*(COUNT($H$9:M$9)+$I$4))),TREND($D40:$E40,$D$9:$E$9,M$9))</f>
        <v>0</v>
      </c>
      <c r="N40" s="13">
        <f>IF($F40="s-curve",$D40+($E40-$D40)*$I$2/(1+EXP($I$3*(COUNT($H$9:N$9)+$I$4))),TREND($D40:$E40,$D$9:$E$9,N$9))</f>
        <v>0</v>
      </c>
      <c r="O40" s="13">
        <f>IF($F40="s-curve",$D40+($E40-$D40)*$I$2/(1+EXP($I$3*(COUNT($H$9:O$9)+$I$4))),TREND($D40:$E40,$D$9:$E$9,O$9))</f>
        <v>0</v>
      </c>
      <c r="P40" s="13">
        <f>IF($F40="s-curve",$D40+($E40-$D40)*$I$2/(1+EXP($I$3*(COUNT($H$9:P$9)+$I$4))),TREND($D40:$E40,$D$9:$E$9,P$9))</f>
        <v>0</v>
      </c>
      <c r="Q40" s="13">
        <f>IF($F40="s-curve",$D40+($E40-$D40)*$I$2/(1+EXP($I$3*(COUNT($H$9:Q$9)+$I$4))),TREND($D40:$E40,$D$9:$E$9,Q$9))</f>
        <v>0</v>
      </c>
      <c r="R40" s="13">
        <f>IF($F40="s-curve",$D40+($E40-$D40)*$I$2/(1+EXP($I$3*(COUNT($H$9:R$9)+$I$4))),TREND($D40:$E40,$D$9:$E$9,R$9))</f>
        <v>0</v>
      </c>
      <c r="S40" s="13">
        <f>IF($F40="s-curve",$D40+($E40-$D40)*$I$2/(1+EXP($I$3*(COUNT($H$9:S$9)+$I$4))),TREND($D40:$E40,$D$9:$E$9,S$9))</f>
        <v>0</v>
      </c>
      <c r="T40" s="13">
        <f>IF($F40="s-curve",$D40+($E40-$D40)*$I$2/(1+EXP($I$3*(COUNT($H$9:T$9)+$I$4))),TREND($D40:$E40,$D$9:$E$9,T$9))</f>
        <v>0</v>
      </c>
      <c r="U40" s="13">
        <f>IF($F40="s-curve",$D40+($E40-$D40)*$I$2/(1+EXP($I$3*(COUNT($H$9:U$9)+$I$4))),TREND($D40:$E40,$D$9:$E$9,U$9))</f>
        <v>0</v>
      </c>
      <c r="V40" s="13">
        <f>IF($F40="s-curve",$D40+($E40-$D40)*$I$2/(1+EXP($I$3*(COUNT($H$9:V$9)+$I$4))),TREND($D40:$E40,$D$9:$E$9,V$9))</f>
        <v>0</v>
      </c>
      <c r="W40" s="13">
        <f>IF($F40="s-curve",$D40+($E40-$D40)*$I$2/(1+EXP($I$3*(COUNT($H$9:W$9)+$I$4))),TREND($D40:$E40,$D$9:$E$9,W$9))</f>
        <v>0</v>
      </c>
      <c r="X40" s="13">
        <f>IF($F40="s-curve",$D40+($E40-$D40)*$I$2/(1+EXP($I$3*(COUNT($H$9:X$9)+$I$4))),TREND($D40:$E40,$D$9:$E$9,X$9))</f>
        <v>0</v>
      </c>
      <c r="Y40" s="13">
        <f>IF($F40="s-curve",$D40+($E40-$D40)*$I$2/(1+EXP($I$3*(COUNT($H$9:Y$9)+$I$4))),TREND($D40:$E40,$D$9:$E$9,Y$9))</f>
        <v>0</v>
      </c>
      <c r="Z40" s="13">
        <f>IF($F40="s-curve",$D40+($E40-$D40)*$I$2/(1+EXP($I$3*(COUNT($H$9:Z$9)+$I$4))),TREND($D40:$E40,$D$9:$E$9,Z$9))</f>
        <v>0</v>
      </c>
      <c r="AA40" s="13">
        <f>IF($F40="s-curve",$D40+($E40-$D40)*$I$2/(1+EXP($I$3*(COUNT($H$9:AA$9)+$I$4))),TREND($D40:$E40,$D$9:$E$9,AA$9))</f>
        <v>0</v>
      </c>
      <c r="AB40" s="13">
        <f>IF($F40="s-curve",$D40+($E40-$D40)*$I$2/(1+EXP($I$3*(COUNT($H$9:AB$9)+$I$4))),TREND($D40:$E40,$D$9:$E$9,AB$9))</f>
        <v>0</v>
      </c>
      <c r="AC40" s="13">
        <f>IF($F40="s-curve",$D40+($E40-$D40)*$I$2/(1+EXP($I$3*(COUNT($H$9:AC$9)+$I$4))),TREND($D40:$E40,$D$9:$E$9,AC$9))</f>
        <v>0</v>
      </c>
      <c r="AD40" s="13">
        <f>IF($F40="s-curve",$D40+($E40-$D40)*$I$2/(1+EXP($I$3*(COUNT($H$9:AD$9)+$I$4))),TREND($D40:$E40,$D$9:$E$9,AD$9))</f>
        <v>0</v>
      </c>
      <c r="AE40" s="13">
        <f>IF($F40="s-curve",$D40+($E40-$D40)*$I$2/(1+EXP($I$3*(COUNT($H$9:AE$9)+$I$4))),TREND($D40:$E40,$D$9:$E$9,AE$9))</f>
        <v>0</v>
      </c>
      <c r="AF40" s="13">
        <f>IF($F40="s-curve",$D40+($E40-$D40)*$I$2/(1+EXP($I$3*(COUNT($H$9:AF$9)+$I$4))),TREND($D40:$E40,$D$9:$E$9,AF$9))</f>
        <v>0</v>
      </c>
      <c r="AG40" s="13">
        <f>IF($F40="s-curve",$D40+($E40-$D40)*$I$2/(1+EXP($I$3*(COUNT($H$9:AG$9)+$I$4))),TREND($D40:$E40,$D$9:$E$9,AG$9))</f>
        <v>0</v>
      </c>
      <c r="AH40" s="13">
        <f>IF($F40="s-curve",$D40+($E40-$D40)*$I$2/(1+EXP($I$3*(COUNT($H$9:AH$9)+$I$4))),TREND($D40:$E40,$D$9:$E$9,AH$9))</f>
        <v>0</v>
      </c>
      <c r="AI40" s="13">
        <f>IF($F40="s-curve",$D40+($E40-$D40)*$I$2/(1+EXP($I$3*(COUNT($H$9:AI$9)+$I$4))),TREND($D40:$E40,$D$9:$E$9,AI$9))</f>
        <v>0</v>
      </c>
      <c r="AJ40" s="13">
        <f>IF($F40="s-curve",$D40+($E40-$D40)*$I$2/(1+EXP($I$3*(COUNT($H$9:AJ$9)+$I$4))),TREND($D40:$E40,$D$9:$E$9,AJ$9))</f>
        <v>0</v>
      </c>
      <c r="AK40" s="13">
        <f>IF($F40="s-curve",$D40+($E40-$D40)*$I$2/(1+EXP($I$3*(COUNT($H$9:AK$9)+$I$4))),TREND($D40:$E40,$D$9:$E$9,AK$9))</f>
        <v>0</v>
      </c>
      <c r="AL40" s="13">
        <f>IF($F40="s-curve",$D40+($E40-$D40)*$I$2/(1+EXP($I$3*(COUNT($H$9:AL$9)+$I$4))),TREND($D40:$E40,$D$9:$E$9,AL$9))</f>
        <v>0</v>
      </c>
    </row>
    <row r="41" spans="1:38" x14ac:dyDescent="0.35">
      <c r="A41" s="25"/>
      <c r="C41" s="13" t="s">
        <v>4</v>
      </c>
      <c r="D41" s="13">
        <v>1</v>
      </c>
      <c r="E41" s="13">
        <v>1</v>
      </c>
      <c r="F41" s="7" t="str">
        <f>IF(D41=E41,"n/a",IF(OR(C41="battery electric vehicle",C41="natural gas vehicle",C41="plugin hybrid vehicle"),"s-curve","linear"))</f>
        <v>n/a</v>
      </c>
      <c r="H41" s="24">
        <f t="shared" ref="H41:H72" si="6">D41</f>
        <v>1</v>
      </c>
      <c r="I41" s="13">
        <f>IF($F41="s-curve",$D41+($E41-$D41)*$I$2/(1+EXP($I$3*(COUNT($H$9:I$9)+$I$4))),TREND($D41:$E41,$D$9:$E$9,I$9))</f>
        <v>1</v>
      </c>
      <c r="J41" s="13">
        <f>IF($F41="s-curve",$D41+($E41-$D41)*$I$2/(1+EXP($I$3*(COUNT($H$9:J$9)+$I$4))),TREND($D41:$E41,$D$9:$E$9,J$9))</f>
        <v>1</v>
      </c>
      <c r="K41" s="13">
        <f>IF($F41="s-curve",$D41+($E41-$D41)*$I$2/(1+EXP($I$3*(COUNT($H$9:K$9)+$I$4))),TREND($D41:$E41,$D$9:$E$9,K$9))</f>
        <v>1</v>
      </c>
      <c r="L41" s="13">
        <f>IF($F41="s-curve",$D41+($E41-$D41)*$I$2/(1+EXP($I$3*(COUNT($H$9:L$9)+$I$4))),TREND($D41:$E41,$D$9:$E$9,L$9))</f>
        <v>1</v>
      </c>
      <c r="M41" s="13">
        <f>IF($F41="s-curve",$D41+($E41-$D41)*$I$2/(1+EXP($I$3*(COUNT($H$9:M$9)+$I$4))),TREND($D41:$E41,$D$9:$E$9,M$9))</f>
        <v>1</v>
      </c>
      <c r="N41" s="13">
        <f>IF($F41="s-curve",$D41+($E41-$D41)*$I$2/(1+EXP($I$3*(COUNT($H$9:N$9)+$I$4))),TREND($D41:$E41,$D$9:$E$9,N$9))</f>
        <v>1</v>
      </c>
      <c r="O41" s="13">
        <f>IF($F41="s-curve",$D41+($E41-$D41)*$I$2/(1+EXP($I$3*(COUNT($H$9:O$9)+$I$4))),TREND($D41:$E41,$D$9:$E$9,O$9))</f>
        <v>1</v>
      </c>
      <c r="P41" s="13">
        <f>IF($F41="s-curve",$D41+($E41-$D41)*$I$2/(1+EXP($I$3*(COUNT($H$9:P$9)+$I$4))),TREND($D41:$E41,$D$9:$E$9,P$9))</f>
        <v>1</v>
      </c>
      <c r="Q41" s="13">
        <f>IF($F41="s-curve",$D41+($E41-$D41)*$I$2/(1+EXP($I$3*(COUNT($H$9:Q$9)+$I$4))),TREND($D41:$E41,$D$9:$E$9,Q$9))</f>
        <v>1</v>
      </c>
      <c r="R41" s="13">
        <f>IF($F41="s-curve",$D41+($E41-$D41)*$I$2/(1+EXP($I$3*(COUNT($H$9:R$9)+$I$4))),TREND($D41:$E41,$D$9:$E$9,R$9))</f>
        <v>1</v>
      </c>
      <c r="S41" s="13">
        <f>IF($F41="s-curve",$D41+($E41-$D41)*$I$2/(1+EXP($I$3*(COUNT($H$9:S$9)+$I$4))),TREND($D41:$E41,$D$9:$E$9,S$9))</f>
        <v>1</v>
      </c>
      <c r="T41" s="13">
        <f>IF($F41="s-curve",$D41+($E41-$D41)*$I$2/(1+EXP($I$3*(COUNT($H$9:T$9)+$I$4))),TREND($D41:$E41,$D$9:$E$9,T$9))</f>
        <v>1</v>
      </c>
      <c r="U41" s="13">
        <f>IF($F41="s-curve",$D41+($E41-$D41)*$I$2/(1+EXP($I$3*(COUNT($H$9:U$9)+$I$4))),TREND($D41:$E41,$D$9:$E$9,U$9))</f>
        <v>1</v>
      </c>
      <c r="V41" s="13">
        <f>IF($F41="s-curve",$D41+($E41-$D41)*$I$2/(1+EXP($I$3*(COUNT($H$9:V$9)+$I$4))),TREND($D41:$E41,$D$9:$E$9,V$9))</f>
        <v>1</v>
      </c>
      <c r="W41" s="13">
        <f>IF($F41="s-curve",$D41+($E41-$D41)*$I$2/(1+EXP($I$3*(COUNT($H$9:W$9)+$I$4))),TREND($D41:$E41,$D$9:$E$9,W$9))</f>
        <v>1</v>
      </c>
      <c r="X41" s="13">
        <f>IF($F41="s-curve",$D41+($E41-$D41)*$I$2/(1+EXP($I$3*(COUNT($H$9:X$9)+$I$4))),TREND($D41:$E41,$D$9:$E$9,X$9))</f>
        <v>1</v>
      </c>
      <c r="Y41" s="13">
        <f>IF($F41="s-curve",$D41+($E41-$D41)*$I$2/(1+EXP($I$3*(COUNT($H$9:Y$9)+$I$4))),TREND($D41:$E41,$D$9:$E$9,Y$9))</f>
        <v>1</v>
      </c>
      <c r="Z41" s="13">
        <f>IF($F41="s-curve",$D41+($E41-$D41)*$I$2/(1+EXP($I$3*(COUNT($H$9:Z$9)+$I$4))),TREND($D41:$E41,$D$9:$E$9,Z$9))</f>
        <v>1</v>
      </c>
      <c r="AA41" s="13">
        <f>IF($F41="s-curve",$D41+($E41-$D41)*$I$2/(1+EXP($I$3*(COUNT($H$9:AA$9)+$I$4))),TREND($D41:$E41,$D$9:$E$9,AA$9))</f>
        <v>1</v>
      </c>
      <c r="AB41" s="13">
        <f>IF($F41="s-curve",$D41+($E41-$D41)*$I$2/(1+EXP($I$3*(COUNT($H$9:AB$9)+$I$4))),TREND($D41:$E41,$D$9:$E$9,AB$9))</f>
        <v>1</v>
      </c>
      <c r="AC41" s="13">
        <f>IF($F41="s-curve",$D41+($E41-$D41)*$I$2/(1+EXP($I$3*(COUNT($H$9:AC$9)+$I$4))),TREND($D41:$E41,$D$9:$E$9,AC$9))</f>
        <v>1</v>
      </c>
      <c r="AD41" s="13">
        <f>IF($F41="s-curve",$D41+($E41-$D41)*$I$2/(1+EXP($I$3*(COUNT($H$9:AD$9)+$I$4))),TREND($D41:$E41,$D$9:$E$9,AD$9))</f>
        <v>1</v>
      </c>
      <c r="AE41" s="13">
        <f>IF($F41="s-curve",$D41+($E41-$D41)*$I$2/(1+EXP($I$3*(COUNT($H$9:AE$9)+$I$4))),TREND($D41:$E41,$D$9:$E$9,AE$9))</f>
        <v>1</v>
      </c>
      <c r="AF41" s="13">
        <f>IF($F41="s-curve",$D41+($E41-$D41)*$I$2/(1+EXP($I$3*(COUNT($H$9:AF$9)+$I$4))),TREND($D41:$E41,$D$9:$E$9,AF$9))</f>
        <v>1</v>
      </c>
      <c r="AG41" s="13">
        <f>IF($F41="s-curve",$D41+($E41-$D41)*$I$2/(1+EXP($I$3*(COUNT($H$9:AG$9)+$I$4))),TREND($D41:$E41,$D$9:$E$9,AG$9))</f>
        <v>1</v>
      </c>
      <c r="AH41" s="13">
        <f>IF($F41="s-curve",$D41+($E41-$D41)*$I$2/(1+EXP($I$3*(COUNT($H$9:AH$9)+$I$4))),TREND($D41:$E41,$D$9:$E$9,AH$9))</f>
        <v>1</v>
      </c>
      <c r="AI41" s="13">
        <f>IF($F41="s-curve",$D41+($E41-$D41)*$I$2/(1+EXP($I$3*(COUNT($H$9:AI$9)+$I$4))),TREND($D41:$E41,$D$9:$E$9,AI$9))</f>
        <v>1</v>
      </c>
      <c r="AJ41" s="13">
        <f>IF($F41="s-curve",$D41+($E41-$D41)*$I$2/(1+EXP($I$3*(COUNT($H$9:AJ$9)+$I$4))),TREND($D41:$E41,$D$9:$E$9,AJ$9))</f>
        <v>1</v>
      </c>
      <c r="AK41" s="13">
        <f>IF($F41="s-curve",$D41+($E41-$D41)*$I$2/(1+EXP($I$3*(COUNT($H$9:AK$9)+$I$4))),TREND($D41:$E41,$D$9:$E$9,AK$9))</f>
        <v>1</v>
      </c>
      <c r="AL41" s="13">
        <f>IF($F41="s-curve",$D41+($E41-$D41)*$I$2/(1+EXP($I$3*(COUNT($H$9:AL$9)+$I$4))),TREND($D41:$E41,$D$9:$E$9,AL$9))</f>
        <v>1</v>
      </c>
    </row>
    <row r="42" spans="1:38" x14ac:dyDescent="0.35">
      <c r="A42" s="25"/>
      <c r="C42" s="13" t="s">
        <v>5</v>
      </c>
      <c r="D42" s="13">
        <v>0</v>
      </c>
      <c r="E42" s="13">
        <v>0</v>
      </c>
      <c r="F42" s="7" t="str">
        <f>IF(D42=E42,"n/a",IF(OR(C42="battery electric vehicle",C42="natural gas vehicle",C42="plugin hybrid vehicle"),"s-curve","linear"))</f>
        <v>n/a</v>
      </c>
      <c r="H42" s="24">
        <f t="shared" si="6"/>
        <v>0</v>
      </c>
      <c r="I42" s="13">
        <f>IF($F42="s-curve",$D42+($E42-$D42)*$I$2/(1+EXP($I$3*(COUNT($H$9:I$9)+$I$4))),TREND($D42:$E42,$D$9:$E$9,I$9))</f>
        <v>0</v>
      </c>
      <c r="J42" s="13">
        <f>IF($F42="s-curve",$D42+($E42-$D42)*$I$2/(1+EXP($I$3*(COUNT($H$9:J$9)+$I$4))),TREND($D42:$E42,$D$9:$E$9,J$9))</f>
        <v>0</v>
      </c>
      <c r="K42" s="13">
        <f>IF($F42="s-curve",$D42+($E42-$D42)*$I$2/(1+EXP($I$3*(COUNT($H$9:K$9)+$I$4))),TREND($D42:$E42,$D$9:$E$9,K$9))</f>
        <v>0</v>
      </c>
      <c r="L42" s="13">
        <f>IF($F42="s-curve",$D42+($E42-$D42)*$I$2/(1+EXP($I$3*(COUNT($H$9:L$9)+$I$4))),TREND($D42:$E42,$D$9:$E$9,L$9))</f>
        <v>0</v>
      </c>
      <c r="M42" s="13">
        <f>IF($F42="s-curve",$D42+($E42-$D42)*$I$2/(1+EXP($I$3*(COUNT($H$9:M$9)+$I$4))),TREND($D42:$E42,$D$9:$E$9,M$9))</f>
        <v>0</v>
      </c>
      <c r="N42" s="13">
        <f>IF($F42="s-curve",$D42+($E42-$D42)*$I$2/(1+EXP($I$3*(COUNT($H$9:N$9)+$I$4))),TREND($D42:$E42,$D$9:$E$9,N$9))</f>
        <v>0</v>
      </c>
      <c r="O42" s="13">
        <f>IF($F42="s-curve",$D42+($E42-$D42)*$I$2/(1+EXP($I$3*(COUNT($H$9:O$9)+$I$4))),TREND($D42:$E42,$D$9:$E$9,O$9))</f>
        <v>0</v>
      </c>
      <c r="P42" s="13">
        <f>IF($F42="s-curve",$D42+($E42-$D42)*$I$2/(1+EXP($I$3*(COUNT($H$9:P$9)+$I$4))),TREND($D42:$E42,$D$9:$E$9,P$9))</f>
        <v>0</v>
      </c>
      <c r="Q42" s="13">
        <f>IF($F42="s-curve",$D42+($E42-$D42)*$I$2/(1+EXP($I$3*(COUNT($H$9:Q$9)+$I$4))),TREND($D42:$E42,$D$9:$E$9,Q$9))</f>
        <v>0</v>
      </c>
      <c r="R42" s="13">
        <f>IF($F42="s-curve",$D42+($E42-$D42)*$I$2/(1+EXP($I$3*(COUNT($H$9:R$9)+$I$4))),TREND($D42:$E42,$D$9:$E$9,R$9))</f>
        <v>0</v>
      </c>
      <c r="S42" s="13">
        <f>IF($F42="s-curve",$D42+($E42-$D42)*$I$2/(1+EXP($I$3*(COUNT($H$9:S$9)+$I$4))),TREND($D42:$E42,$D$9:$E$9,S$9))</f>
        <v>0</v>
      </c>
      <c r="T42" s="13">
        <f>IF($F42="s-curve",$D42+($E42-$D42)*$I$2/(1+EXP($I$3*(COUNT($H$9:T$9)+$I$4))),TREND($D42:$E42,$D$9:$E$9,T$9))</f>
        <v>0</v>
      </c>
      <c r="U42" s="13">
        <f>IF($F42="s-curve",$D42+($E42-$D42)*$I$2/(1+EXP($I$3*(COUNT($H$9:U$9)+$I$4))),TREND($D42:$E42,$D$9:$E$9,U$9))</f>
        <v>0</v>
      </c>
      <c r="V42" s="13">
        <f>IF($F42="s-curve",$D42+($E42-$D42)*$I$2/(1+EXP($I$3*(COUNT($H$9:V$9)+$I$4))),TREND($D42:$E42,$D$9:$E$9,V$9))</f>
        <v>0</v>
      </c>
      <c r="W42" s="13">
        <f>IF($F42="s-curve",$D42+($E42-$D42)*$I$2/(1+EXP($I$3*(COUNT($H$9:W$9)+$I$4))),TREND($D42:$E42,$D$9:$E$9,W$9))</f>
        <v>0</v>
      </c>
      <c r="X42" s="13">
        <f>IF($F42="s-curve",$D42+($E42-$D42)*$I$2/(1+EXP($I$3*(COUNT($H$9:X$9)+$I$4))),TREND($D42:$E42,$D$9:$E$9,X$9))</f>
        <v>0</v>
      </c>
      <c r="Y42" s="13">
        <f>IF($F42="s-curve",$D42+($E42-$D42)*$I$2/(1+EXP($I$3*(COUNT($H$9:Y$9)+$I$4))),TREND($D42:$E42,$D$9:$E$9,Y$9))</f>
        <v>0</v>
      </c>
      <c r="Z42" s="13">
        <f>IF($F42="s-curve",$D42+($E42-$D42)*$I$2/(1+EXP($I$3*(COUNT($H$9:Z$9)+$I$4))),TREND($D42:$E42,$D$9:$E$9,Z$9))</f>
        <v>0</v>
      </c>
      <c r="AA42" s="13">
        <f>IF($F42="s-curve",$D42+($E42-$D42)*$I$2/(1+EXP($I$3*(COUNT($H$9:AA$9)+$I$4))),TREND($D42:$E42,$D$9:$E$9,AA$9))</f>
        <v>0</v>
      </c>
      <c r="AB42" s="13">
        <f>IF($F42="s-curve",$D42+($E42-$D42)*$I$2/(1+EXP($I$3*(COUNT($H$9:AB$9)+$I$4))),TREND($D42:$E42,$D$9:$E$9,AB$9))</f>
        <v>0</v>
      </c>
      <c r="AC42" s="13">
        <f>IF($F42="s-curve",$D42+($E42-$D42)*$I$2/(1+EXP($I$3*(COUNT($H$9:AC$9)+$I$4))),TREND($D42:$E42,$D$9:$E$9,AC$9))</f>
        <v>0</v>
      </c>
      <c r="AD42" s="13">
        <f>IF($F42="s-curve",$D42+($E42-$D42)*$I$2/(1+EXP($I$3*(COUNT($H$9:AD$9)+$I$4))),TREND($D42:$E42,$D$9:$E$9,AD$9))</f>
        <v>0</v>
      </c>
      <c r="AE42" s="13">
        <f>IF($F42="s-curve",$D42+($E42-$D42)*$I$2/(1+EXP($I$3*(COUNT($H$9:AE$9)+$I$4))),TREND($D42:$E42,$D$9:$E$9,AE$9))</f>
        <v>0</v>
      </c>
      <c r="AF42" s="13">
        <f>IF($F42="s-curve",$D42+($E42-$D42)*$I$2/(1+EXP($I$3*(COUNT($H$9:AF$9)+$I$4))),TREND($D42:$E42,$D$9:$E$9,AF$9))</f>
        <v>0</v>
      </c>
      <c r="AG42" s="13">
        <f>IF($F42="s-curve",$D42+($E42-$D42)*$I$2/(1+EXP($I$3*(COUNT($H$9:AG$9)+$I$4))),TREND($D42:$E42,$D$9:$E$9,AG$9))</f>
        <v>0</v>
      </c>
      <c r="AH42" s="13">
        <f>IF($F42="s-curve",$D42+($E42-$D42)*$I$2/(1+EXP($I$3*(COUNT($H$9:AH$9)+$I$4))),TREND($D42:$E42,$D$9:$E$9,AH$9))</f>
        <v>0</v>
      </c>
      <c r="AI42" s="13">
        <f>IF($F42="s-curve",$D42+($E42-$D42)*$I$2/(1+EXP($I$3*(COUNT($H$9:AI$9)+$I$4))),TREND($D42:$E42,$D$9:$E$9,AI$9))</f>
        <v>0</v>
      </c>
      <c r="AJ42" s="13">
        <f>IF($F42="s-curve",$D42+($E42-$D42)*$I$2/(1+EXP($I$3*(COUNT($H$9:AJ$9)+$I$4))),TREND($D42:$E42,$D$9:$E$9,AJ$9))</f>
        <v>0</v>
      </c>
      <c r="AK42" s="13">
        <f>IF($F42="s-curve",$D42+($E42-$D42)*$I$2/(1+EXP($I$3*(COUNT($H$9:AK$9)+$I$4))),TREND($D42:$E42,$D$9:$E$9,AK$9))</f>
        <v>0</v>
      </c>
      <c r="AL42" s="13">
        <f>IF($F42="s-curve",$D42+($E42-$D42)*$I$2/(1+EXP($I$3*(COUNT($H$9:AL$9)+$I$4))),TREND($D42:$E42,$D$9:$E$9,AL$9))</f>
        <v>0</v>
      </c>
    </row>
    <row r="43" spans="1:38" x14ac:dyDescent="0.35">
      <c r="A43" s="25"/>
      <c r="C43" s="13" t="s">
        <v>78</v>
      </c>
      <c r="D43" s="13">
        <v>0</v>
      </c>
      <c r="E43" s="1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4">
        <f t="shared" si="6"/>
        <v>0</v>
      </c>
      <c r="I43" s="13">
        <f>IF($F43="s-curve",$D43+($E43-$D43)*$I$2/(1+EXP($I$3*(COUNT($H$9:I$9)+$I$4))),TREND($D43:$E43,$D$9:$E$9,I$9))</f>
        <v>0</v>
      </c>
      <c r="J43" s="13">
        <f>IF($F43="s-curve",$D43+($E43-$D43)*$I$2/(1+EXP($I$3*(COUNT($H$9:J$9)+$I$4))),TREND($D43:$E43,$D$9:$E$9,J$9))</f>
        <v>0</v>
      </c>
      <c r="K43" s="13">
        <f>IF($F43="s-curve",$D43+($E43-$D43)*$I$2/(1+EXP($I$3*(COUNT($H$9:K$9)+$I$4))),TREND($D43:$E43,$D$9:$E$9,K$9))</f>
        <v>0</v>
      </c>
      <c r="L43" s="13">
        <f>IF($F43="s-curve",$D43+($E43-$D43)*$I$2/(1+EXP($I$3*(COUNT($H$9:L$9)+$I$4))),TREND($D43:$E43,$D$9:$E$9,L$9))</f>
        <v>0</v>
      </c>
      <c r="M43" s="13">
        <f>IF($F43="s-curve",$D43+($E43-$D43)*$I$2/(1+EXP($I$3*(COUNT($H$9:M$9)+$I$4))),TREND($D43:$E43,$D$9:$E$9,M$9))</f>
        <v>0</v>
      </c>
      <c r="N43" s="13">
        <f>IF($F43="s-curve",$D43+($E43-$D43)*$I$2/(1+EXP($I$3*(COUNT($H$9:N$9)+$I$4))),TREND($D43:$E43,$D$9:$E$9,N$9))</f>
        <v>0</v>
      </c>
      <c r="O43" s="13">
        <f>IF($F43="s-curve",$D43+($E43-$D43)*$I$2/(1+EXP($I$3*(COUNT($H$9:O$9)+$I$4))),TREND($D43:$E43,$D$9:$E$9,O$9))</f>
        <v>0</v>
      </c>
      <c r="P43" s="13">
        <f>IF($F43="s-curve",$D43+($E43-$D43)*$I$2/(1+EXP($I$3*(COUNT($H$9:P$9)+$I$4))),TREND($D43:$E43,$D$9:$E$9,P$9))</f>
        <v>0</v>
      </c>
      <c r="Q43" s="13">
        <f>IF($F43="s-curve",$D43+($E43-$D43)*$I$2/(1+EXP($I$3*(COUNT($H$9:Q$9)+$I$4))),TREND($D43:$E43,$D$9:$E$9,Q$9))</f>
        <v>0</v>
      </c>
      <c r="R43" s="13">
        <f>IF($F43="s-curve",$D43+($E43-$D43)*$I$2/(1+EXP($I$3*(COUNT($H$9:R$9)+$I$4))),TREND($D43:$E43,$D$9:$E$9,R$9))</f>
        <v>0</v>
      </c>
      <c r="S43" s="13">
        <f>IF($F43="s-curve",$D43+($E43-$D43)*$I$2/(1+EXP($I$3*(COUNT($H$9:S$9)+$I$4))),TREND($D43:$E43,$D$9:$E$9,S$9))</f>
        <v>0</v>
      </c>
      <c r="T43" s="13">
        <f>IF($F43="s-curve",$D43+($E43-$D43)*$I$2/(1+EXP($I$3*(COUNT($H$9:T$9)+$I$4))),TREND($D43:$E43,$D$9:$E$9,T$9))</f>
        <v>0</v>
      </c>
      <c r="U43" s="13">
        <f>IF($F43="s-curve",$D43+($E43-$D43)*$I$2/(1+EXP($I$3*(COUNT($H$9:U$9)+$I$4))),TREND($D43:$E43,$D$9:$E$9,U$9))</f>
        <v>0</v>
      </c>
      <c r="V43" s="13">
        <f>IF($F43="s-curve",$D43+($E43-$D43)*$I$2/(1+EXP($I$3*(COUNT($H$9:V$9)+$I$4))),TREND($D43:$E43,$D$9:$E$9,V$9))</f>
        <v>0</v>
      </c>
      <c r="W43" s="13">
        <f>IF($F43="s-curve",$D43+($E43-$D43)*$I$2/(1+EXP($I$3*(COUNT($H$9:W$9)+$I$4))),TREND($D43:$E43,$D$9:$E$9,W$9))</f>
        <v>0</v>
      </c>
      <c r="X43" s="13">
        <f>IF($F43="s-curve",$D43+($E43-$D43)*$I$2/(1+EXP($I$3*(COUNT($H$9:X$9)+$I$4))),TREND($D43:$E43,$D$9:$E$9,X$9))</f>
        <v>0</v>
      </c>
      <c r="Y43" s="13">
        <f>IF($F43="s-curve",$D43+($E43-$D43)*$I$2/(1+EXP($I$3*(COUNT($H$9:Y$9)+$I$4))),TREND($D43:$E43,$D$9:$E$9,Y$9))</f>
        <v>0</v>
      </c>
      <c r="Z43" s="13">
        <f>IF($F43="s-curve",$D43+($E43-$D43)*$I$2/(1+EXP($I$3*(COUNT($H$9:Z$9)+$I$4))),TREND($D43:$E43,$D$9:$E$9,Z$9))</f>
        <v>0</v>
      </c>
      <c r="AA43" s="13">
        <f>IF($F43="s-curve",$D43+($E43-$D43)*$I$2/(1+EXP($I$3*(COUNT($H$9:AA$9)+$I$4))),TREND($D43:$E43,$D$9:$E$9,AA$9))</f>
        <v>0</v>
      </c>
      <c r="AB43" s="13">
        <f>IF($F43="s-curve",$D43+($E43-$D43)*$I$2/(1+EXP($I$3*(COUNT($H$9:AB$9)+$I$4))),TREND($D43:$E43,$D$9:$E$9,AB$9))</f>
        <v>0</v>
      </c>
      <c r="AC43" s="13">
        <f>IF($F43="s-curve",$D43+($E43-$D43)*$I$2/(1+EXP($I$3*(COUNT($H$9:AC$9)+$I$4))),TREND($D43:$E43,$D$9:$E$9,AC$9))</f>
        <v>0</v>
      </c>
      <c r="AD43" s="13">
        <f>IF($F43="s-curve",$D43+($E43-$D43)*$I$2/(1+EXP($I$3*(COUNT($H$9:AD$9)+$I$4))),TREND($D43:$E43,$D$9:$E$9,AD$9))</f>
        <v>0</v>
      </c>
      <c r="AE43" s="13">
        <f>IF($F43="s-curve",$D43+($E43-$D43)*$I$2/(1+EXP($I$3*(COUNT($H$9:AE$9)+$I$4))),TREND($D43:$E43,$D$9:$E$9,AE$9))</f>
        <v>0</v>
      </c>
      <c r="AF43" s="13">
        <f>IF($F43="s-curve",$D43+($E43-$D43)*$I$2/(1+EXP($I$3*(COUNT($H$9:AF$9)+$I$4))),TREND($D43:$E43,$D$9:$E$9,AF$9))</f>
        <v>0</v>
      </c>
      <c r="AG43" s="13">
        <f>IF($F43="s-curve",$D43+($E43-$D43)*$I$2/(1+EXP($I$3*(COUNT($H$9:AG$9)+$I$4))),TREND($D43:$E43,$D$9:$E$9,AG$9))</f>
        <v>0</v>
      </c>
      <c r="AH43" s="13">
        <f>IF($F43="s-curve",$D43+($E43-$D43)*$I$2/(1+EXP($I$3*(COUNT($H$9:AH$9)+$I$4))),TREND($D43:$E43,$D$9:$E$9,AH$9))</f>
        <v>0</v>
      </c>
      <c r="AI43" s="13">
        <f>IF($F43="s-curve",$D43+($E43-$D43)*$I$2/(1+EXP($I$3*(COUNT($H$9:AI$9)+$I$4))),TREND($D43:$E43,$D$9:$E$9,AI$9))</f>
        <v>0</v>
      </c>
      <c r="AJ43" s="13">
        <f>IF($F43="s-curve",$D43+($E43-$D43)*$I$2/(1+EXP($I$3*(COUNT($H$9:AJ$9)+$I$4))),TREND($D43:$E43,$D$9:$E$9,AJ$9))</f>
        <v>0</v>
      </c>
      <c r="AK43" s="13">
        <f>IF($F43="s-curve",$D43+($E43-$D43)*$I$2/(1+EXP($I$3*(COUNT($H$9:AK$9)+$I$4))),TREND($D43:$E43,$D$9:$E$9,AK$9))</f>
        <v>0</v>
      </c>
      <c r="AL43" s="13">
        <f>IF($F43="s-curve",$D43+($E43-$D43)*$I$2/(1+EXP($I$3*(COUNT($H$9:AL$9)+$I$4))),TREND($D43:$E43,$D$9:$E$9,AL$9))</f>
        <v>0</v>
      </c>
    </row>
    <row r="44" spans="1:38" ht="15" thickBot="1" x14ac:dyDescent="0.4">
      <c r="A44" s="26"/>
      <c r="B44" s="26"/>
      <c r="C44" s="26" t="s">
        <v>79</v>
      </c>
      <c r="D44" s="26">
        <v>0</v>
      </c>
      <c r="E44" s="26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4">
        <f t="shared" si="6"/>
        <v>0</v>
      </c>
      <c r="I44" s="13">
        <f>IF($F44="s-curve",$D44+($E44-$D44)*$I$2/(1+EXP($I$3*(COUNT($H$9:I$9)+$I$4))),TREND($D44:$E44,$D$9:$E$9,I$9))</f>
        <v>0</v>
      </c>
      <c r="J44" s="13">
        <f>IF($F44="s-curve",$D44+($E44-$D44)*$I$2/(1+EXP($I$3*(COUNT($H$9:J$9)+$I$4))),TREND($D44:$E44,$D$9:$E$9,J$9))</f>
        <v>0</v>
      </c>
      <c r="K44" s="13">
        <f>IF($F44="s-curve",$D44+($E44-$D44)*$I$2/(1+EXP($I$3*(COUNT($H$9:K$9)+$I$4))),TREND($D44:$E44,$D$9:$E$9,K$9))</f>
        <v>0</v>
      </c>
      <c r="L44" s="13">
        <f>IF($F44="s-curve",$D44+($E44-$D44)*$I$2/(1+EXP($I$3*(COUNT($H$9:L$9)+$I$4))),TREND($D44:$E44,$D$9:$E$9,L$9))</f>
        <v>0</v>
      </c>
      <c r="M44" s="13">
        <f>IF($F44="s-curve",$D44+($E44-$D44)*$I$2/(1+EXP($I$3*(COUNT($H$9:M$9)+$I$4))),TREND($D44:$E44,$D$9:$E$9,M$9))</f>
        <v>0</v>
      </c>
      <c r="N44" s="13">
        <f>IF($F44="s-curve",$D44+($E44-$D44)*$I$2/(1+EXP($I$3*(COUNT($H$9:N$9)+$I$4))),TREND($D44:$E44,$D$9:$E$9,N$9))</f>
        <v>0</v>
      </c>
      <c r="O44" s="13">
        <f>IF($F44="s-curve",$D44+($E44-$D44)*$I$2/(1+EXP($I$3*(COUNT($H$9:O$9)+$I$4))),TREND($D44:$E44,$D$9:$E$9,O$9))</f>
        <v>0</v>
      </c>
      <c r="P44" s="13">
        <f>IF($F44="s-curve",$D44+($E44-$D44)*$I$2/(1+EXP($I$3*(COUNT($H$9:P$9)+$I$4))),TREND($D44:$E44,$D$9:$E$9,P$9))</f>
        <v>0</v>
      </c>
      <c r="Q44" s="13">
        <f>IF($F44="s-curve",$D44+($E44-$D44)*$I$2/(1+EXP($I$3*(COUNT($H$9:Q$9)+$I$4))),TREND($D44:$E44,$D$9:$E$9,Q$9))</f>
        <v>0</v>
      </c>
      <c r="R44" s="13">
        <f>IF($F44="s-curve",$D44+($E44-$D44)*$I$2/(1+EXP($I$3*(COUNT($H$9:R$9)+$I$4))),TREND($D44:$E44,$D$9:$E$9,R$9))</f>
        <v>0</v>
      </c>
      <c r="S44" s="13">
        <f>IF($F44="s-curve",$D44+($E44-$D44)*$I$2/(1+EXP($I$3*(COUNT($H$9:S$9)+$I$4))),TREND($D44:$E44,$D$9:$E$9,S$9))</f>
        <v>0</v>
      </c>
      <c r="T44" s="13">
        <f>IF($F44="s-curve",$D44+($E44-$D44)*$I$2/(1+EXP($I$3*(COUNT($H$9:T$9)+$I$4))),TREND($D44:$E44,$D$9:$E$9,T$9))</f>
        <v>0</v>
      </c>
      <c r="U44" s="13">
        <f>IF($F44="s-curve",$D44+($E44-$D44)*$I$2/(1+EXP($I$3*(COUNT($H$9:U$9)+$I$4))),TREND($D44:$E44,$D$9:$E$9,U$9))</f>
        <v>0</v>
      </c>
      <c r="V44" s="13">
        <f>IF($F44="s-curve",$D44+($E44-$D44)*$I$2/(1+EXP($I$3*(COUNT($H$9:V$9)+$I$4))),TREND($D44:$E44,$D$9:$E$9,V$9))</f>
        <v>0</v>
      </c>
      <c r="W44" s="13">
        <f>IF($F44="s-curve",$D44+($E44-$D44)*$I$2/(1+EXP($I$3*(COUNT($H$9:W$9)+$I$4))),TREND($D44:$E44,$D$9:$E$9,W$9))</f>
        <v>0</v>
      </c>
      <c r="X44" s="13">
        <f>IF($F44="s-curve",$D44+($E44-$D44)*$I$2/(1+EXP($I$3*(COUNT($H$9:X$9)+$I$4))),TREND($D44:$E44,$D$9:$E$9,X$9))</f>
        <v>0</v>
      </c>
      <c r="Y44" s="13">
        <f>IF($F44="s-curve",$D44+($E44-$D44)*$I$2/(1+EXP($I$3*(COUNT($H$9:Y$9)+$I$4))),TREND($D44:$E44,$D$9:$E$9,Y$9))</f>
        <v>0</v>
      </c>
      <c r="Z44" s="13">
        <f>IF($F44="s-curve",$D44+($E44-$D44)*$I$2/(1+EXP($I$3*(COUNT($H$9:Z$9)+$I$4))),TREND($D44:$E44,$D$9:$E$9,Z$9))</f>
        <v>0</v>
      </c>
      <c r="AA44" s="13">
        <f>IF($F44="s-curve",$D44+($E44-$D44)*$I$2/(1+EXP($I$3*(COUNT($H$9:AA$9)+$I$4))),TREND($D44:$E44,$D$9:$E$9,AA$9))</f>
        <v>0</v>
      </c>
      <c r="AB44" s="13">
        <f>IF($F44="s-curve",$D44+($E44-$D44)*$I$2/(1+EXP($I$3*(COUNT($H$9:AB$9)+$I$4))),TREND($D44:$E44,$D$9:$E$9,AB$9))</f>
        <v>0</v>
      </c>
      <c r="AC44" s="13">
        <f>IF($F44="s-curve",$D44+($E44-$D44)*$I$2/(1+EXP($I$3*(COUNT($H$9:AC$9)+$I$4))),TREND($D44:$E44,$D$9:$E$9,AC$9))</f>
        <v>0</v>
      </c>
      <c r="AD44" s="13">
        <f>IF($F44="s-curve",$D44+($E44-$D44)*$I$2/(1+EXP($I$3*(COUNT($H$9:AD$9)+$I$4))),TREND($D44:$E44,$D$9:$E$9,AD$9))</f>
        <v>0</v>
      </c>
      <c r="AE44" s="13">
        <f>IF($F44="s-curve",$D44+($E44-$D44)*$I$2/(1+EXP($I$3*(COUNT($H$9:AE$9)+$I$4))),TREND($D44:$E44,$D$9:$E$9,AE$9))</f>
        <v>0</v>
      </c>
      <c r="AF44" s="13">
        <f>IF($F44="s-curve",$D44+($E44-$D44)*$I$2/(1+EXP($I$3*(COUNT($H$9:AF$9)+$I$4))),TREND($D44:$E44,$D$9:$E$9,AF$9))</f>
        <v>0</v>
      </c>
      <c r="AG44" s="13">
        <f>IF($F44="s-curve",$D44+($E44-$D44)*$I$2/(1+EXP($I$3*(COUNT($H$9:AG$9)+$I$4))),TREND($D44:$E44,$D$9:$E$9,AG$9))</f>
        <v>0</v>
      </c>
      <c r="AH44" s="13">
        <f>IF($F44="s-curve",$D44+($E44-$D44)*$I$2/(1+EXP($I$3*(COUNT($H$9:AH$9)+$I$4))),TREND($D44:$E44,$D$9:$E$9,AH$9))</f>
        <v>0</v>
      </c>
      <c r="AI44" s="13">
        <f>IF($F44="s-curve",$D44+($E44-$D44)*$I$2/(1+EXP($I$3*(COUNT($H$9:AI$9)+$I$4))),TREND($D44:$E44,$D$9:$E$9,AI$9))</f>
        <v>0</v>
      </c>
      <c r="AJ44" s="13">
        <f>IF($F44="s-curve",$D44+($E44-$D44)*$I$2/(1+EXP($I$3*(COUNT($H$9:AJ$9)+$I$4))),TREND($D44:$E44,$D$9:$E$9,AJ$9))</f>
        <v>0</v>
      </c>
      <c r="AK44" s="13">
        <f>IF($F44="s-curve",$D44+($E44-$D44)*$I$2/(1+EXP($I$3*(COUNT($H$9:AK$9)+$I$4))),TREND($D44:$E44,$D$9:$E$9,AK$9))</f>
        <v>0</v>
      </c>
      <c r="AL44" s="13">
        <f>IF($F44="s-curve",$D44+($E44-$D44)*$I$2/(1+EXP($I$3*(COUNT($H$9:AL$9)+$I$4))),TREND($D44:$E44,$D$9:$E$9,AL$9))</f>
        <v>0</v>
      </c>
    </row>
    <row r="45" spans="1:38" x14ac:dyDescent="0.35">
      <c r="A45" s="25" t="s">
        <v>14</v>
      </c>
      <c r="B45" s="13" t="s">
        <v>18</v>
      </c>
      <c r="C45" s="13" t="s">
        <v>1</v>
      </c>
      <c r="D45" s="13">
        <v>0</v>
      </c>
      <c r="E45" s="13">
        <v>0</v>
      </c>
      <c r="F45" s="7" t="str">
        <f>IF(D45=E45,"n/a",IF(OR(C45="battery electric vehicle",C45="natural gas vehicle",C45="plugin hybrid vehicle"),"s-curve","linear"))</f>
        <v>n/a</v>
      </c>
      <c r="H45" s="24">
        <f t="shared" si="6"/>
        <v>0</v>
      </c>
      <c r="I45" s="13">
        <f>IF($F45="s-curve",$D45+($E45-$D45)*$I$2/(1+EXP($I$3*(COUNT($H$9:I$9)+$I$4))),TREND($D45:$E45,$D$9:$E$9,I$9))</f>
        <v>0</v>
      </c>
      <c r="J45" s="13">
        <f>IF($F45="s-curve",$D45+($E45-$D45)*$I$2/(1+EXP($I$3*(COUNT($H$9:J$9)+$I$4))),TREND($D45:$E45,$D$9:$E$9,J$9))</f>
        <v>0</v>
      </c>
      <c r="K45" s="13">
        <f>IF($F45="s-curve",$D45+($E45-$D45)*$I$2/(1+EXP($I$3*(COUNT($H$9:K$9)+$I$4))),TREND($D45:$E45,$D$9:$E$9,K$9))</f>
        <v>0</v>
      </c>
      <c r="L45" s="13">
        <f>IF($F45="s-curve",$D45+($E45-$D45)*$I$2/(1+EXP($I$3*(COUNT($H$9:L$9)+$I$4))),TREND($D45:$E45,$D$9:$E$9,L$9))</f>
        <v>0</v>
      </c>
      <c r="M45" s="13">
        <f>IF($F45="s-curve",$D45+($E45-$D45)*$I$2/(1+EXP($I$3*(COUNT($H$9:M$9)+$I$4))),TREND($D45:$E45,$D$9:$E$9,M$9))</f>
        <v>0</v>
      </c>
      <c r="N45" s="13">
        <f>IF($F45="s-curve",$D45+($E45-$D45)*$I$2/(1+EXP($I$3*(COUNT($H$9:N$9)+$I$4))),TREND($D45:$E45,$D$9:$E$9,N$9))</f>
        <v>0</v>
      </c>
      <c r="O45" s="13">
        <f>IF($F45="s-curve",$D45+($E45-$D45)*$I$2/(1+EXP($I$3*(COUNT($H$9:O$9)+$I$4))),TREND($D45:$E45,$D$9:$E$9,O$9))</f>
        <v>0</v>
      </c>
      <c r="P45" s="13">
        <f>IF($F45="s-curve",$D45+($E45-$D45)*$I$2/(1+EXP($I$3*(COUNT($H$9:P$9)+$I$4))),TREND($D45:$E45,$D$9:$E$9,P$9))</f>
        <v>0</v>
      </c>
      <c r="Q45" s="13">
        <f>IF($F45="s-curve",$D45+($E45-$D45)*$I$2/(1+EXP($I$3*(COUNT($H$9:Q$9)+$I$4))),TREND($D45:$E45,$D$9:$E$9,Q$9))</f>
        <v>0</v>
      </c>
      <c r="R45" s="13">
        <f>IF($F45="s-curve",$D45+($E45-$D45)*$I$2/(1+EXP($I$3*(COUNT($H$9:R$9)+$I$4))),TREND($D45:$E45,$D$9:$E$9,R$9))</f>
        <v>0</v>
      </c>
      <c r="S45" s="13">
        <f>IF($F45="s-curve",$D45+($E45-$D45)*$I$2/(1+EXP($I$3*(COUNT($H$9:S$9)+$I$4))),TREND($D45:$E45,$D$9:$E$9,S$9))</f>
        <v>0</v>
      </c>
      <c r="T45" s="13">
        <f>IF($F45="s-curve",$D45+($E45-$D45)*$I$2/(1+EXP($I$3*(COUNT($H$9:T$9)+$I$4))),TREND($D45:$E45,$D$9:$E$9,T$9))</f>
        <v>0</v>
      </c>
      <c r="U45" s="13">
        <f>IF($F45="s-curve",$D45+($E45-$D45)*$I$2/(1+EXP($I$3*(COUNT($H$9:U$9)+$I$4))),TREND($D45:$E45,$D$9:$E$9,U$9))</f>
        <v>0</v>
      </c>
      <c r="V45" s="13">
        <f>IF($F45="s-curve",$D45+($E45-$D45)*$I$2/(1+EXP($I$3*(COUNT($H$9:V$9)+$I$4))),TREND($D45:$E45,$D$9:$E$9,V$9))</f>
        <v>0</v>
      </c>
      <c r="W45" s="13">
        <f>IF($F45="s-curve",$D45+($E45-$D45)*$I$2/(1+EXP($I$3*(COUNT($H$9:W$9)+$I$4))),TREND($D45:$E45,$D$9:$E$9,W$9))</f>
        <v>0</v>
      </c>
      <c r="X45" s="13">
        <f>IF($F45="s-curve",$D45+($E45-$D45)*$I$2/(1+EXP($I$3*(COUNT($H$9:X$9)+$I$4))),TREND($D45:$E45,$D$9:$E$9,X$9))</f>
        <v>0</v>
      </c>
      <c r="Y45" s="13">
        <f>IF($F45="s-curve",$D45+($E45-$D45)*$I$2/(1+EXP($I$3*(COUNT($H$9:Y$9)+$I$4))),TREND($D45:$E45,$D$9:$E$9,Y$9))</f>
        <v>0</v>
      </c>
      <c r="Z45" s="13">
        <f>IF($F45="s-curve",$D45+($E45-$D45)*$I$2/(1+EXP($I$3*(COUNT($H$9:Z$9)+$I$4))),TREND($D45:$E45,$D$9:$E$9,Z$9))</f>
        <v>0</v>
      </c>
      <c r="AA45" s="13">
        <f>IF($F45="s-curve",$D45+($E45-$D45)*$I$2/(1+EXP($I$3*(COUNT($H$9:AA$9)+$I$4))),TREND($D45:$E45,$D$9:$E$9,AA$9))</f>
        <v>0</v>
      </c>
      <c r="AB45" s="13">
        <f>IF($F45="s-curve",$D45+($E45-$D45)*$I$2/(1+EXP($I$3*(COUNT($H$9:AB$9)+$I$4))),TREND($D45:$E45,$D$9:$E$9,AB$9))</f>
        <v>0</v>
      </c>
      <c r="AC45" s="13">
        <f>IF($F45="s-curve",$D45+($E45-$D45)*$I$2/(1+EXP($I$3*(COUNT($H$9:AC$9)+$I$4))),TREND($D45:$E45,$D$9:$E$9,AC$9))</f>
        <v>0</v>
      </c>
      <c r="AD45" s="13">
        <f>IF($F45="s-curve",$D45+($E45-$D45)*$I$2/(1+EXP($I$3*(COUNT($H$9:AD$9)+$I$4))),TREND($D45:$E45,$D$9:$E$9,AD$9))</f>
        <v>0</v>
      </c>
      <c r="AE45" s="13">
        <f>IF($F45="s-curve",$D45+($E45-$D45)*$I$2/(1+EXP($I$3*(COUNT($H$9:AE$9)+$I$4))),TREND($D45:$E45,$D$9:$E$9,AE$9))</f>
        <v>0</v>
      </c>
      <c r="AF45" s="13">
        <f>IF($F45="s-curve",$D45+($E45-$D45)*$I$2/(1+EXP($I$3*(COUNT($H$9:AF$9)+$I$4))),TREND($D45:$E45,$D$9:$E$9,AF$9))</f>
        <v>0</v>
      </c>
      <c r="AG45" s="13">
        <f>IF($F45="s-curve",$D45+($E45-$D45)*$I$2/(1+EXP($I$3*(COUNT($H$9:AG$9)+$I$4))),TREND($D45:$E45,$D$9:$E$9,AG$9))</f>
        <v>0</v>
      </c>
      <c r="AH45" s="13">
        <f>IF($F45="s-curve",$D45+($E45-$D45)*$I$2/(1+EXP($I$3*(COUNT($H$9:AH$9)+$I$4))),TREND($D45:$E45,$D$9:$E$9,AH$9))</f>
        <v>0</v>
      </c>
      <c r="AI45" s="13">
        <f>IF($F45="s-curve",$D45+($E45-$D45)*$I$2/(1+EXP($I$3*(COUNT($H$9:AI$9)+$I$4))),TREND($D45:$E45,$D$9:$E$9,AI$9))</f>
        <v>0</v>
      </c>
      <c r="AJ45" s="13">
        <f>IF($F45="s-curve",$D45+($E45-$D45)*$I$2/(1+EXP($I$3*(COUNT($H$9:AJ$9)+$I$4))),TREND($D45:$E45,$D$9:$E$9,AJ$9))</f>
        <v>0</v>
      </c>
      <c r="AK45" s="13">
        <f>IF($F45="s-curve",$D45+($E45-$D45)*$I$2/(1+EXP($I$3*(COUNT($H$9:AK$9)+$I$4))),TREND($D45:$E45,$D$9:$E$9,AK$9))</f>
        <v>0</v>
      </c>
      <c r="AL45" s="13">
        <f>IF($F45="s-curve",$D45+($E45-$D45)*$I$2/(1+EXP($I$3*(COUNT($H$9:AL$9)+$I$4))),TREND($D45:$E45,$D$9:$E$9,AL$9))</f>
        <v>0</v>
      </c>
    </row>
    <row r="46" spans="1:38" x14ac:dyDescent="0.35">
      <c r="C46" s="13" t="s">
        <v>2</v>
      </c>
      <c r="D46" s="13">
        <v>0</v>
      </c>
      <c r="E46" s="13">
        <v>0</v>
      </c>
      <c r="F46" s="7" t="str">
        <f>IF(D46=E46,"n/a",IF(OR(C46="battery electric vehicle",C46="natural gas vehicle",C46="plugin hybrid vehicle"),"s-curve","linear"))</f>
        <v>n/a</v>
      </c>
      <c r="H46" s="24">
        <f t="shared" si="6"/>
        <v>0</v>
      </c>
      <c r="I46" s="13">
        <f>IF($F46="s-curve",$D46+($E46-$D46)*$I$2/(1+EXP($I$3*(COUNT($H$9:I$9)+$I$4))),TREND($D46:$E46,$D$9:$E$9,I$9))</f>
        <v>0</v>
      </c>
      <c r="J46" s="13">
        <f>IF($F46="s-curve",$D46+($E46-$D46)*$I$2/(1+EXP($I$3*(COUNT($H$9:J$9)+$I$4))),TREND($D46:$E46,$D$9:$E$9,J$9))</f>
        <v>0</v>
      </c>
      <c r="K46" s="13">
        <f>IF($F46="s-curve",$D46+($E46-$D46)*$I$2/(1+EXP($I$3*(COUNT($H$9:K$9)+$I$4))),TREND($D46:$E46,$D$9:$E$9,K$9))</f>
        <v>0</v>
      </c>
      <c r="L46" s="13">
        <f>IF($F46="s-curve",$D46+($E46-$D46)*$I$2/(1+EXP($I$3*(COUNT($H$9:L$9)+$I$4))),TREND($D46:$E46,$D$9:$E$9,L$9))</f>
        <v>0</v>
      </c>
      <c r="M46" s="13">
        <f>IF($F46="s-curve",$D46+($E46-$D46)*$I$2/(1+EXP($I$3*(COUNT($H$9:M$9)+$I$4))),TREND($D46:$E46,$D$9:$E$9,M$9))</f>
        <v>0</v>
      </c>
      <c r="N46" s="13">
        <f>IF($F46="s-curve",$D46+($E46-$D46)*$I$2/(1+EXP($I$3*(COUNT($H$9:N$9)+$I$4))),TREND($D46:$E46,$D$9:$E$9,N$9))</f>
        <v>0</v>
      </c>
      <c r="O46" s="13">
        <f>IF($F46="s-curve",$D46+($E46-$D46)*$I$2/(1+EXP($I$3*(COUNT($H$9:O$9)+$I$4))),TREND($D46:$E46,$D$9:$E$9,O$9))</f>
        <v>0</v>
      </c>
      <c r="P46" s="13">
        <f>IF($F46="s-curve",$D46+($E46-$D46)*$I$2/(1+EXP($I$3*(COUNT($H$9:P$9)+$I$4))),TREND($D46:$E46,$D$9:$E$9,P$9))</f>
        <v>0</v>
      </c>
      <c r="Q46" s="13">
        <f>IF($F46="s-curve",$D46+($E46-$D46)*$I$2/(1+EXP($I$3*(COUNT($H$9:Q$9)+$I$4))),TREND($D46:$E46,$D$9:$E$9,Q$9))</f>
        <v>0</v>
      </c>
      <c r="R46" s="13">
        <f>IF($F46="s-curve",$D46+($E46-$D46)*$I$2/(1+EXP($I$3*(COUNT($H$9:R$9)+$I$4))),TREND($D46:$E46,$D$9:$E$9,R$9))</f>
        <v>0</v>
      </c>
      <c r="S46" s="13">
        <f>IF($F46="s-curve",$D46+($E46-$D46)*$I$2/(1+EXP($I$3*(COUNT($H$9:S$9)+$I$4))),TREND($D46:$E46,$D$9:$E$9,S$9))</f>
        <v>0</v>
      </c>
      <c r="T46" s="13">
        <f>IF($F46="s-curve",$D46+($E46-$D46)*$I$2/(1+EXP($I$3*(COUNT($H$9:T$9)+$I$4))),TREND($D46:$E46,$D$9:$E$9,T$9))</f>
        <v>0</v>
      </c>
      <c r="U46" s="13">
        <f>IF($F46="s-curve",$D46+($E46-$D46)*$I$2/(1+EXP($I$3*(COUNT($H$9:U$9)+$I$4))),TREND($D46:$E46,$D$9:$E$9,U$9))</f>
        <v>0</v>
      </c>
      <c r="V46" s="13">
        <f>IF($F46="s-curve",$D46+($E46-$D46)*$I$2/(1+EXP($I$3*(COUNT($H$9:V$9)+$I$4))),TREND($D46:$E46,$D$9:$E$9,V$9))</f>
        <v>0</v>
      </c>
      <c r="W46" s="13">
        <f>IF($F46="s-curve",$D46+($E46-$D46)*$I$2/(1+EXP($I$3*(COUNT($H$9:W$9)+$I$4))),TREND($D46:$E46,$D$9:$E$9,W$9))</f>
        <v>0</v>
      </c>
      <c r="X46" s="13">
        <f>IF($F46="s-curve",$D46+($E46-$D46)*$I$2/(1+EXP($I$3*(COUNT($H$9:X$9)+$I$4))),TREND($D46:$E46,$D$9:$E$9,X$9))</f>
        <v>0</v>
      </c>
      <c r="Y46" s="13">
        <f>IF($F46="s-curve",$D46+($E46-$D46)*$I$2/(1+EXP($I$3*(COUNT($H$9:Y$9)+$I$4))),TREND($D46:$E46,$D$9:$E$9,Y$9))</f>
        <v>0</v>
      </c>
      <c r="Z46" s="13">
        <f>IF($F46="s-curve",$D46+($E46-$D46)*$I$2/(1+EXP($I$3*(COUNT($H$9:Z$9)+$I$4))),TREND($D46:$E46,$D$9:$E$9,Z$9))</f>
        <v>0</v>
      </c>
      <c r="AA46" s="13">
        <f>IF($F46="s-curve",$D46+($E46-$D46)*$I$2/(1+EXP($I$3*(COUNT($H$9:AA$9)+$I$4))),TREND($D46:$E46,$D$9:$E$9,AA$9))</f>
        <v>0</v>
      </c>
      <c r="AB46" s="13">
        <f>IF($F46="s-curve",$D46+($E46-$D46)*$I$2/(1+EXP($I$3*(COUNT($H$9:AB$9)+$I$4))),TREND($D46:$E46,$D$9:$E$9,AB$9))</f>
        <v>0</v>
      </c>
      <c r="AC46" s="13">
        <f>IF($F46="s-curve",$D46+($E46-$D46)*$I$2/(1+EXP($I$3*(COUNT($H$9:AC$9)+$I$4))),TREND($D46:$E46,$D$9:$E$9,AC$9))</f>
        <v>0</v>
      </c>
      <c r="AD46" s="13">
        <f>IF($F46="s-curve",$D46+($E46-$D46)*$I$2/(1+EXP($I$3*(COUNT($H$9:AD$9)+$I$4))),TREND($D46:$E46,$D$9:$E$9,AD$9))</f>
        <v>0</v>
      </c>
      <c r="AE46" s="13">
        <f>IF($F46="s-curve",$D46+($E46-$D46)*$I$2/(1+EXP($I$3*(COUNT($H$9:AE$9)+$I$4))),TREND($D46:$E46,$D$9:$E$9,AE$9))</f>
        <v>0</v>
      </c>
      <c r="AF46" s="13">
        <f>IF($F46="s-curve",$D46+($E46-$D46)*$I$2/(1+EXP($I$3*(COUNT($H$9:AF$9)+$I$4))),TREND($D46:$E46,$D$9:$E$9,AF$9))</f>
        <v>0</v>
      </c>
      <c r="AG46" s="13">
        <f>IF($F46="s-curve",$D46+($E46-$D46)*$I$2/(1+EXP($I$3*(COUNT($H$9:AG$9)+$I$4))),TREND($D46:$E46,$D$9:$E$9,AG$9))</f>
        <v>0</v>
      </c>
      <c r="AH46" s="13">
        <f>IF($F46="s-curve",$D46+($E46-$D46)*$I$2/(1+EXP($I$3*(COUNT($H$9:AH$9)+$I$4))),TREND($D46:$E46,$D$9:$E$9,AH$9))</f>
        <v>0</v>
      </c>
      <c r="AI46" s="13">
        <f>IF($F46="s-curve",$D46+($E46-$D46)*$I$2/(1+EXP($I$3*(COUNT($H$9:AI$9)+$I$4))),TREND($D46:$E46,$D$9:$E$9,AI$9))</f>
        <v>0</v>
      </c>
      <c r="AJ46" s="13">
        <f>IF($F46="s-curve",$D46+($E46-$D46)*$I$2/(1+EXP($I$3*(COUNT($H$9:AJ$9)+$I$4))),TREND($D46:$E46,$D$9:$E$9,AJ$9))</f>
        <v>0</v>
      </c>
      <c r="AK46" s="13">
        <f>IF($F46="s-curve",$D46+($E46-$D46)*$I$2/(1+EXP($I$3*(COUNT($H$9:AK$9)+$I$4))),TREND($D46:$E46,$D$9:$E$9,AK$9))</f>
        <v>0</v>
      </c>
      <c r="AL46" s="13">
        <f>IF($F46="s-curve",$D46+($E46-$D46)*$I$2/(1+EXP($I$3*(COUNT($H$9:AL$9)+$I$4))),TREND($D46:$E46,$D$9:$E$9,AL$9))</f>
        <v>0</v>
      </c>
    </row>
    <row r="47" spans="1:38" x14ac:dyDescent="0.35">
      <c r="C47" s="13" t="s">
        <v>3</v>
      </c>
      <c r="D47" s="13">
        <v>0</v>
      </c>
      <c r="E47" s="13">
        <v>0</v>
      </c>
      <c r="F47" s="7" t="str">
        <f>IF(D47=E47,"n/a",IF(OR(C47="battery electric vehicle",C47="natural gas vehicle",C47="plugin hybrid vehicle"),"s-curve","linear"))</f>
        <v>n/a</v>
      </c>
      <c r="H47" s="24">
        <f t="shared" si="6"/>
        <v>0</v>
      </c>
      <c r="I47" s="13">
        <f>IF($F47="s-curve",$D47+($E47-$D47)*$I$2/(1+EXP($I$3*(COUNT($H$9:I$9)+$I$4))),TREND($D47:$E47,$D$9:$E$9,I$9))</f>
        <v>0</v>
      </c>
      <c r="J47" s="13">
        <f>IF($F47="s-curve",$D47+($E47-$D47)*$I$2/(1+EXP($I$3*(COUNT($H$9:J$9)+$I$4))),TREND($D47:$E47,$D$9:$E$9,J$9))</f>
        <v>0</v>
      </c>
      <c r="K47" s="13">
        <f>IF($F47="s-curve",$D47+($E47-$D47)*$I$2/(1+EXP($I$3*(COUNT($H$9:K$9)+$I$4))),TREND($D47:$E47,$D$9:$E$9,K$9))</f>
        <v>0</v>
      </c>
      <c r="L47" s="13">
        <f>IF($F47="s-curve",$D47+($E47-$D47)*$I$2/(1+EXP($I$3*(COUNT($H$9:L$9)+$I$4))),TREND($D47:$E47,$D$9:$E$9,L$9))</f>
        <v>0</v>
      </c>
      <c r="M47" s="13">
        <f>IF($F47="s-curve",$D47+($E47-$D47)*$I$2/(1+EXP($I$3*(COUNT($H$9:M$9)+$I$4))),TREND($D47:$E47,$D$9:$E$9,M$9))</f>
        <v>0</v>
      </c>
      <c r="N47" s="13">
        <f>IF($F47="s-curve",$D47+($E47-$D47)*$I$2/(1+EXP($I$3*(COUNT($H$9:N$9)+$I$4))),TREND($D47:$E47,$D$9:$E$9,N$9))</f>
        <v>0</v>
      </c>
      <c r="O47" s="13">
        <f>IF($F47="s-curve",$D47+($E47-$D47)*$I$2/(1+EXP($I$3*(COUNT($H$9:O$9)+$I$4))),TREND($D47:$E47,$D$9:$E$9,O$9))</f>
        <v>0</v>
      </c>
      <c r="P47" s="13">
        <f>IF($F47="s-curve",$D47+($E47-$D47)*$I$2/(1+EXP($I$3*(COUNT($H$9:P$9)+$I$4))),TREND($D47:$E47,$D$9:$E$9,P$9))</f>
        <v>0</v>
      </c>
      <c r="Q47" s="13">
        <f>IF($F47="s-curve",$D47+($E47-$D47)*$I$2/(1+EXP($I$3*(COUNT($H$9:Q$9)+$I$4))),TREND($D47:$E47,$D$9:$E$9,Q$9))</f>
        <v>0</v>
      </c>
      <c r="R47" s="13">
        <f>IF($F47="s-curve",$D47+($E47-$D47)*$I$2/(1+EXP($I$3*(COUNT($H$9:R$9)+$I$4))),TREND($D47:$E47,$D$9:$E$9,R$9))</f>
        <v>0</v>
      </c>
      <c r="S47" s="13">
        <f>IF($F47="s-curve",$D47+($E47-$D47)*$I$2/(1+EXP($I$3*(COUNT($H$9:S$9)+$I$4))),TREND($D47:$E47,$D$9:$E$9,S$9))</f>
        <v>0</v>
      </c>
      <c r="T47" s="13">
        <f>IF($F47="s-curve",$D47+($E47-$D47)*$I$2/(1+EXP($I$3*(COUNT($H$9:T$9)+$I$4))),TREND($D47:$E47,$D$9:$E$9,T$9))</f>
        <v>0</v>
      </c>
      <c r="U47" s="13">
        <f>IF($F47="s-curve",$D47+($E47-$D47)*$I$2/(1+EXP($I$3*(COUNT($H$9:U$9)+$I$4))),TREND($D47:$E47,$D$9:$E$9,U$9))</f>
        <v>0</v>
      </c>
      <c r="V47" s="13">
        <f>IF($F47="s-curve",$D47+($E47-$D47)*$I$2/(1+EXP($I$3*(COUNT($H$9:V$9)+$I$4))),TREND($D47:$E47,$D$9:$E$9,V$9))</f>
        <v>0</v>
      </c>
      <c r="W47" s="13">
        <f>IF($F47="s-curve",$D47+($E47-$D47)*$I$2/(1+EXP($I$3*(COUNT($H$9:W$9)+$I$4))),TREND($D47:$E47,$D$9:$E$9,W$9))</f>
        <v>0</v>
      </c>
      <c r="X47" s="13">
        <f>IF($F47="s-curve",$D47+($E47-$D47)*$I$2/(1+EXP($I$3*(COUNT($H$9:X$9)+$I$4))),TREND($D47:$E47,$D$9:$E$9,X$9))</f>
        <v>0</v>
      </c>
      <c r="Y47" s="13">
        <f>IF($F47="s-curve",$D47+($E47-$D47)*$I$2/(1+EXP($I$3*(COUNT($H$9:Y$9)+$I$4))),TREND($D47:$E47,$D$9:$E$9,Y$9))</f>
        <v>0</v>
      </c>
      <c r="Z47" s="13">
        <f>IF($F47="s-curve",$D47+($E47-$D47)*$I$2/(1+EXP($I$3*(COUNT($H$9:Z$9)+$I$4))),TREND($D47:$E47,$D$9:$E$9,Z$9))</f>
        <v>0</v>
      </c>
      <c r="AA47" s="13">
        <f>IF($F47="s-curve",$D47+($E47-$D47)*$I$2/(1+EXP($I$3*(COUNT($H$9:AA$9)+$I$4))),TREND($D47:$E47,$D$9:$E$9,AA$9))</f>
        <v>0</v>
      </c>
      <c r="AB47" s="13">
        <f>IF($F47="s-curve",$D47+($E47-$D47)*$I$2/(1+EXP($I$3*(COUNT($H$9:AB$9)+$I$4))),TREND($D47:$E47,$D$9:$E$9,AB$9))</f>
        <v>0</v>
      </c>
      <c r="AC47" s="13">
        <f>IF($F47="s-curve",$D47+($E47-$D47)*$I$2/(1+EXP($I$3*(COUNT($H$9:AC$9)+$I$4))),TREND($D47:$E47,$D$9:$E$9,AC$9))</f>
        <v>0</v>
      </c>
      <c r="AD47" s="13">
        <f>IF($F47="s-curve",$D47+($E47-$D47)*$I$2/(1+EXP($I$3*(COUNT($H$9:AD$9)+$I$4))),TREND($D47:$E47,$D$9:$E$9,AD$9))</f>
        <v>0</v>
      </c>
      <c r="AE47" s="13">
        <f>IF($F47="s-curve",$D47+($E47-$D47)*$I$2/(1+EXP($I$3*(COUNT($H$9:AE$9)+$I$4))),TREND($D47:$E47,$D$9:$E$9,AE$9))</f>
        <v>0</v>
      </c>
      <c r="AF47" s="13">
        <f>IF($F47="s-curve",$D47+($E47-$D47)*$I$2/(1+EXP($I$3*(COUNT($H$9:AF$9)+$I$4))),TREND($D47:$E47,$D$9:$E$9,AF$9))</f>
        <v>0</v>
      </c>
      <c r="AG47" s="13">
        <f>IF($F47="s-curve",$D47+($E47-$D47)*$I$2/(1+EXP($I$3*(COUNT($H$9:AG$9)+$I$4))),TREND($D47:$E47,$D$9:$E$9,AG$9))</f>
        <v>0</v>
      </c>
      <c r="AH47" s="13">
        <f>IF($F47="s-curve",$D47+($E47-$D47)*$I$2/(1+EXP($I$3*(COUNT($H$9:AH$9)+$I$4))),TREND($D47:$E47,$D$9:$E$9,AH$9))</f>
        <v>0</v>
      </c>
      <c r="AI47" s="13">
        <f>IF($F47="s-curve",$D47+($E47-$D47)*$I$2/(1+EXP($I$3*(COUNT($H$9:AI$9)+$I$4))),TREND($D47:$E47,$D$9:$E$9,AI$9))</f>
        <v>0</v>
      </c>
      <c r="AJ47" s="13">
        <f>IF($F47="s-curve",$D47+($E47-$D47)*$I$2/(1+EXP($I$3*(COUNT($H$9:AJ$9)+$I$4))),TREND($D47:$E47,$D$9:$E$9,AJ$9))</f>
        <v>0</v>
      </c>
      <c r="AK47" s="13">
        <f>IF($F47="s-curve",$D47+($E47-$D47)*$I$2/(1+EXP($I$3*(COUNT($H$9:AK$9)+$I$4))),TREND($D47:$E47,$D$9:$E$9,AK$9))</f>
        <v>0</v>
      </c>
      <c r="AL47" s="13">
        <f>IF($F47="s-curve",$D47+($E47-$D47)*$I$2/(1+EXP($I$3*(COUNT($H$9:AL$9)+$I$4))),TREND($D47:$E47,$D$9:$E$9,AL$9))</f>
        <v>0</v>
      </c>
    </row>
    <row r="48" spans="1:38" x14ac:dyDescent="0.35">
      <c r="C48" s="13" t="s">
        <v>4</v>
      </c>
      <c r="D48" s="13">
        <v>1</v>
      </c>
      <c r="E48" s="13">
        <v>1</v>
      </c>
      <c r="F48" s="7" t="str">
        <f>IF(D48=E48,"n/a",IF(OR(C48="battery electric vehicle",C48="natural gas vehicle",C48="plugin hybrid vehicle"),"s-curve","linear"))</f>
        <v>n/a</v>
      </c>
      <c r="H48" s="24">
        <f t="shared" si="6"/>
        <v>1</v>
      </c>
      <c r="I48" s="13">
        <f>IF($F48="s-curve",$D48+($E48-$D48)*$I$2/(1+EXP($I$3*(COUNT($H$9:I$9)+$I$4))),TREND($D48:$E48,$D$9:$E$9,I$9))</f>
        <v>1</v>
      </c>
      <c r="J48" s="13">
        <f>IF($F48="s-curve",$D48+($E48-$D48)*$I$2/(1+EXP($I$3*(COUNT($H$9:J$9)+$I$4))),TREND($D48:$E48,$D$9:$E$9,J$9))</f>
        <v>1</v>
      </c>
      <c r="K48" s="13">
        <f>IF($F48="s-curve",$D48+($E48-$D48)*$I$2/(1+EXP($I$3*(COUNT($H$9:K$9)+$I$4))),TREND($D48:$E48,$D$9:$E$9,K$9))</f>
        <v>1</v>
      </c>
      <c r="L48" s="13">
        <f>IF($F48="s-curve",$D48+($E48-$D48)*$I$2/(1+EXP($I$3*(COUNT($H$9:L$9)+$I$4))),TREND($D48:$E48,$D$9:$E$9,L$9))</f>
        <v>1</v>
      </c>
      <c r="M48" s="13">
        <f>IF($F48="s-curve",$D48+($E48-$D48)*$I$2/(1+EXP($I$3*(COUNT($H$9:M$9)+$I$4))),TREND($D48:$E48,$D$9:$E$9,M$9))</f>
        <v>1</v>
      </c>
      <c r="N48" s="13">
        <f>IF($F48="s-curve",$D48+($E48-$D48)*$I$2/(1+EXP($I$3*(COUNT($H$9:N$9)+$I$4))),TREND($D48:$E48,$D$9:$E$9,N$9))</f>
        <v>1</v>
      </c>
      <c r="O48" s="13">
        <f>IF($F48="s-curve",$D48+($E48-$D48)*$I$2/(1+EXP($I$3*(COUNT($H$9:O$9)+$I$4))),TREND($D48:$E48,$D$9:$E$9,O$9))</f>
        <v>1</v>
      </c>
      <c r="P48" s="13">
        <f>IF($F48="s-curve",$D48+($E48-$D48)*$I$2/(1+EXP($I$3*(COUNT($H$9:P$9)+$I$4))),TREND($D48:$E48,$D$9:$E$9,P$9))</f>
        <v>1</v>
      </c>
      <c r="Q48" s="13">
        <f>IF($F48="s-curve",$D48+($E48-$D48)*$I$2/(1+EXP($I$3*(COUNT($H$9:Q$9)+$I$4))),TREND($D48:$E48,$D$9:$E$9,Q$9))</f>
        <v>1</v>
      </c>
      <c r="R48" s="13">
        <f>IF($F48="s-curve",$D48+($E48-$D48)*$I$2/(1+EXP($I$3*(COUNT($H$9:R$9)+$I$4))),TREND($D48:$E48,$D$9:$E$9,R$9))</f>
        <v>1</v>
      </c>
      <c r="S48" s="13">
        <f>IF($F48="s-curve",$D48+($E48-$D48)*$I$2/(1+EXP($I$3*(COUNT($H$9:S$9)+$I$4))),TREND($D48:$E48,$D$9:$E$9,S$9))</f>
        <v>1</v>
      </c>
      <c r="T48" s="13">
        <f>IF($F48="s-curve",$D48+($E48-$D48)*$I$2/(1+EXP($I$3*(COUNT($H$9:T$9)+$I$4))),TREND($D48:$E48,$D$9:$E$9,T$9))</f>
        <v>1</v>
      </c>
      <c r="U48" s="13">
        <f>IF($F48="s-curve",$D48+($E48-$D48)*$I$2/(1+EXP($I$3*(COUNT($H$9:U$9)+$I$4))),TREND($D48:$E48,$D$9:$E$9,U$9))</f>
        <v>1</v>
      </c>
      <c r="V48" s="13">
        <f>IF($F48="s-curve",$D48+($E48-$D48)*$I$2/(1+EXP($I$3*(COUNT($H$9:V$9)+$I$4))),TREND($D48:$E48,$D$9:$E$9,V$9))</f>
        <v>1</v>
      </c>
      <c r="W48" s="13">
        <f>IF($F48="s-curve",$D48+($E48-$D48)*$I$2/(1+EXP($I$3*(COUNT($H$9:W$9)+$I$4))),TREND($D48:$E48,$D$9:$E$9,W$9))</f>
        <v>1</v>
      </c>
      <c r="X48" s="13">
        <f>IF($F48="s-curve",$D48+($E48-$D48)*$I$2/(1+EXP($I$3*(COUNT($H$9:X$9)+$I$4))),TREND($D48:$E48,$D$9:$E$9,X$9))</f>
        <v>1</v>
      </c>
      <c r="Y48" s="13">
        <f>IF($F48="s-curve",$D48+($E48-$D48)*$I$2/(1+EXP($I$3*(COUNT($H$9:Y$9)+$I$4))),TREND($D48:$E48,$D$9:$E$9,Y$9))</f>
        <v>1</v>
      </c>
      <c r="Z48" s="13">
        <f>IF($F48="s-curve",$D48+($E48-$D48)*$I$2/(1+EXP($I$3*(COUNT($H$9:Z$9)+$I$4))),TREND($D48:$E48,$D$9:$E$9,Z$9))</f>
        <v>1</v>
      </c>
      <c r="AA48" s="13">
        <f>IF($F48="s-curve",$D48+($E48-$D48)*$I$2/(1+EXP($I$3*(COUNT($H$9:AA$9)+$I$4))),TREND($D48:$E48,$D$9:$E$9,AA$9))</f>
        <v>1</v>
      </c>
      <c r="AB48" s="13">
        <f>IF($F48="s-curve",$D48+($E48-$D48)*$I$2/(1+EXP($I$3*(COUNT($H$9:AB$9)+$I$4))),TREND($D48:$E48,$D$9:$E$9,AB$9))</f>
        <v>1</v>
      </c>
      <c r="AC48" s="13">
        <f>IF($F48="s-curve",$D48+($E48-$D48)*$I$2/(1+EXP($I$3*(COUNT($H$9:AC$9)+$I$4))),TREND($D48:$E48,$D$9:$E$9,AC$9))</f>
        <v>1</v>
      </c>
      <c r="AD48" s="13">
        <f>IF($F48="s-curve",$D48+($E48-$D48)*$I$2/(1+EXP($I$3*(COUNT($H$9:AD$9)+$I$4))),TREND($D48:$E48,$D$9:$E$9,AD$9))</f>
        <v>1</v>
      </c>
      <c r="AE48" s="13">
        <f>IF($F48="s-curve",$D48+($E48-$D48)*$I$2/(1+EXP($I$3*(COUNT($H$9:AE$9)+$I$4))),TREND($D48:$E48,$D$9:$E$9,AE$9))</f>
        <v>1</v>
      </c>
      <c r="AF48" s="13">
        <f>IF($F48="s-curve",$D48+($E48-$D48)*$I$2/(1+EXP($I$3*(COUNT($H$9:AF$9)+$I$4))),TREND($D48:$E48,$D$9:$E$9,AF$9))</f>
        <v>1</v>
      </c>
      <c r="AG48" s="13">
        <f>IF($F48="s-curve",$D48+($E48-$D48)*$I$2/(1+EXP($I$3*(COUNT($H$9:AG$9)+$I$4))),TREND($D48:$E48,$D$9:$E$9,AG$9))</f>
        <v>1</v>
      </c>
      <c r="AH48" s="13">
        <f>IF($F48="s-curve",$D48+($E48-$D48)*$I$2/(1+EXP($I$3*(COUNT($H$9:AH$9)+$I$4))),TREND($D48:$E48,$D$9:$E$9,AH$9))</f>
        <v>1</v>
      </c>
      <c r="AI48" s="13">
        <f>IF($F48="s-curve",$D48+($E48-$D48)*$I$2/(1+EXP($I$3*(COUNT($H$9:AI$9)+$I$4))),TREND($D48:$E48,$D$9:$E$9,AI$9))</f>
        <v>1</v>
      </c>
      <c r="AJ48" s="13">
        <f>IF($F48="s-curve",$D48+($E48-$D48)*$I$2/(1+EXP($I$3*(COUNT($H$9:AJ$9)+$I$4))),TREND($D48:$E48,$D$9:$E$9,AJ$9))</f>
        <v>1</v>
      </c>
      <c r="AK48" s="13">
        <f>IF($F48="s-curve",$D48+($E48-$D48)*$I$2/(1+EXP($I$3*(COUNT($H$9:AK$9)+$I$4))),TREND($D48:$E48,$D$9:$E$9,AK$9))</f>
        <v>1</v>
      </c>
      <c r="AL48" s="13">
        <f>IF($F48="s-curve",$D48+($E48-$D48)*$I$2/(1+EXP($I$3*(COUNT($H$9:AL$9)+$I$4))),TREND($D48:$E48,$D$9:$E$9,AL$9))</f>
        <v>1</v>
      </c>
    </row>
    <row r="49" spans="1:38" x14ac:dyDescent="0.35">
      <c r="C49" s="13" t="s">
        <v>5</v>
      </c>
      <c r="D49" s="13">
        <v>0</v>
      </c>
      <c r="E49" s="13">
        <v>0</v>
      </c>
      <c r="F49" s="7" t="str">
        <f>IF(D49=E49,"n/a",IF(OR(C49="battery electric vehicle",C49="natural gas vehicle",C49="plugin hybrid vehicle"),"s-curve","linear"))</f>
        <v>n/a</v>
      </c>
      <c r="H49" s="24">
        <f t="shared" si="6"/>
        <v>0</v>
      </c>
      <c r="I49" s="13">
        <f>IF($F49="s-curve",$D49+($E49-$D49)*$I$2/(1+EXP($I$3*(COUNT($H$9:I$9)+$I$4))),TREND($D49:$E49,$D$9:$E$9,I$9))</f>
        <v>0</v>
      </c>
      <c r="J49" s="13">
        <f>IF($F49="s-curve",$D49+($E49-$D49)*$I$2/(1+EXP($I$3*(COUNT($H$9:J$9)+$I$4))),TREND($D49:$E49,$D$9:$E$9,J$9))</f>
        <v>0</v>
      </c>
      <c r="K49" s="13">
        <f>IF($F49="s-curve",$D49+($E49-$D49)*$I$2/(1+EXP($I$3*(COUNT($H$9:K$9)+$I$4))),TREND($D49:$E49,$D$9:$E$9,K$9))</f>
        <v>0</v>
      </c>
      <c r="L49" s="13">
        <f>IF($F49="s-curve",$D49+($E49-$D49)*$I$2/(1+EXP($I$3*(COUNT($H$9:L$9)+$I$4))),TREND($D49:$E49,$D$9:$E$9,L$9))</f>
        <v>0</v>
      </c>
      <c r="M49" s="13">
        <f>IF($F49="s-curve",$D49+($E49-$D49)*$I$2/(1+EXP($I$3*(COUNT($H$9:M$9)+$I$4))),TREND($D49:$E49,$D$9:$E$9,M$9))</f>
        <v>0</v>
      </c>
      <c r="N49" s="13">
        <f>IF($F49="s-curve",$D49+($E49-$D49)*$I$2/(1+EXP($I$3*(COUNT($H$9:N$9)+$I$4))),TREND($D49:$E49,$D$9:$E$9,N$9))</f>
        <v>0</v>
      </c>
      <c r="O49" s="13">
        <f>IF($F49="s-curve",$D49+($E49-$D49)*$I$2/(1+EXP($I$3*(COUNT($H$9:O$9)+$I$4))),TREND($D49:$E49,$D$9:$E$9,O$9))</f>
        <v>0</v>
      </c>
      <c r="P49" s="13">
        <f>IF($F49="s-curve",$D49+($E49-$D49)*$I$2/(1+EXP($I$3*(COUNT($H$9:P$9)+$I$4))),TREND($D49:$E49,$D$9:$E$9,P$9))</f>
        <v>0</v>
      </c>
      <c r="Q49" s="13">
        <f>IF($F49="s-curve",$D49+($E49-$D49)*$I$2/(1+EXP($I$3*(COUNT($H$9:Q$9)+$I$4))),TREND($D49:$E49,$D$9:$E$9,Q$9))</f>
        <v>0</v>
      </c>
      <c r="R49" s="13">
        <f>IF($F49="s-curve",$D49+($E49-$D49)*$I$2/(1+EXP($I$3*(COUNT($H$9:R$9)+$I$4))),TREND($D49:$E49,$D$9:$E$9,R$9))</f>
        <v>0</v>
      </c>
      <c r="S49" s="13">
        <f>IF($F49="s-curve",$D49+($E49-$D49)*$I$2/(1+EXP($I$3*(COUNT($H$9:S$9)+$I$4))),TREND($D49:$E49,$D$9:$E$9,S$9))</f>
        <v>0</v>
      </c>
      <c r="T49" s="13">
        <f>IF($F49="s-curve",$D49+($E49-$D49)*$I$2/(1+EXP($I$3*(COUNT($H$9:T$9)+$I$4))),TREND($D49:$E49,$D$9:$E$9,T$9))</f>
        <v>0</v>
      </c>
      <c r="U49" s="13">
        <f>IF($F49="s-curve",$D49+($E49-$D49)*$I$2/(1+EXP($I$3*(COUNT($H$9:U$9)+$I$4))),TREND($D49:$E49,$D$9:$E$9,U$9))</f>
        <v>0</v>
      </c>
      <c r="V49" s="13">
        <f>IF($F49="s-curve",$D49+($E49-$D49)*$I$2/(1+EXP($I$3*(COUNT($H$9:V$9)+$I$4))),TREND($D49:$E49,$D$9:$E$9,V$9))</f>
        <v>0</v>
      </c>
      <c r="W49" s="13">
        <f>IF($F49="s-curve",$D49+($E49-$D49)*$I$2/(1+EXP($I$3*(COUNT($H$9:W$9)+$I$4))),TREND($D49:$E49,$D$9:$E$9,W$9))</f>
        <v>0</v>
      </c>
      <c r="X49" s="13">
        <f>IF($F49="s-curve",$D49+($E49-$D49)*$I$2/(1+EXP($I$3*(COUNT($H$9:X$9)+$I$4))),TREND($D49:$E49,$D$9:$E$9,X$9))</f>
        <v>0</v>
      </c>
      <c r="Y49" s="13">
        <f>IF($F49="s-curve",$D49+($E49-$D49)*$I$2/(1+EXP($I$3*(COUNT($H$9:Y$9)+$I$4))),TREND($D49:$E49,$D$9:$E$9,Y$9))</f>
        <v>0</v>
      </c>
      <c r="Z49" s="13">
        <f>IF($F49="s-curve",$D49+($E49-$D49)*$I$2/(1+EXP($I$3*(COUNT($H$9:Z$9)+$I$4))),TREND($D49:$E49,$D$9:$E$9,Z$9))</f>
        <v>0</v>
      </c>
      <c r="AA49" s="13">
        <f>IF($F49="s-curve",$D49+($E49-$D49)*$I$2/(1+EXP($I$3*(COUNT($H$9:AA$9)+$I$4))),TREND($D49:$E49,$D$9:$E$9,AA$9))</f>
        <v>0</v>
      </c>
      <c r="AB49" s="13">
        <f>IF($F49="s-curve",$D49+($E49-$D49)*$I$2/(1+EXP($I$3*(COUNT($H$9:AB$9)+$I$4))),TREND($D49:$E49,$D$9:$E$9,AB$9))</f>
        <v>0</v>
      </c>
      <c r="AC49" s="13">
        <f>IF($F49="s-curve",$D49+($E49-$D49)*$I$2/(1+EXP($I$3*(COUNT($H$9:AC$9)+$I$4))),TREND($D49:$E49,$D$9:$E$9,AC$9))</f>
        <v>0</v>
      </c>
      <c r="AD49" s="13">
        <f>IF($F49="s-curve",$D49+($E49-$D49)*$I$2/(1+EXP($I$3*(COUNT($H$9:AD$9)+$I$4))),TREND($D49:$E49,$D$9:$E$9,AD$9))</f>
        <v>0</v>
      </c>
      <c r="AE49" s="13">
        <f>IF($F49="s-curve",$D49+($E49-$D49)*$I$2/(1+EXP($I$3*(COUNT($H$9:AE$9)+$I$4))),TREND($D49:$E49,$D$9:$E$9,AE$9))</f>
        <v>0</v>
      </c>
      <c r="AF49" s="13">
        <f>IF($F49="s-curve",$D49+($E49-$D49)*$I$2/(1+EXP($I$3*(COUNT($H$9:AF$9)+$I$4))),TREND($D49:$E49,$D$9:$E$9,AF$9))</f>
        <v>0</v>
      </c>
      <c r="AG49" s="13">
        <f>IF($F49="s-curve",$D49+($E49-$D49)*$I$2/(1+EXP($I$3*(COUNT($H$9:AG$9)+$I$4))),TREND($D49:$E49,$D$9:$E$9,AG$9))</f>
        <v>0</v>
      </c>
      <c r="AH49" s="13">
        <f>IF($F49="s-curve",$D49+($E49-$D49)*$I$2/(1+EXP($I$3*(COUNT($H$9:AH$9)+$I$4))),TREND($D49:$E49,$D$9:$E$9,AH$9))</f>
        <v>0</v>
      </c>
      <c r="AI49" s="13">
        <f>IF($F49="s-curve",$D49+($E49-$D49)*$I$2/(1+EXP($I$3*(COUNT($H$9:AI$9)+$I$4))),TREND($D49:$E49,$D$9:$E$9,AI$9))</f>
        <v>0</v>
      </c>
      <c r="AJ49" s="13">
        <f>IF($F49="s-curve",$D49+($E49-$D49)*$I$2/(1+EXP($I$3*(COUNT($H$9:AJ$9)+$I$4))),TREND($D49:$E49,$D$9:$E$9,AJ$9))</f>
        <v>0</v>
      </c>
      <c r="AK49" s="13">
        <f>IF($F49="s-curve",$D49+($E49-$D49)*$I$2/(1+EXP($I$3*(COUNT($H$9:AK$9)+$I$4))),TREND($D49:$E49,$D$9:$E$9,AK$9))</f>
        <v>0</v>
      </c>
      <c r="AL49" s="13">
        <f>IF($F49="s-curve",$D49+($E49-$D49)*$I$2/(1+EXP($I$3*(COUNT($H$9:AL$9)+$I$4))),TREND($D49:$E49,$D$9:$E$9,AL$9))</f>
        <v>0</v>
      </c>
    </row>
    <row r="50" spans="1:38" x14ac:dyDescent="0.35">
      <c r="C50" s="13" t="s">
        <v>78</v>
      </c>
      <c r="D50" s="13">
        <v>0</v>
      </c>
      <c r="E50" s="13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4">
        <f t="shared" si="6"/>
        <v>0</v>
      </c>
      <c r="I50" s="13">
        <f>IF($F50="s-curve",$D50+($E50-$D50)*$I$2/(1+EXP($I$3*(COUNT($H$9:I$9)+$I$4))),TREND($D50:$E50,$D$9:$E$9,I$9))</f>
        <v>0</v>
      </c>
      <c r="J50" s="13">
        <f>IF($F50="s-curve",$D50+($E50-$D50)*$I$2/(1+EXP($I$3*(COUNT($H$9:J$9)+$I$4))),TREND($D50:$E50,$D$9:$E$9,J$9))</f>
        <v>0</v>
      </c>
      <c r="K50" s="13">
        <f>IF($F50="s-curve",$D50+($E50-$D50)*$I$2/(1+EXP($I$3*(COUNT($H$9:K$9)+$I$4))),TREND($D50:$E50,$D$9:$E$9,K$9))</f>
        <v>0</v>
      </c>
      <c r="L50" s="13">
        <f>IF($F50="s-curve",$D50+($E50-$D50)*$I$2/(1+EXP($I$3*(COUNT($H$9:L$9)+$I$4))),TREND($D50:$E50,$D$9:$E$9,L$9))</f>
        <v>0</v>
      </c>
      <c r="M50" s="13">
        <f>IF($F50="s-curve",$D50+($E50-$D50)*$I$2/(1+EXP($I$3*(COUNT($H$9:M$9)+$I$4))),TREND($D50:$E50,$D$9:$E$9,M$9))</f>
        <v>0</v>
      </c>
      <c r="N50" s="13">
        <f>IF($F50="s-curve",$D50+($E50-$D50)*$I$2/(1+EXP($I$3*(COUNT($H$9:N$9)+$I$4))),TREND($D50:$E50,$D$9:$E$9,N$9))</f>
        <v>0</v>
      </c>
      <c r="O50" s="13">
        <f>IF($F50="s-curve",$D50+($E50-$D50)*$I$2/(1+EXP($I$3*(COUNT($H$9:O$9)+$I$4))),TREND($D50:$E50,$D$9:$E$9,O$9))</f>
        <v>0</v>
      </c>
      <c r="P50" s="13">
        <f>IF($F50="s-curve",$D50+($E50-$D50)*$I$2/(1+EXP($I$3*(COUNT($H$9:P$9)+$I$4))),TREND($D50:$E50,$D$9:$E$9,P$9))</f>
        <v>0</v>
      </c>
      <c r="Q50" s="13">
        <f>IF($F50="s-curve",$D50+($E50-$D50)*$I$2/(1+EXP($I$3*(COUNT($H$9:Q$9)+$I$4))),TREND($D50:$E50,$D$9:$E$9,Q$9))</f>
        <v>0</v>
      </c>
      <c r="R50" s="13">
        <f>IF($F50="s-curve",$D50+($E50-$D50)*$I$2/(1+EXP($I$3*(COUNT($H$9:R$9)+$I$4))),TREND($D50:$E50,$D$9:$E$9,R$9))</f>
        <v>0</v>
      </c>
      <c r="S50" s="13">
        <f>IF($F50="s-curve",$D50+($E50-$D50)*$I$2/(1+EXP($I$3*(COUNT($H$9:S$9)+$I$4))),TREND($D50:$E50,$D$9:$E$9,S$9))</f>
        <v>0</v>
      </c>
      <c r="T50" s="13">
        <f>IF($F50="s-curve",$D50+($E50-$D50)*$I$2/(1+EXP($I$3*(COUNT($H$9:T$9)+$I$4))),TREND($D50:$E50,$D$9:$E$9,T$9))</f>
        <v>0</v>
      </c>
      <c r="U50" s="13">
        <f>IF($F50="s-curve",$D50+($E50-$D50)*$I$2/(1+EXP($I$3*(COUNT($H$9:U$9)+$I$4))),TREND($D50:$E50,$D$9:$E$9,U$9))</f>
        <v>0</v>
      </c>
      <c r="V50" s="13">
        <f>IF($F50="s-curve",$D50+($E50-$D50)*$I$2/(1+EXP($I$3*(COUNT($H$9:V$9)+$I$4))),TREND($D50:$E50,$D$9:$E$9,V$9))</f>
        <v>0</v>
      </c>
      <c r="W50" s="13">
        <f>IF($F50="s-curve",$D50+($E50-$D50)*$I$2/(1+EXP($I$3*(COUNT($H$9:W$9)+$I$4))),TREND($D50:$E50,$D$9:$E$9,W$9))</f>
        <v>0</v>
      </c>
      <c r="X50" s="13">
        <f>IF($F50="s-curve",$D50+($E50-$D50)*$I$2/(1+EXP($I$3*(COUNT($H$9:X$9)+$I$4))),TREND($D50:$E50,$D$9:$E$9,X$9))</f>
        <v>0</v>
      </c>
      <c r="Y50" s="13">
        <f>IF($F50="s-curve",$D50+($E50-$D50)*$I$2/(1+EXP($I$3*(COUNT($H$9:Y$9)+$I$4))),TREND($D50:$E50,$D$9:$E$9,Y$9))</f>
        <v>0</v>
      </c>
      <c r="Z50" s="13">
        <f>IF($F50="s-curve",$D50+($E50-$D50)*$I$2/(1+EXP($I$3*(COUNT($H$9:Z$9)+$I$4))),TREND($D50:$E50,$D$9:$E$9,Z$9))</f>
        <v>0</v>
      </c>
      <c r="AA50" s="13">
        <f>IF($F50="s-curve",$D50+($E50-$D50)*$I$2/(1+EXP($I$3*(COUNT($H$9:AA$9)+$I$4))),TREND($D50:$E50,$D$9:$E$9,AA$9))</f>
        <v>0</v>
      </c>
      <c r="AB50" s="13">
        <f>IF($F50="s-curve",$D50+($E50-$D50)*$I$2/(1+EXP($I$3*(COUNT($H$9:AB$9)+$I$4))),TREND($D50:$E50,$D$9:$E$9,AB$9))</f>
        <v>0</v>
      </c>
      <c r="AC50" s="13">
        <f>IF($F50="s-curve",$D50+($E50-$D50)*$I$2/(1+EXP($I$3*(COUNT($H$9:AC$9)+$I$4))),TREND($D50:$E50,$D$9:$E$9,AC$9))</f>
        <v>0</v>
      </c>
      <c r="AD50" s="13">
        <f>IF($F50="s-curve",$D50+($E50-$D50)*$I$2/(1+EXP($I$3*(COUNT($H$9:AD$9)+$I$4))),TREND($D50:$E50,$D$9:$E$9,AD$9))</f>
        <v>0</v>
      </c>
      <c r="AE50" s="13">
        <f>IF($F50="s-curve",$D50+($E50-$D50)*$I$2/(1+EXP($I$3*(COUNT($H$9:AE$9)+$I$4))),TREND($D50:$E50,$D$9:$E$9,AE$9))</f>
        <v>0</v>
      </c>
      <c r="AF50" s="13">
        <f>IF($F50="s-curve",$D50+($E50-$D50)*$I$2/(1+EXP($I$3*(COUNT($H$9:AF$9)+$I$4))),TREND($D50:$E50,$D$9:$E$9,AF$9))</f>
        <v>0</v>
      </c>
      <c r="AG50" s="13">
        <f>IF($F50="s-curve",$D50+($E50-$D50)*$I$2/(1+EXP($I$3*(COUNT($H$9:AG$9)+$I$4))),TREND($D50:$E50,$D$9:$E$9,AG$9))</f>
        <v>0</v>
      </c>
      <c r="AH50" s="13">
        <f>IF($F50="s-curve",$D50+($E50-$D50)*$I$2/(1+EXP($I$3*(COUNT($H$9:AH$9)+$I$4))),TREND($D50:$E50,$D$9:$E$9,AH$9))</f>
        <v>0</v>
      </c>
      <c r="AI50" s="13">
        <f>IF($F50="s-curve",$D50+($E50-$D50)*$I$2/(1+EXP($I$3*(COUNT($H$9:AI$9)+$I$4))),TREND($D50:$E50,$D$9:$E$9,AI$9))</f>
        <v>0</v>
      </c>
      <c r="AJ50" s="13">
        <f>IF($F50="s-curve",$D50+($E50-$D50)*$I$2/(1+EXP($I$3*(COUNT($H$9:AJ$9)+$I$4))),TREND($D50:$E50,$D$9:$E$9,AJ$9))</f>
        <v>0</v>
      </c>
      <c r="AK50" s="13">
        <f>IF($F50="s-curve",$D50+($E50-$D50)*$I$2/(1+EXP($I$3*(COUNT($H$9:AK$9)+$I$4))),TREND($D50:$E50,$D$9:$E$9,AK$9))</f>
        <v>0</v>
      </c>
      <c r="AL50" s="13">
        <f>IF($F50="s-curve",$D50+($E50-$D50)*$I$2/(1+EXP($I$3*(COUNT($H$9:AL$9)+$I$4))),TREND($D50:$E50,$D$9:$E$9,AL$9))</f>
        <v>0</v>
      </c>
    </row>
    <row r="51" spans="1:38" ht="15" thickBot="1" x14ac:dyDescent="0.4">
      <c r="A51" s="26"/>
      <c r="B51" s="26"/>
      <c r="C51" s="26" t="s">
        <v>79</v>
      </c>
      <c r="D51" s="26">
        <v>0</v>
      </c>
      <c r="E51" s="26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4">
        <f t="shared" si="6"/>
        <v>0</v>
      </c>
      <c r="I51" s="13">
        <f>IF($F51="s-curve",$D51+($E51-$D51)*$I$2/(1+EXP($I$3*(COUNT($H$9:I$9)+$I$4))),TREND($D51:$E51,$D$9:$E$9,I$9))</f>
        <v>0</v>
      </c>
      <c r="J51" s="13">
        <f>IF($F51="s-curve",$D51+($E51-$D51)*$I$2/(1+EXP($I$3*(COUNT($H$9:J$9)+$I$4))),TREND($D51:$E51,$D$9:$E$9,J$9))</f>
        <v>0</v>
      </c>
      <c r="K51" s="13">
        <f>IF($F51="s-curve",$D51+($E51-$D51)*$I$2/(1+EXP($I$3*(COUNT($H$9:K$9)+$I$4))),TREND($D51:$E51,$D$9:$E$9,K$9))</f>
        <v>0</v>
      </c>
      <c r="L51" s="13">
        <f>IF($F51="s-curve",$D51+($E51-$D51)*$I$2/(1+EXP($I$3*(COUNT($H$9:L$9)+$I$4))),TREND($D51:$E51,$D$9:$E$9,L$9))</f>
        <v>0</v>
      </c>
      <c r="M51" s="13">
        <f>IF($F51="s-curve",$D51+($E51-$D51)*$I$2/(1+EXP($I$3*(COUNT($H$9:M$9)+$I$4))),TREND($D51:$E51,$D$9:$E$9,M$9))</f>
        <v>0</v>
      </c>
      <c r="N51" s="13">
        <f>IF($F51="s-curve",$D51+($E51-$D51)*$I$2/(1+EXP($I$3*(COUNT($H$9:N$9)+$I$4))),TREND($D51:$E51,$D$9:$E$9,N$9))</f>
        <v>0</v>
      </c>
      <c r="O51" s="13">
        <f>IF($F51="s-curve",$D51+($E51-$D51)*$I$2/(1+EXP($I$3*(COUNT($H$9:O$9)+$I$4))),TREND($D51:$E51,$D$9:$E$9,O$9))</f>
        <v>0</v>
      </c>
      <c r="P51" s="13">
        <f>IF($F51="s-curve",$D51+($E51-$D51)*$I$2/(1+EXP($I$3*(COUNT($H$9:P$9)+$I$4))),TREND($D51:$E51,$D$9:$E$9,P$9))</f>
        <v>0</v>
      </c>
      <c r="Q51" s="13">
        <f>IF($F51="s-curve",$D51+($E51-$D51)*$I$2/(1+EXP($I$3*(COUNT($H$9:Q$9)+$I$4))),TREND($D51:$E51,$D$9:$E$9,Q$9))</f>
        <v>0</v>
      </c>
      <c r="R51" s="13">
        <f>IF($F51="s-curve",$D51+($E51-$D51)*$I$2/(1+EXP($I$3*(COUNT($H$9:R$9)+$I$4))),TREND($D51:$E51,$D$9:$E$9,R$9))</f>
        <v>0</v>
      </c>
      <c r="S51" s="13">
        <f>IF($F51="s-curve",$D51+($E51-$D51)*$I$2/(1+EXP($I$3*(COUNT($H$9:S$9)+$I$4))),TREND($D51:$E51,$D$9:$E$9,S$9))</f>
        <v>0</v>
      </c>
      <c r="T51" s="13">
        <f>IF($F51="s-curve",$D51+($E51-$D51)*$I$2/(1+EXP($I$3*(COUNT($H$9:T$9)+$I$4))),TREND($D51:$E51,$D$9:$E$9,T$9))</f>
        <v>0</v>
      </c>
      <c r="U51" s="13">
        <f>IF($F51="s-curve",$D51+($E51-$D51)*$I$2/(1+EXP($I$3*(COUNT($H$9:U$9)+$I$4))),TREND($D51:$E51,$D$9:$E$9,U$9))</f>
        <v>0</v>
      </c>
      <c r="V51" s="13">
        <f>IF($F51="s-curve",$D51+($E51-$D51)*$I$2/(1+EXP($I$3*(COUNT($H$9:V$9)+$I$4))),TREND($D51:$E51,$D$9:$E$9,V$9))</f>
        <v>0</v>
      </c>
      <c r="W51" s="13">
        <f>IF($F51="s-curve",$D51+($E51-$D51)*$I$2/(1+EXP($I$3*(COUNT($H$9:W$9)+$I$4))),TREND($D51:$E51,$D$9:$E$9,W$9))</f>
        <v>0</v>
      </c>
      <c r="X51" s="13">
        <f>IF($F51="s-curve",$D51+($E51-$D51)*$I$2/(1+EXP($I$3*(COUNT($H$9:X$9)+$I$4))),TREND($D51:$E51,$D$9:$E$9,X$9))</f>
        <v>0</v>
      </c>
      <c r="Y51" s="13">
        <f>IF($F51="s-curve",$D51+($E51-$D51)*$I$2/(1+EXP($I$3*(COUNT($H$9:Y$9)+$I$4))),TREND($D51:$E51,$D$9:$E$9,Y$9))</f>
        <v>0</v>
      </c>
      <c r="Z51" s="13">
        <f>IF($F51="s-curve",$D51+($E51-$D51)*$I$2/(1+EXP($I$3*(COUNT($H$9:Z$9)+$I$4))),TREND($D51:$E51,$D$9:$E$9,Z$9))</f>
        <v>0</v>
      </c>
      <c r="AA51" s="13">
        <f>IF($F51="s-curve",$D51+($E51-$D51)*$I$2/(1+EXP($I$3*(COUNT($H$9:AA$9)+$I$4))),TREND($D51:$E51,$D$9:$E$9,AA$9))</f>
        <v>0</v>
      </c>
      <c r="AB51" s="13">
        <f>IF($F51="s-curve",$D51+($E51-$D51)*$I$2/(1+EXP($I$3*(COUNT($H$9:AB$9)+$I$4))),TREND($D51:$E51,$D$9:$E$9,AB$9))</f>
        <v>0</v>
      </c>
      <c r="AC51" s="13">
        <f>IF($F51="s-curve",$D51+($E51-$D51)*$I$2/(1+EXP($I$3*(COUNT($H$9:AC$9)+$I$4))),TREND($D51:$E51,$D$9:$E$9,AC$9))</f>
        <v>0</v>
      </c>
      <c r="AD51" s="13">
        <f>IF($F51="s-curve",$D51+($E51-$D51)*$I$2/(1+EXP($I$3*(COUNT($H$9:AD$9)+$I$4))),TREND($D51:$E51,$D$9:$E$9,AD$9))</f>
        <v>0</v>
      </c>
      <c r="AE51" s="13">
        <f>IF($F51="s-curve",$D51+($E51-$D51)*$I$2/(1+EXP($I$3*(COUNT($H$9:AE$9)+$I$4))),TREND($D51:$E51,$D$9:$E$9,AE$9))</f>
        <v>0</v>
      </c>
      <c r="AF51" s="13">
        <f>IF($F51="s-curve",$D51+($E51-$D51)*$I$2/(1+EXP($I$3*(COUNT($H$9:AF$9)+$I$4))),TREND($D51:$E51,$D$9:$E$9,AF$9))</f>
        <v>0</v>
      </c>
      <c r="AG51" s="13">
        <f>IF($F51="s-curve",$D51+($E51-$D51)*$I$2/(1+EXP($I$3*(COUNT($H$9:AG$9)+$I$4))),TREND($D51:$E51,$D$9:$E$9,AG$9))</f>
        <v>0</v>
      </c>
      <c r="AH51" s="13">
        <f>IF($F51="s-curve",$D51+($E51-$D51)*$I$2/(1+EXP($I$3*(COUNT($H$9:AH$9)+$I$4))),TREND($D51:$E51,$D$9:$E$9,AH$9))</f>
        <v>0</v>
      </c>
      <c r="AI51" s="13">
        <f>IF($F51="s-curve",$D51+($E51-$D51)*$I$2/(1+EXP($I$3*(COUNT($H$9:AI$9)+$I$4))),TREND($D51:$E51,$D$9:$E$9,AI$9))</f>
        <v>0</v>
      </c>
      <c r="AJ51" s="13">
        <f>IF($F51="s-curve",$D51+($E51-$D51)*$I$2/(1+EXP($I$3*(COUNT($H$9:AJ$9)+$I$4))),TREND($D51:$E51,$D$9:$E$9,AJ$9))</f>
        <v>0</v>
      </c>
      <c r="AK51" s="13">
        <f>IF($F51="s-curve",$D51+($E51-$D51)*$I$2/(1+EXP($I$3*(COUNT($H$9:AK$9)+$I$4))),TREND($D51:$E51,$D$9:$E$9,AK$9))</f>
        <v>0</v>
      </c>
      <c r="AL51" s="13">
        <f>IF($F51="s-curve",$D51+($E51-$D51)*$I$2/(1+EXP($I$3*(COUNT($H$9:AL$9)+$I$4))),TREND($D51:$E51,$D$9:$E$9,AL$9))</f>
        <v>0</v>
      </c>
    </row>
    <row r="52" spans="1:38" x14ac:dyDescent="0.35">
      <c r="A52" s="13" t="s">
        <v>15</v>
      </c>
      <c r="B52" s="13" t="s">
        <v>19</v>
      </c>
      <c r="C52" s="13" t="s">
        <v>1</v>
      </c>
      <c r="D52" s="24">
        <f>MIN(1.25*INDEX('SYVbT-passenger'!$B$5:$H$5,MATCH(Data!$C10,'SYVbT-passenger'!$B$1:$H$1,0))/SUM('SYVbT-passenger'!$B$5:$H$5),1)</f>
        <v>0.76226911968156119</v>
      </c>
      <c r="E52" s="24">
        <f>D52</f>
        <v>0.76226911968156119</v>
      </c>
      <c r="F52" s="7" t="str">
        <f>IF(D52=E52,"n/a",IF(OR(C52="battery electric vehicle",C52="natural gas vehicle",C52="plugin hybrid vehicle"),"s-curve","linear"))</f>
        <v>n/a</v>
      </c>
      <c r="H52" s="24">
        <f t="shared" si="6"/>
        <v>0.76226911968156119</v>
      </c>
      <c r="I52" s="13">
        <f>IF($F52="s-curve",$D52+($E52-$D52)*$I$2/(1+EXP($I$3*(COUNT($H$9:I$9)+$I$4))),TREND($D52:$E52,$D$9:$E$9,I$9))</f>
        <v>0.76226911968156119</v>
      </c>
      <c r="J52" s="13">
        <f>IF($F52="s-curve",$D52+($E52-$D52)*$I$2/(1+EXP($I$3*(COUNT($H$9:J$9)+$I$4))),TREND($D52:$E52,$D$9:$E$9,J$9))</f>
        <v>0.76226911968156119</v>
      </c>
      <c r="K52" s="13">
        <f>IF($F52="s-curve",$D52+($E52-$D52)*$I$2/(1+EXP($I$3*(COUNT($H$9:K$9)+$I$4))),TREND($D52:$E52,$D$9:$E$9,K$9))</f>
        <v>0.76226911968156119</v>
      </c>
      <c r="L52" s="13">
        <f>IF($F52="s-curve",$D52+($E52-$D52)*$I$2/(1+EXP($I$3*(COUNT($H$9:L$9)+$I$4))),TREND($D52:$E52,$D$9:$E$9,L$9))</f>
        <v>0.76226911968156119</v>
      </c>
      <c r="M52" s="13">
        <f>IF($F52="s-curve",$D52+($E52-$D52)*$I$2/(1+EXP($I$3*(COUNT($H$9:M$9)+$I$4))),TREND($D52:$E52,$D$9:$E$9,M$9))</f>
        <v>0.76226911968156119</v>
      </c>
      <c r="N52" s="13">
        <f>IF($F52="s-curve",$D52+($E52-$D52)*$I$2/(1+EXP($I$3*(COUNT($H$9:N$9)+$I$4))),TREND($D52:$E52,$D$9:$E$9,N$9))</f>
        <v>0.76226911968156119</v>
      </c>
      <c r="O52" s="13">
        <f>IF($F52="s-curve",$D52+($E52-$D52)*$I$2/(1+EXP($I$3*(COUNT($H$9:O$9)+$I$4))),TREND($D52:$E52,$D$9:$E$9,O$9))</f>
        <v>0.76226911968156119</v>
      </c>
      <c r="P52" s="13">
        <f>IF($F52="s-curve",$D52+($E52-$D52)*$I$2/(1+EXP($I$3*(COUNT($H$9:P$9)+$I$4))),TREND($D52:$E52,$D$9:$E$9,P$9))</f>
        <v>0.76226911968156119</v>
      </c>
      <c r="Q52" s="13">
        <f>IF($F52="s-curve",$D52+($E52-$D52)*$I$2/(1+EXP($I$3*(COUNT($H$9:Q$9)+$I$4))),TREND($D52:$E52,$D$9:$E$9,Q$9))</f>
        <v>0.76226911968156119</v>
      </c>
      <c r="R52" s="13">
        <f>IF($F52="s-curve",$D52+($E52-$D52)*$I$2/(1+EXP($I$3*(COUNT($H$9:R$9)+$I$4))),TREND($D52:$E52,$D$9:$E$9,R$9))</f>
        <v>0.76226911968156119</v>
      </c>
      <c r="S52" s="13">
        <f>IF($F52="s-curve",$D52+($E52-$D52)*$I$2/(1+EXP($I$3*(COUNT($H$9:S$9)+$I$4))),TREND($D52:$E52,$D$9:$E$9,S$9))</f>
        <v>0.76226911968156119</v>
      </c>
      <c r="T52" s="13">
        <f>IF($F52="s-curve",$D52+($E52-$D52)*$I$2/(1+EXP($I$3*(COUNT($H$9:T$9)+$I$4))),TREND($D52:$E52,$D$9:$E$9,T$9))</f>
        <v>0.76226911968156119</v>
      </c>
      <c r="U52" s="13">
        <f>IF($F52="s-curve",$D52+($E52-$D52)*$I$2/(1+EXP($I$3*(COUNT($H$9:U$9)+$I$4))),TREND($D52:$E52,$D$9:$E$9,U$9))</f>
        <v>0.76226911968156119</v>
      </c>
      <c r="V52" s="13">
        <f>IF($F52="s-curve",$D52+($E52-$D52)*$I$2/(1+EXP($I$3*(COUNT($H$9:V$9)+$I$4))),TREND($D52:$E52,$D$9:$E$9,V$9))</f>
        <v>0.76226911968156119</v>
      </c>
      <c r="W52" s="13">
        <f>IF($F52="s-curve",$D52+($E52-$D52)*$I$2/(1+EXP($I$3*(COUNT($H$9:W$9)+$I$4))),TREND($D52:$E52,$D$9:$E$9,W$9))</f>
        <v>0.76226911968156119</v>
      </c>
      <c r="X52" s="13">
        <f>IF($F52="s-curve",$D52+($E52-$D52)*$I$2/(1+EXP($I$3*(COUNT($H$9:X$9)+$I$4))),TREND($D52:$E52,$D$9:$E$9,X$9))</f>
        <v>0.76226911968156119</v>
      </c>
      <c r="Y52" s="13">
        <f>IF($F52="s-curve",$D52+($E52-$D52)*$I$2/(1+EXP($I$3*(COUNT($H$9:Y$9)+$I$4))),TREND($D52:$E52,$D$9:$E$9,Y$9))</f>
        <v>0.76226911968156119</v>
      </c>
      <c r="Z52" s="13">
        <f>IF($F52="s-curve",$D52+($E52-$D52)*$I$2/(1+EXP($I$3*(COUNT($H$9:Z$9)+$I$4))),TREND($D52:$E52,$D$9:$E$9,Z$9))</f>
        <v>0.76226911968156119</v>
      </c>
      <c r="AA52" s="13">
        <f>IF($F52="s-curve",$D52+($E52-$D52)*$I$2/(1+EXP($I$3*(COUNT($H$9:AA$9)+$I$4))),TREND($D52:$E52,$D$9:$E$9,AA$9))</f>
        <v>0.76226911968156119</v>
      </c>
      <c r="AB52" s="13">
        <f>IF($F52="s-curve",$D52+($E52-$D52)*$I$2/(1+EXP($I$3*(COUNT($H$9:AB$9)+$I$4))),TREND($D52:$E52,$D$9:$E$9,AB$9))</f>
        <v>0.76226911968156119</v>
      </c>
      <c r="AC52" s="13">
        <f>IF($F52="s-curve",$D52+($E52-$D52)*$I$2/(1+EXP($I$3*(COUNT($H$9:AC$9)+$I$4))),TREND($D52:$E52,$D$9:$E$9,AC$9))</f>
        <v>0.76226911968156119</v>
      </c>
      <c r="AD52" s="13">
        <f>IF($F52="s-curve",$D52+($E52-$D52)*$I$2/(1+EXP($I$3*(COUNT($H$9:AD$9)+$I$4))),TREND($D52:$E52,$D$9:$E$9,AD$9))</f>
        <v>0.76226911968156119</v>
      </c>
      <c r="AE52" s="13">
        <f>IF($F52="s-curve",$D52+($E52-$D52)*$I$2/(1+EXP($I$3*(COUNT($H$9:AE$9)+$I$4))),TREND($D52:$E52,$D$9:$E$9,AE$9))</f>
        <v>0.76226911968156119</v>
      </c>
      <c r="AF52" s="13">
        <f>IF($F52="s-curve",$D52+($E52-$D52)*$I$2/(1+EXP($I$3*(COUNT($H$9:AF$9)+$I$4))),TREND($D52:$E52,$D$9:$E$9,AF$9))</f>
        <v>0.76226911968156119</v>
      </c>
      <c r="AG52" s="13">
        <f>IF($F52="s-curve",$D52+($E52-$D52)*$I$2/(1+EXP($I$3*(COUNT($H$9:AG$9)+$I$4))),TREND($D52:$E52,$D$9:$E$9,AG$9))</f>
        <v>0.76226911968156119</v>
      </c>
      <c r="AH52" s="13">
        <f>IF($F52="s-curve",$D52+($E52-$D52)*$I$2/(1+EXP($I$3*(COUNT($H$9:AH$9)+$I$4))),TREND($D52:$E52,$D$9:$E$9,AH$9))</f>
        <v>0.76226911968156119</v>
      </c>
      <c r="AI52" s="13">
        <f>IF($F52="s-curve",$D52+($E52-$D52)*$I$2/(1+EXP($I$3*(COUNT($H$9:AI$9)+$I$4))),TREND($D52:$E52,$D$9:$E$9,AI$9))</f>
        <v>0.76226911968156119</v>
      </c>
      <c r="AJ52" s="13">
        <f>IF($F52="s-curve",$D52+($E52-$D52)*$I$2/(1+EXP($I$3*(COUNT($H$9:AJ$9)+$I$4))),TREND($D52:$E52,$D$9:$E$9,AJ$9))</f>
        <v>0.76226911968156119</v>
      </c>
      <c r="AK52" s="13">
        <f>IF($F52="s-curve",$D52+($E52-$D52)*$I$2/(1+EXP($I$3*(COUNT($H$9:AK$9)+$I$4))),TREND($D52:$E52,$D$9:$E$9,AK$9))</f>
        <v>0.76226911968156119</v>
      </c>
      <c r="AL52" s="13">
        <f>IF($F52="s-curve",$D52+($E52-$D52)*$I$2/(1+EXP($I$3*(COUNT($H$9:AL$9)+$I$4))),TREND($D52:$E52,$D$9:$E$9,AL$9))</f>
        <v>0.76226911968156119</v>
      </c>
    </row>
    <row r="53" spans="1:38" x14ac:dyDescent="0.35">
      <c r="C53" s="13" t="s">
        <v>2</v>
      </c>
      <c r="D53" s="24">
        <f>MIN(1.25*INDEX('SYVbT-passenger'!$B$5:$H$5,MATCH(Data!$C11,'SYVbT-passenger'!$B$1:$H$1,0))/SUM('SYVbT-passenger'!$B$5:$H$5),1)</f>
        <v>0</v>
      </c>
      <c r="E53" s="24">
        <f t="shared" ref="E53:E58" si="7">D53</f>
        <v>0</v>
      </c>
      <c r="F53" s="7" t="str">
        <f>IF(D53=E53,"n/a",IF(OR(C53="battery electric vehicle",C53="natural gas vehicle",C53="plugin hybrid vehicle"),"s-curve","linear"))</f>
        <v>n/a</v>
      </c>
      <c r="H53" s="24">
        <f t="shared" si="6"/>
        <v>0</v>
      </c>
      <c r="I53" s="13">
        <f>IF($F53="s-curve",$D53+($E53-$D53)*$I$2/(1+EXP($I$3*(COUNT($H$9:I$9)+$I$4))),TREND($D53:$E53,$D$9:$E$9,I$9))</f>
        <v>0</v>
      </c>
      <c r="J53" s="13">
        <f>IF($F53="s-curve",$D53+($E53-$D53)*$I$2/(1+EXP($I$3*(COUNT($H$9:J$9)+$I$4))),TREND($D53:$E53,$D$9:$E$9,J$9))</f>
        <v>0</v>
      </c>
      <c r="K53" s="13">
        <f>IF($F53="s-curve",$D53+($E53-$D53)*$I$2/(1+EXP($I$3*(COUNT($H$9:K$9)+$I$4))),TREND($D53:$E53,$D$9:$E$9,K$9))</f>
        <v>0</v>
      </c>
      <c r="L53" s="13">
        <f>IF($F53="s-curve",$D53+($E53-$D53)*$I$2/(1+EXP($I$3*(COUNT($H$9:L$9)+$I$4))),TREND($D53:$E53,$D$9:$E$9,L$9))</f>
        <v>0</v>
      </c>
      <c r="M53" s="13">
        <f>IF($F53="s-curve",$D53+($E53-$D53)*$I$2/(1+EXP($I$3*(COUNT($H$9:M$9)+$I$4))),TREND($D53:$E53,$D$9:$E$9,M$9))</f>
        <v>0</v>
      </c>
      <c r="N53" s="13">
        <f>IF($F53="s-curve",$D53+($E53-$D53)*$I$2/(1+EXP($I$3*(COUNT($H$9:N$9)+$I$4))),TREND($D53:$E53,$D$9:$E$9,N$9))</f>
        <v>0</v>
      </c>
      <c r="O53" s="13">
        <f>IF($F53="s-curve",$D53+($E53-$D53)*$I$2/(1+EXP($I$3*(COUNT($H$9:O$9)+$I$4))),TREND($D53:$E53,$D$9:$E$9,O$9))</f>
        <v>0</v>
      </c>
      <c r="P53" s="13">
        <f>IF($F53="s-curve",$D53+($E53-$D53)*$I$2/(1+EXP($I$3*(COUNT($H$9:P$9)+$I$4))),TREND($D53:$E53,$D$9:$E$9,P$9))</f>
        <v>0</v>
      </c>
      <c r="Q53" s="13">
        <f>IF($F53="s-curve",$D53+($E53-$D53)*$I$2/(1+EXP($I$3*(COUNT($H$9:Q$9)+$I$4))),TREND($D53:$E53,$D$9:$E$9,Q$9))</f>
        <v>0</v>
      </c>
      <c r="R53" s="13">
        <f>IF($F53="s-curve",$D53+($E53-$D53)*$I$2/(1+EXP($I$3*(COUNT($H$9:R$9)+$I$4))),TREND($D53:$E53,$D$9:$E$9,R$9))</f>
        <v>0</v>
      </c>
      <c r="S53" s="13">
        <f>IF($F53="s-curve",$D53+($E53-$D53)*$I$2/(1+EXP($I$3*(COUNT($H$9:S$9)+$I$4))),TREND($D53:$E53,$D$9:$E$9,S$9))</f>
        <v>0</v>
      </c>
      <c r="T53" s="13">
        <f>IF($F53="s-curve",$D53+($E53-$D53)*$I$2/(1+EXP($I$3*(COUNT($H$9:T$9)+$I$4))),TREND($D53:$E53,$D$9:$E$9,T$9))</f>
        <v>0</v>
      </c>
      <c r="U53" s="13">
        <f>IF($F53="s-curve",$D53+($E53-$D53)*$I$2/(1+EXP($I$3*(COUNT($H$9:U$9)+$I$4))),TREND($D53:$E53,$D$9:$E$9,U$9))</f>
        <v>0</v>
      </c>
      <c r="V53" s="13">
        <f>IF($F53="s-curve",$D53+($E53-$D53)*$I$2/(1+EXP($I$3*(COUNT($H$9:V$9)+$I$4))),TREND($D53:$E53,$D$9:$E$9,V$9))</f>
        <v>0</v>
      </c>
      <c r="W53" s="13">
        <f>IF($F53="s-curve",$D53+($E53-$D53)*$I$2/(1+EXP($I$3*(COUNT($H$9:W$9)+$I$4))),TREND($D53:$E53,$D$9:$E$9,W$9))</f>
        <v>0</v>
      </c>
      <c r="X53" s="13">
        <f>IF($F53="s-curve",$D53+($E53-$D53)*$I$2/(1+EXP($I$3*(COUNT($H$9:X$9)+$I$4))),TREND($D53:$E53,$D$9:$E$9,X$9))</f>
        <v>0</v>
      </c>
      <c r="Y53" s="13">
        <f>IF($F53="s-curve",$D53+($E53-$D53)*$I$2/(1+EXP($I$3*(COUNT($H$9:Y$9)+$I$4))),TREND($D53:$E53,$D$9:$E$9,Y$9))</f>
        <v>0</v>
      </c>
      <c r="Z53" s="13">
        <f>IF($F53="s-curve",$D53+($E53-$D53)*$I$2/(1+EXP($I$3*(COUNT($H$9:Z$9)+$I$4))),TREND($D53:$E53,$D$9:$E$9,Z$9))</f>
        <v>0</v>
      </c>
      <c r="AA53" s="13">
        <f>IF($F53="s-curve",$D53+($E53-$D53)*$I$2/(1+EXP($I$3*(COUNT($H$9:AA$9)+$I$4))),TREND($D53:$E53,$D$9:$E$9,AA$9))</f>
        <v>0</v>
      </c>
      <c r="AB53" s="13">
        <f>IF($F53="s-curve",$D53+($E53-$D53)*$I$2/(1+EXP($I$3*(COUNT($H$9:AB$9)+$I$4))),TREND($D53:$E53,$D$9:$E$9,AB$9))</f>
        <v>0</v>
      </c>
      <c r="AC53" s="13">
        <f>IF($F53="s-curve",$D53+($E53-$D53)*$I$2/(1+EXP($I$3*(COUNT($H$9:AC$9)+$I$4))),TREND($D53:$E53,$D$9:$E$9,AC$9))</f>
        <v>0</v>
      </c>
      <c r="AD53" s="13">
        <f>IF($F53="s-curve",$D53+($E53-$D53)*$I$2/(1+EXP($I$3*(COUNT($H$9:AD$9)+$I$4))),TREND($D53:$E53,$D$9:$E$9,AD$9))</f>
        <v>0</v>
      </c>
      <c r="AE53" s="13">
        <f>IF($F53="s-curve",$D53+($E53-$D53)*$I$2/(1+EXP($I$3*(COUNT($H$9:AE$9)+$I$4))),TREND($D53:$E53,$D$9:$E$9,AE$9))</f>
        <v>0</v>
      </c>
      <c r="AF53" s="13">
        <f>IF($F53="s-curve",$D53+($E53-$D53)*$I$2/(1+EXP($I$3*(COUNT($H$9:AF$9)+$I$4))),TREND($D53:$E53,$D$9:$E$9,AF$9))</f>
        <v>0</v>
      </c>
      <c r="AG53" s="13">
        <f>IF($F53="s-curve",$D53+($E53-$D53)*$I$2/(1+EXP($I$3*(COUNT($H$9:AG$9)+$I$4))),TREND($D53:$E53,$D$9:$E$9,AG$9))</f>
        <v>0</v>
      </c>
      <c r="AH53" s="13">
        <f>IF($F53="s-curve",$D53+($E53-$D53)*$I$2/(1+EXP($I$3*(COUNT($H$9:AH$9)+$I$4))),TREND($D53:$E53,$D$9:$E$9,AH$9))</f>
        <v>0</v>
      </c>
      <c r="AI53" s="13">
        <f>IF($F53="s-curve",$D53+($E53-$D53)*$I$2/(1+EXP($I$3*(COUNT($H$9:AI$9)+$I$4))),TREND($D53:$E53,$D$9:$E$9,AI$9))</f>
        <v>0</v>
      </c>
      <c r="AJ53" s="13">
        <f>IF($F53="s-curve",$D53+($E53-$D53)*$I$2/(1+EXP($I$3*(COUNT($H$9:AJ$9)+$I$4))),TREND($D53:$E53,$D$9:$E$9,AJ$9))</f>
        <v>0</v>
      </c>
      <c r="AK53" s="13">
        <f>IF($F53="s-curve",$D53+($E53-$D53)*$I$2/(1+EXP($I$3*(COUNT($H$9:AK$9)+$I$4))),TREND($D53:$E53,$D$9:$E$9,AK$9))</f>
        <v>0</v>
      </c>
      <c r="AL53" s="13">
        <f>IF($F53="s-curve",$D53+($E53-$D53)*$I$2/(1+EXP($I$3*(COUNT($H$9:AL$9)+$I$4))),TREND($D53:$E53,$D$9:$E$9,AL$9))</f>
        <v>0</v>
      </c>
    </row>
    <row r="54" spans="1:38" x14ac:dyDescent="0.35">
      <c r="C54" s="13" t="s">
        <v>3</v>
      </c>
      <c r="D54" s="24">
        <f>MIN(1.25*INDEX('SYVbT-passenger'!$B$5:$H$5,MATCH(Data!$C12,'SYVbT-passenger'!$B$1:$H$1,0))/SUM('SYVbT-passenger'!$B$5:$H$5),1)</f>
        <v>0</v>
      </c>
      <c r="E54" s="24">
        <f t="shared" si="7"/>
        <v>0</v>
      </c>
      <c r="F54" s="7" t="str">
        <f>IF(D54=E54,"n/a",IF(OR(C54="battery electric vehicle",C54="natural gas vehicle",C54="plugin hybrid vehicle"),"s-curve","linear"))</f>
        <v>n/a</v>
      </c>
      <c r="H54" s="24">
        <f t="shared" si="6"/>
        <v>0</v>
      </c>
      <c r="I54" s="13">
        <f>IF($F54="s-curve",$D54+($E54-$D54)*$I$2/(1+EXP($I$3*(COUNT($H$9:I$9)+$I$4))),TREND($D54:$E54,$D$9:$E$9,I$9))</f>
        <v>0</v>
      </c>
      <c r="J54" s="13">
        <f>IF($F54="s-curve",$D54+($E54-$D54)*$I$2/(1+EXP($I$3*(COUNT($H$9:J$9)+$I$4))),TREND($D54:$E54,$D$9:$E$9,J$9))</f>
        <v>0</v>
      </c>
      <c r="K54" s="13">
        <f>IF($F54="s-curve",$D54+($E54-$D54)*$I$2/(1+EXP($I$3*(COUNT($H$9:K$9)+$I$4))),TREND($D54:$E54,$D$9:$E$9,K$9))</f>
        <v>0</v>
      </c>
      <c r="L54" s="13">
        <f>IF($F54="s-curve",$D54+($E54-$D54)*$I$2/(1+EXP($I$3*(COUNT($H$9:L$9)+$I$4))),TREND($D54:$E54,$D$9:$E$9,L$9))</f>
        <v>0</v>
      </c>
      <c r="M54" s="13">
        <f>IF($F54="s-curve",$D54+($E54-$D54)*$I$2/(1+EXP($I$3*(COUNT($H$9:M$9)+$I$4))),TREND($D54:$E54,$D$9:$E$9,M$9))</f>
        <v>0</v>
      </c>
      <c r="N54" s="13">
        <f>IF($F54="s-curve",$D54+($E54-$D54)*$I$2/(1+EXP($I$3*(COUNT($H$9:N$9)+$I$4))),TREND($D54:$E54,$D$9:$E$9,N$9))</f>
        <v>0</v>
      </c>
      <c r="O54" s="13">
        <f>IF($F54="s-curve",$D54+($E54-$D54)*$I$2/(1+EXP($I$3*(COUNT($H$9:O$9)+$I$4))),TREND($D54:$E54,$D$9:$E$9,O$9))</f>
        <v>0</v>
      </c>
      <c r="P54" s="13">
        <f>IF($F54="s-curve",$D54+($E54-$D54)*$I$2/(1+EXP($I$3*(COUNT($H$9:P$9)+$I$4))),TREND($D54:$E54,$D$9:$E$9,P$9))</f>
        <v>0</v>
      </c>
      <c r="Q54" s="13">
        <f>IF($F54="s-curve",$D54+($E54-$D54)*$I$2/(1+EXP($I$3*(COUNT($H$9:Q$9)+$I$4))),TREND($D54:$E54,$D$9:$E$9,Q$9))</f>
        <v>0</v>
      </c>
      <c r="R54" s="13">
        <f>IF($F54="s-curve",$D54+($E54-$D54)*$I$2/(1+EXP($I$3*(COUNT($H$9:R$9)+$I$4))),TREND($D54:$E54,$D$9:$E$9,R$9))</f>
        <v>0</v>
      </c>
      <c r="S54" s="13">
        <f>IF($F54="s-curve",$D54+($E54-$D54)*$I$2/(1+EXP($I$3*(COUNT($H$9:S$9)+$I$4))),TREND($D54:$E54,$D$9:$E$9,S$9))</f>
        <v>0</v>
      </c>
      <c r="T54" s="13">
        <f>IF($F54="s-curve",$D54+($E54-$D54)*$I$2/(1+EXP($I$3*(COUNT($H$9:T$9)+$I$4))),TREND($D54:$E54,$D$9:$E$9,T$9))</f>
        <v>0</v>
      </c>
      <c r="U54" s="13">
        <f>IF($F54="s-curve",$D54+($E54-$D54)*$I$2/(1+EXP($I$3*(COUNT($H$9:U$9)+$I$4))),TREND($D54:$E54,$D$9:$E$9,U$9))</f>
        <v>0</v>
      </c>
      <c r="V54" s="13">
        <f>IF($F54="s-curve",$D54+($E54-$D54)*$I$2/(1+EXP($I$3*(COUNT($H$9:V$9)+$I$4))),TREND($D54:$E54,$D$9:$E$9,V$9))</f>
        <v>0</v>
      </c>
      <c r="W54" s="13">
        <f>IF($F54="s-curve",$D54+($E54-$D54)*$I$2/(1+EXP($I$3*(COUNT($H$9:W$9)+$I$4))),TREND($D54:$E54,$D$9:$E$9,W$9))</f>
        <v>0</v>
      </c>
      <c r="X54" s="13">
        <f>IF($F54="s-curve",$D54+($E54-$D54)*$I$2/(1+EXP($I$3*(COUNT($H$9:X$9)+$I$4))),TREND($D54:$E54,$D$9:$E$9,X$9))</f>
        <v>0</v>
      </c>
      <c r="Y54" s="13">
        <f>IF($F54="s-curve",$D54+($E54-$D54)*$I$2/(1+EXP($I$3*(COUNT($H$9:Y$9)+$I$4))),TREND($D54:$E54,$D$9:$E$9,Y$9))</f>
        <v>0</v>
      </c>
      <c r="Z54" s="13">
        <f>IF($F54="s-curve",$D54+($E54-$D54)*$I$2/(1+EXP($I$3*(COUNT($H$9:Z$9)+$I$4))),TREND($D54:$E54,$D$9:$E$9,Z$9))</f>
        <v>0</v>
      </c>
      <c r="AA54" s="13">
        <f>IF($F54="s-curve",$D54+($E54-$D54)*$I$2/(1+EXP($I$3*(COUNT($H$9:AA$9)+$I$4))),TREND($D54:$E54,$D$9:$E$9,AA$9))</f>
        <v>0</v>
      </c>
      <c r="AB54" s="13">
        <f>IF($F54="s-curve",$D54+($E54-$D54)*$I$2/(1+EXP($I$3*(COUNT($H$9:AB$9)+$I$4))),TREND($D54:$E54,$D$9:$E$9,AB$9))</f>
        <v>0</v>
      </c>
      <c r="AC54" s="13">
        <f>IF($F54="s-curve",$D54+($E54-$D54)*$I$2/(1+EXP($I$3*(COUNT($H$9:AC$9)+$I$4))),TREND($D54:$E54,$D$9:$E$9,AC$9))</f>
        <v>0</v>
      </c>
      <c r="AD54" s="13">
        <f>IF($F54="s-curve",$D54+($E54-$D54)*$I$2/(1+EXP($I$3*(COUNT($H$9:AD$9)+$I$4))),TREND($D54:$E54,$D$9:$E$9,AD$9))</f>
        <v>0</v>
      </c>
      <c r="AE54" s="13">
        <f>IF($F54="s-curve",$D54+($E54-$D54)*$I$2/(1+EXP($I$3*(COUNT($H$9:AE$9)+$I$4))),TREND($D54:$E54,$D$9:$E$9,AE$9))</f>
        <v>0</v>
      </c>
      <c r="AF54" s="13">
        <f>IF($F54="s-curve",$D54+($E54-$D54)*$I$2/(1+EXP($I$3*(COUNT($H$9:AF$9)+$I$4))),TREND($D54:$E54,$D$9:$E$9,AF$9))</f>
        <v>0</v>
      </c>
      <c r="AG54" s="13">
        <f>IF($F54="s-curve",$D54+($E54-$D54)*$I$2/(1+EXP($I$3*(COUNT($H$9:AG$9)+$I$4))),TREND($D54:$E54,$D$9:$E$9,AG$9))</f>
        <v>0</v>
      </c>
      <c r="AH54" s="13">
        <f>IF($F54="s-curve",$D54+($E54-$D54)*$I$2/(1+EXP($I$3*(COUNT($H$9:AH$9)+$I$4))),TREND($D54:$E54,$D$9:$E$9,AH$9))</f>
        <v>0</v>
      </c>
      <c r="AI54" s="13">
        <f>IF($F54="s-curve",$D54+($E54-$D54)*$I$2/(1+EXP($I$3*(COUNT($H$9:AI$9)+$I$4))),TREND($D54:$E54,$D$9:$E$9,AI$9))</f>
        <v>0</v>
      </c>
      <c r="AJ54" s="13">
        <f>IF($F54="s-curve",$D54+($E54-$D54)*$I$2/(1+EXP($I$3*(COUNT($H$9:AJ$9)+$I$4))),TREND($D54:$E54,$D$9:$E$9,AJ$9))</f>
        <v>0</v>
      </c>
      <c r="AK54" s="13">
        <f>IF($F54="s-curve",$D54+($E54-$D54)*$I$2/(1+EXP($I$3*(COUNT($H$9:AK$9)+$I$4))),TREND($D54:$E54,$D$9:$E$9,AK$9))</f>
        <v>0</v>
      </c>
      <c r="AL54" s="13">
        <f>IF($F54="s-curve",$D54+($E54-$D54)*$I$2/(1+EXP($I$3*(COUNT($H$9:AL$9)+$I$4))),TREND($D54:$E54,$D$9:$E$9,AL$9))</f>
        <v>0</v>
      </c>
    </row>
    <row r="55" spans="1:38" x14ac:dyDescent="0.35">
      <c r="C55" s="13" t="s">
        <v>4</v>
      </c>
      <c r="D55" s="24">
        <f>MIN(1.25*INDEX('SYVbT-passenger'!$B$5:$H$5,MATCH(Data!$C13,'SYVbT-passenger'!$B$1:$H$1,0))/SUM('SYVbT-passenger'!$B$5:$H$5),1)</f>
        <v>0.48773088031843881</v>
      </c>
      <c r="E55" s="24">
        <f t="shared" si="7"/>
        <v>0.48773088031843881</v>
      </c>
      <c r="F55" s="7" t="str">
        <f>IF(D55=E55,"n/a",IF(OR(C55="battery electric vehicle",C55="natural gas vehicle",C55="plugin hybrid vehicle"),"s-curve","linear"))</f>
        <v>n/a</v>
      </c>
      <c r="H55" s="24">
        <f t="shared" si="6"/>
        <v>0.48773088031843881</v>
      </c>
      <c r="I55" s="13">
        <f>IF($F55="s-curve",$D55+($E55-$D55)*$I$2/(1+EXP($I$3*(COUNT($H$9:I$9)+$I$4))),TREND($D55:$E55,$D$9:$E$9,I$9))</f>
        <v>0.48773088031843881</v>
      </c>
      <c r="J55" s="13">
        <f>IF($F55="s-curve",$D55+($E55-$D55)*$I$2/(1+EXP($I$3*(COUNT($H$9:J$9)+$I$4))),TREND($D55:$E55,$D$9:$E$9,J$9))</f>
        <v>0.48773088031843881</v>
      </c>
      <c r="K55" s="13">
        <f>IF($F55="s-curve",$D55+($E55-$D55)*$I$2/(1+EXP($I$3*(COUNT($H$9:K$9)+$I$4))),TREND($D55:$E55,$D$9:$E$9,K$9))</f>
        <v>0.48773088031843881</v>
      </c>
      <c r="L55" s="13">
        <f>IF($F55="s-curve",$D55+($E55-$D55)*$I$2/(1+EXP($I$3*(COUNT($H$9:L$9)+$I$4))),TREND($D55:$E55,$D$9:$E$9,L$9))</f>
        <v>0.48773088031843881</v>
      </c>
      <c r="M55" s="13">
        <f>IF($F55="s-curve",$D55+($E55-$D55)*$I$2/(1+EXP($I$3*(COUNT($H$9:M$9)+$I$4))),TREND($D55:$E55,$D$9:$E$9,M$9))</f>
        <v>0.48773088031843881</v>
      </c>
      <c r="N55" s="13">
        <f>IF($F55="s-curve",$D55+($E55-$D55)*$I$2/(1+EXP($I$3*(COUNT($H$9:N$9)+$I$4))),TREND($D55:$E55,$D$9:$E$9,N$9))</f>
        <v>0.48773088031843881</v>
      </c>
      <c r="O55" s="13">
        <f>IF($F55="s-curve",$D55+($E55-$D55)*$I$2/(1+EXP($I$3*(COUNT($H$9:O$9)+$I$4))),TREND($D55:$E55,$D$9:$E$9,O$9))</f>
        <v>0.48773088031843881</v>
      </c>
      <c r="P55" s="13">
        <f>IF($F55="s-curve",$D55+($E55-$D55)*$I$2/(1+EXP($I$3*(COUNT($H$9:P$9)+$I$4))),TREND($D55:$E55,$D$9:$E$9,P$9))</f>
        <v>0.48773088031843881</v>
      </c>
      <c r="Q55" s="13">
        <f>IF($F55="s-curve",$D55+($E55-$D55)*$I$2/(1+EXP($I$3*(COUNT($H$9:Q$9)+$I$4))),TREND($D55:$E55,$D$9:$E$9,Q$9))</f>
        <v>0.48773088031843881</v>
      </c>
      <c r="R55" s="13">
        <f>IF($F55="s-curve",$D55+($E55-$D55)*$I$2/(1+EXP($I$3*(COUNT($H$9:R$9)+$I$4))),TREND($D55:$E55,$D$9:$E$9,R$9))</f>
        <v>0.48773088031843881</v>
      </c>
      <c r="S55" s="13">
        <f>IF($F55="s-curve",$D55+($E55-$D55)*$I$2/(1+EXP($I$3*(COUNT($H$9:S$9)+$I$4))),TREND($D55:$E55,$D$9:$E$9,S$9))</f>
        <v>0.48773088031843881</v>
      </c>
      <c r="T55" s="13">
        <f>IF($F55="s-curve",$D55+($E55-$D55)*$I$2/(1+EXP($I$3*(COUNT($H$9:T$9)+$I$4))),TREND($D55:$E55,$D$9:$E$9,T$9))</f>
        <v>0.48773088031843881</v>
      </c>
      <c r="U55" s="13">
        <f>IF($F55="s-curve",$D55+($E55-$D55)*$I$2/(1+EXP($I$3*(COUNT($H$9:U$9)+$I$4))),TREND($D55:$E55,$D$9:$E$9,U$9))</f>
        <v>0.48773088031843881</v>
      </c>
      <c r="V55" s="13">
        <f>IF($F55="s-curve",$D55+($E55-$D55)*$I$2/(1+EXP($I$3*(COUNT($H$9:V$9)+$I$4))),TREND($D55:$E55,$D$9:$E$9,V$9))</f>
        <v>0.48773088031843881</v>
      </c>
      <c r="W55" s="13">
        <f>IF($F55="s-curve",$D55+($E55-$D55)*$I$2/(1+EXP($I$3*(COUNT($H$9:W$9)+$I$4))),TREND($D55:$E55,$D$9:$E$9,W$9))</f>
        <v>0.48773088031843881</v>
      </c>
      <c r="X55" s="13">
        <f>IF($F55="s-curve",$D55+($E55-$D55)*$I$2/(1+EXP($I$3*(COUNT($H$9:X$9)+$I$4))),TREND($D55:$E55,$D$9:$E$9,X$9))</f>
        <v>0.48773088031843881</v>
      </c>
      <c r="Y55" s="13">
        <f>IF($F55="s-curve",$D55+($E55-$D55)*$I$2/(1+EXP($I$3*(COUNT($H$9:Y$9)+$I$4))),TREND($D55:$E55,$D$9:$E$9,Y$9))</f>
        <v>0.48773088031843881</v>
      </c>
      <c r="Z55" s="13">
        <f>IF($F55="s-curve",$D55+($E55-$D55)*$I$2/(1+EXP($I$3*(COUNT($H$9:Z$9)+$I$4))),TREND($D55:$E55,$D$9:$E$9,Z$9))</f>
        <v>0.48773088031843881</v>
      </c>
      <c r="AA55" s="13">
        <f>IF($F55="s-curve",$D55+($E55-$D55)*$I$2/(1+EXP($I$3*(COUNT($H$9:AA$9)+$I$4))),TREND($D55:$E55,$D$9:$E$9,AA$9))</f>
        <v>0.48773088031843881</v>
      </c>
      <c r="AB55" s="13">
        <f>IF($F55="s-curve",$D55+($E55-$D55)*$I$2/(1+EXP($I$3*(COUNT($H$9:AB$9)+$I$4))),TREND($D55:$E55,$D$9:$E$9,AB$9))</f>
        <v>0.48773088031843881</v>
      </c>
      <c r="AC55" s="13">
        <f>IF($F55="s-curve",$D55+($E55-$D55)*$I$2/(1+EXP($I$3*(COUNT($H$9:AC$9)+$I$4))),TREND($D55:$E55,$D$9:$E$9,AC$9))</f>
        <v>0.48773088031843881</v>
      </c>
      <c r="AD55" s="13">
        <f>IF($F55="s-curve",$D55+($E55-$D55)*$I$2/(1+EXP($I$3*(COUNT($H$9:AD$9)+$I$4))),TREND($D55:$E55,$D$9:$E$9,AD$9))</f>
        <v>0.48773088031843881</v>
      </c>
      <c r="AE55" s="13">
        <f>IF($F55="s-curve",$D55+($E55-$D55)*$I$2/(1+EXP($I$3*(COUNT($H$9:AE$9)+$I$4))),TREND($D55:$E55,$D$9:$E$9,AE$9))</f>
        <v>0.48773088031843881</v>
      </c>
      <c r="AF55" s="13">
        <f>IF($F55="s-curve",$D55+($E55-$D55)*$I$2/(1+EXP($I$3*(COUNT($H$9:AF$9)+$I$4))),TREND($D55:$E55,$D$9:$E$9,AF$9))</f>
        <v>0.48773088031843881</v>
      </c>
      <c r="AG55" s="13">
        <f>IF($F55="s-curve",$D55+($E55-$D55)*$I$2/(1+EXP($I$3*(COUNT($H$9:AG$9)+$I$4))),TREND($D55:$E55,$D$9:$E$9,AG$9))</f>
        <v>0.48773088031843881</v>
      </c>
      <c r="AH55" s="13">
        <f>IF($F55="s-curve",$D55+($E55-$D55)*$I$2/(1+EXP($I$3*(COUNT($H$9:AH$9)+$I$4))),TREND($D55:$E55,$D$9:$E$9,AH$9))</f>
        <v>0.48773088031843881</v>
      </c>
      <c r="AI55" s="13">
        <f>IF($F55="s-curve",$D55+($E55-$D55)*$I$2/(1+EXP($I$3*(COUNT($H$9:AI$9)+$I$4))),TREND($D55:$E55,$D$9:$E$9,AI$9))</f>
        <v>0.48773088031843881</v>
      </c>
      <c r="AJ55" s="13">
        <f>IF($F55="s-curve",$D55+($E55-$D55)*$I$2/(1+EXP($I$3*(COUNT($H$9:AJ$9)+$I$4))),TREND($D55:$E55,$D$9:$E$9,AJ$9))</f>
        <v>0.48773088031843881</v>
      </c>
      <c r="AK55" s="13">
        <f>IF($F55="s-curve",$D55+($E55-$D55)*$I$2/(1+EXP($I$3*(COUNT($H$9:AK$9)+$I$4))),TREND($D55:$E55,$D$9:$E$9,AK$9))</f>
        <v>0.48773088031843881</v>
      </c>
      <c r="AL55" s="13">
        <f>IF($F55="s-curve",$D55+($E55-$D55)*$I$2/(1+EXP($I$3*(COUNT($H$9:AL$9)+$I$4))),TREND($D55:$E55,$D$9:$E$9,AL$9))</f>
        <v>0.48773088031843881</v>
      </c>
    </row>
    <row r="56" spans="1:38" x14ac:dyDescent="0.35">
      <c r="A56" s="25"/>
      <c r="C56" s="13" t="s">
        <v>5</v>
      </c>
      <c r="D56" s="24">
        <f>MIN(1.25*INDEX('SYVbT-passenger'!$B$5:$H$5,MATCH(Data!$C14,'SYVbT-passenger'!$B$1:$H$1,0))/SUM('SYVbT-passenger'!$B$5:$H$5),1)</f>
        <v>0</v>
      </c>
      <c r="E56" s="24">
        <f t="shared" si="7"/>
        <v>0</v>
      </c>
      <c r="F56" s="7" t="str">
        <f>IF(D56=E56,"n/a",IF(OR(C56="battery electric vehicle",C56="natural gas vehicle",C56="plugin hybrid vehicle"),"s-curve","linear"))</f>
        <v>n/a</v>
      </c>
      <c r="H56" s="24">
        <f t="shared" si="6"/>
        <v>0</v>
      </c>
      <c r="I56" s="13">
        <f>IF($F56="s-curve",$D56+($E56-$D56)*$I$2/(1+EXP($I$3*(COUNT($H$9:I$9)+$I$4))),TREND($D56:$E56,$D$9:$E$9,I$9))</f>
        <v>0</v>
      </c>
      <c r="J56" s="13">
        <f>IF($F56="s-curve",$D56+($E56-$D56)*$I$2/(1+EXP($I$3*(COUNT($H$9:J$9)+$I$4))),TREND($D56:$E56,$D$9:$E$9,J$9))</f>
        <v>0</v>
      </c>
      <c r="K56" s="13">
        <f>IF($F56="s-curve",$D56+($E56-$D56)*$I$2/(1+EXP($I$3*(COUNT($H$9:K$9)+$I$4))),TREND($D56:$E56,$D$9:$E$9,K$9))</f>
        <v>0</v>
      </c>
      <c r="L56" s="13">
        <f>IF($F56="s-curve",$D56+($E56-$D56)*$I$2/(1+EXP($I$3*(COUNT($H$9:L$9)+$I$4))),TREND($D56:$E56,$D$9:$E$9,L$9))</f>
        <v>0</v>
      </c>
      <c r="M56" s="13">
        <f>IF($F56="s-curve",$D56+($E56-$D56)*$I$2/(1+EXP($I$3*(COUNT($H$9:M$9)+$I$4))),TREND($D56:$E56,$D$9:$E$9,M$9))</f>
        <v>0</v>
      </c>
      <c r="N56" s="13">
        <f>IF($F56="s-curve",$D56+($E56-$D56)*$I$2/(1+EXP($I$3*(COUNT($H$9:N$9)+$I$4))),TREND($D56:$E56,$D$9:$E$9,N$9))</f>
        <v>0</v>
      </c>
      <c r="O56" s="13">
        <f>IF($F56="s-curve",$D56+($E56-$D56)*$I$2/(1+EXP($I$3*(COUNT($H$9:O$9)+$I$4))),TREND($D56:$E56,$D$9:$E$9,O$9))</f>
        <v>0</v>
      </c>
      <c r="P56" s="13">
        <f>IF($F56="s-curve",$D56+($E56-$D56)*$I$2/(1+EXP($I$3*(COUNT($H$9:P$9)+$I$4))),TREND($D56:$E56,$D$9:$E$9,P$9))</f>
        <v>0</v>
      </c>
      <c r="Q56" s="13">
        <f>IF($F56="s-curve",$D56+($E56-$D56)*$I$2/(1+EXP($I$3*(COUNT($H$9:Q$9)+$I$4))),TREND($D56:$E56,$D$9:$E$9,Q$9))</f>
        <v>0</v>
      </c>
      <c r="R56" s="13">
        <f>IF($F56="s-curve",$D56+($E56-$D56)*$I$2/(1+EXP($I$3*(COUNT($H$9:R$9)+$I$4))),TREND($D56:$E56,$D$9:$E$9,R$9))</f>
        <v>0</v>
      </c>
      <c r="S56" s="13">
        <f>IF($F56="s-curve",$D56+($E56-$D56)*$I$2/(1+EXP($I$3*(COUNT($H$9:S$9)+$I$4))),TREND($D56:$E56,$D$9:$E$9,S$9))</f>
        <v>0</v>
      </c>
      <c r="T56" s="13">
        <f>IF($F56="s-curve",$D56+($E56-$D56)*$I$2/(1+EXP($I$3*(COUNT($H$9:T$9)+$I$4))),TREND($D56:$E56,$D$9:$E$9,T$9))</f>
        <v>0</v>
      </c>
      <c r="U56" s="13">
        <f>IF($F56="s-curve",$D56+($E56-$D56)*$I$2/(1+EXP($I$3*(COUNT($H$9:U$9)+$I$4))),TREND($D56:$E56,$D$9:$E$9,U$9))</f>
        <v>0</v>
      </c>
      <c r="V56" s="13">
        <f>IF($F56="s-curve",$D56+($E56-$D56)*$I$2/(1+EXP($I$3*(COUNT($H$9:V$9)+$I$4))),TREND($D56:$E56,$D$9:$E$9,V$9))</f>
        <v>0</v>
      </c>
      <c r="W56" s="13">
        <f>IF($F56="s-curve",$D56+($E56-$D56)*$I$2/(1+EXP($I$3*(COUNT($H$9:W$9)+$I$4))),TREND($D56:$E56,$D$9:$E$9,W$9))</f>
        <v>0</v>
      </c>
      <c r="X56" s="13">
        <f>IF($F56="s-curve",$D56+($E56-$D56)*$I$2/(1+EXP($I$3*(COUNT($H$9:X$9)+$I$4))),TREND($D56:$E56,$D$9:$E$9,X$9))</f>
        <v>0</v>
      </c>
      <c r="Y56" s="13">
        <f>IF($F56="s-curve",$D56+($E56-$D56)*$I$2/(1+EXP($I$3*(COUNT($H$9:Y$9)+$I$4))),TREND($D56:$E56,$D$9:$E$9,Y$9))</f>
        <v>0</v>
      </c>
      <c r="Z56" s="13">
        <f>IF($F56="s-curve",$D56+($E56-$D56)*$I$2/(1+EXP($I$3*(COUNT($H$9:Z$9)+$I$4))),TREND($D56:$E56,$D$9:$E$9,Z$9))</f>
        <v>0</v>
      </c>
      <c r="AA56" s="13">
        <f>IF($F56="s-curve",$D56+($E56-$D56)*$I$2/(1+EXP($I$3*(COUNT($H$9:AA$9)+$I$4))),TREND($D56:$E56,$D$9:$E$9,AA$9))</f>
        <v>0</v>
      </c>
      <c r="AB56" s="13">
        <f>IF($F56="s-curve",$D56+($E56-$D56)*$I$2/(1+EXP($I$3*(COUNT($H$9:AB$9)+$I$4))),TREND($D56:$E56,$D$9:$E$9,AB$9))</f>
        <v>0</v>
      </c>
      <c r="AC56" s="13">
        <f>IF($F56="s-curve",$D56+($E56-$D56)*$I$2/(1+EXP($I$3*(COUNT($H$9:AC$9)+$I$4))),TREND($D56:$E56,$D$9:$E$9,AC$9))</f>
        <v>0</v>
      </c>
      <c r="AD56" s="13">
        <f>IF($F56="s-curve",$D56+($E56-$D56)*$I$2/(1+EXP($I$3*(COUNT($H$9:AD$9)+$I$4))),TREND($D56:$E56,$D$9:$E$9,AD$9))</f>
        <v>0</v>
      </c>
      <c r="AE56" s="13">
        <f>IF($F56="s-curve",$D56+($E56-$D56)*$I$2/(1+EXP($I$3*(COUNT($H$9:AE$9)+$I$4))),TREND($D56:$E56,$D$9:$E$9,AE$9))</f>
        <v>0</v>
      </c>
      <c r="AF56" s="13">
        <f>IF($F56="s-curve",$D56+($E56-$D56)*$I$2/(1+EXP($I$3*(COUNT($H$9:AF$9)+$I$4))),TREND($D56:$E56,$D$9:$E$9,AF$9))</f>
        <v>0</v>
      </c>
      <c r="AG56" s="13">
        <f>IF($F56="s-curve",$D56+($E56-$D56)*$I$2/(1+EXP($I$3*(COUNT($H$9:AG$9)+$I$4))),TREND($D56:$E56,$D$9:$E$9,AG$9))</f>
        <v>0</v>
      </c>
      <c r="AH56" s="13">
        <f>IF($F56="s-curve",$D56+($E56-$D56)*$I$2/(1+EXP($I$3*(COUNT($H$9:AH$9)+$I$4))),TREND($D56:$E56,$D$9:$E$9,AH$9))</f>
        <v>0</v>
      </c>
      <c r="AI56" s="13">
        <f>IF($F56="s-curve",$D56+($E56-$D56)*$I$2/(1+EXP($I$3*(COUNT($H$9:AI$9)+$I$4))),TREND($D56:$E56,$D$9:$E$9,AI$9))</f>
        <v>0</v>
      </c>
      <c r="AJ56" s="13">
        <f>IF($F56="s-curve",$D56+($E56-$D56)*$I$2/(1+EXP($I$3*(COUNT($H$9:AJ$9)+$I$4))),TREND($D56:$E56,$D$9:$E$9,AJ$9))</f>
        <v>0</v>
      </c>
      <c r="AK56" s="13">
        <f>IF($F56="s-curve",$D56+($E56-$D56)*$I$2/(1+EXP($I$3*(COUNT($H$9:AK$9)+$I$4))),TREND($D56:$E56,$D$9:$E$9,AK$9))</f>
        <v>0</v>
      </c>
      <c r="AL56" s="13">
        <f>IF($F56="s-curve",$D56+($E56-$D56)*$I$2/(1+EXP($I$3*(COUNT($H$9:AL$9)+$I$4))),TREND($D56:$E56,$D$9:$E$9,AL$9))</f>
        <v>0</v>
      </c>
    </row>
    <row r="57" spans="1:38" x14ac:dyDescent="0.35">
      <c r="A57" s="25"/>
      <c r="C57" s="13" t="s">
        <v>78</v>
      </c>
      <c r="D57" s="24">
        <f>MIN(1.25*INDEX('SYVbT-passenger'!$B$5:$H$5,MATCH(Data!$C15,'SYVbT-passenger'!$B$1:$H$1,0))/SUM('SYVbT-passenger'!$B$5:$H$5),1)</f>
        <v>0</v>
      </c>
      <c r="E57" s="24">
        <f t="shared" si="7"/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4">
        <f t="shared" si="6"/>
        <v>0</v>
      </c>
      <c r="I57" s="13">
        <f>IF($F57="s-curve",$D57+($E57-$D57)*$I$2/(1+EXP($I$3*(COUNT($H$9:I$9)+$I$4))),TREND($D57:$E57,$D$9:$E$9,I$9))</f>
        <v>0</v>
      </c>
      <c r="J57" s="13">
        <f>IF($F57="s-curve",$D57+($E57-$D57)*$I$2/(1+EXP($I$3*(COUNT($H$9:J$9)+$I$4))),TREND($D57:$E57,$D$9:$E$9,J$9))</f>
        <v>0</v>
      </c>
      <c r="K57" s="13">
        <f>IF($F57="s-curve",$D57+($E57-$D57)*$I$2/(1+EXP($I$3*(COUNT($H$9:K$9)+$I$4))),TREND($D57:$E57,$D$9:$E$9,K$9))</f>
        <v>0</v>
      </c>
      <c r="L57" s="13">
        <f>IF($F57="s-curve",$D57+($E57-$D57)*$I$2/(1+EXP($I$3*(COUNT($H$9:L$9)+$I$4))),TREND($D57:$E57,$D$9:$E$9,L$9))</f>
        <v>0</v>
      </c>
      <c r="M57" s="13">
        <f>IF($F57="s-curve",$D57+($E57-$D57)*$I$2/(1+EXP($I$3*(COUNT($H$9:M$9)+$I$4))),TREND($D57:$E57,$D$9:$E$9,M$9))</f>
        <v>0</v>
      </c>
      <c r="N57" s="13">
        <f>IF($F57="s-curve",$D57+($E57-$D57)*$I$2/(1+EXP($I$3*(COUNT($H$9:N$9)+$I$4))),TREND($D57:$E57,$D$9:$E$9,N$9))</f>
        <v>0</v>
      </c>
      <c r="O57" s="13">
        <f>IF($F57="s-curve",$D57+($E57-$D57)*$I$2/(1+EXP($I$3*(COUNT($H$9:O$9)+$I$4))),TREND($D57:$E57,$D$9:$E$9,O$9))</f>
        <v>0</v>
      </c>
      <c r="P57" s="13">
        <f>IF($F57="s-curve",$D57+($E57-$D57)*$I$2/(1+EXP($I$3*(COUNT($H$9:P$9)+$I$4))),TREND($D57:$E57,$D$9:$E$9,P$9))</f>
        <v>0</v>
      </c>
      <c r="Q57" s="13">
        <f>IF($F57="s-curve",$D57+($E57-$D57)*$I$2/(1+EXP($I$3*(COUNT($H$9:Q$9)+$I$4))),TREND($D57:$E57,$D$9:$E$9,Q$9))</f>
        <v>0</v>
      </c>
      <c r="R57" s="13">
        <f>IF($F57="s-curve",$D57+($E57-$D57)*$I$2/(1+EXP($I$3*(COUNT($H$9:R$9)+$I$4))),TREND($D57:$E57,$D$9:$E$9,R$9))</f>
        <v>0</v>
      </c>
      <c r="S57" s="13">
        <f>IF($F57="s-curve",$D57+($E57-$D57)*$I$2/(1+EXP($I$3*(COUNT($H$9:S$9)+$I$4))),TREND($D57:$E57,$D$9:$E$9,S$9))</f>
        <v>0</v>
      </c>
      <c r="T57" s="13">
        <f>IF($F57="s-curve",$D57+($E57-$D57)*$I$2/(1+EXP($I$3*(COUNT($H$9:T$9)+$I$4))),TREND($D57:$E57,$D$9:$E$9,T$9))</f>
        <v>0</v>
      </c>
      <c r="U57" s="13">
        <f>IF($F57="s-curve",$D57+($E57-$D57)*$I$2/(1+EXP($I$3*(COUNT($H$9:U$9)+$I$4))),TREND($D57:$E57,$D$9:$E$9,U$9))</f>
        <v>0</v>
      </c>
      <c r="V57" s="13">
        <f>IF($F57="s-curve",$D57+($E57-$D57)*$I$2/(1+EXP($I$3*(COUNT($H$9:V$9)+$I$4))),TREND($D57:$E57,$D$9:$E$9,V$9))</f>
        <v>0</v>
      </c>
      <c r="W57" s="13">
        <f>IF($F57="s-curve",$D57+($E57-$D57)*$I$2/(1+EXP($I$3*(COUNT($H$9:W$9)+$I$4))),TREND($D57:$E57,$D$9:$E$9,W$9))</f>
        <v>0</v>
      </c>
      <c r="X57" s="13">
        <f>IF($F57="s-curve",$D57+($E57-$D57)*$I$2/(1+EXP($I$3*(COUNT($H$9:X$9)+$I$4))),TREND($D57:$E57,$D$9:$E$9,X$9))</f>
        <v>0</v>
      </c>
      <c r="Y57" s="13">
        <f>IF($F57="s-curve",$D57+($E57-$D57)*$I$2/(1+EXP($I$3*(COUNT($H$9:Y$9)+$I$4))),TREND($D57:$E57,$D$9:$E$9,Y$9))</f>
        <v>0</v>
      </c>
      <c r="Z57" s="13">
        <f>IF($F57="s-curve",$D57+($E57-$D57)*$I$2/(1+EXP($I$3*(COUNT($H$9:Z$9)+$I$4))),TREND($D57:$E57,$D$9:$E$9,Z$9))</f>
        <v>0</v>
      </c>
      <c r="AA57" s="13">
        <f>IF($F57="s-curve",$D57+($E57-$D57)*$I$2/(1+EXP($I$3*(COUNT($H$9:AA$9)+$I$4))),TREND($D57:$E57,$D$9:$E$9,AA$9))</f>
        <v>0</v>
      </c>
      <c r="AB57" s="13">
        <f>IF($F57="s-curve",$D57+($E57-$D57)*$I$2/(1+EXP($I$3*(COUNT($H$9:AB$9)+$I$4))),TREND($D57:$E57,$D$9:$E$9,AB$9))</f>
        <v>0</v>
      </c>
      <c r="AC57" s="13">
        <f>IF($F57="s-curve",$D57+($E57-$D57)*$I$2/(1+EXP($I$3*(COUNT($H$9:AC$9)+$I$4))),TREND($D57:$E57,$D$9:$E$9,AC$9))</f>
        <v>0</v>
      </c>
      <c r="AD57" s="13">
        <f>IF($F57="s-curve",$D57+($E57-$D57)*$I$2/(1+EXP($I$3*(COUNT($H$9:AD$9)+$I$4))),TREND($D57:$E57,$D$9:$E$9,AD$9))</f>
        <v>0</v>
      </c>
      <c r="AE57" s="13">
        <f>IF($F57="s-curve",$D57+($E57-$D57)*$I$2/(1+EXP($I$3*(COUNT($H$9:AE$9)+$I$4))),TREND($D57:$E57,$D$9:$E$9,AE$9))</f>
        <v>0</v>
      </c>
      <c r="AF57" s="13">
        <f>IF($F57="s-curve",$D57+($E57-$D57)*$I$2/(1+EXP($I$3*(COUNT($H$9:AF$9)+$I$4))),TREND($D57:$E57,$D$9:$E$9,AF$9))</f>
        <v>0</v>
      </c>
      <c r="AG57" s="13">
        <f>IF($F57="s-curve",$D57+($E57-$D57)*$I$2/(1+EXP($I$3*(COUNT($H$9:AG$9)+$I$4))),TREND($D57:$E57,$D$9:$E$9,AG$9))</f>
        <v>0</v>
      </c>
      <c r="AH57" s="13">
        <f>IF($F57="s-curve",$D57+($E57-$D57)*$I$2/(1+EXP($I$3*(COUNT($H$9:AH$9)+$I$4))),TREND($D57:$E57,$D$9:$E$9,AH$9))</f>
        <v>0</v>
      </c>
      <c r="AI57" s="13">
        <f>IF($F57="s-curve",$D57+($E57-$D57)*$I$2/(1+EXP($I$3*(COUNT($H$9:AI$9)+$I$4))),TREND($D57:$E57,$D$9:$E$9,AI$9))</f>
        <v>0</v>
      </c>
      <c r="AJ57" s="13">
        <f>IF($F57="s-curve",$D57+($E57-$D57)*$I$2/(1+EXP($I$3*(COUNT($H$9:AJ$9)+$I$4))),TREND($D57:$E57,$D$9:$E$9,AJ$9))</f>
        <v>0</v>
      </c>
      <c r="AK57" s="13">
        <f>IF($F57="s-curve",$D57+($E57-$D57)*$I$2/(1+EXP($I$3*(COUNT($H$9:AK$9)+$I$4))),TREND($D57:$E57,$D$9:$E$9,AK$9))</f>
        <v>0</v>
      </c>
      <c r="AL57" s="13">
        <f>IF($F57="s-curve",$D57+($E57-$D57)*$I$2/(1+EXP($I$3*(COUNT($H$9:AL$9)+$I$4))),TREND($D57:$E57,$D$9:$E$9,AL$9))</f>
        <v>0</v>
      </c>
    </row>
    <row r="58" spans="1:38" ht="15" thickBot="1" x14ac:dyDescent="0.4">
      <c r="A58" s="26"/>
      <c r="B58" s="26"/>
      <c r="C58" s="26" t="s">
        <v>79</v>
      </c>
      <c r="D58" s="26">
        <f>MIN(1.25*INDEX('SYVbT-passenger'!$B$5:$H$5,MATCH(Data!$C16,'SYVbT-passenger'!$B$1:$H$1,0))/SUM('SYVbT-passenger'!$B$5:$H$5),1)</f>
        <v>0</v>
      </c>
      <c r="E58" s="26">
        <f t="shared" si="7"/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4">
        <f t="shared" si="6"/>
        <v>0</v>
      </c>
      <c r="I58" s="13">
        <f>IF($F58="s-curve",$D58+($E58-$D58)*$I$2/(1+EXP($I$3*(COUNT($H$9:I$9)+$I$4))),TREND($D58:$E58,$D$9:$E$9,I$9))</f>
        <v>0</v>
      </c>
      <c r="J58" s="13">
        <f>IF($F58="s-curve",$D58+($E58-$D58)*$I$2/(1+EXP($I$3*(COUNT($H$9:J$9)+$I$4))),TREND($D58:$E58,$D$9:$E$9,J$9))</f>
        <v>0</v>
      </c>
      <c r="K58" s="13">
        <f>IF($F58="s-curve",$D58+($E58-$D58)*$I$2/(1+EXP($I$3*(COUNT($H$9:K$9)+$I$4))),TREND($D58:$E58,$D$9:$E$9,K$9))</f>
        <v>0</v>
      </c>
      <c r="L58" s="13">
        <f>IF($F58="s-curve",$D58+($E58-$D58)*$I$2/(1+EXP($I$3*(COUNT($H$9:L$9)+$I$4))),TREND($D58:$E58,$D$9:$E$9,L$9))</f>
        <v>0</v>
      </c>
      <c r="M58" s="13">
        <f>IF($F58="s-curve",$D58+($E58-$D58)*$I$2/(1+EXP($I$3*(COUNT($H$9:M$9)+$I$4))),TREND($D58:$E58,$D$9:$E$9,M$9))</f>
        <v>0</v>
      </c>
      <c r="N58" s="13">
        <f>IF($F58="s-curve",$D58+($E58-$D58)*$I$2/(1+EXP($I$3*(COUNT($H$9:N$9)+$I$4))),TREND($D58:$E58,$D$9:$E$9,N$9))</f>
        <v>0</v>
      </c>
      <c r="O58" s="13">
        <f>IF($F58="s-curve",$D58+($E58-$D58)*$I$2/(1+EXP($I$3*(COUNT($H$9:O$9)+$I$4))),TREND($D58:$E58,$D$9:$E$9,O$9))</f>
        <v>0</v>
      </c>
      <c r="P58" s="13">
        <f>IF($F58="s-curve",$D58+($E58-$D58)*$I$2/(1+EXP($I$3*(COUNT($H$9:P$9)+$I$4))),TREND($D58:$E58,$D$9:$E$9,P$9))</f>
        <v>0</v>
      </c>
      <c r="Q58" s="13">
        <f>IF($F58="s-curve",$D58+($E58-$D58)*$I$2/(1+EXP($I$3*(COUNT($H$9:Q$9)+$I$4))),TREND($D58:$E58,$D$9:$E$9,Q$9))</f>
        <v>0</v>
      </c>
      <c r="R58" s="13">
        <f>IF($F58="s-curve",$D58+($E58-$D58)*$I$2/(1+EXP($I$3*(COUNT($H$9:R$9)+$I$4))),TREND($D58:$E58,$D$9:$E$9,R$9))</f>
        <v>0</v>
      </c>
      <c r="S58" s="13">
        <f>IF($F58="s-curve",$D58+($E58-$D58)*$I$2/(1+EXP($I$3*(COUNT($H$9:S$9)+$I$4))),TREND($D58:$E58,$D$9:$E$9,S$9))</f>
        <v>0</v>
      </c>
      <c r="T58" s="13">
        <f>IF($F58="s-curve",$D58+($E58-$D58)*$I$2/(1+EXP($I$3*(COUNT($H$9:T$9)+$I$4))),TREND($D58:$E58,$D$9:$E$9,T$9))</f>
        <v>0</v>
      </c>
      <c r="U58" s="13">
        <f>IF($F58="s-curve",$D58+($E58-$D58)*$I$2/(1+EXP($I$3*(COUNT($H$9:U$9)+$I$4))),TREND($D58:$E58,$D$9:$E$9,U$9))</f>
        <v>0</v>
      </c>
      <c r="V58" s="13">
        <f>IF($F58="s-curve",$D58+($E58-$D58)*$I$2/(1+EXP($I$3*(COUNT($H$9:V$9)+$I$4))),TREND($D58:$E58,$D$9:$E$9,V$9))</f>
        <v>0</v>
      </c>
      <c r="W58" s="13">
        <f>IF($F58="s-curve",$D58+($E58-$D58)*$I$2/(1+EXP($I$3*(COUNT($H$9:W$9)+$I$4))),TREND($D58:$E58,$D$9:$E$9,W$9))</f>
        <v>0</v>
      </c>
      <c r="X58" s="13">
        <f>IF($F58="s-curve",$D58+($E58-$D58)*$I$2/(1+EXP($I$3*(COUNT($H$9:X$9)+$I$4))),TREND($D58:$E58,$D$9:$E$9,X$9))</f>
        <v>0</v>
      </c>
      <c r="Y58" s="13">
        <f>IF($F58="s-curve",$D58+($E58-$D58)*$I$2/(1+EXP($I$3*(COUNT($H$9:Y$9)+$I$4))),TREND($D58:$E58,$D$9:$E$9,Y$9))</f>
        <v>0</v>
      </c>
      <c r="Z58" s="13">
        <f>IF($F58="s-curve",$D58+($E58-$D58)*$I$2/(1+EXP($I$3*(COUNT($H$9:Z$9)+$I$4))),TREND($D58:$E58,$D$9:$E$9,Z$9))</f>
        <v>0</v>
      </c>
      <c r="AA58" s="13">
        <f>IF($F58="s-curve",$D58+($E58-$D58)*$I$2/(1+EXP($I$3*(COUNT($H$9:AA$9)+$I$4))),TREND($D58:$E58,$D$9:$E$9,AA$9))</f>
        <v>0</v>
      </c>
      <c r="AB58" s="13">
        <f>IF($F58="s-curve",$D58+($E58-$D58)*$I$2/(1+EXP($I$3*(COUNT($H$9:AB$9)+$I$4))),TREND($D58:$E58,$D$9:$E$9,AB$9))</f>
        <v>0</v>
      </c>
      <c r="AC58" s="13">
        <f>IF($F58="s-curve",$D58+($E58-$D58)*$I$2/(1+EXP($I$3*(COUNT($H$9:AC$9)+$I$4))),TREND($D58:$E58,$D$9:$E$9,AC$9))</f>
        <v>0</v>
      </c>
      <c r="AD58" s="13">
        <f>IF($F58="s-curve",$D58+($E58-$D58)*$I$2/(1+EXP($I$3*(COUNT($H$9:AD$9)+$I$4))),TREND($D58:$E58,$D$9:$E$9,AD$9))</f>
        <v>0</v>
      </c>
      <c r="AE58" s="13">
        <f>IF($F58="s-curve",$D58+($E58-$D58)*$I$2/(1+EXP($I$3*(COUNT($H$9:AE$9)+$I$4))),TREND($D58:$E58,$D$9:$E$9,AE$9))</f>
        <v>0</v>
      </c>
      <c r="AF58" s="13">
        <f>IF($F58="s-curve",$D58+($E58-$D58)*$I$2/(1+EXP($I$3*(COUNT($H$9:AF$9)+$I$4))),TREND($D58:$E58,$D$9:$E$9,AF$9))</f>
        <v>0</v>
      </c>
      <c r="AG58" s="13">
        <f>IF($F58="s-curve",$D58+($E58-$D58)*$I$2/(1+EXP($I$3*(COUNT($H$9:AG$9)+$I$4))),TREND($D58:$E58,$D$9:$E$9,AG$9))</f>
        <v>0</v>
      </c>
      <c r="AH58" s="13">
        <f>IF($F58="s-curve",$D58+($E58-$D58)*$I$2/(1+EXP($I$3*(COUNT($H$9:AH$9)+$I$4))),TREND($D58:$E58,$D$9:$E$9,AH$9))</f>
        <v>0</v>
      </c>
      <c r="AI58" s="13">
        <f>IF($F58="s-curve",$D58+($E58-$D58)*$I$2/(1+EXP($I$3*(COUNT($H$9:AI$9)+$I$4))),TREND($D58:$E58,$D$9:$E$9,AI$9))</f>
        <v>0</v>
      </c>
      <c r="AJ58" s="13">
        <f>IF($F58="s-curve",$D58+($E58-$D58)*$I$2/(1+EXP($I$3*(COUNT($H$9:AJ$9)+$I$4))),TREND($D58:$E58,$D$9:$E$9,AJ$9))</f>
        <v>0</v>
      </c>
      <c r="AK58" s="13">
        <f>IF($F58="s-curve",$D58+($E58-$D58)*$I$2/(1+EXP($I$3*(COUNT($H$9:AK$9)+$I$4))),TREND($D58:$E58,$D$9:$E$9,AK$9))</f>
        <v>0</v>
      </c>
      <c r="AL58" s="13">
        <f>IF($F58="s-curve",$D58+($E58-$D58)*$I$2/(1+EXP($I$3*(COUNT($H$9:AL$9)+$I$4))),TREND($D58:$E58,$D$9:$E$9,AL$9))</f>
        <v>0</v>
      </c>
    </row>
    <row r="59" spans="1:38" x14ac:dyDescent="0.35">
      <c r="A59" s="25" t="s">
        <v>15</v>
      </c>
      <c r="B59" s="13" t="s">
        <v>18</v>
      </c>
      <c r="C59" s="13" t="s">
        <v>1</v>
      </c>
      <c r="D59" s="13">
        <f>MIN(1.25*INDEX('SYVbT-freight'!$B$5:$H$5,MATCH(Data!$C10,'SYVbT-passenger'!$B$1:$H$1,0))/SUM('SYVbT-freight'!$B$5:$H$5),1)</f>
        <v>0.50990675990675993</v>
      </c>
      <c r="E59" s="13">
        <f>D59</f>
        <v>0.50990675990675993</v>
      </c>
      <c r="F59" s="7" t="str">
        <f>IF(D59=E59,"n/a",IF(OR(C59="battery electric vehicle",C59="natural gas vehicle",C59="plugin hybrid vehicle"),"s-curve","linear"))</f>
        <v>n/a</v>
      </c>
      <c r="H59" s="24">
        <f t="shared" si="6"/>
        <v>0.50990675990675993</v>
      </c>
      <c r="I59" s="13">
        <f>IF($F59="s-curve",$D59+($E59-$D59)*$I$2/(1+EXP($I$3*(COUNT($H$9:I$9)+$I$4))),TREND($D59:$E59,$D$9:$E$9,I$9))</f>
        <v>0.50990675990675993</v>
      </c>
      <c r="J59" s="13">
        <f>IF($F59="s-curve",$D59+($E59-$D59)*$I$2/(1+EXP($I$3*(COUNT($H$9:J$9)+$I$4))),TREND($D59:$E59,$D$9:$E$9,J$9))</f>
        <v>0.50990675990675993</v>
      </c>
      <c r="K59" s="13">
        <f>IF($F59="s-curve",$D59+($E59-$D59)*$I$2/(1+EXP($I$3*(COUNT($H$9:K$9)+$I$4))),TREND($D59:$E59,$D$9:$E$9,K$9))</f>
        <v>0.50990675990675993</v>
      </c>
      <c r="L59" s="13">
        <f>IF($F59="s-curve",$D59+($E59-$D59)*$I$2/(1+EXP($I$3*(COUNT($H$9:L$9)+$I$4))),TREND($D59:$E59,$D$9:$E$9,L$9))</f>
        <v>0.50990675990675993</v>
      </c>
      <c r="M59" s="13">
        <f>IF($F59="s-curve",$D59+($E59-$D59)*$I$2/(1+EXP($I$3*(COUNT($H$9:M$9)+$I$4))),TREND($D59:$E59,$D$9:$E$9,M$9))</f>
        <v>0.50990675990675993</v>
      </c>
      <c r="N59" s="13">
        <f>IF($F59="s-curve",$D59+($E59-$D59)*$I$2/(1+EXP($I$3*(COUNT($H$9:N$9)+$I$4))),TREND($D59:$E59,$D$9:$E$9,N$9))</f>
        <v>0.50990675990675993</v>
      </c>
      <c r="O59" s="13">
        <f>IF($F59="s-curve",$D59+($E59-$D59)*$I$2/(1+EXP($I$3*(COUNT($H$9:O$9)+$I$4))),TREND($D59:$E59,$D$9:$E$9,O$9))</f>
        <v>0.50990675990675993</v>
      </c>
      <c r="P59" s="13">
        <f>IF($F59="s-curve",$D59+($E59-$D59)*$I$2/(1+EXP($I$3*(COUNT($H$9:P$9)+$I$4))),TREND($D59:$E59,$D$9:$E$9,P$9))</f>
        <v>0.50990675990675993</v>
      </c>
      <c r="Q59" s="13">
        <f>IF($F59="s-curve",$D59+($E59-$D59)*$I$2/(1+EXP($I$3*(COUNT($H$9:Q$9)+$I$4))),TREND($D59:$E59,$D$9:$E$9,Q$9))</f>
        <v>0.50990675990675993</v>
      </c>
      <c r="R59" s="13">
        <f>IF($F59="s-curve",$D59+($E59-$D59)*$I$2/(1+EXP($I$3*(COUNT($H$9:R$9)+$I$4))),TREND($D59:$E59,$D$9:$E$9,R$9))</f>
        <v>0.50990675990675993</v>
      </c>
      <c r="S59" s="13">
        <f>IF($F59="s-curve",$D59+($E59-$D59)*$I$2/(1+EXP($I$3*(COUNT($H$9:S$9)+$I$4))),TREND($D59:$E59,$D$9:$E$9,S$9))</f>
        <v>0.50990675990675993</v>
      </c>
      <c r="T59" s="13">
        <f>IF($F59="s-curve",$D59+($E59-$D59)*$I$2/(1+EXP($I$3*(COUNT($H$9:T$9)+$I$4))),TREND($D59:$E59,$D$9:$E$9,T$9))</f>
        <v>0.50990675990675993</v>
      </c>
      <c r="U59" s="13">
        <f>IF($F59="s-curve",$D59+($E59-$D59)*$I$2/(1+EXP($I$3*(COUNT($H$9:U$9)+$I$4))),TREND($D59:$E59,$D$9:$E$9,U$9))</f>
        <v>0.50990675990675993</v>
      </c>
      <c r="V59" s="13">
        <f>IF($F59="s-curve",$D59+($E59-$D59)*$I$2/(1+EXP($I$3*(COUNT($H$9:V$9)+$I$4))),TREND($D59:$E59,$D$9:$E$9,V$9))</f>
        <v>0.50990675990675993</v>
      </c>
      <c r="W59" s="13">
        <f>IF($F59="s-curve",$D59+($E59-$D59)*$I$2/(1+EXP($I$3*(COUNT($H$9:W$9)+$I$4))),TREND($D59:$E59,$D$9:$E$9,W$9))</f>
        <v>0.50990675990675993</v>
      </c>
      <c r="X59" s="13">
        <f>IF($F59="s-curve",$D59+($E59-$D59)*$I$2/(1+EXP($I$3*(COUNT($H$9:X$9)+$I$4))),TREND($D59:$E59,$D$9:$E$9,X$9))</f>
        <v>0.50990675990675993</v>
      </c>
      <c r="Y59" s="13">
        <f>IF($F59="s-curve",$D59+($E59-$D59)*$I$2/(1+EXP($I$3*(COUNT($H$9:Y$9)+$I$4))),TREND($D59:$E59,$D$9:$E$9,Y$9))</f>
        <v>0.50990675990675993</v>
      </c>
      <c r="Z59" s="13">
        <f>IF($F59="s-curve",$D59+($E59-$D59)*$I$2/(1+EXP($I$3*(COUNT($H$9:Z$9)+$I$4))),TREND($D59:$E59,$D$9:$E$9,Z$9))</f>
        <v>0.50990675990675993</v>
      </c>
      <c r="AA59" s="13">
        <f>IF($F59="s-curve",$D59+($E59-$D59)*$I$2/(1+EXP($I$3*(COUNT($H$9:AA$9)+$I$4))),TREND($D59:$E59,$D$9:$E$9,AA$9))</f>
        <v>0.50990675990675993</v>
      </c>
      <c r="AB59" s="13">
        <f>IF($F59="s-curve",$D59+($E59-$D59)*$I$2/(1+EXP($I$3*(COUNT($H$9:AB$9)+$I$4))),TREND($D59:$E59,$D$9:$E$9,AB$9))</f>
        <v>0.50990675990675993</v>
      </c>
      <c r="AC59" s="13">
        <f>IF($F59="s-curve",$D59+($E59-$D59)*$I$2/(1+EXP($I$3*(COUNT($H$9:AC$9)+$I$4))),TREND($D59:$E59,$D$9:$E$9,AC$9))</f>
        <v>0.50990675990675993</v>
      </c>
      <c r="AD59" s="13">
        <f>IF($F59="s-curve",$D59+($E59-$D59)*$I$2/(1+EXP($I$3*(COUNT($H$9:AD$9)+$I$4))),TREND($D59:$E59,$D$9:$E$9,AD$9))</f>
        <v>0.50990675990675993</v>
      </c>
      <c r="AE59" s="13">
        <f>IF($F59="s-curve",$D59+($E59-$D59)*$I$2/(1+EXP($I$3*(COUNT($H$9:AE$9)+$I$4))),TREND($D59:$E59,$D$9:$E$9,AE$9))</f>
        <v>0.50990675990675993</v>
      </c>
      <c r="AF59" s="13">
        <f>IF($F59="s-curve",$D59+($E59-$D59)*$I$2/(1+EXP($I$3*(COUNT($H$9:AF$9)+$I$4))),TREND($D59:$E59,$D$9:$E$9,AF$9))</f>
        <v>0.50990675990675993</v>
      </c>
      <c r="AG59" s="13">
        <f>IF($F59="s-curve",$D59+($E59-$D59)*$I$2/(1+EXP($I$3*(COUNT($H$9:AG$9)+$I$4))),TREND($D59:$E59,$D$9:$E$9,AG$9))</f>
        <v>0.50990675990675993</v>
      </c>
      <c r="AH59" s="13">
        <f>IF($F59="s-curve",$D59+($E59-$D59)*$I$2/(1+EXP($I$3*(COUNT($H$9:AH$9)+$I$4))),TREND($D59:$E59,$D$9:$E$9,AH$9))</f>
        <v>0.50990675990675993</v>
      </c>
      <c r="AI59" s="13">
        <f>IF($F59="s-curve",$D59+($E59-$D59)*$I$2/(1+EXP($I$3*(COUNT($H$9:AI$9)+$I$4))),TREND($D59:$E59,$D$9:$E$9,AI$9))</f>
        <v>0.50990675990675993</v>
      </c>
      <c r="AJ59" s="13">
        <f>IF($F59="s-curve",$D59+($E59-$D59)*$I$2/(1+EXP($I$3*(COUNT($H$9:AJ$9)+$I$4))),TREND($D59:$E59,$D$9:$E$9,AJ$9))</f>
        <v>0.50990675990675993</v>
      </c>
      <c r="AK59" s="13">
        <f>IF($F59="s-curve",$D59+($E59-$D59)*$I$2/(1+EXP($I$3*(COUNT($H$9:AK$9)+$I$4))),TREND($D59:$E59,$D$9:$E$9,AK$9))</f>
        <v>0.50990675990675993</v>
      </c>
      <c r="AL59" s="13">
        <f>IF($F59="s-curve",$D59+($E59-$D59)*$I$2/(1+EXP($I$3*(COUNT($H$9:AL$9)+$I$4))),TREND($D59:$E59,$D$9:$E$9,AL$9))</f>
        <v>0.50990675990675993</v>
      </c>
    </row>
    <row r="60" spans="1:38" x14ac:dyDescent="0.35">
      <c r="A60" s="25"/>
      <c r="C60" s="13" t="s">
        <v>2</v>
      </c>
      <c r="D60" s="13">
        <f>MIN(1.25*INDEX('SYVbT-freight'!$B$5:$H$5,MATCH(Data!$C11,'SYVbT-passenger'!$B$1:$H$1,0))/SUM('SYVbT-freight'!$B$5:$H$5),1)</f>
        <v>0</v>
      </c>
      <c r="E60" s="13">
        <f t="shared" ref="E60:E65" si="8">D60</f>
        <v>0</v>
      </c>
      <c r="F60" s="7" t="str">
        <f>IF(D60=E60,"n/a",IF(OR(C60="battery electric vehicle",C60="natural gas vehicle",C60="plugin hybrid vehicle"),"s-curve","linear"))</f>
        <v>n/a</v>
      </c>
      <c r="H60" s="24">
        <f t="shared" si="6"/>
        <v>0</v>
      </c>
      <c r="I60" s="13">
        <f>IF($F60="s-curve",$D60+($E60-$D60)*$I$2/(1+EXP($I$3*(COUNT($H$9:I$9)+$I$4))),TREND($D60:$E60,$D$9:$E$9,I$9))</f>
        <v>0</v>
      </c>
      <c r="J60" s="13">
        <f>IF($F60="s-curve",$D60+($E60-$D60)*$I$2/(1+EXP($I$3*(COUNT($H$9:J$9)+$I$4))),TREND($D60:$E60,$D$9:$E$9,J$9))</f>
        <v>0</v>
      </c>
      <c r="K60" s="13">
        <f>IF($F60="s-curve",$D60+($E60-$D60)*$I$2/(1+EXP($I$3*(COUNT($H$9:K$9)+$I$4))),TREND($D60:$E60,$D$9:$E$9,K$9))</f>
        <v>0</v>
      </c>
      <c r="L60" s="13">
        <f>IF($F60="s-curve",$D60+($E60-$D60)*$I$2/(1+EXP($I$3*(COUNT($H$9:L$9)+$I$4))),TREND($D60:$E60,$D$9:$E$9,L$9))</f>
        <v>0</v>
      </c>
      <c r="M60" s="13">
        <f>IF($F60="s-curve",$D60+($E60-$D60)*$I$2/(1+EXP($I$3*(COUNT($H$9:M$9)+$I$4))),TREND($D60:$E60,$D$9:$E$9,M$9))</f>
        <v>0</v>
      </c>
      <c r="N60" s="13">
        <f>IF($F60="s-curve",$D60+($E60-$D60)*$I$2/(1+EXP($I$3*(COUNT($H$9:N$9)+$I$4))),TREND($D60:$E60,$D$9:$E$9,N$9))</f>
        <v>0</v>
      </c>
      <c r="O60" s="13">
        <f>IF($F60="s-curve",$D60+($E60-$D60)*$I$2/(1+EXP($I$3*(COUNT($H$9:O$9)+$I$4))),TREND($D60:$E60,$D$9:$E$9,O$9))</f>
        <v>0</v>
      </c>
      <c r="P60" s="13">
        <f>IF($F60="s-curve",$D60+($E60-$D60)*$I$2/(1+EXP($I$3*(COUNT($H$9:P$9)+$I$4))),TREND($D60:$E60,$D$9:$E$9,P$9))</f>
        <v>0</v>
      </c>
      <c r="Q60" s="13">
        <f>IF($F60="s-curve",$D60+($E60-$D60)*$I$2/(1+EXP($I$3*(COUNT($H$9:Q$9)+$I$4))),TREND($D60:$E60,$D$9:$E$9,Q$9))</f>
        <v>0</v>
      </c>
      <c r="R60" s="13">
        <f>IF($F60="s-curve",$D60+($E60-$D60)*$I$2/(1+EXP($I$3*(COUNT($H$9:R$9)+$I$4))),TREND($D60:$E60,$D$9:$E$9,R$9))</f>
        <v>0</v>
      </c>
      <c r="S60" s="13">
        <f>IF($F60="s-curve",$D60+($E60-$D60)*$I$2/(1+EXP($I$3*(COUNT($H$9:S$9)+$I$4))),TREND($D60:$E60,$D$9:$E$9,S$9))</f>
        <v>0</v>
      </c>
      <c r="T60" s="13">
        <f>IF($F60="s-curve",$D60+($E60-$D60)*$I$2/(1+EXP($I$3*(COUNT($H$9:T$9)+$I$4))),TREND($D60:$E60,$D$9:$E$9,T$9))</f>
        <v>0</v>
      </c>
      <c r="U60" s="13">
        <f>IF($F60="s-curve",$D60+($E60-$D60)*$I$2/(1+EXP($I$3*(COUNT($H$9:U$9)+$I$4))),TREND($D60:$E60,$D$9:$E$9,U$9))</f>
        <v>0</v>
      </c>
      <c r="V60" s="13">
        <f>IF($F60="s-curve",$D60+($E60-$D60)*$I$2/(1+EXP($I$3*(COUNT($H$9:V$9)+$I$4))),TREND($D60:$E60,$D$9:$E$9,V$9))</f>
        <v>0</v>
      </c>
      <c r="W60" s="13">
        <f>IF($F60="s-curve",$D60+($E60-$D60)*$I$2/(1+EXP($I$3*(COUNT($H$9:W$9)+$I$4))),TREND($D60:$E60,$D$9:$E$9,W$9))</f>
        <v>0</v>
      </c>
      <c r="X60" s="13">
        <f>IF($F60="s-curve",$D60+($E60-$D60)*$I$2/(1+EXP($I$3*(COUNT($H$9:X$9)+$I$4))),TREND($D60:$E60,$D$9:$E$9,X$9))</f>
        <v>0</v>
      </c>
      <c r="Y60" s="13">
        <f>IF($F60="s-curve",$D60+($E60-$D60)*$I$2/(1+EXP($I$3*(COUNT($H$9:Y$9)+$I$4))),TREND($D60:$E60,$D$9:$E$9,Y$9))</f>
        <v>0</v>
      </c>
      <c r="Z60" s="13">
        <f>IF($F60="s-curve",$D60+($E60-$D60)*$I$2/(1+EXP($I$3*(COUNT($H$9:Z$9)+$I$4))),TREND($D60:$E60,$D$9:$E$9,Z$9))</f>
        <v>0</v>
      </c>
      <c r="AA60" s="13">
        <f>IF($F60="s-curve",$D60+($E60-$D60)*$I$2/(1+EXP($I$3*(COUNT($H$9:AA$9)+$I$4))),TREND($D60:$E60,$D$9:$E$9,AA$9))</f>
        <v>0</v>
      </c>
      <c r="AB60" s="13">
        <f>IF($F60="s-curve",$D60+($E60-$D60)*$I$2/(1+EXP($I$3*(COUNT($H$9:AB$9)+$I$4))),TREND($D60:$E60,$D$9:$E$9,AB$9))</f>
        <v>0</v>
      </c>
      <c r="AC60" s="13">
        <f>IF($F60="s-curve",$D60+($E60-$D60)*$I$2/(1+EXP($I$3*(COUNT($H$9:AC$9)+$I$4))),TREND($D60:$E60,$D$9:$E$9,AC$9))</f>
        <v>0</v>
      </c>
      <c r="AD60" s="13">
        <f>IF($F60="s-curve",$D60+($E60-$D60)*$I$2/(1+EXP($I$3*(COUNT($H$9:AD$9)+$I$4))),TREND($D60:$E60,$D$9:$E$9,AD$9))</f>
        <v>0</v>
      </c>
      <c r="AE60" s="13">
        <f>IF($F60="s-curve",$D60+($E60-$D60)*$I$2/(1+EXP($I$3*(COUNT($H$9:AE$9)+$I$4))),TREND($D60:$E60,$D$9:$E$9,AE$9))</f>
        <v>0</v>
      </c>
      <c r="AF60" s="13">
        <f>IF($F60="s-curve",$D60+($E60-$D60)*$I$2/(1+EXP($I$3*(COUNT($H$9:AF$9)+$I$4))),TREND($D60:$E60,$D$9:$E$9,AF$9))</f>
        <v>0</v>
      </c>
      <c r="AG60" s="13">
        <f>IF($F60="s-curve",$D60+($E60-$D60)*$I$2/(1+EXP($I$3*(COUNT($H$9:AG$9)+$I$4))),TREND($D60:$E60,$D$9:$E$9,AG$9))</f>
        <v>0</v>
      </c>
      <c r="AH60" s="13">
        <f>IF($F60="s-curve",$D60+($E60-$D60)*$I$2/(1+EXP($I$3*(COUNT($H$9:AH$9)+$I$4))),TREND($D60:$E60,$D$9:$E$9,AH$9))</f>
        <v>0</v>
      </c>
      <c r="AI60" s="13">
        <f>IF($F60="s-curve",$D60+($E60-$D60)*$I$2/(1+EXP($I$3*(COUNT($H$9:AI$9)+$I$4))),TREND($D60:$E60,$D$9:$E$9,AI$9))</f>
        <v>0</v>
      </c>
      <c r="AJ60" s="13">
        <f>IF($F60="s-curve",$D60+($E60-$D60)*$I$2/(1+EXP($I$3*(COUNT($H$9:AJ$9)+$I$4))),TREND($D60:$E60,$D$9:$E$9,AJ$9))</f>
        <v>0</v>
      </c>
      <c r="AK60" s="13">
        <f>IF($F60="s-curve",$D60+($E60-$D60)*$I$2/(1+EXP($I$3*(COUNT($H$9:AK$9)+$I$4))),TREND($D60:$E60,$D$9:$E$9,AK$9))</f>
        <v>0</v>
      </c>
      <c r="AL60" s="13">
        <f>IF($F60="s-curve",$D60+($E60-$D60)*$I$2/(1+EXP($I$3*(COUNT($H$9:AL$9)+$I$4))),TREND($D60:$E60,$D$9:$E$9,AL$9))</f>
        <v>0</v>
      </c>
    </row>
    <row r="61" spans="1:38" x14ac:dyDescent="0.35">
      <c r="A61" s="25"/>
      <c r="C61" s="13" t="s">
        <v>3</v>
      </c>
      <c r="D61" s="13">
        <f>MIN(1.25*INDEX('SYVbT-freight'!$B$5:$H$5,MATCH(Data!$C12,'SYVbT-passenger'!$B$1:$H$1,0))/SUM('SYVbT-freight'!$B$5:$H$5),1)</f>
        <v>0</v>
      </c>
      <c r="E61" s="13">
        <f t="shared" si="8"/>
        <v>0</v>
      </c>
      <c r="F61" s="7" t="str">
        <f>IF(D61=E61,"n/a",IF(OR(C61="battery electric vehicle",C61="natural gas vehicle",C61="plugin hybrid vehicle"),"s-curve","linear"))</f>
        <v>n/a</v>
      </c>
      <c r="H61" s="24">
        <f t="shared" si="6"/>
        <v>0</v>
      </c>
      <c r="I61" s="13">
        <f>IF($F61="s-curve",$D61+($E61-$D61)*$I$2/(1+EXP($I$3*(COUNT($H$9:I$9)+$I$4))),TREND($D61:$E61,$D$9:$E$9,I$9))</f>
        <v>0</v>
      </c>
      <c r="J61" s="13">
        <f>IF($F61="s-curve",$D61+($E61-$D61)*$I$2/(1+EXP($I$3*(COUNT($H$9:J$9)+$I$4))),TREND($D61:$E61,$D$9:$E$9,J$9))</f>
        <v>0</v>
      </c>
      <c r="K61" s="13">
        <f>IF($F61="s-curve",$D61+($E61-$D61)*$I$2/(1+EXP($I$3*(COUNT($H$9:K$9)+$I$4))),TREND($D61:$E61,$D$9:$E$9,K$9))</f>
        <v>0</v>
      </c>
      <c r="L61" s="13">
        <f>IF($F61="s-curve",$D61+($E61-$D61)*$I$2/(1+EXP($I$3*(COUNT($H$9:L$9)+$I$4))),TREND($D61:$E61,$D$9:$E$9,L$9))</f>
        <v>0</v>
      </c>
      <c r="M61" s="13">
        <f>IF($F61="s-curve",$D61+($E61-$D61)*$I$2/(1+EXP($I$3*(COUNT($H$9:M$9)+$I$4))),TREND($D61:$E61,$D$9:$E$9,M$9))</f>
        <v>0</v>
      </c>
      <c r="N61" s="13">
        <f>IF($F61="s-curve",$D61+($E61-$D61)*$I$2/(1+EXP($I$3*(COUNT($H$9:N$9)+$I$4))),TREND($D61:$E61,$D$9:$E$9,N$9))</f>
        <v>0</v>
      </c>
      <c r="O61" s="13">
        <f>IF($F61="s-curve",$D61+($E61-$D61)*$I$2/(1+EXP($I$3*(COUNT($H$9:O$9)+$I$4))),TREND($D61:$E61,$D$9:$E$9,O$9))</f>
        <v>0</v>
      </c>
      <c r="P61" s="13">
        <f>IF($F61="s-curve",$D61+($E61-$D61)*$I$2/(1+EXP($I$3*(COUNT($H$9:P$9)+$I$4))),TREND($D61:$E61,$D$9:$E$9,P$9))</f>
        <v>0</v>
      </c>
      <c r="Q61" s="13">
        <f>IF($F61="s-curve",$D61+($E61-$D61)*$I$2/(1+EXP($I$3*(COUNT($H$9:Q$9)+$I$4))),TREND($D61:$E61,$D$9:$E$9,Q$9))</f>
        <v>0</v>
      </c>
      <c r="R61" s="13">
        <f>IF($F61="s-curve",$D61+($E61-$D61)*$I$2/(1+EXP($I$3*(COUNT($H$9:R$9)+$I$4))),TREND($D61:$E61,$D$9:$E$9,R$9))</f>
        <v>0</v>
      </c>
      <c r="S61" s="13">
        <f>IF($F61="s-curve",$D61+($E61-$D61)*$I$2/(1+EXP($I$3*(COUNT($H$9:S$9)+$I$4))),TREND($D61:$E61,$D$9:$E$9,S$9))</f>
        <v>0</v>
      </c>
      <c r="T61" s="13">
        <f>IF($F61="s-curve",$D61+($E61-$D61)*$I$2/(1+EXP($I$3*(COUNT($H$9:T$9)+$I$4))),TREND($D61:$E61,$D$9:$E$9,T$9))</f>
        <v>0</v>
      </c>
      <c r="U61" s="13">
        <f>IF($F61="s-curve",$D61+($E61-$D61)*$I$2/(1+EXP($I$3*(COUNT($H$9:U$9)+$I$4))),TREND($D61:$E61,$D$9:$E$9,U$9))</f>
        <v>0</v>
      </c>
      <c r="V61" s="13">
        <f>IF($F61="s-curve",$D61+($E61-$D61)*$I$2/(1+EXP($I$3*(COUNT($H$9:V$9)+$I$4))),TREND($D61:$E61,$D$9:$E$9,V$9))</f>
        <v>0</v>
      </c>
      <c r="W61" s="13">
        <f>IF($F61="s-curve",$D61+($E61-$D61)*$I$2/(1+EXP($I$3*(COUNT($H$9:W$9)+$I$4))),TREND($D61:$E61,$D$9:$E$9,W$9))</f>
        <v>0</v>
      </c>
      <c r="X61" s="13">
        <f>IF($F61="s-curve",$D61+($E61-$D61)*$I$2/(1+EXP($I$3*(COUNT($H$9:X$9)+$I$4))),TREND($D61:$E61,$D$9:$E$9,X$9))</f>
        <v>0</v>
      </c>
      <c r="Y61" s="13">
        <f>IF($F61="s-curve",$D61+($E61-$D61)*$I$2/(1+EXP($I$3*(COUNT($H$9:Y$9)+$I$4))),TREND($D61:$E61,$D$9:$E$9,Y$9))</f>
        <v>0</v>
      </c>
      <c r="Z61" s="13">
        <f>IF($F61="s-curve",$D61+($E61-$D61)*$I$2/(1+EXP($I$3*(COUNT($H$9:Z$9)+$I$4))),TREND($D61:$E61,$D$9:$E$9,Z$9))</f>
        <v>0</v>
      </c>
      <c r="AA61" s="13">
        <f>IF($F61="s-curve",$D61+($E61-$D61)*$I$2/(1+EXP($I$3*(COUNT($H$9:AA$9)+$I$4))),TREND($D61:$E61,$D$9:$E$9,AA$9))</f>
        <v>0</v>
      </c>
      <c r="AB61" s="13">
        <f>IF($F61="s-curve",$D61+($E61-$D61)*$I$2/(1+EXP($I$3*(COUNT($H$9:AB$9)+$I$4))),TREND($D61:$E61,$D$9:$E$9,AB$9))</f>
        <v>0</v>
      </c>
      <c r="AC61" s="13">
        <f>IF($F61="s-curve",$D61+($E61-$D61)*$I$2/(1+EXP($I$3*(COUNT($H$9:AC$9)+$I$4))),TREND($D61:$E61,$D$9:$E$9,AC$9))</f>
        <v>0</v>
      </c>
      <c r="AD61" s="13">
        <f>IF($F61="s-curve",$D61+($E61-$D61)*$I$2/(1+EXP($I$3*(COUNT($H$9:AD$9)+$I$4))),TREND($D61:$E61,$D$9:$E$9,AD$9))</f>
        <v>0</v>
      </c>
      <c r="AE61" s="13">
        <f>IF($F61="s-curve",$D61+($E61-$D61)*$I$2/(1+EXP($I$3*(COUNT($H$9:AE$9)+$I$4))),TREND($D61:$E61,$D$9:$E$9,AE$9))</f>
        <v>0</v>
      </c>
      <c r="AF61" s="13">
        <f>IF($F61="s-curve",$D61+($E61-$D61)*$I$2/(1+EXP($I$3*(COUNT($H$9:AF$9)+$I$4))),TREND($D61:$E61,$D$9:$E$9,AF$9))</f>
        <v>0</v>
      </c>
      <c r="AG61" s="13">
        <f>IF($F61="s-curve",$D61+($E61-$D61)*$I$2/(1+EXP($I$3*(COUNT($H$9:AG$9)+$I$4))),TREND($D61:$E61,$D$9:$E$9,AG$9))</f>
        <v>0</v>
      </c>
      <c r="AH61" s="13">
        <f>IF($F61="s-curve",$D61+($E61-$D61)*$I$2/(1+EXP($I$3*(COUNT($H$9:AH$9)+$I$4))),TREND($D61:$E61,$D$9:$E$9,AH$9))</f>
        <v>0</v>
      </c>
      <c r="AI61" s="13">
        <f>IF($F61="s-curve",$D61+($E61-$D61)*$I$2/(1+EXP($I$3*(COUNT($H$9:AI$9)+$I$4))),TREND($D61:$E61,$D$9:$E$9,AI$9))</f>
        <v>0</v>
      </c>
      <c r="AJ61" s="13">
        <f>IF($F61="s-curve",$D61+($E61-$D61)*$I$2/(1+EXP($I$3*(COUNT($H$9:AJ$9)+$I$4))),TREND($D61:$E61,$D$9:$E$9,AJ$9))</f>
        <v>0</v>
      </c>
      <c r="AK61" s="13">
        <f>IF($F61="s-curve",$D61+($E61-$D61)*$I$2/(1+EXP($I$3*(COUNT($H$9:AK$9)+$I$4))),TREND($D61:$E61,$D$9:$E$9,AK$9))</f>
        <v>0</v>
      </c>
      <c r="AL61" s="13">
        <f>IF($F61="s-curve",$D61+($E61-$D61)*$I$2/(1+EXP($I$3*(COUNT($H$9:AL$9)+$I$4))),TREND($D61:$E61,$D$9:$E$9,AL$9))</f>
        <v>0</v>
      </c>
    </row>
    <row r="62" spans="1:38" x14ac:dyDescent="0.35">
      <c r="C62" s="13" t="s">
        <v>4</v>
      </c>
      <c r="D62" s="13">
        <f>MIN(1.25*INDEX('SYVbT-freight'!$B$5:$H$5,MATCH(Data!$C13,'SYVbT-passenger'!$B$1:$H$1,0))/SUM('SYVbT-freight'!$B$5:$H$5),1)</f>
        <v>0.74009324009324007</v>
      </c>
      <c r="E62" s="13">
        <f t="shared" si="8"/>
        <v>0.74009324009324007</v>
      </c>
      <c r="F62" s="7" t="str">
        <f>IF(D62=E62,"n/a",IF(OR(C62="battery electric vehicle",C62="natural gas vehicle",C62="plugin hybrid vehicle"),"s-curve","linear"))</f>
        <v>n/a</v>
      </c>
      <c r="H62" s="24">
        <f t="shared" si="6"/>
        <v>0.74009324009324007</v>
      </c>
      <c r="I62" s="13">
        <f>IF($F62="s-curve",$D62+($E62-$D62)*$I$2/(1+EXP($I$3*(COUNT($H$9:I$9)+$I$4))),TREND($D62:$E62,$D$9:$E$9,I$9))</f>
        <v>0.74009324009324007</v>
      </c>
      <c r="J62" s="13">
        <f>IF($F62="s-curve",$D62+($E62-$D62)*$I$2/(1+EXP($I$3*(COUNT($H$9:J$9)+$I$4))),TREND($D62:$E62,$D$9:$E$9,J$9))</f>
        <v>0.74009324009324007</v>
      </c>
      <c r="K62" s="13">
        <f>IF($F62="s-curve",$D62+($E62-$D62)*$I$2/(1+EXP($I$3*(COUNT($H$9:K$9)+$I$4))),TREND($D62:$E62,$D$9:$E$9,K$9))</f>
        <v>0.74009324009324007</v>
      </c>
      <c r="L62" s="13">
        <f>IF($F62="s-curve",$D62+($E62-$D62)*$I$2/(1+EXP($I$3*(COUNT($H$9:L$9)+$I$4))),TREND($D62:$E62,$D$9:$E$9,L$9))</f>
        <v>0.74009324009324007</v>
      </c>
      <c r="M62" s="13">
        <f>IF($F62="s-curve",$D62+($E62-$D62)*$I$2/(1+EXP($I$3*(COUNT($H$9:M$9)+$I$4))),TREND($D62:$E62,$D$9:$E$9,M$9))</f>
        <v>0.74009324009324007</v>
      </c>
      <c r="N62" s="13">
        <f>IF($F62="s-curve",$D62+($E62-$D62)*$I$2/(1+EXP($I$3*(COUNT($H$9:N$9)+$I$4))),TREND($D62:$E62,$D$9:$E$9,N$9))</f>
        <v>0.74009324009324007</v>
      </c>
      <c r="O62" s="13">
        <f>IF($F62="s-curve",$D62+($E62-$D62)*$I$2/(1+EXP($I$3*(COUNT($H$9:O$9)+$I$4))),TREND($D62:$E62,$D$9:$E$9,O$9))</f>
        <v>0.74009324009324007</v>
      </c>
      <c r="P62" s="13">
        <f>IF($F62="s-curve",$D62+($E62-$D62)*$I$2/(1+EXP($I$3*(COUNT($H$9:P$9)+$I$4))),TREND($D62:$E62,$D$9:$E$9,P$9))</f>
        <v>0.74009324009324007</v>
      </c>
      <c r="Q62" s="13">
        <f>IF($F62="s-curve",$D62+($E62-$D62)*$I$2/(1+EXP($I$3*(COUNT($H$9:Q$9)+$I$4))),TREND($D62:$E62,$D$9:$E$9,Q$9))</f>
        <v>0.74009324009324007</v>
      </c>
      <c r="R62" s="13">
        <f>IF($F62="s-curve",$D62+($E62-$D62)*$I$2/(1+EXP($I$3*(COUNT($H$9:R$9)+$I$4))),TREND($D62:$E62,$D$9:$E$9,R$9))</f>
        <v>0.74009324009324007</v>
      </c>
      <c r="S62" s="13">
        <f>IF($F62="s-curve",$D62+($E62-$D62)*$I$2/(1+EXP($I$3*(COUNT($H$9:S$9)+$I$4))),TREND($D62:$E62,$D$9:$E$9,S$9))</f>
        <v>0.74009324009324007</v>
      </c>
      <c r="T62" s="13">
        <f>IF($F62="s-curve",$D62+($E62-$D62)*$I$2/(1+EXP($I$3*(COUNT($H$9:T$9)+$I$4))),TREND($D62:$E62,$D$9:$E$9,T$9))</f>
        <v>0.74009324009324007</v>
      </c>
      <c r="U62" s="13">
        <f>IF($F62="s-curve",$D62+($E62-$D62)*$I$2/(1+EXP($I$3*(COUNT($H$9:U$9)+$I$4))),TREND($D62:$E62,$D$9:$E$9,U$9))</f>
        <v>0.74009324009324007</v>
      </c>
      <c r="V62" s="13">
        <f>IF($F62="s-curve",$D62+($E62-$D62)*$I$2/(1+EXP($I$3*(COUNT($H$9:V$9)+$I$4))),TREND($D62:$E62,$D$9:$E$9,V$9))</f>
        <v>0.74009324009324007</v>
      </c>
      <c r="W62" s="13">
        <f>IF($F62="s-curve",$D62+($E62-$D62)*$I$2/(1+EXP($I$3*(COUNT($H$9:W$9)+$I$4))),TREND($D62:$E62,$D$9:$E$9,W$9))</f>
        <v>0.74009324009324007</v>
      </c>
      <c r="X62" s="13">
        <f>IF($F62="s-curve",$D62+($E62-$D62)*$I$2/(1+EXP($I$3*(COUNT($H$9:X$9)+$I$4))),TREND($D62:$E62,$D$9:$E$9,X$9))</f>
        <v>0.74009324009324007</v>
      </c>
      <c r="Y62" s="13">
        <f>IF($F62="s-curve",$D62+($E62-$D62)*$I$2/(1+EXP($I$3*(COUNT($H$9:Y$9)+$I$4))),TREND($D62:$E62,$D$9:$E$9,Y$9))</f>
        <v>0.74009324009324007</v>
      </c>
      <c r="Z62" s="13">
        <f>IF($F62="s-curve",$D62+($E62-$D62)*$I$2/(1+EXP($I$3*(COUNT($H$9:Z$9)+$I$4))),TREND($D62:$E62,$D$9:$E$9,Z$9))</f>
        <v>0.74009324009324007</v>
      </c>
      <c r="AA62" s="13">
        <f>IF($F62="s-curve",$D62+($E62-$D62)*$I$2/(1+EXP($I$3*(COUNT($H$9:AA$9)+$I$4))),TREND($D62:$E62,$D$9:$E$9,AA$9))</f>
        <v>0.74009324009324007</v>
      </c>
      <c r="AB62" s="13">
        <f>IF($F62="s-curve",$D62+($E62-$D62)*$I$2/(1+EXP($I$3*(COUNT($H$9:AB$9)+$I$4))),TREND($D62:$E62,$D$9:$E$9,AB$9))</f>
        <v>0.74009324009324007</v>
      </c>
      <c r="AC62" s="13">
        <f>IF($F62="s-curve",$D62+($E62-$D62)*$I$2/(1+EXP($I$3*(COUNT($H$9:AC$9)+$I$4))),TREND($D62:$E62,$D$9:$E$9,AC$9))</f>
        <v>0.74009324009324007</v>
      </c>
      <c r="AD62" s="13">
        <f>IF($F62="s-curve",$D62+($E62-$D62)*$I$2/(1+EXP($I$3*(COUNT($H$9:AD$9)+$I$4))),TREND($D62:$E62,$D$9:$E$9,AD$9))</f>
        <v>0.74009324009324007</v>
      </c>
      <c r="AE62" s="13">
        <f>IF($F62="s-curve",$D62+($E62-$D62)*$I$2/(1+EXP($I$3*(COUNT($H$9:AE$9)+$I$4))),TREND($D62:$E62,$D$9:$E$9,AE$9))</f>
        <v>0.74009324009324007</v>
      </c>
      <c r="AF62" s="13">
        <f>IF($F62="s-curve",$D62+($E62-$D62)*$I$2/(1+EXP($I$3*(COUNT($H$9:AF$9)+$I$4))),TREND($D62:$E62,$D$9:$E$9,AF$9))</f>
        <v>0.74009324009324007</v>
      </c>
      <c r="AG62" s="13">
        <f>IF($F62="s-curve",$D62+($E62-$D62)*$I$2/(1+EXP($I$3*(COUNT($H$9:AG$9)+$I$4))),TREND($D62:$E62,$D$9:$E$9,AG$9))</f>
        <v>0.74009324009324007</v>
      </c>
      <c r="AH62" s="13">
        <f>IF($F62="s-curve",$D62+($E62-$D62)*$I$2/(1+EXP($I$3*(COUNT($H$9:AH$9)+$I$4))),TREND($D62:$E62,$D$9:$E$9,AH$9))</f>
        <v>0.74009324009324007</v>
      </c>
      <c r="AI62" s="13">
        <f>IF($F62="s-curve",$D62+($E62-$D62)*$I$2/(1+EXP($I$3*(COUNT($H$9:AI$9)+$I$4))),TREND($D62:$E62,$D$9:$E$9,AI$9))</f>
        <v>0.74009324009324007</v>
      </c>
      <c r="AJ62" s="13">
        <f>IF($F62="s-curve",$D62+($E62-$D62)*$I$2/(1+EXP($I$3*(COUNT($H$9:AJ$9)+$I$4))),TREND($D62:$E62,$D$9:$E$9,AJ$9))</f>
        <v>0.74009324009324007</v>
      </c>
      <c r="AK62" s="13">
        <f>IF($F62="s-curve",$D62+($E62-$D62)*$I$2/(1+EXP($I$3*(COUNT($H$9:AK$9)+$I$4))),TREND($D62:$E62,$D$9:$E$9,AK$9))</f>
        <v>0.74009324009324007</v>
      </c>
      <c r="AL62" s="13">
        <f>IF($F62="s-curve",$D62+($E62-$D62)*$I$2/(1+EXP($I$3*(COUNT($H$9:AL$9)+$I$4))),TREND($D62:$E62,$D$9:$E$9,AL$9))</f>
        <v>0.74009324009324007</v>
      </c>
    </row>
    <row r="63" spans="1:38" x14ac:dyDescent="0.35">
      <c r="C63" s="13" t="s">
        <v>5</v>
      </c>
      <c r="D63" s="13">
        <f>MIN(1.25*INDEX('SYVbT-freight'!$B$5:$H$5,MATCH(Data!$C14,'SYVbT-passenger'!$B$1:$H$1,0))/SUM('SYVbT-freight'!$B$5:$H$5),1)</f>
        <v>0</v>
      </c>
      <c r="E63" s="13">
        <f t="shared" si="8"/>
        <v>0</v>
      </c>
      <c r="F63" s="7" t="str">
        <f>IF(D63=E63,"n/a",IF(OR(C63="battery electric vehicle",C63="natural gas vehicle",C63="plugin hybrid vehicle"),"s-curve","linear"))</f>
        <v>n/a</v>
      </c>
      <c r="H63" s="24">
        <f t="shared" si="6"/>
        <v>0</v>
      </c>
      <c r="I63" s="13">
        <f>IF($F63="s-curve",$D63+($E63-$D63)*$I$2/(1+EXP($I$3*(COUNT($H$9:I$9)+$I$4))),TREND($D63:$E63,$D$9:$E$9,I$9))</f>
        <v>0</v>
      </c>
      <c r="J63" s="13">
        <f>IF($F63="s-curve",$D63+($E63-$D63)*$I$2/(1+EXP($I$3*(COUNT($H$9:J$9)+$I$4))),TREND($D63:$E63,$D$9:$E$9,J$9))</f>
        <v>0</v>
      </c>
      <c r="K63" s="13">
        <f>IF($F63="s-curve",$D63+($E63-$D63)*$I$2/(1+EXP($I$3*(COUNT($H$9:K$9)+$I$4))),TREND($D63:$E63,$D$9:$E$9,K$9))</f>
        <v>0</v>
      </c>
      <c r="L63" s="13">
        <f>IF($F63="s-curve",$D63+($E63-$D63)*$I$2/(1+EXP($I$3*(COUNT($H$9:L$9)+$I$4))),TREND($D63:$E63,$D$9:$E$9,L$9))</f>
        <v>0</v>
      </c>
      <c r="M63" s="13">
        <f>IF($F63="s-curve",$D63+($E63-$D63)*$I$2/(1+EXP($I$3*(COUNT($H$9:M$9)+$I$4))),TREND($D63:$E63,$D$9:$E$9,M$9))</f>
        <v>0</v>
      </c>
      <c r="N63" s="13">
        <f>IF($F63="s-curve",$D63+($E63-$D63)*$I$2/(1+EXP($I$3*(COUNT($H$9:N$9)+$I$4))),TREND($D63:$E63,$D$9:$E$9,N$9))</f>
        <v>0</v>
      </c>
      <c r="O63" s="13">
        <f>IF($F63="s-curve",$D63+($E63-$D63)*$I$2/(1+EXP($I$3*(COUNT($H$9:O$9)+$I$4))),TREND($D63:$E63,$D$9:$E$9,O$9))</f>
        <v>0</v>
      </c>
      <c r="P63" s="13">
        <f>IF($F63="s-curve",$D63+($E63-$D63)*$I$2/(1+EXP($I$3*(COUNT($H$9:P$9)+$I$4))),TREND($D63:$E63,$D$9:$E$9,P$9))</f>
        <v>0</v>
      </c>
      <c r="Q63" s="13">
        <f>IF($F63="s-curve",$D63+($E63-$D63)*$I$2/(1+EXP($I$3*(COUNT($H$9:Q$9)+$I$4))),TREND($D63:$E63,$D$9:$E$9,Q$9))</f>
        <v>0</v>
      </c>
      <c r="R63" s="13">
        <f>IF($F63="s-curve",$D63+($E63-$D63)*$I$2/(1+EXP($I$3*(COUNT($H$9:R$9)+$I$4))),TREND($D63:$E63,$D$9:$E$9,R$9))</f>
        <v>0</v>
      </c>
      <c r="S63" s="13">
        <f>IF($F63="s-curve",$D63+($E63-$D63)*$I$2/(1+EXP($I$3*(COUNT($H$9:S$9)+$I$4))),TREND($D63:$E63,$D$9:$E$9,S$9))</f>
        <v>0</v>
      </c>
      <c r="T63" s="13">
        <f>IF($F63="s-curve",$D63+($E63-$D63)*$I$2/(1+EXP($I$3*(COUNT($H$9:T$9)+$I$4))),TREND($D63:$E63,$D$9:$E$9,T$9))</f>
        <v>0</v>
      </c>
      <c r="U63" s="13">
        <f>IF($F63="s-curve",$D63+($E63-$D63)*$I$2/(1+EXP($I$3*(COUNT($H$9:U$9)+$I$4))),TREND($D63:$E63,$D$9:$E$9,U$9))</f>
        <v>0</v>
      </c>
      <c r="V63" s="13">
        <f>IF($F63="s-curve",$D63+($E63-$D63)*$I$2/(1+EXP($I$3*(COUNT($H$9:V$9)+$I$4))),TREND($D63:$E63,$D$9:$E$9,V$9))</f>
        <v>0</v>
      </c>
      <c r="W63" s="13">
        <f>IF($F63="s-curve",$D63+($E63-$D63)*$I$2/(1+EXP($I$3*(COUNT($H$9:W$9)+$I$4))),TREND($D63:$E63,$D$9:$E$9,W$9))</f>
        <v>0</v>
      </c>
      <c r="X63" s="13">
        <f>IF($F63="s-curve",$D63+($E63-$D63)*$I$2/(1+EXP($I$3*(COUNT($H$9:X$9)+$I$4))),TREND($D63:$E63,$D$9:$E$9,X$9))</f>
        <v>0</v>
      </c>
      <c r="Y63" s="13">
        <f>IF($F63="s-curve",$D63+($E63-$D63)*$I$2/(1+EXP($I$3*(COUNT($H$9:Y$9)+$I$4))),TREND($D63:$E63,$D$9:$E$9,Y$9))</f>
        <v>0</v>
      </c>
      <c r="Z63" s="13">
        <f>IF($F63="s-curve",$D63+($E63-$D63)*$I$2/(1+EXP($I$3*(COUNT($H$9:Z$9)+$I$4))),TREND($D63:$E63,$D$9:$E$9,Z$9))</f>
        <v>0</v>
      </c>
      <c r="AA63" s="13">
        <f>IF($F63="s-curve",$D63+($E63-$D63)*$I$2/(1+EXP($I$3*(COUNT($H$9:AA$9)+$I$4))),TREND($D63:$E63,$D$9:$E$9,AA$9))</f>
        <v>0</v>
      </c>
      <c r="AB63" s="13">
        <f>IF($F63="s-curve",$D63+($E63-$D63)*$I$2/(1+EXP($I$3*(COUNT($H$9:AB$9)+$I$4))),TREND($D63:$E63,$D$9:$E$9,AB$9))</f>
        <v>0</v>
      </c>
      <c r="AC63" s="13">
        <f>IF($F63="s-curve",$D63+($E63-$D63)*$I$2/(1+EXP($I$3*(COUNT($H$9:AC$9)+$I$4))),TREND($D63:$E63,$D$9:$E$9,AC$9))</f>
        <v>0</v>
      </c>
      <c r="AD63" s="13">
        <f>IF($F63="s-curve",$D63+($E63-$D63)*$I$2/(1+EXP($I$3*(COUNT($H$9:AD$9)+$I$4))),TREND($D63:$E63,$D$9:$E$9,AD$9))</f>
        <v>0</v>
      </c>
      <c r="AE63" s="13">
        <f>IF($F63="s-curve",$D63+($E63-$D63)*$I$2/(1+EXP($I$3*(COUNT($H$9:AE$9)+$I$4))),TREND($D63:$E63,$D$9:$E$9,AE$9))</f>
        <v>0</v>
      </c>
      <c r="AF63" s="13">
        <f>IF($F63="s-curve",$D63+($E63-$D63)*$I$2/(1+EXP($I$3*(COUNT($H$9:AF$9)+$I$4))),TREND($D63:$E63,$D$9:$E$9,AF$9))</f>
        <v>0</v>
      </c>
      <c r="AG63" s="13">
        <f>IF($F63="s-curve",$D63+($E63-$D63)*$I$2/(1+EXP($I$3*(COUNT($H$9:AG$9)+$I$4))),TREND($D63:$E63,$D$9:$E$9,AG$9))</f>
        <v>0</v>
      </c>
      <c r="AH63" s="13">
        <f>IF($F63="s-curve",$D63+($E63-$D63)*$I$2/(1+EXP($I$3*(COUNT($H$9:AH$9)+$I$4))),TREND($D63:$E63,$D$9:$E$9,AH$9))</f>
        <v>0</v>
      </c>
      <c r="AI63" s="13">
        <f>IF($F63="s-curve",$D63+($E63-$D63)*$I$2/(1+EXP($I$3*(COUNT($H$9:AI$9)+$I$4))),TREND($D63:$E63,$D$9:$E$9,AI$9))</f>
        <v>0</v>
      </c>
      <c r="AJ63" s="13">
        <f>IF($F63="s-curve",$D63+($E63-$D63)*$I$2/(1+EXP($I$3*(COUNT($H$9:AJ$9)+$I$4))),TREND($D63:$E63,$D$9:$E$9,AJ$9))</f>
        <v>0</v>
      </c>
      <c r="AK63" s="13">
        <f>IF($F63="s-curve",$D63+($E63-$D63)*$I$2/(1+EXP($I$3*(COUNT($H$9:AK$9)+$I$4))),TREND($D63:$E63,$D$9:$E$9,AK$9))</f>
        <v>0</v>
      </c>
      <c r="AL63" s="13">
        <f>IF($F63="s-curve",$D63+($E63-$D63)*$I$2/(1+EXP($I$3*(COUNT($H$9:AL$9)+$I$4))),TREND($D63:$E63,$D$9:$E$9,AL$9))</f>
        <v>0</v>
      </c>
    </row>
    <row r="64" spans="1:38" x14ac:dyDescent="0.35">
      <c r="C64" s="13" t="s">
        <v>78</v>
      </c>
      <c r="D64" s="13">
        <f>MIN(1.25*INDEX('SYVbT-freight'!$B$5:$H$5,MATCH(Data!$C15,'SYVbT-passenger'!$B$1:$H$1,0))/SUM('SYVbT-freight'!$B$5:$H$5),1)</f>
        <v>0</v>
      </c>
      <c r="E64" s="13">
        <f t="shared" si="8"/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4">
        <f t="shared" si="6"/>
        <v>0</v>
      </c>
      <c r="I64" s="13">
        <f>IF($F64="s-curve",$D64+($E64-$D64)*$I$2/(1+EXP($I$3*(COUNT($H$9:I$9)+$I$4))),TREND($D64:$E64,$D$9:$E$9,I$9))</f>
        <v>0</v>
      </c>
      <c r="J64" s="13">
        <f>IF($F64="s-curve",$D64+($E64-$D64)*$I$2/(1+EXP($I$3*(COUNT($H$9:J$9)+$I$4))),TREND($D64:$E64,$D$9:$E$9,J$9))</f>
        <v>0</v>
      </c>
      <c r="K64" s="13">
        <f>IF($F64="s-curve",$D64+($E64-$D64)*$I$2/(1+EXP($I$3*(COUNT($H$9:K$9)+$I$4))),TREND($D64:$E64,$D$9:$E$9,K$9))</f>
        <v>0</v>
      </c>
      <c r="L64" s="13">
        <f>IF($F64="s-curve",$D64+($E64-$D64)*$I$2/(1+EXP($I$3*(COUNT($H$9:L$9)+$I$4))),TREND($D64:$E64,$D$9:$E$9,L$9))</f>
        <v>0</v>
      </c>
      <c r="M64" s="13">
        <f>IF($F64="s-curve",$D64+($E64-$D64)*$I$2/(1+EXP($I$3*(COUNT($H$9:M$9)+$I$4))),TREND($D64:$E64,$D$9:$E$9,M$9))</f>
        <v>0</v>
      </c>
      <c r="N64" s="13">
        <f>IF($F64="s-curve",$D64+($E64-$D64)*$I$2/(1+EXP($I$3*(COUNT($H$9:N$9)+$I$4))),TREND($D64:$E64,$D$9:$E$9,N$9))</f>
        <v>0</v>
      </c>
      <c r="O64" s="13">
        <f>IF($F64="s-curve",$D64+($E64-$D64)*$I$2/(1+EXP($I$3*(COUNT($H$9:O$9)+$I$4))),TREND($D64:$E64,$D$9:$E$9,O$9))</f>
        <v>0</v>
      </c>
      <c r="P64" s="13">
        <f>IF($F64="s-curve",$D64+($E64-$D64)*$I$2/(1+EXP($I$3*(COUNT($H$9:P$9)+$I$4))),TREND($D64:$E64,$D$9:$E$9,P$9))</f>
        <v>0</v>
      </c>
      <c r="Q64" s="13">
        <f>IF($F64="s-curve",$D64+($E64-$D64)*$I$2/(1+EXP($I$3*(COUNT($H$9:Q$9)+$I$4))),TREND($D64:$E64,$D$9:$E$9,Q$9))</f>
        <v>0</v>
      </c>
      <c r="R64" s="13">
        <f>IF($F64="s-curve",$D64+($E64-$D64)*$I$2/(1+EXP($I$3*(COUNT($H$9:R$9)+$I$4))),TREND($D64:$E64,$D$9:$E$9,R$9))</f>
        <v>0</v>
      </c>
      <c r="S64" s="13">
        <f>IF($F64="s-curve",$D64+($E64-$D64)*$I$2/(1+EXP($I$3*(COUNT($H$9:S$9)+$I$4))),TREND($D64:$E64,$D$9:$E$9,S$9))</f>
        <v>0</v>
      </c>
      <c r="T64" s="13">
        <f>IF($F64="s-curve",$D64+($E64-$D64)*$I$2/(1+EXP($I$3*(COUNT($H$9:T$9)+$I$4))),TREND($D64:$E64,$D$9:$E$9,T$9))</f>
        <v>0</v>
      </c>
      <c r="U64" s="13">
        <f>IF($F64="s-curve",$D64+($E64-$D64)*$I$2/(1+EXP($I$3*(COUNT($H$9:U$9)+$I$4))),TREND($D64:$E64,$D$9:$E$9,U$9))</f>
        <v>0</v>
      </c>
      <c r="V64" s="13">
        <f>IF($F64="s-curve",$D64+($E64-$D64)*$I$2/(1+EXP($I$3*(COUNT($H$9:V$9)+$I$4))),TREND($D64:$E64,$D$9:$E$9,V$9))</f>
        <v>0</v>
      </c>
      <c r="W64" s="13">
        <f>IF($F64="s-curve",$D64+($E64-$D64)*$I$2/(1+EXP($I$3*(COUNT($H$9:W$9)+$I$4))),TREND($D64:$E64,$D$9:$E$9,W$9))</f>
        <v>0</v>
      </c>
      <c r="X64" s="13">
        <f>IF($F64="s-curve",$D64+($E64-$D64)*$I$2/(1+EXP($I$3*(COUNT($H$9:X$9)+$I$4))),TREND($D64:$E64,$D$9:$E$9,X$9))</f>
        <v>0</v>
      </c>
      <c r="Y64" s="13">
        <f>IF($F64="s-curve",$D64+($E64-$D64)*$I$2/(1+EXP($I$3*(COUNT($H$9:Y$9)+$I$4))),TREND($D64:$E64,$D$9:$E$9,Y$9))</f>
        <v>0</v>
      </c>
      <c r="Z64" s="13">
        <f>IF($F64="s-curve",$D64+($E64-$D64)*$I$2/(1+EXP($I$3*(COUNT($H$9:Z$9)+$I$4))),TREND($D64:$E64,$D$9:$E$9,Z$9))</f>
        <v>0</v>
      </c>
      <c r="AA64" s="13">
        <f>IF($F64="s-curve",$D64+($E64-$D64)*$I$2/(1+EXP($I$3*(COUNT($H$9:AA$9)+$I$4))),TREND($D64:$E64,$D$9:$E$9,AA$9))</f>
        <v>0</v>
      </c>
      <c r="AB64" s="13">
        <f>IF($F64="s-curve",$D64+($E64-$D64)*$I$2/(1+EXP($I$3*(COUNT($H$9:AB$9)+$I$4))),TREND($D64:$E64,$D$9:$E$9,AB$9))</f>
        <v>0</v>
      </c>
      <c r="AC64" s="13">
        <f>IF($F64="s-curve",$D64+($E64-$D64)*$I$2/(1+EXP($I$3*(COUNT($H$9:AC$9)+$I$4))),TREND($D64:$E64,$D$9:$E$9,AC$9))</f>
        <v>0</v>
      </c>
      <c r="AD64" s="13">
        <f>IF($F64="s-curve",$D64+($E64-$D64)*$I$2/(1+EXP($I$3*(COUNT($H$9:AD$9)+$I$4))),TREND($D64:$E64,$D$9:$E$9,AD$9))</f>
        <v>0</v>
      </c>
      <c r="AE64" s="13">
        <f>IF($F64="s-curve",$D64+($E64-$D64)*$I$2/(1+EXP($I$3*(COUNT($H$9:AE$9)+$I$4))),TREND($D64:$E64,$D$9:$E$9,AE$9))</f>
        <v>0</v>
      </c>
      <c r="AF64" s="13">
        <f>IF($F64="s-curve",$D64+($E64-$D64)*$I$2/(1+EXP($I$3*(COUNT($H$9:AF$9)+$I$4))),TREND($D64:$E64,$D$9:$E$9,AF$9))</f>
        <v>0</v>
      </c>
      <c r="AG64" s="13">
        <f>IF($F64="s-curve",$D64+($E64-$D64)*$I$2/(1+EXP($I$3*(COUNT($H$9:AG$9)+$I$4))),TREND($D64:$E64,$D$9:$E$9,AG$9))</f>
        <v>0</v>
      </c>
      <c r="AH64" s="13">
        <f>IF($F64="s-curve",$D64+($E64-$D64)*$I$2/(1+EXP($I$3*(COUNT($H$9:AH$9)+$I$4))),TREND($D64:$E64,$D$9:$E$9,AH$9))</f>
        <v>0</v>
      </c>
      <c r="AI64" s="13">
        <f>IF($F64="s-curve",$D64+($E64-$D64)*$I$2/(1+EXP($I$3*(COUNT($H$9:AI$9)+$I$4))),TREND($D64:$E64,$D$9:$E$9,AI$9))</f>
        <v>0</v>
      </c>
      <c r="AJ64" s="13">
        <f>IF($F64="s-curve",$D64+($E64-$D64)*$I$2/(1+EXP($I$3*(COUNT($H$9:AJ$9)+$I$4))),TREND($D64:$E64,$D$9:$E$9,AJ$9))</f>
        <v>0</v>
      </c>
      <c r="AK64" s="13">
        <f>IF($F64="s-curve",$D64+($E64-$D64)*$I$2/(1+EXP($I$3*(COUNT($H$9:AK$9)+$I$4))),TREND($D64:$E64,$D$9:$E$9,AK$9))</f>
        <v>0</v>
      </c>
      <c r="AL64" s="13">
        <f>IF($F64="s-curve",$D64+($E64-$D64)*$I$2/(1+EXP($I$3*(COUNT($H$9:AL$9)+$I$4))),TREND($D64:$E64,$D$9:$E$9,AL$9))</f>
        <v>0</v>
      </c>
    </row>
    <row r="65" spans="1:38" ht="15" thickBot="1" x14ac:dyDescent="0.4">
      <c r="A65" s="26"/>
      <c r="B65" s="26"/>
      <c r="C65" s="26" t="s">
        <v>79</v>
      </c>
      <c r="D65" s="26">
        <f>MIN(1.25*INDEX('SYVbT-freight'!$B$5:$H$5,MATCH(Data!$C16,'SYVbT-passenger'!$B$1:$H$1,0))/SUM('SYVbT-freight'!$B$5:$H$5),1)</f>
        <v>0</v>
      </c>
      <c r="E65" s="26">
        <f t="shared" si="8"/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4">
        <f t="shared" si="6"/>
        <v>0</v>
      </c>
      <c r="I65" s="13">
        <f>IF($F65="s-curve",$D65+($E65-$D65)*$I$2/(1+EXP($I$3*(COUNT($H$9:I$9)+$I$4))),TREND($D65:$E65,$D$9:$E$9,I$9))</f>
        <v>0</v>
      </c>
      <c r="J65" s="13">
        <f>IF($F65="s-curve",$D65+($E65-$D65)*$I$2/(1+EXP($I$3*(COUNT($H$9:J$9)+$I$4))),TREND($D65:$E65,$D$9:$E$9,J$9))</f>
        <v>0</v>
      </c>
      <c r="K65" s="13">
        <f>IF($F65="s-curve",$D65+($E65-$D65)*$I$2/(1+EXP($I$3*(COUNT($H$9:K$9)+$I$4))),TREND($D65:$E65,$D$9:$E$9,K$9))</f>
        <v>0</v>
      </c>
      <c r="L65" s="13">
        <f>IF($F65="s-curve",$D65+($E65-$D65)*$I$2/(1+EXP($I$3*(COUNT($H$9:L$9)+$I$4))),TREND($D65:$E65,$D$9:$E$9,L$9))</f>
        <v>0</v>
      </c>
      <c r="M65" s="13">
        <f>IF($F65="s-curve",$D65+($E65-$D65)*$I$2/(1+EXP($I$3*(COUNT($H$9:M$9)+$I$4))),TREND($D65:$E65,$D$9:$E$9,M$9))</f>
        <v>0</v>
      </c>
      <c r="N65" s="13">
        <f>IF($F65="s-curve",$D65+($E65-$D65)*$I$2/(1+EXP($I$3*(COUNT($H$9:N$9)+$I$4))),TREND($D65:$E65,$D$9:$E$9,N$9))</f>
        <v>0</v>
      </c>
      <c r="O65" s="13">
        <f>IF($F65="s-curve",$D65+($E65-$D65)*$I$2/(1+EXP($I$3*(COUNT($H$9:O$9)+$I$4))),TREND($D65:$E65,$D$9:$E$9,O$9))</f>
        <v>0</v>
      </c>
      <c r="P65" s="13">
        <f>IF($F65="s-curve",$D65+($E65-$D65)*$I$2/(1+EXP($I$3*(COUNT($H$9:P$9)+$I$4))),TREND($D65:$E65,$D$9:$E$9,P$9))</f>
        <v>0</v>
      </c>
      <c r="Q65" s="13">
        <f>IF($F65="s-curve",$D65+($E65-$D65)*$I$2/(1+EXP($I$3*(COUNT($H$9:Q$9)+$I$4))),TREND($D65:$E65,$D$9:$E$9,Q$9))</f>
        <v>0</v>
      </c>
      <c r="R65" s="13">
        <f>IF($F65="s-curve",$D65+($E65-$D65)*$I$2/(1+EXP($I$3*(COUNT($H$9:R$9)+$I$4))),TREND($D65:$E65,$D$9:$E$9,R$9))</f>
        <v>0</v>
      </c>
      <c r="S65" s="13">
        <f>IF($F65="s-curve",$D65+($E65-$D65)*$I$2/(1+EXP($I$3*(COUNT($H$9:S$9)+$I$4))),TREND($D65:$E65,$D$9:$E$9,S$9))</f>
        <v>0</v>
      </c>
      <c r="T65" s="13">
        <f>IF($F65="s-curve",$D65+($E65-$D65)*$I$2/(1+EXP($I$3*(COUNT($H$9:T$9)+$I$4))),TREND($D65:$E65,$D$9:$E$9,T$9))</f>
        <v>0</v>
      </c>
      <c r="U65" s="13">
        <f>IF($F65="s-curve",$D65+($E65-$D65)*$I$2/(1+EXP($I$3*(COUNT($H$9:U$9)+$I$4))),TREND($D65:$E65,$D$9:$E$9,U$9))</f>
        <v>0</v>
      </c>
      <c r="V65" s="13">
        <f>IF($F65="s-curve",$D65+($E65-$D65)*$I$2/(1+EXP($I$3*(COUNT($H$9:V$9)+$I$4))),TREND($D65:$E65,$D$9:$E$9,V$9))</f>
        <v>0</v>
      </c>
      <c r="W65" s="13">
        <f>IF($F65="s-curve",$D65+($E65-$D65)*$I$2/(1+EXP($I$3*(COUNT($H$9:W$9)+$I$4))),TREND($D65:$E65,$D$9:$E$9,W$9))</f>
        <v>0</v>
      </c>
      <c r="X65" s="13">
        <f>IF($F65="s-curve",$D65+($E65-$D65)*$I$2/(1+EXP($I$3*(COUNT($H$9:X$9)+$I$4))),TREND($D65:$E65,$D$9:$E$9,X$9))</f>
        <v>0</v>
      </c>
      <c r="Y65" s="13">
        <f>IF($F65="s-curve",$D65+($E65-$D65)*$I$2/(1+EXP($I$3*(COUNT($H$9:Y$9)+$I$4))),TREND($D65:$E65,$D$9:$E$9,Y$9))</f>
        <v>0</v>
      </c>
      <c r="Z65" s="13">
        <f>IF($F65="s-curve",$D65+($E65-$D65)*$I$2/(1+EXP($I$3*(COUNT($H$9:Z$9)+$I$4))),TREND($D65:$E65,$D$9:$E$9,Z$9))</f>
        <v>0</v>
      </c>
      <c r="AA65" s="13">
        <f>IF($F65="s-curve",$D65+($E65-$D65)*$I$2/(1+EXP($I$3*(COUNT($H$9:AA$9)+$I$4))),TREND($D65:$E65,$D$9:$E$9,AA$9))</f>
        <v>0</v>
      </c>
      <c r="AB65" s="13">
        <f>IF($F65="s-curve",$D65+($E65-$D65)*$I$2/(1+EXP($I$3*(COUNT($H$9:AB$9)+$I$4))),TREND($D65:$E65,$D$9:$E$9,AB$9))</f>
        <v>0</v>
      </c>
      <c r="AC65" s="13">
        <f>IF($F65="s-curve",$D65+($E65-$D65)*$I$2/(1+EXP($I$3*(COUNT($H$9:AC$9)+$I$4))),TREND($D65:$E65,$D$9:$E$9,AC$9))</f>
        <v>0</v>
      </c>
      <c r="AD65" s="13">
        <f>IF($F65="s-curve",$D65+($E65-$D65)*$I$2/(1+EXP($I$3*(COUNT($H$9:AD$9)+$I$4))),TREND($D65:$E65,$D$9:$E$9,AD$9))</f>
        <v>0</v>
      </c>
      <c r="AE65" s="13">
        <f>IF($F65="s-curve",$D65+($E65-$D65)*$I$2/(1+EXP($I$3*(COUNT($H$9:AE$9)+$I$4))),TREND($D65:$E65,$D$9:$E$9,AE$9))</f>
        <v>0</v>
      </c>
      <c r="AF65" s="13">
        <f>IF($F65="s-curve",$D65+($E65-$D65)*$I$2/(1+EXP($I$3*(COUNT($H$9:AF$9)+$I$4))),TREND($D65:$E65,$D$9:$E$9,AF$9))</f>
        <v>0</v>
      </c>
      <c r="AG65" s="13">
        <f>IF($F65="s-curve",$D65+($E65-$D65)*$I$2/(1+EXP($I$3*(COUNT($H$9:AG$9)+$I$4))),TREND($D65:$E65,$D$9:$E$9,AG$9))</f>
        <v>0</v>
      </c>
      <c r="AH65" s="13">
        <f>IF($F65="s-curve",$D65+($E65-$D65)*$I$2/(1+EXP($I$3*(COUNT($H$9:AH$9)+$I$4))),TREND($D65:$E65,$D$9:$E$9,AH$9))</f>
        <v>0</v>
      </c>
      <c r="AI65" s="13">
        <f>IF($F65="s-curve",$D65+($E65-$D65)*$I$2/(1+EXP($I$3*(COUNT($H$9:AI$9)+$I$4))),TREND($D65:$E65,$D$9:$E$9,AI$9))</f>
        <v>0</v>
      </c>
      <c r="AJ65" s="13">
        <f>IF($F65="s-curve",$D65+($E65-$D65)*$I$2/(1+EXP($I$3*(COUNT($H$9:AJ$9)+$I$4))),TREND($D65:$E65,$D$9:$E$9,AJ$9))</f>
        <v>0</v>
      </c>
      <c r="AK65" s="13">
        <f>IF($F65="s-curve",$D65+($E65-$D65)*$I$2/(1+EXP($I$3*(COUNT($H$9:AK$9)+$I$4))),TREND($D65:$E65,$D$9:$E$9,AK$9))</f>
        <v>0</v>
      </c>
      <c r="AL65" s="13">
        <f>IF($F65="s-curve",$D65+($E65-$D65)*$I$2/(1+EXP($I$3*(COUNT($H$9:AL$9)+$I$4))),TREND($D65:$E65,$D$9:$E$9,AL$9))</f>
        <v>0</v>
      </c>
    </row>
    <row r="66" spans="1:38" x14ac:dyDescent="0.35">
      <c r="A66" s="13" t="s">
        <v>16</v>
      </c>
      <c r="B66" s="13" t="s">
        <v>19</v>
      </c>
      <c r="C66" s="13" t="s">
        <v>1</v>
      </c>
      <c r="D66" s="13">
        <v>0</v>
      </c>
      <c r="E66" s="13">
        <v>0</v>
      </c>
      <c r="F66" s="7" t="str">
        <f>IF(D66=E66,"n/a",IF(OR(C66="battery electric vehicle",C66="natural gas vehicle",C66="plugin hybrid vehicle"),"s-curve","linear"))</f>
        <v>n/a</v>
      </c>
      <c r="H66" s="24">
        <f t="shared" si="6"/>
        <v>0</v>
      </c>
      <c r="I66" s="13">
        <f>IF($F66="s-curve",$D66+($E66-$D66)*$I$2/(1+EXP($I$3*(COUNT($H$9:I$9)+$I$4))),TREND($D66:$E66,$D$9:$E$9,I$9))</f>
        <v>0</v>
      </c>
      <c r="J66" s="13">
        <f>IF($F66="s-curve",$D66+($E66-$D66)*$I$2/(1+EXP($I$3*(COUNT($H$9:J$9)+$I$4))),TREND($D66:$E66,$D$9:$E$9,J$9))</f>
        <v>0</v>
      </c>
      <c r="K66" s="13">
        <f>IF($F66="s-curve",$D66+($E66-$D66)*$I$2/(1+EXP($I$3*(COUNT($H$9:K$9)+$I$4))),TREND($D66:$E66,$D$9:$E$9,K$9))</f>
        <v>0</v>
      </c>
      <c r="L66" s="13">
        <f>IF($F66="s-curve",$D66+($E66-$D66)*$I$2/(1+EXP($I$3*(COUNT($H$9:L$9)+$I$4))),TREND($D66:$E66,$D$9:$E$9,L$9))</f>
        <v>0</v>
      </c>
      <c r="M66" s="13">
        <f>IF($F66="s-curve",$D66+($E66-$D66)*$I$2/(1+EXP($I$3*(COUNT($H$9:M$9)+$I$4))),TREND($D66:$E66,$D$9:$E$9,M$9))</f>
        <v>0</v>
      </c>
      <c r="N66" s="13">
        <f>IF($F66="s-curve",$D66+($E66-$D66)*$I$2/(1+EXP($I$3*(COUNT($H$9:N$9)+$I$4))),TREND($D66:$E66,$D$9:$E$9,N$9))</f>
        <v>0</v>
      </c>
      <c r="O66" s="13">
        <f>IF($F66="s-curve",$D66+($E66-$D66)*$I$2/(1+EXP($I$3*(COUNT($H$9:O$9)+$I$4))),TREND($D66:$E66,$D$9:$E$9,O$9))</f>
        <v>0</v>
      </c>
      <c r="P66" s="13">
        <f>IF($F66="s-curve",$D66+($E66-$D66)*$I$2/(1+EXP($I$3*(COUNT($H$9:P$9)+$I$4))),TREND($D66:$E66,$D$9:$E$9,P$9))</f>
        <v>0</v>
      </c>
      <c r="Q66" s="13">
        <f>IF($F66="s-curve",$D66+($E66-$D66)*$I$2/(1+EXP($I$3*(COUNT($H$9:Q$9)+$I$4))),TREND($D66:$E66,$D$9:$E$9,Q$9))</f>
        <v>0</v>
      </c>
      <c r="R66" s="13">
        <f>IF($F66="s-curve",$D66+($E66-$D66)*$I$2/(1+EXP($I$3*(COUNT($H$9:R$9)+$I$4))),TREND($D66:$E66,$D$9:$E$9,R$9))</f>
        <v>0</v>
      </c>
      <c r="S66" s="13">
        <f>IF($F66="s-curve",$D66+($E66-$D66)*$I$2/(1+EXP($I$3*(COUNT($H$9:S$9)+$I$4))),TREND($D66:$E66,$D$9:$E$9,S$9))</f>
        <v>0</v>
      </c>
      <c r="T66" s="13">
        <f>IF($F66="s-curve",$D66+($E66-$D66)*$I$2/(1+EXP($I$3*(COUNT($H$9:T$9)+$I$4))),TREND($D66:$E66,$D$9:$E$9,T$9))</f>
        <v>0</v>
      </c>
      <c r="U66" s="13">
        <f>IF($F66="s-curve",$D66+($E66-$D66)*$I$2/(1+EXP($I$3*(COUNT($H$9:U$9)+$I$4))),TREND($D66:$E66,$D$9:$E$9,U$9))</f>
        <v>0</v>
      </c>
      <c r="V66" s="13">
        <f>IF($F66="s-curve",$D66+($E66-$D66)*$I$2/(1+EXP($I$3*(COUNT($H$9:V$9)+$I$4))),TREND($D66:$E66,$D$9:$E$9,V$9))</f>
        <v>0</v>
      </c>
      <c r="W66" s="13">
        <f>IF($F66="s-curve",$D66+($E66-$D66)*$I$2/(1+EXP($I$3*(COUNT($H$9:W$9)+$I$4))),TREND($D66:$E66,$D$9:$E$9,W$9))</f>
        <v>0</v>
      </c>
      <c r="X66" s="13">
        <f>IF($F66="s-curve",$D66+($E66-$D66)*$I$2/(1+EXP($I$3*(COUNT($H$9:X$9)+$I$4))),TREND($D66:$E66,$D$9:$E$9,X$9))</f>
        <v>0</v>
      </c>
      <c r="Y66" s="13">
        <f>IF($F66="s-curve",$D66+($E66-$D66)*$I$2/(1+EXP($I$3*(COUNT($H$9:Y$9)+$I$4))),TREND($D66:$E66,$D$9:$E$9,Y$9))</f>
        <v>0</v>
      </c>
      <c r="Z66" s="13">
        <f>IF($F66="s-curve",$D66+($E66-$D66)*$I$2/(1+EXP($I$3*(COUNT($H$9:Z$9)+$I$4))),TREND($D66:$E66,$D$9:$E$9,Z$9))</f>
        <v>0</v>
      </c>
      <c r="AA66" s="13">
        <f>IF($F66="s-curve",$D66+($E66-$D66)*$I$2/(1+EXP($I$3*(COUNT($H$9:AA$9)+$I$4))),TREND($D66:$E66,$D$9:$E$9,AA$9))</f>
        <v>0</v>
      </c>
      <c r="AB66" s="13">
        <f>IF($F66="s-curve",$D66+($E66-$D66)*$I$2/(1+EXP($I$3*(COUNT($H$9:AB$9)+$I$4))),TREND($D66:$E66,$D$9:$E$9,AB$9))</f>
        <v>0</v>
      </c>
      <c r="AC66" s="13">
        <f>IF($F66="s-curve",$D66+($E66-$D66)*$I$2/(1+EXP($I$3*(COUNT($H$9:AC$9)+$I$4))),TREND($D66:$E66,$D$9:$E$9,AC$9))</f>
        <v>0</v>
      </c>
      <c r="AD66" s="13">
        <f>IF($F66="s-curve",$D66+($E66-$D66)*$I$2/(1+EXP($I$3*(COUNT($H$9:AD$9)+$I$4))),TREND($D66:$E66,$D$9:$E$9,AD$9))</f>
        <v>0</v>
      </c>
      <c r="AE66" s="13">
        <f>IF($F66="s-curve",$D66+($E66-$D66)*$I$2/(1+EXP($I$3*(COUNT($H$9:AE$9)+$I$4))),TREND($D66:$E66,$D$9:$E$9,AE$9))</f>
        <v>0</v>
      </c>
      <c r="AF66" s="13">
        <f>IF($F66="s-curve",$D66+($E66-$D66)*$I$2/(1+EXP($I$3*(COUNT($H$9:AF$9)+$I$4))),TREND($D66:$E66,$D$9:$E$9,AF$9))</f>
        <v>0</v>
      </c>
      <c r="AG66" s="13">
        <f>IF($F66="s-curve",$D66+($E66-$D66)*$I$2/(1+EXP($I$3*(COUNT($H$9:AG$9)+$I$4))),TREND($D66:$E66,$D$9:$E$9,AG$9))</f>
        <v>0</v>
      </c>
      <c r="AH66" s="13">
        <f>IF($F66="s-curve",$D66+($E66-$D66)*$I$2/(1+EXP($I$3*(COUNT($H$9:AH$9)+$I$4))),TREND($D66:$E66,$D$9:$E$9,AH$9))</f>
        <v>0</v>
      </c>
      <c r="AI66" s="13">
        <f>IF($F66="s-curve",$D66+($E66-$D66)*$I$2/(1+EXP($I$3*(COUNT($H$9:AI$9)+$I$4))),TREND($D66:$E66,$D$9:$E$9,AI$9))</f>
        <v>0</v>
      </c>
      <c r="AJ66" s="13">
        <f>IF($F66="s-curve",$D66+($E66-$D66)*$I$2/(1+EXP($I$3*(COUNT($H$9:AJ$9)+$I$4))),TREND($D66:$E66,$D$9:$E$9,AJ$9))</f>
        <v>0</v>
      </c>
      <c r="AK66" s="13">
        <f>IF($F66="s-curve",$D66+($E66-$D66)*$I$2/(1+EXP($I$3*(COUNT($H$9:AK$9)+$I$4))),TREND($D66:$E66,$D$9:$E$9,AK$9))</f>
        <v>0</v>
      </c>
      <c r="AL66" s="13">
        <f>IF($F66="s-curve",$D66+($E66-$D66)*$I$2/(1+EXP($I$3*(COUNT($H$9:AL$9)+$I$4))),TREND($D66:$E66,$D$9:$E$9,AL$9))</f>
        <v>0</v>
      </c>
    </row>
    <row r="67" spans="1:38" x14ac:dyDescent="0.35">
      <c r="C67" s="13" t="s">
        <v>2</v>
      </c>
      <c r="D67" s="13">
        <v>0</v>
      </c>
      <c r="E67" s="13">
        <v>0</v>
      </c>
      <c r="F67" s="7" t="str">
        <f>IF(D67=E67,"n/a",IF(OR(C67="battery electric vehicle",C67="natural gas vehicle",C67="plugin hybrid vehicle"),"s-curve","linear"))</f>
        <v>n/a</v>
      </c>
      <c r="H67" s="24">
        <f t="shared" si="6"/>
        <v>0</v>
      </c>
      <c r="I67" s="13">
        <f>IF($F67="s-curve",$D67+($E67-$D67)*$I$2/(1+EXP($I$3*(COUNT($H$9:I$9)+$I$4))),TREND($D67:$E67,$D$9:$E$9,I$9))</f>
        <v>0</v>
      </c>
      <c r="J67" s="13">
        <f>IF($F67="s-curve",$D67+($E67-$D67)*$I$2/(1+EXP($I$3*(COUNT($H$9:J$9)+$I$4))),TREND($D67:$E67,$D$9:$E$9,J$9))</f>
        <v>0</v>
      </c>
      <c r="K67" s="13">
        <f>IF($F67="s-curve",$D67+($E67-$D67)*$I$2/(1+EXP($I$3*(COUNT($H$9:K$9)+$I$4))),TREND($D67:$E67,$D$9:$E$9,K$9))</f>
        <v>0</v>
      </c>
      <c r="L67" s="13">
        <f>IF($F67="s-curve",$D67+($E67-$D67)*$I$2/(1+EXP($I$3*(COUNT($H$9:L$9)+$I$4))),TREND($D67:$E67,$D$9:$E$9,L$9))</f>
        <v>0</v>
      </c>
      <c r="M67" s="13">
        <f>IF($F67="s-curve",$D67+($E67-$D67)*$I$2/(1+EXP($I$3*(COUNT($H$9:M$9)+$I$4))),TREND($D67:$E67,$D$9:$E$9,M$9))</f>
        <v>0</v>
      </c>
      <c r="N67" s="13">
        <f>IF($F67="s-curve",$D67+($E67-$D67)*$I$2/(1+EXP($I$3*(COUNT($H$9:N$9)+$I$4))),TREND($D67:$E67,$D$9:$E$9,N$9))</f>
        <v>0</v>
      </c>
      <c r="O67" s="13">
        <f>IF($F67="s-curve",$D67+($E67-$D67)*$I$2/(1+EXP($I$3*(COUNT($H$9:O$9)+$I$4))),TREND($D67:$E67,$D$9:$E$9,O$9))</f>
        <v>0</v>
      </c>
      <c r="P67" s="13">
        <f>IF($F67="s-curve",$D67+($E67-$D67)*$I$2/(1+EXP($I$3*(COUNT($H$9:P$9)+$I$4))),TREND($D67:$E67,$D$9:$E$9,P$9))</f>
        <v>0</v>
      </c>
      <c r="Q67" s="13">
        <f>IF($F67="s-curve",$D67+($E67-$D67)*$I$2/(1+EXP($I$3*(COUNT($H$9:Q$9)+$I$4))),TREND($D67:$E67,$D$9:$E$9,Q$9))</f>
        <v>0</v>
      </c>
      <c r="R67" s="13">
        <f>IF($F67="s-curve",$D67+($E67-$D67)*$I$2/(1+EXP($I$3*(COUNT($H$9:R$9)+$I$4))),TREND($D67:$E67,$D$9:$E$9,R$9))</f>
        <v>0</v>
      </c>
      <c r="S67" s="13">
        <f>IF($F67="s-curve",$D67+($E67-$D67)*$I$2/(1+EXP($I$3*(COUNT($H$9:S$9)+$I$4))),TREND($D67:$E67,$D$9:$E$9,S$9))</f>
        <v>0</v>
      </c>
      <c r="T67" s="13">
        <f>IF($F67="s-curve",$D67+($E67-$D67)*$I$2/(1+EXP($I$3*(COUNT($H$9:T$9)+$I$4))),TREND($D67:$E67,$D$9:$E$9,T$9))</f>
        <v>0</v>
      </c>
      <c r="U67" s="13">
        <f>IF($F67="s-curve",$D67+($E67-$D67)*$I$2/(1+EXP($I$3*(COUNT($H$9:U$9)+$I$4))),TREND($D67:$E67,$D$9:$E$9,U$9))</f>
        <v>0</v>
      </c>
      <c r="V67" s="13">
        <f>IF($F67="s-curve",$D67+($E67-$D67)*$I$2/(1+EXP($I$3*(COUNT($H$9:V$9)+$I$4))),TREND($D67:$E67,$D$9:$E$9,V$9))</f>
        <v>0</v>
      </c>
      <c r="W67" s="13">
        <f>IF($F67="s-curve",$D67+($E67-$D67)*$I$2/(1+EXP($I$3*(COUNT($H$9:W$9)+$I$4))),TREND($D67:$E67,$D$9:$E$9,W$9))</f>
        <v>0</v>
      </c>
      <c r="X67" s="13">
        <f>IF($F67="s-curve",$D67+($E67-$D67)*$I$2/(1+EXP($I$3*(COUNT($H$9:X$9)+$I$4))),TREND($D67:$E67,$D$9:$E$9,X$9))</f>
        <v>0</v>
      </c>
      <c r="Y67" s="13">
        <f>IF($F67="s-curve",$D67+($E67-$D67)*$I$2/(1+EXP($I$3*(COUNT($H$9:Y$9)+$I$4))),TREND($D67:$E67,$D$9:$E$9,Y$9))</f>
        <v>0</v>
      </c>
      <c r="Z67" s="13">
        <f>IF($F67="s-curve",$D67+($E67-$D67)*$I$2/(1+EXP($I$3*(COUNT($H$9:Z$9)+$I$4))),TREND($D67:$E67,$D$9:$E$9,Z$9))</f>
        <v>0</v>
      </c>
      <c r="AA67" s="13">
        <f>IF($F67="s-curve",$D67+($E67-$D67)*$I$2/(1+EXP($I$3*(COUNT($H$9:AA$9)+$I$4))),TREND($D67:$E67,$D$9:$E$9,AA$9))</f>
        <v>0</v>
      </c>
      <c r="AB67" s="13">
        <f>IF($F67="s-curve",$D67+($E67-$D67)*$I$2/(1+EXP($I$3*(COUNT($H$9:AB$9)+$I$4))),TREND($D67:$E67,$D$9:$E$9,AB$9))</f>
        <v>0</v>
      </c>
      <c r="AC67" s="13">
        <f>IF($F67="s-curve",$D67+($E67-$D67)*$I$2/(1+EXP($I$3*(COUNT($H$9:AC$9)+$I$4))),TREND($D67:$E67,$D$9:$E$9,AC$9))</f>
        <v>0</v>
      </c>
      <c r="AD67" s="13">
        <f>IF($F67="s-curve",$D67+($E67-$D67)*$I$2/(1+EXP($I$3*(COUNT($H$9:AD$9)+$I$4))),TREND($D67:$E67,$D$9:$E$9,AD$9))</f>
        <v>0</v>
      </c>
      <c r="AE67" s="13">
        <f>IF($F67="s-curve",$D67+($E67-$D67)*$I$2/(1+EXP($I$3*(COUNT($H$9:AE$9)+$I$4))),TREND($D67:$E67,$D$9:$E$9,AE$9))</f>
        <v>0</v>
      </c>
      <c r="AF67" s="13">
        <f>IF($F67="s-curve",$D67+($E67-$D67)*$I$2/(1+EXP($I$3*(COUNT($H$9:AF$9)+$I$4))),TREND($D67:$E67,$D$9:$E$9,AF$9))</f>
        <v>0</v>
      </c>
      <c r="AG67" s="13">
        <f>IF($F67="s-curve",$D67+($E67-$D67)*$I$2/(1+EXP($I$3*(COUNT($H$9:AG$9)+$I$4))),TREND($D67:$E67,$D$9:$E$9,AG$9))</f>
        <v>0</v>
      </c>
      <c r="AH67" s="13">
        <f>IF($F67="s-curve",$D67+($E67-$D67)*$I$2/(1+EXP($I$3*(COUNT($H$9:AH$9)+$I$4))),TREND($D67:$E67,$D$9:$E$9,AH$9))</f>
        <v>0</v>
      </c>
      <c r="AI67" s="13">
        <f>IF($F67="s-curve",$D67+($E67-$D67)*$I$2/(1+EXP($I$3*(COUNT($H$9:AI$9)+$I$4))),TREND($D67:$E67,$D$9:$E$9,AI$9))</f>
        <v>0</v>
      </c>
      <c r="AJ67" s="13">
        <f>IF($F67="s-curve",$D67+($E67-$D67)*$I$2/(1+EXP($I$3*(COUNT($H$9:AJ$9)+$I$4))),TREND($D67:$E67,$D$9:$E$9,AJ$9))</f>
        <v>0</v>
      </c>
      <c r="AK67" s="13">
        <f>IF($F67="s-curve",$D67+($E67-$D67)*$I$2/(1+EXP($I$3*(COUNT($H$9:AK$9)+$I$4))),TREND($D67:$E67,$D$9:$E$9,AK$9))</f>
        <v>0</v>
      </c>
      <c r="AL67" s="13">
        <f>IF($F67="s-curve",$D67+($E67-$D67)*$I$2/(1+EXP($I$3*(COUNT($H$9:AL$9)+$I$4))),TREND($D67:$E67,$D$9:$E$9,AL$9))</f>
        <v>0</v>
      </c>
    </row>
    <row r="68" spans="1:38" x14ac:dyDescent="0.35">
      <c r="C68" s="13" t="s">
        <v>3</v>
      </c>
      <c r="D68" s="13">
        <v>0</v>
      </c>
      <c r="E68" s="13">
        <v>0</v>
      </c>
      <c r="F68" s="7" t="str">
        <f>IF(D68=E68,"n/a",IF(OR(C68="battery electric vehicle",C68="natural gas vehicle",C68="plugin hybrid vehicle"),"s-curve","linear"))</f>
        <v>n/a</v>
      </c>
      <c r="H68" s="24">
        <f t="shared" si="6"/>
        <v>0</v>
      </c>
      <c r="I68" s="13">
        <f>IF($F68="s-curve",$D68+($E68-$D68)*$I$2/(1+EXP($I$3*(COUNT($H$9:I$9)+$I$4))),TREND($D68:$E68,$D$9:$E$9,I$9))</f>
        <v>0</v>
      </c>
      <c r="J68" s="13">
        <f>IF($F68="s-curve",$D68+($E68-$D68)*$I$2/(1+EXP($I$3*(COUNT($H$9:J$9)+$I$4))),TREND($D68:$E68,$D$9:$E$9,J$9))</f>
        <v>0</v>
      </c>
      <c r="K68" s="13">
        <f>IF($F68="s-curve",$D68+($E68-$D68)*$I$2/(1+EXP($I$3*(COUNT($H$9:K$9)+$I$4))),TREND($D68:$E68,$D$9:$E$9,K$9))</f>
        <v>0</v>
      </c>
      <c r="L68" s="13">
        <f>IF($F68="s-curve",$D68+($E68-$D68)*$I$2/(1+EXP($I$3*(COUNT($H$9:L$9)+$I$4))),TREND($D68:$E68,$D$9:$E$9,L$9))</f>
        <v>0</v>
      </c>
      <c r="M68" s="13">
        <f>IF($F68="s-curve",$D68+($E68-$D68)*$I$2/(1+EXP($I$3*(COUNT($H$9:M$9)+$I$4))),TREND($D68:$E68,$D$9:$E$9,M$9))</f>
        <v>0</v>
      </c>
      <c r="N68" s="13">
        <f>IF($F68="s-curve",$D68+($E68-$D68)*$I$2/(1+EXP($I$3*(COUNT($H$9:N$9)+$I$4))),TREND($D68:$E68,$D$9:$E$9,N$9))</f>
        <v>0</v>
      </c>
      <c r="O68" s="13">
        <f>IF($F68="s-curve",$D68+($E68-$D68)*$I$2/(1+EXP($I$3*(COUNT($H$9:O$9)+$I$4))),TREND($D68:$E68,$D$9:$E$9,O$9))</f>
        <v>0</v>
      </c>
      <c r="P68" s="13">
        <f>IF($F68="s-curve",$D68+($E68-$D68)*$I$2/(1+EXP($I$3*(COUNT($H$9:P$9)+$I$4))),TREND($D68:$E68,$D$9:$E$9,P$9))</f>
        <v>0</v>
      </c>
      <c r="Q68" s="13">
        <f>IF($F68="s-curve",$D68+($E68-$D68)*$I$2/(1+EXP($I$3*(COUNT($H$9:Q$9)+$I$4))),TREND($D68:$E68,$D$9:$E$9,Q$9))</f>
        <v>0</v>
      </c>
      <c r="R68" s="13">
        <f>IF($F68="s-curve",$D68+($E68-$D68)*$I$2/(1+EXP($I$3*(COUNT($H$9:R$9)+$I$4))),TREND($D68:$E68,$D$9:$E$9,R$9))</f>
        <v>0</v>
      </c>
      <c r="S68" s="13">
        <f>IF($F68="s-curve",$D68+($E68-$D68)*$I$2/(1+EXP($I$3*(COUNT($H$9:S$9)+$I$4))),TREND($D68:$E68,$D$9:$E$9,S$9))</f>
        <v>0</v>
      </c>
      <c r="T68" s="13">
        <f>IF($F68="s-curve",$D68+($E68-$D68)*$I$2/(1+EXP($I$3*(COUNT($H$9:T$9)+$I$4))),TREND($D68:$E68,$D$9:$E$9,T$9))</f>
        <v>0</v>
      </c>
      <c r="U68" s="13">
        <f>IF($F68="s-curve",$D68+($E68-$D68)*$I$2/(1+EXP($I$3*(COUNT($H$9:U$9)+$I$4))),TREND($D68:$E68,$D$9:$E$9,U$9))</f>
        <v>0</v>
      </c>
      <c r="V68" s="13">
        <f>IF($F68="s-curve",$D68+($E68-$D68)*$I$2/(1+EXP($I$3*(COUNT($H$9:V$9)+$I$4))),TREND($D68:$E68,$D$9:$E$9,V$9))</f>
        <v>0</v>
      </c>
      <c r="W68" s="13">
        <f>IF($F68="s-curve",$D68+($E68-$D68)*$I$2/(1+EXP($I$3*(COUNT($H$9:W$9)+$I$4))),TREND($D68:$E68,$D$9:$E$9,W$9))</f>
        <v>0</v>
      </c>
      <c r="X68" s="13">
        <f>IF($F68="s-curve",$D68+($E68-$D68)*$I$2/(1+EXP($I$3*(COUNT($H$9:X$9)+$I$4))),TREND($D68:$E68,$D$9:$E$9,X$9))</f>
        <v>0</v>
      </c>
      <c r="Y68" s="13">
        <f>IF($F68="s-curve",$D68+($E68-$D68)*$I$2/(1+EXP($I$3*(COUNT($H$9:Y$9)+$I$4))),TREND($D68:$E68,$D$9:$E$9,Y$9))</f>
        <v>0</v>
      </c>
      <c r="Z68" s="13">
        <f>IF($F68="s-curve",$D68+($E68-$D68)*$I$2/(1+EXP($I$3*(COUNT($H$9:Z$9)+$I$4))),TREND($D68:$E68,$D$9:$E$9,Z$9))</f>
        <v>0</v>
      </c>
      <c r="AA68" s="13">
        <f>IF($F68="s-curve",$D68+($E68-$D68)*$I$2/(1+EXP($I$3*(COUNT($H$9:AA$9)+$I$4))),TREND($D68:$E68,$D$9:$E$9,AA$9))</f>
        <v>0</v>
      </c>
      <c r="AB68" s="13">
        <f>IF($F68="s-curve",$D68+($E68-$D68)*$I$2/(1+EXP($I$3*(COUNT($H$9:AB$9)+$I$4))),TREND($D68:$E68,$D$9:$E$9,AB$9))</f>
        <v>0</v>
      </c>
      <c r="AC68" s="13">
        <f>IF($F68="s-curve",$D68+($E68-$D68)*$I$2/(1+EXP($I$3*(COUNT($H$9:AC$9)+$I$4))),TREND($D68:$E68,$D$9:$E$9,AC$9))</f>
        <v>0</v>
      </c>
      <c r="AD68" s="13">
        <f>IF($F68="s-curve",$D68+($E68-$D68)*$I$2/(1+EXP($I$3*(COUNT($H$9:AD$9)+$I$4))),TREND($D68:$E68,$D$9:$E$9,AD$9))</f>
        <v>0</v>
      </c>
      <c r="AE68" s="13">
        <f>IF($F68="s-curve",$D68+($E68-$D68)*$I$2/(1+EXP($I$3*(COUNT($H$9:AE$9)+$I$4))),TREND($D68:$E68,$D$9:$E$9,AE$9))</f>
        <v>0</v>
      </c>
      <c r="AF68" s="13">
        <f>IF($F68="s-curve",$D68+($E68-$D68)*$I$2/(1+EXP($I$3*(COUNT($H$9:AF$9)+$I$4))),TREND($D68:$E68,$D$9:$E$9,AF$9))</f>
        <v>0</v>
      </c>
      <c r="AG68" s="13">
        <f>IF($F68="s-curve",$D68+($E68-$D68)*$I$2/(1+EXP($I$3*(COUNT($H$9:AG$9)+$I$4))),TREND($D68:$E68,$D$9:$E$9,AG$9))</f>
        <v>0</v>
      </c>
      <c r="AH68" s="13">
        <f>IF($F68="s-curve",$D68+($E68-$D68)*$I$2/(1+EXP($I$3*(COUNT($H$9:AH$9)+$I$4))),TREND($D68:$E68,$D$9:$E$9,AH$9))</f>
        <v>0</v>
      </c>
      <c r="AI68" s="13">
        <f>IF($F68="s-curve",$D68+($E68-$D68)*$I$2/(1+EXP($I$3*(COUNT($H$9:AI$9)+$I$4))),TREND($D68:$E68,$D$9:$E$9,AI$9))</f>
        <v>0</v>
      </c>
      <c r="AJ68" s="13">
        <f>IF($F68="s-curve",$D68+($E68-$D68)*$I$2/(1+EXP($I$3*(COUNT($H$9:AJ$9)+$I$4))),TREND($D68:$E68,$D$9:$E$9,AJ$9))</f>
        <v>0</v>
      </c>
      <c r="AK68" s="13">
        <f>IF($F68="s-curve",$D68+($E68-$D68)*$I$2/(1+EXP($I$3*(COUNT($H$9:AK$9)+$I$4))),TREND($D68:$E68,$D$9:$E$9,AK$9))</f>
        <v>0</v>
      </c>
      <c r="AL68" s="13">
        <f>IF($F68="s-curve",$D68+($E68-$D68)*$I$2/(1+EXP($I$3*(COUNT($H$9:AL$9)+$I$4))),TREND($D68:$E68,$D$9:$E$9,AL$9))</f>
        <v>0</v>
      </c>
    </row>
    <row r="69" spans="1:38" x14ac:dyDescent="0.35">
      <c r="C69" s="13" t="s">
        <v>4</v>
      </c>
      <c r="D69" s="13">
        <v>1</v>
      </c>
      <c r="E69" s="13">
        <v>1</v>
      </c>
      <c r="F69" s="7" t="str">
        <f>IF(D69=E69,"n/a",IF(OR(C69="battery electric vehicle",C69="natural gas vehicle",C69="plugin hybrid vehicle"),"s-curve","linear"))</f>
        <v>n/a</v>
      </c>
      <c r="H69" s="24">
        <f t="shared" si="6"/>
        <v>1</v>
      </c>
      <c r="I69" s="13">
        <f>IF($F69="s-curve",$D69+($E69-$D69)*$I$2/(1+EXP($I$3*(COUNT($H$9:I$9)+$I$4))),TREND($D69:$E69,$D$9:$E$9,I$9))</f>
        <v>1</v>
      </c>
      <c r="J69" s="13">
        <f>IF($F69="s-curve",$D69+($E69-$D69)*$I$2/(1+EXP($I$3*(COUNT($H$9:J$9)+$I$4))),TREND($D69:$E69,$D$9:$E$9,J$9))</f>
        <v>1</v>
      </c>
      <c r="K69" s="13">
        <f>IF($F69="s-curve",$D69+($E69-$D69)*$I$2/(1+EXP($I$3*(COUNT($H$9:K$9)+$I$4))),TREND($D69:$E69,$D$9:$E$9,K$9))</f>
        <v>1</v>
      </c>
      <c r="L69" s="13">
        <f>IF($F69="s-curve",$D69+($E69-$D69)*$I$2/(1+EXP($I$3*(COUNT($H$9:L$9)+$I$4))),TREND($D69:$E69,$D$9:$E$9,L$9))</f>
        <v>1</v>
      </c>
      <c r="M69" s="13">
        <f>IF($F69="s-curve",$D69+($E69-$D69)*$I$2/(1+EXP($I$3*(COUNT($H$9:M$9)+$I$4))),TREND($D69:$E69,$D$9:$E$9,M$9))</f>
        <v>1</v>
      </c>
      <c r="N69" s="13">
        <f>IF($F69="s-curve",$D69+($E69-$D69)*$I$2/(1+EXP($I$3*(COUNT($H$9:N$9)+$I$4))),TREND($D69:$E69,$D$9:$E$9,N$9))</f>
        <v>1</v>
      </c>
      <c r="O69" s="13">
        <f>IF($F69="s-curve",$D69+($E69-$D69)*$I$2/(1+EXP($I$3*(COUNT($H$9:O$9)+$I$4))),TREND($D69:$E69,$D$9:$E$9,O$9))</f>
        <v>1</v>
      </c>
      <c r="P69" s="13">
        <f>IF($F69="s-curve",$D69+($E69-$D69)*$I$2/(1+EXP($I$3*(COUNT($H$9:P$9)+$I$4))),TREND($D69:$E69,$D$9:$E$9,P$9))</f>
        <v>1</v>
      </c>
      <c r="Q69" s="13">
        <f>IF($F69="s-curve",$D69+($E69-$D69)*$I$2/(1+EXP($I$3*(COUNT($H$9:Q$9)+$I$4))),TREND($D69:$E69,$D$9:$E$9,Q$9))</f>
        <v>1</v>
      </c>
      <c r="R69" s="13">
        <f>IF($F69="s-curve",$D69+($E69-$D69)*$I$2/(1+EXP($I$3*(COUNT($H$9:R$9)+$I$4))),TREND($D69:$E69,$D$9:$E$9,R$9))</f>
        <v>1</v>
      </c>
      <c r="S69" s="13">
        <f>IF($F69="s-curve",$D69+($E69-$D69)*$I$2/(1+EXP($I$3*(COUNT($H$9:S$9)+$I$4))),TREND($D69:$E69,$D$9:$E$9,S$9))</f>
        <v>1</v>
      </c>
      <c r="T69" s="13">
        <f>IF($F69="s-curve",$D69+($E69-$D69)*$I$2/(1+EXP($I$3*(COUNT($H$9:T$9)+$I$4))),TREND($D69:$E69,$D$9:$E$9,T$9))</f>
        <v>1</v>
      </c>
      <c r="U69" s="13">
        <f>IF($F69="s-curve",$D69+($E69-$D69)*$I$2/(1+EXP($I$3*(COUNT($H$9:U$9)+$I$4))),TREND($D69:$E69,$D$9:$E$9,U$9))</f>
        <v>1</v>
      </c>
      <c r="V69" s="13">
        <f>IF($F69="s-curve",$D69+($E69-$D69)*$I$2/(1+EXP($I$3*(COUNT($H$9:V$9)+$I$4))),TREND($D69:$E69,$D$9:$E$9,V$9))</f>
        <v>1</v>
      </c>
      <c r="W69" s="13">
        <f>IF($F69="s-curve",$D69+($E69-$D69)*$I$2/(1+EXP($I$3*(COUNT($H$9:W$9)+$I$4))),TREND($D69:$E69,$D$9:$E$9,W$9))</f>
        <v>1</v>
      </c>
      <c r="X69" s="13">
        <f>IF($F69="s-curve",$D69+($E69-$D69)*$I$2/(1+EXP($I$3*(COUNT($H$9:X$9)+$I$4))),TREND($D69:$E69,$D$9:$E$9,X$9))</f>
        <v>1</v>
      </c>
      <c r="Y69" s="13">
        <f>IF($F69="s-curve",$D69+($E69-$D69)*$I$2/(1+EXP($I$3*(COUNT($H$9:Y$9)+$I$4))),TREND($D69:$E69,$D$9:$E$9,Y$9))</f>
        <v>1</v>
      </c>
      <c r="Z69" s="13">
        <f>IF($F69="s-curve",$D69+($E69-$D69)*$I$2/(1+EXP($I$3*(COUNT($H$9:Z$9)+$I$4))),TREND($D69:$E69,$D$9:$E$9,Z$9))</f>
        <v>1</v>
      </c>
      <c r="AA69" s="13">
        <f>IF($F69="s-curve",$D69+($E69-$D69)*$I$2/(1+EXP($I$3*(COUNT($H$9:AA$9)+$I$4))),TREND($D69:$E69,$D$9:$E$9,AA$9))</f>
        <v>1</v>
      </c>
      <c r="AB69" s="13">
        <f>IF($F69="s-curve",$D69+($E69-$D69)*$I$2/(1+EXP($I$3*(COUNT($H$9:AB$9)+$I$4))),TREND($D69:$E69,$D$9:$E$9,AB$9))</f>
        <v>1</v>
      </c>
      <c r="AC69" s="13">
        <f>IF($F69="s-curve",$D69+($E69-$D69)*$I$2/(1+EXP($I$3*(COUNT($H$9:AC$9)+$I$4))),TREND($D69:$E69,$D$9:$E$9,AC$9))</f>
        <v>1</v>
      </c>
      <c r="AD69" s="13">
        <f>IF($F69="s-curve",$D69+($E69-$D69)*$I$2/(1+EXP($I$3*(COUNT($H$9:AD$9)+$I$4))),TREND($D69:$E69,$D$9:$E$9,AD$9))</f>
        <v>1</v>
      </c>
      <c r="AE69" s="13">
        <f>IF($F69="s-curve",$D69+($E69-$D69)*$I$2/(1+EXP($I$3*(COUNT($H$9:AE$9)+$I$4))),TREND($D69:$E69,$D$9:$E$9,AE$9))</f>
        <v>1</v>
      </c>
      <c r="AF69" s="13">
        <f>IF($F69="s-curve",$D69+($E69-$D69)*$I$2/(1+EXP($I$3*(COUNT($H$9:AF$9)+$I$4))),TREND($D69:$E69,$D$9:$E$9,AF$9))</f>
        <v>1</v>
      </c>
      <c r="AG69" s="13">
        <f>IF($F69="s-curve",$D69+($E69-$D69)*$I$2/(1+EXP($I$3*(COUNT($H$9:AG$9)+$I$4))),TREND($D69:$E69,$D$9:$E$9,AG$9))</f>
        <v>1</v>
      </c>
      <c r="AH69" s="13">
        <f>IF($F69="s-curve",$D69+($E69-$D69)*$I$2/(1+EXP($I$3*(COUNT($H$9:AH$9)+$I$4))),TREND($D69:$E69,$D$9:$E$9,AH$9))</f>
        <v>1</v>
      </c>
      <c r="AI69" s="13">
        <f>IF($F69="s-curve",$D69+($E69-$D69)*$I$2/(1+EXP($I$3*(COUNT($H$9:AI$9)+$I$4))),TREND($D69:$E69,$D$9:$E$9,AI$9))</f>
        <v>1</v>
      </c>
      <c r="AJ69" s="13">
        <f>IF($F69="s-curve",$D69+($E69-$D69)*$I$2/(1+EXP($I$3*(COUNT($H$9:AJ$9)+$I$4))),TREND($D69:$E69,$D$9:$E$9,AJ$9))</f>
        <v>1</v>
      </c>
      <c r="AK69" s="13">
        <f>IF($F69="s-curve",$D69+($E69-$D69)*$I$2/(1+EXP($I$3*(COUNT($H$9:AK$9)+$I$4))),TREND($D69:$E69,$D$9:$E$9,AK$9))</f>
        <v>1</v>
      </c>
      <c r="AL69" s="13">
        <f>IF($F69="s-curve",$D69+($E69-$D69)*$I$2/(1+EXP($I$3*(COUNT($H$9:AL$9)+$I$4))),TREND($D69:$E69,$D$9:$E$9,AL$9))</f>
        <v>1</v>
      </c>
    </row>
    <row r="70" spans="1:38" x14ac:dyDescent="0.35">
      <c r="C70" s="13" t="s">
        <v>5</v>
      </c>
      <c r="D70" s="13">
        <v>0</v>
      </c>
      <c r="E70" s="13">
        <v>0</v>
      </c>
      <c r="F70" s="7" t="str">
        <f>IF(D70=E70,"n/a",IF(OR(C70="battery electric vehicle",C70="natural gas vehicle",C70="plugin hybrid vehicle"),"s-curve","linear"))</f>
        <v>n/a</v>
      </c>
      <c r="H70" s="24">
        <f t="shared" si="6"/>
        <v>0</v>
      </c>
      <c r="I70" s="13">
        <f>IF($F70="s-curve",$D70+($E70-$D70)*$I$2/(1+EXP($I$3*(COUNT($H$9:I$9)+$I$4))),TREND($D70:$E70,$D$9:$E$9,I$9))</f>
        <v>0</v>
      </c>
      <c r="J70" s="13">
        <f>IF($F70="s-curve",$D70+($E70-$D70)*$I$2/(1+EXP($I$3*(COUNT($H$9:J$9)+$I$4))),TREND($D70:$E70,$D$9:$E$9,J$9))</f>
        <v>0</v>
      </c>
      <c r="K70" s="13">
        <f>IF($F70="s-curve",$D70+($E70-$D70)*$I$2/(1+EXP($I$3*(COUNT($H$9:K$9)+$I$4))),TREND($D70:$E70,$D$9:$E$9,K$9))</f>
        <v>0</v>
      </c>
      <c r="L70" s="13">
        <f>IF($F70="s-curve",$D70+($E70-$D70)*$I$2/(1+EXP($I$3*(COUNT($H$9:L$9)+$I$4))),TREND($D70:$E70,$D$9:$E$9,L$9))</f>
        <v>0</v>
      </c>
      <c r="M70" s="13">
        <f>IF($F70="s-curve",$D70+($E70-$D70)*$I$2/(1+EXP($I$3*(COUNT($H$9:M$9)+$I$4))),TREND($D70:$E70,$D$9:$E$9,M$9))</f>
        <v>0</v>
      </c>
      <c r="N70" s="13">
        <f>IF($F70="s-curve",$D70+($E70-$D70)*$I$2/(1+EXP($I$3*(COUNT($H$9:N$9)+$I$4))),TREND($D70:$E70,$D$9:$E$9,N$9))</f>
        <v>0</v>
      </c>
      <c r="O70" s="13">
        <f>IF($F70="s-curve",$D70+($E70-$D70)*$I$2/(1+EXP($I$3*(COUNT($H$9:O$9)+$I$4))),TREND($D70:$E70,$D$9:$E$9,O$9))</f>
        <v>0</v>
      </c>
      <c r="P70" s="13">
        <f>IF($F70="s-curve",$D70+($E70-$D70)*$I$2/(1+EXP($I$3*(COUNT($H$9:P$9)+$I$4))),TREND($D70:$E70,$D$9:$E$9,P$9))</f>
        <v>0</v>
      </c>
      <c r="Q70" s="13">
        <f>IF($F70="s-curve",$D70+($E70-$D70)*$I$2/(1+EXP($I$3*(COUNT($H$9:Q$9)+$I$4))),TREND($D70:$E70,$D$9:$E$9,Q$9))</f>
        <v>0</v>
      </c>
      <c r="R70" s="13">
        <f>IF($F70="s-curve",$D70+($E70-$D70)*$I$2/(1+EXP($I$3*(COUNT($H$9:R$9)+$I$4))),TREND($D70:$E70,$D$9:$E$9,R$9))</f>
        <v>0</v>
      </c>
      <c r="S70" s="13">
        <f>IF($F70="s-curve",$D70+($E70-$D70)*$I$2/(1+EXP($I$3*(COUNT($H$9:S$9)+$I$4))),TREND($D70:$E70,$D$9:$E$9,S$9))</f>
        <v>0</v>
      </c>
      <c r="T70" s="13">
        <f>IF($F70="s-curve",$D70+($E70-$D70)*$I$2/(1+EXP($I$3*(COUNT($H$9:T$9)+$I$4))),TREND($D70:$E70,$D$9:$E$9,T$9))</f>
        <v>0</v>
      </c>
      <c r="U70" s="13">
        <f>IF($F70="s-curve",$D70+($E70-$D70)*$I$2/(1+EXP($I$3*(COUNT($H$9:U$9)+$I$4))),TREND($D70:$E70,$D$9:$E$9,U$9))</f>
        <v>0</v>
      </c>
      <c r="V70" s="13">
        <f>IF($F70="s-curve",$D70+($E70-$D70)*$I$2/(1+EXP($I$3*(COUNT($H$9:V$9)+$I$4))),TREND($D70:$E70,$D$9:$E$9,V$9))</f>
        <v>0</v>
      </c>
      <c r="W70" s="13">
        <f>IF($F70="s-curve",$D70+($E70-$D70)*$I$2/(1+EXP($I$3*(COUNT($H$9:W$9)+$I$4))),TREND($D70:$E70,$D$9:$E$9,W$9))</f>
        <v>0</v>
      </c>
      <c r="X70" s="13">
        <f>IF($F70="s-curve",$D70+($E70-$D70)*$I$2/(1+EXP($I$3*(COUNT($H$9:X$9)+$I$4))),TREND($D70:$E70,$D$9:$E$9,X$9))</f>
        <v>0</v>
      </c>
      <c r="Y70" s="13">
        <f>IF($F70="s-curve",$D70+($E70-$D70)*$I$2/(1+EXP($I$3*(COUNT($H$9:Y$9)+$I$4))),TREND($D70:$E70,$D$9:$E$9,Y$9))</f>
        <v>0</v>
      </c>
      <c r="Z70" s="13">
        <f>IF($F70="s-curve",$D70+($E70-$D70)*$I$2/(1+EXP($I$3*(COUNT($H$9:Z$9)+$I$4))),TREND($D70:$E70,$D$9:$E$9,Z$9))</f>
        <v>0</v>
      </c>
      <c r="AA70" s="13">
        <f>IF($F70="s-curve",$D70+($E70-$D70)*$I$2/(1+EXP($I$3*(COUNT($H$9:AA$9)+$I$4))),TREND($D70:$E70,$D$9:$E$9,AA$9))</f>
        <v>0</v>
      </c>
      <c r="AB70" s="13">
        <f>IF($F70="s-curve",$D70+($E70-$D70)*$I$2/(1+EXP($I$3*(COUNT($H$9:AB$9)+$I$4))),TREND($D70:$E70,$D$9:$E$9,AB$9))</f>
        <v>0</v>
      </c>
      <c r="AC70" s="13">
        <f>IF($F70="s-curve",$D70+($E70-$D70)*$I$2/(1+EXP($I$3*(COUNT($H$9:AC$9)+$I$4))),TREND($D70:$E70,$D$9:$E$9,AC$9))</f>
        <v>0</v>
      </c>
      <c r="AD70" s="13">
        <f>IF($F70="s-curve",$D70+($E70-$D70)*$I$2/(1+EXP($I$3*(COUNT($H$9:AD$9)+$I$4))),TREND($D70:$E70,$D$9:$E$9,AD$9))</f>
        <v>0</v>
      </c>
      <c r="AE70" s="13">
        <f>IF($F70="s-curve",$D70+($E70-$D70)*$I$2/(1+EXP($I$3*(COUNT($H$9:AE$9)+$I$4))),TREND($D70:$E70,$D$9:$E$9,AE$9))</f>
        <v>0</v>
      </c>
      <c r="AF70" s="13">
        <f>IF($F70="s-curve",$D70+($E70-$D70)*$I$2/(1+EXP($I$3*(COUNT($H$9:AF$9)+$I$4))),TREND($D70:$E70,$D$9:$E$9,AF$9))</f>
        <v>0</v>
      </c>
      <c r="AG70" s="13">
        <f>IF($F70="s-curve",$D70+($E70-$D70)*$I$2/(1+EXP($I$3*(COUNT($H$9:AG$9)+$I$4))),TREND($D70:$E70,$D$9:$E$9,AG$9))</f>
        <v>0</v>
      </c>
      <c r="AH70" s="13">
        <f>IF($F70="s-curve",$D70+($E70-$D70)*$I$2/(1+EXP($I$3*(COUNT($H$9:AH$9)+$I$4))),TREND($D70:$E70,$D$9:$E$9,AH$9))</f>
        <v>0</v>
      </c>
      <c r="AI70" s="13">
        <f>IF($F70="s-curve",$D70+($E70-$D70)*$I$2/(1+EXP($I$3*(COUNT($H$9:AI$9)+$I$4))),TREND($D70:$E70,$D$9:$E$9,AI$9))</f>
        <v>0</v>
      </c>
      <c r="AJ70" s="13">
        <f>IF($F70="s-curve",$D70+($E70-$D70)*$I$2/(1+EXP($I$3*(COUNT($H$9:AJ$9)+$I$4))),TREND($D70:$E70,$D$9:$E$9,AJ$9))</f>
        <v>0</v>
      </c>
      <c r="AK70" s="13">
        <f>IF($F70="s-curve",$D70+($E70-$D70)*$I$2/(1+EXP($I$3*(COUNT($H$9:AK$9)+$I$4))),TREND($D70:$E70,$D$9:$E$9,AK$9))</f>
        <v>0</v>
      </c>
      <c r="AL70" s="13">
        <f>IF($F70="s-curve",$D70+($E70-$D70)*$I$2/(1+EXP($I$3*(COUNT($H$9:AL$9)+$I$4))),TREND($D70:$E70,$D$9:$E$9,AL$9))</f>
        <v>0</v>
      </c>
    </row>
    <row r="71" spans="1:38" x14ac:dyDescent="0.35">
      <c r="C71" s="13" t="s">
        <v>78</v>
      </c>
      <c r="D71" s="13">
        <v>0</v>
      </c>
      <c r="E71" s="13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4">
        <f t="shared" si="6"/>
        <v>0</v>
      </c>
      <c r="I71" s="13">
        <f>IF($F71="s-curve",$D71+($E71-$D71)*$I$2/(1+EXP($I$3*(COUNT($H$9:I$9)+$I$4))),TREND($D71:$E71,$D$9:$E$9,I$9))</f>
        <v>0</v>
      </c>
      <c r="J71" s="13">
        <f>IF($F71="s-curve",$D71+($E71-$D71)*$I$2/(1+EXP($I$3*(COUNT($H$9:J$9)+$I$4))),TREND($D71:$E71,$D$9:$E$9,J$9))</f>
        <v>0</v>
      </c>
      <c r="K71" s="13">
        <f>IF($F71="s-curve",$D71+($E71-$D71)*$I$2/(1+EXP($I$3*(COUNT($H$9:K$9)+$I$4))),TREND($D71:$E71,$D$9:$E$9,K$9))</f>
        <v>0</v>
      </c>
      <c r="L71" s="13">
        <f>IF($F71="s-curve",$D71+($E71-$D71)*$I$2/(1+EXP($I$3*(COUNT($H$9:L$9)+$I$4))),TREND($D71:$E71,$D$9:$E$9,L$9))</f>
        <v>0</v>
      </c>
      <c r="M71" s="13">
        <f>IF($F71="s-curve",$D71+($E71-$D71)*$I$2/(1+EXP($I$3*(COUNT($H$9:M$9)+$I$4))),TREND($D71:$E71,$D$9:$E$9,M$9))</f>
        <v>0</v>
      </c>
      <c r="N71" s="13">
        <f>IF($F71="s-curve",$D71+($E71-$D71)*$I$2/(1+EXP($I$3*(COUNT($H$9:N$9)+$I$4))),TREND($D71:$E71,$D$9:$E$9,N$9))</f>
        <v>0</v>
      </c>
      <c r="O71" s="13">
        <f>IF($F71="s-curve",$D71+($E71-$D71)*$I$2/(1+EXP($I$3*(COUNT($H$9:O$9)+$I$4))),TREND($D71:$E71,$D$9:$E$9,O$9))</f>
        <v>0</v>
      </c>
      <c r="P71" s="13">
        <f>IF($F71="s-curve",$D71+($E71-$D71)*$I$2/(1+EXP($I$3*(COUNT($H$9:P$9)+$I$4))),TREND($D71:$E71,$D$9:$E$9,P$9))</f>
        <v>0</v>
      </c>
      <c r="Q71" s="13">
        <f>IF($F71="s-curve",$D71+($E71-$D71)*$I$2/(1+EXP($I$3*(COUNT($H$9:Q$9)+$I$4))),TREND($D71:$E71,$D$9:$E$9,Q$9))</f>
        <v>0</v>
      </c>
      <c r="R71" s="13">
        <f>IF($F71="s-curve",$D71+($E71-$D71)*$I$2/(1+EXP($I$3*(COUNT($H$9:R$9)+$I$4))),TREND($D71:$E71,$D$9:$E$9,R$9))</f>
        <v>0</v>
      </c>
      <c r="S71" s="13">
        <f>IF($F71="s-curve",$D71+($E71-$D71)*$I$2/(1+EXP($I$3*(COUNT($H$9:S$9)+$I$4))),TREND($D71:$E71,$D$9:$E$9,S$9))</f>
        <v>0</v>
      </c>
      <c r="T71" s="13">
        <f>IF($F71="s-curve",$D71+($E71-$D71)*$I$2/(1+EXP($I$3*(COUNT($H$9:T$9)+$I$4))),TREND($D71:$E71,$D$9:$E$9,T$9))</f>
        <v>0</v>
      </c>
      <c r="U71" s="13">
        <f>IF($F71="s-curve",$D71+($E71-$D71)*$I$2/(1+EXP($I$3*(COUNT($H$9:U$9)+$I$4))),TREND($D71:$E71,$D$9:$E$9,U$9))</f>
        <v>0</v>
      </c>
      <c r="V71" s="13">
        <f>IF($F71="s-curve",$D71+($E71-$D71)*$I$2/(1+EXP($I$3*(COUNT($H$9:V$9)+$I$4))),TREND($D71:$E71,$D$9:$E$9,V$9))</f>
        <v>0</v>
      </c>
      <c r="W71" s="13">
        <f>IF($F71="s-curve",$D71+($E71-$D71)*$I$2/(1+EXP($I$3*(COUNT($H$9:W$9)+$I$4))),TREND($D71:$E71,$D$9:$E$9,W$9))</f>
        <v>0</v>
      </c>
      <c r="X71" s="13">
        <f>IF($F71="s-curve",$D71+($E71-$D71)*$I$2/(1+EXP($I$3*(COUNT($H$9:X$9)+$I$4))),TREND($D71:$E71,$D$9:$E$9,X$9))</f>
        <v>0</v>
      </c>
      <c r="Y71" s="13">
        <f>IF($F71="s-curve",$D71+($E71-$D71)*$I$2/(1+EXP($I$3*(COUNT($H$9:Y$9)+$I$4))),TREND($D71:$E71,$D$9:$E$9,Y$9))</f>
        <v>0</v>
      </c>
      <c r="Z71" s="13">
        <f>IF($F71="s-curve",$D71+($E71-$D71)*$I$2/(1+EXP($I$3*(COUNT($H$9:Z$9)+$I$4))),TREND($D71:$E71,$D$9:$E$9,Z$9))</f>
        <v>0</v>
      </c>
      <c r="AA71" s="13">
        <f>IF($F71="s-curve",$D71+($E71-$D71)*$I$2/(1+EXP($I$3*(COUNT($H$9:AA$9)+$I$4))),TREND($D71:$E71,$D$9:$E$9,AA$9))</f>
        <v>0</v>
      </c>
      <c r="AB71" s="13">
        <f>IF($F71="s-curve",$D71+($E71-$D71)*$I$2/(1+EXP($I$3*(COUNT($H$9:AB$9)+$I$4))),TREND($D71:$E71,$D$9:$E$9,AB$9))</f>
        <v>0</v>
      </c>
      <c r="AC71" s="13">
        <f>IF($F71="s-curve",$D71+($E71-$D71)*$I$2/(1+EXP($I$3*(COUNT($H$9:AC$9)+$I$4))),TREND($D71:$E71,$D$9:$E$9,AC$9))</f>
        <v>0</v>
      </c>
      <c r="AD71" s="13">
        <f>IF($F71="s-curve",$D71+($E71-$D71)*$I$2/(1+EXP($I$3*(COUNT($H$9:AD$9)+$I$4))),TREND($D71:$E71,$D$9:$E$9,AD$9))</f>
        <v>0</v>
      </c>
      <c r="AE71" s="13">
        <f>IF($F71="s-curve",$D71+($E71-$D71)*$I$2/(1+EXP($I$3*(COUNT($H$9:AE$9)+$I$4))),TREND($D71:$E71,$D$9:$E$9,AE$9))</f>
        <v>0</v>
      </c>
      <c r="AF71" s="13">
        <f>IF($F71="s-curve",$D71+($E71-$D71)*$I$2/(1+EXP($I$3*(COUNT($H$9:AF$9)+$I$4))),TREND($D71:$E71,$D$9:$E$9,AF$9))</f>
        <v>0</v>
      </c>
      <c r="AG71" s="13">
        <f>IF($F71="s-curve",$D71+($E71-$D71)*$I$2/(1+EXP($I$3*(COUNT($H$9:AG$9)+$I$4))),TREND($D71:$E71,$D$9:$E$9,AG$9))</f>
        <v>0</v>
      </c>
      <c r="AH71" s="13">
        <f>IF($F71="s-curve",$D71+($E71-$D71)*$I$2/(1+EXP($I$3*(COUNT($H$9:AH$9)+$I$4))),TREND($D71:$E71,$D$9:$E$9,AH$9))</f>
        <v>0</v>
      </c>
      <c r="AI71" s="13">
        <f>IF($F71="s-curve",$D71+($E71-$D71)*$I$2/(1+EXP($I$3*(COUNT($H$9:AI$9)+$I$4))),TREND($D71:$E71,$D$9:$E$9,AI$9))</f>
        <v>0</v>
      </c>
      <c r="AJ71" s="13">
        <f>IF($F71="s-curve",$D71+($E71-$D71)*$I$2/(1+EXP($I$3*(COUNT($H$9:AJ$9)+$I$4))),TREND($D71:$E71,$D$9:$E$9,AJ$9))</f>
        <v>0</v>
      </c>
      <c r="AK71" s="13">
        <f>IF($F71="s-curve",$D71+($E71-$D71)*$I$2/(1+EXP($I$3*(COUNT($H$9:AK$9)+$I$4))),TREND($D71:$E71,$D$9:$E$9,AK$9))</f>
        <v>0</v>
      </c>
      <c r="AL71" s="13">
        <f>IF($F71="s-curve",$D71+($E71-$D71)*$I$2/(1+EXP($I$3*(COUNT($H$9:AL$9)+$I$4))),TREND($D71:$E71,$D$9:$E$9,AL$9))</f>
        <v>0</v>
      </c>
    </row>
    <row r="72" spans="1:38" ht="15" thickBot="1" x14ac:dyDescent="0.4">
      <c r="A72" s="26"/>
      <c r="B72" s="26"/>
      <c r="C72" s="26" t="s">
        <v>79</v>
      </c>
      <c r="D72" s="26">
        <v>0</v>
      </c>
      <c r="E72" s="26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4">
        <f t="shared" si="6"/>
        <v>0</v>
      </c>
      <c r="I72" s="13">
        <f>IF($F72="s-curve",$D72+($E72-$D72)*$I$2/(1+EXP($I$3*(COUNT($H$9:I$9)+$I$4))),TREND($D72:$E72,$D$9:$E$9,I$9))</f>
        <v>0</v>
      </c>
      <c r="J72" s="13">
        <f>IF($F72="s-curve",$D72+($E72-$D72)*$I$2/(1+EXP($I$3*(COUNT($H$9:J$9)+$I$4))),TREND($D72:$E72,$D$9:$E$9,J$9))</f>
        <v>0</v>
      </c>
      <c r="K72" s="13">
        <f>IF($F72="s-curve",$D72+($E72-$D72)*$I$2/(1+EXP($I$3*(COUNT($H$9:K$9)+$I$4))),TREND($D72:$E72,$D$9:$E$9,K$9))</f>
        <v>0</v>
      </c>
      <c r="L72" s="13">
        <f>IF($F72="s-curve",$D72+($E72-$D72)*$I$2/(1+EXP($I$3*(COUNT($H$9:L$9)+$I$4))),TREND($D72:$E72,$D$9:$E$9,L$9))</f>
        <v>0</v>
      </c>
      <c r="M72" s="13">
        <f>IF($F72="s-curve",$D72+($E72-$D72)*$I$2/(1+EXP($I$3*(COUNT($H$9:M$9)+$I$4))),TREND($D72:$E72,$D$9:$E$9,M$9))</f>
        <v>0</v>
      </c>
      <c r="N72" s="13">
        <f>IF($F72="s-curve",$D72+($E72-$D72)*$I$2/(1+EXP($I$3*(COUNT($H$9:N$9)+$I$4))),TREND($D72:$E72,$D$9:$E$9,N$9))</f>
        <v>0</v>
      </c>
      <c r="O72" s="13">
        <f>IF($F72="s-curve",$D72+($E72-$D72)*$I$2/(1+EXP($I$3*(COUNT($H$9:O$9)+$I$4))),TREND($D72:$E72,$D$9:$E$9,O$9))</f>
        <v>0</v>
      </c>
      <c r="P72" s="13">
        <f>IF($F72="s-curve",$D72+($E72-$D72)*$I$2/(1+EXP($I$3*(COUNT($H$9:P$9)+$I$4))),TREND($D72:$E72,$D$9:$E$9,P$9))</f>
        <v>0</v>
      </c>
      <c r="Q72" s="13">
        <f>IF($F72="s-curve",$D72+($E72-$D72)*$I$2/(1+EXP($I$3*(COUNT($H$9:Q$9)+$I$4))),TREND($D72:$E72,$D$9:$E$9,Q$9))</f>
        <v>0</v>
      </c>
      <c r="R72" s="13">
        <f>IF($F72="s-curve",$D72+($E72-$D72)*$I$2/(1+EXP($I$3*(COUNT($H$9:R$9)+$I$4))),TREND($D72:$E72,$D$9:$E$9,R$9))</f>
        <v>0</v>
      </c>
      <c r="S72" s="13">
        <f>IF($F72="s-curve",$D72+($E72-$D72)*$I$2/(1+EXP($I$3*(COUNT($H$9:S$9)+$I$4))),TREND($D72:$E72,$D$9:$E$9,S$9))</f>
        <v>0</v>
      </c>
      <c r="T72" s="13">
        <f>IF($F72="s-curve",$D72+($E72-$D72)*$I$2/(1+EXP($I$3*(COUNT($H$9:T$9)+$I$4))),TREND($D72:$E72,$D$9:$E$9,T$9))</f>
        <v>0</v>
      </c>
      <c r="U72" s="13">
        <f>IF($F72="s-curve",$D72+($E72-$D72)*$I$2/(1+EXP($I$3*(COUNT($H$9:U$9)+$I$4))),TREND($D72:$E72,$D$9:$E$9,U$9))</f>
        <v>0</v>
      </c>
      <c r="V72" s="13">
        <f>IF($F72="s-curve",$D72+($E72-$D72)*$I$2/(1+EXP($I$3*(COUNT($H$9:V$9)+$I$4))),TREND($D72:$E72,$D$9:$E$9,V$9))</f>
        <v>0</v>
      </c>
      <c r="W72" s="13">
        <f>IF($F72="s-curve",$D72+($E72-$D72)*$I$2/(1+EXP($I$3*(COUNT($H$9:W$9)+$I$4))),TREND($D72:$E72,$D$9:$E$9,W$9))</f>
        <v>0</v>
      </c>
      <c r="X72" s="13">
        <f>IF($F72="s-curve",$D72+($E72-$D72)*$I$2/(1+EXP($I$3*(COUNT($H$9:X$9)+$I$4))),TREND($D72:$E72,$D$9:$E$9,X$9))</f>
        <v>0</v>
      </c>
      <c r="Y72" s="13">
        <f>IF($F72="s-curve",$D72+($E72-$D72)*$I$2/(1+EXP($I$3*(COUNT($H$9:Y$9)+$I$4))),TREND($D72:$E72,$D$9:$E$9,Y$9))</f>
        <v>0</v>
      </c>
      <c r="Z72" s="13">
        <f>IF($F72="s-curve",$D72+($E72-$D72)*$I$2/(1+EXP($I$3*(COUNT($H$9:Z$9)+$I$4))),TREND($D72:$E72,$D$9:$E$9,Z$9))</f>
        <v>0</v>
      </c>
      <c r="AA72" s="13">
        <f>IF($F72="s-curve",$D72+($E72-$D72)*$I$2/(1+EXP($I$3*(COUNT($H$9:AA$9)+$I$4))),TREND($D72:$E72,$D$9:$E$9,AA$9))</f>
        <v>0</v>
      </c>
      <c r="AB72" s="13">
        <f>IF($F72="s-curve",$D72+($E72-$D72)*$I$2/(1+EXP($I$3*(COUNT($H$9:AB$9)+$I$4))),TREND($D72:$E72,$D$9:$E$9,AB$9))</f>
        <v>0</v>
      </c>
      <c r="AC72" s="13">
        <f>IF($F72="s-curve",$D72+($E72-$D72)*$I$2/(1+EXP($I$3*(COUNT($H$9:AC$9)+$I$4))),TREND($D72:$E72,$D$9:$E$9,AC$9))</f>
        <v>0</v>
      </c>
      <c r="AD72" s="13">
        <f>IF($F72="s-curve",$D72+($E72-$D72)*$I$2/(1+EXP($I$3*(COUNT($H$9:AD$9)+$I$4))),TREND($D72:$E72,$D$9:$E$9,AD$9))</f>
        <v>0</v>
      </c>
      <c r="AE72" s="13">
        <f>IF($F72="s-curve",$D72+($E72-$D72)*$I$2/(1+EXP($I$3*(COUNT($H$9:AE$9)+$I$4))),TREND($D72:$E72,$D$9:$E$9,AE$9))</f>
        <v>0</v>
      </c>
      <c r="AF72" s="13">
        <f>IF($F72="s-curve",$D72+($E72-$D72)*$I$2/(1+EXP($I$3*(COUNT($H$9:AF$9)+$I$4))),TREND($D72:$E72,$D$9:$E$9,AF$9))</f>
        <v>0</v>
      </c>
      <c r="AG72" s="13">
        <f>IF($F72="s-curve",$D72+($E72-$D72)*$I$2/(1+EXP($I$3*(COUNT($H$9:AG$9)+$I$4))),TREND($D72:$E72,$D$9:$E$9,AG$9))</f>
        <v>0</v>
      </c>
      <c r="AH72" s="13">
        <f>IF($F72="s-curve",$D72+($E72-$D72)*$I$2/(1+EXP($I$3*(COUNT($H$9:AH$9)+$I$4))),TREND($D72:$E72,$D$9:$E$9,AH$9))</f>
        <v>0</v>
      </c>
      <c r="AI72" s="13">
        <f>IF($F72="s-curve",$D72+($E72-$D72)*$I$2/(1+EXP($I$3*(COUNT($H$9:AI$9)+$I$4))),TREND($D72:$E72,$D$9:$E$9,AI$9))</f>
        <v>0</v>
      </c>
      <c r="AJ72" s="13">
        <f>IF($F72="s-curve",$D72+($E72-$D72)*$I$2/(1+EXP($I$3*(COUNT($H$9:AJ$9)+$I$4))),TREND($D72:$E72,$D$9:$E$9,AJ$9))</f>
        <v>0</v>
      </c>
      <c r="AK72" s="13">
        <f>IF($F72="s-curve",$D72+($E72-$D72)*$I$2/(1+EXP($I$3*(COUNT($H$9:AK$9)+$I$4))),TREND($D72:$E72,$D$9:$E$9,AK$9))</f>
        <v>0</v>
      </c>
      <c r="AL72" s="13">
        <f>IF($F72="s-curve",$D72+($E72-$D72)*$I$2/(1+EXP($I$3*(COUNT($H$9:AL$9)+$I$4))),TREND($D72:$E72,$D$9:$E$9,AL$9))</f>
        <v>0</v>
      </c>
    </row>
    <row r="73" spans="1:38" x14ac:dyDescent="0.35">
      <c r="A73" s="25" t="s">
        <v>16</v>
      </c>
      <c r="B73" s="13" t="s">
        <v>18</v>
      </c>
      <c r="C73" s="13" t="s">
        <v>1</v>
      </c>
      <c r="D73" s="13">
        <f>MIN(1.25*INDEX('SYVbT-freight'!$B$6:$H$6,MATCH(Data!$C10,'SYVbT-passenger'!$B$1:$H$1,0))/SUM('SYVbT-freight'!$B$6:$H$6),1)</f>
        <v>0</v>
      </c>
      <c r="E73" s="13">
        <f>D73</f>
        <v>0</v>
      </c>
      <c r="F73" s="7" t="str">
        <f>IF(D73=E73,"n/a",IF(OR(C73="battery electric vehicle",C73="natural gas vehicle",C73="plugin hybrid vehicle"),"s-curve","linear"))</f>
        <v>n/a</v>
      </c>
      <c r="H73" s="24">
        <f t="shared" ref="H73:H93" si="9">D73</f>
        <v>0</v>
      </c>
      <c r="I73" s="13">
        <f>IF($F73="s-curve",$D73+($E73-$D73)*$I$2/(1+EXP($I$3*(COUNT($H$9:I$9)+$I$4))),TREND($D73:$E73,$D$9:$E$9,I$9))</f>
        <v>0</v>
      </c>
      <c r="J73" s="13">
        <f>IF($F73="s-curve",$D73+($E73-$D73)*$I$2/(1+EXP($I$3*(COUNT($H$9:J$9)+$I$4))),TREND($D73:$E73,$D$9:$E$9,J$9))</f>
        <v>0</v>
      </c>
      <c r="K73" s="13">
        <f>IF($F73="s-curve",$D73+($E73-$D73)*$I$2/(1+EXP($I$3*(COUNT($H$9:K$9)+$I$4))),TREND($D73:$E73,$D$9:$E$9,K$9))</f>
        <v>0</v>
      </c>
      <c r="L73" s="13">
        <f>IF($F73="s-curve",$D73+($E73-$D73)*$I$2/(1+EXP($I$3*(COUNT($H$9:L$9)+$I$4))),TREND($D73:$E73,$D$9:$E$9,L$9))</f>
        <v>0</v>
      </c>
      <c r="M73" s="13">
        <f>IF($F73="s-curve",$D73+($E73-$D73)*$I$2/(1+EXP($I$3*(COUNT($H$9:M$9)+$I$4))),TREND($D73:$E73,$D$9:$E$9,M$9))</f>
        <v>0</v>
      </c>
      <c r="N73" s="13">
        <f>IF($F73="s-curve",$D73+($E73-$D73)*$I$2/(1+EXP($I$3*(COUNT($H$9:N$9)+$I$4))),TREND($D73:$E73,$D$9:$E$9,N$9))</f>
        <v>0</v>
      </c>
      <c r="O73" s="13">
        <f>IF($F73="s-curve",$D73+($E73-$D73)*$I$2/(1+EXP($I$3*(COUNT($H$9:O$9)+$I$4))),TREND($D73:$E73,$D$9:$E$9,O$9))</f>
        <v>0</v>
      </c>
      <c r="P73" s="13">
        <f>IF($F73="s-curve",$D73+($E73-$D73)*$I$2/(1+EXP($I$3*(COUNT($H$9:P$9)+$I$4))),TREND($D73:$E73,$D$9:$E$9,P$9))</f>
        <v>0</v>
      </c>
      <c r="Q73" s="13">
        <f>IF($F73="s-curve",$D73+($E73-$D73)*$I$2/(1+EXP($I$3*(COUNT($H$9:Q$9)+$I$4))),TREND($D73:$E73,$D$9:$E$9,Q$9))</f>
        <v>0</v>
      </c>
      <c r="R73" s="13">
        <f>IF($F73="s-curve",$D73+($E73-$D73)*$I$2/(1+EXP($I$3*(COUNT($H$9:R$9)+$I$4))),TREND($D73:$E73,$D$9:$E$9,R$9))</f>
        <v>0</v>
      </c>
      <c r="S73" s="13">
        <f>IF($F73="s-curve",$D73+($E73-$D73)*$I$2/(1+EXP($I$3*(COUNT($H$9:S$9)+$I$4))),TREND($D73:$E73,$D$9:$E$9,S$9))</f>
        <v>0</v>
      </c>
      <c r="T73" s="13">
        <f>IF($F73="s-curve",$D73+($E73-$D73)*$I$2/(1+EXP($I$3*(COUNT($H$9:T$9)+$I$4))),TREND($D73:$E73,$D$9:$E$9,T$9))</f>
        <v>0</v>
      </c>
      <c r="U73" s="13">
        <f>IF($F73="s-curve",$D73+($E73-$D73)*$I$2/(1+EXP($I$3*(COUNT($H$9:U$9)+$I$4))),TREND($D73:$E73,$D$9:$E$9,U$9))</f>
        <v>0</v>
      </c>
      <c r="V73" s="13">
        <f>IF($F73="s-curve",$D73+($E73-$D73)*$I$2/(1+EXP($I$3*(COUNT($H$9:V$9)+$I$4))),TREND($D73:$E73,$D$9:$E$9,V$9))</f>
        <v>0</v>
      </c>
      <c r="W73" s="13">
        <f>IF($F73="s-curve",$D73+($E73-$D73)*$I$2/(1+EXP($I$3*(COUNT($H$9:W$9)+$I$4))),TREND($D73:$E73,$D$9:$E$9,W$9))</f>
        <v>0</v>
      </c>
      <c r="X73" s="13">
        <f>IF($F73="s-curve",$D73+($E73-$D73)*$I$2/(1+EXP($I$3*(COUNT($H$9:X$9)+$I$4))),TREND($D73:$E73,$D$9:$E$9,X$9))</f>
        <v>0</v>
      </c>
      <c r="Y73" s="13">
        <f>IF($F73="s-curve",$D73+($E73-$D73)*$I$2/(1+EXP($I$3*(COUNT($H$9:Y$9)+$I$4))),TREND($D73:$E73,$D$9:$E$9,Y$9))</f>
        <v>0</v>
      </c>
      <c r="Z73" s="13">
        <f>IF($F73="s-curve",$D73+($E73-$D73)*$I$2/(1+EXP($I$3*(COUNT($H$9:Z$9)+$I$4))),TREND($D73:$E73,$D$9:$E$9,Z$9))</f>
        <v>0</v>
      </c>
      <c r="AA73" s="13">
        <f>IF($F73="s-curve",$D73+($E73-$D73)*$I$2/(1+EXP($I$3*(COUNT($H$9:AA$9)+$I$4))),TREND($D73:$E73,$D$9:$E$9,AA$9))</f>
        <v>0</v>
      </c>
      <c r="AB73" s="13">
        <f>IF($F73="s-curve",$D73+($E73-$D73)*$I$2/(1+EXP($I$3*(COUNT($H$9:AB$9)+$I$4))),TREND($D73:$E73,$D$9:$E$9,AB$9))</f>
        <v>0</v>
      </c>
      <c r="AC73" s="13">
        <f>IF($F73="s-curve",$D73+($E73-$D73)*$I$2/(1+EXP($I$3*(COUNT($H$9:AC$9)+$I$4))),TREND($D73:$E73,$D$9:$E$9,AC$9))</f>
        <v>0</v>
      </c>
      <c r="AD73" s="13">
        <f>IF($F73="s-curve",$D73+($E73-$D73)*$I$2/(1+EXP($I$3*(COUNT($H$9:AD$9)+$I$4))),TREND($D73:$E73,$D$9:$E$9,AD$9))</f>
        <v>0</v>
      </c>
      <c r="AE73" s="13">
        <f>IF($F73="s-curve",$D73+($E73-$D73)*$I$2/(1+EXP($I$3*(COUNT($H$9:AE$9)+$I$4))),TREND($D73:$E73,$D$9:$E$9,AE$9))</f>
        <v>0</v>
      </c>
      <c r="AF73" s="13">
        <f>IF($F73="s-curve",$D73+($E73-$D73)*$I$2/(1+EXP($I$3*(COUNT($H$9:AF$9)+$I$4))),TREND($D73:$E73,$D$9:$E$9,AF$9))</f>
        <v>0</v>
      </c>
      <c r="AG73" s="13">
        <f>IF($F73="s-curve",$D73+($E73-$D73)*$I$2/(1+EXP($I$3*(COUNT($H$9:AG$9)+$I$4))),TREND($D73:$E73,$D$9:$E$9,AG$9))</f>
        <v>0</v>
      </c>
      <c r="AH73" s="13">
        <f>IF($F73="s-curve",$D73+($E73-$D73)*$I$2/(1+EXP($I$3*(COUNT($H$9:AH$9)+$I$4))),TREND($D73:$E73,$D$9:$E$9,AH$9))</f>
        <v>0</v>
      </c>
      <c r="AI73" s="13">
        <f>IF($F73="s-curve",$D73+($E73-$D73)*$I$2/(1+EXP($I$3*(COUNT($H$9:AI$9)+$I$4))),TREND($D73:$E73,$D$9:$E$9,AI$9))</f>
        <v>0</v>
      </c>
      <c r="AJ73" s="13">
        <f>IF($F73="s-curve",$D73+($E73-$D73)*$I$2/(1+EXP($I$3*(COUNT($H$9:AJ$9)+$I$4))),TREND($D73:$E73,$D$9:$E$9,AJ$9))</f>
        <v>0</v>
      </c>
      <c r="AK73" s="13">
        <f>IF($F73="s-curve",$D73+($E73-$D73)*$I$2/(1+EXP($I$3*(COUNT($H$9:AK$9)+$I$4))),TREND($D73:$E73,$D$9:$E$9,AK$9))</f>
        <v>0</v>
      </c>
      <c r="AL73" s="13">
        <f>IF($F73="s-curve",$D73+($E73-$D73)*$I$2/(1+EXP($I$3*(COUNT($H$9:AL$9)+$I$4))),TREND($D73:$E73,$D$9:$E$9,AL$9))</f>
        <v>0</v>
      </c>
    </row>
    <row r="74" spans="1:38" x14ac:dyDescent="0.35">
      <c r="C74" s="13" t="s">
        <v>2</v>
      </c>
      <c r="D74" s="13">
        <f>MIN(1.25*INDEX('SYVbT-freight'!$B$6:$H$6,MATCH(Data!$C11,'SYVbT-passenger'!$B$1:$H$1,0))/SUM('SYVbT-freight'!$B$6:$H$6),1)</f>
        <v>0</v>
      </c>
      <c r="E74" s="13">
        <f t="shared" ref="E74:E79" si="10">D74</f>
        <v>0</v>
      </c>
      <c r="F74" s="7" t="str">
        <f>IF(D74=E74,"n/a",IF(OR(C74="battery electric vehicle",C74="natural gas vehicle",C74="plugin hybrid vehicle"),"s-curve","linear"))</f>
        <v>n/a</v>
      </c>
      <c r="H74" s="24">
        <f t="shared" si="9"/>
        <v>0</v>
      </c>
      <c r="I74" s="13">
        <f>IF($F74="s-curve",$D74+($E74-$D74)*$I$2/(1+EXP($I$3*(COUNT($H$9:I$9)+$I$4))),TREND($D74:$E74,$D$9:$E$9,I$9))</f>
        <v>0</v>
      </c>
      <c r="J74" s="13">
        <f>IF($F74="s-curve",$D74+($E74-$D74)*$I$2/(1+EXP($I$3*(COUNT($H$9:J$9)+$I$4))),TREND($D74:$E74,$D$9:$E$9,J$9))</f>
        <v>0</v>
      </c>
      <c r="K74" s="13">
        <f>IF($F74="s-curve",$D74+($E74-$D74)*$I$2/(1+EXP($I$3*(COUNT($H$9:K$9)+$I$4))),TREND($D74:$E74,$D$9:$E$9,K$9))</f>
        <v>0</v>
      </c>
      <c r="L74" s="13">
        <f>IF($F74="s-curve",$D74+($E74-$D74)*$I$2/(1+EXP($I$3*(COUNT($H$9:L$9)+$I$4))),TREND($D74:$E74,$D$9:$E$9,L$9))</f>
        <v>0</v>
      </c>
      <c r="M74" s="13">
        <f>IF($F74="s-curve",$D74+($E74-$D74)*$I$2/(1+EXP($I$3*(COUNT($H$9:M$9)+$I$4))),TREND($D74:$E74,$D$9:$E$9,M$9))</f>
        <v>0</v>
      </c>
      <c r="N74" s="13">
        <f>IF($F74="s-curve",$D74+($E74-$D74)*$I$2/(1+EXP($I$3*(COUNT($H$9:N$9)+$I$4))),TREND($D74:$E74,$D$9:$E$9,N$9))</f>
        <v>0</v>
      </c>
      <c r="O74" s="13">
        <f>IF($F74="s-curve",$D74+($E74-$D74)*$I$2/(1+EXP($I$3*(COUNT($H$9:O$9)+$I$4))),TREND($D74:$E74,$D$9:$E$9,O$9))</f>
        <v>0</v>
      </c>
      <c r="P74" s="13">
        <f>IF($F74="s-curve",$D74+($E74-$D74)*$I$2/(1+EXP($I$3*(COUNT($H$9:P$9)+$I$4))),TREND($D74:$E74,$D$9:$E$9,P$9))</f>
        <v>0</v>
      </c>
      <c r="Q74" s="13">
        <f>IF($F74="s-curve",$D74+($E74-$D74)*$I$2/(1+EXP($I$3*(COUNT($H$9:Q$9)+$I$4))),TREND($D74:$E74,$D$9:$E$9,Q$9))</f>
        <v>0</v>
      </c>
      <c r="R74" s="13">
        <f>IF($F74="s-curve",$D74+($E74-$D74)*$I$2/(1+EXP($I$3*(COUNT($H$9:R$9)+$I$4))),TREND($D74:$E74,$D$9:$E$9,R$9))</f>
        <v>0</v>
      </c>
      <c r="S74" s="13">
        <f>IF($F74="s-curve",$D74+($E74-$D74)*$I$2/(1+EXP($I$3*(COUNT($H$9:S$9)+$I$4))),TREND($D74:$E74,$D$9:$E$9,S$9))</f>
        <v>0</v>
      </c>
      <c r="T74" s="13">
        <f>IF($F74="s-curve",$D74+($E74-$D74)*$I$2/(1+EXP($I$3*(COUNT($H$9:T$9)+$I$4))),TREND($D74:$E74,$D$9:$E$9,T$9))</f>
        <v>0</v>
      </c>
      <c r="U74" s="13">
        <f>IF($F74="s-curve",$D74+($E74-$D74)*$I$2/(1+EXP($I$3*(COUNT($H$9:U$9)+$I$4))),TREND($D74:$E74,$D$9:$E$9,U$9))</f>
        <v>0</v>
      </c>
      <c r="V74" s="13">
        <f>IF($F74="s-curve",$D74+($E74-$D74)*$I$2/(1+EXP($I$3*(COUNT($H$9:V$9)+$I$4))),TREND($D74:$E74,$D$9:$E$9,V$9))</f>
        <v>0</v>
      </c>
      <c r="W74" s="13">
        <f>IF($F74="s-curve",$D74+($E74-$D74)*$I$2/(1+EXP($I$3*(COUNT($H$9:W$9)+$I$4))),TREND($D74:$E74,$D$9:$E$9,W$9))</f>
        <v>0</v>
      </c>
      <c r="X74" s="13">
        <f>IF($F74="s-curve",$D74+($E74-$D74)*$I$2/(1+EXP($I$3*(COUNT($H$9:X$9)+$I$4))),TREND($D74:$E74,$D$9:$E$9,X$9))</f>
        <v>0</v>
      </c>
      <c r="Y74" s="13">
        <f>IF($F74="s-curve",$D74+($E74-$D74)*$I$2/(1+EXP($I$3*(COUNT($H$9:Y$9)+$I$4))),TREND($D74:$E74,$D$9:$E$9,Y$9))</f>
        <v>0</v>
      </c>
      <c r="Z74" s="13">
        <f>IF($F74="s-curve",$D74+($E74-$D74)*$I$2/(1+EXP($I$3*(COUNT($H$9:Z$9)+$I$4))),TREND($D74:$E74,$D$9:$E$9,Z$9))</f>
        <v>0</v>
      </c>
      <c r="AA74" s="13">
        <f>IF($F74="s-curve",$D74+($E74-$D74)*$I$2/(1+EXP($I$3*(COUNT($H$9:AA$9)+$I$4))),TREND($D74:$E74,$D$9:$E$9,AA$9))</f>
        <v>0</v>
      </c>
      <c r="AB74" s="13">
        <f>IF($F74="s-curve",$D74+($E74-$D74)*$I$2/(1+EXP($I$3*(COUNT($H$9:AB$9)+$I$4))),TREND($D74:$E74,$D$9:$E$9,AB$9))</f>
        <v>0</v>
      </c>
      <c r="AC74" s="13">
        <f>IF($F74="s-curve",$D74+($E74-$D74)*$I$2/(1+EXP($I$3*(COUNT($H$9:AC$9)+$I$4))),TREND($D74:$E74,$D$9:$E$9,AC$9))</f>
        <v>0</v>
      </c>
      <c r="AD74" s="13">
        <f>IF($F74="s-curve",$D74+($E74-$D74)*$I$2/(1+EXP($I$3*(COUNT($H$9:AD$9)+$I$4))),TREND($D74:$E74,$D$9:$E$9,AD$9))</f>
        <v>0</v>
      </c>
      <c r="AE74" s="13">
        <f>IF($F74="s-curve",$D74+($E74-$D74)*$I$2/(1+EXP($I$3*(COUNT($H$9:AE$9)+$I$4))),TREND($D74:$E74,$D$9:$E$9,AE$9))</f>
        <v>0</v>
      </c>
      <c r="AF74" s="13">
        <f>IF($F74="s-curve",$D74+($E74-$D74)*$I$2/(1+EXP($I$3*(COUNT($H$9:AF$9)+$I$4))),TREND($D74:$E74,$D$9:$E$9,AF$9))</f>
        <v>0</v>
      </c>
      <c r="AG74" s="13">
        <f>IF($F74="s-curve",$D74+($E74-$D74)*$I$2/(1+EXP($I$3*(COUNT($H$9:AG$9)+$I$4))),TREND($D74:$E74,$D$9:$E$9,AG$9))</f>
        <v>0</v>
      </c>
      <c r="AH74" s="13">
        <f>IF($F74="s-curve",$D74+($E74-$D74)*$I$2/(1+EXP($I$3*(COUNT($H$9:AH$9)+$I$4))),TREND($D74:$E74,$D$9:$E$9,AH$9))</f>
        <v>0</v>
      </c>
      <c r="AI74" s="13">
        <f>IF($F74="s-curve",$D74+($E74-$D74)*$I$2/(1+EXP($I$3*(COUNT($H$9:AI$9)+$I$4))),TREND($D74:$E74,$D$9:$E$9,AI$9))</f>
        <v>0</v>
      </c>
      <c r="AJ74" s="13">
        <f>IF($F74="s-curve",$D74+($E74-$D74)*$I$2/(1+EXP($I$3*(COUNT($H$9:AJ$9)+$I$4))),TREND($D74:$E74,$D$9:$E$9,AJ$9))</f>
        <v>0</v>
      </c>
      <c r="AK74" s="13">
        <f>IF($F74="s-curve",$D74+($E74-$D74)*$I$2/(1+EXP($I$3*(COUNT($H$9:AK$9)+$I$4))),TREND($D74:$E74,$D$9:$E$9,AK$9))</f>
        <v>0</v>
      </c>
      <c r="AL74" s="13">
        <f>IF($F74="s-curve",$D74+($E74-$D74)*$I$2/(1+EXP($I$3*(COUNT($H$9:AL$9)+$I$4))),TREND($D74:$E74,$D$9:$E$9,AL$9))</f>
        <v>0</v>
      </c>
    </row>
    <row r="75" spans="1:38" x14ac:dyDescent="0.35">
      <c r="C75" s="13" t="s">
        <v>3</v>
      </c>
      <c r="D75" s="13">
        <f>MIN(1.25*INDEX('SYVbT-freight'!$B$6:$H$6,MATCH(Data!$C12,'SYVbT-passenger'!$B$1:$H$1,0))/SUM('SYVbT-freight'!$B$6:$H$6),1)</f>
        <v>1.8381271689900589E-3</v>
      </c>
      <c r="E75" s="13">
        <f t="shared" si="10"/>
        <v>1.8381271689900589E-3</v>
      </c>
      <c r="F75" s="7" t="str">
        <f>IF(D75=E75,"n/a",IF(OR(C75="battery electric vehicle",C75="natural gas vehicle",C75="plugin hybrid vehicle"),"s-curve","linear"))</f>
        <v>n/a</v>
      </c>
      <c r="H75" s="24">
        <f t="shared" si="9"/>
        <v>1.8381271689900589E-3</v>
      </c>
      <c r="I75" s="13">
        <f>IF($F75="s-curve",$D75+($E75-$D75)*$I$2/(1+EXP($I$3*(COUNT($H$9:I$9)+$I$4))),TREND($D75:$E75,$D$9:$E$9,I$9))</f>
        <v>1.8381271689900589E-3</v>
      </c>
      <c r="J75" s="13">
        <f>IF($F75="s-curve",$D75+($E75-$D75)*$I$2/(1+EXP($I$3*(COUNT($H$9:J$9)+$I$4))),TREND($D75:$E75,$D$9:$E$9,J$9))</f>
        <v>1.8381271689900589E-3</v>
      </c>
      <c r="K75" s="13">
        <f>IF($F75="s-curve",$D75+($E75-$D75)*$I$2/(1+EXP($I$3*(COUNT($H$9:K$9)+$I$4))),TREND($D75:$E75,$D$9:$E$9,K$9))</f>
        <v>1.8381271689900589E-3</v>
      </c>
      <c r="L75" s="13">
        <f>IF($F75="s-curve",$D75+($E75-$D75)*$I$2/(1+EXP($I$3*(COUNT($H$9:L$9)+$I$4))),TREND($D75:$E75,$D$9:$E$9,L$9))</f>
        <v>1.8381271689900589E-3</v>
      </c>
      <c r="M75" s="13">
        <f>IF($F75="s-curve",$D75+($E75-$D75)*$I$2/(1+EXP($I$3*(COUNT($H$9:M$9)+$I$4))),TREND($D75:$E75,$D$9:$E$9,M$9))</f>
        <v>1.8381271689900589E-3</v>
      </c>
      <c r="N75" s="13">
        <f>IF($F75="s-curve",$D75+($E75-$D75)*$I$2/(1+EXP($I$3*(COUNT($H$9:N$9)+$I$4))),TREND($D75:$E75,$D$9:$E$9,N$9))</f>
        <v>1.8381271689900589E-3</v>
      </c>
      <c r="O75" s="13">
        <f>IF($F75="s-curve",$D75+($E75-$D75)*$I$2/(1+EXP($I$3*(COUNT($H$9:O$9)+$I$4))),TREND($D75:$E75,$D$9:$E$9,O$9))</f>
        <v>1.8381271689900589E-3</v>
      </c>
      <c r="P75" s="13">
        <f>IF($F75="s-curve",$D75+($E75-$D75)*$I$2/(1+EXP($I$3*(COUNT($H$9:P$9)+$I$4))),TREND($D75:$E75,$D$9:$E$9,P$9))</f>
        <v>1.8381271689900589E-3</v>
      </c>
      <c r="Q75" s="13">
        <f>IF($F75="s-curve",$D75+($E75-$D75)*$I$2/(1+EXP($I$3*(COUNT($H$9:Q$9)+$I$4))),TREND($D75:$E75,$D$9:$E$9,Q$9))</f>
        <v>1.8381271689900589E-3</v>
      </c>
      <c r="R75" s="13">
        <f>IF($F75="s-curve",$D75+($E75-$D75)*$I$2/(1+EXP($I$3*(COUNT($H$9:R$9)+$I$4))),TREND($D75:$E75,$D$9:$E$9,R$9))</f>
        <v>1.8381271689900589E-3</v>
      </c>
      <c r="S75" s="13">
        <f>IF($F75="s-curve",$D75+($E75-$D75)*$I$2/(1+EXP($I$3*(COUNT($H$9:S$9)+$I$4))),TREND($D75:$E75,$D$9:$E$9,S$9))</f>
        <v>1.8381271689900589E-3</v>
      </c>
      <c r="T75" s="13">
        <f>IF($F75="s-curve",$D75+($E75-$D75)*$I$2/(1+EXP($I$3*(COUNT($H$9:T$9)+$I$4))),TREND($D75:$E75,$D$9:$E$9,T$9))</f>
        <v>1.8381271689900589E-3</v>
      </c>
      <c r="U75" s="13">
        <f>IF($F75="s-curve",$D75+($E75-$D75)*$I$2/(1+EXP($I$3*(COUNT($H$9:U$9)+$I$4))),TREND($D75:$E75,$D$9:$E$9,U$9))</f>
        <v>1.8381271689900589E-3</v>
      </c>
      <c r="V75" s="13">
        <f>IF($F75="s-curve",$D75+($E75-$D75)*$I$2/(1+EXP($I$3*(COUNT($H$9:V$9)+$I$4))),TREND($D75:$E75,$D$9:$E$9,V$9))</f>
        <v>1.8381271689900589E-3</v>
      </c>
      <c r="W75" s="13">
        <f>IF($F75="s-curve",$D75+($E75-$D75)*$I$2/(1+EXP($I$3*(COUNT($H$9:W$9)+$I$4))),TREND($D75:$E75,$D$9:$E$9,W$9))</f>
        <v>1.8381271689900589E-3</v>
      </c>
      <c r="X75" s="13">
        <f>IF($F75="s-curve",$D75+($E75-$D75)*$I$2/(1+EXP($I$3*(COUNT($H$9:X$9)+$I$4))),TREND($D75:$E75,$D$9:$E$9,X$9))</f>
        <v>1.8381271689900589E-3</v>
      </c>
      <c r="Y75" s="13">
        <f>IF($F75="s-curve",$D75+($E75-$D75)*$I$2/(1+EXP($I$3*(COUNT($H$9:Y$9)+$I$4))),TREND($D75:$E75,$D$9:$E$9,Y$9))</f>
        <v>1.8381271689900589E-3</v>
      </c>
      <c r="Z75" s="13">
        <f>IF($F75="s-curve",$D75+($E75-$D75)*$I$2/(1+EXP($I$3*(COUNT($H$9:Z$9)+$I$4))),TREND($D75:$E75,$D$9:$E$9,Z$9))</f>
        <v>1.8381271689900589E-3</v>
      </c>
      <c r="AA75" s="13">
        <f>IF($F75="s-curve",$D75+($E75-$D75)*$I$2/(1+EXP($I$3*(COUNT($H$9:AA$9)+$I$4))),TREND($D75:$E75,$D$9:$E$9,AA$9))</f>
        <v>1.8381271689900589E-3</v>
      </c>
      <c r="AB75" s="13">
        <f>IF($F75="s-curve",$D75+($E75-$D75)*$I$2/(1+EXP($I$3*(COUNT($H$9:AB$9)+$I$4))),TREND($D75:$E75,$D$9:$E$9,AB$9))</f>
        <v>1.8381271689900589E-3</v>
      </c>
      <c r="AC75" s="13">
        <f>IF($F75="s-curve",$D75+($E75-$D75)*$I$2/(1+EXP($I$3*(COUNT($H$9:AC$9)+$I$4))),TREND($D75:$E75,$D$9:$E$9,AC$9))</f>
        <v>1.8381271689900589E-3</v>
      </c>
      <c r="AD75" s="13">
        <f>IF($F75="s-curve",$D75+($E75-$D75)*$I$2/(1+EXP($I$3*(COUNT($H$9:AD$9)+$I$4))),TREND($D75:$E75,$D$9:$E$9,AD$9))</f>
        <v>1.8381271689900589E-3</v>
      </c>
      <c r="AE75" s="13">
        <f>IF($F75="s-curve",$D75+($E75-$D75)*$I$2/(1+EXP($I$3*(COUNT($H$9:AE$9)+$I$4))),TREND($D75:$E75,$D$9:$E$9,AE$9))</f>
        <v>1.8381271689900589E-3</v>
      </c>
      <c r="AF75" s="13">
        <f>IF($F75="s-curve",$D75+($E75-$D75)*$I$2/(1+EXP($I$3*(COUNT($H$9:AF$9)+$I$4))),TREND($D75:$E75,$D$9:$E$9,AF$9))</f>
        <v>1.8381271689900589E-3</v>
      </c>
      <c r="AG75" s="13">
        <f>IF($F75="s-curve",$D75+($E75-$D75)*$I$2/(1+EXP($I$3*(COUNT($H$9:AG$9)+$I$4))),TREND($D75:$E75,$D$9:$E$9,AG$9))</f>
        <v>1.8381271689900589E-3</v>
      </c>
      <c r="AH75" s="13">
        <f>IF($F75="s-curve",$D75+($E75-$D75)*$I$2/(1+EXP($I$3*(COUNT($H$9:AH$9)+$I$4))),TREND($D75:$E75,$D$9:$E$9,AH$9))</f>
        <v>1.8381271689900589E-3</v>
      </c>
      <c r="AI75" s="13">
        <f>IF($F75="s-curve",$D75+($E75-$D75)*$I$2/(1+EXP($I$3*(COUNT($H$9:AI$9)+$I$4))),TREND($D75:$E75,$D$9:$E$9,AI$9))</f>
        <v>1.8381271689900589E-3</v>
      </c>
      <c r="AJ75" s="13">
        <f>IF($F75="s-curve",$D75+($E75-$D75)*$I$2/(1+EXP($I$3*(COUNT($H$9:AJ$9)+$I$4))),TREND($D75:$E75,$D$9:$E$9,AJ$9))</f>
        <v>1.8381271689900589E-3</v>
      </c>
      <c r="AK75" s="13">
        <f>IF($F75="s-curve",$D75+($E75-$D75)*$I$2/(1+EXP($I$3*(COUNT($H$9:AK$9)+$I$4))),TREND($D75:$E75,$D$9:$E$9,AK$9))</f>
        <v>1.8381271689900589E-3</v>
      </c>
      <c r="AL75" s="13">
        <f>IF($F75="s-curve",$D75+($E75-$D75)*$I$2/(1+EXP($I$3*(COUNT($H$9:AL$9)+$I$4))),TREND($D75:$E75,$D$9:$E$9,AL$9))</f>
        <v>1.8381271689900589E-3</v>
      </c>
    </row>
    <row r="76" spans="1:38" x14ac:dyDescent="0.35">
      <c r="C76" s="13" t="s">
        <v>4</v>
      </c>
      <c r="D76" s="13">
        <f>MIN(1.25*INDEX('SYVbT-freight'!$B$6:$H$6,MATCH(Data!$C13,'SYVbT-passenger'!$B$1:$H$1,0))/SUM('SYVbT-freight'!$B$6:$H$6),1)</f>
        <v>1</v>
      </c>
      <c r="E76" s="13">
        <f t="shared" si="10"/>
        <v>1</v>
      </c>
      <c r="F76" s="7" t="str">
        <f>IF(D76=E76,"n/a",IF(OR(C76="battery electric vehicle",C76="natural gas vehicle",C76="plugin hybrid vehicle"),"s-curve","linear"))</f>
        <v>n/a</v>
      </c>
      <c r="H76" s="24">
        <f t="shared" si="9"/>
        <v>1</v>
      </c>
      <c r="I76" s="13">
        <f>IF($F76="s-curve",$D76+($E76-$D76)*$I$2/(1+EXP($I$3*(COUNT($H$9:I$9)+$I$4))),TREND($D76:$E76,$D$9:$E$9,I$9))</f>
        <v>1</v>
      </c>
      <c r="J76" s="13">
        <f>IF($F76="s-curve",$D76+($E76-$D76)*$I$2/(1+EXP($I$3*(COUNT($H$9:J$9)+$I$4))),TREND($D76:$E76,$D$9:$E$9,J$9))</f>
        <v>1</v>
      </c>
      <c r="K76" s="13">
        <f>IF($F76="s-curve",$D76+($E76-$D76)*$I$2/(1+EXP($I$3*(COUNT($H$9:K$9)+$I$4))),TREND($D76:$E76,$D$9:$E$9,K$9))</f>
        <v>1</v>
      </c>
      <c r="L76" s="13">
        <f>IF($F76="s-curve",$D76+($E76-$D76)*$I$2/(1+EXP($I$3*(COUNT($H$9:L$9)+$I$4))),TREND($D76:$E76,$D$9:$E$9,L$9))</f>
        <v>1</v>
      </c>
      <c r="M76" s="13">
        <f>IF($F76="s-curve",$D76+($E76-$D76)*$I$2/(1+EXP($I$3*(COUNT($H$9:M$9)+$I$4))),TREND($D76:$E76,$D$9:$E$9,M$9))</f>
        <v>1</v>
      </c>
      <c r="N76" s="13">
        <f>IF($F76="s-curve",$D76+($E76-$D76)*$I$2/(1+EXP($I$3*(COUNT($H$9:N$9)+$I$4))),TREND($D76:$E76,$D$9:$E$9,N$9))</f>
        <v>1</v>
      </c>
      <c r="O76" s="13">
        <f>IF($F76="s-curve",$D76+($E76-$D76)*$I$2/(1+EXP($I$3*(COUNT($H$9:O$9)+$I$4))),TREND($D76:$E76,$D$9:$E$9,O$9))</f>
        <v>1</v>
      </c>
      <c r="P76" s="13">
        <f>IF($F76="s-curve",$D76+($E76-$D76)*$I$2/(1+EXP($I$3*(COUNT($H$9:P$9)+$I$4))),TREND($D76:$E76,$D$9:$E$9,P$9))</f>
        <v>1</v>
      </c>
      <c r="Q76" s="13">
        <f>IF($F76="s-curve",$D76+($E76-$D76)*$I$2/(1+EXP($I$3*(COUNT($H$9:Q$9)+$I$4))),TREND($D76:$E76,$D$9:$E$9,Q$9))</f>
        <v>1</v>
      </c>
      <c r="R76" s="13">
        <f>IF($F76="s-curve",$D76+($E76-$D76)*$I$2/(1+EXP($I$3*(COUNT($H$9:R$9)+$I$4))),TREND($D76:$E76,$D$9:$E$9,R$9))</f>
        <v>1</v>
      </c>
      <c r="S76" s="13">
        <f>IF($F76="s-curve",$D76+($E76-$D76)*$I$2/(1+EXP($I$3*(COUNT($H$9:S$9)+$I$4))),TREND($D76:$E76,$D$9:$E$9,S$9))</f>
        <v>1</v>
      </c>
      <c r="T76" s="13">
        <f>IF($F76="s-curve",$D76+($E76-$D76)*$I$2/(1+EXP($I$3*(COUNT($H$9:T$9)+$I$4))),TREND($D76:$E76,$D$9:$E$9,T$9))</f>
        <v>1</v>
      </c>
      <c r="U76" s="13">
        <f>IF($F76="s-curve",$D76+($E76-$D76)*$I$2/(1+EXP($I$3*(COUNT($H$9:U$9)+$I$4))),TREND($D76:$E76,$D$9:$E$9,U$9))</f>
        <v>1</v>
      </c>
      <c r="V76" s="13">
        <f>IF($F76="s-curve",$D76+($E76-$D76)*$I$2/(1+EXP($I$3*(COUNT($H$9:V$9)+$I$4))),TREND($D76:$E76,$D$9:$E$9,V$9))</f>
        <v>1</v>
      </c>
      <c r="W76" s="13">
        <f>IF($F76="s-curve",$D76+($E76-$D76)*$I$2/(1+EXP($I$3*(COUNT($H$9:W$9)+$I$4))),TREND($D76:$E76,$D$9:$E$9,W$9))</f>
        <v>1</v>
      </c>
      <c r="X76" s="13">
        <f>IF($F76="s-curve",$D76+($E76-$D76)*$I$2/(1+EXP($I$3*(COUNT($H$9:X$9)+$I$4))),TREND($D76:$E76,$D$9:$E$9,X$9))</f>
        <v>1</v>
      </c>
      <c r="Y76" s="13">
        <f>IF($F76="s-curve",$D76+($E76-$D76)*$I$2/(1+EXP($I$3*(COUNT($H$9:Y$9)+$I$4))),TREND($D76:$E76,$D$9:$E$9,Y$9))</f>
        <v>1</v>
      </c>
      <c r="Z76" s="13">
        <f>IF($F76="s-curve",$D76+($E76-$D76)*$I$2/(1+EXP($I$3*(COUNT($H$9:Z$9)+$I$4))),TREND($D76:$E76,$D$9:$E$9,Z$9))</f>
        <v>1</v>
      </c>
      <c r="AA76" s="13">
        <f>IF($F76="s-curve",$D76+($E76-$D76)*$I$2/(1+EXP($I$3*(COUNT($H$9:AA$9)+$I$4))),TREND($D76:$E76,$D$9:$E$9,AA$9))</f>
        <v>1</v>
      </c>
      <c r="AB76" s="13">
        <f>IF($F76="s-curve",$D76+($E76-$D76)*$I$2/(1+EXP($I$3*(COUNT($H$9:AB$9)+$I$4))),TREND($D76:$E76,$D$9:$E$9,AB$9))</f>
        <v>1</v>
      </c>
      <c r="AC76" s="13">
        <f>IF($F76="s-curve",$D76+($E76-$D76)*$I$2/(1+EXP($I$3*(COUNT($H$9:AC$9)+$I$4))),TREND($D76:$E76,$D$9:$E$9,AC$9))</f>
        <v>1</v>
      </c>
      <c r="AD76" s="13">
        <f>IF($F76="s-curve",$D76+($E76-$D76)*$I$2/(1+EXP($I$3*(COUNT($H$9:AD$9)+$I$4))),TREND($D76:$E76,$D$9:$E$9,AD$9))</f>
        <v>1</v>
      </c>
      <c r="AE76" s="13">
        <f>IF($F76="s-curve",$D76+($E76-$D76)*$I$2/(1+EXP($I$3*(COUNT($H$9:AE$9)+$I$4))),TREND($D76:$E76,$D$9:$E$9,AE$9))</f>
        <v>1</v>
      </c>
      <c r="AF76" s="13">
        <f>IF($F76="s-curve",$D76+($E76-$D76)*$I$2/(1+EXP($I$3*(COUNT($H$9:AF$9)+$I$4))),TREND($D76:$E76,$D$9:$E$9,AF$9))</f>
        <v>1</v>
      </c>
      <c r="AG76" s="13">
        <f>IF($F76="s-curve",$D76+($E76-$D76)*$I$2/(1+EXP($I$3*(COUNT($H$9:AG$9)+$I$4))),TREND($D76:$E76,$D$9:$E$9,AG$9))</f>
        <v>1</v>
      </c>
      <c r="AH76" s="13">
        <f>IF($F76="s-curve",$D76+($E76-$D76)*$I$2/(1+EXP($I$3*(COUNT($H$9:AH$9)+$I$4))),TREND($D76:$E76,$D$9:$E$9,AH$9))</f>
        <v>1</v>
      </c>
      <c r="AI76" s="13">
        <f>IF($F76="s-curve",$D76+($E76-$D76)*$I$2/(1+EXP($I$3*(COUNT($H$9:AI$9)+$I$4))),TREND($D76:$E76,$D$9:$E$9,AI$9))</f>
        <v>1</v>
      </c>
      <c r="AJ76" s="13">
        <f>IF($F76="s-curve",$D76+($E76-$D76)*$I$2/(1+EXP($I$3*(COUNT($H$9:AJ$9)+$I$4))),TREND($D76:$E76,$D$9:$E$9,AJ$9))</f>
        <v>1</v>
      </c>
      <c r="AK76" s="13">
        <f>IF($F76="s-curve",$D76+($E76-$D76)*$I$2/(1+EXP($I$3*(COUNT($H$9:AK$9)+$I$4))),TREND($D76:$E76,$D$9:$E$9,AK$9))</f>
        <v>1</v>
      </c>
      <c r="AL76" s="13">
        <f>IF($F76="s-curve",$D76+($E76-$D76)*$I$2/(1+EXP($I$3*(COUNT($H$9:AL$9)+$I$4))),TREND($D76:$E76,$D$9:$E$9,AL$9))</f>
        <v>1</v>
      </c>
    </row>
    <row r="77" spans="1:38" x14ac:dyDescent="0.35">
      <c r="C77" s="13" t="s">
        <v>5</v>
      </c>
      <c r="D77" s="13">
        <f>MIN(1.25*INDEX('SYVbT-freight'!$B$6:$H$6,MATCH(Data!$C14,'SYVbT-passenger'!$B$1:$H$1,0))/SUM('SYVbT-freight'!$B$6:$H$6),1)</f>
        <v>0</v>
      </c>
      <c r="E77" s="13">
        <f t="shared" si="10"/>
        <v>0</v>
      </c>
      <c r="F77" s="7" t="str">
        <f>IF(D77=E77,"n/a",IF(OR(C77="battery electric vehicle",C77="natural gas vehicle",C77="plugin hybrid vehicle"),"s-curve","linear"))</f>
        <v>n/a</v>
      </c>
      <c r="H77" s="24">
        <f t="shared" si="9"/>
        <v>0</v>
      </c>
      <c r="I77" s="13">
        <f>IF($F77="s-curve",$D77+($E77-$D77)*$I$2/(1+EXP($I$3*(COUNT($H$9:I$9)+$I$4))),TREND($D77:$E77,$D$9:$E$9,I$9))</f>
        <v>0</v>
      </c>
      <c r="J77" s="13">
        <f>IF($F77="s-curve",$D77+($E77-$D77)*$I$2/(1+EXP($I$3*(COUNT($H$9:J$9)+$I$4))),TREND($D77:$E77,$D$9:$E$9,J$9))</f>
        <v>0</v>
      </c>
      <c r="K77" s="13">
        <f>IF($F77="s-curve",$D77+($E77-$D77)*$I$2/(1+EXP($I$3*(COUNT($H$9:K$9)+$I$4))),TREND($D77:$E77,$D$9:$E$9,K$9))</f>
        <v>0</v>
      </c>
      <c r="L77" s="13">
        <f>IF($F77="s-curve",$D77+($E77-$D77)*$I$2/(1+EXP($I$3*(COUNT($H$9:L$9)+$I$4))),TREND($D77:$E77,$D$9:$E$9,L$9))</f>
        <v>0</v>
      </c>
      <c r="M77" s="13">
        <f>IF($F77="s-curve",$D77+($E77-$D77)*$I$2/(1+EXP($I$3*(COUNT($H$9:M$9)+$I$4))),TREND($D77:$E77,$D$9:$E$9,M$9))</f>
        <v>0</v>
      </c>
      <c r="N77" s="13">
        <f>IF($F77="s-curve",$D77+($E77-$D77)*$I$2/(1+EXP($I$3*(COUNT($H$9:N$9)+$I$4))),TREND($D77:$E77,$D$9:$E$9,N$9))</f>
        <v>0</v>
      </c>
      <c r="O77" s="13">
        <f>IF($F77="s-curve",$D77+($E77-$D77)*$I$2/(1+EXP($I$3*(COUNT($H$9:O$9)+$I$4))),TREND($D77:$E77,$D$9:$E$9,O$9))</f>
        <v>0</v>
      </c>
      <c r="P77" s="13">
        <f>IF($F77="s-curve",$D77+($E77-$D77)*$I$2/(1+EXP($I$3*(COUNT($H$9:P$9)+$I$4))),TREND($D77:$E77,$D$9:$E$9,P$9))</f>
        <v>0</v>
      </c>
      <c r="Q77" s="13">
        <f>IF($F77="s-curve",$D77+($E77-$D77)*$I$2/(1+EXP($I$3*(COUNT($H$9:Q$9)+$I$4))),TREND($D77:$E77,$D$9:$E$9,Q$9))</f>
        <v>0</v>
      </c>
      <c r="R77" s="13">
        <f>IF($F77="s-curve",$D77+($E77-$D77)*$I$2/(1+EXP($I$3*(COUNT($H$9:R$9)+$I$4))),TREND($D77:$E77,$D$9:$E$9,R$9))</f>
        <v>0</v>
      </c>
      <c r="S77" s="13">
        <f>IF($F77="s-curve",$D77+($E77-$D77)*$I$2/(1+EXP($I$3*(COUNT($H$9:S$9)+$I$4))),TREND($D77:$E77,$D$9:$E$9,S$9))</f>
        <v>0</v>
      </c>
      <c r="T77" s="13">
        <f>IF($F77="s-curve",$D77+($E77-$D77)*$I$2/(1+EXP($I$3*(COUNT($H$9:T$9)+$I$4))),TREND($D77:$E77,$D$9:$E$9,T$9))</f>
        <v>0</v>
      </c>
      <c r="U77" s="13">
        <f>IF($F77="s-curve",$D77+($E77-$D77)*$I$2/(1+EXP($I$3*(COUNT($H$9:U$9)+$I$4))),TREND($D77:$E77,$D$9:$E$9,U$9))</f>
        <v>0</v>
      </c>
      <c r="V77" s="13">
        <f>IF($F77="s-curve",$D77+($E77-$D77)*$I$2/(1+EXP($I$3*(COUNT($H$9:V$9)+$I$4))),TREND($D77:$E77,$D$9:$E$9,V$9))</f>
        <v>0</v>
      </c>
      <c r="W77" s="13">
        <f>IF($F77="s-curve",$D77+($E77-$D77)*$I$2/(1+EXP($I$3*(COUNT($H$9:W$9)+$I$4))),TREND($D77:$E77,$D$9:$E$9,W$9))</f>
        <v>0</v>
      </c>
      <c r="X77" s="13">
        <f>IF($F77="s-curve",$D77+($E77-$D77)*$I$2/(1+EXP($I$3*(COUNT($H$9:X$9)+$I$4))),TREND($D77:$E77,$D$9:$E$9,X$9))</f>
        <v>0</v>
      </c>
      <c r="Y77" s="13">
        <f>IF($F77="s-curve",$D77+($E77-$D77)*$I$2/(1+EXP($I$3*(COUNT($H$9:Y$9)+$I$4))),TREND($D77:$E77,$D$9:$E$9,Y$9))</f>
        <v>0</v>
      </c>
      <c r="Z77" s="13">
        <f>IF($F77="s-curve",$D77+($E77-$D77)*$I$2/(1+EXP($I$3*(COUNT($H$9:Z$9)+$I$4))),TREND($D77:$E77,$D$9:$E$9,Z$9))</f>
        <v>0</v>
      </c>
      <c r="AA77" s="13">
        <f>IF($F77="s-curve",$D77+($E77-$D77)*$I$2/(1+EXP($I$3*(COUNT($H$9:AA$9)+$I$4))),TREND($D77:$E77,$D$9:$E$9,AA$9))</f>
        <v>0</v>
      </c>
      <c r="AB77" s="13">
        <f>IF($F77="s-curve",$D77+($E77-$D77)*$I$2/(1+EXP($I$3*(COUNT($H$9:AB$9)+$I$4))),TREND($D77:$E77,$D$9:$E$9,AB$9))</f>
        <v>0</v>
      </c>
      <c r="AC77" s="13">
        <f>IF($F77="s-curve",$D77+($E77-$D77)*$I$2/(1+EXP($I$3*(COUNT($H$9:AC$9)+$I$4))),TREND($D77:$E77,$D$9:$E$9,AC$9))</f>
        <v>0</v>
      </c>
      <c r="AD77" s="13">
        <f>IF($F77="s-curve",$D77+($E77-$D77)*$I$2/(1+EXP($I$3*(COUNT($H$9:AD$9)+$I$4))),TREND($D77:$E77,$D$9:$E$9,AD$9))</f>
        <v>0</v>
      </c>
      <c r="AE77" s="13">
        <f>IF($F77="s-curve",$D77+($E77-$D77)*$I$2/(1+EXP($I$3*(COUNT($H$9:AE$9)+$I$4))),TREND($D77:$E77,$D$9:$E$9,AE$9))</f>
        <v>0</v>
      </c>
      <c r="AF77" s="13">
        <f>IF($F77="s-curve",$D77+($E77-$D77)*$I$2/(1+EXP($I$3*(COUNT($H$9:AF$9)+$I$4))),TREND($D77:$E77,$D$9:$E$9,AF$9))</f>
        <v>0</v>
      </c>
      <c r="AG77" s="13">
        <f>IF($F77="s-curve",$D77+($E77-$D77)*$I$2/(1+EXP($I$3*(COUNT($H$9:AG$9)+$I$4))),TREND($D77:$E77,$D$9:$E$9,AG$9))</f>
        <v>0</v>
      </c>
      <c r="AH77" s="13">
        <f>IF($F77="s-curve",$D77+($E77-$D77)*$I$2/(1+EXP($I$3*(COUNT($H$9:AH$9)+$I$4))),TREND($D77:$E77,$D$9:$E$9,AH$9))</f>
        <v>0</v>
      </c>
      <c r="AI77" s="13">
        <f>IF($F77="s-curve",$D77+($E77-$D77)*$I$2/(1+EXP($I$3*(COUNT($H$9:AI$9)+$I$4))),TREND($D77:$E77,$D$9:$E$9,AI$9))</f>
        <v>0</v>
      </c>
      <c r="AJ77" s="13">
        <f>IF($F77="s-curve",$D77+($E77-$D77)*$I$2/(1+EXP($I$3*(COUNT($H$9:AJ$9)+$I$4))),TREND($D77:$E77,$D$9:$E$9,AJ$9))</f>
        <v>0</v>
      </c>
      <c r="AK77" s="13">
        <f>IF($F77="s-curve",$D77+($E77-$D77)*$I$2/(1+EXP($I$3*(COUNT($H$9:AK$9)+$I$4))),TREND($D77:$E77,$D$9:$E$9,AK$9))</f>
        <v>0</v>
      </c>
      <c r="AL77" s="13">
        <f>IF($F77="s-curve",$D77+($E77-$D77)*$I$2/(1+EXP($I$3*(COUNT($H$9:AL$9)+$I$4))),TREND($D77:$E77,$D$9:$E$9,AL$9))</f>
        <v>0</v>
      </c>
    </row>
    <row r="78" spans="1:38" x14ac:dyDescent="0.35">
      <c r="C78" s="13" t="s">
        <v>78</v>
      </c>
      <c r="D78" s="13">
        <f>MIN(1.25*INDEX('SYVbT-freight'!$B$6:$H$6,MATCH(Data!$C15,'SYVbT-passenger'!$B$1:$H$1,0))/SUM('SYVbT-freight'!$B$6:$H$6),1)</f>
        <v>7.3525086759602368E-4</v>
      </c>
      <c r="E78" s="13">
        <f t="shared" si="10"/>
        <v>7.3525086759602368E-4</v>
      </c>
      <c r="F78" s="7" t="str">
        <f>IF(D78=E78,"n/a",IF(OR(C78="battery electric vehicle",C78="natural gas vehicle",C78="plugin hybrid vehicle",C78="hydrogen vehicle"),"s-curve","linear"))</f>
        <v>n/a</v>
      </c>
      <c r="H78" s="24">
        <f t="shared" si="9"/>
        <v>7.3525086759602368E-4</v>
      </c>
      <c r="I78" s="13">
        <f>IF($F78="s-curve",$D78+($E78-$D78)*$I$2/(1+EXP($I$3*(COUNT($H$9:I$9)+$I$4))),TREND($D78:$E78,$D$9:$E$9,I$9))</f>
        <v>7.3525086759602368E-4</v>
      </c>
      <c r="J78" s="13">
        <f>IF($F78="s-curve",$D78+($E78-$D78)*$I$2/(1+EXP($I$3*(COUNT($H$9:J$9)+$I$4))),TREND($D78:$E78,$D$9:$E$9,J$9))</f>
        <v>7.3525086759602368E-4</v>
      </c>
      <c r="K78" s="13">
        <f>IF($F78="s-curve",$D78+($E78-$D78)*$I$2/(1+EXP($I$3*(COUNT($H$9:K$9)+$I$4))),TREND($D78:$E78,$D$9:$E$9,K$9))</f>
        <v>7.3525086759602368E-4</v>
      </c>
      <c r="L78" s="13">
        <f>IF($F78="s-curve",$D78+($E78-$D78)*$I$2/(1+EXP($I$3*(COUNT($H$9:L$9)+$I$4))),TREND($D78:$E78,$D$9:$E$9,L$9))</f>
        <v>7.3525086759602368E-4</v>
      </c>
      <c r="M78" s="13">
        <f>IF($F78="s-curve",$D78+($E78-$D78)*$I$2/(1+EXP($I$3*(COUNT($H$9:M$9)+$I$4))),TREND($D78:$E78,$D$9:$E$9,M$9))</f>
        <v>7.3525086759602368E-4</v>
      </c>
      <c r="N78" s="13">
        <f>IF($F78="s-curve",$D78+($E78-$D78)*$I$2/(1+EXP($I$3*(COUNT($H$9:N$9)+$I$4))),TREND($D78:$E78,$D$9:$E$9,N$9))</f>
        <v>7.3525086759602368E-4</v>
      </c>
      <c r="O78" s="13">
        <f>IF($F78="s-curve",$D78+($E78-$D78)*$I$2/(1+EXP($I$3*(COUNT($H$9:O$9)+$I$4))),TREND($D78:$E78,$D$9:$E$9,O$9))</f>
        <v>7.3525086759602368E-4</v>
      </c>
      <c r="P78" s="13">
        <f>IF($F78="s-curve",$D78+($E78-$D78)*$I$2/(1+EXP($I$3*(COUNT($H$9:P$9)+$I$4))),TREND($D78:$E78,$D$9:$E$9,P$9))</f>
        <v>7.3525086759602368E-4</v>
      </c>
      <c r="Q78" s="13">
        <f>IF($F78="s-curve",$D78+($E78-$D78)*$I$2/(1+EXP($I$3*(COUNT($H$9:Q$9)+$I$4))),TREND($D78:$E78,$D$9:$E$9,Q$9))</f>
        <v>7.3525086759602368E-4</v>
      </c>
      <c r="R78" s="13">
        <f>IF($F78="s-curve",$D78+($E78-$D78)*$I$2/(1+EXP($I$3*(COUNT($H$9:R$9)+$I$4))),TREND($D78:$E78,$D$9:$E$9,R$9))</f>
        <v>7.3525086759602368E-4</v>
      </c>
      <c r="S78" s="13">
        <f>IF($F78="s-curve",$D78+($E78-$D78)*$I$2/(1+EXP($I$3*(COUNT($H$9:S$9)+$I$4))),TREND($D78:$E78,$D$9:$E$9,S$9))</f>
        <v>7.3525086759602368E-4</v>
      </c>
      <c r="T78" s="13">
        <f>IF($F78="s-curve",$D78+($E78-$D78)*$I$2/(1+EXP($I$3*(COUNT($H$9:T$9)+$I$4))),TREND($D78:$E78,$D$9:$E$9,T$9))</f>
        <v>7.3525086759602368E-4</v>
      </c>
      <c r="U78" s="13">
        <f>IF($F78="s-curve",$D78+($E78-$D78)*$I$2/(1+EXP($I$3*(COUNT($H$9:U$9)+$I$4))),TREND($D78:$E78,$D$9:$E$9,U$9))</f>
        <v>7.3525086759602368E-4</v>
      </c>
      <c r="V78" s="13">
        <f>IF($F78="s-curve",$D78+($E78-$D78)*$I$2/(1+EXP($I$3*(COUNT($H$9:V$9)+$I$4))),TREND($D78:$E78,$D$9:$E$9,V$9))</f>
        <v>7.3525086759602368E-4</v>
      </c>
      <c r="W78" s="13">
        <f>IF($F78="s-curve",$D78+($E78-$D78)*$I$2/(1+EXP($I$3*(COUNT($H$9:W$9)+$I$4))),TREND($D78:$E78,$D$9:$E$9,W$9))</f>
        <v>7.3525086759602368E-4</v>
      </c>
      <c r="X78" s="13">
        <f>IF($F78="s-curve",$D78+($E78-$D78)*$I$2/(1+EXP($I$3*(COUNT($H$9:X$9)+$I$4))),TREND($D78:$E78,$D$9:$E$9,X$9))</f>
        <v>7.3525086759602368E-4</v>
      </c>
      <c r="Y78" s="13">
        <f>IF($F78="s-curve",$D78+($E78-$D78)*$I$2/(1+EXP($I$3*(COUNT($H$9:Y$9)+$I$4))),TREND($D78:$E78,$D$9:$E$9,Y$9))</f>
        <v>7.3525086759602368E-4</v>
      </c>
      <c r="Z78" s="13">
        <f>IF($F78="s-curve",$D78+($E78-$D78)*$I$2/(1+EXP($I$3*(COUNT($H$9:Z$9)+$I$4))),TREND($D78:$E78,$D$9:$E$9,Z$9))</f>
        <v>7.3525086759602368E-4</v>
      </c>
      <c r="AA78" s="13">
        <f>IF($F78="s-curve",$D78+($E78-$D78)*$I$2/(1+EXP($I$3*(COUNT($H$9:AA$9)+$I$4))),TREND($D78:$E78,$D$9:$E$9,AA$9))</f>
        <v>7.3525086759602368E-4</v>
      </c>
      <c r="AB78" s="13">
        <f>IF($F78="s-curve",$D78+($E78-$D78)*$I$2/(1+EXP($I$3*(COUNT($H$9:AB$9)+$I$4))),TREND($D78:$E78,$D$9:$E$9,AB$9))</f>
        <v>7.3525086759602368E-4</v>
      </c>
      <c r="AC78" s="13">
        <f>IF($F78="s-curve",$D78+($E78-$D78)*$I$2/(1+EXP($I$3*(COUNT($H$9:AC$9)+$I$4))),TREND($D78:$E78,$D$9:$E$9,AC$9))</f>
        <v>7.3525086759602368E-4</v>
      </c>
      <c r="AD78" s="13">
        <f>IF($F78="s-curve",$D78+($E78-$D78)*$I$2/(1+EXP($I$3*(COUNT($H$9:AD$9)+$I$4))),TREND($D78:$E78,$D$9:$E$9,AD$9))</f>
        <v>7.3525086759602368E-4</v>
      </c>
      <c r="AE78" s="13">
        <f>IF($F78="s-curve",$D78+($E78-$D78)*$I$2/(1+EXP($I$3*(COUNT($H$9:AE$9)+$I$4))),TREND($D78:$E78,$D$9:$E$9,AE$9))</f>
        <v>7.3525086759602368E-4</v>
      </c>
      <c r="AF78" s="13">
        <f>IF($F78="s-curve",$D78+($E78-$D78)*$I$2/(1+EXP($I$3*(COUNT($H$9:AF$9)+$I$4))),TREND($D78:$E78,$D$9:$E$9,AF$9))</f>
        <v>7.3525086759602368E-4</v>
      </c>
      <c r="AG78" s="13">
        <f>IF($F78="s-curve",$D78+($E78-$D78)*$I$2/(1+EXP($I$3*(COUNT($H$9:AG$9)+$I$4))),TREND($D78:$E78,$D$9:$E$9,AG$9))</f>
        <v>7.3525086759602368E-4</v>
      </c>
      <c r="AH78" s="13">
        <f>IF($F78="s-curve",$D78+($E78-$D78)*$I$2/(1+EXP($I$3*(COUNT($H$9:AH$9)+$I$4))),TREND($D78:$E78,$D$9:$E$9,AH$9))</f>
        <v>7.3525086759602368E-4</v>
      </c>
      <c r="AI78" s="13">
        <f>IF($F78="s-curve",$D78+($E78-$D78)*$I$2/(1+EXP($I$3*(COUNT($H$9:AI$9)+$I$4))),TREND($D78:$E78,$D$9:$E$9,AI$9))</f>
        <v>7.3525086759602368E-4</v>
      </c>
      <c r="AJ78" s="13">
        <f>IF($F78="s-curve",$D78+($E78-$D78)*$I$2/(1+EXP($I$3*(COUNT($H$9:AJ$9)+$I$4))),TREND($D78:$E78,$D$9:$E$9,AJ$9))</f>
        <v>7.3525086759602368E-4</v>
      </c>
      <c r="AK78" s="13">
        <f>IF($F78="s-curve",$D78+($E78-$D78)*$I$2/(1+EXP($I$3*(COUNT($H$9:AK$9)+$I$4))),TREND($D78:$E78,$D$9:$E$9,AK$9))</f>
        <v>7.3525086759602368E-4</v>
      </c>
      <c r="AL78" s="13">
        <f>IF($F78="s-curve",$D78+($E78-$D78)*$I$2/(1+EXP($I$3*(COUNT($H$9:AL$9)+$I$4))),TREND($D78:$E78,$D$9:$E$9,AL$9))</f>
        <v>7.3525086759602368E-4</v>
      </c>
    </row>
    <row r="79" spans="1:38" ht="15" thickBot="1" x14ac:dyDescent="0.4">
      <c r="A79" s="26"/>
      <c r="B79" s="26"/>
      <c r="C79" s="26" t="s">
        <v>79</v>
      </c>
      <c r="D79" s="26">
        <f>MIN(1.25*INDEX('SYVbT-freight'!$B$6:$H$6,MATCH(Data!$C16,'SYVbT-passenger'!$B$1:$H$1,0))/SUM('SYVbT-freight'!$B$6:$H$6),1)</f>
        <v>0</v>
      </c>
      <c r="E79" s="26">
        <f t="shared" si="10"/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4">
        <f t="shared" si="9"/>
        <v>0</v>
      </c>
      <c r="I79" s="13">
        <f>IF($F79="s-curve",$D79+($E79-$D79)*$I$2/(1+EXP($I$3*(COUNT($H$9:I$9)+$I$4))),TREND($D79:$E79,$D$9:$E$9,I$9))</f>
        <v>0</v>
      </c>
      <c r="J79" s="13">
        <f>IF($F79="s-curve",$D79+($E79-$D79)*$I$2/(1+EXP($I$3*(COUNT($H$9:J$9)+$I$4))),TREND($D79:$E79,$D$9:$E$9,J$9))</f>
        <v>0</v>
      </c>
      <c r="K79" s="13">
        <f>IF($F79="s-curve",$D79+($E79-$D79)*$I$2/(1+EXP($I$3*(COUNT($H$9:K$9)+$I$4))),TREND($D79:$E79,$D$9:$E$9,K$9))</f>
        <v>0</v>
      </c>
      <c r="L79" s="13">
        <f>IF($F79="s-curve",$D79+($E79-$D79)*$I$2/(1+EXP($I$3*(COUNT($H$9:L$9)+$I$4))),TREND($D79:$E79,$D$9:$E$9,L$9))</f>
        <v>0</v>
      </c>
      <c r="M79" s="13">
        <f>IF($F79="s-curve",$D79+($E79-$D79)*$I$2/(1+EXP($I$3*(COUNT($H$9:M$9)+$I$4))),TREND($D79:$E79,$D$9:$E$9,M$9))</f>
        <v>0</v>
      </c>
      <c r="N79" s="13">
        <f>IF($F79="s-curve",$D79+($E79-$D79)*$I$2/(1+EXP($I$3*(COUNT($H$9:N$9)+$I$4))),TREND($D79:$E79,$D$9:$E$9,N$9))</f>
        <v>0</v>
      </c>
      <c r="O79" s="13">
        <f>IF($F79="s-curve",$D79+($E79-$D79)*$I$2/(1+EXP($I$3*(COUNT($H$9:O$9)+$I$4))),TREND($D79:$E79,$D$9:$E$9,O$9))</f>
        <v>0</v>
      </c>
      <c r="P79" s="13">
        <f>IF($F79="s-curve",$D79+($E79-$D79)*$I$2/(1+EXP($I$3*(COUNT($H$9:P$9)+$I$4))),TREND($D79:$E79,$D$9:$E$9,P$9))</f>
        <v>0</v>
      </c>
      <c r="Q79" s="13">
        <f>IF($F79="s-curve",$D79+($E79-$D79)*$I$2/(1+EXP($I$3*(COUNT($H$9:Q$9)+$I$4))),TREND($D79:$E79,$D$9:$E$9,Q$9))</f>
        <v>0</v>
      </c>
      <c r="R79" s="13">
        <f>IF($F79="s-curve",$D79+($E79-$D79)*$I$2/(1+EXP($I$3*(COUNT($H$9:R$9)+$I$4))),TREND($D79:$E79,$D$9:$E$9,R$9))</f>
        <v>0</v>
      </c>
      <c r="S79" s="13">
        <f>IF($F79="s-curve",$D79+($E79-$D79)*$I$2/(1+EXP($I$3*(COUNT($H$9:S$9)+$I$4))),TREND($D79:$E79,$D$9:$E$9,S$9))</f>
        <v>0</v>
      </c>
      <c r="T79" s="13">
        <f>IF($F79="s-curve",$D79+($E79-$D79)*$I$2/(1+EXP($I$3*(COUNT($H$9:T$9)+$I$4))),TREND($D79:$E79,$D$9:$E$9,T$9))</f>
        <v>0</v>
      </c>
      <c r="U79" s="13">
        <f>IF($F79="s-curve",$D79+($E79-$D79)*$I$2/(1+EXP($I$3*(COUNT($H$9:U$9)+$I$4))),TREND($D79:$E79,$D$9:$E$9,U$9))</f>
        <v>0</v>
      </c>
      <c r="V79" s="13">
        <f>IF($F79="s-curve",$D79+($E79-$D79)*$I$2/(1+EXP($I$3*(COUNT($H$9:V$9)+$I$4))),TREND($D79:$E79,$D$9:$E$9,V$9))</f>
        <v>0</v>
      </c>
      <c r="W79" s="13">
        <f>IF($F79="s-curve",$D79+($E79-$D79)*$I$2/(1+EXP($I$3*(COUNT($H$9:W$9)+$I$4))),TREND($D79:$E79,$D$9:$E$9,W$9))</f>
        <v>0</v>
      </c>
      <c r="X79" s="13">
        <f>IF($F79="s-curve",$D79+($E79-$D79)*$I$2/(1+EXP($I$3*(COUNT($H$9:X$9)+$I$4))),TREND($D79:$E79,$D$9:$E$9,X$9))</f>
        <v>0</v>
      </c>
      <c r="Y79" s="13">
        <f>IF($F79="s-curve",$D79+($E79-$D79)*$I$2/(1+EXP($I$3*(COUNT($H$9:Y$9)+$I$4))),TREND($D79:$E79,$D$9:$E$9,Y$9))</f>
        <v>0</v>
      </c>
      <c r="Z79" s="13">
        <f>IF($F79="s-curve",$D79+($E79-$D79)*$I$2/(1+EXP($I$3*(COUNT($H$9:Z$9)+$I$4))),TREND($D79:$E79,$D$9:$E$9,Z$9))</f>
        <v>0</v>
      </c>
      <c r="AA79" s="13">
        <f>IF($F79="s-curve",$D79+($E79-$D79)*$I$2/(1+EXP($I$3*(COUNT($H$9:AA$9)+$I$4))),TREND($D79:$E79,$D$9:$E$9,AA$9))</f>
        <v>0</v>
      </c>
      <c r="AB79" s="13">
        <f>IF($F79="s-curve",$D79+($E79-$D79)*$I$2/(1+EXP($I$3*(COUNT($H$9:AB$9)+$I$4))),TREND($D79:$E79,$D$9:$E$9,AB$9))</f>
        <v>0</v>
      </c>
      <c r="AC79" s="13">
        <f>IF($F79="s-curve",$D79+($E79-$D79)*$I$2/(1+EXP($I$3*(COUNT($H$9:AC$9)+$I$4))),TREND($D79:$E79,$D$9:$E$9,AC$9))</f>
        <v>0</v>
      </c>
      <c r="AD79" s="13">
        <f>IF($F79="s-curve",$D79+($E79-$D79)*$I$2/(1+EXP($I$3*(COUNT($H$9:AD$9)+$I$4))),TREND($D79:$E79,$D$9:$E$9,AD$9))</f>
        <v>0</v>
      </c>
      <c r="AE79" s="13">
        <f>IF($F79="s-curve",$D79+($E79-$D79)*$I$2/(1+EXP($I$3*(COUNT($H$9:AE$9)+$I$4))),TREND($D79:$E79,$D$9:$E$9,AE$9))</f>
        <v>0</v>
      </c>
      <c r="AF79" s="13">
        <f>IF($F79="s-curve",$D79+($E79-$D79)*$I$2/(1+EXP($I$3*(COUNT($H$9:AF$9)+$I$4))),TREND($D79:$E79,$D$9:$E$9,AF$9))</f>
        <v>0</v>
      </c>
      <c r="AG79" s="13">
        <f>IF($F79="s-curve",$D79+($E79-$D79)*$I$2/(1+EXP($I$3*(COUNT($H$9:AG$9)+$I$4))),TREND($D79:$E79,$D$9:$E$9,AG$9))</f>
        <v>0</v>
      </c>
      <c r="AH79" s="13">
        <f>IF($F79="s-curve",$D79+($E79-$D79)*$I$2/(1+EXP($I$3*(COUNT($H$9:AH$9)+$I$4))),TREND($D79:$E79,$D$9:$E$9,AH$9))</f>
        <v>0</v>
      </c>
      <c r="AI79" s="13">
        <f>IF($F79="s-curve",$D79+($E79-$D79)*$I$2/(1+EXP($I$3*(COUNT($H$9:AI$9)+$I$4))),TREND($D79:$E79,$D$9:$E$9,AI$9))</f>
        <v>0</v>
      </c>
      <c r="AJ79" s="13">
        <f>IF($F79="s-curve",$D79+($E79-$D79)*$I$2/(1+EXP($I$3*(COUNT($H$9:AJ$9)+$I$4))),TREND($D79:$E79,$D$9:$E$9,AJ$9))</f>
        <v>0</v>
      </c>
      <c r="AK79" s="13">
        <f>IF($F79="s-curve",$D79+($E79-$D79)*$I$2/(1+EXP($I$3*(COUNT($H$9:AK$9)+$I$4))),TREND($D79:$E79,$D$9:$E$9,AK$9))</f>
        <v>0</v>
      </c>
      <c r="AL79" s="13">
        <f>IF($F79="s-curve",$D79+($E79-$D79)*$I$2/(1+EXP($I$3*(COUNT($H$9:AL$9)+$I$4))),TREND($D79:$E79,$D$9:$E$9,AL$9))</f>
        <v>0</v>
      </c>
    </row>
    <row r="80" spans="1:38" x14ac:dyDescent="0.35">
      <c r="A80" s="13" t="s">
        <v>17</v>
      </c>
      <c r="B80" s="13" t="s">
        <v>19</v>
      </c>
      <c r="C80" s="13" t="s">
        <v>1</v>
      </c>
      <c r="D80" s="24">
        <v>0</v>
      </c>
      <c r="E80" s="27">
        <v>1</v>
      </c>
      <c r="F80" s="7" t="str">
        <f>IF(D80=E80,"n/a",IF(OR(C80="battery electric vehicle",C80="natural gas vehicle",C80="plugin hybrid vehicle"),"s-curve","linear"))</f>
        <v>s-curve</v>
      </c>
      <c r="H80" s="24">
        <f t="shared" si="9"/>
        <v>0</v>
      </c>
      <c r="I80" s="13">
        <f>IF($F80="s-curve",$D80+($E80-$D80)*$I$2/(1+EXP($I$3*(COUNT($H$9:I$9)+$I$4))),TREND($D80:$E80,$D$9:$E$9,I$9))</f>
        <v>1.4774031693273055E-2</v>
      </c>
      <c r="J80" s="13">
        <f>IF($F80="s-curve",$D80+($E80-$D80)*$I$2/(1+EXP($I$3*(COUNT($H$9:J$9)+$I$4))),TREND($D80:$E80,$D$9:$E$9,J$9))</f>
        <v>1.984030573407751E-2</v>
      </c>
      <c r="K80" s="13">
        <f>IF($F80="s-curve",$D80+($E80-$D80)*$I$2/(1+EXP($I$3*(COUNT($H$9:K$9)+$I$4))),TREND($D80:$E80,$D$9:$E$9,K$9))</f>
        <v>2.6596993576865863E-2</v>
      </c>
      <c r="L80" s="13">
        <f>IF($F80="s-curve",$D80+($E80-$D80)*$I$2/(1+EXP($I$3*(COUNT($H$9:L$9)+$I$4))),TREND($D80:$E80,$D$9:$E$9,L$9))</f>
        <v>3.5571189272636181E-2</v>
      </c>
      <c r="M80" s="13">
        <f>IF($F80="s-curve",$D80+($E80-$D80)*$I$2/(1+EXP($I$3*(COUNT($H$9:M$9)+$I$4))),TREND($D80:$E80,$D$9:$E$9,M$9))</f>
        <v>4.7425873177566781E-2</v>
      </c>
      <c r="N80" s="13">
        <f>IF($F80="s-curve",$D80+($E80-$D80)*$I$2/(1+EXP($I$3*(COUNT($H$9:N$9)+$I$4))),TREND($D80:$E80,$D$9:$E$9,N$9))</f>
        <v>6.2973356056996513E-2</v>
      </c>
      <c r="O80" s="13">
        <f>IF($F80="s-curve",$D80+($E80-$D80)*$I$2/(1+EXP($I$3*(COUNT($H$9:O$9)+$I$4))),TREND($D80:$E80,$D$9:$E$9,O$9))</f>
        <v>8.317269649392238E-2</v>
      </c>
      <c r="P80" s="13">
        <f>IF($F80="s-curve",$D80+($E80-$D80)*$I$2/(1+EXP($I$3*(COUNT($H$9:P$9)+$I$4))),TREND($D80:$E80,$D$9:$E$9,P$9))</f>
        <v>0.10909682119561293</v>
      </c>
      <c r="Q80" s="13">
        <f>IF($F80="s-curve",$D80+($E80-$D80)*$I$2/(1+EXP($I$3*(COUNT($H$9:Q$9)+$I$4))),TREND($D80:$E80,$D$9:$E$9,Q$9))</f>
        <v>0.14185106490048782</v>
      </c>
      <c r="R80" s="13">
        <f>IF($F80="s-curve",$D80+($E80-$D80)*$I$2/(1+EXP($I$3*(COUNT($H$9:R$9)+$I$4))),TREND($D80:$E80,$D$9:$E$9,R$9))</f>
        <v>0.18242552380635635</v>
      </c>
      <c r="S80" s="13">
        <f>IF($F80="s-curve",$D80+($E80-$D80)*$I$2/(1+EXP($I$3*(COUNT($H$9:S$9)+$I$4))),TREND($D80:$E80,$D$9:$E$9,S$9))</f>
        <v>0.23147521650098238</v>
      </c>
      <c r="T80" s="13">
        <f>IF($F80="s-curve",$D80+($E80-$D80)*$I$2/(1+EXP($I$3*(COUNT($H$9:T$9)+$I$4))),TREND($D80:$E80,$D$9:$E$9,T$9))</f>
        <v>0.28905049737499605</v>
      </c>
      <c r="U80" s="13">
        <f>IF($F80="s-curve",$D80+($E80-$D80)*$I$2/(1+EXP($I$3*(COUNT($H$9:U$9)+$I$4))),TREND($D80:$E80,$D$9:$E$9,U$9))</f>
        <v>0.35434369377420455</v>
      </c>
      <c r="V80" s="13">
        <f>IF($F80="s-curve",$D80+($E80-$D80)*$I$2/(1+EXP($I$3*(COUNT($H$9:V$9)+$I$4))),TREND($D80:$E80,$D$9:$E$9,V$9))</f>
        <v>0.42555748318834102</v>
      </c>
      <c r="W80" s="13">
        <f>IF($F80="s-curve",$D80+($E80-$D80)*$I$2/(1+EXP($I$3*(COUNT($H$9:W$9)+$I$4))),TREND($D80:$E80,$D$9:$E$9,W$9))</f>
        <v>0.5</v>
      </c>
      <c r="X80" s="13">
        <f>IF($F80="s-curve",$D80+($E80-$D80)*$I$2/(1+EXP($I$3*(COUNT($H$9:X$9)+$I$4))),TREND($D80:$E80,$D$9:$E$9,X$9))</f>
        <v>0.57444251681165903</v>
      </c>
      <c r="Y80" s="13">
        <f>IF($F80="s-curve",$D80+($E80-$D80)*$I$2/(1+EXP($I$3*(COUNT($H$9:Y$9)+$I$4))),TREND($D80:$E80,$D$9:$E$9,Y$9))</f>
        <v>0.6456563062257954</v>
      </c>
      <c r="Z80" s="13">
        <f>IF($F80="s-curve",$D80+($E80-$D80)*$I$2/(1+EXP($I$3*(COUNT($H$9:Z$9)+$I$4))),TREND($D80:$E80,$D$9:$E$9,Z$9))</f>
        <v>0.71094950262500389</v>
      </c>
      <c r="AA80" s="13">
        <f>IF($F80="s-curve",$D80+($E80-$D80)*$I$2/(1+EXP($I$3*(COUNT($H$9:AA$9)+$I$4))),TREND($D80:$E80,$D$9:$E$9,AA$9))</f>
        <v>0.76852478349901754</v>
      </c>
      <c r="AB80" s="13">
        <f>IF($F80="s-curve",$D80+($E80-$D80)*$I$2/(1+EXP($I$3*(COUNT($H$9:AB$9)+$I$4))),TREND($D80:$E80,$D$9:$E$9,AB$9))</f>
        <v>0.81757447619364365</v>
      </c>
      <c r="AC80" s="13">
        <f>IF($F80="s-curve",$D80+($E80-$D80)*$I$2/(1+EXP($I$3*(COUNT($H$9:AC$9)+$I$4))),TREND($D80:$E80,$D$9:$E$9,AC$9))</f>
        <v>0.85814893509951229</v>
      </c>
      <c r="AD80" s="13">
        <f>IF($F80="s-curve",$D80+($E80-$D80)*$I$2/(1+EXP($I$3*(COUNT($H$9:AD$9)+$I$4))),TREND($D80:$E80,$D$9:$E$9,AD$9))</f>
        <v>0.89090317880438707</v>
      </c>
      <c r="AE80" s="13">
        <f>IF($F80="s-curve",$D80+($E80-$D80)*$I$2/(1+EXP($I$3*(COUNT($H$9:AE$9)+$I$4))),TREND($D80:$E80,$D$9:$E$9,AE$9))</f>
        <v>0.91682730350607766</v>
      </c>
      <c r="AF80" s="13">
        <f>IF($F80="s-curve",$D80+($E80-$D80)*$I$2/(1+EXP($I$3*(COUNT($H$9:AF$9)+$I$4))),TREND($D80:$E80,$D$9:$E$9,AF$9))</f>
        <v>0.9370266439430035</v>
      </c>
      <c r="AG80" s="13">
        <f>IF($F80="s-curve",$D80+($E80-$D80)*$I$2/(1+EXP($I$3*(COUNT($H$9:AG$9)+$I$4))),TREND($D80:$E80,$D$9:$E$9,AG$9))</f>
        <v>0.95257412682243336</v>
      </c>
      <c r="AH80" s="13">
        <f>IF($F80="s-curve",$D80+($E80-$D80)*$I$2/(1+EXP($I$3*(COUNT($H$9:AH$9)+$I$4))),TREND($D80:$E80,$D$9:$E$9,AH$9))</f>
        <v>0.96442881072736386</v>
      </c>
      <c r="AI80" s="13">
        <f>IF($F80="s-curve",$D80+($E80-$D80)*$I$2/(1+EXP($I$3*(COUNT($H$9:AI$9)+$I$4))),TREND($D80:$E80,$D$9:$E$9,AI$9))</f>
        <v>0.97340300642313404</v>
      </c>
      <c r="AJ80" s="13">
        <f>IF($F80="s-curve",$D80+($E80-$D80)*$I$2/(1+EXP($I$3*(COUNT($H$9:AJ$9)+$I$4))),TREND($D80:$E80,$D$9:$E$9,AJ$9))</f>
        <v>0.98015969426592253</v>
      </c>
      <c r="AK80" s="13">
        <f>IF($F80="s-curve",$D80+($E80-$D80)*$I$2/(1+EXP($I$3*(COUNT($H$9:AK$9)+$I$4))),TREND($D80:$E80,$D$9:$E$9,AK$9))</f>
        <v>0.98522596830672693</v>
      </c>
      <c r="AL80" s="13">
        <f>IF($F80="s-curve",$D80+($E80-$D80)*$I$2/(1+EXP($I$3*(COUNT($H$9:AL$9)+$I$4))),TREND($D80:$E80,$D$9:$E$9,AL$9))</f>
        <v>0.98901305736940681</v>
      </c>
    </row>
    <row r="81" spans="1:38" x14ac:dyDescent="0.35">
      <c r="C81" s="13" t="s">
        <v>2</v>
      </c>
      <c r="D81" s="24">
        <f>'SYVbT-passenger'!C7/SUM('SYVbT-passenger'!7:7)</f>
        <v>0</v>
      </c>
      <c r="E81" s="28">
        <v>0</v>
      </c>
      <c r="F81" s="7" t="str">
        <f>IF(D81=E81,"n/a",IF(OR(C81="battery electric vehicle",C81="natural gas vehicle",C81="plugin hybrid vehicle"),"s-curve","linear"))</f>
        <v>n/a</v>
      </c>
      <c r="H81" s="24">
        <f t="shared" si="9"/>
        <v>0</v>
      </c>
      <c r="I81" s="13">
        <f>IF($F81="s-curve",$D81+($E81-$D81)*$I$2/(1+EXP($I$3*(COUNT($H$9:I$9)+$I$4))),TREND($D81:$E81,$D$9:$E$9,I$9))</f>
        <v>0</v>
      </c>
      <c r="J81" s="13">
        <f>IF($F81="s-curve",$D81+($E81-$D81)*$I$2/(1+EXP($I$3*(COUNT($H$9:J$9)+$I$4))),TREND($D81:$E81,$D$9:$E$9,J$9))</f>
        <v>0</v>
      </c>
      <c r="K81" s="13">
        <f>IF($F81="s-curve",$D81+($E81-$D81)*$I$2/(1+EXP($I$3*(COUNT($H$9:K$9)+$I$4))),TREND($D81:$E81,$D$9:$E$9,K$9))</f>
        <v>0</v>
      </c>
      <c r="L81" s="13">
        <f>IF($F81="s-curve",$D81+($E81-$D81)*$I$2/(1+EXP($I$3*(COUNT($H$9:L$9)+$I$4))),TREND($D81:$E81,$D$9:$E$9,L$9))</f>
        <v>0</v>
      </c>
      <c r="M81" s="13">
        <f>IF($F81="s-curve",$D81+($E81-$D81)*$I$2/(1+EXP($I$3*(COUNT($H$9:M$9)+$I$4))),TREND($D81:$E81,$D$9:$E$9,M$9))</f>
        <v>0</v>
      </c>
      <c r="N81" s="13">
        <f>IF($F81="s-curve",$D81+($E81-$D81)*$I$2/(1+EXP($I$3*(COUNT($H$9:N$9)+$I$4))),TREND($D81:$E81,$D$9:$E$9,N$9))</f>
        <v>0</v>
      </c>
      <c r="O81" s="13">
        <f>IF($F81="s-curve",$D81+($E81-$D81)*$I$2/(1+EXP($I$3*(COUNT($H$9:O$9)+$I$4))),TREND($D81:$E81,$D$9:$E$9,O$9))</f>
        <v>0</v>
      </c>
      <c r="P81" s="13">
        <f>IF($F81="s-curve",$D81+($E81-$D81)*$I$2/(1+EXP($I$3*(COUNT($H$9:P$9)+$I$4))),TREND($D81:$E81,$D$9:$E$9,P$9))</f>
        <v>0</v>
      </c>
      <c r="Q81" s="13">
        <f>IF($F81="s-curve",$D81+($E81-$D81)*$I$2/(1+EXP($I$3*(COUNT($H$9:Q$9)+$I$4))),TREND($D81:$E81,$D$9:$E$9,Q$9))</f>
        <v>0</v>
      </c>
      <c r="R81" s="13">
        <f>IF($F81="s-curve",$D81+($E81-$D81)*$I$2/(1+EXP($I$3*(COUNT($H$9:R$9)+$I$4))),TREND($D81:$E81,$D$9:$E$9,R$9))</f>
        <v>0</v>
      </c>
      <c r="S81" s="13">
        <f>IF($F81="s-curve",$D81+($E81-$D81)*$I$2/(1+EXP($I$3*(COUNT($H$9:S$9)+$I$4))),TREND($D81:$E81,$D$9:$E$9,S$9))</f>
        <v>0</v>
      </c>
      <c r="T81" s="13">
        <f>IF($F81="s-curve",$D81+($E81-$D81)*$I$2/(1+EXP($I$3*(COUNT($H$9:T$9)+$I$4))),TREND($D81:$E81,$D$9:$E$9,T$9))</f>
        <v>0</v>
      </c>
      <c r="U81" s="13">
        <f>IF($F81="s-curve",$D81+($E81-$D81)*$I$2/(1+EXP($I$3*(COUNT($H$9:U$9)+$I$4))),TREND($D81:$E81,$D$9:$E$9,U$9))</f>
        <v>0</v>
      </c>
      <c r="V81" s="13">
        <f>IF($F81="s-curve",$D81+($E81-$D81)*$I$2/(1+EXP($I$3*(COUNT($H$9:V$9)+$I$4))),TREND($D81:$E81,$D$9:$E$9,V$9))</f>
        <v>0</v>
      </c>
      <c r="W81" s="13">
        <f>IF($F81="s-curve",$D81+($E81-$D81)*$I$2/(1+EXP($I$3*(COUNT($H$9:W$9)+$I$4))),TREND($D81:$E81,$D$9:$E$9,W$9))</f>
        <v>0</v>
      </c>
      <c r="X81" s="13">
        <f>IF($F81="s-curve",$D81+($E81-$D81)*$I$2/(1+EXP($I$3*(COUNT($H$9:X$9)+$I$4))),TREND($D81:$E81,$D$9:$E$9,X$9))</f>
        <v>0</v>
      </c>
      <c r="Y81" s="13">
        <f>IF($F81="s-curve",$D81+($E81-$D81)*$I$2/(1+EXP($I$3*(COUNT($H$9:Y$9)+$I$4))),TREND($D81:$E81,$D$9:$E$9,Y$9))</f>
        <v>0</v>
      </c>
      <c r="Z81" s="13">
        <f>IF($F81="s-curve",$D81+($E81-$D81)*$I$2/(1+EXP($I$3*(COUNT($H$9:Z$9)+$I$4))),TREND($D81:$E81,$D$9:$E$9,Z$9))</f>
        <v>0</v>
      </c>
      <c r="AA81" s="13">
        <f>IF($F81="s-curve",$D81+($E81-$D81)*$I$2/(1+EXP($I$3*(COUNT($H$9:AA$9)+$I$4))),TREND($D81:$E81,$D$9:$E$9,AA$9))</f>
        <v>0</v>
      </c>
      <c r="AB81" s="13">
        <f>IF($F81="s-curve",$D81+($E81-$D81)*$I$2/(1+EXP($I$3*(COUNT($H$9:AB$9)+$I$4))),TREND($D81:$E81,$D$9:$E$9,AB$9))</f>
        <v>0</v>
      </c>
      <c r="AC81" s="13">
        <f>IF($F81="s-curve",$D81+($E81-$D81)*$I$2/(1+EXP($I$3*(COUNT($H$9:AC$9)+$I$4))),TREND($D81:$E81,$D$9:$E$9,AC$9))</f>
        <v>0</v>
      </c>
      <c r="AD81" s="13">
        <f>IF($F81="s-curve",$D81+($E81-$D81)*$I$2/(1+EXP($I$3*(COUNT($H$9:AD$9)+$I$4))),TREND($D81:$E81,$D$9:$E$9,AD$9))</f>
        <v>0</v>
      </c>
      <c r="AE81" s="13">
        <f>IF($F81="s-curve",$D81+($E81-$D81)*$I$2/(1+EXP($I$3*(COUNT($H$9:AE$9)+$I$4))),TREND($D81:$E81,$D$9:$E$9,AE$9))</f>
        <v>0</v>
      </c>
      <c r="AF81" s="13">
        <f>IF($F81="s-curve",$D81+($E81-$D81)*$I$2/(1+EXP($I$3*(COUNT($H$9:AF$9)+$I$4))),TREND($D81:$E81,$D$9:$E$9,AF$9))</f>
        <v>0</v>
      </c>
      <c r="AG81" s="13">
        <f>IF($F81="s-curve",$D81+($E81-$D81)*$I$2/(1+EXP($I$3*(COUNT($H$9:AG$9)+$I$4))),TREND($D81:$E81,$D$9:$E$9,AG$9))</f>
        <v>0</v>
      </c>
      <c r="AH81" s="13">
        <f>IF($F81="s-curve",$D81+($E81-$D81)*$I$2/(1+EXP($I$3*(COUNT($H$9:AH$9)+$I$4))),TREND($D81:$E81,$D$9:$E$9,AH$9))</f>
        <v>0</v>
      </c>
      <c r="AI81" s="13">
        <f>IF($F81="s-curve",$D81+($E81-$D81)*$I$2/(1+EXP($I$3*(COUNT($H$9:AI$9)+$I$4))),TREND($D81:$E81,$D$9:$E$9,AI$9))</f>
        <v>0</v>
      </c>
      <c r="AJ81" s="13">
        <f>IF($F81="s-curve",$D81+($E81-$D81)*$I$2/(1+EXP($I$3*(COUNT($H$9:AJ$9)+$I$4))),TREND($D81:$E81,$D$9:$E$9,AJ$9))</f>
        <v>0</v>
      </c>
      <c r="AK81" s="13">
        <f>IF($F81="s-curve",$D81+($E81-$D81)*$I$2/(1+EXP($I$3*(COUNT($H$9:AK$9)+$I$4))),TREND($D81:$E81,$D$9:$E$9,AK$9))</f>
        <v>0</v>
      </c>
      <c r="AL81" s="13">
        <f>IF($F81="s-curve",$D81+($E81-$D81)*$I$2/(1+EXP($I$3*(COUNT($H$9:AL$9)+$I$4))),TREND($D81:$E81,$D$9:$E$9,AL$9))</f>
        <v>0</v>
      </c>
    </row>
    <row r="82" spans="1:38" x14ac:dyDescent="0.35">
      <c r="C82" s="13" t="s">
        <v>3</v>
      </c>
      <c r="D82" s="13">
        <v>3</v>
      </c>
      <c r="E82" s="28">
        <v>3</v>
      </c>
      <c r="F82" s="7" t="str">
        <f>IF(D82=E82,"n/a",IF(OR(C82="battery electric vehicle",C82="natural gas vehicle",C82="plugin hybrid vehicle"),"s-curve","linear"))</f>
        <v>n/a</v>
      </c>
      <c r="H82" s="24">
        <f t="shared" si="9"/>
        <v>3</v>
      </c>
      <c r="I82" s="13">
        <f>IF($F82="s-curve",$D82+($E82-$D82)*$I$2/(1+EXP($I$3*(COUNT($H$9:I$9)+$I$4))),TREND($D82:$E82,$D$9:$E$9,I$9))</f>
        <v>3</v>
      </c>
      <c r="J82" s="13">
        <f>IF($F82="s-curve",$D82+($E82-$D82)*$I$2/(1+EXP($I$3*(COUNT($H$9:J$9)+$I$4))),TREND($D82:$E82,$D$9:$E$9,J$9))</f>
        <v>3</v>
      </c>
      <c r="K82" s="13">
        <f>IF($F82="s-curve",$D82+($E82-$D82)*$I$2/(1+EXP($I$3*(COUNT($H$9:K$9)+$I$4))),TREND($D82:$E82,$D$9:$E$9,K$9))</f>
        <v>3</v>
      </c>
      <c r="L82" s="13">
        <f>IF($F82="s-curve",$D82+($E82-$D82)*$I$2/(1+EXP($I$3*(COUNT($H$9:L$9)+$I$4))),TREND($D82:$E82,$D$9:$E$9,L$9))</f>
        <v>3</v>
      </c>
      <c r="M82" s="13">
        <f>IF($F82="s-curve",$D82+($E82-$D82)*$I$2/(1+EXP($I$3*(COUNT($H$9:M$9)+$I$4))),TREND($D82:$E82,$D$9:$E$9,M$9))</f>
        <v>3</v>
      </c>
      <c r="N82" s="13">
        <f>IF($F82="s-curve",$D82+($E82-$D82)*$I$2/(1+EXP($I$3*(COUNT($H$9:N$9)+$I$4))),TREND($D82:$E82,$D$9:$E$9,N$9))</f>
        <v>3</v>
      </c>
      <c r="O82" s="13">
        <f>IF($F82="s-curve",$D82+($E82-$D82)*$I$2/(1+EXP($I$3*(COUNT($H$9:O$9)+$I$4))),TREND($D82:$E82,$D$9:$E$9,O$9))</f>
        <v>3</v>
      </c>
      <c r="P82" s="13">
        <f>IF($F82="s-curve",$D82+($E82-$D82)*$I$2/(1+EXP($I$3*(COUNT($H$9:P$9)+$I$4))),TREND($D82:$E82,$D$9:$E$9,P$9))</f>
        <v>3</v>
      </c>
      <c r="Q82" s="13">
        <f>IF($F82="s-curve",$D82+($E82-$D82)*$I$2/(1+EXP($I$3*(COUNT($H$9:Q$9)+$I$4))),TREND($D82:$E82,$D$9:$E$9,Q$9))</f>
        <v>3</v>
      </c>
      <c r="R82" s="13">
        <f>IF($F82="s-curve",$D82+($E82-$D82)*$I$2/(1+EXP($I$3*(COUNT($H$9:R$9)+$I$4))),TREND($D82:$E82,$D$9:$E$9,R$9))</f>
        <v>3</v>
      </c>
      <c r="S82" s="13">
        <f>IF($F82="s-curve",$D82+($E82-$D82)*$I$2/(1+EXP($I$3*(COUNT($H$9:S$9)+$I$4))),TREND($D82:$E82,$D$9:$E$9,S$9))</f>
        <v>3</v>
      </c>
      <c r="T82" s="13">
        <f>IF($F82="s-curve",$D82+($E82-$D82)*$I$2/(1+EXP($I$3*(COUNT($H$9:T$9)+$I$4))),TREND($D82:$E82,$D$9:$E$9,T$9))</f>
        <v>3</v>
      </c>
      <c r="U82" s="13">
        <f>IF($F82="s-curve",$D82+($E82-$D82)*$I$2/(1+EXP($I$3*(COUNT($H$9:U$9)+$I$4))),TREND($D82:$E82,$D$9:$E$9,U$9))</f>
        <v>3</v>
      </c>
      <c r="V82" s="13">
        <f>IF($F82="s-curve",$D82+($E82-$D82)*$I$2/(1+EXP($I$3*(COUNT($H$9:V$9)+$I$4))),TREND($D82:$E82,$D$9:$E$9,V$9))</f>
        <v>3</v>
      </c>
      <c r="W82" s="13">
        <f>IF($F82="s-curve",$D82+($E82-$D82)*$I$2/(1+EXP($I$3*(COUNT($H$9:W$9)+$I$4))),TREND($D82:$E82,$D$9:$E$9,W$9))</f>
        <v>3</v>
      </c>
      <c r="X82" s="13">
        <f>IF($F82="s-curve",$D82+($E82-$D82)*$I$2/(1+EXP($I$3*(COUNT($H$9:X$9)+$I$4))),TREND($D82:$E82,$D$9:$E$9,X$9))</f>
        <v>3</v>
      </c>
      <c r="Y82" s="13">
        <f>IF($F82="s-curve",$D82+($E82-$D82)*$I$2/(1+EXP($I$3*(COUNT($H$9:Y$9)+$I$4))),TREND($D82:$E82,$D$9:$E$9,Y$9))</f>
        <v>3</v>
      </c>
      <c r="Z82" s="13">
        <f>IF($F82="s-curve",$D82+($E82-$D82)*$I$2/(1+EXP($I$3*(COUNT($H$9:Z$9)+$I$4))),TREND($D82:$E82,$D$9:$E$9,Z$9))</f>
        <v>3</v>
      </c>
      <c r="AA82" s="13">
        <f>IF($F82="s-curve",$D82+($E82-$D82)*$I$2/(1+EXP($I$3*(COUNT($H$9:AA$9)+$I$4))),TREND($D82:$E82,$D$9:$E$9,AA$9))</f>
        <v>3</v>
      </c>
      <c r="AB82" s="13">
        <f>IF($F82="s-curve",$D82+($E82-$D82)*$I$2/(1+EXP($I$3*(COUNT($H$9:AB$9)+$I$4))),TREND($D82:$E82,$D$9:$E$9,AB$9))</f>
        <v>3</v>
      </c>
      <c r="AC82" s="13">
        <f>IF($F82="s-curve",$D82+($E82-$D82)*$I$2/(1+EXP($I$3*(COUNT($H$9:AC$9)+$I$4))),TREND($D82:$E82,$D$9:$E$9,AC$9))</f>
        <v>3</v>
      </c>
      <c r="AD82" s="13">
        <f>IF($F82="s-curve",$D82+($E82-$D82)*$I$2/(1+EXP($I$3*(COUNT($H$9:AD$9)+$I$4))),TREND($D82:$E82,$D$9:$E$9,AD$9))</f>
        <v>3</v>
      </c>
      <c r="AE82" s="13">
        <f>IF($F82="s-curve",$D82+($E82-$D82)*$I$2/(1+EXP($I$3*(COUNT($H$9:AE$9)+$I$4))),TREND($D82:$E82,$D$9:$E$9,AE$9))</f>
        <v>3</v>
      </c>
      <c r="AF82" s="13">
        <f>IF($F82="s-curve",$D82+($E82-$D82)*$I$2/(1+EXP($I$3*(COUNT($H$9:AF$9)+$I$4))),TREND($D82:$E82,$D$9:$E$9,AF$9))</f>
        <v>3</v>
      </c>
      <c r="AG82" s="13">
        <f>IF($F82="s-curve",$D82+($E82-$D82)*$I$2/(1+EXP($I$3*(COUNT($H$9:AG$9)+$I$4))),TREND($D82:$E82,$D$9:$E$9,AG$9))</f>
        <v>3</v>
      </c>
      <c r="AH82" s="13">
        <f>IF($F82="s-curve",$D82+($E82-$D82)*$I$2/(1+EXP($I$3*(COUNT($H$9:AH$9)+$I$4))),TREND($D82:$E82,$D$9:$E$9,AH$9))</f>
        <v>3</v>
      </c>
      <c r="AI82" s="13">
        <f>IF($F82="s-curve",$D82+($E82-$D82)*$I$2/(1+EXP($I$3*(COUNT($H$9:AI$9)+$I$4))),TREND($D82:$E82,$D$9:$E$9,AI$9))</f>
        <v>3</v>
      </c>
      <c r="AJ82" s="13">
        <f>IF($F82="s-curve",$D82+($E82-$D82)*$I$2/(1+EXP($I$3*(COUNT($H$9:AJ$9)+$I$4))),TREND($D82:$E82,$D$9:$E$9,AJ$9))</f>
        <v>3</v>
      </c>
      <c r="AK82" s="13">
        <f>IF($F82="s-curve",$D82+($E82-$D82)*$I$2/(1+EXP($I$3*(COUNT($H$9:AK$9)+$I$4))),TREND($D82:$E82,$D$9:$E$9,AK$9))</f>
        <v>3</v>
      </c>
      <c r="AL82" s="13">
        <f>IF($F82="s-curve",$D82+($E82-$D82)*$I$2/(1+EXP($I$3*(COUNT($H$9:AL$9)+$I$4))),TREND($D82:$E82,$D$9:$E$9,AL$9))</f>
        <v>3</v>
      </c>
    </row>
    <row r="83" spans="1:38" x14ac:dyDescent="0.35">
      <c r="C83" s="13" t="s">
        <v>4</v>
      </c>
      <c r="D83" s="24">
        <f>'SYVbT-passenger'!E7/SUM('SYVbT-passenger'!7:7)</f>
        <v>0</v>
      </c>
      <c r="E83" s="28">
        <v>0</v>
      </c>
      <c r="F83" s="7" t="str">
        <f>IF(D83=E83,"n/a",IF(OR(C83="battery electric vehicle",C83="natural gas vehicle",C83="plugin hybrid vehicle"),"s-curve","linear"))</f>
        <v>n/a</v>
      </c>
      <c r="H83" s="24">
        <f t="shared" si="9"/>
        <v>0</v>
      </c>
      <c r="I83" s="13">
        <f>IF($F83="s-curve",$D83+($E83-$D83)*$I$2/(1+EXP($I$3*(COUNT($H$9:I$9)+$I$4))),TREND($D83:$E83,$D$9:$E$9,I$9))</f>
        <v>0</v>
      </c>
      <c r="J83" s="13">
        <f>IF($F83="s-curve",$D83+($E83-$D83)*$I$2/(1+EXP($I$3*(COUNT($H$9:J$9)+$I$4))),TREND($D83:$E83,$D$9:$E$9,J$9))</f>
        <v>0</v>
      </c>
      <c r="K83" s="13">
        <f>IF($F83="s-curve",$D83+($E83-$D83)*$I$2/(1+EXP($I$3*(COUNT($H$9:K$9)+$I$4))),TREND($D83:$E83,$D$9:$E$9,K$9))</f>
        <v>0</v>
      </c>
      <c r="L83" s="13">
        <f>IF($F83="s-curve",$D83+($E83-$D83)*$I$2/(1+EXP($I$3*(COUNT($H$9:L$9)+$I$4))),TREND($D83:$E83,$D$9:$E$9,L$9))</f>
        <v>0</v>
      </c>
      <c r="M83" s="13">
        <f>IF($F83="s-curve",$D83+($E83-$D83)*$I$2/(1+EXP($I$3*(COUNT($H$9:M$9)+$I$4))),TREND($D83:$E83,$D$9:$E$9,M$9))</f>
        <v>0</v>
      </c>
      <c r="N83" s="13">
        <f>IF($F83="s-curve",$D83+($E83-$D83)*$I$2/(1+EXP($I$3*(COUNT($H$9:N$9)+$I$4))),TREND($D83:$E83,$D$9:$E$9,N$9))</f>
        <v>0</v>
      </c>
      <c r="O83" s="13">
        <f>IF($F83="s-curve",$D83+($E83-$D83)*$I$2/(1+EXP($I$3*(COUNT($H$9:O$9)+$I$4))),TREND($D83:$E83,$D$9:$E$9,O$9))</f>
        <v>0</v>
      </c>
      <c r="P83" s="13">
        <f>IF($F83="s-curve",$D83+($E83-$D83)*$I$2/(1+EXP($I$3*(COUNT($H$9:P$9)+$I$4))),TREND($D83:$E83,$D$9:$E$9,P$9))</f>
        <v>0</v>
      </c>
      <c r="Q83" s="13">
        <f>IF($F83="s-curve",$D83+($E83-$D83)*$I$2/(1+EXP($I$3*(COUNT($H$9:Q$9)+$I$4))),TREND($D83:$E83,$D$9:$E$9,Q$9))</f>
        <v>0</v>
      </c>
      <c r="R83" s="13">
        <f>IF($F83="s-curve",$D83+($E83-$D83)*$I$2/(1+EXP($I$3*(COUNT($H$9:R$9)+$I$4))),TREND($D83:$E83,$D$9:$E$9,R$9))</f>
        <v>0</v>
      </c>
      <c r="S83" s="13">
        <f>IF($F83="s-curve",$D83+($E83-$D83)*$I$2/(1+EXP($I$3*(COUNT($H$9:S$9)+$I$4))),TREND($D83:$E83,$D$9:$E$9,S$9))</f>
        <v>0</v>
      </c>
      <c r="T83" s="13">
        <f>IF($F83="s-curve",$D83+($E83-$D83)*$I$2/(1+EXP($I$3*(COUNT($H$9:T$9)+$I$4))),TREND($D83:$E83,$D$9:$E$9,T$9))</f>
        <v>0</v>
      </c>
      <c r="U83" s="13">
        <f>IF($F83="s-curve",$D83+($E83-$D83)*$I$2/(1+EXP($I$3*(COUNT($H$9:U$9)+$I$4))),TREND($D83:$E83,$D$9:$E$9,U$9))</f>
        <v>0</v>
      </c>
      <c r="V83" s="13">
        <f>IF($F83="s-curve",$D83+($E83-$D83)*$I$2/(1+EXP($I$3*(COUNT($H$9:V$9)+$I$4))),TREND($D83:$E83,$D$9:$E$9,V$9))</f>
        <v>0</v>
      </c>
      <c r="W83" s="13">
        <f>IF($F83="s-curve",$D83+($E83-$D83)*$I$2/(1+EXP($I$3*(COUNT($H$9:W$9)+$I$4))),TREND($D83:$E83,$D$9:$E$9,W$9))</f>
        <v>0</v>
      </c>
      <c r="X83" s="13">
        <f>IF($F83="s-curve",$D83+($E83-$D83)*$I$2/(1+EXP($I$3*(COUNT($H$9:X$9)+$I$4))),TREND($D83:$E83,$D$9:$E$9,X$9))</f>
        <v>0</v>
      </c>
      <c r="Y83" s="13">
        <f>IF($F83="s-curve",$D83+($E83-$D83)*$I$2/(1+EXP($I$3*(COUNT($H$9:Y$9)+$I$4))),TREND($D83:$E83,$D$9:$E$9,Y$9))</f>
        <v>0</v>
      </c>
      <c r="Z83" s="13">
        <f>IF($F83="s-curve",$D83+($E83-$D83)*$I$2/(1+EXP($I$3*(COUNT($H$9:Z$9)+$I$4))),TREND($D83:$E83,$D$9:$E$9,Z$9))</f>
        <v>0</v>
      </c>
      <c r="AA83" s="13">
        <f>IF($F83="s-curve",$D83+($E83-$D83)*$I$2/(1+EXP($I$3*(COUNT($H$9:AA$9)+$I$4))),TREND($D83:$E83,$D$9:$E$9,AA$9))</f>
        <v>0</v>
      </c>
      <c r="AB83" s="13">
        <f>IF($F83="s-curve",$D83+($E83-$D83)*$I$2/(1+EXP($I$3*(COUNT($H$9:AB$9)+$I$4))),TREND($D83:$E83,$D$9:$E$9,AB$9))</f>
        <v>0</v>
      </c>
      <c r="AC83" s="13">
        <f>IF($F83="s-curve",$D83+($E83-$D83)*$I$2/(1+EXP($I$3*(COUNT($H$9:AC$9)+$I$4))),TREND($D83:$E83,$D$9:$E$9,AC$9))</f>
        <v>0</v>
      </c>
      <c r="AD83" s="13">
        <f>IF($F83="s-curve",$D83+($E83-$D83)*$I$2/(1+EXP($I$3*(COUNT($H$9:AD$9)+$I$4))),TREND($D83:$E83,$D$9:$E$9,AD$9))</f>
        <v>0</v>
      </c>
      <c r="AE83" s="13">
        <f>IF($F83="s-curve",$D83+($E83-$D83)*$I$2/(1+EXP($I$3*(COUNT($H$9:AE$9)+$I$4))),TREND($D83:$E83,$D$9:$E$9,AE$9))</f>
        <v>0</v>
      </c>
      <c r="AF83" s="13">
        <f>IF($F83="s-curve",$D83+($E83-$D83)*$I$2/(1+EXP($I$3*(COUNT($H$9:AF$9)+$I$4))),TREND($D83:$E83,$D$9:$E$9,AF$9))</f>
        <v>0</v>
      </c>
      <c r="AG83" s="13">
        <f>IF($F83="s-curve",$D83+($E83-$D83)*$I$2/(1+EXP($I$3*(COUNT($H$9:AG$9)+$I$4))),TREND($D83:$E83,$D$9:$E$9,AG$9))</f>
        <v>0</v>
      </c>
      <c r="AH83" s="13">
        <f>IF($F83="s-curve",$D83+($E83-$D83)*$I$2/(1+EXP($I$3*(COUNT($H$9:AH$9)+$I$4))),TREND($D83:$E83,$D$9:$E$9,AH$9))</f>
        <v>0</v>
      </c>
      <c r="AI83" s="13">
        <f>IF($F83="s-curve",$D83+($E83-$D83)*$I$2/(1+EXP($I$3*(COUNT($H$9:AI$9)+$I$4))),TREND($D83:$E83,$D$9:$E$9,AI$9))</f>
        <v>0</v>
      </c>
      <c r="AJ83" s="13">
        <f>IF($F83="s-curve",$D83+($E83-$D83)*$I$2/(1+EXP($I$3*(COUNT($H$9:AJ$9)+$I$4))),TREND($D83:$E83,$D$9:$E$9,AJ$9))</f>
        <v>0</v>
      </c>
      <c r="AK83" s="13">
        <f>IF($F83="s-curve",$D83+($E83-$D83)*$I$2/(1+EXP($I$3*(COUNT($H$9:AK$9)+$I$4))),TREND($D83:$E83,$D$9:$E$9,AK$9))</f>
        <v>0</v>
      </c>
      <c r="AL83" s="13">
        <f>IF($F83="s-curve",$D83+($E83-$D83)*$I$2/(1+EXP($I$3*(COUNT($H$9:AL$9)+$I$4))),TREND($D83:$E83,$D$9:$E$9,AL$9))</f>
        <v>0</v>
      </c>
    </row>
    <row r="84" spans="1:38" x14ac:dyDescent="0.35">
      <c r="C84" s="13" t="s">
        <v>5</v>
      </c>
      <c r="D84" s="24">
        <f>'SYVbT-passenger'!F7/SUM('SYVbT-passenger'!7:7)</f>
        <v>0</v>
      </c>
      <c r="E84" s="28">
        <v>0</v>
      </c>
      <c r="F84" s="7" t="str">
        <f>IF(D84=E84,"n/a",IF(OR(C84="battery electric vehicle",C84="natural gas vehicle",C84="plugin hybrid vehicle"),"s-curve","linear"))</f>
        <v>n/a</v>
      </c>
      <c r="H84" s="24">
        <f t="shared" si="9"/>
        <v>0</v>
      </c>
      <c r="I84" s="13">
        <f>IF($F84="s-curve",$D84+($E84-$D84)*$I$2/(1+EXP($I$3*(COUNT($H$9:I$9)+$I$4))),TREND($D84:$E84,$D$9:$E$9,I$9))</f>
        <v>0</v>
      </c>
      <c r="J84" s="13">
        <f>IF($F84="s-curve",$D84+($E84-$D84)*$I$2/(1+EXP($I$3*(COUNT($H$9:J$9)+$I$4))),TREND($D84:$E84,$D$9:$E$9,J$9))</f>
        <v>0</v>
      </c>
      <c r="K84" s="13">
        <f>IF($F84="s-curve",$D84+($E84-$D84)*$I$2/(1+EXP($I$3*(COUNT($H$9:K$9)+$I$4))),TREND($D84:$E84,$D$9:$E$9,K$9))</f>
        <v>0</v>
      </c>
      <c r="L84" s="13">
        <f>IF($F84="s-curve",$D84+($E84-$D84)*$I$2/(1+EXP($I$3*(COUNT($H$9:L$9)+$I$4))),TREND($D84:$E84,$D$9:$E$9,L$9))</f>
        <v>0</v>
      </c>
      <c r="M84" s="13">
        <f>IF($F84="s-curve",$D84+($E84-$D84)*$I$2/(1+EXP($I$3*(COUNT($H$9:M$9)+$I$4))),TREND($D84:$E84,$D$9:$E$9,M$9))</f>
        <v>0</v>
      </c>
      <c r="N84" s="13">
        <f>IF($F84="s-curve",$D84+($E84-$D84)*$I$2/(1+EXP($I$3*(COUNT($H$9:N$9)+$I$4))),TREND($D84:$E84,$D$9:$E$9,N$9))</f>
        <v>0</v>
      </c>
      <c r="O84" s="13">
        <f>IF($F84="s-curve",$D84+($E84-$D84)*$I$2/(1+EXP($I$3*(COUNT($H$9:O$9)+$I$4))),TREND($D84:$E84,$D$9:$E$9,O$9))</f>
        <v>0</v>
      </c>
      <c r="P84" s="13">
        <f>IF($F84="s-curve",$D84+($E84-$D84)*$I$2/(1+EXP($I$3*(COUNT($H$9:P$9)+$I$4))),TREND($D84:$E84,$D$9:$E$9,P$9))</f>
        <v>0</v>
      </c>
      <c r="Q84" s="13">
        <f>IF($F84="s-curve",$D84+($E84-$D84)*$I$2/(1+EXP($I$3*(COUNT($H$9:Q$9)+$I$4))),TREND($D84:$E84,$D$9:$E$9,Q$9))</f>
        <v>0</v>
      </c>
      <c r="R84" s="13">
        <f>IF($F84="s-curve",$D84+($E84-$D84)*$I$2/(1+EXP($I$3*(COUNT($H$9:R$9)+$I$4))),TREND($D84:$E84,$D$9:$E$9,R$9))</f>
        <v>0</v>
      </c>
      <c r="S84" s="13">
        <f>IF($F84="s-curve",$D84+($E84-$D84)*$I$2/(1+EXP($I$3*(COUNT($H$9:S$9)+$I$4))),TREND($D84:$E84,$D$9:$E$9,S$9))</f>
        <v>0</v>
      </c>
      <c r="T84" s="13">
        <f>IF($F84="s-curve",$D84+($E84-$D84)*$I$2/(1+EXP($I$3*(COUNT($H$9:T$9)+$I$4))),TREND($D84:$E84,$D$9:$E$9,T$9))</f>
        <v>0</v>
      </c>
      <c r="U84" s="13">
        <f>IF($F84="s-curve",$D84+($E84-$D84)*$I$2/(1+EXP($I$3*(COUNT($H$9:U$9)+$I$4))),TREND($D84:$E84,$D$9:$E$9,U$9))</f>
        <v>0</v>
      </c>
      <c r="V84" s="13">
        <f>IF($F84="s-curve",$D84+($E84-$D84)*$I$2/(1+EXP($I$3*(COUNT($H$9:V$9)+$I$4))),TREND($D84:$E84,$D$9:$E$9,V$9))</f>
        <v>0</v>
      </c>
      <c r="W84" s="13">
        <f>IF($F84="s-curve",$D84+($E84-$D84)*$I$2/(1+EXP($I$3*(COUNT($H$9:W$9)+$I$4))),TREND($D84:$E84,$D$9:$E$9,W$9))</f>
        <v>0</v>
      </c>
      <c r="X84" s="13">
        <f>IF($F84="s-curve",$D84+($E84-$D84)*$I$2/(1+EXP($I$3*(COUNT($H$9:X$9)+$I$4))),TREND($D84:$E84,$D$9:$E$9,X$9))</f>
        <v>0</v>
      </c>
      <c r="Y84" s="13">
        <f>IF($F84="s-curve",$D84+($E84-$D84)*$I$2/(1+EXP($I$3*(COUNT($H$9:Y$9)+$I$4))),TREND($D84:$E84,$D$9:$E$9,Y$9))</f>
        <v>0</v>
      </c>
      <c r="Z84" s="13">
        <f>IF($F84="s-curve",$D84+($E84-$D84)*$I$2/(1+EXP($I$3*(COUNT($H$9:Z$9)+$I$4))),TREND($D84:$E84,$D$9:$E$9,Z$9))</f>
        <v>0</v>
      </c>
      <c r="AA84" s="13">
        <f>IF($F84="s-curve",$D84+($E84-$D84)*$I$2/(1+EXP($I$3*(COUNT($H$9:AA$9)+$I$4))),TREND($D84:$E84,$D$9:$E$9,AA$9))</f>
        <v>0</v>
      </c>
      <c r="AB84" s="13">
        <f>IF($F84="s-curve",$D84+($E84-$D84)*$I$2/(1+EXP($I$3*(COUNT($H$9:AB$9)+$I$4))),TREND($D84:$E84,$D$9:$E$9,AB$9))</f>
        <v>0</v>
      </c>
      <c r="AC84" s="13">
        <f>IF($F84="s-curve",$D84+($E84-$D84)*$I$2/(1+EXP($I$3*(COUNT($H$9:AC$9)+$I$4))),TREND($D84:$E84,$D$9:$E$9,AC$9))</f>
        <v>0</v>
      </c>
      <c r="AD84" s="13">
        <f>IF($F84="s-curve",$D84+($E84-$D84)*$I$2/(1+EXP($I$3*(COUNT($H$9:AD$9)+$I$4))),TREND($D84:$E84,$D$9:$E$9,AD$9))</f>
        <v>0</v>
      </c>
      <c r="AE84" s="13">
        <f>IF($F84="s-curve",$D84+($E84-$D84)*$I$2/(1+EXP($I$3*(COUNT($H$9:AE$9)+$I$4))),TREND($D84:$E84,$D$9:$E$9,AE$9))</f>
        <v>0</v>
      </c>
      <c r="AF84" s="13">
        <f>IF($F84="s-curve",$D84+($E84-$D84)*$I$2/(1+EXP($I$3*(COUNT($H$9:AF$9)+$I$4))),TREND($D84:$E84,$D$9:$E$9,AF$9))</f>
        <v>0</v>
      </c>
      <c r="AG84" s="13">
        <f>IF($F84="s-curve",$D84+($E84-$D84)*$I$2/(1+EXP($I$3*(COUNT($H$9:AG$9)+$I$4))),TREND($D84:$E84,$D$9:$E$9,AG$9))</f>
        <v>0</v>
      </c>
      <c r="AH84" s="13">
        <f>IF($F84="s-curve",$D84+($E84-$D84)*$I$2/(1+EXP($I$3*(COUNT($H$9:AH$9)+$I$4))),TREND($D84:$E84,$D$9:$E$9,AH$9))</f>
        <v>0</v>
      </c>
      <c r="AI84" s="13">
        <f>IF($F84="s-curve",$D84+($E84-$D84)*$I$2/(1+EXP($I$3*(COUNT($H$9:AI$9)+$I$4))),TREND($D84:$E84,$D$9:$E$9,AI$9))</f>
        <v>0</v>
      </c>
      <c r="AJ84" s="13">
        <f>IF($F84="s-curve",$D84+($E84-$D84)*$I$2/(1+EXP($I$3*(COUNT($H$9:AJ$9)+$I$4))),TREND($D84:$E84,$D$9:$E$9,AJ$9))</f>
        <v>0</v>
      </c>
      <c r="AK84" s="13">
        <f>IF($F84="s-curve",$D84+($E84-$D84)*$I$2/(1+EXP($I$3*(COUNT($H$9:AK$9)+$I$4))),TREND($D84:$E84,$D$9:$E$9,AK$9))</f>
        <v>0</v>
      </c>
      <c r="AL84" s="13">
        <f>IF($F84="s-curve",$D84+($E84-$D84)*$I$2/(1+EXP($I$3*(COUNT($H$9:AL$9)+$I$4))),TREND($D84:$E84,$D$9:$E$9,AL$9))</f>
        <v>0</v>
      </c>
    </row>
    <row r="85" spans="1:38" x14ac:dyDescent="0.35">
      <c r="C85" s="13" t="s">
        <v>78</v>
      </c>
      <c r="D85" s="24">
        <f>'SYVbT-passenger'!G7/SUM('SYVbT-passenger'!7:7)</f>
        <v>0</v>
      </c>
      <c r="E85" s="28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4">
        <f t="shared" si="9"/>
        <v>0</v>
      </c>
      <c r="I85" s="13">
        <f>IF($F85="s-curve",$D85+($E85-$D85)*$I$2/(1+EXP($I$3*(COUNT($H$9:I$9)+$I$4))),TREND($D85:$E85,$D$9:$E$9,I$9))</f>
        <v>0</v>
      </c>
      <c r="J85" s="13">
        <f>IF($F85="s-curve",$D85+($E85-$D85)*$I$2/(1+EXP($I$3*(COUNT($H$9:J$9)+$I$4))),TREND($D85:$E85,$D$9:$E$9,J$9))</f>
        <v>0</v>
      </c>
      <c r="K85" s="13">
        <f>IF($F85="s-curve",$D85+($E85-$D85)*$I$2/(1+EXP($I$3*(COUNT($H$9:K$9)+$I$4))),TREND($D85:$E85,$D$9:$E$9,K$9))</f>
        <v>0</v>
      </c>
      <c r="L85" s="13">
        <f>IF($F85="s-curve",$D85+($E85-$D85)*$I$2/(1+EXP($I$3*(COUNT($H$9:L$9)+$I$4))),TREND($D85:$E85,$D$9:$E$9,L$9))</f>
        <v>0</v>
      </c>
      <c r="M85" s="13">
        <f>IF($F85="s-curve",$D85+($E85-$D85)*$I$2/(1+EXP($I$3*(COUNT($H$9:M$9)+$I$4))),TREND($D85:$E85,$D$9:$E$9,M$9))</f>
        <v>0</v>
      </c>
      <c r="N85" s="13">
        <f>IF($F85="s-curve",$D85+($E85-$D85)*$I$2/(1+EXP($I$3*(COUNT($H$9:N$9)+$I$4))),TREND($D85:$E85,$D$9:$E$9,N$9))</f>
        <v>0</v>
      </c>
      <c r="O85" s="13">
        <f>IF($F85="s-curve",$D85+($E85-$D85)*$I$2/(1+EXP($I$3*(COUNT($H$9:O$9)+$I$4))),TREND($D85:$E85,$D$9:$E$9,O$9))</f>
        <v>0</v>
      </c>
      <c r="P85" s="13">
        <f>IF($F85="s-curve",$D85+($E85-$D85)*$I$2/(1+EXP($I$3*(COUNT($H$9:P$9)+$I$4))),TREND($D85:$E85,$D$9:$E$9,P$9))</f>
        <v>0</v>
      </c>
      <c r="Q85" s="13">
        <f>IF($F85="s-curve",$D85+($E85-$D85)*$I$2/(1+EXP($I$3*(COUNT($H$9:Q$9)+$I$4))),TREND($D85:$E85,$D$9:$E$9,Q$9))</f>
        <v>0</v>
      </c>
      <c r="R85" s="13">
        <f>IF($F85="s-curve",$D85+($E85-$D85)*$I$2/(1+EXP($I$3*(COUNT($H$9:R$9)+$I$4))),TREND($D85:$E85,$D$9:$E$9,R$9))</f>
        <v>0</v>
      </c>
      <c r="S85" s="13">
        <f>IF($F85="s-curve",$D85+($E85-$D85)*$I$2/(1+EXP($I$3*(COUNT($H$9:S$9)+$I$4))),TREND($D85:$E85,$D$9:$E$9,S$9))</f>
        <v>0</v>
      </c>
      <c r="T85" s="13">
        <f>IF($F85="s-curve",$D85+($E85-$D85)*$I$2/(1+EXP($I$3*(COUNT($H$9:T$9)+$I$4))),TREND($D85:$E85,$D$9:$E$9,T$9))</f>
        <v>0</v>
      </c>
      <c r="U85" s="13">
        <f>IF($F85="s-curve",$D85+($E85-$D85)*$I$2/(1+EXP($I$3*(COUNT($H$9:U$9)+$I$4))),TREND($D85:$E85,$D$9:$E$9,U$9))</f>
        <v>0</v>
      </c>
      <c r="V85" s="13">
        <f>IF($F85="s-curve",$D85+($E85-$D85)*$I$2/(1+EXP($I$3*(COUNT($H$9:V$9)+$I$4))),TREND($D85:$E85,$D$9:$E$9,V$9))</f>
        <v>0</v>
      </c>
      <c r="W85" s="13">
        <f>IF($F85="s-curve",$D85+($E85-$D85)*$I$2/(1+EXP($I$3*(COUNT($H$9:W$9)+$I$4))),TREND($D85:$E85,$D$9:$E$9,W$9))</f>
        <v>0</v>
      </c>
      <c r="X85" s="13">
        <f>IF($F85="s-curve",$D85+($E85-$D85)*$I$2/(1+EXP($I$3*(COUNT($H$9:X$9)+$I$4))),TREND($D85:$E85,$D$9:$E$9,X$9))</f>
        <v>0</v>
      </c>
      <c r="Y85" s="13">
        <f>IF($F85="s-curve",$D85+($E85-$D85)*$I$2/(1+EXP($I$3*(COUNT($H$9:Y$9)+$I$4))),TREND($D85:$E85,$D$9:$E$9,Y$9))</f>
        <v>0</v>
      </c>
      <c r="Z85" s="13">
        <f>IF($F85="s-curve",$D85+($E85-$D85)*$I$2/(1+EXP($I$3*(COUNT($H$9:Z$9)+$I$4))),TREND($D85:$E85,$D$9:$E$9,Z$9))</f>
        <v>0</v>
      </c>
      <c r="AA85" s="13">
        <f>IF($F85="s-curve",$D85+($E85-$D85)*$I$2/(1+EXP($I$3*(COUNT($H$9:AA$9)+$I$4))),TREND($D85:$E85,$D$9:$E$9,AA$9))</f>
        <v>0</v>
      </c>
      <c r="AB85" s="13">
        <f>IF($F85="s-curve",$D85+($E85-$D85)*$I$2/(1+EXP($I$3*(COUNT($H$9:AB$9)+$I$4))),TREND($D85:$E85,$D$9:$E$9,AB$9))</f>
        <v>0</v>
      </c>
      <c r="AC85" s="13">
        <f>IF($F85="s-curve",$D85+($E85-$D85)*$I$2/(1+EXP($I$3*(COUNT($H$9:AC$9)+$I$4))),TREND($D85:$E85,$D$9:$E$9,AC$9))</f>
        <v>0</v>
      </c>
      <c r="AD85" s="13">
        <f>IF($F85="s-curve",$D85+($E85-$D85)*$I$2/(1+EXP($I$3*(COUNT($H$9:AD$9)+$I$4))),TREND($D85:$E85,$D$9:$E$9,AD$9))</f>
        <v>0</v>
      </c>
      <c r="AE85" s="13">
        <f>IF($F85="s-curve",$D85+($E85-$D85)*$I$2/(1+EXP($I$3*(COUNT($H$9:AE$9)+$I$4))),TREND($D85:$E85,$D$9:$E$9,AE$9))</f>
        <v>0</v>
      </c>
      <c r="AF85" s="13">
        <f>IF($F85="s-curve",$D85+($E85-$D85)*$I$2/(1+EXP($I$3*(COUNT($H$9:AF$9)+$I$4))),TREND($D85:$E85,$D$9:$E$9,AF$9))</f>
        <v>0</v>
      </c>
      <c r="AG85" s="13">
        <f>IF($F85="s-curve",$D85+($E85-$D85)*$I$2/(1+EXP($I$3*(COUNT($H$9:AG$9)+$I$4))),TREND($D85:$E85,$D$9:$E$9,AG$9))</f>
        <v>0</v>
      </c>
      <c r="AH85" s="13">
        <f>IF($F85="s-curve",$D85+($E85-$D85)*$I$2/(1+EXP($I$3*(COUNT($H$9:AH$9)+$I$4))),TREND($D85:$E85,$D$9:$E$9,AH$9))</f>
        <v>0</v>
      </c>
      <c r="AI85" s="13">
        <f>IF($F85="s-curve",$D85+($E85-$D85)*$I$2/(1+EXP($I$3*(COUNT($H$9:AI$9)+$I$4))),TREND($D85:$E85,$D$9:$E$9,AI$9))</f>
        <v>0</v>
      </c>
      <c r="AJ85" s="13">
        <f>IF($F85="s-curve",$D85+($E85-$D85)*$I$2/(1+EXP($I$3*(COUNT($H$9:AJ$9)+$I$4))),TREND($D85:$E85,$D$9:$E$9,AJ$9))</f>
        <v>0</v>
      </c>
      <c r="AK85" s="13">
        <f>IF($F85="s-curve",$D85+($E85-$D85)*$I$2/(1+EXP($I$3*(COUNT($H$9:AK$9)+$I$4))),TREND($D85:$E85,$D$9:$E$9,AK$9))</f>
        <v>0</v>
      </c>
      <c r="AL85" s="13">
        <f>IF($F85="s-curve",$D85+($E85-$D85)*$I$2/(1+EXP($I$3*(COUNT($H$9:AL$9)+$I$4))),TREND($D85:$E85,$D$9:$E$9,AL$9))</f>
        <v>0</v>
      </c>
    </row>
    <row r="86" spans="1:38" ht="15" thickBot="1" x14ac:dyDescent="0.4">
      <c r="A86" s="26"/>
      <c r="B86" s="26"/>
      <c r="C86" s="26" t="s">
        <v>79</v>
      </c>
      <c r="D86" s="32">
        <f>'SYVbT-passenger'!H7/SUM('SYVbT-passenger'!7:7)</f>
        <v>0</v>
      </c>
      <c r="E86" s="3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4">
        <f t="shared" si="9"/>
        <v>0</v>
      </c>
      <c r="I86" s="13">
        <f>IF($F86="s-curve",$D86+($E86-$D86)*$I$2/(1+EXP($I$3*(COUNT($H$9:I$9)+$I$4))),TREND($D86:$E86,$D$9:$E$9,I$9))</f>
        <v>0</v>
      </c>
      <c r="J86" s="13">
        <f>IF($F86="s-curve",$D86+($E86-$D86)*$I$2/(1+EXP($I$3*(COUNT($H$9:J$9)+$I$4))),TREND($D86:$E86,$D$9:$E$9,J$9))</f>
        <v>0</v>
      </c>
      <c r="K86" s="13">
        <f>IF($F86="s-curve",$D86+($E86-$D86)*$I$2/(1+EXP($I$3*(COUNT($H$9:K$9)+$I$4))),TREND($D86:$E86,$D$9:$E$9,K$9))</f>
        <v>0</v>
      </c>
      <c r="L86" s="13">
        <f>IF($F86="s-curve",$D86+($E86-$D86)*$I$2/(1+EXP($I$3*(COUNT($H$9:L$9)+$I$4))),TREND($D86:$E86,$D$9:$E$9,L$9))</f>
        <v>0</v>
      </c>
      <c r="M86" s="13">
        <f>IF($F86="s-curve",$D86+($E86-$D86)*$I$2/(1+EXP($I$3*(COUNT($H$9:M$9)+$I$4))),TREND($D86:$E86,$D$9:$E$9,M$9))</f>
        <v>0</v>
      </c>
      <c r="N86" s="13">
        <f>IF($F86="s-curve",$D86+($E86-$D86)*$I$2/(1+EXP($I$3*(COUNT($H$9:N$9)+$I$4))),TREND($D86:$E86,$D$9:$E$9,N$9))</f>
        <v>0</v>
      </c>
      <c r="O86" s="13">
        <f>IF($F86="s-curve",$D86+($E86-$D86)*$I$2/(1+EXP($I$3*(COUNT($H$9:O$9)+$I$4))),TREND($D86:$E86,$D$9:$E$9,O$9))</f>
        <v>0</v>
      </c>
      <c r="P86" s="13">
        <f>IF($F86="s-curve",$D86+($E86-$D86)*$I$2/(1+EXP($I$3*(COUNT($H$9:P$9)+$I$4))),TREND($D86:$E86,$D$9:$E$9,P$9))</f>
        <v>0</v>
      </c>
      <c r="Q86" s="13">
        <f>IF($F86="s-curve",$D86+($E86-$D86)*$I$2/(1+EXP($I$3*(COUNT($H$9:Q$9)+$I$4))),TREND($D86:$E86,$D$9:$E$9,Q$9))</f>
        <v>0</v>
      </c>
      <c r="R86" s="13">
        <f>IF($F86="s-curve",$D86+($E86-$D86)*$I$2/(1+EXP($I$3*(COUNT($H$9:R$9)+$I$4))),TREND($D86:$E86,$D$9:$E$9,R$9))</f>
        <v>0</v>
      </c>
      <c r="S86" s="13">
        <f>IF($F86="s-curve",$D86+($E86-$D86)*$I$2/(1+EXP($I$3*(COUNT($H$9:S$9)+$I$4))),TREND($D86:$E86,$D$9:$E$9,S$9))</f>
        <v>0</v>
      </c>
      <c r="T86" s="13">
        <f>IF($F86="s-curve",$D86+($E86-$D86)*$I$2/(1+EXP($I$3*(COUNT($H$9:T$9)+$I$4))),TREND($D86:$E86,$D$9:$E$9,T$9))</f>
        <v>0</v>
      </c>
      <c r="U86" s="13">
        <f>IF($F86="s-curve",$D86+($E86-$D86)*$I$2/(1+EXP($I$3*(COUNT($H$9:U$9)+$I$4))),TREND($D86:$E86,$D$9:$E$9,U$9))</f>
        <v>0</v>
      </c>
      <c r="V86" s="13">
        <f>IF($F86="s-curve",$D86+($E86-$D86)*$I$2/(1+EXP($I$3*(COUNT($H$9:V$9)+$I$4))),TREND($D86:$E86,$D$9:$E$9,V$9))</f>
        <v>0</v>
      </c>
      <c r="W86" s="13">
        <f>IF($F86="s-curve",$D86+($E86-$D86)*$I$2/(1+EXP($I$3*(COUNT($H$9:W$9)+$I$4))),TREND($D86:$E86,$D$9:$E$9,W$9))</f>
        <v>0</v>
      </c>
      <c r="X86" s="13">
        <f>IF($F86="s-curve",$D86+($E86-$D86)*$I$2/(1+EXP($I$3*(COUNT($H$9:X$9)+$I$4))),TREND($D86:$E86,$D$9:$E$9,X$9))</f>
        <v>0</v>
      </c>
      <c r="Y86" s="13">
        <f>IF($F86="s-curve",$D86+($E86-$D86)*$I$2/(1+EXP($I$3*(COUNT($H$9:Y$9)+$I$4))),TREND($D86:$E86,$D$9:$E$9,Y$9))</f>
        <v>0</v>
      </c>
      <c r="Z86" s="13">
        <f>IF($F86="s-curve",$D86+($E86-$D86)*$I$2/(1+EXP($I$3*(COUNT($H$9:Z$9)+$I$4))),TREND($D86:$E86,$D$9:$E$9,Z$9))</f>
        <v>0</v>
      </c>
      <c r="AA86" s="13">
        <f>IF($F86="s-curve",$D86+($E86-$D86)*$I$2/(1+EXP($I$3*(COUNT($H$9:AA$9)+$I$4))),TREND($D86:$E86,$D$9:$E$9,AA$9))</f>
        <v>0</v>
      </c>
      <c r="AB86" s="13">
        <f>IF($F86="s-curve",$D86+($E86-$D86)*$I$2/(1+EXP($I$3*(COUNT($H$9:AB$9)+$I$4))),TREND($D86:$E86,$D$9:$E$9,AB$9))</f>
        <v>0</v>
      </c>
      <c r="AC86" s="13">
        <f>IF($F86="s-curve",$D86+($E86-$D86)*$I$2/(1+EXP($I$3*(COUNT($H$9:AC$9)+$I$4))),TREND($D86:$E86,$D$9:$E$9,AC$9))</f>
        <v>0</v>
      </c>
      <c r="AD86" s="13">
        <f>IF($F86="s-curve",$D86+($E86-$D86)*$I$2/(1+EXP($I$3*(COUNT($H$9:AD$9)+$I$4))),TREND($D86:$E86,$D$9:$E$9,AD$9))</f>
        <v>0</v>
      </c>
      <c r="AE86" s="13">
        <f>IF($F86="s-curve",$D86+($E86-$D86)*$I$2/(1+EXP($I$3*(COUNT($H$9:AE$9)+$I$4))),TREND($D86:$E86,$D$9:$E$9,AE$9))</f>
        <v>0</v>
      </c>
      <c r="AF86" s="13">
        <f>IF($F86="s-curve",$D86+($E86-$D86)*$I$2/(1+EXP($I$3*(COUNT($H$9:AF$9)+$I$4))),TREND($D86:$E86,$D$9:$E$9,AF$9))</f>
        <v>0</v>
      </c>
      <c r="AG86" s="13">
        <f>IF($F86="s-curve",$D86+($E86-$D86)*$I$2/(1+EXP($I$3*(COUNT($H$9:AG$9)+$I$4))),TREND($D86:$E86,$D$9:$E$9,AG$9))</f>
        <v>0</v>
      </c>
      <c r="AH86" s="13">
        <f>IF($F86="s-curve",$D86+($E86-$D86)*$I$2/(1+EXP($I$3*(COUNT($H$9:AH$9)+$I$4))),TREND($D86:$E86,$D$9:$E$9,AH$9))</f>
        <v>0</v>
      </c>
      <c r="AI86" s="13">
        <f>IF($F86="s-curve",$D86+($E86-$D86)*$I$2/(1+EXP($I$3*(COUNT($H$9:AI$9)+$I$4))),TREND($D86:$E86,$D$9:$E$9,AI$9))</f>
        <v>0</v>
      </c>
      <c r="AJ86" s="13">
        <f>IF($F86="s-curve",$D86+($E86-$D86)*$I$2/(1+EXP($I$3*(COUNT($H$9:AJ$9)+$I$4))),TREND($D86:$E86,$D$9:$E$9,AJ$9))</f>
        <v>0</v>
      </c>
      <c r="AK86" s="13">
        <f>IF($F86="s-curve",$D86+($E86-$D86)*$I$2/(1+EXP($I$3*(COUNT($H$9:AK$9)+$I$4))),TREND($D86:$E86,$D$9:$E$9,AK$9))</f>
        <v>0</v>
      </c>
      <c r="AL86" s="13">
        <f>IF($F86="s-curve",$D86+($E86-$D86)*$I$2/(1+EXP($I$3*(COUNT($H$9:AL$9)+$I$4))),TREND($D86:$E86,$D$9:$E$9,AL$9))</f>
        <v>0</v>
      </c>
    </row>
    <row r="87" spans="1:38" x14ac:dyDescent="0.35">
      <c r="A87" s="25" t="s">
        <v>17</v>
      </c>
      <c r="B87" s="13" t="s">
        <v>18</v>
      </c>
      <c r="C87" s="13" t="s">
        <v>1</v>
      </c>
      <c r="D87" s="24">
        <f>D80</f>
        <v>0</v>
      </c>
      <c r="E87" s="24">
        <f>E80</f>
        <v>1</v>
      </c>
      <c r="F87" s="7" t="str">
        <f>IF(D87=E87,"n/a",IF(OR(C87="battery electric vehicle",C87="natural gas vehicle",C87="plugin hybrid vehicle"),"s-curve","linear"))</f>
        <v>s-curve</v>
      </c>
      <c r="H87" s="24">
        <f t="shared" si="9"/>
        <v>0</v>
      </c>
      <c r="I87" s="13">
        <f>IF($F87="s-curve",$D87+($E87-$D87)*$I$2/(1+EXP($I$3*(COUNT($H$9:I$9)+$I$4))),TREND($D87:$E87,$D$9:$E$9,I$9))</f>
        <v>1.4774031693273055E-2</v>
      </c>
      <c r="J87" s="13">
        <f>IF($F87="s-curve",$D87+($E87-$D87)*$I$2/(1+EXP($I$3*(COUNT($H$9:J$9)+$I$4))),TREND($D87:$E87,$D$9:$E$9,J$9))</f>
        <v>1.984030573407751E-2</v>
      </c>
      <c r="K87" s="13">
        <f>IF($F87="s-curve",$D87+($E87-$D87)*$I$2/(1+EXP($I$3*(COUNT($H$9:K$9)+$I$4))),TREND($D87:$E87,$D$9:$E$9,K$9))</f>
        <v>2.6596993576865863E-2</v>
      </c>
      <c r="L87" s="13">
        <f>IF($F87="s-curve",$D87+($E87-$D87)*$I$2/(1+EXP($I$3*(COUNT($H$9:L$9)+$I$4))),TREND($D87:$E87,$D$9:$E$9,L$9))</f>
        <v>3.5571189272636181E-2</v>
      </c>
      <c r="M87" s="13">
        <f>IF($F87="s-curve",$D87+($E87-$D87)*$I$2/(1+EXP($I$3*(COUNT($H$9:M$9)+$I$4))),TREND($D87:$E87,$D$9:$E$9,M$9))</f>
        <v>4.7425873177566781E-2</v>
      </c>
      <c r="N87" s="13">
        <f>IF($F87="s-curve",$D87+($E87-$D87)*$I$2/(1+EXP($I$3*(COUNT($H$9:N$9)+$I$4))),TREND($D87:$E87,$D$9:$E$9,N$9))</f>
        <v>6.2973356056996513E-2</v>
      </c>
      <c r="O87" s="13">
        <f>IF($F87="s-curve",$D87+($E87-$D87)*$I$2/(1+EXP($I$3*(COUNT($H$9:O$9)+$I$4))),TREND($D87:$E87,$D$9:$E$9,O$9))</f>
        <v>8.317269649392238E-2</v>
      </c>
      <c r="P87" s="13">
        <f>IF($F87="s-curve",$D87+($E87-$D87)*$I$2/(1+EXP($I$3*(COUNT($H$9:P$9)+$I$4))),TREND($D87:$E87,$D$9:$E$9,P$9))</f>
        <v>0.10909682119561293</v>
      </c>
      <c r="Q87" s="13">
        <f>IF($F87="s-curve",$D87+($E87-$D87)*$I$2/(1+EXP($I$3*(COUNT($H$9:Q$9)+$I$4))),TREND($D87:$E87,$D$9:$E$9,Q$9))</f>
        <v>0.14185106490048782</v>
      </c>
      <c r="R87" s="13">
        <f>IF($F87="s-curve",$D87+($E87-$D87)*$I$2/(1+EXP($I$3*(COUNT($H$9:R$9)+$I$4))),TREND($D87:$E87,$D$9:$E$9,R$9))</f>
        <v>0.18242552380635635</v>
      </c>
      <c r="S87" s="13">
        <f>IF($F87="s-curve",$D87+($E87-$D87)*$I$2/(1+EXP($I$3*(COUNT($H$9:S$9)+$I$4))),TREND($D87:$E87,$D$9:$E$9,S$9))</f>
        <v>0.23147521650098238</v>
      </c>
      <c r="T87" s="13">
        <f>IF($F87="s-curve",$D87+($E87-$D87)*$I$2/(1+EXP($I$3*(COUNT($H$9:T$9)+$I$4))),TREND($D87:$E87,$D$9:$E$9,T$9))</f>
        <v>0.28905049737499605</v>
      </c>
      <c r="U87" s="13">
        <f>IF($F87="s-curve",$D87+($E87-$D87)*$I$2/(1+EXP($I$3*(COUNT($H$9:U$9)+$I$4))),TREND($D87:$E87,$D$9:$E$9,U$9))</f>
        <v>0.35434369377420455</v>
      </c>
      <c r="V87" s="13">
        <f>IF($F87="s-curve",$D87+($E87-$D87)*$I$2/(1+EXP($I$3*(COUNT($H$9:V$9)+$I$4))),TREND($D87:$E87,$D$9:$E$9,V$9))</f>
        <v>0.42555748318834102</v>
      </c>
      <c r="W87" s="13">
        <f>IF($F87="s-curve",$D87+($E87-$D87)*$I$2/(1+EXP($I$3*(COUNT($H$9:W$9)+$I$4))),TREND($D87:$E87,$D$9:$E$9,W$9))</f>
        <v>0.5</v>
      </c>
      <c r="X87" s="13">
        <f>IF($F87="s-curve",$D87+($E87-$D87)*$I$2/(1+EXP($I$3*(COUNT($H$9:X$9)+$I$4))),TREND($D87:$E87,$D$9:$E$9,X$9))</f>
        <v>0.57444251681165903</v>
      </c>
      <c r="Y87" s="13">
        <f>IF($F87="s-curve",$D87+($E87-$D87)*$I$2/(1+EXP($I$3*(COUNT($H$9:Y$9)+$I$4))),TREND($D87:$E87,$D$9:$E$9,Y$9))</f>
        <v>0.6456563062257954</v>
      </c>
      <c r="Z87" s="13">
        <f>IF($F87="s-curve",$D87+($E87-$D87)*$I$2/(1+EXP($I$3*(COUNT($H$9:Z$9)+$I$4))),TREND($D87:$E87,$D$9:$E$9,Z$9))</f>
        <v>0.71094950262500389</v>
      </c>
      <c r="AA87" s="13">
        <f>IF($F87="s-curve",$D87+($E87-$D87)*$I$2/(1+EXP($I$3*(COUNT($H$9:AA$9)+$I$4))),TREND($D87:$E87,$D$9:$E$9,AA$9))</f>
        <v>0.76852478349901754</v>
      </c>
      <c r="AB87" s="13">
        <f>IF($F87="s-curve",$D87+($E87-$D87)*$I$2/(1+EXP($I$3*(COUNT($H$9:AB$9)+$I$4))),TREND($D87:$E87,$D$9:$E$9,AB$9))</f>
        <v>0.81757447619364365</v>
      </c>
      <c r="AC87" s="13">
        <f>IF($F87="s-curve",$D87+($E87-$D87)*$I$2/(1+EXP($I$3*(COUNT($H$9:AC$9)+$I$4))),TREND($D87:$E87,$D$9:$E$9,AC$9))</f>
        <v>0.85814893509951229</v>
      </c>
      <c r="AD87" s="13">
        <f>IF($F87="s-curve",$D87+($E87-$D87)*$I$2/(1+EXP($I$3*(COUNT($H$9:AD$9)+$I$4))),TREND($D87:$E87,$D$9:$E$9,AD$9))</f>
        <v>0.89090317880438707</v>
      </c>
      <c r="AE87" s="13">
        <f>IF($F87="s-curve",$D87+($E87-$D87)*$I$2/(1+EXP($I$3*(COUNT($H$9:AE$9)+$I$4))),TREND($D87:$E87,$D$9:$E$9,AE$9))</f>
        <v>0.91682730350607766</v>
      </c>
      <c r="AF87" s="13">
        <f>IF($F87="s-curve",$D87+($E87-$D87)*$I$2/(1+EXP($I$3*(COUNT($H$9:AF$9)+$I$4))),TREND($D87:$E87,$D$9:$E$9,AF$9))</f>
        <v>0.9370266439430035</v>
      </c>
      <c r="AG87" s="13">
        <f>IF($F87="s-curve",$D87+($E87-$D87)*$I$2/(1+EXP($I$3*(COUNT($H$9:AG$9)+$I$4))),TREND($D87:$E87,$D$9:$E$9,AG$9))</f>
        <v>0.95257412682243336</v>
      </c>
      <c r="AH87" s="13">
        <f>IF($F87="s-curve",$D87+($E87-$D87)*$I$2/(1+EXP($I$3*(COUNT($H$9:AH$9)+$I$4))),TREND($D87:$E87,$D$9:$E$9,AH$9))</f>
        <v>0.96442881072736386</v>
      </c>
      <c r="AI87" s="13">
        <f>IF($F87="s-curve",$D87+($E87-$D87)*$I$2/(1+EXP($I$3*(COUNT($H$9:AI$9)+$I$4))),TREND($D87:$E87,$D$9:$E$9,AI$9))</f>
        <v>0.97340300642313404</v>
      </c>
      <c r="AJ87" s="13">
        <f>IF($F87="s-curve",$D87+($E87-$D87)*$I$2/(1+EXP($I$3*(COUNT($H$9:AJ$9)+$I$4))),TREND($D87:$E87,$D$9:$E$9,AJ$9))</f>
        <v>0.98015969426592253</v>
      </c>
      <c r="AK87" s="13">
        <f>IF($F87="s-curve",$D87+($E87-$D87)*$I$2/(1+EXP($I$3*(COUNT($H$9:AK$9)+$I$4))),TREND($D87:$E87,$D$9:$E$9,AK$9))</f>
        <v>0.98522596830672693</v>
      </c>
      <c r="AL87" s="13">
        <f>IF($F87="s-curve",$D87+($E87-$D87)*$I$2/(1+EXP($I$3*(COUNT($H$9:AL$9)+$I$4))),TREND($D87:$E87,$D$9:$E$9,AL$9))</f>
        <v>0.98901305736940681</v>
      </c>
    </row>
    <row r="88" spans="1:38" x14ac:dyDescent="0.35">
      <c r="C88" s="13" t="s">
        <v>2</v>
      </c>
      <c r="D88" s="24">
        <f t="shared" ref="D88:E93" si="11">D81</f>
        <v>0</v>
      </c>
      <c r="E88" s="24">
        <f t="shared" si="11"/>
        <v>0</v>
      </c>
      <c r="F88" s="7" t="str">
        <f>IF(D88=E88,"n/a",IF(OR(C88="battery electric vehicle",C88="natural gas vehicle",C88="plugin hybrid vehicle"),"s-curve","linear"))</f>
        <v>n/a</v>
      </c>
      <c r="H88" s="24">
        <f t="shared" si="9"/>
        <v>0</v>
      </c>
      <c r="I88" s="13">
        <f>IF($F88="s-curve",$D88+($E88-$D88)*$I$2/(1+EXP($I$3*(COUNT($H$9:I$9)+$I$4))),TREND($D88:$E88,$D$9:$E$9,I$9))</f>
        <v>0</v>
      </c>
      <c r="J88" s="13">
        <f>IF($F88="s-curve",$D88+($E88-$D88)*$I$2/(1+EXP($I$3*(COUNT($H$9:J$9)+$I$4))),TREND($D88:$E88,$D$9:$E$9,J$9))</f>
        <v>0</v>
      </c>
      <c r="K88" s="13">
        <f>IF($F88="s-curve",$D88+($E88-$D88)*$I$2/(1+EXP($I$3*(COUNT($H$9:K$9)+$I$4))),TREND($D88:$E88,$D$9:$E$9,K$9))</f>
        <v>0</v>
      </c>
      <c r="L88" s="13">
        <f>IF($F88="s-curve",$D88+($E88-$D88)*$I$2/(1+EXP($I$3*(COUNT($H$9:L$9)+$I$4))),TREND($D88:$E88,$D$9:$E$9,L$9))</f>
        <v>0</v>
      </c>
      <c r="M88" s="13">
        <f>IF($F88="s-curve",$D88+($E88-$D88)*$I$2/(1+EXP($I$3*(COUNT($H$9:M$9)+$I$4))),TREND($D88:$E88,$D$9:$E$9,M$9))</f>
        <v>0</v>
      </c>
      <c r="N88" s="13">
        <f>IF($F88="s-curve",$D88+($E88-$D88)*$I$2/(1+EXP($I$3*(COUNT($H$9:N$9)+$I$4))),TREND($D88:$E88,$D$9:$E$9,N$9))</f>
        <v>0</v>
      </c>
      <c r="O88" s="13">
        <f>IF($F88="s-curve",$D88+($E88-$D88)*$I$2/(1+EXP($I$3*(COUNT($H$9:O$9)+$I$4))),TREND($D88:$E88,$D$9:$E$9,O$9))</f>
        <v>0</v>
      </c>
      <c r="P88" s="13">
        <f>IF($F88="s-curve",$D88+($E88-$D88)*$I$2/(1+EXP($I$3*(COUNT($H$9:P$9)+$I$4))),TREND($D88:$E88,$D$9:$E$9,P$9))</f>
        <v>0</v>
      </c>
      <c r="Q88" s="13">
        <f>IF($F88="s-curve",$D88+($E88-$D88)*$I$2/(1+EXP($I$3*(COUNT($H$9:Q$9)+$I$4))),TREND($D88:$E88,$D$9:$E$9,Q$9))</f>
        <v>0</v>
      </c>
      <c r="R88" s="13">
        <f>IF($F88="s-curve",$D88+($E88-$D88)*$I$2/(1+EXP($I$3*(COUNT($H$9:R$9)+$I$4))),TREND($D88:$E88,$D$9:$E$9,R$9))</f>
        <v>0</v>
      </c>
      <c r="S88" s="13">
        <f>IF($F88="s-curve",$D88+($E88-$D88)*$I$2/(1+EXP($I$3*(COUNT($H$9:S$9)+$I$4))),TREND($D88:$E88,$D$9:$E$9,S$9))</f>
        <v>0</v>
      </c>
      <c r="T88" s="13">
        <f>IF($F88="s-curve",$D88+($E88-$D88)*$I$2/(1+EXP($I$3*(COUNT($H$9:T$9)+$I$4))),TREND($D88:$E88,$D$9:$E$9,T$9))</f>
        <v>0</v>
      </c>
      <c r="U88" s="13">
        <f>IF($F88="s-curve",$D88+($E88-$D88)*$I$2/(1+EXP($I$3*(COUNT($H$9:U$9)+$I$4))),TREND($D88:$E88,$D$9:$E$9,U$9))</f>
        <v>0</v>
      </c>
      <c r="V88" s="13">
        <f>IF($F88="s-curve",$D88+($E88-$D88)*$I$2/(1+EXP($I$3*(COUNT($H$9:V$9)+$I$4))),TREND($D88:$E88,$D$9:$E$9,V$9))</f>
        <v>0</v>
      </c>
      <c r="W88" s="13">
        <f>IF($F88="s-curve",$D88+($E88-$D88)*$I$2/(1+EXP($I$3*(COUNT($H$9:W$9)+$I$4))),TREND($D88:$E88,$D$9:$E$9,W$9))</f>
        <v>0</v>
      </c>
      <c r="X88" s="13">
        <f>IF($F88="s-curve",$D88+($E88-$D88)*$I$2/(1+EXP($I$3*(COUNT($H$9:X$9)+$I$4))),TREND($D88:$E88,$D$9:$E$9,X$9))</f>
        <v>0</v>
      </c>
      <c r="Y88" s="13">
        <f>IF($F88="s-curve",$D88+($E88-$D88)*$I$2/(1+EXP($I$3*(COUNT($H$9:Y$9)+$I$4))),TREND($D88:$E88,$D$9:$E$9,Y$9))</f>
        <v>0</v>
      </c>
      <c r="Z88" s="13">
        <f>IF($F88="s-curve",$D88+($E88-$D88)*$I$2/(1+EXP($I$3*(COUNT($H$9:Z$9)+$I$4))),TREND($D88:$E88,$D$9:$E$9,Z$9))</f>
        <v>0</v>
      </c>
      <c r="AA88" s="13">
        <f>IF($F88="s-curve",$D88+($E88-$D88)*$I$2/(1+EXP($I$3*(COUNT($H$9:AA$9)+$I$4))),TREND($D88:$E88,$D$9:$E$9,AA$9))</f>
        <v>0</v>
      </c>
      <c r="AB88" s="13">
        <f>IF($F88="s-curve",$D88+($E88-$D88)*$I$2/(1+EXP($I$3*(COUNT($H$9:AB$9)+$I$4))),TREND($D88:$E88,$D$9:$E$9,AB$9))</f>
        <v>0</v>
      </c>
      <c r="AC88" s="13">
        <f>IF($F88="s-curve",$D88+($E88-$D88)*$I$2/(1+EXP($I$3*(COUNT($H$9:AC$9)+$I$4))),TREND($D88:$E88,$D$9:$E$9,AC$9))</f>
        <v>0</v>
      </c>
      <c r="AD88" s="13">
        <f>IF($F88="s-curve",$D88+($E88-$D88)*$I$2/(1+EXP($I$3*(COUNT($H$9:AD$9)+$I$4))),TREND($D88:$E88,$D$9:$E$9,AD$9))</f>
        <v>0</v>
      </c>
      <c r="AE88" s="13">
        <f>IF($F88="s-curve",$D88+($E88-$D88)*$I$2/(1+EXP($I$3*(COUNT($H$9:AE$9)+$I$4))),TREND($D88:$E88,$D$9:$E$9,AE$9))</f>
        <v>0</v>
      </c>
      <c r="AF88" s="13">
        <f>IF($F88="s-curve",$D88+($E88-$D88)*$I$2/(1+EXP($I$3*(COUNT($H$9:AF$9)+$I$4))),TREND($D88:$E88,$D$9:$E$9,AF$9))</f>
        <v>0</v>
      </c>
      <c r="AG88" s="13">
        <f>IF($F88="s-curve",$D88+($E88-$D88)*$I$2/(1+EXP($I$3*(COUNT($H$9:AG$9)+$I$4))),TREND($D88:$E88,$D$9:$E$9,AG$9))</f>
        <v>0</v>
      </c>
      <c r="AH88" s="13">
        <f>IF($F88="s-curve",$D88+($E88-$D88)*$I$2/(1+EXP($I$3*(COUNT($H$9:AH$9)+$I$4))),TREND($D88:$E88,$D$9:$E$9,AH$9))</f>
        <v>0</v>
      </c>
      <c r="AI88" s="13">
        <f>IF($F88="s-curve",$D88+($E88-$D88)*$I$2/(1+EXP($I$3*(COUNT($H$9:AI$9)+$I$4))),TREND($D88:$E88,$D$9:$E$9,AI$9))</f>
        <v>0</v>
      </c>
      <c r="AJ88" s="13">
        <f>IF($F88="s-curve",$D88+($E88-$D88)*$I$2/(1+EXP($I$3*(COUNT($H$9:AJ$9)+$I$4))),TREND($D88:$E88,$D$9:$E$9,AJ$9))</f>
        <v>0</v>
      </c>
      <c r="AK88" s="13">
        <f>IF($F88="s-curve",$D88+($E88-$D88)*$I$2/(1+EXP($I$3*(COUNT($H$9:AK$9)+$I$4))),TREND($D88:$E88,$D$9:$E$9,AK$9))</f>
        <v>0</v>
      </c>
      <c r="AL88" s="13">
        <f>IF($F88="s-curve",$D88+($E88-$D88)*$I$2/(1+EXP($I$3*(COUNT($H$9:AL$9)+$I$4))),TREND($D88:$E88,$D$9:$E$9,AL$9))</f>
        <v>0</v>
      </c>
    </row>
    <row r="89" spans="1:38" x14ac:dyDescent="0.35">
      <c r="C89" s="13" t="s">
        <v>3</v>
      </c>
      <c r="D89" s="24">
        <f t="shared" si="11"/>
        <v>3</v>
      </c>
      <c r="E89" s="24">
        <f t="shared" si="11"/>
        <v>3</v>
      </c>
      <c r="F89" s="7" t="str">
        <f>IF(D89=E89,"n/a",IF(OR(C89="battery electric vehicle",C89="natural gas vehicle",C89="plugin hybrid vehicle"),"s-curve","linear"))</f>
        <v>n/a</v>
      </c>
      <c r="H89" s="24">
        <f t="shared" si="9"/>
        <v>3</v>
      </c>
      <c r="I89" s="13">
        <f>IF($F89="s-curve",$D89+($E89-$D89)*$I$2/(1+EXP($I$3*(COUNT($H$9:I$9)+$I$4))),TREND($D89:$E89,$D$9:$E$9,I$9))</f>
        <v>3</v>
      </c>
      <c r="J89" s="13">
        <f>IF($F89="s-curve",$D89+($E89-$D89)*$I$2/(1+EXP($I$3*(COUNT($H$9:J$9)+$I$4))),TREND($D89:$E89,$D$9:$E$9,J$9))</f>
        <v>3</v>
      </c>
      <c r="K89" s="13">
        <f>IF($F89="s-curve",$D89+($E89-$D89)*$I$2/(1+EXP($I$3*(COUNT($H$9:K$9)+$I$4))),TREND($D89:$E89,$D$9:$E$9,K$9))</f>
        <v>3</v>
      </c>
      <c r="L89" s="13">
        <f>IF($F89="s-curve",$D89+($E89-$D89)*$I$2/(1+EXP($I$3*(COUNT($H$9:L$9)+$I$4))),TREND($D89:$E89,$D$9:$E$9,L$9))</f>
        <v>3</v>
      </c>
      <c r="M89" s="13">
        <f>IF($F89="s-curve",$D89+($E89-$D89)*$I$2/(1+EXP($I$3*(COUNT($H$9:M$9)+$I$4))),TREND($D89:$E89,$D$9:$E$9,M$9))</f>
        <v>3</v>
      </c>
      <c r="N89" s="13">
        <f>IF($F89="s-curve",$D89+($E89-$D89)*$I$2/(1+EXP($I$3*(COUNT($H$9:N$9)+$I$4))),TREND($D89:$E89,$D$9:$E$9,N$9))</f>
        <v>3</v>
      </c>
      <c r="O89" s="13">
        <f>IF($F89="s-curve",$D89+($E89-$D89)*$I$2/(1+EXP($I$3*(COUNT($H$9:O$9)+$I$4))),TREND($D89:$E89,$D$9:$E$9,O$9))</f>
        <v>3</v>
      </c>
      <c r="P89" s="13">
        <f>IF($F89="s-curve",$D89+($E89-$D89)*$I$2/(1+EXP($I$3*(COUNT($H$9:P$9)+$I$4))),TREND($D89:$E89,$D$9:$E$9,P$9))</f>
        <v>3</v>
      </c>
      <c r="Q89" s="13">
        <f>IF($F89="s-curve",$D89+($E89-$D89)*$I$2/(1+EXP($I$3*(COUNT($H$9:Q$9)+$I$4))),TREND($D89:$E89,$D$9:$E$9,Q$9))</f>
        <v>3</v>
      </c>
      <c r="R89" s="13">
        <f>IF($F89="s-curve",$D89+($E89-$D89)*$I$2/(1+EXP($I$3*(COUNT($H$9:R$9)+$I$4))),TREND($D89:$E89,$D$9:$E$9,R$9))</f>
        <v>3</v>
      </c>
      <c r="S89" s="13">
        <f>IF($F89="s-curve",$D89+($E89-$D89)*$I$2/(1+EXP($I$3*(COUNT($H$9:S$9)+$I$4))),TREND($D89:$E89,$D$9:$E$9,S$9))</f>
        <v>3</v>
      </c>
      <c r="T89" s="13">
        <f>IF($F89="s-curve",$D89+($E89-$D89)*$I$2/(1+EXP($I$3*(COUNT($H$9:T$9)+$I$4))),TREND($D89:$E89,$D$9:$E$9,T$9))</f>
        <v>3</v>
      </c>
      <c r="U89" s="13">
        <f>IF($F89="s-curve",$D89+($E89-$D89)*$I$2/(1+EXP($I$3*(COUNT($H$9:U$9)+$I$4))),TREND($D89:$E89,$D$9:$E$9,U$9))</f>
        <v>3</v>
      </c>
      <c r="V89" s="13">
        <f>IF($F89="s-curve",$D89+($E89-$D89)*$I$2/(1+EXP($I$3*(COUNT($H$9:V$9)+$I$4))),TREND($D89:$E89,$D$9:$E$9,V$9))</f>
        <v>3</v>
      </c>
      <c r="W89" s="13">
        <f>IF($F89="s-curve",$D89+($E89-$D89)*$I$2/(1+EXP($I$3*(COUNT($H$9:W$9)+$I$4))),TREND($D89:$E89,$D$9:$E$9,W$9))</f>
        <v>3</v>
      </c>
      <c r="X89" s="13">
        <f>IF($F89="s-curve",$D89+($E89-$D89)*$I$2/(1+EXP($I$3*(COUNT($H$9:X$9)+$I$4))),TREND($D89:$E89,$D$9:$E$9,X$9))</f>
        <v>3</v>
      </c>
      <c r="Y89" s="13">
        <f>IF($F89="s-curve",$D89+($E89-$D89)*$I$2/(1+EXP($I$3*(COUNT($H$9:Y$9)+$I$4))),TREND($D89:$E89,$D$9:$E$9,Y$9))</f>
        <v>3</v>
      </c>
      <c r="Z89" s="13">
        <f>IF($F89="s-curve",$D89+($E89-$D89)*$I$2/(1+EXP($I$3*(COUNT($H$9:Z$9)+$I$4))),TREND($D89:$E89,$D$9:$E$9,Z$9))</f>
        <v>3</v>
      </c>
      <c r="AA89" s="13">
        <f>IF($F89="s-curve",$D89+($E89-$D89)*$I$2/(1+EXP($I$3*(COUNT($H$9:AA$9)+$I$4))),TREND($D89:$E89,$D$9:$E$9,AA$9))</f>
        <v>3</v>
      </c>
      <c r="AB89" s="13">
        <f>IF($F89="s-curve",$D89+($E89-$D89)*$I$2/(1+EXP($I$3*(COUNT($H$9:AB$9)+$I$4))),TREND($D89:$E89,$D$9:$E$9,AB$9))</f>
        <v>3</v>
      </c>
      <c r="AC89" s="13">
        <f>IF($F89="s-curve",$D89+($E89-$D89)*$I$2/(1+EXP($I$3*(COUNT($H$9:AC$9)+$I$4))),TREND($D89:$E89,$D$9:$E$9,AC$9))</f>
        <v>3</v>
      </c>
      <c r="AD89" s="13">
        <f>IF($F89="s-curve",$D89+($E89-$D89)*$I$2/(1+EXP($I$3*(COUNT($H$9:AD$9)+$I$4))),TREND($D89:$E89,$D$9:$E$9,AD$9))</f>
        <v>3</v>
      </c>
      <c r="AE89" s="13">
        <f>IF($F89="s-curve",$D89+($E89-$D89)*$I$2/(1+EXP($I$3*(COUNT($H$9:AE$9)+$I$4))),TREND($D89:$E89,$D$9:$E$9,AE$9))</f>
        <v>3</v>
      </c>
      <c r="AF89" s="13">
        <f>IF($F89="s-curve",$D89+($E89-$D89)*$I$2/(1+EXP($I$3*(COUNT($H$9:AF$9)+$I$4))),TREND($D89:$E89,$D$9:$E$9,AF$9))</f>
        <v>3</v>
      </c>
      <c r="AG89" s="13">
        <f>IF($F89="s-curve",$D89+($E89-$D89)*$I$2/(1+EXP($I$3*(COUNT($H$9:AG$9)+$I$4))),TREND($D89:$E89,$D$9:$E$9,AG$9))</f>
        <v>3</v>
      </c>
      <c r="AH89" s="13">
        <f>IF($F89="s-curve",$D89+($E89-$D89)*$I$2/(1+EXP($I$3*(COUNT($H$9:AH$9)+$I$4))),TREND($D89:$E89,$D$9:$E$9,AH$9))</f>
        <v>3</v>
      </c>
      <c r="AI89" s="13">
        <f>IF($F89="s-curve",$D89+($E89-$D89)*$I$2/(1+EXP($I$3*(COUNT($H$9:AI$9)+$I$4))),TREND($D89:$E89,$D$9:$E$9,AI$9))</f>
        <v>3</v>
      </c>
      <c r="AJ89" s="13">
        <f>IF($F89="s-curve",$D89+($E89-$D89)*$I$2/(1+EXP($I$3*(COUNT($H$9:AJ$9)+$I$4))),TREND($D89:$E89,$D$9:$E$9,AJ$9))</f>
        <v>3</v>
      </c>
      <c r="AK89" s="13">
        <f>IF($F89="s-curve",$D89+($E89-$D89)*$I$2/(1+EXP($I$3*(COUNT($H$9:AK$9)+$I$4))),TREND($D89:$E89,$D$9:$E$9,AK$9))</f>
        <v>3</v>
      </c>
      <c r="AL89" s="13">
        <f>IF($F89="s-curve",$D89+($E89-$D89)*$I$2/(1+EXP($I$3*(COUNT($H$9:AL$9)+$I$4))),TREND($D89:$E89,$D$9:$E$9,AL$9))</f>
        <v>3</v>
      </c>
    </row>
    <row r="90" spans="1:38" x14ac:dyDescent="0.35">
      <c r="C90" s="13" t="s">
        <v>4</v>
      </c>
      <c r="D90" s="24">
        <f t="shared" si="11"/>
        <v>0</v>
      </c>
      <c r="E90" s="24">
        <f t="shared" si="11"/>
        <v>0</v>
      </c>
      <c r="F90" s="7" t="str">
        <f>IF(D90=E90,"n/a",IF(OR(C90="battery electric vehicle",C90="natural gas vehicle",C90="plugin hybrid vehicle"),"s-curve","linear"))</f>
        <v>n/a</v>
      </c>
      <c r="H90" s="24">
        <f t="shared" si="9"/>
        <v>0</v>
      </c>
      <c r="I90" s="13">
        <f>IF($F90="s-curve",$D90+($E90-$D90)*$I$2/(1+EXP($I$3*(COUNT($H$9:I$9)+$I$4))),TREND($D90:$E90,$D$9:$E$9,I$9))</f>
        <v>0</v>
      </c>
      <c r="J90" s="13">
        <f>IF($F90="s-curve",$D90+($E90-$D90)*$I$2/(1+EXP($I$3*(COUNT($H$9:J$9)+$I$4))),TREND($D90:$E90,$D$9:$E$9,J$9))</f>
        <v>0</v>
      </c>
      <c r="K90" s="13">
        <f>IF($F90="s-curve",$D90+($E90-$D90)*$I$2/(1+EXP($I$3*(COUNT($H$9:K$9)+$I$4))),TREND($D90:$E90,$D$9:$E$9,K$9))</f>
        <v>0</v>
      </c>
      <c r="L90" s="13">
        <f>IF($F90="s-curve",$D90+($E90-$D90)*$I$2/(1+EXP($I$3*(COUNT($H$9:L$9)+$I$4))),TREND($D90:$E90,$D$9:$E$9,L$9))</f>
        <v>0</v>
      </c>
      <c r="M90" s="13">
        <f>IF($F90="s-curve",$D90+($E90-$D90)*$I$2/(1+EXP($I$3*(COUNT($H$9:M$9)+$I$4))),TREND($D90:$E90,$D$9:$E$9,M$9))</f>
        <v>0</v>
      </c>
      <c r="N90" s="13">
        <f>IF($F90="s-curve",$D90+($E90-$D90)*$I$2/(1+EXP($I$3*(COUNT($H$9:N$9)+$I$4))),TREND($D90:$E90,$D$9:$E$9,N$9))</f>
        <v>0</v>
      </c>
      <c r="O90" s="13">
        <f>IF($F90="s-curve",$D90+($E90-$D90)*$I$2/(1+EXP($I$3*(COUNT($H$9:O$9)+$I$4))),TREND($D90:$E90,$D$9:$E$9,O$9))</f>
        <v>0</v>
      </c>
      <c r="P90" s="13">
        <f>IF($F90="s-curve",$D90+($E90-$D90)*$I$2/(1+EXP($I$3*(COUNT($H$9:P$9)+$I$4))),TREND($D90:$E90,$D$9:$E$9,P$9))</f>
        <v>0</v>
      </c>
      <c r="Q90" s="13">
        <f>IF($F90="s-curve",$D90+($E90-$D90)*$I$2/(1+EXP($I$3*(COUNT($H$9:Q$9)+$I$4))),TREND($D90:$E90,$D$9:$E$9,Q$9))</f>
        <v>0</v>
      </c>
      <c r="R90" s="13">
        <f>IF($F90="s-curve",$D90+($E90-$D90)*$I$2/(1+EXP($I$3*(COUNT($H$9:R$9)+$I$4))),TREND($D90:$E90,$D$9:$E$9,R$9))</f>
        <v>0</v>
      </c>
      <c r="S90" s="13">
        <f>IF($F90="s-curve",$D90+($E90-$D90)*$I$2/(1+EXP($I$3*(COUNT($H$9:S$9)+$I$4))),TREND($D90:$E90,$D$9:$E$9,S$9))</f>
        <v>0</v>
      </c>
      <c r="T90" s="13">
        <f>IF($F90="s-curve",$D90+($E90-$D90)*$I$2/(1+EXP($I$3*(COUNT($H$9:T$9)+$I$4))),TREND($D90:$E90,$D$9:$E$9,T$9))</f>
        <v>0</v>
      </c>
      <c r="U90" s="13">
        <f>IF($F90="s-curve",$D90+($E90-$D90)*$I$2/(1+EXP($I$3*(COUNT($H$9:U$9)+$I$4))),TREND($D90:$E90,$D$9:$E$9,U$9))</f>
        <v>0</v>
      </c>
      <c r="V90" s="13">
        <f>IF($F90="s-curve",$D90+($E90-$D90)*$I$2/(1+EXP($I$3*(COUNT($H$9:V$9)+$I$4))),TREND($D90:$E90,$D$9:$E$9,V$9))</f>
        <v>0</v>
      </c>
      <c r="W90" s="13">
        <f>IF($F90="s-curve",$D90+($E90-$D90)*$I$2/(1+EXP($I$3*(COUNT($H$9:W$9)+$I$4))),TREND($D90:$E90,$D$9:$E$9,W$9))</f>
        <v>0</v>
      </c>
      <c r="X90" s="13">
        <f>IF($F90="s-curve",$D90+($E90-$D90)*$I$2/(1+EXP($I$3*(COUNT($H$9:X$9)+$I$4))),TREND($D90:$E90,$D$9:$E$9,X$9))</f>
        <v>0</v>
      </c>
      <c r="Y90" s="13">
        <f>IF($F90="s-curve",$D90+($E90-$D90)*$I$2/(1+EXP($I$3*(COUNT($H$9:Y$9)+$I$4))),TREND($D90:$E90,$D$9:$E$9,Y$9))</f>
        <v>0</v>
      </c>
      <c r="Z90" s="13">
        <f>IF($F90="s-curve",$D90+($E90-$D90)*$I$2/(1+EXP($I$3*(COUNT($H$9:Z$9)+$I$4))),TREND($D90:$E90,$D$9:$E$9,Z$9))</f>
        <v>0</v>
      </c>
      <c r="AA90" s="13">
        <f>IF($F90="s-curve",$D90+($E90-$D90)*$I$2/(1+EXP($I$3*(COUNT($H$9:AA$9)+$I$4))),TREND($D90:$E90,$D$9:$E$9,AA$9))</f>
        <v>0</v>
      </c>
      <c r="AB90" s="13">
        <f>IF($F90="s-curve",$D90+($E90-$D90)*$I$2/(1+EXP($I$3*(COUNT($H$9:AB$9)+$I$4))),TREND($D90:$E90,$D$9:$E$9,AB$9))</f>
        <v>0</v>
      </c>
      <c r="AC90" s="13">
        <f>IF($F90="s-curve",$D90+($E90-$D90)*$I$2/(1+EXP($I$3*(COUNT($H$9:AC$9)+$I$4))),TREND($D90:$E90,$D$9:$E$9,AC$9))</f>
        <v>0</v>
      </c>
      <c r="AD90" s="13">
        <f>IF($F90="s-curve",$D90+($E90-$D90)*$I$2/(1+EXP($I$3*(COUNT($H$9:AD$9)+$I$4))),TREND($D90:$E90,$D$9:$E$9,AD$9))</f>
        <v>0</v>
      </c>
      <c r="AE90" s="13">
        <f>IF($F90="s-curve",$D90+($E90-$D90)*$I$2/(1+EXP($I$3*(COUNT($H$9:AE$9)+$I$4))),TREND($D90:$E90,$D$9:$E$9,AE$9))</f>
        <v>0</v>
      </c>
      <c r="AF90" s="13">
        <f>IF($F90="s-curve",$D90+($E90-$D90)*$I$2/(1+EXP($I$3*(COUNT($H$9:AF$9)+$I$4))),TREND($D90:$E90,$D$9:$E$9,AF$9))</f>
        <v>0</v>
      </c>
      <c r="AG90" s="13">
        <f>IF($F90="s-curve",$D90+($E90-$D90)*$I$2/(1+EXP($I$3*(COUNT($H$9:AG$9)+$I$4))),TREND($D90:$E90,$D$9:$E$9,AG$9))</f>
        <v>0</v>
      </c>
      <c r="AH90" s="13">
        <f>IF($F90="s-curve",$D90+($E90-$D90)*$I$2/(1+EXP($I$3*(COUNT($H$9:AH$9)+$I$4))),TREND($D90:$E90,$D$9:$E$9,AH$9))</f>
        <v>0</v>
      </c>
      <c r="AI90" s="13">
        <f>IF($F90="s-curve",$D90+($E90-$D90)*$I$2/(1+EXP($I$3*(COUNT($H$9:AI$9)+$I$4))),TREND($D90:$E90,$D$9:$E$9,AI$9))</f>
        <v>0</v>
      </c>
      <c r="AJ90" s="13">
        <f>IF($F90="s-curve",$D90+($E90-$D90)*$I$2/(1+EXP($I$3*(COUNT($H$9:AJ$9)+$I$4))),TREND($D90:$E90,$D$9:$E$9,AJ$9))</f>
        <v>0</v>
      </c>
      <c r="AK90" s="13">
        <f>IF($F90="s-curve",$D90+($E90-$D90)*$I$2/(1+EXP($I$3*(COUNT($H$9:AK$9)+$I$4))),TREND($D90:$E90,$D$9:$E$9,AK$9))</f>
        <v>0</v>
      </c>
      <c r="AL90" s="13">
        <f>IF($F90="s-curve",$D90+($E90-$D90)*$I$2/(1+EXP($I$3*(COUNT($H$9:AL$9)+$I$4))),TREND($D90:$E90,$D$9:$E$9,AL$9))</f>
        <v>0</v>
      </c>
    </row>
    <row r="91" spans="1:38" x14ac:dyDescent="0.35">
      <c r="C91" s="13" t="s">
        <v>5</v>
      </c>
      <c r="D91" s="24">
        <f t="shared" si="11"/>
        <v>0</v>
      </c>
      <c r="E91" s="24">
        <f t="shared" si="11"/>
        <v>0</v>
      </c>
      <c r="F91" s="7" t="str">
        <f>IF(D91=E91,"n/a",IF(OR(C91="battery electric vehicle",C91="natural gas vehicle",C91="plugin hybrid vehicle"),"s-curve","linear"))</f>
        <v>n/a</v>
      </c>
      <c r="H91" s="24">
        <f t="shared" si="9"/>
        <v>0</v>
      </c>
      <c r="I91" s="13">
        <f>IF($F91="s-curve",$D91+($E91-$D91)*$I$2/(1+EXP($I$3*(COUNT($H$9:I$9)+$I$4))),TREND($D91:$E91,$D$9:$E$9,I$9))</f>
        <v>0</v>
      </c>
      <c r="J91" s="13">
        <f>IF($F91="s-curve",$D91+($E91-$D91)*$I$2/(1+EXP($I$3*(COUNT($H$9:J$9)+$I$4))),TREND($D91:$E91,$D$9:$E$9,J$9))</f>
        <v>0</v>
      </c>
      <c r="K91" s="13">
        <f>IF($F91="s-curve",$D91+($E91-$D91)*$I$2/(1+EXP($I$3*(COUNT($H$9:K$9)+$I$4))),TREND($D91:$E91,$D$9:$E$9,K$9))</f>
        <v>0</v>
      </c>
      <c r="L91" s="13">
        <f>IF($F91="s-curve",$D91+($E91-$D91)*$I$2/(1+EXP($I$3*(COUNT($H$9:L$9)+$I$4))),TREND($D91:$E91,$D$9:$E$9,L$9))</f>
        <v>0</v>
      </c>
      <c r="M91" s="13">
        <f>IF($F91="s-curve",$D91+($E91-$D91)*$I$2/(1+EXP($I$3*(COUNT($H$9:M$9)+$I$4))),TREND($D91:$E91,$D$9:$E$9,M$9))</f>
        <v>0</v>
      </c>
      <c r="N91" s="13">
        <f>IF($F91="s-curve",$D91+($E91-$D91)*$I$2/(1+EXP($I$3*(COUNT($H$9:N$9)+$I$4))),TREND($D91:$E91,$D$9:$E$9,N$9))</f>
        <v>0</v>
      </c>
      <c r="O91" s="13">
        <f>IF($F91="s-curve",$D91+($E91-$D91)*$I$2/(1+EXP($I$3*(COUNT($H$9:O$9)+$I$4))),TREND($D91:$E91,$D$9:$E$9,O$9))</f>
        <v>0</v>
      </c>
      <c r="P91" s="13">
        <f>IF($F91="s-curve",$D91+($E91-$D91)*$I$2/(1+EXP($I$3*(COUNT($H$9:P$9)+$I$4))),TREND($D91:$E91,$D$9:$E$9,P$9))</f>
        <v>0</v>
      </c>
      <c r="Q91" s="13">
        <f>IF($F91="s-curve",$D91+($E91-$D91)*$I$2/(1+EXP($I$3*(COUNT($H$9:Q$9)+$I$4))),TREND($D91:$E91,$D$9:$E$9,Q$9))</f>
        <v>0</v>
      </c>
      <c r="R91" s="13">
        <f>IF($F91="s-curve",$D91+($E91-$D91)*$I$2/(1+EXP($I$3*(COUNT($H$9:R$9)+$I$4))),TREND($D91:$E91,$D$9:$E$9,R$9))</f>
        <v>0</v>
      </c>
      <c r="S91" s="13">
        <f>IF($F91="s-curve",$D91+($E91-$D91)*$I$2/(1+EXP($I$3*(COUNT($H$9:S$9)+$I$4))),TREND($D91:$E91,$D$9:$E$9,S$9))</f>
        <v>0</v>
      </c>
      <c r="T91" s="13">
        <f>IF($F91="s-curve",$D91+($E91-$D91)*$I$2/(1+EXP($I$3*(COUNT($H$9:T$9)+$I$4))),TREND($D91:$E91,$D$9:$E$9,T$9))</f>
        <v>0</v>
      </c>
      <c r="U91" s="13">
        <f>IF($F91="s-curve",$D91+($E91-$D91)*$I$2/(1+EXP($I$3*(COUNT($H$9:U$9)+$I$4))),TREND($D91:$E91,$D$9:$E$9,U$9))</f>
        <v>0</v>
      </c>
      <c r="V91" s="13">
        <f>IF($F91="s-curve",$D91+($E91-$D91)*$I$2/(1+EXP($I$3*(COUNT($H$9:V$9)+$I$4))),TREND($D91:$E91,$D$9:$E$9,V$9))</f>
        <v>0</v>
      </c>
      <c r="W91" s="13">
        <f>IF($F91="s-curve",$D91+($E91-$D91)*$I$2/(1+EXP($I$3*(COUNT($H$9:W$9)+$I$4))),TREND($D91:$E91,$D$9:$E$9,W$9))</f>
        <v>0</v>
      </c>
      <c r="X91" s="13">
        <f>IF($F91="s-curve",$D91+($E91-$D91)*$I$2/(1+EXP($I$3*(COUNT($H$9:X$9)+$I$4))),TREND($D91:$E91,$D$9:$E$9,X$9))</f>
        <v>0</v>
      </c>
      <c r="Y91" s="13">
        <f>IF($F91="s-curve",$D91+($E91-$D91)*$I$2/(1+EXP($I$3*(COUNT($H$9:Y$9)+$I$4))),TREND($D91:$E91,$D$9:$E$9,Y$9))</f>
        <v>0</v>
      </c>
      <c r="Z91" s="13">
        <f>IF($F91="s-curve",$D91+($E91-$D91)*$I$2/(1+EXP($I$3*(COUNT($H$9:Z$9)+$I$4))),TREND($D91:$E91,$D$9:$E$9,Z$9))</f>
        <v>0</v>
      </c>
      <c r="AA91" s="13">
        <f>IF($F91="s-curve",$D91+($E91-$D91)*$I$2/(1+EXP($I$3*(COUNT($H$9:AA$9)+$I$4))),TREND($D91:$E91,$D$9:$E$9,AA$9))</f>
        <v>0</v>
      </c>
      <c r="AB91" s="13">
        <f>IF($F91="s-curve",$D91+($E91-$D91)*$I$2/(1+EXP($I$3*(COUNT($H$9:AB$9)+$I$4))),TREND($D91:$E91,$D$9:$E$9,AB$9))</f>
        <v>0</v>
      </c>
      <c r="AC91" s="13">
        <f>IF($F91="s-curve",$D91+($E91-$D91)*$I$2/(1+EXP($I$3*(COUNT($H$9:AC$9)+$I$4))),TREND($D91:$E91,$D$9:$E$9,AC$9))</f>
        <v>0</v>
      </c>
      <c r="AD91" s="13">
        <f>IF($F91="s-curve",$D91+($E91-$D91)*$I$2/(1+EXP($I$3*(COUNT($H$9:AD$9)+$I$4))),TREND($D91:$E91,$D$9:$E$9,AD$9))</f>
        <v>0</v>
      </c>
      <c r="AE91" s="13">
        <f>IF($F91="s-curve",$D91+($E91-$D91)*$I$2/(1+EXP($I$3*(COUNT($H$9:AE$9)+$I$4))),TREND($D91:$E91,$D$9:$E$9,AE$9))</f>
        <v>0</v>
      </c>
      <c r="AF91" s="13">
        <f>IF($F91="s-curve",$D91+($E91-$D91)*$I$2/(1+EXP($I$3*(COUNT($H$9:AF$9)+$I$4))),TREND($D91:$E91,$D$9:$E$9,AF$9))</f>
        <v>0</v>
      </c>
      <c r="AG91" s="13">
        <f>IF($F91="s-curve",$D91+($E91-$D91)*$I$2/(1+EXP($I$3*(COUNT($H$9:AG$9)+$I$4))),TREND($D91:$E91,$D$9:$E$9,AG$9))</f>
        <v>0</v>
      </c>
      <c r="AH91" s="13">
        <f>IF($F91="s-curve",$D91+($E91-$D91)*$I$2/(1+EXP($I$3*(COUNT($H$9:AH$9)+$I$4))),TREND($D91:$E91,$D$9:$E$9,AH$9))</f>
        <v>0</v>
      </c>
      <c r="AI91" s="13">
        <f>IF($F91="s-curve",$D91+($E91-$D91)*$I$2/(1+EXP($I$3*(COUNT($H$9:AI$9)+$I$4))),TREND($D91:$E91,$D$9:$E$9,AI$9))</f>
        <v>0</v>
      </c>
      <c r="AJ91" s="13">
        <f>IF($F91="s-curve",$D91+($E91-$D91)*$I$2/(1+EXP($I$3*(COUNT($H$9:AJ$9)+$I$4))),TREND($D91:$E91,$D$9:$E$9,AJ$9))</f>
        <v>0</v>
      </c>
      <c r="AK91" s="13">
        <f>IF($F91="s-curve",$D91+($E91-$D91)*$I$2/(1+EXP($I$3*(COUNT($H$9:AK$9)+$I$4))),TREND($D91:$E91,$D$9:$E$9,AK$9))</f>
        <v>0</v>
      </c>
      <c r="AL91" s="13">
        <f>IF($F91="s-curve",$D91+($E91-$D91)*$I$2/(1+EXP($I$3*(COUNT($H$9:AL$9)+$I$4))),TREND($D91:$E91,$D$9:$E$9,AL$9))</f>
        <v>0</v>
      </c>
    </row>
    <row r="92" spans="1:38" x14ac:dyDescent="0.35">
      <c r="C92" s="13" t="s">
        <v>78</v>
      </c>
      <c r="D92" s="24">
        <f t="shared" si="11"/>
        <v>0</v>
      </c>
      <c r="E92" s="24">
        <f t="shared" si="11"/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4">
        <f t="shared" si="9"/>
        <v>0</v>
      </c>
      <c r="I92" s="13">
        <f>IF($F92="s-curve",$D92+($E92-$D92)*$I$2/(1+EXP($I$3*(COUNT($H$9:I$9)+$I$4))),TREND($D92:$E92,$D$9:$E$9,I$9))</f>
        <v>0</v>
      </c>
      <c r="J92" s="13">
        <f>IF($F92="s-curve",$D92+($E92-$D92)*$I$2/(1+EXP($I$3*(COUNT($H$9:J$9)+$I$4))),TREND($D92:$E92,$D$9:$E$9,J$9))</f>
        <v>0</v>
      </c>
      <c r="K92" s="13">
        <f>IF($F92="s-curve",$D92+($E92-$D92)*$I$2/(1+EXP($I$3*(COUNT($H$9:K$9)+$I$4))),TREND($D92:$E92,$D$9:$E$9,K$9))</f>
        <v>0</v>
      </c>
      <c r="L92" s="13">
        <f>IF($F92="s-curve",$D92+($E92-$D92)*$I$2/(1+EXP($I$3*(COUNT($H$9:L$9)+$I$4))),TREND($D92:$E92,$D$9:$E$9,L$9))</f>
        <v>0</v>
      </c>
      <c r="M92" s="13">
        <f>IF($F92="s-curve",$D92+($E92-$D92)*$I$2/(1+EXP($I$3*(COUNT($H$9:M$9)+$I$4))),TREND($D92:$E92,$D$9:$E$9,M$9))</f>
        <v>0</v>
      </c>
      <c r="N92" s="13">
        <f>IF($F92="s-curve",$D92+($E92-$D92)*$I$2/(1+EXP($I$3*(COUNT($H$9:N$9)+$I$4))),TREND($D92:$E92,$D$9:$E$9,N$9))</f>
        <v>0</v>
      </c>
      <c r="O92" s="13">
        <f>IF($F92="s-curve",$D92+($E92-$D92)*$I$2/(1+EXP($I$3*(COUNT($H$9:O$9)+$I$4))),TREND($D92:$E92,$D$9:$E$9,O$9))</f>
        <v>0</v>
      </c>
      <c r="P92" s="13">
        <f>IF($F92="s-curve",$D92+($E92-$D92)*$I$2/(1+EXP($I$3*(COUNT($H$9:P$9)+$I$4))),TREND($D92:$E92,$D$9:$E$9,P$9))</f>
        <v>0</v>
      </c>
      <c r="Q92" s="13">
        <f>IF($F92="s-curve",$D92+($E92-$D92)*$I$2/(1+EXP($I$3*(COUNT($H$9:Q$9)+$I$4))),TREND($D92:$E92,$D$9:$E$9,Q$9))</f>
        <v>0</v>
      </c>
      <c r="R92" s="13">
        <f>IF($F92="s-curve",$D92+($E92-$D92)*$I$2/(1+EXP($I$3*(COUNT($H$9:R$9)+$I$4))),TREND($D92:$E92,$D$9:$E$9,R$9))</f>
        <v>0</v>
      </c>
      <c r="S92" s="13">
        <f>IF($F92="s-curve",$D92+($E92-$D92)*$I$2/(1+EXP($I$3*(COUNT($H$9:S$9)+$I$4))),TREND($D92:$E92,$D$9:$E$9,S$9))</f>
        <v>0</v>
      </c>
      <c r="T92" s="13">
        <f>IF($F92="s-curve",$D92+($E92-$D92)*$I$2/(1+EXP($I$3*(COUNT($H$9:T$9)+$I$4))),TREND($D92:$E92,$D$9:$E$9,T$9))</f>
        <v>0</v>
      </c>
      <c r="U92" s="13">
        <f>IF($F92="s-curve",$D92+($E92-$D92)*$I$2/(1+EXP($I$3*(COUNT($H$9:U$9)+$I$4))),TREND($D92:$E92,$D$9:$E$9,U$9))</f>
        <v>0</v>
      </c>
      <c r="V92" s="13">
        <f>IF($F92="s-curve",$D92+($E92-$D92)*$I$2/(1+EXP($I$3*(COUNT($H$9:V$9)+$I$4))),TREND($D92:$E92,$D$9:$E$9,V$9))</f>
        <v>0</v>
      </c>
      <c r="W92" s="13">
        <f>IF($F92="s-curve",$D92+($E92-$D92)*$I$2/(1+EXP($I$3*(COUNT($H$9:W$9)+$I$4))),TREND($D92:$E92,$D$9:$E$9,W$9))</f>
        <v>0</v>
      </c>
      <c r="X92" s="13">
        <f>IF($F92="s-curve",$D92+($E92-$D92)*$I$2/(1+EXP($I$3*(COUNT($H$9:X$9)+$I$4))),TREND($D92:$E92,$D$9:$E$9,X$9))</f>
        <v>0</v>
      </c>
      <c r="Y92" s="13">
        <f>IF($F92="s-curve",$D92+($E92-$D92)*$I$2/(1+EXP($I$3*(COUNT($H$9:Y$9)+$I$4))),TREND($D92:$E92,$D$9:$E$9,Y$9))</f>
        <v>0</v>
      </c>
      <c r="Z92" s="13">
        <f>IF($F92="s-curve",$D92+($E92-$D92)*$I$2/(1+EXP($I$3*(COUNT($H$9:Z$9)+$I$4))),TREND($D92:$E92,$D$9:$E$9,Z$9))</f>
        <v>0</v>
      </c>
      <c r="AA92" s="13">
        <f>IF($F92="s-curve",$D92+($E92-$D92)*$I$2/(1+EXP($I$3*(COUNT($H$9:AA$9)+$I$4))),TREND($D92:$E92,$D$9:$E$9,AA$9))</f>
        <v>0</v>
      </c>
      <c r="AB92" s="13">
        <f>IF($F92="s-curve",$D92+($E92-$D92)*$I$2/(1+EXP($I$3*(COUNT($H$9:AB$9)+$I$4))),TREND($D92:$E92,$D$9:$E$9,AB$9))</f>
        <v>0</v>
      </c>
      <c r="AC92" s="13">
        <f>IF($F92="s-curve",$D92+($E92-$D92)*$I$2/(1+EXP($I$3*(COUNT($H$9:AC$9)+$I$4))),TREND($D92:$E92,$D$9:$E$9,AC$9))</f>
        <v>0</v>
      </c>
      <c r="AD92" s="13">
        <f>IF($F92="s-curve",$D92+($E92-$D92)*$I$2/(1+EXP($I$3*(COUNT($H$9:AD$9)+$I$4))),TREND($D92:$E92,$D$9:$E$9,AD$9))</f>
        <v>0</v>
      </c>
      <c r="AE92" s="13">
        <f>IF($F92="s-curve",$D92+($E92-$D92)*$I$2/(1+EXP($I$3*(COUNT($H$9:AE$9)+$I$4))),TREND($D92:$E92,$D$9:$E$9,AE$9))</f>
        <v>0</v>
      </c>
      <c r="AF92" s="13">
        <f>IF($F92="s-curve",$D92+($E92-$D92)*$I$2/(1+EXP($I$3*(COUNT($H$9:AF$9)+$I$4))),TREND($D92:$E92,$D$9:$E$9,AF$9))</f>
        <v>0</v>
      </c>
      <c r="AG92" s="13">
        <f>IF($F92="s-curve",$D92+($E92-$D92)*$I$2/(1+EXP($I$3*(COUNT($H$9:AG$9)+$I$4))),TREND($D92:$E92,$D$9:$E$9,AG$9))</f>
        <v>0</v>
      </c>
      <c r="AH92" s="13">
        <f>IF($F92="s-curve",$D92+($E92-$D92)*$I$2/(1+EXP($I$3*(COUNT($H$9:AH$9)+$I$4))),TREND($D92:$E92,$D$9:$E$9,AH$9))</f>
        <v>0</v>
      </c>
      <c r="AI92" s="13">
        <f>IF($F92="s-curve",$D92+($E92-$D92)*$I$2/(1+EXP($I$3*(COUNT($H$9:AI$9)+$I$4))),TREND($D92:$E92,$D$9:$E$9,AI$9))</f>
        <v>0</v>
      </c>
      <c r="AJ92" s="13">
        <f>IF($F92="s-curve",$D92+($E92-$D92)*$I$2/(1+EXP($I$3*(COUNT($H$9:AJ$9)+$I$4))),TREND($D92:$E92,$D$9:$E$9,AJ$9))</f>
        <v>0</v>
      </c>
      <c r="AK92" s="13">
        <f>IF($F92="s-curve",$D92+($E92-$D92)*$I$2/(1+EXP($I$3*(COUNT($H$9:AK$9)+$I$4))),TREND($D92:$E92,$D$9:$E$9,AK$9))</f>
        <v>0</v>
      </c>
      <c r="AL92" s="13">
        <f>IF($F92="s-curve",$D92+($E92-$D92)*$I$2/(1+EXP($I$3*(COUNT($H$9:AL$9)+$I$4))),TREND($D92:$E92,$D$9:$E$9,AL$9))</f>
        <v>0</v>
      </c>
    </row>
    <row r="93" spans="1:38" ht="15" thickBot="1" x14ac:dyDescent="0.4">
      <c r="A93" s="26"/>
      <c r="B93" s="26"/>
      <c r="C93" s="26" t="s">
        <v>79</v>
      </c>
      <c r="D93" s="26">
        <f t="shared" si="11"/>
        <v>0</v>
      </c>
      <c r="E93" s="26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4">
        <f t="shared" si="9"/>
        <v>0</v>
      </c>
      <c r="I93" s="13">
        <f>IF($F93="s-curve",$D93+($E93-$D93)*$I$2/(1+EXP($I$3*(COUNT($H$9:I$9)+$I$4))),TREND($D93:$E93,$D$9:$E$9,I$9))</f>
        <v>0</v>
      </c>
      <c r="J93" s="13">
        <f>IF($F93="s-curve",$D93+($E93-$D93)*$I$2/(1+EXP($I$3*(COUNT($H$9:J$9)+$I$4))),TREND($D93:$E93,$D$9:$E$9,J$9))</f>
        <v>0</v>
      </c>
      <c r="K93" s="13">
        <f>IF($F93="s-curve",$D93+($E93-$D93)*$I$2/(1+EXP($I$3*(COUNT($H$9:K$9)+$I$4))),TREND($D93:$E93,$D$9:$E$9,K$9))</f>
        <v>0</v>
      </c>
      <c r="L93" s="13">
        <f>IF($F93="s-curve",$D93+($E93-$D93)*$I$2/(1+EXP($I$3*(COUNT($H$9:L$9)+$I$4))),TREND($D93:$E93,$D$9:$E$9,L$9))</f>
        <v>0</v>
      </c>
      <c r="M93" s="13">
        <f>IF($F93="s-curve",$D93+($E93-$D93)*$I$2/(1+EXP($I$3*(COUNT($H$9:M$9)+$I$4))),TREND($D93:$E93,$D$9:$E$9,M$9))</f>
        <v>0</v>
      </c>
      <c r="N93" s="13">
        <f>IF($F93="s-curve",$D93+($E93-$D93)*$I$2/(1+EXP($I$3*(COUNT($H$9:N$9)+$I$4))),TREND($D93:$E93,$D$9:$E$9,N$9))</f>
        <v>0</v>
      </c>
      <c r="O93" s="13">
        <f>IF($F93="s-curve",$D93+($E93-$D93)*$I$2/(1+EXP($I$3*(COUNT($H$9:O$9)+$I$4))),TREND($D93:$E93,$D$9:$E$9,O$9))</f>
        <v>0</v>
      </c>
      <c r="P93" s="13">
        <f>IF($F93="s-curve",$D93+($E93-$D93)*$I$2/(1+EXP($I$3*(COUNT($H$9:P$9)+$I$4))),TREND($D93:$E93,$D$9:$E$9,P$9))</f>
        <v>0</v>
      </c>
      <c r="Q93" s="13">
        <f>IF($F93="s-curve",$D93+($E93-$D93)*$I$2/(1+EXP($I$3*(COUNT($H$9:Q$9)+$I$4))),TREND($D93:$E93,$D$9:$E$9,Q$9))</f>
        <v>0</v>
      </c>
      <c r="R93" s="13">
        <f>IF($F93="s-curve",$D93+($E93-$D93)*$I$2/(1+EXP($I$3*(COUNT($H$9:R$9)+$I$4))),TREND($D93:$E93,$D$9:$E$9,R$9))</f>
        <v>0</v>
      </c>
      <c r="S93" s="13">
        <f>IF($F93="s-curve",$D93+($E93-$D93)*$I$2/(1+EXP($I$3*(COUNT($H$9:S$9)+$I$4))),TREND($D93:$E93,$D$9:$E$9,S$9))</f>
        <v>0</v>
      </c>
      <c r="T93" s="13">
        <f>IF($F93="s-curve",$D93+($E93-$D93)*$I$2/(1+EXP($I$3*(COUNT($H$9:T$9)+$I$4))),TREND($D93:$E93,$D$9:$E$9,T$9))</f>
        <v>0</v>
      </c>
      <c r="U93" s="13">
        <f>IF($F93="s-curve",$D93+($E93-$D93)*$I$2/(1+EXP($I$3*(COUNT($H$9:U$9)+$I$4))),TREND($D93:$E93,$D$9:$E$9,U$9))</f>
        <v>0</v>
      </c>
      <c r="V93" s="13">
        <f>IF($F93="s-curve",$D93+($E93-$D93)*$I$2/(1+EXP($I$3*(COUNT($H$9:V$9)+$I$4))),TREND($D93:$E93,$D$9:$E$9,V$9))</f>
        <v>0</v>
      </c>
      <c r="W93" s="13">
        <f>IF($F93="s-curve",$D93+($E93-$D93)*$I$2/(1+EXP($I$3*(COUNT($H$9:W$9)+$I$4))),TREND($D93:$E93,$D$9:$E$9,W$9))</f>
        <v>0</v>
      </c>
      <c r="X93" s="13">
        <f>IF($F93="s-curve",$D93+($E93-$D93)*$I$2/(1+EXP($I$3*(COUNT($H$9:X$9)+$I$4))),TREND($D93:$E93,$D$9:$E$9,X$9))</f>
        <v>0</v>
      </c>
      <c r="Y93" s="13">
        <f>IF($F93="s-curve",$D93+($E93-$D93)*$I$2/(1+EXP($I$3*(COUNT($H$9:Y$9)+$I$4))),TREND($D93:$E93,$D$9:$E$9,Y$9))</f>
        <v>0</v>
      </c>
      <c r="Z93" s="13">
        <f>IF($F93="s-curve",$D93+($E93-$D93)*$I$2/(1+EXP($I$3*(COUNT($H$9:Z$9)+$I$4))),TREND($D93:$E93,$D$9:$E$9,Z$9))</f>
        <v>0</v>
      </c>
      <c r="AA93" s="13">
        <f>IF($F93="s-curve",$D93+($E93-$D93)*$I$2/(1+EXP($I$3*(COUNT($H$9:AA$9)+$I$4))),TREND($D93:$E93,$D$9:$E$9,AA$9))</f>
        <v>0</v>
      </c>
      <c r="AB93" s="13">
        <f>IF($F93="s-curve",$D93+($E93-$D93)*$I$2/(1+EXP($I$3*(COUNT($H$9:AB$9)+$I$4))),TREND($D93:$E93,$D$9:$E$9,AB$9))</f>
        <v>0</v>
      </c>
      <c r="AC93" s="13">
        <f>IF($F93="s-curve",$D93+($E93-$D93)*$I$2/(1+EXP($I$3*(COUNT($H$9:AC$9)+$I$4))),TREND($D93:$E93,$D$9:$E$9,AC$9))</f>
        <v>0</v>
      </c>
      <c r="AD93" s="13">
        <f>IF($F93="s-curve",$D93+($E93-$D93)*$I$2/(1+EXP($I$3*(COUNT($H$9:AD$9)+$I$4))),TREND($D93:$E93,$D$9:$E$9,AD$9))</f>
        <v>0</v>
      </c>
      <c r="AE93" s="13">
        <f>IF($F93="s-curve",$D93+($E93-$D93)*$I$2/(1+EXP($I$3*(COUNT($H$9:AE$9)+$I$4))),TREND($D93:$E93,$D$9:$E$9,AE$9))</f>
        <v>0</v>
      </c>
      <c r="AF93" s="13">
        <f>IF($F93="s-curve",$D93+($E93-$D93)*$I$2/(1+EXP($I$3*(COUNT($H$9:AF$9)+$I$4))),TREND($D93:$E93,$D$9:$E$9,AF$9))</f>
        <v>0</v>
      </c>
      <c r="AG93" s="13">
        <f>IF($F93="s-curve",$D93+($E93-$D93)*$I$2/(1+EXP($I$3*(COUNT($H$9:AG$9)+$I$4))),TREND($D93:$E93,$D$9:$E$9,AG$9))</f>
        <v>0</v>
      </c>
      <c r="AH93" s="13">
        <f>IF($F93="s-curve",$D93+($E93-$D93)*$I$2/(1+EXP($I$3*(COUNT($H$9:AH$9)+$I$4))),TREND($D93:$E93,$D$9:$E$9,AH$9))</f>
        <v>0</v>
      </c>
      <c r="AI93" s="13">
        <f>IF($F93="s-curve",$D93+($E93-$D93)*$I$2/(1+EXP($I$3*(COUNT($H$9:AI$9)+$I$4))),TREND($D93:$E93,$D$9:$E$9,AI$9))</f>
        <v>0</v>
      </c>
      <c r="AJ93" s="13">
        <f>IF($F93="s-curve",$D93+($E93-$D93)*$I$2/(1+EXP($I$3*(COUNT($H$9:AJ$9)+$I$4))),TREND($D93:$E93,$D$9:$E$9,AJ$9))</f>
        <v>0</v>
      </c>
      <c r="AK93" s="13">
        <f>IF($F93="s-curve",$D93+($E93-$D93)*$I$2/(1+EXP($I$3*(COUNT($H$9:AK$9)+$I$4))),TREND($D93:$E93,$D$9:$E$9,AK$9))</f>
        <v>0</v>
      </c>
      <c r="AL93" s="1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B6" sqref="B6:AF6"/>
    </sheetView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>
        <f>Data!H10</f>
        <v>0.1</v>
      </c>
      <c r="C2">
        <f>Data!I10</f>
        <v>0.11329662852394576</v>
      </c>
      <c r="D2">
        <f>Data!J10</f>
        <v>0.11785627516066977</v>
      </c>
      <c r="E2">
        <f>Data!K10</f>
        <v>0.12393729421917929</v>
      </c>
      <c r="F2">
        <f>Data!L10</f>
        <v>0.13201407034537258</v>
      </c>
      <c r="G2">
        <f>Data!M10</f>
        <v>0.14268328585981011</v>
      </c>
      <c r="H2">
        <f>Data!N10</f>
        <v>0.15667602045129686</v>
      </c>
      <c r="I2">
        <f>Data!O10</f>
        <v>0.17485542684453015</v>
      </c>
      <c r="J2">
        <f>Data!P10</f>
        <v>0.19818713907605162</v>
      </c>
      <c r="K2">
        <f>Data!Q10</f>
        <v>0.22766595841043905</v>
      </c>
      <c r="L2">
        <f>Data!R10</f>
        <v>0.26418297142572073</v>
      </c>
      <c r="M2">
        <f>Data!S10</f>
        <v>0.30832769485088418</v>
      </c>
      <c r="N2">
        <f>Data!T10</f>
        <v>0.36014544763749645</v>
      </c>
      <c r="O2">
        <f>Data!U10</f>
        <v>0.41890932439678408</v>
      </c>
      <c r="P2">
        <f>Data!V10</f>
        <v>0.48300173486950693</v>
      </c>
      <c r="Q2">
        <f>Data!W10</f>
        <v>0.55000000000000004</v>
      </c>
      <c r="R2">
        <f>Data!X10</f>
        <v>0.61699826513049316</v>
      </c>
      <c r="S2">
        <f>Data!Y10</f>
        <v>0.6810906756032159</v>
      </c>
      <c r="T2">
        <f>Data!Z10</f>
        <v>0.73985455236250353</v>
      </c>
      <c r="U2">
        <f>Data!AA10</f>
        <v>0.7916723051491158</v>
      </c>
      <c r="V2">
        <f>Data!AB10</f>
        <v>0.8358170285742792</v>
      </c>
      <c r="W2">
        <f>Data!AC10</f>
        <v>0.87233404158956107</v>
      </c>
      <c r="X2">
        <f>Data!AD10</f>
        <v>0.90181286092394841</v>
      </c>
      <c r="Y2">
        <f>Data!AE10</f>
        <v>0.92514457315546994</v>
      </c>
      <c r="Z2">
        <f>Data!AF10</f>
        <v>0.94332397954870317</v>
      </c>
      <c r="AA2">
        <f>Data!AG10</f>
        <v>0.95731671414018993</v>
      </c>
      <c r="AB2">
        <f>Data!AH10</f>
        <v>0.96798592965462749</v>
      </c>
      <c r="AC2">
        <f>Data!AI10</f>
        <v>0.97606270578082066</v>
      </c>
      <c r="AD2">
        <f>Data!AJ10</f>
        <v>0.98214372483933032</v>
      </c>
      <c r="AE2">
        <f>Data!AK10</f>
        <v>0.98670337147605425</v>
      </c>
      <c r="AF2">
        <f>Data!AL10</f>
        <v>0.99011175163246612</v>
      </c>
    </row>
    <row r="3" spans="1:32" x14ac:dyDescent="0.35">
      <c r="A3" s="13" t="s">
        <v>2</v>
      </c>
      <c r="B3" s="13">
        <f>Data!H11</f>
        <v>2.3114509385886379E-3</v>
      </c>
      <c r="C3" s="13">
        <f>Data!I11</f>
        <v>2.3114509385886379E-3</v>
      </c>
      <c r="D3" s="13">
        <f>Data!J11</f>
        <v>2.3114509385886379E-3</v>
      </c>
      <c r="E3" s="13">
        <f>Data!K11</f>
        <v>2.3114509385886379E-3</v>
      </c>
      <c r="F3" s="13">
        <f>Data!L11</f>
        <v>2.3114509385886379E-3</v>
      </c>
      <c r="G3" s="13">
        <f>Data!M11</f>
        <v>2.3114509385886379E-3</v>
      </c>
      <c r="H3" s="13">
        <f>Data!N11</f>
        <v>2.3114509385886379E-3</v>
      </c>
      <c r="I3" s="13">
        <f>Data!O11</f>
        <v>2.3114509385886379E-3</v>
      </c>
      <c r="J3" s="13">
        <f>Data!P11</f>
        <v>2.3114509385886379E-3</v>
      </c>
      <c r="K3" s="13">
        <f>Data!Q11</f>
        <v>2.3114509385886379E-3</v>
      </c>
      <c r="L3" s="13">
        <f>Data!R11</f>
        <v>2.3114509385886379E-3</v>
      </c>
      <c r="M3" s="13">
        <f>Data!S11</f>
        <v>2.3114509385886379E-3</v>
      </c>
      <c r="N3" s="13">
        <f>Data!T11</f>
        <v>2.3114509385886379E-3</v>
      </c>
      <c r="O3" s="13">
        <f>Data!U11</f>
        <v>2.3114509385886379E-3</v>
      </c>
      <c r="P3" s="13">
        <f>Data!V11</f>
        <v>2.3114509385886379E-3</v>
      </c>
      <c r="Q3" s="13">
        <f>Data!W11</f>
        <v>2.3114509385886379E-3</v>
      </c>
      <c r="R3" s="13">
        <f>Data!X11</f>
        <v>2.3114509385886379E-3</v>
      </c>
      <c r="S3" s="13">
        <f>Data!Y11</f>
        <v>2.3114509385886379E-3</v>
      </c>
      <c r="T3" s="13">
        <f>Data!Z11</f>
        <v>2.3114509385886379E-3</v>
      </c>
      <c r="U3" s="13">
        <f>Data!AA11</f>
        <v>2.3114509385886379E-3</v>
      </c>
      <c r="V3" s="13">
        <f>Data!AB11</f>
        <v>2.3114509385886379E-3</v>
      </c>
      <c r="W3" s="13">
        <f>Data!AC11</f>
        <v>2.3114509385886379E-3</v>
      </c>
      <c r="X3" s="13">
        <f>Data!AD11</f>
        <v>2.3114509385886379E-3</v>
      </c>
      <c r="Y3" s="13">
        <f>Data!AE11</f>
        <v>2.3114509385886379E-3</v>
      </c>
      <c r="Z3" s="13">
        <f>Data!AF11</f>
        <v>2.3114509385886379E-3</v>
      </c>
      <c r="AA3" s="13">
        <f>Data!AG11</f>
        <v>2.3114509385886379E-3</v>
      </c>
      <c r="AB3" s="13">
        <f>Data!AH11</f>
        <v>2.3114509385886379E-3</v>
      </c>
      <c r="AC3" s="13">
        <f>Data!AI11</f>
        <v>2.3114509385886379E-3</v>
      </c>
      <c r="AD3" s="13">
        <f>Data!AJ11</f>
        <v>2.3114509385886379E-3</v>
      </c>
      <c r="AE3" s="13">
        <f>Data!AK11</f>
        <v>2.3114509385886379E-3</v>
      </c>
      <c r="AF3" s="13">
        <f>Data!AL11</f>
        <v>2.3114509385886379E-3</v>
      </c>
    </row>
    <row r="4" spans="1:32" x14ac:dyDescent="0.35">
      <c r="A4" s="13" t="s">
        <v>3</v>
      </c>
      <c r="B4" s="13">
        <f>Data!H12</f>
        <v>2.0554690900527017</v>
      </c>
      <c r="C4" s="13">
        <f>Data!I12</f>
        <v>2.0554690900527017</v>
      </c>
      <c r="D4" s="13">
        <f>Data!J12</f>
        <v>2.0554690900527017</v>
      </c>
      <c r="E4" s="13">
        <f>Data!K12</f>
        <v>2.0554690900527017</v>
      </c>
      <c r="F4" s="13">
        <f>Data!L12</f>
        <v>2.0554690900527017</v>
      </c>
      <c r="G4" s="13">
        <f>Data!M12</f>
        <v>2.0554690900527017</v>
      </c>
      <c r="H4" s="13">
        <f>Data!N12</f>
        <v>2.0554690900527017</v>
      </c>
      <c r="I4" s="13">
        <f>Data!O12</f>
        <v>2.0554690900527017</v>
      </c>
      <c r="J4" s="13">
        <f>Data!P12</f>
        <v>2.0554690900527017</v>
      </c>
      <c r="K4" s="13">
        <f>Data!Q12</f>
        <v>2.0554690900527017</v>
      </c>
      <c r="L4" s="13">
        <f>Data!R12</f>
        <v>2.0554690900527017</v>
      </c>
      <c r="M4" s="13">
        <f>Data!S12</f>
        <v>2.0554690900527017</v>
      </c>
      <c r="N4" s="13">
        <f>Data!T12</f>
        <v>2.0554690900527017</v>
      </c>
      <c r="O4" s="13">
        <f>Data!U12</f>
        <v>2.0554690900527017</v>
      </c>
      <c r="P4" s="13">
        <f>Data!V12</f>
        <v>2.0554690900527017</v>
      </c>
      <c r="Q4" s="13">
        <f>Data!W12</f>
        <v>2.0554690900527017</v>
      </c>
      <c r="R4" s="13">
        <f>Data!X12</f>
        <v>2.0554690900527017</v>
      </c>
      <c r="S4" s="13">
        <f>Data!Y12</f>
        <v>2.0554690900527017</v>
      </c>
      <c r="T4" s="13">
        <f>Data!Z12</f>
        <v>2.0554690900527017</v>
      </c>
      <c r="U4" s="13">
        <f>Data!AA12</f>
        <v>2.0554690900527017</v>
      </c>
      <c r="V4" s="13">
        <f>Data!AB12</f>
        <v>2.0554690900527017</v>
      </c>
      <c r="W4" s="13">
        <f>Data!AC12</f>
        <v>2.0554690900527017</v>
      </c>
      <c r="X4" s="13">
        <f>Data!AD12</f>
        <v>2.0554690900527017</v>
      </c>
      <c r="Y4" s="13">
        <f>Data!AE12</f>
        <v>2.0554690900527017</v>
      </c>
      <c r="Z4" s="13">
        <f>Data!AF12</f>
        <v>2.0554690900527017</v>
      </c>
      <c r="AA4" s="13">
        <f>Data!AG12</f>
        <v>2.0554690900527017</v>
      </c>
      <c r="AB4" s="13">
        <f>Data!AH12</f>
        <v>2.0554690900527017</v>
      </c>
      <c r="AC4" s="13">
        <f>Data!AI12</f>
        <v>2.0554690900527017</v>
      </c>
      <c r="AD4" s="13">
        <f>Data!AJ12</f>
        <v>2.0554690900527017</v>
      </c>
      <c r="AE4" s="13">
        <f>Data!AK12</f>
        <v>2.0554690900527017</v>
      </c>
      <c r="AF4" s="13">
        <f>Data!AL12</f>
        <v>2.0554690900527017</v>
      </c>
    </row>
    <row r="5" spans="1:32" x14ac:dyDescent="0.35">
      <c r="A5" s="13" t="s">
        <v>4</v>
      </c>
      <c r="B5" s="13">
        <f>Data!H13</f>
        <v>1.2214687412980303</v>
      </c>
      <c r="C5" s="13">
        <f>Data!I13</f>
        <v>1.2214687412980303</v>
      </c>
      <c r="D5" s="13">
        <f>Data!J13</f>
        <v>1.2214687412980303</v>
      </c>
      <c r="E5" s="13">
        <f>Data!K13</f>
        <v>1.2214687412980303</v>
      </c>
      <c r="F5" s="13">
        <f>Data!L13</f>
        <v>1.2214687412980303</v>
      </c>
      <c r="G5" s="13">
        <f>Data!M13</f>
        <v>1.2214687412980303</v>
      </c>
      <c r="H5" s="13">
        <f>Data!N13</f>
        <v>1.2214687412980303</v>
      </c>
      <c r="I5" s="13">
        <f>Data!O13</f>
        <v>1.2214687412980303</v>
      </c>
      <c r="J5" s="13">
        <f>Data!P13</f>
        <v>1.2214687412980303</v>
      </c>
      <c r="K5" s="13">
        <f>Data!Q13</f>
        <v>1.2214687412980303</v>
      </c>
      <c r="L5" s="13">
        <f>Data!R13</f>
        <v>1.2214687412980303</v>
      </c>
      <c r="M5" s="13">
        <f>Data!S13</f>
        <v>1.2214687412980303</v>
      </c>
      <c r="N5" s="13">
        <f>Data!T13</f>
        <v>1.2214687412980303</v>
      </c>
      <c r="O5" s="13">
        <f>Data!U13</f>
        <v>1.2214687412980303</v>
      </c>
      <c r="P5" s="13">
        <f>Data!V13</f>
        <v>1.2214687412980303</v>
      </c>
      <c r="Q5" s="13">
        <f>Data!W13</f>
        <v>1.2214687412980303</v>
      </c>
      <c r="R5" s="13">
        <f>Data!X13</f>
        <v>1.2214687412980303</v>
      </c>
      <c r="S5" s="13">
        <f>Data!Y13</f>
        <v>1.2214687412980303</v>
      </c>
      <c r="T5" s="13">
        <f>Data!Z13</f>
        <v>1.2214687412980303</v>
      </c>
      <c r="U5" s="13">
        <f>Data!AA13</f>
        <v>1.2214687412980303</v>
      </c>
      <c r="V5" s="13">
        <f>Data!AB13</f>
        <v>1.2214687412980303</v>
      </c>
      <c r="W5" s="13">
        <f>Data!AC13</f>
        <v>1.2214687412980303</v>
      </c>
      <c r="X5" s="13">
        <f>Data!AD13</f>
        <v>1.2214687412980303</v>
      </c>
      <c r="Y5" s="13">
        <f>Data!AE13</f>
        <v>1.2214687412980303</v>
      </c>
      <c r="Z5" s="13">
        <f>Data!AF13</f>
        <v>1.2214687412980303</v>
      </c>
      <c r="AA5" s="13">
        <f>Data!AG13</f>
        <v>1.2214687412980303</v>
      </c>
      <c r="AB5" s="13">
        <f>Data!AH13</f>
        <v>1.2214687412980303</v>
      </c>
      <c r="AC5" s="13">
        <f>Data!AI13</f>
        <v>1.2214687412980303</v>
      </c>
      <c r="AD5" s="13">
        <f>Data!AJ13</f>
        <v>1.2214687412980303</v>
      </c>
      <c r="AE5" s="13">
        <f>Data!AK13</f>
        <v>1.2214687412980303</v>
      </c>
      <c r="AF5" s="13">
        <f>Data!AL13</f>
        <v>1.2214687412980303</v>
      </c>
    </row>
    <row r="6" spans="1:32" x14ac:dyDescent="0.35">
      <c r="A6" s="13" t="s">
        <v>5</v>
      </c>
      <c r="B6" s="13">
        <f>Data!H14</f>
        <v>3.1669224668199936E-2</v>
      </c>
      <c r="C6" s="13">
        <f>Data!I14</f>
        <v>3.1669224668199936E-2</v>
      </c>
      <c r="D6" s="13">
        <f>Data!J14</f>
        <v>3.1669224668199936E-2</v>
      </c>
      <c r="E6" s="13">
        <f>Data!K14</f>
        <v>3.1669224668199936E-2</v>
      </c>
      <c r="F6" s="13">
        <f>Data!L14</f>
        <v>3.1669224668199936E-2</v>
      </c>
      <c r="G6" s="13">
        <f>Data!M14</f>
        <v>3.1669224668199936E-2</v>
      </c>
      <c r="H6" s="13">
        <f>Data!N14</f>
        <v>3.1669224668199936E-2</v>
      </c>
      <c r="I6" s="13">
        <f>Data!O14</f>
        <v>3.1669224668199936E-2</v>
      </c>
      <c r="J6" s="13">
        <f>Data!P14</f>
        <v>3.1669224668199936E-2</v>
      </c>
      <c r="K6" s="13">
        <f>Data!Q14</f>
        <v>3.1669224668199936E-2</v>
      </c>
      <c r="L6" s="13">
        <f>Data!R14</f>
        <v>3.1669224668199936E-2</v>
      </c>
      <c r="M6" s="13">
        <f>Data!S14</f>
        <v>3.1669224668199936E-2</v>
      </c>
      <c r="N6" s="13">
        <f>Data!T14</f>
        <v>3.1669224668199936E-2</v>
      </c>
      <c r="O6" s="13">
        <f>Data!U14</f>
        <v>3.1669224668199936E-2</v>
      </c>
      <c r="P6" s="13">
        <f>Data!V14</f>
        <v>3.1669224668199936E-2</v>
      </c>
      <c r="Q6" s="13">
        <f>Data!W14</f>
        <v>3.1669224668199936E-2</v>
      </c>
      <c r="R6" s="13">
        <f>Data!X14</f>
        <v>3.1669224668199936E-2</v>
      </c>
      <c r="S6" s="13">
        <f>Data!Y14</f>
        <v>3.1669224668199936E-2</v>
      </c>
      <c r="T6" s="13">
        <f>Data!Z14</f>
        <v>3.1669224668199936E-2</v>
      </c>
      <c r="U6" s="13">
        <f>Data!AA14</f>
        <v>3.1669224668199936E-2</v>
      </c>
      <c r="V6" s="13">
        <f>Data!AB14</f>
        <v>3.1669224668199936E-2</v>
      </c>
      <c r="W6" s="13">
        <f>Data!AC14</f>
        <v>3.1669224668199936E-2</v>
      </c>
      <c r="X6" s="13">
        <f>Data!AD14</f>
        <v>3.1669224668199936E-2</v>
      </c>
      <c r="Y6" s="13">
        <f>Data!AE14</f>
        <v>3.1669224668199936E-2</v>
      </c>
      <c r="Z6" s="13">
        <f>Data!AF14</f>
        <v>3.1669224668199936E-2</v>
      </c>
      <c r="AA6" s="13">
        <f>Data!AG14</f>
        <v>3.1669224668199936E-2</v>
      </c>
      <c r="AB6" s="13">
        <f>Data!AH14</f>
        <v>3.1669224668199936E-2</v>
      </c>
      <c r="AC6" s="13">
        <f>Data!AI14</f>
        <v>3.1669224668199936E-2</v>
      </c>
      <c r="AD6" s="13">
        <f>Data!AJ14</f>
        <v>3.1669224668199936E-2</v>
      </c>
      <c r="AE6" s="13">
        <f>Data!AK14</f>
        <v>3.1669224668199936E-2</v>
      </c>
      <c r="AF6" s="13">
        <f>Data!AL14</f>
        <v>3.1669224668199936E-2</v>
      </c>
    </row>
    <row r="7" spans="1:32" x14ac:dyDescent="0.35">
      <c r="A7" s="13" t="s">
        <v>78</v>
      </c>
      <c r="B7" s="13">
        <f>Data!H15</f>
        <v>0.11783424550586601</v>
      </c>
      <c r="C7" s="13">
        <f>Data!I15</f>
        <v>0.11783424550586601</v>
      </c>
      <c r="D7" s="13">
        <f>Data!J15</f>
        <v>0.11783424550586601</v>
      </c>
      <c r="E7" s="13">
        <f>Data!K15</f>
        <v>0.11783424550586601</v>
      </c>
      <c r="F7" s="13">
        <f>Data!L15</f>
        <v>0.11783424550586601</v>
      </c>
      <c r="G7" s="13">
        <f>Data!M15</f>
        <v>0.11783424550586601</v>
      </c>
      <c r="H7" s="13">
        <f>Data!N15</f>
        <v>0.11783424550586601</v>
      </c>
      <c r="I7" s="13">
        <f>Data!O15</f>
        <v>0.11783424550586601</v>
      </c>
      <c r="J7" s="13">
        <f>Data!P15</f>
        <v>0.11783424550586601</v>
      </c>
      <c r="K7" s="13">
        <f>Data!Q15</f>
        <v>0.11783424550586601</v>
      </c>
      <c r="L7" s="13">
        <f>Data!R15</f>
        <v>0.11783424550586601</v>
      </c>
      <c r="M7" s="13">
        <f>Data!S15</f>
        <v>0.11783424550586601</v>
      </c>
      <c r="N7" s="13">
        <f>Data!T15</f>
        <v>0.11783424550586601</v>
      </c>
      <c r="O7" s="13">
        <f>Data!U15</f>
        <v>0.11783424550586601</v>
      </c>
      <c r="P7" s="13">
        <f>Data!V15</f>
        <v>0.11783424550586601</v>
      </c>
      <c r="Q7" s="13">
        <f>Data!W15</f>
        <v>0.11783424550586601</v>
      </c>
      <c r="R7" s="13">
        <f>Data!X15</f>
        <v>0.11783424550586601</v>
      </c>
      <c r="S7" s="13">
        <f>Data!Y15</f>
        <v>0.11783424550586601</v>
      </c>
      <c r="T7" s="13">
        <f>Data!Z15</f>
        <v>0.11783424550586601</v>
      </c>
      <c r="U7" s="13">
        <f>Data!AA15</f>
        <v>0.11783424550586601</v>
      </c>
      <c r="V7" s="13">
        <f>Data!AB15</f>
        <v>0.11783424550586601</v>
      </c>
      <c r="W7" s="13">
        <f>Data!AC15</f>
        <v>0.11783424550586601</v>
      </c>
      <c r="X7" s="13">
        <f>Data!AD15</f>
        <v>0.11783424550586601</v>
      </c>
      <c r="Y7" s="13">
        <f>Data!AE15</f>
        <v>0.11783424550586601</v>
      </c>
      <c r="Z7" s="13">
        <f>Data!AF15</f>
        <v>0.11783424550586601</v>
      </c>
      <c r="AA7" s="13">
        <f>Data!AG15</f>
        <v>0.11783424550586601</v>
      </c>
      <c r="AB7" s="13">
        <f>Data!AH15</f>
        <v>0.11783424550586601</v>
      </c>
      <c r="AC7" s="13">
        <f>Data!AI15</f>
        <v>0.11783424550586601</v>
      </c>
      <c r="AD7" s="13">
        <f>Data!AJ15</f>
        <v>0.11783424550586601</v>
      </c>
      <c r="AE7" s="13">
        <f>Data!AK15</f>
        <v>0.11783424550586601</v>
      </c>
      <c r="AF7" s="13">
        <f>Data!AL15</f>
        <v>0.11783424550586601</v>
      </c>
    </row>
    <row r="8" spans="1:32" x14ac:dyDescent="0.35">
      <c r="A8" s="13" t="s">
        <v>79</v>
      </c>
      <c r="B8" s="13">
        <f>Data!H16</f>
        <v>3.1810220985098274E-4</v>
      </c>
      <c r="C8" s="13">
        <f>Data!I16</f>
        <v>3.4755200714509842E-4</v>
      </c>
      <c r="D8" s="13">
        <f>Data!J16</f>
        <v>3.5765085806377253E-4</v>
      </c>
      <c r="E8" s="13">
        <f>Data!K16</f>
        <v>3.7111929318567186E-4</v>
      </c>
      <c r="F8" s="13">
        <f>Data!L16</f>
        <v>3.8900799476727856E-4</v>
      </c>
      <c r="G8" s="13">
        <f>Data!M16</f>
        <v>4.1263851385875871E-4</v>
      </c>
      <c r="H8" s="13">
        <f>Data!N16</f>
        <v>4.4363006909154041E-4</v>
      </c>
      <c r="I8" s="13">
        <f>Data!O16</f>
        <v>4.8389439867282572E-4</v>
      </c>
      <c r="J8" s="13">
        <f>Data!P16</f>
        <v>5.3557021969057701E-4</v>
      </c>
      <c r="K8" s="13">
        <f>Data!Q16</f>
        <v>6.0086084974045274E-4</v>
      </c>
      <c r="L8" s="13">
        <f>Data!R16</f>
        <v>6.8173989581968406E-4</v>
      </c>
      <c r="M8" s="13">
        <f>Data!S16</f>
        <v>7.7951303839748941E-4</v>
      </c>
      <c r="N8" s="13">
        <f>Data!T16</f>
        <v>8.9428065133441805E-4</v>
      </c>
      <c r="O8" s="13">
        <f>Data!U16</f>
        <v>1.0244327613719983E-3</v>
      </c>
      <c r="P8" s="13">
        <f>Data!V16</f>
        <v>1.1663866779692581E-3</v>
      </c>
      <c r="Q8" s="13">
        <f>Data!W16</f>
        <v>1.3147765742198103E-3</v>
      </c>
      <c r="R8" s="13">
        <f>Data!X16</f>
        <v>1.4631664704703622E-3</v>
      </c>
      <c r="S8" s="13">
        <f>Data!Y16</f>
        <v>1.6051203870676221E-3</v>
      </c>
      <c r="T8" s="13">
        <f>Data!Z16</f>
        <v>1.7352724971052024E-3</v>
      </c>
      <c r="U8" s="13">
        <f>Data!AA16</f>
        <v>1.8500401100421311E-3</v>
      </c>
      <c r="V8" s="13">
        <f>Data!AB16</f>
        <v>1.9478132526199365E-3</v>
      </c>
      <c r="W8" s="13">
        <f>Data!AC16</f>
        <v>2.0286922986991682E-3</v>
      </c>
      <c r="X8" s="13">
        <f>Data!AD16</f>
        <v>2.0939829287490437E-3</v>
      </c>
      <c r="Y8" s="13">
        <f>Data!AE16</f>
        <v>2.145658749766795E-3</v>
      </c>
      <c r="Z8" s="13">
        <f>Data!AF16</f>
        <v>2.1859230793480804E-3</v>
      </c>
      <c r="AA8" s="13">
        <f>Data!AG16</f>
        <v>2.2169146345808622E-3</v>
      </c>
      <c r="AB8" s="13">
        <f>Data!AH16</f>
        <v>2.2405451536723422E-3</v>
      </c>
      <c r="AC8" s="13">
        <f>Data!AI16</f>
        <v>2.2584338552539486E-3</v>
      </c>
      <c r="AD8" s="13">
        <f>Data!AJ16</f>
        <v>2.2719022903758481E-3</v>
      </c>
      <c r="AE8" s="13">
        <f>Data!AK16</f>
        <v>2.2820011412945222E-3</v>
      </c>
      <c r="AF8" s="13">
        <f>Data!AL16</f>
        <v>2.2895501304632314E-3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B5" sqref="B5"/>
    </sheetView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Data!H17</f>
        <v>4.0544273617587021E-4</v>
      </c>
      <c r="C2" s="13">
        <f>Data!I17</f>
        <v>1.5173484405614857E-2</v>
      </c>
      <c r="D2" s="13">
        <f>Data!J17</f>
        <v>2.023770436240999E-2</v>
      </c>
      <c r="E2" s="13">
        <f>Data!K17</f>
        <v>2.6991652755191879E-2</v>
      </c>
      <c r="F2" s="13">
        <f>Data!L17</f>
        <v>3.5962209928504324E-2</v>
      </c>
      <c r="G2" s="13">
        <f>Data!M17</f>
        <v>4.7812087437956008E-2</v>
      </c>
      <c r="H2" s="13">
        <f>Data!N17</f>
        <v>6.3353266703386465E-2</v>
      </c>
      <c r="I2" s="13">
        <f>Data!O17</f>
        <v>8.3544417464456636E-2</v>
      </c>
      <c r="J2" s="13">
        <f>Data!P17</f>
        <v>0.10945803141809517</v>
      </c>
      <c r="K2" s="13">
        <f>Data!Q17</f>
        <v>0.14219899515278098</v>
      </c>
      <c r="L2" s="13">
        <f>Data!R17</f>
        <v>0.18275700343901188</v>
      </c>
      <c r="M2" s="13">
        <f>Data!S17</f>
        <v>0.23178680929202319</v>
      </c>
      <c r="N2" s="13">
        <f>Data!T17</f>
        <v>0.28933874668662324</v>
      </c>
      <c r="O2" s="13">
        <f>Data!U17</f>
        <v>0.35460547043362994</v>
      </c>
      <c r="P2" s="13">
        <f>Data!V17</f>
        <v>0.42579038673413289</v>
      </c>
      <c r="Q2" s="13">
        <f>Data!W17</f>
        <v>0.50020272136808797</v>
      </c>
      <c r="R2" s="13">
        <f>Data!X17</f>
        <v>0.57461505600204299</v>
      </c>
      <c r="S2" s="13">
        <f>Data!Y17</f>
        <v>0.64579997230254593</v>
      </c>
      <c r="T2" s="13">
        <f>Data!Z17</f>
        <v>0.71106669604955264</v>
      </c>
      <c r="U2" s="13">
        <f>Data!AA17</f>
        <v>0.7686186334441526</v>
      </c>
      <c r="V2" s="13">
        <f>Data!AB17</f>
        <v>0.81764843929716402</v>
      </c>
      <c r="W2" s="13">
        <f>Data!AC17</f>
        <v>0.85820644758339504</v>
      </c>
      <c r="X2" s="13">
        <f>Data!AD17</f>
        <v>0.89094741131808075</v>
      </c>
      <c r="Y2" s="13">
        <f>Data!AE17</f>
        <v>0.91686102527171931</v>
      </c>
      <c r="Z2" s="13">
        <f>Data!AF17</f>
        <v>0.93705217603278945</v>
      </c>
      <c r="AA2" s="13">
        <f>Data!AG17</f>
        <v>0.95259335529821998</v>
      </c>
      <c r="AB2" s="13">
        <f>Data!AH17</f>
        <v>0.96444323280767152</v>
      </c>
      <c r="AC2" s="13">
        <f>Data!AI17</f>
        <v>0.97341378998098393</v>
      </c>
      <c r="AD2" s="13">
        <f>Data!AJ17</f>
        <v>0.98016773837376592</v>
      </c>
      <c r="AE2" s="13">
        <f>Data!AK17</f>
        <v>0.98523195833056099</v>
      </c>
      <c r="AF2" s="13">
        <f>Data!AL17</f>
        <v>0.98901751194548926</v>
      </c>
    </row>
    <row r="3" spans="1:32" x14ac:dyDescent="0.35">
      <c r="A3" s="13" t="s">
        <v>2</v>
      </c>
      <c r="B3" s="13">
        <f>Data!H18</f>
        <v>5.4356707810170545E-4</v>
      </c>
      <c r="C3" s="13">
        <f>Data!I18</f>
        <v>5.4356707810170545E-4</v>
      </c>
      <c r="D3" s="13">
        <f>Data!J18</f>
        <v>5.4356707810170545E-4</v>
      </c>
      <c r="E3" s="13">
        <f>Data!K18</f>
        <v>5.4356707810170545E-4</v>
      </c>
      <c r="F3" s="13">
        <f>Data!L18</f>
        <v>5.4356707810170545E-4</v>
      </c>
      <c r="G3" s="13">
        <f>Data!M18</f>
        <v>5.4356707810170545E-4</v>
      </c>
      <c r="H3" s="13">
        <f>Data!N18</f>
        <v>5.4356707810170545E-4</v>
      </c>
      <c r="I3" s="13">
        <f>Data!O18</f>
        <v>5.4356707810170545E-4</v>
      </c>
      <c r="J3" s="13">
        <f>Data!P18</f>
        <v>5.4356707810170545E-4</v>
      </c>
      <c r="K3" s="13">
        <f>Data!Q18</f>
        <v>5.4356707810170545E-4</v>
      </c>
      <c r="L3" s="13">
        <f>Data!R18</f>
        <v>5.4356707810170545E-4</v>
      </c>
      <c r="M3" s="13">
        <f>Data!S18</f>
        <v>5.4356707810170545E-4</v>
      </c>
      <c r="N3" s="13">
        <f>Data!T18</f>
        <v>5.4356707810170545E-4</v>
      </c>
      <c r="O3" s="13">
        <f>Data!U18</f>
        <v>5.4356707810170545E-4</v>
      </c>
      <c r="P3" s="13">
        <f>Data!V18</f>
        <v>5.4356707810170545E-4</v>
      </c>
      <c r="Q3" s="13">
        <f>Data!W18</f>
        <v>5.4356707810170545E-4</v>
      </c>
      <c r="R3" s="13">
        <f>Data!X18</f>
        <v>5.4356707810170545E-4</v>
      </c>
      <c r="S3" s="13">
        <f>Data!Y18</f>
        <v>5.4356707810170545E-4</v>
      </c>
      <c r="T3" s="13">
        <f>Data!Z18</f>
        <v>5.4356707810170545E-4</v>
      </c>
      <c r="U3" s="13">
        <f>Data!AA18</f>
        <v>5.4356707810170545E-4</v>
      </c>
      <c r="V3" s="13">
        <f>Data!AB18</f>
        <v>5.4356707810170545E-4</v>
      </c>
      <c r="W3" s="13">
        <f>Data!AC18</f>
        <v>5.4356707810170545E-4</v>
      </c>
      <c r="X3" s="13">
        <f>Data!AD18</f>
        <v>5.4356707810170545E-4</v>
      </c>
      <c r="Y3" s="13">
        <f>Data!AE18</f>
        <v>5.4356707810170545E-4</v>
      </c>
      <c r="Z3" s="13">
        <f>Data!AF18</f>
        <v>5.4356707810170545E-4</v>
      </c>
      <c r="AA3" s="13">
        <f>Data!AG18</f>
        <v>5.4356707810170545E-4</v>
      </c>
      <c r="AB3" s="13">
        <f>Data!AH18</f>
        <v>5.4356707810170545E-4</v>
      </c>
      <c r="AC3" s="13">
        <f>Data!AI18</f>
        <v>5.4356707810170545E-4</v>
      </c>
      <c r="AD3" s="13">
        <f>Data!AJ18</f>
        <v>5.4356707810170545E-4</v>
      </c>
      <c r="AE3" s="13">
        <f>Data!AK18</f>
        <v>5.4356707810170545E-4</v>
      </c>
      <c r="AF3" s="13">
        <f>Data!AL18</f>
        <v>5.4356707810170545E-4</v>
      </c>
    </row>
    <row r="4" spans="1:32" x14ac:dyDescent="0.35">
      <c r="A4" s="13" t="s">
        <v>3</v>
      </c>
      <c r="B4" s="13">
        <f>Data!H19</f>
        <v>1.3134045749985857E-2</v>
      </c>
      <c r="C4" s="13">
        <f>Data!I19</f>
        <v>1.3134045749985857E-2</v>
      </c>
      <c r="D4" s="13">
        <f>Data!J19</f>
        <v>1.3134045749985857E-2</v>
      </c>
      <c r="E4" s="13">
        <f>Data!K19</f>
        <v>1.3134045749985857E-2</v>
      </c>
      <c r="F4" s="13">
        <f>Data!L19</f>
        <v>1.3134045749985857E-2</v>
      </c>
      <c r="G4" s="13">
        <f>Data!M19</f>
        <v>1.3134045749985857E-2</v>
      </c>
      <c r="H4" s="13">
        <f>Data!N19</f>
        <v>1.3134045749985857E-2</v>
      </c>
      <c r="I4" s="13">
        <f>Data!O19</f>
        <v>1.3134045749985857E-2</v>
      </c>
      <c r="J4" s="13">
        <f>Data!P19</f>
        <v>1.3134045749985857E-2</v>
      </c>
      <c r="K4" s="13">
        <f>Data!Q19</f>
        <v>1.3134045749985857E-2</v>
      </c>
      <c r="L4" s="13">
        <f>Data!R19</f>
        <v>1.3134045749985857E-2</v>
      </c>
      <c r="M4" s="13">
        <f>Data!S19</f>
        <v>1.3134045749985857E-2</v>
      </c>
      <c r="N4" s="13">
        <f>Data!T19</f>
        <v>1.3134045749985857E-2</v>
      </c>
      <c r="O4" s="13">
        <f>Data!U19</f>
        <v>1.3134045749985857E-2</v>
      </c>
      <c r="P4" s="13">
        <f>Data!V19</f>
        <v>1.3134045749985857E-2</v>
      </c>
      <c r="Q4" s="13">
        <f>Data!W19</f>
        <v>1.3134045749985857E-2</v>
      </c>
      <c r="R4" s="13">
        <f>Data!X19</f>
        <v>1.3134045749985857E-2</v>
      </c>
      <c r="S4" s="13">
        <f>Data!Y19</f>
        <v>1.3134045749985857E-2</v>
      </c>
      <c r="T4" s="13">
        <f>Data!Z19</f>
        <v>1.3134045749985857E-2</v>
      </c>
      <c r="U4" s="13">
        <f>Data!AA19</f>
        <v>1.3134045749985857E-2</v>
      </c>
      <c r="V4" s="13">
        <f>Data!AB19</f>
        <v>1.3134045749985857E-2</v>
      </c>
      <c r="W4" s="13">
        <f>Data!AC19</f>
        <v>1.3134045749985857E-2</v>
      </c>
      <c r="X4" s="13">
        <f>Data!AD19</f>
        <v>1.3134045749985857E-2</v>
      </c>
      <c r="Y4" s="13">
        <f>Data!AE19</f>
        <v>1.3134045749985857E-2</v>
      </c>
      <c r="Z4" s="13">
        <f>Data!AF19</f>
        <v>1.3134045749985857E-2</v>
      </c>
      <c r="AA4" s="13">
        <f>Data!AG19</f>
        <v>1.3134045749985857E-2</v>
      </c>
      <c r="AB4" s="13">
        <f>Data!AH19</f>
        <v>1.3134045749985857E-2</v>
      </c>
      <c r="AC4" s="13">
        <f>Data!AI19</f>
        <v>1.3134045749985857E-2</v>
      </c>
      <c r="AD4" s="13">
        <f>Data!AJ19</f>
        <v>1.3134045749985857E-2</v>
      </c>
      <c r="AE4" s="13">
        <f>Data!AK19</f>
        <v>1.3134045749985857E-2</v>
      </c>
      <c r="AF4" s="13">
        <f>Data!AL19</f>
        <v>1.3134045749985857E-2</v>
      </c>
    </row>
    <row r="5" spans="1:32" x14ac:dyDescent="0.35">
      <c r="A5" s="13" t="s">
        <v>4</v>
      </c>
      <c r="B5" s="13">
        <f>Data!H20</f>
        <v>3</v>
      </c>
      <c r="C5" s="13">
        <f>Data!I20</f>
        <v>3</v>
      </c>
      <c r="D5" s="13">
        <f>Data!J20</f>
        <v>3</v>
      </c>
      <c r="E5" s="13">
        <f>Data!K20</f>
        <v>3</v>
      </c>
      <c r="F5" s="13">
        <f>Data!L20</f>
        <v>3</v>
      </c>
      <c r="G5" s="13">
        <f>Data!M20</f>
        <v>3</v>
      </c>
      <c r="H5" s="13">
        <f>Data!N20</f>
        <v>3</v>
      </c>
      <c r="I5" s="13">
        <f>Data!O20</f>
        <v>3</v>
      </c>
      <c r="J5" s="13">
        <f>Data!P20</f>
        <v>3</v>
      </c>
      <c r="K5" s="13">
        <f>Data!Q20</f>
        <v>3</v>
      </c>
      <c r="L5" s="13">
        <f>Data!R20</f>
        <v>3</v>
      </c>
      <c r="M5" s="13">
        <f>Data!S20</f>
        <v>3</v>
      </c>
      <c r="N5" s="13">
        <f>Data!T20</f>
        <v>3</v>
      </c>
      <c r="O5" s="13">
        <f>Data!U20</f>
        <v>3</v>
      </c>
      <c r="P5" s="13">
        <f>Data!V20</f>
        <v>3</v>
      </c>
      <c r="Q5" s="13">
        <f>Data!W20</f>
        <v>3</v>
      </c>
      <c r="R5" s="13">
        <f>Data!X20</f>
        <v>3</v>
      </c>
      <c r="S5" s="13">
        <f>Data!Y20</f>
        <v>3</v>
      </c>
      <c r="T5" s="13">
        <f>Data!Z20</f>
        <v>3</v>
      </c>
      <c r="U5" s="13">
        <f>Data!AA20</f>
        <v>3</v>
      </c>
      <c r="V5" s="13">
        <f>Data!AB20</f>
        <v>3</v>
      </c>
      <c r="W5" s="13">
        <f>Data!AC20</f>
        <v>3</v>
      </c>
      <c r="X5" s="13">
        <f>Data!AD20</f>
        <v>3</v>
      </c>
      <c r="Y5" s="13">
        <f>Data!AE20</f>
        <v>3</v>
      </c>
      <c r="Z5" s="13">
        <f>Data!AF20</f>
        <v>3</v>
      </c>
      <c r="AA5" s="13">
        <f>Data!AG20</f>
        <v>3</v>
      </c>
      <c r="AB5" s="13">
        <f>Data!AH20</f>
        <v>3</v>
      </c>
      <c r="AC5" s="13">
        <f>Data!AI20</f>
        <v>3</v>
      </c>
      <c r="AD5" s="13">
        <f>Data!AJ20</f>
        <v>3</v>
      </c>
      <c r="AE5" s="13">
        <f>Data!AK20</f>
        <v>3</v>
      </c>
      <c r="AF5" s="13">
        <f>Data!AL20</f>
        <v>3</v>
      </c>
    </row>
    <row r="6" spans="1:32" x14ac:dyDescent="0.35">
      <c r="A6" s="13" t="s">
        <v>5</v>
      </c>
      <c r="B6" s="13">
        <f>Data!H21</f>
        <v>0</v>
      </c>
      <c r="C6" s="13">
        <f>Data!I21</f>
        <v>0</v>
      </c>
      <c r="D6" s="13">
        <f>Data!J21</f>
        <v>0</v>
      </c>
      <c r="E6" s="13">
        <f>Data!K21</f>
        <v>0</v>
      </c>
      <c r="F6" s="13">
        <f>Data!L21</f>
        <v>0</v>
      </c>
      <c r="G6" s="13">
        <f>Data!M21</f>
        <v>0</v>
      </c>
      <c r="H6" s="13">
        <f>Data!N21</f>
        <v>0</v>
      </c>
      <c r="I6" s="13">
        <f>Data!O21</f>
        <v>0</v>
      </c>
      <c r="J6" s="13">
        <f>Data!P21</f>
        <v>0</v>
      </c>
      <c r="K6" s="13">
        <f>Data!Q21</f>
        <v>0</v>
      </c>
      <c r="L6" s="13">
        <f>Data!R21</f>
        <v>0</v>
      </c>
      <c r="M6" s="13">
        <f>Data!S21</f>
        <v>0</v>
      </c>
      <c r="N6" s="13">
        <f>Data!T21</f>
        <v>0</v>
      </c>
      <c r="O6" s="13">
        <f>Data!U21</f>
        <v>0</v>
      </c>
      <c r="P6" s="13">
        <f>Data!V21</f>
        <v>0</v>
      </c>
      <c r="Q6" s="13">
        <f>Data!W21</f>
        <v>0</v>
      </c>
      <c r="R6" s="13">
        <f>Data!X21</f>
        <v>0</v>
      </c>
      <c r="S6" s="13">
        <f>Data!Y21</f>
        <v>0</v>
      </c>
      <c r="T6" s="13">
        <f>Data!Z21</f>
        <v>0</v>
      </c>
      <c r="U6" s="13">
        <f>Data!AA21</f>
        <v>0</v>
      </c>
      <c r="V6" s="13">
        <f>Data!AB21</f>
        <v>0</v>
      </c>
      <c r="W6" s="13">
        <f>Data!AC21</f>
        <v>0</v>
      </c>
      <c r="X6" s="13">
        <f>Data!AD21</f>
        <v>0</v>
      </c>
      <c r="Y6" s="13">
        <f>Data!AE21</f>
        <v>0</v>
      </c>
      <c r="Z6" s="13">
        <f>Data!AF21</f>
        <v>0</v>
      </c>
      <c r="AA6" s="13">
        <f>Data!AG21</f>
        <v>0</v>
      </c>
      <c r="AB6" s="13">
        <f>Data!AH21</f>
        <v>0</v>
      </c>
      <c r="AC6" s="13">
        <f>Data!AI21</f>
        <v>0</v>
      </c>
      <c r="AD6" s="13">
        <f>Data!AJ21</f>
        <v>0</v>
      </c>
      <c r="AE6" s="13">
        <f>Data!AK21</f>
        <v>0</v>
      </c>
      <c r="AF6" s="13">
        <f>Data!AL21</f>
        <v>0</v>
      </c>
    </row>
    <row r="7" spans="1:32" x14ac:dyDescent="0.35">
      <c r="A7" s="13" t="s">
        <v>78</v>
      </c>
      <c r="B7" s="13">
        <f>Data!H22</f>
        <v>4.243912626775604E-2</v>
      </c>
      <c r="C7" s="13">
        <f>Data!I22</f>
        <v>4.243912626775604E-2</v>
      </c>
      <c r="D7" s="13">
        <f>Data!J22</f>
        <v>4.243912626775604E-2</v>
      </c>
      <c r="E7" s="13">
        <f>Data!K22</f>
        <v>4.243912626775604E-2</v>
      </c>
      <c r="F7" s="13">
        <f>Data!L22</f>
        <v>4.243912626775604E-2</v>
      </c>
      <c r="G7" s="13">
        <f>Data!M22</f>
        <v>4.243912626775604E-2</v>
      </c>
      <c r="H7" s="13">
        <f>Data!N22</f>
        <v>4.243912626775604E-2</v>
      </c>
      <c r="I7" s="13">
        <f>Data!O22</f>
        <v>4.243912626775604E-2</v>
      </c>
      <c r="J7" s="13">
        <f>Data!P22</f>
        <v>4.243912626775604E-2</v>
      </c>
      <c r="K7" s="13">
        <f>Data!Q22</f>
        <v>4.243912626775604E-2</v>
      </c>
      <c r="L7" s="13">
        <f>Data!R22</f>
        <v>4.243912626775604E-2</v>
      </c>
      <c r="M7" s="13">
        <f>Data!S22</f>
        <v>4.243912626775604E-2</v>
      </c>
      <c r="N7" s="13">
        <f>Data!T22</f>
        <v>4.243912626775604E-2</v>
      </c>
      <c r="O7" s="13">
        <f>Data!U22</f>
        <v>4.243912626775604E-2</v>
      </c>
      <c r="P7" s="13">
        <f>Data!V22</f>
        <v>4.243912626775604E-2</v>
      </c>
      <c r="Q7" s="13">
        <f>Data!W22</f>
        <v>4.243912626775604E-2</v>
      </c>
      <c r="R7" s="13">
        <f>Data!X22</f>
        <v>4.243912626775604E-2</v>
      </c>
      <c r="S7" s="13">
        <f>Data!Y22</f>
        <v>4.243912626775604E-2</v>
      </c>
      <c r="T7" s="13">
        <f>Data!Z22</f>
        <v>4.243912626775604E-2</v>
      </c>
      <c r="U7" s="13">
        <f>Data!AA22</f>
        <v>4.243912626775604E-2</v>
      </c>
      <c r="V7" s="13">
        <f>Data!AB22</f>
        <v>4.243912626775604E-2</v>
      </c>
      <c r="W7" s="13">
        <f>Data!AC22</f>
        <v>4.243912626775604E-2</v>
      </c>
      <c r="X7" s="13">
        <f>Data!AD22</f>
        <v>4.243912626775604E-2</v>
      </c>
      <c r="Y7" s="13">
        <f>Data!AE22</f>
        <v>4.243912626775604E-2</v>
      </c>
      <c r="Z7" s="13">
        <f>Data!AF22</f>
        <v>4.243912626775604E-2</v>
      </c>
      <c r="AA7" s="13">
        <f>Data!AG22</f>
        <v>4.243912626775604E-2</v>
      </c>
      <c r="AB7" s="13">
        <f>Data!AH22</f>
        <v>4.243912626775604E-2</v>
      </c>
      <c r="AC7" s="13">
        <f>Data!AI22</f>
        <v>4.243912626775604E-2</v>
      </c>
      <c r="AD7" s="13">
        <f>Data!AJ22</f>
        <v>4.243912626775604E-2</v>
      </c>
      <c r="AE7" s="13">
        <f>Data!AK22</f>
        <v>4.243912626775604E-2</v>
      </c>
      <c r="AF7" s="13">
        <f>Data!AL22</f>
        <v>4.243912626775604E-2</v>
      </c>
    </row>
    <row r="8" spans="1:32" x14ac:dyDescent="0.35">
      <c r="A8" s="13" t="s">
        <v>79</v>
      </c>
      <c r="B8" s="13">
        <f>Data!H23</f>
        <v>0</v>
      </c>
      <c r="C8" s="13">
        <f>Data!I23</f>
        <v>8.0306772392944271E-6</v>
      </c>
      <c r="D8" s="13">
        <f>Data!J23</f>
        <v>1.0784537016517023E-5</v>
      </c>
      <c r="E8" s="13">
        <f>Data!K23</f>
        <v>1.4457250084866805E-5</v>
      </c>
      <c r="F8" s="13">
        <f>Data!L23</f>
        <v>1.9335327417529575E-5</v>
      </c>
      <c r="G8" s="13">
        <f>Data!M23</f>
        <v>2.5779143309552019E-5</v>
      </c>
      <c r="H8" s="13">
        <f>Data!N23</f>
        <v>3.4230243150159928E-5</v>
      </c>
      <c r="I8" s="13">
        <f>Data!O23</f>
        <v>4.5209939611041344E-5</v>
      </c>
      <c r="J8" s="13">
        <f>Data!P23</f>
        <v>5.9301440327483521E-5</v>
      </c>
      <c r="K8" s="13">
        <f>Data!Q23</f>
        <v>7.7105568873573547E-5</v>
      </c>
      <c r="L8" s="13">
        <f>Data!R23</f>
        <v>9.9160508946594225E-5</v>
      </c>
      <c r="M8" s="13">
        <f>Data!S23</f>
        <v>1.2582230708639867E-4</v>
      </c>
      <c r="N8" s="13">
        <f>Data!T23</f>
        <v>1.5711833428197128E-4</v>
      </c>
      <c r="O8" s="13">
        <f>Data!U23</f>
        <v>1.9260956626860983E-4</v>
      </c>
      <c r="P8" s="13">
        <f>Data!V23</f>
        <v>2.3131903770100216E-4</v>
      </c>
      <c r="Q8" s="13">
        <f>Data!W23</f>
        <v>2.7178353905085273E-4</v>
      </c>
      <c r="R8" s="13">
        <f>Data!X23</f>
        <v>3.1224804040070329E-4</v>
      </c>
      <c r="S8" s="13">
        <f>Data!Y23</f>
        <v>3.5095751183309559E-4</v>
      </c>
      <c r="T8" s="13">
        <f>Data!Z23</f>
        <v>3.8644874381973417E-4</v>
      </c>
      <c r="U8" s="13">
        <f>Data!AA23</f>
        <v>4.1774477101530678E-4</v>
      </c>
      <c r="V8" s="13">
        <f>Data!AB23</f>
        <v>4.4440656915511122E-4</v>
      </c>
      <c r="W8" s="13">
        <f>Data!AC23</f>
        <v>4.6646150922813193E-4</v>
      </c>
      <c r="X8" s="13">
        <f>Data!AD23</f>
        <v>4.8426563777422194E-4</v>
      </c>
      <c r="Y8" s="13">
        <f>Data!AE23</f>
        <v>4.9835713849066409E-4</v>
      </c>
      <c r="Z8" s="13">
        <f>Data!AF23</f>
        <v>5.093368349515455E-4</v>
      </c>
      <c r="AA8" s="13">
        <f>Data!AG23</f>
        <v>5.1778793479215343E-4</v>
      </c>
      <c r="AB8" s="13">
        <f>Data!AH23</f>
        <v>5.2423175068417585E-4</v>
      </c>
      <c r="AC8" s="13">
        <f>Data!AI23</f>
        <v>5.2910982801683863E-4</v>
      </c>
      <c r="AD8" s="13">
        <f>Data!AJ23</f>
        <v>5.3278254108518846E-4</v>
      </c>
      <c r="AE8" s="13">
        <f>Data!AK23</f>
        <v>5.3553640086241106E-4</v>
      </c>
      <c r="AF8" s="13">
        <f>Data!AL23</f>
        <v>5.3759493779872286E-4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Data!H24</f>
        <v>5.5822769469688269E-3</v>
      </c>
      <c r="C2" s="13">
        <f>Data!I24</f>
        <v>1.731902956505213E-2</v>
      </c>
      <c r="D2" s="13">
        <f>Data!J24</f>
        <v>2.1343767452910681E-2</v>
      </c>
      <c r="E2" s="13">
        <f>Data!K24</f>
        <v>2.6711400024358706E-2</v>
      </c>
      <c r="F2" s="13">
        <f>Data!L24</f>
        <v>3.3840660135224868E-2</v>
      </c>
      <c r="G2" s="13">
        <f>Data!M24</f>
        <v>4.3258231130493256E-2</v>
      </c>
      <c r="H2" s="13">
        <f>Data!N24</f>
        <v>5.5609427078775808E-2</v>
      </c>
      <c r="I2" s="13">
        <f>Data!O24</f>
        <v>7.1656141115851474E-2</v>
      </c>
      <c r="J2" s="13">
        <f>Data!P24</f>
        <v>9.2250725233511327E-2</v>
      </c>
      <c r="K2" s="13">
        <f>Data!Q24</f>
        <v>0.11827127693786213</v>
      </c>
      <c r="L2" s="13">
        <f>Data!R24</f>
        <v>0.150504346195971</v>
      </c>
      <c r="M2" s="13">
        <f>Data!S24</f>
        <v>0.18947029138288671</v>
      </c>
      <c r="N2" s="13">
        <f>Data!T24</f>
        <v>0.23520911491895941</v>
      </c>
      <c r="O2" s="13">
        <f>Data!U24</f>
        <v>0.28707918733327298</v>
      </c>
      <c r="P2" s="13">
        <f>Data!V24</f>
        <v>0.34365268376962932</v>
      </c>
      <c r="Q2" s="13">
        <f>Data!W24</f>
        <v>0.40279113847348447</v>
      </c>
      <c r="R2" s="13">
        <f>Data!X24</f>
        <v>0.46192959317733961</v>
      </c>
      <c r="S2" s="13">
        <f>Data!Y24</f>
        <v>0.51850308961369584</v>
      </c>
      <c r="T2" s="13">
        <f>Data!Z24</f>
        <v>0.57037316202800947</v>
      </c>
      <c r="U2" s="13">
        <f>Data!AA24</f>
        <v>0.6161119855640822</v>
      </c>
      <c r="V2" s="13">
        <f>Data!AB24</f>
        <v>0.65507793075099785</v>
      </c>
      <c r="W2" s="13">
        <f>Data!AC24</f>
        <v>0.68731100000910683</v>
      </c>
      <c r="X2" s="13">
        <f>Data!AD24</f>
        <v>0.71333155171345752</v>
      </c>
      <c r="Y2" s="13">
        <f>Data!AE24</f>
        <v>0.73392613583111743</v>
      </c>
      <c r="Z2" s="13">
        <f>Data!AF24</f>
        <v>0.74997284986819313</v>
      </c>
      <c r="AA2" s="13">
        <f>Data!AG24</f>
        <v>0.76232404581647573</v>
      </c>
      <c r="AB2" s="13">
        <f>Data!AH24</f>
        <v>0.77174161681174402</v>
      </c>
      <c r="AC2" s="13">
        <f>Data!AI24</f>
        <v>0.77887087692261014</v>
      </c>
      <c r="AD2" s="13">
        <f>Data!AJ24</f>
        <v>0.78423850949405827</v>
      </c>
      <c r="AE2" s="13">
        <f>Data!AK24</f>
        <v>0.78826324738191678</v>
      </c>
      <c r="AF2" s="13">
        <f>Data!AL24</f>
        <v>0.79127177805208992</v>
      </c>
    </row>
    <row r="3" spans="1:32" x14ac:dyDescent="0.35">
      <c r="A3" s="13" t="s">
        <v>2</v>
      </c>
      <c r="B3" s="13">
        <f>Data!H25</f>
        <v>2.3113990968226827E-3</v>
      </c>
      <c r="C3" s="13">
        <f>Data!I25</f>
        <v>2.3113990968226827E-3</v>
      </c>
      <c r="D3" s="13">
        <f>Data!J25</f>
        <v>2.3113990968226827E-3</v>
      </c>
      <c r="E3" s="13">
        <f>Data!K25</f>
        <v>2.3113990968226827E-3</v>
      </c>
      <c r="F3" s="13">
        <f>Data!L25</f>
        <v>2.3113990968226827E-3</v>
      </c>
      <c r="G3" s="13">
        <f>Data!M25</f>
        <v>2.3113990968226827E-3</v>
      </c>
      <c r="H3" s="13">
        <f>Data!N25</f>
        <v>2.3113990968226827E-3</v>
      </c>
      <c r="I3" s="13">
        <f>Data!O25</f>
        <v>2.3113990968226827E-3</v>
      </c>
      <c r="J3" s="13">
        <f>Data!P25</f>
        <v>2.3113990968226827E-3</v>
      </c>
      <c r="K3" s="13">
        <f>Data!Q25</f>
        <v>2.3113990968226827E-3</v>
      </c>
      <c r="L3" s="13">
        <f>Data!R25</f>
        <v>2.3113990968226827E-3</v>
      </c>
      <c r="M3" s="13">
        <f>Data!S25</f>
        <v>2.3113990968226827E-3</v>
      </c>
      <c r="N3" s="13">
        <f>Data!T25</f>
        <v>2.3113990968226827E-3</v>
      </c>
      <c r="O3" s="13">
        <f>Data!U25</f>
        <v>2.3113990968226827E-3</v>
      </c>
      <c r="P3" s="13">
        <f>Data!V25</f>
        <v>2.3113990968226827E-3</v>
      </c>
      <c r="Q3" s="13">
        <f>Data!W25</f>
        <v>2.3113990968226827E-3</v>
      </c>
      <c r="R3" s="13">
        <f>Data!X25</f>
        <v>2.3113990968226827E-3</v>
      </c>
      <c r="S3" s="13">
        <f>Data!Y25</f>
        <v>2.3113990968226827E-3</v>
      </c>
      <c r="T3" s="13">
        <f>Data!Z25</f>
        <v>2.3113990968226827E-3</v>
      </c>
      <c r="U3" s="13">
        <f>Data!AA25</f>
        <v>2.3113990968226827E-3</v>
      </c>
      <c r="V3" s="13">
        <f>Data!AB25</f>
        <v>2.3113990968226827E-3</v>
      </c>
      <c r="W3" s="13">
        <f>Data!AC25</f>
        <v>2.3113990968226827E-3</v>
      </c>
      <c r="X3" s="13">
        <f>Data!AD25</f>
        <v>2.3113990968226827E-3</v>
      </c>
      <c r="Y3" s="13">
        <f>Data!AE25</f>
        <v>2.3113990968226827E-3</v>
      </c>
      <c r="Z3" s="13">
        <f>Data!AF25</f>
        <v>2.3113990968226827E-3</v>
      </c>
      <c r="AA3" s="13">
        <f>Data!AG25</f>
        <v>2.3113990968226827E-3</v>
      </c>
      <c r="AB3" s="13">
        <f>Data!AH25</f>
        <v>2.3113990968226827E-3</v>
      </c>
      <c r="AC3" s="13">
        <f>Data!AI25</f>
        <v>2.3113990968226827E-3</v>
      </c>
      <c r="AD3" s="13">
        <f>Data!AJ25</f>
        <v>2.3113990968226827E-3</v>
      </c>
      <c r="AE3" s="13">
        <f>Data!AK25</f>
        <v>2.3113990968226827E-3</v>
      </c>
      <c r="AF3" s="13">
        <f>Data!AL25</f>
        <v>2.3113990968226827E-3</v>
      </c>
    </row>
    <row r="4" spans="1:32" x14ac:dyDescent="0.35">
      <c r="A4" s="13" t="s">
        <v>3</v>
      </c>
      <c r="B4" s="13">
        <f>Data!H26</f>
        <v>2.0554229895079246</v>
      </c>
      <c r="C4" s="13">
        <f>Data!I26</f>
        <v>2.0554229895079246</v>
      </c>
      <c r="D4" s="13">
        <f>Data!J26</f>
        <v>2.0554229895079246</v>
      </c>
      <c r="E4" s="13">
        <f>Data!K26</f>
        <v>2.0554229895079246</v>
      </c>
      <c r="F4" s="13">
        <f>Data!L26</f>
        <v>2.0554229895079246</v>
      </c>
      <c r="G4" s="13">
        <f>Data!M26</f>
        <v>2.0554229895079246</v>
      </c>
      <c r="H4" s="13">
        <f>Data!N26</f>
        <v>2.0554229895079246</v>
      </c>
      <c r="I4" s="13">
        <f>Data!O26</f>
        <v>2.0554229895079246</v>
      </c>
      <c r="J4" s="13">
        <f>Data!P26</f>
        <v>2.0554229895079246</v>
      </c>
      <c r="K4" s="13">
        <f>Data!Q26</f>
        <v>2.0554229895079246</v>
      </c>
      <c r="L4" s="13">
        <f>Data!R26</f>
        <v>2.0554229895079246</v>
      </c>
      <c r="M4" s="13">
        <f>Data!S26</f>
        <v>2.0554229895079246</v>
      </c>
      <c r="N4" s="13">
        <f>Data!T26</f>
        <v>2.0554229895079246</v>
      </c>
      <c r="O4" s="13">
        <f>Data!U26</f>
        <v>2.0554229895079246</v>
      </c>
      <c r="P4" s="13">
        <f>Data!V26</f>
        <v>2.0554229895079246</v>
      </c>
      <c r="Q4" s="13">
        <f>Data!W26</f>
        <v>2.0554229895079246</v>
      </c>
      <c r="R4" s="13">
        <f>Data!X26</f>
        <v>2.0554229895079246</v>
      </c>
      <c r="S4" s="13">
        <f>Data!Y26</f>
        <v>2.0554229895079246</v>
      </c>
      <c r="T4" s="13">
        <f>Data!Z26</f>
        <v>2.0554229895079246</v>
      </c>
      <c r="U4" s="13">
        <f>Data!AA26</f>
        <v>2.0554229895079246</v>
      </c>
      <c r="V4" s="13">
        <f>Data!AB26</f>
        <v>2.0554229895079246</v>
      </c>
      <c r="W4" s="13">
        <f>Data!AC26</f>
        <v>2.0554229895079246</v>
      </c>
      <c r="X4" s="13">
        <f>Data!AD26</f>
        <v>2.0554229895079246</v>
      </c>
      <c r="Y4" s="13">
        <f>Data!AE26</f>
        <v>2.0554229895079246</v>
      </c>
      <c r="Z4" s="13">
        <f>Data!AF26</f>
        <v>2.0554229895079246</v>
      </c>
      <c r="AA4" s="13">
        <f>Data!AG26</f>
        <v>2.0554229895079246</v>
      </c>
      <c r="AB4" s="13">
        <f>Data!AH26</f>
        <v>2.0554229895079246</v>
      </c>
      <c r="AC4" s="13">
        <f>Data!AI26</f>
        <v>2.0554229895079246</v>
      </c>
      <c r="AD4" s="13">
        <f>Data!AJ26</f>
        <v>2.0554229895079246</v>
      </c>
      <c r="AE4" s="13">
        <f>Data!AK26</f>
        <v>2.0554229895079246</v>
      </c>
      <c r="AF4" s="13">
        <f>Data!AL26</f>
        <v>2.0554229895079246</v>
      </c>
    </row>
    <row r="5" spans="1:32" x14ac:dyDescent="0.35">
      <c r="A5" s="13" t="s">
        <v>4</v>
      </c>
      <c r="B5" s="13">
        <f>Data!H27</f>
        <v>1.2214413459094668</v>
      </c>
      <c r="C5" s="13">
        <f>Data!I27</f>
        <v>1.2214413459094668</v>
      </c>
      <c r="D5" s="13">
        <f>Data!J27</f>
        <v>1.2214413459094668</v>
      </c>
      <c r="E5" s="13">
        <f>Data!K27</f>
        <v>1.2214413459094668</v>
      </c>
      <c r="F5" s="13">
        <f>Data!L27</f>
        <v>1.2214413459094668</v>
      </c>
      <c r="G5" s="13">
        <f>Data!M27</f>
        <v>1.2214413459094668</v>
      </c>
      <c r="H5" s="13">
        <f>Data!N27</f>
        <v>1.2214413459094668</v>
      </c>
      <c r="I5" s="13">
        <f>Data!O27</f>
        <v>1.2214413459094668</v>
      </c>
      <c r="J5" s="13">
        <f>Data!P27</f>
        <v>1.2214413459094668</v>
      </c>
      <c r="K5" s="13">
        <f>Data!Q27</f>
        <v>1.2214413459094668</v>
      </c>
      <c r="L5" s="13">
        <f>Data!R27</f>
        <v>1.2214413459094668</v>
      </c>
      <c r="M5" s="13">
        <f>Data!S27</f>
        <v>1.2214413459094668</v>
      </c>
      <c r="N5" s="13">
        <f>Data!T27</f>
        <v>1.2214413459094668</v>
      </c>
      <c r="O5" s="13">
        <f>Data!U27</f>
        <v>1.2214413459094668</v>
      </c>
      <c r="P5" s="13">
        <f>Data!V27</f>
        <v>1.2214413459094668</v>
      </c>
      <c r="Q5" s="13">
        <f>Data!W27</f>
        <v>1.2214413459094668</v>
      </c>
      <c r="R5" s="13">
        <f>Data!X27</f>
        <v>1.2214413459094668</v>
      </c>
      <c r="S5" s="13">
        <f>Data!Y27</f>
        <v>1.2214413459094668</v>
      </c>
      <c r="T5" s="13">
        <f>Data!Z27</f>
        <v>1.2214413459094668</v>
      </c>
      <c r="U5" s="13">
        <f>Data!AA27</f>
        <v>1.2214413459094668</v>
      </c>
      <c r="V5" s="13">
        <f>Data!AB27</f>
        <v>1.2214413459094668</v>
      </c>
      <c r="W5" s="13">
        <f>Data!AC27</f>
        <v>1.2214413459094668</v>
      </c>
      <c r="X5" s="13">
        <f>Data!AD27</f>
        <v>1.2214413459094668</v>
      </c>
      <c r="Y5" s="13">
        <f>Data!AE27</f>
        <v>1.2214413459094668</v>
      </c>
      <c r="Z5" s="13">
        <f>Data!AF27</f>
        <v>1.2214413459094668</v>
      </c>
      <c r="AA5" s="13">
        <f>Data!AG27</f>
        <v>1.2214413459094668</v>
      </c>
      <c r="AB5" s="13">
        <f>Data!AH27</f>
        <v>1.2214413459094668</v>
      </c>
      <c r="AC5" s="13">
        <f>Data!AI27</f>
        <v>1.2214413459094668</v>
      </c>
      <c r="AD5" s="13">
        <f>Data!AJ27</f>
        <v>1.2214413459094668</v>
      </c>
      <c r="AE5" s="13">
        <f>Data!AK27</f>
        <v>1.2214413459094668</v>
      </c>
      <c r="AF5" s="13">
        <f>Data!AL27</f>
        <v>1.2214413459094668</v>
      </c>
    </row>
    <row r="6" spans="1:32" x14ac:dyDescent="0.35">
      <c r="A6" s="13" t="s">
        <v>5</v>
      </c>
      <c r="B6" s="13">
        <f>Data!H28</f>
        <v>3.1668514383371552E-2</v>
      </c>
      <c r="C6" s="13">
        <f>Data!I28</f>
        <v>3.1668514383371552E-2</v>
      </c>
      <c r="D6" s="13">
        <f>Data!J28</f>
        <v>3.1668514383371552E-2</v>
      </c>
      <c r="E6" s="13">
        <f>Data!K28</f>
        <v>3.1668514383371552E-2</v>
      </c>
      <c r="F6" s="13">
        <f>Data!L28</f>
        <v>3.1668514383371552E-2</v>
      </c>
      <c r="G6" s="13">
        <f>Data!M28</f>
        <v>3.1668514383371552E-2</v>
      </c>
      <c r="H6" s="13">
        <f>Data!N28</f>
        <v>3.1668514383371552E-2</v>
      </c>
      <c r="I6" s="13">
        <f>Data!O28</f>
        <v>3.1668514383371552E-2</v>
      </c>
      <c r="J6" s="13">
        <f>Data!P28</f>
        <v>3.1668514383371552E-2</v>
      </c>
      <c r="K6" s="13">
        <f>Data!Q28</f>
        <v>3.1668514383371552E-2</v>
      </c>
      <c r="L6" s="13">
        <f>Data!R28</f>
        <v>3.1668514383371552E-2</v>
      </c>
      <c r="M6" s="13">
        <f>Data!S28</f>
        <v>3.1668514383371552E-2</v>
      </c>
      <c r="N6" s="13">
        <f>Data!T28</f>
        <v>3.1668514383371552E-2</v>
      </c>
      <c r="O6" s="13">
        <f>Data!U28</f>
        <v>3.1668514383371552E-2</v>
      </c>
      <c r="P6" s="13">
        <f>Data!V28</f>
        <v>3.1668514383371552E-2</v>
      </c>
      <c r="Q6" s="13">
        <f>Data!W28</f>
        <v>3.1668514383371552E-2</v>
      </c>
      <c r="R6" s="13">
        <f>Data!X28</f>
        <v>3.1668514383371552E-2</v>
      </c>
      <c r="S6" s="13">
        <f>Data!Y28</f>
        <v>3.1668514383371552E-2</v>
      </c>
      <c r="T6" s="13">
        <f>Data!Z28</f>
        <v>3.1668514383371552E-2</v>
      </c>
      <c r="U6" s="13">
        <f>Data!AA28</f>
        <v>3.1668514383371552E-2</v>
      </c>
      <c r="V6" s="13">
        <f>Data!AB28</f>
        <v>3.1668514383371552E-2</v>
      </c>
      <c r="W6" s="13">
        <f>Data!AC28</f>
        <v>3.1668514383371552E-2</v>
      </c>
      <c r="X6" s="13">
        <f>Data!AD28</f>
        <v>3.1668514383371552E-2</v>
      </c>
      <c r="Y6" s="13">
        <f>Data!AE28</f>
        <v>3.1668514383371552E-2</v>
      </c>
      <c r="Z6" s="13">
        <f>Data!AF28</f>
        <v>3.1668514383371552E-2</v>
      </c>
      <c r="AA6" s="13">
        <f>Data!AG28</f>
        <v>3.1668514383371552E-2</v>
      </c>
      <c r="AB6" s="13">
        <f>Data!AH28</f>
        <v>3.1668514383371552E-2</v>
      </c>
      <c r="AC6" s="13">
        <f>Data!AI28</f>
        <v>3.1668514383371552E-2</v>
      </c>
      <c r="AD6" s="13">
        <f>Data!AJ28</f>
        <v>3.1668514383371552E-2</v>
      </c>
      <c r="AE6" s="13">
        <f>Data!AK28</f>
        <v>3.1668514383371552E-2</v>
      </c>
      <c r="AF6" s="13">
        <f>Data!AL28</f>
        <v>3.1668514383371552E-2</v>
      </c>
    </row>
    <row r="7" spans="1:32" x14ac:dyDescent="0.35">
      <c r="A7" s="13" t="s">
        <v>78</v>
      </c>
      <c r="B7" s="13">
        <f>Data!H29</f>
        <v>0.11783160269165999</v>
      </c>
      <c r="C7" s="13">
        <f>Data!I29</f>
        <v>0.11783160269165999</v>
      </c>
      <c r="D7" s="13">
        <f>Data!J29</f>
        <v>0.11783160269165999</v>
      </c>
      <c r="E7" s="13">
        <f>Data!K29</f>
        <v>0.11783160269165999</v>
      </c>
      <c r="F7" s="13">
        <f>Data!L29</f>
        <v>0.11783160269165999</v>
      </c>
      <c r="G7" s="13">
        <f>Data!M29</f>
        <v>0.11783160269165999</v>
      </c>
      <c r="H7" s="13">
        <f>Data!N29</f>
        <v>0.11783160269165999</v>
      </c>
      <c r="I7" s="13">
        <f>Data!O29</f>
        <v>0.11783160269165999</v>
      </c>
      <c r="J7" s="13">
        <f>Data!P29</f>
        <v>0.11783160269165999</v>
      </c>
      <c r="K7" s="13">
        <f>Data!Q29</f>
        <v>0.11783160269165999</v>
      </c>
      <c r="L7" s="13">
        <f>Data!R29</f>
        <v>0.11783160269165999</v>
      </c>
      <c r="M7" s="13">
        <f>Data!S29</f>
        <v>0.11783160269165999</v>
      </c>
      <c r="N7" s="13">
        <f>Data!T29</f>
        <v>0.11783160269165999</v>
      </c>
      <c r="O7" s="13">
        <f>Data!U29</f>
        <v>0.11783160269165999</v>
      </c>
      <c r="P7" s="13">
        <f>Data!V29</f>
        <v>0.11783160269165999</v>
      </c>
      <c r="Q7" s="13">
        <f>Data!W29</f>
        <v>0.11783160269165999</v>
      </c>
      <c r="R7" s="13">
        <f>Data!X29</f>
        <v>0.11783160269165999</v>
      </c>
      <c r="S7" s="13">
        <f>Data!Y29</f>
        <v>0.11783160269165999</v>
      </c>
      <c r="T7" s="13">
        <f>Data!Z29</f>
        <v>0.11783160269165999</v>
      </c>
      <c r="U7" s="13">
        <f>Data!AA29</f>
        <v>0.11783160269165999</v>
      </c>
      <c r="V7" s="13">
        <f>Data!AB29</f>
        <v>0.11783160269165999</v>
      </c>
      <c r="W7" s="13">
        <f>Data!AC29</f>
        <v>0.11783160269165999</v>
      </c>
      <c r="X7" s="13">
        <f>Data!AD29</f>
        <v>0.11783160269165999</v>
      </c>
      <c r="Y7" s="13">
        <f>Data!AE29</f>
        <v>0.11783160269165999</v>
      </c>
      <c r="Z7" s="13">
        <f>Data!AF29</f>
        <v>0.11783160269165999</v>
      </c>
      <c r="AA7" s="13">
        <f>Data!AG29</f>
        <v>0.11783160269165999</v>
      </c>
      <c r="AB7" s="13">
        <f>Data!AH29</f>
        <v>0.11783160269165999</v>
      </c>
      <c r="AC7" s="13">
        <f>Data!AI29</f>
        <v>0.11783160269165999</v>
      </c>
      <c r="AD7" s="13">
        <f>Data!AJ29</f>
        <v>0.11783160269165999</v>
      </c>
      <c r="AE7" s="13">
        <f>Data!AK29</f>
        <v>0.11783160269165999</v>
      </c>
      <c r="AF7" s="13">
        <f>Data!AL29</f>
        <v>0.11783160269165999</v>
      </c>
    </row>
    <row r="8" spans="1:32" x14ac:dyDescent="0.35">
      <c r="A8" s="13" t="s">
        <v>79</v>
      </c>
      <c r="B8" s="13">
        <f>Data!H30</f>
        <v>3.1809507537971295E-4</v>
      </c>
      <c r="C8" s="13">
        <f>Data!I30</f>
        <v>3.4754421216684001E-4</v>
      </c>
      <c r="D8" s="13">
        <f>Data!J30</f>
        <v>3.5764283658610766E-4</v>
      </c>
      <c r="E8" s="13">
        <f>Data!K30</f>
        <v>3.711109696347725E-4</v>
      </c>
      <c r="F8" s="13">
        <f>Data!L30</f>
        <v>3.8899927000436767E-4</v>
      </c>
      <c r="G8" s="13">
        <f>Data!M30</f>
        <v>4.126292591050011E-4</v>
      </c>
      <c r="H8" s="13">
        <f>Data!N30</f>
        <v>4.4362011925188412E-4</v>
      </c>
      <c r="I8" s="13">
        <f>Data!O30</f>
        <v>4.8388354577530402E-4</v>
      </c>
      <c r="J8" s="13">
        <f>Data!P30</f>
        <v>5.3555820779557285E-4</v>
      </c>
      <c r="K8" s="13">
        <f>Data!Q30</f>
        <v>6.0084737349182303E-4</v>
      </c>
      <c r="L8" s="13">
        <f>Data!R30</f>
        <v>6.8172460559676336E-4</v>
      </c>
      <c r="M8" s="13">
        <f>Data!S30</f>
        <v>7.7949555529550321E-4</v>
      </c>
      <c r="N8" s="13">
        <f>Data!T30</f>
        <v>8.9426059419738316E-4</v>
      </c>
      <c r="O8" s="13">
        <f>Data!U30</f>
        <v>1.0244097851527911E-3</v>
      </c>
      <c r="P8" s="13">
        <f>Data!V30</f>
        <v>1.1663605179741822E-3</v>
      </c>
      <c r="Q8" s="13">
        <f>Data!W30</f>
        <v>1.3147470861011978E-3</v>
      </c>
      <c r="R8" s="13">
        <f>Data!X30</f>
        <v>1.4631336542282136E-3</v>
      </c>
      <c r="S8" s="13">
        <f>Data!Y30</f>
        <v>1.6050843870496045E-3</v>
      </c>
      <c r="T8" s="13">
        <f>Data!Z30</f>
        <v>1.7352335780050124E-3</v>
      </c>
      <c r="U8" s="13">
        <f>Data!AA30</f>
        <v>1.8499986169068924E-3</v>
      </c>
      <c r="V8" s="13">
        <f>Data!AB30</f>
        <v>1.9477695666056322E-3</v>
      </c>
      <c r="W8" s="13">
        <f>Data!AC30</f>
        <v>2.0286467987105728E-3</v>
      </c>
      <c r="X8" s="13">
        <f>Data!AD30</f>
        <v>2.093935964406823E-3</v>
      </c>
      <c r="Y8" s="13">
        <f>Data!AE30</f>
        <v>2.1456106264270917E-3</v>
      </c>
      <c r="Z8" s="13">
        <f>Data!AF30</f>
        <v>2.1858740529505116E-3</v>
      </c>
      <c r="AA8" s="13">
        <f>Data!AG30</f>
        <v>2.2168649130973948E-3</v>
      </c>
      <c r="AB8" s="13">
        <f>Data!AH30</f>
        <v>2.2404949021980281E-3</v>
      </c>
      <c r="AC8" s="13">
        <f>Data!AI30</f>
        <v>2.2583832025676229E-3</v>
      </c>
      <c r="AD8" s="13">
        <f>Data!AJ30</f>
        <v>2.2718513356162879E-3</v>
      </c>
      <c r="AE8" s="13">
        <f>Data!AK30</f>
        <v>2.2819499600355555E-3</v>
      </c>
      <c r="AF8" s="13">
        <f>Data!AL30</f>
        <v>2.2894987798937581E-3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Data!H31</f>
        <v>4.0561912113626873E-4</v>
      </c>
      <c r="C2" s="13">
        <f>Data!I31</f>
        <v>1.2218851846003648E-2</v>
      </c>
      <c r="D2" s="13">
        <f>Data!J31</f>
        <v>1.6269816101023345E-2</v>
      </c>
      <c r="E2" s="13">
        <f>Data!K31</f>
        <v>2.1672425733469447E-2</v>
      </c>
      <c r="F2" s="13">
        <f>Data!L31</f>
        <v>2.8848142184714674E-2</v>
      </c>
      <c r="G2" s="13">
        <f>Data!M31</f>
        <v>3.8327080822192293E-2</v>
      </c>
      <c r="H2" s="13">
        <f>Data!N31</f>
        <v>5.0758760769394638E-2</v>
      </c>
      <c r="I2" s="13">
        <f>Data!O31</f>
        <v>6.6910039880219777E-2</v>
      </c>
      <c r="J2" s="13">
        <f>Data!P31</f>
        <v>8.7638824320894482E-2</v>
      </c>
      <c r="K2" s="13">
        <f>Data!Q31</f>
        <v>0.11382893353724935</v>
      </c>
      <c r="L2" s="13">
        <f>Data!R31</f>
        <v>0.14627204288558221</v>
      </c>
      <c r="M2" s="13">
        <f>Data!S31</f>
        <v>0.18549190154804021</v>
      </c>
      <c r="N2" s="13">
        <f>Data!T31</f>
        <v>0.23152877261242388</v>
      </c>
      <c r="O2" s="13">
        <f>Data!U31</f>
        <v>0.28373684556285106</v>
      </c>
      <c r="P2" s="13">
        <f>Data!V31</f>
        <v>0.34067899141948532</v>
      </c>
      <c r="Q2" s="13">
        <f>Data!W31</f>
        <v>0.4002028095605682</v>
      </c>
      <c r="R2" s="13">
        <f>Data!X31</f>
        <v>0.45972662770165112</v>
      </c>
      <c r="S2" s="13">
        <f>Data!Y31</f>
        <v>0.51666877355828522</v>
      </c>
      <c r="T2" s="13">
        <f>Data!Z31</f>
        <v>0.5688768465087124</v>
      </c>
      <c r="U2" s="13">
        <f>Data!AA31</f>
        <v>0.6149137175730961</v>
      </c>
      <c r="V2" s="13">
        <f>Data!AB31</f>
        <v>0.65413357623555413</v>
      </c>
      <c r="W2" s="13">
        <f>Data!AC31</f>
        <v>0.68657668558388707</v>
      </c>
      <c r="X2" s="13">
        <f>Data!AD31</f>
        <v>0.71276679480024185</v>
      </c>
      <c r="Y2" s="13">
        <f>Data!AE31</f>
        <v>0.73349557924091657</v>
      </c>
      <c r="Z2" s="13">
        <f>Data!AF31</f>
        <v>0.74964685835174172</v>
      </c>
      <c r="AA2" s="13">
        <f>Data!AG31</f>
        <v>0.76207853829894412</v>
      </c>
      <c r="AB2" s="13">
        <f>Data!AH31</f>
        <v>0.77155747693642163</v>
      </c>
      <c r="AC2" s="13">
        <f>Data!AI31</f>
        <v>0.77873319338766678</v>
      </c>
      <c r="AD2" s="13">
        <f>Data!AJ31</f>
        <v>0.78413580302011299</v>
      </c>
      <c r="AE2" s="13">
        <f>Data!AK31</f>
        <v>0.7881867672751327</v>
      </c>
      <c r="AF2" s="13">
        <f>Data!AL31</f>
        <v>0.79121490240953929</v>
      </c>
    </row>
    <row r="3" spans="1:32" x14ac:dyDescent="0.35">
      <c r="A3" s="13" t="s">
        <v>2</v>
      </c>
      <c r="B3" s="13">
        <f>Data!H32</f>
        <v>0</v>
      </c>
      <c r="C3" s="13">
        <f>Data!I32</f>
        <v>0</v>
      </c>
      <c r="D3" s="13">
        <f>Data!J32</f>
        <v>0</v>
      </c>
      <c r="E3" s="13">
        <f>Data!K32</f>
        <v>0</v>
      </c>
      <c r="F3" s="13">
        <f>Data!L32</f>
        <v>0</v>
      </c>
      <c r="G3" s="13">
        <f>Data!M32</f>
        <v>0</v>
      </c>
      <c r="H3" s="13">
        <f>Data!N32</f>
        <v>0</v>
      </c>
      <c r="I3" s="13">
        <f>Data!O32</f>
        <v>0</v>
      </c>
      <c r="J3" s="13">
        <f>Data!P32</f>
        <v>0</v>
      </c>
      <c r="K3" s="13">
        <f>Data!Q32</f>
        <v>0</v>
      </c>
      <c r="L3" s="13">
        <f>Data!R32</f>
        <v>0</v>
      </c>
      <c r="M3" s="13">
        <f>Data!S32</f>
        <v>0</v>
      </c>
      <c r="N3" s="13">
        <f>Data!T32</f>
        <v>0</v>
      </c>
      <c r="O3" s="13">
        <f>Data!U32</f>
        <v>0</v>
      </c>
      <c r="P3" s="13">
        <f>Data!V32</f>
        <v>0</v>
      </c>
      <c r="Q3" s="13">
        <f>Data!W32</f>
        <v>0</v>
      </c>
      <c r="R3" s="13">
        <f>Data!X32</f>
        <v>0</v>
      </c>
      <c r="S3" s="13">
        <f>Data!Y32</f>
        <v>0</v>
      </c>
      <c r="T3" s="13">
        <f>Data!Z32</f>
        <v>0</v>
      </c>
      <c r="U3" s="13">
        <f>Data!AA32</f>
        <v>0</v>
      </c>
      <c r="V3" s="13">
        <f>Data!AB32</f>
        <v>0</v>
      </c>
      <c r="W3" s="13">
        <f>Data!AC32</f>
        <v>0</v>
      </c>
      <c r="X3" s="13">
        <f>Data!AD32</f>
        <v>0</v>
      </c>
      <c r="Y3" s="13">
        <f>Data!AE32</f>
        <v>0</v>
      </c>
      <c r="Z3" s="13">
        <f>Data!AF32</f>
        <v>0</v>
      </c>
      <c r="AA3" s="13">
        <f>Data!AG32</f>
        <v>0</v>
      </c>
      <c r="AB3" s="13">
        <f>Data!AH32</f>
        <v>0</v>
      </c>
      <c r="AC3" s="13">
        <f>Data!AI32</f>
        <v>0</v>
      </c>
      <c r="AD3" s="13">
        <f>Data!AJ32</f>
        <v>0</v>
      </c>
      <c r="AE3" s="13">
        <f>Data!AK32</f>
        <v>0</v>
      </c>
      <c r="AF3" s="13">
        <f>Data!AL32</f>
        <v>0</v>
      </c>
    </row>
    <row r="4" spans="1:32" x14ac:dyDescent="0.35">
      <c r="A4" s="13" t="s">
        <v>3</v>
      </c>
      <c r="B4" s="13">
        <f>Data!H33</f>
        <v>1.3139759622581862E-2</v>
      </c>
      <c r="C4" s="13">
        <f>Data!I33</f>
        <v>1.3139759622581862E-2</v>
      </c>
      <c r="D4" s="13">
        <f>Data!J33</f>
        <v>1.3139759622581862E-2</v>
      </c>
      <c r="E4" s="13">
        <f>Data!K33</f>
        <v>1.3139759622581862E-2</v>
      </c>
      <c r="F4" s="13">
        <f>Data!L33</f>
        <v>1.3139759622581862E-2</v>
      </c>
      <c r="G4" s="13">
        <f>Data!M33</f>
        <v>1.3139759622581862E-2</v>
      </c>
      <c r="H4" s="13">
        <f>Data!N33</f>
        <v>1.3139759622581862E-2</v>
      </c>
      <c r="I4" s="13">
        <f>Data!O33</f>
        <v>1.3139759622581862E-2</v>
      </c>
      <c r="J4" s="13">
        <f>Data!P33</f>
        <v>1.3139759622581862E-2</v>
      </c>
      <c r="K4" s="13">
        <f>Data!Q33</f>
        <v>1.3139759622581862E-2</v>
      </c>
      <c r="L4" s="13">
        <f>Data!R33</f>
        <v>1.3139759622581862E-2</v>
      </c>
      <c r="M4" s="13">
        <f>Data!S33</f>
        <v>1.3139759622581862E-2</v>
      </c>
      <c r="N4" s="13">
        <f>Data!T33</f>
        <v>1.3139759622581862E-2</v>
      </c>
      <c r="O4" s="13">
        <f>Data!U33</f>
        <v>1.3139759622581862E-2</v>
      </c>
      <c r="P4" s="13">
        <f>Data!V33</f>
        <v>1.3139759622581862E-2</v>
      </c>
      <c r="Q4" s="13">
        <f>Data!W33</f>
        <v>1.3139759622581862E-2</v>
      </c>
      <c r="R4" s="13">
        <f>Data!X33</f>
        <v>1.3139759622581862E-2</v>
      </c>
      <c r="S4" s="13">
        <f>Data!Y33</f>
        <v>1.3139759622581862E-2</v>
      </c>
      <c r="T4" s="13">
        <f>Data!Z33</f>
        <v>1.3139759622581862E-2</v>
      </c>
      <c r="U4" s="13">
        <f>Data!AA33</f>
        <v>1.3139759622581862E-2</v>
      </c>
      <c r="V4" s="13">
        <f>Data!AB33</f>
        <v>1.3139759622581862E-2</v>
      </c>
      <c r="W4" s="13">
        <f>Data!AC33</f>
        <v>1.3139759622581862E-2</v>
      </c>
      <c r="X4" s="13">
        <f>Data!AD33</f>
        <v>1.3139759622581862E-2</v>
      </c>
      <c r="Y4" s="13">
        <f>Data!AE33</f>
        <v>1.3139759622581862E-2</v>
      </c>
      <c r="Z4" s="13">
        <f>Data!AF33</f>
        <v>1.3139759622581862E-2</v>
      </c>
      <c r="AA4" s="13">
        <f>Data!AG33</f>
        <v>1.3139759622581862E-2</v>
      </c>
      <c r="AB4" s="13">
        <f>Data!AH33</f>
        <v>1.3139759622581862E-2</v>
      </c>
      <c r="AC4" s="13">
        <f>Data!AI33</f>
        <v>1.3139759622581862E-2</v>
      </c>
      <c r="AD4" s="13">
        <f>Data!AJ33</f>
        <v>1.3139759622581862E-2</v>
      </c>
      <c r="AE4" s="13">
        <f>Data!AK33</f>
        <v>1.3139759622581862E-2</v>
      </c>
      <c r="AF4" s="13">
        <f>Data!AL33</f>
        <v>1.3139759622581862E-2</v>
      </c>
    </row>
    <row r="5" spans="1:32" x14ac:dyDescent="0.35">
      <c r="A5" s="13" t="s">
        <v>4</v>
      </c>
      <c r="B5" s="13">
        <f>Data!H34</f>
        <v>3</v>
      </c>
      <c r="C5" s="13">
        <f>Data!I34</f>
        <v>3</v>
      </c>
      <c r="D5" s="13">
        <f>Data!J34</f>
        <v>3</v>
      </c>
      <c r="E5" s="13">
        <f>Data!K34</f>
        <v>3</v>
      </c>
      <c r="F5" s="13">
        <f>Data!L34</f>
        <v>3</v>
      </c>
      <c r="G5" s="13">
        <f>Data!M34</f>
        <v>3</v>
      </c>
      <c r="H5" s="13">
        <f>Data!N34</f>
        <v>3</v>
      </c>
      <c r="I5" s="13">
        <f>Data!O34</f>
        <v>3</v>
      </c>
      <c r="J5" s="13">
        <f>Data!P34</f>
        <v>3</v>
      </c>
      <c r="K5" s="13">
        <f>Data!Q34</f>
        <v>3</v>
      </c>
      <c r="L5" s="13">
        <f>Data!R34</f>
        <v>3</v>
      </c>
      <c r="M5" s="13">
        <f>Data!S34</f>
        <v>3</v>
      </c>
      <c r="N5" s="13">
        <f>Data!T34</f>
        <v>3</v>
      </c>
      <c r="O5" s="13">
        <f>Data!U34</f>
        <v>3</v>
      </c>
      <c r="P5" s="13">
        <f>Data!V34</f>
        <v>3</v>
      </c>
      <c r="Q5" s="13">
        <f>Data!W34</f>
        <v>3</v>
      </c>
      <c r="R5" s="13">
        <f>Data!X34</f>
        <v>3</v>
      </c>
      <c r="S5" s="13">
        <f>Data!Y34</f>
        <v>3</v>
      </c>
      <c r="T5" s="13">
        <f>Data!Z34</f>
        <v>3</v>
      </c>
      <c r="U5" s="13">
        <f>Data!AA34</f>
        <v>3</v>
      </c>
      <c r="V5" s="13">
        <f>Data!AB34</f>
        <v>3</v>
      </c>
      <c r="W5" s="13">
        <f>Data!AC34</f>
        <v>3</v>
      </c>
      <c r="X5" s="13">
        <f>Data!AD34</f>
        <v>3</v>
      </c>
      <c r="Y5" s="13">
        <f>Data!AE34</f>
        <v>3</v>
      </c>
      <c r="Z5" s="13">
        <f>Data!AF34</f>
        <v>3</v>
      </c>
      <c r="AA5" s="13">
        <f>Data!AG34</f>
        <v>3</v>
      </c>
      <c r="AB5" s="13">
        <f>Data!AH34</f>
        <v>3</v>
      </c>
      <c r="AC5" s="13">
        <f>Data!AI34</f>
        <v>3</v>
      </c>
      <c r="AD5" s="13">
        <f>Data!AJ34</f>
        <v>3</v>
      </c>
      <c r="AE5" s="13">
        <f>Data!AK34</f>
        <v>3</v>
      </c>
      <c r="AF5" s="13">
        <f>Data!AL34</f>
        <v>3</v>
      </c>
    </row>
    <row r="6" spans="1:32" x14ac:dyDescent="0.35">
      <c r="A6" s="13" t="s">
        <v>5</v>
      </c>
      <c r="B6" s="13">
        <f>Data!H35</f>
        <v>0</v>
      </c>
      <c r="C6" s="13">
        <f>Data!I35</f>
        <v>0</v>
      </c>
      <c r="D6" s="13">
        <f>Data!J35</f>
        <v>0</v>
      </c>
      <c r="E6" s="13">
        <f>Data!K35</f>
        <v>0</v>
      </c>
      <c r="F6" s="13">
        <f>Data!L35</f>
        <v>0</v>
      </c>
      <c r="G6" s="13">
        <f>Data!M35</f>
        <v>0</v>
      </c>
      <c r="H6" s="13">
        <f>Data!N35</f>
        <v>0</v>
      </c>
      <c r="I6" s="13">
        <f>Data!O35</f>
        <v>0</v>
      </c>
      <c r="J6" s="13">
        <f>Data!P35</f>
        <v>0</v>
      </c>
      <c r="K6" s="13">
        <f>Data!Q35</f>
        <v>0</v>
      </c>
      <c r="L6" s="13">
        <f>Data!R35</f>
        <v>0</v>
      </c>
      <c r="M6" s="13">
        <f>Data!S35</f>
        <v>0</v>
      </c>
      <c r="N6" s="13">
        <f>Data!T35</f>
        <v>0</v>
      </c>
      <c r="O6" s="13">
        <f>Data!U35</f>
        <v>0</v>
      </c>
      <c r="P6" s="13">
        <f>Data!V35</f>
        <v>0</v>
      </c>
      <c r="Q6" s="13">
        <f>Data!W35</f>
        <v>0</v>
      </c>
      <c r="R6" s="13">
        <f>Data!X35</f>
        <v>0</v>
      </c>
      <c r="S6" s="13">
        <f>Data!Y35</f>
        <v>0</v>
      </c>
      <c r="T6" s="13">
        <f>Data!Z35</f>
        <v>0</v>
      </c>
      <c r="U6" s="13">
        <f>Data!AA35</f>
        <v>0</v>
      </c>
      <c r="V6" s="13">
        <f>Data!AB35</f>
        <v>0</v>
      </c>
      <c r="W6" s="13">
        <f>Data!AC35</f>
        <v>0</v>
      </c>
      <c r="X6" s="13">
        <f>Data!AD35</f>
        <v>0</v>
      </c>
      <c r="Y6" s="13">
        <f>Data!AE35</f>
        <v>0</v>
      </c>
      <c r="Z6" s="13">
        <f>Data!AF35</f>
        <v>0</v>
      </c>
      <c r="AA6" s="13">
        <f>Data!AG35</f>
        <v>0</v>
      </c>
      <c r="AB6" s="13">
        <f>Data!AH35</f>
        <v>0</v>
      </c>
      <c r="AC6" s="13">
        <f>Data!AI35</f>
        <v>0</v>
      </c>
      <c r="AD6" s="13">
        <f>Data!AJ35</f>
        <v>0</v>
      </c>
      <c r="AE6" s="13">
        <f>Data!AK35</f>
        <v>0</v>
      </c>
      <c r="AF6" s="13">
        <f>Data!AL35</f>
        <v>0</v>
      </c>
    </row>
    <row r="7" spans="1:32" x14ac:dyDescent="0.35">
      <c r="A7" s="13" t="s">
        <v>78</v>
      </c>
      <c r="B7" s="13">
        <f>Data!H36</f>
        <v>4.2457589105878851E-2</v>
      </c>
      <c r="C7" s="13">
        <f>Data!I36</f>
        <v>4.2457589105878851E-2</v>
      </c>
      <c r="D7" s="13">
        <f>Data!J36</f>
        <v>4.2457589105878851E-2</v>
      </c>
      <c r="E7" s="13">
        <f>Data!K36</f>
        <v>4.2457589105878851E-2</v>
      </c>
      <c r="F7" s="13">
        <f>Data!L36</f>
        <v>4.2457589105878851E-2</v>
      </c>
      <c r="G7" s="13">
        <f>Data!M36</f>
        <v>4.2457589105878851E-2</v>
      </c>
      <c r="H7" s="13">
        <f>Data!N36</f>
        <v>4.2457589105878851E-2</v>
      </c>
      <c r="I7" s="13">
        <f>Data!O36</f>
        <v>4.2457589105878851E-2</v>
      </c>
      <c r="J7" s="13">
        <f>Data!P36</f>
        <v>4.2457589105878851E-2</v>
      </c>
      <c r="K7" s="13">
        <f>Data!Q36</f>
        <v>4.2457589105878851E-2</v>
      </c>
      <c r="L7" s="13">
        <f>Data!R36</f>
        <v>4.2457589105878851E-2</v>
      </c>
      <c r="M7" s="13">
        <f>Data!S36</f>
        <v>4.2457589105878851E-2</v>
      </c>
      <c r="N7" s="13">
        <f>Data!T36</f>
        <v>4.2457589105878851E-2</v>
      </c>
      <c r="O7" s="13">
        <f>Data!U36</f>
        <v>4.2457589105878851E-2</v>
      </c>
      <c r="P7" s="13">
        <f>Data!V36</f>
        <v>4.2457589105878851E-2</v>
      </c>
      <c r="Q7" s="13">
        <f>Data!W36</f>
        <v>4.2457589105878851E-2</v>
      </c>
      <c r="R7" s="13">
        <f>Data!X36</f>
        <v>4.2457589105878851E-2</v>
      </c>
      <c r="S7" s="13">
        <f>Data!Y36</f>
        <v>4.2457589105878851E-2</v>
      </c>
      <c r="T7" s="13">
        <f>Data!Z36</f>
        <v>4.2457589105878851E-2</v>
      </c>
      <c r="U7" s="13">
        <f>Data!AA36</f>
        <v>4.2457589105878851E-2</v>
      </c>
      <c r="V7" s="13">
        <f>Data!AB36</f>
        <v>4.2457589105878851E-2</v>
      </c>
      <c r="W7" s="13">
        <f>Data!AC36</f>
        <v>4.2457589105878851E-2</v>
      </c>
      <c r="X7" s="13">
        <f>Data!AD36</f>
        <v>4.2457589105878851E-2</v>
      </c>
      <c r="Y7" s="13">
        <f>Data!AE36</f>
        <v>4.2457589105878851E-2</v>
      </c>
      <c r="Z7" s="13">
        <f>Data!AF36</f>
        <v>4.2457589105878851E-2</v>
      </c>
      <c r="AA7" s="13">
        <f>Data!AG36</f>
        <v>4.2457589105878851E-2</v>
      </c>
      <c r="AB7" s="13">
        <f>Data!AH36</f>
        <v>4.2457589105878851E-2</v>
      </c>
      <c r="AC7" s="13">
        <f>Data!AI36</f>
        <v>4.2457589105878851E-2</v>
      </c>
      <c r="AD7" s="13">
        <f>Data!AJ36</f>
        <v>4.2457589105878851E-2</v>
      </c>
      <c r="AE7" s="13">
        <f>Data!AK36</f>
        <v>4.2457589105878851E-2</v>
      </c>
      <c r="AF7" s="13">
        <f>Data!AL36</f>
        <v>4.2457589105878851E-2</v>
      </c>
    </row>
    <row r="8" spans="1:32" x14ac:dyDescent="0.35">
      <c r="A8" s="13" t="s">
        <v>79</v>
      </c>
      <c r="B8" s="13">
        <f>Data!H37</f>
        <v>0</v>
      </c>
      <c r="C8" s="13">
        <f>Data!I37</f>
        <v>6.2726976707021894E-4</v>
      </c>
      <c r="D8" s="13">
        <f>Data!J37</f>
        <v>8.4237154859247501E-4</v>
      </c>
      <c r="E8" s="13">
        <f>Data!K37</f>
        <v>1.1292442247382698E-3</v>
      </c>
      <c r="F8" s="13">
        <f>Data!L37</f>
        <v>1.5102669381450325E-3</v>
      </c>
      <c r="G8" s="13">
        <f>Data!M37</f>
        <v>2.0135882363606513E-3</v>
      </c>
      <c r="H8" s="13">
        <f>Data!N37</f>
        <v>2.6736968760861647E-3</v>
      </c>
      <c r="I8" s="13">
        <f>Data!O37</f>
        <v>3.5313121725669269E-3</v>
      </c>
      <c r="J8" s="13">
        <f>Data!P37</f>
        <v>4.6319880070808681E-3</v>
      </c>
      <c r="K8" s="13">
        <f>Data!Q37</f>
        <v>6.0226542277762654E-3</v>
      </c>
      <c r="L8" s="13">
        <f>Data!R37</f>
        <v>7.7453479321949988E-3</v>
      </c>
      <c r="M8" s="13">
        <f>Data!S37</f>
        <v>9.8278796303930584E-3</v>
      </c>
      <c r="N8" s="13">
        <f>Data!T37</f>
        <v>1.2272387248397496E-2</v>
      </c>
      <c r="O8" s="13">
        <f>Data!U37</f>
        <v>1.5044578952524538E-2</v>
      </c>
      <c r="P8" s="13">
        <f>Data!V37</f>
        <v>1.8068144762142531E-2</v>
      </c>
      <c r="Q8" s="13">
        <f>Data!W37</f>
        <v>2.1228794552939426E-2</v>
      </c>
      <c r="R8" s="13">
        <f>Data!X37</f>
        <v>2.4389444343736324E-2</v>
      </c>
      <c r="S8" s="13">
        <f>Data!Y37</f>
        <v>2.741301015335431E-2</v>
      </c>
      <c r="T8" s="13">
        <f>Data!Z37</f>
        <v>3.0185201857481355E-2</v>
      </c>
      <c r="U8" s="13">
        <f>Data!AA37</f>
        <v>3.2629709475485789E-2</v>
      </c>
      <c r="V8" s="13">
        <f>Data!AB37</f>
        <v>3.471224117368385E-2</v>
      </c>
      <c r="W8" s="13">
        <f>Data!AC37</f>
        <v>3.6434934878102593E-2</v>
      </c>
      <c r="X8" s="13">
        <f>Data!AD37</f>
        <v>3.7825601098797984E-2</v>
      </c>
      <c r="Y8" s="13">
        <f>Data!AE37</f>
        <v>3.8926276933311924E-2</v>
      </c>
      <c r="Z8" s="13">
        <f>Data!AF37</f>
        <v>3.9783892229792686E-2</v>
      </c>
      <c r="AA8" s="13">
        <f>Data!AG37</f>
        <v>4.0444000869518201E-2</v>
      </c>
      <c r="AB8" s="13">
        <f>Data!AH37</f>
        <v>4.0947322167733821E-2</v>
      </c>
      <c r="AC8" s="13">
        <f>Data!AI37</f>
        <v>4.132834488114058E-2</v>
      </c>
      <c r="AD8" s="13">
        <f>Data!AJ37</f>
        <v>4.161521755728638E-2</v>
      </c>
      <c r="AE8" s="13">
        <f>Data!AK37</f>
        <v>4.1830319338808632E-2</v>
      </c>
      <c r="AF8" s="13">
        <f>Data!AL37</f>
        <v>4.1991110010139263E-2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Data!H38</f>
        <v>0</v>
      </c>
      <c r="C2" s="13">
        <f>Data!I38</f>
        <v>0</v>
      </c>
      <c r="D2" s="13">
        <f>Data!J38</f>
        <v>0</v>
      </c>
      <c r="E2" s="13">
        <f>Data!K38</f>
        <v>0</v>
      </c>
      <c r="F2" s="13">
        <f>Data!L38</f>
        <v>0</v>
      </c>
      <c r="G2" s="13">
        <f>Data!M38</f>
        <v>0</v>
      </c>
      <c r="H2" s="13">
        <f>Data!N38</f>
        <v>0</v>
      </c>
      <c r="I2" s="13">
        <f>Data!O38</f>
        <v>0</v>
      </c>
      <c r="J2" s="13">
        <f>Data!P38</f>
        <v>0</v>
      </c>
      <c r="K2" s="13">
        <f>Data!Q38</f>
        <v>0</v>
      </c>
      <c r="L2" s="13">
        <f>Data!R38</f>
        <v>0</v>
      </c>
      <c r="M2" s="13">
        <f>Data!S38</f>
        <v>0</v>
      </c>
      <c r="N2" s="13">
        <f>Data!T38</f>
        <v>0</v>
      </c>
      <c r="O2" s="13">
        <f>Data!U38</f>
        <v>0</v>
      </c>
      <c r="P2" s="13">
        <f>Data!V38</f>
        <v>0</v>
      </c>
      <c r="Q2" s="13">
        <f>Data!W38</f>
        <v>0</v>
      </c>
      <c r="R2" s="13">
        <f>Data!X38</f>
        <v>0</v>
      </c>
      <c r="S2" s="13">
        <f>Data!Y38</f>
        <v>0</v>
      </c>
      <c r="T2" s="13">
        <f>Data!Z38</f>
        <v>0</v>
      </c>
      <c r="U2" s="13">
        <f>Data!AA38</f>
        <v>0</v>
      </c>
      <c r="V2" s="13">
        <f>Data!AB38</f>
        <v>0</v>
      </c>
      <c r="W2" s="13">
        <f>Data!AC38</f>
        <v>0</v>
      </c>
      <c r="X2" s="13">
        <f>Data!AD38</f>
        <v>0</v>
      </c>
      <c r="Y2" s="13">
        <f>Data!AE38</f>
        <v>0</v>
      </c>
      <c r="Z2" s="13">
        <f>Data!AF38</f>
        <v>0</v>
      </c>
      <c r="AA2" s="13">
        <f>Data!AG38</f>
        <v>0</v>
      </c>
      <c r="AB2" s="13">
        <f>Data!AH38</f>
        <v>0</v>
      </c>
      <c r="AC2" s="13">
        <f>Data!AI38</f>
        <v>0</v>
      </c>
      <c r="AD2" s="13">
        <f>Data!AJ38</f>
        <v>0</v>
      </c>
      <c r="AE2" s="13">
        <f>Data!AK38</f>
        <v>0</v>
      </c>
      <c r="AF2" s="13">
        <f>Data!AL38</f>
        <v>0</v>
      </c>
    </row>
    <row r="3" spans="1:32" x14ac:dyDescent="0.35">
      <c r="A3" s="13" t="s">
        <v>2</v>
      </c>
      <c r="B3" s="13">
        <f>Data!H39</f>
        <v>0</v>
      </c>
      <c r="C3" s="13">
        <f>Data!I39</f>
        <v>0</v>
      </c>
      <c r="D3" s="13">
        <f>Data!J39</f>
        <v>0</v>
      </c>
      <c r="E3" s="13">
        <f>Data!K39</f>
        <v>0</v>
      </c>
      <c r="F3" s="13">
        <f>Data!L39</f>
        <v>0</v>
      </c>
      <c r="G3" s="13">
        <f>Data!M39</f>
        <v>0</v>
      </c>
      <c r="H3" s="13">
        <f>Data!N39</f>
        <v>0</v>
      </c>
      <c r="I3" s="13">
        <f>Data!O39</f>
        <v>0</v>
      </c>
      <c r="J3" s="13">
        <f>Data!P39</f>
        <v>0</v>
      </c>
      <c r="K3" s="13">
        <f>Data!Q39</f>
        <v>0</v>
      </c>
      <c r="L3" s="13">
        <f>Data!R39</f>
        <v>0</v>
      </c>
      <c r="M3" s="13">
        <f>Data!S39</f>
        <v>0</v>
      </c>
      <c r="N3" s="13">
        <f>Data!T39</f>
        <v>0</v>
      </c>
      <c r="O3" s="13">
        <f>Data!U39</f>
        <v>0</v>
      </c>
      <c r="P3" s="13">
        <f>Data!V39</f>
        <v>0</v>
      </c>
      <c r="Q3" s="13">
        <f>Data!W39</f>
        <v>0</v>
      </c>
      <c r="R3" s="13">
        <f>Data!X39</f>
        <v>0</v>
      </c>
      <c r="S3" s="13">
        <f>Data!Y39</f>
        <v>0</v>
      </c>
      <c r="T3" s="13">
        <f>Data!Z39</f>
        <v>0</v>
      </c>
      <c r="U3" s="13">
        <f>Data!AA39</f>
        <v>0</v>
      </c>
      <c r="V3" s="13">
        <f>Data!AB39</f>
        <v>0</v>
      </c>
      <c r="W3" s="13">
        <f>Data!AC39</f>
        <v>0</v>
      </c>
      <c r="X3" s="13">
        <f>Data!AD39</f>
        <v>0</v>
      </c>
      <c r="Y3" s="13">
        <f>Data!AE39</f>
        <v>0</v>
      </c>
      <c r="Z3" s="13">
        <f>Data!AF39</f>
        <v>0</v>
      </c>
      <c r="AA3" s="13">
        <f>Data!AG39</f>
        <v>0</v>
      </c>
      <c r="AB3" s="13">
        <f>Data!AH39</f>
        <v>0</v>
      </c>
      <c r="AC3" s="13">
        <f>Data!AI39</f>
        <v>0</v>
      </c>
      <c r="AD3" s="13">
        <f>Data!AJ39</f>
        <v>0</v>
      </c>
      <c r="AE3" s="13">
        <f>Data!AK39</f>
        <v>0</v>
      </c>
      <c r="AF3" s="13">
        <f>Data!AL39</f>
        <v>0</v>
      </c>
    </row>
    <row r="4" spans="1:32" x14ac:dyDescent="0.35">
      <c r="A4" s="13" t="s">
        <v>3</v>
      </c>
      <c r="B4" s="13">
        <f>Data!H40</f>
        <v>0</v>
      </c>
      <c r="C4" s="13">
        <f>Data!I40</f>
        <v>0</v>
      </c>
      <c r="D4" s="13">
        <f>Data!J40</f>
        <v>0</v>
      </c>
      <c r="E4" s="13">
        <f>Data!K40</f>
        <v>0</v>
      </c>
      <c r="F4" s="13">
        <f>Data!L40</f>
        <v>0</v>
      </c>
      <c r="G4" s="13">
        <f>Data!M40</f>
        <v>0</v>
      </c>
      <c r="H4" s="13">
        <f>Data!N40</f>
        <v>0</v>
      </c>
      <c r="I4" s="13">
        <f>Data!O40</f>
        <v>0</v>
      </c>
      <c r="J4" s="13">
        <f>Data!P40</f>
        <v>0</v>
      </c>
      <c r="K4" s="13">
        <f>Data!Q40</f>
        <v>0</v>
      </c>
      <c r="L4" s="13">
        <f>Data!R40</f>
        <v>0</v>
      </c>
      <c r="M4" s="13">
        <f>Data!S40</f>
        <v>0</v>
      </c>
      <c r="N4" s="13">
        <f>Data!T40</f>
        <v>0</v>
      </c>
      <c r="O4" s="13">
        <f>Data!U40</f>
        <v>0</v>
      </c>
      <c r="P4" s="13">
        <f>Data!V40</f>
        <v>0</v>
      </c>
      <c r="Q4" s="13">
        <f>Data!W40</f>
        <v>0</v>
      </c>
      <c r="R4" s="13">
        <f>Data!X40</f>
        <v>0</v>
      </c>
      <c r="S4" s="13">
        <f>Data!Y40</f>
        <v>0</v>
      </c>
      <c r="T4" s="13">
        <f>Data!Z40</f>
        <v>0</v>
      </c>
      <c r="U4" s="13">
        <f>Data!AA40</f>
        <v>0</v>
      </c>
      <c r="V4" s="13">
        <f>Data!AB40</f>
        <v>0</v>
      </c>
      <c r="W4" s="13">
        <f>Data!AC40</f>
        <v>0</v>
      </c>
      <c r="X4" s="13">
        <f>Data!AD40</f>
        <v>0</v>
      </c>
      <c r="Y4" s="13">
        <f>Data!AE40</f>
        <v>0</v>
      </c>
      <c r="Z4" s="13">
        <f>Data!AF40</f>
        <v>0</v>
      </c>
      <c r="AA4" s="13">
        <f>Data!AG40</f>
        <v>0</v>
      </c>
      <c r="AB4" s="13">
        <f>Data!AH40</f>
        <v>0</v>
      </c>
      <c r="AC4" s="13">
        <f>Data!AI40</f>
        <v>0</v>
      </c>
      <c r="AD4" s="13">
        <f>Data!AJ40</f>
        <v>0</v>
      </c>
      <c r="AE4" s="13">
        <f>Data!AK40</f>
        <v>0</v>
      </c>
      <c r="AF4" s="13">
        <f>Data!AL40</f>
        <v>0</v>
      </c>
    </row>
    <row r="5" spans="1:32" x14ac:dyDescent="0.35">
      <c r="A5" s="13" t="s">
        <v>4</v>
      </c>
      <c r="B5" s="13">
        <f>Data!H41</f>
        <v>1</v>
      </c>
      <c r="C5" s="13">
        <f>Data!I41</f>
        <v>1</v>
      </c>
      <c r="D5" s="13">
        <f>Data!J41</f>
        <v>1</v>
      </c>
      <c r="E5" s="13">
        <f>Data!K41</f>
        <v>1</v>
      </c>
      <c r="F5" s="13">
        <f>Data!L41</f>
        <v>1</v>
      </c>
      <c r="G5" s="13">
        <f>Data!M41</f>
        <v>1</v>
      </c>
      <c r="H5" s="13">
        <f>Data!N41</f>
        <v>1</v>
      </c>
      <c r="I5" s="13">
        <f>Data!O41</f>
        <v>1</v>
      </c>
      <c r="J5" s="13">
        <f>Data!P41</f>
        <v>1</v>
      </c>
      <c r="K5" s="13">
        <f>Data!Q41</f>
        <v>1</v>
      </c>
      <c r="L5" s="13">
        <f>Data!R41</f>
        <v>1</v>
      </c>
      <c r="M5" s="13">
        <f>Data!S41</f>
        <v>1</v>
      </c>
      <c r="N5" s="13">
        <f>Data!T41</f>
        <v>1</v>
      </c>
      <c r="O5" s="13">
        <f>Data!U41</f>
        <v>1</v>
      </c>
      <c r="P5" s="13">
        <f>Data!V41</f>
        <v>1</v>
      </c>
      <c r="Q5" s="13">
        <f>Data!W41</f>
        <v>1</v>
      </c>
      <c r="R5" s="13">
        <f>Data!X41</f>
        <v>1</v>
      </c>
      <c r="S5" s="13">
        <f>Data!Y41</f>
        <v>1</v>
      </c>
      <c r="T5" s="13">
        <f>Data!Z41</f>
        <v>1</v>
      </c>
      <c r="U5" s="13">
        <f>Data!AA41</f>
        <v>1</v>
      </c>
      <c r="V5" s="13">
        <f>Data!AB41</f>
        <v>1</v>
      </c>
      <c r="W5" s="13">
        <f>Data!AC41</f>
        <v>1</v>
      </c>
      <c r="X5" s="13">
        <f>Data!AD41</f>
        <v>1</v>
      </c>
      <c r="Y5" s="13">
        <f>Data!AE41</f>
        <v>1</v>
      </c>
      <c r="Z5" s="13">
        <f>Data!AF41</f>
        <v>1</v>
      </c>
      <c r="AA5" s="13">
        <f>Data!AG41</f>
        <v>1</v>
      </c>
      <c r="AB5" s="13">
        <f>Data!AH41</f>
        <v>1</v>
      </c>
      <c r="AC5" s="13">
        <f>Data!AI41</f>
        <v>1</v>
      </c>
      <c r="AD5" s="13">
        <f>Data!AJ41</f>
        <v>1</v>
      </c>
      <c r="AE5" s="13">
        <f>Data!AK41</f>
        <v>1</v>
      </c>
      <c r="AF5" s="13">
        <f>Data!AL41</f>
        <v>1</v>
      </c>
    </row>
    <row r="6" spans="1:32" x14ac:dyDescent="0.35">
      <c r="A6" s="13" t="s">
        <v>5</v>
      </c>
      <c r="B6" s="13">
        <f>Data!H42</f>
        <v>0</v>
      </c>
      <c r="C6" s="13">
        <f>Data!I42</f>
        <v>0</v>
      </c>
      <c r="D6" s="13">
        <f>Data!J42</f>
        <v>0</v>
      </c>
      <c r="E6" s="13">
        <f>Data!K42</f>
        <v>0</v>
      </c>
      <c r="F6" s="13">
        <f>Data!L42</f>
        <v>0</v>
      </c>
      <c r="G6" s="13">
        <f>Data!M42</f>
        <v>0</v>
      </c>
      <c r="H6" s="13">
        <f>Data!N42</f>
        <v>0</v>
      </c>
      <c r="I6" s="13">
        <f>Data!O42</f>
        <v>0</v>
      </c>
      <c r="J6" s="13">
        <f>Data!P42</f>
        <v>0</v>
      </c>
      <c r="K6" s="13">
        <f>Data!Q42</f>
        <v>0</v>
      </c>
      <c r="L6" s="13">
        <f>Data!R42</f>
        <v>0</v>
      </c>
      <c r="M6" s="13">
        <f>Data!S42</f>
        <v>0</v>
      </c>
      <c r="N6" s="13">
        <f>Data!T42</f>
        <v>0</v>
      </c>
      <c r="O6" s="13">
        <f>Data!U42</f>
        <v>0</v>
      </c>
      <c r="P6" s="13">
        <f>Data!V42</f>
        <v>0</v>
      </c>
      <c r="Q6" s="13">
        <f>Data!W42</f>
        <v>0</v>
      </c>
      <c r="R6" s="13">
        <f>Data!X42</f>
        <v>0</v>
      </c>
      <c r="S6" s="13">
        <f>Data!Y42</f>
        <v>0</v>
      </c>
      <c r="T6" s="13">
        <f>Data!Z42</f>
        <v>0</v>
      </c>
      <c r="U6" s="13">
        <f>Data!AA42</f>
        <v>0</v>
      </c>
      <c r="V6" s="13">
        <f>Data!AB42</f>
        <v>0</v>
      </c>
      <c r="W6" s="13">
        <f>Data!AC42</f>
        <v>0</v>
      </c>
      <c r="X6" s="13">
        <f>Data!AD42</f>
        <v>0</v>
      </c>
      <c r="Y6" s="13">
        <f>Data!AE42</f>
        <v>0</v>
      </c>
      <c r="Z6" s="13">
        <f>Data!AF42</f>
        <v>0</v>
      </c>
      <c r="AA6" s="13">
        <f>Data!AG42</f>
        <v>0</v>
      </c>
      <c r="AB6" s="13">
        <f>Data!AH42</f>
        <v>0</v>
      </c>
      <c r="AC6" s="13">
        <f>Data!AI42</f>
        <v>0</v>
      </c>
      <c r="AD6" s="13">
        <f>Data!AJ42</f>
        <v>0</v>
      </c>
      <c r="AE6" s="13">
        <f>Data!AK42</f>
        <v>0</v>
      </c>
      <c r="AF6" s="13">
        <f>Data!AL42</f>
        <v>0</v>
      </c>
    </row>
    <row r="7" spans="1:32" x14ac:dyDescent="0.35">
      <c r="A7" s="13" t="s">
        <v>78</v>
      </c>
      <c r="B7" s="13">
        <f>Data!H43</f>
        <v>0</v>
      </c>
      <c r="C7" s="13">
        <f>Data!I43</f>
        <v>0</v>
      </c>
      <c r="D7" s="13">
        <f>Data!J43</f>
        <v>0</v>
      </c>
      <c r="E7" s="13">
        <f>Data!K43</f>
        <v>0</v>
      </c>
      <c r="F7" s="13">
        <f>Data!L43</f>
        <v>0</v>
      </c>
      <c r="G7" s="13">
        <f>Data!M43</f>
        <v>0</v>
      </c>
      <c r="H7" s="13">
        <f>Data!N43</f>
        <v>0</v>
      </c>
      <c r="I7" s="13">
        <f>Data!O43</f>
        <v>0</v>
      </c>
      <c r="J7" s="13">
        <f>Data!P43</f>
        <v>0</v>
      </c>
      <c r="K7" s="13">
        <f>Data!Q43</f>
        <v>0</v>
      </c>
      <c r="L7" s="13">
        <f>Data!R43</f>
        <v>0</v>
      </c>
      <c r="M7" s="13">
        <f>Data!S43</f>
        <v>0</v>
      </c>
      <c r="N7" s="13">
        <f>Data!T43</f>
        <v>0</v>
      </c>
      <c r="O7" s="13">
        <f>Data!U43</f>
        <v>0</v>
      </c>
      <c r="P7" s="13">
        <f>Data!V43</f>
        <v>0</v>
      </c>
      <c r="Q7" s="13">
        <f>Data!W43</f>
        <v>0</v>
      </c>
      <c r="R7" s="13">
        <f>Data!X43</f>
        <v>0</v>
      </c>
      <c r="S7" s="13">
        <f>Data!Y43</f>
        <v>0</v>
      </c>
      <c r="T7" s="13">
        <f>Data!Z43</f>
        <v>0</v>
      </c>
      <c r="U7" s="13">
        <f>Data!AA43</f>
        <v>0</v>
      </c>
      <c r="V7" s="13">
        <f>Data!AB43</f>
        <v>0</v>
      </c>
      <c r="W7" s="13">
        <f>Data!AC43</f>
        <v>0</v>
      </c>
      <c r="X7" s="13">
        <f>Data!AD43</f>
        <v>0</v>
      </c>
      <c r="Y7" s="13">
        <f>Data!AE43</f>
        <v>0</v>
      </c>
      <c r="Z7" s="13">
        <f>Data!AF43</f>
        <v>0</v>
      </c>
      <c r="AA7" s="13">
        <f>Data!AG43</f>
        <v>0</v>
      </c>
      <c r="AB7" s="13">
        <f>Data!AH43</f>
        <v>0</v>
      </c>
      <c r="AC7" s="13">
        <f>Data!AI43</f>
        <v>0</v>
      </c>
      <c r="AD7" s="13">
        <f>Data!AJ43</f>
        <v>0</v>
      </c>
      <c r="AE7" s="13">
        <f>Data!AK43</f>
        <v>0</v>
      </c>
      <c r="AF7" s="13">
        <f>Data!AL43</f>
        <v>0</v>
      </c>
    </row>
    <row r="8" spans="1:32" x14ac:dyDescent="0.35">
      <c r="A8" s="13" t="s">
        <v>79</v>
      </c>
      <c r="B8" s="13">
        <f>Data!H44</f>
        <v>0</v>
      </c>
      <c r="C8" s="13">
        <f>Data!I44</f>
        <v>0</v>
      </c>
      <c r="D8" s="13">
        <f>Data!J44</f>
        <v>0</v>
      </c>
      <c r="E8" s="13">
        <f>Data!K44</f>
        <v>0</v>
      </c>
      <c r="F8" s="13">
        <f>Data!L44</f>
        <v>0</v>
      </c>
      <c r="G8" s="13">
        <f>Data!M44</f>
        <v>0</v>
      </c>
      <c r="H8" s="13">
        <f>Data!N44</f>
        <v>0</v>
      </c>
      <c r="I8" s="13">
        <f>Data!O44</f>
        <v>0</v>
      </c>
      <c r="J8" s="13">
        <f>Data!P44</f>
        <v>0</v>
      </c>
      <c r="K8" s="13">
        <f>Data!Q44</f>
        <v>0</v>
      </c>
      <c r="L8" s="13">
        <f>Data!R44</f>
        <v>0</v>
      </c>
      <c r="M8" s="13">
        <f>Data!S44</f>
        <v>0</v>
      </c>
      <c r="N8" s="13">
        <f>Data!T44</f>
        <v>0</v>
      </c>
      <c r="O8" s="13">
        <f>Data!U44</f>
        <v>0</v>
      </c>
      <c r="P8" s="13">
        <f>Data!V44</f>
        <v>0</v>
      </c>
      <c r="Q8" s="13">
        <f>Data!W44</f>
        <v>0</v>
      </c>
      <c r="R8" s="13">
        <f>Data!X44</f>
        <v>0</v>
      </c>
      <c r="S8" s="13">
        <f>Data!Y44</f>
        <v>0</v>
      </c>
      <c r="T8" s="13">
        <f>Data!Z44</f>
        <v>0</v>
      </c>
      <c r="U8" s="13">
        <f>Data!AA44</f>
        <v>0</v>
      </c>
      <c r="V8" s="13">
        <f>Data!AB44</f>
        <v>0</v>
      </c>
      <c r="W8" s="13">
        <f>Data!AC44</f>
        <v>0</v>
      </c>
      <c r="X8" s="13">
        <f>Data!AD44</f>
        <v>0</v>
      </c>
      <c r="Y8" s="13">
        <f>Data!AE44</f>
        <v>0</v>
      </c>
      <c r="Z8" s="13">
        <f>Data!AF44</f>
        <v>0</v>
      </c>
      <c r="AA8" s="13">
        <f>Data!AG44</f>
        <v>0</v>
      </c>
      <c r="AB8" s="13">
        <f>Data!AH44</f>
        <v>0</v>
      </c>
      <c r="AC8" s="13">
        <f>Data!AI44</f>
        <v>0</v>
      </c>
      <c r="AD8" s="13">
        <f>Data!AJ44</f>
        <v>0</v>
      </c>
      <c r="AE8" s="13">
        <f>Data!AK44</f>
        <v>0</v>
      </c>
      <c r="AF8" s="13">
        <f>Data!AL44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Data!H45</f>
        <v>0</v>
      </c>
      <c r="C2" s="13">
        <f>Data!I45</f>
        <v>0</v>
      </c>
      <c r="D2" s="13">
        <f>Data!J45</f>
        <v>0</v>
      </c>
      <c r="E2" s="13">
        <f>Data!K45</f>
        <v>0</v>
      </c>
      <c r="F2" s="13">
        <f>Data!L45</f>
        <v>0</v>
      </c>
      <c r="G2" s="13">
        <f>Data!M45</f>
        <v>0</v>
      </c>
      <c r="H2" s="13">
        <f>Data!N45</f>
        <v>0</v>
      </c>
      <c r="I2" s="13">
        <f>Data!O45</f>
        <v>0</v>
      </c>
      <c r="J2" s="13">
        <f>Data!P45</f>
        <v>0</v>
      </c>
      <c r="K2" s="13">
        <f>Data!Q45</f>
        <v>0</v>
      </c>
      <c r="L2" s="13">
        <f>Data!R45</f>
        <v>0</v>
      </c>
      <c r="M2" s="13">
        <f>Data!S45</f>
        <v>0</v>
      </c>
      <c r="N2" s="13">
        <f>Data!T45</f>
        <v>0</v>
      </c>
      <c r="O2" s="13">
        <f>Data!U45</f>
        <v>0</v>
      </c>
      <c r="P2" s="13">
        <f>Data!V45</f>
        <v>0</v>
      </c>
      <c r="Q2" s="13">
        <f>Data!W45</f>
        <v>0</v>
      </c>
      <c r="R2" s="13">
        <f>Data!X45</f>
        <v>0</v>
      </c>
      <c r="S2" s="13">
        <f>Data!Y45</f>
        <v>0</v>
      </c>
      <c r="T2" s="13">
        <f>Data!Z45</f>
        <v>0</v>
      </c>
      <c r="U2" s="13">
        <f>Data!AA45</f>
        <v>0</v>
      </c>
      <c r="V2" s="13">
        <f>Data!AB45</f>
        <v>0</v>
      </c>
      <c r="W2" s="13">
        <f>Data!AC45</f>
        <v>0</v>
      </c>
      <c r="X2" s="13">
        <f>Data!AD45</f>
        <v>0</v>
      </c>
      <c r="Y2" s="13">
        <f>Data!AE45</f>
        <v>0</v>
      </c>
      <c r="Z2" s="13">
        <f>Data!AF45</f>
        <v>0</v>
      </c>
      <c r="AA2" s="13">
        <f>Data!AG45</f>
        <v>0</v>
      </c>
      <c r="AB2" s="13">
        <f>Data!AH45</f>
        <v>0</v>
      </c>
      <c r="AC2" s="13">
        <f>Data!AI45</f>
        <v>0</v>
      </c>
      <c r="AD2" s="13">
        <f>Data!AJ45</f>
        <v>0</v>
      </c>
      <c r="AE2" s="13">
        <f>Data!AK45</f>
        <v>0</v>
      </c>
      <c r="AF2" s="13">
        <f>Data!AL45</f>
        <v>0</v>
      </c>
    </row>
    <row r="3" spans="1:32" x14ac:dyDescent="0.35">
      <c r="A3" s="13" t="s">
        <v>2</v>
      </c>
      <c r="B3" s="13">
        <f>Data!H46</f>
        <v>0</v>
      </c>
      <c r="C3" s="13">
        <f>Data!I46</f>
        <v>0</v>
      </c>
      <c r="D3" s="13">
        <f>Data!J46</f>
        <v>0</v>
      </c>
      <c r="E3" s="13">
        <f>Data!K46</f>
        <v>0</v>
      </c>
      <c r="F3" s="13">
        <f>Data!L46</f>
        <v>0</v>
      </c>
      <c r="G3" s="13">
        <f>Data!M46</f>
        <v>0</v>
      </c>
      <c r="H3" s="13">
        <f>Data!N46</f>
        <v>0</v>
      </c>
      <c r="I3" s="13">
        <f>Data!O46</f>
        <v>0</v>
      </c>
      <c r="J3" s="13">
        <f>Data!P46</f>
        <v>0</v>
      </c>
      <c r="K3" s="13">
        <f>Data!Q46</f>
        <v>0</v>
      </c>
      <c r="L3" s="13">
        <f>Data!R46</f>
        <v>0</v>
      </c>
      <c r="M3" s="13">
        <f>Data!S46</f>
        <v>0</v>
      </c>
      <c r="N3" s="13">
        <f>Data!T46</f>
        <v>0</v>
      </c>
      <c r="O3" s="13">
        <f>Data!U46</f>
        <v>0</v>
      </c>
      <c r="P3" s="13">
        <f>Data!V46</f>
        <v>0</v>
      </c>
      <c r="Q3" s="13">
        <f>Data!W46</f>
        <v>0</v>
      </c>
      <c r="R3" s="13">
        <f>Data!X46</f>
        <v>0</v>
      </c>
      <c r="S3" s="13">
        <f>Data!Y46</f>
        <v>0</v>
      </c>
      <c r="T3" s="13">
        <f>Data!Z46</f>
        <v>0</v>
      </c>
      <c r="U3" s="13">
        <f>Data!AA46</f>
        <v>0</v>
      </c>
      <c r="V3" s="13">
        <f>Data!AB46</f>
        <v>0</v>
      </c>
      <c r="W3" s="13">
        <f>Data!AC46</f>
        <v>0</v>
      </c>
      <c r="X3" s="13">
        <f>Data!AD46</f>
        <v>0</v>
      </c>
      <c r="Y3" s="13">
        <f>Data!AE46</f>
        <v>0</v>
      </c>
      <c r="Z3" s="13">
        <f>Data!AF46</f>
        <v>0</v>
      </c>
      <c r="AA3" s="13">
        <f>Data!AG46</f>
        <v>0</v>
      </c>
      <c r="AB3" s="13">
        <f>Data!AH46</f>
        <v>0</v>
      </c>
      <c r="AC3" s="13">
        <f>Data!AI46</f>
        <v>0</v>
      </c>
      <c r="AD3" s="13">
        <f>Data!AJ46</f>
        <v>0</v>
      </c>
      <c r="AE3" s="13">
        <f>Data!AK46</f>
        <v>0</v>
      </c>
      <c r="AF3" s="13">
        <f>Data!AL46</f>
        <v>0</v>
      </c>
    </row>
    <row r="4" spans="1:32" x14ac:dyDescent="0.35">
      <c r="A4" s="13" t="s">
        <v>3</v>
      </c>
      <c r="B4" s="13">
        <f>Data!H47</f>
        <v>0</v>
      </c>
      <c r="C4" s="13">
        <f>Data!I47</f>
        <v>0</v>
      </c>
      <c r="D4" s="13">
        <f>Data!J47</f>
        <v>0</v>
      </c>
      <c r="E4" s="13">
        <f>Data!K47</f>
        <v>0</v>
      </c>
      <c r="F4" s="13">
        <f>Data!L47</f>
        <v>0</v>
      </c>
      <c r="G4" s="13">
        <f>Data!M47</f>
        <v>0</v>
      </c>
      <c r="H4" s="13">
        <f>Data!N47</f>
        <v>0</v>
      </c>
      <c r="I4" s="13">
        <f>Data!O47</f>
        <v>0</v>
      </c>
      <c r="J4" s="13">
        <f>Data!P47</f>
        <v>0</v>
      </c>
      <c r="K4" s="13">
        <f>Data!Q47</f>
        <v>0</v>
      </c>
      <c r="L4" s="13">
        <f>Data!R47</f>
        <v>0</v>
      </c>
      <c r="M4" s="13">
        <f>Data!S47</f>
        <v>0</v>
      </c>
      <c r="N4" s="13">
        <f>Data!T47</f>
        <v>0</v>
      </c>
      <c r="O4" s="13">
        <f>Data!U47</f>
        <v>0</v>
      </c>
      <c r="P4" s="13">
        <f>Data!V47</f>
        <v>0</v>
      </c>
      <c r="Q4" s="13">
        <f>Data!W47</f>
        <v>0</v>
      </c>
      <c r="R4" s="13">
        <f>Data!X47</f>
        <v>0</v>
      </c>
      <c r="S4" s="13">
        <f>Data!Y47</f>
        <v>0</v>
      </c>
      <c r="T4" s="13">
        <f>Data!Z47</f>
        <v>0</v>
      </c>
      <c r="U4" s="13">
        <f>Data!AA47</f>
        <v>0</v>
      </c>
      <c r="V4" s="13">
        <f>Data!AB47</f>
        <v>0</v>
      </c>
      <c r="W4" s="13">
        <f>Data!AC47</f>
        <v>0</v>
      </c>
      <c r="X4" s="13">
        <f>Data!AD47</f>
        <v>0</v>
      </c>
      <c r="Y4" s="13">
        <f>Data!AE47</f>
        <v>0</v>
      </c>
      <c r="Z4" s="13">
        <f>Data!AF47</f>
        <v>0</v>
      </c>
      <c r="AA4" s="13">
        <f>Data!AG47</f>
        <v>0</v>
      </c>
      <c r="AB4" s="13">
        <f>Data!AH47</f>
        <v>0</v>
      </c>
      <c r="AC4" s="13">
        <f>Data!AI47</f>
        <v>0</v>
      </c>
      <c r="AD4" s="13">
        <f>Data!AJ47</f>
        <v>0</v>
      </c>
      <c r="AE4" s="13">
        <f>Data!AK47</f>
        <v>0</v>
      </c>
      <c r="AF4" s="13">
        <f>Data!AL47</f>
        <v>0</v>
      </c>
    </row>
    <row r="5" spans="1:32" x14ac:dyDescent="0.35">
      <c r="A5" s="13" t="s">
        <v>4</v>
      </c>
      <c r="B5" s="13">
        <f>Data!H48</f>
        <v>1</v>
      </c>
      <c r="C5" s="13">
        <f>Data!I48</f>
        <v>1</v>
      </c>
      <c r="D5" s="13">
        <f>Data!J48</f>
        <v>1</v>
      </c>
      <c r="E5" s="13">
        <f>Data!K48</f>
        <v>1</v>
      </c>
      <c r="F5" s="13">
        <f>Data!L48</f>
        <v>1</v>
      </c>
      <c r="G5" s="13">
        <f>Data!M48</f>
        <v>1</v>
      </c>
      <c r="H5" s="13">
        <f>Data!N48</f>
        <v>1</v>
      </c>
      <c r="I5" s="13">
        <f>Data!O48</f>
        <v>1</v>
      </c>
      <c r="J5" s="13">
        <f>Data!P48</f>
        <v>1</v>
      </c>
      <c r="K5" s="13">
        <f>Data!Q48</f>
        <v>1</v>
      </c>
      <c r="L5" s="13">
        <f>Data!R48</f>
        <v>1</v>
      </c>
      <c r="M5" s="13">
        <f>Data!S48</f>
        <v>1</v>
      </c>
      <c r="N5" s="13">
        <f>Data!T48</f>
        <v>1</v>
      </c>
      <c r="O5" s="13">
        <f>Data!U48</f>
        <v>1</v>
      </c>
      <c r="P5" s="13">
        <f>Data!V48</f>
        <v>1</v>
      </c>
      <c r="Q5" s="13">
        <f>Data!W48</f>
        <v>1</v>
      </c>
      <c r="R5" s="13">
        <f>Data!X48</f>
        <v>1</v>
      </c>
      <c r="S5" s="13">
        <f>Data!Y48</f>
        <v>1</v>
      </c>
      <c r="T5" s="13">
        <f>Data!Z48</f>
        <v>1</v>
      </c>
      <c r="U5" s="13">
        <f>Data!AA48</f>
        <v>1</v>
      </c>
      <c r="V5" s="13">
        <f>Data!AB48</f>
        <v>1</v>
      </c>
      <c r="W5" s="13">
        <f>Data!AC48</f>
        <v>1</v>
      </c>
      <c r="X5" s="13">
        <f>Data!AD48</f>
        <v>1</v>
      </c>
      <c r="Y5" s="13">
        <f>Data!AE48</f>
        <v>1</v>
      </c>
      <c r="Z5" s="13">
        <f>Data!AF48</f>
        <v>1</v>
      </c>
      <c r="AA5" s="13">
        <f>Data!AG48</f>
        <v>1</v>
      </c>
      <c r="AB5" s="13">
        <f>Data!AH48</f>
        <v>1</v>
      </c>
      <c r="AC5" s="13">
        <f>Data!AI48</f>
        <v>1</v>
      </c>
      <c r="AD5" s="13">
        <f>Data!AJ48</f>
        <v>1</v>
      </c>
      <c r="AE5" s="13">
        <f>Data!AK48</f>
        <v>1</v>
      </c>
      <c r="AF5" s="13">
        <f>Data!AL48</f>
        <v>1</v>
      </c>
    </row>
    <row r="6" spans="1:32" x14ac:dyDescent="0.35">
      <c r="A6" s="13" t="s">
        <v>5</v>
      </c>
      <c r="B6" s="13">
        <f>Data!H49</f>
        <v>0</v>
      </c>
      <c r="C6" s="13">
        <f>Data!I49</f>
        <v>0</v>
      </c>
      <c r="D6" s="13">
        <f>Data!J49</f>
        <v>0</v>
      </c>
      <c r="E6" s="13">
        <f>Data!K49</f>
        <v>0</v>
      </c>
      <c r="F6" s="13">
        <f>Data!L49</f>
        <v>0</v>
      </c>
      <c r="G6" s="13">
        <f>Data!M49</f>
        <v>0</v>
      </c>
      <c r="H6" s="13">
        <f>Data!N49</f>
        <v>0</v>
      </c>
      <c r="I6" s="13">
        <f>Data!O49</f>
        <v>0</v>
      </c>
      <c r="J6" s="13">
        <f>Data!P49</f>
        <v>0</v>
      </c>
      <c r="K6" s="13">
        <f>Data!Q49</f>
        <v>0</v>
      </c>
      <c r="L6" s="13">
        <f>Data!R49</f>
        <v>0</v>
      </c>
      <c r="M6" s="13">
        <f>Data!S49</f>
        <v>0</v>
      </c>
      <c r="N6" s="13">
        <f>Data!T49</f>
        <v>0</v>
      </c>
      <c r="O6" s="13">
        <f>Data!U49</f>
        <v>0</v>
      </c>
      <c r="P6" s="13">
        <f>Data!V49</f>
        <v>0</v>
      </c>
      <c r="Q6" s="13">
        <f>Data!W49</f>
        <v>0</v>
      </c>
      <c r="R6" s="13">
        <f>Data!X49</f>
        <v>0</v>
      </c>
      <c r="S6" s="13">
        <f>Data!Y49</f>
        <v>0</v>
      </c>
      <c r="T6" s="13">
        <f>Data!Z49</f>
        <v>0</v>
      </c>
      <c r="U6" s="13">
        <f>Data!AA49</f>
        <v>0</v>
      </c>
      <c r="V6" s="13">
        <f>Data!AB49</f>
        <v>0</v>
      </c>
      <c r="W6" s="13">
        <f>Data!AC49</f>
        <v>0</v>
      </c>
      <c r="X6" s="13">
        <f>Data!AD49</f>
        <v>0</v>
      </c>
      <c r="Y6" s="13">
        <f>Data!AE49</f>
        <v>0</v>
      </c>
      <c r="Z6" s="13">
        <f>Data!AF49</f>
        <v>0</v>
      </c>
      <c r="AA6" s="13">
        <f>Data!AG49</f>
        <v>0</v>
      </c>
      <c r="AB6" s="13">
        <f>Data!AH49</f>
        <v>0</v>
      </c>
      <c r="AC6" s="13">
        <f>Data!AI49</f>
        <v>0</v>
      </c>
      <c r="AD6" s="13">
        <f>Data!AJ49</f>
        <v>0</v>
      </c>
      <c r="AE6" s="13">
        <f>Data!AK49</f>
        <v>0</v>
      </c>
      <c r="AF6" s="13">
        <f>Data!AL49</f>
        <v>0</v>
      </c>
    </row>
    <row r="7" spans="1:32" x14ac:dyDescent="0.35">
      <c r="A7" s="13" t="s">
        <v>78</v>
      </c>
      <c r="B7" s="13">
        <f>Data!H50</f>
        <v>0</v>
      </c>
      <c r="C7" s="13">
        <f>Data!I50</f>
        <v>0</v>
      </c>
      <c r="D7" s="13">
        <f>Data!J50</f>
        <v>0</v>
      </c>
      <c r="E7" s="13">
        <f>Data!K50</f>
        <v>0</v>
      </c>
      <c r="F7" s="13">
        <f>Data!L50</f>
        <v>0</v>
      </c>
      <c r="G7" s="13">
        <f>Data!M50</f>
        <v>0</v>
      </c>
      <c r="H7" s="13">
        <f>Data!N50</f>
        <v>0</v>
      </c>
      <c r="I7" s="13">
        <f>Data!O50</f>
        <v>0</v>
      </c>
      <c r="J7" s="13">
        <f>Data!P50</f>
        <v>0</v>
      </c>
      <c r="K7" s="13">
        <f>Data!Q50</f>
        <v>0</v>
      </c>
      <c r="L7" s="13">
        <f>Data!R50</f>
        <v>0</v>
      </c>
      <c r="M7" s="13">
        <f>Data!S50</f>
        <v>0</v>
      </c>
      <c r="N7" s="13">
        <f>Data!T50</f>
        <v>0</v>
      </c>
      <c r="O7" s="13">
        <f>Data!U50</f>
        <v>0</v>
      </c>
      <c r="P7" s="13">
        <f>Data!V50</f>
        <v>0</v>
      </c>
      <c r="Q7" s="13">
        <f>Data!W50</f>
        <v>0</v>
      </c>
      <c r="R7" s="13">
        <f>Data!X50</f>
        <v>0</v>
      </c>
      <c r="S7" s="13">
        <f>Data!Y50</f>
        <v>0</v>
      </c>
      <c r="T7" s="13">
        <f>Data!Z50</f>
        <v>0</v>
      </c>
      <c r="U7" s="13">
        <f>Data!AA50</f>
        <v>0</v>
      </c>
      <c r="V7" s="13">
        <f>Data!AB50</f>
        <v>0</v>
      </c>
      <c r="W7" s="13">
        <f>Data!AC50</f>
        <v>0</v>
      </c>
      <c r="X7" s="13">
        <f>Data!AD50</f>
        <v>0</v>
      </c>
      <c r="Y7" s="13">
        <f>Data!AE50</f>
        <v>0</v>
      </c>
      <c r="Z7" s="13">
        <f>Data!AF50</f>
        <v>0</v>
      </c>
      <c r="AA7" s="13">
        <f>Data!AG50</f>
        <v>0</v>
      </c>
      <c r="AB7" s="13">
        <f>Data!AH50</f>
        <v>0</v>
      </c>
      <c r="AC7" s="13">
        <f>Data!AI50</f>
        <v>0</v>
      </c>
      <c r="AD7" s="13">
        <f>Data!AJ50</f>
        <v>0</v>
      </c>
      <c r="AE7" s="13">
        <f>Data!AK50</f>
        <v>0</v>
      </c>
      <c r="AF7" s="13">
        <f>Data!AL50</f>
        <v>0</v>
      </c>
    </row>
    <row r="8" spans="1:32" x14ac:dyDescent="0.35">
      <c r="A8" s="13" t="s">
        <v>79</v>
      </c>
      <c r="B8" s="13">
        <f>Data!H51</f>
        <v>0</v>
      </c>
      <c r="C8" s="13">
        <f>Data!I51</f>
        <v>0</v>
      </c>
      <c r="D8" s="13">
        <f>Data!J51</f>
        <v>0</v>
      </c>
      <c r="E8" s="13">
        <f>Data!K51</f>
        <v>0</v>
      </c>
      <c r="F8" s="13">
        <f>Data!L51</f>
        <v>0</v>
      </c>
      <c r="G8" s="13">
        <f>Data!M51</f>
        <v>0</v>
      </c>
      <c r="H8" s="13">
        <f>Data!N51</f>
        <v>0</v>
      </c>
      <c r="I8" s="13">
        <f>Data!O51</f>
        <v>0</v>
      </c>
      <c r="J8" s="13">
        <f>Data!P51</f>
        <v>0</v>
      </c>
      <c r="K8" s="13">
        <f>Data!Q51</f>
        <v>0</v>
      </c>
      <c r="L8" s="13">
        <f>Data!R51</f>
        <v>0</v>
      </c>
      <c r="M8" s="13">
        <f>Data!S51</f>
        <v>0</v>
      </c>
      <c r="N8" s="13">
        <f>Data!T51</f>
        <v>0</v>
      </c>
      <c r="O8" s="13">
        <f>Data!U51</f>
        <v>0</v>
      </c>
      <c r="P8" s="13">
        <f>Data!V51</f>
        <v>0</v>
      </c>
      <c r="Q8" s="13">
        <f>Data!W51</f>
        <v>0</v>
      </c>
      <c r="R8" s="13">
        <f>Data!X51</f>
        <v>0</v>
      </c>
      <c r="S8" s="13">
        <f>Data!Y51</f>
        <v>0</v>
      </c>
      <c r="T8" s="13">
        <f>Data!Z51</f>
        <v>0</v>
      </c>
      <c r="U8" s="13">
        <f>Data!AA51</f>
        <v>0</v>
      </c>
      <c r="V8" s="13">
        <f>Data!AB51</f>
        <v>0</v>
      </c>
      <c r="W8" s="13">
        <f>Data!AC51</f>
        <v>0</v>
      </c>
      <c r="X8" s="13">
        <f>Data!AD51</f>
        <v>0</v>
      </c>
      <c r="Y8" s="13">
        <f>Data!AE51</f>
        <v>0</v>
      </c>
      <c r="Z8" s="13">
        <f>Data!AF51</f>
        <v>0</v>
      </c>
      <c r="AA8" s="13">
        <f>Data!AG51</f>
        <v>0</v>
      </c>
      <c r="AB8" s="13">
        <f>Data!AH51</f>
        <v>0</v>
      </c>
      <c r="AC8" s="13">
        <f>Data!AI51</f>
        <v>0</v>
      </c>
      <c r="AD8" s="13">
        <f>Data!AJ51</f>
        <v>0</v>
      </c>
      <c r="AE8" s="13">
        <f>Data!AK51</f>
        <v>0</v>
      </c>
      <c r="AF8" s="13">
        <f>Data!AL51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Data!H52</f>
        <v>0.76226911968156119</v>
      </c>
      <c r="C2" s="13">
        <f>Data!I52</f>
        <v>0.76226911968156119</v>
      </c>
      <c r="D2" s="13">
        <f>Data!J52</f>
        <v>0.76226911968156119</v>
      </c>
      <c r="E2" s="13">
        <f>Data!K52</f>
        <v>0.76226911968156119</v>
      </c>
      <c r="F2" s="13">
        <f>Data!L52</f>
        <v>0.76226911968156119</v>
      </c>
      <c r="G2" s="13">
        <f>Data!M52</f>
        <v>0.76226911968156119</v>
      </c>
      <c r="H2" s="13">
        <f>Data!N52</f>
        <v>0.76226911968156119</v>
      </c>
      <c r="I2" s="13">
        <f>Data!O52</f>
        <v>0.76226911968156119</v>
      </c>
      <c r="J2" s="13">
        <f>Data!P52</f>
        <v>0.76226911968156119</v>
      </c>
      <c r="K2" s="13">
        <f>Data!Q52</f>
        <v>0.76226911968156119</v>
      </c>
      <c r="L2" s="13">
        <f>Data!R52</f>
        <v>0.76226911968156119</v>
      </c>
      <c r="M2" s="13">
        <f>Data!S52</f>
        <v>0.76226911968156119</v>
      </c>
      <c r="N2" s="13">
        <f>Data!T52</f>
        <v>0.76226911968156119</v>
      </c>
      <c r="O2" s="13">
        <f>Data!U52</f>
        <v>0.76226911968156119</v>
      </c>
      <c r="P2" s="13">
        <f>Data!V52</f>
        <v>0.76226911968156119</v>
      </c>
      <c r="Q2" s="13">
        <f>Data!W52</f>
        <v>0.76226911968156119</v>
      </c>
      <c r="R2" s="13">
        <f>Data!X52</f>
        <v>0.76226911968156119</v>
      </c>
      <c r="S2" s="13">
        <f>Data!Y52</f>
        <v>0.76226911968156119</v>
      </c>
      <c r="T2" s="13">
        <f>Data!Z52</f>
        <v>0.76226911968156119</v>
      </c>
      <c r="U2" s="13">
        <f>Data!AA52</f>
        <v>0.76226911968156119</v>
      </c>
      <c r="V2" s="13">
        <f>Data!AB52</f>
        <v>0.76226911968156119</v>
      </c>
      <c r="W2" s="13">
        <f>Data!AC52</f>
        <v>0.76226911968156119</v>
      </c>
      <c r="X2" s="13">
        <f>Data!AD52</f>
        <v>0.76226911968156119</v>
      </c>
      <c r="Y2" s="13">
        <f>Data!AE52</f>
        <v>0.76226911968156119</v>
      </c>
      <c r="Z2" s="13">
        <f>Data!AF52</f>
        <v>0.76226911968156119</v>
      </c>
      <c r="AA2" s="13">
        <f>Data!AG52</f>
        <v>0.76226911968156119</v>
      </c>
      <c r="AB2" s="13">
        <f>Data!AH52</f>
        <v>0.76226911968156119</v>
      </c>
      <c r="AC2" s="13">
        <f>Data!AI52</f>
        <v>0.76226911968156119</v>
      </c>
      <c r="AD2" s="13">
        <f>Data!AJ52</f>
        <v>0.76226911968156119</v>
      </c>
      <c r="AE2" s="13">
        <f>Data!AK52</f>
        <v>0.76226911968156119</v>
      </c>
      <c r="AF2" s="13">
        <f>Data!AL52</f>
        <v>0.76226911968156119</v>
      </c>
    </row>
    <row r="3" spans="1:32" x14ac:dyDescent="0.35">
      <c r="A3" s="13" t="s">
        <v>2</v>
      </c>
      <c r="B3" s="13">
        <f>Data!H53</f>
        <v>0</v>
      </c>
      <c r="C3" s="13">
        <f>Data!I53</f>
        <v>0</v>
      </c>
      <c r="D3" s="13">
        <f>Data!J53</f>
        <v>0</v>
      </c>
      <c r="E3" s="13">
        <f>Data!K53</f>
        <v>0</v>
      </c>
      <c r="F3" s="13">
        <f>Data!L53</f>
        <v>0</v>
      </c>
      <c r="G3" s="13">
        <f>Data!M53</f>
        <v>0</v>
      </c>
      <c r="H3" s="13">
        <f>Data!N53</f>
        <v>0</v>
      </c>
      <c r="I3" s="13">
        <f>Data!O53</f>
        <v>0</v>
      </c>
      <c r="J3" s="13">
        <f>Data!P53</f>
        <v>0</v>
      </c>
      <c r="K3" s="13">
        <f>Data!Q53</f>
        <v>0</v>
      </c>
      <c r="L3" s="13">
        <f>Data!R53</f>
        <v>0</v>
      </c>
      <c r="M3" s="13">
        <f>Data!S53</f>
        <v>0</v>
      </c>
      <c r="N3" s="13">
        <f>Data!T53</f>
        <v>0</v>
      </c>
      <c r="O3" s="13">
        <f>Data!U53</f>
        <v>0</v>
      </c>
      <c r="P3" s="13">
        <f>Data!V53</f>
        <v>0</v>
      </c>
      <c r="Q3" s="13">
        <f>Data!W53</f>
        <v>0</v>
      </c>
      <c r="R3" s="13">
        <f>Data!X53</f>
        <v>0</v>
      </c>
      <c r="S3" s="13">
        <f>Data!Y53</f>
        <v>0</v>
      </c>
      <c r="T3" s="13">
        <f>Data!Z53</f>
        <v>0</v>
      </c>
      <c r="U3" s="13">
        <f>Data!AA53</f>
        <v>0</v>
      </c>
      <c r="V3" s="13">
        <f>Data!AB53</f>
        <v>0</v>
      </c>
      <c r="W3" s="13">
        <f>Data!AC53</f>
        <v>0</v>
      </c>
      <c r="X3" s="13">
        <f>Data!AD53</f>
        <v>0</v>
      </c>
      <c r="Y3" s="13">
        <f>Data!AE53</f>
        <v>0</v>
      </c>
      <c r="Z3" s="13">
        <f>Data!AF53</f>
        <v>0</v>
      </c>
      <c r="AA3" s="13">
        <f>Data!AG53</f>
        <v>0</v>
      </c>
      <c r="AB3" s="13">
        <f>Data!AH53</f>
        <v>0</v>
      </c>
      <c r="AC3" s="13">
        <f>Data!AI53</f>
        <v>0</v>
      </c>
      <c r="AD3" s="13">
        <f>Data!AJ53</f>
        <v>0</v>
      </c>
      <c r="AE3" s="13">
        <f>Data!AK53</f>
        <v>0</v>
      </c>
      <c r="AF3" s="13">
        <f>Data!AL53</f>
        <v>0</v>
      </c>
    </row>
    <row r="4" spans="1:32" x14ac:dyDescent="0.35">
      <c r="A4" s="13" t="s">
        <v>3</v>
      </c>
      <c r="B4" s="13">
        <f>Data!H54</f>
        <v>0</v>
      </c>
      <c r="C4" s="13">
        <f>Data!I54</f>
        <v>0</v>
      </c>
      <c r="D4" s="13">
        <f>Data!J54</f>
        <v>0</v>
      </c>
      <c r="E4" s="13">
        <f>Data!K54</f>
        <v>0</v>
      </c>
      <c r="F4" s="13">
        <f>Data!L54</f>
        <v>0</v>
      </c>
      <c r="G4" s="13">
        <f>Data!M54</f>
        <v>0</v>
      </c>
      <c r="H4" s="13">
        <f>Data!N54</f>
        <v>0</v>
      </c>
      <c r="I4" s="13">
        <f>Data!O54</f>
        <v>0</v>
      </c>
      <c r="J4" s="13">
        <f>Data!P54</f>
        <v>0</v>
      </c>
      <c r="K4" s="13">
        <f>Data!Q54</f>
        <v>0</v>
      </c>
      <c r="L4" s="13">
        <f>Data!R54</f>
        <v>0</v>
      </c>
      <c r="M4" s="13">
        <f>Data!S54</f>
        <v>0</v>
      </c>
      <c r="N4" s="13">
        <f>Data!T54</f>
        <v>0</v>
      </c>
      <c r="O4" s="13">
        <f>Data!U54</f>
        <v>0</v>
      </c>
      <c r="P4" s="13">
        <f>Data!V54</f>
        <v>0</v>
      </c>
      <c r="Q4" s="13">
        <f>Data!W54</f>
        <v>0</v>
      </c>
      <c r="R4" s="13">
        <f>Data!X54</f>
        <v>0</v>
      </c>
      <c r="S4" s="13">
        <f>Data!Y54</f>
        <v>0</v>
      </c>
      <c r="T4" s="13">
        <f>Data!Z54</f>
        <v>0</v>
      </c>
      <c r="U4" s="13">
        <f>Data!AA54</f>
        <v>0</v>
      </c>
      <c r="V4" s="13">
        <f>Data!AB54</f>
        <v>0</v>
      </c>
      <c r="W4" s="13">
        <f>Data!AC54</f>
        <v>0</v>
      </c>
      <c r="X4" s="13">
        <f>Data!AD54</f>
        <v>0</v>
      </c>
      <c r="Y4" s="13">
        <f>Data!AE54</f>
        <v>0</v>
      </c>
      <c r="Z4" s="13">
        <f>Data!AF54</f>
        <v>0</v>
      </c>
      <c r="AA4" s="13">
        <f>Data!AG54</f>
        <v>0</v>
      </c>
      <c r="AB4" s="13">
        <f>Data!AH54</f>
        <v>0</v>
      </c>
      <c r="AC4" s="13">
        <f>Data!AI54</f>
        <v>0</v>
      </c>
      <c r="AD4" s="13">
        <f>Data!AJ54</f>
        <v>0</v>
      </c>
      <c r="AE4" s="13">
        <f>Data!AK54</f>
        <v>0</v>
      </c>
      <c r="AF4" s="13">
        <f>Data!AL54</f>
        <v>0</v>
      </c>
    </row>
    <row r="5" spans="1:32" x14ac:dyDescent="0.35">
      <c r="A5" s="13" t="s">
        <v>4</v>
      </c>
      <c r="B5" s="13">
        <f>Data!H55</f>
        <v>0.48773088031843881</v>
      </c>
      <c r="C5" s="13">
        <f>Data!I55</f>
        <v>0.48773088031843881</v>
      </c>
      <c r="D5" s="13">
        <f>Data!J55</f>
        <v>0.48773088031843881</v>
      </c>
      <c r="E5" s="13">
        <f>Data!K55</f>
        <v>0.48773088031843881</v>
      </c>
      <c r="F5" s="13">
        <f>Data!L55</f>
        <v>0.48773088031843881</v>
      </c>
      <c r="G5" s="13">
        <f>Data!M55</f>
        <v>0.48773088031843881</v>
      </c>
      <c r="H5" s="13">
        <f>Data!N55</f>
        <v>0.48773088031843881</v>
      </c>
      <c r="I5" s="13">
        <f>Data!O55</f>
        <v>0.48773088031843881</v>
      </c>
      <c r="J5" s="13">
        <f>Data!P55</f>
        <v>0.48773088031843881</v>
      </c>
      <c r="K5" s="13">
        <f>Data!Q55</f>
        <v>0.48773088031843881</v>
      </c>
      <c r="L5" s="13">
        <f>Data!R55</f>
        <v>0.48773088031843881</v>
      </c>
      <c r="M5" s="13">
        <f>Data!S55</f>
        <v>0.48773088031843881</v>
      </c>
      <c r="N5" s="13">
        <f>Data!T55</f>
        <v>0.48773088031843881</v>
      </c>
      <c r="O5" s="13">
        <f>Data!U55</f>
        <v>0.48773088031843881</v>
      </c>
      <c r="P5" s="13">
        <f>Data!V55</f>
        <v>0.48773088031843881</v>
      </c>
      <c r="Q5" s="13">
        <f>Data!W55</f>
        <v>0.48773088031843881</v>
      </c>
      <c r="R5" s="13">
        <f>Data!X55</f>
        <v>0.48773088031843881</v>
      </c>
      <c r="S5" s="13">
        <f>Data!Y55</f>
        <v>0.48773088031843881</v>
      </c>
      <c r="T5" s="13">
        <f>Data!Z55</f>
        <v>0.48773088031843881</v>
      </c>
      <c r="U5" s="13">
        <f>Data!AA55</f>
        <v>0.48773088031843881</v>
      </c>
      <c r="V5" s="13">
        <f>Data!AB55</f>
        <v>0.48773088031843881</v>
      </c>
      <c r="W5" s="13">
        <f>Data!AC55</f>
        <v>0.48773088031843881</v>
      </c>
      <c r="X5" s="13">
        <f>Data!AD55</f>
        <v>0.48773088031843881</v>
      </c>
      <c r="Y5" s="13">
        <f>Data!AE55</f>
        <v>0.48773088031843881</v>
      </c>
      <c r="Z5" s="13">
        <f>Data!AF55</f>
        <v>0.48773088031843881</v>
      </c>
      <c r="AA5" s="13">
        <f>Data!AG55</f>
        <v>0.48773088031843881</v>
      </c>
      <c r="AB5" s="13">
        <f>Data!AH55</f>
        <v>0.48773088031843881</v>
      </c>
      <c r="AC5" s="13">
        <f>Data!AI55</f>
        <v>0.48773088031843881</v>
      </c>
      <c r="AD5" s="13">
        <f>Data!AJ55</f>
        <v>0.48773088031843881</v>
      </c>
      <c r="AE5" s="13">
        <f>Data!AK55</f>
        <v>0.48773088031843881</v>
      </c>
      <c r="AF5" s="13">
        <f>Data!AL55</f>
        <v>0.48773088031843881</v>
      </c>
    </row>
    <row r="6" spans="1:32" x14ac:dyDescent="0.35">
      <c r="A6" s="13" t="s">
        <v>5</v>
      </c>
      <c r="B6" s="13">
        <f>Data!H56</f>
        <v>0</v>
      </c>
      <c r="C6" s="13">
        <f>Data!I56</f>
        <v>0</v>
      </c>
      <c r="D6" s="13">
        <f>Data!J56</f>
        <v>0</v>
      </c>
      <c r="E6" s="13">
        <f>Data!K56</f>
        <v>0</v>
      </c>
      <c r="F6" s="13">
        <f>Data!L56</f>
        <v>0</v>
      </c>
      <c r="G6" s="13">
        <f>Data!M56</f>
        <v>0</v>
      </c>
      <c r="H6" s="13">
        <f>Data!N56</f>
        <v>0</v>
      </c>
      <c r="I6" s="13">
        <f>Data!O56</f>
        <v>0</v>
      </c>
      <c r="J6" s="13">
        <f>Data!P56</f>
        <v>0</v>
      </c>
      <c r="K6" s="13">
        <f>Data!Q56</f>
        <v>0</v>
      </c>
      <c r="L6" s="13">
        <f>Data!R56</f>
        <v>0</v>
      </c>
      <c r="M6" s="13">
        <f>Data!S56</f>
        <v>0</v>
      </c>
      <c r="N6" s="13">
        <f>Data!T56</f>
        <v>0</v>
      </c>
      <c r="O6" s="13">
        <f>Data!U56</f>
        <v>0</v>
      </c>
      <c r="P6" s="13">
        <f>Data!V56</f>
        <v>0</v>
      </c>
      <c r="Q6" s="13">
        <f>Data!W56</f>
        <v>0</v>
      </c>
      <c r="R6" s="13">
        <f>Data!X56</f>
        <v>0</v>
      </c>
      <c r="S6" s="13">
        <f>Data!Y56</f>
        <v>0</v>
      </c>
      <c r="T6" s="13">
        <f>Data!Z56</f>
        <v>0</v>
      </c>
      <c r="U6" s="13">
        <f>Data!AA56</f>
        <v>0</v>
      </c>
      <c r="V6" s="13">
        <f>Data!AB56</f>
        <v>0</v>
      </c>
      <c r="W6" s="13">
        <f>Data!AC56</f>
        <v>0</v>
      </c>
      <c r="X6" s="13">
        <f>Data!AD56</f>
        <v>0</v>
      </c>
      <c r="Y6" s="13">
        <f>Data!AE56</f>
        <v>0</v>
      </c>
      <c r="Z6" s="13">
        <f>Data!AF56</f>
        <v>0</v>
      </c>
      <c r="AA6" s="13">
        <f>Data!AG56</f>
        <v>0</v>
      </c>
      <c r="AB6" s="13">
        <f>Data!AH56</f>
        <v>0</v>
      </c>
      <c r="AC6" s="13">
        <f>Data!AI56</f>
        <v>0</v>
      </c>
      <c r="AD6" s="13">
        <f>Data!AJ56</f>
        <v>0</v>
      </c>
      <c r="AE6" s="13">
        <f>Data!AK56</f>
        <v>0</v>
      </c>
      <c r="AF6" s="13">
        <f>Data!AL56</f>
        <v>0</v>
      </c>
    </row>
    <row r="7" spans="1:32" x14ac:dyDescent="0.35">
      <c r="A7" s="13" t="s">
        <v>78</v>
      </c>
      <c r="B7" s="13">
        <f>Data!H57</f>
        <v>0</v>
      </c>
      <c r="C7" s="13">
        <f>Data!I57</f>
        <v>0</v>
      </c>
      <c r="D7" s="13">
        <f>Data!J57</f>
        <v>0</v>
      </c>
      <c r="E7" s="13">
        <f>Data!K57</f>
        <v>0</v>
      </c>
      <c r="F7" s="13">
        <f>Data!L57</f>
        <v>0</v>
      </c>
      <c r="G7" s="13">
        <f>Data!M57</f>
        <v>0</v>
      </c>
      <c r="H7" s="13">
        <f>Data!N57</f>
        <v>0</v>
      </c>
      <c r="I7" s="13">
        <f>Data!O57</f>
        <v>0</v>
      </c>
      <c r="J7" s="13">
        <f>Data!P57</f>
        <v>0</v>
      </c>
      <c r="K7" s="13">
        <f>Data!Q57</f>
        <v>0</v>
      </c>
      <c r="L7" s="13">
        <f>Data!R57</f>
        <v>0</v>
      </c>
      <c r="M7" s="13">
        <f>Data!S57</f>
        <v>0</v>
      </c>
      <c r="N7" s="13">
        <f>Data!T57</f>
        <v>0</v>
      </c>
      <c r="O7" s="13">
        <f>Data!U57</f>
        <v>0</v>
      </c>
      <c r="P7" s="13">
        <f>Data!V57</f>
        <v>0</v>
      </c>
      <c r="Q7" s="13">
        <f>Data!W57</f>
        <v>0</v>
      </c>
      <c r="R7" s="13">
        <f>Data!X57</f>
        <v>0</v>
      </c>
      <c r="S7" s="13">
        <f>Data!Y57</f>
        <v>0</v>
      </c>
      <c r="T7" s="13">
        <f>Data!Z57</f>
        <v>0</v>
      </c>
      <c r="U7" s="13">
        <f>Data!AA57</f>
        <v>0</v>
      </c>
      <c r="V7" s="13">
        <f>Data!AB57</f>
        <v>0</v>
      </c>
      <c r="W7" s="13">
        <f>Data!AC57</f>
        <v>0</v>
      </c>
      <c r="X7" s="13">
        <f>Data!AD57</f>
        <v>0</v>
      </c>
      <c r="Y7" s="13">
        <f>Data!AE57</f>
        <v>0</v>
      </c>
      <c r="Z7" s="13">
        <f>Data!AF57</f>
        <v>0</v>
      </c>
      <c r="AA7" s="13">
        <f>Data!AG57</f>
        <v>0</v>
      </c>
      <c r="AB7" s="13">
        <f>Data!AH57</f>
        <v>0</v>
      </c>
      <c r="AC7" s="13">
        <f>Data!AI57</f>
        <v>0</v>
      </c>
      <c r="AD7" s="13">
        <f>Data!AJ57</f>
        <v>0</v>
      </c>
      <c r="AE7" s="13">
        <f>Data!AK57</f>
        <v>0</v>
      </c>
      <c r="AF7" s="13">
        <f>Data!AL57</f>
        <v>0</v>
      </c>
    </row>
    <row r="8" spans="1:32" x14ac:dyDescent="0.35">
      <c r="A8" s="13" t="s">
        <v>79</v>
      </c>
      <c r="B8" s="13">
        <f>Data!H58</f>
        <v>0</v>
      </c>
      <c r="C8" s="13">
        <f>Data!I58</f>
        <v>0</v>
      </c>
      <c r="D8" s="13">
        <f>Data!J58</f>
        <v>0</v>
      </c>
      <c r="E8" s="13">
        <f>Data!K58</f>
        <v>0</v>
      </c>
      <c r="F8" s="13">
        <f>Data!L58</f>
        <v>0</v>
      </c>
      <c r="G8" s="13">
        <f>Data!M58</f>
        <v>0</v>
      </c>
      <c r="H8" s="13">
        <f>Data!N58</f>
        <v>0</v>
      </c>
      <c r="I8" s="13">
        <f>Data!O58</f>
        <v>0</v>
      </c>
      <c r="J8" s="13">
        <f>Data!P58</f>
        <v>0</v>
      </c>
      <c r="K8" s="13">
        <f>Data!Q58</f>
        <v>0</v>
      </c>
      <c r="L8" s="13">
        <f>Data!R58</f>
        <v>0</v>
      </c>
      <c r="M8" s="13">
        <f>Data!S58</f>
        <v>0</v>
      </c>
      <c r="N8" s="13">
        <f>Data!T58</f>
        <v>0</v>
      </c>
      <c r="O8" s="13">
        <f>Data!U58</f>
        <v>0</v>
      </c>
      <c r="P8" s="13">
        <f>Data!V58</f>
        <v>0</v>
      </c>
      <c r="Q8" s="13">
        <f>Data!W58</f>
        <v>0</v>
      </c>
      <c r="R8" s="13">
        <f>Data!X58</f>
        <v>0</v>
      </c>
      <c r="S8" s="13">
        <f>Data!Y58</f>
        <v>0</v>
      </c>
      <c r="T8" s="13">
        <f>Data!Z58</f>
        <v>0</v>
      </c>
      <c r="U8" s="13">
        <f>Data!AA58</f>
        <v>0</v>
      </c>
      <c r="V8" s="13">
        <f>Data!AB58</f>
        <v>0</v>
      </c>
      <c r="W8" s="13">
        <f>Data!AC58</f>
        <v>0</v>
      </c>
      <c r="X8" s="13">
        <f>Data!AD58</f>
        <v>0</v>
      </c>
      <c r="Y8" s="13">
        <f>Data!AE58</f>
        <v>0</v>
      </c>
      <c r="Z8" s="13">
        <f>Data!AF58</f>
        <v>0</v>
      </c>
      <c r="AA8" s="13">
        <f>Data!AG58</f>
        <v>0</v>
      </c>
      <c r="AB8" s="13">
        <f>Data!AH58</f>
        <v>0</v>
      </c>
      <c r="AC8" s="13">
        <f>Data!AI58</f>
        <v>0</v>
      </c>
      <c r="AD8" s="13">
        <f>Data!AJ58</f>
        <v>0</v>
      </c>
      <c r="AE8" s="13">
        <f>Data!AK58</f>
        <v>0</v>
      </c>
      <c r="AF8" s="13">
        <f>Data!AL58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Data!H59</f>
        <v>0.50990675990675993</v>
      </c>
      <c r="C2" s="13">
        <f>Data!I59</f>
        <v>0.50990675990675993</v>
      </c>
      <c r="D2" s="13">
        <f>Data!J59</f>
        <v>0.50990675990675993</v>
      </c>
      <c r="E2" s="13">
        <f>Data!K59</f>
        <v>0.50990675990675993</v>
      </c>
      <c r="F2" s="13">
        <f>Data!L59</f>
        <v>0.50990675990675993</v>
      </c>
      <c r="G2" s="13">
        <f>Data!M59</f>
        <v>0.50990675990675993</v>
      </c>
      <c r="H2" s="13">
        <f>Data!N59</f>
        <v>0.50990675990675993</v>
      </c>
      <c r="I2" s="13">
        <f>Data!O59</f>
        <v>0.50990675990675993</v>
      </c>
      <c r="J2" s="13">
        <f>Data!P59</f>
        <v>0.50990675990675993</v>
      </c>
      <c r="K2" s="13">
        <f>Data!Q59</f>
        <v>0.50990675990675993</v>
      </c>
      <c r="L2" s="13">
        <f>Data!R59</f>
        <v>0.50990675990675993</v>
      </c>
      <c r="M2" s="13">
        <f>Data!S59</f>
        <v>0.50990675990675993</v>
      </c>
      <c r="N2" s="13">
        <f>Data!T59</f>
        <v>0.50990675990675993</v>
      </c>
      <c r="O2" s="13">
        <f>Data!U59</f>
        <v>0.50990675990675993</v>
      </c>
      <c r="P2" s="13">
        <f>Data!V59</f>
        <v>0.50990675990675993</v>
      </c>
      <c r="Q2" s="13">
        <f>Data!W59</f>
        <v>0.50990675990675993</v>
      </c>
      <c r="R2" s="13">
        <f>Data!X59</f>
        <v>0.50990675990675993</v>
      </c>
      <c r="S2" s="13">
        <f>Data!Y59</f>
        <v>0.50990675990675993</v>
      </c>
      <c r="T2" s="13">
        <f>Data!Z59</f>
        <v>0.50990675990675993</v>
      </c>
      <c r="U2" s="13">
        <f>Data!AA59</f>
        <v>0.50990675990675993</v>
      </c>
      <c r="V2" s="13">
        <f>Data!AB59</f>
        <v>0.50990675990675993</v>
      </c>
      <c r="W2" s="13">
        <f>Data!AC59</f>
        <v>0.50990675990675993</v>
      </c>
      <c r="X2" s="13">
        <f>Data!AD59</f>
        <v>0.50990675990675993</v>
      </c>
      <c r="Y2" s="13">
        <f>Data!AE59</f>
        <v>0.50990675990675993</v>
      </c>
      <c r="Z2" s="13">
        <f>Data!AF59</f>
        <v>0.50990675990675993</v>
      </c>
      <c r="AA2" s="13">
        <f>Data!AG59</f>
        <v>0.50990675990675993</v>
      </c>
      <c r="AB2" s="13">
        <f>Data!AH59</f>
        <v>0.50990675990675993</v>
      </c>
      <c r="AC2" s="13">
        <f>Data!AI59</f>
        <v>0.50990675990675993</v>
      </c>
      <c r="AD2" s="13">
        <f>Data!AJ59</f>
        <v>0.50990675990675993</v>
      </c>
      <c r="AE2" s="13">
        <f>Data!AK59</f>
        <v>0.50990675990675993</v>
      </c>
      <c r="AF2" s="13">
        <f>Data!AL59</f>
        <v>0.50990675990675993</v>
      </c>
    </row>
    <row r="3" spans="1:32" x14ac:dyDescent="0.35">
      <c r="A3" s="13" t="s">
        <v>2</v>
      </c>
      <c r="B3" s="13">
        <f>Data!H60</f>
        <v>0</v>
      </c>
      <c r="C3" s="13">
        <f>Data!I60</f>
        <v>0</v>
      </c>
      <c r="D3" s="13">
        <f>Data!J60</f>
        <v>0</v>
      </c>
      <c r="E3" s="13">
        <f>Data!K60</f>
        <v>0</v>
      </c>
      <c r="F3" s="13">
        <f>Data!L60</f>
        <v>0</v>
      </c>
      <c r="G3" s="13">
        <f>Data!M60</f>
        <v>0</v>
      </c>
      <c r="H3" s="13">
        <f>Data!N60</f>
        <v>0</v>
      </c>
      <c r="I3" s="13">
        <f>Data!O60</f>
        <v>0</v>
      </c>
      <c r="J3" s="13">
        <f>Data!P60</f>
        <v>0</v>
      </c>
      <c r="K3" s="13">
        <f>Data!Q60</f>
        <v>0</v>
      </c>
      <c r="L3" s="13">
        <f>Data!R60</f>
        <v>0</v>
      </c>
      <c r="M3" s="13">
        <f>Data!S60</f>
        <v>0</v>
      </c>
      <c r="N3" s="13">
        <f>Data!T60</f>
        <v>0</v>
      </c>
      <c r="O3" s="13">
        <f>Data!U60</f>
        <v>0</v>
      </c>
      <c r="P3" s="13">
        <f>Data!V60</f>
        <v>0</v>
      </c>
      <c r="Q3" s="13">
        <f>Data!W60</f>
        <v>0</v>
      </c>
      <c r="R3" s="13">
        <f>Data!X60</f>
        <v>0</v>
      </c>
      <c r="S3" s="13">
        <f>Data!Y60</f>
        <v>0</v>
      </c>
      <c r="T3" s="13">
        <f>Data!Z60</f>
        <v>0</v>
      </c>
      <c r="U3" s="13">
        <f>Data!AA60</f>
        <v>0</v>
      </c>
      <c r="V3" s="13">
        <f>Data!AB60</f>
        <v>0</v>
      </c>
      <c r="W3" s="13">
        <f>Data!AC60</f>
        <v>0</v>
      </c>
      <c r="X3" s="13">
        <f>Data!AD60</f>
        <v>0</v>
      </c>
      <c r="Y3" s="13">
        <f>Data!AE60</f>
        <v>0</v>
      </c>
      <c r="Z3" s="13">
        <f>Data!AF60</f>
        <v>0</v>
      </c>
      <c r="AA3" s="13">
        <f>Data!AG60</f>
        <v>0</v>
      </c>
      <c r="AB3" s="13">
        <f>Data!AH60</f>
        <v>0</v>
      </c>
      <c r="AC3" s="13">
        <f>Data!AI60</f>
        <v>0</v>
      </c>
      <c r="AD3" s="13">
        <f>Data!AJ60</f>
        <v>0</v>
      </c>
      <c r="AE3" s="13">
        <f>Data!AK60</f>
        <v>0</v>
      </c>
      <c r="AF3" s="13">
        <f>Data!AL60</f>
        <v>0</v>
      </c>
    </row>
    <row r="4" spans="1:32" x14ac:dyDescent="0.35">
      <c r="A4" s="13" t="s">
        <v>3</v>
      </c>
      <c r="B4" s="13">
        <f>Data!H61</f>
        <v>0</v>
      </c>
      <c r="C4" s="13">
        <f>Data!I61</f>
        <v>0</v>
      </c>
      <c r="D4" s="13">
        <f>Data!J61</f>
        <v>0</v>
      </c>
      <c r="E4" s="13">
        <f>Data!K61</f>
        <v>0</v>
      </c>
      <c r="F4" s="13">
        <f>Data!L61</f>
        <v>0</v>
      </c>
      <c r="G4" s="13">
        <f>Data!M61</f>
        <v>0</v>
      </c>
      <c r="H4" s="13">
        <f>Data!N61</f>
        <v>0</v>
      </c>
      <c r="I4" s="13">
        <f>Data!O61</f>
        <v>0</v>
      </c>
      <c r="J4" s="13">
        <f>Data!P61</f>
        <v>0</v>
      </c>
      <c r="K4" s="13">
        <f>Data!Q61</f>
        <v>0</v>
      </c>
      <c r="L4" s="13">
        <f>Data!R61</f>
        <v>0</v>
      </c>
      <c r="M4" s="13">
        <f>Data!S61</f>
        <v>0</v>
      </c>
      <c r="N4" s="13">
        <f>Data!T61</f>
        <v>0</v>
      </c>
      <c r="O4" s="13">
        <f>Data!U61</f>
        <v>0</v>
      </c>
      <c r="P4" s="13">
        <f>Data!V61</f>
        <v>0</v>
      </c>
      <c r="Q4" s="13">
        <f>Data!W61</f>
        <v>0</v>
      </c>
      <c r="R4" s="13">
        <f>Data!X61</f>
        <v>0</v>
      </c>
      <c r="S4" s="13">
        <f>Data!Y61</f>
        <v>0</v>
      </c>
      <c r="T4" s="13">
        <f>Data!Z61</f>
        <v>0</v>
      </c>
      <c r="U4" s="13">
        <f>Data!AA61</f>
        <v>0</v>
      </c>
      <c r="V4" s="13">
        <f>Data!AB61</f>
        <v>0</v>
      </c>
      <c r="W4" s="13">
        <f>Data!AC61</f>
        <v>0</v>
      </c>
      <c r="X4" s="13">
        <f>Data!AD61</f>
        <v>0</v>
      </c>
      <c r="Y4" s="13">
        <f>Data!AE61</f>
        <v>0</v>
      </c>
      <c r="Z4" s="13">
        <f>Data!AF61</f>
        <v>0</v>
      </c>
      <c r="AA4" s="13">
        <f>Data!AG61</f>
        <v>0</v>
      </c>
      <c r="AB4" s="13">
        <f>Data!AH61</f>
        <v>0</v>
      </c>
      <c r="AC4" s="13">
        <f>Data!AI61</f>
        <v>0</v>
      </c>
      <c r="AD4" s="13">
        <f>Data!AJ61</f>
        <v>0</v>
      </c>
      <c r="AE4" s="13">
        <f>Data!AK61</f>
        <v>0</v>
      </c>
      <c r="AF4" s="13">
        <f>Data!AL61</f>
        <v>0</v>
      </c>
    </row>
    <row r="5" spans="1:32" x14ac:dyDescent="0.35">
      <c r="A5" s="13" t="s">
        <v>4</v>
      </c>
      <c r="B5" s="13">
        <f>Data!H62</f>
        <v>0.74009324009324007</v>
      </c>
      <c r="C5" s="13">
        <f>Data!I62</f>
        <v>0.74009324009324007</v>
      </c>
      <c r="D5" s="13">
        <f>Data!J62</f>
        <v>0.74009324009324007</v>
      </c>
      <c r="E5" s="13">
        <f>Data!K62</f>
        <v>0.74009324009324007</v>
      </c>
      <c r="F5" s="13">
        <f>Data!L62</f>
        <v>0.74009324009324007</v>
      </c>
      <c r="G5" s="13">
        <f>Data!M62</f>
        <v>0.74009324009324007</v>
      </c>
      <c r="H5" s="13">
        <f>Data!N62</f>
        <v>0.74009324009324007</v>
      </c>
      <c r="I5" s="13">
        <f>Data!O62</f>
        <v>0.74009324009324007</v>
      </c>
      <c r="J5" s="13">
        <f>Data!P62</f>
        <v>0.74009324009324007</v>
      </c>
      <c r="K5" s="13">
        <f>Data!Q62</f>
        <v>0.74009324009324007</v>
      </c>
      <c r="L5" s="13">
        <f>Data!R62</f>
        <v>0.74009324009324007</v>
      </c>
      <c r="M5" s="13">
        <f>Data!S62</f>
        <v>0.74009324009324007</v>
      </c>
      <c r="N5" s="13">
        <f>Data!T62</f>
        <v>0.74009324009324007</v>
      </c>
      <c r="O5" s="13">
        <f>Data!U62</f>
        <v>0.74009324009324007</v>
      </c>
      <c r="P5" s="13">
        <f>Data!V62</f>
        <v>0.74009324009324007</v>
      </c>
      <c r="Q5" s="13">
        <f>Data!W62</f>
        <v>0.74009324009324007</v>
      </c>
      <c r="R5" s="13">
        <f>Data!X62</f>
        <v>0.74009324009324007</v>
      </c>
      <c r="S5" s="13">
        <f>Data!Y62</f>
        <v>0.74009324009324007</v>
      </c>
      <c r="T5" s="13">
        <f>Data!Z62</f>
        <v>0.74009324009324007</v>
      </c>
      <c r="U5" s="13">
        <f>Data!AA62</f>
        <v>0.74009324009324007</v>
      </c>
      <c r="V5" s="13">
        <f>Data!AB62</f>
        <v>0.74009324009324007</v>
      </c>
      <c r="W5" s="13">
        <f>Data!AC62</f>
        <v>0.74009324009324007</v>
      </c>
      <c r="X5" s="13">
        <f>Data!AD62</f>
        <v>0.74009324009324007</v>
      </c>
      <c r="Y5" s="13">
        <f>Data!AE62</f>
        <v>0.74009324009324007</v>
      </c>
      <c r="Z5" s="13">
        <f>Data!AF62</f>
        <v>0.74009324009324007</v>
      </c>
      <c r="AA5" s="13">
        <f>Data!AG62</f>
        <v>0.74009324009324007</v>
      </c>
      <c r="AB5" s="13">
        <f>Data!AH62</f>
        <v>0.74009324009324007</v>
      </c>
      <c r="AC5" s="13">
        <f>Data!AI62</f>
        <v>0.74009324009324007</v>
      </c>
      <c r="AD5" s="13">
        <f>Data!AJ62</f>
        <v>0.74009324009324007</v>
      </c>
      <c r="AE5" s="13">
        <f>Data!AK62</f>
        <v>0.74009324009324007</v>
      </c>
      <c r="AF5" s="13">
        <f>Data!AL62</f>
        <v>0.74009324009324007</v>
      </c>
    </row>
    <row r="6" spans="1:32" x14ac:dyDescent="0.35">
      <c r="A6" s="13" t="s">
        <v>5</v>
      </c>
      <c r="B6" s="13">
        <f>Data!H63</f>
        <v>0</v>
      </c>
      <c r="C6" s="13">
        <f>Data!I63</f>
        <v>0</v>
      </c>
      <c r="D6" s="13">
        <f>Data!J63</f>
        <v>0</v>
      </c>
      <c r="E6" s="13">
        <f>Data!K63</f>
        <v>0</v>
      </c>
      <c r="F6" s="13">
        <f>Data!L63</f>
        <v>0</v>
      </c>
      <c r="G6" s="13">
        <f>Data!M63</f>
        <v>0</v>
      </c>
      <c r="H6" s="13">
        <f>Data!N63</f>
        <v>0</v>
      </c>
      <c r="I6" s="13">
        <f>Data!O63</f>
        <v>0</v>
      </c>
      <c r="J6" s="13">
        <f>Data!P63</f>
        <v>0</v>
      </c>
      <c r="K6" s="13">
        <f>Data!Q63</f>
        <v>0</v>
      </c>
      <c r="L6" s="13">
        <f>Data!R63</f>
        <v>0</v>
      </c>
      <c r="M6" s="13">
        <f>Data!S63</f>
        <v>0</v>
      </c>
      <c r="N6" s="13">
        <f>Data!T63</f>
        <v>0</v>
      </c>
      <c r="O6" s="13">
        <f>Data!U63</f>
        <v>0</v>
      </c>
      <c r="P6" s="13">
        <f>Data!V63</f>
        <v>0</v>
      </c>
      <c r="Q6" s="13">
        <f>Data!W63</f>
        <v>0</v>
      </c>
      <c r="R6" s="13">
        <f>Data!X63</f>
        <v>0</v>
      </c>
      <c r="S6" s="13">
        <f>Data!Y63</f>
        <v>0</v>
      </c>
      <c r="T6" s="13">
        <f>Data!Z63</f>
        <v>0</v>
      </c>
      <c r="U6" s="13">
        <f>Data!AA63</f>
        <v>0</v>
      </c>
      <c r="V6" s="13">
        <f>Data!AB63</f>
        <v>0</v>
      </c>
      <c r="W6" s="13">
        <f>Data!AC63</f>
        <v>0</v>
      </c>
      <c r="X6" s="13">
        <f>Data!AD63</f>
        <v>0</v>
      </c>
      <c r="Y6" s="13">
        <f>Data!AE63</f>
        <v>0</v>
      </c>
      <c r="Z6" s="13">
        <f>Data!AF63</f>
        <v>0</v>
      </c>
      <c r="AA6" s="13">
        <f>Data!AG63</f>
        <v>0</v>
      </c>
      <c r="AB6" s="13">
        <f>Data!AH63</f>
        <v>0</v>
      </c>
      <c r="AC6" s="13">
        <f>Data!AI63</f>
        <v>0</v>
      </c>
      <c r="AD6" s="13">
        <f>Data!AJ63</f>
        <v>0</v>
      </c>
      <c r="AE6" s="13">
        <f>Data!AK63</f>
        <v>0</v>
      </c>
      <c r="AF6" s="13">
        <f>Data!AL63</f>
        <v>0</v>
      </c>
    </row>
    <row r="7" spans="1:32" x14ac:dyDescent="0.35">
      <c r="A7" s="13" t="s">
        <v>78</v>
      </c>
      <c r="B7" s="13">
        <f>Data!H64</f>
        <v>0</v>
      </c>
      <c r="C7" s="13">
        <f>Data!I64</f>
        <v>0</v>
      </c>
      <c r="D7" s="13">
        <f>Data!J64</f>
        <v>0</v>
      </c>
      <c r="E7" s="13">
        <f>Data!K64</f>
        <v>0</v>
      </c>
      <c r="F7" s="13">
        <f>Data!L64</f>
        <v>0</v>
      </c>
      <c r="G7" s="13">
        <f>Data!M64</f>
        <v>0</v>
      </c>
      <c r="H7" s="13">
        <f>Data!N64</f>
        <v>0</v>
      </c>
      <c r="I7" s="13">
        <f>Data!O64</f>
        <v>0</v>
      </c>
      <c r="J7" s="13">
        <f>Data!P64</f>
        <v>0</v>
      </c>
      <c r="K7" s="13">
        <f>Data!Q64</f>
        <v>0</v>
      </c>
      <c r="L7" s="13">
        <f>Data!R64</f>
        <v>0</v>
      </c>
      <c r="M7" s="13">
        <f>Data!S64</f>
        <v>0</v>
      </c>
      <c r="N7" s="13">
        <f>Data!T64</f>
        <v>0</v>
      </c>
      <c r="O7" s="13">
        <f>Data!U64</f>
        <v>0</v>
      </c>
      <c r="P7" s="13">
        <f>Data!V64</f>
        <v>0</v>
      </c>
      <c r="Q7" s="13">
        <f>Data!W64</f>
        <v>0</v>
      </c>
      <c r="R7" s="13">
        <f>Data!X64</f>
        <v>0</v>
      </c>
      <c r="S7" s="13">
        <f>Data!Y64</f>
        <v>0</v>
      </c>
      <c r="T7" s="13">
        <f>Data!Z64</f>
        <v>0</v>
      </c>
      <c r="U7" s="13">
        <f>Data!AA64</f>
        <v>0</v>
      </c>
      <c r="V7" s="13">
        <f>Data!AB64</f>
        <v>0</v>
      </c>
      <c r="W7" s="13">
        <f>Data!AC64</f>
        <v>0</v>
      </c>
      <c r="X7" s="13">
        <f>Data!AD64</f>
        <v>0</v>
      </c>
      <c r="Y7" s="13">
        <f>Data!AE64</f>
        <v>0</v>
      </c>
      <c r="Z7" s="13">
        <f>Data!AF64</f>
        <v>0</v>
      </c>
      <c r="AA7" s="13">
        <f>Data!AG64</f>
        <v>0</v>
      </c>
      <c r="AB7" s="13">
        <f>Data!AH64</f>
        <v>0</v>
      </c>
      <c r="AC7" s="13">
        <f>Data!AI64</f>
        <v>0</v>
      </c>
      <c r="AD7" s="13">
        <f>Data!AJ64</f>
        <v>0</v>
      </c>
      <c r="AE7" s="13">
        <f>Data!AK64</f>
        <v>0</v>
      </c>
      <c r="AF7" s="13">
        <f>Data!AL64</f>
        <v>0</v>
      </c>
    </row>
    <row r="8" spans="1:32" x14ac:dyDescent="0.35">
      <c r="A8" s="13" t="s">
        <v>79</v>
      </c>
      <c r="B8" s="13">
        <f>Data!H65</f>
        <v>0</v>
      </c>
      <c r="C8" s="13">
        <f>Data!I65</f>
        <v>0</v>
      </c>
      <c r="D8" s="13">
        <f>Data!J65</f>
        <v>0</v>
      </c>
      <c r="E8" s="13">
        <f>Data!K65</f>
        <v>0</v>
      </c>
      <c r="F8" s="13">
        <f>Data!L65</f>
        <v>0</v>
      </c>
      <c r="G8" s="13">
        <f>Data!M65</f>
        <v>0</v>
      </c>
      <c r="H8" s="13">
        <f>Data!N65</f>
        <v>0</v>
      </c>
      <c r="I8" s="13">
        <f>Data!O65</f>
        <v>0</v>
      </c>
      <c r="J8" s="13">
        <f>Data!P65</f>
        <v>0</v>
      </c>
      <c r="K8" s="13">
        <f>Data!Q65</f>
        <v>0</v>
      </c>
      <c r="L8" s="13">
        <f>Data!R65</f>
        <v>0</v>
      </c>
      <c r="M8" s="13">
        <f>Data!S65</f>
        <v>0</v>
      </c>
      <c r="N8" s="13">
        <f>Data!T65</f>
        <v>0</v>
      </c>
      <c r="O8" s="13">
        <f>Data!U65</f>
        <v>0</v>
      </c>
      <c r="P8" s="13">
        <f>Data!V65</f>
        <v>0</v>
      </c>
      <c r="Q8" s="13">
        <f>Data!W65</f>
        <v>0</v>
      </c>
      <c r="R8" s="13">
        <f>Data!X65</f>
        <v>0</v>
      </c>
      <c r="S8" s="13">
        <f>Data!Y65</f>
        <v>0</v>
      </c>
      <c r="T8" s="13">
        <f>Data!Z65</f>
        <v>0</v>
      </c>
      <c r="U8" s="13">
        <f>Data!AA65</f>
        <v>0</v>
      </c>
      <c r="V8" s="13">
        <f>Data!AB65</f>
        <v>0</v>
      </c>
      <c r="W8" s="13">
        <f>Data!AC65</f>
        <v>0</v>
      </c>
      <c r="X8" s="13">
        <f>Data!AD65</f>
        <v>0</v>
      </c>
      <c r="Y8" s="13">
        <f>Data!AE65</f>
        <v>0</v>
      </c>
      <c r="Z8" s="13">
        <f>Data!AF65</f>
        <v>0</v>
      </c>
      <c r="AA8" s="13">
        <f>Data!AG65</f>
        <v>0</v>
      </c>
      <c r="AB8" s="13">
        <f>Data!AH65</f>
        <v>0</v>
      </c>
      <c r="AC8" s="13">
        <f>Data!AI65</f>
        <v>0</v>
      </c>
      <c r="AD8" s="13">
        <f>Data!AJ65</f>
        <v>0</v>
      </c>
      <c r="AE8" s="13">
        <f>Data!AK65</f>
        <v>0</v>
      </c>
      <c r="AF8" s="13">
        <f>Data!AL65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Data!H66</f>
        <v>0</v>
      </c>
      <c r="C2" s="13">
        <f>Data!I66</f>
        <v>0</v>
      </c>
      <c r="D2" s="13">
        <f>Data!J66</f>
        <v>0</v>
      </c>
      <c r="E2" s="13">
        <f>Data!K66</f>
        <v>0</v>
      </c>
      <c r="F2" s="13">
        <f>Data!L66</f>
        <v>0</v>
      </c>
      <c r="G2" s="13">
        <f>Data!M66</f>
        <v>0</v>
      </c>
      <c r="H2" s="13">
        <f>Data!N66</f>
        <v>0</v>
      </c>
      <c r="I2" s="13">
        <f>Data!O66</f>
        <v>0</v>
      </c>
      <c r="J2" s="13">
        <f>Data!P66</f>
        <v>0</v>
      </c>
      <c r="K2" s="13">
        <f>Data!Q66</f>
        <v>0</v>
      </c>
      <c r="L2" s="13">
        <f>Data!R66</f>
        <v>0</v>
      </c>
      <c r="M2" s="13">
        <f>Data!S66</f>
        <v>0</v>
      </c>
      <c r="N2" s="13">
        <f>Data!T66</f>
        <v>0</v>
      </c>
      <c r="O2" s="13">
        <f>Data!U66</f>
        <v>0</v>
      </c>
      <c r="P2" s="13">
        <f>Data!V66</f>
        <v>0</v>
      </c>
      <c r="Q2" s="13">
        <f>Data!W66</f>
        <v>0</v>
      </c>
      <c r="R2" s="13">
        <f>Data!X66</f>
        <v>0</v>
      </c>
      <c r="S2" s="13">
        <f>Data!Y66</f>
        <v>0</v>
      </c>
      <c r="T2" s="13">
        <f>Data!Z66</f>
        <v>0</v>
      </c>
      <c r="U2" s="13">
        <f>Data!AA66</f>
        <v>0</v>
      </c>
      <c r="V2" s="13">
        <f>Data!AB66</f>
        <v>0</v>
      </c>
      <c r="W2" s="13">
        <f>Data!AC66</f>
        <v>0</v>
      </c>
      <c r="X2" s="13">
        <f>Data!AD66</f>
        <v>0</v>
      </c>
      <c r="Y2" s="13">
        <f>Data!AE66</f>
        <v>0</v>
      </c>
      <c r="Z2" s="13">
        <f>Data!AF66</f>
        <v>0</v>
      </c>
      <c r="AA2" s="13">
        <f>Data!AG66</f>
        <v>0</v>
      </c>
      <c r="AB2" s="13">
        <f>Data!AH66</f>
        <v>0</v>
      </c>
      <c r="AC2" s="13">
        <f>Data!AI66</f>
        <v>0</v>
      </c>
      <c r="AD2" s="13">
        <f>Data!AJ66</f>
        <v>0</v>
      </c>
      <c r="AE2" s="13">
        <f>Data!AK66</f>
        <v>0</v>
      </c>
      <c r="AF2" s="13">
        <f>Data!AL66</f>
        <v>0</v>
      </c>
    </row>
    <row r="3" spans="1:32" x14ac:dyDescent="0.35">
      <c r="A3" s="13" t="s">
        <v>2</v>
      </c>
      <c r="B3" s="13">
        <f>Data!H67</f>
        <v>0</v>
      </c>
      <c r="C3" s="13">
        <f>Data!I67</f>
        <v>0</v>
      </c>
      <c r="D3" s="13">
        <f>Data!J67</f>
        <v>0</v>
      </c>
      <c r="E3" s="13">
        <f>Data!K67</f>
        <v>0</v>
      </c>
      <c r="F3" s="13">
        <f>Data!L67</f>
        <v>0</v>
      </c>
      <c r="G3" s="13">
        <f>Data!M67</f>
        <v>0</v>
      </c>
      <c r="H3" s="13">
        <f>Data!N67</f>
        <v>0</v>
      </c>
      <c r="I3" s="13">
        <f>Data!O67</f>
        <v>0</v>
      </c>
      <c r="J3" s="13">
        <f>Data!P67</f>
        <v>0</v>
      </c>
      <c r="K3" s="13">
        <f>Data!Q67</f>
        <v>0</v>
      </c>
      <c r="L3" s="13">
        <f>Data!R67</f>
        <v>0</v>
      </c>
      <c r="M3" s="13">
        <f>Data!S67</f>
        <v>0</v>
      </c>
      <c r="N3" s="13">
        <f>Data!T67</f>
        <v>0</v>
      </c>
      <c r="O3" s="13">
        <f>Data!U67</f>
        <v>0</v>
      </c>
      <c r="P3" s="13">
        <f>Data!V67</f>
        <v>0</v>
      </c>
      <c r="Q3" s="13">
        <f>Data!W67</f>
        <v>0</v>
      </c>
      <c r="R3" s="13">
        <f>Data!X67</f>
        <v>0</v>
      </c>
      <c r="S3" s="13">
        <f>Data!Y67</f>
        <v>0</v>
      </c>
      <c r="T3" s="13">
        <f>Data!Z67</f>
        <v>0</v>
      </c>
      <c r="U3" s="13">
        <f>Data!AA67</f>
        <v>0</v>
      </c>
      <c r="V3" s="13">
        <f>Data!AB67</f>
        <v>0</v>
      </c>
      <c r="W3" s="13">
        <f>Data!AC67</f>
        <v>0</v>
      </c>
      <c r="X3" s="13">
        <f>Data!AD67</f>
        <v>0</v>
      </c>
      <c r="Y3" s="13">
        <f>Data!AE67</f>
        <v>0</v>
      </c>
      <c r="Z3" s="13">
        <f>Data!AF67</f>
        <v>0</v>
      </c>
      <c r="AA3" s="13">
        <f>Data!AG67</f>
        <v>0</v>
      </c>
      <c r="AB3" s="13">
        <f>Data!AH67</f>
        <v>0</v>
      </c>
      <c r="AC3" s="13">
        <f>Data!AI67</f>
        <v>0</v>
      </c>
      <c r="AD3" s="13">
        <f>Data!AJ67</f>
        <v>0</v>
      </c>
      <c r="AE3" s="13">
        <f>Data!AK67</f>
        <v>0</v>
      </c>
      <c r="AF3" s="13">
        <f>Data!AL67</f>
        <v>0</v>
      </c>
    </row>
    <row r="4" spans="1:32" x14ac:dyDescent="0.35">
      <c r="A4" s="13" t="s">
        <v>3</v>
      </c>
      <c r="B4" s="13">
        <f>Data!H68</f>
        <v>0</v>
      </c>
      <c r="C4" s="13">
        <f>Data!I68</f>
        <v>0</v>
      </c>
      <c r="D4" s="13">
        <f>Data!J68</f>
        <v>0</v>
      </c>
      <c r="E4" s="13">
        <f>Data!K68</f>
        <v>0</v>
      </c>
      <c r="F4" s="13">
        <f>Data!L68</f>
        <v>0</v>
      </c>
      <c r="G4" s="13">
        <f>Data!M68</f>
        <v>0</v>
      </c>
      <c r="H4" s="13">
        <f>Data!N68</f>
        <v>0</v>
      </c>
      <c r="I4" s="13">
        <f>Data!O68</f>
        <v>0</v>
      </c>
      <c r="J4" s="13">
        <f>Data!P68</f>
        <v>0</v>
      </c>
      <c r="K4" s="13">
        <f>Data!Q68</f>
        <v>0</v>
      </c>
      <c r="L4" s="13">
        <f>Data!R68</f>
        <v>0</v>
      </c>
      <c r="M4" s="13">
        <f>Data!S68</f>
        <v>0</v>
      </c>
      <c r="N4" s="13">
        <f>Data!T68</f>
        <v>0</v>
      </c>
      <c r="O4" s="13">
        <f>Data!U68</f>
        <v>0</v>
      </c>
      <c r="P4" s="13">
        <f>Data!V68</f>
        <v>0</v>
      </c>
      <c r="Q4" s="13">
        <f>Data!W68</f>
        <v>0</v>
      </c>
      <c r="R4" s="13">
        <f>Data!X68</f>
        <v>0</v>
      </c>
      <c r="S4" s="13">
        <f>Data!Y68</f>
        <v>0</v>
      </c>
      <c r="T4" s="13">
        <f>Data!Z68</f>
        <v>0</v>
      </c>
      <c r="U4" s="13">
        <f>Data!AA68</f>
        <v>0</v>
      </c>
      <c r="V4" s="13">
        <f>Data!AB68</f>
        <v>0</v>
      </c>
      <c r="W4" s="13">
        <f>Data!AC68</f>
        <v>0</v>
      </c>
      <c r="X4" s="13">
        <f>Data!AD68</f>
        <v>0</v>
      </c>
      <c r="Y4" s="13">
        <f>Data!AE68</f>
        <v>0</v>
      </c>
      <c r="Z4" s="13">
        <f>Data!AF68</f>
        <v>0</v>
      </c>
      <c r="AA4" s="13">
        <f>Data!AG68</f>
        <v>0</v>
      </c>
      <c r="AB4" s="13">
        <f>Data!AH68</f>
        <v>0</v>
      </c>
      <c r="AC4" s="13">
        <f>Data!AI68</f>
        <v>0</v>
      </c>
      <c r="AD4" s="13">
        <f>Data!AJ68</f>
        <v>0</v>
      </c>
      <c r="AE4" s="13">
        <f>Data!AK68</f>
        <v>0</v>
      </c>
      <c r="AF4" s="13">
        <f>Data!AL68</f>
        <v>0</v>
      </c>
    </row>
    <row r="5" spans="1:32" x14ac:dyDescent="0.35">
      <c r="A5" s="13" t="s">
        <v>4</v>
      </c>
      <c r="B5" s="13">
        <f>Data!H69</f>
        <v>1</v>
      </c>
      <c r="C5" s="13">
        <f>Data!I69</f>
        <v>1</v>
      </c>
      <c r="D5" s="13">
        <f>Data!J69</f>
        <v>1</v>
      </c>
      <c r="E5" s="13">
        <f>Data!K69</f>
        <v>1</v>
      </c>
      <c r="F5" s="13">
        <f>Data!L69</f>
        <v>1</v>
      </c>
      <c r="G5" s="13">
        <f>Data!M69</f>
        <v>1</v>
      </c>
      <c r="H5" s="13">
        <f>Data!N69</f>
        <v>1</v>
      </c>
      <c r="I5" s="13">
        <f>Data!O69</f>
        <v>1</v>
      </c>
      <c r="J5" s="13">
        <f>Data!P69</f>
        <v>1</v>
      </c>
      <c r="K5" s="13">
        <f>Data!Q69</f>
        <v>1</v>
      </c>
      <c r="L5" s="13">
        <f>Data!R69</f>
        <v>1</v>
      </c>
      <c r="M5" s="13">
        <f>Data!S69</f>
        <v>1</v>
      </c>
      <c r="N5" s="13">
        <f>Data!T69</f>
        <v>1</v>
      </c>
      <c r="O5" s="13">
        <f>Data!U69</f>
        <v>1</v>
      </c>
      <c r="P5" s="13">
        <f>Data!V69</f>
        <v>1</v>
      </c>
      <c r="Q5" s="13">
        <f>Data!W69</f>
        <v>1</v>
      </c>
      <c r="R5" s="13">
        <f>Data!X69</f>
        <v>1</v>
      </c>
      <c r="S5" s="13">
        <f>Data!Y69</f>
        <v>1</v>
      </c>
      <c r="T5" s="13">
        <f>Data!Z69</f>
        <v>1</v>
      </c>
      <c r="U5" s="13">
        <f>Data!AA69</f>
        <v>1</v>
      </c>
      <c r="V5" s="13">
        <f>Data!AB69</f>
        <v>1</v>
      </c>
      <c r="W5" s="13">
        <f>Data!AC69</f>
        <v>1</v>
      </c>
      <c r="X5" s="13">
        <f>Data!AD69</f>
        <v>1</v>
      </c>
      <c r="Y5" s="13">
        <f>Data!AE69</f>
        <v>1</v>
      </c>
      <c r="Z5" s="13">
        <f>Data!AF69</f>
        <v>1</v>
      </c>
      <c r="AA5" s="13">
        <f>Data!AG69</f>
        <v>1</v>
      </c>
      <c r="AB5" s="13">
        <f>Data!AH69</f>
        <v>1</v>
      </c>
      <c r="AC5" s="13">
        <f>Data!AI69</f>
        <v>1</v>
      </c>
      <c r="AD5" s="13">
        <f>Data!AJ69</f>
        <v>1</v>
      </c>
      <c r="AE5" s="13">
        <f>Data!AK69</f>
        <v>1</v>
      </c>
      <c r="AF5" s="13">
        <f>Data!AL69</f>
        <v>1</v>
      </c>
    </row>
    <row r="6" spans="1:32" x14ac:dyDescent="0.35">
      <c r="A6" s="13" t="s">
        <v>5</v>
      </c>
      <c r="B6" s="13">
        <f>Data!H70</f>
        <v>0</v>
      </c>
      <c r="C6" s="13">
        <f>Data!I70</f>
        <v>0</v>
      </c>
      <c r="D6" s="13">
        <f>Data!J70</f>
        <v>0</v>
      </c>
      <c r="E6" s="13">
        <f>Data!K70</f>
        <v>0</v>
      </c>
      <c r="F6" s="13">
        <f>Data!L70</f>
        <v>0</v>
      </c>
      <c r="G6" s="13">
        <f>Data!M70</f>
        <v>0</v>
      </c>
      <c r="H6" s="13">
        <f>Data!N70</f>
        <v>0</v>
      </c>
      <c r="I6" s="13">
        <f>Data!O70</f>
        <v>0</v>
      </c>
      <c r="J6" s="13">
        <f>Data!P70</f>
        <v>0</v>
      </c>
      <c r="K6" s="13">
        <f>Data!Q70</f>
        <v>0</v>
      </c>
      <c r="L6" s="13">
        <f>Data!R70</f>
        <v>0</v>
      </c>
      <c r="M6" s="13">
        <f>Data!S70</f>
        <v>0</v>
      </c>
      <c r="N6" s="13">
        <f>Data!T70</f>
        <v>0</v>
      </c>
      <c r="O6" s="13">
        <f>Data!U70</f>
        <v>0</v>
      </c>
      <c r="P6" s="13">
        <f>Data!V70</f>
        <v>0</v>
      </c>
      <c r="Q6" s="13">
        <f>Data!W70</f>
        <v>0</v>
      </c>
      <c r="R6" s="13">
        <f>Data!X70</f>
        <v>0</v>
      </c>
      <c r="S6" s="13">
        <f>Data!Y70</f>
        <v>0</v>
      </c>
      <c r="T6" s="13">
        <f>Data!Z70</f>
        <v>0</v>
      </c>
      <c r="U6" s="13">
        <f>Data!AA70</f>
        <v>0</v>
      </c>
      <c r="V6" s="13">
        <f>Data!AB70</f>
        <v>0</v>
      </c>
      <c r="W6" s="13">
        <f>Data!AC70</f>
        <v>0</v>
      </c>
      <c r="X6" s="13">
        <f>Data!AD70</f>
        <v>0</v>
      </c>
      <c r="Y6" s="13">
        <f>Data!AE70</f>
        <v>0</v>
      </c>
      <c r="Z6" s="13">
        <f>Data!AF70</f>
        <v>0</v>
      </c>
      <c r="AA6" s="13">
        <f>Data!AG70</f>
        <v>0</v>
      </c>
      <c r="AB6" s="13">
        <f>Data!AH70</f>
        <v>0</v>
      </c>
      <c r="AC6" s="13">
        <f>Data!AI70</f>
        <v>0</v>
      </c>
      <c r="AD6" s="13">
        <f>Data!AJ70</f>
        <v>0</v>
      </c>
      <c r="AE6" s="13">
        <f>Data!AK70</f>
        <v>0</v>
      </c>
      <c r="AF6" s="13">
        <f>Data!AL70</f>
        <v>0</v>
      </c>
    </row>
    <row r="7" spans="1:32" x14ac:dyDescent="0.35">
      <c r="A7" s="13" t="s">
        <v>78</v>
      </c>
      <c r="B7" s="13">
        <f>Data!H71</f>
        <v>0</v>
      </c>
      <c r="C7" s="13">
        <f>Data!I71</f>
        <v>0</v>
      </c>
      <c r="D7" s="13">
        <f>Data!J71</f>
        <v>0</v>
      </c>
      <c r="E7" s="13">
        <f>Data!K71</f>
        <v>0</v>
      </c>
      <c r="F7" s="13">
        <f>Data!L71</f>
        <v>0</v>
      </c>
      <c r="G7" s="13">
        <f>Data!M71</f>
        <v>0</v>
      </c>
      <c r="H7" s="13">
        <f>Data!N71</f>
        <v>0</v>
      </c>
      <c r="I7" s="13">
        <f>Data!O71</f>
        <v>0</v>
      </c>
      <c r="J7" s="13">
        <f>Data!P71</f>
        <v>0</v>
      </c>
      <c r="K7" s="13">
        <f>Data!Q71</f>
        <v>0</v>
      </c>
      <c r="L7" s="13">
        <f>Data!R71</f>
        <v>0</v>
      </c>
      <c r="M7" s="13">
        <f>Data!S71</f>
        <v>0</v>
      </c>
      <c r="N7" s="13">
        <f>Data!T71</f>
        <v>0</v>
      </c>
      <c r="O7" s="13">
        <f>Data!U71</f>
        <v>0</v>
      </c>
      <c r="P7" s="13">
        <f>Data!V71</f>
        <v>0</v>
      </c>
      <c r="Q7" s="13">
        <f>Data!W71</f>
        <v>0</v>
      </c>
      <c r="R7" s="13">
        <f>Data!X71</f>
        <v>0</v>
      </c>
      <c r="S7" s="13">
        <f>Data!Y71</f>
        <v>0</v>
      </c>
      <c r="T7" s="13">
        <f>Data!Z71</f>
        <v>0</v>
      </c>
      <c r="U7" s="13">
        <f>Data!AA71</f>
        <v>0</v>
      </c>
      <c r="V7" s="13">
        <f>Data!AB71</f>
        <v>0</v>
      </c>
      <c r="W7" s="13">
        <f>Data!AC71</f>
        <v>0</v>
      </c>
      <c r="X7" s="13">
        <f>Data!AD71</f>
        <v>0</v>
      </c>
      <c r="Y7" s="13">
        <f>Data!AE71</f>
        <v>0</v>
      </c>
      <c r="Z7" s="13">
        <f>Data!AF71</f>
        <v>0</v>
      </c>
      <c r="AA7" s="13">
        <f>Data!AG71</f>
        <v>0</v>
      </c>
      <c r="AB7" s="13">
        <f>Data!AH71</f>
        <v>0</v>
      </c>
      <c r="AC7" s="13">
        <f>Data!AI71</f>
        <v>0</v>
      </c>
      <c r="AD7" s="13">
        <f>Data!AJ71</f>
        <v>0</v>
      </c>
      <c r="AE7" s="13">
        <f>Data!AK71</f>
        <v>0</v>
      </c>
      <c r="AF7" s="13">
        <f>Data!AL71</f>
        <v>0</v>
      </c>
    </row>
    <row r="8" spans="1:32" x14ac:dyDescent="0.35">
      <c r="A8" s="13" t="s">
        <v>79</v>
      </c>
      <c r="B8" s="13">
        <f>Data!H72</f>
        <v>0</v>
      </c>
      <c r="C8" s="13">
        <f>Data!I72</f>
        <v>0</v>
      </c>
      <c r="D8" s="13">
        <f>Data!J72</f>
        <v>0</v>
      </c>
      <c r="E8" s="13">
        <f>Data!K72</f>
        <v>0</v>
      </c>
      <c r="F8" s="13">
        <f>Data!L72</f>
        <v>0</v>
      </c>
      <c r="G8" s="13">
        <f>Data!M72</f>
        <v>0</v>
      </c>
      <c r="H8" s="13">
        <f>Data!N72</f>
        <v>0</v>
      </c>
      <c r="I8" s="13">
        <f>Data!O72</f>
        <v>0</v>
      </c>
      <c r="J8" s="13">
        <f>Data!P72</f>
        <v>0</v>
      </c>
      <c r="K8" s="13">
        <f>Data!Q72</f>
        <v>0</v>
      </c>
      <c r="L8" s="13">
        <f>Data!R72</f>
        <v>0</v>
      </c>
      <c r="M8" s="13">
        <f>Data!S72</f>
        <v>0</v>
      </c>
      <c r="N8" s="13">
        <f>Data!T72</f>
        <v>0</v>
      </c>
      <c r="O8" s="13">
        <f>Data!U72</f>
        <v>0</v>
      </c>
      <c r="P8" s="13">
        <f>Data!V72</f>
        <v>0</v>
      </c>
      <c r="Q8" s="13">
        <f>Data!W72</f>
        <v>0</v>
      </c>
      <c r="R8" s="13">
        <f>Data!X72</f>
        <v>0</v>
      </c>
      <c r="S8" s="13">
        <f>Data!Y72</f>
        <v>0</v>
      </c>
      <c r="T8" s="13">
        <f>Data!Z72</f>
        <v>0</v>
      </c>
      <c r="U8" s="13">
        <f>Data!AA72</f>
        <v>0</v>
      </c>
      <c r="V8" s="13">
        <f>Data!AB72</f>
        <v>0</v>
      </c>
      <c r="W8" s="13">
        <f>Data!AC72</f>
        <v>0</v>
      </c>
      <c r="X8" s="13">
        <f>Data!AD72</f>
        <v>0</v>
      </c>
      <c r="Y8" s="13">
        <f>Data!AE72</f>
        <v>0</v>
      </c>
      <c r="Z8" s="13">
        <f>Data!AF72</f>
        <v>0</v>
      </c>
      <c r="AA8" s="13">
        <f>Data!AG72</f>
        <v>0</v>
      </c>
      <c r="AB8" s="13">
        <f>Data!AH72</f>
        <v>0</v>
      </c>
      <c r="AC8" s="13">
        <f>Data!AI72</f>
        <v>0</v>
      </c>
      <c r="AD8" s="13">
        <f>Data!AJ72</f>
        <v>0</v>
      </c>
      <c r="AE8" s="13">
        <f>Data!AK72</f>
        <v>0</v>
      </c>
      <c r="AF8" s="13">
        <f>Data!AL72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Data!H73</f>
        <v>0</v>
      </c>
      <c r="C2" s="13">
        <f>Data!I73</f>
        <v>0</v>
      </c>
      <c r="D2" s="13">
        <f>Data!J73</f>
        <v>0</v>
      </c>
      <c r="E2" s="13">
        <f>Data!K73</f>
        <v>0</v>
      </c>
      <c r="F2" s="13">
        <f>Data!L73</f>
        <v>0</v>
      </c>
      <c r="G2" s="13">
        <f>Data!M73</f>
        <v>0</v>
      </c>
      <c r="H2" s="13">
        <f>Data!N73</f>
        <v>0</v>
      </c>
      <c r="I2" s="13">
        <f>Data!O73</f>
        <v>0</v>
      </c>
      <c r="J2" s="13">
        <f>Data!P73</f>
        <v>0</v>
      </c>
      <c r="K2" s="13">
        <f>Data!Q73</f>
        <v>0</v>
      </c>
      <c r="L2" s="13">
        <f>Data!R73</f>
        <v>0</v>
      </c>
      <c r="M2" s="13">
        <f>Data!S73</f>
        <v>0</v>
      </c>
      <c r="N2" s="13">
        <f>Data!T73</f>
        <v>0</v>
      </c>
      <c r="O2" s="13">
        <f>Data!U73</f>
        <v>0</v>
      </c>
      <c r="P2" s="13">
        <f>Data!V73</f>
        <v>0</v>
      </c>
      <c r="Q2" s="13">
        <f>Data!W73</f>
        <v>0</v>
      </c>
      <c r="R2" s="13">
        <f>Data!X73</f>
        <v>0</v>
      </c>
      <c r="S2" s="13">
        <f>Data!Y73</f>
        <v>0</v>
      </c>
      <c r="T2" s="13">
        <f>Data!Z73</f>
        <v>0</v>
      </c>
      <c r="U2" s="13">
        <f>Data!AA73</f>
        <v>0</v>
      </c>
      <c r="V2" s="13">
        <f>Data!AB73</f>
        <v>0</v>
      </c>
      <c r="W2" s="13">
        <f>Data!AC73</f>
        <v>0</v>
      </c>
      <c r="X2" s="13">
        <f>Data!AD73</f>
        <v>0</v>
      </c>
      <c r="Y2" s="13">
        <f>Data!AE73</f>
        <v>0</v>
      </c>
      <c r="Z2" s="13">
        <f>Data!AF73</f>
        <v>0</v>
      </c>
      <c r="AA2" s="13">
        <f>Data!AG73</f>
        <v>0</v>
      </c>
      <c r="AB2" s="13">
        <f>Data!AH73</f>
        <v>0</v>
      </c>
      <c r="AC2" s="13">
        <f>Data!AI73</f>
        <v>0</v>
      </c>
      <c r="AD2" s="13">
        <f>Data!AJ73</f>
        <v>0</v>
      </c>
      <c r="AE2" s="13">
        <f>Data!AK73</f>
        <v>0</v>
      </c>
      <c r="AF2" s="13">
        <f>Data!AL73</f>
        <v>0</v>
      </c>
    </row>
    <row r="3" spans="1:32" x14ac:dyDescent="0.35">
      <c r="A3" s="13" t="s">
        <v>2</v>
      </c>
      <c r="B3" s="13">
        <f>Data!H74</f>
        <v>0</v>
      </c>
      <c r="C3" s="13">
        <f>Data!I74</f>
        <v>0</v>
      </c>
      <c r="D3" s="13">
        <f>Data!J74</f>
        <v>0</v>
      </c>
      <c r="E3" s="13">
        <f>Data!K74</f>
        <v>0</v>
      </c>
      <c r="F3" s="13">
        <f>Data!L74</f>
        <v>0</v>
      </c>
      <c r="G3" s="13">
        <f>Data!M74</f>
        <v>0</v>
      </c>
      <c r="H3" s="13">
        <f>Data!N74</f>
        <v>0</v>
      </c>
      <c r="I3" s="13">
        <f>Data!O74</f>
        <v>0</v>
      </c>
      <c r="J3" s="13">
        <f>Data!P74</f>
        <v>0</v>
      </c>
      <c r="K3" s="13">
        <f>Data!Q74</f>
        <v>0</v>
      </c>
      <c r="L3" s="13">
        <f>Data!R74</f>
        <v>0</v>
      </c>
      <c r="M3" s="13">
        <f>Data!S74</f>
        <v>0</v>
      </c>
      <c r="N3" s="13">
        <f>Data!T74</f>
        <v>0</v>
      </c>
      <c r="O3" s="13">
        <f>Data!U74</f>
        <v>0</v>
      </c>
      <c r="P3" s="13">
        <f>Data!V74</f>
        <v>0</v>
      </c>
      <c r="Q3" s="13">
        <f>Data!W74</f>
        <v>0</v>
      </c>
      <c r="R3" s="13">
        <f>Data!X74</f>
        <v>0</v>
      </c>
      <c r="S3" s="13">
        <f>Data!Y74</f>
        <v>0</v>
      </c>
      <c r="T3" s="13">
        <f>Data!Z74</f>
        <v>0</v>
      </c>
      <c r="U3" s="13">
        <f>Data!AA74</f>
        <v>0</v>
      </c>
      <c r="V3" s="13">
        <f>Data!AB74</f>
        <v>0</v>
      </c>
      <c r="W3" s="13">
        <f>Data!AC74</f>
        <v>0</v>
      </c>
      <c r="X3" s="13">
        <f>Data!AD74</f>
        <v>0</v>
      </c>
      <c r="Y3" s="13">
        <f>Data!AE74</f>
        <v>0</v>
      </c>
      <c r="Z3" s="13">
        <f>Data!AF74</f>
        <v>0</v>
      </c>
      <c r="AA3" s="13">
        <f>Data!AG74</f>
        <v>0</v>
      </c>
      <c r="AB3" s="13">
        <f>Data!AH74</f>
        <v>0</v>
      </c>
      <c r="AC3" s="13">
        <f>Data!AI74</f>
        <v>0</v>
      </c>
      <c r="AD3" s="13">
        <f>Data!AJ74</f>
        <v>0</v>
      </c>
      <c r="AE3" s="13">
        <f>Data!AK74</f>
        <v>0</v>
      </c>
      <c r="AF3" s="13">
        <f>Data!AL74</f>
        <v>0</v>
      </c>
    </row>
    <row r="4" spans="1:32" x14ac:dyDescent="0.35">
      <c r="A4" s="13" t="s">
        <v>3</v>
      </c>
      <c r="B4" s="13">
        <f>Data!H75</f>
        <v>1.8381271689900589E-3</v>
      </c>
      <c r="C4" s="13">
        <f>Data!I75</f>
        <v>1.8381271689900589E-3</v>
      </c>
      <c r="D4" s="13">
        <f>Data!J75</f>
        <v>1.8381271689900589E-3</v>
      </c>
      <c r="E4" s="13">
        <f>Data!K75</f>
        <v>1.8381271689900589E-3</v>
      </c>
      <c r="F4" s="13">
        <f>Data!L75</f>
        <v>1.8381271689900589E-3</v>
      </c>
      <c r="G4" s="13">
        <f>Data!M75</f>
        <v>1.8381271689900589E-3</v>
      </c>
      <c r="H4" s="13">
        <f>Data!N75</f>
        <v>1.8381271689900589E-3</v>
      </c>
      <c r="I4" s="13">
        <f>Data!O75</f>
        <v>1.8381271689900589E-3</v>
      </c>
      <c r="J4" s="13">
        <f>Data!P75</f>
        <v>1.8381271689900589E-3</v>
      </c>
      <c r="K4" s="13">
        <f>Data!Q75</f>
        <v>1.8381271689900589E-3</v>
      </c>
      <c r="L4" s="13">
        <f>Data!R75</f>
        <v>1.8381271689900589E-3</v>
      </c>
      <c r="M4" s="13">
        <f>Data!S75</f>
        <v>1.8381271689900589E-3</v>
      </c>
      <c r="N4" s="13">
        <f>Data!T75</f>
        <v>1.8381271689900589E-3</v>
      </c>
      <c r="O4" s="13">
        <f>Data!U75</f>
        <v>1.8381271689900589E-3</v>
      </c>
      <c r="P4" s="13">
        <f>Data!V75</f>
        <v>1.8381271689900589E-3</v>
      </c>
      <c r="Q4" s="13">
        <f>Data!W75</f>
        <v>1.8381271689900589E-3</v>
      </c>
      <c r="R4" s="13">
        <f>Data!X75</f>
        <v>1.8381271689900589E-3</v>
      </c>
      <c r="S4" s="13">
        <f>Data!Y75</f>
        <v>1.8381271689900589E-3</v>
      </c>
      <c r="T4" s="13">
        <f>Data!Z75</f>
        <v>1.8381271689900589E-3</v>
      </c>
      <c r="U4" s="13">
        <f>Data!AA75</f>
        <v>1.8381271689900589E-3</v>
      </c>
      <c r="V4" s="13">
        <f>Data!AB75</f>
        <v>1.8381271689900589E-3</v>
      </c>
      <c r="W4" s="13">
        <f>Data!AC75</f>
        <v>1.8381271689900589E-3</v>
      </c>
      <c r="X4" s="13">
        <f>Data!AD75</f>
        <v>1.8381271689900589E-3</v>
      </c>
      <c r="Y4" s="13">
        <f>Data!AE75</f>
        <v>1.8381271689900589E-3</v>
      </c>
      <c r="Z4" s="13">
        <f>Data!AF75</f>
        <v>1.8381271689900589E-3</v>
      </c>
      <c r="AA4" s="13">
        <f>Data!AG75</f>
        <v>1.8381271689900589E-3</v>
      </c>
      <c r="AB4" s="13">
        <f>Data!AH75</f>
        <v>1.8381271689900589E-3</v>
      </c>
      <c r="AC4" s="13">
        <f>Data!AI75</f>
        <v>1.8381271689900589E-3</v>
      </c>
      <c r="AD4" s="13">
        <f>Data!AJ75</f>
        <v>1.8381271689900589E-3</v>
      </c>
      <c r="AE4" s="13">
        <f>Data!AK75</f>
        <v>1.8381271689900589E-3</v>
      </c>
      <c r="AF4" s="13">
        <f>Data!AL75</f>
        <v>1.8381271689900589E-3</v>
      </c>
    </row>
    <row r="5" spans="1:32" x14ac:dyDescent="0.35">
      <c r="A5" s="13" t="s">
        <v>4</v>
      </c>
      <c r="B5" s="13">
        <f>Data!H76</f>
        <v>1</v>
      </c>
      <c r="C5" s="13">
        <f>Data!I76</f>
        <v>1</v>
      </c>
      <c r="D5" s="13">
        <f>Data!J76</f>
        <v>1</v>
      </c>
      <c r="E5" s="13">
        <f>Data!K76</f>
        <v>1</v>
      </c>
      <c r="F5" s="13">
        <f>Data!L76</f>
        <v>1</v>
      </c>
      <c r="G5" s="13">
        <f>Data!M76</f>
        <v>1</v>
      </c>
      <c r="H5" s="13">
        <f>Data!N76</f>
        <v>1</v>
      </c>
      <c r="I5" s="13">
        <f>Data!O76</f>
        <v>1</v>
      </c>
      <c r="J5" s="13">
        <f>Data!P76</f>
        <v>1</v>
      </c>
      <c r="K5" s="13">
        <f>Data!Q76</f>
        <v>1</v>
      </c>
      <c r="L5" s="13">
        <f>Data!R76</f>
        <v>1</v>
      </c>
      <c r="M5" s="13">
        <f>Data!S76</f>
        <v>1</v>
      </c>
      <c r="N5" s="13">
        <f>Data!T76</f>
        <v>1</v>
      </c>
      <c r="O5" s="13">
        <f>Data!U76</f>
        <v>1</v>
      </c>
      <c r="P5" s="13">
        <f>Data!V76</f>
        <v>1</v>
      </c>
      <c r="Q5" s="13">
        <f>Data!W76</f>
        <v>1</v>
      </c>
      <c r="R5" s="13">
        <f>Data!X76</f>
        <v>1</v>
      </c>
      <c r="S5" s="13">
        <f>Data!Y76</f>
        <v>1</v>
      </c>
      <c r="T5" s="13">
        <f>Data!Z76</f>
        <v>1</v>
      </c>
      <c r="U5" s="13">
        <f>Data!AA76</f>
        <v>1</v>
      </c>
      <c r="V5" s="13">
        <f>Data!AB76</f>
        <v>1</v>
      </c>
      <c r="W5" s="13">
        <f>Data!AC76</f>
        <v>1</v>
      </c>
      <c r="X5" s="13">
        <f>Data!AD76</f>
        <v>1</v>
      </c>
      <c r="Y5" s="13">
        <f>Data!AE76</f>
        <v>1</v>
      </c>
      <c r="Z5" s="13">
        <f>Data!AF76</f>
        <v>1</v>
      </c>
      <c r="AA5" s="13">
        <f>Data!AG76</f>
        <v>1</v>
      </c>
      <c r="AB5" s="13">
        <f>Data!AH76</f>
        <v>1</v>
      </c>
      <c r="AC5" s="13">
        <f>Data!AI76</f>
        <v>1</v>
      </c>
      <c r="AD5" s="13">
        <f>Data!AJ76</f>
        <v>1</v>
      </c>
      <c r="AE5" s="13">
        <f>Data!AK76</f>
        <v>1</v>
      </c>
      <c r="AF5" s="13">
        <f>Data!AL76</f>
        <v>1</v>
      </c>
    </row>
    <row r="6" spans="1:32" x14ac:dyDescent="0.35">
      <c r="A6" s="13" t="s">
        <v>5</v>
      </c>
      <c r="B6" s="13">
        <f>Data!H77</f>
        <v>0</v>
      </c>
      <c r="C6" s="13">
        <f>Data!I77</f>
        <v>0</v>
      </c>
      <c r="D6" s="13">
        <f>Data!J77</f>
        <v>0</v>
      </c>
      <c r="E6" s="13">
        <f>Data!K77</f>
        <v>0</v>
      </c>
      <c r="F6" s="13">
        <f>Data!L77</f>
        <v>0</v>
      </c>
      <c r="G6" s="13">
        <f>Data!M77</f>
        <v>0</v>
      </c>
      <c r="H6" s="13">
        <f>Data!N77</f>
        <v>0</v>
      </c>
      <c r="I6" s="13">
        <f>Data!O77</f>
        <v>0</v>
      </c>
      <c r="J6" s="13">
        <f>Data!P77</f>
        <v>0</v>
      </c>
      <c r="K6" s="13">
        <f>Data!Q77</f>
        <v>0</v>
      </c>
      <c r="L6" s="13">
        <f>Data!R77</f>
        <v>0</v>
      </c>
      <c r="M6" s="13">
        <f>Data!S77</f>
        <v>0</v>
      </c>
      <c r="N6" s="13">
        <f>Data!T77</f>
        <v>0</v>
      </c>
      <c r="O6" s="13">
        <f>Data!U77</f>
        <v>0</v>
      </c>
      <c r="P6" s="13">
        <f>Data!V77</f>
        <v>0</v>
      </c>
      <c r="Q6" s="13">
        <f>Data!W77</f>
        <v>0</v>
      </c>
      <c r="R6" s="13">
        <f>Data!X77</f>
        <v>0</v>
      </c>
      <c r="S6" s="13">
        <f>Data!Y77</f>
        <v>0</v>
      </c>
      <c r="T6" s="13">
        <f>Data!Z77</f>
        <v>0</v>
      </c>
      <c r="U6" s="13">
        <f>Data!AA77</f>
        <v>0</v>
      </c>
      <c r="V6" s="13">
        <f>Data!AB77</f>
        <v>0</v>
      </c>
      <c r="W6" s="13">
        <f>Data!AC77</f>
        <v>0</v>
      </c>
      <c r="X6" s="13">
        <f>Data!AD77</f>
        <v>0</v>
      </c>
      <c r="Y6" s="13">
        <f>Data!AE77</f>
        <v>0</v>
      </c>
      <c r="Z6" s="13">
        <f>Data!AF77</f>
        <v>0</v>
      </c>
      <c r="AA6" s="13">
        <f>Data!AG77</f>
        <v>0</v>
      </c>
      <c r="AB6" s="13">
        <f>Data!AH77</f>
        <v>0</v>
      </c>
      <c r="AC6" s="13">
        <f>Data!AI77</f>
        <v>0</v>
      </c>
      <c r="AD6" s="13">
        <f>Data!AJ77</f>
        <v>0</v>
      </c>
      <c r="AE6" s="13">
        <f>Data!AK77</f>
        <v>0</v>
      </c>
      <c r="AF6" s="13">
        <f>Data!AL77</f>
        <v>0</v>
      </c>
    </row>
    <row r="7" spans="1:32" x14ac:dyDescent="0.35">
      <c r="A7" s="13" t="s">
        <v>78</v>
      </c>
      <c r="B7" s="13">
        <f>Data!H78</f>
        <v>7.3525086759602368E-4</v>
      </c>
      <c r="C7" s="13">
        <f>Data!I78</f>
        <v>7.3525086759602368E-4</v>
      </c>
      <c r="D7" s="13">
        <f>Data!J78</f>
        <v>7.3525086759602368E-4</v>
      </c>
      <c r="E7" s="13">
        <f>Data!K78</f>
        <v>7.3525086759602368E-4</v>
      </c>
      <c r="F7" s="13">
        <f>Data!L78</f>
        <v>7.3525086759602368E-4</v>
      </c>
      <c r="G7" s="13">
        <f>Data!M78</f>
        <v>7.3525086759602368E-4</v>
      </c>
      <c r="H7" s="13">
        <f>Data!N78</f>
        <v>7.3525086759602368E-4</v>
      </c>
      <c r="I7" s="13">
        <f>Data!O78</f>
        <v>7.3525086759602368E-4</v>
      </c>
      <c r="J7" s="13">
        <f>Data!P78</f>
        <v>7.3525086759602368E-4</v>
      </c>
      <c r="K7" s="13">
        <f>Data!Q78</f>
        <v>7.3525086759602368E-4</v>
      </c>
      <c r="L7" s="13">
        <f>Data!R78</f>
        <v>7.3525086759602368E-4</v>
      </c>
      <c r="M7" s="13">
        <f>Data!S78</f>
        <v>7.3525086759602368E-4</v>
      </c>
      <c r="N7" s="13">
        <f>Data!T78</f>
        <v>7.3525086759602368E-4</v>
      </c>
      <c r="O7" s="13">
        <f>Data!U78</f>
        <v>7.3525086759602368E-4</v>
      </c>
      <c r="P7" s="13">
        <f>Data!V78</f>
        <v>7.3525086759602368E-4</v>
      </c>
      <c r="Q7" s="13">
        <f>Data!W78</f>
        <v>7.3525086759602368E-4</v>
      </c>
      <c r="R7" s="13">
        <f>Data!X78</f>
        <v>7.3525086759602368E-4</v>
      </c>
      <c r="S7" s="13">
        <f>Data!Y78</f>
        <v>7.3525086759602368E-4</v>
      </c>
      <c r="T7" s="13">
        <f>Data!Z78</f>
        <v>7.3525086759602368E-4</v>
      </c>
      <c r="U7" s="13">
        <f>Data!AA78</f>
        <v>7.3525086759602368E-4</v>
      </c>
      <c r="V7" s="13">
        <f>Data!AB78</f>
        <v>7.3525086759602368E-4</v>
      </c>
      <c r="W7" s="13">
        <f>Data!AC78</f>
        <v>7.3525086759602368E-4</v>
      </c>
      <c r="X7" s="13">
        <f>Data!AD78</f>
        <v>7.3525086759602368E-4</v>
      </c>
      <c r="Y7" s="13">
        <f>Data!AE78</f>
        <v>7.3525086759602368E-4</v>
      </c>
      <c r="Z7" s="13">
        <f>Data!AF78</f>
        <v>7.3525086759602368E-4</v>
      </c>
      <c r="AA7" s="13">
        <f>Data!AG78</f>
        <v>7.3525086759602368E-4</v>
      </c>
      <c r="AB7" s="13">
        <f>Data!AH78</f>
        <v>7.3525086759602368E-4</v>
      </c>
      <c r="AC7" s="13">
        <f>Data!AI78</f>
        <v>7.3525086759602368E-4</v>
      </c>
      <c r="AD7" s="13">
        <f>Data!AJ78</f>
        <v>7.3525086759602368E-4</v>
      </c>
      <c r="AE7" s="13">
        <f>Data!AK78</f>
        <v>7.3525086759602368E-4</v>
      </c>
      <c r="AF7" s="13">
        <f>Data!AL78</f>
        <v>7.3525086759602368E-4</v>
      </c>
    </row>
    <row r="8" spans="1:32" x14ac:dyDescent="0.35">
      <c r="A8" s="13" t="s">
        <v>79</v>
      </c>
      <c r="B8" s="13">
        <f>Data!H79</f>
        <v>0</v>
      </c>
      <c r="C8" s="13">
        <f>Data!I79</f>
        <v>0</v>
      </c>
      <c r="D8" s="13">
        <f>Data!J79</f>
        <v>0</v>
      </c>
      <c r="E8" s="13">
        <f>Data!K79</f>
        <v>0</v>
      </c>
      <c r="F8" s="13">
        <f>Data!L79</f>
        <v>0</v>
      </c>
      <c r="G8" s="13">
        <f>Data!M79</f>
        <v>0</v>
      </c>
      <c r="H8" s="13">
        <f>Data!N79</f>
        <v>0</v>
      </c>
      <c r="I8" s="13">
        <f>Data!O79</f>
        <v>0</v>
      </c>
      <c r="J8" s="13">
        <f>Data!P79</f>
        <v>0</v>
      </c>
      <c r="K8" s="13">
        <f>Data!Q79</f>
        <v>0</v>
      </c>
      <c r="L8" s="13">
        <f>Data!R79</f>
        <v>0</v>
      </c>
      <c r="M8" s="13">
        <f>Data!S79</f>
        <v>0</v>
      </c>
      <c r="N8" s="13">
        <f>Data!T79</f>
        <v>0</v>
      </c>
      <c r="O8" s="13">
        <f>Data!U79</f>
        <v>0</v>
      </c>
      <c r="P8" s="13">
        <f>Data!V79</f>
        <v>0</v>
      </c>
      <c r="Q8" s="13">
        <f>Data!W79</f>
        <v>0</v>
      </c>
      <c r="R8" s="13">
        <f>Data!X79</f>
        <v>0</v>
      </c>
      <c r="S8" s="13">
        <f>Data!Y79</f>
        <v>0</v>
      </c>
      <c r="T8" s="13">
        <f>Data!Z79</f>
        <v>0</v>
      </c>
      <c r="U8" s="13">
        <f>Data!AA79</f>
        <v>0</v>
      </c>
      <c r="V8" s="13">
        <f>Data!AB79</f>
        <v>0</v>
      </c>
      <c r="W8" s="13">
        <f>Data!AC79</f>
        <v>0</v>
      </c>
      <c r="X8" s="13">
        <f>Data!AD79</f>
        <v>0</v>
      </c>
      <c r="Y8" s="13">
        <f>Data!AE79</f>
        <v>0</v>
      </c>
      <c r="Z8" s="13">
        <f>Data!AF79</f>
        <v>0</v>
      </c>
      <c r="AA8" s="13">
        <f>Data!AG79</f>
        <v>0</v>
      </c>
      <c r="AB8" s="13">
        <f>Data!AH79</f>
        <v>0</v>
      </c>
      <c r="AC8" s="13">
        <f>Data!AI79</f>
        <v>0</v>
      </c>
      <c r="AD8" s="13">
        <f>Data!AJ79</f>
        <v>0</v>
      </c>
      <c r="AE8" s="13">
        <f>Data!AK79</f>
        <v>0</v>
      </c>
      <c r="AF8" s="13">
        <f>Data!AL79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Data!H80</f>
        <v>0</v>
      </c>
      <c r="C2" s="13">
        <f>Data!I80</f>
        <v>1.4774031693273055E-2</v>
      </c>
      <c r="D2" s="13">
        <f>Data!J80</f>
        <v>1.984030573407751E-2</v>
      </c>
      <c r="E2" s="13">
        <f>Data!K80</f>
        <v>2.6596993576865863E-2</v>
      </c>
      <c r="F2" s="13">
        <f>Data!L80</f>
        <v>3.5571189272636181E-2</v>
      </c>
      <c r="G2" s="13">
        <f>Data!M80</f>
        <v>4.7425873177566781E-2</v>
      </c>
      <c r="H2" s="13">
        <f>Data!N80</f>
        <v>6.2973356056996513E-2</v>
      </c>
      <c r="I2" s="13">
        <f>Data!O80</f>
        <v>8.317269649392238E-2</v>
      </c>
      <c r="J2" s="13">
        <f>Data!P80</f>
        <v>0.10909682119561293</v>
      </c>
      <c r="K2" s="13">
        <f>Data!Q80</f>
        <v>0.14185106490048782</v>
      </c>
      <c r="L2" s="13">
        <f>Data!R80</f>
        <v>0.18242552380635635</v>
      </c>
      <c r="M2" s="13">
        <f>Data!S80</f>
        <v>0.23147521650098238</v>
      </c>
      <c r="N2" s="13">
        <f>Data!T80</f>
        <v>0.28905049737499605</v>
      </c>
      <c r="O2" s="13">
        <f>Data!U80</f>
        <v>0.35434369377420455</v>
      </c>
      <c r="P2" s="13">
        <f>Data!V80</f>
        <v>0.42555748318834102</v>
      </c>
      <c r="Q2" s="13">
        <f>Data!W80</f>
        <v>0.5</v>
      </c>
      <c r="R2" s="13">
        <f>Data!X80</f>
        <v>0.57444251681165903</v>
      </c>
      <c r="S2" s="13">
        <f>Data!Y80</f>
        <v>0.6456563062257954</v>
      </c>
      <c r="T2" s="13">
        <f>Data!Z80</f>
        <v>0.71094950262500389</v>
      </c>
      <c r="U2" s="13">
        <f>Data!AA80</f>
        <v>0.76852478349901754</v>
      </c>
      <c r="V2" s="13">
        <f>Data!AB80</f>
        <v>0.81757447619364365</v>
      </c>
      <c r="W2" s="13">
        <f>Data!AC80</f>
        <v>0.85814893509951229</v>
      </c>
      <c r="X2" s="13">
        <f>Data!AD80</f>
        <v>0.89090317880438707</v>
      </c>
      <c r="Y2" s="13">
        <f>Data!AE80</f>
        <v>0.91682730350607766</v>
      </c>
      <c r="Z2" s="13">
        <f>Data!AF80</f>
        <v>0.9370266439430035</v>
      </c>
      <c r="AA2" s="13">
        <f>Data!AG80</f>
        <v>0.95257412682243336</v>
      </c>
      <c r="AB2" s="13">
        <f>Data!AH80</f>
        <v>0.96442881072736386</v>
      </c>
      <c r="AC2" s="13">
        <f>Data!AI80</f>
        <v>0.97340300642313404</v>
      </c>
      <c r="AD2" s="13">
        <f>Data!AJ80</f>
        <v>0.98015969426592253</v>
      </c>
      <c r="AE2" s="13">
        <f>Data!AK80</f>
        <v>0.98522596830672693</v>
      </c>
      <c r="AF2" s="13">
        <f>Data!AL80</f>
        <v>0.98901305736940681</v>
      </c>
    </row>
    <row r="3" spans="1:32" x14ac:dyDescent="0.35">
      <c r="A3" s="13" t="s">
        <v>2</v>
      </c>
      <c r="B3" s="13">
        <f>Data!H81</f>
        <v>0</v>
      </c>
      <c r="C3" s="13">
        <f>Data!I81</f>
        <v>0</v>
      </c>
      <c r="D3" s="13">
        <f>Data!J81</f>
        <v>0</v>
      </c>
      <c r="E3" s="13">
        <f>Data!K81</f>
        <v>0</v>
      </c>
      <c r="F3" s="13">
        <f>Data!L81</f>
        <v>0</v>
      </c>
      <c r="G3" s="13">
        <f>Data!M81</f>
        <v>0</v>
      </c>
      <c r="H3" s="13">
        <f>Data!N81</f>
        <v>0</v>
      </c>
      <c r="I3" s="13">
        <f>Data!O81</f>
        <v>0</v>
      </c>
      <c r="J3" s="13">
        <f>Data!P81</f>
        <v>0</v>
      </c>
      <c r="K3" s="13">
        <f>Data!Q81</f>
        <v>0</v>
      </c>
      <c r="L3" s="13">
        <f>Data!R81</f>
        <v>0</v>
      </c>
      <c r="M3" s="13">
        <f>Data!S81</f>
        <v>0</v>
      </c>
      <c r="N3" s="13">
        <f>Data!T81</f>
        <v>0</v>
      </c>
      <c r="O3" s="13">
        <f>Data!U81</f>
        <v>0</v>
      </c>
      <c r="P3" s="13">
        <f>Data!V81</f>
        <v>0</v>
      </c>
      <c r="Q3" s="13">
        <f>Data!W81</f>
        <v>0</v>
      </c>
      <c r="R3" s="13">
        <f>Data!X81</f>
        <v>0</v>
      </c>
      <c r="S3" s="13">
        <f>Data!Y81</f>
        <v>0</v>
      </c>
      <c r="T3" s="13">
        <f>Data!Z81</f>
        <v>0</v>
      </c>
      <c r="U3" s="13">
        <f>Data!AA81</f>
        <v>0</v>
      </c>
      <c r="V3" s="13">
        <f>Data!AB81</f>
        <v>0</v>
      </c>
      <c r="W3" s="13">
        <f>Data!AC81</f>
        <v>0</v>
      </c>
      <c r="X3" s="13">
        <f>Data!AD81</f>
        <v>0</v>
      </c>
      <c r="Y3" s="13">
        <f>Data!AE81</f>
        <v>0</v>
      </c>
      <c r="Z3" s="13">
        <f>Data!AF81</f>
        <v>0</v>
      </c>
      <c r="AA3" s="13">
        <f>Data!AG81</f>
        <v>0</v>
      </c>
      <c r="AB3" s="13">
        <f>Data!AH81</f>
        <v>0</v>
      </c>
      <c r="AC3" s="13">
        <f>Data!AI81</f>
        <v>0</v>
      </c>
      <c r="AD3" s="13">
        <f>Data!AJ81</f>
        <v>0</v>
      </c>
      <c r="AE3" s="13">
        <f>Data!AK81</f>
        <v>0</v>
      </c>
      <c r="AF3" s="13">
        <f>Data!AL81</f>
        <v>0</v>
      </c>
    </row>
    <row r="4" spans="1:32" x14ac:dyDescent="0.35">
      <c r="A4" s="13" t="s">
        <v>3</v>
      </c>
      <c r="B4" s="13">
        <f>Data!H82</f>
        <v>3</v>
      </c>
      <c r="C4" s="13">
        <f>Data!I82</f>
        <v>3</v>
      </c>
      <c r="D4" s="13">
        <f>Data!J82</f>
        <v>3</v>
      </c>
      <c r="E4" s="13">
        <f>Data!K82</f>
        <v>3</v>
      </c>
      <c r="F4" s="13">
        <f>Data!L82</f>
        <v>3</v>
      </c>
      <c r="G4" s="13">
        <f>Data!M82</f>
        <v>3</v>
      </c>
      <c r="H4" s="13">
        <f>Data!N82</f>
        <v>3</v>
      </c>
      <c r="I4" s="13">
        <f>Data!O82</f>
        <v>3</v>
      </c>
      <c r="J4" s="13">
        <f>Data!P82</f>
        <v>3</v>
      </c>
      <c r="K4" s="13">
        <f>Data!Q82</f>
        <v>3</v>
      </c>
      <c r="L4" s="13">
        <f>Data!R82</f>
        <v>3</v>
      </c>
      <c r="M4" s="13">
        <f>Data!S82</f>
        <v>3</v>
      </c>
      <c r="N4" s="13">
        <f>Data!T82</f>
        <v>3</v>
      </c>
      <c r="O4" s="13">
        <f>Data!U82</f>
        <v>3</v>
      </c>
      <c r="P4" s="13">
        <f>Data!V82</f>
        <v>3</v>
      </c>
      <c r="Q4" s="13">
        <f>Data!W82</f>
        <v>3</v>
      </c>
      <c r="R4" s="13">
        <f>Data!X82</f>
        <v>3</v>
      </c>
      <c r="S4" s="13">
        <f>Data!Y82</f>
        <v>3</v>
      </c>
      <c r="T4" s="13">
        <f>Data!Z82</f>
        <v>3</v>
      </c>
      <c r="U4" s="13">
        <f>Data!AA82</f>
        <v>3</v>
      </c>
      <c r="V4" s="13">
        <f>Data!AB82</f>
        <v>3</v>
      </c>
      <c r="W4" s="13">
        <f>Data!AC82</f>
        <v>3</v>
      </c>
      <c r="X4" s="13">
        <f>Data!AD82</f>
        <v>3</v>
      </c>
      <c r="Y4" s="13">
        <f>Data!AE82</f>
        <v>3</v>
      </c>
      <c r="Z4" s="13">
        <f>Data!AF82</f>
        <v>3</v>
      </c>
      <c r="AA4" s="13">
        <f>Data!AG82</f>
        <v>3</v>
      </c>
      <c r="AB4" s="13">
        <f>Data!AH82</f>
        <v>3</v>
      </c>
      <c r="AC4" s="13">
        <f>Data!AI82</f>
        <v>3</v>
      </c>
      <c r="AD4" s="13">
        <f>Data!AJ82</f>
        <v>3</v>
      </c>
      <c r="AE4" s="13">
        <f>Data!AK82</f>
        <v>3</v>
      </c>
      <c r="AF4" s="13">
        <f>Data!AL82</f>
        <v>3</v>
      </c>
    </row>
    <row r="5" spans="1:32" x14ac:dyDescent="0.35">
      <c r="A5" s="13" t="s">
        <v>4</v>
      </c>
      <c r="B5" s="13">
        <f>Data!H83</f>
        <v>0</v>
      </c>
      <c r="C5" s="13">
        <f>Data!I83</f>
        <v>0</v>
      </c>
      <c r="D5" s="13">
        <f>Data!J83</f>
        <v>0</v>
      </c>
      <c r="E5" s="13">
        <f>Data!K83</f>
        <v>0</v>
      </c>
      <c r="F5" s="13">
        <f>Data!L83</f>
        <v>0</v>
      </c>
      <c r="G5" s="13">
        <f>Data!M83</f>
        <v>0</v>
      </c>
      <c r="H5" s="13">
        <f>Data!N83</f>
        <v>0</v>
      </c>
      <c r="I5" s="13">
        <f>Data!O83</f>
        <v>0</v>
      </c>
      <c r="J5" s="13">
        <f>Data!P83</f>
        <v>0</v>
      </c>
      <c r="K5" s="13">
        <f>Data!Q83</f>
        <v>0</v>
      </c>
      <c r="L5" s="13">
        <f>Data!R83</f>
        <v>0</v>
      </c>
      <c r="M5" s="13">
        <f>Data!S83</f>
        <v>0</v>
      </c>
      <c r="N5" s="13">
        <f>Data!T83</f>
        <v>0</v>
      </c>
      <c r="O5" s="13">
        <f>Data!U83</f>
        <v>0</v>
      </c>
      <c r="P5" s="13">
        <f>Data!V83</f>
        <v>0</v>
      </c>
      <c r="Q5" s="13">
        <f>Data!W83</f>
        <v>0</v>
      </c>
      <c r="R5" s="13">
        <f>Data!X83</f>
        <v>0</v>
      </c>
      <c r="S5" s="13">
        <f>Data!Y83</f>
        <v>0</v>
      </c>
      <c r="T5" s="13">
        <f>Data!Z83</f>
        <v>0</v>
      </c>
      <c r="U5" s="13">
        <f>Data!AA83</f>
        <v>0</v>
      </c>
      <c r="V5" s="13">
        <f>Data!AB83</f>
        <v>0</v>
      </c>
      <c r="W5" s="13">
        <f>Data!AC83</f>
        <v>0</v>
      </c>
      <c r="X5" s="13">
        <f>Data!AD83</f>
        <v>0</v>
      </c>
      <c r="Y5" s="13">
        <f>Data!AE83</f>
        <v>0</v>
      </c>
      <c r="Z5" s="13">
        <f>Data!AF83</f>
        <v>0</v>
      </c>
      <c r="AA5" s="13">
        <f>Data!AG83</f>
        <v>0</v>
      </c>
      <c r="AB5" s="13">
        <f>Data!AH83</f>
        <v>0</v>
      </c>
      <c r="AC5" s="13">
        <f>Data!AI83</f>
        <v>0</v>
      </c>
      <c r="AD5" s="13">
        <f>Data!AJ83</f>
        <v>0</v>
      </c>
      <c r="AE5" s="13">
        <f>Data!AK83</f>
        <v>0</v>
      </c>
      <c r="AF5" s="13">
        <f>Data!AL83</f>
        <v>0</v>
      </c>
    </row>
    <row r="6" spans="1:32" x14ac:dyDescent="0.35">
      <c r="A6" s="13" t="s">
        <v>5</v>
      </c>
      <c r="B6" s="13">
        <f>Data!H84</f>
        <v>0</v>
      </c>
      <c r="C6" s="13">
        <f>Data!I84</f>
        <v>0</v>
      </c>
      <c r="D6" s="13">
        <f>Data!J84</f>
        <v>0</v>
      </c>
      <c r="E6" s="13">
        <f>Data!K84</f>
        <v>0</v>
      </c>
      <c r="F6" s="13">
        <f>Data!L84</f>
        <v>0</v>
      </c>
      <c r="G6" s="13">
        <f>Data!M84</f>
        <v>0</v>
      </c>
      <c r="H6" s="13">
        <f>Data!N84</f>
        <v>0</v>
      </c>
      <c r="I6" s="13">
        <f>Data!O84</f>
        <v>0</v>
      </c>
      <c r="J6" s="13">
        <f>Data!P84</f>
        <v>0</v>
      </c>
      <c r="K6" s="13">
        <f>Data!Q84</f>
        <v>0</v>
      </c>
      <c r="L6" s="13">
        <f>Data!R84</f>
        <v>0</v>
      </c>
      <c r="M6" s="13">
        <f>Data!S84</f>
        <v>0</v>
      </c>
      <c r="N6" s="13">
        <f>Data!T84</f>
        <v>0</v>
      </c>
      <c r="O6" s="13">
        <f>Data!U84</f>
        <v>0</v>
      </c>
      <c r="P6" s="13">
        <f>Data!V84</f>
        <v>0</v>
      </c>
      <c r="Q6" s="13">
        <f>Data!W84</f>
        <v>0</v>
      </c>
      <c r="R6" s="13">
        <f>Data!X84</f>
        <v>0</v>
      </c>
      <c r="S6" s="13">
        <f>Data!Y84</f>
        <v>0</v>
      </c>
      <c r="T6" s="13">
        <f>Data!Z84</f>
        <v>0</v>
      </c>
      <c r="U6" s="13">
        <f>Data!AA84</f>
        <v>0</v>
      </c>
      <c r="V6" s="13">
        <f>Data!AB84</f>
        <v>0</v>
      </c>
      <c r="W6" s="13">
        <f>Data!AC84</f>
        <v>0</v>
      </c>
      <c r="X6" s="13">
        <f>Data!AD84</f>
        <v>0</v>
      </c>
      <c r="Y6" s="13">
        <f>Data!AE84</f>
        <v>0</v>
      </c>
      <c r="Z6" s="13">
        <f>Data!AF84</f>
        <v>0</v>
      </c>
      <c r="AA6" s="13">
        <f>Data!AG84</f>
        <v>0</v>
      </c>
      <c r="AB6" s="13">
        <f>Data!AH84</f>
        <v>0</v>
      </c>
      <c r="AC6" s="13">
        <f>Data!AI84</f>
        <v>0</v>
      </c>
      <c r="AD6" s="13">
        <f>Data!AJ84</f>
        <v>0</v>
      </c>
      <c r="AE6" s="13">
        <f>Data!AK84</f>
        <v>0</v>
      </c>
      <c r="AF6" s="13">
        <f>Data!AL84</f>
        <v>0</v>
      </c>
    </row>
    <row r="7" spans="1:32" x14ac:dyDescent="0.35">
      <c r="A7" s="13" t="s">
        <v>78</v>
      </c>
      <c r="B7" s="13">
        <f>Data!H85</f>
        <v>0</v>
      </c>
      <c r="C7" s="13">
        <f>Data!I85</f>
        <v>0</v>
      </c>
      <c r="D7" s="13">
        <f>Data!J85</f>
        <v>0</v>
      </c>
      <c r="E7" s="13">
        <f>Data!K85</f>
        <v>0</v>
      </c>
      <c r="F7" s="13">
        <f>Data!L85</f>
        <v>0</v>
      </c>
      <c r="G7" s="13">
        <f>Data!M85</f>
        <v>0</v>
      </c>
      <c r="H7" s="13">
        <f>Data!N85</f>
        <v>0</v>
      </c>
      <c r="I7" s="13">
        <f>Data!O85</f>
        <v>0</v>
      </c>
      <c r="J7" s="13">
        <f>Data!P85</f>
        <v>0</v>
      </c>
      <c r="K7" s="13">
        <f>Data!Q85</f>
        <v>0</v>
      </c>
      <c r="L7" s="13">
        <f>Data!R85</f>
        <v>0</v>
      </c>
      <c r="M7" s="13">
        <f>Data!S85</f>
        <v>0</v>
      </c>
      <c r="N7" s="13">
        <f>Data!T85</f>
        <v>0</v>
      </c>
      <c r="O7" s="13">
        <f>Data!U85</f>
        <v>0</v>
      </c>
      <c r="P7" s="13">
        <f>Data!V85</f>
        <v>0</v>
      </c>
      <c r="Q7" s="13">
        <f>Data!W85</f>
        <v>0</v>
      </c>
      <c r="R7" s="13">
        <f>Data!X85</f>
        <v>0</v>
      </c>
      <c r="S7" s="13">
        <f>Data!Y85</f>
        <v>0</v>
      </c>
      <c r="T7" s="13">
        <f>Data!Z85</f>
        <v>0</v>
      </c>
      <c r="U7" s="13">
        <f>Data!AA85</f>
        <v>0</v>
      </c>
      <c r="V7" s="13">
        <f>Data!AB85</f>
        <v>0</v>
      </c>
      <c r="W7" s="13">
        <f>Data!AC85</f>
        <v>0</v>
      </c>
      <c r="X7" s="13">
        <f>Data!AD85</f>
        <v>0</v>
      </c>
      <c r="Y7" s="13">
        <f>Data!AE85</f>
        <v>0</v>
      </c>
      <c r="Z7" s="13">
        <f>Data!AF85</f>
        <v>0</v>
      </c>
      <c r="AA7" s="13">
        <f>Data!AG85</f>
        <v>0</v>
      </c>
      <c r="AB7" s="13">
        <f>Data!AH85</f>
        <v>0</v>
      </c>
      <c r="AC7" s="13">
        <f>Data!AI85</f>
        <v>0</v>
      </c>
      <c r="AD7" s="13">
        <f>Data!AJ85</f>
        <v>0</v>
      </c>
      <c r="AE7" s="13">
        <f>Data!AK85</f>
        <v>0</v>
      </c>
      <c r="AF7" s="13">
        <f>Data!AL85</f>
        <v>0</v>
      </c>
    </row>
    <row r="8" spans="1:32" x14ac:dyDescent="0.35">
      <c r="A8" s="13" t="s">
        <v>79</v>
      </c>
      <c r="B8" s="13">
        <f>Data!H86</f>
        <v>0</v>
      </c>
      <c r="C8" s="13">
        <f>Data!I86</f>
        <v>0</v>
      </c>
      <c r="D8" s="13">
        <f>Data!J86</f>
        <v>0</v>
      </c>
      <c r="E8" s="13">
        <f>Data!K86</f>
        <v>0</v>
      </c>
      <c r="F8" s="13">
        <f>Data!L86</f>
        <v>0</v>
      </c>
      <c r="G8" s="13">
        <f>Data!M86</f>
        <v>0</v>
      </c>
      <c r="H8" s="13">
        <f>Data!N86</f>
        <v>0</v>
      </c>
      <c r="I8" s="13">
        <f>Data!O86</f>
        <v>0</v>
      </c>
      <c r="J8" s="13">
        <f>Data!P86</f>
        <v>0</v>
      </c>
      <c r="K8" s="13">
        <f>Data!Q86</f>
        <v>0</v>
      </c>
      <c r="L8" s="13">
        <f>Data!R86</f>
        <v>0</v>
      </c>
      <c r="M8" s="13">
        <f>Data!S86</f>
        <v>0</v>
      </c>
      <c r="N8" s="13">
        <f>Data!T86</f>
        <v>0</v>
      </c>
      <c r="O8" s="13">
        <f>Data!U86</f>
        <v>0</v>
      </c>
      <c r="P8" s="13">
        <f>Data!V86</f>
        <v>0</v>
      </c>
      <c r="Q8" s="13">
        <f>Data!W86</f>
        <v>0</v>
      </c>
      <c r="R8" s="13">
        <f>Data!X86</f>
        <v>0</v>
      </c>
      <c r="S8" s="13">
        <f>Data!Y86</f>
        <v>0</v>
      </c>
      <c r="T8" s="13">
        <f>Data!Z86</f>
        <v>0</v>
      </c>
      <c r="U8" s="13">
        <f>Data!AA86</f>
        <v>0</v>
      </c>
      <c r="V8" s="13">
        <f>Data!AB86</f>
        <v>0</v>
      </c>
      <c r="W8" s="13">
        <f>Data!AC86</f>
        <v>0</v>
      </c>
      <c r="X8" s="13">
        <f>Data!AD86</f>
        <v>0</v>
      </c>
      <c r="Y8" s="13">
        <f>Data!AE86</f>
        <v>0</v>
      </c>
      <c r="Z8" s="13">
        <f>Data!AF86</f>
        <v>0</v>
      </c>
      <c r="AA8" s="13">
        <f>Data!AG86</f>
        <v>0</v>
      </c>
      <c r="AB8" s="13">
        <f>Data!AH86</f>
        <v>0</v>
      </c>
      <c r="AC8" s="13">
        <f>Data!AI86</f>
        <v>0</v>
      </c>
      <c r="AD8" s="13">
        <f>Data!AJ86</f>
        <v>0</v>
      </c>
      <c r="AE8" s="13">
        <f>Data!AK86</f>
        <v>0</v>
      </c>
      <c r="AF8" s="13">
        <f>Data!AL86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796875" defaultRowHeight="14.5" x14ac:dyDescent="0.35"/>
  <cols>
    <col min="1" max="1" width="24.453125" style="13" customWidth="1"/>
    <col min="2" max="16384" width="9.1796875" style="13"/>
  </cols>
  <sheetData>
    <row r="1" spans="1:32" ht="29" x14ac:dyDescent="0.35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5">
      <c r="A2" s="13" t="s">
        <v>1</v>
      </c>
      <c r="B2" s="13">
        <f>Data!H87</f>
        <v>0</v>
      </c>
      <c r="C2" s="13">
        <f>Data!I87</f>
        <v>1.4774031693273055E-2</v>
      </c>
      <c r="D2" s="13">
        <f>Data!J87</f>
        <v>1.984030573407751E-2</v>
      </c>
      <c r="E2" s="13">
        <f>Data!K87</f>
        <v>2.6596993576865863E-2</v>
      </c>
      <c r="F2" s="13">
        <f>Data!L87</f>
        <v>3.5571189272636181E-2</v>
      </c>
      <c r="G2" s="13">
        <f>Data!M87</f>
        <v>4.7425873177566781E-2</v>
      </c>
      <c r="H2" s="13">
        <f>Data!N87</f>
        <v>6.2973356056996513E-2</v>
      </c>
      <c r="I2" s="13">
        <f>Data!O87</f>
        <v>8.317269649392238E-2</v>
      </c>
      <c r="J2" s="13">
        <f>Data!P87</f>
        <v>0.10909682119561293</v>
      </c>
      <c r="K2" s="13">
        <f>Data!Q87</f>
        <v>0.14185106490048782</v>
      </c>
      <c r="L2" s="13">
        <f>Data!R87</f>
        <v>0.18242552380635635</v>
      </c>
      <c r="M2" s="13">
        <f>Data!S87</f>
        <v>0.23147521650098238</v>
      </c>
      <c r="N2" s="13">
        <f>Data!T87</f>
        <v>0.28905049737499605</v>
      </c>
      <c r="O2" s="13">
        <f>Data!U87</f>
        <v>0.35434369377420455</v>
      </c>
      <c r="P2" s="13">
        <f>Data!V87</f>
        <v>0.42555748318834102</v>
      </c>
      <c r="Q2" s="13">
        <f>Data!W87</f>
        <v>0.5</v>
      </c>
      <c r="R2" s="13">
        <f>Data!X87</f>
        <v>0.57444251681165903</v>
      </c>
      <c r="S2" s="13">
        <f>Data!Y87</f>
        <v>0.6456563062257954</v>
      </c>
      <c r="T2" s="13">
        <f>Data!Z87</f>
        <v>0.71094950262500389</v>
      </c>
      <c r="U2" s="13">
        <f>Data!AA87</f>
        <v>0.76852478349901754</v>
      </c>
      <c r="V2" s="13">
        <f>Data!AB87</f>
        <v>0.81757447619364365</v>
      </c>
      <c r="W2" s="13">
        <f>Data!AC87</f>
        <v>0.85814893509951229</v>
      </c>
      <c r="X2" s="13">
        <f>Data!AD87</f>
        <v>0.89090317880438707</v>
      </c>
      <c r="Y2" s="13">
        <f>Data!AE87</f>
        <v>0.91682730350607766</v>
      </c>
      <c r="Z2" s="13">
        <f>Data!AF87</f>
        <v>0.9370266439430035</v>
      </c>
      <c r="AA2" s="13">
        <f>Data!AG87</f>
        <v>0.95257412682243336</v>
      </c>
      <c r="AB2" s="13">
        <f>Data!AH87</f>
        <v>0.96442881072736386</v>
      </c>
      <c r="AC2" s="13">
        <f>Data!AI87</f>
        <v>0.97340300642313404</v>
      </c>
      <c r="AD2" s="13">
        <f>Data!AJ87</f>
        <v>0.98015969426592253</v>
      </c>
      <c r="AE2" s="13">
        <f>Data!AK87</f>
        <v>0.98522596830672693</v>
      </c>
      <c r="AF2" s="13">
        <f>Data!AL87</f>
        <v>0.98901305736940681</v>
      </c>
    </row>
    <row r="3" spans="1:32" x14ac:dyDescent="0.35">
      <c r="A3" s="13" t="s">
        <v>2</v>
      </c>
      <c r="B3" s="13">
        <f>Data!H88</f>
        <v>0</v>
      </c>
      <c r="C3" s="13">
        <f>Data!I88</f>
        <v>0</v>
      </c>
      <c r="D3" s="13">
        <f>Data!J88</f>
        <v>0</v>
      </c>
      <c r="E3" s="13">
        <f>Data!K88</f>
        <v>0</v>
      </c>
      <c r="F3" s="13">
        <f>Data!L88</f>
        <v>0</v>
      </c>
      <c r="G3" s="13">
        <f>Data!M88</f>
        <v>0</v>
      </c>
      <c r="H3" s="13">
        <f>Data!N88</f>
        <v>0</v>
      </c>
      <c r="I3" s="13">
        <f>Data!O88</f>
        <v>0</v>
      </c>
      <c r="J3" s="13">
        <f>Data!P88</f>
        <v>0</v>
      </c>
      <c r="K3" s="13">
        <f>Data!Q88</f>
        <v>0</v>
      </c>
      <c r="L3" s="13">
        <f>Data!R88</f>
        <v>0</v>
      </c>
      <c r="M3" s="13">
        <f>Data!S88</f>
        <v>0</v>
      </c>
      <c r="N3" s="13">
        <f>Data!T88</f>
        <v>0</v>
      </c>
      <c r="O3" s="13">
        <f>Data!U88</f>
        <v>0</v>
      </c>
      <c r="P3" s="13">
        <f>Data!V88</f>
        <v>0</v>
      </c>
      <c r="Q3" s="13">
        <f>Data!W88</f>
        <v>0</v>
      </c>
      <c r="R3" s="13">
        <f>Data!X88</f>
        <v>0</v>
      </c>
      <c r="S3" s="13">
        <f>Data!Y88</f>
        <v>0</v>
      </c>
      <c r="T3" s="13">
        <f>Data!Z88</f>
        <v>0</v>
      </c>
      <c r="U3" s="13">
        <f>Data!AA88</f>
        <v>0</v>
      </c>
      <c r="V3" s="13">
        <f>Data!AB88</f>
        <v>0</v>
      </c>
      <c r="W3" s="13">
        <f>Data!AC88</f>
        <v>0</v>
      </c>
      <c r="X3" s="13">
        <f>Data!AD88</f>
        <v>0</v>
      </c>
      <c r="Y3" s="13">
        <f>Data!AE88</f>
        <v>0</v>
      </c>
      <c r="Z3" s="13">
        <f>Data!AF88</f>
        <v>0</v>
      </c>
      <c r="AA3" s="13">
        <f>Data!AG88</f>
        <v>0</v>
      </c>
      <c r="AB3" s="13">
        <f>Data!AH88</f>
        <v>0</v>
      </c>
      <c r="AC3" s="13">
        <f>Data!AI88</f>
        <v>0</v>
      </c>
      <c r="AD3" s="13">
        <f>Data!AJ88</f>
        <v>0</v>
      </c>
      <c r="AE3" s="13">
        <f>Data!AK88</f>
        <v>0</v>
      </c>
      <c r="AF3" s="13">
        <f>Data!AL88</f>
        <v>0</v>
      </c>
    </row>
    <row r="4" spans="1:32" x14ac:dyDescent="0.35">
      <c r="A4" s="13" t="s">
        <v>3</v>
      </c>
      <c r="B4" s="13">
        <f>Data!H89</f>
        <v>3</v>
      </c>
      <c r="C4" s="13">
        <f>Data!I89</f>
        <v>3</v>
      </c>
      <c r="D4" s="13">
        <f>Data!J89</f>
        <v>3</v>
      </c>
      <c r="E4" s="13">
        <f>Data!K89</f>
        <v>3</v>
      </c>
      <c r="F4" s="13">
        <f>Data!L89</f>
        <v>3</v>
      </c>
      <c r="G4" s="13">
        <f>Data!M89</f>
        <v>3</v>
      </c>
      <c r="H4" s="13">
        <f>Data!N89</f>
        <v>3</v>
      </c>
      <c r="I4" s="13">
        <f>Data!O89</f>
        <v>3</v>
      </c>
      <c r="J4" s="13">
        <f>Data!P89</f>
        <v>3</v>
      </c>
      <c r="K4" s="13">
        <f>Data!Q89</f>
        <v>3</v>
      </c>
      <c r="L4" s="13">
        <f>Data!R89</f>
        <v>3</v>
      </c>
      <c r="M4" s="13">
        <f>Data!S89</f>
        <v>3</v>
      </c>
      <c r="N4" s="13">
        <f>Data!T89</f>
        <v>3</v>
      </c>
      <c r="O4" s="13">
        <f>Data!U89</f>
        <v>3</v>
      </c>
      <c r="P4" s="13">
        <f>Data!V89</f>
        <v>3</v>
      </c>
      <c r="Q4" s="13">
        <f>Data!W89</f>
        <v>3</v>
      </c>
      <c r="R4" s="13">
        <f>Data!X89</f>
        <v>3</v>
      </c>
      <c r="S4" s="13">
        <f>Data!Y89</f>
        <v>3</v>
      </c>
      <c r="T4" s="13">
        <f>Data!Z89</f>
        <v>3</v>
      </c>
      <c r="U4" s="13">
        <f>Data!AA89</f>
        <v>3</v>
      </c>
      <c r="V4" s="13">
        <f>Data!AB89</f>
        <v>3</v>
      </c>
      <c r="W4" s="13">
        <f>Data!AC89</f>
        <v>3</v>
      </c>
      <c r="X4" s="13">
        <f>Data!AD89</f>
        <v>3</v>
      </c>
      <c r="Y4" s="13">
        <f>Data!AE89</f>
        <v>3</v>
      </c>
      <c r="Z4" s="13">
        <f>Data!AF89</f>
        <v>3</v>
      </c>
      <c r="AA4" s="13">
        <f>Data!AG89</f>
        <v>3</v>
      </c>
      <c r="AB4" s="13">
        <f>Data!AH89</f>
        <v>3</v>
      </c>
      <c r="AC4" s="13">
        <f>Data!AI89</f>
        <v>3</v>
      </c>
      <c r="AD4" s="13">
        <f>Data!AJ89</f>
        <v>3</v>
      </c>
      <c r="AE4" s="13">
        <f>Data!AK89</f>
        <v>3</v>
      </c>
      <c r="AF4" s="13">
        <f>Data!AL89</f>
        <v>3</v>
      </c>
    </row>
    <row r="5" spans="1:32" x14ac:dyDescent="0.35">
      <c r="A5" s="13" t="s">
        <v>4</v>
      </c>
      <c r="B5" s="13">
        <f>Data!H90</f>
        <v>0</v>
      </c>
      <c r="C5" s="13">
        <f>Data!I90</f>
        <v>0</v>
      </c>
      <c r="D5" s="13">
        <f>Data!J90</f>
        <v>0</v>
      </c>
      <c r="E5" s="13">
        <f>Data!K90</f>
        <v>0</v>
      </c>
      <c r="F5" s="13">
        <f>Data!L90</f>
        <v>0</v>
      </c>
      <c r="G5" s="13">
        <f>Data!M90</f>
        <v>0</v>
      </c>
      <c r="H5" s="13">
        <f>Data!N90</f>
        <v>0</v>
      </c>
      <c r="I5" s="13">
        <f>Data!O90</f>
        <v>0</v>
      </c>
      <c r="J5" s="13">
        <f>Data!P90</f>
        <v>0</v>
      </c>
      <c r="K5" s="13">
        <f>Data!Q90</f>
        <v>0</v>
      </c>
      <c r="L5" s="13">
        <f>Data!R90</f>
        <v>0</v>
      </c>
      <c r="M5" s="13">
        <f>Data!S90</f>
        <v>0</v>
      </c>
      <c r="N5" s="13">
        <f>Data!T90</f>
        <v>0</v>
      </c>
      <c r="O5" s="13">
        <f>Data!U90</f>
        <v>0</v>
      </c>
      <c r="P5" s="13">
        <f>Data!V90</f>
        <v>0</v>
      </c>
      <c r="Q5" s="13">
        <f>Data!W90</f>
        <v>0</v>
      </c>
      <c r="R5" s="13">
        <f>Data!X90</f>
        <v>0</v>
      </c>
      <c r="S5" s="13">
        <f>Data!Y90</f>
        <v>0</v>
      </c>
      <c r="T5" s="13">
        <f>Data!Z90</f>
        <v>0</v>
      </c>
      <c r="U5" s="13">
        <f>Data!AA90</f>
        <v>0</v>
      </c>
      <c r="V5" s="13">
        <f>Data!AB90</f>
        <v>0</v>
      </c>
      <c r="W5" s="13">
        <f>Data!AC90</f>
        <v>0</v>
      </c>
      <c r="X5" s="13">
        <f>Data!AD90</f>
        <v>0</v>
      </c>
      <c r="Y5" s="13">
        <f>Data!AE90</f>
        <v>0</v>
      </c>
      <c r="Z5" s="13">
        <f>Data!AF90</f>
        <v>0</v>
      </c>
      <c r="AA5" s="13">
        <f>Data!AG90</f>
        <v>0</v>
      </c>
      <c r="AB5" s="13">
        <f>Data!AH90</f>
        <v>0</v>
      </c>
      <c r="AC5" s="13">
        <f>Data!AI90</f>
        <v>0</v>
      </c>
      <c r="AD5" s="13">
        <f>Data!AJ90</f>
        <v>0</v>
      </c>
      <c r="AE5" s="13">
        <f>Data!AK90</f>
        <v>0</v>
      </c>
      <c r="AF5" s="13">
        <f>Data!AL90</f>
        <v>0</v>
      </c>
    </row>
    <row r="6" spans="1:32" x14ac:dyDescent="0.35">
      <c r="A6" s="13" t="s">
        <v>5</v>
      </c>
      <c r="B6" s="13">
        <f>Data!H91</f>
        <v>0</v>
      </c>
      <c r="C6" s="13">
        <f>Data!I91</f>
        <v>0</v>
      </c>
      <c r="D6" s="13">
        <f>Data!J91</f>
        <v>0</v>
      </c>
      <c r="E6" s="13">
        <f>Data!K91</f>
        <v>0</v>
      </c>
      <c r="F6" s="13">
        <f>Data!L91</f>
        <v>0</v>
      </c>
      <c r="G6" s="13">
        <f>Data!M91</f>
        <v>0</v>
      </c>
      <c r="H6" s="13">
        <f>Data!N91</f>
        <v>0</v>
      </c>
      <c r="I6" s="13">
        <f>Data!O91</f>
        <v>0</v>
      </c>
      <c r="J6" s="13">
        <f>Data!P91</f>
        <v>0</v>
      </c>
      <c r="K6" s="13">
        <f>Data!Q91</f>
        <v>0</v>
      </c>
      <c r="L6" s="13">
        <f>Data!R91</f>
        <v>0</v>
      </c>
      <c r="M6" s="13">
        <f>Data!S91</f>
        <v>0</v>
      </c>
      <c r="N6" s="13">
        <f>Data!T91</f>
        <v>0</v>
      </c>
      <c r="O6" s="13">
        <f>Data!U91</f>
        <v>0</v>
      </c>
      <c r="P6" s="13">
        <f>Data!V91</f>
        <v>0</v>
      </c>
      <c r="Q6" s="13">
        <f>Data!W91</f>
        <v>0</v>
      </c>
      <c r="R6" s="13">
        <f>Data!X91</f>
        <v>0</v>
      </c>
      <c r="S6" s="13">
        <f>Data!Y91</f>
        <v>0</v>
      </c>
      <c r="T6" s="13">
        <f>Data!Z91</f>
        <v>0</v>
      </c>
      <c r="U6" s="13">
        <f>Data!AA91</f>
        <v>0</v>
      </c>
      <c r="V6" s="13">
        <f>Data!AB91</f>
        <v>0</v>
      </c>
      <c r="W6" s="13">
        <f>Data!AC91</f>
        <v>0</v>
      </c>
      <c r="X6" s="13">
        <f>Data!AD91</f>
        <v>0</v>
      </c>
      <c r="Y6" s="13">
        <f>Data!AE91</f>
        <v>0</v>
      </c>
      <c r="Z6" s="13">
        <f>Data!AF91</f>
        <v>0</v>
      </c>
      <c r="AA6" s="13">
        <f>Data!AG91</f>
        <v>0</v>
      </c>
      <c r="AB6" s="13">
        <f>Data!AH91</f>
        <v>0</v>
      </c>
      <c r="AC6" s="13">
        <f>Data!AI91</f>
        <v>0</v>
      </c>
      <c r="AD6" s="13">
        <f>Data!AJ91</f>
        <v>0</v>
      </c>
      <c r="AE6" s="13">
        <f>Data!AK91</f>
        <v>0</v>
      </c>
      <c r="AF6" s="13">
        <f>Data!AL91</f>
        <v>0</v>
      </c>
    </row>
    <row r="7" spans="1:32" x14ac:dyDescent="0.35">
      <c r="A7" s="13" t="s">
        <v>78</v>
      </c>
      <c r="B7" s="13">
        <f>Data!H92</f>
        <v>0</v>
      </c>
      <c r="C7" s="13">
        <f>Data!I92</f>
        <v>0</v>
      </c>
      <c r="D7" s="13">
        <f>Data!J92</f>
        <v>0</v>
      </c>
      <c r="E7" s="13">
        <f>Data!K92</f>
        <v>0</v>
      </c>
      <c r="F7" s="13">
        <f>Data!L92</f>
        <v>0</v>
      </c>
      <c r="G7" s="13">
        <f>Data!M92</f>
        <v>0</v>
      </c>
      <c r="H7" s="13">
        <f>Data!N92</f>
        <v>0</v>
      </c>
      <c r="I7" s="13">
        <f>Data!O92</f>
        <v>0</v>
      </c>
      <c r="J7" s="13">
        <f>Data!P92</f>
        <v>0</v>
      </c>
      <c r="K7" s="13">
        <f>Data!Q92</f>
        <v>0</v>
      </c>
      <c r="L7" s="13">
        <f>Data!R92</f>
        <v>0</v>
      </c>
      <c r="M7" s="13">
        <f>Data!S92</f>
        <v>0</v>
      </c>
      <c r="N7" s="13">
        <f>Data!T92</f>
        <v>0</v>
      </c>
      <c r="O7" s="13">
        <f>Data!U92</f>
        <v>0</v>
      </c>
      <c r="P7" s="13">
        <f>Data!V92</f>
        <v>0</v>
      </c>
      <c r="Q7" s="13">
        <f>Data!W92</f>
        <v>0</v>
      </c>
      <c r="R7" s="13">
        <f>Data!X92</f>
        <v>0</v>
      </c>
      <c r="S7" s="13">
        <f>Data!Y92</f>
        <v>0</v>
      </c>
      <c r="T7" s="13">
        <f>Data!Z92</f>
        <v>0</v>
      </c>
      <c r="U7" s="13">
        <f>Data!AA92</f>
        <v>0</v>
      </c>
      <c r="V7" s="13">
        <f>Data!AB92</f>
        <v>0</v>
      </c>
      <c r="W7" s="13">
        <f>Data!AC92</f>
        <v>0</v>
      </c>
      <c r="X7" s="13">
        <f>Data!AD92</f>
        <v>0</v>
      </c>
      <c r="Y7" s="13">
        <f>Data!AE92</f>
        <v>0</v>
      </c>
      <c r="Z7" s="13">
        <f>Data!AF92</f>
        <v>0</v>
      </c>
      <c r="AA7" s="13">
        <f>Data!AG92</f>
        <v>0</v>
      </c>
      <c r="AB7" s="13">
        <f>Data!AH92</f>
        <v>0</v>
      </c>
      <c r="AC7" s="13">
        <f>Data!AI92</f>
        <v>0</v>
      </c>
      <c r="AD7" s="13">
        <f>Data!AJ92</f>
        <v>0</v>
      </c>
      <c r="AE7" s="13">
        <f>Data!AK92</f>
        <v>0</v>
      </c>
      <c r="AF7" s="13">
        <f>Data!AL92</f>
        <v>0</v>
      </c>
    </row>
    <row r="8" spans="1:32" x14ac:dyDescent="0.35">
      <c r="A8" s="13" t="s">
        <v>79</v>
      </c>
      <c r="B8" s="13">
        <f>Data!H93</f>
        <v>0</v>
      </c>
      <c r="C8" s="13">
        <f>Data!I93</f>
        <v>0</v>
      </c>
      <c r="D8" s="13">
        <f>Data!J93</f>
        <v>0</v>
      </c>
      <c r="E8" s="13">
        <f>Data!K93</f>
        <v>0</v>
      </c>
      <c r="F8" s="13">
        <f>Data!L93</f>
        <v>0</v>
      </c>
      <c r="G8" s="13">
        <f>Data!M93</f>
        <v>0</v>
      </c>
      <c r="H8" s="13">
        <f>Data!N93</f>
        <v>0</v>
      </c>
      <c r="I8" s="13">
        <f>Data!O93</f>
        <v>0</v>
      </c>
      <c r="J8" s="13">
        <f>Data!P93</f>
        <v>0</v>
      </c>
      <c r="K8" s="13">
        <f>Data!Q93</f>
        <v>0</v>
      </c>
      <c r="L8" s="13">
        <f>Data!R93</f>
        <v>0</v>
      </c>
      <c r="M8" s="13">
        <f>Data!S93</f>
        <v>0</v>
      </c>
      <c r="N8" s="13">
        <f>Data!T93</f>
        <v>0</v>
      </c>
      <c r="O8" s="13">
        <f>Data!U93</f>
        <v>0</v>
      </c>
      <c r="P8" s="13">
        <f>Data!V93</f>
        <v>0</v>
      </c>
      <c r="Q8" s="13">
        <f>Data!W93</f>
        <v>0</v>
      </c>
      <c r="R8" s="13">
        <f>Data!X93</f>
        <v>0</v>
      </c>
      <c r="S8" s="13">
        <f>Data!Y93</f>
        <v>0</v>
      </c>
      <c r="T8" s="13">
        <f>Data!Z93</f>
        <v>0</v>
      </c>
      <c r="U8" s="13">
        <f>Data!AA93</f>
        <v>0</v>
      </c>
      <c r="V8" s="13">
        <f>Data!AB93</f>
        <v>0</v>
      </c>
      <c r="W8" s="13">
        <f>Data!AC93</f>
        <v>0</v>
      </c>
      <c r="X8" s="13">
        <f>Data!AD93</f>
        <v>0</v>
      </c>
      <c r="Y8" s="13">
        <f>Data!AE93</f>
        <v>0</v>
      </c>
      <c r="Z8" s="13">
        <f>Data!AF93</f>
        <v>0</v>
      </c>
      <c r="AA8" s="13">
        <f>Data!AG93</f>
        <v>0</v>
      </c>
      <c r="AB8" s="13">
        <f>Data!AH93</f>
        <v>0</v>
      </c>
      <c r="AC8" s="13">
        <f>Data!AI93</f>
        <v>0</v>
      </c>
      <c r="AD8" s="13">
        <f>Data!AJ93</f>
        <v>0</v>
      </c>
      <c r="AE8" s="13">
        <f>Data!AK93</f>
        <v>0</v>
      </c>
      <c r="AF8" s="13">
        <f>Data!AL93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78F0F71-EE7E-4036-B654-BDDC7E3F7269}"/>
</file>

<file path=customXml/itemProps2.xml><?xml version="1.0" encoding="utf-8"?>
<ds:datastoreItem xmlns:ds="http://schemas.openxmlformats.org/officeDocument/2006/customXml" ds:itemID="{39ACE987-BC54-40D9-B8CF-5CB9726AD5E1}"/>
</file>

<file path=customXml/itemProps3.xml><?xml version="1.0" encoding="utf-8"?>
<ds:datastoreItem xmlns:ds="http://schemas.openxmlformats.org/officeDocument/2006/customXml" ds:itemID="{78A831F0-D33B-4743-B389-F44D66A91D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SYVbT-passenger</vt:lpstr>
      <vt:lpstr>SYVbT-freight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2022-05-24T23:27:11Z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