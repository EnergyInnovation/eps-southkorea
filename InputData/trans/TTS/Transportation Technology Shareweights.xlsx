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TTS\"/>
    </mc:Choice>
  </mc:AlternateContent>
  <xr:revisionPtr revIDLastSave="0" documentId="13_ncr:1_{13DDB3CF-31D5-4848-941B-A1E2ACAF7F05}" xr6:coauthVersionLast="47" xr6:coauthVersionMax="47" xr10:uidLastSave="{00000000-0000-0000-0000-000000000000}"/>
  <bookViews>
    <workbookView xWindow="-38520" yWindow="-4770" windowWidth="38640" windowHeight="21120" firstSheet="5" activeTab="9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C1" i="10"/>
  <c r="D1" i="10"/>
  <c r="B2" i="10"/>
  <c r="C2" i="10"/>
  <c r="D2" i="10"/>
  <c r="B3" i="10"/>
  <c r="C3" i="10"/>
  <c r="D3" i="10"/>
  <c r="B4" i="10"/>
  <c r="C4" i="10"/>
  <c r="D4" i="10"/>
  <c r="B5" i="10"/>
  <c r="C5" i="10"/>
  <c r="D5" i="10"/>
  <c r="B6" i="10"/>
  <c r="C6" i="10"/>
  <c r="D6" i="10"/>
  <c r="B7" i="10"/>
  <c r="C7" i="10"/>
  <c r="D7" i="10"/>
  <c r="B8" i="10"/>
  <c r="C8" i="10"/>
  <c r="D8" i="10"/>
  <c r="B1" i="9"/>
  <c r="C1" i="9"/>
  <c r="D1" i="9"/>
  <c r="B2" i="9"/>
  <c r="C2" i="9"/>
  <c r="D2" i="9"/>
  <c r="B3" i="9"/>
  <c r="C3" i="9"/>
  <c r="D3" i="9"/>
  <c r="B4" i="9"/>
  <c r="C4" i="9"/>
  <c r="D4" i="9"/>
  <c r="B5" i="9"/>
  <c r="C5" i="9"/>
  <c r="D5" i="9"/>
  <c r="B6" i="9"/>
  <c r="C6" i="9"/>
  <c r="D6" i="9"/>
  <c r="B7" i="9"/>
  <c r="C7" i="9"/>
  <c r="D7" i="9"/>
  <c r="B8" i="9"/>
  <c r="C8" i="9"/>
  <c r="D8" i="9"/>
  <c r="B1" i="15"/>
  <c r="C1" i="15"/>
  <c r="D1" i="15"/>
  <c r="B1" i="14"/>
  <c r="C1" i="14"/>
  <c r="D1" i="14"/>
  <c r="B2" i="14"/>
  <c r="C2" i="14"/>
  <c r="D2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1" i="13"/>
  <c r="C1" i="13"/>
  <c r="D1" i="13"/>
  <c r="B2" i="13"/>
  <c r="C2" i="13"/>
  <c r="D2" i="13"/>
  <c r="B3" i="13"/>
  <c r="C3" i="13"/>
  <c r="D3" i="13"/>
  <c r="B4" i="13"/>
  <c r="C4" i="13"/>
  <c r="D4" i="13"/>
  <c r="B5" i="13"/>
  <c r="C5" i="13"/>
  <c r="D5" i="13"/>
  <c r="B6" i="13"/>
  <c r="C6" i="13"/>
  <c r="D6" i="13"/>
  <c r="B7" i="13"/>
  <c r="C7" i="13"/>
  <c r="D7" i="13"/>
  <c r="B8" i="13"/>
  <c r="C8" i="13"/>
  <c r="D8" i="13"/>
  <c r="B1" i="12"/>
  <c r="C1" i="12"/>
  <c r="D1" i="12"/>
  <c r="B2" i="12"/>
  <c r="C2" i="12"/>
  <c r="D2" i="12"/>
  <c r="B3" i="12"/>
  <c r="C3" i="12"/>
  <c r="D3" i="12"/>
  <c r="B4" i="12"/>
  <c r="C4" i="12"/>
  <c r="D4" i="12"/>
  <c r="B5" i="12"/>
  <c r="C5" i="12"/>
  <c r="D5" i="12"/>
  <c r="B6" i="12"/>
  <c r="C6" i="12"/>
  <c r="D6" i="12"/>
  <c r="B7" i="12"/>
  <c r="C7" i="12"/>
  <c r="D7" i="12"/>
  <c r="B8" i="12"/>
  <c r="C8" i="12"/>
  <c r="D8" i="12"/>
  <c r="B1" i="11"/>
  <c r="C1" i="11"/>
  <c r="D1" i="11"/>
  <c r="B2" i="11"/>
  <c r="C2" i="11"/>
  <c r="D2" i="11"/>
  <c r="B3" i="11"/>
  <c r="C3" i="11"/>
  <c r="D3" i="11"/>
  <c r="B4" i="11"/>
  <c r="C4" i="11"/>
  <c r="D4" i="11"/>
  <c r="B5" i="11"/>
  <c r="C5" i="11"/>
  <c r="D5" i="11"/>
  <c r="B6" i="11"/>
  <c r="C6" i="11"/>
  <c r="D6" i="11"/>
  <c r="B7" i="11"/>
  <c r="C7" i="11"/>
  <c r="D7" i="11"/>
  <c r="B8" i="11"/>
  <c r="C8" i="11"/>
  <c r="D8" i="11"/>
  <c r="B1" i="8"/>
  <c r="C1" i="8"/>
  <c r="D1" i="8"/>
  <c r="B2" i="8"/>
  <c r="C2" i="8"/>
  <c r="D2" i="8"/>
  <c r="B3" i="8"/>
  <c r="C3" i="8"/>
  <c r="D3" i="8"/>
  <c r="B4" i="8"/>
  <c r="C4" i="8"/>
  <c r="D4" i="8"/>
  <c r="B5" i="8"/>
  <c r="C5" i="8"/>
  <c r="D5" i="8"/>
  <c r="B6" i="8"/>
  <c r="C6" i="8"/>
  <c r="D6" i="8"/>
  <c r="B7" i="8"/>
  <c r="C7" i="8"/>
  <c r="D7" i="8"/>
  <c r="B8" i="8"/>
  <c r="C8" i="8"/>
  <c r="D8" i="8"/>
  <c r="B1" i="7"/>
  <c r="C1" i="7"/>
  <c r="D1" i="7"/>
  <c r="B2" i="7"/>
  <c r="C2" i="7"/>
  <c r="D2" i="7"/>
  <c r="B3" i="7"/>
  <c r="C3" i="7"/>
  <c r="D3" i="7"/>
  <c r="B4" i="7"/>
  <c r="C4" i="7"/>
  <c r="D4" i="7"/>
  <c r="B5" i="7"/>
  <c r="C5" i="7"/>
  <c r="D5" i="7"/>
  <c r="B6" i="7"/>
  <c r="C6" i="7"/>
  <c r="D6" i="7"/>
  <c r="B7" i="7"/>
  <c r="C7" i="7"/>
  <c r="D7" i="7"/>
  <c r="B8" i="7"/>
  <c r="C8" i="7"/>
  <c r="D8" i="7"/>
  <c r="B1" i="6"/>
  <c r="C1" i="6"/>
  <c r="D1" i="6"/>
  <c r="B2" i="6"/>
  <c r="C2" i="6"/>
  <c r="D2" i="6"/>
  <c r="B3" i="6"/>
  <c r="C3" i="6"/>
  <c r="D3" i="6"/>
  <c r="B4" i="6"/>
  <c r="C4" i="6"/>
  <c r="D4" i="6"/>
  <c r="B5" i="6"/>
  <c r="C5" i="6"/>
  <c r="D5" i="6"/>
  <c r="B6" i="6"/>
  <c r="C6" i="6"/>
  <c r="D6" i="6"/>
  <c r="B7" i="6"/>
  <c r="C7" i="6"/>
  <c r="D7" i="6"/>
  <c r="B8" i="6"/>
  <c r="C8" i="6"/>
  <c r="D8" i="6"/>
  <c r="B1" i="5"/>
  <c r="C1" i="5"/>
  <c r="D1" i="5"/>
  <c r="B2" i="5"/>
  <c r="C2" i="5"/>
  <c r="D2" i="5"/>
  <c r="B3" i="5"/>
  <c r="C3" i="5"/>
  <c r="D3" i="5"/>
  <c r="B4" i="5"/>
  <c r="C4" i="5"/>
  <c r="D4" i="5"/>
  <c r="B5" i="5"/>
  <c r="C5" i="5"/>
  <c r="D5" i="5"/>
  <c r="B6" i="5"/>
  <c r="C6" i="5"/>
  <c r="D6" i="5"/>
  <c r="B7" i="5"/>
  <c r="C7" i="5"/>
  <c r="D7" i="5"/>
  <c r="B8" i="5"/>
  <c r="C8" i="5"/>
  <c r="D8" i="5"/>
  <c r="B1" i="4"/>
  <c r="C1" i="4"/>
  <c r="D1" i="4"/>
  <c r="B2" i="4"/>
  <c r="C2" i="4"/>
  <c r="D2" i="4"/>
  <c r="B3" i="4"/>
  <c r="C3" i="4"/>
  <c r="D3" i="4"/>
  <c r="B4" i="4"/>
  <c r="C4" i="4"/>
  <c r="D4" i="4"/>
  <c r="B5" i="4"/>
  <c r="C5" i="4"/>
  <c r="D5" i="4"/>
  <c r="B6" i="4"/>
  <c r="C6" i="4"/>
  <c r="D6" i="4"/>
  <c r="B7" i="4"/>
  <c r="C7" i="4"/>
  <c r="D7" i="4"/>
  <c r="B8" i="4"/>
  <c r="C8" i="4"/>
  <c r="D8" i="4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10" i="3"/>
  <c r="E1" i="15"/>
  <c r="E1" i="14"/>
  <c r="E1" i="13"/>
  <c r="E1" i="12"/>
  <c r="E1" i="11"/>
  <c r="E1" i="10"/>
  <c r="E1" i="9"/>
  <c r="E1" i="8"/>
  <c r="E1" i="7"/>
  <c r="E1" i="6"/>
  <c r="E1" i="5"/>
  <c r="E1" i="4"/>
  <c r="L93" i="3"/>
  <c r="G93" i="3"/>
  <c r="L92" i="3"/>
  <c r="G92" i="3"/>
  <c r="L91" i="3"/>
  <c r="G91" i="3"/>
  <c r="L90" i="3"/>
  <c r="G90" i="3"/>
  <c r="L89" i="3"/>
  <c r="G89" i="3"/>
  <c r="L88" i="3"/>
  <c r="G88" i="3"/>
  <c r="L87" i="3"/>
  <c r="G87" i="3"/>
  <c r="E86" i="3"/>
  <c r="D86" i="3"/>
  <c r="E85" i="3"/>
  <c r="D85" i="3"/>
  <c r="E84" i="3"/>
  <c r="D84" i="3"/>
  <c r="E83" i="3"/>
  <c r="D83" i="3"/>
  <c r="F82" i="3"/>
  <c r="E82" i="3"/>
  <c r="D82" i="3"/>
  <c r="E81" i="3"/>
  <c r="D81" i="3"/>
  <c r="F80" i="3"/>
  <c r="E80" i="3"/>
  <c r="D80" i="3"/>
  <c r="L79" i="3"/>
  <c r="E8" i="13" s="1"/>
  <c r="G79" i="3"/>
  <c r="L78" i="3"/>
  <c r="E7" i="13" s="1"/>
  <c r="G78" i="3"/>
  <c r="L77" i="3"/>
  <c r="E6" i="13" s="1"/>
  <c r="G77" i="3"/>
  <c r="L76" i="3"/>
  <c r="E5" i="13" s="1"/>
  <c r="G76" i="3"/>
  <c r="L75" i="3"/>
  <c r="E4" i="13" s="1"/>
  <c r="G75" i="3"/>
  <c r="L74" i="3"/>
  <c r="E3" i="13" s="1"/>
  <c r="G74" i="3"/>
  <c r="L73" i="3"/>
  <c r="E2" i="13" s="1"/>
  <c r="G73" i="3"/>
  <c r="L72" i="3"/>
  <c r="E8" i="12" s="1"/>
  <c r="G72" i="3"/>
  <c r="L71" i="3"/>
  <c r="E7" i="12" s="1"/>
  <c r="G71" i="3"/>
  <c r="L70" i="3"/>
  <c r="E6" i="12" s="1"/>
  <c r="G70" i="3"/>
  <c r="L69" i="3"/>
  <c r="E5" i="12" s="1"/>
  <c r="G69" i="3"/>
  <c r="L68" i="3"/>
  <c r="E4" i="12" s="1"/>
  <c r="G68" i="3"/>
  <c r="L67" i="3"/>
  <c r="E3" i="12" s="1"/>
  <c r="G67" i="3"/>
  <c r="L66" i="3"/>
  <c r="E2" i="12" s="1"/>
  <c r="G66" i="3"/>
  <c r="L65" i="3"/>
  <c r="E8" i="11" s="1"/>
  <c r="G65" i="3"/>
  <c r="L64" i="3"/>
  <c r="E7" i="11" s="1"/>
  <c r="G64" i="3"/>
  <c r="L63" i="3"/>
  <c r="E6" i="11" s="1"/>
  <c r="G63" i="3"/>
  <c r="L62" i="3"/>
  <c r="E5" i="11" s="1"/>
  <c r="G62" i="3"/>
  <c r="L61" i="3"/>
  <c r="E4" i="11" s="1"/>
  <c r="G61" i="3"/>
  <c r="L60" i="3"/>
  <c r="E3" i="11" s="1"/>
  <c r="G60" i="3"/>
  <c r="L59" i="3"/>
  <c r="E2" i="11" s="1"/>
  <c r="G59" i="3"/>
  <c r="L58" i="3"/>
  <c r="E8" i="10" s="1"/>
  <c r="G58" i="3"/>
  <c r="L57" i="3"/>
  <c r="E7" i="10" s="1"/>
  <c r="G57" i="3"/>
  <c r="L56" i="3"/>
  <c r="E6" i="10" s="1"/>
  <c r="G56" i="3"/>
  <c r="L54" i="3"/>
  <c r="E4" i="10" s="1"/>
  <c r="G54" i="3"/>
  <c r="L53" i="3"/>
  <c r="E3" i="10" s="1"/>
  <c r="G53" i="3"/>
  <c r="E52" i="3"/>
  <c r="L51" i="3"/>
  <c r="E8" i="9" s="1"/>
  <c r="G51" i="3"/>
  <c r="L50" i="3"/>
  <c r="E7" i="9" s="1"/>
  <c r="G50" i="3"/>
  <c r="L49" i="3"/>
  <c r="E6" i="9" s="1"/>
  <c r="G49" i="3"/>
  <c r="L48" i="3"/>
  <c r="E5" i="9" s="1"/>
  <c r="G48" i="3"/>
  <c r="L47" i="3"/>
  <c r="E4" i="9" s="1"/>
  <c r="G47" i="3"/>
  <c r="L46" i="3"/>
  <c r="E3" i="9" s="1"/>
  <c r="G46" i="3"/>
  <c r="L45" i="3"/>
  <c r="E2" i="9" s="1"/>
  <c r="G45" i="3"/>
  <c r="L44" i="3"/>
  <c r="E8" i="8" s="1"/>
  <c r="G44" i="3"/>
  <c r="L43" i="3"/>
  <c r="E7" i="8" s="1"/>
  <c r="G43" i="3"/>
  <c r="L42" i="3"/>
  <c r="E6" i="8" s="1"/>
  <c r="G42" i="3"/>
  <c r="L41" i="3"/>
  <c r="E5" i="8" s="1"/>
  <c r="G41" i="3"/>
  <c r="L40" i="3"/>
  <c r="E4" i="8" s="1"/>
  <c r="G40" i="3"/>
  <c r="L39" i="3"/>
  <c r="E3" i="8" s="1"/>
  <c r="G39" i="3"/>
  <c r="L38" i="3"/>
  <c r="E2" i="8" s="1"/>
  <c r="G38" i="3"/>
  <c r="M37" i="3"/>
  <c r="F8" i="7" s="1"/>
  <c r="L37" i="3"/>
  <c r="E8" i="7" s="1"/>
  <c r="F37" i="3"/>
  <c r="G37" i="3" s="1"/>
  <c r="M36" i="3"/>
  <c r="F7" i="7" s="1"/>
  <c r="L36" i="3"/>
  <c r="E7" i="7" s="1"/>
  <c r="F36" i="3"/>
  <c r="G36" i="3" s="1"/>
  <c r="M35" i="3"/>
  <c r="F6" i="7" s="1"/>
  <c r="L35" i="3"/>
  <c r="E6" i="7" s="1"/>
  <c r="F35" i="3"/>
  <c r="G35" i="3" s="1"/>
  <c r="M34" i="3"/>
  <c r="F5" i="7" s="1"/>
  <c r="L34" i="3"/>
  <c r="E5" i="7" s="1"/>
  <c r="G34" i="3"/>
  <c r="M33" i="3"/>
  <c r="F4" i="7" s="1"/>
  <c r="L33" i="3"/>
  <c r="E4" i="7" s="1"/>
  <c r="F33" i="3"/>
  <c r="G33" i="3" s="1"/>
  <c r="M32" i="3"/>
  <c r="F3" i="7" s="1"/>
  <c r="L32" i="3"/>
  <c r="E3" i="7" s="1"/>
  <c r="F32" i="3"/>
  <c r="G32" i="3" s="1"/>
  <c r="M31" i="3"/>
  <c r="F2" i="7" s="1"/>
  <c r="L31" i="3"/>
  <c r="E2" i="7" s="1"/>
  <c r="G31" i="3"/>
  <c r="M30" i="3"/>
  <c r="F8" i="6" s="1"/>
  <c r="L30" i="3"/>
  <c r="E8" i="6" s="1"/>
  <c r="F30" i="3"/>
  <c r="G30" i="3" s="1"/>
  <c r="M29" i="3"/>
  <c r="F7" i="6" s="1"/>
  <c r="L29" i="3"/>
  <c r="E7" i="6" s="1"/>
  <c r="F29" i="3"/>
  <c r="G29" i="3" s="1"/>
  <c r="M28" i="3"/>
  <c r="F6" i="6" s="1"/>
  <c r="L28" i="3"/>
  <c r="E6" i="6" s="1"/>
  <c r="F28" i="3"/>
  <c r="G28" i="3" s="1"/>
  <c r="M27" i="3"/>
  <c r="F5" i="6" s="1"/>
  <c r="L27" i="3"/>
  <c r="E5" i="6" s="1"/>
  <c r="G27" i="3"/>
  <c r="M26" i="3"/>
  <c r="F4" i="6" s="1"/>
  <c r="L26" i="3"/>
  <c r="E4" i="6" s="1"/>
  <c r="F26" i="3"/>
  <c r="G26" i="3" s="1"/>
  <c r="M25" i="3"/>
  <c r="F3" i="6" s="1"/>
  <c r="L25" i="3"/>
  <c r="E3" i="6" s="1"/>
  <c r="F25" i="3"/>
  <c r="G25" i="3" s="1"/>
  <c r="M24" i="3"/>
  <c r="F2" i="6" s="1"/>
  <c r="L24" i="3"/>
  <c r="E2" i="6" s="1"/>
  <c r="G24" i="3"/>
  <c r="M23" i="3"/>
  <c r="F8" i="5" s="1"/>
  <c r="L23" i="3"/>
  <c r="E8" i="5" s="1"/>
  <c r="F23" i="3"/>
  <c r="G23" i="3" s="1"/>
  <c r="M22" i="3"/>
  <c r="F7" i="5" s="1"/>
  <c r="L22" i="3"/>
  <c r="E7" i="5" s="1"/>
  <c r="F22" i="3"/>
  <c r="G22" i="3" s="1"/>
  <c r="M21" i="3"/>
  <c r="F6" i="5" s="1"/>
  <c r="L21" i="3"/>
  <c r="E6" i="5" s="1"/>
  <c r="F21" i="3"/>
  <c r="M20" i="3"/>
  <c r="F5" i="5" s="1"/>
  <c r="L20" i="3"/>
  <c r="E5" i="5" s="1"/>
  <c r="G20" i="3"/>
  <c r="M19" i="3"/>
  <c r="F4" i="5" s="1"/>
  <c r="L19" i="3"/>
  <c r="E4" i="5" s="1"/>
  <c r="F19" i="3"/>
  <c r="G19" i="3" s="1"/>
  <c r="M18" i="3"/>
  <c r="F3" i="5" s="1"/>
  <c r="L18" i="3"/>
  <c r="E3" i="5" s="1"/>
  <c r="F18" i="3"/>
  <c r="L17" i="3"/>
  <c r="E2" i="5" s="1"/>
  <c r="G17" i="3"/>
  <c r="L16" i="3"/>
  <c r="E8" i="4" s="1"/>
  <c r="F16" i="3"/>
  <c r="L15" i="3"/>
  <c r="E7" i="4" s="1"/>
  <c r="F15" i="3"/>
  <c r="M14" i="3"/>
  <c r="F6" i="4" s="1"/>
  <c r="L14" i="3"/>
  <c r="E6" i="4" s="1"/>
  <c r="F14" i="3"/>
  <c r="L13" i="3"/>
  <c r="E5" i="4" s="1"/>
  <c r="F13" i="3"/>
  <c r="L12" i="3"/>
  <c r="E4" i="4" s="1"/>
  <c r="G12" i="3"/>
  <c r="L11" i="3"/>
  <c r="E3" i="4" s="1"/>
  <c r="F11" i="3"/>
  <c r="M10" i="3"/>
  <c r="F2" i="4" s="1"/>
  <c r="L10" i="3"/>
  <c r="E2" i="4" s="1"/>
  <c r="G10" i="3"/>
  <c r="M9" i="3"/>
  <c r="F1" i="15" l="1"/>
  <c r="F1" i="14"/>
  <c r="F1" i="13"/>
  <c r="F1" i="9"/>
  <c r="F1" i="10"/>
  <c r="F1" i="12"/>
  <c r="F1" i="11"/>
  <c r="M93" i="3"/>
  <c r="N92" i="3"/>
  <c r="M92" i="3"/>
  <c r="M91" i="3"/>
  <c r="N91" i="3"/>
  <c r="N90" i="3"/>
  <c r="M90" i="3"/>
  <c r="M89" i="3"/>
  <c r="M88" i="3"/>
  <c r="M87" i="3"/>
  <c r="L86" i="3"/>
  <c r="E8" i="14" s="1"/>
  <c r="L85" i="3"/>
  <c r="E7" i="14" s="1"/>
  <c r="L84" i="3"/>
  <c r="E6" i="14" s="1"/>
  <c r="L83" i="3"/>
  <c r="E5" i="14" s="1"/>
  <c r="L82" i="3"/>
  <c r="E4" i="14" s="1"/>
  <c r="G82" i="3"/>
  <c r="L81" i="3"/>
  <c r="E3" i="14" s="1"/>
  <c r="L80" i="3"/>
  <c r="E2" i="14" s="1"/>
  <c r="G80" i="3"/>
  <c r="M79" i="3"/>
  <c r="F8" i="13" s="1"/>
  <c r="M78" i="3"/>
  <c r="F7" i="13" s="1"/>
  <c r="M77" i="3"/>
  <c r="F6" i="13" s="1"/>
  <c r="M76" i="3"/>
  <c r="F5" i="13" s="1"/>
  <c r="M75" i="3"/>
  <c r="F4" i="13" s="1"/>
  <c r="M74" i="3"/>
  <c r="F3" i="13" s="1"/>
  <c r="M73" i="3"/>
  <c r="F2" i="13" s="1"/>
  <c r="M72" i="3"/>
  <c r="F8" i="12" s="1"/>
  <c r="M71" i="3"/>
  <c r="F7" i="12" s="1"/>
  <c r="M70" i="3"/>
  <c r="F6" i="12" s="1"/>
  <c r="M69" i="3"/>
  <c r="F5" i="12" s="1"/>
  <c r="M68" i="3"/>
  <c r="F4" i="12" s="1"/>
  <c r="M67" i="3"/>
  <c r="F3" i="12" s="1"/>
  <c r="M66" i="3"/>
  <c r="F2" i="12" s="1"/>
  <c r="M65" i="3"/>
  <c r="F8" i="11" s="1"/>
  <c r="M64" i="3"/>
  <c r="F7" i="11" s="1"/>
  <c r="M63" i="3"/>
  <c r="F6" i="11" s="1"/>
  <c r="M62" i="3"/>
  <c r="F5" i="11" s="1"/>
  <c r="M61" i="3"/>
  <c r="F4" i="11" s="1"/>
  <c r="M60" i="3"/>
  <c r="F3" i="11" s="1"/>
  <c r="M59" i="3"/>
  <c r="F2" i="11" s="1"/>
  <c r="M58" i="3"/>
  <c r="F8" i="10" s="1"/>
  <c r="M57" i="3"/>
  <c r="F7" i="10" s="1"/>
  <c r="M56" i="3"/>
  <c r="F6" i="10" s="1"/>
  <c r="M54" i="3"/>
  <c r="F4" i="10" s="1"/>
  <c r="M53" i="3"/>
  <c r="F3" i="10" s="1"/>
  <c r="L52" i="3"/>
  <c r="E2" i="10" s="1"/>
  <c r="F52" i="3"/>
  <c r="E55" i="3"/>
  <c r="M51" i="3"/>
  <c r="F8" i="9" s="1"/>
  <c r="M50" i="3"/>
  <c r="F7" i="9" s="1"/>
  <c r="M49" i="3"/>
  <c r="F6" i="9" s="1"/>
  <c r="M48" i="3"/>
  <c r="F5" i="9" s="1"/>
  <c r="M47" i="3"/>
  <c r="F4" i="9" s="1"/>
  <c r="M46" i="3"/>
  <c r="F3" i="9" s="1"/>
  <c r="M45" i="3"/>
  <c r="F2" i="9" s="1"/>
  <c r="M44" i="3"/>
  <c r="F8" i="8" s="1"/>
  <c r="M43" i="3"/>
  <c r="F7" i="8" s="1"/>
  <c r="M42" i="3"/>
  <c r="F6" i="8" s="1"/>
  <c r="M41" i="3"/>
  <c r="F5" i="8" s="1"/>
  <c r="M40" i="3"/>
  <c r="F4" i="8" s="1"/>
  <c r="M39" i="3"/>
  <c r="F3" i="8" s="1"/>
  <c r="M38" i="3"/>
  <c r="F2" i="8" s="1"/>
  <c r="M17" i="3"/>
  <c r="F2" i="5" s="1"/>
  <c r="F86" i="3"/>
  <c r="G86" i="3" s="1"/>
  <c r="G16" i="3"/>
  <c r="F85" i="3"/>
  <c r="G85" i="3" s="1"/>
  <c r="G15" i="3"/>
  <c r="G14" i="3"/>
  <c r="F84" i="3"/>
  <c r="G84" i="3" s="1"/>
  <c r="F83" i="3"/>
  <c r="G83" i="3" s="1"/>
  <c r="G13" i="3"/>
  <c r="M12" i="3"/>
  <c r="F4" i="4" s="1"/>
  <c r="F81" i="3"/>
  <c r="G81" i="3" s="1"/>
  <c r="G11" i="3"/>
  <c r="F1" i="6"/>
  <c r="F1" i="8"/>
  <c r="F1" i="4"/>
  <c r="N9" i="3"/>
  <c r="F1" i="7"/>
  <c r="F1" i="5"/>
  <c r="N89" i="3" l="1"/>
  <c r="N88" i="3"/>
  <c r="N42" i="3"/>
  <c r="G6" i="8" s="1"/>
  <c r="N78" i="3"/>
  <c r="G7" i="13" s="1"/>
  <c r="N50" i="3"/>
  <c r="G7" i="9" s="1"/>
  <c r="N40" i="3"/>
  <c r="G4" i="8" s="1"/>
  <c r="N39" i="3"/>
  <c r="G3" i="8" s="1"/>
  <c r="N35" i="3"/>
  <c r="G6" i="7" s="1"/>
  <c r="N77" i="3"/>
  <c r="G6" i="13" s="1"/>
  <c r="N76" i="3"/>
  <c r="G5" i="13" s="1"/>
  <c r="N74" i="3"/>
  <c r="G3" i="13" s="1"/>
  <c r="N73" i="3"/>
  <c r="G2" i="13" s="1"/>
  <c r="N53" i="3"/>
  <c r="G3" i="10" s="1"/>
  <c r="N41" i="3"/>
  <c r="G5" i="8" s="1"/>
  <c r="N37" i="3"/>
  <c r="G8" i="7" s="1"/>
  <c r="N71" i="3"/>
  <c r="G7" i="12" s="1"/>
  <c r="N70" i="3"/>
  <c r="G6" i="12" s="1"/>
  <c r="N68" i="3"/>
  <c r="G4" i="12" s="1"/>
  <c r="N67" i="3"/>
  <c r="G3" i="12" s="1"/>
  <c r="N66" i="3"/>
  <c r="G2" i="12" s="1"/>
  <c r="N65" i="3"/>
  <c r="G8" i="11" s="1"/>
  <c r="N64" i="3"/>
  <c r="G7" i="11" s="1"/>
  <c r="N63" i="3"/>
  <c r="G6" i="11" s="1"/>
  <c r="N54" i="3"/>
  <c r="G4" i="10" s="1"/>
  <c r="N49" i="3"/>
  <c r="G6" i="9" s="1"/>
  <c r="N47" i="3"/>
  <c r="G4" i="9" s="1"/>
  <c r="N62" i="3"/>
  <c r="G5" i="11" s="1"/>
  <c r="N61" i="3"/>
  <c r="G4" i="11" s="1"/>
  <c r="N60" i="3"/>
  <c r="G3" i="11" s="1"/>
  <c r="N57" i="3"/>
  <c r="G7" i="10" s="1"/>
  <c r="N36" i="3"/>
  <c r="G7" i="7" s="1"/>
  <c r="N46" i="3"/>
  <c r="G3" i="9" s="1"/>
  <c r="N43" i="3"/>
  <c r="G7" i="8" s="1"/>
  <c r="M86" i="3"/>
  <c r="F8" i="14" s="1"/>
  <c r="N86" i="3"/>
  <c r="G8" i="14" s="1"/>
  <c r="M85" i="3"/>
  <c r="F7" i="14" s="1"/>
  <c r="N85" i="3"/>
  <c r="G7" i="14" s="1"/>
  <c r="M84" i="3"/>
  <c r="F6" i="14" s="1"/>
  <c r="N84" i="3"/>
  <c r="G6" i="14" s="1"/>
  <c r="M83" i="3"/>
  <c r="F5" i="14" s="1"/>
  <c r="N83" i="3"/>
  <c r="G5" i="14" s="1"/>
  <c r="M82" i="3"/>
  <c r="F4" i="14" s="1"/>
  <c r="N82" i="3"/>
  <c r="G4" i="14" s="1"/>
  <c r="M81" i="3"/>
  <c r="F3" i="14" s="1"/>
  <c r="N81" i="3"/>
  <c r="G3" i="14" s="1"/>
  <c r="M80" i="3"/>
  <c r="F2" i="14" s="1"/>
  <c r="N80" i="3"/>
  <c r="G2" i="14" s="1"/>
  <c r="F55" i="3"/>
  <c r="G55" i="3"/>
  <c r="L55" i="3"/>
  <c r="E5" i="10" s="1"/>
  <c r="M16" i="3"/>
  <c r="F8" i="4" s="1"/>
  <c r="N16" i="3"/>
  <c r="G8" i="4" s="1"/>
  <c r="M15" i="3"/>
  <c r="F7" i="4" s="1"/>
  <c r="N15" i="3"/>
  <c r="G7" i="4" s="1"/>
  <c r="N14" i="3"/>
  <c r="G6" i="4" s="1"/>
  <c r="N13" i="3"/>
  <c r="G5" i="4" s="1"/>
  <c r="M13" i="3"/>
  <c r="F5" i="4" s="1"/>
  <c r="N11" i="3"/>
  <c r="G3" i="4" s="1"/>
  <c r="M11" i="3"/>
  <c r="F3" i="4" s="1"/>
  <c r="G1" i="4"/>
  <c r="G1" i="5"/>
  <c r="G1" i="14"/>
  <c r="G1" i="6"/>
  <c r="G1" i="7"/>
  <c r="G1" i="8"/>
  <c r="G1" i="9"/>
  <c r="G1" i="10"/>
  <c r="G1" i="11"/>
  <c r="G1" i="12"/>
  <c r="G1" i="13"/>
  <c r="O9" i="3"/>
  <c r="G1" i="15"/>
  <c r="N52" i="3"/>
  <c r="G2" i="10" s="1"/>
  <c r="M52" i="3"/>
  <c r="F2" i="10" s="1"/>
  <c r="N87" i="3"/>
  <c r="N79" i="3"/>
  <c r="G8" i="13" s="1"/>
  <c r="N75" i="3"/>
  <c r="G4" i="13" s="1"/>
  <c r="N72" i="3"/>
  <c r="G8" i="12" s="1"/>
  <c r="N69" i="3"/>
  <c r="G5" i="12" s="1"/>
  <c r="N59" i="3"/>
  <c r="G2" i="11" s="1"/>
  <c r="N58" i="3"/>
  <c r="G8" i="10" s="1"/>
  <c r="N56" i="3"/>
  <c r="G6" i="10" s="1"/>
  <c r="N93" i="3"/>
  <c r="N51" i="3"/>
  <c r="G8" i="9" s="1"/>
  <c r="N48" i="3"/>
  <c r="G5" i="9" s="1"/>
  <c r="N45" i="3"/>
  <c r="G2" i="9" s="1"/>
  <c r="N44" i="3"/>
  <c r="G8" i="8" s="1"/>
  <c r="N38" i="3"/>
  <c r="G2" i="8" s="1"/>
  <c r="N34" i="3"/>
  <c r="G5" i="7" s="1"/>
  <c r="N33" i="3"/>
  <c r="G4" i="7" s="1"/>
  <c r="N32" i="3"/>
  <c r="G3" i="7" s="1"/>
  <c r="N31" i="3"/>
  <c r="G2" i="7" s="1"/>
  <c r="N28" i="3"/>
  <c r="G6" i="6" s="1"/>
  <c r="N21" i="3"/>
  <c r="G6" i="5" s="1"/>
  <c r="N18" i="3"/>
  <c r="G3" i="5" s="1"/>
  <c r="N30" i="3"/>
  <c r="G8" i="6" s="1"/>
  <c r="N29" i="3"/>
  <c r="G7" i="6" s="1"/>
  <c r="N25" i="3"/>
  <c r="G3" i="6" s="1"/>
  <c r="N12" i="3"/>
  <c r="G4" i="4" s="1"/>
  <c r="N10" i="3"/>
  <c r="G2" i="4" s="1"/>
  <c r="N27" i="3"/>
  <c r="G5" i="6" s="1"/>
  <c r="N26" i="3"/>
  <c r="G4" i="6" s="1"/>
  <c r="N24" i="3"/>
  <c r="G2" i="6" s="1"/>
  <c r="O24" i="3"/>
  <c r="H2" i="6" s="1"/>
  <c r="N23" i="3"/>
  <c r="G8" i="5" s="1"/>
  <c r="N22" i="3"/>
  <c r="G7" i="5" s="1"/>
  <c r="N20" i="3"/>
  <c r="G5" i="5" s="1"/>
  <c r="N19" i="3"/>
  <c r="G4" i="5" s="1"/>
  <c r="N17" i="3"/>
  <c r="G2" i="5" s="1"/>
  <c r="O84" i="3" l="1"/>
  <c r="H6" i="14" s="1"/>
  <c r="O83" i="3"/>
  <c r="H5" i="14" s="1"/>
  <c r="O80" i="3"/>
  <c r="H2" i="14" s="1"/>
  <c r="O13" i="3"/>
  <c r="H5" i="4" s="1"/>
  <c r="O16" i="3"/>
  <c r="H8" i="4" s="1"/>
  <c r="O15" i="3"/>
  <c r="H7" i="4" s="1"/>
  <c r="O14" i="3"/>
  <c r="H6" i="4" s="1"/>
  <c r="O52" i="3"/>
  <c r="H2" i="10" s="1"/>
  <c r="O21" i="3"/>
  <c r="H6" i="5" s="1"/>
  <c r="O81" i="3"/>
  <c r="H3" i="14" s="1"/>
  <c r="O11" i="3"/>
  <c r="H3" i="4" s="1"/>
  <c r="O31" i="3"/>
  <c r="H2" i="7" s="1"/>
  <c r="M55" i="3"/>
  <c r="F5" i="10" s="1"/>
  <c r="N55" i="3"/>
  <c r="G5" i="10" s="1"/>
  <c r="O55" i="3"/>
  <c r="H5" i="10" s="1"/>
  <c r="O40" i="3"/>
  <c r="H4" i="8" s="1"/>
  <c r="O49" i="3"/>
  <c r="H6" i="9" s="1"/>
  <c r="O77" i="3"/>
  <c r="H6" i="13" s="1"/>
  <c r="O19" i="3"/>
  <c r="H4" i="5" s="1"/>
  <c r="O20" i="3"/>
  <c r="H5" i="5" s="1"/>
  <c r="O39" i="3"/>
  <c r="H3" i="8" s="1"/>
  <c r="O89" i="3"/>
  <c r="O90" i="3"/>
  <c r="O22" i="3"/>
  <c r="H7" i="5" s="1"/>
  <c r="O23" i="3"/>
  <c r="H8" i="5" s="1"/>
  <c r="O88" i="3"/>
  <c r="O26" i="3"/>
  <c r="H4" i="6" s="1"/>
  <c r="O27" i="3"/>
  <c r="H5" i="6" s="1"/>
  <c r="O73" i="3"/>
  <c r="H2" i="13" s="1"/>
  <c r="O78" i="3"/>
  <c r="H7" i="13" s="1"/>
  <c r="O91" i="3"/>
  <c r="O92" i="3"/>
  <c r="O18" i="3"/>
  <c r="H3" i="5" s="1"/>
  <c r="O29" i="3"/>
  <c r="H7" i="6" s="1"/>
  <c r="O30" i="3"/>
  <c r="H8" i="6" s="1"/>
  <c r="O63" i="3"/>
  <c r="H6" i="11" s="1"/>
  <c r="O12" i="3"/>
  <c r="H4" i="4" s="1"/>
  <c r="O25" i="3"/>
  <c r="H3" i="6" s="1"/>
  <c r="O28" i="3"/>
  <c r="H6" i="6" s="1"/>
  <c r="O32" i="3"/>
  <c r="H3" i="7" s="1"/>
  <c r="O33" i="3"/>
  <c r="H4" i="7" s="1"/>
  <c r="O34" i="3"/>
  <c r="H5" i="7" s="1"/>
  <c r="O35" i="3"/>
  <c r="H6" i="7" s="1"/>
  <c r="O36" i="3"/>
  <c r="H7" i="7" s="1"/>
  <c r="O37" i="3"/>
  <c r="H8" i="7" s="1"/>
  <c r="O38" i="3"/>
  <c r="H2" i="8" s="1"/>
  <c r="O41" i="3"/>
  <c r="H5" i="8" s="1"/>
  <c r="O44" i="3"/>
  <c r="H8" i="8" s="1"/>
  <c r="O45" i="3"/>
  <c r="H2" i="9" s="1"/>
  <c r="O43" i="3"/>
  <c r="H7" i="8" s="1"/>
  <c r="O46" i="3"/>
  <c r="H3" i="9" s="1"/>
  <c r="O47" i="3"/>
  <c r="H4" i="9" s="1"/>
  <c r="O48" i="3"/>
  <c r="H5" i="9" s="1"/>
  <c r="O50" i="3"/>
  <c r="H7" i="9" s="1"/>
  <c r="O51" i="3"/>
  <c r="H8" i="9" s="1"/>
  <c r="O54" i="3"/>
  <c r="H4" i="10" s="1"/>
  <c r="O56" i="3"/>
  <c r="H6" i="10" s="1"/>
  <c r="O53" i="3"/>
  <c r="H3" i="10" s="1"/>
  <c r="O57" i="3"/>
  <c r="H7" i="10" s="1"/>
  <c r="O58" i="3"/>
  <c r="H8" i="10" s="1"/>
  <c r="O59" i="3"/>
  <c r="H2" i="11" s="1"/>
  <c r="O60" i="3"/>
  <c r="H3" i="11" s="1"/>
  <c r="O61" i="3"/>
  <c r="H4" i="11" s="1"/>
  <c r="O62" i="3"/>
  <c r="H5" i="11" s="1"/>
  <c r="O64" i="3"/>
  <c r="H7" i="11" s="1"/>
  <c r="O65" i="3"/>
  <c r="H8" i="11" s="1"/>
  <c r="O66" i="3"/>
  <c r="H2" i="12" s="1"/>
  <c r="O42" i="3"/>
  <c r="H6" i="8" s="1"/>
  <c r="O67" i="3"/>
  <c r="H3" i="12" s="1"/>
  <c r="O68" i="3"/>
  <c r="H4" i="12" s="1"/>
  <c r="O69" i="3"/>
  <c r="H5" i="12" s="1"/>
  <c r="O70" i="3"/>
  <c r="H6" i="12" s="1"/>
  <c r="O71" i="3"/>
  <c r="H7" i="12" s="1"/>
  <c r="O72" i="3"/>
  <c r="H8" i="12" s="1"/>
  <c r="O75" i="3"/>
  <c r="H4" i="13" s="1"/>
  <c r="O76" i="3"/>
  <c r="H5" i="13" s="1"/>
  <c r="O74" i="3"/>
  <c r="H3" i="13" s="1"/>
  <c r="O79" i="3"/>
  <c r="H8" i="13" s="1"/>
  <c r="O87" i="3"/>
  <c r="O93" i="3"/>
  <c r="H1" i="13"/>
  <c r="H1" i="4"/>
  <c r="H1" i="5"/>
  <c r="H1" i="6"/>
  <c r="H1" i="15"/>
  <c r="H1" i="7"/>
  <c r="H1" i="8"/>
  <c r="H1" i="9"/>
  <c r="H1" i="10"/>
  <c r="H1" i="11"/>
  <c r="H1" i="12"/>
  <c r="P9" i="3"/>
  <c r="H1" i="14"/>
  <c r="O85" i="3"/>
  <c r="H7" i="14" s="1"/>
  <c r="O82" i="3"/>
  <c r="H4" i="14" s="1"/>
  <c r="O10" i="3"/>
  <c r="H2" i="4" s="1"/>
  <c r="O17" i="3"/>
  <c r="H2" i="5" s="1"/>
  <c r="O86" i="3"/>
  <c r="H8" i="14" s="1"/>
  <c r="P21" i="3" l="1"/>
  <c r="I6" i="5" s="1"/>
  <c r="P83" i="3"/>
  <c r="I5" i="14" s="1"/>
  <c r="P86" i="3"/>
  <c r="I8" i="14" s="1"/>
  <c r="P24" i="3"/>
  <c r="I2" i="6" s="1"/>
  <c r="P14" i="3"/>
  <c r="I6" i="4" s="1"/>
  <c r="P81" i="3"/>
  <c r="I3" i="14" s="1"/>
  <c r="P84" i="3"/>
  <c r="I6" i="14" s="1"/>
  <c r="P52" i="3"/>
  <c r="I2" i="10" s="1"/>
  <c r="P11" i="3"/>
  <c r="I3" i="4" s="1"/>
  <c r="P31" i="3"/>
  <c r="I2" i="7" s="1"/>
  <c r="P13" i="3"/>
  <c r="I5" i="4" s="1"/>
  <c r="P15" i="3"/>
  <c r="I7" i="4" s="1"/>
  <c r="P16" i="3"/>
  <c r="I8" i="4" s="1"/>
  <c r="P80" i="3"/>
  <c r="I2" i="14" s="1"/>
  <c r="P82" i="3"/>
  <c r="I4" i="14" s="1"/>
  <c r="P85" i="3"/>
  <c r="I7" i="14" s="1"/>
  <c r="P89" i="3"/>
  <c r="P90" i="3"/>
  <c r="P91" i="3"/>
  <c r="P12" i="3"/>
  <c r="I4" i="4" s="1"/>
  <c r="P19" i="3"/>
  <c r="I4" i="5" s="1"/>
  <c r="P20" i="3"/>
  <c r="I5" i="5" s="1"/>
  <c r="P74" i="3"/>
  <c r="I3" i="13" s="1"/>
  <c r="P78" i="3"/>
  <c r="I7" i="13" s="1"/>
  <c r="P18" i="3"/>
  <c r="I3" i="5" s="1"/>
  <c r="P22" i="3"/>
  <c r="I7" i="5" s="1"/>
  <c r="P23" i="3"/>
  <c r="I8" i="5" s="1"/>
  <c r="P92" i="3"/>
  <c r="P26" i="3"/>
  <c r="I4" i="6" s="1"/>
  <c r="P27" i="3"/>
  <c r="I5" i="6" s="1"/>
  <c r="P63" i="3"/>
  <c r="I6" i="11" s="1"/>
  <c r="P88" i="3"/>
  <c r="P25" i="3"/>
  <c r="I3" i="6" s="1"/>
  <c r="P28" i="3"/>
  <c r="I6" i="6" s="1"/>
  <c r="P29" i="3"/>
  <c r="I7" i="6" s="1"/>
  <c r="P30" i="3"/>
  <c r="I8" i="6" s="1"/>
  <c r="P49" i="3"/>
  <c r="I6" i="9" s="1"/>
  <c r="P73" i="3"/>
  <c r="I2" i="13" s="1"/>
  <c r="P77" i="3"/>
  <c r="I6" i="13" s="1"/>
  <c r="P32" i="3"/>
  <c r="I3" i="7" s="1"/>
  <c r="P33" i="3"/>
  <c r="I4" i="7" s="1"/>
  <c r="P34" i="3"/>
  <c r="I5" i="7" s="1"/>
  <c r="P35" i="3"/>
  <c r="I6" i="7" s="1"/>
  <c r="P36" i="3"/>
  <c r="I7" i="7" s="1"/>
  <c r="P37" i="3"/>
  <c r="I8" i="7" s="1"/>
  <c r="P38" i="3"/>
  <c r="I2" i="8" s="1"/>
  <c r="P41" i="3"/>
  <c r="I5" i="8" s="1"/>
  <c r="P44" i="3"/>
  <c r="I8" i="8" s="1"/>
  <c r="P45" i="3"/>
  <c r="I2" i="9" s="1"/>
  <c r="P40" i="3"/>
  <c r="I4" i="8" s="1"/>
  <c r="P46" i="3"/>
  <c r="I3" i="9" s="1"/>
  <c r="P47" i="3"/>
  <c r="I4" i="9" s="1"/>
  <c r="P48" i="3"/>
  <c r="I5" i="9" s="1"/>
  <c r="P50" i="3"/>
  <c r="I7" i="9" s="1"/>
  <c r="P51" i="3"/>
  <c r="I8" i="9" s="1"/>
  <c r="P42" i="3"/>
  <c r="I6" i="8" s="1"/>
  <c r="P53" i="3"/>
  <c r="I3" i="10" s="1"/>
  <c r="P54" i="3"/>
  <c r="I4" i="10" s="1"/>
  <c r="P56" i="3"/>
  <c r="I6" i="10" s="1"/>
  <c r="P39" i="3"/>
  <c r="I3" i="8" s="1"/>
  <c r="P57" i="3"/>
  <c r="I7" i="10" s="1"/>
  <c r="P58" i="3"/>
  <c r="I8" i="10" s="1"/>
  <c r="P59" i="3"/>
  <c r="I2" i="11" s="1"/>
  <c r="P61" i="3"/>
  <c r="I4" i="11" s="1"/>
  <c r="P62" i="3"/>
  <c r="I5" i="11" s="1"/>
  <c r="P64" i="3"/>
  <c r="I7" i="11" s="1"/>
  <c r="P65" i="3"/>
  <c r="I8" i="11" s="1"/>
  <c r="P66" i="3"/>
  <c r="I2" i="12" s="1"/>
  <c r="P67" i="3"/>
  <c r="I3" i="12" s="1"/>
  <c r="P68" i="3"/>
  <c r="I4" i="12" s="1"/>
  <c r="P69" i="3"/>
  <c r="I5" i="12" s="1"/>
  <c r="P71" i="3"/>
  <c r="I7" i="12" s="1"/>
  <c r="P72" i="3"/>
  <c r="I8" i="12" s="1"/>
  <c r="P43" i="3"/>
  <c r="I7" i="8" s="1"/>
  <c r="P75" i="3"/>
  <c r="I4" i="13" s="1"/>
  <c r="P60" i="3"/>
  <c r="I3" i="11" s="1"/>
  <c r="P70" i="3"/>
  <c r="I6" i="12" s="1"/>
  <c r="P76" i="3"/>
  <c r="I5" i="13" s="1"/>
  <c r="P79" i="3"/>
  <c r="I8" i="13" s="1"/>
  <c r="P93" i="3"/>
  <c r="Q9" i="3"/>
  <c r="P87" i="3"/>
  <c r="I1" i="14"/>
  <c r="I1" i="4"/>
  <c r="I1" i="5"/>
  <c r="I1" i="15"/>
  <c r="I1" i="6"/>
  <c r="I1" i="7"/>
  <c r="I1" i="8"/>
  <c r="I1" i="9"/>
  <c r="I1" i="10"/>
  <c r="I1" i="11"/>
  <c r="I1" i="12"/>
  <c r="I1" i="13"/>
  <c r="P10" i="3"/>
  <c r="I2" i="4" s="1"/>
  <c r="P55" i="3"/>
  <c r="I5" i="10" s="1"/>
  <c r="P17" i="3"/>
  <c r="I2" i="5" s="1"/>
  <c r="Q17" i="3" l="1"/>
  <c r="J2" i="5" s="1"/>
  <c r="Q80" i="3"/>
  <c r="J2" i="14" s="1"/>
  <c r="Q21" i="3"/>
  <c r="J6" i="5" s="1"/>
  <c r="Q55" i="3"/>
  <c r="J5" i="10" s="1"/>
  <c r="Q10" i="3"/>
  <c r="J2" i="4" s="1"/>
  <c r="Q86" i="3"/>
  <c r="J8" i="14" s="1"/>
  <c r="Q13" i="3"/>
  <c r="J5" i="4" s="1"/>
  <c r="Q52" i="3"/>
  <c r="J2" i="10" s="1"/>
  <c r="Q11" i="3"/>
  <c r="J3" i="4" s="1"/>
  <c r="Q16" i="3"/>
  <c r="J8" i="4" s="1"/>
  <c r="Q82" i="3"/>
  <c r="J4" i="14" s="1"/>
  <c r="Q83" i="3"/>
  <c r="J5" i="14" s="1"/>
  <c r="Q15" i="3"/>
  <c r="J7" i="4" s="1"/>
  <c r="Q81" i="3"/>
  <c r="J3" i="14" s="1"/>
  <c r="Q85" i="3"/>
  <c r="J7" i="14" s="1"/>
  <c r="Q60" i="3"/>
  <c r="J3" i="11" s="1"/>
  <c r="Q66" i="3"/>
  <c r="J2" i="12" s="1"/>
  <c r="Q76" i="3"/>
  <c r="J5" i="13" s="1"/>
  <c r="Q89" i="3"/>
  <c r="Q19" i="3"/>
  <c r="J4" i="5" s="1"/>
  <c r="Q20" i="3"/>
  <c r="J5" i="5" s="1"/>
  <c r="Q43" i="3"/>
  <c r="J7" i="8" s="1"/>
  <c r="Q63" i="3"/>
  <c r="J6" i="11" s="1"/>
  <c r="Q73" i="3"/>
  <c r="J2" i="13" s="1"/>
  <c r="Q12" i="3"/>
  <c r="J4" i="4" s="1"/>
  <c r="Q18" i="3"/>
  <c r="J3" i="5" s="1"/>
  <c r="Q22" i="3"/>
  <c r="J7" i="5" s="1"/>
  <c r="Q23" i="3"/>
  <c r="J8" i="5" s="1"/>
  <c r="Q70" i="3"/>
  <c r="J6" i="12" s="1"/>
  <c r="Q77" i="3"/>
  <c r="J6" i="13" s="1"/>
  <c r="Q78" i="3"/>
  <c r="J7" i="13" s="1"/>
  <c r="Q87" i="3"/>
  <c r="Q25" i="3"/>
  <c r="J3" i="6" s="1"/>
  <c r="Q26" i="3"/>
  <c r="J4" i="6" s="1"/>
  <c r="Q27" i="3"/>
  <c r="J5" i="6" s="1"/>
  <c r="Q74" i="3"/>
  <c r="J3" i="13" s="1"/>
  <c r="Q88" i="3"/>
  <c r="Q91" i="3"/>
  <c r="Q92" i="3"/>
  <c r="Q28" i="3"/>
  <c r="J6" i="6" s="1"/>
  <c r="Q29" i="3"/>
  <c r="J7" i="6" s="1"/>
  <c r="Q30" i="3"/>
  <c r="J8" i="6" s="1"/>
  <c r="Q90" i="3"/>
  <c r="Q32" i="3"/>
  <c r="J3" i="7" s="1"/>
  <c r="Q33" i="3"/>
  <c r="J4" i="7" s="1"/>
  <c r="Q34" i="3"/>
  <c r="J5" i="7" s="1"/>
  <c r="Q35" i="3"/>
  <c r="J6" i="7" s="1"/>
  <c r="Q36" i="3"/>
  <c r="J7" i="7" s="1"/>
  <c r="Q37" i="3"/>
  <c r="J8" i="7" s="1"/>
  <c r="Q38" i="3"/>
  <c r="J2" i="8" s="1"/>
  <c r="Q41" i="3"/>
  <c r="J5" i="8" s="1"/>
  <c r="Q44" i="3"/>
  <c r="J8" i="8" s="1"/>
  <c r="Q45" i="3"/>
  <c r="J2" i="9" s="1"/>
  <c r="Q46" i="3"/>
  <c r="J3" i="9" s="1"/>
  <c r="Q47" i="3"/>
  <c r="J4" i="9" s="1"/>
  <c r="Q48" i="3"/>
  <c r="J5" i="9" s="1"/>
  <c r="Q49" i="3"/>
  <c r="J6" i="9" s="1"/>
  <c r="Q50" i="3"/>
  <c r="J7" i="9" s="1"/>
  <c r="Q51" i="3"/>
  <c r="J8" i="9" s="1"/>
  <c r="Q39" i="3"/>
  <c r="J3" i="8" s="1"/>
  <c r="Q54" i="3"/>
  <c r="J4" i="10" s="1"/>
  <c r="Q53" i="3"/>
  <c r="J3" i="10" s="1"/>
  <c r="Q56" i="3"/>
  <c r="J6" i="10" s="1"/>
  <c r="Q57" i="3"/>
  <c r="J7" i="10" s="1"/>
  <c r="Q58" i="3"/>
  <c r="J8" i="10" s="1"/>
  <c r="Q59" i="3"/>
  <c r="J2" i="11" s="1"/>
  <c r="Q61" i="3"/>
  <c r="J4" i="11" s="1"/>
  <c r="Q62" i="3"/>
  <c r="J5" i="11" s="1"/>
  <c r="Q64" i="3"/>
  <c r="J7" i="11" s="1"/>
  <c r="Q65" i="3"/>
  <c r="J8" i="11" s="1"/>
  <c r="Q67" i="3"/>
  <c r="J3" i="12" s="1"/>
  <c r="Q68" i="3"/>
  <c r="J4" i="12" s="1"/>
  <c r="Q69" i="3"/>
  <c r="J5" i="12" s="1"/>
  <c r="Q40" i="3"/>
  <c r="J4" i="8" s="1"/>
  <c r="Q71" i="3"/>
  <c r="J7" i="12" s="1"/>
  <c r="Q72" i="3"/>
  <c r="J8" i="12" s="1"/>
  <c r="Q42" i="3"/>
  <c r="J6" i="8" s="1"/>
  <c r="Q75" i="3"/>
  <c r="J4" i="13" s="1"/>
  <c r="Q79" i="3"/>
  <c r="J8" i="13" s="1"/>
  <c r="Q93" i="3"/>
  <c r="R9" i="3"/>
  <c r="J1" i="13"/>
  <c r="J1" i="4"/>
  <c r="J1" i="5"/>
  <c r="J1" i="6"/>
  <c r="J1" i="14"/>
  <c r="J1" i="7"/>
  <c r="J1" i="8"/>
  <c r="J1" i="9"/>
  <c r="J1" i="10"/>
  <c r="J1" i="11"/>
  <c r="J1" i="12"/>
  <c r="J1" i="15"/>
  <c r="Q31" i="3"/>
  <c r="J2" i="7" s="1"/>
  <c r="Q84" i="3"/>
  <c r="J6" i="14" s="1"/>
  <c r="Q24" i="3"/>
  <c r="J2" i="6" s="1"/>
  <c r="Q14" i="3"/>
  <c r="J6" i="4" s="1"/>
  <c r="R31" i="3" l="1"/>
  <c r="K2" i="7" s="1"/>
  <c r="R80" i="3"/>
  <c r="K2" i="14" s="1"/>
  <c r="R84" i="3"/>
  <c r="K6" i="14" s="1"/>
  <c r="R17" i="3"/>
  <c r="K2" i="5" s="1"/>
  <c r="R24" i="3"/>
  <c r="K2" i="6" s="1"/>
  <c r="R14" i="3"/>
  <c r="K6" i="4" s="1"/>
  <c r="R55" i="3"/>
  <c r="K5" i="10" s="1"/>
  <c r="R83" i="3"/>
  <c r="K5" i="14" s="1"/>
  <c r="R86" i="3"/>
  <c r="K8" i="14" s="1"/>
  <c r="R81" i="3"/>
  <c r="K3" i="14" s="1"/>
  <c r="R13" i="3"/>
  <c r="K5" i="4" s="1"/>
  <c r="R52" i="3"/>
  <c r="K2" i="10" s="1"/>
  <c r="R11" i="3"/>
  <c r="K3" i="4" s="1"/>
  <c r="R16" i="3"/>
  <c r="K8" i="4" s="1"/>
  <c r="R82" i="3"/>
  <c r="K4" i="14" s="1"/>
  <c r="R15" i="3"/>
  <c r="K7" i="4" s="1"/>
  <c r="R85" i="3"/>
  <c r="K7" i="14" s="1"/>
  <c r="R43" i="3"/>
  <c r="K7" i="8" s="1"/>
  <c r="R78" i="3"/>
  <c r="K7" i="13" s="1"/>
  <c r="R12" i="3"/>
  <c r="K4" i="4" s="1"/>
  <c r="R18" i="3"/>
  <c r="K3" i="5" s="1"/>
  <c r="R19" i="3"/>
  <c r="K4" i="5" s="1"/>
  <c r="R20" i="3"/>
  <c r="K5" i="5" s="1"/>
  <c r="R87" i="3"/>
  <c r="R91" i="3"/>
  <c r="R92" i="3"/>
  <c r="R22" i="3"/>
  <c r="K7" i="5" s="1"/>
  <c r="R23" i="3"/>
  <c r="K8" i="5" s="1"/>
  <c r="R76" i="3"/>
  <c r="K5" i="13" s="1"/>
  <c r="R26" i="3"/>
  <c r="K4" i="6" s="1"/>
  <c r="R27" i="3"/>
  <c r="K5" i="6" s="1"/>
  <c r="R70" i="3"/>
  <c r="K6" i="12" s="1"/>
  <c r="R89" i="3"/>
  <c r="R90" i="3"/>
  <c r="R25" i="3"/>
  <c r="K3" i="6" s="1"/>
  <c r="R29" i="3"/>
  <c r="K7" i="6" s="1"/>
  <c r="R30" i="3"/>
  <c r="K8" i="6" s="1"/>
  <c r="R74" i="3"/>
  <c r="K3" i="13" s="1"/>
  <c r="R88" i="3"/>
  <c r="R28" i="3"/>
  <c r="K6" i="6" s="1"/>
  <c r="R32" i="3"/>
  <c r="K3" i="7" s="1"/>
  <c r="R33" i="3"/>
  <c r="K4" i="7" s="1"/>
  <c r="R34" i="3"/>
  <c r="K5" i="7" s="1"/>
  <c r="R35" i="3"/>
  <c r="K6" i="7" s="1"/>
  <c r="R36" i="3"/>
  <c r="K7" i="7" s="1"/>
  <c r="R37" i="3"/>
  <c r="K8" i="7" s="1"/>
  <c r="R38" i="3"/>
  <c r="K2" i="8" s="1"/>
  <c r="R41" i="3"/>
  <c r="K5" i="8" s="1"/>
  <c r="R44" i="3"/>
  <c r="K8" i="8" s="1"/>
  <c r="R45" i="3"/>
  <c r="K2" i="9" s="1"/>
  <c r="R42" i="3"/>
  <c r="K6" i="8" s="1"/>
  <c r="R46" i="3"/>
  <c r="K3" i="9" s="1"/>
  <c r="R47" i="3"/>
  <c r="K4" i="9" s="1"/>
  <c r="R48" i="3"/>
  <c r="K5" i="9" s="1"/>
  <c r="R39" i="3"/>
  <c r="K3" i="8" s="1"/>
  <c r="R50" i="3"/>
  <c r="K7" i="9" s="1"/>
  <c r="R51" i="3"/>
  <c r="K8" i="9" s="1"/>
  <c r="R40" i="3"/>
  <c r="K4" i="8" s="1"/>
  <c r="R53" i="3"/>
  <c r="K3" i="10" s="1"/>
  <c r="R54" i="3"/>
  <c r="K4" i="10" s="1"/>
  <c r="R56" i="3"/>
  <c r="K6" i="10" s="1"/>
  <c r="R57" i="3"/>
  <c r="K7" i="10" s="1"/>
  <c r="R58" i="3"/>
  <c r="K8" i="10" s="1"/>
  <c r="R59" i="3"/>
  <c r="K2" i="11" s="1"/>
  <c r="R60" i="3"/>
  <c r="K3" i="11" s="1"/>
  <c r="R61" i="3"/>
  <c r="K4" i="11" s="1"/>
  <c r="R62" i="3"/>
  <c r="K5" i="11" s="1"/>
  <c r="R64" i="3"/>
  <c r="K7" i="11" s="1"/>
  <c r="R65" i="3"/>
  <c r="K8" i="11" s="1"/>
  <c r="R66" i="3"/>
  <c r="K2" i="12" s="1"/>
  <c r="R67" i="3"/>
  <c r="K3" i="12" s="1"/>
  <c r="R68" i="3"/>
  <c r="K4" i="12" s="1"/>
  <c r="R69" i="3"/>
  <c r="K5" i="12" s="1"/>
  <c r="R49" i="3"/>
  <c r="K6" i="9" s="1"/>
  <c r="R71" i="3"/>
  <c r="K7" i="12" s="1"/>
  <c r="R72" i="3"/>
  <c r="K8" i="12" s="1"/>
  <c r="R75" i="3"/>
  <c r="K4" i="13" s="1"/>
  <c r="R63" i="3"/>
  <c r="K6" i="11" s="1"/>
  <c r="R73" i="3"/>
  <c r="K2" i="13" s="1"/>
  <c r="R79" i="3"/>
  <c r="K8" i="13" s="1"/>
  <c r="R93" i="3"/>
  <c r="R77" i="3"/>
  <c r="K6" i="13" s="1"/>
  <c r="K1" i="4"/>
  <c r="K1" i="5"/>
  <c r="K1" i="6"/>
  <c r="K1" i="15"/>
  <c r="K1" i="7"/>
  <c r="K1" i="8"/>
  <c r="K1" i="9"/>
  <c r="K1" i="10"/>
  <c r="K1" i="11"/>
  <c r="K1" i="12"/>
  <c r="K1" i="13"/>
  <c r="K1" i="14"/>
  <c r="S9" i="3"/>
  <c r="S14" i="3"/>
  <c r="L6" i="4" s="1"/>
  <c r="R10" i="3"/>
  <c r="K2" i="4" s="1"/>
  <c r="R21" i="3"/>
  <c r="K6" i="5" s="1"/>
  <c r="S80" i="3" l="1"/>
  <c r="L2" i="14" s="1"/>
  <c r="S31" i="3"/>
  <c r="L2" i="7" s="1"/>
  <c r="S10" i="3"/>
  <c r="L2" i="4" s="1"/>
  <c r="S84" i="3"/>
  <c r="L6" i="14" s="1"/>
  <c r="S17" i="3"/>
  <c r="L2" i="5" s="1"/>
  <c r="S24" i="3"/>
  <c r="L2" i="6" s="1"/>
  <c r="S21" i="3"/>
  <c r="L6" i="5" s="1"/>
  <c r="S55" i="3"/>
  <c r="L5" i="10" s="1"/>
  <c r="S86" i="3"/>
  <c r="L8" i="14" s="1"/>
  <c r="S13" i="3"/>
  <c r="L5" i="4" s="1"/>
  <c r="S81" i="3"/>
  <c r="L3" i="14" s="1"/>
  <c r="S83" i="3"/>
  <c r="L5" i="14" s="1"/>
  <c r="S52" i="3"/>
  <c r="L2" i="10" s="1"/>
  <c r="S11" i="3"/>
  <c r="L3" i="4" s="1"/>
  <c r="S15" i="3"/>
  <c r="L7" i="4" s="1"/>
  <c r="S16" i="3"/>
  <c r="L8" i="4" s="1"/>
  <c r="S82" i="3"/>
  <c r="L4" i="14" s="1"/>
  <c r="S85" i="3"/>
  <c r="L7" i="14" s="1"/>
  <c r="S70" i="3"/>
  <c r="L6" i="12" s="1"/>
  <c r="S74" i="3"/>
  <c r="L3" i="13" s="1"/>
  <c r="S19" i="3"/>
  <c r="L4" i="5" s="1"/>
  <c r="S20" i="3"/>
  <c r="L5" i="5" s="1"/>
  <c r="S88" i="3"/>
  <c r="S12" i="3"/>
  <c r="L4" i="4" s="1"/>
  <c r="S22" i="3"/>
  <c r="L7" i="5" s="1"/>
  <c r="S23" i="3"/>
  <c r="L8" i="5" s="1"/>
  <c r="S64" i="3"/>
  <c r="L7" i="11" s="1"/>
  <c r="S90" i="3"/>
  <c r="S91" i="3"/>
  <c r="S26" i="3"/>
  <c r="L4" i="6" s="1"/>
  <c r="S27" i="3"/>
  <c r="L5" i="6" s="1"/>
  <c r="S73" i="3"/>
  <c r="L2" i="13" s="1"/>
  <c r="S76" i="3"/>
  <c r="L5" i="13" s="1"/>
  <c r="S18" i="3"/>
  <c r="L3" i="5" s="1"/>
  <c r="S28" i="3"/>
  <c r="L6" i="6" s="1"/>
  <c r="S29" i="3"/>
  <c r="L7" i="6" s="1"/>
  <c r="S30" i="3"/>
  <c r="L8" i="6" s="1"/>
  <c r="S43" i="3"/>
  <c r="L7" i="8" s="1"/>
  <c r="S78" i="3"/>
  <c r="L7" i="13" s="1"/>
  <c r="S87" i="3"/>
  <c r="S89" i="3"/>
  <c r="S92" i="3"/>
  <c r="S25" i="3"/>
  <c r="L3" i="6" s="1"/>
  <c r="S32" i="3"/>
  <c r="L3" i="7" s="1"/>
  <c r="S33" i="3"/>
  <c r="L4" i="7" s="1"/>
  <c r="S34" i="3"/>
  <c r="L5" i="7" s="1"/>
  <c r="S35" i="3"/>
  <c r="L6" i="7" s="1"/>
  <c r="S36" i="3"/>
  <c r="L7" i="7" s="1"/>
  <c r="S37" i="3"/>
  <c r="L8" i="7" s="1"/>
  <c r="S38" i="3"/>
  <c r="L2" i="8" s="1"/>
  <c r="S41" i="3"/>
  <c r="L5" i="8" s="1"/>
  <c r="S44" i="3"/>
  <c r="L8" i="8" s="1"/>
  <c r="S45" i="3"/>
  <c r="L2" i="9" s="1"/>
  <c r="S46" i="3"/>
  <c r="L3" i="9" s="1"/>
  <c r="S47" i="3"/>
  <c r="L4" i="9" s="1"/>
  <c r="S48" i="3"/>
  <c r="L5" i="9" s="1"/>
  <c r="S50" i="3"/>
  <c r="L7" i="9" s="1"/>
  <c r="S51" i="3"/>
  <c r="L8" i="9" s="1"/>
  <c r="S53" i="3"/>
  <c r="L3" i="10" s="1"/>
  <c r="S54" i="3"/>
  <c r="L4" i="10" s="1"/>
  <c r="S42" i="3"/>
  <c r="L6" i="8" s="1"/>
  <c r="S56" i="3"/>
  <c r="L6" i="10" s="1"/>
  <c r="S57" i="3"/>
  <c r="L7" i="10" s="1"/>
  <c r="S58" i="3"/>
  <c r="L8" i="10" s="1"/>
  <c r="S59" i="3"/>
  <c r="L2" i="11" s="1"/>
  <c r="S60" i="3"/>
  <c r="L3" i="11" s="1"/>
  <c r="S61" i="3"/>
  <c r="L4" i="11" s="1"/>
  <c r="S62" i="3"/>
  <c r="L5" i="11" s="1"/>
  <c r="S63" i="3"/>
  <c r="L6" i="11" s="1"/>
  <c r="S65" i="3"/>
  <c r="L8" i="11" s="1"/>
  <c r="S66" i="3"/>
  <c r="L2" i="12" s="1"/>
  <c r="S39" i="3"/>
  <c r="L3" i="8" s="1"/>
  <c r="S67" i="3"/>
  <c r="L3" i="12" s="1"/>
  <c r="S68" i="3"/>
  <c r="L4" i="12" s="1"/>
  <c r="S69" i="3"/>
  <c r="L5" i="12" s="1"/>
  <c r="S71" i="3"/>
  <c r="L7" i="12" s="1"/>
  <c r="S72" i="3"/>
  <c r="L8" i="12" s="1"/>
  <c r="S40" i="3"/>
  <c r="L4" i="8" s="1"/>
  <c r="S49" i="3"/>
  <c r="L6" i="9" s="1"/>
  <c r="S75" i="3"/>
  <c r="L4" i="13" s="1"/>
  <c r="S79" i="3"/>
  <c r="L8" i="13" s="1"/>
  <c r="S93" i="3"/>
  <c r="S77" i="3"/>
  <c r="L6" i="13" s="1"/>
  <c r="L1" i="4"/>
  <c r="L1" i="5"/>
  <c r="L1" i="6"/>
  <c r="T9" i="3"/>
  <c r="L1" i="7"/>
  <c r="L1" i="8"/>
  <c r="L1" i="9"/>
  <c r="L1" i="10"/>
  <c r="L1" i="11"/>
  <c r="L1" i="12"/>
  <c r="L1" i="13"/>
  <c r="L1" i="15"/>
  <c r="L1" i="14"/>
  <c r="T84" i="3" l="1"/>
  <c r="M6" i="14" s="1"/>
  <c r="T21" i="3"/>
  <c r="M6" i="5" s="1"/>
  <c r="T14" i="3"/>
  <c r="M6" i="4" s="1"/>
  <c r="T80" i="3"/>
  <c r="M2" i="14" s="1"/>
  <c r="T31" i="3"/>
  <c r="M2" i="7" s="1"/>
  <c r="T10" i="3"/>
  <c r="M2" i="4" s="1"/>
  <c r="T24" i="3"/>
  <c r="M2" i="6" s="1"/>
  <c r="T17" i="3"/>
  <c r="M2" i="5" s="1"/>
  <c r="T55" i="3"/>
  <c r="M5" i="10" s="1"/>
  <c r="T81" i="3"/>
  <c r="M3" i="14" s="1"/>
  <c r="T83" i="3"/>
  <c r="M5" i="14" s="1"/>
  <c r="T86" i="3"/>
  <c r="M8" i="14" s="1"/>
  <c r="T52" i="3"/>
  <c r="M2" i="10" s="1"/>
  <c r="T11" i="3"/>
  <c r="M3" i="4" s="1"/>
  <c r="T16" i="3"/>
  <c r="M8" i="4" s="1"/>
  <c r="T13" i="3"/>
  <c r="M5" i="4" s="1"/>
  <c r="T15" i="3"/>
  <c r="M7" i="4" s="1"/>
  <c r="T82" i="3"/>
  <c r="M4" i="14" s="1"/>
  <c r="T85" i="3"/>
  <c r="M7" i="14" s="1"/>
  <c r="T42" i="3"/>
  <c r="M6" i="8" s="1"/>
  <c r="T63" i="3"/>
  <c r="M6" i="11" s="1"/>
  <c r="T76" i="3"/>
  <c r="M5" i="13" s="1"/>
  <c r="T88" i="3"/>
  <c r="T39" i="3"/>
  <c r="M3" i="8" s="1"/>
  <c r="T19" i="3"/>
  <c r="M4" i="5" s="1"/>
  <c r="T20" i="3"/>
  <c r="M5" i="5" s="1"/>
  <c r="T78" i="3"/>
  <c r="M7" i="13" s="1"/>
  <c r="T87" i="3"/>
  <c r="T89" i="3"/>
  <c r="T90" i="3"/>
  <c r="T22" i="3"/>
  <c r="M7" i="5" s="1"/>
  <c r="T23" i="3"/>
  <c r="M8" i="5" s="1"/>
  <c r="T12" i="3"/>
  <c r="M4" i="4" s="1"/>
  <c r="T26" i="3"/>
  <c r="M4" i="6" s="1"/>
  <c r="T27" i="3"/>
  <c r="M5" i="6" s="1"/>
  <c r="T73" i="3"/>
  <c r="M2" i="13" s="1"/>
  <c r="T74" i="3"/>
  <c r="M3" i="13" s="1"/>
  <c r="T91" i="3"/>
  <c r="T92" i="3"/>
  <c r="T25" i="3"/>
  <c r="M3" i="6" s="1"/>
  <c r="T28" i="3"/>
  <c r="M6" i="6" s="1"/>
  <c r="T29" i="3"/>
  <c r="M7" i="6" s="1"/>
  <c r="T30" i="3"/>
  <c r="M8" i="6" s="1"/>
  <c r="T45" i="3"/>
  <c r="M2" i="9" s="1"/>
  <c r="T18" i="3"/>
  <c r="M3" i="5" s="1"/>
  <c r="T32" i="3"/>
  <c r="M3" i="7" s="1"/>
  <c r="T33" i="3"/>
  <c r="M4" i="7" s="1"/>
  <c r="T34" i="3"/>
  <c r="M5" i="7" s="1"/>
  <c r="T35" i="3"/>
  <c r="M6" i="7" s="1"/>
  <c r="T36" i="3"/>
  <c r="M7" i="7" s="1"/>
  <c r="T37" i="3"/>
  <c r="M8" i="7" s="1"/>
  <c r="T38" i="3"/>
  <c r="M2" i="8" s="1"/>
  <c r="T41" i="3"/>
  <c r="M5" i="8" s="1"/>
  <c r="T44" i="3"/>
  <c r="M8" i="8" s="1"/>
  <c r="T46" i="3"/>
  <c r="M3" i="9" s="1"/>
  <c r="T47" i="3"/>
  <c r="M4" i="9" s="1"/>
  <c r="T48" i="3"/>
  <c r="M5" i="9" s="1"/>
  <c r="T50" i="3"/>
  <c r="M7" i="9" s="1"/>
  <c r="T51" i="3"/>
  <c r="M8" i="9" s="1"/>
  <c r="T53" i="3"/>
  <c r="M3" i="10" s="1"/>
  <c r="T54" i="3"/>
  <c r="M4" i="10" s="1"/>
  <c r="T56" i="3"/>
  <c r="M6" i="10" s="1"/>
  <c r="T57" i="3"/>
  <c r="M7" i="10" s="1"/>
  <c r="T58" i="3"/>
  <c r="M8" i="10" s="1"/>
  <c r="T59" i="3"/>
  <c r="M2" i="11" s="1"/>
  <c r="T60" i="3"/>
  <c r="M3" i="11" s="1"/>
  <c r="T61" i="3"/>
  <c r="M4" i="11" s="1"/>
  <c r="T62" i="3"/>
  <c r="M5" i="11" s="1"/>
  <c r="T65" i="3"/>
  <c r="M8" i="11" s="1"/>
  <c r="T66" i="3"/>
  <c r="M2" i="12" s="1"/>
  <c r="T40" i="3"/>
  <c r="M4" i="8" s="1"/>
  <c r="T49" i="3"/>
  <c r="M6" i="9" s="1"/>
  <c r="T67" i="3"/>
  <c r="M3" i="12" s="1"/>
  <c r="T68" i="3"/>
  <c r="M4" i="12" s="1"/>
  <c r="T69" i="3"/>
  <c r="M5" i="12" s="1"/>
  <c r="T64" i="3"/>
  <c r="M7" i="11" s="1"/>
  <c r="T70" i="3"/>
  <c r="M6" i="12" s="1"/>
  <c r="T71" i="3"/>
  <c r="M7" i="12" s="1"/>
  <c r="T72" i="3"/>
  <c r="M8" i="12" s="1"/>
  <c r="T75" i="3"/>
  <c r="M4" i="13" s="1"/>
  <c r="T43" i="3"/>
  <c r="M7" i="8" s="1"/>
  <c r="T79" i="3"/>
  <c r="M8" i="13" s="1"/>
  <c r="T93" i="3"/>
  <c r="M1" i="7"/>
  <c r="M1" i="8"/>
  <c r="M1" i="9"/>
  <c r="M1" i="10"/>
  <c r="M1" i="11"/>
  <c r="M1" i="12"/>
  <c r="M1" i="13"/>
  <c r="U9" i="3"/>
  <c r="M1" i="14"/>
  <c r="M1" i="15"/>
  <c r="T77" i="3"/>
  <c r="M6" i="13" s="1"/>
  <c r="M1" i="4"/>
  <c r="M1" i="5"/>
  <c r="M1" i="6"/>
  <c r="U80" i="3" l="1"/>
  <c r="N2" i="14" s="1"/>
  <c r="U84" i="3"/>
  <c r="N6" i="14" s="1"/>
  <c r="U14" i="3"/>
  <c r="N6" i="4" s="1"/>
  <c r="U31" i="3"/>
  <c r="N2" i="7" s="1"/>
  <c r="U10" i="3"/>
  <c r="N2" i="4" s="1"/>
  <c r="U21" i="3"/>
  <c r="N6" i="5" s="1"/>
  <c r="U24" i="3"/>
  <c r="N2" i="6" s="1"/>
  <c r="U17" i="3"/>
  <c r="N2" i="5" s="1"/>
  <c r="U55" i="3"/>
  <c r="N5" i="10" s="1"/>
  <c r="U16" i="3"/>
  <c r="N8" i="4" s="1"/>
  <c r="U86" i="3"/>
  <c r="N8" i="14" s="1"/>
  <c r="U11" i="3"/>
  <c r="N3" i="4" s="1"/>
  <c r="U15" i="3"/>
  <c r="N7" i="4" s="1"/>
  <c r="U83" i="3"/>
  <c r="N5" i="14" s="1"/>
  <c r="U52" i="3"/>
  <c r="N2" i="10" s="1"/>
  <c r="U13" i="3"/>
  <c r="N5" i="4" s="1"/>
  <c r="U82" i="3"/>
  <c r="N4" i="14" s="1"/>
  <c r="U81" i="3"/>
  <c r="N3" i="14" s="1"/>
  <c r="U85" i="3"/>
  <c r="N7" i="14" s="1"/>
  <c r="U63" i="3"/>
  <c r="N6" i="11" s="1"/>
  <c r="U64" i="3"/>
  <c r="N7" i="11" s="1"/>
  <c r="U91" i="3"/>
  <c r="U19" i="3"/>
  <c r="N4" i="5" s="1"/>
  <c r="U20" i="3"/>
  <c r="N5" i="5" s="1"/>
  <c r="U42" i="3"/>
  <c r="N6" i="8" s="1"/>
  <c r="U70" i="3"/>
  <c r="N6" i="12" s="1"/>
  <c r="U73" i="3"/>
  <c r="N2" i="13" s="1"/>
  <c r="U22" i="3"/>
  <c r="N7" i="5" s="1"/>
  <c r="U23" i="3"/>
  <c r="N8" i="5" s="1"/>
  <c r="U43" i="3"/>
  <c r="N7" i="8" s="1"/>
  <c r="U78" i="3"/>
  <c r="N7" i="13" s="1"/>
  <c r="U88" i="3"/>
  <c r="U89" i="3"/>
  <c r="U18" i="3"/>
  <c r="N3" i="5" s="1"/>
  <c r="U25" i="3"/>
  <c r="N3" i="6" s="1"/>
  <c r="U26" i="3"/>
  <c r="N4" i="6" s="1"/>
  <c r="U27" i="3"/>
  <c r="N5" i="6" s="1"/>
  <c r="U39" i="3"/>
  <c r="N3" i="8" s="1"/>
  <c r="U40" i="3"/>
  <c r="N4" i="8" s="1"/>
  <c r="U49" i="3"/>
  <c r="N6" i="9" s="1"/>
  <c r="U92" i="3"/>
  <c r="U29" i="3"/>
  <c r="N7" i="6" s="1"/>
  <c r="U30" i="3"/>
  <c r="N8" i="6" s="1"/>
  <c r="U76" i="3"/>
  <c r="N5" i="13" s="1"/>
  <c r="U87" i="3"/>
  <c r="U90" i="3"/>
  <c r="U12" i="3"/>
  <c r="N4" i="4" s="1"/>
  <c r="U28" i="3"/>
  <c r="N6" i="6" s="1"/>
  <c r="U32" i="3"/>
  <c r="N3" i="7" s="1"/>
  <c r="U33" i="3"/>
  <c r="N4" i="7" s="1"/>
  <c r="U34" i="3"/>
  <c r="N5" i="7" s="1"/>
  <c r="U35" i="3"/>
  <c r="N6" i="7" s="1"/>
  <c r="U36" i="3"/>
  <c r="N7" i="7" s="1"/>
  <c r="U37" i="3"/>
  <c r="N8" i="7" s="1"/>
  <c r="U38" i="3"/>
  <c r="N2" i="8" s="1"/>
  <c r="U41" i="3"/>
  <c r="N5" i="8" s="1"/>
  <c r="U44" i="3"/>
  <c r="N8" i="8" s="1"/>
  <c r="U46" i="3"/>
  <c r="N3" i="9" s="1"/>
  <c r="U47" i="3"/>
  <c r="N4" i="9" s="1"/>
  <c r="U48" i="3"/>
  <c r="N5" i="9" s="1"/>
  <c r="U51" i="3"/>
  <c r="N8" i="9" s="1"/>
  <c r="U53" i="3"/>
  <c r="N3" i="10" s="1"/>
  <c r="U54" i="3"/>
  <c r="N4" i="10" s="1"/>
  <c r="U50" i="3"/>
  <c r="N7" i="9" s="1"/>
  <c r="U56" i="3"/>
  <c r="N6" i="10" s="1"/>
  <c r="U57" i="3"/>
  <c r="N7" i="10" s="1"/>
  <c r="U58" i="3"/>
  <c r="N8" i="10" s="1"/>
  <c r="U59" i="3"/>
  <c r="N2" i="11" s="1"/>
  <c r="U60" i="3"/>
  <c r="N3" i="11" s="1"/>
  <c r="U61" i="3"/>
  <c r="N4" i="11" s="1"/>
  <c r="U62" i="3"/>
  <c r="N5" i="11" s="1"/>
  <c r="U65" i="3"/>
  <c r="N8" i="11" s="1"/>
  <c r="U66" i="3"/>
  <c r="N2" i="12" s="1"/>
  <c r="U67" i="3"/>
  <c r="N3" i="12" s="1"/>
  <c r="U68" i="3"/>
  <c r="N4" i="12" s="1"/>
  <c r="U69" i="3"/>
  <c r="N5" i="12" s="1"/>
  <c r="U45" i="3"/>
  <c r="N2" i="9" s="1"/>
  <c r="U71" i="3"/>
  <c r="N7" i="12" s="1"/>
  <c r="U72" i="3"/>
  <c r="N8" i="12" s="1"/>
  <c r="U75" i="3"/>
  <c r="N4" i="13" s="1"/>
  <c r="U74" i="3"/>
  <c r="N3" i="13" s="1"/>
  <c r="U79" i="3"/>
  <c r="N8" i="13" s="1"/>
  <c r="U93" i="3"/>
  <c r="N1" i="15"/>
  <c r="U77" i="3"/>
  <c r="N6" i="13" s="1"/>
  <c r="N1" i="4"/>
  <c r="N1" i="5"/>
  <c r="N1" i="6"/>
  <c r="N1" i="7"/>
  <c r="N1" i="8"/>
  <c r="N1" i="9"/>
  <c r="N1" i="10"/>
  <c r="N1" i="11"/>
  <c r="N1" i="12"/>
  <c r="V9" i="3"/>
  <c r="N1" i="13"/>
  <c r="N1" i="14"/>
  <c r="V80" i="3" l="1"/>
  <c r="O2" i="14" s="1"/>
  <c r="V84" i="3"/>
  <c r="O6" i="14" s="1"/>
  <c r="V14" i="3"/>
  <c r="O6" i="4" s="1"/>
  <c r="V17" i="3"/>
  <c r="O2" i="5" s="1"/>
  <c r="V31" i="3"/>
  <c r="O2" i="7" s="1"/>
  <c r="V24" i="3"/>
  <c r="O2" i="6" s="1"/>
  <c r="V10" i="3"/>
  <c r="O2" i="4" s="1"/>
  <c r="V21" i="3"/>
  <c r="O6" i="5" s="1"/>
  <c r="V55" i="3"/>
  <c r="O5" i="10" s="1"/>
  <c r="V13" i="3"/>
  <c r="O5" i="4" s="1"/>
  <c r="V15" i="3"/>
  <c r="O7" i="4" s="1"/>
  <c r="V86" i="3"/>
  <c r="O8" i="14" s="1"/>
  <c r="V11" i="3"/>
  <c r="O3" i="4" s="1"/>
  <c r="V81" i="3"/>
  <c r="O3" i="14" s="1"/>
  <c r="V52" i="3"/>
  <c r="O2" i="10" s="1"/>
  <c r="V82" i="3"/>
  <c r="O4" i="14" s="1"/>
  <c r="V16" i="3"/>
  <c r="O8" i="4" s="1"/>
  <c r="V83" i="3"/>
  <c r="O5" i="14" s="1"/>
  <c r="V85" i="3"/>
  <c r="O7" i="14" s="1"/>
  <c r="V45" i="3"/>
  <c r="O2" i="9" s="1"/>
  <c r="V78" i="3"/>
  <c r="O7" i="13" s="1"/>
  <c r="V89" i="3"/>
  <c r="V90" i="3"/>
  <c r="V19" i="3"/>
  <c r="O4" i="5" s="1"/>
  <c r="V20" i="3"/>
  <c r="O5" i="5" s="1"/>
  <c r="V49" i="3"/>
  <c r="O6" i="9" s="1"/>
  <c r="V64" i="3"/>
  <c r="O7" i="11" s="1"/>
  <c r="V91" i="3"/>
  <c r="V18" i="3"/>
  <c r="O3" i="5" s="1"/>
  <c r="V22" i="3"/>
  <c r="O7" i="5" s="1"/>
  <c r="V23" i="3"/>
  <c r="O8" i="5" s="1"/>
  <c r="V74" i="3"/>
  <c r="O3" i="13" s="1"/>
  <c r="V87" i="3"/>
  <c r="V92" i="3"/>
  <c r="V26" i="3"/>
  <c r="O4" i="6" s="1"/>
  <c r="V27" i="3"/>
  <c r="O5" i="6" s="1"/>
  <c r="V12" i="3"/>
  <c r="O4" i="4" s="1"/>
  <c r="V29" i="3"/>
  <c r="O7" i="6" s="1"/>
  <c r="V30" i="3"/>
  <c r="O8" i="6" s="1"/>
  <c r="V70" i="3"/>
  <c r="O6" i="12" s="1"/>
  <c r="V73" i="3"/>
  <c r="O2" i="13" s="1"/>
  <c r="V88" i="3"/>
  <c r="V25" i="3"/>
  <c r="O3" i="6" s="1"/>
  <c r="V28" i="3"/>
  <c r="O6" i="6" s="1"/>
  <c r="V32" i="3"/>
  <c r="O3" i="7" s="1"/>
  <c r="V33" i="3"/>
  <c r="O4" i="7" s="1"/>
  <c r="V35" i="3"/>
  <c r="O6" i="7" s="1"/>
  <c r="V36" i="3"/>
  <c r="O7" i="7" s="1"/>
  <c r="V37" i="3"/>
  <c r="O8" i="7" s="1"/>
  <c r="V38" i="3"/>
  <c r="O2" i="8" s="1"/>
  <c r="V41" i="3"/>
  <c r="O5" i="8" s="1"/>
  <c r="V44" i="3"/>
  <c r="O8" i="8" s="1"/>
  <c r="V42" i="3"/>
  <c r="O6" i="8" s="1"/>
  <c r="V46" i="3"/>
  <c r="O3" i="9" s="1"/>
  <c r="V47" i="3"/>
  <c r="O4" i="9" s="1"/>
  <c r="V48" i="3"/>
  <c r="O5" i="9" s="1"/>
  <c r="V40" i="3"/>
  <c r="O4" i="8" s="1"/>
  <c r="V51" i="3"/>
  <c r="O8" i="9" s="1"/>
  <c r="V50" i="3"/>
  <c r="O7" i="9" s="1"/>
  <c r="V53" i="3"/>
  <c r="O3" i="10" s="1"/>
  <c r="V54" i="3"/>
  <c r="O4" i="10" s="1"/>
  <c r="V56" i="3"/>
  <c r="O6" i="10" s="1"/>
  <c r="V57" i="3"/>
  <c r="O7" i="10" s="1"/>
  <c r="V58" i="3"/>
  <c r="O8" i="10" s="1"/>
  <c r="V59" i="3"/>
  <c r="O2" i="11" s="1"/>
  <c r="V60" i="3"/>
  <c r="O3" i="11" s="1"/>
  <c r="V61" i="3"/>
  <c r="O4" i="11" s="1"/>
  <c r="V62" i="3"/>
  <c r="O5" i="11" s="1"/>
  <c r="V39" i="3"/>
  <c r="O3" i="8" s="1"/>
  <c r="V43" i="3"/>
  <c r="O7" i="8" s="1"/>
  <c r="V65" i="3"/>
  <c r="O8" i="11" s="1"/>
  <c r="V66" i="3"/>
  <c r="O2" i="12" s="1"/>
  <c r="V67" i="3"/>
  <c r="O3" i="12" s="1"/>
  <c r="V68" i="3"/>
  <c r="O4" i="12" s="1"/>
  <c r="V69" i="3"/>
  <c r="O5" i="12" s="1"/>
  <c r="V71" i="3"/>
  <c r="O7" i="12" s="1"/>
  <c r="V72" i="3"/>
  <c r="O8" i="12" s="1"/>
  <c r="V63" i="3"/>
  <c r="O6" i="11" s="1"/>
  <c r="V75" i="3"/>
  <c r="O4" i="13" s="1"/>
  <c r="V76" i="3"/>
  <c r="O5" i="13" s="1"/>
  <c r="V79" i="3"/>
  <c r="O8" i="13" s="1"/>
  <c r="V93" i="3"/>
  <c r="O1" i="15"/>
  <c r="W9" i="3"/>
  <c r="V34" i="3"/>
  <c r="O5" i="7" s="1"/>
  <c r="O1" i="14"/>
  <c r="V77" i="3"/>
  <c r="O6" i="13" s="1"/>
  <c r="O1" i="4"/>
  <c r="O1" i="5"/>
  <c r="O1" i="6"/>
  <c r="O1" i="7"/>
  <c r="O1" i="8"/>
  <c r="O1" i="13"/>
  <c r="O1" i="9"/>
  <c r="O1" i="10"/>
  <c r="O1" i="11"/>
  <c r="O1" i="12"/>
  <c r="W84" i="3" l="1"/>
  <c r="P6" i="14" s="1"/>
  <c r="W14" i="3"/>
  <c r="P6" i="4" s="1"/>
  <c r="W80" i="3"/>
  <c r="P2" i="14" s="1"/>
  <c r="W31" i="3"/>
  <c r="P2" i="7" s="1"/>
  <c r="W10" i="3"/>
  <c r="P2" i="4" s="1"/>
  <c r="W24" i="3"/>
  <c r="P2" i="6" s="1"/>
  <c r="W17" i="3"/>
  <c r="P2" i="5" s="1"/>
  <c r="W21" i="3"/>
  <c r="P6" i="5" s="1"/>
  <c r="W55" i="3"/>
  <c r="P5" i="10" s="1"/>
  <c r="W13" i="3"/>
  <c r="P5" i="4" s="1"/>
  <c r="W85" i="3"/>
  <c r="P7" i="14" s="1"/>
  <c r="W86" i="3"/>
  <c r="P8" i="14" s="1"/>
  <c r="W52" i="3"/>
  <c r="P2" i="10" s="1"/>
  <c r="W11" i="3"/>
  <c r="P3" i="4" s="1"/>
  <c r="W15" i="3"/>
  <c r="P7" i="4" s="1"/>
  <c r="W16" i="3"/>
  <c r="P8" i="4" s="1"/>
  <c r="W81" i="3"/>
  <c r="P3" i="14" s="1"/>
  <c r="W82" i="3"/>
  <c r="P4" i="14" s="1"/>
  <c r="W83" i="3"/>
  <c r="P5" i="14" s="1"/>
  <c r="W19" i="3"/>
  <c r="P4" i="5" s="1"/>
  <c r="W20" i="3"/>
  <c r="P5" i="5" s="1"/>
  <c r="W40" i="3"/>
  <c r="P4" i="8" s="1"/>
  <c r="W74" i="3"/>
  <c r="P3" i="13" s="1"/>
  <c r="W87" i="3"/>
  <c r="W22" i="3"/>
  <c r="P7" i="5" s="1"/>
  <c r="W23" i="3"/>
  <c r="P8" i="5" s="1"/>
  <c r="W73" i="3"/>
  <c r="P2" i="13" s="1"/>
  <c r="W26" i="3"/>
  <c r="P4" i="6" s="1"/>
  <c r="W27" i="3"/>
  <c r="P5" i="6" s="1"/>
  <c r="W78" i="3"/>
  <c r="P7" i="13" s="1"/>
  <c r="W88" i="3"/>
  <c r="W90" i="3"/>
  <c r="W91" i="3"/>
  <c r="W12" i="3"/>
  <c r="P4" i="4" s="1"/>
  <c r="W18" i="3"/>
  <c r="P3" i="5" s="1"/>
  <c r="W25" i="3"/>
  <c r="P3" i="6" s="1"/>
  <c r="W28" i="3"/>
  <c r="P6" i="6" s="1"/>
  <c r="W29" i="3"/>
  <c r="P7" i="6" s="1"/>
  <c r="W30" i="3"/>
  <c r="P8" i="6" s="1"/>
  <c r="W39" i="3"/>
  <c r="P3" i="8" s="1"/>
  <c r="W89" i="3"/>
  <c r="W92" i="3"/>
  <c r="W32" i="3"/>
  <c r="P3" i="7" s="1"/>
  <c r="W33" i="3"/>
  <c r="P4" i="7" s="1"/>
  <c r="W35" i="3"/>
  <c r="P6" i="7" s="1"/>
  <c r="W36" i="3"/>
  <c r="P7" i="7" s="1"/>
  <c r="W37" i="3"/>
  <c r="P8" i="7" s="1"/>
  <c r="W38" i="3"/>
  <c r="P2" i="8" s="1"/>
  <c r="W41" i="3"/>
  <c r="P5" i="8" s="1"/>
  <c r="W44" i="3"/>
  <c r="P8" i="8" s="1"/>
  <c r="W45" i="3"/>
  <c r="P2" i="9" s="1"/>
  <c r="W46" i="3"/>
  <c r="P3" i="9" s="1"/>
  <c r="W47" i="3"/>
  <c r="P4" i="9" s="1"/>
  <c r="W48" i="3"/>
  <c r="P5" i="9" s="1"/>
  <c r="W51" i="3"/>
  <c r="P8" i="9" s="1"/>
  <c r="W53" i="3"/>
  <c r="P3" i="10" s="1"/>
  <c r="W54" i="3"/>
  <c r="P4" i="10" s="1"/>
  <c r="W49" i="3"/>
  <c r="P6" i="9" s="1"/>
  <c r="W50" i="3"/>
  <c r="P7" i="9" s="1"/>
  <c r="W56" i="3"/>
  <c r="P6" i="10" s="1"/>
  <c r="W57" i="3"/>
  <c r="P7" i="10" s="1"/>
  <c r="W58" i="3"/>
  <c r="P8" i="10" s="1"/>
  <c r="W59" i="3"/>
  <c r="P2" i="11" s="1"/>
  <c r="W60" i="3"/>
  <c r="P3" i="11" s="1"/>
  <c r="W61" i="3"/>
  <c r="P4" i="11" s="1"/>
  <c r="W62" i="3"/>
  <c r="P5" i="11" s="1"/>
  <c r="W42" i="3"/>
  <c r="P6" i="8" s="1"/>
  <c r="W65" i="3"/>
  <c r="P8" i="11" s="1"/>
  <c r="W43" i="3"/>
  <c r="P7" i="8" s="1"/>
  <c r="W66" i="3"/>
  <c r="P2" i="12" s="1"/>
  <c r="W67" i="3"/>
  <c r="P3" i="12" s="1"/>
  <c r="W68" i="3"/>
  <c r="P4" i="12" s="1"/>
  <c r="W69" i="3"/>
  <c r="P5" i="12" s="1"/>
  <c r="W63" i="3"/>
  <c r="P6" i="11" s="1"/>
  <c r="W71" i="3"/>
  <c r="P7" i="12" s="1"/>
  <c r="W72" i="3"/>
  <c r="P8" i="12" s="1"/>
  <c r="W75" i="3"/>
  <c r="P4" i="13" s="1"/>
  <c r="W76" i="3"/>
  <c r="P5" i="13" s="1"/>
  <c r="W64" i="3"/>
  <c r="P7" i="11" s="1"/>
  <c r="W70" i="3"/>
  <c r="P6" i="12" s="1"/>
  <c r="W79" i="3"/>
  <c r="P8" i="13" s="1"/>
  <c r="W93" i="3"/>
  <c r="W34" i="3"/>
  <c r="P5" i="7" s="1"/>
  <c r="P1" i="13"/>
  <c r="P1" i="15"/>
  <c r="W77" i="3"/>
  <c r="P6" i="13" s="1"/>
  <c r="P1" i="4"/>
  <c r="P1" i="5"/>
  <c r="P1" i="6"/>
  <c r="P1" i="7"/>
  <c r="P1" i="8"/>
  <c r="P1" i="9"/>
  <c r="P1" i="10"/>
  <c r="P1" i="11"/>
  <c r="P1" i="12"/>
  <c r="X9" i="3"/>
  <c r="P1" i="14"/>
  <c r="X14" i="3" l="1"/>
  <c r="Q6" i="4" s="1"/>
  <c r="X80" i="3"/>
  <c r="Q2" i="14" s="1"/>
  <c r="X84" i="3"/>
  <c r="Q6" i="14" s="1"/>
  <c r="X17" i="3"/>
  <c r="Q2" i="5" s="1"/>
  <c r="X31" i="3"/>
  <c r="Q2" i="7" s="1"/>
  <c r="X21" i="3"/>
  <c r="Q6" i="5" s="1"/>
  <c r="X24" i="3"/>
  <c r="Q2" i="6" s="1"/>
  <c r="X10" i="3"/>
  <c r="Q2" i="4" s="1"/>
  <c r="X55" i="3"/>
  <c r="Q5" i="10" s="1"/>
  <c r="X81" i="3"/>
  <c r="Q3" i="14" s="1"/>
  <c r="X86" i="3"/>
  <c r="Q8" i="14" s="1"/>
  <c r="X15" i="3"/>
  <c r="Q7" i="4" s="1"/>
  <c r="X83" i="3"/>
  <c r="Q5" i="14" s="1"/>
  <c r="X16" i="3"/>
  <c r="Q8" i="4" s="1"/>
  <c r="X52" i="3"/>
  <c r="Q2" i="10" s="1"/>
  <c r="X11" i="3"/>
  <c r="Q3" i="4" s="1"/>
  <c r="X82" i="3"/>
  <c r="Q4" i="14" s="1"/>
  <c r="X13" i="3"/>
  <c r="Q5" i="4" s="1"/>
  <c r="X85" i="3"/>
  <c r="Q7" i="14" s="1"/>
  <c r="X39" i="3"/>
  <c r="Q3" i="8" s="1"/>
  <c r="X18" i="3"/>
  <c r="Q3" i="5" s="1"/>
  <c r="X19" i="3"/>
  <c r="Q4" i="5" s="1"/>
  <c r="X20" i="3"/>
  <c r="Q5" i="5" s="1"/>
  <c r="X70" i="3"/>
  <c r="Q6" i="12" s="1"/>
  <c r="X89" i="3"/>
  <c r="X22" i="3"/>
  <c r="Q7" i="5" s="1"/>
  <c r="X23" i="3"/>
  <c r="Q8" i="5" s="1"/>
  <c r="X40" i="3"/>
  <c r="Q4" i="8" s="1"/>
  <c r="X88" i="3"/>
  <c r="X90" i="3"/>
  <c r="X92" i="3"/>
  <c r="X25" i="3"/>
  <c r="Q3" i="6" s="1"/>
  <c r="X26" i="3"/>
  <c r="Q4" i="6" s="1"/>
  <c r="X27" i="3"/>
  <c r="Q5" i="6" s="1"/>
  <c r="X43" i="3"/>
  <c r="Q7" i="8" s="1"/>
  <c r="X76" i="3"/>
  <c r="Q5" i="13" s="1"/>
  <c r="X78" i="3"/>
  <c r="Q7" i="13" s="1"/>
  <c r="X87" i="3"/>
  <c r="X12" i="3"/>
  <c r="Q4" i="4" s="1"/>
  <c r="X28" i="3"/>
  <c r="Q6" i="6" s="1"/>
  <c r="X29" i="3"/>
  <c r="Q7" i="6" s="1"/>
  <c r="X30" i="3"/>
  <c r="Q8" i="6" s="1"/>
  <c r="X42" i="3"/>
  <c r="Q6" i="8" s="1"/>
  <c r="X64" i="3"/>
  <c r="Q7" i="11" s="1"/>
  <c r="X74" i="3"/>
  <c r="Q3" i="13" s="1"/>
  <c r="X91" i="3"/>
  <c r="X32" i="3"/>
  <c r="Q3" i="7" s="1"/>
  <c r="X33" i="3"/>
  <c r="Q4" i="7" s="1"/>
  <c r="X35" i="3"/>
  <c r="Q6" i="7" s="1"/>
  <c r="X36" i="3"/>
  <c r="Q7" i="7" s="1"/>
  <c r="X37" i="3"/>
  <c r="Q8" i="7" s="1"/>
  <c r="X38" i="3"/>
  <c r="Q2" i="8" s="1"/>
  <c r="X41" i="3"/>
  <c r="Q5" i="8" s="1"/>
  <c r="X44" i="3"/>
  <c r="Q8" i="8" s="1"/>
  <c r="X45" i="3"/>
  <c r="Q2" i="9" s="1"/>
  <c r="X46" i="3"/>
  <c r="Q3" i="9" s="1"/>
  <c r="X47" i="3"/>
  <c r="Q4" i="9" s="1"/>
  <c r="X48" i="3"/>
  <c r="Q5" i="9" s="1"/>
  <c r="X50" i="3"/>
  <c r="Q7" i="9" s="1"/>
  <c r="X51" i="3"/>
  <c r="Q8" i="9" s="1"/>
  <c r="X53" i="3"/>
  <c r="Q3" i="10" s="1"/>
  <c r="X54" i="3"/>
  <c r="Q4" i="10" s="1"/>
  <c r="X56" i="3"/>
  <c r="Q6" i="10" s="1"/>
  <c r="X57" i="3"/>
  <c r="Q7" i="10" s="1"/>
  <c r="X58" i="3"/>
  <c r="Q8" i="10" s="1"/>
  <c r="X59" i="3"/>
  <c r="Q2" i="11" s="1"/>
  <c r="X49" i="3"/>
  <c r="Q6" i="9" s="1"/>
  <c r="X60" i="3"/>
  <c r="Q3" i="11" s="1"/>
  <c r="X61" i="3"/>
  <c r="Q4" i="11" s="1"/>
  <c r="X62" i="3"/>
  <c r="Q5" i="11" s="1"/>
  <c r="X63" i="3"/>
  <c r="Q6" i="11" s="1"/>
  <c r="X65" i="3"/>
  <c r="Q8" i="11" s="1"/>
  <c r="X67" i="3"/>
  <c r="Q3" i="12" s="1"/>
  <c r="X68" i="3"/>
  <c r="Q4" i="12" s="1"/>
  <c r="X69" i="3"/>
  <c r="Q5" i="12" s="1"/>
  <c r="X66" i="3"/>
  <c r="Q2" i="12" s="1"/>
  <c r="X71" i="3"/>
  <c r="Q7" i="12" s="1"/>
  <c r="X72" i="3"/>
  <c r="Q8" i="12" s="1"/>
  <c r="X75" i="3"/>
  <c r="Q4" i="13" s="1"/>
  <c r="X73" i="3"/>
  <c r="Q2" i="13" s="1"/>
  <c r="X79" i="3"/>
  <c r="Q8" i="13" s="1"/>
  <c r="X93" i="3"/>
  <c r="Y9" i="3"/>
  <c r="X34" i="3"/>
  <c r="Q5" i="7" s="1"/>
  <c r="X77" i="3"/>
  <c r="Q6" i="13" s="1"/>
  <c r="Q1" i="4"/>
  <c r="Q1" i="5"/>
  <c r="Q1" i="6"/>
  <c r="Q1" i="7"/>
  <c r="Q1" i="13"/>
  <c r="Q1" i="8"/>
  <c r="Q1" i="9"/>
  <c r="Q1" i="10"/>
  <c r="Q1" i="11"/>
  <c r="Q1" i="12"/>
  <c r="Q1" i="14"/>
  <c r="Q1" i="15"/>
  <c r="Y80" i="3" l="1"/>
  <c r="R2" i="14" s="1"/>
  <c r="Y84" i="3"/>
  <c r="R6" i="14" s="1"/>
  <c r="Y14" i="3"/>
  <c r="R6" i="4" s="1"/>
  <c r="Y24" i="3"/>
  <c r="R2" i="6" s="1"/>
  <c r="Y31" i="3"/>
  <c r="R2" i="7" s="1"/>
  <c r="Y10" i="3"/>
  <c r="R2" i="4" s="1"/>
  <c r="Y17" i="3"/>
  <c r="R2" i="5" s="1"/>
  <c r="Y21" i="3"/>
  <c r="R6" i="5" s="1"/>
  <c r="Y55" i="3"/>
  <c r="R5" i="10" s="1"/>
  <c r="Y83" i="3"/>
  <c r="R5" i="14" s="1"/>
  <c r="Y85" i="3"/>
  <c r="R7" i="14" s="1"/>
  <c r="Y86" i="3"/>
  <c r="R8" i="14" s="1"/>
  <c r="Y81" i="3"/>
  <c r="R3" i="14" s="1"/>
  <c r="Y52" i="3"/>
  <c r="R2" i="10" s="1"/>
  <c r="Y13" i="3"/>
  <c r="R5" i="4" s="1"/>
  <c r="Y82" i="3"/>
  <c r="R4" i="14" s="1"/>
  <c r="Y11" i="3"/>
  <c r="R3" i="4" s="1"/>
  <c r="Y15" i="3"/>
  <c r="R7" i="4" s="1"/>
  <c r="Y16" i="3"/>
  <c r="R8" i="4" s="1"/>
  <c r="Y70" i="3"/>
  <c r="R6" i="12" s="1"/>
  <c r="Y74" i="3"/>
  <c r="R3" i="13" s="1"/>
  <c r="Y88" i="3"/>
  <c r="Y89" i="3"/>
  <c r="Y42" i="3"/>
  <c r="R6" i="8" s="1"/>
  <c r="Y19" i="3"/>
  <c r="R4" i="5" s="1"/>
  <c r="Y20" i="3"/>
  <c r="R5" i="5" s="1"/>
  <c r="Y73" i="3"/>
  <c r="R2" i="13" s="1"/>
  <c r="Y78" i="3"/>
  <c r="R7" i="13" s="1"/>
  <c r="Y92" i="3"/>
  <c r="Y12" i="3"/>
  <c r="R4" i="4" s="1"/>
  <c r="Y18" i="3"/>
  <c r="R3" i="5" s="1"/>
  <c r="Y22" i="3"/>
  <c r="R7" i="5" s="1"/>
  <c r="Y23" i="3"/>
  <c r="R8" i="5" s="1"/>
  <c r="Y87" i="3"/>
  <c r="Y91" i="3"/>
  <c r="Y26" i="3"/>
  <c r="R4" i="6" s="1"/>
  <c r="Y27" i="3"/>
  <c r="R5" i="6" s="1"/>
  <c r="Y64" i="3"/>
  <c r="R7" i="11" s="1"/>
  <c r="Y25" i="3"/>
  <c r="R3" i="6" s="1"/>
  <c r="Y28" i="3"/>
  <c r="R6" i="6" s="1"/>
  <c r="Y29" i="3"/>
  <c r="R7" i="6" s="1"/>
  <c r="Y30" i="3"/>
  <c r="R8" i="6" s="1"/>
  <c r="Y90" i="3"/>
  <c r="Y32" i="3"/>
  <c r="R3" i="7" s="1"/>
  <c r="Y33" i="3"/>
  <c r="R4" i="7" s="1"/>
  <c r="Y35" i="3"/>
  <c r="R6" i="7" s="1"/>
  <c r="Y36" i="3"/>
  <c r="R7" i="7" s="1"/>
  <c r="Y37" i="3"/>
  <c r="R8" i="7" s="1"/>
  <c r="Y41" i="3"/>
  <c r="R5" i="8" s="1"/>
  <c r="Y44" i="3"/>
  <c r="R8" i="8" s="1"/>
  <c r="Y45" i="3"/>
  <c r="R2" i="9" s="1"/>
  <c r="Y39" i="3"/>
  <c r="R3" i="8" s="1"/>
  <c r="Y46" i="3"/>
  <c r="R3" i="9" s="1"/>
  <c r="Y47" i="3"/>
  <c r="R4" i="9" s="1"/>
  <c r="Y48" i="3"/>
  <c r="R5" i="9" s="1"/>
  <c r="Y50" i="3"/>
  <c r="R7" i="9" s="1"/>
  <c r="Y53" i="3"/>
  <c r="R3" i="10" s="1"/>
  <c r="Y54" i="3"/>
  <c r="R4" i="10" s="1"/>
  <c r="Y40" i="3"/>
  <c r="R4" i="8" s="1"/>
  <c r="Y43" i="3"/>
  <c r="R7" i="8" s="1"/>
  <c r="Y56" i="3"/>
  <c r="R6" i="10" s="1"/>
  <c r="Y57" i="3"/>
  <c r="R7" i="10" s="1"/>
  <c r="Y58" i="3"/>
  <c r="R8" i="10" s="1"/>
  <c r="Y59" i="3"/>
  <c r="R2" i="11" s="1"/>
  <c r="Y60" i="3"/>
  <c r="R3" i="11" s="1"/>
  <c r="Y61" i="3"/>
  <c r="R4" i="11" s="1"/>
  <c r="Y62" i="3"/>
  <c r="R5" i="11" s="1"/>
  <c r="Y65" i="3"/>
  <c r="R8" i="11" s="1"/>
  <c r="Y67" i="3"/>
  <c r="R3" i="12" s="1"/>
  <c r="Y68" i="3"/>
  <c r="R4" i="12" s="1"/>
  <c r="Y69" i="3"/>
  <c r="R5" i="12" s="1"/>
  <c r="Y71" i="3"/>
  <c r="R7" i="12" s="1"/>
  <c r="Y72" i="3"/>
  <c r="R8" i="12" s="1"/>
  <c r="Y38" i="3"/>
  <c r="R2" i="8" s="1"/>
  <c r="Y75" i="3"/>
  <c r="R4" i="13" s="1"/>
  <c r="Y76" i="3"/>
  <c r="R5" i="13" s="1"/>
  <c r="Y49" i="3"/>
  <c r="R6" i="9" s="1"/>
  <c r="Y63" i="3"/>
  <c r="R6" i="11" s="1"/>
  <c r="Y66" i="3"/>
  <c r="R2" i="12" s="1"/>
  <c r="Y79" i="3"/>
  <c r="R8" i="13" s="1"/>
  <c r="Y93" i="3"/>
  <c r="Y34" i="3"/>
  <c r="R5" i="7" s="1"/>
  <c r="R1" i="13"/>
  <c r="Y51" i="3"/>
  <c r="R8" i="9" s="1"/>
  <c r="Y77" i="3"/>
  <c r="R6" i="13" s="1"/>
  <c r="R1" i="4"/>
  <c r="R1" i="5"/>
  <c r="R1" i="15"/>
  <c r="Z9" i="3"/>
  <c r="R1" i="6"/>
  <c r="R1" i="7"/>
  <c r="R1" i="8"/>
  <c r="R1" i="9"/>
  <c r="R1" i="10"/>
  <c r="R1" i="11"/>
  <c r="R1" i="12"/>
  <c r="R1" i="14"/>
  <c r="Z14" i="3" l="1"/>
  <c r="S6" i="4" s="1"/>
  <c r="Z80" i="3"/>
  <c r="S2" i="14" s="1"/>
  <c r="Z31" i="3"/>
  <c r="S2" i="7" s="1"/>
  <c r="Z84" i="3"/>
  <c r="S6" i="14" s="1"/>
  <c r="Z10" i="3"/>
  <c r="S2" i="4" s="1"/>
  <c r="Z24" i="3"/>
  <c r="S2" i="6" s="1"/>
  <c r="Z21" i="3"/>
  <c r="S6" i="5" s="1"/>
  <c r="Z17" i="3"/>
  <c r="S2" i="5" s="1"/>
  <c r="Z55" i="3"/>
  <c r="S5" i="10" s="1"/>
  <c r="Z16" i="3"/>
  <c r="S8" i="4" s="1"/>
  <c r="Z86" i="3"/>
  <c r="S8" i="14" s="1"/>
  <c r="Z15" i="3"/>
  <c r="S7" i="4" s="1"/>
  <c r="Z81" i="3"/>
  <c r="S3" i="14" s="1"/>
  <c r="Z83" i="3"/>
  <c r="S5" i="14" s="1"/>
  <c r="Z85" i="3"/>
  <c r="S7" i="14" s="1"/>
  <c r="Z52" i="3"/>
  <c r="S2" i="10" s="1"/>
  <c r="Z13" i="3"/>
  <c r="S5" i="4" s="1"/>
  <c r="Z82" i="3"/>
  <c r="S4" i="14" s="1"/>
  <c r="Z11" i="3"/>
  <c r="S3" i="4" s="1"/>
  <c r="Z20" i="3"/>
  <c r="S5" i="5" s="1"/>
  <c r="Z43" i="3"/>
  <c r="S7" i="8" s="1"/>
  <c r="Z63" i="3"/>
  <c r="S6" i="11" s="1"/>
  <c r="Z73" i="3"/>
  <c r="S2" i="13" s="1"/>
  <c r="Z87" i="3"/>
  <c r="Z88" i="3"/>
  <c r="Z90" i="3"/>
  <c r="Z12" i="3"/>
  <c r="S4" i="4" s="1"/>
  <c r="Z22" i="3"/>
  <c r="S7" i="5" s="1"/>
  <c r="Z23" i="3"/>
  <c r="S8" i="5" s="1"/>
  <c r="Z42" i="3"/>
  <c r="S6" i="8" s="1"/>
  <c r="Z49" i="3"/>
  <c r="S6" i="9" s="1"/>
  <c r="Z78" i="3"/>
  <c r="S7" i="13" s="1"/>
  <c r="Z89" i="3"/>
  <c r="Z26" i="3"/>
  <c r="S4" i="6" s="1"/>
  <c r="Z27" i="3"/>
  <c r="S5" i="6" s="1"/>
  <c r="Z66" i="3"/>
  <c r="S2" i="12" s="1"/>
  <c r="Z74" i="3"/>
  <c r="S3" i="13" s="1"/>
  <c r="Z91" i="3"/>
  <c r="Z92" i="3"/>
  <c r="Z19" i="3"/>
  <c r="S4" i="5" s="1"/>
  <c r="Z29" i="3"/>
  <c r="S7" i="6" s="1"/>
  <c r="Z30" i="3"/>
  <c r="S8" i="6" s="1"/>
  <c r="Z40" i="3"/>
  <c r="S4" i="8" s="1"/>
  <c r="Z70" i="3"/>
  <c r="S6" i="12" s="1"/>
  <c r="Z18" i="3"/>
  <c r="S3" i="5" s="1"/>
  <c r="Z25" i="3"/>
  <c r="S3" i="6" s="1"/>
  <c r="Z28" i="3"/>
  <c r="S6" i="6" s="1"/>
  <c r="Z32" i="3"/>
  <c r="S3" i="7" s="1"/>
  <c r="Z33" i="3"/>
  <c r="S4" i="7" s="1"/>
  <c r="Z35" i="3"/>
  <c r="S6" i="7" s="1"/>
  <c r="Z36" i="3"/>
  <c r="S7" i="7" s="1"/>
  <c r="Z37" i="3"/>
  <c r="S8" i="7" s="1"/>
  <c r="Z41" i="3"/>
  <c r="S5" i="8" s="1"/>
  <c r="Z44" i="3"/>
  <c r="S8" i="8" s="1"/>
  <c r="Z45" i="3"/>
  <c r="S2" i="9" s="1"/>
  <c r="Z38" i="3"/>
  <c r="S2" i="8" s="1"/>
  <c r="Z46" i="3"/>
  <c r="S3" i="9" s="1"/>
  <c r="Z47" i="3"/>
  <c r="S4" i="9" s="1"/>
  <c r="Z48" i="3"/>
  <c r="S5" i="9" s="1"/>
  <c r="Z53" i="3"/>
  <c r="S3" i="10" s="1"/>
  <c r="Z54" i="3"/>
  <c r="S4" i="10" s="1"/>
  <c r="Z50" i="3"/>
  <c r="S7" i="9" s="1"/>
  <c r="Z56" i="3"/>
  <c r="S6" i="10" s="1"/>
  <c r="Z57" i="3"/>
  <c r="S7" i="10" s="1"/>
  <c r="Z58" i="3"/>
  <c r="S8" i="10" s="1"/>
  <c r="Z59" i="3"/>
  <c r="S2" i="11" s="1"/>
  <c r="Z60" i="3"/>
  <c r="S3" i="11" s="1"/>
  <c r="Z61" i="3"/>
  <c r="S4" i="11" s="1"/>
  <c r="Z62" i="3"/>
  <c r="S5" i="11" s="1"/>
  <c r="Z64" i="3"/>
  <c r="S7" i="11" s="1"/>
  <c r="Z65" i="3"/>
  <c r="S8" i="11" s="1"/>
  <c r="Z67" i="3"/>
  <c r="S3" i="12" s="1"/>
  <c r="Z68" i="3"/>
  <c r="S4" i="12" s="1"/>
  <c r="Z69" i="3"/>
  <c r="S5" i="12" s="1"/>
  <c r="Z39" i="3"/>
  <c r="S3" i="8" s="1"/>
  <c r="Z71" i="3"/>
  <c r="S7" i="12" s="1"/>
  <c r="Z72" i="3"/>
  <c r="S8" i="12" s="1"/>
  <c r="Z75" i="3"/>
  <c r="S4" i="13" s="1"/>
  <c r="Z76" i="3"/>
  <c r="S5" i="13" s="1"/>
  <c r="Z79" i="3"/>
  <c r="S8" i="13" s="1"/>
  <c r="Z93" i="3"/>
  <c r="S1" i="6"/>
  <c r="S1" i="7"/>
  <c r="Z51" i="3"/>
  <c r="S8" i="9" s="1"/>
  <c r="S1" i="8"/>
  <c r="S1" i="9"/>
  <c r="S1" i="10"/>
  <c r="S1" i="11"/>
  <c r="S1" i="12"/>
  <c r="S1" i="15"/>
  <c r="S1" i="13"/>
  <c r="AA9" i="3"/>
  <c r="Z34" i="3"/>
  <c r="S5" i="7" s="1"/>
  <c r="S1" i="14"/>
  <c r="Z77" i="3"/>
  <c r="S6" i="13" s="1"/>
  <c r="S1" i="4"/>
  <c r="S1" i="5"/>
  <c r="AA84" i="3" l="1"/>
  <c r="T6" i="14" s="1"/>
  <c r="AA80" i="3"/>
  <c r="T2" i="14" s="1"/>
  <c r="AA14" i="3"/>
  <c r="T6" i="4" s="1"/>
  <c r="AA31" i="3"/>
  <c r="T2" i="7" s="1"/>
  <c r="AA10" i="3"/>
  <c r="T2" i="4" s="1"/>
  <c r="AA24" i="3"/>
  <c r="T2" i="6" s="1"/>
  <c r="AA21" i="3"/>
  <c r="T6" i="5" s="1"/>
  <c r="AA17" i="3"/>
  <c r="T2" i="5" s="1"/>
  <c r="AA55" i="3"/>
  <c r="T5" i="10" s="1"/>
  <c r="AA81" i="3"/>
  <c r="T3" i="14" s="1"/>
  <c r="AA83" i="3"/>
  <c r="T5" i="14" s="1"/>
  <c r="AA85" i="3"/>
  <c r="T7" i="14" s="1"/>
  <c r="AA86" i="3"/>
  <c r="T8" i="14" s="1"/>
  <c r="AA52" i="3"/>
  <c r="T2" i="10" s="1"/>
  <c r="AA11" i="3"/>
  <c r="T3" i="4" s="1"/>
  <c r="AA16" i="3"/>
  <c r="T8" i="4" s="1"/>
  <c r="AA82" i="3"/>
  <c r="T4" i="14" s="1"/>
  <c r="AA15" i="3"/>
  <c r="T7" i="4" s="1"/>
  <c r="AA13" i="3"/>
  <c r="T5" i="4" s="1"/>
  <c r="AA43" i="3"/>
  <c r="T7" i="8" s="1"/>
  <c r="AA90" i="3"/>
  <c r="AA20" i="3"/>
  <c r="T5" i="5" s="1"/>
  <c r="AA23" i="3"/>
  <c r="T8" i="5" s="1"/>
  <c r="AA38" i="3"/>
  <c r="T2" i="8" s="1"/>
  <c r="AA70" i="3"/>
  <c r="T6" i="12" s="1"/>
  <c r="AA74" i="3"/>
  <c r="T3" i="13" s="1"/>
  <c r="AA91" i="3"/>
  <c r="AA18" i="3"/>
  <c r="T3" i="5" s="1"/>
  <c r="AA26" i="3"/>
  <c r="T4" i="6" s="1"/>
  <c r="AA27" i="3"/>
  <c r="T5" i="6" s="1"/>
  <c r="AA63" i="3"/>
  <c r="T6" i="11" s="1"/>
  <c r="AA87" i="3"/>
  <c r="AA89" i="3"/>
  <c r="AA92" i="3"/>
  <c r="AA12" i="3"/>
  <c r="T4" i="4" s="1"/>
  <c r="AA25" i="3"/>
  <c r="T3" i="6" s="1"/>
  <c r="AA29" i="3"/>
  <c r="T7" i="6" s="1"/>
  <c r="AA30" i="3"/>
  <c r="T8" i="6" s="1"/>
  <c r="AA49" i="3"/>
  <c r="T6" i="9" s="1"/>
  <c r="AA66" i="3"/>
  <c r="T2" i="12" s="1"/>
  <c r="AA73" i="3"/>
  <c r="T2" i="13" s="1"/>
  <c r="AA78" i="3"/>
  <c r="T7" i="13" s="1"/>
  <c r="AA88" i="3"/>
  <c r="AA19" i="3"/>
  <c r="T4" i="5" s="1"/>
  <c r="AA22" i="3"/>
  <c r="T7" i="5" s="1"/>
  <c r="AA28" i="3"/>
  <c r="T6" i="6" s="1"/>
  <c r="AA32" i="3"/>
  <c r="T3" i="7" s="1"/>
  <c r="AA33" i="3"/>
  <c r="T4" i="7" s="1"/>
  <c r="AA35" i="3"/>
  <c r="T6" i="7" s="1"/>
  <c r="AA36" i="3"/>
  <c r="T7" i="7" s="1"/>
  <c r="AA37" i="3"/>
  <c r="T8" i="7" s="1"/>
  <c r="AA41" i="3"/>
  <c r="T5" i="8" s="1"/>
  <c r="AA44" i="3"/>
  <c r="T8" i="8" s="1"/>
  <c r="AA45" i="3"/>
  <c r="T2" i="9" s="1"/>
  <c r="AA46" i="3"/>
  <c r="T3" i="9" s="1"/>
  <c r="AA47" i="3"/>
  <c r="T4" i="9" s="1"/>
  <c r="AA48" i="3"/>
  <c r="T5" i="9" s="1"/>
  <c r="AA50" i="3"/>
  <c r="T7" i="9" s="1"/>
  <c r="AA53" i="3"/>
  <c r="T3" i="10" s="1"/>
  <c r="AA54" i="3"/>
  <c r="T4" i="10" s="1"/>
  <c r="AA56" i="3"/>
  <c r="T6" i="10" s="1"/>
  <c r="AA57" i="3"/>
  <c r="T7" i="10" s="1"/>
  <c r="AA58" i="3"/>
  <c r="T8" i="10" s="1"/>
  <c r="AA59" i="3"/>
  <c r="T2" i="11" s="1"/>
  <c r="AA60" i="3"/>
  <c r="T3" i="11" s="1"/>
  <c r="AA61" i="3"/>
  <c r="T4" i="11" s="1"/>
  <c r="AA62" i="3"/>
  <c r="T5" i="11" s="1"/>
  <c r="AA40" i="3"/>
  <c r="T4" i="8" s="1"/>
  <c r="AA42" i="3"/>
  <c r="T6" i="8" s="1"/>
  <c r="AA64" i="3"/>
  <c r="T7" i="11" s="1"/>
  <c r="AA65" i="3"/>
  <c r="T8" i="11" s="1"/>
  <c r="AA67" i="3"/>
  <c r="T3" i="12" s="1"/>
  <c r="AA68" i="3"/>
  <c r="T4" i="12" s="1"/>
  <c r="AA69" i="3"/>
  <c r="T5" i="12" s="1"/>
  <c r="AA71" i="3"/>
  <c r="T7" i="12" s="1"/>
  <c r="AA72" i="3"/>
  <c r="T8" i="12" s="1"/>
  <c r="AA39" i="3"/>
  <c r="T3" i="8" s="1"/>
  <c r="AA75" i="3"/>
  <c r="T4" i="13" s="1"/>
  <c r="AA76" i="3"/>
  <c r="T5" i="13" s="1"/>
  <c r="AA79" i="3"/>
  <c r="T8" i="13" s="1"/>
  <c r="AA93" i="3"/>
  <c r="AA34" i="3"/>
  <c r="T5" i="7" s="1"/>
  <c r="T1" i="13"/>
  <c r="T1" i="15"/>
  <c r="AA51" i="3"/>
  <c r="T8" i="9" s="1"/>
  <c r="AA77" i="3"/>
  <c r="T6" i="13" s="1"/>
  <c r="T1" i="4"/>
  <c r="T1" i="5"/>
  <c r="T1" i="6"/>
  <c r="AB9" i="3"/>
  <c r="T1" i="7"/>
  <c r="T1" i="8"/>
  <c r="T1" i="9"/>
  <c r="T1" i="10"/>
  <c r="T1" i="11"/>
  <c r="T1" i="12"/>
  <c r="T1" i="14"/>
  <c r="AB84" i="3" l="1"/>
  <c r="U6" i="14" s="1"/>
  <c r="AB14" i="3"/>
  <c r="U6" i="4" s="1"/>
  <c r="AB80" i="3"/>
  <c r="U2" i="14" s="1"/>
  <c r="AB31" i="3"/>
  <c r="U2" i="7" s="1"/>
  <c r="AB24" i="3"/>
  <c r="U2" i="6" s="1"/>
  <c r="AB17" i="3"/>
  <c r="U2" i="5" s="1"/>
  <c r="AB21" i="3"/>
  <c r="U6" i="5" s="1"/>
  <c r="AB10" i="3"/>
  <c r="U2" i="4" s="1"/>
  <c r="AB55" i="3"/>
  <c r="U5" i="10" s="1"/>
  <c r="AB15" i="3"/>
  <c r="U7" i="4" s="1"/>
  <c r="AB86" i="3"/>
  <c r="U8" i="14" s="1"/>
  <c r="AB13" i="3"/>
  <c r="U5" i="4" s="1"/>
  <c r="AB52" i="3"/>
  <c r="U2" i="10" s="1"/>
  <c r="AB11" i="3"/>
  <c r="U3" i="4" s="1"/>
  <c r="AB16" i="3"/>
  <c r="U8" i="4" s="1"/>
  <c r="AB82" i="3"/>
  <c r="U4" i="14" s="1"/>
  <c r="AB83" i="3"/>
  <c r="U5" i="14" s="1"/>
  <c r="AB81" i="3"/>
  <c r="U3" i="14" s="1"/>
  <c r="AB85" i="3"/>
  <c r="U7" i="14" s="1"/>
  <c r="AB49" i="3"/>
  <c r="U6" i="9" s="1"/>
  <c r="AB78" i="3"/>
  <c r="U7" i="13" s="1"/>
  <c r="AB89" i="3"/>
  <c r="AB19" i="3"/>
  <c r="U4" i="5" s="1"/>
  <c r="AB20" i="3"/>
  <c r="U5" i="5" s="1"/>
  <c r="AB74" i="3"/>
  <c r="U3" i="13" s="1"/>
  <c r="AB92" i="3"/>
  <c r="AB22" i="3"/>
  <c r="U7" i="5" s="1"/>
  <c r="AB23" i="3"/>
  <c r="U8" i="5" s="1"/>
  <c r="AB39" i="3"/>
  <c r="U3" i="8" s="1"/>
  <c r="AB26" i="3"/>
  <c r="U4" i="6" s="1"/>
  <c r="AB27" i="3"/>
  <c r="U5" i="6" s="1"/>
  <c r="AB88" i="3"/>
  <c r="AB90" i="3"/>
  <c r="AB91" i="3"/>
  <c r="AB18" i="3"/>
  <c r="U3" i="5" s="1"/>
  <c r="AB28" i="3"/>
  <c r="U6" i="6" s="1"/>
  <c r="AB29" i="3"/>
  <c r="U7" i="6" s="1"/>
  <c r="AB30" i="3"/>
  <c r="U8" i="6" s="1"/>
  <c r="AB63" i="3"/>
  <c r="U6" i="11" s="1"/>
  <c r="AB87" i="3"/>
  <c r="AB12" i="3"/>
  <c r="U4" i="4" s="1"/>
  <c r="AB25" i="3"/>
  <c r="U3" i="6" s="1"/>
  <c r="AB32" i="3"/>
  <c r="U3" i="7" s="1"/>
  <c r="AB33" i="3"/>
  <c r="U4" i="7" s="1"/>
  <c r="AB35" i="3"/>
  <c r="U6" i="7" s="1"/>
  <c r="AB36" i="3"/>
  <c r="U7" i="7" s="1"/>
  <c r="AB37" i="3"/>
  <c r="U8" i="7" s="1"/>
  <c r="AB41" i="3"/>
  <c r="U5" i="8" s="1"/>
  <c r="AB42" i="3"/>
  <c r="U6" i="8" s="1"/>
  <c r="AB44" i="3"/>
  <c r="U8" i="8" s="1"/>
  <c r="AB45" i="3"/>
  <c r="U2" i="9" s="1"/>
  <c r="AB46" i="3"/>
  <c r="U3" i="9" s="1"/>
  <c r="AB47" i="3"/>
  <c r="U4" i="9" s="1"/>
  <c r="AB48" i="3"/>
  <c r="U5" i="9" s="1"/>
  <c r="AB38" i="3"/>
  <c r="U2" i="8" s="1"/>
  <c r="AB50" i="3"/>
  <c r="U7" i="9" s="1"/>
  <c r="AB53" i="3"/>
  <c r="U3" i="10" s="1"/>
  <c r="AB54" i="3"/>
  <c r="U4" i="10" s="1"/>
  <c r="AB56" i="3"/>
  <c r="U6" i="10" s="1"/>
  <c r="AB57" i="3"/>
  <c r="U7" i="10" s="1"/>
  <c r="AB58" i="3"/>
  <c r="U8" i="10" s="1"/>
  <c r="AB59" i="3"/>
  <c r="U2" i="11" s="1"/>
  <c r="AB60" i="3"/>
  <c r="U3" i="11" s="1"/>
  <c r="AB61" i="3"/>
  <c r="U4" i="11" s="1"/>
  <c r="AB62" i="3"/>
  <c r="U5" i="11" s="1"/>
  <c r="AB64" i="3"/>
  <c r="U7" i="11" s="1"/>
  <c r="AB65" i="3"/>
  <c r="U8" i="11" s="1"/>
  <c r="AB66" i="3"/>
  <c r="U2" i="12" s="1"/>
  <c r="AB67" i="3"/>
  <c r="U3" i="12" s="1"/>
  <c r="AB68" i="3"/>
  <c r="U4" i="12" s="1"/>
  <c r="AB69" i="3"/>
  <c r="U5" i="12" s="1"/>
  <c r="AB43" i="3"/>
  <c r="U7" i="8" s="1"/>
  <c r="AB70" i="3"/>
  <c r="U6" i="12" s="1"/>
  <c r="AB71" i="3"/>
  <c r="U7" i="12" s="1"/>
  <c r="AB72" i="3"/>
  <c r="U8" i="12" s="1"/>
  <c r="AB75" i="3"/>
  <c r="U4" i="13" s="1"/>
  <c r="AB76" i="3"/>
  <c r="U5" i="13" s="1"/>
  <c r="AB40" i="3"/>
  <c r="U4" i="8" s="1"/>
  <c r="AB73" i="3"/>
  <c r="U2" i="13" s="1"/>
  <c r="AB79" i="3"/>
  <c r="U8" i="13" s="1"/>
  <c r="AB93" i="3"/>
  <c r="U1" i="7"/>
  <c r="U1" i="8"/>
  <c r="U1" i="9"/>
  <c r="U1" i="13"/>
  <c r="U1" i="10"/>
  <c r="U1" i="11"/>
  <c r="U1" i="12"/>
  <c r="U1" i="15"/>
  <c r="U1" i="14"/>
  <c r="AB34" i="3"/>
  <c r="U5" i="7" s="1"/>
  <c r="AB51" i="3"/>
  <c r="U8" i="9" s="1"/>
  <c r="AB77" i="3"/>
  <c r="U6" i="13" s="1"/>
  <c r="U1" i="4"/>
  <c r="U1" i="5"/>
  <c r="AC9" i="3"/>
  <c r="U1" i="6"/>
  <c r="AC14" i="3" l="1"/>
  <c r="V6" i="4" s="1"/>
  <c r="AC80" i="3"/>
  <c r="V2" i="14" s="1"/>
  <c r="AC84" i="3"/>
  <c r="V6" i="14" s="1"/>
  <c r="AC31" i="3"/>
  <c r="V2" i="7" s="1"/>
  <c r="AC10" i="3"/>
  <c r="V2" i="4" s="1"/>
  <c r="AC17" i="3"/>
  <c r="V2" i="5" s="1"/>
  <c r="AC21" i="3"/>
  <c r="V6" i="5" s="1"/>
  <c r="AC24" i="3"/>
  <c r="V2" i="6" s="1"/>
  <c r="AC55" i="3"/>
  <c r="V5" i="10" s="1"/>
  <c r="AC86" i="3"/>
  <c r="V8" i="14" s="1"/>
  <c r="AC16" i="3"/>
  <c r="V8" i="4" s="1"/>
  <c r="AC85" i="3"/>
  <c r="V7" i="14" s="1"/>
  <c r="AC81" i="3"/>
  <c r="V3" i="14" s="1"/>
  <c r="AC83" i="3"/>
  <c r="V5" i="14" s="1"/>
  <c r="AC52" i="3"/>
  <c r="V2" i="10" s="1"/>
  <c r="AC11" i="3"/>
  <c r="V3" i="4" s="1"/>
  <c r="AC15" i="3"/>
  <c r="V7" i="4" s="1"/>
  <c r="AC82" i="3"/>
  <c r="V4" i="14" s="1"/>
  <c r="AC13" i="3"/>
  <c r="V5" i="4" s="1"/>
  <c r="AC41" i="3"/>
  <c r="V5" i="8" s="1"/>
  <c r="AC20" i="3"/>
  <c r="V5" i="5" s="1"/>
  <c r="AC66" i="3"/>
  <c r="V2" i="12" s="1"/>
  <c r="AC78" i="3"/>
  <c r="V7" i="13" s="1"/>
  <c r="AC18" i="3"/>
  <c r="V3" i="5" s="1"/>
  <c r="AC22" i="3"/>
  <c r="V7" i="5" s="1"/>
  <c r="AC23" i="3"/>
  <c r="V8" i="5" s="1"/>
  <c r="AC73" i="3"/>
  <c r="V2" i="13" s="1"/>
  <c r="AC88" i="3"/>
  <c r="AC91" i="3"/>
  <c r="AC19" i="3"/>
  <c r="V4" i="5" s="1"/>
  <c r="AC25" i="3"/>
  <c r="V3" i="6" s="1"/>
  <c r="AC26" i="3"/>
  <c r="V4" i="6" s="1"/>
  <c r="AC27" i="3"/>
  <c r="V5" i="6" s="1"/>
  <c r="AC87" i="3"/>
  <c r="AC89" i="3"/>
  <c r="AC28" i="3"/>
  <c r="V6" i="6" s="1"/>
  <c r="AC29" i="3"/>
  <c r="V7" i="6" s="1"/>
  <c r="AC30" i="3"/>
  <c r="V8" i="6" s="1"/>
  <c r="AC90" i="3"/>
  <c r="AC92" i="3"/>
  <c r="AC12" i="3"/>
  <c r="V4" i="4" s="1"/>
  <c r="AC32" i="3"/>
  <c r="V3" i="7" s="1"/>
  <c r="AC33" i="3"/>
  <c r="V4" i="7" s="1"/>
  <c r="AC35" i="3"/>
  <c r="V6" i="7" s="1"/>
  <c r="AC36" i="3"/>
  <c r="V7" i="7" s="1"/>
  <c r="AC37" i="3"/>
  <c r="V8" i="7" s="1"/>
  <c r="AC38" i="3"/>
  <c r="V2" i="8" s="1"/>
  <c r="AC42" i="3"/>
  <c r="V6" i="8" s="1"/>
  <c r="AC44" i="3"/>
  <c r="V8" i="8" s="1"/>
  <c r="AC45" i="3"/>
  <c r="V2" i="9" s="1"/>
  <c r="AC40" i="3"/>
  <c r="V4" i="8" s="1"/>
  <c r="AC43" i="3"/>
  <c r="V7" i="8" s="1"/>
  <c r="AC46" i="3"/>
  <c r="V3" i="9" s="1"/>
  <c r="AC47" i="3"/>
  <c r="V4" i="9" s="1"/>
  <c r="AC48" i="3"/>
  <c r="V5" i="9" s="1"/>
  <c r="AC49" i="3"/>
  <c r="V6" i="9" s="1"/>
  <c r="AC50" i="3"/>
  <c r="V7" i="9" s="1"/>
  <c r="AC53" i="3"/>
  <c r="V3" i="10" s="1"/>
  <c r="AC54" i="3"/>
  <c r="V4" i="10" s="1"/>
  <c r="AC56" i="3"/>
  <c r="V6" i="10" s="1"/>
  <c r="AC57" i="3"/>
  <c r="V7" i="10" s="1"/>
  <c r="AC58" i="3"/>
  <c r="V8" i="10" s="1"/>
  <c r="AC59" i="3"/>
  <c r="V2" i="11" s="1"/>
  <c r="AC60" i="3"/>
  <c r="V3" i="11" s="1"/>
  <c r="AC61" i="3"/>
  <c r="V4" i="11" s="1"/>
  <c r="AC62" i="3"/>
  <c r="V5" i="11" s="1"/>
  <c r="AC64" i="3"/>
  <c r="V7" i="11" s="1"/>
  <c r="AC65" i="3"/>
  <c r="V8" i="11" s="1"/>
  <c r="AC39" i="3"/>
  <c r="V3" i="8" s="1"/>
  <c r="AC63" i="3"/>
  <c r="V6" i="11" s="1"/>
  <c r="AC67" i="3"/>
  <c r="V3" i="12" s="1"/>
  <c r="AC69" i="3"/>
  <c r="V5" i="12" s="1"/>
  <c r="AC71" i="3"/>
  <c r="V7" i="12" s="1"/>
  <c r="AC72" i="3"/>
  <c r="V8" i="12" s="1"/>
  <c r="AC75" i="3"/>
  <c r="V4" i="13" s="1"/>
  <c r="AC76" i="3"/>
  <c r="V5" i="13" s="1"/>
  <c r="AC70" i="3"/>
  <c r="V6" i="12" s="1"/>
  <c r="AC74" i="3"/>
  <c r="V3" i="13" s="1"/>
  <c r="AC79" i="3"/>
  <c r="V8" i="13" s="1"/>
  <c r="AC93" i="3"/>
  <c r="V1" i="6"/>
  <c r="V1" i="7"/>
  <c r="V1" i="5"/>
  <c r="V1" i="8"/>
  <c r="V1" i="9"/>
  <c r="V1" i="10"/>
  <c r="V1" i="11"/>
  <c r="V1" i="12"/>
  <c r="V1" i="13"/>
  <c r="V1" i="14"/>
  <c r="AD9" i="3"/>
  <c r="AC34" i="3"/>
  <c r="V5" i="7" s="1"/>
  <c r="AC68" i="3"/>
  <c r="V4" i="12" s="1"/>
  <c r="V1" i="15"/>
  <c r="AC51" i="3"/>
  <c r="V8" i="9" s="1"/>
  <c r="AC77" i="3"/>
  <c r="V6" i="13" s="1"/>
  <c r="V1" i="4"/>
  <c r="AD80" i="3" l="1"/>
  <c r="W2" i="14" s="1"/>
  <c r="AD84" i="3"/>
  <c r="W6" i="14" s="1"/>
  <c r="AD14" i="3"/>
  <c r="W6" i="4" s="1"/>
  <c r="AD21" i="3"/>
  <c r="W6" i="5" s="1"/>
  <c r="AD17" i="3"/>
  <c r="W2" i="5" s="1"/>
  <c r="AD31" i="3"/>
  <c r="W2" i="7" s="1"/>
  <c r="AD10" i="3"/>
  <c r="W2" i="4" s="1"/>
  <c r="AD24" i="3"/>
  <c r="W2" i="6" s="1"/>
  <c r="AD55" i="3"/>
  <c r="W5" i="10" s="1"/>
  <c r="AD86" i="3"/>
  <c r="W8" i="14" s="1"/>
  <c r="AD13" i="3"/>
  <c r="W5" i="4" s="1"/>
  <c r="AD16" i="3"/>
  <c r="W8" i="4" s="1"/>
  <c r="AD85" i="3"/>
  <c r="W7" i="14" s="1"/>
  <c r="AD52" i="3"/>
  <c r="W2" i="10" s="1"/>
  <c r="AD11" i="3"/>
  <c r="W3" i="4" s="1"/>
  <c r="AD15" i="3"/>
  <c r="W7" i="4" s="1"/>
  <c r="AD81" i="3"/>
  <c r="W3" i="14" s="1"/>
  <c r="AD82" i="3"/>
  <c r="W4" i="14" s="1"/>
  <c r="AD83" i="3"/>
  <c r="W5" i="14" s="1"/>
  <c r="AD73" i="3"/>
  <c r="W2" i="13" s="1"/>
  <c r="AD40" i="3"/>
  <c r="W4" i="8" s="1"/>
  <c r="AD41" i="3"/>
  <c r="W5" i="8" s="1"/>
  <c r="AD18" i="3"/>
  <c r="W3" i="5" s="1"/>
  <c r="AD20" i="3"/>
  <c r="W5" i="5" s="1"/>
  <c r="AD90" i="3"/>
  <c r="AD19" i="3"/>
  <c r="W4" i="5" s="1"/>
  <c r="AD23" i="3"/>
  <c r="W8" i="5" s="1"/>
  <c r="AD66" i="3"/>
  <c r="W2" i="12" s="1"/>
  <c r="AD89" i="3"/>
  <c r="AD92" i="3"/>
  <c r="AD12" i="3"/>
  <c r="W4" i="4" s="1"/>
  <c r="AD26" i="3"/>
  <c r="W4" i="6" s="1"/>
  <c r="AD27" i="3"/>
  <c r="W5" i="6" s="1"/>
  <c r="AD70" i="3"/>
  <c r="W6" i="12" s="1"/>
  <c r="AD78" i="3"/>
  <c r="W7" i="13" s="1"/>
  <c r="AD22" i="3"/>
  <c r="W7" i="5" s="1"/>
  <c r="AD25" i="3"/>
  <c r="W3" i="6" s="1"/>
  <c r="AD29" i="3"/>
  <c r="W7" i="6" s="1"/>
  <c r="AD30" i="3"/>
  <c r="W8" i="6" s="1"/>
  <c r="AD69" i="3"/>
  <c r="W5" i="12" s="1"/>
  <c r="AD74" i="3"/>
  <c r="W3" i="13" s="1"/>
  <c r="AD87" i="3"/>
  <c r="AD88" i="3"/>
  <c r="AD91" i="3"/>
  <c r="AD28" i="3"/>
  <c r="W6" i="6" s="1"/>
  <c r="AD32" i="3"/>
  <c r="W3" i="7" s="1"/>
  <c r="AD33" i="3"/>
  <c r="W4" i="7" s="1"/>
  <c r="AD35" i="3"/>
  <c r="W6" i="7" s="1"/>
  <c r="AD36" i="3"/>
  <c r="W7" i="7" s="1"/>
  <c r="AD37" i="3"/>
  <c r="W8" i="7" s="1"/>
  <c r="AD38" i="3"/>
  <c r="W2" i="8" s="1"/>
  <c r="AD42" i="3"/>
  <c r="W6" i="8" s="1"/>
  <c r="AD44" i="3"/>
  <c r="W8" i="8" s="1"/>
  <c r="AD45" i="3"/>
  <c r="W2" i="9" s="1"/>
  <c r="AD46" i="3"/>
  <c r="W3" i="9" s="1"/>
  <c r="AD47" i="3"/>
  <c r="W4" i="9" s="1"/>
  <c r="AD48" i="3"/>
  <c r="W5" i="9" s="1"/>
  <c r="AD39" i="3"/>
  <c r="W3" i="8" s="1"/>
  <c r="AD43" i="3"/>
  <c r="W7" i="8" s="1"/>
  <c r="AD53" i="3"/>
  <c r="W3" i="10" s="1"/>
  <c r="AD54" i="3"/>
  <c r="W4" i="10" s="1"/>
  <c r="AD56" i="3"/>
  <c r="W6" i="10" s="1"/>
  <c r="AD50" i="3"/>
  <c r="W7" i="9" s="1"/>
  <c r="AD57" i="3"/>
  <c r="W7" i="10" s="1"/>
  <c r="AD58" i="3"/>
  <c r="W8" i="10" s="1"/>
  <c r="AD59" i="3"/>
  <c r="W2" i="11" s="1"/>
  <c r="AD60" i="3"/>
  <c r="W3" i="11" s="1"/>
  <c r="AD61" i="3"/>
  <c r="W4" i="11" s="1"/>
  <c r="AD62" i="3"/>
  <c r="W5" i="11" s="1"/>
  <c r="AD64" i="3"/>
  <c r="W7" i="11" s="1"/>
  <c r="AD65" i="3"/>
  <c r="W8" i="11" s="1"/>
  <c r="AD49" i="3"/>
  <c r="W6" i="9" s="1"/>
  <c r="AD67" i="3"/>
  <c r="W3" i="12" s="1"/>
  <c r="AD63" i="3"/>
  <c r="W6" i="11" s="1"/>
  <c r="AD71" i="3"/>
  <c r="W7" i="12" s="1"/>
  <c r="AD72" i="3"/>
  <c r="W8" i="12" s="1"/>
  <c r="AD75" i="3"/>
  <c r="W4" i="13" s="1"/>
  <c r="AD76" i="3"/>
  <c r="W5" i="13" s="1"/>
  <c r="AD79" i="3"/>
  <c r="W8" i="13" s="1"/>
  <c r="AD93" i="3"/>
  <c r="AD34" i="3"/>
  <c r="W5" i="7" s="1"/>
  <c r="AD68" i="3"/>
  <c r="W4" i="12" s="1"/>
  <c r="W1" i="13"/>
  <c r="W1" i="14"/>
  <c r="AD51" i="3"/>
  <c r="W8" i="9" s="1"/>
  <c r="AD77" i="3"/>
  <c r="W6" i="13" s="1"/>
  <c r="W1" i="4"/>
  <c r="W1" i="6"/>
  <c r="W1" i="15"/>
  <c r="AE9" i="3"/>
  <c r="W1" i="5"/>
  <c r="W1" i="7"/>
  <c r="W1" i="8"/>
  <c r="W1" i="9"/>
  <c r="W1" i="10"/>
  <c r="W1" i="11"/>
  <c r="W1" i="12"/>
  <c r="AE80" i="3" l="1"/>
  <c r="X2" i="14" s="1"/>
  <c r="AE84" i="3"/>
  <c r="X6" i="14" s="1"/>
  <c r="AE21" i="3"/>
  <c r="X6" i="5" s="1"/>
  <c r="AE14" i="3"/>
  <c r="X6" i="4" s="1"/>
  <c r="AE31" i="3"/>
  <c r="X2" i="7" s="1"/>
  <c r="AE17" i="3"/>
  <c r="X2" i="5" s="1"/>
  <c r="AE10" i="3"/>
  <c r="X2" i="4" s="1"/>
  <c r="AE24" i="3"/>
  <c r="X2" i="6" s="1"/>
  <c r="AE55" i="3"/>
  <c r="X5" i="10" s="1"/>
  <c r="AE13" i="3"/>
  <c r="X5" i="4" s="1"/>
  <c r="AE16" i="3"/>
  <c r="X8" i="4" s="1"/>
  <c r="AE82" i="3"/>
  <c r="X4" i="14" s="1"/>
  <c r="AE83" i="3"/>
  <c r="X5" i="14" s="1"/>
  <c r="AE85" i="3"/>
  <c r="X7" i="14" s="1"/>
  <c r="AE86" i="3"/>
  <c r="X8" i="14" s="1"/>
  <c r="AE81" i="3"/>
  <c r="X3" i="14" s="1"/>
  <c r="AE15" i="3"/>
  <c r="X7" i="4" s="1"/>
  <c r="AE52" i="3"/>
  <c r="X2" i="10" s="1"/>
  <c r="AE11" i="3"/>
  <c r="X3" i="4" s="1"/>
  <c r="AE88" i="3"/>
  <c r="AE20" i="3"/>
  <c r="X5" i="5" s="1"/>
  <c r="AE67" i="3"/>
  <c r="X3" i="12" s="1"/>
  <c r="AE74" i="3"/>
  <c r="X3" i="13" s="1"/>
  <c r="AE91" i="3"/>
  <c r="AE18" i="3"/>
  <c r="X3" i="5" s="1"/>
  <c r="AE22" i="3"/>
  <c r="X7" i="5" s="1"/>
  <c r="AE23" i="3"/>
  <c r="X8" i="5" s="1"/>
  <c r="AE70" i="3"/>
  <c r="X6" i="12" s="1"/>
  <c r="AE78" i="3"/>
  <c r="X7" i="13" s="1"/>
  <c r="AE90" i="3"/>
  <c r="AE92" i="3"/>
  <c r="AE26" i="3"/>
  <c r="X4" i="6" s="1"/>
  <c r="AE27" i="3"/>
  <c r="X5" i="6" s="1"/>
  <c r="AE39" i="3"/>
  <c r="X3" i="8" s="1"/>
  <c r="AE42" i="3"/>
  <c r="X6" i="8" s="1"/>
  <c r="AE75" i="3"/>
  <c r="X4" i="13" s="1"/>
  <c r="AE19" i="3"/>
  <c r="X4" i="5" s="1"/>
  <c r="AE29" i="3"/>
  <c r="X7" i="6" s="1"/>
  <c r="AE30" i="3"/>
  <c r="X8" i="6" s="1"/>
  <c r="AE43" i="3"/>
  <c r="X7" i="8" s="1"/>
  <c r="AE63" i="3"/>
  <c r="X6" i="11" s="1"/>
  <c r="AE73" i="3"/>
  <c r="X2" i="13" s="1"/>
  <c r="AE87" i="3"/>
  <c r="AE89" i="3"/>
  <c r="AE12" i="3"/>
  <c r="X4" i="4" s="1"/>
  <c r="AE25" i="3"/>
  <c r="X3" i="6" s="1"/>
  <c r="AE28" i="3"/>
  <c r="X6" i="6" s="1"/>
  <c r="AE32" i="3"/>
  <c r="X3" i="7" s="1"/>
  <c r="AE33" i="3"/>
  <c r="X4" i="7" s="1"/>
  <c r="AE35" i="3"/>
  <c r="X6" i="7" s="1"/>
  <c r="AE36" i="3"/>
  <c r="X7" i="7" s="1"/>
  <c r="AE37" i="3"/>
  <c r="X8" i="7" s="1"/>
  <c r="AE38" i="3"/>
  <c r="X2" i="8" s="1"/>
  <c r="AE45" i="3"/>
  <c r="X2" i="9" s="1"/>
  <c r="AE46" i="3"/>
  <c r="X3" i="9" s="1"/>
  <c r="AE47" i="3"/>
  <c r="X4" i="9" s="1"/>
  <c r="AE48" i="3"/>
  <c r="X5" i="9" s="1"/>
  <c r="AE40" i="3"/>
  <c r="X4" i="8" s="1"/>
  <c r="AE49" i="3"/>
  <c r="X6" i="9" s="1"/>
  <c r="AE50" i="3"/>
  <c r="X7" i="9" s="1"/>
  <c r="AE53" i="3"/>
  <c r="X3" i="10" s="1"/>
  <c r="AE54" i="3"/>
  <c r="X4" i="10" s="1"/>
  <c r="AE56" i="3"/>
  <c r="X6" i="10" s="1"/>
  <c r="AE57" i="3"/>
  <c r="X7" i="10" s="1"/>
  <c r="AE58" i="3"/>
  <c r="X8" i="10" s="1"/>
  <c r="AE59" i="3"/>
  <c r="X2" i="11" s="1"/>
  <c r="AE61" i="3"/>
  <c r="X4" i="11" s="1"/>
  <c r="AE62" i="3"/>
  <c r="X5" i="11" s="1"/>
  <c r="AE64" i="3"/>
  <c r="X7" i="11" s="1"/>
  <c r="AE65" i="3"/>
  <c r="X8" i="11" s="1"/>
  <c r="AE41" i="3"/>
  <c r="X5" i="8" s="1"/>
  <c r="AE66" i="3"/>
  <c r="X2" i="12" s="1"/>
  <c r="AE69" i="3"/>
  <c r="X5" i="12" s="1"/>
  <c r="AE71" i="3"/>
  <c r="X7" i="12" s="1"/>
  <c r="AE72" i="3"/>
  <c r="X8" i="12" s="1"/>
  <c r="AE44" i="3"/>
  <c r="X8" i="8" s="1"/>
  <c r="AE76" i="3"/>
  <c r="X5" i="13" s="1"/>
  <c r="AE60" i="3"/>
  <c r="X3" i="11" s="1"/>
  <c r="AE79" i="3"/>
  <c r="X8" i="13" s="1"/>
  <c r="X1" i="7"/>
  <c r="X1" i="5"/>
  <c r="X1" i="8"/>
  <c r="X1" i="9"/>
  <c r="X1" i="10"/>
  <c r="X1" i="11"/>
  <c r="X1" i="12"/>
  <c r="X1" i="13"/>
  <c r="X1" i="15"/>
  <c r="X1" i="14"/>
  <c r="AF9" i="3"/>
  <c r="AE34" i="3"/>
  <c r="X5" i="7" s="1"/>
  <c r="AE68" i="3"/>
  <c r="X4" i="12" s="1"/>
  <c r="AE51" i="3"/>
  <c r="X8" i="9" s="1"/>
  <c r="AE77" i="3"/>
  <c r="X6" i="13" s="1"/>
  <c r="AE93" i="3"/>
  <c r="X1" i="4"/>
  <c r="X1" i="6"/>
  <c r="AF80" i="3" l="1"/>
  <c r="Y2" i="14" s="1"/>
  <c r="AF14" i="3"/>
  <c r="Y6" i="4" s="1"/>
  <c r="AF31" i="3"/>
  <c r="Y2" i="7" s="1"/>
  <c r="AF84" i="3"/>
  <c r="Y6" i="14" s="1"/>
  <c r="AF21" i="3"/>
  <c r="Y6" i="5" s="1"/>
  <c r="AF10" i="3"/>
  <c r="Y2" i="4" s="1"/>
  <c r="AF24" i="3"/>
  <c r="Y2" i="6" s="1"/>
  <c r="AF17" i="3"/>
  <c r="Y2" i="5" s="1"/>
  <c r="AF55" i="3"/>
  <c r="Y5" i="10" s="1"/>
  <c r="AF15" i="3"/>
  <c r="Y7" i="4" s="1"/>
  <c r="AF86" i="3"/>
  <c r="Y8" i="14" s="1"/>
  <c r="AF83" i="3"/>
  <c r="Y5" i="14" s="1"/>
  <c r="AF52" i="3"/>
  <c r="Y2" i="10" s="1"/>
  <c r="AF11" i="3"/>
  <c r="Y3" i="4" s="1"/>
  <c r="AF13" i="3"/>
  <c r="Y5" i="4" s="1"/>
  <c r="AF16" i="3"/>
  <c r="Y8" i="4" s="1"/>
  <c r="AF81" i="3"/>
  <c r="Y3" i="14" s="1"/>
  <c r="AF82" i="3"/>
  <c r="Y4" i="14" s="1"/>
  <c r="AF85" i="3"/>
  <c r="Y7" i="14" s="1"/>
  <c r="AF40" i="3"/>
  <c r="Y4" i="8" s="1"/>
  <c r="AF78" i="3"/>
  <c r="Y7" i="13" s="1"/>
  <c r="AF92" i="3"/>
  <c r="AF20" i="3"/>
  <c r="Y5" i="5" s="1"/>
  <c r="AF39" i="3"/>
  <c r="Y3" i="8" s="1"/>
  <c r="AF41" i="3"/>
  <c r="Y5" i="8" s="1"/>
  <c r="AF74" i="3"/>
  <c r="Y3" i="13" s="1"/>
  <c r="AF87" i="3"/>
  <c r="AF88" i="3"/>
  <c r="AF89" i="3"/>
  <c r="AF90" i="3"/>
  <c r="AF12" i="3"/>
  <c r="Y4" i="4" s="1"/>
  <c r="AF22" i="3"/>
  <c r="Y7" i="5" s="1"/>
  <c r="AF23" i="3"/>
  <c r="Y8" i="5" s="1"/>
  <c r="AF60" i="3"/>
  <c r="Y3" i="11" s="1"/>
  <c r="AF67" i="3"/>
  <c r="Y3" i="12" s="1"/>
  <c r="AF75" i="3"/>
  <c r="Y4" i="13" s="1"/>
  <c r="AF18" i="3"/>
  <c r="Y3" i="5" s="1"/>
  <c r="AF27" i="3"/>
  <c r="Y5" i="6" s="1"/>
  <c r="AF66" i="3"/>
  <c r="Y2" i="12" s="1"/>
  <c r="AF70" i="3"/>
  <c r="Y6" i="12" s="1"/>
  <c r="AF91" i="3"/>
  <c r="AF25" i="3"/>
  <c r="Y3" i="6" s="1"/>
  <c r="AF28" i="3"/>
  <c r="Y6" i="6" s="1"/>
  <c r="AF29" i="3"/>
  <c r="Y7" i="6" s="1"/>
  <c r="AF30" i="3"/>
  <c r="Y8" i="6" s="1"/>
  <c r="AF19" i="3"/>
  <c r="Y4" i="5" s="1"/>
  <c r="AF26" i="3"/>
  <c r="Y4" i="6" s="1"/>
  <c r="AF32" i="3"/>
  <c r="Y3" i="7" s="1"/>
  <c r="AF33" i="3"/>
  <c r="Y4" i="7" s="1"/>
  <c r="AF35" i="3"/>
  <c r="Y6" i="7" s="1"/>
  <c r="AF36" i="3"/>
  <c r="Y7" i="7" s="1"/>
  <c r="AF37" i="3"/>
  <c r="Y8" i="7" s="1"/>
  <c r="AF38" i="3"/>
  <c r="Y2" i="8" s="1"/>
  <c r="AF45" i="3"/>
  <c r="Y2" i="9" s="1"/>
  <c r="AF46" i="3"/>
  <c r="Y3" i="9" s="1"/>
  <c r="AF47" i="3"/>
  <c r="Y4" i="9" s="1"/>
  <c r="AF50" i="3"/>
  <c r="Y7" i="9" s="1"/>
  <c r="AF43" i="3"/>
  <c r="Y7" i="8" s="1"/>
  <c r="AF53" i="3"/>
  <c r="Y3" i="10" s="1"/>
  <c r="AF54" i="3"/>
  <c r="Y4" i="10" s="1"/>
  <c r="AF56" i="3"/>
  <c r="Y6" i="10" s="1"/>
  <c r="AF42" i="3"/>
  <c r="Y6" i="8" s="1"/>
  <c r="AF57" i="3"/>
  <c r="Y7" i="10" s="1"/>
  <c r="AF58" i="3"/>
  <c r="Y8" i="10" s="1"/>
  <c r="AF59" i="3"/>
  <c r="Y2" i="11" s="1"/>
  <c r="AF44" i="3"/>
  <c r="Y8" i="8" s="1"/>
  <c r="AF61" i="3"/>
  <c r="Y4" i="11" s="1"/>
  <c r="AF62" i="3"/>
  <c r="Y5" i="11" s="1"/>
  <c r="AF63" i="3"/>
  <c r="Y6" i="11" s="1"/>
  <c r="AF64" i="3"/>
  <c r="Y7" i="11" s="1"/>
  <c r="AF65" i="3"/>
  <c r="Y8" i="11" s="1"/>
  <c r="AF48" i="3"/>
  <c r="Y5" i="9" s="1"/>
  <c r="AF69" i="3"/>
  <c r="Y5" i="12" s="1"/>
  <c r="AF49" i="3"/>
  <c r="Y6" i="9" s="1"/>
  <c r="AF71" i="3"/>
  <c r="Y7" i="12" s="1"/>
  <c r="AF72" i="3"/>
  <c r="Y8" i="12" s="1"/>
  <c r="AF73" i="3"/>
  <c r="Y2" i="13" s="1"/>
  <c r="AF76" i="3"/>
  <c r="Y5" i="13" s="1"/>
  <c r="AF79" i="3"/>
  <c r="Y8" i="13" s="1"/>
  <c r="AF34" i="3"/>
  <c r="Y5" i="7" s="1"/>
  <c r="AF68" i="3"/>
  <c r="Y4" i="12" s="1"/>
  <c r="Y1" i="14"/>
  <c r="AF51" i="3"/>
  <c r="Y8" i="9" s="1"/>
  <c r="AF77" i="3"/>
  <c r="Y6" i="13" s="1"/>
  <c r="AF93" i="3"/>
  <c r="Y1" i="4"/>
  <c r="Y1" i="15"/>
  <c r="Y1" i="5"/>
  <c r="Y1" i="6"/>
  <c r="Y1" i="7"/>
  <c r="Y1" i="13"/>
  <c r="Y1" i="8"/>
  <c r="Y1" i="9"/>
  <c r="Y1" i="10"/>
  <c r="Y1" i="11"/>
  <c r="Y1" i="12"/>
  <c r="AG9" i="3"/>
  <c r="AG80" i="3" l="1"/>
  <c r="Z2" i="14" s="1"/>
  <c r="AG14" i="3"/>
  <c r="Z6" i="4" s="1"/>
  <c r="AG21" i="3"/>
  <c r="Z6" i="5" s="1"/>
  <c r="AG84" i="3"/>
  <c r="Z6" i="14" s="1"/>
  <c r="AG31" i="3"/>
  <c r="Z2" i="7" s="1"/>
  <c r="AG10" i="3"/>
  <c r="Z2" i="4" s="1"/>
  <c r="AG17" i="3"/>
  <c r="Z2" i="5" s="1"/>
  <c r="AG24" i="3"/>
  <c r="Z2" i="6" s="1"/>
  <c r="AG55" i="3"/>
  <c r="Z5" i="10" s="1"/>
  <c r="AG13" i="3"/>
  <c r="Z5" i="4" s="1"/>
  <c r="AG85" i="3"/>
  <c r="Z7" i="14" s="1"/>
  <c r="AG86" i="3"/>
  <c r="Z8" i="14" s="1"/>
  <c r="AG82" i="3"/>
  <c r="Z4" i="14" s="1"/>
  <c r="AG83" i="3"/>
  <c r="Z5" i="14" s="1"/>
  <c r="AG52" i="3"/>
  <c r="Z2" i="10" s="1"/>
  <c r="AG11" i="3"/>
  <c r="Z3" i="4" s="1"/>
  <c r="AG81" i="3"/>
  <c r="Z3" i="14" s="1"/>
  <c r="AG16" i="3"/>
  <c r="Z8" i="4" s="1"/>
  <c r="AG15" i="3"/>
  <c r="Z7" i="4" s="1"/>
  <c r="AG60" i="3"/>
  <c r="Z3" i="11" s="1"/>
  <c r="AG70" i="3"/>
  <c r="Z6" i="12" s="1"/>
  <c r="AG19" i="3"/>
  <c r="Z4" i="5" s="1"/>
  <c r="AG20" i="3"/>
  <c r="Z5" i="5" s="1"/>
  <c r="AG42" i="3"/>
  <c r="Z6" i="8" s="1"/>
  <c r="AG75" i="3"/>
  <c r="Z4" i="13" s="1"/>
  <c r="AG23" i="3"/>
  <c r="Z8" i="5" s="1"/>
  <c r="AG22" i="3"/>
  <c r="Z7" i="5" s="1"/>
  <c r="AG25" i="3"/>
  <c r="Z3" i="6" s="1"/>
  <c r="AG27" i="3"/>
  <c r="Z5" i="6" s="1"/>
  <c r="AG49" i="3"/>
  <c r="Z6" i="9" s="1"/>
  <c r="AG87" i="3"/>
  <c r="AG89" i="3"/>
  <c r="AG92" i="3"/>
  <c r="AG12" i="3"/>
  <c r="Z4" i="4" s="1"/>
  <c r="AG18" i="3"/>
  <c r="Z3" i="5" s="1"/>
  <c r="AG26" i="3"/>
  <c r="Z4" i="6" s="1"/>
  <c r="AG28" i="3"/>
  <c r="Z6" i="6" s="1"/>
  <c r="AG29" i="3"/>
  <c r="Z7" i="6" s="1"/>
  <c r="AG30" i="3"/>
  <c r="Z8" i="6" s="1"/>
  <c r="AG41" i="3"/>
  <c r="Z5" i="8" s="1"/>
  <c r="AG66" i="3"/>
  <c r="Z2" i="12" s="1"/>
  <c r="AG78" i="3"/>
  <c r="Z7" i="13" s="1"/>
  <c r="AG88" i="3"/>
  <c r="AG90" i="3"/>
  <c r="AG91" i="3"/>
  <c r="AG32" i="3"/>
  <c r="Z3" i="7" s="1"/>
  <c r="AG33" i="3"/>
  <c r="Z4" i="7" s="1"/>
  <c r="AG35" i="3"/>
  <c r="Z6" i="7" s="1"/>
  <c r="AG36" i="3"/>
  <c r="Z7" i="7" s="1"/>
  <c r="AG37" i="3"/>
  <c r="Z8" i="7" s="1"/>
  <c r="AG38" i="3"/>
  <c r="Z2" i="8" s="1"/>
  <c r="AG45" i="3"/>
  <c r="Z2" i="9" s="1"/>
  <c r="AG46" i="3"/>
  <c r="Z3" i="9" s="1"/>
  <c r="AG47" i="3"/>
  <c r="Z4" i="9" s="1"/>
  <c r="AG50" i="3"/>
  <c r="Z7" i="9" s="1"/>
  <c r="AG48" i="3"/>
  <c r="Z5" i="9" s="1"/>
  <c r="AG53" i="3"/>
  <c r="Z3" i="10" s="1"/>
  <c r="AG54" i="3"/>
  <c r="Z4" i="10" s="1"/>
  <c r="AG56" i="3"/>
  <c r="Z6" i="10" s="1"/>
  <c r="AG57" i="3"/>
  <c r="Z7" i="10" s="1"/>
  <c r="AG58" i="3"/>
  <c r="Z8" i="10" s="1"/>
  <c r="AG59" i="3"/>
  <c r="Z2" i="11" s="1"/>
  <c r="AG61" i="3"/>
  <c r="Z4" i="11" s="1"/>
  <c r="AG62" i="3"/>
  <c r="Z5" i="11" s="1"/>
  <c r="AG63" i="3"/>
  <c r="Z6" i="11" s="1"/>
  <c r="AG44" i="3"/>
  <c r="Z8" i="8" s="1"/>
  <c r="AG64" i="3"/>
  <c r="Z7" i="11" s="1"/>
  <c r="AG65" i="3"/>
  <c r="Z8" i="11" s="1"/>
  <c r="AG40" i="3"/>
  <c r="Z4" i="8" s="1"/>
  <c r="AG43" i="3"/>
  <c r="Z7" i="8" s="1"/>
  <c r="AG67" i="3"/>
  <c r="Z3" i="12" s="1"/>
  <c r="AG69" i="3"/>
  <c r="Z5" i="12" s="1"/>
  <c r="AG71" i="3"/>
  <c r="Z7" i="12" s="1"/>
  <c r="AG72" i="3"/>
  <c r="Z8" i="12" s="1"/>
  <c r="AG73" i="3"/>
  <c r="Z2" i="13" s="1"/>
  <c r="AG76" i="3"/>
  <c r="Z5" i="13" s="1"/>
  <c r="AG39" i="3"/>
  <c r="Z3" i="8" s="1"/>
  <c r="AG74" i="3"/>
  <c r="Z3" i="13" s="1"/>
  <c r="AG79" i="3"/>
  <c r="Z8" i="13" s="1"/>
  <c r="Z1" i="13"/>
  <c r="Z1" i="14"/>
  <c r="Z1" i="15"/>
  <c r="AH9" i="3"/>
  <c r="AG34" i="3"/>
  <c r="Z5" i="7" s="1"/>
  <c r="AG68" i="3"/>
  <c r="Z4" i="12" s="1"/>
  <c r="AG51" i="3"/>
  <c r="Z8" i="9" s="1"/>
  <c r="AG77" i="3"/>
  <c r="Z6" i="13" s="1"/>
  <c r="AG93" i="3"/>
  <c r="Z1" i="4"/>
  <c r="Z1" i="6"/>
  <c r="Z1" i="7"/>
  <c r="Z1" i="5"/>
  <c r="Z1" i="8"/>
  <c r="Z1" i="9"/>
  <c r="Z1" i="10"/>
  <c r="Z1" i="11"/>
  <c r="Z1" i="12"/>
  <c r="AH14" i="3" l="1"/>
  <c r="AA6" i="4" s="1"/>
  <c r="AH84" i="3"/>
  <c r="AA6" i="14" s="1"/>
  <c r="AH80" i="3"/>
  <c r="AA2" i="14" s="1"/>
  <c r="AH21" i="3"/>
  <c r="AA6" i="5" s="1"/>
  <c r="AH31" i="3"/>
  <c r="AA2" i="7" s="1"/>
  <c r="AH10" i="3"/>
  <c r="AA2" i="4" s="1"/>
  <c r="AH24" i="3"/>
  <c r="AA2" i="6" s="1"/>
  <c r="AH17" i="3"/>
  <c r="AA2" i="5" s="1"/>
  <c r="AH55" i="3"/>
  <c r="AA5" i="10" s="1"/>
  <c r="AH11" i="3"/>
  <c r="AA3" i="4" s="1"/>
  <c r="AH86" i="3"/>
  <c r="AA8" i="14" s="1"/>
  <c r="AH13" i="3"/>
  <c r="AA5" i="4" s="1"/>
  <c r="AH85" i="3"/>
  <c r="AA7" i="14" s="1"/>
  <c r="AH52" i="3"/>
  <c r="AA2" i="10" s="1"/>
  <c r="AH15" i="3"/>
  <c r="AA7" i="4" s="1"/>
  <c r="AH81" i="3"/>
  <c r="AA3" i="14" s="1"/>
  <c r="AH82" i="3"/>
  <c r="AA4" i="14" s="1"/>
  <c r="AH83" i="3"/>
  <c r="AA5" i="14" s="1"/>
  <c r="AH16" i="3"/>
  <c r="AA8" i="4" s="1"/>
  <c r="AH70" i="3"/>
  <c r="AA6" i="12" s="1"/>
  <c r="AH89" i="3"/>
  <c r="AH20" i="3"/>
  <c r="AA5" i="5" s="1"/>
  <c r="AH49" i="3"/>
  <c r="AA6" i="9" s="1"/>
  <c r="AH22" i="3"/>
  <c r="AA7" i="5" s="1"/>
  <c r="AH23" i="3"/>
  <c r="AA8" i="5" s="1"/>
  <c r="AH44" i="3"/>
  <c r="AA8" i="8" s="1"/>
  <c r="AH87" i="3"/>
  <c r="AH91" i="3"/>
  <c r="AH92" i="3"/>
  <c r="AH26" i="3"/>
  <c r="AA4" i="6" s="1"/>
  <c r="AH27" i="3"/>
  <c r="AA5" i="6" s="1"/>
  <c r="AH40" i="3"/>
  <c r="AA4" i="8" s="1"/>
  <c r="AH48" i="3"/>
  <c r="AA5" i="9" s="1"/>
  <c r="AH76" i="3"/>
  <c r="AA5" i="13" s="1"/>
  <c r="AH88" i="3"/>
  <c r="AH90" i="3"/>
  <c r="AH19" i="3"/>
  <c r="AA4" i="5" s="1"/>
  <c r="AH25" i="3"/>
  <c r="AA3" i="6" s="1"/>
  <c r="AH28" i="3"/>
  <c r="AA6" i="6" s="1"/>
  <c r="AH29" i="3"/>
  <c r="AA7" i="6" s="1"/>
  <c r="AH30" i="3"/>
  <c r="AA8" i="6" s="1"/>
  <c r="AH74" i="3"/>
  <c r="AA3" i="13" s="1"/>
  <c r="AH75" i="3"/>
  <c r="AA4" i="13" s="1"/>
  <c r="AH78" i="3"/>
  <c r="AA7" i="13" s="1"/>
  <c r="AH12" i="3"/>
  <c r="AA4" i="4" s="1"/>
  <c r="AH18" i="3"/>
  <c r="AA3" i="5" s="1"/>
  <c r="AH32" i="3"/>
  <c r="AA3" i="7" s="1"/>
  <c r="AH33" i="3"/>
  <c r="AA4" i="7" s="1"/>
  <c r="AH35" i="3"/>
  <c r="AA6" i="7" s="1"/>
  <c r="AH36" i="3"/>
  <c r="AA7" i="7" s="1"/>
  <c r="AH37" i="3"/>
  <c r="AA8" i="7" s="1"/>
  <c r="AH38" i="3"/>
  <c r="AA2" i="8" s="1"/>
  <c r="AH45" i="3"/>
  <c r="AA2" i="9" s="1"/>
  <c r="AH46" i="3"/>
  <c r="AA3" i="9" s="1"/>
  <c r="AH47" i="3"/>
  <c r="AA4" i="9" s="1"/>
  <c r="AH50" i="3"/>
  <c r="AA7" i="9" s="1"/>
  <c r="AH54" i="3"/>
  <c r="AA4" i="10" s="1"/>
  <c r="AH56" i="3"/>
  <c r="AA6" i="10" s="1"/>
  <c r="AH39" i="3"/>
  <c r="AA3" i="8" s="1"/>
  <c r="AH53" i="3"/>
  <c r="AA3" i="10" s="1"/>
  <c r="AH57" i="3"/>
  <c r="AA7" i="10" s="1"/>
  <c r="AH58" i="3"/>
  <c r="AA8" i="10" s="1"/>
  <c r="AH59" i="3"/>
  <c r="AA2" i="11" s="1"/>
  <c r="AH42" i="3"/>
  <c r="AA6" i="8" s="1"/>
  <c r="AH61" i="3"/>
  <c r="AA4" i="11" s="1"/>
  <c r="AH62" i="3"/>
  <c r="AA5" i="11" s="1"/>
  <c r="AH63" i="3"/>
  <c r="AA6" i="11" s="1"/>
  <c r="AH41" i="3"/>
  <c r="AA5" i="8" s="1"/>
  <c r="AH64" i="3"/>
  <c r="AA7" i="11" s="1"/>
  <c r="AH65" i="3"/>
  <c r="AA8" i="11" s="1"/>
  <c r="AH60" i="3"/>
  <c r="AA3" i="11" s="1"/>
  <c r="AH67" i="3"/>
  <c r="AA3" i="12" s="1"/>
  <c r="AH69" i="3"/>
  <c r="AA5" i="12" s="1"/>
  <c r="AH71" i="3"/>
  <c r="AA7" i="12" s="1"/>
  <c r="AH72" i="3"/>
  <c r="AA8" i="12" s="1"/>
  <c r="AH73" i="3"/>
  <c r="AA2" i="13" s="1"/>
  <c r="AH43" i="3"/>
  <c r="AA7" i="8" s="1"/>
  <c r="AH66" i="3"/>
  <c r="AA2" i="12" s="1"/>
  <c r="AH79" i="3"/>
  <c r="AA8" i="13" s="1"/>
  <c r="AH34" i="3"/>
  <c r="AA5" i="7" s="1"/>
  <c r="AH68" i="3"/>
  <c r="AA4" i="12" s="1"/>
  <c r="AA1" i="13"/>
  <c r="AA1" i="15"/>
  <c r="AH51" i="3"/>
  <c r="AA8" i="9" s="1"/>
  <c r="AH77" i="3"/>
  <c r="AA6" i="13" s="1"/>
  <c r="AH93" i="3"/>
  <c r="AA1" i="4"/>
  <c r="AI9" i="3"/>
  <c r="AA1" i="6"/>
  <c r="AA1" i="5"/>
  <c r="AA1" i="7"/>
  <c r="AA1" i="8"/>
  <c r="AA1" i="9"/>
  <c r="AA1" i="10"/>
  <c r="AA1" i="11"/>
  <c r="AA1" i="12"/>
  <c r="AA1" i="14"/>
  <c r="AI80" i="3" l="1"/>
  <c r="AB2" i="14" s="1"/>
  <c r="AI84" i="3"/>
  <c r="AB6" i="14" s="1"/>
  <c r="AI14" i="3"/>
  <c r="AB6" i="4" s="1"/>
  <c r="AI21" i="3"/>
  <c r="AB6" i="5" s="1"/>
  <c r="AI17" i="3"/>
  <c r="AB2" i="5" s="1"/>
  <c r="AI31" i="3"/>
  <c r="AB2" i="7" s="1"/>
  <c r="AI10" i="3"/>
  <c r="AB2" i="4" s="1"/>
  <c r="AI24" i="3"/>
  <c r="AB2" i="6" s="1"/>
  <c r="AI55" i="3"/>
  <c r="AB5" i="10" s="1"/>
  <c r="AI85" i="3"/>
  <c r="AB7" i="14" s="1"/>
  <c r="AI86" i="3"/>
  <c r="AB8" i="14" s="1"/>
  <c r="AI15" i="3"/>
  <c r="AB7" i="4" s="1"/>
  <c r="AI13" i="3"/>
  <c r="AB5" i="4" s="1"/>
  <c r="AI16" i="3"/>
  <c r="AB8" i="4" s="1"/>
  <c r="AI52" i="3"/>
  <c r="AB2" i="10" s="1"/>
  <c r="AI11" i="3"/>
  <c r="AB3" i="4" s="1"/>
  <c r="AI81" i="3"/>
  <c r="AB3" i="14" s="1"/>
  <c r="AI83" i="3"/>
  <c r="AB5" i="14" s="1"/>
  <c r="AI82" i="3"/>
  <c r="AB4" i="14" s="1"/>
  <c r="AI75" i="3"/>
  <c r="AB4" i="13" s="1"/>
  <c r="AI87" i="3"/>
  <c r="AI20" i="3"/>
  <c r="AB5" i="5" s="1"/>
  <c r="AI78" i="3"/>
  <c r="AB7" i="13" s="1"/>
  <c r="AI91" i="3"/>
  <c r="AI18" i="3"/>
  <c r="AB3" i="5" s="1"/>
  <c r="AI19" i="3"/>
  <c r="AB4" i="5" s="1"/>
  <c r="AI23" i="3"/>
  <c r="AB8" i="5" s="1"/>
  <c r="AI63" i="3"/>
  <c r="AB6" i="11" s="1"/>
  <c r="AI76" i="3"/>
  <c r="AB5" i="13" s="1"/>
  <c r="AI90" i="3"/>
  <c r="AI12" i="3"/>
  <c r="AB4" i="4" s="1"/>
  <c r="AI27" i="3"/>
  <c r="AB5" i="6" s="1"/>
  <c r="AI43" i="3"/>
  <c r="AB7" i="8" s="1"/>
  <c r="AI44" i="3"/>
  <c r="AB8" i="8" s="1"/>
  <c r="AI60" i="3"/>
  <c r="AB3" i="11" s="1"/>
  <c r="AI74" i="3"/>
  <c r="AB3" i="13" s="1"/>
  <c r="AI88" i="3"/>
  <c r="AI89" i="3"/>
  <c r="AI92" i="3"/>
  <c r="AI22" i="3"/>
  <c r="AB7" i="5" s="1"/>
  <c r="AI28" i="3"/>
  <c r="AB6" i="6" s="1"/>
  <c r="AI29" i="3"/>
  <c r="AB7" i="6" s="1"/>
  <c r="AI30" i="3"/>
  <c r="AB8" i="6" s="1"/>
  <c r="AI70" i="3"/>
  <c r="AB6" i="12" s="1"/>
  <c r="AI25" i="3"/>
  <c r="AB3" i="6" s="1"/>
  <c r="AI26" i="3"/>
  <c r="AB4" i="6" s="1"/>
  <c r="AI32" i="3"/>
  <c r="AB3" i="7" s="1"/>
  <c r="AI33" i="3"/>
  <c r="AB4" i="7" s="1"/>
  <c r="AI35" i="3"/>
  <c r="AB6" i="7" s="1"/>
  <c r="AI36" i="3"/>
  <c r="AB7" i="7" s="1"/>
  <c r="AI37" i="3"/>
  <c r="AB8" i="7" s="1"/>
  <c r="AI38" i="3"/>
  <c r="AB2" i="8" s="1"/>
  <c r="AI41" i="3"/>
  <c r="AB5" i="8" s="1"/>
  <c r="AI45" i="3"/>
  <c r="AB2" i="9" s="1"/>
  <c r="AI46" i="3"/>
  <c r="AB3" i="9" s="1"/>
  <c r="AI47" i="3"/>
  <c r="AB4" i="9" s="1"/>
  <c r="AI42" i="3"/>
  <c r="AB6" i="8" s="1"/>
  <c r="AI50" i="3"/>
  <c r="AB7" i="9" s="1"/>
  <c r="AI53" i="3"/>
  <c r="AB3" i="10" s="1"/>
  <c r="AI54" i="3"/>
  <c r="AB4" i="10" s="1"/>
  <c r="AI56" i="3"/>
  <c r="AB6" i="10" s="1"/>
  <c r="AI49" i="3"/>
  <c r="AB6" i="9" s="1"/>
  <c r="AI57" i="3"/>
  <c r="AB7" i="10" s="1"/>
  <c r="AI58" i="3"/>
  <c r="AB8" i="10" s="1"/>
  <c r="AI59" i="3"/>
  <c r="AB2" i="11" s="1"/>
  <c r="AI61" i="3"/>
  <c r="AB4" i="11" s="1"/>
  <c r="AI62" i="3"/>
  <c r="AB5" i="11" s="1"/>
  <c r="AI39" i="3"/>
  <c r="AB3" i="8" s="1"/>
  <c r="AI48" i="3"/>
  <c r="AB5" i="9" s="1"/>
  <c r="AI64" i="3"/>
  <c r="AB7" i="11" s="1"/>
  <c r="AI65" i="3"/>
  <c r="AB8" i="11" s="1"/>
  <c r="AI67" i="3"/>
  <c r="AB3" i="12" s="1"/>
  <c r="AI69" i="3"/>
  <c r="AB5" i="12" s="1"/>
  <c r="AI40" i="3"/>
  <c r="AB4" i="8" s="1"/>
  <c r="AI66" i="3"/>
  <c r="AB2" i="12" s="1"/>
  <c r="AI71" i="3"/>
  <c r="AB7" i="12" s="1"/>
  <c r="AI72" i="3"/>
  <c r="AB8" i="12" s="1"/>
  <c r="AI73" i="3"/>
  <c r="AB2" i="13" s="1"/>
  <c r="AI79" i="3"/>
  <c r="AB8" i="13" s="1"/>
  <c r="AB1" i="6"/>
  <c r="AJ9" i="3"/>
  <c r="AB1" i="7"/>
  <c r="AB1" i="5"/>
  <c r="AB1" i="8"/>
  <c r="AB1" i="9"/>
  <c r="AB1" i="13"/>
  <c r="AB1" i="10"/>
  <c r="AB1" i="11"/>
  <c r="AB1" i="12"/>
  <c r="AB1" i="14"/>
  <c r="AB1" i="15"/>
  <c r="AI34" i="3"/>
  <c r="AB5" i="7" s="1"/>
  <c r="AI68" i="3"/>
  <c r="AB4" i="12" s="1"/>
  <c r="AI51" i="3"/>
  <c r="AB8" i="9" s="1"/>
  <c r="AI77" i="3"/>
  <c r="AB6" i="13" s="1"/>
  <c r="AI93" i="3"/>
  <c r="AB1" i="4"/>
  <c r="AJ80" i="3" l="1"/>
  <c r="AC2" i="14" s="1"/>
  <c r="AJ14" i="3"/>
  <c r="AC6" i="4" s="1"/>
  <c r="AJ84" i="3"/>
  <c r="AC6" i="14" s="1"/>
  <c r="AJ31" i="3"/>
  <c r="AC2" i="7" s="1"/>
  <c r="AJ21" i="3"/>
  <c r="AC6" i="5" s="1"/>
  <c r="AJ17" i="3"/>
  <c r="AC2" i="5" s="1"/>
  <c r="AJ10" i="3"/>
  <c r="AC2" i="4" s="1"/>
  <c r="AJ24" i="3"/>
  <c r="AC2" i="6" s="1"/>
  <c r="AJ55" i="3"/>
  <c r="AC5" i="10" s="1"/>
  <c r="AJ16" i="3"/>
  <c r="AC8" i="4" s="1"/>
  <c r="AJ86" i="3"/>
  <c r="AC8" i="14" s="1"/>
  <c r="AJ82" i="3"/>
  <c r="AC4" i="14" s="1"/>
  <c r="AJ15" i="3"/>
  <c r="AC7" i="4" s="1"/>
  <c r="AJ85" i="3"/>
  <c r="AC7" i="14" s="1"/>
  <c r="AJ11" i="3"/>
  <c r="AC3" i="4" s="1"/>
  <c r="AJ81" i="3"/>
  <c r="AC3" i="14" s="1"/>
  <c r="AJ83" i="3"/>
  <c r="AC5" i="14" s="1"/>
  <c r="AJ13" i="3"/>
  <c r="AC5" i="4" s="1"/>
  <c r="AJ66" i="3"/>
  <c r="AC2" i="12" s="1"/>
  <c r="AJ20" i="3"/>
  <c r="AC5" i="5" s="1"/>
  <c r="AJ60" i="3"/>
  <c r="AC3" i="11" s="1"/>
  <c r="AJ90" i="3"/>
  <c r="AJ22" i="3"/>
  <c r="AC7" i="5" s="1"/>
  <c r="AJ23" i="3"/>
  <c r="AC8" i="5" s="1"/>
  <c r="AJ74" i="3"/>
  <c r="AC3" i="13" s="1"/>
  <c r="AJ19" i="3"/>
  <c r="AC4" i="5" s="1"/>
  <c r="AJ27" i="3"/>
  <c r="AC5" i="6" s="1"/>
  <c r="AJ28" i="3"/>
  <c r="AC6" i="6" s="1"/>
  <c r="AJ75" i="3"/>
  <c r="AC4" i="13" s="1"/>
  <c r="AJ78" i="3"/>
  <c r="AC7" i="13" s="1"/>
  <c r="AJ91" i="3"/>
  <c r="AJ92" i="3"/>
  <c r="AJ12" i="3"/>
  <c r="AC4" i="4" s="1"/>
  <c r="AJ18" i="3"/>
  <c r="AC3" i="5" s="1"/>
  <c r="AJ25" i="3"/>
  <c r="AC3" i="6" s="1"/>
  <c r="AJ26" i="3"/>
  <c r="AC4" i="6" s="1"/>
  <c r="AJ29" i="3"/>
  <c r="AC7" i="6" s="1"/>
  <c r="AJ30" i="3"/>
  <c r="AC8" i="6" s="1"/>
  <c r="AJ39" i="3"/>
  <c r="AC3" i="8" s="1"/>
  <c r="AJ76" i="3"/>
  <c r="AC5" i="13" s="1"/>
  <c r="AJ88" i="3"/>
  <c r="AJ89" i="3"/>
  <c r="AJ32" i="3"/>
  <c r="AC3" i="7" s="1"/>
  <c r="AJ33" i="3"/>
  <c r="AC4" i="7" s="1"/>
  <c r="AJ35" i="3"/>
  <c r="AC6" i="7" s="1"/>
  <c r="AJ36" i="3"/>
  <c r="AC7" i="7" s="1"/>
  <c r="AJ37" i="3"/>
  <c r="AC8" i="7" s="1"/>
  <c r="AJ38" i="3"/>
  <c r="AC2" i="8" s="1"/>
  <c r="AJ45" i="3"/>
  <c r="AC2" i="9" s="1"/>
  <c r="AJ46" i="3"/>
  <c r="AC3" i="9" s="1"/>
  <c r="AJ47" i="3"/>
  <c r="AC4" i="9" s="1"/>
  <c r="AJ49" i="3"/>
  <c r="AC6" i="9" s="1"/>
  <c r="AJ50" i="3"/>
  <c r="AC7" i="9" s="1"/>
  <c r="AJ52" i="3"/>
  <c r="AC2" i="10" s="1"/>
  <c r="AJ54" i="3"/>
  <c r="AC4" i="10" s="1"/>
  <c r="AJ56" i="3"/>
  <c r="AC6" i="10" s="1"/>
  <c r="AJ43" i="3"/>
  <c r="AC7" i="8" s="1"/>
  <c r="AJ53" i="3"/>
  <c r="AC3" i="10" s="1"/>
  <c r="AJ57" i="3"/>
  <c r="AC7" i="10" s="1"/>
  <c r="AJ58" i="3"/>
  <c r="AC8" i="10" s="1"/>
  <c r="AJ59" i="3"/>
  <c r="AC2" i="11" s="1"/>
  <c r="AJ40" i="3"/>
  <c r="AC4" i="8" s="1"/>
  <c r="AJ48" i="3"/>
  <c r="AC5" i="9" s="1"/>
  <c r="AJ61" i="3"/>
  <c r="AC4" i="11" s="1"/>
  <c r="AJ62" i="3"/>
  <c r="AC5" i="11" s="1"/>
  <c r="AJ64" i="3"/>
  <c r="AC7" i="11" s="1"/>
  <c r="AJ65" i="3"/>
  <c r="AC8" i="11" s="1"/>
  <c r="AJ44" i="3"/>
  <c r="AC8" i="8" s="1"/>
  <c r="AJ63" i="3"/>
  <c r="AC6" i="11" s="1"/>
  <c r="AJ67" i="3"/>
  <c r="AC3" i="12" s="1"/>
  <c r="AJ69" i="3"/>
  <c r="AC5" i="12" s="1"/>
  <c r="AJ71" i="3"/>
  <c r="AC7" i="12" s="1"/>
  <c r="AJ72" i="3"/>
  <c r="AC8" i="12" s="1"/>
  <c r="AJ73" i="3"/>
  <c r="AC2" i="13" s="1"/>
  <c r="AJ41" i="3"/>
  <c r="AC5" i="8" s="1"/>
  <c r="AJ70" i="3"/>
  <c r="AC6" i="12" s="1"/>
  <c r="AJ79" i="3"/>
  <c r="AC8" i="13" s="1"/>
  <c r="AJ87" i="3"/>
  <c r="AC1" i="7"/>
  <c r="AC1" i="8"/>
  <c r="AC1" i="9"/>
  <c r="AC1" i="10"/>
  <c r="AC1" i="11"/>
  <c r="AC1" i="12"/>
  <c r="AC1" i="14"/>
  <c r="AK9" i="3"/>
  <c r="AJ34" i="3"/>
  <c r="AC5" i="7" s="1"/>
  <c r="AJ42" i="3"/>
  <c r="AC6" i="8" s="1"/>
  <c r="AJ68" i="3"/>
  <c r="AC4" i="12" s="1"/>
  <c r="AC1" i="13"/>
  <c r="AJ51" i="3"/>
  <c r="AC8" i="9" s="1"/>
  <c r="AJ77" i="3"/>
  <c r="AC6" i="13" s="1"/>
  <c r="AJ93" i="3"/>
  <c r="AC1" i="4"/>
  <c r="AC1" i="5"/>
  <c r="AC1" i="6"/>
  <c r="AC1" i="15"/>
  <c r="AK14" i="3" l="1"/>
  <c r="AD6" i="4" s="1"/>
  <c r="AK80" i="3"/>
  <c r="AD2" i="14" s="1"/>
  <c r="AK84" i="3"/>
  <c r="AD6" i="14" s="1"/>
  <c r="AK10" i="3"/>
  <c r="AD2" i="4" s="1"/>
  <c r="AK31" i="3"/>
  <c r="AD2" i="7" s="1"/>
  <c r="AK17" i="3"/>
  <c r="AD2" i="5" s="1"/>
  <c r="AK24" i="3"/>
  <c r="AD2" i="6" s="1"/>
  <c r="AK21" i="3"/>
  <c r="AD6" i="5" s="1"/>
  <c r="AK55" i="3"/>
  <c r="AD5" i="10" s="1"/>
  <c r="AK82" i="3"/>
  <c r="AD4" i="14" s="1"/>
  <c r="AK86" i="3"/>
  <c r="AD8" i="14" s="1"/>
  <c r="AK11" i="3"/>
  <c r="AD3" i="4" s="1"/>
  <c r="AK16" i="3"/>
  <c r="AD8" i="4" s="1"/>
  <c r="AK81" i="3"/>
  <c r="AD3" i="14" s="1"/>
  <c r="AK13" i="3"/>
  <c r="AD5" i="4" s="1"/>
  <c r="AK83" i="3"/>
  <c r="AD5" i="14" s="1"/>
  <c r="AK15" i="3"/>
  <c r="AD7" i="4" s="1"/>
  <c r="AK85" i="3"/>
  <c r="AD7" i="14" s="1"/>
  <c r="AK73" i="3"/>
  <c r="AD2" i="13" s="1"/>
  <c r="AK76" i="3"/>
  <c r="AD5" i="13" s="1"/>
  <c r="AK78" i="3"/>
  <c r="AD7" i="13" s="1"/>
  <c r="AK90" i="3"/>
  <c r="AK60" i="3"/>
  <c r="AD3" i="11" s="1"/>
  <c r="AK18" i="3"/>
  <c r="AD3" i="5" s="1"/>
  <c r="AK20" i="3"/>
  <c r="AD5" i="5" s="1"/>
  <c r="AK66" i="3"/>
  <c r="AD2" i="12" s="1"/>
  <c r="AK89" i="3"/>
  <c r="AK22" i="3"/>
  <c r="AD7" i="5" s="1"/>
  <c r="AK23" i="3"/>
  <c r="AD8" i="5" s="1"/>
  <c r="AK48" i="3"/>
  <c r="AD5" i="9" s="1"/>
  <c r="AK74" i="3"/>
  <c r="AD3" i="13" s="1"/>
  <c r="AK75" i="3"/>
  <c r="AD4" i="13" s="1"/>
  <c r="AK88" i="3"/>
  <c r="AK92" i="3"/>
  <c r="AK25" i="3"/>
  <c r="AD3" i="6" s="1"/>
  <c r="AK27" i="3"/>
  <c r="AD5" i="6" s="1"/>
  <c r="AK28" i="3"/>
  <c r="AD6" i="6" s="1"/>
  <c r="AK63" i="3"/>
  <c r="AD6" i="11" s="1"/>
  <c r="AK70" i="3"/>
  <c r="AD6" i="12" s="1"/>
  <c r="AK12" i="3"/>
  <c r="AD4" i="4" s="1"/>
  <c r="AK19" i="3"/>
  <c r="AD4" i="5" s="1"/>
  <c r="AK29" i="3"/>
  <c r="AD7" i="6" s="1"/>
  <c r="AK30" i="3"/>
  <c r="AD8" i="6" s="1"/>
  <c r="AK59" i="3"/>
  <c r="AD2" i="11" s="1"/>
  <c r="AK91" i="3"/>
  <c r="AK26" i="3"/>
  <c r="AD4" i="6" s="1"/>
  <c r="AK32" i="3"/>
  <c r="AD3" i="7" s="1"/>
  <c r="AK33" i="3"/>
  <c r="AD4" i="7" s="1"/>
  <c r="AK35" i="3"/>
  <c r="AD6" i="7" s="1"/>
  <c r="AK39" i="3"/>
  <c r="AD3" i="8" s="1"/>
  <c r="AK36" i="3"/>
  <c r="AD7" i="7" s="1"/>
  <c r="AK37" i="3"/>
  <c r="AD8" i="7" s="1"/>
  <c r="AK38" i="3"/>
  <c r="AD2" i="8" s="1"/>
  <c r="AK45" i="3"/>
  <c r="AD2" i="9" s="1"/>
  <c r="AK46" i="3"/>
  <c r="AD3" i="9" s="1"/>
  <c r="AK47" i="3"/>
  <c r="AD4" i="9" s="1"/>
  <c r="AK40" i="3"/>
  <c r="AD4" i="8" s="1"/>
  <c r="AK43" i="3"/>
  <c r="AD7" i="8" s="1"/>
  <c r="AK50" i="3"/>
  <c r="AD7" i="9" s="1"/>
  <c r="AK49" i="3"/>
  <c r="AD6" i="9" s="1"/>
  <c r="AK54" i="3"/>
  <c r="AD4" i="10" s="1"/>
  <c r="AK56" i="3"/>
  <c r="AD6" i="10" s="1"/>
  <c r="AK44" i="3"/>
  <c r="AD8" i="8" s="1"/>
  <c r="AK52" i="3"/>
  <c r="AD2" i="10" s="1"/>
  <c r="AK53" i="3"/>
  <c r="AD3" i="10" s="1"/>
  <c r="AK57" i="3"/>
  <c r="AD7" i="10" s="1"/>
  <c r="AK58" i="3"/>
  <c r="AD8" i="10" s="1"/>
  <c r="AK61" i="3"/>
  <c r="AD4" i="11" s="1"/>
  <c r="AK62" i="3"/>
  <c r="AD5" i="11" s="1"/>
  <c r="AK64" i="3"/>
  <c r="AD7" i="11" s="1"/>
  <c r="AK65" i="3"/>
  <c r="AD8" i="11" s="1"/>
  <c r="AK67" i="3"/>
  <c r="AD3" i="12" s="1"/>
  <c r="AK69" i="3"/>
  <c r="AD5" i="12" s="1"/>
  <c r="AK71" i="3"/>
  <c r="AD7" i="12" s="1"/>
  <c r="AK72" i="3"/>
  <c r="AD8" i="12" s="1"/>
  <c r="AK41" i="3"/>
  <c r="AD5" i="8" s="1"/>
  <c r="AK79" i="3"/>
  <c r="AD8" i="13" s="1"/>
  <c r="AK87" i="3"/>
  <c r="AK34" i="3"/>
  <c r="AD5" i="7" s="1"/>
  <c r="AK42" i="3"/>
  <c r="AD6" i="8" s="1"/>
  <c r="AK68" i="3"/>
  <c r="AD4" i="12" s="1"/>
  <c r="AD1" i="14"/>
  <c r="AK51" i="3"/>
  <c r="AD8" i="9" s="1"/>
  <c r="AK77" i="3"/>
  <c r="AD6" i="13" s="1"/>
  <c r="AK93" i="3"/>
  <c r="AD1" i="4"/>
  <c r="AL9" i="3"/>
  <c r="AD1" i="6"/>
  <c r="AD1" i="5"/>
  <c r="AD1" i="7"/>
  <c r="AD1" i="8"/>
  <c r="AD1" i="9"/>
  <c r="AD1" i="10"/>
  <c r="AD1" i="11"/>
  <c r="AD1" i="12"/>
  <c r="AD1" i="13"/>
  <c r="AD1" i="15"/>
  <c r="AL14" i="3" l="1"/>
  <c r="AE6" i="4" s="1"/>
  <c r="AL80" i="3"/>
  <c r="AE2" i="14" s="1"/>
  <c r="AL84" i="3"/>
  <c r="AE6" i="14" s="1"/>
  <c r="AL31" i="3"/>
  <c r="AE2" i="7" s="1"/>
  <c r="AL21" i="3"/>
  <c r="AE6" i="5" s="1"/>
  <c r="AL10" i="3"/>
  <c r="AE2" i="4" s="1"/>
  <c r="AL24" i="3"/>
  <c r="AE2" i="6" s="1"/>
  <c r="AL17" i="3"/>
  <c r="AE2" i="5" s="1"/>
  <c r="AL55" i="3"/>
  <c r="AE5" i="10" s="1"/>
  <c r="AL13" i="3"/>
  <c r="AE5" i="4" s="1"/>
  <c r="AL15" i="3"/>
  <c r="AE7" i="4" s="1"/>
  <c r="AL82" i="3"/>
  <c r="AE4" i="14" s="1"/>
  <c r="AL52" i="3"/>
  <c r="AE2" i="10" s="1"/>
  <c r="AL11" i="3"/>
  <c r="AE3" i="4" s="1"/>
  <c r="AL81" i="3"/>
  <c r="AE3" i="14" s="1"/>
  <c r="AL16" i="3"/>
  <c r="AE8" i="4" s="1"/>
  <c r="AL83" i="3"/>
  <c r="AE5" i="14" s="1"/>
  <c r="AL85" i="3"/>
  <c r="AE7" i="14" s="1"/>
  <c r="AL86" i="3"/>
  <c r="AE8" i="14" s="1"/>
  <c r="AL74" i="3"/>
  <c r="AE3" i="13" s="1"/>
  <c r="AL20" i="3"/>
  <c r="AE5" i="5" s="1"/>
  <c r="AL44" i="3"/>
  <c r="AE8" i="8" s="1"/>
  <c r="AL48" i="3"/>
  <c r="AE5" i="9" s="1"/>
  <c r="AL63" i="3"/>
  <c r="AE6" i="11" s="1"/>
  <c r="AL75" i="3"/>
  <c r="AE4" i="13" s="1"/>
  <c r="AL76" i="3"/>
  <c r="AE5" i="13" s="1"/>
  <c r="AL78" i="3"/>
  <c r="AE7" i="13" s="1"/>
  <c r="AL88" i="3"/>
  <c r="AL91" i="3"/>
  <c r="AL12" i="3"/>
  <c r="AE4" i="4" s="1"/>
  <c r="AL22" i="3"/>
  <c r="AE7" i="5" s="1"/>
  <c r="AL23" i="3"/>
  <c r="AE8" i="5" s="1"/>
  <c r="AL66" i="3"/>
  <c r="AE2" i="12" s="1"/>
  <c r="AL89" i="3"/>
  <c r="AL18" i="3"/>
  <c r="AE3" i="5" s="1"/>
  <c r="AL26" i="3"/>
  <c r="AE4" i="6" s="1"/>
  <c r="AL27" i="3"/>
  <c r="AE5" i="6" s="1"/>
  <c r="AL28" i="3"/>
  <c r="AE6" i="6" s="1"/>
  <c r="AL73" i="3"/>
  <c r="AE2" i="13" s="1"/>
  <c r="AL92" i="3"/>
  <c r="AL29" i="3"/>
  <c r="AE7" i="6" s="1"/>
  <c r="AL30" i="3"/>
  <c r="AE8" i="6" s="1"/>
  <c r="AL60" i="3"/>
  <c r="AE3" i="11" s="1"/>
  <c r="AL90" i="3"/>
  <c r="AL19" i="3"/>
  <c r="AE4" i="5" s="1"/>
  <c r="AL25" i="3"/>
  <c r="AE3" i="6" s="1"/>
  <c r="AL32" i="3"/>
  <c r="AE3" i="7" s="1"/>
  <c r="AL33" i="3"/>
  <c r="AE4" i="7" s="1"/>
  <c r="AL35" i="3"/>
  <c r="AE6" i="7" s="1"/>
  <c r="AL36" i="3"/>
  <c r="AE7" i="7" s="1"/>
  <c r="AL37" i="3"/>
  <c r="AE8" i="7" s="1"/>
  <c r="AL38" i="3"/>
  <c r="AE2" i="8" s="1"/>
  <c r="AL45" i="3"/>
  <c r="AE2" i="9" s="1"/>
  <c r="AL46" i="3"/>
  <c r="AE3" i="9" s="1"/>
  <c r="AL47" i="3"/>
  <c r="AE4" i="9" s="1"/>
  <c r="AL50" i="3"/>
  <c r="AE7" i="9" s="1"/>
  <c r="AL41" i="3"/>
  <c r="AE5" i="8" s="1"/>
  <c r="AL53" i="3"/>
  <c r="AE3" i="10" s="1"/>
  <c r="AL54" i="3"/>
  <c r="AE4" i="10" s="1"/>
  <c r="AL56" i="3"/>
  <c r="AE6" i="10" s="1"/>
  <c r="AL40" i="3"/>
  <c r="AE4" i="8" s="1"/>
  <c r="AL57" i="3"/>
  <c r="AE7" i="10" s="1"/>
  <c r="AL58" i="3"/>
  <c r="AE8" i="10" s="1"/>
  <c r="AL59" i="3"/>
  <c r="AE2" i="11" s="1"/>
  <c r="AL39" i="3"/>
  <c r="AE3" i="8" s="1"/>
  <c r="AL61" i="3"/>
  <c r="AE4" i="11" s="1"/>
  <c r="AL62" i="3"/>
  <c r="AE5" i="11" s="1"/>
  <c r="AL49" i="3"/>
  <c r="AE6" i="9" s="1"/>
  <c r="AL64" i="3"/>
  <c r="AE7" i="11" s="1"/>
  <c r="AL65" i="3"/>
  <c r="AE8" i="11" s="1"/>
  <c r="AL67" i="3"/>
  <c r="AE3" i="12" s="1"/>
  <c r="AL69" i="3"/>
  <c r="AE5" i="12" s="1"/>
  <c r="AL43" i="3"/>
  <c r="AE7" i="8" s="1"/>
  <c r="AL70" i="3"/>
  <c r="AE6" i="12" s="1"/>
  <c r="AL71" i="3"/>
  <c r="AE7" i="12" s="1"/>
  <c r="AL72" i="3"/>
  <c r="AE8" i="12" s="1"/>
  <c r="AL79" i="3"/>
  <c r="AE8" i="13" s="1"/>
  <c r="AL87" i="3"/>
  <c r="AE1" i="5"/>
  <c r="AE1" i="6"/>
  <c r="AE1" i="7"/>
  <c r="AE1" i="8"/>
  <c r="AE1" i="9"/>
  <c r="AE1" i="13"/>
  <c r="AE1" i="10"/>
  <c r="AE1" i="11"/>
  <c r="AE1" i="12"/>
  <c r="AE1" i="14"/>
  <c r="AE1" i="15"/>
  <c r="AL34" i="3"/>
  <c r="AE5" i="7" s="1"/>
  <c r="AL42" i="3"/>
  <c r="AE6" i="8" s="1"/>
  <c r="AL68" i="3"/>
  <c r="AE4" i="12" s="1"/>
  <c r="AL77" i="3"/>
  <c r="AE6" i="13" s="1"/>
  <c r="AL51" i="3"/>
  <c r="AE8" i="9" s="1"/>
  <c r="AL93" i="3"/>
  <c r="AE1" i="4"/>
</calcChain>
</file>

<file path=xl/sharedStrings.xml><?xml version="1.0" encoding="utf-8"?>
<sst xmlns="http://schemas.openxmlformats.org/spreadsheetml/2006/main" count="292" uniqueCount="76">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</sst>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0" fillId="3" borderId="13" xfId="0" applyFill="1" applyBorder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workbookViewId="0">
      <selection activeCell="F31" sqref="F31"/>
    </sheetView>
  </sheetViews>
  <sheetFormatPr defaultColWidth="9.1796875" defaultRowHeight="14.5" x14ac:dyDescent="0.35"/>
  <cols>
    <col min="2" max="2" width="63.453125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9" t="s">
        <v>2</v>
      </c>
    </row>
    <row r="4" spans="1:2" x14ac:dyDescent="0.35">
      <c r="A4" s="1"/>
      <c r="B4" t="s">
        <v>3</v>
      </c>
    </row>
    <row r="5" spans="1:2" x14ac:dyDescent="0.35">
      <c r="A5" s="1"/>
      <c r="B5" t="s">
        <v>4</v>
      </c>
    </row>
    <row r="6" spans="1:2" x14ac:dyDescent="0.35">
      <c r="A6" s="1"/>
      <c r="B6" t="s">
        <v>5</v>
      </c>
    </row>
    <row r="7" spans="1:2" x14ac:dyDescent="0.35">
      <c r="A7" s="1"/>
      <c r="B7" t="s">
        <v>6</v>
      </c>
    </row>
    <row r="8" spans="1:2" x14ac:dyDescent="0.35">
      <c r="A8" s="1"/>
    </row>
    <row r="9" spans="1:2" x14ac:dyDescent="0.35">
      <c r="A9" s="1"/>
      <c r="B9" s="9" t="s">
        <v>7</v>
      </c>
    </row>
    <row r="10" spans="1:2" x14ac:dyDescent="0.35">
      <c r="A10" s="1"/>
      <c r="B10" t="s">
        <v>8</v>
      </c>
    </row>
    <row r="12" spans="1:2" x14ac:dyDescent="0.35">
      <c r="A12" s="1" t="s">
        <v>9</v>
      </c>
    </row>
    <row r="13" spans="1:2" x14ac:dyDescent="0.35">
      <c r="A13" t="s">
        <v>10</v>
      </c>
    </row>
    <row r="14" spans="1:2" x14ac:dyDescent="0.35">
      <c r="A14" t="s">
        <v>11</v>
      </c>
    </row>
    <row r="15" spans="1:2" x14ac:dyDescent="0.35">
      <c r="A15" t="s">
        <v>12</v>
      </c>
    </row>
    <row r="16" spans="1:2" x14ac:dyDescent="0.35">
      <c r="A16" s="22" t="s">
        <v>13</v>
      </c>
    </row>
    <row r="17" spans="1:1" x14ac:dyDescent="0.35">
      <c r="A17" s="1"/>
    </row>
    <row r="18" spans="1:1" x14ac:dyDescent="0.35">
      <c r="A18" t="s">
        <v>14</v>
      </c>
    </row>
    <row r="19" spans="1:1" x14ac:dyDescent="0.35">
      <c r="A19" t="s">
        <v>15</v>
      </c>
    </row>
    <row r="21" spans="1:1" x14ac:dyDescent="0.35">
      <c r="A21" t="s">
        <v>16</v>
      </c>
    </row>
    <row r="22" spans="1:1" x14ac:dyDescent="0.35">
      <c r="A22" t="s">
        <v>17</v>
      </c>
    </row>
    <row r="23" spans="1:1" x14ac:dyDescent="0.35">
      <c r="A23" t="s">
        <v>18</v>
      </c>
    </row>
    <row r="24" spans="1:1" x14ac:dyDescent="0.35">
      <c r="A24" t="s">
        <v>19</v>
      </c>
    </row>
    <row r="25" spans="1:1" x14ac:dyDescent="0.35">
      <c r="A25" t="s">
        <v>20</v>
      </c>
    </row>
    <row r="26" spans="1:1" x14ac:dyDescent="0.35">
      <c r="A26" t="s">
        <v>21</v>
      </c>
    </row>
    <row r="28" spans="1:1" x14ac:dyDescent="0.35">
      <c r="A28" t="s">
        <v>22</v>
      </c>
    </row>
    <row r="29" spans="1:1" x14ac:dyDescent="0.35">
      <c r="A29" t="s">
        <v>23</v>
      </c>
    </row>
    <row r="30" spans="1:1" x14ac:dyDescent="0.35">
      <c r="A30" t="s">
        <v>24</v>
      </c>
    </row>
    <row r="31" spans="1:1" x14ac:dyDescent="0.35">
      <c r="A31" t="s">
        <v>25</v>
      </c>
    </row>
    <row r="32" spans="1:1" x14ac:dyDescent="0.35">
      <c r="A32" t="s">
        <v>26</v>
      </c>
    </row>
    <row r="33" spans="1:2" x14ac:dyDescent="0.35">
      <c r="A33" t="s">
        <v>27</v>
      </c>
    </row>
    <row r="34" spans="1:2" x14ac:dyDescent="0.35">
      <c r="A34" t="s">
        <v>28</v>
      </c>
    </row>
    <row r="36" spans="1:2" x14ac:dyDescent="0.35">
      <c r="A36" t="s">
        <v>29</v>
      </c>
    </row>
    <row r="37" spans="1:2" x14ac:dyDescent="0.35">
      <c r="A37" t="s">
        <v>30</v>
      </c>
    </row>
    <row r="39" spans="1:2" x14ac:dyDescent="0.35">
      <c r="B39" s="1" t="s">
        <v>31</v>
      </c>
    </row>
    <row r="40" spans="1:2" x14ac:dyDescent="0.35">
      <c r="B40" t="s">
        <v>32</v>
      </c>
    </row>
    <row r="41" spans="1:2" x14ac:dyDescent="0.35">
      <c r="B41" t="s">
        <v>33</v>
      </c>
    </row>
    <row r="42" spans="1:2" x14ac:dyDescent="0.35">
      <c r="B42" t="s">
        <v>34</v>
      </c>
    </row>
    <row r="44" spans="1:2" x14ac:dyDescent="0.35">
      <c r="B44" s="1" t="s">
        <v>7</v>
      </c>
    </row>
    <row r="45" spans="1:2" x14ac:dyDescent="0.35">
      <c r="B45" t="s">
        <v>35</v>
      </c>
    </row>
    <row r="47" spans="1:2" x14ac:dyDescent="0.35">
      <c r="B47" s="1"/>
    </row>
    <row r="53" spans="2:2" x14ac:dyDescent="0.35">
      <c r="B53" s="1"/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1796875" customWidth="1"/>
    <col min="6" max="8" width="23.26953125" customWidth="1"/>
    <col min="10" max="10" width="14.453125" bestFit="1" customWidth="1"/>
  </cols>
  <sheetData>
    <row r="1" spans="1:10" x14ac:dyDescent="0.3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35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35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35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35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35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35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3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N93"/>
  <sheetViews>
    <sheetView topLeftCell="D76" workbookViewId="0">
      <selection activeCell="J10" sqref="I10:J93"/>
    </sheetView>
  </sheetViews>
  <sheetFormatPr defaultColWidth="9.1796875" defaultRowHeight="14.5" x14ac:dyDescent="0.35"/>
  <cols>
    <col min="1" max="1" width="23.26953125" customWidth="1"/>
    <col min="2" max="2" width="18.81640625" customWidth="1"/>
    <col min="3" max="3" width="24.1796875" customWidth="1"/>
    <col min="4" max="4" width="14.7265625" customWidth="1"/>
    <col min="5" max="5" width="16.26953125" customWidth="1"/>
    <col min="6" max="6" width="18" style="5" customWidth="1"/>
    <col min="7" max="7" width="13.1796875" customWidth="1"/>
    <col min="8" max="12" width="9.1796875" customWidth="1"/>
    <col min="17" max="17" width="11.1796875" customWidth="1"/>
  </cols>
  <sheetData>
    <row r="1" spans="1:40" x14ac:dyDescent="0.35">
      <c r="A1" t="s">
        <v>50</v>
      </c>
      <c r="H1" s="10" t="s">
        <v>51</v>
      </c>
      <c r="I1" s="27"/>
      <c r="J1" s="27"/>
      <c r="K1" s="27"/>
      <c r="L1" s="11"/>
      <c r="M1" s="12"/>
      <c r="N1" s="12"/>
      <c r="O1" s="12"/>
      <c r="Q1" s="10" t="s">
        <v>52</v>
      </c>
      <c r="R1" s="11"/>
      <c r="S1" s="12"/>
      <c r="T1" s="10" t="s">
        <v>53</v>
      </c>
      <c r="U1" s="11"/>
      <c r="W1" s="10" t="s">
        <v>54</v>
      </c>
      <c r="X1" s="11"/>
      <c r="Z1" s="10" t="s">
        <v>55</v>
      </c>
      <c r="AA1" s="11"/>
    </row>
    <row r="2" spans="1:40" x14ac:dyDescent="0.35">
      <c r="A2" t="s">
        <v>56</v>
      </c>
      <c r="H2" s="7" t="s">
        <v>57</v>
      </c>
      <c r="I2" s="5"/>
      <c r="J2" s="5"/>
      <c r="K2" s="5"/>
      <c r="L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  <c r="Z2" s="7" t="s">
        <v>57</v>
      </c>
      <c r="AA2" s="13">
        <v>1</v>
      </c>
    </row>
    <row r="3" spans="1:40" x14ac:dyDescent="0.35">
      <c r="A3" t="s">
        <v>58</v>
      </c>
      <c r="H3" s="7" t="s">
        <v>59</v>
      </c>
      <c r="I3" s="5"/>
      <c r="J3" s="5"/>
      <c r="K3" s="5"/>
      <c r="L3" s="13">
        <v>-0.3</v>
      </c>
      <c r="Q3" s="7" t="s">
        <v>59</v>
      </c>
      <c r="R3" s="13">
        <v>-0.3</v>
      </c>
      <c r="S3">
        <v>-0.35</v>
      </c>
      <c r="T3" s="7" t="s">
        <v>59</v>
      </c>
      <c r="U3" s="13">
        <v>-0.3</v>
      </c>
      <c r="W3" s="7" t="s">
        <v>59</v>
      </c>
      <c r="X3" s="13">
        <v>-0.4</v>
      </c>
      <c r="Z3" s="7" t="s">
        <v>59</v>
      </c>
      <c r="AA3" s="13">
        <v>-0.3</v>
      </c>
    </row>
    <row r="4" spans="1:40" ht="15.75" customHeight="1" thickBot="1" x14ac:dyDescent="0.4">
      <c r="A4" t="s">
        <v>60</v>
      </c>
      <c r="H4" s="8" t="s">
        <v>61</v>
      </c>
      <c r="I4" s="6"/>
      <c r="J4" s="6"/>
      <c r="K4" s="6"/>
      <c r="L4" s="14">
        <v>-16</v>
      </c>
      <c r="Q4" s="8" t="s">
        <v>61</v>
      </c>
      <c r="R4" s="14">
        <v>-11</v>
      </c>
      <c r="S4">
        <v>-10</v>
      </c>
      <c r="T4" s="8" t="s">
        <v>61</v>
      </c>
      <c r="U4" s="14">
        <v>-12</v>
      </c>
      <c r="W4" s="8" t="s">
        <v>61</v>
      </c>
      <c r="X4" s="14">
        <v>-11</v>
      </c>
      <c r="Z4" s="8" t="s">
        <v>61</v>
      </c>
      <c r="AA4" s="14">
        <v>-14</v>
      </c>
    </row>
    <row r="5" spans="1:40" x14ac:dyDescent="0.35">
      <c r="A5" t="s">
        <v>62</v>
      </c>
    </row>
    <row r="6" spans="1:40" ht="30" customHeight="1" x14ac:dyDescent="0.3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Q6" s="19"/>
      <c r="R6" s="16"/>
      <c r="U6" s="19"/>
    </row>
    <row r="7" spans="1:40" x14ac:dyDescent="0.35">
      <c r="A7" s="9"/>
      <c r="B7" s="9"/>
      <c r="C7" s="9" t="s">
        <v>65</v>
      </c>
      <c r="D7" s="9"/>
      <c r="E7" s="2">
        <v>2020</v>
      </c>
      <c r="F7" s="2">
        <v>2050</v>
      </c>
      <c r="G7" s="2"/>
      <c r="Q7" s="19"/>
    </row>
    <row r="8" spans="1:40" ht="90" customHeight="1" x14ac:dyDescent="0.35">
      <c r="A8" s="9"/>
      <c r="B8" s="9"/>
      <c r="C8" s="9"/>
      <c r="D8" s="28" t="s">
        <v>66</v>
      </c>
      <c r="E8" s="29"/>
      <c r="F8" s="21"/>
      <c r="G8" s="21" t="s">
        <v>67</v>
      </c>
    </row>
    <row r="9" spans="1:40" x14ac:dyDescent="0.3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2021</v>
      </c>
      <c r="J9" s="15">
        <v>2022</v>
      </c>
      <c r="K9" s="15">
        <v>2023</v>
      </c>
      <c r="L9" s="15">
        <v>2024</v>
      </c>
      <c r="M9" s="15">
        <f>E9</f>
        <v>2025</v>
      </c>
      <c r="N9" s="15">
        <f t="shared" ref="N9:AL9" si="0">M9+1</f>
        <v>2026</v>
      </c>
      <c r="O9" s="15">
        <f t="shared" si="0"/>
        <v>2027</v>
      </c>
      <c r="P9" s="15">
        <f t="shared" si="0"/>
        <v>2028</v>
      </c>
      <c r="Q9" s="15">
        <f t="shared" si="0"/>
        <v>2029</v>
      </c>
      <c r="R9" s="15">
        <f t="shared" si="0"/>
        <v>2030</v>
      </c>
      <c r="S9" s="15">
        <f t="shared" si="0"/>
        <v>2031</v>
      </c>
      <c r="T9" s="15">
        <f t="shared" si="0"/>
        <v>2032</v>
      </c>
      <c r="U9" s="15">
        <f t="shared" si="0"/>
        <v>2033</v>
      </c>
      <c r="V9" s="15">
        <f t="shared" si="0"/>
        <v>2034</v>
      </c>
      <c r="W9" s="15">
        <f t="shared" si="0"/>
        <v>2035</v>
      </c>
      <c r="X9" s="15">
        <f t="shared" si="0"/>
        <v>2036</v>
      </c>
      <c r="Y9" s="15">
        <f t="shared" si="0"/>
        <v>2037</v>
      </c>
      <c r="Z9" s="15">
        <f t="shared" si="0"/>
        <v>2038</v>
      </c>
      <c r="AA9" s="15">
        <f t="shared" si="0"/>
        <v>2039</v>
      </c>
      <c r="AB9" s="15">
        <f t="shared" si="0"/>
        <v>2040</v>
      </c>
      <c r="AC9" s="15">
        <f t="shared" si="0"/>
        <v>2041</v>
      </c>
      <c r="AD9" s="15">
        <f t="shared" si="0"/>
        <v>2042</v>
      </c>
      <c r="AE9" s="15">
        <f t="shared" si="0"/>
        <v>2043</v>
      </c>
      <c r="AF9" s="15">
        <f t="shared" si="0"/>
        <v>2044</v>
      </c>
      <c r="AG9" s="15">
        <f t="shared" si="0"/>
        <v>2045</v>
      </c>
      <c r="AH9" s="15">
        <f t="shared" si="0"/>
        <v>2046</v>
      </c>
      <c r="AI9" s="15">
        <f t="shared" si="0"/>
        <v>2047</v>
      </c>
      <c r="AJ9" s="15">
        <f t="shared" si="0"/>
        <v>2048</v>
      </c>
      <c r="AK9" s="15">
        <f t="shared" si="0"/>
        <v>2049</v>
      </c>
      <c r="AL9" s="15">
        <f t="shared" si="0"/>
        <v>2050</v>
      </c>
      <c r="AM9" s="15"/>
      <c r="AN9" s="15"/>
    </row>
    <row r="10" spans="1:40" x14ac:dyDescent="0.35">
      <c r="A10" t="s">
        <v>44</v>
      </c>
      <c r="B10" t="s">
        <v>71</v>
      </c>
      <c r="C10" t="s">
        <v>37</v>
      </c>
      <c r="D10">
        <v>0.16449392895100001</v>
      </c>
      <c r="E10" s="16">
        <v>0.14828894775500001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J10</f>
        <v>0.16449392895100001</v>
      </c>
      <c r="J10">
        <f>K10</f>
        <v>0.16449392895100001</v>
      </c>
      <c r="K10">
        <f>L10</f>
        <v>0.16449392895100001</v>
      </c>
      <c r="L10">
        <f>D10</f>
        <v>0.16449392895100001</v>
      </c>
      <c r="M10" s="16">
        <f>E10</f>
        <v>0.14828894775500001</v>
      </c>
      <c r="N10">
        <f>IF($G10="s-curve",$E10+($F10-$E10)*$R$2/(1+EXP($R$3*(COUNT($N$9:N$9)+$R$4))),TREND($E10:$F10,$E$9:$F$9,N$9))</f>
        <v>0.18868208810270334</v>
      </c>
      <c r="O10">
        <f>IF($G10="s-curve",$E10+($F10-$E10)*$R$2/(1+EXP($R$3*(COUNT($N$9:O$9)+$R$4))),TREND($E10:$F10,$E$9:$F$9,O$9))</f>
        <v>0.20192405110570355</v>
      </c>
      <c r="P10">
        <f>IF($G10="s-curve",$E10+($F10-$E10)*$R$2/(1+EXP($R$3*(COUNT($N$9:P$9)+$R$4))),TREND($E10:$F10,$E$9:$F$9,P$9))</f>
        <v>0.21912805260389268</v>
      </c>
      <c r="Q10">
        <f>IF($G10="s-curve",$E10+($F10-$E10)*$R$2/(1+EXP($R$3*(COUNT($N$9:Q$9)+$R$4))),TREND($E10:$F10,$E$9:$F$9,Q$9))</f>
        <v>0.2412079161321001</v>
      </c>
      <c r="R10">
        <f>IF($G10="s-curve",$E10+($F10-$E10)*$R$2/(1+EXP($R$3*(COUNT($N$9:R$9)+$R$4))),TREND($E10:$F10,$E$9:$F$9,R$9))</f>
        <v>0.2691050675034683</v>
      </c>
      <c r="S10">
        <f>IF($G10="s-curve",$E10+($F10-$E10)*$R$2/(1+EXP($R$3*(COUNT($N$9:S$9)+$R$4))),TREND($E10:$F10,$E$9:$F$9,S$9))</f>
        <v>0.30366278259245705</v>
      </c>
      <c r="T10">
        <f>IF($G10="s-curve",$E10+($F10-$E10)*$R$2/(1+EXP($R$3*(COUNT($N$9:T$9)+$R$4))),TREND($E10:$F10,$E$9:$F$9,T$9))</f>
        <v>0.34543894796969088</v>
      </c>
      <c r="U10">
        <f>IF($G10="s-curve",$E10+($F10-$E10)*$R$2/(1+EXP($R$3*(COUNT($N$9:U$9)+$R$4))),TREND($E10:$F10,$E$9:$F$9,U$9))</f>
        <v>0.39447645102619855</v>
      </c>
      <c r="V10">
        <f>IF($G10="s-curve",$E10+($F10-$E10)*$R$2/(1+EXP($R$3*(COUNT($N$9:V$9)+$R$4))),TREND($E10:$F10,$E$9:$F$9,V$9))</f>
        <v>0.45008738803580778</v>
      </c>
      <c r="W10">
        <f>IF($G10="s-curve",$E10+($F10-$E10)*$R$2/(1+EXP($R$3*(COUNT($N$9:W$9)+$R$4))),TREND($E10:$F10,$E$9:$F$9,W$9))</f>
        <v>0.51074095955207577</v>
      </c>
      <c r="X10">
        <f>IF($G10="s-curve",$E10+($F10-$E10)*$R$2/(1+EXP($R$3*(COUNT($N$9:X$9)+$R$4))),TREND($E10:$F10,$E$9:$F$9,X$9))</f>
        <v>0.57414447387750001</v>
      </c>
      <c r="Y10">
        <f>IF($G10="s-curve",$E10+($F10-$E10)*$R$2/(1+EXP($R$3*(COUNT($N$9:Y$9)+$R$4))),TREND($E10:$F10,$E$9:$F$9,Y$9))</f>
        <v>0.63754798820292424</v>
      </c>
      <c r="Z10">
        <f>IF($G10="s-curve",$E10+($F10-$E10)*$R$2/(1+EXP($R$3*(COUNT($N$9:Z$9)+$R$4))),TREND($E10:$F10,$E$9:$F$9,Z$9))</f>
        <v>0.69820155971919218</v>
      </c>
      <c r="AA10">
        <f>IF($G10="s-curve",$E10+($F10-$E10)*$R$2/(1+EXP($R$3*(COUNT($N$9:AA$9)+$R$4))),TREND($E10:$F10,$E$9:$F$9,AA$9))</f>
        <v>0.75381249672880146</v>
      </c>
      <c r="AB10">
        <f>IF($G10="s-curve",$E10+($F10-$E10)*$R$2/(1+EXP($R$3*(COUNT($N$9:AB$9)+$R$4))),TREND($E10:$F10,$E$9:$F$9,AB$9))</f>
        <v>0.80284999978530913</v>
      </c>
      <c r="AC10">
        <f>IF($G10="s-curve",$E10+($F10-$E10)*$R$2/(1+EXP($R$3*(COUNT($N$9:AC$9)+$R$4))),TREND($E10:$F10,$E$9:$F$9,AC$9))</f>
        <v>0.84462616516254285</v>
      </c>
      <c r="AD10">
        <f>IF($G10="s-curve",$E10+($F10-$E10)*$R$2/(1+EXP($R$3*(COUNT($N$9:AD$9)+$R$4))),TREND($E10:$F10,$E$9:$F$9,AD$9))</f>
        <v>0.87918388025153182</v>
      </c>
      <c r="AE10">
        <f>IF($G10="s-curve",$E10+($F10-$E10)*$R$2/(1+EXP($R$3*(COUNT($N$9:AE$9)+$R$4))),TREND($E10:$F10,$E$9:$F$9,AE$9))</f>
        <v>0.90708103162289988</v>
      </c>
      <c r="AF10">
        <f>IF($G10="s-curve",$E10+($F10-$E10)*$R$2/(1+EXP($R$3*(COUNT($N$9:AF$9)+$R$4))),TREND($E10:$F10,$E$9:$F$9,AF$9))</f>
        <v>0.92916089515110734</v>
      </c>
      <c r="AG10">
        <f>IF($G10="s-curve",$E10+($F10-$E10)*$R$2/(1+EXP($R$3*(COUNT($N$9:AG$9)+$R$4))),TREND($E10:$F10,$E$9:$F$9,AG$9))</f>
        <v>0.94636489664929646</v>
      </c>
      <c r="AH10">
        <f>IF($G10="s-curve",$E10+($F10-$E10)*$R$2/(1+EXP($R$3*(COUNT($N$9:AH$9)+$R$4))),TREND($E10:$F10,$E$9:$F$9,AH$9))</f>
        <v>0.95960685965229675</v>
      </c>
      <c r="AI10">
        <f>IF($G10="s-curve",$E10+($F10-$E10)*$R$2/(1+EXP($R$3*(COUNT($N$9:AI$9)+$R$4))),TREND($E10:$F10,$E$9:$F$9,AI$9))</f>
        <v>0.96970362495499696</v>
      </c>
      <c r="AJ10">
        <f>IF($G10="s-curve",$E10+($F10-$E10)*$R$2/(1+EXP($R$3*(COUNT($N$9:AJ$9)+$R$4))),TREND($E10:$F10,$E$9:$F$9,AJ$9))</f>
        <v>0.97734704661409399</v>
      </c>
      <c r="AK10">
        <f>IF($G10="s-curve",$E10+($F10-$E10)*$R$2/(1+EXP($R$3*(COUNT($N$9:AK$9)+$R$4))),TREND($E10:$F10,$E$9:$F$9,AK$9))</f>
        <v>0.98310179232636641</v>
      </c>
      <c r="AL10">
        <f>IF($G10="s-curve",$E10+($F10-$E10)*$R$2/(1+EXP($R$3*(COUNT($N$9:AL$9)+$R$4))),TREND($E10:$F10,$E$9:$F$9,AL$9))</f>
        <v>0.98741679392062143</v>
      </c>
    </row>
    <row r="11" spans="1:40" x14ac:dyDescent="0.35">
      <c r="C11" t="s">
        <v>38</v>
      </c>
      <c r="D11">
        <v>1.0004432735E-4</v>
      </c>
      <c r="E11" s="16">
        <v>1.00970167475E-4</v>
      </c>
      <c r="F11" s="16">
        <f>E11</f>
        <v>1.00970167475E-4</v>
      </c>
      <c r="G11" s="5" t="str">
        <f>IF(E11=F11,"n/a",IF(OR(C11="battery electric vehicle",C11="natural gas vehicle",C11="plugin hybrid vehicle"),"s-curve","linear"))</f>
        <v>n/a</v>
      </c>
      <c r="I11">
        <f t="shared" ref="I11" si="1">J11</f>
        <v>1.00970167475E-4</v>
      </c>
      <c r="J11">
        <f t="shared" ref="J11:K74" si="2">K11</f>
        <v>1.00970167475E-4</v>
      </c>
      <c r="K11">
        <f t="shared" si="2"/>
        <v>1.00970167475E-4</v>
      </c>
      <c r="L11" s="16">
        <f>E11</f>
        <v>1.00970167475E-4</v>
      </c>
      <c r="M11">
        <f>IF($G11="s-curve",$E11+($F11-$E11)*$L$2/(1+EXP($L$3*(COUNT($L$9:M$9)+$L$4))),TREND($E11:$F11,$E$9:$F$9,M$9))</f>
        <v>1.00970167475E-4</v>
      </c>
      <c r="N11">
        <f>IF($G11="s-curve",$E11+($F11-$E11)*$L$2/(1+EXP($L$3*(COUNT($L$9:N$9)+$L$4))),TREND($E11:$F11,$E$9:$F$9,N$9))</f>
        <v>1.00970167475E-4</v>
      </c>
      <c r="O11">
        <f>IF($G11="s-curve",$E11+($F11-$E11)*$L$2/(1+EXP($L$3*(COUNT($L$9:O$9)+$L$4))),TREND($E11:$F11,$E$9:$F$9,O$9))</f>
        <v>1.00970167475E-4</v>
      </c>
      <c r="P11">
        <f>IF($G11="s-curve",$E11+($F11-$E11)*$L$2/(1+EXP($L$3*(COUNT($L$9:P$9)+$L$4))),TREND($E11:$F11,$E$9:$F$9,P$9))</f>
        <v>1.00970167475E-4</v>
      </c>
      <c r="Q11">
        <f>IF($G11="s-curve",$E11+($F11-$E11)*$L$2/(1+EXP($L$3*(COUNT($L$9:Q$9)+$L$4))),TREND($E11:$F11,$E$9:$F$9,Q$9))</f>
        <v>1.00970167475E-4</v>
      </c>
      <c r="R11">
        <f>IF($G11="s-curve",$E11+($F11-$E11)*$L$2/(1+EXP($L$3*(COUNT($L$9:R$9)+$L$4))),TREND($E11:$F11,$E$9:$F$9,R$9))</f>
        <v>1.00970167475E-4</v>
      </c>
      <c r="S11">
        <f>IF($G11="s-curve",$E11+($F11-$E11)*$L$2/(1+EXP($L$3*(COUNT($L$9:S$9)+$L$4))),TREND($E11:$F11,$E$9:$F$9,S$9))</f>
        <v>1.00970167475E-4</v>
      </c>
      <c r="T11">
        <f>IF($G11="s-curve",$E11+($F11-$E11)*$L$2/(1+EXP($L$3*(COUNT($L$9:T$9)+$L$4))),TREND($E11:$F11,$E$9:$F$9,T$9))</f>
        <v>1.00970167475E-4</v>
      </c>
      <c r="U11">
        <f>IF($G11="s-curve",$E11+($F11-$E11)*$L$2/(1+EXP($L$3*(COUNT($L$9:U$9)+$L$4))),TREND($E11:$F11,$E$9:$F$9,U$9))</f>
        <v>1.00970167475E-4</v>
      </c>
      <c r="V11">
        <f>IF($G11="s-curve",$E11+($F11-$E11)*$L$2/(1+EXP($L$3*(COUNT($L$9:V$9)+$L$4))),TREND($E11:$F11,$E$9:$F$9,V$9))</f>
        <v>1.00970167475E-4</v>
      </c>
      <c r="W11">
        <f>IF($G11="s-curve",$E11+($F11-$E11)*$L$2/(1+EXP($L$3*(COUNT($L$9:W$9)+$L$4))),TREND($E11:$F11,$E$9:$F$9,W$9))</f>
        <v>1.00970167475E-4</v>
      </c>
      <c r="X11">
        <f>IF($G11="s-curve",$E11+($F11-$E11)*$L$2/(1+EXP($L$3*(COUNT($L$9:X$9)+$L$4))),TREND($E11:$F11,$E$9:$F$9,X$9))</f>
        <v>1.00970167475E-4</v>
      </c>
      <c r="Y11">
        <f>IF($G11="s-curve",$E11+($F11-$E11)*$L$2/(1+EXP($L$3*(COUNT($L$9:Y$9)+$L$4))),TREND($E11:$F11,$E$9:$F$9,Y$9))</f>
        <v>1.00970167475E-4</v>
      </c>
      <c r="Z11">
        <f>IF($G11="s-curve",$E11+($F11-$E11)*$L$2/(1+EXP($L$3*(COUNT($L$9:Z$9)+$L$4))),TREND($E11:$F11,$E$9:$F$9,Z$9))</f>
        <v>1.00970167475E-4</v>
      </c>
      <c r="AA11">
        <f>IF($G11="s-curve",$E11+($F11-$E11)*$L$2/(1+EXP($L$3*(COUNT($L$9:AA$9)+$L$4))),TREND($E11:$F11,$E$9:$F$9,AA$9))</f>
        <v>1.00970167475E-4</v>
      </c>
      <c r="AB11">
        <f>IF($G11="s-curve",$E11+($F11-$E11)*$L$2/(1+EXP($L$3*(COUNT($L$9:AB$9)+$L$4))),TREND($E11:$F11,$E$9:$F$9,AB$9))</f>
        <v>1.00970167475E-4</v>
      </c>
      <c r="AC11">
        <f>IF($G11="s-curve",$E11+($F11-$E11)*$L$2/(1+EXP($L$3*(COUNT($L$9:AC$9)+$L$4))),TREND($E11:$F11,$E$9:$F$9,AC$9))</f>
        <v>1.00970167475E-4</v>
      </c>
      <c r="AD11">
        <f>IF($G11="s-curve",$E11+($F11-$E11)*$L$2/(1+EXP($L$3*(COUNT($L$9:AD$9)+$L$4))),TREND($E11:$F11,$E$9:$F$9,AD$9))</f>
        <v>1.00970167475E-4</v>
      </c>
      <c r="AE11">
        <f>IF($G11="s-curve",$E11+($F11-$E11)*$L$2/(1+EXP($L$3*(COUNT($L$9:AE$9)+$L$4))),TREND($E11:$F11,$E$9:$F$9,AE$9))</f>
        <v>1.00970167475E-4</v>
      </c>
      <c r="AF11">
        <f>IF($G11="s-curve",$E11+($F11-$E11)*$L$2/(1+EXP($L$3*(COUNT($L$9:AF$9)+$L$4))),TREND($E11:$F11,$E$9:$F$9,AF$9))</f>
        <v>1.00970167475E-4</v>
      </c>
      <c r="AG11">
        <f>IF($G11="s-curve",$E11+($F11-$E11)*$L$2/(1+EXP($L$3*(COUNT($L$9:AG$9)+$L$4))),TREND($E11:$F11,$E$9:$F$9,AG$9))</f>
        <v>1.00970167475E-4</v>
      </c>
      <c r="AH11">
        <f>IF($G11="s-curve",$E11+($F11-$E11)*$L$2/(1+EXP($L$3*(COUNT($L$9:AH$9)+$L$4))),TREND($E11:$F11,$E$9:$F$9,AH$9))</f>
        <v>1.00970167475E-4</v>
      </c>
      <c r="AI11">
        <f>IF($G11="s-curve",$E11+($F11-$E11)*$L$2/(1+EXP($L$3*(COUNT($L$9:AI$9)+$L$4))),TREND($E11:$F11,$E$9:$F$9,AI$9))</f>
        <v>1.00970167475E-4</v>
      </c>
      <c r="AJ11">
        <f>IF($G11="s-curve",$E11+($F11-$E11)*$L$2/(1+EXP($L$3*(COUNT($L$9:AJ$9)+$L$4))),TREND($E11:$F11,$E$9:$F$9,AJ$9))</f>
        <v>1.00970167475E-4</v>
      </c>
      <c r="AK11">
        <f>IF($G11="s-curve",$E11+($F11-$E11)*$L$2/(1+EXP($L$3*(COUNT($L$9:AK$9)+$L$4))),TREND($E11:$F11,$E$9:$F$9,AK$9))</f>
        <v>1.00970167475E-4</v>
      </c>
      <c r="AL11">
        <f>IF($G11="s-curve",$E11+($F11-$E11)*$L$2/(1+EXP($L$3*(COUNT($L$9:AL$9)+$L$4))),TREND($E11:$F11,$E$9:$F$9,AL$9))</f>
        <v>1.00970167475E-4</v>
      </c>
    </row>
    <row r="12" spans="1:40" x14ac:dyDescent="0.3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>
        <f t="shared" ref="I12" si="3">J12</f>
        <v>1</v>
      </c>
      <c r="J12">
        <f t="shared" si="2"/>
        <v>1</v>
      </c>
      <c r="K12">
        <f t="shared" si="2"/>
        <v>1</v>
      </c>
      <c r="L12" s="16">
        <f>E12</f>
        <v>1</v>
      </c>
      <c r="M12">
        <f>IF($G12="s-curve",$E12+($F12-$E12)*$L$2/(1+EXP($L$3*(COUNT($L$9:M$9)+$L$4))),TREND($E12:$F12,$E$9:$F$9,M$9))</f>
        <v>1</v>
      </c>
      <c r="N12">
        <f>IF($G12="s-curve",$E12+($F12-$E12)*$L$2/(1+EXP($L$3*(COUNT($L$9:N$9)+$L$4))),TREND($E12:$F12,$E$9:$F$9,N$9))</f>
        <v>1</v>
      </c>
      <c r="O12">
        <f>IF($G12="s-curve",$E12+($F12-$E12)*$L$2/(1+EXP($L$3*(COUNT($L$9:O$9)+$L$4))),TREND($E12:$F12,$E$9:$F$9,O$9))</f>
        <v>1</v>
      </c>
      <c r="P12">
        <f>IF($G12="s-curve",$E12+($F12-$E12)*$L$2/(1+EXP($L$3*(COUNT($L$9:P$9)+$L$4))),TREND($E12:$F12,$E$9:$F$9,P$9))</f>
        <v>1</v>
      </c>
      <c r="Q12">
        <f>IF($G12="s-curve",$E12+($F12-$E12)*$L$2/(1+EXP($L$3*(COUNT($L$9:Q$9)+$L$4))),TREND($E12:$F12,$E$9:$F$9,Q$9))</f>
        <v>1</v>
      </c>
      <c r="R12">
        <f>IF($G12="s-curve",$E12+($F12-$E12)*$L$2/(1+EXP($L$3*(COUNT($L$9:R$9)+$L$4))),TREND($E12:$F12,$E$9:$F$9,R$9))</f>
        <v>1</v>
      </c>
      <c r="S12">
        <f>IF($G12="s-curve",$E12+($F12-$E12)*$L$2/(1+EXP($L$3*(COUNT($L$9:S$9)+$L$4))),TREND($E12:$F12,$E$9:$F$9,S$9))</f>
        <v>1</v>
      </c>
      <c r="T12">
        <f>IF($G12="s-curve",$E12+($F12-$E12)*$L$2/(1+EXP($L$3*(COUNT($L$9:T$9)+$L$4))),TREND($E12:$F12,$E$9:$F$9,T$9))</f>
        <v>1</v>
      </c>
      <c r="U12">
        <f>IF($G12="s-curve",$E12+($F12-$E12)*$L$2/(1+EXP($L$3*(COUNT($L$9:U$9)+$L$4))),TREND($E12:$F12,$E$9:$F$9,U$9))</f>
        <v>1</v>
      </c>
      <c r="V12">
        <f>IF($G12="s-curve",$E12+($F12-$E12)*$L$2/(1+EXP($L$3*(COUNT($L$9:V$9)+$L$4))),TREND($E12:$F12,$E$9:$F$9,V$9))</f>
        <v>1</v>
      </c>
      <c r="W12">
        <f>IF($G12="s-curve",$E12+($F12-$E12)*$L$2/(1+EXP($L$3*(COUNT($L$9:W$9)+$L$4))),TREND($E12:$F12,$E$9:$F$9,W$9))</f>
        <v>1</v>
      </c>
      <c r="X12">
        <f>IF($G12="s-curve",$E12+($F12-$E12)*$L$2/(1+EXP($L$3*(COUNT($L$9:X$9)+$L$4))),TREND($E12:$F12,$E$9:$F$9,X$9))</f>
        <v>1</v>
      </c>
      <c r="Y12">
        <f>IF($G12="s-curve",$E12+($F12-$E12)*$L$2/(1+EXP($L$3*(COUNT($L$9:Y$9)+$L$4))),TREND($E12:$F12,$E$9:$F$9,Y$9))</f>
        <v>1</v>
      </c>
      <c r="Z12">
        <f>IF($G12="s-curve",$E12+($F12-$E12)*$L$2/(1+EXP($L$3*(COUNT($L$9:Z$9)+$L$4))),TREND($E12:$F12,$E$9:$F$9,Z$9))</f>
        <v>1</v>
      </c>
      <c r="AA12">
        <f>IF($G12="s-curve",$E12+($F12-$E12)*$L$2/(1+EXP($L$3*(COUNT($L$9:AA$9)+$L$4))),TREND($E12:$F12,$E$9:$F$9,AA$9))</f>
        <v>1</v>
      </c>
      <c r="AB12">
        <f>IF($G12="s-curve",$E12+($F12-$E12)*$L$2/(1+EXP($L$3*(COUNT($L$9:AB$9)+$L$4))),TREND($E12:$F12,$E$9:$F$9,AB$9))</f>
        <v>1</v>
      </c>
      <c r="AC12">
        <f>IF($G12="s-curve",$E12+($F12-$E12)*$L$2/(1+EXP($L$3*(COUNT($L$9:AC$9)+$L$4))),TREND($E12:$F12,$E$9:$F$9,AC$9))</f>
        <v>1</v>
      </c>
      <c r="AD12">
        <f>IF($G12="s-curve",$E12+($F12-$E12)*$L$2/(1+EXP($L$3*(COUNT($L$9:AD$9)+$L$4))),TREND($E12:$F12,$E$9:$F$9,AD$9))</f>
        <v>1</v>
      </c>
      <c r="AE12">
        <f>IF($G12="s-curve",$E12+($F12-$E12)*$L$2/(1+EXP($L$3*(COUNT($L$9:AE$9)+$L$4))),TREND($E12:$F12,$E$9:$F$9,AE$9))</f>
        <v>1</v>
      </c>
      <c r="AF12">
        <f>IF($G12="s-curve",$E12+($F12-$E12)*$L$2/(1+EXP($L$3*(COUNT($L$9:AF$9)+$L$4))),TREND($E12:$F12,$E$9:$F$9,AF$9))</f>
        <v>1</v>
      </c>
      <c r="AG12">
        <f>IF($G12="s-curve",$E12+($F12-$E12)*$L$2/(1+EXP($L$3*(COUNT($L$9:AG$9)+$L$4))),TREND($E12:$F12,$E$9:$F$9,AG$9))</f>
        <v>1</v>
      </c>
      <c r="AH12">
        <f>IF($G12="s-curve",$E12+($F12-$E12)*$L$2/(1+EXP($L$3*(COUNT($L$9:AH$9)+$L$4))),TREND($E12:$F12,$E$9:$F$9,AH$9))</f>
        <v>1</v>
      </c>
      <c r="AI12">
        <f>IF($G12="s-curve",$E12+($F12-$E12)*$L$2/(1+EXP($L$3*(COUNT($L$9:AI$9)+$L$4))),TREND($E12:$F12,$E$9:$F$9,AI$9))</f>
        <v>1</v>
      </c>
      <c r="AJ12">
        <f>IF($G12="s-curve",$E12+($F12-$E12)*$L$2/(1+EXP($L$3*(COUNT($L$9:AJ$9)+$L$4))),TREND($E12:$F12,$E$9:$F$9,AJ$9))</f>
        <v>1</v>
      </c>
      <c r="AK12">
        <f>IF($G12="s-curve",$E12+($F12-$E12)*$L$2/(1+EXP($L$3*(COUNT($L$9:AK$9)+$L$4))),TREND($E12:$F12,$E$9:$F$9,AK$9))</f>
        <v>1</v>
      </c>
      <c r="AL12">
        <f>IF($G12="s-curve",$E12+($F12-$E12)*$L$2/(1+EXP($L$3*(COUNT($L$9:AL$9)+$L$4))),TREND($E12:$F12,$E$9:$F$9,AL$9))</f>
        <v>1</v>
      </c>
    </row>
    <row r="13" spans="1:40" x14ac:dyDescent="0.35">
      <c r="C13" t="s">
        <v>40</v>
      </c>
      <c r="D13">
        <v>6.6777915503600002E-2</v>
      </c>
      <c r="E13" s="16">
        <v>6.7382959534800002E-2</v>
      </c>
      <c r="F13" s="16">
        <f>E13</f>
        <v>6.7382959534800002E-2</v>
      </c>
      <c r="G13" s="5" t="str">
        <f>IF(E13=F13,"n/a",IF(OR(C13="battery electric vehicle",C13="natural gas vehicle",C13="plugin hybrid vehicle"),"s-curve","linear"))</f>
        <v>n/a</v>
      </c>
      <c r="I13">
        <f t="shared" ref="I13" si="4">J13</f>
        <v>6.7382959534800002E-2</v>
      </c>
      <c r="J13">
        <f t="shared" si="2"/>
        <v>6.7382959534800002E-2</v>
      </c>
      <c r="K13">
        <f t="shared" si="2"/>
        <v>6.7382959534800002E-2</v>
      </c>
      <c r="L13" s="16">
        <f>E13</f>
        <v>6.7382959534800002E-2</v>
      </c>
      <c r="M13">
        <f>IF($G13="s-curve",$E13+($F13-$E13)*$L$2/(1+EXP($L$3*(COUNT($L$9:M$9)+$L$4))),TREND($E13:$F13,$E$9:$F$9,M$9))</f>
        <v>6.7382959534800002E-2</v>
      </c>
      <c r="N13">
        <f>IF($G13="s-curve",$E13+($F13-$E13)*$L$2/(1+EXP($L$3*(COUNT($L$9:N$9)+$L$4))),TREND($E13:$F13,$E$9:$F$9,N$9))</f>
        <v>6.7382959534800002E-2</v>
      </c>
      <c r="O13">
        <f>IF($G13="s-curve",$E13+($F13-$E13)*$L$2/(1+EXP($L$3*(COUNT($L$9:O$9)+$L$4))),TREND($E13:$F13,$E$9:$F$9,O$9))</f>
        <v>6.7382959534800002E-2</v>
      </c>
      <c r="P13">
        <f>IF($G13="s-curve",$E13+($F13-$E13)*$L$2/(1+EXP($L$3*(COUNT($L$9:P$9)+$L$4))),TREND($E13:$F13,$E$9:$F$9,P$9))</f>
        <v>6.7382959534800002E-2</v>
      </c>
      <c r="Q13">
        <f>IF($G13="s-curve",$E13+($F13-$E13)*$L$2/(1+EXP($L$3*(COUNT($L$9:Q$9)+$L$4))),TREND($E13:$F13,$E$9:$F$9,Q$9))</f>
        <v>6.7382959534800002E-2</v>
      </c>
      <c r="R13">
        <f>IF($G13="s-curve",$E13+($F13-$E13)*$L$2/(1+EXP($L$3*(COUNT($L$9:R$9)+$L$4))),TREND($E13:$F13,$E$9:$F$9,R$9))</f>
        <v>6.7382959534800002E-2</v>
      </c>
      <c r="S13">
        <f>IF($G13="s-curve",$E13+($F13-$E13)*$L$2/(1+EXP($L$3*(COUNT($L$9:S$9)+$L$4))),TREND($E13:$F13,$E$9:$F$9,S$9))</f>
        <v>6.7382959534800002E-2</v>
      </c>
      <c r="T13">
        <f>IF($G13="s-curve",$E13+($F13-$E13)*$L$2/(1+EXP($L$3*(COUNT($L$9:T$9)+$L$4))),TREND($E13:$F13,$E$9:$F$9,T$9))</f>
        <v>6.7382959534800002E-2</v>
      </c>
      <c r="U13">
        <f>IF($G13="s-curve",$E13+($F13-$E13)*$L$2/(1+EXP($L$3*(COUNT($L$9:U$9)+$L$4))),TREND($E13:$F13,$E$9:$F$9,U$9))</f>
        <v>6.7382959534800002E-2</v>
      </c>
      <c r="V13">
        <f>IF($G13="s-curve",$E13+($F13-$E13)*$L$2/(1+EXP($L$3*(COUNT($L$9:V$9)+$L$4))),TREND($E13:$F13,$E$9:$F$9,V$9))</f>
        <v>6.7382959534800002E-2</v>
      </c>
      <c r="W13">
        <f>IF($G13="s-curve",$E13+($F13-$E13)*$L$2/(1+EXP($L$3*(COUNT($L$9:W$9)+$L$4))),TREND($E13:$F13,$E$9:$F$9,W$9))</f>
        <v>6.7382959534800002E-2</v>
      </c>
      <c r="X13">
        <f>IF($G13="s-curve",$E13+($F13-$E13)*$L$2/(1+EXP($L$3*(COUNT($L$9:X$9)+$L$4))),TREND($E13:$F13,$E$9:$F$9,X$9))</f>
        <v>6.7382959534800002E-2</v>
      </c>
      <c r="Y13">
        <f>IF($G13="s-curve",$E13+($F13-$E13)*$L$2/(1+EXP($L$3*(COUNT($L$9:Y$9)+$L$4))),TREND($E13:$F13,$E$9:$F$9,Y$9))</f>
        <v>6.7382959534800002E-2</v>
      </c>
      <c r="Z13">
        <f>IF($G13="s-curve",$E13+($F13-$E13)*$L$2/(1+EXP($L$3*(COUNT($L$9:Z$9)+$L$4))),TREND($E13:$F13,$E$9:$F$9,Z$9))</f>
        <v>6.7382959534800002E-2</v>
      </c>
      <c r="AA13">
        <f>IF($G13="s-curve",$E13+($F13-$E13)*$L$2/(1+EXP($L$3*(COUNT($L$9:AA$9)+$L$4))),TREND($E13:$F13,$E$9:$F$9,AA$9))</f>
        <v>6.7382959534800002E-2</v>
      </c>
      <c r="AB13">
        <f>IF($G13="s-curve",$E13+($F13-$E13)*$L$2/(1+EXP($L$3*(COUNT($L$9:AB$9)+$L$4))),TREND($E13:$F13,$E$9:$F$9,AB$9))</f>
        <v>6.7382959534800002E-2</v>
      </c>
      <c r="AC13">
        <f>IF($G13="s-curve",$E13+($F13-$E13)*$L$2/(1+EXP($L$3*(COUNT($L$9:AC$9)+$L$4))),TREND($E13:$F13,$E$9:$F$9,AC$9))</f>
        <v>6.7382959534800002E-2</v>
      </c>
      <c r="AD13">
        <f>IF($G13="s-curve",$E13+($F13-$E13)*$L$2/(1+EXP($L$3*(COUNT($L$9:AD$9)+$L$4))),TREND($E13:$F13,$E$9:$F$9,AD$9))</f>
        <v>6.7382959534800002E-2</v>
      </c>
      <c r="AE13">
        <f>IF($G13="s-curve",$E13+($F13-$E13)*$L$2/(1+EXP($L$3*(COUNT($L$9:AE$9)+$L$4))),TREND($E13:$F13,$E$9:$F$9,AE$9))</f>
        <v>6.7382959534800002E-2</v>
      </c>
      <c r="AF13">
        <f>IF($G13="s-curve",$E13+($F13-$E13)*$L$2/(1+EXP($L$3*(COUNT($L$9:AF$9)+$L$4))),TREND($E13:$F13,$E$9:$F$9,AF$9))</f>
        <v>6.7382959534800002E-2</v>
      </c>
      <c r="AG13">
        <f>IF($G13="s-curve",$E13+($F13-$E13)*$L$2/(1+EXP($L$3*(COUNT($L$9:AG$9)+$L$4))),TREND($E13:$F13,$E$9:$F$9,AG$9))</f>
        <v>6.7382959534800002E-2</v>
      </c>
      <c r="AH13">
        <f>IF($G13="s-curve",$E13+($F13-$E13)*$L$2/(1+EXP($L$3*(COUNT($L$9:AH$9)+$L$4))),TREND($E13:$F13,$E$9:$F$9,AH$9))</f>
        <v>6.7382959534800002E-2</v>
      </c>
      <c r="AI13">
        <f>IF($G13="s-curve",$E13+($F13-$E13)*$L$2/(1+EXP($L$3*(COUNT($L$9:AI$9)+$L$4))),TREND($E13:$F13,$E$9:$F$9,AI$9))</f>
        <v>6.7382959534800002E-2</v>
      </c>
      <c r="AJ13">
        <f>IF($G13="s-curve",$E13+($F13-$E13)*$L$2/(1+EXP($L$3*(COUNT($L$9:AJ$9)+$L$4))),TREND($E13:$F13,$E$9:$F$9,AJ$9))</f>
        <v>6.7382959534800002E-2</v>
      </c>
      <c r="AK13">
        <f>IF($G13="s-curve",$E13+($F13-$E13)*$L$2/(1+EXP($L$3*(COUNT($L$9:AK$9)+$L$4))),TREND($E13:$F13,$E$9:$F$9,AK$9))</f>
        <v>6.7382959534800002E-2</v>
      </c>
      <c r="AL13">
        <f>IF($G13="s-curve",$E13+($F13-$E13)*$L$2/(1+EXP($L$3*(COUNT($L$9:AL$9)+$L$4))),TREND($E13:$F13,$E$9:$F$9,AL$9))</f>
        <v>6.7382959534800002E-2</v>
      </c>
    </row>
    <row r="14" spans="1:40" x14ac:dyDescent="0.35">
      <c r="C14" t="s">
        <v>41</v>
      </c>
      <c r="D14">
        <v>1.68426429502E-2</v>
      </c>
      <c r="E14" s="16">
        <v>1.4073498597800001E-2</v>
      </c>
      <c r="F14" s="23">
        <f>D14/D10*F10</f>
        <v>0.10239066607264966</v>
      </c>
      <c r="G14" s="5" t="str">
        <f>IF(E14=F14,"n/a",IF(OR(C14="battery electric vehicle",C14="natural gas vehicle",C14="plugin hybrid vehicle",C14="hydrogen vehicle"),"s-curve","linear"))</f>
        <v>s-curve</v>
      </c>
      <c r="I14">
        <f t="shared" ref="I14" si="5">J14</f>
        <v>1.68426429502E-2</v>
      </c>
      <c r="J14">
        <f t="shared" si="2"/>
        <v>1.68426429502E-2</v>
      </c>
      <c r="K14">
        <f t="shared" si="2"/>
        <v>1.68426429502E-2</v>
      </c>
      <c r="L14">
        <f>D14</f>
        <v>1.68426429502E-2</v>
      </c>
      <c r="M14">
        <f>E14</f>
        <v>1.4073498597800001E-2</v>
      </c>
      <c r="N14">
        <f>IF($G14="s-curve",$E14+($F14-$E14)*$X$2/(1+EXP($X$3*(COUNT($L$9:N$9)+$X$4))),TREND($E14:$F14,$E$9:$F$9,N$9))</f>
        <v>1.7532504297315375E-2</v>
      </c>
      <c r="O14">
        <f>IF($G14="s-curve",$E14+($F14-$E14)*$X$2/(1+EXP($X$3*(COUNT($L$9:O$9)+$X$4))),TREND($E14:$F14,$E$9:$F$9,O$9))</f>
        <v>1.9136207441018131E-2</v>
      </c>
      <c r="P14">
        <f>IF($G14="s-curve",$E14+($F14-$E14)*$X$2/(1+EXP($X$3*(COUNT($L$9:P$9)+$X$4))),TREND($E14:$F14,$E$9:$F$9,P$9))</f>
        <v>2.1419075563388582E-2</v>
      </c>
      <c r="Q14">
        <f>IF($G14="s-curve",$E14+($F14-$E14)*$X$2/(1+EXP($X$3*(COUNT($L$9:Q$9)+$X$4))),TREND($E14:$F14,$E$9:$F$9,Q$9))</f>
        <v>2.4601163025518801E-2</v>
      </c>
      <c r="R14">
        <f>IF($G14="s-curve",$E14+($F14-$E14)*$X$2/(1+EXP($X$3*(COUNT($L$9:R$9)+$X$4))),TREND($E14:$F14,$E$9:$F$9,R$9))</f>
        <v>2.8909159010622888E-2</v>
      </c>
      <c r="S14">
        <f>IF($G14="s-curve",$E14+($F14-$E14)*$X$2/(1+EXP($X$3*(COUNT($L$9:S$9)+$X$4))),TREND($E14:$F14,$E$9:$F$9,S$9))</f>
        <v>3.4516734059794343E-2</v>
      </c>
      <c r="T14">
        <f>IF($G14="s-curve",$E14+($F14-$E14)*$X$2/(1+EXP($X$3*(COUNT($L$9:T$9)+$X$4))),TREND($E14:$F14,$E$9:$F$9,T$9))</f>
        <v>4.1454074269529816E-2</v>
      </c>
      <c r="U14">
        <f>IF($G14="s-curve",$E14+($F14-$E14)*$X$2/(1+EXP($X$3*(COUNT($L$9:U$9)+$X$4))),TREND($E14:$F14,$E$9:$F$9,U$9))</f>
        <v>4.9516267729372364E-2</v>
      </c>
      <c r="V14">
        <f>IF($G14="s-curve",$E14+($F14-$E14)*$X$2/(1+EXP($X$3*(COUNT($L$9:V$9)+$X$4))),TREND($E14:$F14,$E$9:$F$9,V$9))</f>
        <v>5.8232082335224832E-2</v>
      </c>
      <c r="W14">
        <f>IF($G14="s-curve",$E14+($F14-$E14)*$X$2/(1+EXP($X$3*(COUNT($L$9:W$9)+$X$4))),TREND($E14:$F14,$E$9:$F$9,W$9))</f>
        <v>6.6947896941077292E-2</v>
      </c>
      <c r="X14">
        <f>IF($G14="s-curve",$E14+($F14-$E14)*$X$2/(1+EXP($X$3*(COUNT($L$9:X$9)+$X$4))),TREND($E14:$F14,$E$9:$F$9,X$9))</f>
        <v>7.5010090400919854E-2</v>
      </c>
      <c r="Y14">
        <f>IF($G14="s-curve",$E14+($F14-$E14)*$X$2/(1+EXP($X$3*(COUNT($L$9:Y$9)+$X$4))),TREND($E14:$F14,$E$9:$F$9,Y$9))</f>
        <v>8.194743061065532E-2</v>
      </c>
      <c r="Z14">
        <f>IF($G14="s-curve",$E14+($F14-$E14)*$X$2/(1+EXP($X$3*(COUNT($L$9:Z$9)+$X$4))),TREND($E14:$F14,$E$9:$F$9,Z$9))</f>
        <v>8.7555005659826768E-2</v>
      </c>
      <c r="AA14">
        <f>IF($G14="s-curve",$E14+($F14-$E14)*$X$2/(1+EXP($X$3*(COUNT($L$9:AA$9)+$X$4))),TREND($E14:$F14,$E$9:$F$9,AA$9))</f>
        <v>9.1863001644930858E-2</v>
      </c>
      <c r="AB14">
        <f>IF($G14="s-curve",$E14+($F14-$E14)*$X$2/(1+EXP($X$3*(COUNT($L$9:AB$9)+$X$4))),TREND($E14:$F14,$E$9:$F$9,AB$9))</f>
        <v>9.5045089107061081E-2</v>
      </c>
      <c r="AC14">
        <f>IF($G14="s-curve",$E14+($F14-$E14)*$X$2/(1+EXP($X$3*(COUNT($L$9:AC$9)+$X$4))),TREND($E14:$F14,$E$9:$F$9,AC$9))</f>
        <v>9.7327957229431522E-2</v>
      </c>
      <c r="AD14">
        <f>IF($G14="s-curve",$E14+($F14-$E14)*$X$2/(1+EXP($X$3*(COUNT($L$9:AD$9)+$X$4))),TREND($E14:$F14,$E$9:$F$9,AD$9))</f>
        <v>9.8931660373134278E-2</v>
      </c>
      <c r="AE14">
        <f>IF($G14="s-curve",$E14+($F14-$E14)*$X$2/(1+EXP($X$3*(COUNT($L$9:AE$9)+$X$4))),TREND($E14:$F14,$E$9:$F$9,AE$9))</f>
        <v>0.10004169493659409</v>
      </c>
      <c r="AF14">
        <f>IF($G14="s-curve",$E14+($F14-$E14)*$X$2/(1+EXP($X$3*(COUNT($L$9:AF$9)+$X$4))),TREND($E14:$F14,$E$9:$F$9,AF$9))</f>
        <v>0.10080217495518981</v>
      </c>
      <c r="AG14">
        <f>IF($G14="s-curve",$E14+($F14-$E14)*$X$2/(1+EXP($X$3*(COUNT($L$9:AG$9)+$X$4))),TREND($E14:$F14,$E$9:$F$9,AG$9))</f>
        <v>0.10131951704893569</v>
      </c>
      <c r="AH14">
        <f>IF($G14="s-curve",$E14+($F14-$E14)*$X$2/(1+EXP($X$3*(COUNT($L$9:AH$9)+$X$4))),TREND($E14:$F14,$E$9:$F$9,AH$9))</f>
        <v>0.10166977090909066</v>
      </c>
      <c r="AI14">
        <f>IF($G14="s-curve",$E14+($F14-$E14)*$X$2/(1+EXP($X$3*(COUNT($L$9:AI$9)+$X$4))),TREND($E14:$F14,$E$9:$F$9,AI$9))</f>
        <v>0.10190613169392981</v>
      </c>
      <c r="AJ14">
        <f>IF($G14="s-curve",$E14+($F14-$E14)*$X$2/(1+EXP($X$3*(COUNT($L$9:AJ$9)+$X$4))),TREND($E14:$F14,$E$9:$F$9,AJ$9))</f>
        <v>0.10206528444043367</v>
      </c>
      <c r="AK14">
        <f>IF($G14="s-curve",$E14+($F14-$E14)*$X$2/(1+EXP($X$3*(COUNT($L$9:AK$9)+$X$4))),TREND($E14:$F14,$E$9:$F$9,AK$9))</f>
        <v>0.10217229099922295</v>
      </c>
      <c r="AL14">
        <f>IF($G14="s-curve",$E14+($F14-$E14)*$X$2/(1+EXP($X$3*(COUNT($L$9:AL$9)+$X$4))),TREND($E14:$F14,$E$9:$F$9,AL$9))</f>
        <v>0.10224416545984444</v>
      </c>
    </row>
    <row r="15" spans="1:40" x14ac:dyDescent="0.3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>
        <f t="shared" ref="I15" si="6">J15</f>
        <v>0</v>
      </c>
      <c r="J15">
        <f t="shared" si="2"/>
        <v>0</v>
      </c>
      <c r="K15">
        <f t="shared" si="2"/>
        <v>0</v>
      </c>
      <c r="L15" s="16">
        <f>E15</f>
        <v>0</v>
      </c>
      <c r="M15">
        <f>IF($G15="s-curve",$E15+($F15-$E15)*$L$2/(1+EXP($L$3*(COUNT($L$9:M$9)+$L$4))),TREND($E15:$F15,$E$9:$F$9,M$9))</f>
        <v>0</v>
      </c>
      <c r="N15">
        <f>IF($G15="s-curve",$E15+($F15-$E15)*$L$2/(1+EXP($L$3*(COUNT($L$9:N$9)+$L$4))),TREND($E15:$F15,$E$9:$F$9,N$9))</f>
        <v>0</v>
      </c>
      <c r="O15">
        <f>IF($G15="s-curve",$E15+($F15-$E15)*$L$2/(1+EXP($L$3*(COUNT($L$9:O$9)+$L$4))),TREND($E15:$F15,$E$9:$F$9,O$9))</f>
        <v>0</v>
      </c>
      <c r="P15">
        <f>IF($G15="s-curve",$E15+($F15-$E15)*$L$2/(1+EXP($L$3*(COUNT($L$9:P$9)+$L$4))),TREND($E15:$F15,$E$9:$F$9,P$9))</f>
        <v>0</v>
      </c>
      <c r="Q15">
        <f>IF($G15="s-curve",$E15+($F15-$E15)*$L$2/(1+EXP($L$3*(COUNT($L$9:Q$9)+$L$4))),TREND($E15:$F15,$E$9:$F$9,Q$9))</f>
        <v>0</v>
      </c>
      <c r="R15">
        <f>IF($G15="s-curve",$E15+($F15-$E15)*$L$2/(1+EXP($L$3*(COUNT($L$9:R$9)+$L$4))),TREND($E15:$F15,$E$9:$F$9,R$9))</f>
        <v>0</v>
      </c>
      <c r="S15">
        <f>IF($G15="s-curve",$E15+($F15-$E15)*$L$2/(1+EXP($L$3*(COUNT($L$9:S$9)+$L$4))),TREND($E15:$F15,$E$9:$F$9,S$9))</f>
        <v>0</v>
      </c>
      <c r="T15">
        <f>IF($G15="s-curve",$E15+($F15-$E15)*$L$2/(1+EXP($L$3*(COUNT($L$9:T$9)+$L$4))),TREND($E15:$F15,$E$9:$F$9,T$9))</f>
        <v>0</v>
      </c>
      <c r="U15">
        <f>IF($G15="s-curve",$E15+($F15-$E15)*$L$2/(1+EXP($L$3*(COUNT($L$9:U$9)+$L$4))),TREND($E15:$F15,$E$9:$F$9,U$9))</f>
        <v>0</v>
      </c>
      <c r="V15">
        <f>IF($G15="s-curve",$E15+($F15-$E15)*$L$2/(1+EXP($L$3*(COUNT($L$9:V$9)+$L$4))),TREND($E15:$F15,$E$9:$F$9,V$9))</f>
        <v>0</v>
      </c>
      <c r="W15">
        <f>IF($G15="s-curve",$E15+($F15-$E15)*$L$2/(1+EXP($L$3*(COUNT($L$9:W$9)+$L$4))),TREND($E15:$F15,$E$9:$F$9,W$9))</f>
        <v>0</v>
      </c>
      <c r="X15">
        <f>IF($G15="s-curve",$E15+($F15-$E15)*$L$2/(1+EXP($L$3*(COUNT($L$9:X$9)+$L$4))),TREND($E15:$F15,$E$9:$F$9,X$9))</f>
        <v>0</v>
      </c>
      <c r="Y15">
        <f>IF($G15="s-curve",$E15+($F15-$E15)*$L$2/(1+EXP($L$3*(COUNT($L$9:Y$9)+$L$4))),TREND($E15:$F15,$E$9:$F$9,Y$9))</f>
        <v>0</v>
      </c>
      <c r="Z15">
        <f>IF($G15="s-curve",$E15+($F15-$E15)*$L$2/(1+EXP($L$3*(COUNT($L$9:Z$9)+$L$4))),TREND($E15:$F15,$E$9:$F$9,Z$9))</f>
        <v>0</v>
      </c>
      <c r="AA15">
        <f>IF($G15="s-curve",$E15+($F15-$E15)*$L$2/(1+EXP($L$3*(COUNT($L$9:AA$9)+$L$4))),TREND($E15:$F15,$E$9:$F$9,AA$9))</f>
        <v>0</v>
      </c>
      <c r="AB15">
        <f>IF($G15="s-curve",$E15+($F15-$E15)*$L$2/(1+EXP($L$3*(COUNT($L$9:AB$9)+$L$4))),TREND($E15:$F15,$E$9:$F$9,AB$9))</f>
        <v>0</v>
      </c>
      <c r="AC15">
        <f>IF($G15="s-curve",$E15+($F15-$E15)*$L$2/(1+EXP($L$3*(COUNT($L$9:AC$9)+$L$4))),TREND($E15:$F15,$E$9:$F$9,AC$9))</f>
        <v>0</v>
      </c>
      <c r="AD15">
        <f>IF($G15="s-curve",$E15+($F15-$E15)*$L$2/(1+EXP($L$3*(COUNT($L$9:AD$9)+$L$4))),TREND($E15:$F15,$E$9:$F$9,AD$9))</f>
        <v>0</v>
      </c>
      <c r="AE15">
        <f>IF($G15="s-curve",$E15+($F15-$E15)*$L$2/(1+EXP($L$3*(COUNT($L$9:AE$9)+$L$4))),TREND($E15:$F15,$E$9:$F$9,AE$9))</f>
        <v>0</v>
      </c>
      <c r="AF15">
        <f>IF($G15="s-curve",$E15+($F15-$E15)*$L$2/(1+EXP($L$3*(COUNT($L$9:AF$9)+$L$4))),TREND($E15:$F15,$E$9:$F$9,AF$9))</f>
        <v>0</v>
      </c>
      <c r="AG15">
        <f>IF($G15="s-curve",$E15+($F15-$E15)*$L$2/(1+EXP($L$3*(COUNT($L$9:AG$9)+$L$4))),TREND($E15:$F15,$E$9:$F$9,AG$9))</f>
        <v>0</v>
      </c>
      <c r="AH15">
        <f>IF($G15="s-curve",$E15+($F15-$E15)*$L$2/(1+EXP($L$3*(COUNT($L$9:AH$9)+$L$4))),TREND($E15:$F15,$E$9:$F$9,AH$9))</f>
        <v>0</v>
      </c>
      <c r="AI15">
        <f>IF($G15="s-curve",$E15+($F15-$E15)*$L$2/(1+EXP($L$3*(COUNT($L$9:AI$9)+$L$4))),TREND($E15:$F15,$E$9:$F$9,AI$9))</f>
        <v>0</v>
      </c>
      <c r="AJ15">
        <f>IF($G15="s-curve",$E15+($F15-$E15)*$L$2/(1+EXP($L$3*(COUNT($L$9:AJ$9)+$L$4))),TREND($E15:$F15,$E$9:$F$9,AJ$9))</f>
        <v>0</v>
      </c>
      <c r="AK15">
        <f>IF($G15="s-curve",$E15+($F15-$E15)*$L$2/(1+EXP($L$3*(COUNT($L$9:AK$9)+$L$4))),TREND($E15:$F15,$E$9:$F$9,AK$9))</f>
        <v>0</v>
      </c>
      <c r="AL15">
        <f>IF($G15="s-curve",$E15+($F15-$E15)*$L$2/(1+EXP($L$3*(COUNT($L$9:AL$9)+$L$4))),TREND($E15:$F15,$E$9:$F$9,AL$9))</f>
        <v>0</v>
      </c>
    </row>
    <row r="16" spans="1:40" ht="15.75" customHeight="1" thickBot="1" x14ac:dyDescent="0.4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>
        <f t="shared" ref="I16" si="7">J16</f>
        <v>0</v>
      </c>
      <c r="J16">
        <f t="shared" si="2"/>
        <v>0</v>
      </c>
      <c r="K16">
        <f t="shared" si="2"/>
        <v>0</v>
      </c>
      <c r="L16" s="16">
        <f>E16</f>
        <v>0</v>
      </c>
      <c r="M16">
        <f>IF($G16="s-curve",$E16+($F16-$E16)*$L$2/(1+EXP($L$3*(COUNT($L$9:M$9)+$L$4))),TREND($E16:$F16,$E$9:$F$9,M$9))</f>
        <v>0</v>
      </c>
      <c r="N16">
        <f>IF($G16="s-curve",$E16+($F16-$E16)*$L$2/(1+EXP($L$3*(COUNT($L$9:N$9)+$L$4))),TREND($E16:$F16,$E$9:$F$9,N$9))</f>
        <v>0</v>
      </c>
      <c r="O16">
        <f>IF($G16="s-curve",$E16+($F16-$E16)*$L$2/(1+EXP($L$3*(COUNT($L$9:O$9)+$L$4))),TREND($E16:$F16,$E$9:$F$9,O$9))</f>
        <v>0</v>
      </c>
      <c r="P16">
        <f>IF($G16="s-curve",$E16+($F16-$E16)*$L$2/(1+EXP($L$3*(COUNT($L$9:P$9)+$L$4))),TREND($E16:$F16,$E$9:$F$9,P$9))</f>
        <v>0</v>
      </c>
      <c r="Q16">
        <f>IF($G16="s-curve",$E16+($F16-$E16)*$L$2/(1+EXP($L$3*(COUNT($L$9:Q$9)+$L$4))),TREND($E16:$F16,$E$9:$F$9,Q$9))</f>
        <v>0</v>
      </c>
      <c r="R16">
        <f>IF($G16="s-curve",$E16+($F16-$E16)*$L$2/(1+EXP($L$3*(COUNT($L$9:R$9)+$L$4))),TREND($E16:$F16,$E$9:$F$9,R$9))</f>
        <v>0</v>
      </c>
      <c r="S16">
        <f>IF($G16="s-curve",$E16+($F16-$E16)*$L$2/(1+EXP($L$3*(COUNT($L$9:S$9)+$L$4))),TREND($E16:$F16,$E$9:$F$9,S$9))</f>
        <v>0</v>
      </c>
      <c r="T16">
        <f>IF($G16="s-curve",$E16+($F16-$E16)*$L$2/(1+EXP($L$3*(COUNT($L$9:T$9)+$L$4))),TREND($E16:$F16,$E$9:$F$9,T$9))</f>
        <v>0</v>
      </c>
      <c r="U16">
        <f>IF($G16="s-curve",$E16+($F16-$E16)*$L$2/(1+EXP($L$3*(COUNT($L$9:U$9)+$L$4))),TREND($E16:$F16,$E$9:$F$9,U$9))</f>
        <v>0</v>
      </c>
      <c r="V16">
        <f>IF($G16="s-curve",$E16+($F16-$E16)*$L$2/(1+EXP($L$3*(COUNT($L$9:V$9)+$L$4))),TREND($E16:$F16,$E$9:$F$9,V$9))</f>
        <v>0</v>
      </c>
      <c r="W16">
        <f>IF($G16="s-curve",$E16+($F16-$E16)*$L$2/(1+EXP($L$3*(COUNT($L$9:W$9)+$L$4))),TREND($E16:$F16,$E$9:$F$9,W$9))</f>
        <v>0</v>
      </c>
      <c r="X16">
        <f>IF($G16="s-curve",$E16+($F16-$E16)*$L$2/(1+EXP($L$3*(COUNT($L$9:X$9)+$L$4))),TREND($E16:$F16,$E$9:$F$9,X$9))</f>
        <v>0</v>
      </c>
      <c r="Y16">
        <f>IF($G16="s-curve",$E16+($F16-$E16)*$L$2/(1+EXP($L$3*(COUNT($L$9:Y$9)+$L$4))),TREND($E16:$F16,$E$9:$F$9,Y$9))</f>
        <v>0</v>
      </c>
      <c r="Z16">
        <f>IF($G16="s-curve",$E16+($F16-$E16)*$L$2/(1+EXP($L$3*(COUNT($L$9:Z$9)+$L$4))),TREND($E16:$F16,$E$9:$F$9,Z$9))</f>
        <v>0</v>
      </c>
      <c r="AA16">
        <f>IF($G16="s-curve",$E16+($F16-$E16)*$L$2/(1+EXP($L$3*(COUNT($L$9:AA$9)+$L$4))),TREND($E16:$F16,$E$9:$F$9,AA$9))</f>
        <v>0</v>
      </c>
      <c r="AB16">
        <f>IF($G16="s-curve",$E16+($F16-$E16)*$L$2/(1+EXP($L$3*(COUNT($L$9:AB$9)+$L$4))),TREND($E16:$F16,$E$9:$F$9,AB$9))</f>
        <v>0</v>
      </c>
      <c r="AC16">
        <f>IF($G16="s-curve",$E16+($F16-$E16)*$L$2/(1+EXP($L$3*(COUNT($L$9:AC$9)+$L$4))),TREND($E16:$F16,$E$9:$F$9,AC$9))</f>
        <v>0</v>
      </c>
      <c r="AD16">
        <f>IF($G16="s-curve",$E16+($F16-$E16)*$L$2/(1+EXP($L$3*(COUNT($L$9:AD$9)+$L$4))),TREND($E16:$F16,$E$9:$F$9,AD$9))</f>
        <v>0</v>
      </c>
      <c r="AE16">
        <f>IF($G16="s-curve",$E16+($F16-$E16)*$L$2/(1+EXP($L$3*(COUNT($L$9:AE$9)+$L$4))),TREND($E16:$F16,$E$9:$F$9,AE$9))</f>
        <v>0</v>
      </c>
      <c r="AF16">
        <f>IF($G16="s-curve",$E16+($F16-$E16)*$L$2/(1+EXP($L$3*(COUNT($L$9:AF$9)+$L$4))),TREND($E16:$F16,$E$9:$F$9,AF$9))</f>
        <v>0</v>
      </c>
      <c r="AG16">
        <f>IF($G16="s-curve",$E16+($F16-$E16)*$L$2/(1+EXP($L$3*(COUNT($L$9:AG$9)+$L$4))),TREND($E16:$F16,$E$9:$F$9,AG$9))</f>
        <v>0</v>
      </c>
      <c r="AH16">
        <f>IF($G16="s-curve",$E16+($F16-$E16)*$L$2/(1+EXP($L$3*(COUNT($L$9:AH$9)+$L$4))),TREND($E16:$F16,$E$9:$F$9,AH$9))</f>
        <v>0</v>
      </c>
      <c r="AI16">
        <f>IF($G16="s-curve",$E16+($F16-$E16)*$L$2/(1+EXP($L$3*(COUNT($L$9:AI$9)+$L$4))),TREND($E16:$F16,$E$9:$F$9,AI$9))</f>
        <v>0</v>
      </c>
      <c r="AJ16">
        <f>IF($G16="s-curve",$E16+($F16-$E16)*$L$2/(1+EXP($L$3*(COUNT($L$9:AJ$9)+$L$4))),TREND($E16:$F16,$E$9:$F$9,AJ$9))</f>
        <v>0</v>
      </c>
      <c r="AK16">
        <f>IF($G16="s-curve",$E16+($F16-$E16)*$L$2/(1+EXP($L$3*(COUNT($L$9:AK$9)+$L$4))),TREND($E16:$F16,$E$9:$F$9,AK$9))</f>
        <v>0</v>
      </c>
      <c r="AL16">
        <f>IF($G16="s-curve",$E16+($F16-$E16)*$L$2/(1+EXP($L$3*(COUNT($L$9:AL$9)+$L$4))),TREND($E16:$F16,$E$9:$F$9,AL$9))</f>
        <v>0</v>
      </c>
    </row>
    <row r="17" spans="1:38" x14ac:dyDescent="0.35">
      <c r="A17" t="s">
        <v>44</v>
      </c>
      <c r="B17" t="s">
        <v>72</v>
      </c>
      <c r="C17" t="s">
        <v>37</v>
      </c>
      <c r="D17">
        <v>0.464269858905</v>
      </c>
      <c r="E17">
        <v>0.21897752724899999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>
        <f t="shared" ref="I17" si="8">J17</f>
        <v>0.464269858905</v>
      </c>
      <c r="J17">
        <f t="shared" si="2"/>
        <v>0.464269858905</v>
      </c>
      <c r="K17">
        <f t="shared" si="2"/>
        <v>0.464269858905</v>
      </c>
      <c r="L17" s="16">
        <f t="shared" ref="L17:L37" si="9">D17</f>
        <v>0.464269858905</v>
      </c>
      <c r="M17">
        <f>IF($G17="s-curve",$E17+($F17-$E17)*$AA$2/(1+EXP($AA$3*(COUNT($L$9:M$9)+$AA$4))),TREND($E17:$F17,$E$9:$F$9,M$9))</f>
        <v>0.22113248143634012</v>
      </c>
      <c r="N17" s="25">
        <f>IF($G17="s-curve",$D17+($F17-$D17)*$AA$2/(1+EXP($AA$3*(COUNT($L$9:N$9)+$AA$4))),TREND($D17:$F17,$E$9:$F$9,N$9))</f>
        <v>0.45842658466210101</v>
      </c>
      <c r="O17" s="25">
        <f>IF($G17="s-curve",$D17+($F17-$D17)*$AA$2/(1+EXP($AA$3*(COUNT($L$9:O$9)+$AA$4))),TREND($D17:$F17,$E$9:$F$9,O$9))</f>
        <v>0.45647921740967468</v>
      </c>
      <c r="P17" s="25">
        <f>IF($G17="s-curve",$D17+($F17-$D17)*$AA$2/(1+EXP($AA$3*(COUNT($L$9:P$9)+$AA$4))),TREND($D17:$F17,$E$9:$F$9,P$9))</f>
        <v>0.45392523459074285</v>
      </c>
      <c r="Q17" s="25">
        <f>IF($G17="s-curve",$D17+($F17-$D17)*$AA$2/(1+EXP($AA$3*(COUNT($L$9:Q$9)+$AA$4))),TREND($D17:$F17,$E$9:$F$9,Q$9))</f>
        <v>0.45060709178719499</v>
      </c>
      <c r="R17" s="25">
        <f>IF($G17="s-curve",$D17+($F17-$D17)*$AA$2/(1+EXP($AA$3*(COUNT($L$9:R$9)+$AA$4))),TREND($D17:$F17,$E$9:$F$9,R$9))</f>
        <v>0.44634853948021264</v>
      </c>
      <c r="S17" s="25">
        <f>IF($G17="s-curve",$D17+($F17-$D17)*$AA$2/(1+EXP($AA$3*(COUNT($L$9:S$9)+$AA$4))),TREND($D17:$F17,$E$9:$F$9,S$9))</f>
        <v>0.44096800448827289</v>
      </c>
      <c r="T17" s="25">
        <f>IF($G17="s-curve",$D17+($F17-$D17)*$AA$2/(1+EXP($AA$3*(COUNT($L$9:T$9)+$AA$4))),TREND($D17:$F17,$E$9:$F$9,T$9))</f>
        <v>0.43430284384865914</v>
      </c>
      <c r="U17" s="25">
        <f>IF($G17="s-curve",$D17+($F17-$D17)*$AA$2/(1+EXP($AA$3*(COUNT($L$9:U$9)+$AA$4))),TREND($D17:$F17,$E$9:$F$9,U$9))</f>
        <v>0.42624545775037931</v>
      </c>
      <c r="V17" s="25">
        <f>IF($G17="s-curve",$D17+($F17-$D17)*$AA$2/(1+EXP($AA$3*(COUNT($L$9:V$9)+$AA$4))),TREND($D17:$F17,$E$9:$F$9,V$9))</f>
        <v>0.41678757448478931</v>
      </c>
      <c r="W17" s="25">
        <f>IF($G17="s-curve",$D17+($F17-$D17)*$AA$2/(1+EXP($AA$3*(COUNT($L$9:W$9)+$AA$4))),TREND($D17:$F17,$E$9:$F$9,W$9))</f>
        <v>0.40606187032483487</v>
      </c>
      <c r="X17" s="25">
        <f>IF($G17="s-curve",$D17+($F17-$D17)*$AA$2/(1+EXP($AA$3*(COUNT($L$9:X$9)+$AA$4))),TREND($D17:$F17,$E$9:$F$9,X$9))</f>
        <v>0.39436359118568431</v>
      </c>
      <c r="Y17" s="25">
        <f>IF($G17="s-curve",$D17+($F17-$D17)*$AA$2/(1+EXP($AA$3*(COUNT($L$9:Y$9)+$AA$4))),TREND($D17:$F17,$E$9:$F$9,Y$9))</f>
        <v>0.38213492945249999</v>
      </c>
      <c r="Z17" s="25">
        <f>IF($G17="s-curve",$D17+($F17-$D17)*$AA$2/(1+EXP($AA$3*(COUNT($L$9:Z$9)+$AA$4))),TREND($D17:$F17,$E$9:$F$9,Z$9))</f>
        <v>0.36990626771931567</v>
      </c>
      <c r="AA17" s="25">
        <f>IF($G17="s-curve",$D17+($F17-$D17)*$AA$2/(1+EXP($AA$3*(COUNT($L$9:AA$9)+$AA$4))),TREND($D17:$F17,$E$9:$F$9,AA$9))</f>
        <v>0.35820798858016512</v>
      </c>
      <c r="AB17" s="25">
        <f>IF($G17="s-curve",$D17+($F17-$D17)*$AA$2/(1+EXP($AA$3*(COUNT($L$9:AB$9)+$AA$4))),TREND($D17:$F17,$E$9:$F$9,AB$9))</f>
        <v>0.34748228442021067</v>
      </c>
      <c r="AC17" s="25">
        <f>IF($G17="s-curve",$D17+($F17-$D17)*$AA$2/(1+EXP($AA$3*(COUNT($L$9:AC$9)+$AA$4))),TREND($D17:$F17,$E$9:$F$9,AC$9))</f>
        <v>0.33802440115462073</v>
      </c>
      <c r="AD17" s="25">
        <f>IF($G17="s-curve",$D17+($F17-$D17)*$AA$2/(1+EXP($AA$3*(COUNT($L$9:AD$9)+$AA$4))),TREND($D17:$F17,$E$9:$F$9,AD$9))</f>
        <v>0.32996701505634085</v>
      </c>
      <c r="AE17" s="25">
        <f>IF($G17="s-curve",$D17+($F17-$D17)*$AA$2/(1+EXP($AA$3*(COUNT($L$9:AE$9)+$AA$4))),TREND($D17:$F17,$E$9:$F$9,AE$9))</f>
        <v>0.3233018544167271</v>
      </c>
      <c r="AF17" s="25">
        <f>IF($G17="s-curve",$D17+($F17-$D17)*$AA$2/(1+EXP($AA$3*(COUNT($L$9:AF$9)+$AA$4))),TREND($D17:$F17,$E$9:$F$9,AF$9))</f>
        <v>0.3179213194247873</v>
      </c>
      <c r="AG17" s="25">
        <f>IF($G17="s-curve",$D17+($F17-$D17)*$AA$2/(1+EXP($AA$3*(COUNT($L$9:AG$9)+$AA$4))),TREND($D17:$F17,$E$9:$F$9,AG$9))</f>
        <v>0.313662767117805</v>
      </c>
      <c r="AH17" s="25">
        <f>IF($G17="s-curve",$D17+($F17-$D17)*$AA$2/(1+EXP($AA$3*(COUNT($L$9:AH$9)+$AA$4))),TREND($D17:$F17,$E$9:$F$9,AH$9))</f>
        <v>0.31034462431425713</v>
      </c>
      <c r="AI17" s="25">
        <f>IF($G17="s-curve",$D17+($F17-$D17)*$AA$2/(1+EXP($AA$3*(COUNT($L$9:AI$9)+$AA$4))),TREND($D17:$F17,$E$9:$F$9,AI$9))</f>
        <v>0.30779064149532531</v>
      </c>
      <c r="AJ17" s="25">
        <f>IF($G17="s-curve",$D17+($F17-$D17)*$AA$2/(1+EXP($AA$3*(COUNT($L$9:AJ$9)+$AA$4))),TREND($D17:$F17,$E$9:$F$9,AJ$9))</f>
        <v>0.30584327424289898</v>
      </c>
      <c r="AK17" s="25">
        <f>IF($G17="s-curve",$D17+($F17-$D17)*$AA$2/(1+EXP($AA$3*(COUNT($L$9:AK$9)+$AA$4))),TREND($D17:$F17,$E$9:$F$9,AK$9))</f>
        <v>0.30436908438216892</v>
      </c>
      <c r="AL17" s="25">
        <f>IF($G17="s-curve",$D17+($F17-$D17)*$AA$2/(1+EXP($AA$3*(COUNT($L$9:AL$9)+$AA$4))),TREND($D17:$F17,$E$9:$F$9,AL$9))</f>
        <v>0.30325916422356897</v>
      </c>
    </row>
    <row r="18" spans="1:38" x14ac:dyDescent="0.35">
      <c r="C18" t="s">
        <v>38</v>
      </c>
      <c r="D18">
        <v>0</v>
      </c>
      <c r="E18">
        <v>0</v>
      </c>
      <c r="F18" s="16">
        <f>E18</f>
        <v>0</v>
      </c>
      <c r="G18" s="5" t="s">
        <v>73</v>
      </c>
      <c r="I18">
        <f t="shared" ref="I18" si="10">J18</f>
        <v>0</v>
      </c>
      <c r="J18">
        <f t="shared" si="2"/>
        <v>0</v>
      </c>
      <c r="K18">
        <f t="shared" si="2"/>
        <v>0</v>
      </c>
      <c r="L18" s="16">
        <f t="shared" si="9"/>
        <v>0</v>
      </c>
      <c r="M18" s="16">
        <f t="shared" ref="M18:M37" si="11">E18</f>
        <v>0</v>
      </c>
      <c r="N18">
        <f>IF($G18="s-curve",$E18+($F18-$E18)*$L$2/(1+EXP($L$3*(COUNT($L$9:N$9)+$L$4))),TREND($E18:$F18,$E$9:$F$9,N$9))</f>
        <v>0</v>
      </c>
      <c r="O18">
        <f>IF($G18="s-curve",$E18+($F18-$E18)*$L$2/(1+EXP($L$3*(COUNT($L$9:O$9)+$L$4))),TREND($E18:$F18,$E$9:$F$9,O$9))</f>
        <v>0</v>
      </c>
      <c r="P18">
        <f>IF($G18="s-curve",$E18+($F18-$E18)*$L$2/(1+EXP($L$3*(COUNT($L$9:P$9)+$L$4))),TREND($E18:$F18,$E$9:$F$9,P$9))</f>
        <v>0</v>
      </c>
      <c r="Q18">
        <f>IF($G18="s-curve",$E18+($F18-$E18)*$L$2/(1+EXP($L$3*(COUNT($L$9:Q$9)+$L$4))),TREND($E18:$F18,$E$9:$F$9,Q$9))</f>
        <v>0</v>
      </c>
      <c r="R18">
        <f>IF($G18="s-curve",$E18+($F18-$E18)*$L$2/(1+EXP($L$3*(COUNT($L$9:R$9)+$L$4))),TREND($E18:$F18,$E$9:$F$9,R$9))</f>
        <v>0</v>
      </c>
      <c r="S18">
        <f>IF($G18="s-curve",$E18+($F18-$E18)*$L$2/(1+EXP($L$3*(COUNT($L$9:S$9)+$L$4))),TREND($E18:$F18,$E$9:$F$9,S$9))</f>
        <v>0</v>
      </c>
      <c r="T18">
        <f>IF($G18="s-curve",$E18+($F18-$E18)*$L$2/(1+EXP($L$3*(COUNT($L$9:T$9)+$L$4))),TREND($E18:$F18,$E$9:$F$9,T$9))</f>
        <v>0</v>
      </c>
      <c r="U18">
        <f>IF($G18="s-curve",$E18+($F18-$E18)*$L$2/(1+EXP($L$3*(COUNT($L$9:U$9)+$L$4))),TREND($E18:$F18,$E$9:$F$9,U$9))</f>
        <v>0</v>
      </c>
      <c r="V18">
        <f>IF($G18="s-curve",$E18+($F18-$E18)*$L$2/(1+EXP($L$3*(COUNT($L$9:V$9)+$L$4))),TREND($E18:$F18,$E$9:$F$9,V$9))</f>
        <v>0</v>
      </c>
      <c r="W18">
        <f>IF($G18="s-curve",$E18+($F18-$E18)*$L$2/(1+EXP($L$3*(COUNT($L$9:W$9)+$L$4))),TREND($E18:$F18,$E$9:$F$9,W$9))</f>
        <v>0</v>
      </c>
      <c r="X18">
        <f>IF($G18="s-curve",$E18+($F18-$E18)*$L$2/(1+EXP($L$3*(COUNT($L$9:X$9)+$L$4))),TREND($E18:$F18,$E$9:$F$9,X$9))</f>
        <v>0</v>
      </c>
      <c r="Y18">
        <f>IF($G18="s-curve",$E18+($F18-$E18)*$L$2/(1+EXP($L$3*(COUNT($L$9:Y$9)+$L$4))),TREND($E18:$F18,$E$9:$F$9,Y$9))</f>
        <v>0</v>
      </c>
      <c r="Z18">
        <f>IF($G18="s-curve",$E18+($F18-$E18)*$L$2/(1+EXP($L$3*(COUNT($L$9:Z$9)+$L$4))),TREND($E18:$F18,$E$9:$F$9,Z$9))</f>
        <v>0</v>
      </c>
      <c r="AA18">
        <f>IF($G18="s-curve",$E18+($F18-$E18)*$L$2/(1+EXP($L$3*(COUNT($L$9:AA$9)+$L$4))),TREND($E18:$F18,$E$9:$F$9,AA$9))</f>
        <v>0</v>
      </c>
      <c r="AB18">
        <f>IF($G18="s-curve",$E18+($F18-$E18)*$L$2/(1+EXP($L$3*(COUNT($L$9:AB$9)+$L$4))),TREND($E18:$F18,$E$9:$F$9,AB$9))</f>
        <v>0</v>
      </c>
      <c r="AC18">
        <f>IF($G18="s-curve",$E18+($F18-$E18)*$L$2/(1+EXP($L$3*(COUNT($L$9:AC$9)+$L$4))),TREND($E18:$F18,$E$9:$F$9,AC$9))</f>
        <v>0</v>
      </c>
      <c r="AD18">
        <f>IF($G18="s-curve",$E18+($F18-$E18)*$L$2/(1+EXP($L$3*(COUNT($L$9:AD$9)+$L$4))),TREND($E18:$F18,$E$9:$F$9,AD$9))</f>
        <v>0</v>
      </c>
      <c r="AE18">
        <f>IF($G18="s-curve",$E18+($F18-$E18)*$L$2/(1+EXP($L$3*(COUNT($L$9:AE$9)+$L$4))),TREND($E18:$F18,$E$9:$F$9,AE$9))</f>
        <v>0</v>
      </c>
      <c r="AF18">
        <f>IF($G18="s-curve",$E18+($F18-$E18)*$L$2/(1+EXP($L$3*(COUNT($L$9:AF$9)+$L$4))),TREND($E18:$F18,$E$9:$F$9,AF$9))</f>
        <v>0</v>
      </c>
      <c r="AG18">
        <f>IF($G18="s-curve",$E18+($F18-$E18)*$L$2/(1+EXP($L$3*(COUNT($L$9:AG$9)+$L$4))),TREND($E18:$F18,$E$9:$F$9,AG$9))</f>
        <v>0</v>
      </c>
      <c r="AH18">
        <f>IF($G18="s-curve",$E18+($F18-$E18)*$L$2/(1+EXP($L$3*(COUNT($L$9:AH$9)+$L$4))),TREND($E18:$F18,$E$9:$F$9,AH$9))</f>
        <v>0</v>
      </c>
      <c r="AI18">
        <f>IF($G18="s-curve",$E18+($F18-$E18)*$L$2/(1+EXP($L$3*(COUNT($L$9:AI$9)+$L$4))),TREND($E18:$F18,$E$9:$F$9,AI$9))</f>
        <v>0</v>
      </c>
      <c r="AJ18">
        <f>IF($G18="s-curve",$E18+($F18-$E18)*$L$2/(1+EXP($L$3*(COUNT($L$9:AJ$9)+$L$4))),TREND($E18:$F18,$E$9:$F$9,AJ$9))</f>
        <v>0</v>
      </c>
      <c r="AK18">
        <f>IF($G18="s-curve",$E18+($F18-$E18)*$L$2/(1+EXP($L$3*(COUNT($L$9:AK$9)+$L$4))),TREND($E18:$F18,$E$9:$F$9,AK$9))</f>
        <v>0</v>
      </c>
      <c r="AL18">
        <f>IF($G18="s-curve",$E18+($F18-$E18)*$L$2/(1+EXP($L$3*(COUNT($L$9:AL$9)+$L$4))),TREND($E18:$F18,$E$9:$F$9,AL$9))</f>
        <v>0</v>
      </c>
    </row>
    <row r="19" spans="1:38" x14ac:dyDescent="0.35">
      <c r="C19" t="s">
        <v>39</v>
      </c>
      <c r="D19">
        <v>1</v>
      </c>
      <c r="E19">
        <v>0.95569574619999997</v>
      </c>
      <c r="F19" s="16">
        <f>E19</f>
        <v>0.95569574619999997</v>
      </c>
      <c r="G19" s="5" t="str">
        <f>IF(E19=F19,"n/a",IF(OR(C19="battery electric vehicle",C19="natural gas vehicle",C19="plugin hybrid vehicle"),"s-curve","linear"))</f>
        <v>n/a</v>
      </c>
      <c r="I19">
        <f t="shared" ref="I19" si="12">J19</f>
        <v>1</v>
      </c>
      <c r="J19">
        <f t="shared" si="2"/>
        <v>1</v>
      </c>
      <c r="K19">
        <f t="shared" si="2"/>
        <v>1</v>
      </c>
      <c r="L19" s="16">
        <f t="shared" si="9"/>
        <v>1</v>
      </c>
      <c r="M19" s="16">
        <f t="shared" si="11"/>
        <v>0.95569574619999997</v>
      </c>
      <c r="N19">
        <f>IF($G19="s-curve",$E19+($F19-$E19)*$L$2/(1+EXP($L$3*(COUNT($L$9:N$9)+$L$4))),TREND($E19:$F19,$E$9:$F$9,N$9))</f>
        <v>0.95569574619999997</v>
      </c>
      <c r="O19">
        <f>IF($G19="s-curve",$E19+($F19-$E19)*$L$2/(1+EXP($L$3*(COUNT($L$9:O$9)+$L$4))),TREND($E19:$F19,$E$9:$F$9,O$9))</f>
        <v>0.95569574619999997</v>
      </c>
      <c r="P19">
        <f>IF($G19="s-curve",$E19+($F19-$E19)*$L$2/(1+EXP($L$3*(COUNT($L$9:P$9)+$L$4))),TREND($E19:$F19,$E$9:$F$9,P$9))</f>
        <v>0.95569574619999997</v>
      </c>
      <c r="Q19">
        <f>IF($G19="s-curve",$E19+($F19-$E19)*$L$2/(1+EXP($L$3*(COUNT($L$9:Q$9)+$L$4))),TREND($E19:$F19,$E$9:$F$9,Q$9))</f>
        <v>0.95569574619999997</v>
      </c>
      <c r="R19">
        <f>IF($G19="s-curve",$E19+($F19-$E19)*$L$2/(1+EXP($L$3*(COUNT($L$9:R$9)+$L$4))),TREND($E19:$F19,$E$9:$F$9,R$9))</f>
        <v>0.95569574619999997</v>
      </c>
      <c r="S19">
        <f>IF($G19="s-curve",$E19+($F19-$E19)*$L$2/(1+EXP($L$3*(COUNT($L$9:S$9)+$L$4))),TREND($E19:$F19,$E$9:$F$9,S$9))</f>
        <v>0.95569574619999997</v>
      </c>
      <c r="T19">
        <f>IF($G19="s-curve",$E19+($F19-$E19)*$L$2/(1+EXP($L$3*(COUNT($L$9:T$9)+$L$4))),TREND($E19:$F19,$E$9:$F$9,T$9))</f>
        <v>0.95569574619999997</v>
      </c>
      <c r="U19">
        <f>IF($G19="s-curve",$E19+($F19-$E19)*$L$2/(1+EXP($L$3*(COUNT($L$9:U$9)+$L$4))),TREND($E19:$F19,$E$9:$F$9,U$9))</f>
        <v>0.95569574619999997</v>
      </c>
      <c r="V19">
        <f>IF($G19="s-curve",$E19+($F19-$E19)*$L$2/(1+EXP($L$3*(COUNT($L$9:V$9)+$L$4))),TREND($E19:$F19,$E$9:$F$9,V$9))</f>
        <v>0.95569574619999997</v>
      </c>
      <c r="W19">
        <f>IF($G19="s-curve",$E19+($F19-$E19)*$L$2/(1+EXP($L$3*(COUNT($L$9:W$9)+$L$4))),TREND($E19:$F19,$E$9:$F$9,W$9))</f>
        <v>0.95569574619999997</v>
      </c>
      <c r="X19">
        <f>IF($G19="s-curve",$E19+($F19-$E19)*$L$2/(1+EXP($L$3*(COUNT($L$9:X$9)+$L$4))),TREND($E19:$F19,$E$9:$F$9,X$9))</f>
        <v>0.95569574619999997</v>
      </c>
      <c r="Y19">
        <f>IF($G19="s-curve",$E19+($F19-$E19)*$L$2/(1+EXP($L$3*(COUNT($L$9:Y$9)+$L$4))),TREND($E19:$F19,$E$9:$F$9,Y$9))</f>
        <v>0.95569574619999997</v>
      </c>
      <c r="Z19">
        <f>IF($G19="s-curve",$E19+($F19-$E19)*$L$2/(1+EXP($L$3*(COUNT($L$9:Z$9)+$L$4))),TREND($E19:$F19,$E$9:$F$9,Z$9))</f>
        <v>0.95569574619999997</v>
      </c>
      <c r="AA19">
        <f>IF($G19="s-curve",$E19+($F19-$E19)*$L$2/(1+EXP($L$3*(COUNT($L$9:AA$9)+$L$4))),TREND($E19:$F19,$E$9:$F$9,AA$9))</f>
        <v>0.95569574619999997</v>
      </c>
      <c r="AB19">
        <f>IF($G19="s-curve",$E19+($F19-$E19)*$L$2/(1+EXP($L$3*(COUNT($L$9:AB$9)+$L$4))),TREND($E19:$F19,$E$9:$F$9,AB$9))</f>
        <v>0.95569574619999997</v>
      </c>
      <c r="AC19">
        <f>IF($G19="s-curve",$E19+($F19-$E19)*$L$2/(1+EXP($L$3*(COUNT($L$9:AC$9)+$L$4))),TREND($E19:$F19,$E$9:$F$9,AC$9))</f>
        <v>0.95569574619999997</v>
      </c>
      <c r="AD19">
        <f>IF($G19="s-curve",$E19+($F19-$E19)*$L$2/(1+EXP($L$3*(COUNT($L$9:AD$9)+$L$4))),TREND($E19:$F19,$E$9:$F$9,AD$9))</f>
        <v>0.95569574619999997</v>
      </c>
      <c r="AE19">
        <f>IF($G19="s-curve",$E19+($F19-$E19)*$L$2/(1+EXP($L$3*(COUNT($L$9:AE$9)+$L$4))),TREND($E19:$F19,$E$9:$F$9,AE$9))</f>
        <v>0.95569574619999997</v>
      </c>
      <c r="AF19">
        <f>IF($G19="s-curve",$E19+($F19-$E19)*$L$2/(1+EXP($L$3*(COUNT($L$9:AF$9)+$L$4))),TREND($E19:$F19,$E$9:$F$9,AF$9))</f>
        <v>0.95569574619999997</v>
      </c>
      <c r="AG19">
        <f>IF($G19="s-curve",$E19+($F19-$E19)*$L$2/(1+EXP($L$3*(COUNT($L$9:AG$9)+$L$4))),TREND($E19:$F19,$E$9:$F$9,AG$9))</f>
        <v>0.95569574619999997</v>
      </c>
      <c r="AH19">
        <f>IF($G19="s-curve",$E19+($F19-$E19)*$L$2/(1+EXP($L$3*(COUNT($L$9:AH$9)+$L$4))),TREND($E19:$F19,$E$9:$F$9,AH$9))</f>
        <v>0.95569574619999997</v>
      </c>
      <c r="AI19">
        <f>IF($G19="s-curve",$E19+($F19-$E19)*$L$2/(1+EXP($L$3*(COUNT($L$9:AI$9)+$L$4))),TREND($E19:$F19,$E$9:$F$9,AI$9))</f>
        <v>0.95569574619999997</v>
      </c>
      <c r="AJ19">
        <f>IF($G19="s-curve",$E19+($F19-$E19)*$L$2/(1+EXP($L$3*(COUNT($L$9:AJ$9)+$L$4))),TREND($E19:$F19,$E$9:$F$9,AJ$9))</f>
        <v>0.95569574619999997</v>
      </c>
      <c r="AK19">
        <f>IF($G19="s-curve",$E19+($F19-$E19)*$L$2/(1+EXP($L$3*(COUNT($L$9:AK$9)+$L$4))),TREND($E19:$F19,$E$9:$F$9,AK$9))</f>
        <v>0.95569574619999997</v>
      </c>
      <c r="AL19">
        <f>IF($G19="s-curve",$E19+($F19-$E19)*$L$2/(1+EXP($L$3*(COUNT($L$9:AL$9)+$L$4))),TREND($E19:$F19,$E$9:$F$9,AL$9))</f>
        <v>0.95569574619999997</v>
      </c>
    </row>
    <row r="20" spans="1:38" x14ac:dyDescent="0.35">
      <c r="C20" t="s">
        <v>40</v>
      </c>
      <c r="D20">
        <v>0.97299803336400004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>
        <f t="shared" ref="I20" si="13">J20</f>
        <v>0.97299803336400004</v>
      </c>
      <c r="J20">
        <f t="shared" si="2"/>
        <v>0.97299803336400004</v>
      </c>
      <c r="K20">
        <f t="shared" si="2"/>
        <v>0.97299803336400004</v>
      </c>
      <c r="L20" s="16">
        <f t="shared" si="9"/>
        <v>0.97299803336400004</v>
      </c>
      <c r="M20" s="16">
        <f t="shared" si="11"/>
        <v>1</v>
      </c>
      <c r="N20">
        <f>IF($G20="s-curve",$E20+($F20-$E20)*$L$2/(1+EXP($L$3*(COUNT($L$9:N$9)+$L$4))),TREND($E20:$F20,$E$9:$F$9,N$9))</f>
        <v>1</v>
      </c>
      <c r="O20">
        <f>IF($G20="s-curve",$E20+($F20-$E20)*$L$2/(1+EXP($L$3*(COUNT($L$9:O$9)+$L$4))),TREND($E20:$F20,$E$9:$F$9,O$9))</f>
        <v>1</v>
      </c>
      <c r="P20">
        <f>IF($G20="s-curve",$E20+($F20-$E20)*$L$2/(1+EXP($L$3*(COUNT($L$9:P$9)+$L$4))),TREND($E20:$F20,$E$9:$F$9,P$9))</f>
        <v>1</v>
      </c>
      <c r="Q20">
        <f>IF($G20="s-curve",$E20+($F20-$E20)*$L$2/(1+EXP($L$3*(COUNT($L$9:Q$9)+$L$4))),TREND($E20:$F20,$E$9:$F$9,Q$9))</f>
        <v>1</v>
      </c>
      <c r="R20">
        <f>IF($G20="s-curve",$E20+($F20-$E20)*$L$2/(1+EXP($L$3*(COUNT($L$9:R$9)+$L$4))),TREND($E20:$F20,$E$9:$F$9,R$9))</f>
        <v>1</v>
      </c>
      <c r="S20">
        <f>IF($G20="s-curve",$E20+($F20-$E20)*$L$2/(1+EXP($L$3*(COUNT($L$9:S$9)+$L$4))),TREND($E20:$F20,$E$9:$F$9,S$9))</f>
        <v>1</v>
      </c>
      <c r="T20">
        <f>IF($G20="s-curve",$E20+($F20-$E20)*$L$2/(1+EXP($L$3*(COUNT($L$9:T$9)+$L$4))),TREND($E20:$F20,$E$9:$F$9,T$9))</f>
        <v>1</v>
      </c>
      <c r="U20">
        <f>IF($G20="s-curve",$E20+($F20-$E20)*$L$2/(1+EXP($L$3*(COUNT($L$9:U$9)+$L$4))),TREND($E20:$F20,$E$9:$F$9,U$9))</f>
        <v>1</v>
      </c>
      <c r="V20">
        <f>IF($G20="s-curve",$E20+($F20-$E20)*$L$2/(1+EXP($L$3*(COUNT($L$9:V$9)+$L$4))),TREND($E20:$F20,$E$9:$F$9,V$9))</f>
        <v>1</v>
      </c>
      <c r="W20">
        <f>IF($G20="s-curve",$E20+($F20-$E20)*$L$2/(1+EXP($L$3*(COUNT($L$9:W$9)+$L$4))),TREND($E20:$F20,$E$9:$F$9,W$9))</f>
        <v>1</v>
      </c>
      <c r="X20">
        <f>IF($G20="s-curve",$E20+($F20-$E20)*$L$2/(1+EXP($L$3*(COUNT($L$9:X$9)+$L$4))),TREND($E20:$F20,$E$9:$F$9,X$9))</f>
        <v>1</v>
      </c>
      <c r="Y20">
        <f>IF($G20="s-curve",$E20+($F20-$E20)*$L$2/(1+EXP($L$3*(COUNT($L$9:Y$9)+$L$4))),TREND($E20:$F20,$E$9:$F$9,Y$9))</f>
        <v>1</v>
      </c>
      <c r="Z20">
        <f>IF($G20="s-curve",$E20+($F20-$E20)*$L$2/(1+EXP($L$3*(COUNT($L$9:Z$9)+$L$4))),TREND($E20:$F20,$E$9:$F$9,Z$9))</f>
        <v>1</v>
      </c>
      <c r="AA20">
        <f>IF($G20="s-curve",$E20+($F20-$E20)*$L$2/(1+EXP($L$3*(COUNT($L$9:AA$9)+$L$4))),TREND($E20:$F20,$E$9:$F$9,AA$9))</f>
        <v>1</v>
      </c>
      <c r="AB20">
        <f>IF($G20="s-curve",$E20+($F20-$E20)*$L$2/(1+EXP($L$3*(COUNT($L$9:AB$9)+$L$4))),TREND($E20:$F20,$E$9:$F$9,AB$9))</f>
        <v>1</v>
      </c>
      <c r="AC20">
        <f>IF($G20="s-curve",$E20+($F20-$E20)*$L$2/(1+EXP($L$3*(COUNT($L$9:AC$9)+$L$4))),TREND($E20:$F20,$E$9:$F$9,AC$9))</f>
        <v>1</v>
      </c>
      <c r="AD20">
        <f>IF($G20="s-curve",$E20+($F20-$E20)*$L$2/(1+EXP($L$3*(COUNT($L$9:AD$9)+$L$4))),TREND($E20:$F20,$E$9:$F$9,AD$9))</f>
        <v>1</v>
      </c>
      <c r="AE20">
        <f>IF($G20="s-curve",$E20+($F20-$E20)*$L$2/(1+EXP($L$3*(COUNT($L$9:AE$9)+$L$4))),TREND($E20:$F20,$E$9:$F$9,AE$9))</f>
        <v>1</v>
      </c>
      <c r="AF20">
        <f>IF($G20="s-curve",$E20+($F20-$E20)*$L$2/(1+EXP($L$3*(COUNT($L$9:AF$9)+$L$4))),TREND($E20:$F20,$E$9:$F$9,AF$9))</f>
        <v>1</v>
      </c>
      <c r="AG20">
        <f>IF($G20="s-curve",$E20+($F20-$E20)*$L$2/(1+EXP($L$3*(COUNT($L$9:AG$9)+$L$4))),TREND($E20:$F20,$E$9:$F$9,AG$9))</f>
        <v>1</v>
      </c>
      <c r="AH20">
        <f>IF($G20="s-curve",$E20+($F20-$E20)*$L$2/(1+EXP($L$3*(COUNT($L$9:AH$9)+$L$4))),TREND($E20:$F20,$E$9:$F$9,AH$9))</f>
        <v>1</v>
      </c>
      <c r="AI20">
        <f>IF($G20="s-curve",$E20+($F20-$E20)*$L$2/(1+EXP($L$3*(COUNT($L$9:AI$9)+$L$4))),TREND($E20:$F20,$E$9:$F$9,AI$9))</f>
        <v>1</v>
      </c>
      <c r="AJ20">
        <f>IF($G20="s-curve",$E20+($F20-$E20)*$L$2/(1+EXP($L$3*(COUNT($L$9:AJ$9)+$L$4))),TREND($E20:$F20,$E$9:$F$9,AJ$9))</f>
        <v>1</v>
      </c>
      <c r="AK20">
        <f>IF($G20="s-curve",$E20+($F20-$E20)*$L$2/(1+EXP($L$3*(COUNT($L$9:AK$9)+$L$4))),TREND($E20:$F20,$E$9:$F$9,AK$9))</f>
        <v>1</v>
      </c>
      <c r="AL20">
        <f>IF($G20="s-curve",$E20+($F20-$E20)*$L$2/(1+EXP($L$3*(COUNT($L$9:AL$9)+$L$4))),TREND($E20:$F20,$E$9:$F$9,AL$9))</f>
        <v>1</v>
      </c>
    </row>
    <row r="21" spans="1:38" x14ac:dyDescent="0.35">
      <c r="C21" t="s">
        <v>41</v>
      </c>
      <c r="D21">
        <v>0</v>
      </c>
      <c r="E21">
        <v>9.0197447039299999E-4</v>
      </c>
      <c r="F21" s="16">
        <f>E21/E17*F17</f>
        <v>1.235708268868196E-3</v>
      </c>
      <c r="G21" s="5" t="s">
        <v>74</v>
      </c>
      <c r="I21">
        <f t="shared" ref="I21" si="14">J21</f>
        <v>0</v>
      </c>
      <c r="J21">
        <f t="shared" si="2"/>
        <v>0</v>
      </c>
      <c r="K21">
        <f t="shared" si="2"/>
        <v>0</v>
      </c>
      <c r="L21" s="16">
        <f t="shared" si="9"/>
        <v>0</v>
      </c>
      <c r="M21" s="16">
        <f t="shared" si="11"/>
        <v>9.0197447039299999E-4</v>
      </c>
      <c r="N21">
        <f>IF($G21="s-curve",$E21+($F21-$E21)*$AA$2/(1+EXP($AA$3*(COUNT($L$9:N$9)+$AA$4))),TREND($E21:$F21,$E$9:$F$9,N$9))</f>
        <v>9.1384577850523699E-4</v>
      </c>
      <c r="O21">
        <f>IF($G21="s-curve",$E21+($F21-$E21)*$AA$2/(1+EXP($AA$3*(COUNT($L$9:O$9)+$AA$4))),TREND($E21:$F21,$E$9:$F$9,O$9))</f>
        <v>9.1780208719455226E-4</v>
      </c>
      <c r="P21">
        <f>IF($G21="s-curve",$E21+($F21-$E21)*$AA$2/(1+EXP($AA$3*(COUNT($L$9:P$9)+$AA$4))),TREND($E21:$F21,$E$9:$F$9,P$9))</f>
        <v>9.229908077126324E-4</v>
      </c>
      <c r="Q21">
        <f>IF($G21="s-curve",$E21+($F21-$E21)*$AA$2/(1+EXP($AA$3*(COUNT($L$9:Q$9)+$AA$4))),TREND($E21:$F21,$E$9:$F$9,Q$9))</f>
        <v>9.2973201032334131E-4</v>
      </c>
      <c r="R21">
        <f>IF($G21="s-curve",$E21+($F21-$E21)*$AA$2/(1+EXP($AA$3*(COUNT($L$9:R$9)+$AA$4))),TREND($E21:$F21,$E$9:$F$9,R$9))</f>
        <v>9.3838376693218116E-4</v>
      </c>
      <c r="S21">
        <f>IF($G21="s-curve",$E21+($F21-$E21)*$AA$2/(1+EXP($AA$3*(COUNT($L$9:S$9)+$AA$4))),TREND($E21:$F21,$E$9:$F$9,S$9))</f>
        <v>9.4931496509999139E-4</v>
      </c>
      <c r="T21">
        <f>IF($G21="s-curve",$E21+($F21-$E21)*$AA$2/(1+EXP($AA$3*(COUNT($L$9:T$9)+$AA$4))),TREND($E21:$F21,$E$9:$F$9,T$9))</f>
        <v>9.6285603339172255E-4</v>
      </c>
      <c r="U21">
        <f>IF($G21="s-curve",$E21+($F21-$E21)*$AA$2/(1+EXP($AA$3*(COUNT($L$9:U$9)+$AA$4))),TREND($E21:$F21,$E$9:$F$9,U$9))</f>
        <v>9.7922557364874116E-4</v>
      </c>
      <c r="V21">
        <f>IF($G21="s-curve",$E21+($F21-$E21)*$AA$2/(1+EXP($AA$3*(COUNT($L$9:V$9)+$AA$4))),TREND($E21:$F21,$E$9:$F$9,V$9))</f>
        <v>9.9844039083310217E-4</v>
      </c>
      <c r="W21">
        <f>IF($G21="s-curve",$E21+($F21-$E21)*$AA$2/(1+EXP($AA$3*(COUNT($L$9:W$9)+$AA$4))),TREND($E21:$F21,$E$9:$F$9,W$9))</f>
        <v>1.020230937281997E-3</v>
      </c>
      <c r="X21">
        <f>IF($G21="s-curve",$E21+($F21-$E21)*$AA$2/(1+EXP($AA$3*(COUNT($L$9:X$9)+$AA$4))),TREND($E21:$F21,$E$9:$F$9,X$9))</f>
        <v>1.0439973857269895E-3</v>
      </c>
      <c r="Y21">
        <f>IF($G21="s-curve",$E21+($F21-$E21)*$AA$2/(1+EXP($AA$3*(COUNT($L$9:Y$9)+$AA$4))),TREND($E21:$F21,$E$9:$F$9,Y$9))</f>
        <v>1.0688413696305979E-3</v>
      </c>
      <c r="Z21">
        <f>IF($G21="s-curve",$E21+($F21-$E21)*$AA$2/(1+EXP($AA$3*(COUNT($L$9:Z$9)+$AA$4))),TREND($E21:$F21,$E$9:$F$9,Z$9))</f>
        <v>1.0936853535342065E-3</v>
      </c>
      <c r="AA21">
        <f>IF($G21="s-curve",$E21+($F21-$E21)*$AA$2/(1+EXP($AA$3*(COUNT($L$9:AA$9)+$AA$4))),TREND($E21:$F21,$E$9:$F$9,AA$9))</f>
        <v>1.117451801979199E-3</v>
      </c>
      <c r="AB21">
        <f>IF($G21="s-curve",$E21+($F21-$E21)*$AA$2/(1+EXP($AA$3*(COUNT($L$9:AB$9)+$AA$4))),TREND($E21:$F21,$E$9:$F$9,AB$9))</f>
        <v>1.1392423484280938E-3</v>
      </c>
      <c r="AC21">
        <f>IF($G21="s-curve",$E21+($F21-$E21)*$AA$2/(1+EXP($AA$3*(COUNT($L$9:AC$9)+$AA$4))),TREND($E21:$F21,$E$9:$F$9,AC$9))</f>
        <v>1.1584571656124548E-3</v>
      </c>
      <c r="AD21">
        <f>IF($G21="s-curve",$E21+($F21-$E21)*$AA$2/(1+EXP($AA$3*(COUNT($L$9:AD$9)+$AA$4))),TREND($E21:$F21,$E$9:$F$9,AD$9))</f>
        <v>1.1748267058694735E-3</v>
      </c>
      <c r="AE21">
        <f>IF($G21="s-curve",$E21+($F21-$E21)*$AA$2/(1+EXP($AA$3*(COUNT($L$9:AE$9)+$AA$4))),TREND($E21:$F21,$E$9:$F$9,AE$9))</f>
        <v>1.1883677741612046E-3</v>
      </c>
      <c r="AF21">
        <f>IF($G21="s-curve",$E21+($F21-$E21)*$AA$2/(1+EXP($AA$3*(COUNT($L$9:AF$9)+$AA$4))),TREND($E21:$F21,$E$9:$F$9,AF$9))</f>
        <v>1.1992989723290147E-3</v>
      </c>
      <c r="AG21">
        <f>IF($G21="s-curve",$E21+($F21-$E21)*$AA$2/(1+EXP($AA$3*(COUNT($L$9:AG$9)+$AA$4))),TREND($E21:$F21,$E$9:$F$9,AG$9))</f>
        <v>1.2079507289378547E-3</v>
      </c>
      <c r="AH21">
        <f>IF($G21="s-curve",$E21+($F21-$E21)*$AA$2/(1+EXP($AA$3*(COUNT($L$9:AH$9)+$AA$4))),TREND($E21:$F21,$E$9:$F$9,AH$9))</f>
        <v>1.2146919315485635E-3</v>
      </c>
      <c r="AI21">
        <f>IF($G21="s-curve",$E21+($F21-$E21)*$AA$2/(1+EXP($AA$3*(COUNT($L$9:AI$9)+$AA$4))),TREND($E21:$F21,$E$9:$F$9,AI$9))</f>
        <v>1.2198806520666437E-3</v>
      </c>
      <c r="AJ21">
        <f>IF($G21="s-curve",$E21+($F21-$E21)*$AA$2/(1+EXP($AA$3*(COUNT($L$9:AJ$9)+$AA$4))),TREND($E21:$F21,$E$9:$F$9,AJ$9))</f>
        <v>1.223836960755959E-3</v>
      </c>
      <c r="AK21">
        <f>IF($G21="s-curve",$E21+($F21-$E21)*$AA$2/(1+EXP($AA$3*(COUNT($L$9:AK$9)+$AA$4))),TREND($E21:$F21,$E$9:$F$9,AK$9))</f>
        <v>1.2268319531737681E-3</v>
      </c>
      <c r="AL21">
        <f>IF($G21="s-curve",$E21+($F21-$E21)*$AA$2/(1+EXP($AA$3*(COUNT($L$9:AL$9)+$AA$4))),TREND($E21:$F21,$E$9:$F$9,AL$9))</f>
        <v>1.2290868882726532E-3</v>
      </c>
    </row>
    <row r="22" spans="1:38" x14ac:dyDescent="0.35">
      <c r="C22" t="s">
        <v>42</v>
      </c>
      <c r="D22">
        <v>0</v>
      </c>
      <c r="E22">
        <v>0</v>
      </c>
      <c r="F22" s="16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>
        <f t="shared" ref="I22" si="15">J22</f>
        <v>0</v>
      </c>
      <c r="J22">
        <f t="shared" si="2"/>
        <v>0</v>
      </c>
      <c r="K22">
        <f t="shared" si="2"/>
        <v>0</v>
      </c>
      <c r="L22" s="16">
        <f t="shared" si="9"/>
        <v>0</v>
      </c>
      <c r="M22" s="16">
        <f t="shared" si="11"/>
        <v>0</v>
      </c>
      <c r="N22">
        <f>IF($G22="s-curve",$E22+($F22-$E22)*$L$2/(1+EXP($L$3*(COUNT($L$9:N$9)+$L$4))),TREND($E22:$F22,$E$9:$F$9,N$9))</f>
        <v>0</v>
      </c>
      <c r="O22">
        <f>IF($G22="s-curve",$E22+($F22-$E22)*$L$2/(1+EXP($L$3*(COUNT($L$9:O$9)+$L$4))),TREND($E22:$F22,$E$9:$F$9,O$9))</f>
        <v>0</v>
      </c>
      <c r="P22">
        <f>IF($G22="s-curve",$E22+($F22-$E22)*$L$2/(1+EXP($L$3*(COUNT($L$9:P$9)+$L$4))),TREND($E22:$F22,$E$9:$F$9,P$9))</f>
        <v>0</v>
      </c>
      <c r="Q22">
        <f>IF($G22="s-curve",$E22+($F22-$E22)*$L$2/(1+EXP($L$3*(COUNT($L$9:Q$9)+$L$4))),TREND($E22:$F22,$E$9:$F$9,Q$9))</f>
        <v>0</v>
      </c>
      <c r="R22">
        <f>IF($G22="s-curve",$E22+($F22-$E22)*$L$2/(1+EXP($L$3*(COUNT($L$9:R$9)+$L$4))),TREND($E22:$F22,$E$9:$F$9,R$9))</f>
        <v>0</v>
      </c>
      <c r="S22">
        <f>IF($G22="s-curve",$E22+($F22-$E22)*$L$2/(1+EXP($L$3*(COUNT($L$9:S$9)+$L$4))),TREND($E22:$F22,$E$9:$F$9,S$9))</f>
        <v>0</v>
      </c>
      <c r="T22">
        <f>IF($G22="s-curve",$E22+($F22-$E22)*$L$2/(1+EXP($L$3*(COUNT($L$9:T$9)+$L$4))),TREND($E22:$F22,$E$9:$F$9,T$9))</f>
        <v>0</v>
      </c>
      <c r="U22">
        <f>IF($G22="s-curve",$E22+($F22-$E22)*$L$2/(1+EXP($L$3*(COUNT($L$9:U$9)+$L$4))),TREND($E22:$F22,$E$9:$F$9,U$9))</f>
        <v>0</v>
      </c>
      <c r="V22">
        <f>IF($G22="s-curve",$E22+($F22-$E22)*$L$2/(1+EXP($L$3*(COUNT($L$9:V$9)+$L$4))),TREND($E22:$F22,$E$9:$F$9,V$9))</f>
        <v>0</v>
      </c>
      <c r="W22">
        <f>IF($G22="s-curve",$E22+($F22-$E22)*$L$2/(1+EXP($L$3*(COUNT($L$9:W$9)+$L$4))),TREND($E22:$F22,$E$9:$F$9,W$9))</f>
        <v>0</v>
      </c>
      <c r="X22">
        <f>IF($G22="s-curve",$E22+($F22-$E22)*$L$2/(1+EXP($L$3*(COUNT($L$9:X$9)+$L$4))),TREND($E22:$F22,$E$9:$F$9,X$9))</f>
        <v>0</v>
      </c>
      <c r="Y22">
        <f>IF($G22="s-curve",$E22+($F22-$E22)*$L$2/(1+EXP($L$3*(COUNT($L$9:Y$9)+$L$4))),TREND($E22:$F22,$E$9:$F$9,Y$9))</f>
        <v>0</v>
      </c>
      <c r="Z22">
        <f>IF($G22="s-curve",$E22+($F22-$E22)*$L$2/(1+EXP($L$3*(COUNT($L$9:Z$9)+$L$4))),TREND($E22:$F22,$E$9:$F$9,Z$9))</f>
        <v>0</v>
      </c>
      <c r="AA22">
        <f>IF($G22="s-curve",$E22+($F22-$E22)*$L$2/(1+EXP($L$3*(COUNT($L$9:AA$9)+$L$4))),TREND($E22:$F22,$E$9:$F$9,AA$9))</f>
        <v>0</v>
      </c>
      <c r="AB22">
        <f>IF($G22="s-curve",$E22+($F22-$E22)*$L$2/(1+EXP($L$3*(COUNT($L$9:AB$9)+$L$4))),TREND($E22:$F22,$E$9:$F$9,AB$9))</f>
        <v>0</v>
      </c>
      <c r="AC22">
        <f>IF($G22="s-curve",$E22+($F22-$E22)*$L$2/(1+EXP($L$3*(COUNT($L$9:AC$9)+$L$4))),TREND($E22:$F22,$E$9:$F$9,AC$9))</f>
        <v>0</v>
      </c>
      <c r="AD22">
        <f>IF($G22="s-curve",$E22+($F22-$E22)*$L$2/(1+EXP($L$3*(COUNT($L$9:AD$9)+$L$4))),TREND($E22:$F22,$E$9:$F$9,AD$9))</f>
        <v>0</v>
      </c>
      <c r="AE22">
        <f>IF($G22="s-curve",$E22+($F22-$E22)*$L$2/(1+EXP($L$3*(COUNT($L$9:AE$9)+$L$4))),TREND($E22:$F22,$E$9:$F$9,AE$9))</f>
        <v>0</v>
      </c>
      <c r="AF22">
        <f>IF($G22="s-curve",$E22+($F22-$E22)*$L$2/(1+EXP($L$3*(COUNT($L$9:AF$9)+$L$4))),TREND($E22:$F22,$E$9:$F$9,AF$9))</f>
        <v>0</v>
      </c>
      <c r="AG22">
        <f>IF($G22="s-curve",$E22+($F22-$E22)*$L$2/(1+EXP($L$3*(COUNT($L$9:AG$9)+$L$4))),TREND($E22:$F22,$E$9:$F$9,AG$9))</f>
        <v>0</v>
      </c>
      <c r="AH22">
        <f>IF($G22="s-curve",$E22+($F22-$E22)*$L$2/(1+EXP($L$3*(COUNT($L$9:AH$9)+$L$4))),TREND($E22:$F22,$E$9:$F$9,AH$9))</f>
        <v>0</v>
      </c>
      <c r="AI22">
        <f>IF($G22="s-curve",$E22+($F22-$E22)*$L$2/(1+EXP($L$3*(COUNT($L$9:AI$9)+$L$4))),TREND($E22:$F22,$E$9:$F$9,AI$9))</f>
        <v>0</v>
      </c>
      <c r="AJ22">
        <f>IF($G22="s-curve",$E22+($F22-$E22)*$L$2/(1+EXP($L$3*(COUNT($L$9:AJ$9)+$L$4))),TREND($E22:$F22,$E$9:$F$9,AJ$9))</f>
        <v>0</v>
      </c>
      <c r="AK22">
        <f>IF($G22="s-curve",$E22+($F22-$E22)*$L$2/(1+EXP($L$3*(COUNT($L$9:AK$9)+$L$4))),TREND($E22:$F22,$E$9:$F$9,AK$9))</f>
        <v>0</v>
      </c>
      <c r="AL22">
        <f>IF($G22="s-curve",$E22+($F22-$E22)*$L$2/(1+EXP($L$3*(COUNT($L$9:AL$9)+$L$4))),TREND($E22:$F22,$E$9:$F$9,AL$9))</f>
        <v>0</v>
      </c>
    </row>
    <row r="23" spans="1:38" ht="15.75" customHeight="1" thickBot="1" x14ac:dyDescent="0.4">
      <c r="A23" s="17"/>
      <c r="B23" s="17"/>
      <c r="C23" s="17" t="s">
        <v>43</v>
      </c>
      <c r="D23" s="20">
        <v>0</v>
      </c>
      <c r="E23" s="6">
        <v>0.87530894177700003</v>
      </c>
      <c r="F23" s="20">
        <f>E23</f>
        <v>0.87530894177700003</v>
      </c>
      <c r="G23" s="6" t="str">
        <f>IF(E23=F23,"n/a",IF(OR(C23="battery electric vehicle",C23="natural gas vehicle",C23="plugin hybrid vehicle",C23="hydrogen vehicle"),"s-curve","linear"))</f>
        <v>n/a</v>
      </c>
      <c r="I23">
        <f t="shared" ref="I23" si="16">J23</f>
        <v>0</v>
      </c>
      <c r="J23">
        <f t="shared" si="2"/>
        <v>0</v>
      </c>
      <c r="K23">
        <f t="shared" si="2"/>
        <v>0</v>
      </c>
      <c r="L23" s="16">
        <f t="shared" si="9"/>
        <v>0</v>
      </c>
      <c r="M23" s="16">
        <f t="shared" si="11"/>
        <v>0.87530894177700003</v>
      </c>
      <c r="N23">
        <f>IF($G23="s-curve",$E23+($F23-$E23)*$L$2/(1+EXP($L$3*(COUNT($L$9:N$9)+$L$4))),TREND($E23:$F23,$E$9:$F$9,N$9))</f>
        <v>0.87530894177700003</v>
      </c>
      <c r="O23">
        <f>IF($G23="s-curve",$E23+($F23-$E23)*$L$2/(1+EXP($L$3*(COUNT($L$9:O$9)+$L$4))),TREND($E23:$F23,$E$9:$F$9,O$9))</f>
        <v>0.87530894177700003</v>
      </c>
      <c r="P23">
        <f>IF($G23="s-curve",$E23+($F23-$E23)*$L$2/(1+EXP($L$3*(COUNT($L$9:P$9)+$L$4))),TREND($E23:$F23,$E$9:$F$9,P$9))</f>
        <v>0.87530894177700003</v>
      </c>
      <c r="Q23">
        <f>IF($G23="s-curve",$E23+($F23-$E23)*$L$2/(1+EXP($L$3*(COUNT($L$9:Q$9)+$L$4))),TREND($E23:$F23,$E$9:$F$9,Q$9))</f>
        <v>0.87530894177700003</v>
      </c>
      <c r="R23">
        <f>IF($G23="s-curve",$E23+($F23-$E23)*$L$2/(1+EXP($L$3*(COUNT($L$9:R$9)+$L$4))),TREND($E23:$F23,$E$9:$F$9,R$9))</f>
        <v>0.87530894177700003</v>
      </c>
      <c r="S23">
        <f>IF($G23="s-curve",$E23+($F23-$E23)*$L$2/(1+EXP($L$3*(COUNT($L$9:S$9)+$L$4))),TREND($E23:$F23,$E$9:$F$9,S$9))</f>
        <v>0.87530894177700003</v>
      </c>
      <c r="T23">
        <f>IF($G23="s-curve",$E23+($F23-$E23)*$L$2/(1+EXP($L$3*(COUNT($L$9:T$9)+$L$4))),TREND($E23:$F23,$E$9:$F$9,T$9))</f>
        <v>0.87530894177700003</v>
      </c>
      <c r="U23">
        <f>IF($G23="s-curve",$E23+($F23-$E23)*$L$2/(1+EXP($L$3*(COUNT($L$9:U$9)+$L$4))),TREND($E23:$F23,$E$9:$F$9,U$9))</f>
        <v>0.87530894177700003</v>
      </c>
      <c r="V23">
        <f>IF($G23="s-curve",$E23+($F23-$E23)*$L$2/(1+EXP($L$3*(COUNT($L$9:V$9)+$L$4))),TREND($E23:$F23,$E$9:$F$9,V$9))</f>
        <v>0.87530894177700003</v>
      </c>
      <c r="W23">
        <f>IF($G23="s-curve",$E23+($F23-$E23)*$L$2/(1+EXP($L$3*(COUNT($L$9:W$9)+$L$4))),TREND($E23:$F23,$E$9:$F$9,W$9))</f>
        <v>0.87530894177700003</v>
      </c>
      <c r="X23">
        <f>IF($G23="s-curve",$E23+($F23-$E23)*$L$2/(1+EXP($L$3*(COUNT($L$9:X$9)+$L$4))),TREND($E23:$F23,$E$9:$F$9,X$9))</f>
        <v>0.87530894177700003</v>
      </c>
      <c r="Y23">
        <f>IF($G23="s-curve",$E23+($F23-$E23)*$L$2/(1+EXP($L$3*(COUNT($L$9:Y$9)+$L$4))),TREND($E23:$F23,$E$9:$F$9,Y$9))</f>
        <v>0.87530894177700003</v>
      </c>
      <c r="Z23">
        <f>IF($G23="s-curve",$E23+($F23-$E23)*$L$2/(1+EXP($L$3*(COUNT($L$9:Z$9)+$L$4))),TREND($E23:$F23,$E$9:$F$9,Z$9))</f>
        <v>0.87530894177700003</v>
      </c>
      <c r="AA23">
        <f>IF($G23="s-curve",$E23+($F23-$E23)*$L$2/(1+EXP($L$3*(COUNT($L$9:AA$9)+$L$4))),TREND($E23:$F23,$E$9:$F$9,AA$9))</f>
        <v>0.87530894177700003</v>
      </c>
      <c r="AB23">
        <f>IF($G23="s-curve",$E23+($F23-$E23)*$L$2/(1+EXP($L$3*(COUNT($L$9:AB$9)+$L$4))),TREND($E23:$F23,$E$9:$F$9,AB$9))</f>
        <v>0.87530894177700003</v>
      </c>
      <c r="AC23">
        <f>IF($G23="s-curve",$E23+($F23-$E23)*$L$2/(1+EXP($L$3*(COUNT($L$9:AC$9)+$L$4))),TREND($E23:$F23,$E$9:$F$9,AC$9))</f>
        <v>0.87530894177700003</v>
      </c>
      <c r="AD23">
        <f>IF($G23="s-curve",$E23+($F23-$E23)*$L$2/(1+EXP($L$3*(COUNT($L$9:AD$9)+$L$4))),TREND($E23:$F23,$E$9:$F$9,AD$9))</f>
        <v>0.87530894177700003</v>
      </c>
      <c r="AE23">
        <f>IF($G23="s-curve",$E23+($F23-$E23)*$L$2/(1+EXP($L$3*(COUNT($L$9:AE$9)+$L$4))),TREND($E23:$F23,$E$9:$F$9,AE$9))</f>
        <v>0.87530894177700003</v>
      </c>
      <c r="AF23">
        <f>IF($G23="s-curve",$E23+($F23-$E23)*$L$2/(1+EXP($L$3*(COUNT($L$9:AF$9)+$L$4))),TREND($E23:$F23,$E$9:$F$9,AF$9))</f>
        <v>0.87530894177700003</v>
      </c>
      <c r="AG23">
        <f>IF($G23="s-curve",$E23+($F23-$E23)*$L$2/(1+EXP($L$3*(COUNT($L$9:AG$9)+$L$4))),TREND($E23:$F23,$E$9:$F$9,AG$9))</f>
        <v>0.87530894177700003</v>
      </c>
      <c r="AH23">
        <f>IF($G23="s-curve",$E23+($F23-$E23)*$L$2/(1+EXP($L$3*(COUNT($L$9:AH$9)+$L$4))),TREND($E23:$F23,$E$9:$F$9,AH$9))</f>
        <v>0.87530894177700003</v>
      </c>
      <c r="AI23">
        <f>IF($G23="s-curve",$E23+($F23-$E23)*$L$2/(1+EXP($L$3*(COUNT($L$9:AI$9)+$L$4))),TREND($E23:$F23,$E$9:$F$9,AI$9))</f>
        <v>0.87530894177700003</v>
      </c>
      <c r="AJ23">
        <f>IF($G23="s-curve",$E23+($F23-$E23)*$L$2/(1+EXP($L$3*(COUNT($L$9:AJ$9)+$L$4))),TREND($E23:$F23,$E$9:$F$9,AJ$9))</f>
        <v>0.87530894177700003</v>
      </c>
      <c r="AK23">
        <f>IF($G23="s-curve",$E23+($F23-$E23)*$L$2/(1+EXP($L$3*(COUNT($L$9:AK$9)+$L$4))),TREND($E23:$F23,$E$9:$F$9,AK$9))</f>
        <v>0.87530894177700003</v>
      </c>
      <c r="AL23">
        <f>IF($G23="s-curve",$E23+($F23-$E23)*$L$2/(1+EXP($L$3*(COUNT($L$9:AL$9)+$L$4))),TREND($E23:$F23,$E$9:$F$9,AL$9))</f>
        <v>0.87530894177700003</v>
      </c>
    </row>
    <row r="24" spans="1:38" x14ac:dyDescent="0.35">
      <c r="A24" t="s">
        <v>45</v>
      </c>
      <c r="B24" t="s">
        <v>71</v>
      </c>
      <c r="C24" t="s">
        <v>37</v>
      </c>
      <c r="D24">
        <v>3.1162890650799999E-2</v>
      </c>
      <c r="E24">
        <v>3.0635270769200001E-2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>
        <f t="shared" ref="I24" si="17">J24</f>
        <v>3.1162890650799999E-2</v>
      </c>
      <c r="J24">
        <f t="shared" si="2"/>
        <v>3.1162890650799999E-2</v>
      </c>
      <c r="K24">
        <f t="shared" si="2"/>
        <v>3.1162890650799999E-2</v>
      </c>
      <c r="L24" s="16">
        <f t="shared" si="9"/>
        <v>3.1162890650799999E-2</v>
      </c>
      <c r="M24" s="16">
        <f t="shared" si="11"/>
        <v>3.0635270769200001E-2</v>
      </c>
      <c r="N24">
        <f>IF($G24="s-curve",$E24+($F24-$E24)*$AA$2/(1+EXP($AA$3*(COUNT($L$9:N$9)+$AA$4))),TREND($E24:$F24,$E$9:$F$9,N$9))</f>
        <v>5.6223929708727458E-2</v>
      </c>
      <c r="O24">
        <f>IF($G24="s-curve",$E24+($F24-$E24)*$AA$2/(1+EXP($AA$3*(COUNT($L$9:O$9)+$AA$4))),TREND($E24:$F24,$E$9:$F$9,O$9))</f>
        <v>6.4751771186114582E-2</v>
      </c>
      <c r="P24">
        <f>IF($G24="s-curve",$E24+($F24-$E24)*$AA$2/(1+EXP($AA$3*(COUNT($L$9:P$9)+$AA$4))),TREND($E24:$F24,$E$9:$F$9,P$9))</f>
        <v>7.593608199789606E-2</v>
      </c>
      <c r="Q24">
        <f>IF($G24="s-curve",$E24+($F24-$E24)*$AA$2/(1+EXP($AA$3*(COUNT($L$9:Q$9)+$AA$4))),TREND($E24:$F24,$E$9:$F$9,Q$9))</f>
        <v>9.0466775061945975E-2</v>
      </c>
      <c r="R24">
        <f>IF($G24="s-curve",$E24+($F24-$E24)*$AA$2/(1+EXP($AA$3*(COUNT($L$9:R$9)+$AA$4))),TREND($E24:$F24,$E$9:$F$9,R$9))</f>
        <v>0.10911567600852309</v>
      </c>
      <c r="S24">
        <f>IF($G24="s-curve",$E24+($F24-$E24)*$AA$2/(1+EXP($AA$3*(COUNT($L$9:S$9)+$AA$4))),TREND($E24:$F24,$E$9:$F$9,S$9))</f>
        <v>0.13267792366244005</v>
      </c>
      <c r="T24">
        <f>IF($G24="s-curve",$E24+($F24-$E24)*$AA$2/(1+EXP($AA$3*(COUNT($L$9:T$9)+$AA$4))),TREND($E24:$F24,$E$9:$F$9,T$9))</f>
        <v>0.16186575830694638</v>
      </c>
      <c r="U24">
        <f>IF($G24="s-curve",$E24+($F24-$E24)*$AA$2/(1+EXP($AA$3*(COUNT($L$9:U$9)+$AA$4))),TREND($E24:$F24,$E$9:$F$9,U$9))</f>
        <v>0.19715037721106998</v>
      </c>
      <c r="V24">
        <f>IF($G24="s-curve",$E24+($F24-$E24)*$AA$2/(1+EXP($AA$3*(COUNT($L$9:V$9)+$AA$4))),TREND($E24:$F24,$E$9:$F$9,V$9))</f>
        <v>0.2385680035473921</v>
      </c>
      <c r="W24">
        <f>IF($G24="s-curve",$E24+($F24-$E24)*$AA$2/(1+EXP($AA$3*(COUNT($L$9:W$9)+$AA$4))),TREND($E24:$F24,$E$9:$F$9,W$9))</f>
        <v>0.2855376260957222</v>
      </c>
      <c r="X24">
        <f>IF($G24="s-curve",$E24+($F24-$E24)*$AA$2/(1+EXP($AA$3*(COUNT($L$9:X$9)+$AA$4))),TREND($E24:$F24,$E$9:$F$9,X$9))</f>
        <v>0.33676631443512162</v>
      </c>
      <c r="Y24">
        <f>IF($G24="s-curve",$E24+($F24-$E24)*$AA$2/(1+EXP($AA$3*(COUNT($L$9:Y$9)+$AA$4))),TREND($E24:$F24,$E$9:$F$9,Y$9))</f>
        <v>0.39031763538459996</v>
      </c>
      <c r="Z24">
        <f>IF($G24="s-curve",$E24+($F24-$E24)*$AA$2/(1+EXP($AA$3*(COUNT($L$9:Z$9)+$AA$4))),TREND($E24:$F24,$E$9:$F$9,Z$9))</f>
        <v>0.4438689563340783</v>
      </c>
      <c r="AA24">
        <f>IF($G24="s-curve",$E24+($F24-$E24)*$AA$2/(1+EXP($AA$3*(COUNT($L$9:AA$9)+$AA$4))),TREND($E24:$F24,$E$9:$F$9,AA$9))</f>
        <v>0.49509764467347783</v>
      </c>
      <c r="AB24">
        <f>IF($G24="s-curve",$E24+($F24-$E24)*$AA$2/(1+EXP($AA$3*(COUNT($L$9:AB$9)+$AA$4))),TREND($E24:$F24,$E$9:$F$9,AB$9))</f>
        <v>0.54206726722180787</v>
      </c>
      <c r="AC24">
        <f>IF($G24="s-curve",$E24+($F24-$E24)*$AA$2/(1+EXP($AA$3*(COUNT($L$9:AC$9)+$AA$4))),TREND($E24:$F24,$E$9:$F$9,AC$9))</f>
        <v>0.58348489355812994</v>
      </c>
      <c r="AD24">
        <f>IF($G24="s-curve",$E24+($F24-$E24)*$AA$2/(1+EXP($AA$3*(COUNT($L$9:AD$9)+$AA$4))),TREND($E24:$F24,$E$9:$F$9,AD$9))</f>
        <v>0.61876951246225353</v>
      </c>
      <c r="AE24">
        <f>IF($G24="s-curve",$E24+($F24-$E24)*$AA$2/(1+EXP($AA$3*(COUNT($L$9:AE$9)+$AA$4))),TREND($E24:$F24,$E$9:$F$9,AE$9))</f>
        <v>0.64795734710676001</v>
      </c>
      <c r="AF24">
        <f>IF($G24="s-curve",$E24+($F24-$E24)*$AA$2/(1+EXP($AA$3*(COUNT($L$9:AF$9)+$AA$4))),TREND($E24:$F24,$E$9:$F$9,AF$9))</f>
        <v>0.67151959476067691</v>
      </c>
      <c r="AG24">
        <f>IF($G24="s-curve",$E24+($F24-$E24)*$AA$2/(1+EXP($AA$3*(COUNT($L$9:AG$9)+$AA$4))),TREND($E24:$F24,$E$9:$F$9,AG$9))</f>
        <v>0.69016849570725403</v>
      </c>
      <c r="AH24">
        <f>IF($G24="s-curve",$E24+($F24-$E24)*$AA$2/(1+EXP($AA$3*(COUNT($L$9:AH$9)+$AA$4))),TREND($E24:$F24,$E$9:$F$9,AH$9))</f>
        <v>0.704699188771304</v>
      </c>
      <c r="AI24">
        <f>IF($G24="s-curve",$E24+($F24-$E24)*$AA$2/(1+EXP($AA$3*(COUNT($L$9:AI$9)+$AA$4))),TREND($E24:$F24,$E$9:$F$9,AI$9))</f>
        <v>0.7158834995830855</v>
      </c>
      <c r="AJ24">
        <f>IF($G24="s-curve",$E24+($F24-$E24)*$AA$2/(1+EXP($AA$3*(COUNT($L$9:AJ$9)+$AA$4))),TREND($E24:$F24,$E$9:$F$9,AJ$9))</f>
        <v>0.72441134106047256</v>
      </c>
      <c r="AK24">
        <f>IF($G24="s-curve",$E24+($F24-$E24)*$AA$2/(1+EXP($AA$3*(COUNT($L$9:AK$9)+$AA$4))),TREND($E24:$F24,$E$9:$F$9,AK$9))</f>
        <v>0.73086706091722453</v>
      </c>
      <c r="AL24">
        <f>IF($G24="s-curve",$E24+($F24-$E24)*$AA$2/(1+EXP($AA$3*(COUNT($L$9:AL$9)+$AA$4))),TREND($E24:$F24,$E$9:$F$9,AL$9))</f>
        <v>0.73572758383774906</v>
      </c>
    </row>
    <row r="25" spans="1:38" x14ac:dyDescent="0.35">
      <c r="C25" t="s">
        <v>38</v>
      </c>
      <c r="D25">
        <v>0</v>
      </c>
      <c r="E25">
        <v>0</v>
      </c>
      <c r="F25" s="16">
        <f>E25</f>
        <v>0</v>
      </c>
      <c r="G25" s="5" t="str">
        <f>IF(E25=F25,"n/a",IF(OR(C25="battery electric vehicle",C25="natural gas vehicle",C25="plugin hybrid vehicle"),"s-curve","linear"))</f>
        <v>n/a</v>
      </c>
      <c r="I25">
        <f t="shared" ref="I25" si="18">J25</f>
        <v>0</v>
      </c>
      <c r="J25">
        <f t="shared" si="2"/>
        <v>0</v>
      </c>
      <c r="K25">
        <f t="shared" si="2"/>
        <v>0</v>
      </c>
      <c r="L25" s="16">
        <f t="shared" si="9"/>
        <v>0</v>
      </c>
      <c r="M25" s="16">
        <f t="shared" si="11"/>
        <v>0</v>
      </c>
      <c r="N25">
        <f>IF($G25="s-curve",$E25+($F25-$E25)*$L$2/(1+EXP($L$3*(COUNT($L$9:N$9)+$L$4))),TREND($E25:$F25,$E$9:$F$9,N$9))</f>
        <v>0</v>
      </c>
      <c r="O25">
        <f>IF($G25="s-curve",$E25+($F25-$E25)*$L$2/(1+EXP($L$3*(COUNT($L$9:O$9)+$L$4))),TREND($E25:$F25,$E$9:$F$9,O$9))</f>
        <v>0</v>
      </c>
      <c r="P25">
        <f>IF($G25="s-curve",$E25+($F25-$E25)*$L$2/(1+EXP($L$3*(COUNT($L$9:P$9)+$L$4))),TREND($E25:$F25,$E$9:$F$9,P$9))</f>
        <v>0</v>
      </c>
      <c r="Q25">
        <f>IF($G25="s-curve",$E25+($F25-$E25)*$L$2/(1+EXP($L$3*(COUNT($L$9:Q$9)+$L$4))),TREND($E25:$F25,$E$9:$F$9,Q$9))</f>
        <v>0</v>
      </c>
      <c r="R25">
        <f>IF($G25="s-curve",$E25+($F25-$E25)*$L$2/(1+EXP($L$3*(COUNT($L$9:R$9)+$L$4))),TREND($E25:$F25,$E$9:$F$9,R$9))</f>
        <v>0</v>
      </c>
      <c r="S25">
        <f>IF($G25="s-curve",$E25+($F25-$E25)*$L$2/(1+EXP($L$3*(COUNT($L$9:S$9)+$L$4))),TREND($E25:$F25,$E$9:$F$9,S$9))</f>
        <v>0</v>
      </c>
      <c r="T25">
        <f>IF($G25="s-curve",$E25+($F25-$E25)*$L$2/(1+EXP($L$3*(COUNT($L$9:T$9)+$L$4))),TREND($E25:$F25,$E$9:$F$9,T$9))</f>
        <v>0</v>
      </c>
      <c r="U25">
        <f>IF($G25="s-curve",$E25+($F25-$E25)*$L$2/(1+EXP($L$3*(COUNT($L$9:U$9)+$L$4))),TREND($E25:$F25,$E$9:$F$9,U$9))</f>
        <v>0</v>
      </c>
      <c r="V25">
        <f>IF($G25="s-curve",$E25+($F25-$E25)*$L$2/(1+EXP($L$3*(COUNT($L$9:V$9)+$L$4))),TREND($E25:$F25,$E$9:$F$9,V$9))</f>
        <v>0</v>
      </c>
      <c r="W25">
        <f>IF($G25="s-curve",$E25+($F25-$E25)*$L$2/(1+EXP($L$3*(COUNT($L$9:W$9)+$L$4))),TREND($E25:$F25,$E$9:$F$9,W$9))</f>
        <v>0</v>
      </c>
      <c r="X25">
        <f>IF($G25="s-curve",$E25+($F25-$E25)*$L$2/(1+EXP($L$3*(COUNT($L$9:X$9)+$L$4))),TREND($E25:$F25,$E$9:$F$9,X$9))</f>
        <v>0</v>
      </c>
      <c r="Y25">
        <f>IF($G25="s-curve",$E25+($F25-$E25)*$L$2/(1+EXP($L$3*(COUNT($L$9:Y$9)+$L$4))),TREND($E25:$F25,$E$9:$F$9,Y$9))</f>
        <v>0</v>
      </c>
      <c r="Z25">
        <f>IF($G25="s-curve",$E25+($F25-$E25)*$L$2/(1+EXP($L$3*(COUNT($L$9:Z$9)+$L$4))),TREND($E25:$F25,$E$9:$F$9,Z$9))</f>
        <v>0</v>
      </c>
      <c r="AA25">
        <f>IF($G25="s-curve",$E25+($F25-$E25)*$L$2/(1+EXP($L$3*(COUNT($L$9:AA$9)+$L$4))),TREND($E25:$F25,$E$9:$F$9,AA$9))</f>
        <v>0</v>
      </c>
      <c r="AB25">
        <f>IF($G25="s-curve",$E25+($F25-$E25)*$L$2/(1+EXP($L$3*(COUNT($L$9:AB$9)+$L$4))),TREND($E25:$F25,$E$9:$F$9,AB$9))</f>
        <v>0</v>
      </c>
      <c r="AC25">
        <f>IF($G25="s-curve",$E25+($F25-$E25)*$L$2/(1+EXP($L$3*(COUNT($L$9:AC$9)+$L$4))),TREND($E25:$F25,$E$9:$F$9,AC$9))</f>
        <v>0</v>
      </c>
      <c r="AD25">
        <f>IF($G25="s-curve",$E25+($F25-$E25)*$L$2/(1+EXP($L$3*(COUNT($L$9:AD$9)+$L$4))),TREND($E25:$F25,$E$9:$F$9,AD$9))</f>
        <v>0</v>
      </c>
      <c r="AE25">
        <f>IF($G25="s-curve",$E25+($F25-$E25)*$L$2/(1+EXP($L$3*(COUNT($L$9:AE$9)+$L$4))),TREND($E25:$F25,$E$9:$F$9,AE$9))</f>
        <v>0</v>
      </c>
      <c r="AF25">
        <f>IF($G25="s-curve",$E25+($F25-$E25)*$L$2/(1+EXP($L$3*(COUNT($L$9:AF$9)+$L$4))),TREND($E25:$F25,$E$9:$F$9,AF$9))</f>
        <v>0</v>
      </c>
      <c r="AG25">
        <f>IF($G25="s-curve",$E25+($F25-$E25)*$L$2/(1+EXP($L$3*(COUNT($L$9:AG$9)+$L$4))),TREND($E25:$F25,$E$9:$F$9,AG$9))</f>
        <v>0</v>
      </c>
      <c r="AH25">
        <f>IF($G25="s-curve",$E25+($F25-$E25)*$L$2/(1+EXP($L$3*(COUNT($L$9:AH$9)+$L$4))),TREND($E25:$F25,$E$9:$F$9,AH$9))</f>
        <v>0</v>
      </c>
      <c r="AI25">
        <f>IF($G25="s-curve",$E25+($F25-$E25)*$L$2/(1+EXP($L$3*(COUNT($L$9:AI$9)+$L$4))),TREND($E25:$F25,$E$9:$F$9,AI$9))</f>
        <v>0</v>
      </c>
      <c r="AJ25">
        <f>IF($G25="s-curve",$E25+($F25-$E25)*$L$2/(1+EXP($L$3*(COUNT($L$9:AJ$9)+$L$4))),TREND($E25:$F25,$E$9:$F$9,AJ$9))</f>
        <v>0</v>
      </c>
      <c r="AK25">
        <f>IF($G25="s-curve",$E25+($F25-$E25)*$L$2/(1+EXP($L$3*(COUNT($L$9:AK$9)+$L$4))),TREND($E25:$F25,$E$9:$F$9,AK$9))</f>
        <v>0</v>
      </c>
      <c r="AL25">
        <f>IF($G25="s-curve",$E25+($F25-$E25)*$L$2/(1+EXP($L$3*(COUNT($L$9:AL$9)+$L$4))),TREND($E25:$F25,$E$9:$F$9,AL$9))</f>
        <v>0</v>
      </c>
    </row>
    <row r="26" spans="1:38" x14ac:dyDescent="0.35">
      <c r="C26" t="s">
        <v>39</v>
      </c>
      <c r="D26">
        <v>0</v>
      </c>
      <c r="E26">
        <v>0</v>
      </c>
      <c r="F26" s="16">
        <f>E26</f>
        <v>0</v>
      </c>
      <c r="G26" s="5" t="str">
        <f>IF(E26=F26,"n/a",IF(OR(C26="battery electric vehicle",C26="natural gas vehicle",C26="plugin hybrid vehicle"),"s-curve","linear"))</f>
        <v>n/a</v>
      </c>
      <c r="I26">
        <f t="shared" ref="I26" si="19">J26</f>
        <v>0</v>
      </c>
      <c r="J26">
        <f t="shared" si="2"/>
        <v>0</v>
      </c>
      <c r="K26">
        <f t="shared" si="2"/>
        <v>0</v>
      </c>
      <c r="L26" s="16">
        <f t="shared" si="9"/>
        <v>0</v>
      </c>
      <c r="M26" s="16">
        <f t="shared" si="11"/>
        <v>0</v>
      </c>
      <c r="N26">
        <f>IF($G26="s-curve",$E26+($F26-$E26)*$L$2/(1+EXP($L$3*(COUNT($L$9:N$9)+$L$4))),TREND($E26:$F26,$E$9:$F$9,N$9))</f>
        <v>0</v>
      </c>
      <c r="O26">
        <f>IF($G26="s-curve",$E26+($F26-$E26)*$L$2/(1+EXP($L$3*(COUNT($L$9:O$9)+$L$4))),TREND($E26:$F26,$E$9:$F$9,O$9))</f>
        <v>0</v>
      </c>
      <c r="P26">
        <f>IF($G26="s-curve",$E26+($F26-$E26)*$L$2/(1+EXP($L$3*(COUNT($L$9:P$9)+$L$4))),TREND($E26:$F26,$E$9:$F$9,P$9))</f>
        <v>0</v>
      </c>
      <c r="Q26">
        <f>IF($G26="s-curve",$E26+($F26-$E26)*$L$2/(1+EXP($L$3*(COUNT($L$9:Q$9)+$L$4))),TREND($E26:$F26,$E$9:$F$9,Q$9))</f>
        <v>0</v>
      </c>
      <c r="R26">
        <f>IF($G26="s-curve",$E26+($F26-$E26)*$L$2/(1+EXP($L$3*(COUNT($L$9:R$9)+$L$4))),TREND($E26:$F26,$E$9:$F$9,R$9))</f>
        <v>0</v>
      </c>
      <c r="S26">
        <f>IF($G26="s-curve",$E26+($F26-$E26)*$L$2/(1+EXP($L$3*(COUNT($L$9:S$9)+$L$4))),TREND($E26:$F26,$E$9:$F$9,S$9))</f>
        <v>0</v>
      </c>
      <c r="T26">
        <f>IF($G26="s-curve",$E26+($F26-$E26)*$L$2/(1+EXP($L$3*(COUNT($L$9:T$9)+$L$4))),TREND($E26:$F26,$E$9:$F$9,T$9))</f>
        <v>0</v>
      </c>
      <c r="U26">
        <f>IF($G26="s-curve",$E26+($F26-$E26)*$L$2/(1+EXP($L$3*(COUNT($L$9:U$9)+$L$4))),TREND($E26:$F26,$E$9:$F$9,U$9))</f>
        <v>0</v>
      </c>
      <c r="V26">
        <f>IF($G26="s-curve",$E26+($F26-$E26)*$L$2/(1+EXP($L$3*(COUNT($L$9:V$9)+$L$4))),TREND($E26:$F26,$E$9:$F$9,V$9))</f>
        <v>0</v>
      </c>
      <c r="W26">
        <f>IF($G26="s-curve",$E26+($F26-$E26)*$L$2/(1+EXP($L$3*(COUNT($L$9:W$9)+$L$4))),TREND($E26:$F26,$E$9:$F$9,W$9))</f>
        <v>0</v>
      </c>
      <c r="X26">
        <f>IF($G26="s-curve",$E26+($F26-$E26)*$L$2/(1+EXP($L$3*(COUNT($L$9:X$9)+$L$4))),TREND($E26:$F26,$E$9:$F$9,X$9))</f>
        <v>0</v>
      </c>
      <c r="Y26">
        <f>IF($G26="s-curve",$E26+($F26-$E26)*$L$2/(1+EXP($L$3*(COUNT($L$9:Y$9)+$L$4))),TREND($E26:$F26,$E$9:$F$9,Y$9))</f>
        <v>0</v>
      </c>
      <c r="Z26">
        <f>IF($G26="s-curve",$E26+($F26-$E26)*$L$2/(1+EXP($L$3*(COUNT($L$9:Z$9)+$L$4))),TREND($E26:$F26,$E$9:$F$9,Z$9))</f>
        <v>0</v>
      </c>
      <c r="AA26">
        <f>IF($G26="s-curve",$E26+($F26-$E26)*$L$2/(1+EXP($L$3*(COUNT($L$9:AA$9)+$L$4))),TREND($E26:$F26,$E$9:$F$9,AA$9))</f>
        <v>0</v>
      </c>
      <c r="AB26">
        <f>IF($G26="s-curve",$E26+($F26-$E26)*$L$2/(1+EXP($L$3*(COUNT($L$9:AB$9)+$L$4))),TREND($E26:$F26,$E$9:$F$9,AB$9))</f>
        <v>0</v>
      </c>
      <c r="AC26">
        <f>IF($G26="s-curve",$E26+($F26-$E26)*$L$2/(1+EXP($L$3*(COUNT($L$9:AC$9)+$L$4))),TREND($E26:$F26,$E$9:$F$9,AC$9))</f>
        <v>0</v>
      </c>
      <c r="AD26">
        <f>IF($G26="s-curve",$E26+($F26-$E26)*$L$2/(1+EXP($L$3*(COUNT($L$9:AD$9)+$L$4))),TREND($E26:$F26,$E$9:$F$9,AD$9))</f>
        <v>0</v>
      </c>
      <c r="AE26">
        <f>IF($G26="s-curve",$E26+($F26-$E26)*$L$2/(1+EXP($L$3*(COUNT($L$9:AE$9)+$L$4))),TREND($E26:$F26,$E$9:$F$9,AE$9))</f>
        <v>0</v>
      </c>
      <c r="AF26">
        <f>IF($G26="s-curve",$E26+($F26-$E26)*$L$2/(1+EXP($L$3*(COUNT($L$9:AF$9)+$L$4))),TREND($E26:$F26,$E$9:$F$9,AF$9))</f>
        <v>0</v>
      </c>
      <c r="AG26">
        <f>IF($G26="s-curve",$E26+($F26-$E26)*$L$2/(1+EXP($L$3*(COUNT($L$9:AG$9)+$L$4))),TREND($E26:$F26,$E$9:$F$9,AG$9))</f>
        <v>0</v>
      </c>
      <c r="AH26">
        <f>IF($G26="s-curve",$E26+($F26-$E26)*$L$2/(1+EXP($L$3*(COUNT($L$9:AH$9)+$L$4))),TREND($E26:$F26,$E$9:$F$9,AH$9))</f>
        <v>0</v>
      </c>
      <c r="AI26">
        <f>IF($G26="s-curve",$E26+($F26-$E26)*$L$2/(1+EXP($L$3*(COUNT($L$9:AI$9)+$L$4))),TREND($E26:$F26,$E$9:$F$9,AI$9))</f>
        <v>0</v>
      </c>
      <c r="AJ26">
        <f>IF($G26="s-curve",$E26+($F26-$E26)*$L$2/(1+EXP($L$3*(COUNT($L$9:AJ$9)+$L$4))),TREND($E26:$F26,$E$9:$F$9,AJ$9))</f>
        <v>0</v>
      </c>
      <c r="AK26">
        <f>IF($G26="s-curve",$E26+($F26-$E26)*$L$2/(1+EXP($L$3*(COUNT($L$9:AK$9)+$L$4))),TREND($E26:$F26,$E$9:$F$9,AK$9))</f>
        <v>0</v>
      </c>
      <c r="AL26">
        <f>IF($G26="s-curve",$E26+($F26-$E26)*$L$2/(1+EXP($L$3*(COUNT($L$9:AL$9)+$L$4))),TREND($E26:$F26,$E$9:$F$9,AL$9))</f>
        <v>0</v>
      </c>
    </row>
    <row r="27" spans="1:38" x14ac:dyDescent="0.3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>
        <f t="shared" ref="I27" si="20">J27</f>
        <v>1</v>
      </c>
      <c r="J27">
        <f t="shared" si="2"/>
        <v>1</v>
      </c>
      <c r="K27">
        <f t="shared" si="2"/>
        <v>1</v>
      </c>
      <c r="L27" s="16">
        <f t="shared" si="9"/>
        <v>1</v>
      </c>
      <c r="M27" s="16">
        <f t="shared" si="11"/>
        <v>1</v>
      </c>
      <c r="N27">
        <f>IF($G27="s-curve",$E27+($F27-$E27)*$L$2/(1+EXP($L$3*(COUNT($L$9:N$9)+$L$4))),TREND($E27:$F27,$E$9:$F$9,N$9))</f>
        <v>1</v>
      </c>
      <c r="O27">
        <f>IF($G27="s-curve",$E27+($F27-$E27)*$L$2/(1+EXP($L$3*(COUNT($L$9:O$9)+$L$4))),TREND($E27:$F27,$E$9:$F$9,O$9))</f>
        <v>1</v>
      </c>
      <c r="P27">
        <f>IF($G27="s-curve",$E27+($F27-$E27)*$L$2/(1+EXP($L$3*(COUNT($L$9:P$9)+$L$4))),TREND($E27:$F27,$E$9:$F$9,P$9))</f>
        <v>1</v>
      </c>
      <c r="Q27">
        <f>IF($G27="s-curve",$E27+($F27-$E27)*$L$2/(1+EXP($L$3*(COUNT($L$9:Q$9)+$L$4))),TREND($E27:$F27,$E$9:$F$9,Q$9))</f>
        <v>1</v>
      </c>
      <c r="R27">
        <f>IF($G27="s-curve",$E27+($F27-$E27)*$L$2/(1+EXP($L$3*(COUNT($L$9:R$9)+$L$4))),TREND($E27:$F27,$E$9:$F$9,R$9))</f>
        <v>1</v>
      </c>
      <c r="S27">
        <f>IF($G27="s-curve",$E27+($F27-$E27)*$L$2/(1+EXP($L$3*(COUNT($L$9:S$9)+$L$4))),TREND($E27:$F27,$E$9:$F$9,S$9))</f>
        <v>1</v>
      </c>
      <c r="T27">
        <f>IF($G27="s-curve",$E27+($F27-$E27)*$L$2/(1+EXP($L$3*(COUNT($L$9:T$9)+$L$4))),TREND($E27:$F27,$E$9:$F$9,T$9))</f>
        <v>1</v>
      </c>
      <c r="U27">
        <f>IF($G27="s-curve",$E27+($F27-$E27)*$L$2/(1+EXP($L$3*(COUNT($L$9:U$9)+$L$4))),TREND($E27:$F27,$E$9:$F$9,U$9))</f>
        <v>1</v>
      </c>
      <c r="V27">
        <f>IF($G27="s-curve",$E27+($F27-$E27)*$L$2/(1+EXP($L$3*(COUNT($L$9:V$9)+$L$4))),TREND($E27:$F27,$E$9:$F$9,V$9))</f>
        <v>1</v>
      </c>
      <c r="W27">
        <f>IF($G27="s-curve",$E27+($F27-$E27)*$L$2/(1+EXP($L$3*(COUNT($L$9:W$9)+$L$4))),TREND($E27:$F27,$E$9:$F$9,W$9))</f>
        <v>1</v>
      </c>
      <c r="X27">
        <f>IF($G27="s-curve",$E27+($F27-$E27)*$L$2/(1+EXP($L$3*(COUNT($L$9:X$9)+$L$4))),TREND($E27:$F27,$E$9:$F$9,X$9))</f>
        <v>1</v>
      </c>
      <c r="Y27">
        <f>IF($G27="s-curve",$E27+($F27-$E27)*$L$2/(1+EXP($L$3*(COUNT($L$9:Y$9)+$L$4))),TREND($E27:$F27,$E$9:$F$9,Y$9))</f>
        <v>1</v>
      </c>
      <c r="Z27">
        <f>IF($G27="s-curve",$E27+($F27-$E27)*$L$2/(1+EXP($L$3*(COUNT($L$9:Z$9)+$L$4))),TREND($E27:$F27,$E$9:$F$9,Z$9))</f>
        <v>1</v>
      </c>
      <c r="AA27">
        <f>IF($G27="s-curve",$E27+($F27-$E27)*$L$2/(1+EXP($L$3*(COUNT($L$9:AA$9)+$L$4))),TREND($E27:$F27,$E$9:$F$9,AA$9))</f>
        <v>1</v>
      </c>
      <c r="AB27">
        <f>IF($G27="s-curve",$E27+($F27-$E27)*$L$2/(1+EXP($L$3*(COUNT($L$9:AB$9)+$L$4))),TREND($E27:$F27,$E$9:$F$9,AB$9))</f>
        <v>1</v>
      </c>
      <c r="AC27">
        <f>IF($G27="s-curve",$E27+($F27-$E27)*$L$2/(1+EXP($L$3*(COUNT($L$9:AC$9)+$L$4))),TREND($E27:$F27,$E$9:$F$9,AC$9))</f>
        <v>1</v>
      </c>
      <c r="AD27">
        <f>IF($G27="s-curve",$E27+($F27-$E27)*$L$2/(1+EXP($L$3*(COUNT($L$9:AD$9)+$L$4))),TREND($E27:$F27,$E$9:$F$9,AD$9))</f>
        <v>1</v>
      </c>
      <c r="AE27">
        <f>IF($G27="s-curve",$E27+($F27-$E27)*$L$2/(1+EXP($L$3*(COUNT($L$9:AE$9)+$L$4))),TREND($E27:$F27,$E$9:$F$9,AE$9))</f>
        <v>1</v>
      </c>
      <c r="AF27">
        <f>IF($G27="s-curve",$E27+($F27-$E27)*$L$2/(1+EXP($L$3*(COUNT($L$9:AF$9)+$L$4))),TREND($E27:$F27,$E$9:$F$9,AF$9))</f>
        <v>1</v>
      </c>
      <c r="AG27">
        <f>IF($G27="s-curve",$E27+($F27-$E27)*$L$2/(1+EXP($L$3*(COUNT($L$9:AG$9)+$L$4))),TREND($E27:$F27,$E$9:$F$9,AG$9))</f>
        <v>1</v>
      </c>
      <c r="AH27">
        <f>IF($G27="s-curve",$E27+($F27-$E27)*$L$2/(1+EXP($L$3*(COUNT($L$9:AH$9)+$L$4))),TREND($E27:$F27,$E$9:$F$9,AH$9))</f>
        <v>1</v>
      </c>
      <c r="AI27">
        <f>IF($G27="s-curve",$E27+($F27-$E27)*$L$2/(1+EXP($L$3*(COUNT($L$9:AI$9)+$L$4))),TREND($E27:$F27,$E$9:$F$9,AI$9))</f>
        <v>1</v>
      </c>
      <c r="AJ27">
        <f>IF($G27="s-curve",$E27+($F27-$E27)*$L$2/(1+EXP($L$3*(COUNT($L$9:AJ$9)+$L$4))),TREND($E27:$F27,$E$9:$F$9,AJ$9))</f>
        <v>1</v>
      </c>
      <c r="AK27">
        <f>IF($G27="s-curve",$E27+($F27-$E27)*$L$2/(1+EXP($L$3*(COUNT($L$9:AK$9)+$L$4))),TREND($E27:$F27,$E$9:$F$9,AK$9))</f>
        <v>1</v>
      </c>
      <c r="AL27">
        <f>IF($G27="s-curve",$E27+($F27-$E27)*$L$2/(1+EXP($L$3*(COUNT($L$9:AL$9)+$L$4))),TREND($E27:$F27,$E$9:$F$9,AL$9))</f>
        <v>1</v>
      </c>
    </row>
    <row r="28" spans="1:38" x14ac:dyDescent="0.3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>
        <f t="shared" ref="I28" si="21">J28</f>
        <v>0</v>
      </c>
      <c r="J28">
        <f t="shared" si="2"/>
        <v>0</v>
      </c>
      <c r="K28">
        <f t="shared" si="2"/>
        <v>0</v>
      </c>
      <c r="L28" s="16">
        <f t="shared" si="9"/>
        <v>0</v>
      </c>
      <c r="M28" s="16">
        <f t="shared" si="11"/>
        <v>0</v>
      </c>
      <c r="N28">
        <f>IF($G28="s-curve",$E28+($F28-$E28)*$L$2/(1+EXP($L$3*(COUNT($L$9:N$9)+$L$4))),TREND($E28:$F28,$E$9:$F$9,N$9))</f>
        <v>0</v>
      </c>
      <c r="O28">
        <f>IF($G28="s-curve",$E28+($F28-$E28)*$L$2/(1+EXP($L$3*(COUNT($L$9:O$9)+$L$4))),TREND($E28:$F28,$E$9:$F$9,O$9))</f>
        <v>0</v>
      </c>
      <c r="P28">
        <f>IF($G28="s-curve",$E28+($F28-$E28)*$L$2/(1+EXP($L$3*(COUNT($L$9:P$9)+$L$4))),TREND($E28:$F28,$E$9:$F$9,P$9))</f>
        <v>0</v>
      </c>
      <c r="Q28">
        <f>IF($G28="s-curve",$E28+($F28-$E28)*$L$2/(1+EXP($L$3*(COUNT($L$9:Q$9)+$L$4))),TREND($E28:$F28,$E$9:$F$9,Q$9))</f>
        <v>0</v>
      </c>
      <c r="R28">
        <f>IF($G28="s-curve",$E28+($F28-$E28)*$L$2/(1+EXP($L$3*(COUNT($L$9:R$9)+$L$4))),TREND($E28:$F28,$E$9:$F$9,R$9))</f>
        <v>0</v>
      </c>
      <c r="S28">
        <f>IF($G28="s-curve",$E28+($F28-$E28)*$L$2/(1+EXP($L$3*(COUNT($L$9:S$9)+$L$4))),TREND($E28:$F28,$E$9:$F$9,S$9))</f>
        <v>0</v>
      </c>
      <c r="T28">
        <f>IF($G28="s-curve",$E28+($F28-$E28)*$L$2/(1+EXP($L$3*(COUNT($L$9:T$9)+$L$4))),TREND($E28:$F28,$E$9:$F$9,T$9))</f>
        <v>0</v>
      </c>
      <c r="U28">
        <f>IF($G28="s-curve",$E28+($F28-$E28)*$L$2/(1+EXP($L$3*(COUNT($L$9:U$9)+$L$4))),TREND($E28:$F28,$E$9:$F$9,U$9))</f>
        <v>0</v>
      </c>
      <c r="V28">
        <f>IF($G28="s-curve",$E28+($F28-$E28)*$L$2/(1+EXP($L$3*(COUNT($L$9:V$9)+$L$4))),TREND($E28:$F28,$E$9:$F$9,V$9))</f>
        <v>0</v>
      </c>
      <c r="W28">
        <f>IF($G28="s-curve",$E28+($F28-$E28)*$L$2/(1+EXP($L$3*(COUNT($L$9:W$9)+$L$4))),TREND($E28:$F28,$E$9:$F$9,W$9))</f>
        <v>0</v>
      </c>
      <c r="X28">
        <f>IF($G28="s-curve",$E28+($F28-$E28)*$L$2/(1+EXP($L$3*(COUNT($L$9:X$9)+$L$4))),TREND($E28:$F28,$E$9:$F$9,X$9))</f>
        <v>0</v>
      </c>
      <c r="Y28">
        <f>IF($G28="s-curve",$E28+($F28-$E28)*$L$2/(1+EXP($L$3*(COUNT($L$9:Y$9)+$L$4))),TREND($E28:$F28,$E$9:$F$9,Y$9))</f>
        <v>0</v>
      </c>
      <c r="Z28">
        <f>IF($G28="s-curve",$E28+($F28-$E28)*$L$2/(1+EXP($L$3*(COUNT($L$9:Z$9)+$L$4))),TREND($E28:$F28,$E$9:$F$9,Z$9))</f>
        <v>0</v>
      </c>
      <c r="AA28">
        <f>IF($G28="s-curve",$E28+($F28-$E28)*$L$2/(1+EXP($L$3*(COUNT($L$9:AA$9)+$L$4))),TREND($E28:$F28,$E$9:$F$9,AA$9))</f>
        <v>0</v>
      </c>
      <c r="AB28">
        <f>IF($G28="s-curve",$E28+($F28-$E28)*$L$2/(1+EXP($L$3*(COUNT($L$9:AB$9)+$L$4))),TREND($E28:$F28,$E$9:$F$9,AB$9))</f>
        <v>0</v>
      </c>
      <c r="AC28">
        <f>IF($G28="s-curve",$E28+($F28-$E28)*$L$2/(1+EXP($L$3*(COUNT($L$9:AC$9)+$L$4))),TREND($E28:$F28,$E$9:$F$9,AC$9))</f>
        <v>0</v>
      </c>
      <c r="AD28">
        <f>IF($G28="s-curve",$E28+($F28-$E28)*$L$2/(1+EXP($L$3*(COUNT($L$9:AD$9)+$L$4))),TREND($E28:$F28,$E$9:$F$9,AD$9))</f>
        <v>0</v>
      </c>
      <c r="AE28">
        <f>IF($G28="s-curve",$E28+($F28-$E28)*$L$2/(1+EXP($L$3*(COUNT($L$9:AE$9)+$L$4))),TREND($E28:$F28,$E$9:$F$9,AE$9))</f>
        <v>0</v>
      </c>
      <c r="AF28">
        <f>IF($G28="s-curve",$E28+($F28-$E28)*$L$2/(1+EXP($L$3*(COUNT($L$9:AF$9)+$L$4))),TREND($E28:$F28,$E$9:$F$9,AF$9))</f>
        <v>0</v>
      </c>
      <c r="AG28">
        <f>IF($G28="s-curve",$E28+($F28-$E28)*$L$2/(1+EXP($L$3*(COUNT($L$9:AG$9)+$L$4))),TREND($E28:$F28,$E$9:$F$9,AG$9))</f>
        <v>0</v>
      </c>
      <c r="AH28">
        <f>IF($G28="s-curve",$E28+($F28-$E28)*$L$2/(1+EXP($L$3*(COUNT($L$9:AH$9)+$L$4))),TREND($E28:$F28,$E$9:$F$9,AH$9))</f>
        <v>0</v>
      </c>
      <c r="AI28">
        <f>IF($G28="s-curve",$E28+($F28-$E28)*$L$2/(1+EXP($L$3*(COUNT($L$9:AI$9)+$L$4))),TREND($E28:$F28,$E$9:$F$9,AI$9))</f>
        <v>0</v>
      </c>
      <c r="AJ28">
        <f>IF($G28="s-curve",$E28+($F28-$E28)*$L$2/(1+EXP($L$3*(COUNT($L$9:AJ$9)+$L$4))),TREND($E28:$F28,$E$9:$F$9,AJ$9))</f>
        <v>0</v>
      </c>
      <c r="AK28">
        <f>IF($G28="s-curve",$E28+($F28-$E28)*$L$2/(1+EXP($L$3*(COUNT($L$9:AK$9)+$L$4))),TREND($E28:$F28,$E$9:$F$9,AK$9))</f>
        <v>0</v>
      </c>
      <c r="AL28">
        <f>IF($G28="s-curve",$E28+($F28-$E28)*$L$2/(1+EXP($L$3*(COUNT($L$9:AL$9)+$L$4))),TREND($E28:$F28,$E$9:$F$9,AL$9))</f>
        <v>0</v>
      </c>
    </row>
    <row r="29" spans="1:38" x14ac:dyDescent="0.35">
      <c r="C29" t="s">
        <v>42</v>
      </c>
      <c r="D29">
        <v>0</v>
      </c>
      <c r="E29">
        <v>0</v>
      </c>
      <c r="F29" s="16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>
        <f t="shared" ref="I29" si="22">J29</f>
        <v>0</v>
      </c>
      <c r="J29">
        <f t="shared" si="2"/>
        <v>0</v>
      </c>
      <c r="K29">
        <f t="shared" si="2"/>
        <v>0</v>
      </c>
      <c r="L29" s="16">
        <f t="shared" si="9"/>
        <v>0</v>
      </c>
      <c r="M29" s="16">
        <f t="shared" si="11"/>
        <v>0</v>
      </c>
      <c r="N29">
        <f>IF($G29="s-curve",$E29+($F29-$E29)*$L$2/(1+EXP($L$3*(COUNT($L$9:N$9)+$L$4))),TREND($E29:$F29,$E$9:$F$9,N$9))</f>
        <v>0</v>
      </c>
      <c r="O29">
        <f>IF($G29="s-curve",$E29+($F29-$E29)*$L$2/(1+EXP($L$3*(COUNT($L$9:O$9)+$L$4))),TREND($E29:$F29,$E$9:$F$9,O$9))</f>
        <v>0</v>
      </c>
      <c r="P29">
        <f>IF($G29="s-curve",$E29+($F29-$E29)*$L$2/(1+EXP($L$3*(COUNT($L$9:P$9)+$L$4))),TREND($E29:$F29,$E$9:$F$9,P$9))</f>
        <v>0</v>
      </c>
      <c r="Q29">
        <f>IF($G29="s-curve",$E29+($F29-$E29)*$L$2/(1+EXP($L$3*(COUNT($L$9:Q$9)+$L$4))),TREND($E29:$F29,$E$9:$F$9,Q$9))</f>
        <v>0</v>
      </c>
      <c r="R29">
        <f>IF($G29="s-curve",$E29+($F29-$E29)*$L$2/(1+EXP($L$3*(COUNT($L$9:R$9)+$L$4))),TREND($E29:$F29,$E$9:$F$9,R$9))</f>
        <v>0</v>
      </c>
      <c r="S29">
        <f>IF($G29="s-curve",$E29+($F29-$E29)*$L$2/(1+EXP($L$3*(COUNT($L$9:S$9)+$L$4))),TREND($E29:$F29,$E$9:$F$9,S$9))</f>
        <v>0</v>
      </c>
      <c r="T29">
        <f>IF($G29="s-curve",$E29+($F29-$E29)*$L$2/(1+EXP($L$3*(COUNT($L$9:T$9)+$L$4))),TREND($E29:$F29,$E$9:$F$9,T$9))</f>
        <v>0</v>
      </c>
      <c r="U29">
        <f>IF($G29="s-curve",$E29+($F29-$E29)*$L$2/(1+EXP($L$3*(COUNT($L$9:U$9)+$L$4))),TREND($E29:$F29,$E$9:$F$9,U$9))</f>
        <v>0</v>
      </c>
      <c r="V29">
        <f>IF($G29="s-curve",$E29+($F29-$E29)*$L$2/(1+EXP($L$3*(COUNT($L$9:V$9)+$L$4))),TREND($E29:$F29,$E$9:$F$9,V$9))</f>
        <v>0</v>
      </c>
      <c r="W29">
        <f>IF($G29="s-curve",$E29+($F29-$E29)*$L$2/(1+EXP($L$3*(COUNT($L$9:W$9)+$L$4))),TREND($E29:$F29,$E$9:$F$9,W$9))</f>
        <v>0</v>
      </c>
      <c r="X29">
        <f>IF($G29="s-curve",$E29+($F29-$E29)*$L$2/(1+EXP($L$3*(COUNT($L$9:X$9)+$L$4))),TREND($E29:$F29,$E$9:$F$9,X$9))</f>
        <v>0</v>
      </c>
      <c r="Y29">
        <f>IF($G29="s-curve",$E29+($F29-$E29)*$L$2/(1+EXP($L$3*(COUNT($L$9:Y$9)+$L$4))),TREND($E29:$F29,$E$9:$F$9,Y$9))</f>
        <v>0</v>
      </c>
      <c r="Z29">
        <f>IF($G29="s-curve",$E29+($F29-$E29)*$L$2/(1+EXP($L$3*(COUNT($L$9:Z$9)+$L$4))),TREND($E29:$F29,$E$9:$F$9,Z$9))</f>
        <v>0</v>
      </c>
      <c r="AA29">
        <f>IF($G29="s-curve",$E29+($F29-$E29)*$L$2/(1+EXP($L$3*(COUNT($L$9:AA$9)+$L$4))),TREND($E29:$F29,$E$9:$F$9,AA$9))</f>
        <v>0</v>
      </c>
      <c r="AB29">
        <f>IF($G29="s-curve",$E29+($F29-$E29)*$L$2/(1+EXP($L$3*(COUNT($L$9:AB$9)+$L$4))),TREND($E29:$F29,$E$9:$F$9,AB$9))</f>
        <v>0</v>
      </c>
      <c r="AC29">
        <f>IF($G29="s-curve",$E29+($F29-$E29)*$L$2/(1+EXP($L$3*(COUNT($L$9:AC$9)+$L$4))),TREND($E29:$F29,$E$9:$F$9,AC$9))</f>
        <v>0</v>
      </c>
      <c r="AD29">
        <f>IF($G29="s-curve",$E29+($F29-$E29)*$L$2/(1+EXP($L$3*(COUNT($L$9:AD$9)+$L$4))),TREND($E29:$F29,$E$9:$F$9,AD$9))</f>
        <v>0</v>
      </c>
      <c r="AE29">
        <f>IF($G29="s-curve",$E29+($F29-$E29)*$L$2/(1+EXP($L$3*(COUNT($L$9:AE$9)+$L$4))),TREND($E29:$F29,$E$9:$F$9,AE$9))</f>
        <v>0</v>
      </c>
      <c r="AF29">
        <f>IF($G29="s-curve",$E29+($F29-$E29)*$L$2/(1+EXP($L$3*(COUNT($L$9:AF$9)+$L$4))),TREND($E29:$F29,$E$9:$F$9,AF$9))</f>
        <v>0</v>
      </c>
      <c r="AG29">
        <f>IF($G29="s-curve",$E29+($F29-$E29)*$L$2/(1+EXP($L$3*(COUNT($L$9:AG$9)+$L$4))),TREND($E29:$F29,$E$9:$F$9,AG$9))</f>
        <v>0</v>
      </c>
      <c r="AH29">
        <f>IF($G29="s-curve",$E29+($F29-$E29)*$L$2/(1+EXP($L$3*(COUNT($L$9:AH$9)+$L$4))),TREND($E29:$F29,$E$9:$F$9,AH$9))</f>
        <v>0</v>
      </c>
      <c r="AI29">
        <f>IF($G29="s-curve",$E29+($F29-$E29)*$L$2/(1+EXP($L$3*(COUNT($L$9:AI$9)+$L$4))),TREND($E29:$F29,$E$9:$F$9,AI$9))</f>
        <v>0</v>
      </c>
      <c r="AJ29">
        <f>IF($G29="s-curve",$E29+($F29-$E29)*$L$2/(1+EXP($L$3*(COUNT($L$9:AJ$9)+$L$4))),TREND($E29:$F29,$E$9:$F$9,AJ$9))</f>
        <v>0</v>
      </c>
      <c r="AK29">
        <f>IF($G29="s-curve",$E29+($F29-$E29)*$L$2/(1+EXP($L$3*(COUNT($L$9:AK$9)+$L$4))),TREND($E29:$F29,$E$9:$F$9,AK$9))</f>
        <v>0</v>
      </c>
      <c r="AL29">
        <f>IF($G29="s-curve",$E29+($F29-$E29)*$L$2/(1+EXP($L$3*(COUNT($L$9:AL$9)+$L$4))),TREND($E29:$F29,$E$9:$F$9,AL$9))</f>
        <v>0</v>
      </c>
    </row>
    <row r="30" spans="1:38" ht="15.75" customHeight="1" thickBot="1" x14ac:dyDescent="0.4">
      <c r="A30" s="17"/>
      <c r="B30" s="17"/>
      <c r="C30" s="17" t="s">
        <v>43</v>
      </c>
      <c r="D30" s="20">
        <v>0</v>
      </c>
      <c r="E30" s="6">
        <v>0</v>
      </c>
      <c r="F30" s="20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>
        <f t="shared" ref="I30" si="23">J30</f>
        <v>0</v>
      </c>
      <c r="J30">
        <f t="shared" si="2"/>
        <v>0</v>
      </c>
      <c r="K30">
        <f t="shared" si="2"/>
        <v>0</v>
      </c>
      <c r="L30" s="16">
        <f t="shared" si="9"/>
        <v>0</v>
      </c>
      <c r="M30" s="16">
        <f t="shared" si="11"/>
        <v>0</v>
      </c>
      <c r="N30">
        <f>IF($G30="s-curve",$E30+($F30-$E30)*$L$2/(1+EXP($L$3*(COUNT($L$9:N$9)+$L$4))),TREND($E30:$F30,$E$9:$F$9,N$9))</f>
        <v>0</v>
      </c>
      <c r="O30">
        <f>IF($G30="s-curve",$E30+($F30-$E30)*$L$2/(1+EXP($L$3*(COUNT($L$9:O$9)+$L$4))),TREND($E30:$F30,$E$9:$F$9,O$9))</f>
        <v>0</v>
      </c>
      <c r="P30">
        <f>IF($G30="s-curve",$E30+($F30-$E30)*$L$2/(1+EXP($L$3*(COUNT($L$9:P$9)+$L$4))),TREND($E30:$F30,$E$9:$F$9,P$9))</f>
        <v>0</v>
      </c>
      <c r="Q30">
        <f>IF($G30="s-curve",$E30+($F30-$E30)*$L$2/(1+EXP($L$3*(COUNT($L$9:Q$9)+$L$4))),TREND($E30:$F30,$E$9:$F$9,Q$9))</f>
        <v>0</v>
      </c>
      <c r="R30">
        <f>IF($G30="s-curve",$E30+($F30-$E30)*$L$2/(1+EXP($L$3*(COUNT($L$9:R$9)+$L$4))),TREND($E30:$F30,$E$9:$F$9,R$9))</f>
        <v>0</v>
      </c>
      <c r="S30">
        <f>IF($G30="s-curve",$E30+($F30-$E30)*$L$2/(1+EXP($L$3*(COUNT($L$9:S$9)+$L$4))),TREND($E30:$F30,$E$9:$F$9,S$9))</f>
        <v>0</v>
      </c>
      <c r="T30">
        <f>IF($G30="s-curve",$E30+($F30-$E30)*$L$2/(1+EXP($L$3*(COUNT($L$9:T$9)+$L$4))),TREND($E30:$F30,$E$9:$F$9,T$9))</f>
        <v>0</v>
      </c>
      <c r="U30">
        <f>IF($G30="s-curve",$E30+($F30-$E30)*$L$2/(1+EXP($L$3*(COUNT($L$9:U$9)+$L$4))),TREND($E30:$F30,$E$9:$F$9,U$9))</f>
        <v>0</v>
      </c>
      <c r="V30">
        <f>IF($G30="s-curve",$E30+($F30-$E30)*$L$2/(1+EXP($L$3*(COUNT($L$9:V$9)+$L$4))),TREND($E30:$F30,$E$9:$F$9,V$9))</f>
        <v>0</v>
      </c>
      <c r="W30">
        <f>IF($G30="s-curve",$E30+($F30-$E30)*$L$2/(1+EXP($L$3*(COUNT($L$9:W$9)+$L$4))),TREND($E30:$F30,$E$9:$F$9,W$9))</f>
        <v>0</v>
      </c>
      <c r="X30">
        <f>IF($G30="s-curve",$E30+($F30-$E30)*$L$2/(1+EXP($L$3*(COUNT($L$9:X$9)+$L$4))),TREND($E30:$F30,$E$9:$F$9,X$9))</f>
        <v>0</v>
      </c>
      <c r="Y30">
        <f>IF($G30="s-curve",$E30+($F30-$E30)*$L$2/(1+EXP($L$3*(COUNT($L$9:Y$9)+$L$4))),TREND($E30:$F30,$E$9:$F$9,Y$9))</f>
        <v>0</v>
      </c>
      <c r="Z30">
        <f>IF($G30="s-curve",$E30+($F30-$E30)*$L$2/(1+EXP($L$3*(COUNT($L$9:Z$9)+$L$4))),TREND($E30:$F30,$E$9:$F$9,Z$9))</f>
        <v>0</v>
      </c>
      <c r="AA30">
        <f>IF($G30="s-curve",$E30+($F30-$E30)*$L$2/(1+EXP($L$3*(COUNT($L$9:AA$9)+$L$4))),TREND($E30:$F30,$E$9:$F$9,AA$9))</f>
        <v>0</v>
      </c>
      <c r="AB30">
        <f>IF($G30="s-curve",$E30+($F30-$E30)*$L$2/(1+EXP($L$3*(COUNT($L$9:AB$9)+$L$4))),TREND($E30:$F30,$E$9:$F$9,AB$9))</f>
        <v>0</v>
      </c>
      <c r="AC30">
        <f>IF($G30="s-curve",$E30+($F30-$E30)*$L$2/(1+EXP($L$3*(COUNT($L$9:AC$9)+$L$4))),TREND($E30:$F30,$E$9:$F$9,AC$9))</f>
        <v>0</v>
      </c>
      <c r="AD30">
        <f>IF($G30="s-curve",$E30+($F30-$E30)*$L$2/(1+EXP($L$3*(COUNT($L$9:AD$9)+$L$4))),TREND($E30:$F30,$E$9:$F$9,AD$9))</f>
        <v>0</v>
      </c>
      <c r="AE30">
        <f>IF($G30="s-curve",$E30+($F30-$E30)*$L$2/(1+EXP($L$3*(COUNT($L$9:AE$9)+$L$4))),TREND($E30:$F30,$E$9:$F$9,AE$9))</f>
        <v>0</v>
      </c>
      <c r="AF30">
        <f>IF($G30="s-curve",$E30+($F30-$E30)*$L$2/(1+EXP($L$3*(COUNT($L$9:AF$9)+$L$4))),TREND($E30:$F30,$E$9:$F$9,AF$9))</f>
        <v>0</v>
      </c>
      <c r="AG30">
        <f>IF($G30="s-curve",$E30+($F30-$E30)*$L$2/(1+EXP($L$3*(COUNT($L$9:AG$9)+$L$4))),TREND($E30:$F30,$E$9:$F$9,AG$9))</f>
        <v>0</v>
      </c>
      <c r="AH30">
        <f>IF($G30="s-curve",$E30+($F30-$E30)*$L$2/(1+EXP($L$3*(COUNT($L$9:AH$9)+$L$4))),TREND($E30:$F30,$E$9:$F$9,AH$9))</f>
        <v>0</v>
      </c>
      <c r="AI30">
        <f>IF($G30="s-curve",$E30+($F30-$E30)*$L$2/(1+EXP($L$3*(COUNT($L$9:AI$9)+$L$4))),TREND($E30:$F30,$E$9:$F$9,AI$9))</f>
        <v>0</v>
      </c>
      <c r="AJ30">
        <f>IF($G30="s-curve",$E30+($F30-$E30)*$L$2/(1+EXP($L$3*(COUNT($L$9:AJ$9)+$L$4))),TREND($E30:$F30,$E$9:$F$9,AJ$9))</f>
        <v>0</v>
      </c>
      <c r="AK30">
        <f>IF($G30="s-curve",$E30+($F30-$E30)*$L$2/(1+EXP($L$3*(COUNT($L$9:AK$9)+$L$4))),TREND($E30:$F30,$E$9:$F$9,AK$9))</f>
        <v>0</v>
      </c>
      <c r="AL30">
        <f>IF($G30="s-curve",$E30+($F30-$E30)*$L$2/(1+EXP($L$3*(COUNT($L$9:AL$9)+$L$4))),TREND($E30:$F30,$E$9:$F$9,AL$9))</f>
        <v>0</v>
      </c>
    </row>
    <row r="31" spans="1:38" x14ac:dyDescent="0.35">
      <c r="A31" t="s">
        <v>45</v>
      </c>
      <c r="B31" t="s">
        <v>72</v>
      </c>
      <c r="C31" t="s">
        <v>37</v>
      </c>
      <c r="D31">
        <v>4.7973229575300003E-3</v>
      </c>
      <c r="E31">
        <v>6.1405058414400002E-3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>
        <f t="shared" ref="I31" si="24">J31</f>
        <v>4.7973229575300003E-3</v>
      </c>
      <c r="J31">
        <f t="shared" si="2"/>
        <v>4.7973229575300003E-3</v>
      </c>
      <c r="K31">
        <f t="shared" si="2"/>
        <v>4.7973229575300003E-3</v>
      </c>
      <c r="L31" s="16">
        <f t="shared" si="9"/>
        <v>4.7973229575300003E-3</v>
      </c>
      <c r="M31" s="16">
        <f t="shared" si="11"/>
        <v>6.1405058414400002E-3</v>
      </c>
      <c r="N31">
        <f>IF($G31="s-curve",$E31+($F31-$E31)*$U$2/(1+EXP($U$3*(COUNT($N$9:N$9)+$U$4))),TREND($E31:$F31,$E$9:$F$9,N$9))</f>
        <v>1.4814878064083456E-2</v>
      </c>
      <c r="O31">
        <f>IF($G31="s-curve",$E31+($F31-$E31)*$U$2/(1+EXP($U$3*(COUNT($N$9:O$9)+$U$4))),TREND($E31:$F31,$E$9:$F$9,O$9))</f>
        <v>1.7705755284549454E-2</v>
      </c>
      <c r="P31">
        <f>IF($G31="s-curve",$E31+($F31-$E31)*$U$2/(1+EXP($U$3*(COUNT($N$9:P$9)+$U$4))),TREND($E31:$F31,$E$9:$F$9,P$9))</f>
        <v>2.1497156594966059E-2</v>
      </c>
      <c r="Q31">
        <f>IF($G31="s-curve",$E31+($F31-$E31)*$U$2/(1+EXP($U$3*(COUNT($N$9:Q$9)+$U$4))),TREND($E31:$F31,$E$9:$F$9,Q$9))</f>
        <v>2.6422957536251346E-2</v>
      </c>
      <c r="R31">
        <f>IF($G31="s-curve",$E31+($F31-$E31)*$U$2/(1+EXP($U$3*(COUNT($N$9:R$9)+$U$4))),TREND($E31:$F31,$E$9:$F$9,R$9))</f>
        <v>3.2744801472509036E-2</v>
      </c>
      <c r="S31">
        <f>IF($G31="s-curve",$E31+($F31-$E31)*$U$2/(1+EXP($U$3*(COUNT($N$9:S$9)+$U$4))),TREND($E31:$F31,$E$9:$F$9,S$9))</f>
        <v>4.0732234773926027E-2</v>
      </c>
      <c r="T31">
        <f>IF($G31="s-curve",$E31+($F31-$E31)*$U$2/(1+EXP($U$3*(COUNT($N$9:T$9)+$U$4))),TREND($E31:$F31,$E$9:$F$9,T$9))</f>
        <v>5.0626701798468406E-2</v>
      </c>
      <c r="U31">
        <f>IF($G31="s-curve",$E31+($F31-$E31)*$U$2/(1+EXP($U$3*(COUNT($N$9:U$9)+$U$4))),TREND($E31:$F31,$E$9:$F$9,U$9))</f>
        <v>6.2587935047612731E-2</v>
      </c>
      <c r="V31">
        <f>IF($G31="s-curve",$E31+($F31-$E31)*$U$2/(1+EXP($U$3*(COUNT($N$9:V$9)+$U$4))),TREND($E31:$F31,$E$9:$F$9,V$9))</f>
        <v>7.6628213917586716E-2</v>
      </c>
      <c r="W31">
        <f>IF($G31="s-curve",$E31+($F31-$E31)*$U$2/(1+EXP($U$3*(COUNT($N$9:W$9)+$U$4))),TREND($E31:$F31,$E$9:$F$9,W$9))</f>
        <v>9.2550579763493207E-2</v>
      </c>
      <c r="X31">
        <f>IF($G31="s-curve",$E31+($F31-$E31)*$U$2/(1+EXP($U$3*(COUNT($N$9:X$9)+$U$4))),TREND($E31:$F31,$E$9:$F$9,X$9))</f>
        <v>0.10991673842713874</v>
      </c>
      <c r="Y31">
        <f>IF($G31="s-curve",$E31+($F31-$E31)*$U$2/(1+EXP($U$3*(COUNT($N$9:Y$9)+$U$4))),TREND($E31:$F31,$E$9:$F$9,Y$9))</f>
        <v>0.12807025292072</v>
      </c>
      <c r="Z31">
        <f>IF($G31="s-curve",$E31+($F31-$E31)*$U$2/(1+EXP($U$3*(COUNT($N$9:Z$9)+$U$4))),TREND($E31:$F31,$E$9:$F$9,Z$9))</f>
        <v>0.14622376741430126</v>
      </c>
      <c r="AA31">
        <f>IF($G31="s-curve",$E31+($F31-$E31)*$U$2/(1+EXP($U$3*(COUNT($N$9:AA$9)+$U$4))),TREND($E31:$F31,$E$9:$F$9,AA$9))</f>
        <v>0.16358992607794678</v>
      </c>
      <c r="AB31">
        <f>IF($G31="s-curve",$E31+($F31-$E31)*$U$2/(1+EXP($U$3*(COUNT($N$9:AB$9)+$U$4))),TREND($E31:$F31,$E$9:$F$9,AB$9))</f>
        <v>0.17951229192385326</v>
      </c>
      <c r="AC31">
        <f>IF($G31="s-curve",$E31+($F31-$E31)*$U$2/(1+EXP($U$3*(COUNT($N$9:AC$9)+$U$4))),TREND($E31:$F31,$E$9:$F$9,AC$9))</f>
        <v>0.19355257079382726</v>
      </c>
      <c r="AD31">
        <f>IF($G31="s-curve",$E31+($F31-$E31)*$U$2/(1+EXP($U$3*(COUNT($N$9:AD$9)+$U$4))),TREND($E31:$F31,$E$9:$F$9,AD$9))</f>
        <v>0.20551380404297159</v>
      </c>
      <c r="AE31">
        <f>IF($G31="s-curve",$E31+($F31-$E31)*$U$2/(1+EXP($U$3*(COUNT($N$9:AE$9)+$U$4))),TREND($E31:$F31,$E$9:$F$9,AE$9))</f>
        <v>0.21540827106751401</v>
      </c>
      <c r="AF31">
        <f>IF($G31="s-curve",$E31+($F31-$E31)*$U$2/(1+EXP($U$3*(COUNT($N$9:AF$9)+$U$4))),TREND($E31:$F31,$E$9:$F$9,AF$9))</f>
        <v>0.22339570436893097</v>
      </c>
      <c r="AG31">
        <f>IF($G31="s-curve",$E31+($F31-$E31)*$U$2/(1+EXP($U$3*(COUNT($N$9:AG$9)+$U$4))),TREND($E31:$F31,$E$9:$F$9,AG$9))</f>
        <v>0.22971754830518867</v>
      </c>
      <c r="AH31">
        <f>IF($G31="s-curve",$E31+($F31-$E31)*$U$2/(1+EXP($U$3*(COUNT($N$9:AH$9)+$U$4))),TREND($E31:$F31,$E$9:$F$9,AH$9))</f>
        <v>0.23464334924647395</v>
      </c>
      <c r="AI31">
        <f>IF($G31="s-curve",$E31+($F31-$E31)*$U$2/(1+EXP($U$3*(COUNT($N$9:AI$9)+$U$4))),TREND($E31:$F31,$E$9:$F$9,AI$9))</f>
        <v>0.23843475055689056</v>
      </c>
      <c r="AJ31">
        <f>IF($G31="s-curve",$E31+($F31-$E31)*$U$2/(1+EXP($U$3*(COUNT($N$9:AJ$9)+$U$4))),TREND($E31:$F31,$E$9:$F$9,AJ$9))</f>
        <v>0.24132562777735656</v>
      </c>
      <c r="AK31">
        <f>IF($G31="s-curve",$E31+($F31-$E31)*$U$2/(1+EXP($U$3*(COUNT($N$9:AK$9)+$U$4))),TREND($E31:$F31,$E$9:$F$9,AK$9))</f>
        <v>0.24351407060020699</v>
      </c>
      <c r="AL31">
        <f>IF($G31="s-curve",$E31+($F31-$E31)*$U$2/(1+EXP($U$3*(COUNT($N$9:AL$9)+$U$4))),TREND($E31:$F31,$E$9:$F$9,AL$9))</f>
        <v>0.2451617530797367</v>
      </c>
    </row>
    <row r="32" spans="1:38" x14ac:dyDescent="0.35">
      <c r="C32" t="s">
        <v>38</v>
      </c>
      <c r="D32">
        <v>0</v>
      </c>
      <c r="E32">
        <v>0</v>
      </c>
      <c r="F32" s="16">
        <f>E32</f>
        <v>0</v>
      </c>
      <c r="G32" s="5" t="str">
        <f>IF(E32=F32,"n/a",IF(OR(C32="battery electric vehicle",C32="natural gas vehicle",C32="plugin hybrid vehicle"),"s-curve","linear"))</f>
        <v>n/a</v>
      </c>
      <c r="I32">
        <f t="shared" ref="I32" si="25">J32</f>
        <v>0</v>
      </c>
      <c r="J32">
        <f t="shared" si="2"/>
        <v>0</v>
      </c>
      <c r="K32">
        <f t="shared" si="2"/>
        <v>0</v>
      </c>
      <c r="L32" s="16">
        <f t="shared" si="9"/>
        <v>0</v>
      </c>
      <c r="M32" s="16">
        <f t="shared" si="11"/>
        <v>0</v>
      </c>
      <c r="N32">
        <f>IF($G32="s-curve",$E32+($F32-$E32)*$L$2/(1+EXP($L$3*(COUNT($L$9:N$9)+$L$4))),TREND($E32:$F32,$E$9:$F$9,N$9))</f>
        <v>0</v>
      </c>
      <c r="O32">
        <f>IF($G32="s-curve",$E32+($F32-$E32)*$L$2/(1+EXP($L$3*(COUNT($L$9:O$9)+$L$4))),TREND($E32:$F32,$E$9:$F$9,O$9))</f>
        <v>0</v>
      </c>
      <c r="P32">
        <f>IF($G32="s-curve",$E32+($F32-$E32)*$L$2/(1+EXP($L$3*(COUNT($L$9:P$9)+$L$4))),TREND($E32:$F32,$E$9:$F$9,P$9))</f>
        <v>0</v>
      </c>
      <c r="Q32">
        <f>IF($G32="s-curve",$E32+($F32-$E32)*$L$2/(1+EXP($L$3*(COUNT($L$9:Q$9)+$L$4))),TREND($E32:$F32,$E$9:$F$9,Q$9))</f>
        <v>0</v>
      </c>
      <c r="R32">
        <f>IF($G32="s-curve",$E32+($F32-$E32)*$L$2/(1+EXP($L$3*(COUNT($L$9:R$9)+$L$4))),TREND($E32:$F32,$E$9:$F$9,R$9))</f>
        <v>0</v>
      </c>
      <c r="S32">
        <f>IF($G32="s-curve",$E32+($F32-$E32)*$L$2/(1+EXP($L$3*(COUNT($L$9:S$9)+$L$4))),TREND($E32:$F32,$E$9:$F$9,S$9))</f>
        <v>0</v>
      </c>
      <c r="T32">
        <f>IF($G32="s-curve",$E32+($F32-$E32)*$L$2/(1+EXP($L$3*(COUNT($L$9:T$9)+$L$4))),TREND($E32:$F32,$E$9:$F$9,T$9))</f>
        <v>0</v>
      </c>
      <c r="U32">
        <f>IF($G32="s-curve",$E32+($F32-$E32)*$L$2/(1+EXP($L$3*(COUNT($L$9:U$9)+$L$4))),TREND($E32:$F32,$E$9:$F$9,U$9))</f>
        <v>0</v>
      </c>
      <c r="V32">
        <f>IF($G32="s-curve",$E32+($F32-$E32)*$L$2/(1+EXP($L$3*(COUNT($L$9:V$9)+$L$4))),TREND($E32:$F32,$E$9:$F$9,V$9))</f>
        <v>0</v>
      </c>
      <c r="W32">
        <f>IF($G32="s-curve",$E32+($F32-$E32)*$L$2/(1+EXP($L$3*(COUNT($L$9:W$9)+$L$4))),TREND($E32:$F32,$E$9:$F$9,W$9))</f>
        <v>0</v>
      </c>
      <c r="X32">
        <f>IF($G32="s-curve",$E32+($F32-$E32)*$L$2/(1+EXP($L$3*(COUNT($L$9:X$9)+$L$4))),TREND($E32:$F32,$E$9:$F$9,X$9))</f>
        <v>0</v>
      </c>
      <c r="Y32">
        <f>IF($G32="s-curve",$E32+($F32-$E32)*$L$2/(1+EXP($L$3*(COUNT($L$9:Y$9)+$L$4))),TREND($E32:$F32,$E$9:$F$9,Y$9))</f>
        <v>0</v>
      </c>
      <c r="Z32">
        <f>IF($G32="s-curve",$E32+($F32-$E32)*$L$2/(1+EXP($L$3*(COUNT($L$9:Z$9)+$L$4))),TREND($E32:$F32,$E$9:$F$9,Z$9))</f>
        <v>0</v>
      </c>
      <c r="AA32">
        <f>IF($G32="s-curve",$E32+($F32-$E32)*$L$2/(1+EXP($L$3*(COUNT($L$9:AA$9)+$L$4))),TREND($E32:$F32,$E$9:$F$9,AA$9))</f>
        <v>0</v>
      </c>
      <c r="AB32">
        <f>IF($G32="s-curve",$E32+($F32-$E32)*$L$2/(1+EXP($L$3*(COUNT($L$9:AB$9)+$L$4))),TREND($E32:$F32,$E$9:$F$9,AB$9))</f>
        <v>0</v>
      </c>
      <c r="AC32">
        <f>IF($G32="s-curve",$E32+($F32-$E32)*$L$2/(1+EXP($L$3*(COUNT($L$9:AC$9)+$L$4))),TREND($E32:$F32,$E$9:$F$9,AC$9))</f>
        <v>0</v>
      </c>
      <c r="AD32">
        <f>IF($G32="s-curve",$E32+($F32-$E32)*$L$2/(1+EXP($L$3*(COUNT($L$9:AD$9)+$L$4))),TREND($E32:$F32,$E$9:$F$9,AD$9))</f>
        <v>0</v>
      </c>
      <c r="AE32">
        <f>IF($G32="s-curve",$E32+($F32-$E32)*$L$2/(1+EXP($L$3*(COUNT($L$9:AE$9)+$L$4))),TREND($E32:$F32,$E$9:$F$9,AE$9))</f>
        <v>0</v>
      </c>
      <c r="AF32">
        <f>IF($G32="s-curve",$E32+($F32-$E32)*$L$2/(1+EXP($L$3*(COUNT($L$9:AF$9)+$L$4))),TREND($E32:$F32,$E$9:$F$9,AF$9))</f>
        <v>0</v>
      </c>
      <c r="AG32">
        <f>IF($G32="s-curve",$E32+($F32-$E32)*$L$2/(1+EXP($L$3*(COUNT($L$9:AG$9)+$L$4))),TREND($E32:$F32,$E$9:$F$9,AG$9))</f>
        <v>0</v>
      </c>
      <c r="AH32">
        <f>IF($G32="s-curve",$E32+($F32-$E32)*$L$2/(1+EXP($L$3*(COUNT($L$9:AH$9)+$L$4))),TREND($E32:$F32,$E$9:$F$9,AH$9))</f>
        <v>0</v>
      </c>
      <c r="AI32">
        <f>IF($G32="s-curve",$E32+($F32-$E32)*$L$2/(1+EXP($L$3*(COUNT($L$9:AI$9)+$L$4))),TREND($E32:$F32,$E$9:$F$9,AI$9))</f>
        <v>0</v>
      </c>
      <c r="AJ32">
        <f>IF($G32="s-curve",$E32+($F32-$E32)*$L$2/(1+EXP($L$3*(COUNT($L$9:AJ$9)+$L$4))),TREND($E32:$F32,$E$9:$F$9,AJ$9))</f>
        <v>0</v>
      </c>
      <c r="AK32">
        <f>IF($G32="s-curve",$E32+($F32-$E32)*$L$2/(1+EXP($L$3*(COUNT($L$9:AK$9)+$L$4))),TREND($E32:$F32,$E$9:$F$9,AK$9))</f>
        <v>0</v>
      </c>
      <c r="AL32">
        <f>IF($G32="s-curve",$E32+($F32-$E32)*$L$2/(1+EXP($L$3*(COUNT($L$9:AL$9)+$L$4))),TREND($E32:$F32,$E$9:$F$9,AL$9))</f>
        <v>0</v>
      </c>
    </row>
    <row r="33" spans="1:38" x14ac:dyDescent="0.35">
      <c r="C33" t="s">
        <v>39</v>
      </c>
      <c r="D33">
        <v>0</v>
      </c>
      <c r="E33">
        <v>0</v>
      </c>
      <c r="F33" s="16">
        <f>E33</f>
        <v>0</v>
      </c>
      <c r="G33" s="5" t="str">
        <f>IF(E33=F33,"n/a",IF(OR(C33="battery electric vehicle",C33="natural gas vehicle",C33="plugin hybrid vehicle"),"s-curve","linear"))</f>
        <v>n/a</v>
      </c>
      <c r="I33">
        <f t="shared" ref="I33" si="26">J33</f>
        <v>0</v>
      </c>
      <c r="J33">
        <f t="shared" si="2"/>
        <v>0</v>
      </c>
      <c r="K33">
        <f t="shared" si="2"/>
        <v>0</v>
      </c>
      <c r="L33" s="16">
        <f t="shared" si="9"/>
        <v>0</v>
      </c>
      <c r="M33" s="16">
        <f t="shared" si="11"/>
        <v>0</v>
      </c>
      <c r="N33">
        <f>IF($G33="s-curve",$E33+($F33-$E33)*$L$2/(1+EXP($L$3*(COUNT($L$9:N$9)+$L$4))),TREND($E33:$F33,$E$9:$F$9,N$9))</f>
        <v>0</v>
      </c>
      <c r="O33">
        <f>IF($G33="s-curve",$E33+($F33-$E33)*$L$2/(1+EXP($L$3*(COUNT($L$9:O$9)+$L$4))),TREND($E33:$F33,$E$9:$F$9,O$9))</f>
        <v>0</v>
      </c>
      <c r="P33">
        <f>IF($G33="s-curve",$E33+($F33-$E33)*$L$2/(1+EXP($L$3*(COUNT($L$9:P$9)+$L$4))),TREND($E33:$F33,$E$9:$F$9,P$9))</f>
        <v>0</v>
      </c>
      <c r="Q33">
        <f>IF($G33="s-curve",$E33+($F33-$E33)*$L$2/(1+EXP($L$3*(COUNT($L$9:Q$9)+$L$4))),TREND($E33:$F33,$E$9:$F$9,Q$9))</f>
        <v>0</v>
      </c>
      <c r="R33">
        <f>IF($G33="s-curve",$E33+($F33-$E33)*$L$2/(1+EXP($L$3*(COUNT($L$9:R$9)+$L$4))),TREND($E33:$F33,$E$9:$F$9,R$9))</f>
        <v>0</v>
      </c>
      <c r="S33">
        <f>IF($G33="s-curve",$E33+($F33-$E33)*$L$2/(1+EXP($L$3*(COUNT($L$9:S$9)+$L$4))),TREND($E33:$F33,$E$9:$F$9,S$9))</f>
        <v>0</v>
      </c>
      <c r="T33">
        <f>IF($G33="s-curve",$E33+($F33-$E33)*$L$2/(1+EXP($L$3*(COUNT($L$9:T$9)+$L$4))),TREND($E33:$F33,$E$9:$F$9,T$9))</f>
        <v>0</v>
      </c>
      <c r="U33">
        <f>IF($G33="s-curve",$E33+($F33-$E33)*$L$2/(1+EXP($L$3*(COUNT($L$9:U$9)+$L$4))),TREND($E33:$F33,$E$9:$F$9,U$9))</f>
        <v>0</v>
      </c>
      <c r="V33">
        <f>IF($G33="s-curve",$E33+($F33-$E33)*$L$2/(1+EXP($L$3*(COUNT($L$9:V$9)+$L$4))),TREND($E33:$F33,$E$9:$F$9,V$9))</f>
        <v>0</v>
      </c>
      <c r="W33">
        <f>IF($G33="s-curve",$E33+($F33-$E33)*$L$2/(1+EXP($L$3*(COUNT($L$9:W$9)+$L$4))),TREND($E33:$F33,$E$9:$F$9,W$9))</f>
        <v>0</v>
      </c>
      <c r="X33">
        <f>IF($G33="s-curve",$E33+($F33-$E33)*$L$2/(1+EXP($L$3*(COUNT($L$9:X$9)+$L$4))),TREND($E33:$F33,$E$9:$F$9,X$9))</f>
        <v>0</v>
      </c>
      <c r="Y33">
        <f>IF($G33="s-curve",$E33+($F33-$E33)*$L$2/(1+EXP($L$3*(COUNT($L$9:Y$9)+$L$4))),TREND($E33:$F33,$E$9:$F$9,Y$9))</f>
        <v>0</v>
      </c>
      <c r="Z33">
        <f>IF($G33="s-curve",$E33+($F33-$E33)*$L$2/(1+EXP($L$3*(COUNT($L$9:Z$9)+$L$4))),TREND($E33:$F33,$E$9:$F$9,Z$9))</f>
        <v>0</v>
      </c>
      <c r="AA33">
        <f>IF($G33="s-curve",$E33+($F33-$E33)*$L$2/(1+EXP($L$3*(COUNT($L$9:AA$9)+$L$4))),TREND($E33:$F33,$E$9:$F$9,AA$9))</f>
        <v>0</v>
      </c>
      <c r="AB33">
        <f>IF($G33="s-curve",$E33+($F33-$E33)*$L$2/(1+EXP($L$3*(COUNT($L$9:AB$9)+$L$4))),TREND($E33:$F33,$E$9:$F$9,AB$9))</f>
        <v>0</v>
      </c>
      <c r="AC33">
        <f>IF($G33="s-curve",$E33+($F33-$E33)*$L$2/(1+EXP($L$3*(COUNT($L$9:AC$9)+$L$4))),TREND($E33:$F33,$E$9:$F$9,AC$9))</f>
        <v>0</v>
      </c>
      <c r="AD33">
        <f>IF($G33="s-curve",$E33+($F33-$E33)*$L$2/(1+EXP($L$3*(COUNT($L$9:AD$9)+$L$4))),TREND($E33:$F33,$E$9:$F$9,AD$9))</f>
        <v>0</v>
      </c>
      <c r="AE33">
        <f>IF($G33="s-curve",$E33+($F33-$E33)*$L$2/(1+EXP($L$3*(COUNT($L$9:AE$9)+$L$4))),TREND($E33:$F33,$E$9:$F$9,AE$9))</f>
        <v>0</v>
      </c>
      <c r="AF33">
        <f>IF($G33="s-curve",$E33+($F33-$E33)*$L$2/(1+EXP($L$3*(COUNT($L$9:AF$9)+$L$4))),TREND($E33:$F33,$E$9:$F$9,AF$9))</f>
        <v>0</v>
      </c>
      <c r="AG33">
        <f>IF($G33="s-curve",$E33+($F33-$E33)*$L$2/(1+EXP($L$3*(COUNT($L$9:AG$9)+$L$4))),TREND($E33:$F33,$E$9:$F$9,AG$9))</f>
        <v>0</v>
      </c>
      <c r="AH33">
        <f>IF($G33="s-curve",$E33+($F33-$E33)*$L$2/(1+EXP($L$3*(COUNT($L$9:AH$9)+$L$4))),TREND($E33:$F33,$E$9:$F$9,AH$9))</f>
        <v>0</v>
      </c>
      <c r="AI33">
        <f>IF($G33="s-curve",$E33+($F33-$E33)*$L$2/(1+EXP($L$3*(COUNT($L$9:AI$9)+$L$4))),TREND($E33:$F33,$E$9:$F$9,AI$9))</f>
        <v>0</v>
      </c>
      <c r="AJ33">
        <f>IF($G33="s-curve",$E33+($F33-$E33)*$L$2/(1+EXP($L$3*(COUNT($L$9:AJ$9)+$L$4))),TREND($E33:$F33,$E$9:$F$9,AJ$9))</f>
        <v>0</v>
      </c>
      <c r="AK33">
        <f>IF($G33="s-curve",$E33+($F33-$E33)*$L$2/(1+EXP($L$3*(COUNT($L$9:AK$9)+$L$4))),TREND($E33:$F33,$E$9:$F$9,AK$9))</f>
        <v>0</v>
      </c>
      <c r="AL33">
        <f>IF($G33="s-curve",$E33+($F33-$E33)*$L$2/(1+EXP($L$3*(COUNT($L$9:AL$9)+$L$4))),TREND($E33:$F33,$E$9:$F$9,AL$9))</f>
        <v>0</v>
      </c>
    </row>
    <row r="34" spans="1:38" x14ac:dyDescent="0.3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>
        <f t="shared" ref="I34" si="27">J34</f>
        <v>1</v>
      </c>
      <c r="J34">
        <f t="shared" si="2"/>
        <v>1</v>
      </c>
      <c r="K34">
        <f t="shared" si="2"/>
        <v>1</v>
      </c>
      <c r="L34" s="16">
        <f t="shared" si="9"/>
        <v>1</v>
      </c>
      <c r="M34" s="16">
        <f t="shared" si="11"/>
        <v>1</v>
      </c>
      <c r="N34">
        <f>IF($G34="s-curve",$E34+($F34-$E34)*$L$2/(1+EXP($L$3*(COUNT($L$9:N$9)+$L$4))),TREND($E34:$F34,$E$9:$F$9,N$9))</f>
        <v>1</v>
      </c>
      <c r="O34">
        <f>IF($G34="s-curve",$E34+($F34-$E34)*$L$2/(1+EXP($L$3*(COUNT($L$9:O$9)+$L$4))),TREND($E34:$F34,$E$9:$F$9,O$9))</f>
        <v>1</v>
      </c>
      <c r="P34">
        <f>IF($G34="s-curve",$E34+($F34-$E34)*$L$2/(1+EXP($L$3*(COUNT($L$9:P$9)+$L$4))),TREND($E34:$F34,$E$9:$F$9,P$9))</f>
        <v>1</v>
      </c>
      <c r="Q34">
        <f>IF($G34="s-curve",$E34+($F34-$E34)*$L$2/(1+EXP($L$3*(COUNT($L$9:Q$9)+$L$4))),TREND($E34:$F34,$E$9:$F$9,Q$9))</f>
        <v>1</v>
      </c>
      <c r="R34">
        <f>IF($G34="s-curve",$E34+($F34-$E34)*$L$2/(1+EXP($L$3*(COUNT($L$9:R$9)+$L$4))),TREND($E34:$F34,$E$9:$F$9,R$9))</f>
        <v>1</v>
      </c>
      <c r="S34">
        <f>IF($G34="s-curve",$E34+($F34-$E34)*$L$2/(1+EXP($L$3*(COUNT($L$9:S$9)+$L$4))),TREND($E34:$F34,$E$9:$F$9,S$9))</f>
        <v>1</v>
      </c>
      <c r="T34">
        <f>IF($G34="s-curve",$E34+($F34-$E34)*$L$2/(1+EXP($L$3*(COUNT($L$9:T$9)+$L$4))),TREND($E34:$F34,$E$9:$F$9,T$9))</f>
        <v>1</v>
      </c>
      <c r="U34">
        <f>IF($G34="s-curve",$E34+($F34-$E34)*$L$2/(1+EXP($L$3*(COUNT($L$9:U$9)+$L$4))),TREND($E34:$F34,$E$9:$F$9,U$9))</f>
        <v>1</v>
      </c>
      <c r="V34">
        <f>IF($G34="s-curve",$E34+($F34-$E34)*$L$2/(1+EXP($L$3*(COUNT($L$9:V$9)+$L$4))),TREND($E34:$F34,$E$9:$F$9,V$9))</f>
        <v>1</v>
      </c>
      <c r="W34">
        <f>IF($G34="s-curve",$E34+($F34-$E34)*$L$2/(1+EXP($L$3*(COUNT($L$9:W$9)+$L$4))),TREND($E34:$F34,$E$9:$F$9,W$9))</f>
        <v>1</v>
      </c>
      <c r="X34">
        <f>IF($G34="s-curve",$E34+($F34-$E34)*$L$2/(1+EXP($L$3*(COUNT($L$9:X$9)+$L$4))),TREND($E34:$F34,$E$9:$F$9,X$9))</f>
        <v>1</v>
      </c>
      <c r="Y34">
        <f>IF($G34="s-curve",$E34+($F34-$E34)*$L$2/(1+EXP($L$3*(COUNT($L$9:Y$9)+$L$4))),TREND($E34:$F34,$E$9:$F$9,Y$9))</f>
        <v>1</v>
      </c>
      <c r="Z34">
        <f>IF($G34="s-curve",$E34+($F34-$E34)*$L$2/(1+EXP($L$3*(COUNT($L$9:Z$9)+$L$4))),TREND($E34:$F34,$E$9:$F$9,Z$9))</f>
        <v>1</v>
      </c>
      <c r="AA34">
        <f>IF($G34="s-curve",$E34+($F34-$E34)*$L$2/(1+EXP($L$3*(COUNT($L$9:AA$9)+$L$4))),TREND($E34:$F34,$E$9:$F$9,AA$9))</f>
        <v>1</v>
      </c>
      <c r="AB34">
        <f>IF($G34="s-curve",$E34+($F34-$E34)*$L$2/(1+EXP($L$3*(COUNT($L$9:AB$9)+$L$4))),TREND($E34:$F34,$E$9:$F$9,AB$9))</f>
        <v>1</v>
      </c>
      <c r="AC34">
        <f>IF($G34="s-curve",$E34+($F34-$E34)*$L$2/(1+EXP($L$3*(COUNT($L$9:AC$9)+$L$4))),TREND($E34:$F34,$E$9:$F$9,AC$9))</f>
        <v>1</v>
      </c>
      <c r="AD34">
        <f>IF($G34="s-curve",$E34+($F34-$E34)*$L$2/(1+EXP($L$3*(COUNT($L$9:AD$9)+$L$4))),TREND($E34:$F34,$E$9:$F$9,AD$9))</f>
        <v>1</v>
      </c>
      <c r="AE34">
        <f>IF($G34="s-curve",$E34+($F34-$E34)*$L$2/(1+EXP($L$3*(COUNT($L$9:AE$9)+$L$4))),TREND($E34:$F34,$E$9:$F$9,AE$9))</f>
        <v>1</v>
      </c>
      <c r="AF34">
        <f>IF($G34="s-curve",$E34+($F34-$E34)*$L$2/(1+EXP($L$3*(COUNT($L$9:AF$9)+$L$4))),TREND($E34:$F34,$E$9:$F$9,AF$9))</f>
        <v>1</v>
      </c>
      <c r="AG34">
        <f>IF($G34="s-curve",$E34+($F34-$E34)*$L$2/(1+EXP($L$3*(COUNT($L$9:AG$9)+$L$4))),TREND($E34:$F34,$E$9:$F$9,AG$9))</f>
        <v>1</v>
      </c>
      <c r="AH34">
        <f>IF($G34="s-curve",$E34+($F34-$E34)*$L$2/(1+EXP($L$3*(COUNT($L$9:AH$9)+$L$4))),TREND($E34:$F34,$E$9:$F$9,AH$9))</f>
        <v>1</v>
      </c>
      <c r="AI34">
        <f>IF($G34="s-curve",$E34+($F34-$E34)*$L$2/(1+EXP($L$3*(COUNT($L$9:AI$9)+$L$4))),TREND($E34:$F34,$E$9:$F$9,AI$9))</f>
        <v>1</v>
      </c>
      <c r="AJ34">
        <f>IF($G34="s-curve",$E34+($F34-$E34)*$L$2/(1+EXP($L$3*(COUNT($L$9:AJ$9)+$L$4))),TREND($E34:$F34,$E$9:$F$9,AJ$9))</f>
        <v>1</v>
      </c>
      <c r="AK34">
        <f>IF($G34="s-curve",$E34+($F34-$E34)*$L$2/(1+EXP($L$3*(COUNT($L$9:AK$9)+$L$4))),TREND($E34:$F34,$E$9:$F$9,AK$9))</f>
        <v>1</v>
      </c>
      <c r="AL34">
        <f>IF($G34="s-curve",$E34+($F34-$E34)*$L$2/(1+EXP($L$3*(COUNT($L$9:AL$9)+$L$4))),TREND($E34:$F34,$E$9:$F$9,AL$9))</f>
        <v>1</v>
      </c>
    </row>
    <row r="35" spans="1:38" x14ac:dyDescent="0.3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>
        <f t="shared" ref="I35" si="28">J35</f>
        <v>0</v>
      </c>
      <c r="J35">
        <f t="shared" si="2"/>
        <v>0</v>
      </c>
      <c r="K35">
        <f t="shared" si="2"/>
        <v>0</v>
      </c>
      <c r="L35" s="16">
        <f t="shared" si="9"/>
        <v>0</v>
      </c>
      <c r="M35" s="16">
        <f t="shared" si="11"/>
        <v>0</v>
      </c>
      <c r="N35">
        <f>IF($G35="s-curve",$E35+($F35-$E35)*$L$2/(1+EXP($L$3*(COUNT($L$9:N$9)+$L$4))),TREND($E35:$F35,$E$9:$F$9,N$9))</f>
        <v>0</v>
      </c>
      <c r="O35">
        <f>IF($G35="s-curve",$E35+($F35-$E35)*$L$2/(1+EXP($L$3*(COUNT($L$9:O$9)+$L$4))),TREND($E35:$F35,$E$9:$F$9,O$9))</f>
        <v>0</v>
      </c>
      <c r="P35">
        <f>IF($G35="s-curve",$E35+($F35-$E35)*$L$2/(1+EXP($L$3*(COUNT($L$9:P$9)+$L$4))),TREND($E35:$F35,$E$9:$F$9,P$9))</f>
        <v>0</v>
      </c>
      <c r="Q35">
        <f>IF($G35="s-curve",$E35+($F35-$E35)*$L$2/(1+EXP($L$3*(COUNT($L$9:Q$9)+$L$4))),TREND($E35:$F35,$E$9:$F$9,Q$9))</f>
        <v>0</v>
      </c>
      <c r="R35">
        <f>IF($G35="s-curve",$E35+($F35-$E35)*$L$2/(1+EXP($L$3*(COUNT($L$9:R$9)+$L$4))),TREND($E35:$F35,$E$9:$F$9,R$9))</f>
        <v>0</v>
      </c>
      <c r="S35">
        <f>IF($G35="s-curve",$E35+($F35-$E35)*$L$2/(1+EXP($L$3*(COUNT($L$9:S$9)+$L$4))),TREND($E35:$F35,$E$9:$F$9,S$9))</f>
        <v>0</v>
      </c>
      <c r="T35">
        <f>IF($G35="s-curve",$E35+($F35-$E35)*$L$2/(1+EXP($L$3*(COUNT($L$9:T$9)+$L$4))),TREND($E35:$F35,$E$9:$F$9,T$9))</f>
        <v>0</v>
      </c>
      <c r="U35">
        <f>IF($G35="s-curve",$E35+($F35-$E35)*$L$2/(1+EXP($L$3*(COUNT($L$9:U$9)+$L$4))),TREND($E35:$F35,$E$9:$F$9,U$9))</f>
        <v>0</v>
      </c>
      <c r="V35">
        <f>IF($G35="s-curve",$E35+($F35-$E35)*$L$2/(1+EXP($L$3*(COUNT($L$9:V$9)+$L$4))),TREND($E35:$F35,$E$9:$F$9,V$9))</f>
        <v>0</v>
      </c>
      <c r="W35">
        <f>IF($G35="s-curve",$E35+($F35-$E35)*$L$2/(1+EXP($L$3*(COUNT($L$9:W$9)+$L$4))),TREND($E35:$F35,$E$9:$F$9,W$9))</f>
        <v>0</v>
      </c>
      <c r="X35">
        <f>IF($G35="s-curve",$E35+($F35-$E35)*$L$2/(1+EXP($L$3*(COUNT($L$9:X$9)+$L$4))),TREND($E35:$F35,$E$9:$F$9,X$9))</f>
        <v>0</v>
      </c>
      <c r="Y35">
        <f>IF($G35="s-curve",$E35+($F35-$E35)*$L$2/(1+EXP($L$3*(COUNT($L$9:Y$9)+$L$4))),TREND($E35:$F35,$E$9:$F$9,Y$9))</f>
        <v>0</v>
      </c>
      <c r="Z35">
        <f>IF($G35="s-curve",$E35+($F35-$E35)*$L$2/(1+EXP($L$3*(COUNT($L$9:Z$9)+$L$4))),TREND($E35:$F35,$E$9:$F$9,Z$9))</f>
        <v>0</v>
      </c>
      <c r="AA35">
        <f>IF($G35="s-curve",$E35+($F35-$E35)*$L$2/(1+EXP($L$3*(COUNT($L$9:AA$9)+$L$4))),TREND($E35:$F35,$E$9:$F$9,AA$9))</f>
        <v>0</v>
      </c>
      <c r="AB35">
        <f>IF($G35="s-curve",$E35+($F35-$E35)*$L$2/(1+EXP($L$3*(COUNT($L$9:AB$9)+$L$4))),TREND($E35:$F35,$E$9:$F$9,AB$9))</f>
        <v>0</v>
      </c>
      <c r="AC35">
        <f>IF($G35="s-curve",$E35+($F35-$E35)*$L$2/(1+EXP($L$3*(COUNT($L$9:AC$9)+$L$4))),TREND($E35:$F35,$E$9:$F$9,AC$9))</f>
        <v>0</v>
      </c>
      <c r="AD35">
        <f>IF($G35="s-curve",$E35+($F35-$E35)*$L$2/(1+EXP($L$3*(COUNT($L$9:AD$9)+$L$4))),TREND($E35:$F35,$E$9:$F$9,AD$9))</f>
        <v>0</v>
      </c>
      <c r="AE35">
        <f>IF($G35="s-curve",$E35+($F35-$E35)*$L$2/(1+EXP($L$3*(COUNT($L$9:AE$9)+$L$4))),TREND($E35:$F35,$E$9:$F$9,AE$9))</f>
        <v>0</v>
      </c>
      <c r="AF35">
        <f>IF($G35="s-curve",$E35+($F35-$E35)*$L$2/(1+EXP($L$3*(COUNT($L$9:AF$9)+$L$4))),TREND($E35:$F35,$E$9:$F$9,AF$9))</f>
        <v>0</v>
      </c>
      <c r="AG35">
        <f>IF($G35="s-curve",$E35+($F35-$E35)*$L$2/(1+EXP($L$3*(COUNT($L$9:AG$9)+$L$4))),TREND($E35:$F35,$E$9:$F$9,AG$9))</f>
        <v>0</v>
      </c>
      <c r="AH35">
        <f>IF($G35="s-curve",$E35+($F35-$E35)*$L$2/(1+EXP($L$3*(COUNT($L$9:AH$9)+$L$4))),TREND($E35:$F35,$E$9:$F$9,AH$9))</f>
        <v>0</v>
      </c>
      <c r="AI35">
        <f>IF($G35="s-curve",$E35+($F35-$E35)*$L$2/(1+EXP($L$3*(COUNT($L$9:AI$9)+$L$4))),TREND($E35:$F35,$E$9:$F$9,AI$9))</f>
        <v>0</v>
      </c>
      <c r="AJ35">
        <f>IF($G35="s-curve",$E35+($F35-$E35)*$L$2/(1+EXP($L$3*(COUNT($L$9:AJ$9)+$L$4))),TREND($E35:$F35,$E$9:$F$9,AJ$9))</f>
        <v>0</v>
      </c>
      <c r="AK35">
        <f>IF($G35="s-curve",$E35+($F35-$E35)*$L$2/(1+EXP($L$3*(COUNT($L$9:AK$9)+$L$4))),TREND($E35:$F35,$E$9:$F$9,AK$9))</f>
        <v>0</v>
      </c>
      <c r="AL35">
        <f>IF($G35="s-curve",$E35+($F35-$E35)*$L$2/(1+EXP($L$3*(COUNT($L$9:AL$9)+$L$4))),TREND($E35:$F35,$E$9:$F$9,AL$9))</f>
        <v>0</v>
      </c>
    </row>
    <row r="36" spans="1:38" x14ac:dyDescent="0.3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>
        <f t="shared" ref="I36" si="29">J36</f>
        <v>0</v>
      </c>
      <c r="J36">
        <f t="shared" si="2"/>
        <v>0</v>
      </c>
      <c r="K36">
        <f t="shared" si="2"/>
        <v>0</v>
      </c>
      <c r="L36" s="16">
        <f t="shared" si="9"/>
        <v>0</v>
      </c>
      <c r="M36" s="16">
        <f t="shared" si="11"/>
        <v>0</v>
      </c>
      <c r="N36">
        <f>IF($G36="s-curve",$E36+($F36-$E36)*$L$2/(1+EXP($L$3*(COUNT($L$9:N$9)+$L$4))),TREND($E36:$F36,$E$9:$F$9,N$9))</f>
        <v>0</v>
      </c>
      <c r="O36">
        <f>IF($G36="s-curve",$E36+($F36-$E36)*$L$2/(1+EXP($L$3*(COUNT($L$9:O$9)+$L$4))),TREND($E36:$F36,$E$9:$F$9,O$9))</f>
        <v>0</v>
      </c>
      <c r="P36">
        <f>IF($G36="s-curve",$E36+($F36-$E36)*$L$2/(1+EXP($L$3*(COUNT($L$9:P$9)+$L$4))),TREND($E36:$F36,$E$9:$F$9,P$9))</f>
        <v>0</v>
      </c>
      <c r="Q36">
        <f>IF($G36="s-curve",$E36+($F36-$E36)*$L$2/(1+EXP($L$3*(COUNT($L$9:Q$9)+$L$4))),TREND($E36:$F36,$E$9:$F$9,Q$9))</f>
        <v>0</v>
      </c>
      <c r="R36">
        <f>IF($G36="s-curve",$E36+($F36-$E36)*$L$2/(1+EXP($L$3*(COUNT($L$9:R$9)+$L$4))),TREND($E36:$F36,$E$9:$F$9,R$9))</f>
        <v>0</v>
      </c>
      <c r="S36">
        <f>IF($G36="s-curve",$E36+($F36-$E36)*$L$2/(1+EXP($L$3*(COUNT($L$9:S$9)+$L$4))),TREND($E36:$F36,$E$9:$F$9,S$9))</f>
        <v>0</v>
      </c>
      <c r="T36">
        <f>IF($G36="s-curve",$E36+($F36-$E36)*$L$2/(1+EXP($L$3*(COUNT($L$9:T$9)+$L$4))),TREND($E36:$F36,$E$9:$F$9,T$9))</f>
        <v>0</v>
      </c>
      <c r="U36">
        <f>IF($G36="s-curve",$E36+($F36-$E36)*$L$2/(1+EXP($L$3*(COUNT($L$9:U$9)+$L$4))),TREND($E36:$F36,$E$9:$F$9,U$9))</f>
        <v>0</v>
      </c>
      <c r="V36">
        <f>IF($G36="s-curve",$E36+($F36-$E36)*$L$2/(1+EXP($L$3*(COUNT($L$9:V$9)+$L$4))),TREND($E36:$F36,$E$9:$F$9,V$9))</f>
        <v>0</v>
      </c>
      <c r="W36">
        <f>IF($G36="s-curve",$E36+($F36-$E36)*$L$2/(1+EXP($L$3*(COUNT($L$9:W$9)+$L$4))),TREND($E36:$F36,$E$9:$F$9,W$9))</f>
        <v>0</v>
      </c>
      <c r="X36">
        <f>IF($G36="s-curve",$E36+($F36-$E36)*$L$2/(1+EXP($L$3*(COUNT($L$9:X$9)+$L$4))),TREND($E36:$F36,$E$9:$F$9,X$9))</f>
        <v>0</v>
      </c>
      <c r="Y36">
        <f>IF($G36="s-curve",$E36+($F36-$E36)*$L$2/(1+EXP($L$3*(COUNT($L$9:Y$9)+$L$4))),TREND($E36:$F36,$E$9:$F$9,Y$9))</f>
        <v>0</v>
      </c>
      <c r="Z36">
        <f>IF($G36="s-curve",$E36+($F36-$E36)*$L$2/(1+EXP($L$3*(COUNT($L$9:Z$9)+$L$4))),TREND($E36:$F36,$E$9:$F$9,Z$9))</f>
        <v>0</v>
      </c>
      <c r="AA36">
        <f>IF($G36="s-curve",$E36+($F36-$E36)*$L$2/(1+EXP($L$3*(COUNT($L$9:AA$9)+$L$4))),TREND($E36:$F36,$E$9:$F$9,AA$9))</f>
        <v>0</v>
      </c>
      <c r="AB36">
        <f>IF($G36="s-curve",$E36+($F36-$E36)*$L$2/(1+EXP($L$3*(COUNT($L$9:AB$9)+$L$4))),TREND($E36:$F36,$E$9:$F$9,AB$9))</f>
        <v>0</v>
      </c>
      <c r="AC36">
        <f>IF($G36="s-curve",$E36+($F36-$E36)*$L$2/(1+EXP($L$3*(COUNT($L$9:AC$9)+$L$4))),TREND($E36:$F36,$E$9:$F$9,AC$9))</f>
        <v>0</v>
      </c>
      <c r="AD36">
        <f>IF($G36="s-curve",$E36+($F36-$E36)*$L$2/(1+EXP($L$3*(COUNT($L$9:AD$9)+$L$4))),TREND($E36:$F36,$E$9:$F$9,AD$9))</f>
        <v>0</v>
      </c>
      <c r="AE36">
        <f>IF($G36="s-curve",$E36+($F36-$E36)*$L$2/(1+EXP($L$3*(COUNT($L$9:AE$9)+$L$4))),TREND($E36:$F36,$E$9:$F$9,AE$9))</f>
        <v>0</v>
      </c>
      <c r="AF36">
        <f>IF($G36="s-curve",$E36+($F36-$E36)*$L$2/(1+EXP($L$3*(COUNT($L$9:AF$9)+$L$4))),TREND($E36:$F36,$E$9:$F$9,AF$9))</f>
        <v>0</v>
      </c>
      <c r="AG36">
        <f>IF($G36="s-curve",$E36+($F36-$E36)*$L$2/(1+EXP($L$3*(COUNT($L$9:AG$9)+$L$4))),TREND($E36:$F36,$E$9:$F$9,AG$9))</f>
        <v>0</v>
      </c>
      <c r="AH36">
        <f>IF($G36="s-curve",$E36+($F36-$E36)*$L$2/(1+EXP($L$3*(COUNT($L$9:AH$9)+$L$4))),TREND($E36:$F36,$E$9:$F$9,AH$9))</f>
        <v>0</v>
      </c>
      <c r="AI36">
        <f>IF($G36="s-curve",$E36+($F36-$E36)*$L$2/(1+EXP($L$3*(COUNT($L$9:AI$9)+$L$4))),TREND($E36:$F36,$E$9:$F$9,AI$9))</f>
        <v>0</v>
      </c>
      <c r="AJ36">
        <f>IF($G36="s-curve",$E36+($F36-$E36)*$L$2/(1+EXP($L$3*(COUNT($L$9:AJ$9)+$L$4))),TREND($E36:$F36,$E$9:$F$9,AJ$9))</f>
        <v>0</v>
      </c>
      <c r="AK36">
        <f>IF($G36="s-curve",$E36+($F36-$E36)*$L$2/(1+EXP($L$3*(COUNT($L$9:AK$9)+$L$4))),TREND($E36:$F36,$E$9:$F$9,AK$9))</f>
        <v>0</v>
      </c>
      <c r="AL36">
        <f>IF($G36="s-curve",$E36+($F36-$E36)*$L$2/(1+EXP($L$3*(COUNT($L$9:AL$9)+$L$4))),TREND($E36:$F36,$E$9:$F$9,AL$9))</f>
        <v>0</v>
      </c>
    </row>
    <row r="37" spans="1:38" ht="15.75" customHeight="1" thickBot="1" x14ac:dyDescent="0.4">
      <c r="A37" s="17"/>
      <c r="B37" s="17"/>
      <c r="C37" s="17" t="s">
        <v>43</v>
      </c>
      <c r="D37" s="20">
        <v>6.2247642917999998E-4</v>
      </c>
      <c r="E37" s="6">
        <v>3.70282921188E-3</v>
      </c>
      <c r="F37" s="20">
        <f>E37</f>
        <v>3.70282921188E-3</v>
      </c>
      <c r="G37" s="6" t="str">
        <f>IF(E37=F37,"n/a",IF(OR(C37="battery electric vehicle",C37="natural gas vehicle",C37="plugin hybrid vehicle",C37="hydrogen vehicle"),"s-curve","linear"))</f>
        <v>n/a</v>
      </c>
      <c r="I37">
        <f t="shared" ref="I37" si="30">J37</f>
        <v>6.2247642917999998E-4</v>
      </c>
      <c r="J37">
        <f t="shared" si="2"/>
        <v>6.2247642917999998E-4</v>
      </c>
      <c r="K37">
        <f t="shared" si="2"/>
        <v>6.2247642917999998E-4</v>
      </c>
      <c r="L37" s="16">
        <f t="shared" si="9"/>
        <v>6.2247642917999998E-4</v>
      </c>
      <c r="M37" s="16">
        <f t="shared" si="11"/>
        <v>3.70282921188E-3</v>
      </c>
      <c r="N37">
        <f>IF($G37="s-curve",$E37+($F37-$E37)*$L$2/(1+EXP($L$3*(COUNT($L$9:N$9)+$L$4))),TREND($E37:$F37,$E$9:$F$9,N$9))</f>
        <v>3.70282921188E-3</v>
      </c>
      <c r="O37">
        <f>IF($G37="s-curve",$E37+($F37-$E37)*$L$2/(1+EXP($L$3*(COUNT($L$9:O$9)+$L$4))),TREND($E37:$F37,$E$9:$F$9,O$9))</f>
        <v>3.70282921188E-3</v>
      </c>
      <c r="P37">
        <f>IF($G37="s-curve",$E37+($F37-$E37)*$L$2/(1+EXP($L$3*(COUNT($L$9:P$9)+$L$4))),TREND($E37:$F37,$E$9:$F$9,P$9))</f>
        <v>3.70282921188E-3</v>
      </c>
      <c r="Q37">
        <f>IF($G37="s-curve",$E37+($F37-$E37)*$L$2/(1+EXP($L$3*(COUNT($L$9:Q$9)+$L$4))),TREND($E37:$F37,$E$9:$F$9,Q$9))</f>
        <v>3.70282921188E-3</v>
      </c>
      <c r="R37">
        <f>IF($G37="s-curve",$E37+($F37-$E37)*$L$2/(1+EXP($L$3*(COUNT($L$9:R$9)+$L$4))),TREND($E37:$F37,$E$9:$F$9,R$9))</f>
        <v>3.70282921188E-3</v>
      </c>
      <c r="S37">
        <f>IF($G37="s-curve",$E37+($F37-$E37)*$L$2/(1+EXP($L$3*(COUNT($L$9:S$9)+$L$4))),TREND($E37:$F37,$E$9:$F$9,S$9))</f>
        <v>3.70282921188E-3</v>
      </c>
      <c r="T37">
        <f>IF($G37="s-curve",$E37+($F37-$E37)*$L$2/(1+EXP($L$3*(COUNT($L$9:T$9)+$L$4))),TREND($E37:$F37,$E$9:$F$9,T$9))</f>
        <v>3.70282921188E-3</v>
      </c>
      <c r="U37">
        <f>IF($G37="s-curve",$E37+($F37-$E37)*$L$2/(1+EXP($L$3*(COUNT($L$9:U$9)+$L$4))),TREND($E37:$F37,$E$9:$F$9,U$9))</f>
        <v>3.70282921188E-3</v>
      </c>
      <c r="V37">
        <f>IF($G37="s-curve",$E37+($F37-$E37)*$L$2/(1+EXP($L$3*(COUNT($L$9:V$9)+$L$4))),TREND($E37:$F37,$E$9:$F$9,V$9))</f>
        <v>3.70282921188E-3</v>
      </c>
      <c r="W37">
        <f>IF($G37="s-curve",$E37+($F37-$E37)*$L$2/(1+EXP($L$3*(COUNT($L$9:W$9)+$L$4))),TREND($E37:$F37,$E$9:$F$9,W$9))</f>
        <v>3.70282921188E-3</v>
      </c>
      <c r="X37">
        <f>IF($G37="s-curve",$E37+($F37-$E37)*$L$2/(1+EXP($L$3*(COUNT($L$9:X$9)+$L$4))),TREND($E37:$F37,$E$9:$F$9,X$9))</f>
        <v>3.70282921188E-3</v>
      </c>
      <c r="Y37">
        <f>IF($G37="s-curve",$E37+($F37-$E37)*$L$2/(1+EXP($L$3*(COUNT($L$9:Y$9)+$L$4))),TREND($E37:$F37,$E$9:$F$9,Y$9))</f>
        <v>3.70282921188E-3</v>
      </c>
      <c r="Z37">
        <f>IF($G37="s-curve",$E37+($F37-$E37)*$L$2/(1+EXP($L$3*(COUNT($L$9:Z$9)+$L$4))),TREND($E37:$F37,$E$9:$F$9,Z$9))</f>
        <v>3.70282921188E-3</v>
      </c>
      <c r="AA37">
        <f>IF($G37="s-curve",$E37+($F37-$E37)*$L$2/(1+EXP($L$3*(COUNT($L$9:AA$9)+$L$4))),TREND($E37:$F37,$E$9:$F$9,AA$9))</f>
        <v>3.70282921188E-3</v>
      </c>
      <c r="AB37">
        <f>IF($G37="s-curve",$E37+($F37-$E37)*$L$2/(1+EXP($L$3*(COUNT($L$9:AB$9)+$L$4))),TREND($E37:$F37,$E$9:$F$9,AB$9))</f>
        <v>3.70282921188E-3</v>
      </c>
      <c r="AC37">
        <f>IF($G37="s-curve",$E37+($F37-$E37)*$L$2/(1+EXP($L$3*(COUNT($L$9:AC$9)+$L$4))),TREND($E37:$F37,$E$9:$F$9,AC$9))</f>
        <v>3.70282921188E-3</v>
      </c>
      <c r="AD37">
        <f>IF($G37="s-curve",$E37+($F37-$E37)*$L$2/(1+EXP($L$3*(COUNT($L$9:AD$9)+$L$4))),TREND($E37:$F37,$E$9:$F$9,AD$9))</f>
        <v>3.70282921188E-3</v>
      </c>
      <c r="AE37">
        <f>IF($G37="s-curve",$E37+($F37-$E37)*$L$2/(1+EXP($L$3*(COUNT($L$9:AE$9)+$L$4))),TREND($E37:$F37,$E$9:$F$9,AE$9))</f>
        <v>3.70282921188E-3</v>
      </c>
      <c r="AF37">
        <f>IF($G37="s-curve",$E37+($F37-$E37)*$L$2/(1+EXP($L$3*(COUNT($L$9:AF$9)+$L$4))),TREND($E37:$F37,$E$9:$F$9,AF$9))</f>
        <v>3.70282921188E-3</v>
      </c>
      <c r="AG37">
        <f>IF($G37="s-curve",$E37+($F37-$E37)*$L$2/(1+EXP($L$3*(COUNT($L$9:AG$9)+$L$4))),TREND($E37:$F37,$E$9:$F$9,AG$9))</f>
        <v>3.70282921188E-3</v>
      </c>
      <c r="AH37">
        <f>IF($G37="s-curve",$E37+($F37-$E37)*$L$2/(1+EXP($L$3*(COUNT($L$9:AH$9)+$L$4))),TREND($E37:$F37,$E$9:$F$9,AH$9))</f>
        <v>3.70282921188E-3</v>
      </c>
      <c r="AI37">
        <f>IF($G37="s-curve",$E37+($F37-$E37)*$L$2/(1+EXP($L$3*(COUNT($L$9:AI$9)+$L$4))),TREND($E37:$F37,$E$9:$F$9,AI$9))</f>
        <v>3.70282921188E-3</v>
      </c>
      <c r="AJ37">
        <f>IF($G37="s-curve",$E37+($F37-$E37)*$L$2/(1+EXP($L$3*(COUNT($L$9:AJ$9)+$L$4))),TREND($E37:$F37,$E$9:$F$9,AJ$9))</f>
        <v>3.70282921188E-3</v>
      </c>
      <c r="AK37">
        <f>IF($G37="s-curve",$E37+($F37-$E37)*$L$2/(1+EXP($L$3*(COUNT($L$9:AK$9)+$L$4))),TREND($E37:$F37,$E$9:$F$9,AK$9))</f>
        <v>3.70282921188E-3</v>
      </c>
      <c r="AL37">
        <f>IF($G37="s-curve",$E37+($F37-$E37)*$L$2/(1+EXP($L$3*(COUNT($L$9:AL$9)+$L$4))),TREND($E37:$F37,$E$9:$F$9,AL$9))</f>
        <v>3.70282921188E-3</v>
      </c>
    </row>
    <row r="38" spans="1:38" x14ac:dyDescent="0.3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>
        <f t="shared" ref="I38" si="31">J38</f>
        <v>0</v>
      </c>
      <c r="J38">
        <f t="shared" si="2"/>
        <v>0</v>
      </c>
      <c r="K38">
        <f t="shared" si="2"/>
        <v>0</v>
      </c>
      <c r="L38" s="16">
        <f t="shared" ref="L38:L69" si="32">E38</f>
        <v>0</v>
      </c>
      <c r="M38">
        <f>IF($G38="s-curve",$E38+($F38-$E38)*$L$2/(1+EXP($L$3*(COUNT($L$9:M$9)+$L$4))),TREND($E38:$F38,$E$9:$F$9,M$9))</f>
        <v>0</v>
      </c>
      <c r="N38">
        <f>IF($G38="s-curve",$E38+($F38-$E38)*$L$2/(1+EXP($L$3*(COUNT($L$9:N$9)+$L$4))),TREND($E38:$F38,$E$9:$F$9,N$9))</f>
        <v>0</v>
      </c>
      <c r="O38">
        <f>IF($G38="s-curve",$E38+($F38-$E38)*$L$2/(1+EXP($L$3*(COUNT($L$9:O$9)+$L$4))),TREND($E38:$F38,$E$9:$F$9,O$9))</f>
        <v>0</v>
      </c>
      <c r="P38">
        <f>IF($G38="s-curve",$E38+($F38-$E38)*$L$2/(1+EXP($L$3*(COUNT($L$9:P$9)+$L$4))),TREND($E38:$F38,$E$9:$F$9,P$9))</f>
        <v>0</v>
      </c>
      <c r="Q38">
        <f>IF($G38="s-curve",$E38+($F38-$E38)*$L$2/(1+EXP($L$3*(COUNT($L$9:Q$9)+$L$4))),TREND($E38:$F38,$E$9:$F$9,Q$9))</f>
        <v>0</v>
      </c>
      <c r="R38">
        <f>IF($G38="s-curve",$E38+($F38-$E38)*$L$2/(1+EXP($L$3*(COUNT($L$9:R$9)+$L$4))),TREND($E38:$F38,$E$9:$F$9,R$9))</f>
        <v>0</v>
      </c>
      <c r="S38">
        <f>IF($G38="s-curve",$E38+($F38-$E38)*$L$2/(1+EXP($L$3*(COUNT($L$9:S$9)+$L$4))),TREND($E38:$F38,$E$9:$F$9,S$9))</f>
        <v>0</v>
      </c>
      <c r="T38">
        <f>IF($G38="s-curve",$E38+($F38-$E38)*$L$2/(1+EXP($L$3*(COUNT($L$9:T$9)+$L$4))),TREND($E38:$F38,$E$9:$F$9,T$9))</f>
        <v>0</v>
      </c>
      <c r="U38">
        <f>IF($G38="s-curve",$E38+($F38-$E38)*$L$2/(1+EXP($L$3*(COUNT($L$9:U$9)+$L$4))),TREND($E38:$F38,$E$9:$F$9,U$9))</f>
        <v>0</v>
      </c>
      <c r="V38">
        <f>IF($G38="s-curve",$E38+($F38-$E38)*$L$2/(1+EXP($L$3*(COUNT($L$9:V$9)+$L$4))),TREND($E38:$F38,$E$9:$F$9,V$9))</f>
        <v>0</v>
      </c>
      <c r="W38">
        <f>IF($G38="s-curve",$E38+($F38-$E38)*$L$2/(1+EXP($L$3*(COUNT($L$9:W$9)+$L$4))),TREND($E38:$F38,$E$9:$F$9,W$9))</f>
        <v>0</v>
      </c>
      <c r="X38">
        <f>IF($G38="s-curve",$E38+($F38-$E38)*$L$2/(1+EXP($L$3*(COUNT($L$9:X$9)+$L$4))),TREND($E38:$F38,$E$9:$F$9,X$9))</f>
        <v>0</v>
      </c>
      <c r="Y38">
        <f>IF($G38="s-curve",$E38+($F38-$E38)*$L$2/(1+EXP($L$3*(COUNT($L$9:Y$9)+$L$4))),TREND($E38:$F38,$E$9:$F$9,Y$9))</f>
        <v>0</v>
      </c>
      <c r="Z38">
        <f>IF($G38="s-curve",$E38+($F38-$E38)*$L$2/(1+EXP($L$3*(COUNT($L$9:Z$9)+$L$4))),TREND($E38:$F38,$E$9:$F$9,Z$9))</f>
        <v>0</v>
      </c>
      <c r="AA38">
        <f>IF($G38="s-curve",$E38+($F38-$E38)*$L$2/(1+EXP($L$3*(COUNT($L$9:AA$9)+$L$4))),TREND($E38:$F38,$E$9:$F$9,AA$9))</f>
        <v>0</v>
      </c>
      <c r="AB38">
        <f>IF($G38="s-curve",$E38+($F38-$E38)*$L$2/(1+EXP($L$3*(COUNT($L$9:AB$9)+$L$4))),TREND($E38:$F38,$E$9:$F$9,AB$9))</f>
        <v>0</v>
      </c>
      <c r="AC38">
        <f>IF($G38="s-curve",$E38+($F38-$E38)*$L$2/(1+EXP($L$3*(COUNT($L$9:AC$9)+$L$4))),TREND($E38:$F38,$E$9:$F$9,AC$9))</f>
        <v>0</v>
      </c>
      <c r="AD38">
        <f>IF($G38="s-curve",$E38+($F38-$E38)*$L$2/(1+EXP($L$3*(COUNT($L$9:AD$9)+$L$4))),TREND($E38:$F38,$E$9:$F$9,AD$9))</f>
        <v>0</v>
      </c>
      <c r="AE38">
        <f>IF($G38="s-curve",$E38+($F38-$E38)*$L$2/(1+EXP($L$3*(COUNT($L$9:AE$9)+$L$4))),TREND($E38:$F38,$E$9:$F$9,AE$9))</f>
        <v>0</v>
      </c>
      <c r="AF38">
        <f>IF($G38="s-curve",$E38+($F38-$E38)*$L$2/(1+EXP($L$3*(COUNT($L$9:AF$9)+$L$4))),TREND($E38:$F38,$E$9:$F$9,AF$9))</f>
        <v>0</v>
      </c>
      <c r="AG38">
        <f>IF($G38="s-curve",$E38+($F38-$E38)*$L$2/(1+EXP($L$3*(COUNT($L$9:AG$9)+$L$4))),TREND($E38:$F38,$E$9:$F$9,AG$9))</f>
        <v>0</v>
      </c>
      <c r="AH38">
        <f>IF($G38="s-curve",$E38+($F38-$E38)*$L$2/(1+EXP($L$3*(COUNT($L$9:AH$9)+$L$4))),TREND($E38:$F38,$E$9:$F$9,AH$9))</f>
        <v>0</v>
      </c>
      <c r="AI38">
        <f>IF($G38="s-curve",$E38+($F38-$E38)*$L$2/(1+EXP($L$3*(COUNT($L$9:AI$9)+$L$4))),TREND($E38:$F38,$E$9:$F$9,AI$9))</f>
        <v>0</v>
      </c>
      <c r="AJ38">
        <f>IF($G38="s-curve",$E38+($F38-$E38)*$L$2/(1+EXP($L$3*(COUNT($L$9:AJ$9)+$L$4))),TREND($E38:$F38,$E$9:$F$9,AJ$9))</f>
        <v>0</v>
      </c>
      <c r="AK38">
        <f>IF($G38="s-curve",$E38+($F38-$E38)*$L$2/(1+EXP($L$3*(COUNT($L$9:AK$9)+$L$4))),TREND($E38:$F38,$E$9:$F$9,AK$9))</f>
        <v>0</v>
      </c>
      <c r="AL38">
        <f>IF($G38="s-curve",$E38+($F38-$E38)*$L$2/(1+EXP($L$3*(COUNT($L$9:AL$9)+$L$4))),TREND($E38:$F38,$E$9:$F$9,AL$9))</f>
        <v>0</v>
      </c>
    </row>
    <row r="39" spans="1:38" x14ac:dyDescent="0.3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>
        <f t="shared" ref="I39" si="33">J39</f>
        <v>0</v>
      </c>
      <c r="J39">
        <f t="shared" si="2"/>
        <v>0</v>
      </c>
      <c r="K39">
        <f t="shared" si="2"/>
        <v>0</v>
      </c>
      <c r="L39" s="16">
        <f t="shared" si="32"/>
        <v>0</v>
      </c>
      <c r="M39">
        <f>IF($G39="s-curve",$E39+($F39-$E39)*$L$2/(1+EXP($L$3*(COUNT($L$9:M$9)+$L$4))),TREND($E39:$F39,$E$9:$F$9,M$9))</f>
        <v>0</v>
      </c>
      <c r="N39">
        <f>IF($G39="s-curve",$E39+($F39-$E39)*$L$2/(1+EXP($L$3*(COUNT($L$9:N$9)+$L$4))),TREND($E39:$F39,$E$9:$F$9,N$9))</f>
        <v>0</v>
      </c>
      <c r="O39">
        <f>IF($G39="s-curve",$E39+($F39-$E39)*$L$2/(1+EXP($L$3*(COUNT($L$9:O$9)+$L$4))),TREND($E39:$F39,$E$9:$F$9,O$9))</f>
        <v>0</v>
      </c>
      <c r="P39">
        <f>IF($G39="s-curve",$E39+($F39-$E39)*$L$2/(1+EXP($L$3*(COUNT($L$9:P$9)+$L$4))),TREND($E39:$F39,$E$9:$F$9,P$9))</f>
        <v>0</v>
      </c>
      <c r="Q39">
        <f>IF($G39="s-curve",$E39+($F39-$E39)*$L$2/(1+EXP($L$3*(COUNT($L$9:Q$9)+$L$4))),TREND($E39:$F39,$E$9:$F$9,Q$9))</f>
        <v>0</v>
      </c>
      <c r="R39">
        <f>IF($G39="s-curve",$E39+($F39-$E39)*$L$2/(1+EXP($L$3*(COUNT($L$9:R$9)+$L$4))),TREND($E39:$F39,$E$9:$F$9,R$9))</f>
        <v>0</v>
      </c>
      <c r="S39">
        <f>IF($G39="s-curve",$E39+($F39-$E39)*$L$2/(1+EXP($L$3*(COUNT($L$9:S$9)+$L$4))),TREND($E39:$F39,$E$9:$F$9,S$9))</f>
        <v>0</v>
      </c>
      <c r="T39">
        <f>IF($G39="s-curve",$E39+($F39-$E39)*$L$2/(1+EXP($L$3*(COUNT($L$9:T$9)+$L$4))),TREND($E39:$F39,$E$9:$F$9,T$9))</f>
        <v>0</v>
      </c>
      <c r="U39">
        <f>IF($G39="s-curve",$E39+($F39-$E39)*$L$2/(1+EXP($L$3*(COUNT($L$9:U$9)+$L$4))),TREND($E39:$F39,$E$9:$F$9,U$9))</f>
        <v>0</v>
      </c>
      <c r="V39">
        <f>IF($G39="s-curve",$E39+($F39-$E39)*$L$2/(1+EXP($L$3*(COUNT($L$9:V$9)+$L$4))),TREND($E39:$F39,$E$9:$F$9,V$9))</f>
        <v>0</v>
      </c>
      <c r="W39">
        <f>IF($G39="s-curve",$E39+($F39-$E39)*$L$2/(1+EXP($L$3*(COUNT($L$9:W$9)+$L$4))),TREND($E39:$F39,$E$9:$F$9,W$9))</f>
        <v>0</v>
      </c>
      <c r="X39">
        <f>IF($G39="s-curve",$E39+($F39-$E39)*$L$2/(1+EXP($L$3*(COUNT($L$9:X$9)+$L$4))),TREND($E39:$F39,$E$9:$F$9,X$9))</f>
        <v>0</v>
      </c>
      <c r="Y39">
        <f>IF($G39="s-curve",$E39+($F39-$E39)*$L$2/(1+EXP($L$3*(COUNT($L$9:Y$9)+$L$4))),TREND($E39:$F39,$E$9:$F$9,Y$9))</f>
        <v>0</v>
      </c>
      <c r="Z39">
        <f>IF($G39="s-curve",$E39+($F39-$E39)*$L$2/(1+EXP($L$3*(COUNT($L$9:Z$9)+$L$4))),TREND($E39:$F39,$E$9:$F$9,Z$9))</f>
        <v>0</v>
      </c>
      <c r="AA39">
        <f>IF($G39="s-curve",$E39+($F39-$E39)*$L$2/(1+EXP($L$3*(COUNT($L$9:AA$9)+$L$4))),TREND($E39:$F39,$E$9:$F$9,AA$9))</f>
        <v>0</v>
      </c>
      <c r="AB39">
        <f>IF($G39="s-curve",$E39+($F39-$E39)*$L$2/(1+EXP($L$3*(COUNT($L$9:AB$9)+$L$4))),TREND($E39:$F39,$E$9:$F$9,AB$9))</f>
        <v>0</v>
      </c>
      <c r="AC39">
        <f>IF($G39="s-curve",$E39+($F39-$E39)*$L$2/(1+EXP($L$3*(COUNT($L$9:AC$9)+$L$4))),TREND($E39:$F39,$E$9:$F$9,AC$9))</f>
        <v>0</v>
      </c>
      <c r="AD39">
        <f>IF($G39="s-curve",$E39+($F39-$E39)*$L$2/(1+EXP($L$3*(COUNT($L$9:AD$9)+$L$4))),TREND($E39:$F39,$E$9:$F$9,AD$9))</f>
        <v>0</v>
      </c>
      <c r="AE39">
        <f>IF($G39="s-curve",$E39+($F39-$E39)*$L$2/(1+EXP($L$3*(COUNT($L$9:AE$9)+$L$4))),TREND($E39:$F39,$E$9:$F$9,AE$9))</f>
        <v>0</v>
      </c>
      <c r="AF39">
        <f>IF($G39="s-curve",$E39+($F39-$E39)*$L$2/(1+EXP($L$3*(COUNT($L$9:AF$9)+$L$4))),TREND($E39:$F39,$E$9:$F$9,AF$9))</f>
        <v>0</v>
      </c>
      <c r="AG39">
        <f>IF($G39="s-curve",$E39+($F39-$E39)*$L$2/(1+EXP($L$3*(COUNT($L$9:AG$9)+$L$4))),TREND($E39:$F39,$E$9:$F$9,AG$9))</f>
        <v>0</v>
      </c>
      <c r="AH39">
        <f>IF($G39="s-curve",$E39+($F39-$E39)*$L$2/(1+EXP($L$3*(COUNT($L$9:AH$9)+$L$4))),TREND($E39:$F39,$E$9:$F$9,AH$9))</f>
        <v>0</v>
      </c>
      <c r="AI39">
        <f>IF($G39="s-curve",$E39+($F39-$E39)*$L$2/(1+EXP($L$3*(COUNT($L$9:AI$9)+$L$4))),TREND($E39:$F39,$E$9:$F$9,AI$9))</f>
        <v>0</v>
      </c>
      <c r="AJ39">
        <f>IF($G39="s-curve",$E39+($F39-$E39)*$L$2/(1+EXP($L$3*(COUNT($L$9:AJ$9)+$L$4))),TREND($E39:$F39,$E$9:$F$9,AJ$9))</f>
        <v>0</v>
      </c>
      <c r="AK39">
        <f>IF($G39="s-curve",$E39+($F39-$E39)*$L$2/(1+EXP($L$3*(COUNT($L$9:AK$9)+$L$4))),TREND($E39:$F39,$E$9:$F$9,AK$9))</f>
        <v>0</v>
      </c>
      <c r="AL39">
        <f>IF($G39="s-curve",$E39+($F39-$E39)*$L$2/(1+EXP($L$3*(COUNT($L$9:AL$9)+$L$4))),TREND($E39:$F39,$E$9:$F$9,AL$9))</f>
        <v>0</v>
      </c>
    </row>
    <row r="40" spans="1:38" x14ac:dyDescent="0.3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>
        <f t="shared" ref="I40" si="34">J40</f>
        <v>0</v>
      </c>
      <c r="J40">
        <f t="shared" si="2"/>
        <v>0</v>
      </c>
      <c r="K40">
        <f t="shared" si="2"/>
        <v>0</v>
      </c>
      <c r="L40" s="16">
        <f t="shared" si="32"/>
        <v>0</v>
      </c>
      <c r="M40">
        <f>IF($G40="s-curve",$E40+($F40-$E40)*$L$2/(1+EXP($L$3*(COUNT($L$9:M$9)+$L$4))),TREND($E40:$F40,$E$9:$F$9,M$9))</f>
        <v>0</v>
      </c>
      <c r="N40">
        <f>IF($G40="s-curve",$E40+($F40-$E40)*$L$2/(1+EXP($L$3*(COUNT($L$9:N$9)+$L$4))),TREND($E40:$F40,$E$9:$F$9,N$9))</f>
        <v>0</v>
      </c>
      <c r="O40">
        <f>IF($G40="s-curve",$E40+($F40-$E40)*$L$2/(1+EXP($L$3*(COUNT($L$9:O$9)+$L$4))),TREND($E40:$F40,$E$9:$F$9,O$9))</f>
        <v>0</v>
      </c>
      <c r="P40">
        <f>IF($G40="s-curve",$E40+($F40-$E40)*$L$2/(1+EXP($L$3*(COUNT($L$9:P$9)+$L$4))),TREND($E40:$F40,$E$9:$F$9,P$9))</f>
        <v>0</v>
      </c>
      <c r="Q40">
        <f>IF($G40="s-curve",$E40+($F40-$E40)*$L$2/(1+EXP($L$3*(COUNT($L$9:Q$9)+$L$4))),TREND($E40:$F40,$E$9:$F$9,Q$9))</f>
        <v>0</v>
      </c>
      <c r="R40">
        <f>IF($G40="s-curve",$E40+($F40-$E40)*$L$2/(1+EXP($L$3*(COUNT($L$9:R$9)+$L$4))),TREND($E40:$F40,$E$9:$F$9,R$9))</f>
        <v>0</v>
      </c>
      <c r="S40">
        <f>IF($G40="s-curve",$E40+($F40-$E40)*$L$2/(1+EXP($L$3*(COUNT($L$9:S$9)+$L$4))),TREND($E40:$F40,$E$9:$F$9,S$9))</f>
        <v>0</v>
      </c>
      <c r="T40">
        <f>IF($G40="s-curve",$E40+($F40-$E40)*$L$2/(1+EXP($L$3*(COUNT($L$9:T$9)+$L$4))),TREND($E40:$F40,$E$9:$F$9,T$9))</f>
        <v>0</v>
      </c>
      <c r="U40">
        <f>IF($G40="s-curve",$E40+($F40-$E40)*$L$2/(1+EXP($L$3*(COUNT($L$9:U$9)+$L$4))),TREND($E40:$F40,$E$9:$F$9,U$9))</f>
        <v>0</v>
      </c>
      <c r="V40">
        <f>IF($G40="s-curve",$E40+($F40-$E40)*$L$2/(1+EXP($L$3*(COUNT($L$9:V$9)+$L$4))),TREND($E40:$F40,$E$9:$F$9,V$9))</f>
        <v>0</v>
      </c>
      <c r="W40">
        <f>IF($G40="s-curve",$E40+($F40-$E40)*$L$2/(1+EXP($L$3*(COUNT($L$9:W$9)+$L$4))),TREND($E40:$F40,$E$9:$F$9,W$9))</f>
        <v>0</v>
      </c>
      <c r="X40">
        <f>IF($G40="s-curve",$E40+($F40-$E40)*$L$2/(1+EXP($L$3*(COUNT($L$9:X$9)+$L$4))),TREND($E40:$F40,$E$9:$F$9,X$9))</f>
        <v>0</v>
      </c>
      <c r="Y40">
        <f>IF($G40="s-curve",$E40+($F40-$E40)*$L$2/(1+EXP($L$3*(COUNT($L$9:Y$9)+$L$4))),TREND($E40:$F40,$E$9:$F$9,Y$9))</f>
        <v>0</v>
      </c>
      <c r="Z40">
        <f>IF($G40="s-curve",$E40+($F40-$E40)*$L$2/(1+EXP($L$3*(COUNT($L$9:Z$9)+$L$4))),TREND($E40:$F40,$E$9:$F$9,Z$9))</f>
        <v>0</v>
      </c>
      <c r="AA40">
        <f>IF($G40="s-curve",$E40+($F40-$E40)*$L$2/(1+EXP($L$3*(COUNT($L$9:AA$9)+$L$4))),TREND($E40:$F40,$E$9:$F$9,AA$9))</f>
        <v>0</v>
      </c>
      <c r="AB40">
        <f>IF($G40="s-curve",$E40+($F40-$E40)*$L$2/(1+EXP($L$3*(COUNT($L$9:AB$9)+$L$4))),TREND($E40:$F40,$E$9:$F$9,AB$9))</f>
        <v>0</v>
      </c>
      <c r="AC40">
        <f>IF($G40="s-curve",$E40+($F40-$E40)*$L$2/(1+EXP($L$3*(COUNT($L$9:AC$9)+$L$4))),TREND($E40:$F40,$E$9:$F$9,AC$9))</f>
        <v>0</v>
      </c>
      <c r="AD40">
        <f>IF($G40="s-curve",$E40+($F40-$E40)*$L$2/(1+EXP($L$3*(COUNT($L$9:AD$9)+$L$4))),TREND($E40:$F40,$E$9:$F$9,AD$9))</f>
        <v>0</v>
      </c>
      <c r="AE40">
        <f>IF($G40="s-curve",$E40+($F40-$E40)*$L$2/(1+EXP($L$3*(COUNT($L$9:AE$9)+$L$4))),TREND($E40:$F40,$E$9:$F$9,AE$9))</f>
        <v>0</v>
      </c>
      <c r="AF40">
        <f>IF($G40="s-curve",$E40+($F40-$E40)*$L$2/(1+EXP($L$3*(COUNT($L$9:AF$9)+$L$4))),TREND($E40:$F40,$E$9:$F$9,AF$9))</f>
        <v>0</v>
      </c>
      <c r="AG40">
        <f>IF($G40="s-curve",$E40+($F40-$E40)*$L$2/(1+EXP($L$3*(COUNT($L$9:AG$9)+$L$4))),TREND($E40:$F40,$E$9:$F$9,AG$9))</f>
        <v>0</v>
      </c>
      <c r="AH40">
        <f>IF($G40="s-curve",$E40+($F40-$E40)*$L$2/(1+EXP($L$3*(COUNT($L$9:AH$9)+$L$4))),TREND($E40:$F40,$E$9:$F$9,AH$9))</f>
        <v>0</v>
      </c>
      <c r="AI40">
        <f>IF($G40="s-curve",$E40+($F40-$E40)*$L$2/(1+EXP($L$3*(COUNT($L$9:AI$9)+$L$4))),TREND($E40:$F40,$E$9:$F$9,AI$9))</f>
        <v>0</v>
      </c>
      <c r="AJ40">
        <f>IF($G40="s-curve",$E40+($F40-$E40)*$L$2/(1+EXP($L$3*(COUNT($L$9:AJ$9)+$L$4))),TREND($E40:$F40,$E$9:$F$9,AJ$9))</f>
        <v>0</v>
      </c>
      <c r="AK40">
        <f>IF($G40="s-curve",$E40+($F40-$E40)*$L$2/(1+EXP($L$3*(COUNT($L$9:AK$9)+$L$4))),TREND($E40:$F40,$E$9:$F$9,AK$9))</f>
        <v>0</v>
      </c>
      <c r="AL40">
        <f>IF($G40="s-curve",$E40+($F40-$E40)*$L$2/(1+EXP($L$3*(COUNT($L$9:AL$9)+$L$4))),TREND($E40:$F40,$E$9:$F$9,AL$9))</f>
        <v>0</v>
      </c>
    </row>
    <row r="41" spans="1:38" x14ac:dyDescent="0.3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>
        <f t="shared" ref="I41" si="35">J41</f>
        <v>1</v>
      </c>
      <c r="J41">
        <f t="shared" si="2"/>
        <v>1</v>
      </c>
      <c r="K41">
        <f t="shared" si="2"/>
        <v>1</v>
      </c>
      <c r="L41" s="16">
        <f t="shared" si="32"/>
        <v>1</v>
      </c>
      <c r="M41">
        <f>IF($G41="s-curve",$E41+($F41-$E41)*$L$2/(1+EXP($L$3*(COUNT($L$9:M$9)+$L$4))),TREND($E41:$F41,$E$9:$F$9,M$9))</f>
        <v>1</v>
      </c>
      <c r="N41">
        <f>IF($G41="s-curve",$E41+($F41-$E41)*$L$2/(1+EXP($L$3*(COUNT($L$9:N$9)+$L$4))),TREND($E41:$F41,$E$9:$F$9,N$9))</f>
        <v>1</v>
      </c>
      <c r="O41">
        <f>IF($G41="s-curve",$E41+($F41-$E41)*$L$2/(1+EXP($L$3*(COUNT($L$9:O$9)+$L$4))),TREND($E41:$F41,$E$9:$F$9,O$9))</f>
        <v>1</v>
      </c>
      <c r="P41">
        <f>IF($G41="s-curve",$E41+($F41-$E41)*$L$2/(1+EXP($L$3*(COUNT($L$9:P$9)+$L$4))),TREND($E41:$F41,$E$9:$F$9,P$9))</f>
        <v>1</v>
      </c>
      <c r="Q41">
        <f>IF($G41="s-curve",$E41+($F41-$E41)*$L$2/(1+EXP($L$3*(COUNT($L$9:Q$9)+$L$4))),TREND($E41:$F41,$E$9:$F$9,Q$9))</f>
        <v>1</v>
      </c>
      <c r="R41">
        <f>IF($G41="s-curve",$E41+($F41-$E41)*$L$2/(1+EXP($L$3*(COUNT($L$9:R$9)+$L$4))),TREND($E41:$F41,$E$9:$F$9,R$9))</f>
        <v>1</v>
      </c>
      <c r="S41">
        <f>IF($G41="s-curve",$E41+($F41-$E41)*$L$2/(1+EXP($L$3*(COUNT($L$9:S$9)+$L$4))),TREND($E41:$F41,$E$9:$F$9,S$9))</f>
        <v>1</v>
      </c>
      <c r="T41">
        <f>IF($G41="s-curve",$E41+($F41-$E41)*$L$2/(1+EXP($L$3*(COUNT($L$9:T$9)+$L$4))),TREND($E41:$F41,$E$9:$F$9,T$9))</f>
        <v>1</v>
      </c>
      <c r="U41">
        <f>IF($G41="s-curve",$E41+($F41-$E41)*$L$2/(1+EXP($L$3*(COUNT($L$9:U$9)+$L$4))),TREND($E41:$F41,$E$9:$F$9,U$9))</f>
        <v>1</v>
      </c>
      <c r="V41">
        <f>IF($G41="s-curve",$E41+($F41-$E41)*$L$2/(1+EXP($L$3*(COUNT($L$9:V$9)+$L$4))),TREND($E41:$F41,$E$9:$F$9,V$9))</f>
        <v>1</v>
      </c>
      <c r="W41">
        <f>IF($G41="s-curve",$E41+($F41-$E41)*$L$2/(1+EXP($L$3*(COUNT($L$9:W$9)+$L$4))),TREND($E41:$F41,$E$9:$F$9,W$9))</f>
        <v>1</v>
      </c>
      <c r="X41">
        <f>IF($G41="s-curve",$E41+($F41-$E41)*$L$2/(1+EXP($L$3*(COUNT($L$9:X$9)+$L$4))),TREND($E41:$F41,$E$9:$F$9,X$9))</f>
        <v>1</v>
      </c>
      <c r="Y41">
        <f>IF($G41="s-curve",$E41+($F41-$E41)*$L$2/(1+EXP($L$3*(COUNT($L$9:Y$9)+$L$4))),TREND($E41:$F41,$E$9:$F$9,Y$9))</f>
        <v>1</v>
      </c>
      <c r="Z41">
        <f>IF($G41="s-curve",$E41+($F41-$E41)*$L$2/(1+EXP($L$3*(COUNT($L$9:Z$9)+$L$4))),TREND($E41:$F41,$E$9:$F$9,Z$9))</f>
        <v>1</v>
      </c>
      <c r="AA41">
        <f>IF($G41="s-curve",$E41+($F41-$E41)*$L$2/(1+EXP($L$3*(COUNT($L$9:AA$9)+$L$4))),TREND($E41:$F41,$E$9:$F$9,AA$9))</f>
        <v>1</v>
      </c>
      <c r="AB41">
        <f>IF($G41="s-curve",$E41+($F41-$E41)*$L$2/(1+EXP($L$3*(COUNT($L$9:AB$9)+$L$4))),TREND($E41:$F41,$E$9:$F$9,AB$9))</f>
        <v>1</v>
      </c>
      <c r="AC41">
        <f>IF($G41="s-curve",$E41+($F41-$E41)*$L$2/(1+EXP($L$3*(COUNT($L$9:AC$9)+$L$4))),TREND($E41:$F41,$E$9:$F$9,AC$9))</f>
        <v>1</v>
      </c>
      <c r="AD41">
        <f>IF($G41="s-curve",$E41+($F41-$E41)*$L$2/(1+EXP($L$3*(COUNT($L$9:AD$9)+$L$4))),TREND($E41:$F41,$E$9:$F$9,AD$9))</f>
        <v>1</v>
      </c>
      <c r="AE41">
        <f>IF($G41="s-curve",$E41+($F41-$E41)*$L$2/(1+EXP($L$3*(COUNT($L$9:AE$9)+$L$4))),TREND($E41:$F41,$E$9:$F$9,AE$9))</f>
        <v>1</v>
      </c>
      <c r="AF41">
        <f>IF($G41="s-curve",$E41+($F41-$E41)*$L$2/(1+EXP($L$3*(COUNT($L$9:AF$9)+$L$4))),TREND($E41:$F41,$E$9:$F$9,AF$9))</f>
        <v>1</v>
      </c>
      <c r="AG41">
        <f>IF($G41="s-curve",$E41+($F41-$E41)*$L$2/(1+EXP($L$3*(COUNT($L$9:AG$9)+$L$4))),TREND($E41:$F41,$E$9:$F$9,AG$9))</f>
        <v>1</v>
      </c>
      <c r="AH41">
        <f>IF($G41="s-curve",$E41+($F41-$E41)*$L$2/(1+EXP($L$3*(COUNT($L$9:AH$9)+$L$4))),TREND($E41:$F41,$E$9:$F$9,AH$9))</f>
        <v>1</v>
      </c>
      <c r="AI41">
        <f>IF($G41="s-curve",$E41+($F41-$E41)*$L$2/(1+EXP($L$3*(COUNT($L$9:AI$9)+$L$4))),TREND($E41:$F41,$E$9:$F$9,AI$9))</f>
        <v>1</v>
      </c>
      <c r="AJ41">
        <f>IF($G41="s-curve",$E41+($F41-$E41)*$L$2/(1+EXP($L$3*(COUNT($L$9:AJ$9)+$L$4))),TREND($E41:$F41,$E$9:$F$9,AJ$9))</f>
        <v>1</v>
      </c>
      <c r="AK41">
        <f>IF($G41="s-curve",$E41+($F41-$E41)*$L$2/(1+EXP($L$3*(COUNT($L$9:AK$9)+$L$4))),TREND($E41:$F41,$E$9:$F$9,AK$9))</f>
        <v>1</v>
      </c>
      <c r="AL41">
        <f>IF($G41="s-curve",$E41+($F41-$E41)*$L$2/(1+EXP($L$3*(COUNT($L$9:AL$9)+$L$4))),TREND($E41:$F41,$E$9:$F$9,AL$9))</f>
        <v>1</v>
      </c>
    </row>
    <row r="42" spans="1:38" x14ac:dyDescent="0.3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>
        <f t="shared" ref="I42" si="36">J42</f>
        <v>0</v>
      </c>
      <c r="J42">
        <f t="shared" si="2"/>
        <v>0</v>
      </c>
      <c r="K42">
        <f t="shared" si="2"/>
        <v>0</v>
      </c>
      <c r="L42" s="16">
        <f t="shared" si="32"/>
        <v>0</v>
      </c>
      <c r="M42">
        <f>IF($G42="s-curve",$E42+($F42-$E42)*$L$2/(1+EXP($L$3*(COUNT($L$9:M$9)+$L$4))),TREND($E42:$F42,$E$9:$F$9,M$9))</f>
        <v>0</v>
      </c>
      <c r="N42">
        <f>IF($G42="s-curve",$E42+($F42-$E42)*$L$2/(1+EXP($L$3*(COUNT($L$9:N$9)+$L$4))),TREND($E42:$F42,$E$9:$F$9,N$9))</f>
        <v>0</v>
      </c>
      <c r="O42">
        <f>IF($G42="s-curve",$E42+($F42-$E42)*$L$2/(1+EXP($L$3*(COUNT($L$9:O$9)+$L$4))),TREND($E42:$F42,$E$9:$F$9,O$9))</f>
        <v>0</v>
      </c>
      <c r="P42">
        <f>IF($G42="s-curve",$E42+($F42-$E42)*$L$2/(1+EXP($L$3*(COUNT($L$9:P$9)+$L$4))),TREND($E42:$F42,$E$9:$F$9,P$9))</f>
        <v>0</v>
      </c>
      <c r="Q42">
        <f>IF($G42="s-curve",$E42+($F42-$E42)*$L$2/(1+EXP($L$3*(COUNT($L$9:Q$9)+$L$4))),TREND($E42:$F42,$E$9:$F$9,Q$9))</f>
        <v>0</v>
      </c>
      <c r="R42">
        <f>IF($G42="s-curve",$E42+($F42-$E42)*$L$2/(1+EXP($L$3*(COUNT($L$9:R$9)+$L$4))),TREND($E42:$F42,$E$9:$F$9,R$9))</f>
        <v>0</v>
      </c>
      <c r="S42">
        <f>IF($G42="s-curve",$E42+($F42-$E42)*$L$2/(1+EXP($L$3*(COUNT($L$9:S$9)+$L$4))),TREND($E42:$F42,$E$9:$F$9,S$9))</f>
        <v>0</v>
      </c>
      <c r="T42">
        <f>IF($G42="s-curve",$E42+($F42-$E42)*$L$2/(1+EXP($L$3*(COUNT($L$9:T$9)+$L$4))),TREND($E42:$F42,$E$9:$F$9,T$9))</f>
        <v>0</v>
      </c>
      <c r="U42">
        <f>IF($G42="s-curve",$E42+($F42-$E42)*$L$2/(1+EXP($L$3*(COUNT($L$9:U$9)+$L$4))),TREND($E42:$F42,$E$9:$F$9,U$9))</f>
        <v>0</v>
      </c>
      <c r="V42">
        <f>IF($G42="s-curve",$E42+($F42-$E42)*$L$2/(1+EXP($L$3*(COUNT($L$9:V$9)+$L$4))),TREND($E42:$F42,$E$9:$F$9,V$9))</f>
        <v>0</v>
      </c>
      <c r="W42">
        <f>IF($G42="s-curve",$E42+($F42-$E42)*$L$2/(1+EXP($L$3*(COUNT($L$9:W$9)+$L$4))),TREND($E42:$F42,$E$9:$F$9,W$9))</f>
        <v>0</v>
      </c>
      <c r="X42">
        <f>IF($G42="s-curve",$E42+($F42-$E42)*$L$2/(1+EXP($L$3*(COUNT($L$9:X$9)+$L$4))),TREND($E42:$F42,$E$9:$F$9,X$9))</f>
        <v>0</v>
      </c>
      <c r="Y42">
        <f>IF($G42="s-curve",$E42+($F42-$E42)*$L$2/(1+EXP($L$3*(COUNT($L$9:Y$9)+$L$4))),TREND($E42:$F42,$E$9:$F$9,Y$9))</f>
        <v>0</v>
      </c>
      <c r="Z42">
        <f>IF($G42="s-curve",$E42+($F42-$E42)*$L$2/(1+EXP($L$3*(COUNT($L$9:Z$9)+$L$4))),TREND($E42:$F42,$E$9:$F$9,Z$9))</f>
        <v>0</v>
      </c>
      <c r="AA42">
        <f>IF($G42="s-curve",$E42+($F42-$E42)*$L$2/(1+EXP($L$3*(COUNT($L$9:AA$9)+$L$4))),TREND($E42:$F42,$E$9:$F$9,AA$9))</f>
        <v>0</v>
      </c>
      <c r="AB42">
        <f>IF($G42="s-curve",$E42+($F42-$E42)*$L$2/(1+EXP($L$3*(COUNT($L$9:AB$9)+$L$4))),TREND($E42:$F42,$E$9:$F$9,AB$9))</f>
        <v>0</v>
      </c>
      <c r="AC42">
        <f>IF($G42="s-curve",$E42+($F42-$E42)*$L$2/(1+EXP($L$3*(COUNT($L$9:AC$9)+$L$4))),TREND($E42:$F42,$E$9:$F$9,AC$9))</f>
        <v>0</v>
      </c>
      <c r="AD42">
        <f>IF($G42="s-curve",$E42+($F42-$E42)*$L$2/(1+EXP($L$3*(COUNT($L$9:AD$9)+$L$4))),TREND($E42:$F42,$E$9:$F$9,AD$9))</f>
        <v>0</v>
      </c>
      <c r="AE42">
        <f>IF($G42="s-curve",$E42+($F42-$E42)*$L$2/(1+EXP($L$3*(COUNT($L$9:AE$9)+$L$4))),TREND($E42:$F42,$E$9:$F$9,AE$9))</f>
        <v>0</v>
      </c>
      <c r="AF42">
        <f>IF($G42="s-curve",$E42+($F42-$E42)*$L$2/(1+EXP($L$3*(COUNT($L$9:AF$9)+$L$4))),TREND($E42:$F42,$E$9:$F$9,AF$9))</f>
        <v>0</v>
      </c>
      <c r="AG42">
        <f>IF($G42="s-curve",$E42+($F42-$E42)*$L$2/(1+EXP($L$3*(COUNT($L$9:AG$9)+$L$4))),TREND($E42:$F42,$E$9:$F$9,AG$9))</f>
        <v>0</v>
      </c>
      <c r="AH42">
        <f>IF($G42="s-curve",$E42+($F42-$E42)*$L$2/(1+EXP($L$3*(COUNT($L$9:AH$9)+$L$4))),TREND($E42:$F42,$E$9:$F$9,AH$9))</f>
        <v>0</v>
      </c>
      <c r="AI42">
        <f>IF($G42="s-curve",$E42+($F42-$E42)*$L$2/(1+EXP($L$3*(COUNT($L$9:AI$9)+$L$4))),TREND($E42:$F42,$E$9:$F$9,AI$9))</f>
        <v>0</v>
      </c>
      <c r="AJ42">
        <f>IF($G42="s-curve",$E42+($F42-$E42)*$L$2/(1+EXP($L$3*(COUNT($L$9:AJ$9)+$L$4))),TREND($E42:$F42,$E$9:$F$9,AJ$9))</f>
        <v>0</v>
      </c>
      <c r="AK42">
        <f>IF($G42="s-curve",$E42+($F42-$E42)*$L$2/(1+EXP($L$3*(COUNT($L$9:AK$9)+$L$4))),TREND($E42:$F42,$E$9:$F$9,AK$9))</f>
        <v>0</v>
      </c>
      <c r="AL42">
        <f>IF($G42="s-curve",$E42+($F42-$E42)*$L$2/(1+EXP($L$3*(COUNT($L$9:AL$9)+$L$4))),TREND($E42:$F42,$E$9:$F$9,AL$9))</f>
        <v>0</v>
      </c>
    </row>
    <row r="43" spans="1:38" x14ac:dyDescent="0.3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>
        <f t="shared" ref="I43" si="37">J43</f>
        <v>0</v>
      </c>
      <c r="J43">
        <f t="shared" si="2"/>
        <v>0</v>
      </c>
      <c r="K43">
        <f t="shared" si="2"/>
        <v>0</v>
      </c>
      <c r="L43" s="16">
        <f t="shared" si="32"/>
        <v>0</v>
      </c>
      <c r="M43">
        <f>IF($G43="s-curve",$E43+($F43-$E43)*$L$2/(1+EXP($L$3*(COUNT($L$9:M$9)+$L$4))),TREND($E43:$F43,$E$9:$F$9,M$9))</f>
        <v>0</v>
      </c>
      <c r="N43">
        <f>IF($G43="s-curve",$E43+($F43-$E43)*$L$2/(1+EXP($L$3*(COUNT($L$9:N$9)+$L$4))),TREND($E43:$F43,$E$9:$F$9,N$9))</f>
        <v>0</v>
      </c>
      <c r="O43">
        <f>IF($G43="s-curve",$E43+($F43-$E43)*$L$2/(1+EXP($L$3*(COUNT($L$9:O$9)+$L$4))),TREND($E43:$F43,$E$9:$F$9,O$9))</f>
        <v>0</v>
      </c>
      <c r="P43">
        <f>IF($G43="s-curve",$E43+($F43-$E43)*$L$2/(1+EXP($L$3*(COUNT($L$9:P$9)+$L$4))),TREND($E43:$F43,$E$9:$F$9,P$9))</f>
        <v>0</v>
      </c>
      <c r="Q43">
        <f>IF($G43="s-curve",$E43+($F43-$E43)*$L$2/(1+EXP($L$3*(COUNT($L$9:Q$9)+$L$4))),TREND($E43:$F43,$E$9:$F$9,Q$9))</f>
        <v>0</v>
      </c>
      <c r="R43">
        <f>IF($G43="s-curve",$E43+($F43-$E43)*$L$2/(1+EXP($L$3*(COUNT($L$9:R$9)+$L$4))),TREND($E43:$F43,$E$9:$F$9,R$9))</f>
        <v>0</v>
      </c>
      <c r="S43">
        <f>IF($G43="s-curve",$E43+($F43-$E43)*$L$2/(1+EXP($L$3*(COUNT($L$9:S$9)+$L$4))),TREND($E43:$F43,$E$9:$F$9,S$9))</f>
        <v>0</v>
      </c>
      <c r="T43">
        <f>IF($G43="s-curve",$E43+($F43-$E43)*$L$2/(1+EXP($L$3*(COUNT($L$9:T$9)+$L$4))),TREND($E43:$F43,$E$9:$F$9,T$9))</f>
        <v>0</v>
      </c>
      <c r="U43">
        <f>IF($G43="s-curve",$E43+($F43-$E43)*$L$2/(1+EXP($L$3*(COUNT($L$9:U$9)+$L$4))),TREND($E43:$F43,$E$9:$F$9,U$9))</f>
        <v>0</v>
      </c>
      <c r="V43">
        <f>IF($G43="s-curve",$E43+($F43-$E43)*$L$2/(1+EXP($L$3*(COUNT($L$9:V$9)+$L$4))),TREND($E43:$F43,$E$9:$F$9,V$9))</f>
        <v>0</v>
      </c>
      <c r="W43">
        <f>IF($G43="s-curve",$E43+($F43-$E43)*$L$2/(1+EXP($L$3*(COUNT($L$9:W$9)+$L$4))),TREND($E43:$F43,$E$9:$F$9,W$9))</f>
        <v>0</v>
      </c>
      <c r="X43">
        <f>IF($G43="s-curve",$E43+($F43-$E43)*$L$2/(1+EXP($L$3*(COUNT($L$9:X$9)+$L$4))),TREND($E43:$F43,$E$9:$F$9,X$9))</f>
        <v>0</v>
      </c>
      <c r="Y43">
        <f>IF($G43="s-curve",$E43+($F43-$E43)*$L$2/(1+EXP($L$3*(COUNT($L$9:Y$9)+$L$4))),TREND($E43:$F43,$E$9:$F$9,Y$9))</f>
        <v>0</v>
      </c>
      <c r="Z43">
        <f>IF($G43="s-curve",$E43+($F43-$E43)*$L$2/(1+EXP($L$3*(COUNT($L$9:Z$9)+$L$4))),TREND($E43:$F43,$E$9:$F$9,Z$9))</f>
        <v>0</v>
      </c>
      <c r="AA43">
        <f>IF($G43="s-curve",$E43+($F43-$E43)*$L$2/(1+EXP($L$3*(COUNT($L$9:AA$9)+$L$4))),TREND($E43:$F43,$E$9:$F$9,AA$9))</f>
        <v>0</v>
      </c>
      <c r="AB43">
        <f>IF($G43="s-curve",$E43+($F43-$E43)*$L$2/(1+EXP($L$3*(COUNT($L$9:AB$9)+$L$4))),TREND($E43:$F43,$E$9:$F$9,AB$9))</f>
        <v>0</v>
      </c>
      <c r="AC43">
        <f>IF($G43="s-curve",$E43+($F43-$E43)*$L$2/(1+EXP($L$3*(COUNT($L$9:AC$9)+$L$4))),TREND($E43:$F43,$E$9:$F$9,AC$9))</f>
        <v>0</v>
      </c>
      <c r="AD43">
        <f>IF($G43="s-curve",$E43+($F43-$E43)*$L$2/(1+EXP($L$3*(COUNT($L$9:AD$9)+$L$4))),TREND($E43:$F43,$E$9:$F$9,AD$9))</f>
        <v>0</v>
      </c>
      <c r="AE43">
        <f>IF($G43="s-curve",$E43+($F43-$E43)*$L$2/(1+EXP($L$3*(COUNT($L$9:AE$9)+$L$4))),TREND($E43:$F43,$E$9:$F$9,AE$9))</f>
        <v>0</v>
      </c>
      <c r="AF43">
        <f>IF($G43="s-curve",$E43+($F43-$E43)*$L$2/(1+EXP($L$3*(COUNT($L$9:AF$9)+$L$4))),TREND($E43:$F43,$E$9:$F$9,AF$9))</f>
        <v>0</v>
      </c>
      <c r="AG43">
        <f>IF($G43="s-curve",$E43+($F43-$E43)*$L$2/(1+EXP($L$3*(COUNT($L$9:AG$9)+$L$4))),TREND($E43:$F43,$E$9:$F$9,AG$9))</f>
        <v>0</v>
      </c>
      <c r="AH43">
        <f>IF($G43="s-curve",$E43+($F43-$E43)*$L$2/(1+EXP($L$3*(COUNT($L$9:AH$9)+$L$4))),TREND($E43:$F43,$E$9:$F$9,AH$9))</f>
        <v>0</v>
      </c>
      <c r="AI43">
        <f>IF($G43="s-curve",$E43+($F43-$E43)*$L$2/(1+EXP($L$3*(COUNT($L$9:AI$9)+$L$4))),TREND($E43:$F43,$E$9:$F$9,AI$9))</f>
        <v>0</v>
      </c>
      <c r="AJ43">
        <f>IF($G43="s-curve",$E43+($F43-$E43)*$L$2/(1+EXP($L$3*(COUNT($L$9:AJ$9)+$L$4))),TREND($E43:$F43,$E$9:$F$9,AJ$9))</f>
        <v>0</v>
      </c>
      <c r="AK43">
        <f>IF($G43="s-curve",$E43+($F43-$E43)*$L$2/(1+EXP($L$3*(COUNT($L$9:AK$9)+$L$4))),TREND($E43:$F43,$E$9:$F$9,AK$9))</f>
        <v>0</v>
      </c>
      <c r="AL43">
        <f>IF($G43="s-curve",$E43+($F43-$E43)*$L$2/(1+EXP($L$3*(COUNT($L$9:AL$9)+$L$4))),TREND($E43:$F43,$E$9:$F$9,AL$9))</f>
        <v>0</v>
      </c>
    </row>
    <row r="44" spans="1:38" ht="15.75" customHeight="1" thickBot="1" x14ac:dyDescent="0.4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>
        <f t="shared" ref="I44" si="38">J44</f>
        <v>0</v>
      </c>
      <c r="J44">
        <f t="shared" si="2"/>
        <v>0</v>
      </c>
      <c r="K44">
        <f t="shared" si="2"/>
        <v>0</v>
      </c>
      <c r="L44" s="16">
        <f t="shared" si="32"/>
        <v>0</v>
      </c>
      <c r="M44">
        <f>IF($G44="s-curve",$E44+($F44-$E44)*$L$2/(1+EXP($L$3*(COUNT($L$9:M$9)+$L$4))),TREND($E44:$F44,$E$9:$F$9,M$9))</f>
        <v>0</v>
      </c>
      <c r="N44">
        <f>IF($G44="s-curve",$E44+($F44-$E44)*$L$2/(1+EXP($L$3*(COUNT($L$9:N$9)+$L$4))),TREND($E44:$F44,$E$9:$F$9,N$9))</f>
        <v>0</v>
      </c>
      <c r="O44">
        <f>IF($G44="s-curve",$E44+($F44-$E44)*$L$2/(1+EXP($L$3*(COUNT($L$9:O$9)+$L$4))),TREND($E44:$F44,$E$9:$F$9,O$9))</f>
        <v>0</v>
      </c>
      <c r="P44">
        <f>IF($G44="s-curve",$E44+($F44-$E44)*$L$2/(1+EXP($L$3*(COUNT($L$9:P$9)+$L$4))),TREND($E44:$F44,$E$9:$F$9,P$9))</f>
        <v>0</v>
      </c>
      <c r="Q44">
        <f>IF($G44="s-curve",$E44+($F44-$E44)*$L$2/(1+EXP($L$3*(COUNT($L$9:Q$9)+$L$4))),TREND($E44:$F44,$E$9:$F$9,Q$9))</f>
        <v>0</v>
      </c>
      <c r="R44">
        <f>IF($G44="s-curve",$E44+($F44-$E44)*$L$2/(1+EXP($L$3*(COUNT($L$9:R$9)+$L$4))),TREND($E44:$F44,$E$9:$F$9,R$9))</f>
        <v>0</v>
      </c>
      <c r="S44">
        <f>IF($G44="s-curve",$E44+($F44-$E44)*$L$2/(1+EXP($L$3*(COUNT($L$9:S$9)+$L$4))),TREND($E44:$F44,$E$9:$F$9,S$9))</f>
        <v>0</v>
      </c>
      <c r="T44">
        <f>IF($G44="s-curve",$E44+($F44-$E44)*$L$2/(1+EXP($L$3*(COUNT($L$9:T$9)+$L$4))),TREND($E44:$F44,$E$9:$F$9,T$9))</f>
        <v>0</v>
      </c>
      <c r="U44">
        <f>IF($G44="s-curve",$E44+($F44-$E44)*$L$2/(1+EXP($L$3*(COUNT($L$9:U$9)+$L$4))),TREND($E44:$F44,$E$9:$F$9,U$9))</f>
        <v>0</v>
      </c>
      <c r="V44">
        <f>IF($G44="s-curve",$E44+($F44-$E44)*$L$2/(1+EXP($L$3*(COUNT($L$9:V$9)+$L$4))),TREND($E44:$F44,$E$9:$F$9,V$9))</f>
        <v>0</v>
      </c>
      <c r="W44">
        <f>IF($G44="s-curve",$E44+($F44-$E44)*$L$2/(1+EXP($L$3*(COUNT($L$9:W$9)+$L$4))),TREND($E44:$F44,$E$9:$F$9,W$9))</f>
        <v>0</v>
      </c>
      <c r="X44">
        <f>IF($G44="s-curve",$E44+($F44-$E44)*$L$2/(1+EXP($L$3*(COUNT($L$9:X$9)+$L$4))),TREND($E44:$F44,$E$9:$F$9,X$9))</f>
        <v>0</v>
      </c>
      <c r="Y44">
        <f>IF($G44="s-curve",$E44+($F44-$E44)*$L$2/(1+EXP($L$3*(COUNT($L$9:Y$9)+$L$4))),TREND($E44:$F44,$E$9:$F$9,Y$9))</f>
        <v>0</v>
      </c>
      <c r="Z44">
        <f>IF($G44="s-curve",$E44+($F44-$E44)*$L$2/(1+EXP($L$3*(COUNT($L$9:Z$9)+$L$4))),TREND($E44:$F44,$E$9:$F$9,Z$9))</f>
        <v>0</v>
      </c>
      <c r="AA44">
        <f>IF($G44="s-curve",$E44+($F44-$E44)*$L$2/(1+EXP($L$3*(COUNT($L$9:AA$9)+$L$4))),TREND($E44:$F44,$E$9:$F$9,AA$9))</f>
        <v>0</v>
      </c>
      <c r="AB44">
        <f>IF($G44="s-curve",$E44+($F44-$E44)*$L$2/(1+EXP($L$3*(COUNT($L$9:AB$9)+$L$4))),TREND($E44:$F44,$E$9:$F$9,AB$9))</f>
        <v>0</v>
      </c>
      <c r="AC44">
        <f>IF($G44="s-curve",$E44+($F44-$E44)*$L$2/(1+EXP($L$3*(COUNT($L$9:AC$9)+$L$4))),TREND($E44:$F44,$E$9:$F$9,AC$9))</f>
        <v>0</v>
      </c>
      <c r="AD44">
        <f>IF($G44="s-curve",$E44+($F44-$E44)*$L$2/(1+EXP($L$3*(COUNT($L$9:AD$9)+$L$4))),TREND($E44:$F44,$E$9:$F$9,AD$9))</f>
        <v>0</v>
      </c>
      <c r="AE44">
        <f>IF($G44="s-curve",$E44+($F44-$E44)*$L$2/(1+EXP($L$3*(COUNT($L$9:AE$9)+$L$4))),TREND($E44:$F44,$E$9:$F$9,AE$9))</f>
        <v>0</v>
      </c>
      <c r="AF44">
        <f>IF($G44="s-curve",$E44+($F44-$E44)*$L$2/(1+EXP($L$3*(COUNT($L$9:AF$9)+$L$4))),TREND($E44:$F44,$E$9:$F$9,AF$9))</f>
        <v>0</v>
      </c>
      <c r="AG44">
        <f>IF($G44="s-curve",$E44+($F44-$E44)*$L$2/(1+EXP($L$3*(COUNT($L$9:AG$9)+$L$4))),TREND($E44:$F44,$E$9:$F$9,AG$9))</f>
        <v>0</v>
      </c>
      <c r="AH44">
        <f>IF($G44="s-curve",$E44+($F44-$E44)*$L$2/(1+EXP($L$3*(COUNT($L$9:AH$9)+$L$4))),TREND($E44:$F44,$E$9:$F$9,AH$9))</f>
        <v>0</v>
      </c>
      <c r="AI44">
        <f>IF($G44="s-curve",$E44+($F44-$E44)*$L$2/(1+EXP($L$3*(COUNT($L$9:AI$9)+$L$4))),TREND($E44:$F44,$E$9:$F$9,AI$9))</f>
        <v>0</v>
      </c>
      <c r="AJ44">
        <f>IF($G44="s-curve",$E44+($F44-$E44)*$L$2/(1+EXP($L$3*(COUNT($L$9:AJ$9)+$L$4))),TREND($E44:$F44,$E$9:$F$9,AJ$9))</f>
        <v>0</v>
      </c>
      <c r="AK44">
        <f>IF($G44="s-curve",$E44+($F44-$E44)*$L$2/(1+EXP($L$3*(COUNT($L$9:AK$9)+$L$4))),TREND($E44:$F44,$E$9:$F$9,AK$9))</f>
        <v>0</v>
      </c>
      <c r="AL44">
        <f>IF($G44="s-curve",$E44+($F44-$E44)*$L$2/(1+EXP($L$3*(COUNT($L$9:AL$9)+$L$4))),TREND($E44:$F44,$E$9:$F$9,AL$9))</f>
        <v>0</v>
      </c>
    </row>
    <row r="45" spans="1:38" x14ac:dyDescent="0.3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>
        <f t="shared" ref="I45" si="39">J45</f>
        <v>0</v>
      </c>
      <c r="J45">
        <f t="shared" si="2"/>
        <v>0</v>
      </c>
      <c r="K45">
        <f t="shared" si="2"/>
        <v>0</v>
      </c>
      <c r="L45" s="16">
        <f t="shared" si="32"/>
        <v>0</v>
      </c>
      <c r="M45">
        <f>IF($G45="s-curve",$E45+($F45-$E45)*$L$2/(1+EXP($L$3*(COUNT($L$9:M$9)+$L$4))),TREND($E45:$F45,$E$9:$F$9,M$9))</f>
        <v>0</v>
      </c>
      <c r="N45">
        <f>IF($G45="s-curve",$E45+($F45-$E45)*$L$2/(1+EXP($L$3*(COUNT($L$9:N$9)+$L$4))),TREND($E45:$F45,$E$9:$F$9,N$9))</f>
        <v>0</v>
      </c>
      <c r="O45">
        <f>IF($G45="s-curve",$E45+($F45-$E45)*$L$2/(1+EXP($L$3*(COUNT($L$9:O$9)+$L$4))),TREND($E45:$F45,$E$9:$F$9,O$9))</f>
        <v>0</v>
      </c>
      <c r="P45">
        <f>IF($G45="s-curve",$E45+($F45-$E45)*$L$2/(1+EXP($L$3*(COUNT($L$9:P$9)+$L$4))),TREND($E45:$F45,$E$9:$F$9,P$9))</f>
        <v>0</v>
      </c>
      <c r="Q45">
        <f>IF($G45="s-curve",$E45+($F45-$E45)*$L$2/(1+EXP($L$3*(COUNT($L$9:Q$9)+$L$4))),TREND($E45:$F45,$E$9:$F$9,Q$9))</f>
        <v>0</v>
      </c>
      <c r="R45">
        <f>IF($G45="s-curve",$E45+($F45-$E45)*$L$2/(1+EXP($L$3*(COUNT($L$9:R$9)+$L$4))),TREND($E45:$F45,$E$9:$F$9,R$9))</f>
        <v>0</v>
      </c>
      <c r="S45">
        <f>IF($G45="s-curve",$E45+($F45-$E45)*$L$2/(1+EXP($L$3*(COUNT($L$9:S$9)+$L$4))),TREND($E45:$F45,$E$9:$F$9,S$9))</f>
        <v>0</v>
      </c>
      <c r="T45">
        <f>IF($G45="s-curve",$E45+($F45-$E45)*$L$2/(1+EXP($L$3*(COUNT($L$9:T$9)+$L$4))),TREND($E45:$F45,$E$9:$F$9,T$9))</f>
        <v>0</v>
      </c>
      <c r="U45">
        <f>IF($G45="s-curve",$E45+($F45-$E45)*$L$2/(1+EXP($L$3*(COUNT($L$9:U$9)+$L$4))),TREND($E45:$F45,$E$9:$F$9,U$9))</f>
        <v>0</v>
      </c>
      <c r="V45">
        <f>IF($G45="s-curve",$E45+($F45-$E45)*$L$2/(1+EXP($L$3*(COUNT($L$9:V$9)+$L$4))),TREND($E45:$F45,$E$9:$F$9,V$9))</f>
        <v>0</v>
      </c>
      <c r="W45">
        <f>IF($G45="s-curve",$E45+($F45-$E45)*$L$2/(1+EXP($L$3*(COUNT($L$9:W$9)+$L$4))),TREND($E45:$F45,$E$9:$F$9,W$9))</f>
        <v>0</v>
      </c>
      <c r="X45">
        <f>IF($G45="s-curve",$E45+($F45-$E45)*$L$2/(1+EXP($L$3*(COUNT($L$9:X$9)+$L$4))),TREND($E45:$F45,$E$9:$F$9,X$9))</f>
        <v>0</v>
      </c>
      <c r="Y45">
        <f>IF($G45="s-curve",$E45+($F45-$E45)*$L$2/(1+EXP($L$3*(COUNT($L$9:Y$9)+$L$4))),TREND($E45:$F45,$E$9:$F$9,Y$9))</f>
        <v>0</v>
      </c>
      <c r="Z45">
        <f>IF($G45="s-curve",$E45+($F45-$E45)*$L$2/(1+EXP($L$3*(COUNT($L$9:Z$9)+$L$4))),TREND($E45:$F45,$E$9:$F$9,Z$9))</f>
        <v>0</v>
      </c>
      <c r="AA45">
        <f>IF($G45="s-curve",$E45+($F45-$E45)*$L$2/(1+EXP($L$3*(COUNT($L$9:AA$9)+$L$4))),TREND($E45:$F45,$E$9:$F$9,AA$9))</f>
        <v>0</v>
      </c>
      <c r="AB45">
        <f>IF($G45="s-curve",$E45+($F45-$E45)*$L$2/(1+EXP($L$3*(COUNT($L$9:AB$9)+$L$4))),TREND($E45:$F45,$E$9:$F$9,AB$9))</f>
        <v>0</v>
      </c>
      <c r="AC45">
        <f>IF($G45="s-curve",$E45+($F45-$E45)*$L$2/(1+EXP($L$3*(COUNT($L$9:AC$9)+$L$4))),TREND($E45:$F45,$E$9:$F$9,AC$9))</f>
        <v>0</v>
      </c>
      <c r="AD45">
        <f>IF($G45="s-curve",$E45+($F45-$E45)*$L$2/(1+EXP($L$3*(COUNT($L$9:AD$9)+$L$4))),TREND($E45:$F45,$E$9:$F$9,AD$9))</f>
        <v>0</v>
      </c>
      <c r="AE45">
        <f>IF($G45="s-curve",$E45+($F45-$E45)*$L$2/(1+EXP($L$3*(COUNT($L$9:AE$9)+$L$4))),TREND($E45:$F45,$E$9:$F$9,AE$9))</f>
        <v>0</v>
      </c>
      <c r="AF45">
        <f>IF($G45="s-curve",$E45+($F45-$E45)*$L$2/(1+EXP($L$3*(COUNT($L$9:AF$9)+$L$4))),TREND($E45:$F45,$E$9:$F$9,AF$9))</f>
        <v>0</v>
      </c>
      <c r="AG45">
        <f>IF($G45="s-curve",$E45+($F45-$E45)*$L$2/(1+EXP($L$3*(COUNT($L$9:AG$9)+$L$4))),TREND($E45:$F45,$E$9:$F$9,AG$9))</f>
        <v>0</v>
      </c>
      <c r="AH45">
        <f>IF($G45="s-curve",$E45+($F45-$E45)*$L$2/(1+EXP($L$3*(COUNT($L$9:AH$9)+$L$4))),TREND($E45:$F45,$E$9:$F$9,AH$9))</f>
        <v>0</v>
      </c>
      <c r="AI45">
        <f>IF($G45="s-curve",$E45+($F45-$E45)*$L$2/(1+EXP($L$3*(COUNT($L$9:AI$9)+$L$4))),TREND($E45:$F45,$E$9:$F$9,AI$9))</f>
        <v>0</v>
      </c>
      <c r="AJ45">
        <f>IF($G45="s-curve",$E45+($F45-$E45)*$L$2/(1+EXP($L$3*(COUNT($L$9:AJ$9)+$L$4))),TREND($E45:$F45,$E$9:$F$9,AJ$9))</f>
        <v>0</v>
      </c>
      <c r="AK45">
        <f>IF($G45="s-curve",$E45+($F45-$E45)*$L$2/(1+EXP($L$3*(COUNT($L$9:AK$9)+$L$4))),TREND($E45:$F45,$E$9:$F$9,AK$9))</f>
        <v>0</v>
      </c>
      <c r="AL45">
        <f>IF($G45="s-curve",$E45+($F45-$E45)*$L$2/(1+EXP($L$3*(COUNT($L$9:AL$9)+$L$4))),TREND($E45:$F45,$E$9:$F$9,AL$9))</f>
        <v>0</v>
      </c>
    </row>
    <row r="46" spans="1:38" x14ac:dyDescent="0.3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>
        <f t="shared" ref="I46" si="40">J46</f>
        <v>0</v>
      </c>
      <c r="J46">
        <f t="shared" si="2"/>
        <v>0</v>
      </c>
      <c r="K46">
        <f t="shared" si="2"/>
        <v>0</v>
      </c>
      <c r="L46" s="16">
        <f t="shared" si="32"/>
        <v>0</v>
      </c>
      <c r="M46">
        <f>IF($G46="s-curve",$E46+($F46-$E46)*$L$2/(1+EXP($L$3*(COUNT($L$9:M$9)+$L$4))),TREND($E46:$F46,$E$9:$F$9,M$9))</f>
        <v>0</v>
      </c>
      <c r="N46">
        <f>IF($G46="s-curve",$E46+($F46-$E46)*$L$2/(1+EXP($L$3*(COUNT($L$9:N$9)+$L$4))),TREND($E46:$F46,$E$9:$F$9,N$9))</f>
        <v>0</v>
      </c>
      <c r="O46">
        <f>IF($G46="s-curve",$E46+($F46-$E46)*$L$2/(1+EXP($L$3*(COUNT($L$9:O$9)+$L$4))),TREND($E46:$F46,$E$9:$F$9,O$9))</f>
        <v>0</v>
      </c>
      <c r="P46">
        <f>IF($G46="s-curve",$E46+($F46-$E46)*$L$2/(1+EXP($L$3*(COUNT($L$9:P$9)+$L$4))),TREND($E46:$F46,$E$9:$F$9,P$9))</f>
        <v>0</v>
      </c>
      <c r="Q46">
        <f>IF($G46="s-curve",$E46+($F46-$E46)*$L$2/(1+EXP($L$3*(COUNT($L$9:Q$9)+$L$4))),TREND($E46:$F46,$E$9:$F$9,Q$9))</f>
        <v>0</v>
      </c>
      <c r="R46">
        <f>IF($G46="s-curve",$E46+($F46-$E46)*$L$2/(1+EXP($L$3*(COUNT($L$9:R$9)+$L$4))),TREND($E46:$F46,$E$9:$F$9,R$9))</f>
        <v>0</v>
      </c>
      <c r="S46">
        <f>IF($G46="s-curve",$E46+($F46-$E46)*$L$2/(1+EXP($L$3*(COUNT($L$9:S$9)+$L$4))),TREND($E46:$F46,$E$9:$F$9,S$9))</f>
        <v>0</v>
      </c>
      <c r="T46">
        <f>IF($G46="s-curve",$E46+($F46-$E46)*$L$2/(1+EXP($L$3*(COUNT($L$9:T$9)+$L$4))),TREND($E46:$F46,$E$9:$F$9,T$9))</f>
        <v>0</v>
      </c>
      <c r="U46">
        <f>IF($G46="s-curve",$E46+($F46-$E46)*$L$2/(1+EXP($L$3*(COUNT($L$9:U$9)+$L$4))),TREND($E46:$F46,$E$9:$F$9,U$9))</f>
        <v>0</v>
      </c>
      <c r="V46">
        <f>IF($G46="s-curve",$E46+($F46-$E46)*$L$2/(1+EXP($L$3*(COUNT($L$9:V$9)+$L$4))),TREND($E46:$F46,$E$9:$F$9,V$9))</f>
        <v>0</v>
      </c>
      <c r="W46">
        <f>IF($G46="s-curve",$E46+($F46-$E46)*$L$2/(1+EXP($L$3*(COUNT($L$9:W$9)+$L$4))),TREND($E46:$F46,$E$9:$F$9,W$9))</f>
        <v>0</v>
      </c>
      <c r="X46">
        <f>IF($G46="s-curve",$E46+($F46-$E46)*$L$2/(1+EXP($L$3*(COUNT($L$9:X$9)+$L$4))),TREND($E46:$F46,$E$9:$F$9,X$9))</f>
        <v>0</v>
      </c>
      <c r="Y46">
        <f>IF($G46="s-curve",$E46+($F46-$E46)*$L$2/(1+EXP($L$3*(COUNT($L$9:Y$9)+$L$4))),TREND($E46:$F46,$E$9:$F$9,Y$9))</f>
        <v>0</v>
      </c>
      <c r="Z46">
        <f>IF($G46="s-curve",$E46+($F46-$E46)*$L$2/(1+EXP($L$3*(COUNT($L$9:Z$9)+$L$4))),TREND($E46:$F46,$E$9:$F$9,Z$9))</f>
        <v>0</v>
      </c>
      <c r="AA46">
        <f>IF($G46="s-curve",$E46+($F46-$E46)*$L$2/(1+EXP($L$3*(COUNT($L$9:AA$9)+$L$4))),TREND($E46:$F46,$E$9:$F$9,AA$9))</f>
        <v>0</v>
      </c>
      <c r="AB46">
        <f>IF($G46="s-curve",$E46+($F46-$E46)*$L$2/(1+EXP($L$3*(COUNT($L$9:AB$9)+$L$4))),TREND($E46:$F46,$E$9:$F$9,AB$9))</f>
        <v>0</v>
      </c>
      <c r="AC46">
        <f>IF($G46="s-curve",$E46+($F46-$E46)*$L$2/(1+EXP($L$3*(COUNT($L$9:AC$9)+$L$4))),TREND($E46:$F46,$E$9:$F$9,AC$9))</f>
        <v>0</v>
      </c>
      <c r="AD46">
        <f>IF($G46="s-curve",$E46+($F46-$E46)*$L$2/(1+EXP($L$3*(COUNT($L$9:AD$9)+$L$4))),TREND($E46:$F46,$E$9:$F$9,AD$9))</f>
        <v>0</v>
      </c>
      <c r="AE46">
        <f>IF($G46="s-curve",$E46+($F46-$E46)*$L$2/(1+EXP($L$3*(COUNT($L$9:AE$9)+$L$4))),TREND($E46:$F46,$E$9:$F$9,AE$9))</f>
        <v>0</v>
      </c>
      <c r="AF46">
        <f>IF($G46="s-curve",$E46+($F46-$E46)*$L$2/(1+EXP($L$3*(COUNT($L$9:AF$9)+$L$4))),TREND($E46:$F46,$E$9:$F$9,AF$9))</f>
        <v>0</v>
      </c>
      <c r="AG46">
        <f>IF($G46="s-curve",$E46+($F46-$E46)*$L$2/(1+EXP($L$3*(COUNT($L$9:AG$9)+$L$4))),TREND($E46:$F46,$E$9:$F$9,AG$9))</f>
        <v>0</v>
      </c>
      <c r="AH46">
        <f>IF($G46="s-curve",$E46+($F46-$E46)*$L$2/(1+EXP($L$3*(COUNT($L$9:AH$9)+$L$4))),TREND($E46:$F46,$E$9:$F$9,AH$9))</f>
        <v>0</v>
      </c>
      <c r="AI46">
        <f>IF($G46="s-curve",$E46+($F46-$E46)*$L$2/(1+EXP($L$3*(COUNT($L$9:AI$9)+$L$4))),TREND($E46:$F46,$E$9:$F$9,AI$9))</f>
        <v>0</v>
      </c>
      <c r="AJ46">
        <f>IF($G46="s-curve",$E46+($F46-$E46)*$L$2/(1+EXP($L$3*(COUNT($L$9:AJ$9)+$L$4))),TREND($E46:$F46,$E$9:$F$9,AJ$9))</f>
        <v>0</v>
      </c>
      <c r="AK46">
        <f>IF($G46="s-curve",$E46+($F46-$E46)*$L$2/(1+EXP($L$3*(COUNT($L$9:AK$9)+$L$4))),TREND($E46:$F46,$E$9:$F$9,AK$9))</f>
        <v>0</v>
      </c>
      <c r="AL46">
        <f>IF($G46="s-curve",$E46+($F46-$E46)*$L$2/(1+EXP($L$3*(COUNT($L$9:AL$9)+$L$4))),TREND($E46:$F46,$E$9:$F$9,AL$9))</f>
        <v>0</v>
      </c>
    </row>
    <row r="47" spans="1:38" x14ac:dyDescent="0.3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>
        <f t="shared" ref="I47" si="41">J47</f>
        <v>0</v>
      </c>
      <c r="J47">
        <f t="shared" si="2"/>
        <v>0</v>
      </c>
      <c r="K47">
        <f t="shared" si="2"/>
        <v>0</v>
      </c>
      <c r="L47" s="16">
        <f t="shared" si="32"/>
        <v>0</v>
      </c>
      <c r="M47">
        <f>IF($G47="s-curve",$E47+($F47-$E47)*$L$2/(1+EXP($L$3*(COUNT($L$9:M$9)+$L$4))),TREND($E47:$F47,$E$9:$F$9,M$9))</f>
        <v>0</v>
      </c>
      <c r="N47">
        <f>IF($G47="s-curve",$E47+($F47-$E47)*$L$2/(1+EXP($L$3*(COUNT($L$9:N$9)+$L$4))),TREND($E47:$F47,$E$9:$F$9,N$9))</f>
        <v>0</v>
      </c>
      <c r="O47">
        <f>IF($G47="s-curve",$E47+($F47-$E47)*$L$2/(1+EXP($L$3*(COUNT($L$9:O$9)+$L$4))),TREND($E47:$F47,$E$9:$F$9,O$9))</f>
        <v>0</v>
      </c>
      <c r="P47">
        <f>IF($G47="s-curve",$E47+($F47-$E47)*$L$2/(1+EXP($L$3*(COUNT($L$9:P$9)+$L$4))),TREND($E47:$F47,$E$9:$F$9,P$9))</f>
        <v>0</v>
      </c>
      <c r="Q47">
        <f>IF($G47="s-curve",$E47+($F47-$E47)*$L$2/(1+EXP($L$3*(COUNT($L$9:Q$9)+$L$4))),TREND($E47:$F47,$E$9:$F$9,Q$9))</f>
        <v>0</v>
      </c>
      <c r="R47">
        <f>IF($G47="s-curve",$E47+($F47-$E47)*$L$2/(1+EXP($L$3*(COUNT($L$9:R$9)+$L$4))),TREND($E47:$F47,$E$9:$F$9,R$9))</f>
        <v>0</v>
      </c>
      <c r="S47">
        <f>IF($G47="s-curve",$E47+($F47-$E47)*$L$2/(1+EXP($L$3*(COUNT($L$9:S$9)+$L$4))),TREND($E47:$F47,$E$9:$F$9,S$9))</f>
        <v>0</v>
      </c>
      <c r="T47">
        <f>IF($G47="s-curve",$E47+($F47-$E47)*$L$2/(1+EXP($L$3*(COUNT($L$9:T$9)+$L$4))),TREND($E47:$F47,$E$9:$F$9,T$9))</f>
        <v>0</v>
      </c>
      <c r="U47">
        <f>IF($G47="s-curve",$E47+($F47-$E47)*$L$2/(1+EXP($L$3*(COUNT($L$9:U$9)+$L$4))),TREND($E47:$F47,$E$9:$F$9,U$9))</f>
        <v>0</v>
      </c>
      <c r="V47">
        <f>IF($G47="s-curve",$E47+($F47-$E47)*$L$2/(1+EXP($L$3*(COUNT($L$9:V$9)+$L$4))),TREND($E47:$F47,$E$9:$F$9,V$9))</f>
        <v>0</v>
      </c>
      <c r="W47">
        <f>IF($G47="s-curve",$E47+($F47-$E47)*$L$2/(1+EXP($L$3*(COUNT($L$9:W$9)+$L$4))),TREND($E47:$F47,$E$9:$F$9,W$9))</f>
        <v>0</v>
      </c>
      <c r="X47">
        <f>IF($G47="s-curve",$E47+($F47-$E47)*$L$2/(1+EXP($L$3*(COUNT($L$9:X$9)+$L$4))),TREND($E47:$F47,$E$9:$F$9,X$9))</f>
        <v>0</v>
      </c>
      <c r="Y47">
        <f>IF($G47="s-curve",$E47+($F47-$E47)*$L$2/(1+EXP($L$3*(COUNT($L$9:Y$9)+$L$4))),TREND($E47:$F47,$E$9:$F$9,Y$9))</f>
        <v>0</v>
      </c>
      <c r="Z47">
        <f>IF($G47="s-curve",$E47+($F47-$E47)*$L$2/(1+EXP($L$3*(COUNT($L$9:Z$9)+$L$4))),TREND($E47:$F47,$E$9:$F$9,Z$9))</f>
        <v>0</v>
      </c>
      <c r="AA47">
        <f>IF($G47="s-curve",$E47+($F47-$E47)*$L$2/(1+EXP($L$3*(COUNT($L$9:AA$9)+$L$4))),TREND($E47:$F47,$E$9:$F$9,AA$9))</f>
        <v>0</v>
      </c>
      <c r="AB47">
        <f>IF($G47="s-curve",$E47+($F47-$E47)*$L$2/(1+EXP($L$3*(COUNT($L$9:AB$9)+$L$4))),TREND($E47:$F47,$E$9:$F$9,AB$9))</f>
        <v>0</v>
      </c>
      <c r="AC47">
        <f>IF($G47="s-curve",$E47+($F47-$E47)*$L$2/(1+EXP($L$3*(COUNT($L$9:AC$9)+$L$4))),TREND($E47:$F47,$E$9:$F$9,AC$9))</f>
        <v>0</v>
      </c>
      <c r="AD47">
        <f>IF($G47="s-curve",$E47+($F47-$E47)*$L$2/(1+EXP($L$3*(COUNT($L$9:AD$9)+$L$4))),TREND($E47:$F47,$E$9:$F$9,AD$9))</f>
        <v>0</v>
      </c>
      <c r="AE47">
        <f>IF($G47="s-curve",$E47+($F47-$E47)*$L$2/(1+EXP($L$3*(COUNT($L$9:AE$9)+$L$4))),TREND($E47:$F47,$E$9:$F$9,AE$9))</f>
        <v>0</v>
      </c>
      <c r="AF47">
        <f>IF($G47="s-curve",$E47+($F47-$E47)*$L$2/(1+EXP($L$3*(COUNT($L$9:AF$9)+$L$4))),TREND($E47:$F47,$E$9:$F$9,AF$9))</f>
        <v>0</v>
      </c>
      <c r="AG47">
        <f>IF($G47="s-curve",$E47+($F47-$E47)*$L$2/(1+EXP($L$3*(COUNT($L$9:AG$9)+$L$4))),TREND($E47:$F47,$E$9:$F$9,AG$9))</f>
        <v>0</v>
      </c>
      <c r="AH47">
        <f>IF($G47="s-curve",$E47+($F47-$E47)*$L$2/(1+EXP($L$3*(COUNT($L$9:AH$9)+$L$4))),TREND($E47:$F47,$E$9:$F$9,AH$9))</f>
        <v>0</v>
      </c>
      <c r="AI47">
        <f>IF($G47="s-curve",$E47+($F47-$E47)*$L$2/(1+EXP($L$3*(COUNT($L$9:AI$9)+$L$4))),TREND($E47:$F47,$E$9:$F$9,AI$9))</f>
        <v>0</v>
      </c>
      <c r="AJ47">
        <f>IF($G47="s-curve",$E47+($F47-$E47)*$L$2/(1+EXP($L$3*(COUNT($L$9:AJ$9)+$L$4))),TREND($E47:$F47,$E$9:$F$9,AJ$9))</f>
        <v>0</v>
      </c>
      <c r="AK47">
        <f>IF($G47="s-curve",$E47+($F47-$E47)*$L$2/(1+EXP($L$3*(COUNT($L$9:AK$9)+$L$4))),TREND($E47:$F47,$E$9:$F$9,AK$9))</f>
        <v>0</v>
      </c>
      <c r="AL47">
        <f>IF($G47="s-curve",$E47+($F47-$E47)*$L$2/(1+EXP($L$3*(COUNT($L$9:AL$9)+$L$4))),TREND($E47:$F47,$E$9:$F$9,AL$9))</f>
        <v>0</v>
      </c>
    </row>
    <row r="48" spans="1:38" x14ac:dyDescent="0.3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>
        <f t="shared" ref="I48" si="42">J48</f>
        <v>1</v>
      </c>
      <c r="J48">
        <f t="shared" si="2"/>
        <v>1</v>
      </c>
      <c r="K48">
        <f t="shared" si="2"/>
        <v>1</v>
      </c>
      <c r="L48" s="16">
        <f t="shared" si="32"/>
        <v>1</v>
      </c>
      <c r="M48">
        <f>IF($G48="s-curve",$E48+($F48-$E48)*$L$2/(1+EXP($L$3*(COUNT($L$9:M$9)+$L$4))),TREND($E48:$F48,$E$9:$F$9,M$9))</f>
        <v>1</v>
      </c>
      <c r="N48">
        <f>IF($G48="s-curve",$E48+($F48-$E48)*$L$2/(1+EXP($L$3*(COUNT($L$9:N$9)+$L$4))),TREND($E48:$F48,$E$9:$F$9,N$9))</f>
        <v>1</v>
      </c>
      <c r="O48">
        <f>IF($G48="s-curve",$E48+($F48-$E48)*$L$2/(1+EXP($L$3*(COUNT($L$9:O$9)+$L$4))),TREND($E48:$F48,$E$9:$F$9,O$9))</f>
        <v>1</v>
      </c>
      <c r="P48">
        <f>IF($G48="s-curve",$E48+($F48-$E48)*$L$2/(1+EXP($L$3*(COUNT($L$9:P$9)+$L$4))),TREND($E48:$F48,$E$9:$F$9,P$9))</f>
        <v>1</v>
      </c>
      <c r="Q48">
        <f>IF($G48="s-curve",$E48+($F48-$E48)*$L$2/(1+EXP($L$3*(COUNT($L$9:Q$9)+$L$4))),TREND($E48:$F48,$E$9:$F$9,Q$9))</f>
        <v>1</v>
      </c>
      <c r="R48">
        <f>IF($G48="s-curve",$E48+($F48-$E48)*$L$2/(1+EXP($L$3*(COUNT($L$9:R$9)+$L$4))),TREND($E48:$F48,$E$9:$F$9,R$9))</f>
        <v>1</v>
      </c>
      <c r="S48">
        <f>IF($G48="s-curve",$E48+($F48-$E48)*$L$2/(1+EXP($L$3*(COUNT($L$9:S$9)+$L$4))),TREND($E48:$F48,$E$9:$F$9,S$9))</f>
        <v>1</v>
      </c>
      <c r="T48">
        <f>IF($G48="s-curve",$E48+($F48-$E48)*$L$2/(1+EXP($L$3*(COUNT($L$9:T$9)+$L$4))),TREND($E48:$F48,$E$9:$F$9,T$9))</f>
        <v>1</v>
      </c>
      <c r="U48">
        <f>IF($G48="s-curve",$E48+($F48-$E48)*$L$2/(1+EXP($L$3*(COUNT($L$9:U$9)+$L$4))),TREND($E48:$F48,$E$9:$F$9,U$9))</f>
        <v>1</v>
      </c>
      <c r="V48">
        <f>IF($G48="s-curve",$E48+($F48-$E48)*$L$2/(1+EXP($L$3*(COUNT($L$9:V$9)+$L$4))),TREND($E48:$F48,$E$9:$F$9,V$9))</f>
        <v>1</v>
      </c>
      <c r="W48">
        <f>IF($G48="s-curve",$E48+($F48-$E48)*$L$2/(1+EXP($L$3*(COUNT($L$9:W$9)+$L$4))),TREND($E48:$F48,$E$9:$F$9,W$9))</f>
        <v>1</v>
      </c>
      <c r="X48">
        <f>IF($G48="s-curve",$E48+($F48-$E48)*$L$2/(1+EXP($L$3*(COUNT($L$9:X$9)+$L$4))),TREND($E48:$F48,$E$9:$F$9,X$9))</f>
        <v>1</v>
      </c>
      <c r="Y48">
        <f>IF($G48="s-curve",$E48+($F48-$E48)*$L$2/(1+EXP($L$3*(COUNT($L$9:Y$9)+$L$4))),TREND($E48:$F48,$E$9:$F$9,Y$9))</f>
        <v>1</v>
      </c>
      <c r="Z48">
        <f>IF($G48="s-curve",$E48+($F48-$E48)*$L$2/(1+EXP($L$3*(COUNT($L$9:Z$9)+$L$4))),TREND($E48:$F48,$E$9:$F$9,Z$9))</f>
        <v>1</v>
      </c>
      <c r="AA48">
        <f>IF($G48="s-curve",$E48+($F48-$E48)*$L$2/(1+EXP($L$3*(COUNT($L$9:AA$9)+$L$4))),TREND($E48:$F48,$E$9:$F$9,AA$9))</f>
        <v>1</v>
      </c>
      <c r="AB48">
        <f>IF($G48="s-curve",$E48+($F48-$E48)*$L$2/(1+EXP($L$3*(COUNT($L$9:AB$9)+$L$4))),TREND($E48:$F48,$E$9:$F$9,AB$9))</f>
        <v>1</v>
      </c>
      <c r="AC48">
        <f>IF($G48="s-curve",$E48+($F48-$E48)*$L$2/(1+EXP($L$3*(COUNT($L$9:AC$9)+$L$4))),TREND($E48:$F48,$E$9:$F$9,AC$9))</f>
        <v>1</v>
      </c>
      <c r="AD48">
        <f>IF($G48="s-curve",$E48+($F48-$E48)*$L$2/(1+EXP($L$3*(COUNT($L$9:AD$9)+$L$4))),TREND($E48:$F48,$E$9:$F$9,AD$9))</f>
        <v>1</v>
      </c>
      <c r="AE48">
        <f>IF($G48="s-curve",$E48+($F48-$E48)*$L$2/(1+EXP($L$3*(COUNT($L$9:AE$9)+$L$4))),TREND($E48:$F48,$E$9:$F$9,AE$9))</f>
        <v>1</v>
      </c>
      <c r="AF48">
        <f>IF($G48="s-curve",$E48+($F48-$E48)*$L$2/(1+EXP($L$3*(COUNT($L$9:AF$9)+$L$4))),TREND($E48:$F48,$E$9:$F$9,AF$9))</f>
        <v>1</v>
      </c>
      <c r="AG48">
        <f>IF($G48="s-curve",$E48+($F48-$E48)*$L$2/(1+EXP($L$3*(COUNT($L$9:AG$9)+$L$4))),TREND($E48:$F48,$E$9:$F$9,AG$9))</f>
        <v>1</v>
      </c>
      <c r="AH48">
        <f>IF($G48="s-curve",$E48+($F48-$E48)*$L$2/(1+EXP($L$3*(COUNT($L$9:AH$9)+$L$4))),TREND($E48:$F48,$E$9:$F$9,AH$9))</f>
        <v>1</v>
      </c>
      <c r="AI48">
        <f>IF($G48="s-curve",$E48+($F48-$E48)*$L$2/(1+EXP($L$3*(COUNT($L$9:AI$9)+$L$4))),TREND($E48:$F48,$E$9:$F$9,AI$9))</f>
        <v>1</v>
      </c>
      <c r="AJ48">
        <f>IF($G48="s-curve",$E48+($F48-$E48)*$L$2/(1+EXP($L$3*(COUNT($L$9:AJ$9)+$L$4))),TREND($E48:$F48,$E$9:$F$9,AJ$9))</f>
        <v>1</v>
      </c>
      <c r="AK48">
        <f>IF($G48="s-curve",$E48+($F48-$E48)*$L$2/(1+EXP($L$3*(COUNT($L$9:AK$9)+$L$4))),TREND($E48:$F48,$E$9:$F$9,AK$9))</f>
        <v>1</v>
      </c>
      <c r="AL48">
        <f>IF($G48="s-curve",$E48+($F48-$E48)*$L$2/(1+EXP($L$3*(COUNT($L$9:AL$9)+$L$4))),TREND($E48:$F48,$E$9:$F$9,AL$9))</f>
        <v>1</v>
      </c>
    </row>
    <row r="49" spans="1:38" x14ac:dyDescent="0.3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>
        <f t="shared" ref="I49" si="43">J49</f>
        <v>0</v>
      </c>
      <c r="J49">
        <f t="shared" si="2"/>
        <v>0</v>
      </c>
      <c r="K49">
        <f t="shared" si="2"/>
        <v>0</v>
      </c>
      <c r="L49" s="16">
        <f t="shared" si="32"/>
        <v>0</v>
      </c>
      <c r="M49">
        <f>IF($G49="s-curve",$E49+($F49-$E49)*$L$2/(1+EXP($L$3*(COUNT($L$9:M$9)+$L$4))),TREND($E49:$F49,$E$9:$F$9,M$9))</f>
        <v>0</v>
      </c>
      <c r="N49">
        <f>IF($G49="s-curve",$E49+($F49-$E49)*$L$2/(1+EXP($L$3*(COUNT($L$9:N$9)+$L$4))),TREND($E49:$F49,$E$9:$F$9,N$9))</f>
        <v>0</v>
      </c>
      <c r="O49">
        <f>IF($G49="s-curve",$E49+($F49-$E49)*$L$2/(1+EXP($L$3*(COUNT($L$9:O$9)+$L$4))),TREND($E49:$F49,$E$9:$F$9,O$9))</f>
        <v>0</v>
      </c>
      <c r="P49">
        <f>IF($G49="s-curve",$E49+($F49-$E49)*$L$2/(1+EXP($L$3*(COUNT($L$9:P$9)+$L$4))),TREND($E49:$F49,$E$9:$F$9,P$9))</f>
        <v>0</v>
      </c>
      <c r="Q49">
        <f>IF($G49="s-curve",$E49+($F49-$E49)*$L$2/(1+EXP($L$3*(COUNT($L$9:Q$9)+$L$4))),TREND($E49:$F49,$E$9:$F$9,Q$9))</f>
        <v>0</v>
      </c>
      <c r="R49">
        <f>IF($G49="s-curve",$E49+($F49-$E49)*$L$2/(1+EXP($L$3*(COUNT($L$9:R$9)+$L$4))),TREND($E49:$F49,$E$9:$F$9,R$9))</f>
        <v>0</v>
      </c>
      <c r="S49">
        <f>IF($G49="s-curve",$E49+($F49-$E49)*$L$2/(1+EXP($L$3*(COUNT($L$9:S$9)+$L$4))),TREND($E49:$F49,$E$9:$F$9,S$9))</f>
        <v>0</v>
      </c>
      <c r="T49">
        <f>IF($G49="s-curve",$E49+($F49-$E49)*$L$2/(1+EXP($L$3*(COUNT($L$9:T$9)+$L$4))),TREND($E49:$F49,$E$9:$F$9,T$9))</f>
        <v>0</v>
      </c>
      <c r="U49">
        <f>IF($G49="s-curve",$E49+($F49-$E49)*$L$2/(1+EXP($L$3*(COUNT($L$9:U$9)+$L$4))),TREND($E49:$F49,$E$9:$F$9,U$9))</f>
        <v>0</v>
      </c>
      <c r="V49">
        <f>IF($G49="s-curve",$E49+($F49-$E49)*$L$2/(1+EXP($L$3*(COUNT($L$9:V$9)+$L$4))),TREND($E49:$F49,$E$9:$F$9,V$9))</f>
        <v>0</v>
      </c>
      <c r="W49">
        <f>IF($G49="s-curve",$E49+($F49-$E49)*$L$2/(1+EXP($L$3*(COUNT($L$9:W$9)+$L$4))),TREND($E49:$F49,$E$9:$F$9,W$9))</f>
        <v>0</v>
      </c>
      <c r="X49">
        <f>IF($G49="s-curve",$E49+($F49-$E49)*$L$2/(1+EXP($L$3*(COUNT($L$9:X$9)+$L$4))),TREND($E49:$F49,$E$9:$F$9,X$9))</f>
        <v>0</v>
      </c>
      <c r="Y49">
        <f>IF($G49="s-curve",$E49+($F49-$E49)*$L$2/(1+EXP($L$3*(COUNT($L$9:Y$9)+$L$4))),TREND($E49:$F49,$E$9:$F$9,Y$9))</f>
        <v>0</v>
      </c>
      <c r="Z49">
        <f>IF($G49="s-curve",$E49+($F49-$E49)*$L$2/(1+EXP($L$3*(COUNT($L$9:Z$9)+$L$4))),TREND($E49:$F49,$E$9:$F$9,Z$9))</f>
        <v>0</v>
      </c>
      <c r="AA49">
        <f>IF($G49="s-curve",$E49+($F49-$E49)*$L$2/(1+EXP($L$3*(COUNT($L$9:AA$9)+$L$4))),TREND($E49:$F49,$E$9:$F$9,AA$9))</f>
        <v>0</v>
      </c>
      <c r="AB49">
        <f>IF($G49="s-curve",$E49+($F49-$E49)*$L$2/(1+EXP($L$3*(COUNT($L$9:AB$9)+$L$4))),TREND($E49:$F49,$E$9:$F$9,AB$9))</f>
        <v>0</v>
      </c>
      <c r="AC49">
        <f>IF($G49="s-curve",$E49+($F49-$E49)*$L$2/(1+EXP($L$3*(COUNT($L$9:AC$9)+$L$4))),TREND($E49:$F49,$E$9:$F$9,AC$9))</f>
        <v>0</v>
      </c>
      <c r="AD49">
        <f>IF($G49="s-curve",$E49+($F49-$E49)*$L$2/(1+EXP($L$3*(COUNT($L$9:AD$9)+$L$4))),TREND($E49:$F49,$E$9:$F$9,AD$9))</f>
        <v>0</v>
      </c>
      <c r="AE49">
        <f>IF($G49="s-curve",$E49+($F49-$E49)*$L$2/(1+EXP($L$3*(COUNT($L$9:AE$9)+$L$4))),TREND($E49:$F49,$E$9:$F$9,AE$9))</f>
        <v>0</v>
      </c>
      <c r="AF49">
        <f>IF($G49="s-curve",$E49+($F49-$E49)*$L$2/(1+EXP($L$3*(COUNT($L$9:AF$9)+$L$4))),TREND($E49:$F49,$E$9:$F$9,AF$9))</f>
        <v>0</v>
      </c>
      <c r="AG49">
        <f>IF($G49="s-curve",$E49+($F49-$E49)*$L$2/(1+EXP($L$3*(COUNT($L$9:AG$9)+$L$4))),TREND($E49:$F49,$E$9:$F$9,AG$9))</f>
        <v>0</v>
      </c>
      <c r="AH49">
        <f>IF($G49="s-curve",$E49+($F49-$E49)*$L$2/(1+EXP($L$3*(COUNT($L$9:AH$9)+$L$4))),TREND($E49:$F49,$E$9:$F$9,AH$9))</f>
        <v>0</v>
      </c>
      <c r="AI49">
        <f>IF($G49="s-curve",$E49+($F49-$E49)*$L$2/(1+EXP($L$3*(COUNT($L$9:AI$9)+$L$4))),TREND($E49:$F49,$E$9:$F$9,AI$9))</f>
        <v>0</v>
      </c>
      <c r="AJ49">
        <f>IF($G49="s-curve",$E49+($F49-$E49)*$L$2/(1+EXP($L$3*(COUNT($L$9:AJ$9)+$L$4))),TREND($E49:$F49,$E$9:$F$9,AJ$9))</f>
        <v>0</v>
      </c>
      <c r="AK49">
        <f>IF($G49="s-curve",$E49+($F49-$E49)*$L$2/(1+EXP($L$3*(COUNT($L$9:AK$9)+$L$4))),TREND($E49:$F49,$E$9:$F$9,AK$9))</f>
        <v>0</v>
      </c>
      <c r="AL49">
        <f>IF($G49="s-curve",$E49+($F49-$E49)*$L$2/(1+EXP($L$3*(COUNT($L$9:AL$9)+$L$4))),TREND($E49:$F49,$E$9:$F$9,AL$9))</f>
        <v>0</v>
      </c>
    </row>
    <row r="50" spans="1:38" x14ac:dyDescent="0.3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>
        <f t="shared" ref="I50" si="44">J50</f>
        <v>0</v>
      </c>
      <c r="J50">
        <f t="shared" si="2"/>
        <v>0</v>
      </c>
      <c r="K50">
        <f t="shared" si="2"/>
        <v>0</v>
      </c>
      <c r="L50" s="16">
        <f t="shared" si="32"/>
        <v>0</v>
      </c>
      <c r="M50">
        <f>IF($G50="s-curve",$E50+($F50-$E50)*$L$2/(1+EXP($L$3*(COUNT($L$9:M$9)+$L$4))),TREND($E50:$F50,$E$9:$F$9,M$9))</f>
        <v>0</v>
      </c>
      <c r="N50">
        <f>IF($G50="s-curve",$E50+($F50-$E50)*$L$2/(1+EXP($L$3*(COUNT($L$9:N$9)+$L$4))),TREND($E50:$F50,$E$9:$F$9,N$9))</f>
        <v>0</v>
      </c>
      <c r="O50">
        <f>IF($G50="s-curve",$E50+($F50-$E50)*$L$2/(1+EXP($L$3*(COUNT($L$9:O$9)+$L$4))),TREND($E50:$F50,$E$9:$F$9,O$9))</f>
        <v>0</v>
      </c>
      <c r="P50">
        <f>IF($G50="s-curve",$E50+($F50-$E50)*$L$2/(1+EXP($L$3*(COUNT($L$9:P$9)+$L$4))),TREND($E50:$F50,$E$9:$F$9,P$9))</f>
        <v>0</v>
      </c>
      <c r="Q50">
        <f>IF($G50="s-curve",$E50+($F50-$E50)*$L$2/(1+EXP($L$3*(COUNT($L$9:Q$9)+$L$4))),TREND($E50:$F50,$E$9:$F$9,Q$9))</f>
        <v>0</v>
      </c>
      <c r="R50">
        <f>IF($G50="s-curve",$E50+($F50-$E50)*$L$2/(1+EXP($L$3*(COUNT($L$9:R$9)+$L$4))),TREND($E50:$F50,$E$9:$F$9,R$9))</f>
        <v>0</v>
      </c>
      <c r="S50">
        <f>IF($G50="s-curve",$E50+($F50-$E50)*$L$2/(1+EXP($L$3*(COUNT($L$9:S$9)+$L$4))),TREND($E50:$F50,$E$9:$F$9,S$9))</f>
        <v>0</v>
      </c>
      <c r="T50">
        <f>IF($G50="s-curve",$E50+($F50-$E50)*$L$2/(1+EXP($L$3*(COUNT($L$9:T$9)+$L$4))),TREND($E50:$F50,$E$9:$F$9,T$9))</f>
        <v>0</v>
      </c>
      <c r="U50">
        <f>IF($G50="s-curve",$E50+($F50-$E50)*$L$2/(1+EXP($L$3*(COUNT($L$9:U$9)+$L$4))),TREND($E50:$F50,$E$9:$F$9,U$9))</f>
        <v>0</v>
      </c>
      <c r="V50">
        <f>IF($G50="s-curve",$E50+($F50-$E50)*$L$2/(1+EXP($L$3*(COUNT($L$9:V$9)+$L$4))),TREND($E50:$F50,$E$9:$F$9,V$9))</f>
        <v>0</v>
      </c>
      <c r="W50">
        <f>IF($G50="s-curve",$E50+($F50-$E50)*$L$2/(1+EXP($L$3*(COUNT($L$9:W$9)+$L$4))),TREND($E50:$F50,$E$9:$F$9,W$9))</f>
        <v>0</v>
      </c>
      <c r="X50">
        <f>IF($G50="s-curve",$E50+($F50-$E50)*$L$2/(1+EXP($L$3*(COUNT($L$9:X$9)+$L$4))),TREND($E50:$F50,$E$9:$F$9,X$9))</f>
        <v>0</v>
      </c>
      <c r="Y50">
        <f>IF($G50="s-curve",$E50+($F50-$E50)*$L$2/(1+EXP($L$3*(COUNT($L$9:Y$9)+$L$4))),TREND($E50:$F50,$E$9:$F$9,Y$9))</f>
        <v>0</v>
      </c>
      <c r="Z50">
        <f>IF($G50="s-curve",$E50+($F50-$E50)*$L$2/(1+EXP($L$3*(COUNT($L$9:Z$9)+$L$4))),TREND($E50:$F50,$E$9:$F$9,Z$9))</f>
        <v>0</v>
      </c>
      <c r="AA50">
        <f>IF($G50="s-curve",$E50+($F50-$E50)*$L$2/(1+EXP($L$3*(COUNT($L$9:AA$9)+$L$4))),TREND($E50:$F50,$E$9:$F$9,AA$9))</f>
        <v>0</v>
      </c>
      <c r="AB50">
        <f>IF($G50="s-curve",$E50+($F50-$E50)*$L$2/(1+EXP($L$3*(COUNT($L$9:AB$9)+$L$4))),TREND($E50:$F50,$E$9:$F$9,AB$9))</f>
        <v>0</v>
      </c>
      <c r="AC50">
        <f>IF($G50="s-curve",$E50+($F50-$E50)*$L$2/(1+EXP($L$3*(COUNT($L$9:AC$9)+$L$4))),TREND($E50:$F50,$E$9:$F$9,AC$9))</f>
        <v>0</v>
      </c>
      <c r="AD50">
        <f>IF($G50="s-curve",$E50+($F50-$E50)*$L$2/(1+EXP($L$3*(COUNT($L$9:AD$9)+$L$4))),TREND($E50:$F50,$E$9:$F$9,AD$9))</f>
        <v>0</v>
      </c>
      <c r="AE50">
        <f>IF($G50="s-curve",$E50+($F50-$E50)*$L$2/(1+EXP($L$3*(COUNT($L$9:AE$9)+$L$4))),TREND($E50:$F50,$E$9:$F$9,AE$9))</f>
        <v>0</v>
      </c>
      <c r="AF50">
        <f>IF($G50="s-curve",$E50+($F50-$E50)*$L$2/(1+EXP($L$3*(COUNT($L$9:AF$9)+$L$4))),TREND($E50:$F50,$E$9:$F$9,AF$9))</f>
        <v>0</v>
      </c>
      <c r="AG50">
        <f>IF($G50="s-curve",$E50+($F50-$E50)*$L$2/(1+EXP($L$3*(COUNT($L$9:AG$9)+$L$4))),TREND($E50:$F50,$E$9:$F$9,AG$9))</f>
        <v>0</v>
      </c>
      <c r="AH50">
        <f>IF($G50="s-curve",$E50+($F50-$E50)*$L$2/(1+EXP($L$3*(COUNT($L$9:AH$9)+$L$4))),TREND($E50:$F50,$E$9:$F$9,AH$9))</f>
        <v>0</v>
      </c>
      <c r="AI50">
        <f>IF($G50="s-curve",$E50+($F50-$E50)*$L$2/(1+EXP($L$3*(COUNT($L$9:AI$9)+$L$4))),TREND($E50:$F50,$E$9:$F$9,AI$9))</f>
        <v>0</v>
      </c>
      <c r="AJ50">
        <f>IF($G50="s-curve",$E50+($F50-$E50)*$L$2/(1+EXP($L$3*(COUNT($L$9:AJ$9)+$L$4))),TREND($E50:$F50,$E$9:$F$9,AJ$9))</f>
        <v>0</v>
      </c>
      <c r="AK50">
        <f>IF($G50="s-curve",$E50+($F50-$E50)*$L$2/(1+EXP($L$3*(COUNT($L$9:AK$9)+$L$4))),TREND($E50:$F50,$E$9:$F$9,AK$9))</f>
        <v>0</v>
      </c>
      <c r="AL50">
        <f>IF($G50="s-curve",$E50+($F50-$E50)*$L$2/(1+EXP($L$3*(COUNT($L$9:AL$9)+$L$4))),TREND($E50:$F50,$E$9:$F$9,AL$9))</f>
        <v>0</v>
      </c>
    </row>
    <row r="51" spans="1:38" ht="15.75" customHeight="1" thickBot="1" x14ac:dyDescent="0.4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>
        <f t="shared" ref="I51" si="45">J51</f>
        <v>0</v>
      </c>
      <c r="J51">
        <f t="shared" si="2"/>
        <v>0</v>
      </c>
      <c r="K51">
        <f t="shared" si="2"/>
        <v>0</v>
      </c>
      <c r="L51" s="16">
        <f t="shared" si="32"/>
        <v>0</v>
      </c>
      <c r="M51">
        <f>IF($G51="s-curve",$E51+($F51-$E51)*$L$2/(1+EXP($L$3*(COUNT($L$9:M$9)+$L$4))),TREND($E51:$F51,$E$9:$F$9,M$9))</f>
        <v>0</v>
      </c>
      <c r="N51">
        <f>IF($G51="s-curve",$E51+($F51-$E51)*$L$2/(1+EXP($L$3*(COUNT($L$9:N$9)+$L$4))),TREND($E51:$F51,$E$9:$F$9,N$9))</f>
        <v>0</v>
      </c>
      <c r="O51">
        <f>IF($G51="s-curve",$E51+($F51-$E51)*$L$2/(1+EXP($L$3*(COUNT($L$9:O$9)+$L$4))),TREND($E51:$F51,$E$9:$F$9,O$9))</f>
        <v>0</v>
      </c>
      <c r="P51">
        <f>IF($G51="s-curve",$E51+($F51-$E51)*$L$2/(1+EXP($L$3*(COUNT($L$9:P$9)+$L$4))),TREND($E51:$F51,$E$9:$F$9,P$9))</f>
        <v>0</v>
      </c>
      <c r="Q51">
        <f>IF($G51="s-curve",$E51+($F51-$E51)*$L$2/(1+EXP($L$3*(COUNT($L$9:Q$9)+$L$4))),TREND($E51:$F51,$E$9:$F$9,Q$9))</f>
        <v>0</v>
      </c>
      <c r="R51">
        <f>IF($G51="s-curve",$E51+($F51-$E51)*$L$2/(1+EXP($L$3*(COUNT($L$9:R$9)+$L$4))),TREND($E51:$F51,$E$9:$F$9,R$9))</f>
        <v>0</v>
      </c>
      <c r="S51">
        <f>IF($G51="s-curve",$E51+($F51-$E51)*$L$2/(1+EXP($L$3*(COUNT($L$9:S$9)+$L$4))),TREND($E51:$F51,$E$9:$F$9,S$9))</f>
        <v>0</v>
      </c>
      <c r="T51">
        <f>IF($G51="s-curve",$E51+($F51-$E51)*$L$2/(1+EXP($L$3*(COUNT($L$9:T$9)+$L$4))),TREND($E51:$F51,$E$9:$F$9,T$9))</f>
        <v>0</v>
      </c>
      <c r="U51">
        <f>IF($G51="s-curve",$E51+($F51-$E51)*$L$2/(1+EXP($L$3*(COUNT($L$9:U$9)+$L$4))),TREND($E51:$F51,$E$9:$F$9,U$9))</f>
        <v>0</v>
      </c>
      <c r="V51">
        <f>IF($G51="s-curve",$E51+($F51-$E51)*$L$2/(1+EXP($L$3*(COUNT($L$9:V$9)+$L$4))),TREND($E51:$F51,$E$9:$F$9,V$9))</f>
        <v>0</v>
      </c>
      <c r="W51">
        <f>IF($G51="s-curve",$E51+($F51-$E51)*$L$2/(1+EXP($L$3*(COUNT($L$9:W$9)+$L$4))),TREND($E51:$F51,$E$9:$F$9,W$9))</f>
        <v>0</v>
      </c>
      <c r="X51">
        <f>IF($G51="s-curve",$E51+($F51-$E51)*$L$2/(1+EXP($L$3*(COUNT($L$9:X$9)+$L$4))),TREND($E51:$F51,$E$9:$F$9,X$9))</f>
        <v>0</v>
      </c>
      <c r="Y51">
        <f>IF($G51="s-curve",$E51+($F51-$E51)*$L$2/(1+EXP($L$3*(COUNT($L$9:Y$9)+$L$4))),TREND($E51:$F51,$E$9:$F$9,Y$9))</f>
        <v>0</v>
      </c>
      <c r="Z51">
        <f>IF($G51="s-curve",$E51+($F51-$E51)*$L$2/(1+EXP($L$3*(COUNT($L$9:Z$9)+$L$4))),TREND($E51:$F51,$E$9:$F$9,Z$9))</f>
        <v>0</v>
      </c>
      <c r="AA51">
        <f>IF($G51="s-curve",$E51+($F51-$E51)*$L$2/(1+EXP($L$3*(COUNT($L$9:AA$9)+$L$4))),TREND($E51:$F51,$E$9:$F$9,AA$9))</f>
        <v>0</v>
      </c>
      <c r="AB51">
        <f>IF($G51="s-curve",$E51+($F51-$E51)*$L$2/(1+EXP($L$3*(COUNT($L$9:AB$9)+$L$4))),TREND($E51:$F51,$E$9:$F$9,AB$9))</f>
        <v>0</v>
      </c>
      <c r="AC51">
        <f>IF($G51="s-curve",$E51+($F51-$E51)*$L$2/(1+EXP($L$3*(COUNT($L$9:AC$9)+$L$4))),TREND($E51:$F51,$E$9:$F$9,AC$9))</f>
        <v>0</v>
      </c>
      <c r="AD51">
        <f>IF($G51="s-curve",$E51+($F51-$E51)*$L$2/(1+EXP($L$3*(COUNT($L$9:AD$9)+$L$4))),TREND($E51:$F51,$E$9:$F$9,AD$9))</f>
        <v>0</v>
      </c>
      <c r="AE51">
        <f>IF($G51="s-curve",$E51+($F51-$E51)*$L$2/(1+EXP($L$3*(COUNT($L$9:AE$9)+$L$4))),TREND($E51:$F51,$E$9:$F$9,AE$9))</f>
        <v>0</v>
      </c>
      <c r="AF51">
        <f>IF($G51="s-curve",$E51+($F51-$E51)*$L$2/(1+EXP($L$3*(COUNT($L$9:AF$9)+$L$4))),TREND($E51:$F51,$E$9:$F$9,AF$9))</f>
        <v>0</v>
      </c>
      <c r="AG51">
        <f>IF($G51="s-curve",$E51+($F51-$E51)*$L$2/(1+EXP($L$3*(COUNT($L$9:AG$9)+$L$4))),TREND($E51:$F51,$E$9:$F$9,AG$9))</f>
        <v>0</v>
      </c>
      <c r="AH51">
        <f>IF($G51="s-curve",$E51+($F51-$E51)*$L$2/(1+EXP($L$3*(COUNT($L$9:AH$9)+$L$4))),TREND($E51:$F51,$E$9:$F$9,AH$9))</f>
        <v>0</v>
      </c>
      <c r="AI51">
        <f>IF($G51="s-curve",$E51+($F51-$E51)*$L$2/(1+EXP($L$3*(COUNT($L$9:AI$9)+$L$4))),TREND($E51:$F51,$E$9:$F$9,AI$9))</f>
        <v>0</v>
      </c>
      <c r="AJ51">
        <f>IF($G51="s-curve",$E51+($F51-$E51)*$L$2/(1+EXP($L$3*(COUNT($L$9:AJ$9)+$L$4))),TREND($E51:$F51,$E$9:$F$9,AJ$9))</f>
        <v>0</v>
      </c>
      <c r="AK51">
        <f>IF($G51="s-curve",$E51+($F51-$E51)*$L$2/(1+EXP($L$3*(COUNT($L$9:AK$9)+$L$4))),TREND($E51:$F51,$E$9:$F$9,AK$9))</f>
        <v>0</v>
      </c>
      <c r="AL51">
        <f>IF($G51="s-curve",$E51+($F51-$E51)*$L$2/(1+EXP($L$3*(COUNT($L$9:AL$9)+$L$4))),TREND($E51:$F51,$E$9:$F$9,AL$9))</f>
        <v>0</v>
      </c>
    </row>
    <row r="52" spans="1:38" x14ac:dyDescent="0.35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>
        <f t="shared" ref="I52" si="46">J52</f>
        <v>0.93664816810144857</v>
      </c>
      <c r="J52">
        <f t="shared" si="2"/>
        <v>0.93664816810144857</v>
      </c>
      <c r="K52">
        <f t="shared" si="2"/>
        <v>0.93664816810144857</v>
      </c>
      <c r="L52" s="16">
        <f t="shared" si="32"/>
        <v>0.93664816810144857</v>
      </c>
      <c r="M52">
        <f>IF($G52="s-curve",$E52+($F52-$E52)*$L$2/(1+EXP($L$3*(COUNT($L$9:M$9)+$L$4))),TREND($E52:$F52,$E$9:$F$9,M$9))</f>
        <v>0.93664816810144857</v>
      </c>
      <c r="N52">
        <f>IF($G52="s-curve",$E52+($F52-$E52)*$L$2/(1+EXP($L$3*(COUNT($L$9:N$9)+$L$4))),TREND($E52:$F52,$E$9:$F$9,N$9))</f>
        <v>0.93664816810144857</v>
      </c>
      <c r="O52">
        <f>IF($G52="s-curve",$E52+($F52-$E52)*$L$2/(1+EXP($L$3*(COUNT($L$9:O$9)+$L$4))),TREND($E52:$F52,$E$9:$F$9,O$9))</f>
        <v>0.93664816810144857</v>
      </c>
      <c r="P52">
        <f>IF($G52="s-curve",$E52+($F52-$E52)*$L$2/(1+EXP($L$3*(COUNT($L$9:P$9)+$L$4))),TREND($E52:$F52,$E$9:$F$9,P$9))</f>
        <v>0.93664816810144857</v>
      </c>
      <c r="Q52">
        <f>IF($G52="s-curve",$E52+($F52-$E52)*$L$2/(1+EXP($L$3*(COUNT($L$9:Q$9)+$L$4))),TREND($E52:$F52,$E$9:$F$9,Q$9))</f>
        <v>0.93664816810144857</v>
      </c>
      <c r="R52">
        <f>IF($G52="s-curve",$E52+($F52-$E52)*$L$2/(1+EXP($L$3*(COUNT($L$9:R$9)+$L$4))),TREND($E52:$F52,$E$9:$F$9,R$9))</f>
        <v>0.93664816810144857</v>
      </c>
      <c r="S52">
        <f>IF($G52="s-curve",$E52+($F52-$E52)*$L$2/(1+EXP($L$3*(COUNT($L$9:S$9)+$L$4))),TREND($E52:$F52,$E$9:$F$9,S$9))</f>
        <v>0.93664816810144857</v>
      </c>
      <c r="T52">
        <f>IF($G52="s-curve",$E52+($F52-$E52)*$L$2/(1+EXP($L$3*(COUNT($L$9:T$9)+$L$4))),TREND($E52:$F52,$E$9:$F$9,T$9))</f>
        <v>0.93664816810144857</v>
      </c>
      <c r="U52">
        <f>IF($G52="s-curve",$E52+($F52-$E52)*$L$2/(1+EXP($L$3*(COUNT($L$9:U$9)+$L$4))),TREND($E52:$F52,$E$9:$F$9,U$9))</f>
        <v>0.93664816810144857</v>
      </c>
      <c r="V52">
        <f>IF($G52="s-curve",$E52+($F52-$E52)*$L$2/(1+EXP($L$3*(COUNT($L$9:V$9)+$L$4))),TREND($E52:$F52,$E$9:$F$9,V$9))</f>
        <v>0.93664816810144857</v>
      </c>
      <c r="W52">
        <f>IF($G52="s-curve",$E52+($F52-$E52)*$L$2/(1+EXP($L$3*(COUNT($L$9:W$9)+$L$4))),TREND($E52:$F52,$E$9:$F$9,W$9))</f>
        <v>0.93664816810144857</v>
      </c>
      <c r="X52">
        <f>IF($G52="s-curve",$E52+($F52-$E52)*$L$2/(1+EXP($L$3*(COUNT($L$9:X$9)+$L$4))),TREND($E52:$F52,$E$9:$F$9,X$9))</f>
        <v>0.93664816810144857</v>
      </c>
      <c r="Y52">
        <f>IF($G52="s-curve",$E52+($F52-$E52)*$L$2/(1+EXP($L$3*(COUNT($L$9:Y$9)+$L$4))),TREND($E52:$F52,$E$9:$F$9,Y$9))</f>
        <v>0.93664816810144857</v>
      </c>
      <c r="Z52">
        <f>IF($G52="s-curve",$E52+($F52-$E52)*$L$2/(1+EXP($L$3*(COUNT($L$9:Z$9)+$L$4))),TREND($E52:$F52,$E$9:$F$9,Z$9))</f>
        <v>0.93664816810144857</v>
      </c>
      <c r="AA52">
        <f>IF($G52="s-curve",$E52+($F52-$E52)*$L$2/(1+EXP($L$3*(COUNT($L$9:AA$9)+$L$4))),TREND($E52:$F52,$E$9:$F$9,AA$9))</f>
        <v>0.93664816810144857</v>
      </c>
      <c r="AB52">
        <f>IF($G52="s-curve",$E52+($F52-$E52)*$L$2/(1+EXP($L$3*(COUNT($L$9:AB$9)+$L$4))),TREND($E52:$F52,$E$9:$F$9,AB$9))</f>
        <v>0.93664816810144857</v>
      </c>
      <c r="AC52">
        <f>IF($G52="s-curve",$E52+($F52-$E52)*$L$2/(1+EXP($L$3*(COUNT($L$9:AC$9)+$L$4))),TREND($E52:$F52,$E$9:$F$9,AC$9))</f>
        <v>0.93664816810144857</v>
      </c>
      <c r="AD52">
        <f>IF($G52="s-curve",$E52+($F52-$E52)*$L$2/(1+EXP($L$3*(COUNT($L$9:AD$9)+$L$4))),TREND($E52:$F52,$E$9:$F$9,AD$9))</f>
        <v>0.93664816810144857</v>
      </c>
      <c r="AE52">
        <f>IF($G52="s-curve",$E52+($F52-$E52)*$L$2/(1+EXP($L$3*(COUNT($L$9:AE$9)+$L$4))),TREND($E52:$F52,$E$9:$F$9,AE$9))</f>
        <v>0.93664816810144857</v>
      </c>
      <c r="AF52">
        <f>IF($G52="s-curve",$E52+($F52-$E52)*$L$2/(1+EXP($L$3*(COUNT($L$9:AF$9)+$L$4))),TREND($E52:$F52,$E$9:$F$9,AF$9))</f>
        <v>0.93664816810144857</v>
      </c>
      <c r="AG52">
        <f>IF($G52="s-curve",$E52+($F52-$E52)*$L$2/(1+EXP($L$3*(COUNT($L$9:AG$9)+$L$4))),TREND($E52:$F52,$E$9:$F$9,AG$9))</f>
        <v>0.93664816810144857</v>
      </c>
      <c r="AH52">
        <f>IF($G52="s-curve",$E52+($F52-$E52)*$L$2/(1+EXP($L$3*(COUNT($L$9:AH$9)+$L$4))),TREND($E52:$F52,$E$9:$F$9,AH$9))</f>
        <v>0.93664816810144857</v>
      </c>
      <c r="AI52">
        <f>IF($G52="s-curve",$E52+($F52-$E52)*$L$2/(1+EXP($L$3*(COUNT($L$9:AI$9)+$L$4))),TREND($E52:$F52,$E$9:$F$9,AI$9))</f>
        <v>0.93664816810144857</v>
      </c>
      <c r="AJ52">
        <f>IF($G52="s-curve",$E52+($F52-$E52)*$L$2/(1+EXP($L$3*(COUNT($L$9:AJ$9)+$L$4))),TREND($E52:$F52,$E$9:$F$9,AJ$9))</f>
        <v>0.93664816810144857</v>
      </c>
      <c r="AK52">
        <f>IF($G52="s-curve",$E52+($F52-$E52)*$L$2/(1+EXP($L$3*(COUNT($L$9:AK$9)+$L$4))),TREND($E52:$F52,$E$9:$F$9,AK$9))</f>
        <v>0.93664816810144857</v>
      </c>
      <c r="AL52">
        <f>IF($G52="s-curve",$E52+($F52-$E52)*$L$2/(1+EXP($L$3*(COUNT($L$9:AL$9)+$L$4))),TREND($E52:$F52,$E$9:$F$9,AL$9))</f>
        <v>0.93664816810144857</v>
      </c>
    </row>
    <row r="53" spans="1:38" x14ac:dyDescent="0.3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>
        <f t="shared" ref="I53" si="47">J53</f>
        <v>0</v>
      </c>
      <c r="J53">
        <f t="shared" si="2"/>
        <v>0</v>
      </c>
      <c r="K53">
        <f t="shared" si="2"/>
        <v>0</v>
      </c>
      <c r="L53" s="16">
        <f t="shared" si="32"/>
        <v>0</v>
      </c>
      <c r="M53">
        <f>IF($G53="s-curve",$E53+($F53-$E53)*$L$2/(1+EXP($L$3*(COUNT($L$9:M$9)+$L$4))),TREND($E53:$F53,$E$9:$F$9,M$9))</f>
        <v>0</v>
      </c>
      <c r="N53">
        <f>IF($G53="s-curve",$E53+($F53-$E53)*$L$2/(1+EXP($L$3*(COUNT($L$9:N$9)+$L$4))),TREND($E53:$F53,$E$9:$F$9,N$9))</f>
        <v>0</v>
      </c>
      <c r="O53">
        <f>IF($G53="s-curve",$E53+($F53-$E53)*$L$2/(1+EXP($L$3*(COUNT($L$9:O$9)+$L$4))),TREND($E53:$F53,$E$9:$F$9,O$9))</f>
        <v>0</v>
      </c>
      <c r="P53">
        <f>IF($G53="s-curve",$E53+($F53-$E53)*$L$2/(1+EXP($L$3*(COUNT($L$9:P$9)+$L$4))),TREND($E53:$F53,$E$9:$F$9,P$9))</f>
        <v>0</v>
      </c>
      <c r="Q53">
        <f>IF($G53="s-curve",$E53+($F53-$E53)*$L$2/(1+EXP($L$3*(COUNT($L$9:Q$9)+$L$4))),TREND($E53:$F53,$E$9:$F$9,Q$9))</f>
        <v>0</v>
      </c>
      <c r="R53">
        <f>IF($G53="s-curve",$E53+($F53-$E53)*$L$2/(1+EXP($L$3*(COUNT($L$9:R$9)+$L$4))),TREND($E53:$F53,$E$9:$F$9,R$9))</f>
        <v>0</v>
      </c>
      <c r="S53">
        <f>IF($G53="s-curve",$E53+($F53-$E53)*$L$2/(1+EXP($L$3*(COUNT($L$9:S$9)+$L$4))),TREND($E53:$F53,$E$9:$F$9,S$9))</f>
        <v>0</v>
      </c>
      <c r="T53">
        <f>IF($G53="s-curve",$E53+($F53-$E53)*$L$2/(1+EXP($L$3*(COUNT($L$9:T$9)+$L$4))),TREND($E53:$F53,$E$9:$F$9,T$9))</f>
        <v>0</v>
      </c>
      <c r="U53">
        <f>IF($G53="s-curve",$E53+($F53-$E53)*$L$2/(1+EXP($L$3*(COUNT($L$9:U$9)+$L$4))),TREND($E53:$F53,$E$9:$F$9,U$9))</f>
        <v>0</v>
      </c>
      <c r="V53">
        <f>IF($G53="s-curve",$E53+($F53-$E53)*$L$2/(1+EXP($L$3*(COUNT($L$9:V$9)+$L$4))),TREND($E53:$F53,$E$9:$F$9,V$9))</f>
        <v>0</v>
      </c>
      <c r="W53">
        <f>IF($G53="s-curve",$E53+($F53-$E53)*$L$2/(1+EXP($L$3*(COUNT($L$9:W$9)+$L$4))),TREND($E53:$F53,$E$9:$F$9,W$9))</f>
        <v>0</v>
      </c>
      <c r="X53">
        <f>IF($G53="s-curve",$E53+($F53-$E53)*$L$2/(1+EXP($L$3*(COUNT($L$9:X$9)+$L$4))),TREND($E53:$F53,$E$9:$F$9,X$9))</f>
        <v>0</v>
      </c>
      <c r="Y53">
        <f>IF($G53="s-curve",$E53+($F53-$E53)*$L$2/(1+EXP($L$3*(COUNT($L$9:Y$9)+$L$4))),TREND($E53:$F53,$E$9:$F$9,Y$9))</f>
        <v>0</v>
      </c>
      <c r="Z53">
        <f>IF($G53="s-curve",$E53+($F53-$E53)*$L$2/(1+EXP($L$3*(COUNT($L$9:Z$9)+$L$4))),TREND($E53:$F53,$E$9:$F$9,Z$9))</f>
        <v>0</v>
      </c>
      <c r="AA53">
        <f>IF($G53="s-curve",$E53+($F53-$E53)*$L$2/(1+EXP($L$3*(COUNT($L$9:AA$9)+$L$4))),TREND($E53:$F53,$E$9:$F$9,AA$9))</f>
        <v>0</v>
      </c>
      <c r="AB53">
        <f>IF($G53="s-curve",$E53+($F53-$E53)*$L$2/(1+EXP($L$3*(COUNT($L$9:AB$9)+$L$4))),TREND($E53:$F53,$E$9:$F$9,AB$9))</f>
        <v>0</v>
      </c>
      <c r="AC53">
        <f>IF($G53="s-curve",$E53+($F53-$E53)*$L$2/(1+EXP($L$3*(COUNT($L$9:AC$9)+$L$4))),TREND($E53:$F53,$E$9:$F$9,AC$9))</f>
        <v>0</v>
      </c>
      <c r="AD53">
        <f>IF($G53="s-curve",$E53+($F53-$E53)*$L$2/(1+EXP($L$3*(COUNT($L$9:AD$9)+$L$4))),TREND($E53:$F53,$E$9:$F$9,AD$9))</f>
        <v>0</v>
      </c>
      <c r="AE53">
        <f>IF($G53="s-curve",$E53+($F53-$E53)*$L$2/(1+EXP($L$3*(COUNT($L$9:AE$9)+$L$4))),TREND($E53:$F53,$E$9:$F$9,AE$9))</f>
        <v>0</v>
      </c>
      <c r="AF53">
        <f>IF($G53="s-curve",$E53+($F53-$E53)*$L$2/(1+EXP($L$3*(COUNT($L$9:AF$9)+$L$4))),TREND($E53:$F53,$E$9:$F$9,AF$9))</f>
        <v>0</v>
      </c>
      <c r="AG53">
        <f>IF($G53="s-curve",$E53+($F53-$E53)*$L$2/(1+EXP($L$3*(COUNT($L$9:AG$9)+$L$4))),TREND($E53:$F53,$E$9:$F$9,AG$9))</f>
        <v>0</v>
      </c>
      <c r="AH53">
        <f>IF($G53="s-curve",$E53+($F53-$E53)*$L$2/(1+EXP($L$3*(COUNT($L$9:AH$9)+$L$4))),TREND($E53:$F53,$E$9:$F$9,AH$9))</f>
        <v>0</v>
      </c>
      <c r="AI53">
        <f>IF($G53="s-curve",$E53+($F53-$E53)*$L$2/(1+EXP($L$3*(COUNT($L$9:AI$9)+$L$4))),TREND($E53:$F53,$E$9:$F$9,AI$9))</f>
        <v>0</v>
      </c>
      <c r="AJ53">
        <f>IF($G53="s-curve",$E53+($F53-$E53)*$L$2/(1+EXP($L$3*(COUNT($L$9:AJ$9)+$L$4))),TREND($E53:$F53,$E$9:$F$9,AJ$9))</f>
        <v>0</v>
      </c>
      <c r="AK53">
        <f>IF($G53="s-curve",$E53+($F53-$E53)*$L$2/(1+EXP($L$3*(COUNT($L$9:AK$9)+$L$4))),TREND($E53:$F53,$E$9:$F$9,AK$9))</f>
        <v>0</v>
      </c>
      <c r="AL53">
        <f>IF($G53="s-curve",$E53+($F53-$E53)*$L$2/(1+EXP($L$3*(COUNT($L$9:AL$9)+$L$4))),TREND($E53:$F53,$E$9:$F$9,AL$9))</f>
        <v>0</v>
      </c>
    </row>
    <row r="54" spans="1:38" x14ac:dyDescent="0.3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>
        <f t="shared" ref="I54" si="48">J54</f>
        <v>0</v>
      </c>
      <c r="J54">
        <f t="shared" si="2"/>
        <v>0</v>
      </c>
      <c r="K54">
        <f t="shared" si="2"/>
        <v>0</v>
      </c>
      <c r="L54" s="16">
        <f t="shared" si="32"/>
        <v>0</v>
      </c>
      <c r="M54">
        <f>IF($G54="s-curve",$E54+($F54-$E54)*$L$2/(1+EXP($L$3*(COUNT($L$9:M$9)+$L$4))),TREND($E54:$F54,$E$9:$F$9,M$9))</f>
        <v>0</v>
      </c>
      <c r="N54">
        <f>IF($G54="s-curve",$E54+($F54-$E54)*$L$2/(1+EXP($L$3*(COUNT($L$9:N$9)+$L$4))),TREND($E54:$F54,$E$9:$F$9,N$9))</f>
        <v>0</v>
      </c>
      <c r="O54">
        <f>IF($G54="s-curve",$E54+($F54-$E54)*$L$2/(1+EXP($L$3*(COUNT($L$9:O$9)+$L$4))),TREND($E54:$F54,$E$9:$F$9,O$9))</f>
        <v>0</v>
      </c>
      <c r="P54">
        <f>IF($G54="s-curve",$E54+($F54-$E54)*$L$2/(1+EXP($L$3*(COUNT($L$9:P$9)+$L$4))),TREND($E54:$F54,$E$9:$F$9,P$9))</f>
        <v>0</v>
      </c>
      <c r="Q54">
        <f>IF($G54="s-curve",$E54+($F54-$E54)*$L$2/(1+EXP($L$3*(COUNT($L$9:Q$9)+$L$4))),TREND($E54:$F54,$E$9:$F$9,Q$9))</f>
        <v>0</v>
      </c>
      <c r="R54">
        <f>IF($G54="s-curve",$E54+($F54-$E54)*$L$2/(1+EXP($L$3*(COUNT($L$9:R$9)+$L$4))),TREND($E54:$F54,$E$9:$F$9,R$9))</f>
        <v>0</v>
      </c>
      <c r="S54">
        <f>IF($G54="s-curve",$E54+($F54-$E54)*$L$2/(1+EXP($L$3*(COUNT($L$9:S$9)+$L$4))),TREND($E54:$F54,$E$9:$F$9,S$9))</f>
        <v>0</v>
      </c>
      <c r="T54">
        <f>IF($G54="s-curve",$E54+($F54-$E54)*$L$2/(1+EXP($L$3*(COUNT($L$9:T$9)+$L$4))),TREND($E54:$F54,$E$9:$F$9,T$9))</f>
        <v>0</v>
      </c>
      <c r="U54">
        <f>IF($G54="s-curve",$E54+($F54-$E54)*$L$2/(1+EXP($L$3*(COUNT($L$9:U$9)+$L$4))),TREND($E54:$F54,$E$9:$F$9,U$9))</f>
        <v>0</v>
      </c>
      <c r="V54">
        <f>IF($G54="s-curve",$E54+($F54-$E54)*$L$2/(1+EXP($L$3*(COUNT($L$9:V$9)+$L$4))),TREND($E54:$F54,$E$9:$F$9,V$9))</f>
        <v>0</v>
      </c>
      <c r="W54">
        <f>IF($G54="s-curve",$E54+($F54-$E54)*$L$2/(1+EXP($L$3*(COUNT($L$9:W$9)+$L$4))),TREND($E54:$F54,$E$9:$F$9,W$9))</f>
        <v>0</v>
      </c>
      <c r="X54">
        <f>IF($G54="s-curve",$E54+($F54-$E54)*$L$2/(1+EXP($L$3*(COUNT($L$9:X$9)+$L$4))),TREND($E54:$F54,$E$9:$F$9,X$9))</f>
        <v>0</v>
      </c>
      <c r="Y54">
        <f>IF($G54="s-curve",$E54+($F54-$E54)*$L$2/(1+EXP($L$3*(COUNT($L$9:Y$9)+$L$4))),TREND($E54:$F54,$E$9:$F$9,Y$9))</f>
        <v>0</v>
      </c>
      <c r="Z54">
        <f>IF($G54="s-curve",$E54+($F54-$E54)*$L$2/(1+EXP($L$3*(COUNT($L$9:Z$9)+$L$4))),TREND($E54:$F54,$E$9:$F$9,Z$9))</f>
        <v>0</v>
      </c>
      <c r="AA54">
        <f>IF($G54="s-curve",$E54+($F54-$E54)*$L$2/(1+EXP($L$3*(COUNT($L$9:AA$9)+$L$4))),TREND($E54:$F54,$E$9:$F$9,AA$9))</f>
        <v>0</v>
      </c>
      <c r="AB54">
        <f>IF($G54="s-curve",$E54+($F54-$E54)*$L$2/(1+EXP($L$3*(COUNT($L$9:AB$9)+$L$4))),TREND($E54:$F54,$E$9:$F$9,AB$9))</f>
        <v>0</v>
      </c>
      <c r="AC54">
        <f>IF($G54="s-curve",$E54+($F54-$E54)*$L$2/(1+EXP($L$3*(COUNT($L$9:AC$9)+$L$4))),TREND($E54:$F54,$E$9:$F$9,AC$9))</f>
        <v>0</v>
      </c>
      <c r="AD54">
        <f>IF($G54="s-curve",$E54+($F54-$E54)*$L$2/(1+EXP($L$3*(COUNT($L$9:AD$9)+$L$4))),TREND($E54:$F54,$E$9:$F$9,AD$9))</f>
        <v>0</v>
      </c>
      <c r="AE54">
        <f>IF($G54="s-curve",$E54+($F54-$E54)*$L$2/(1+EXP($L$3*(COUNT($L$9:AE$9)+$L$4))),TREND($E54:$F54,$E$9:$F$9,AE$9))</f>
        <v>0</v>
      </c>
      <c r="AF54">
        <f>IF($G54="s-curve",$E54+($F54-$E54)*$L$2/(1+EXP($L$3*(COUNT($L$9:AF$9)+$L$4))),TREND($E54:$F54,$E$9:$F$9,AF$9))</f>
        <v>0</v>
      </c>
      <c r="AG54">
        <f>IF($G54="s-curve",$E54+($F54-$E54)*$L$2/(1+EXP($L$3*(COUNT($L$9:AG$9)+$L$4))),TREND($E54:$F54,$E$9:$F$9,AG$9))</f>
        <v>0</v>
      </c>
      <c r="AH54">
        <f>IF($G54="s-curve",$E54+($F54-$E54)*$L$2/(1+EXP($L$3*(COUNT($L$9:AH$9)+$L$4))),TREND($E54:$F54,$E$9:$F$9,AH$9))</f>
        <v>0</v>
      </c>
      <c r="AI54">
        <f>IF($G54="s-curve",$E54+($F54-$E54)*$L$2/(1+EXP($L$3*(COUNT($L$9:AI$9)+$L$4))),TREND($E54:$F54,$E$9:$F$9,AI$9))</f>
        <v>0</v>
      </c>
      <c r="AJ54">
        <f>IF($G54="s-curve",$E54+($F54-$E54)*$L$2/(1+EXP($L$3*(COUNT($L$9:AJ$9)+$L$4))),TREND($E54:$F54,$E$9:$F$9,AJ$9))</f>
        <v>0</v>
      </c>
      <c r="AK54">
        <f>IF($G54="s-curve",$E54+($F54-$E54)*$L$2/(1+EXP($L$3*(COUNT($L$9:AK$9)+$L$4))),TREND($E54:$F54,$E$9:$F$9,AK$9))</f>
        <v>0</v>
      </c>
      <c r="AL54">
        <f>IF($G54="s-curve",$E54+($F54-$E54)*$L$2/(1+EXP($L$3*(COUNT($L$9:AL$9)+$L$4))),TREND($E54:$F54,$E$9:$F$9,AL$9))</f>
        <v>0</v>
      </c>
    </row>
    <row r="55" spans="1:38" x14ac:dyDescent="0.35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>
        <f t="shared" ref="I55" si="49">J55</f>
        <v>6.3351831898551425E-2</v>
      </c>
      <c r="J55">
        <f t="shared" si="2"/>
        <v>6.3351831898551425E-2</v>
      </c>
      <c r="K55">
        <f t="shared" si="2"/>
        <v>6.3351831898551425E-2</v>
      </c>
      <c r="L55" s="16">
        <f t="shared" si="32"/>
        <v>6.3351831898551425E-2</v>
      </c>
      <c r="M55">
        <f>IF($G55="s-curve",$E55+($F55-$E55)*$L$2/(1+EXP($L$3*(COUNT($L$9:M$9)+$L$4))),TREND($E55:$F55,$E$9:$F$9,M$9))</f>
        <v>6.3351831898551425E-2</v>
      </c>
      <c r="N55">
        <f>IF($G55="s-curve",$E55+($F55-$E55)*$L$2/(1+EXP($L$3*(COUNT($L$9:N$9)+$L$4))),TREND($E55:$F55,$E$9:$F$9,N$9))</f>
        <v>6.3351831898551425E-2</v>
      </c>
      <c r="O55">
        <f>IF($G55="s-curve",$E55+($F55-$E55)*$L$2/(1+EXP($L$3*(COUNT($L$9:O$9)+$L$4))),TREND($E55:$F55,$E$9:$F$9,O$9))</f>
        <v>6.3351831898551425E-2</v>
      </c>
      <c r="P55">
        <f>IF($G55="s-curve",$E55+($F55-$E55)*$L$2/(1+EXP($L$3*(COUNT($L$9:P$9)+$L$4))),TREND($E55:$F55,$E$9:$F$9,P$9))</f>
        <v>6.3351831898551425E-2</v>
      </c>
      <c r="Q55">
        <f>IF($G55="s-curve",$E55+($F55-$E55)*$L$2/(1+EXP($L$3*(COUNT($L$9:Q$9)+$L$4))),TREND($E55:$F55,$E$9:$F$9,Q$9))</f>
        <v>6.3351831898551425E-2</v>
      </c>
      <c r="R55">
        <f>IF($G55="s-curve",$E55+($F55-$E55)*$L$2/(1+EXP($L$3*(COUNT($L$9:R$9)+$L$4))),TREND($E55:$F55,$E$9:$F$9,R$9))</f>
        <v>6.3351831898551425E-2</v>
      </c>
      <c r="S55">
        <f>IF($G55="s-curve",$E55+($F55-$E55)*$L$2/(1+EXP($L$3*(COUNT($L$9:S$9)+$L$4))),TREND($E55:$F55,$E$9:$F$9,S$9))</f>
        <v>6.3351831898551425E-2</v>
      </c>
      <c r="T55">
        <f>IF($G55="s-curve",$E55+($F55-$E55)*$L$2/(1+EXP($L$3*(COUNT($L$9:T$9)+$L$4))),TREND($E55:$F55,$E$9:$F$9,T$9))</f>
        <v>6.3351831898551425E-2</v>
      </c>
      <c r="U55">
        <f>IF($G55="s-curve",$E55+($F55-$E55)*$L$2/(1+EXP($L$3*(COUNT($L$9:U$9)+$L$4))),TREND($E55:$F55,$E$9:$F$9,U$9))</f>
        <v>6.3351831898551425E-2</v>
      </c>
      <c r="V55">
        <f>IF($G55="s-curve",$E55+($F55-$E55)*$L$2/(1+EXP($L$3*(COUNT($L$9:V$9)+$L$4))),TREND($E55:$F55,$E$9:$F$9,V$9))</f>
        <v>6.3351831898551425E-2</v>
      </c>
      <c r="W55">
        <f>IF($G55="s-curve",$E55+($F55-$E55)*$L$2/(1+EXP($L$3*(COUNT($L$9:W$9)+$L$4))),TREND($E55:$F55,$E$9:$F$9,W$9))</f>
        <v>6.3351831898551425E-2</v>
      </c>
      <c r="X55">
        <f>IF($G55="s-curve",$E55+($F55-$E55)*$L$2/(1+EXP($L$3*(COUNT($L$9:X$9)+$L$4))),TREND($E55:$F55,$E$9:$F$9,X$9))</f>
        <v>6.3351831898551425E-2</v>
      </c>
      <c r="Y55">
        <f>IF($G55="s-curve",$E55+($F55-$E55)*$L$2/(1+EXP($L$3*(COUNT($L$9:Y$9)+$L$4))),TREND($E55:$F55,$E$9:$F$9,Y$9))</f>
        <v>6.3351831898551425E-2</v>
      </c>
      <c r="Z55">
        <f>IF($G55="s-curve",$E55+($F55-$E55)*$L$2/(1+EXP($L$3*(COUNT($L$9:Z$9)+$L$4))),TREND($E55:$F55,$E$9:$F$9,Z$9))</f>
        <v>6.3351831898551425E-2</v>
      </c>
      <c r="AA55">
        <f>IF($G55="s-curve",$E55+($F55-$E55)*$L$2/(1+EXP($L$3*(COUNT($L$9:AA$9)+$L$4))),TREND($E55:$F55,$E$9:$F$9,AA$9))</f>
        <v>6.3351831898551425E-2</v>
      </c>
      <c r="AB55">
        <f>IF($G55="s-curve",$E55+($F55-$E55)*$L$2/(1+EXP($L$3*(COUNT($L$9:AB$9)+$L$4))),TREND($E55:$F55,$E$9:$F$9,AB$9))</f>
        <v>6.3351831898551425E-2</v>
      </c>
      <c r="AC55">
        <f>IF($G55="s-curve",$E55+($F55-$E55)*$L$2/(1+EXP($L$3*(COUNT($L$9:AC$9)+$L$4))),TREND($E55:$F55,$E$9:$F$9,AC$9))</f>
        <v>6.3351831898551425E-2</v>
      </c>
      <c r="AD55">
        <f>IF($G55="s-curve",$E55+($F55-$E55)*$L$2/(1+EXP($L$3*(COUNT($L$9:AD$9)+$L$4))),TREND($E55:$F55,$E$9:$F$9,AD$9))</f>
        <v>6.3351831898551425E-2</v>
      </c>
      <c r="AE55">
        <f>IF($G55="s-curve",$E55+($F55-$E55)*$L$2/(1+EXP($L$3*(COUNT($L$9:AE$9)+$L$4))),TREND($E55:$F55,$E$9:$F$9,AE$9))</f>
        <v>6.3351831898551425E-2</v>
      </c>
      <c r="AF55">
        <f>IF($G55="s-curve",$E55+($F55-$E55)*$L$2/(1+EXP($L$3*(COUNT($L$9:AF$9)+$L$4))),TREND($E55:$F55,$E$9:$F$9,AF$9))</f>
        <v>6.3351831898551425E-2</v>
      </c>
      <c r="AG55">
        <f>IF($G55="s-curve",$E55+($F55-$E55)*$L$2/(1+EXP($L$3*(COUNT($L$9:AG$9)+$L$4))),TREND($E55:$F55,$E$9:$F$9,AG$9))</f>
        <v>6.3351831898551425E-2</v>
      </c>
      <c r="AH55">
        <f>IF($G55="s-curve",$E55+($F55-$E55)*$L$2/(1+EXP($L$3*(COUNT($L$9:AH$9)+$L$4))),TREND($E55:$F55,$E$9:$F$9,AH$9))</f>
        <v>6.3351831898551425E-2</v>
      </c>
      <c r="AI55">
        <f>IF($G55="s-curve",$E55+($F55-$E55)*$L$2/(1+EXP($L$3*(COUNT($L$9:AI$9)+$L$4))),TREND($E55:$F55,$E$9:$F$9,AI$9))</f>
        <v>6.3351831898551425E-2</v>
      </c>
      <c r="AJ55">
        <f>IF($G55="s-curve",$E55+($F55-$E55)*$L$2/(1+EXP($L$3*(COUNT($L$9:AJ$9)+$L$4))),TREND($E55:$F55,$E$9:$F$9,AJ$9))</f>
        <v>6.3351831898551425E-2</v>
      </c>
      <c r="AK55">
        <f>IF($G55="s-curve",$E55+($F55-$E55)*$L$2/(1+EXP($L$3*(COUNT($L$9:AK$9)+$L$4))),TREND($E55:$F55,$E$9:$F$9,AK$9))</f>
        <v>6.3351831898551425E-2</v>
      </c>
      <c r="AL55">
        <f>IF($G55="s-curve",$E55+($F55-$E55)*$L$2/(1+EXP($L$3*(COUNT($L$9:AL$9)+$L$4))),TREND($E55:$F55,$E$9:$F$9,AL$9))</f>
        <v>6.3351831898551425E-2</v>
      </c>
    </row>
    <row r="56" spans="1:38" x14ac:dyDescent="0.3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>
        <f t="shared" ref="I56" si="50">J56</f>
        <v>0</v>
      </c>
      <c r="J56">
        <f t="shared" si="2"/>
        <v>0</v>
      </c>
      <c r="K56">
        <f t="shared" si="2"/>
        <v>0</v>
      </c>
      <c r="L56" s="16">
        <f t="shared" si="32"/>
        <v>0</v>
      </c>
      <c r="M56">
        <f>IF($G56="s-curve",$E56+($F56-$E56)*$L$2/(1+EXP($L$3*(COUNT($L$9:M$9)+$L$4))),TREND($E56:$F56,$E$9:$F$9,M$9))</f>
        <v>0</v>
      </c>
      <c r="N56">
        <f>IF($G56="s-curve",$E56+($F56-$E56)*$L$2/(1+EXP($L$3*(COUNT($L$9:N$9)+$L$4))),TREND($E56:$F56,$E$9:$F$9,N$9))</f>
        <v>0</v>
      </c>
      <c r="O56">
        <f>IF($G56="s-curve",$E56+($F56-$E56)*$L$2/(1+EXP($L$3*(COUNT($L$9:O$9)+$L$4))),TREND($E56:$F56,$E$9:$F$9,O$9))</f>
        <v>0</v>
      </c>
      <c r="P56">
        <f>IF($G56="s-curve",$E56+($F56-$E56)*$L$2/(1+EXP($L$3*(COUNT($L$9:P$9)+$L$4))),TREND($E56:$F56,$E$9:$F$9,P$9))</f>
        <v>0</v>
      </c>
      <c r="Q56">
        <f>IF($G56="s-curve",$E56+($F56-$E56)*$L$2/(1+EXP($L$3*(COUNT($L$9:Q$9)+$L$4))),TREND($E56:$F56,$E$9:$F$9,Q$9))</f>
        <v>0</v>
      </c>
      <c r="R56">
        <f>IF($G56="s-curve",$E56+($F56-$E56)*$L$2/(1+EXP($L$3*(COUNT($L$9:R$9)+$L$4))),TREND($E56:$F56,$E$9:$F$9,R$9))</f>
        <v>0</v>
      </c>
      <c r="S56">
        <f>IF($G56="s-curve",$E56+($F56-$E56)*$L$2/(1+EXP($L$3*(COUNT($L$9:S$9)+$L$4))),TREND($E56:$F56,$E$9:$F$9,S$9))</f>
        <v>0</v>
      </c>
      <c r="T56">
        <f>IF($G56="s-curve",$E56+($F56-$E56)*$L$2/(1+EXP($L$3*(COUNT($L$9:T$9)+$L$4))),TREND($E56:$F56,$E$9:$F$9,T$9))</f>
        <v>0</v>
      </c>
      <c r="U56">
        <f>IF($G56="s-curve",$E56+($F56-$E56)*$L$2/(1+EXP($L$3*(COUNT($L$9:U$9)+$L$4))),TREND($E56:$F56,$E$9:$F$9,U$9))</f>
        <v>0</v>
      </c>
      <c r="V56">
        <f>IF($G56="s-curve",$E56+($F56-$E56)*$L$2/(1+EXP($L$3*(COUNT($L$9:V$9)+$L$4))),TREND($E56:$F56,$E$9:$F$9,V$9))</f>
        <v>0</v>
      </c>
      <c r="W56">
        <f>IF($G56="s-curve",$E56+($F56-$E56)*$L$2/(1+EXP($L$3*(COUNT($L$9:W$9)+$L$4))),TREND($E56:$F56,$E$9:$F$9,W$9))</f>
        <v>0</v>
      </c>
      <c r="X56">
        <f>IF($G56="s-curve",$E56+($F56-$E56)*$L$2/(1+EXP($L$3*(COUNT($L$9:X$9)+$L$4))),TREND($E56:$F56,$E$9:$F$9,X$9))</f>
        <v>0</v>
      </c>
      <c r="Y56">
        <f>IF($G56="s-curve",$E56+($F56-$E56)*$L$2/(1+EXP($L$3*(COUNT($L$9:Y$9)+$L$4))),TREND($E56:$F56,$E$9:$F$9,Y$9))</f>
        <v>0</v>
      </c>
      <c r="Z56">
        <f>IF($G56="s-curve",$E56+($F56-$E56)*$L$2/(1+EXP($L$3*(COUNT($L$9:Z$9)+$L$4))),TREND($E56:$F56,$E$9:$F$9,Z$9))</f>
        <v>0</v>
      </c>
      <c r="AA56">
        <f>IF($G56="s-curve",$E56+($F56-$E56)*$L$2/(1+EXP($L$3*(COUNT($L$9:AA$9)+$L$4))),TREND($E56:$F56,$E$9:$F$9,AA$9))</f>
        <v>0</v>
      </c>
      <c r="AB56">
        <f>IF($G56="s-curve",$E56+($F56-$E56)*$L$2/(1+EXP($L$3*(COUNT($L$9:AB$9)+$L$4))),TREND($E56:$F56,$E$9:$F$9,AB$9))</f>
        <v>0</v>
      </c>
      <c r="AC56">
        <f>IF($G56="s-curve",$E56+($F56-$E56)*$L$2/(1+EXP($L$3*(COUNT($L$9:AC$9)+$L$4))),TREND($E56:$F56,$E$9:$F$9,AC$9))</f>
        <v>0</v>
      </c>
      <c r="AD56">
        <f>IF($G56="s-curve",$E56+($F56-$E56)*$L$2/(1+EXP($L$3*(COUNT($L$9:AD$9)+$L$4))),TREND($E56:$F56,$E$9:$F$9,AD$9))</f>
        <v>0</v>
      </c>
      <c r="AE56">
        <f>IF($G56="s-curve",$E56+($F56-$E56)*$L$2/(1+EXP($L$3*(COUNT($L$9:AE$9)+$L$4))),TREND($E56:$F56,$E$9:$F$9,AE$9))</f>
        <v>0</v>
      </c>
      <c r="AF56">
        <f>IF($G56="s-curve",$E56+($F56-$E56)*$L$2/(1+EXP($L$3*(COUNT($L$9:AF$9)+$L$4))),TREND($E56:$F56,$E$9:$F$9,AF$9))</f>
        <v>0</v>
      </c>
      <c r="AG56">
        <f>IF($G56="s-curve",$E56+($F56-$E56)*$L$2/(1+EXP($L$3*(COUNT($L$9:AG$9)+$L$4))),TREND($E56:$F56,$E$9:$F$9,AG$9))</f>
        <v>0</v>
      </c>
      <c r="AH56">
        <f>IF($G56="s-curve",$E56+($F56-$E56)*$L$2/(1+EXP($L$3*(COUNT($L$9:AH$9)+$L$4))),TREND($E56:$F56,$E$9:$F$9,AH$9))</f>
        <v>0</v>
      </c>
      <c r="AI56">
        <f>IF($G56="s-curve",$E56+($F56-$E56)*$L$2/(1+EXP($L$3*(COUNT($L$9:AI$9)+$L$4))),TREND($E56:$F56,$E$9:$F$9,AI$9))</f>
        <v>0</v>
      </c>
      <c r="AJ56">
        <f>IF($G56="s-curve",$E56+($F56-$E56)*$L$2/(1+EXP($L$3*(COUNT($L$9:AJ$9)+$L$4))),TREND($E56:$F56,$E$9:$F$9,AJ$9))</f>
        <v>0</v>
      </c>
      <c r="AK56">
        <f>IF($G56="s-curve",$E56+($F56-$E56)*$L$2/(1+EXP($L$3*(COUNT($L$9:AK$9)+$L$4))),TREND($E56:$F56,$E$9:$F$9,AK$9))</f>
        <v>0</v>
      </c>
      <c r="AL56">
        <f>IF($G56="s-curve",$E56+($F56-$E56)*$L$2/(1+EXP($L$3*(COUNT($L$9:AL$9)+$L$4))),TREND($E56:$F56,$E$9:$F$9,AL$9))</f>
        <v>0</v>
      </c>
    </row>
    <row r="57" spans="1:38" x14ac:dyDescent="0.3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>
        <f t="shared" ref="I57" si="51">J57</f>
        <v>0</v>
      </c>
      <c r="J57">
        <f t="shared" si="2"/>
        <v>0</v>
      </c>
      <c r="K57">
        <f t="shared" si="2"/>
        <v>0</v>
      </c>
      <c r="L57" s="16">
        <f t="shared" si="32"/>
        <v>0</v>
      </c>
      <c r="M57">
        <f>IF($G57="s-curve",$E57+($F57-$E57)*$L$2/(1+EXP($L$3*(COUNT($L$9:M$9)+$L$4))),TREND($E57:$F57,$E$9:$F$9,M$9))</f>
        <v>0</v>
      </c>
      <c r="N57">
        <f>IF($G57="s-curve",$E57+($F57-$E57)*$L$2/(1+EXP($L$3*(COUNT($L$9:N$9)+$L$4))),TREND($E57:$F57,$E$9:$F$9,N$9))</f>
        <v>0</v>
      </c>
      <c r="O57">
        <f>IF($G57="s-curve",$E57+($F57-$E57)*$L$2/(1+EXP($L$3*(COUNT($L$9:O$9)+$L$4))),TREND($E57:$F57,$E$9:$F$9,O$9))</f>
        <v>0</v>
      </c>
      <c r="P57">
        <f>IF($G57="s-curve",$E57+($F57-$E57)*$L$2/(1+EXP($L$3*(COUNT($L$9:P$9)+$L$4))),TREND($E57:$F57,$E$9:$F$9,P$9))</f>
        <v>0</v>
      </c>
      <c r="Q57">
        <f>IF($G57="s-curve",$E57+($F57-$E57)*$L$2/(1+EXP($L$3*(COUNT($L$9:Q$9)+$L$4))),TREND($E57:$F57,$E$9:$F$9,Q$9))</f>
        <v>0</v>
      </c>
      <c r="R57">
        <f>IF($G57="s-curve",$E57+($F57-$E57)*$L$2/(1+EXP($L$3*(COUNT($L$9:R$9)+$L$4))),TREND($E57:$F57,$E$9:$F$9,R$9))</f>
        <v>0</v>
      </c>
      <c r="S57">
        <f>IF($G57="s-curve",$E57+($F57-$E57)*$L$2/(1+EXP($L$3*(COUNT($L$9:S$9)+$L$4))),TREND($E57:$F57,$E$9:$F$9,S$9))</f>
        <v>0</v>
      </c>
      <c r="T57">
        <f>IF($G57="s-curve",$E57+($F57-$E57)*$L$2/(1+EXP($L$3*(COUNT($L$9:T$9)+$L$4))),TREND($E57:$F57,$E$9:$F$9,T$9))</f>
        <v>0</v>
      </c>
      <c r="U57">
        <f>IF($G57="s-curve",$E57+($F57-$E57)*$L$2/(1+EXP($L$3*(COUNT($L$9:U$9)+$L$4))),TREND($E57:$F57,$E$9:$F$9,U$9))</f>
        <v>0</v>
      </c>
      <c r="V57">
        <f>IF($G57="s-curve",$E57+($F57-$E57)*$L$2/(1+EXP($L$3*(COUNT($L$9:V$9)+$L$4))),TREND($E57:$F57,$E$9:$F$9,V$9))</f>
        <v>0</v>
      </c>
      <c r="W57">
        <f>IF($G57="s-curve",$E57+($F57-$E57)*$L$2/(1+EXP($L$3*(COUNT($L$9:W$9)+$L$4))),TREND($E57:$F57,$E$9:$F$9,W$9))</f>
        <v>0</v>
      </c>
      <c r="X57">
        <f>IF($G57="s-curve",$E57+($F57-$E57)*$L$2/(1+EXP($L$3*(COUNT($L$9:X$9)+$L$4))),TREND($E57:$F57,$E$9:$F$9,X$9))</f>
        <v>0</v>
      </c>
      <c r="Y57">
        <f>IF($G57="s-curve",$E57+($F57-$E57)*$L$2/(1+EXP($L$3*(COUNT($L$9:Y$9)+$L$4))),TREND($E57:$F57,$E$9:$F$9,Y$9))</f>
        <v>0</v>
      </c>
      <c r="Z57">
        <f>IF($G57="s-curve",$E57+($F57-$E57)*$L$2/(1+EXP($L$3*(COUNT($L$9:Z$9)+$L$4))),TREND($E57:$F57,$E$9:$F$9,Z$9))</f>
        <v>0</v>
      </c>
      <c r="AA57">
        <f>IF($G57="s-curve",$E57+($F57-$E57)*$L$2/(1+EXP($L$3*(COUNT($L$9:AA$9)+$L$4))),TREND($E57:$F57,$E$9:$F$9,AA$9))</f>
        <v>0</v>
      </c>
      <c r="AB57">
        <f>IF($G57="s-curve",$E57+($F57-$E57)*$L$2/(1+EXP($L$3*(COUNT($L$9:AB$9)+$L$4))),TREND($E57:$F57,$E$9:$F$9,AB$9))</f>
        <v>0</v>
      </c>
      <c r="AC57">
        <f>IF($G57="s-curve",$E57+($F57-$E57)*$L$2/(1+EXP($L$3*(COUNT($L$9:AC$9)+$L$4))),TREND($E57:$F57,$E$9:$F$9,AC$9))</f>
        <v>0</v>
      </c>
      <c r="AD57">
        <f>IF($G57="s-curve",$E57+($F57-$E57)*$L$2/(1+EXP($L$3*(COUNT($L$9:AD$9)+$L$4))),TREND($E57:$F57,$E$9:$F$9,AD$9))</f>
        <v>0</v>
      </c>
      <c r="AE57">
        <f>IF($G57="s-curve",$E57+($F57-$E57)*$L$2/(1+EXP($L$3*(COUNT($L$9:AE$9)+$L$4))),TREND($E57:$F57,$E$9:$F$9,AE$9))</f>
        <v>0</v>
      </c>
      <c r="AF57">
        <f>IF($G57="s-curve",$E57+($F57-$E57)*$L$2/(1+EXP($L$3*(COUNT($L$9:AF$9)+$L$4))),TREND($E57:$F57,$E$9:$F$9,AF$9))</f>
        <v>0</v>
      </c>
      <c r="AG57">
        <f>IF($G57="s-curve",$E57+($F57-$E57)*$L$2/(1+EXP($L$3*(COUNT($L$9:AG$9)+$L$4))),TREND($E57:$F57,$E$9:$F$9,AG$9))</f>
        <v>0</v>
      </c>
      <c r="AH57">
        <f>IF($G57="s-curve",$E57+($F57-$E57)*$L$2/(1+EXP($L$3*(COUNT($L$9:AH$9)+$L$4))),TREND($E57:$F57,$E$9:$F$9,AH$9))</f>
        <v>0</v>
      </c>
      <c r="AI57">
        <f>IF($G57="s-curve",$E57+($F57-$E57)*$L$2/(1+EXP($L$3*(COUNT($L$9:AI$9)+$L$4))),TREND($E57:$F57,$E$9:$F$9,AI$9))</f>
        <v>0</v>
      </c>
      <c r="AJ57">
        <f>IF($G57="s-curve",$E57+($F57-$E57)*$L$2/(1+EXP($L$3*(COUNT($L$9:AJ$9)+$L$4))),TREND($E57:$F57,$E$9:$F$9,AJ$9))</f>
        <v>0</v>
      </c>
      <c r="AK57">
        <f>IF($G57="s-curve",$E57+($F57-$E57)*$L$2/(1+EXP($L$3*(COUNT($L$9:AK$9)+$L$4))),TREND($E57:$F57,$E$9:$F$9,AK$9))</f>
        <v>0</v>
      </c>
      <c r="AL57">
        <f>IF($G57="s-curve",$E57+($F57-$E57)*$L$2/(1+EXP($L$3*(COUNT($L$9:AL$9)+$L$4))),TREND($E57:$F57,$E$9:$F$9,AL$9))</f>
        <v>0</v>
      </c>
    </row>
    <row r="58" spans="1:38" ht="15.75" customHeight="1" thickBot="1" x14ac:dyDescent="0.4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>
        <f t="shared" ref="I58" si="52">J58</f>
        <v>0</v>
      </c>
      <c r="J58">
        <f t="shared" si="2"/>
        <v>0</v>
      </c>
      <c r="K58">
        <f t="shared" si="2"/>
        <v>0</v>
      </c>
      <c r="L58" s="16">
        <f t="shared" si="32"/>
        <v>0</v>
      </c>
      <c r="M58">
        <f>IF($G58="s-curve",$E58+($F58-$E58)*$L$2/(1+EXP($L$3*(COUNT($L$9:M$9)+$L$4))),TREND($E58:$F58,$E$9:$F$9,M$9))</f>
        <v>0</v>
      </c>
      <c r="N58">
        <f>IF($G58="s-curve",$E58+($F58-$E58)*$L$2/(1+EXP($L$3*(COUNT($L$9:N$9)+$L$4))),TREND($E58:$F58,$E$9:$F$9,N$9))</f>
        <v>0</v>
      </c>
      <c r="O58">
        <f>IF($G58="s-curve",$E58+($F58-$E58)*$L$2/(1+EXP($L$3*(COUNT($L$9:O$9)+$L$4))),TREND($E58:$F58,$E$9:$F$9,O$9))</f>
        <v>0</v>
      </c>
      <c r="P58">
        <f>IF($G58="s-curve",$E58+($F58-$E58)*$L$2/(1+EXP($L$3*(COUNT($L$9:P$9)+$L$4))),TREND($E58:$F58,$E$9:$F$9,P$9))</f>
        <v>0</v>
      </c>
      <c r="Q58">
        <f>IF($G58="s-curve",$E58+($F58-$E58)*$L$2/(1+EXP($L$3*(COUNT($L$9:Q$9)+$L$4))),TREND($E58:$F58,$E$9:$F$9,Q$9))</f>
        <v>0</v>
      </c>
      <c r="R58">
        <f>IF($G58="s-curve",$E58+($F58-$E58)*$L$2/(1+EXP($L$3*(COUNT($L$9:R$9)+$L$4))),TREND($E58:$F58,$E$9:$F$9,R$9))</f>
        <v>0</v>
      </c>
      <c r="S58">
        <f>IF($G58="s-curve",$E58+($F58-$E58)*$L$2/(1+EXP($L$3*(COUNT($L$9:S$9)+$L$4))),TREND($E58:$F58,$E$9:$F$9,S$9))</f>
        <v>0</v>
      </c>
      <c r="T58">
        <f>IF($G58="s-curve",$E58+($F58-$E58)*$L$2/(1+EXP($L$3*(COUNT($L$9:T$9)+$L$4))),TREND($E58:$F58,$E$9:$F$9,T$9))</f>
        <v>0</v>
      </c>
      <c r="U58">
        <f>IF($G58="s-curve",$E58+($F58-$E58)*$L$2/(1+EXP($L$3*(COUNT($L$9:U$9)+$L$4))),TREND($E58:$F58,$E$9:$F$9,U$9))</f>
        <v>0</v>
      </c>
      <c r="V58">
        <f>IF($G58="s-curve",$E58+($F58-$E58)*$L$2/(1+EXP($L$3*(COUNT($L$9:V$9)+$L$4))),TREND($E58:$F58,$E$9:$F$9,V$9))</f>
        <v>0</v>
      </c>
      <c r="W58">
        <f>IF($G58="s-curve",$E58+($F58-$E58)*$L$2/(1+EXP($L$3*(COUNT($L$9:W$9)+$L$4))),TREND($E58:$F58,$E$9:$F$9,W$9))</f>
        <v>0</v>
      </c>
      <c r="X58">
        <f>IF($G58="s-curve",$E58+($F58-$E58)*$L$2/(1+EXP($L$3*(COUNT($L$9:X$9)+$L$4))),TREND($E58:$F58,$E$9:$F$9,X$9))</f>
        <v>0</v>
      </c>
      <c r="Y58">
        <f>IF($G58="s-curve",$E58+($F58-$E58)*$L$2/(1+EXP($L$3*(COUNT($L$9:Y$9)+$L$4))),TREND($E58:$F58,$E$9:$F$9,Y$9))</f>
        <v>0</v>
      </c>
      <c r="Z58">
        <f>IF($G58="s-curve",$E58+($F58-$E58)*$L$2/(1+EXP($L$3*(COUNT($L$9:Z$9)+$L$4))),TREND($E58:$F58,$E$9:$F$9,Z$9))</f>
        <v>0</v>
      </c>
      <c r="AA58">
        <f>IF($G58="s-curve",$E58+($F58-$E58)*$L$2/(1+EXP($L$3*(COUNT($L$9:AA$9)+$L$4))),TREND($E58:$F58,$E$9:$F$9,AA$9))</f>
        <v>0</v>
      </c>
      <c r="AB58">
        <f>IF($G58="s-curve",$E58+($F58-$E58)*$L$2/(1+EXP($L$3*(COUNT($L$9:AB$9)+$L$4))),TREND($E58:$F58,$E$9:$F$9,AB$9))</f>
        <v>0</v>
      </c>
      <c r="AC58">
        <f>IF($G58="s-curve",$E58+($F58-$E58)*$L$2/(1+EXP($L$3*(COUNT($L$9:AC$9)+$L$4))),TREND($E58:$F58,$E$9:$F$9,AC$9))</f>
        <v>0</v>
      </c>
      <c r="AD58">
        <f>IF($G58="s-curve",$E58+($F58-$E58)*$L$2/(1+EXP($L$3*(COUNT($L$9:AD$9)+$L$4))),TREND($E58:$F58,$E$9:$F$9,AD$9))</f>
        <v>0</v>
      </c>
      <c r="AE58">
        <f>IF($G58="s-curve",$E58+($F58-$E58)*$L$2/(1+EXP($L$3*(COUNT($L$9:AE$9)+$L$4))),TREND($E58:$F58,$E$9:$F$9,AE$9))</f>
        <v>0</v>
      </c>
      <c r="AF58">
        <f>IF($G58="s-curve",$E58+($F58-$E58)*$L$2/(1+EXP($L$3*(COUNT($L$9:AF$9)+$L$4))),TREND($E58:$F58,$E$9:$F$9,AF$9))</f>
        <v>0</v>
      </c>
      <c r="AG58">
        <f>IF($G58="s-curve",$E58+($F58-$E58)*$L$2/(1+EXP($L$3*(COUNT($L$9:AG$9)+$L$4))),TREND($E58:$F58,$E$9:$F$9,AG$9))</f>
        <v>0</v>
      </c>
      <c r="AH58">
        <f>IF($G58="s-curve",$E58+($F58-$E58)*$L$2/(1+EXP($L$3*(COUNT($L$9:AH$9)+$L$4))),TREND($E58:$F58,$E$9:$F$9,AH$9))</f>
        <v>0</v>
      </c>
      <c r="AI58">
        <f>IF($G58="s-curve",$E58+($F58-$E58)*$L$2/(1+EXP($L$3*(COUNT($L$9:AI$9)+$L$4))),TREND($E58:$F58,$E$9:$F$9,AI$9))</f>
        <v>0</v>
      </c>
      <c r="AJ58">
        <f>IF($G58="s-curve",$E58+($F58-$E58)*$L$2/(1+EXP($L$3*(COUNT($L$9:AJ$9)+$L$4))),TREND($E58:$F58,$E$9:$F$9,AJ$9))</f>
        <v>0</v>
      </c>
      <c r="AK58">
        <f>IF($G58="s-curve",$E58+($F58-$E58)*$L$2/(1+EXP($L$3*(COUNT($L$9:AK$9)+$L$4))),TREND($E58:$F58,$E$9:$F$9,AK$9))</f>
        <v>0</v>
      </c>
      <c r="AL58">
        <f>IF($G58="s-curve",$E58+($F58-$E58)*$L$2/(1+EXP($L$3*(COUNT($L$9:AL$9)+$L$4))),TREND($E58:$F58,$E$9:$F$9,AL$9))</f>
        <v>0</v>
      </c>
    </row>
    <row r="59" spans="1:38" x14ac:dyDescent="0.3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>
        <f t="shared" ref="I59" si="53">J59</f>
        <v>0</v>
      </c>
      <c r="J59">
        <f t="shared" si="2"/>
        <v>0</v>
      </c>
      <c r="K59">
        <f t="shared" si="2"/>
        <v>0</v>
      </c>
      <c r="L59" s="16">
        <f t="shared" si="32"/>
        <v>0</v>
      </c>
      <c r="M59">
        <f>IF($G59="s-curve",$E59+($F59-$E59)*$L$2/(1+EXP($L$3*(COUNT($L$9:M$9)+$L$4))),TREND($E59:$F59,$E$9:$F$9,M$9))</f>
        <v>0</v>
      </c>
      <c r="N59">
        <f>IF($G59="s-curve",$E59+($F59-$E59)*$L$2/(1+EXP($L$3*(COUNT($L$9:N$9)+$L$4))),TREND($E59:$F59,$E$9:$F$9,N$9))</f>
        <v>0</v>
      </c>
      <c r="O59">
        <f>IF($G59="s-curve",$E59+($F59-$E59)*$L$2/(1+EXP($L$3*(COUNT($L$9:O$9)+$L$4))),TREND($E59:$F59,$E$9:$F$9,O$9))</f>
        <v>0</v>
      </c>
      <c r="P59">
        <f>IF($G59="s-curve",$E59+($F59-$E59)*$L$2/(1+EXP($L$3*(COUNT($L$9:P$9)+$L$4))),TREND($E59:$F59,$E$9:$F$9,P$9))</f>
        <v>0</v>
      </c>
      <c r="Q59">
        <f>IF($G59="s-curve",$E59+($F59-$E59)*$L$2/(1+EXP($L$3*(COUNT($L$9:Q$9)+$L$4))),TREND($E59:$F59,$E$9:$F$9,Q$9))</f>
        <v>0</v>
      </c>
      <c r="R59">
        <f>IF($G59="s-curve",$E59+($F59-$E59)*$L$2/(1+EXP($L$3*(COUNT($L$9:R$9)+$L$4))),TREND($E59:$F59,$E$9:$F$9,R$9))</f>
        <v>0</v>
      </c>
      <c r="S59">
        <f>IF($G59="s-curve",$E59+($F59-$E59)*$L$2/(1+EXP($L$3*(COUNT($L$9:S$9)+$L$4))),TREND($E59:$F59,$E$9:$F$9,S$9))</f>
        <v>0</v>
      </c>
      <c r="T59">
        <f>IF($G59="s-curve",$E59+($F59-$E59)*$L$2/(1+EXP($L$3*(COUNT($L$9:T$9)+$L$4))),TREND($E59:$F59,$E$9:$F$9,T$9))</f>
        <v>0</v>
      </c>
      <c r="U59">
        <f>IF($G59="s-curve",$E59+($F59-$E59)*$L$2/(1+EXP($L$3*(COUNT($L$9:U$9)+$L$4))),TREND($E59:$F59,$E$9:$F$9,U$9))</f>
        <v>0</v>
      </c>
      <c r="V59">
        <f>IF($G59="s-curve",$E59+($F59-$E59)*$L$2/(1+EXP($L$3*(COUNT($L$9:V$9)+$L$4))),TREND($E59:$F59,$E$9:$F$9,V$9))</f>
        <v>0</v>
      </c>
      <c r="W59">
        <f>IF($G59="s-curve",$E59+($F59-$E59)*$L$2/(1+EXP($L$3*(COUNT($L$9:W$9)+$L$4))),TREND($E59:$F59,$E$9:$F$9,W$9))</f>
        <v>0</v>
      </c>
      <c r="X59">
        <f>IF($G59="s-curve",$E59+($F59-$E59)*$L$2/(1+EXP($L$3*(COUNT($L$9:X$9)+$L$4))),TREND($E59:$F59,$E$9:$F$9,X$9))</f>
        <v>0</v>
      </c>
      <c r="Y59">
        <f>IF($G59="s-curve",$E59+($F59-$E59)*$L$2/(1+EXP($L$3*(COUNT($L$9:Y$9)+$L$4))),TREND($E59:$F59,$E$9:$F$9,Y$9))</f>
        <v>0</v>
      </c>
      <c r="Z59">
        <f>IF($G59="s-curve",$E59+($F59-$E59)*$L$2/(1+EXP($L$3*(COUNT($L$9:Z$9)+$L$4))),TREND($E59:$F59,$E$9:$F$9,Z$9))</f>
        <v>0</v>
      </c>
      <c r="AA59">
        <f>IF($G59="s-curve",$E59+($F59-$E59)*$L$2/(1+EXP($L$3*(COUNT($L$9:AA$9)+$L$4))),TREND($E59:$F59,$E$9:$F$9,AA$9))</f>
        <v>0</v>
      </c>
      <c r="AB59">
        <f>IF($G59="s-curve",$E59+($F59-$E59)*$L$2/(1+EXP($L$3*(COUNT($L$9:AB$9)+$L$4))),TREND($E59:$F59,$E$9:$F$9,AB$9))</f>
        <v>0</v>
      </c>
      <c r="AC59">
        <f>IF($G59="s-curve",$E59+($F59-$E59)*$L$2/(1+EXP($L$3*(COUNT($L$9:AC$9)+$L$4))),TREND($E59:$F59,$E$9:$F$9,AC$9))</f>
        <v>0</v>
      </c>
      <c r="AD59">
        <f>IF($G59="s-curve",$E59+($F59-$E59)*$L$2/(1+EXP($L$3*(COUNT($L$9:AD$9)+$L$4))),TREND($E59:$F59,$E$9:$F$9,AD$9))</f>
        <v>0</v>
      </c>
      <c r="AE59">
        <f>IF($G59="s-curve",$E59+($F59-$E59)*$L$2/(1+EXP($L$3*(COUNT($L$9:AE$9)+$L$4))),TREND($E59:$F59,$E$9:$F$9,AE$9))</f>
        <v>0</v>
      </c>
      <c r="AF59">
        <f>IF($G59="s-curve",$E59+($F59-$E59)*$L$2/(1+EXP($L$3*(COUNT($L$9:AF$9)+$L$4))),TREND($E59:$F59,$E$9:$F$9,AF$9))</f>
        <v>0</v>
      </c>
      <c r="AG59">
        <f>IF($G59="s-curve",$E59+($F59-$E59)*$L$2/(1+EXP($L$3*(COUNT($L$9:AG$9)+$L$4))),TREND($E59:$F59,$E$9:$F$9,AG$9))</f>
        <v>0</v>
      </c>
      <c r="AH59">
        <f>IF($G59="s-curve",$E59+($F59-$E59)*$L$2/(1+EXP($L$3*(COUNT($L$9:AH$9)+$L$4))),TREND($E59:$F59,$E$9:$F$9,AH$9))</f>
        <v>0</v>
      </c>
      <c r="AI59">
        <f>IF($G59="s-curve",$E59+($F59-$E59)*$L$2/(1+EXP($L$3*(COUNT($L$9:AI$9)+$L$4))),TREND($E59:$F59,$E$9:$F$9,AI$9))</f>
        <v>0</v>
      </c>
      <c r="AJ59">
        <f>IF($G59="s-curve",$E59+($F59-$E59)*$L$2/(1+EXP($L$3*(COUNT($L$9:AJ$9)+$L$4))),TREND($E59:$F59,$E$9:$F$9,AJ$9))</f>
        <v>0</v>
      </c>
      <c r="AK59">
        <f>IF($G59="s-curve",$E59+($F59-$E59)*$L$2/(1+EXP($L$3*(COUNT($L$9:AK$9)+$L$4))),TREND($E59:$F59,$E$9:$F$9,AK$9))</f>
        <v>0</v>
      </c>
      <c r="AL59">
        <f>IF($G59="s-curve",$E59+($F59-$E59)*$L$2/(1+EXP($L$3*(COUNT($L$9:AL$9)+$L$4))),TREND($E59:$F59,$E$9:$F$9,AL$9))</f>
        <v>0</v>
      </c>
    </row>
    <row r="60" spans="1:38" x14ac:dyDescent="0.3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>
        <f t="shared" ref="I60" si="54">J60</f>
        <v>0</v>
      </c>
      <c r="J60">
        <f t="shared" si="2"/>
        <v>0</v>
      </c>
      <c r="K60">
        <f t="shared" si="2"/>
        <v>0</v>
      </c>
      <c r="L60" s="16">
        <f t="shared" si="32"/>
        <v>0</v>
      </c>
      <c r="M60">
        <f>IF($G60="s-curve",$E60+($F60-$E60)*$L$2/(1+EXP($L$3*(COUNT($L$9:M$9)+$L$4))),TREND($E60:$F60,$E$9:$F$9,M$9))</f>
        <v>0</v>
      </c>
      <c r="N60">
        <f>IF($G60="s-curve",$E60+($F60-$E60)*$L$2/(1+EXP($L$3*(COUNT($L$9:N$9)+$L$4))),TREND($E60:$F60,$E$9:$F$9,N$9))</f>
        <v>0</v>
      </c>
      <c r="O60">
        <f>IF($G60="s-curve",$E60+($F60-$E60)*$L$2/(1+EXP($L$3*(COUNT($L$9:O$9)+$L$4))),TREND($E60:$F60,$E$9:$F$9,O$9))</f>
        <v>0</v>
      </c>
      <c r="P60">
        <f>IF($G60="s-curve",$E60+($F60-$E60)*$L$2/(1+EXP($L$3*(COUNT($L$9:P$9)+$L$4))),TREND($E60:$F60,$E$9:$F$9,P$9))</f>
        <v>0</v>
      </c>
      <c r="Q60">
        <f>IF($G60="s-curve",$E60+($F60-$E60)*$L$2/(1+EXP($L$3*(COUNT($L$9:Q$9)+$L$4))),TREND($E60:$F60,$E$9:$F$9,Q$9))</f>
        <v>0</v>
      </c>
      <c r="R60">
        <f>IF($G60="s-curve",$E60+($F60-$E60)*$L$2/(1+EXP($L$3*(COUNT($L$9:R$9)+$L$4))),TREND($E60:$F60,$E$9:$F$9,R$9))</f>
        <v>0</v>
      </c>
      <c r="S60">
        <f>IF($G60="s-curve",$E60+($F60-$E60)*$L$2/(1+EXP($L$3*(COUNT($L$9:S$9)+$L$4))),TREND($E60:$F60,$E$9:$F$9,S$9))</f>
        <v>0</v>
      </c>
      <c r="T60">
        <f>IF($G60="s-curve",$E60+($F60-$E60)*$L$2/(1+EXP($L$3*(COUNT($L$9:T$9)+$L$4))),TREND($E60:$F60,$E$9:$F$9,T$9))</f>
        <v>0</v>
      </c>
      <c r="U60">
        <f>IF($G60="s-curve",$E60+($F60-$E60)*$L$2/(1+EXP($L$3*(COUNT($L$9:U$9)+$L$4))),TREND($E60:$F60,$E$9:$F$9,U$9))</f>
        <v>0</v>
      </c>
      <c r="V60">
        <f>IF($G60="s-curve",$E60+($F60-$E60)*$L$2/(1+EXP($L$3*(COUNT($L$9:V$9)+$L$4))),TREND($E60:$F60,$E$9:$F$9,V$9))</f>
        <v>0</v>
      </c>
      <c r="W60">
        <f>IF($G60="s-curve",$E60+($F60-$E60)*$L$2/(1+EXP($L$3*(COUNT($L$9:W$9)+$L$4))),TREND($E60:$F60,$E$9:$F$9,W$9))</f>
        <v>0</v>
      </c>
      <c r="X60">
        <f>IF($G60="s-curve",$E60+($F60-$E60)*$L$2/(1+EXP($L$3*(COUNT($L$9:X$9)+$L$4))),TREND($E60:$F60,$E$9:$F$9,X$9))</f>
        <v>0</v>
      </c>
      <c r="Y60">
        <f>IF($G60="s-curve",$E60+($F60-$E60)*$L$2/(1+EXP($L$3*(COUNT($L$9:Y$9)+$L$4))),TREND($E60:$F60,$E$9:$F$9,Y$9))</f>
        <v>0</v>
      </c>
      <c r="Z60">
        <f>IF($G60="s-curve",$E60+($F60-$E60)*$L$2/(1+EXP($L$3*(COUNT($L$9:Z$9)+$L$4))),TREND($E60:$F60,$E$9:$F$9,Z$9))</f>
        <v>0</v>
      </c>
      <c r="AA60">
        <f>IF($G60="s-curve",$E60+($F60-$E60)*$L$2/(1+EXP($L$3*(COUNT($L$9:AA$9)+$L$4))),TREND($E60:$F60,$E$9:$F$9,AA$9))</f>
        <v>0</v>
      </c>
      <c r="AB60">
        <f>IF($G60="s-curve",$E60+($F60-$E60)*$L$2/(1+EXP($L$3*(COUNT($L$9:AB$9)+$L$4))),TREND($E60:$F60,$E$9:$F$9,AB$9))</f>
        <v>0</v>
      </c>
      <c r="AC60">
        <f>IF($G60="s-curve",$E60+($F60-$E60)*$L$2/(1+EXP($L$3*(COUNT($L$9:AC$9)+$L$4))),TREND($E60:$F60,$E$9:$F$9,AC$9))</f>
        <v>0</v>
      </c>
      <c r="AD60">
        <f>IF($G60="s-curve",$E60+($F60-$E60)*$L$2/(1+EXP($L$3*(COUNT($L$9:AD$9)+$L$4))),TREND($E60:$F60,$E$9:$F$9,AD$9))</f>
        <v>0</v>
      </c>
      <c r="AE60">
        <f>IF($G60="s-curve",$E60+($F60-$E60)*$L$2/(1+EXP($L$3*(COUNT($L$9:AE$9)+$L$4))),TREND($E60:$F60,$E$9:$F$9,AE$9))</f>
        <v>0</v>
      </c>
      <c r="AF60">
        <f>IF($G60="s-curve",$E60+($F60-$E60)*$L$2/(1+EXP($L$3*(COUNT($L$9:AF$9)+$L$4))),TREND($E60:$F60,$E$9:$F$9,AF$9))</f>
        <v>0</v>
      </c>
      <c r="AG60">
        <f>IF($G60="s-curve",$E60+($F60-$E60)*$L$2/(1+EXP($L$3*(COUNT($L$9:AG$9)+$L$4))),TREND($E60:$F60,$E$9:$F$9,AG$9))</f>
        <v>0</v>
      </c>
      <c r="AH60">
        <f>IF($G60="s-curve",$E60+($F60-$E60)*$L$2/(1+EXP($L$3*(COUNT($L$9:AH$9)+$L$4))),TREND($E60:$F60,$E$9:$F$9,AH$9))</f>
        <v>0</v>
      </c>
      <c r="AI60">
        <f>IF($G60="s-curve",$E60+($F60-$E60)*$L$2/(1+EXP($L$3*(COUNT($L$9:AI$9)+$L$4))),TREND($E60:$F60,$E$9:$F$9,AI$9))</f>
        <v>0</v>
      </c>
      <c r="AJ60">
        <f>IF($G60="s-curve",$E60+($F60-$E60)*$L$2/(1+EXP($L$3*(COUNT($L$9:AJ$9)+$L$4))),TREND($E60:$F60,$E$9:$F$9,AJ$9))</f>
        <v>0</v>
      </c>
      <c r="AK60">
        <f>IF($G60="s-curve",$E60+($F60-$E60)*$L$2/(1+EXP($L$3*(COUNT($L$9:AK$9)+$L$4))),TREND($E60:$F60,$E$9:$F$9,AK$9))</f>
        <v>0</v>
      </c>
      <c r="AL60">
        <f>IF($G60="s-curve",$E60+($F60-$E60)*$L$2/(1+EXP($L$3*(COUNT($L$9:AL$9)+$L$4))),TREND($E60:$F60,$E$9:$F$9,AL$9))</f>
        <v>0</v>
      </c>
    </row>
    <row r="61" spans="1:38" x14ac:dyDescent="0.3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>
        <f t="shared" ref="I61" si="55">J61</f>
        <v>0</v>
      </c>
      <c r="J61">
        <f t="shared" si="2"/>
        <v>0</v>
      </c>
      <c r="K61">
        <f t="shared" si="2"/>
        <v>0</v>
      </c>
      <c r="L61" s="16">
        <f t="shared" si="32"/>
        <v>0</v>
      </c>
      <c r="M61">
        <f>IF($G61="s-curve",$E61+($F61-$E61)*$L$2/(1+EXP($L$3*(COUNT($L$9:M$9)+$L$4))),TREND($E61:$F61,$E$9:$F$9,M$9))</f>
        <v>0</v>
      </c>
      <c r="N61">
        <f>IF($G61="s-curve",$E61+($F61-$E61)*$L$2/(1+EXP($L$3*(COUNT($L$9:N$9)+$L$4))),TREND($E61:$F61,$E$9:$F$9,N$9))</f>
        <v>0</v>
      </c>
      <c r="O61">
        <f>IF($G61="s-curve",$E61+($F61-$E61)*$L$2/(1+EXP($L$3*(COUNT($L$9:O$9)+$L$4))),TREND($E61:$F61,$E$9:$F$9,O$9))</f>
        <v>0</v>
      </c>
      <c r="P61">
        <f>IF($G61="s-curve",$E61+($F61-$E61)*$L$2/(1+EXP($L$3*(COUNT($L$9:P$9)+$L$4))),TREND($E61:$F61,$E$9:$F$9,P$9))</f>
        <v>0</v>
      </c>
      <c r="Q61">
        <f>IF($G61="s-curve",$E61+($F61-$E61)*$L$2/(1+EXP($L$3*(COUNT($L$9:Q$9)+$L$4))),TREND($E61:$F61,$E$9:$F$9,Q$9))</f>
        <v>0</v>
      </c>
      <c r="R61">
        <f>IF($G61="s-curve",$E61+($F61-$E61)*$L$2/(1+EXP($L$3*(COUNT($L$9:R$9)+$L$4))),TREND($E61:$F61,$E$9:$F$9,R$9))</f>
        <v>0</v>
      </c>
      <c r="S61">
        <f>IF($G61="s-curve",$E61+($F61-$E61)*$L$2/(1+EXP($L$3*(COUNT($L$9:S$9)+$L$4))),TREND($E61:$F61,$E$9:$F$9,S$9))</f>
        <v>0</v>
      </c>
      <c r="T61">
        <f>IF($G61="s-curve",$E61+($F61-$E61)*$L$2/(1+EXP($L$3*(COUNT($L$9:T$9)+$L$4))),TREND($E61:$F61,$E$9:$F$9,T$9))</f>
        <v>0</v>
      </c>
      <c r="U61">
        <f>IF($G61="s-curve",$E61+($F61-$E61)*$L$2/(1+EXP($L$3*(COUNT($L$9:U$9)+$L$4))),TREND($E61:$F61,$E$9:$F$9,U$9))</f>
        <v>0</v>
      </c>
      <c r="V61">
        <f>IF($G61="s-curve",$E61+($F61-$E61)*$L$2/(1+EXP($L$3*(COUNT($L$9:V$9)+$L$4))),TREND($E61:$F61,$E$9:$F$9,V$9))</f>
        <v>0</v>
      </c>
      <c r="W61">
        <f>IF($G61="s-curve",$E61+($F61-$E61)*$L$2/(1+EXP($L$3*(COUNT($L$9:W$9)+$L$4))),TREND($E61:$F61,$E$9:$F$9,W$9))</f>
        <v>0</v>
      </c>
      <c r="X61">
        <f>IF($G61="s-curve",$E61+($F61-$E61)*$L$2/(1+EXP($L$3*(COUNT($L$9:X$9)+$L$4))),TREND($E61:$F61,$E$9:$F$9,X$9))</f>
        <v>0</v>
      </c>
      <c r="Y61">
        <f>IF($G61="s-curve",$E61+($F61-$E61)*$L$2/(1+EXP($L$3*(COUNT($L$9:Y$9)+$L$4))),TREND($E61:$F61,$E$9:$F$9,Y$9))</f>
        <v>0</v>
      </c>
      <c r="Z61">
        <f>IF($G61="s-curve",$E61+($F61-$E61)*$L$2/(1+EXP($L$3*(COUNT($L$9:Z$9)+$L$4))),TREND($E61:$F61,$E$9:$F$9,Z$9))</f>
        <v>0</v>
      </c>
      <c r="AA61">
        <f>IF($G61="s-curve",$E61+($F61-$E61)*$L$2/(1+EXP($L$3*(COUNT($L$9:AA$9)+$L$4))),TREND($E61:$F61,$E$9:$F$9,AA$9))</f>
        <v>0</v>
      </c>
      <c r="AB61">
        <f>IF($G61="s-curve",$E61+($F61-$E61)*$L$2/(1+EXP($L$3*(COUNT($L$9:AB$9)+$L$4))),TREND($E61:$F61,$E$9:$F$9,AB$9))</f>
        <v>0</v>
      </c>
      <c r="AC61">
        <f>IF($G61="s-curve",$E61+($F61-$E61)*$L$2/(1+EXP($L$3*(COUNT($L$9:AC$9)+$L$4))),TREND($E61:$F61,$E$9:$F$9,AC$9))</f>
        <v>0</v>
      </c>
      <c r="AD61">
        <f>IF($G61="s-curve",$E61+($F61-$E61)*$L$2/(1+EXP($L$3*(COUNT($L$9:AD$9)+$L$4))),TREND($E61:$F61,$E$9:$F$9,AD$9))</f>
        <v>0</v>
      </c>
      <c r="AE61">
        <f>IF($G61="s-curve",$E61+($F61-$E61)*$L$2/(1+EXP($L$3*(COUNT($L$9:AE$9)+$L$4))),TREND($E61:$F61,$E$9:$F$9,AE$9))</f>
        <v>0</v>
      </c>
      <c r="AF61">
        <f>IF($G61="s-curve",$E61+($F61-$E61)*$L$2/(1+EXP($L$3*(COUNT($L$9:AF$9)+$L$4))),TREND($E61:$F61,$E$9:$F$9,AF$9))</f>
        <v>0</v>
      </c>
      <c r="AG61">
        <f>IF($G61="s-curve",$E61+($F61-$E61)*$L$2/(1+EXP($L$3*(COUNT($L$9:AG$9)+$L$4))),TREND($E61:$F61,$E$9:$F$9,AG$9))</f>
        <v>0</v>
      </c>
      <c r="AH61">
        <f>IF($G61="s-curve",$E61+($F61-$E61)*$L$2/(1+EXP($L$3*(COUNT($L$9:AH$9)+$L$4))),TREND($E61:$F61,$E$9:$F$9,AH$9))</f>
        <v>0</v>
      </c>
      <c r="AI61">
        <f>IF($G61="s-curve",$E61+($F61-$E61)*$L$2/(1+EXP($L$3*(COUNT($L$9:AI$9)+$L$4))),TREND($E61:$F61,$E$9:$F$9,AI$9))</f>
        <v>0</v>
      </c>
      <c r="AJ61">
        <f>IF($G61="s-curve",$E61+($F61-$E61)*$L$2/(1+EXP($L$3*(COUNT($L$9:AJ$9)+$L$4))),TREND($E61:$F61,$E$9:$F$9,AJ$9))</f>
        <v>0</v>
      </c>
      <c r="AK61">
        <f>IF($G61="s-curve",$E61+($F61-$E61)*$L$2/(1+EXP($L$3*(COUNT($L$9:AK$9)+$L$4))),TREND($E61:$F61,$E$9:$F$9,AK$9))</f>
        <v>0</v>
      </c>
      <c r="AL61">
        <f>IF($G61="s-curve",$E61+($F61-$E61)*$L$2/(1+EXP($L$3*(COUNT($L$9:AL$9)+$L$4))),TREND($E61:$F61,$E$9:$F$9,AL$9))</f>
        <v>0</v>
      </c>
    </row>
    <row r="62" spans="1:38" x14ac:dyDescent="0.3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>
        <f t="shared" ref="I62" si="56">J62</f>
        <v>1</v>
      </c>
      <c r="J62">
        <f t="shared" si="2"/>
        <v>1</v>
      </c>
      <c r="K62">
        <f t="shared" si="2"/>
        <v>1</v>
      </c>
      <c r="L62" s="16">
        <f t="shared" si="32"/>
        <v>1</v>
      </c>
      <c r="M62">
        <f>IF($G62="s-curve",$E62+($F62-$E62)*$L$2/(1+EXP($L$3*(COUNT($L$9:M$9)+$L$4))),TREND($E62:$F62,$E$9:$F$9,M$9))</f>
        <v>1</v>
      </c>
      <c r="N62">
        <f>IF($G62="s-curve",$E62+($F62-$E62)*$L$2/(1+EXP($L$3*(COUNT($L$9:N$9)+$L$4))),TREND($E62:$F62,$E$9:$F$9,N$9))</f>
        <v>1</v>
      </c>
      <c r="O62">
        <f>IF($G62="s-curve",$E62+($F62-$E62)*$L$2/(1+EXP($L$3*(COUNT($L$9:O$9)+$L$4))),TREND($E62:$F62,$E$9:$F$9,O$9))</f>
        <v>1</v>
      </c>
      <c r="P62">
        <f>IF($G62="s-curve",$E62+($F62-$E62)*$L$2/(1+EXP($L$3*(COUNT($L$9:P$9)+$L$4))),TREND($E62:$F62,$E$9:$F$9,P$9))</f>
        <v>1</v>
      </c>
      <c r="Q62">
        <f>IF($G62="s-curve",$E62+($F62-$E62)*$L$2/(1+EXP($L$3*(COUNT($L$9:Q$9)+$L$4))),TREND($E62:$F62,$E$9:$F$9,Q$9))</f>
        <v>1</v>
      </c>
      <c r="R62">
        <f>IF($G62="s-curve",$E62+($F62-$E62)*$L$2/(1+EXP($L$3*(COUNT($L$9:R$9)+$L$4))),TREND($E62:$F62,$E$9:$F$9,R$9))</f>
        <v>1</v>
      </c>
      <c r="S62">
        <f>IF($G62="s-curve",$E62+($F62-$E62)*$L$2/(1+EXP($L$3*(COUNT($L$9:S$9)+$L$4))),TREND($E62:$F62,$E$9:$F$9,S$9))</f>
        <v>1</v>
      </c>
      <c r="T62">
        <f>IF($G62="s-curve",$E62+($F62-$E62)*$L$2/(1+EXP($L$3*(COUNT($L$9:T$9)+$L$4))),TREND($E62:$F62,$E$9:$F$9,T$9))</f>
        <v>1</v>
      </c>
      <c r="U62">
        <f>IF($G62="s-curve",$E62+($F62-$E62)*$L$2/(1+EXP($L$3*(COUNT($L$9:U$9)+$L$4))),TREND($E62:$F62,$E$9:$F$9,U$9))</f>
        <v>1</v>
      </c>
      <c r="V62">
        <f>IF($G62="s-curve",$E62+($F62-$E62)*$L$2/(1+EXP($L$3*(COUNT($L$9:V$9)+$L$4))),TREND($E62:$F62,$E$9:$F$9,V$9))</f>
        <v>1</v>
      </c>
      <c r="W62">
        <f>IF($G62="s-curve",$E62+($F62-$E62)*$L$2/(1+EXP($L$3*(COUNT($L$9:W$9)+$L$4))),TREND($E62:$F62,$E$9:$F$9,W$9))</f>
        <v>1</v>
      </c>
      <c r="X62">
        <f>IF($G62="s-curve",$E62+($F62-$E62)*$L$2/(1+EXP($L$3*(COUNT($L$9:X$9)+$L$4))),TREND($E62:$F62,$E$9:$F$9,X$9))</f>
        <v>1</v>
      </c>
      <c r="Y62">
        <f>IF($G62="s-curve",$E62+($F62-$E62)*$L$2/(1+EXP($L$3*(COUNT($L$9:Y$9)+$L$4))),TREND($E62:$F62,$E$9:$F$9,Y$9))</f>
        <v>1</v>
      </c>
      <c r="Z62">
        <f>IF($G62="s-curve",$E62+($F62-$E62)*$L$2/(1+EXP($L$3*(COUNT($L$9:Z$9)+$L$4))),TREND($E62:$F62,$E$9:$F$9,Z$9))</f>
        <v>1</v>
      </c>
      <c r="AA62">
        <f>IF($G62="s-curve",$E62+($F62-$E62)*$L$2/(1+EXP($L$3*(COUNT($L$9:AA$9)+$L$4))),TREND($E62:$F62,$E$9:$F$9,AA$9))</f>
        <v>1</v>
      </c>
      <c r="AB62">
        <f>IF($G62="s-curve",$E62+($F62-$E62)*$L$2/(1+EXP($L$3*(COUNT($L$9:AB$9)+$L$4))),TREND($E62:$F62,$E$9:$F$9,AB$9))</f>
        <v>1</v>
      </c>
      <c r="AC62">
        <f>IF($G62="s-curve",$E62+($F62-$E62)*$L$2/(1+EXP($L$3*(COUNT($L$9:AC$9)+$L$4))),TREND($E62:$F62,$E$9:$F$9,AC$9))</f>
        <v>1</v>
      </c>
      <c r="AD62">
        <f>IF($G62="s-curve",$E62+($F62-$E62)*$L$2/(1+EXP($L$3*(COUNT($L$9:AD$9)+$L$4))),TREND($E62:$F62,$E$9:$F$9,AD$9))</f>
        <v>1</v>
      </c>
      <c r="AE62">
        <f>IF($G62="s-curve",$E62+($F62-$E62)*$L$2/(1+EXP($L$3*(COUNT($L$9:AE$9)+$L$4))),TREND($E62:$F62,$E$9:$F$9,AE$9))</f>
        <v>1</v>
      </c>
      <c r="AF62">
        <f>IF($G62="s-curve",$E62+($F62-$E62)*$L$2/(1+EXP($L$3*(COUNT($L$9:AF$9)+$L$4))),TREND($E62:$F62,$E$9:$F$9,AF$9))</f>
        <v>1</v>
      </c>
      <c r="AG62">
        <f>IF($G62="s-curve",$E62+($F62-$E62)*$L$2/(1+EXP($L$3*(COUNT($L$9:AG$9)+$L$4))),TREND($E62:$F62,$E$9:$F$9,AG$9))</f>
        <v>1</v>
      </c>
      <c r="AH62">
        <f>IF($G62="s-curve",$E62+($F62-$E62)*$L$2/(1+EXP($L$3*(COUNT($L$9:AH$9)+$L$4))),TREND($E62:$F62,$E$9:$F$9,AH$9))</f>
        <v>1</v>
      </c>
      <c r="AI62">
        <f>IF($G62="s-curve",$E62+($F62-$E62)*$L$2/(1+EXP($L$3*(COUNT($L$9:AI$9)+$L$4))),TREND($E62:$F62,$E$9:$F$9,AI$9))</f>
        <v>1</v>
      </c>
      <c r="AJ62">
        <f>IF($G62="s-curve",$E62+($F62-$E62)*$L$2/(1+EXP($L$3*(COUNT($L$9:AJ$9)+$L$4))),TREND($E62:$F62,$E$9:$F$9,AJ$9))</f>
        <v>1</v>
      </c>
      <c r="AK62">
        <f>IF($G62="s-curve",$E62+($F62-$E62)*$L$2/(1+EXP($L$3*(COUNT($L$9:AK$9)+$L$4))),TREND($E62:$F62,$E$9:$F$9,AK$9))</f>
        <v>1</v>
      </c>
      <c r="AL62">
        <f>IF($G62="s-curve",$E62+($F62-$E62)*$L$2/(1+EXP($L$3*(COUNT($L$9:AL$9)+$L$4))),TREND($E62:$F62,$E$9:$F$9,AL$9))</f>
        <v>1</v>
      </c>
    </row>
    <row r="63" spans="1:38" x14ac:dyDescent="0.3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>
        <f t="shared" ref="I63" si="57">J63</f>
        <v>0</v>
      </c>
      <c r="J63">
        <f t="shared" si="2"/>
        <v>0</v>
      </c>
      <c r="K63">
        <f t="shared" si="2"/>
        <v>0</v>
      </c>
      <c r="L63" s="16">
        <f t="shared" si="32"/>
        <v>0</v>
      </c>
      <c r="M63">
        <f>IF($G63="s-curve",$E63+($F63-$E63)*$L$2/(1+EXP($L$3*(COUNT($L$9:M$9)+$L$4))),TREND($E63:$F63,$E$9:$F$9,M$9))</f>
        <v>0</v>
      </c>
      <c r="N63">
        <f>IF($G63="s-curve",$E63+($F63-$E63)*$L$2/(1+EXP($L$3*(COUNT($L$9:N$9)+$L$4))),TREND($E63:$F63,$E$9:$F$9,N$9))</f>
        <v>0</v>
      </c>
      <c r="O63">
        <f>IF($G63="s-curve",$E63+($F63-$E63)*$L$2/(1+EXP($L$3*(COUNT($L$9:O$9)+$L$4))),TREND($E63:$F63,$E$9:$F$9,O$9))</f>
        <v>0</v>
      </c>
      <c r="P63">
        <f>IF($G63="s-curve",$E63+($F63-$E63)*$L$2/(1+EXP($L$3*(COUNT($L$9:P$9)+$L$4))),TREND($E63:$F63,$E$9:$F$9,P$9))</f>
        <v>0</v>
      </c>
      <c r="Q63">
        <f>IF($G63="s-curve",$E63+($F63-$E63)*$L$2/(1+EXP($L$3*(COUNT($L$9:Q$9)+$L$4))),TREND($E63:$F63,$E$9:$F$9,Q$9))</f>
        <v>0</v>
      </c>
      <c r="R63">
        <f>IF($G63="s-curve",$E63+($F63-$E63)*$L$2/(1+EXP($L$3*(COUNT($L$9:R$9)+$L$4))),TREND($E63:$F63,$E$9:$F$9,R$9))</f>
        <v>0</v>
      </c>
      <c r="S63">
        <f>IF($G63="s-curve",$E63+($F63-$E63)*$L$2/(1+EXP($L$3*(COUNT($L$9:S$9)+$L$4))),TREND($E63:$F63,$E$9:$F$9,S$9))</f>
        <v>0</v>
      </c>
      <c r="T63">
        <f>IF($G63="s-curve",$E63+($F63-$E63)*$L$2/(1+EXP($L$3*(COUNT($L$9:T$9)+$L$4))),TREND($E63:$F63,$E$9:$F$9,T$9))</f>
        <v>0</v>
      </c>
      <c r="U63">
        <f>IF($G63="s-curve",$E63+($F63-$E63)*$L$2/(1+EXP($L$3*(COUNT($L$9:U$9)+$L$4))),TREND($E63:$F63,$E$9:$F$9,U$9))</f>
        <v>0</v>
      </c>
      <c r="V63">
        <f>IF($G63="s-curve",$E63+($F63-$E63)*$L$2/(1+EXP($L$3*(COUNT($L$9:V$9)+$L$4))),TREND($E63:$F63,$E$9:$F$9,V$9))</f>
        <v>0</v>
      </c>
      <c r="W63">
        <f>IF($G63="s-curve",$E63+($F63-$E63)*$L$2/(1+EXP($L$3*(COUNT($L$9:W$9)+$L$4))),TREND($E63:$F63,$E$9:$F$9,W$9))</f>
        <v>0</v>
      </c>
      <c r="X63">
        <f>IF($G63="s-curve",$E63+($F63-$E63)*$L$2/(1+EXP($L$3*(COUNT($L$9:X$9)+$L$4))),TREND($E63:$F63,$E$9:$F$9,X$9))</f>
        <v>0</v>
      </c>
      <c r="Y63">
        <f>IF($G63="s-curve",$E63+($F63-$E63)*$L$2/(1+EXP($L$3*(COUNT($L$9:Y$9)+$L$4))),TREND($E63:$F63,$E$9:$F$9,Y$9))</f>
        <v>0</v>
      </c>
      <c r="Z63">
        <f>IF($G63="s-curve",$E63+($F63-$E63)*$L$2/(1+EXP($L$3*(COUNT($L$9:Z$9)+$L$4))),TREND($E63:$F63,$E$9:$F$9,Z$9))</f>
        <v>0</v>
      </c>
      <c r="AA63">
        <f>IF($G63="s-curve",$E63+($F63-$E63)*$L$2/(1+EXP($L$3*(COUNT($L$9:AA$9)+$L$4))),TREND($E63:$F63,$E$9:$F$9,AA$9))</f>
        <v>0</v>
      </c>
      <c r="AB63">
        <f>IF($G63="s-curve",$E63+($F63-$E63)*$L$2/(1+EXP($L$3*(COUNT($L$9:AB$9)+$L$4))),TREND($E63:$F63,$E$9:$F$9,AB$9))</f>
        <v>0</v>
      </c>
      <c r="AC63">
        <f>IF($G63="s-curve",$E63+($F63-$E63)*$L$2/(1+EXP($L$3*(COUNT($L$9:AC$9)+$L$4))),TREND($E63:$F63,$E$9:$F$9,AC$9))</f>
        <v>0</v>
      </c>
      <c r="AD63">
        <f>IF($G63="s-curve",$E63+($F63-$E63)*$L$2/(1+EXP($L$3*(COUNT($L$9:AD$9)+$L$4))),TREND($E63:$F63,$E$9:$F$9,AD$9))</f>
        <v>0</v>
      </c>
      <c r="AE63">
        <f>IF($G63="s-curve",$E63+($F63-$E63)*$L$2/(1+EXP($L$3*(COUNT($L$9:AE$9)+$L$4))),TREND($E63:$F63,$E$9:$F$9,AE$9))</f>
        <v>0</v>
      </c>
      <c r="AF63">
        <f>IF($G63="s-curve",$E63+($F63-$E63)*$L$2/(1+EXP($L$3*(COUNT($L$9:AF$9)+$L$4))),TREND($E63:$F63,$E$9:$F$9,AF$9))</f>
        <v>0</v>
      </c>
      <c r="AG63">
        <f>IF($G63="s-curve",$E63+($F63-$E63)*$L$2/(1+EXP($L$3*(COUNT($L$9:AG$9)+$L$4))),TREND($E63:$F63,$E$9:$F$9,AG$9))</f>
        <v>0</v>
      </c>
      <c r="AH63">
        <f>IF($G63="s-curve",$E63+($F63-$E63)*$L$2/(1+EXP($L$3*(COUNT($L$9:AH$9)+$L$4))),TREND($E63:$F63,$E$9:$F$9,AH$9))</f>
        <v>0</v>
      </c>
      <c r="AI63">
        <f>IF($G63="s-curve",$E63+($F63-$E63)*$L$2/(1+EXP($L$3*(COUNT($L$9:AI$9)+$L$4))),TREND($E63:$F63,$E$9:$F$9,AI$9))</f>
        <v>0</v>
      </c>
      <c r="AJ63">
        <f>IF($G63="s-curve",$E63+($F63-$E63)*$L$2/(1+EXP($L$3*(COUNT($L$9:AJ$9)+$L$4))),TREND($E63:$F63,$E$9:$F$9,AJ$9))</f>
        <v>0</v>
      </c>
      <c r="AK63">
        <f>IF($G63="s-curve",$E63+($F63-$E63)*$L$2/(1+EXP($L$3*(COUNT($L$9:AK$9)+$L$4))),TREND($E63:$F63,$E$9:$F$9,AK$9))</f>
        <v>0</v>
      </c>
      <c r="AL63">
        <f>IF($G63="s-curve",$E63+($F63-$E63)*$L$2/(1+EXP($L$3*(COUNT($L$9:AL$9)+$L$4))),TREND($E63:$F63,$E$9:$F$9,AL$9))</f>
        <v>0</v>
      </c>
    </row>
    <row r="64" spans="1:38" x14ac:dyDescent="0.3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>
        <f t="shared" ref="I64" si="58">J64</f>
        <v>0</v>
      </c>
      <c r="J64">
        <f t="shared" si="2"/>
        <v>0</v>
      </c>
      <c r="K64">
        <f t="shared" si="2"/>
        <v>0</v>
      </c>
      <c r="L64" s="16">
        <f t="shared" si="32"/>
        <v>0</v>
      </c>
      <c r="M64">
        <f>IF($G64="s-curve",$E64+($F64-$E64)*$L$2/(1+EXP($L$3*(COUNT($L$9:M$9)+$L$4))),TREND($E64:$F64,$E$9:$F$9,M$9))</f>
        <v>0</v>
      </c>
      <c r="N64">
        <f>IF($G64="s-curve",$E64+($F64-$E64)*$L$2/(1+EXP($L$3*(COUNT($L$9:N$9)+$L$4))),TREND($E64:$F64,$E$9:$F$9,N$9))</f>
        <v>0</v>
      </c>
      <c r="O64">
        <f>IF($G64="s-curve",$E64+($F64-$E64)*$L$2/(1+EXP($L$3*(COUNT($L$9:O$9)+$L$4))),TREND($E64:$F64,$E$9:$F$9,O$9))</f>
        <v>0</v>
      </c>
      <c r="P64">
        <f>IF($G64="s-curve",$E64+($F64-$E64)*$L$2/(1+EXP($L$3*(COUNT($L$9:P$9)+$L$4))),TREND($E64:$F64,$E$9:$F$9,P$9))</f>
        <v>0</v>
      </c>
      <c r="Q64">
        <f>IF($G64="s-curve",$E64+($F64-$E64)*$L$2/(1+EXP($L$3*(COUNT($L$9:Q$9)+$L$4))),TREND($E64:$F64,$E$9:$F$9,Q$9))</f>
        <v>0</v>
      </c>
      <c r="R64">
        <f>IF($G64="s-curve",$E64+($F64-$E64)*$L$2/(1+EXP($L$3*(COUNT($L$9:R$9)+$L$4))),TREND($E64:$F64,$E$9:$F$9,R$9))</f>
        <v>0</v>
      </c>
      <c r="S64">
        <f>IF($G64="s-curve",$E64+($F64-$E64)*$L$2/(1+EXP($L$3*(COUNT($L$9:S$9)+$L$4))),TREND($E64:$F64,$E$9:$F$9,S$9))</f>
        <v>0</v>
      </c>
      <c r="T64">
        <f>IF($G64="s-curve",$E64+($F64-$E64)*$L$2/(1+EXP($L$3*(COUNT($L$9:T$9)+$L$4))),TREND($E64:$F64,$E$9:$F$9,T$9))</f>
        <v>0</v>
      </c>
      <c r="U64">
        <f>IF($G64="s-curve",$E64+($F64-$E64)*$L$2/(1+EXP($L$3*(COUNT($L$9:U$9)+$L$4))),TREND($E64:$F64,$E$9:$F$9,U$9))</f>
        <v>0</v>
      </c>
      <c r="V64">
        <f>IF($G64="s-curve",$E64+($F64-$E64)*$L$2/(1+EXP($L$3*(COUNT($L$9:V$9)+$L$4))),TREND($E64:$F64,$E$9:$F$9,V$9))</f>
        <v>0</v>
      </c>
      <c r="W64">
        <f>IF($G64="s-curve",$E64+($F64-$E64)*$L$2/(1+EXP($L$3*(COUNT($L$9:W$9)+$L$4))),TREND($E64:$F64,$E$9:$F$9,W$9))</f>
        <v>0</v>
      </c>
      <c r="X64">
        <f>IF($G64="s-curve",$E64+($F64-$E64)*$L$2/(1+EXP($L$3*(COUNT($L$9:X$9)+$L$4))),TREND($E64:$F64,$E$9:$F$9,X$9))</f>
        <v>0</v>
      </c>
      <c r="Y64">
        <f>IF($G64="s-curve",$E64+($F64-$E64)*$L$2/(1+EXP($L$3*(COUNT($L$9:Y$9)+$L$4))),TREND($E64:$F64,$E$9:$F$9,Y$9))</f>
        <v>0</v>
      </c>
      <c r="Z64">
        <f>IF($G64="s-curve",$E64+($F64-$E64)*$L$2/(1+EXP($L$3*(COUNT($L$9:Z$9)+$L$4))),TREND($E64:$F64,$E$9:$F$9,Z$9))</f>
        <v>0</v>
      </c>
      <c r="AA64">
        <f>IF($G64="s-curve",$E64+($F64-$E64)*$L$2/(1+EXP($L$3*(COUNT($L$9:AA$9)+$L$4))),TREND($E64:$F64,$E$9:$F$9,AA$9))</f>
        <v>0</v>
      </c>
      <c r="AB64">
        <f>IF($G64="s-curve",$E64+($F64-$E64)*$L$2/(1+EXP($L$3*(COUNT($L$9:AB$9)+$L$4))),TREND($E64:$F64,$E$9:$F$9,AB$9))</f>
        <v>0</v>
      </c>
      <c r="AC64">
        <f>IF($G64="s-curve",$E64+($F64-$E64)*$L$2/(1+EXP($L$3*(COUNT($L$9:AC$9)+$L$4))),TREND($E64:$F64,$E$9:$F$9,AC$9))</f>
        <v>0</v>
      </c>
      <c r="AD64">
        <f>IF($G64="s-curve",$E64+($F64-$E64)*$L$2/(1+EXP($L$3*(COUNT($L$9:AD$9)+$L$4))),TREND($E64:$F64,$E$9:$F$9,AD$9))</f>
        <v>0</v>
      </c>
      <c r="AE64">
        <f>IF($G64="s-curve",$E64+($F64-$E64)*$L$2/(1+EXP($L$3*(COUNT($L$9:AE$9)+$L$4))),TREND($E64:$F64,$E$9:$F$9,AE$9))</f>
        <v>0</v>
      </c>
      <c r="AF64">
        <f>IF($G64="s-curve",$E64+($F64-$E64)*$L$2/(1+EXP($L$3*(COUNT($L$9:AF$9)+$L$4))),TREND($E64:$F64,$E$9:$F$9,AF$9))</f>
        <v>0</v>
      </c>
      <c r="AG64">
        <f>IF($G64="s-curve",$E64+($F64-$E64)*$L$2/(1+EXP($L$3*(COUNT($L$9:AG$9)+$L$4))),TREND($E64:$F64,$E$9:$F$9,AG$9))</f>
        <v>0</v>
      </c>
      <c r="AH64">
        <f>IF($G64="s-curve",$E64+($F64-$E64)*$L$2/(1+EXP($L$3*(COUNT($L$9:AH$9)+$L$4))),TREND($E64:$F64,$E$9:$F$9,AH$9))</f>
        <v>0</v>
      </c>
      <c r="AI64">
        <f>IF($G64="s-curve",$E64+($F64-$E64)*$L$2/(1+EXP($L$3*(COUNT($L$9:AI$9)+$L$4))),TREND($E64:$F64,$E$9:$F$9,AI$9))</f>
        <v>0</v>
      </c>
      <c r="AJ64">
        <f>IF($G64="s-curve",$E64+($F64-$E64)*$L$2/(1+EXP($L$3*(COUNT($L$9:AJ$9)+$L$4))),TREND($E64:$F64,$E$9:$F$9,AJ$9))</f>
        <v>0</v>
      </c>
      <c r="AK64">
        <f>IF($G64="s-curve",$E64+($F64-$E64)*$L$2/(1+EXP($L$3*(COUNT($L$9:AK$9)+$L$4))),TREND($E64:$F64,$E$9:$F$9,AK$9))</f>
        <v>0</v>
      </c>
      <c r="AL64">
        <f>IF($G64="s-curve",$E64+($F64-$E64)*$L$2/(1+EXP($L$3*(COUNT($L$9:AL$9)+$L$4))),TREND($E64:$F64,$E$9:$F$9,AL$9))</f>
        <v>0</v>
      </c>
    </row>
    <row r="65" spans="1:38" ht="15.75" customHeight="1" thickBot="1" x14ac:dyDescent="0.4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>
        <f t="shared" ref="I65" si="59">J65</f>
        <v>0</v>
      </c>
      <c r="J65">
        <f t="shared" si="2"/>
        <v>0</v>
      </c>
      <c r="K65">
        <f t="shared" si="2"/>
        <v>0</v>
      </c>
      <c r="L65" s="16">
        <f t="shared" si="32"/>
        <v>0</v>
      </c>
      <c r="M65">
        <f>IF($G65="s-curve",$E65+($F65-$E65)*$L$2/(1+EXP($L$3*(COUNT($L$9:M$9)+$L$4))),TREND($E65:$F65,$E$9:$F$9,M$9))</f>
        <v>0</v>
      </c>
      <c r="N65">
        <f>IF($G65="s-curve",$E65+($F65-$E65)*$L$2/(1+EXP($L$3*(COUNT($L$9:N$9)+$L$4))),TREND($E65:$F65,$E$9:$F$9,N$9))</f>
        <v>0</v>
      </c>
      <c r="O65">
        <f>IF($G65="s-curve",$E65+($F65-$E65)*$L$2/(1+EXP($L$3*(COUNT($L$9:O$9)+$L$4))),TREND($E65:$F65,$E$9:$F$9,O$9))</f>
        <v>0</v>
      </c>
      <c r="P65">
        <f>IF($G65="s-curve",$E65+($F65-$E65)*$L$2/(1+EXP($L$3*(COUNT($L$9:P$9)+$L$4))),TREND($E65:$F65,$E$9:$F$9,P$9))</f>
        <v>0</v>
      </c>
      <c r="Q65">
        <f>IF($G65="s-curve",$E65+($F65-$E65)*$L$2/(1+EXP($L$3*(COUNT($L$9:Q$9)+$L$4))),TREND($E65:$F65,$E$9:$F$9,Q$9))</f>
        <v>0</v>
      </c>
      <c r="R65">
        <f>IF($G65="s-curve",$E65+($F65-$E65)*$L$2/(1+EXP($L$3*(COUNT($L$9:R$9)+$L$4))),TREND($E65:$F65,$E$9:$F$9,R$9))</f>
        <v>0</v>
      </c>
      <c r="S65">
        <f>IF($G65="s-curve",$E65+($F65-$E65)*$L$2/(1+EXP($L$3*(COUNT($L$9:S$9)+$L$4))),TREND($E65:$F65,$E$9:$F$9,S$9))</f>
        <v>0</v>
      </c>
      <c r="T65">
        <f>IF($G65="s-curve",$E65+($F65-$E65)*$L$2/(1+EXP($L$3*(COUNT($L$9:T$9)+$L$4))),TREND($E65:$F65,$E$9:$F$9,T$9))</f>
        <v>0</v>
      </c>
      <c r="U65">
        <f>IF($G65="s-curve",$E65+($F65-$E65)*$L$2/(1+EXP($L$3*(COUNT($L$9:U$9)+$L$4))),TREND($E65:$F65,$E$9:$F$9,U$9))</f>
        <v>0</v>
      </c>
      <c r="V65">
        <f>IF($G65="s-curve",$E65+($F65-$E65)*$L$2/(1+EXP($L$3*(COUNT($L$9:V$9)+$L$4))),TREND($E65:$F65,$E$9:$F$9,V$9))</f>
        <v>0</v>
      </c>
      <c r="W65">
        <f>IF($G65="s-curve",$E65+($F65-$E65)*$L$2/(1+EXP($L$3*(COUNT($L$9:W$9)+$L$4))),TREND($E65:$F65,$E$9:$F$9,W$9))</f>
        <v>0</v>
      </c>
      <c r="X65">
        <f>IF($G65="s-curve",$E65+($F65-$E65)*$L$2/(1+EXP($L$3*(COUNT($L$9:X$9)+$L$4))),TREND($E65:$F65,$E$9:$F$9,X$9))</f>
        <v>0</v>
      </c>
      <c r="Y65">
        <f>IF($G65="s-curve",$E65+($F65-$E65)*$L$2/(1+EXP($L$3*(COUNT($L$9:Y$9)+$L$4))),TREND($E65:$F65,$E$9:$F$9,Y$9))</f>
        <v>0</v>
      </c>
      <c r="Z65">
        <f>IF($G65="s-curve",$E65+($F65-$E65)*$L$2/(1+EXP($L$3*(COUNT($L$9:Z$9)+$L$4))),TREND($E65:$F65,$E$9:$F$9,Z$9))</f>
        <v>0</v>
      </c>
      <c r="AA65">
        <f>IF($G65="s-curve",$E65+($F65-$E65)*$L$2/(1+EXP($L$3*(COUNT($L$9:AA$9)+$L$4))),TREND($E65:$F65,$E$9:$F$9,AA$9))</f>
        <v>0</v>
      </c>
      <c r="AB65">
        <f>IF($G65="s-curve",$E65+($F65-$E65)*$L$2/(1+EXP($L$3*(COUNT($L$9:AB$9)+$L$4))),TREND($E65:$F65,$E$9:$F$9,AB$9))</f>
        <v>0</v>
      </c>
      <c r="AC65">
        <f>IF($G65="s-curve",$E65+($F65-$E65)*$L$2/(1+EXP($L$3*(COUNT($L$9:AC$9)+$L$4))),TREND($E65:$F65,$E$9:$F$9,AC$9))</f>
        <v>0</v>
      </c>
      <c r="AD65">
        <f>IF($G65="s-curve",$E65+($F65-$E65)*$L$2/(1+EXP($L$3*(COUNT($L$9:AD$9)+$L$4))),TREND($E65:$F65,$E$9:$F$9,AD$9))</f>
        <v>0</v>
      </c>
      <c r="AE65">
        <f>IF($G65="s-curve",$E65+($F65-$E65)*$L$2/(1+EXP($L$3*(COUNT($L$9:AE$9)+$L$4))),TREND($E65:$F65,$E$9:$F$9,AE$9))</f>
        <v>0</v>
      </c>
      <c r="AF65">
        <f>IF($G65="s-curve",$E65+($F65-$E65)*$L$2/(1+EXP($L$3*(COUNT($L$9:AF$9)+$L$4))),TREND($E65:$F65,$E$9:$F$9,AF$9))</f>
        <v>0</v>
      </c>
      <c r="AG65">
        <f>IF($G65="s-curve",$E65+($F65-$E65)*$L$2/(1+EXP($L$3*(COUNT($L$9:AG$9)+$L$4))),TREND($E65:$F65,$E$9:$F$9,AG$9))</f>
        <v>0</v>
      </c>
      <c r="AH65">
        <f>IF($G65="s-curve",$E65+($F65-$E65)*$L$2/(1+EXP($L$3*(COUNT($L$9:AH$9)+$L$4))),TREND($E65:$F65,$E$9:$F$9,AH$9))</f>
        <v>0</v>
      </c>
      <c r="AI65">
        <f>IF($G65="s-curve",$E65+($F65-$E65)*$L$2/(1+EXP($L$3*(COUNT($L$9:AI$9)+$L$4))),TREND($E65:$F65,$E$9:$F$9,AI$9))</f>
        <v>0</v>
      </c>
      <c r="AJ65">
        <f>IF($G65="s-curve",$E65+($F65-$E65)*$L$2/(1+EXP($L$3*(COUNT($L$9:AJ$9)+$L$4))),TREND($E65:$F65,$E$9:$F$9,AJ$9))</f>
        <v>0</v>
      </c>
      <c r="AK65">
        <f>IF($G65="s-curve",$E65+($F65-$E65)*$L$2/(1+EXP($L$3*(COUNT($L$9:AK$9)+$L$4))),TREND($E65:$F65,$E$9:$F$9,AK$9))</f>
        <v>0</v>
      </c>
      <c r="AL65">
        <f>IF($G65="s-curve",$E65+($F65-$E65)*$L$2/(1+EXP($L$3*(COUNT($L$9:AL$9)+$L$4))),TREND($E65:$F65,$E$9:$F$9,AL$9))</f>
        <v>0</v>
      </c>
    </row>
    <row r="66" spans="1:38" x14ac:dyDescent="0.3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>
        <f t="shared" ref="I66" si="60">J66</f>
        <v>0</v>
      </c>
      <c r="J66">
        <f t="shared" si="2"/>
        <v>0</v>
      </c>
      <c r="K66">
        <f t="shared" si="2"/>
        <v>0</v>
      </c>
      <c r="L66" s="16">
        <f t="shared" si="32"/>
        <v>0</v>
      </c>
      <c r="M66">
        <f>IF($G66="s-curve",$E66+($F66-$E66)*$L$2/(1+EXP($L$3*(COUNT($L$9:M$9)+$L$4))),TREND($E66:$F66,$E$9:$F$9,M$9))</f>
        <v>0</v>
      </c>
      <c r="N66">
        <f>IF($G66="s-curve",$E66+($F66-$E66)*$L$2/(1+EXP($L$3*(COUNT($L$9:N$9)+$L$4))),TREND($E66:$F66,$E$9:$F$9,N$9))</f>
        <v>0</v>
      </c>
      <c r="O66">
        <f>IF($G66="s-curve",$E66+($F66-$E66)*$L$2/(1+EXP($L$3*(COUNT($L$9:O$9)+$L$4))),TREND($E66:$F66,$E$9:$F$9,O$9))</f>
        <v>0</v>
      </c>
      <c r="P66">
        <f>IF($G66="s-curve",$E66+($F66-$E66)*$L$2/(1+EXP($L$3*(COUNT($L$9:P$9)+$L$4))),TREND($E66:$F66,$E$9:$F$9,P$9))</f>
        <v>0</v>
      </c>
      <c r="Q66">
        <f>IF($G66="s-curve",$E66+($F66-$E66)*$L$2/(1+EXP($L$3*(COUNT($L$9:Q$9)+$L$4))),TREND($E66:$F66,$E$9:$F$9,Q$9))</f>
        <v>0</v>
      </c>
      <c r="R66">
        <f>IF($G66="s-curve",$E66+($F66-$E66)*$L$2/(1+EXP($L$3*(COUNT($L$9:R$9)+$L$4))),TREND($E66:$F66,$E$9:$F$9,R$9))</f>
        <v>0</v>
      </c>
      <c r="S66">
        <f>IF($G66="s-curve",$E66+($F66-$E66)*$L$2/(1+EXP($L$3*(COUNT($L$9:S$9)+$L$4))),TREND($E66:$F66,$E$9:$F$9,S$9))</f>
        <v>0</v>
      </c>
      <c r="T66">
        <f>IF($G66="s-curve",$E66+($F66-$E66)*$L$2/(1+EXP($L$3*(COUNT($L$9:T$9)+$L$4))),TREND($E66:$F66,$E$9:$F$9,T$9))</f>
        <v>0</v>
      </c>
      <c r="U66">
        <f>IF($G66="s-curve",$E66+($F66-$E66)*$L$2/(1+EXP($L$3*(COUNT($L$9:U$9)+$L$4))),TREND($E66:$F66,$E$9:$F$9,U$9))</f>
        <v>0</v>
      </c>
      <c r="V66">
        <f>IF($G66="s-curve",$E66+($F66-$E66)*$L$2/(1+EXP($L$3*(COUNT($L$9:V$9)+$L$4))),TREND($E66:$F66,$E$9:$F$9,V$9))</f>
        <v>0</v>
      </c>
      <c r="W66">
        <f>IF($G66="s-curve",$E66+($F66-$E66)*$L$2/(1+EXP($L$3*(COUNT($L$9:W$9)+$L$4))),TREND($E66:$F66,$E$9:$F$9,W$9))</f>
        <v>0</v>
      </c>
      <c r="X66">
        <f>IF($G66="s-curve",$E66+($F66-$E66)*$L$2/(1+EXP($L$3*(COUNT($L$9:X$9)+$L$4))),TREND($E66:$F66,$E$9:$F$9,X$9))</f>
        <v>0</v>
      </c>
      <c r="Y66">
        <f>IF($G66="s-curve",$E66+($F66-$E66)*$L$2/(1+EXP($L$3*(COUNT($L$9:Y$9)+$L$4))),TREND($E66:$F66,$E$9:$F$9,Y$9))</f>
        <v>0</v>
      </c>
      <c r="Z66">
        <f>IF($G66="s-curve",$E66+($F66-$E66)*$L$2/(1+EXP($L$3*(COUNT($L$9:Z$9)+$L$4))),TREND($E66:$F66,$E$9:$F$9,Z$9))</f>
        <v>0</v>
      </c>
      <c r="AA66">
        <f>IF($G66="s-curve",$E66+($F66-$E66)*$L$2/(1+EXP($L$3*(COUNT($L$9:AA$9)+$L$4))),TREND($E66:$F66,$E$9:$F$9,AA$9))</f>
        <v>0</v>
      </c>
      <c r="AB66">
        <f>IF($G66="s-curve",$E66+($F66-$E66)*$L$2/(1+EXP($L$3*(COUNT($L$9:AB$9)+$L$4))),TREND($E66:$F66,$E$9:$F$9,AB$9))</f>
        <v>0</v>
      </c>
      <c r="AC66">
        <f>IF($G66="s-curve",$E66+($F66-$E66)*$L$2/(1+EXP($L$3*(COUNT($L$9:AC$9)+$L$4))),TREND($E66:$F66,$E$9:$F$9,AC$9))</f>
        <v>0</v>
      </c>
      <c r="AD66">
        <f>IF($G66="s-curve",$E66+($F66-$E66)*$L$2/(1+EXP($L$3*(COUNT($L$9:AD$9)+$L$4))),TREND($E66:$F66,$E$9:$F$9,AD$9))</f>
        <v>0</v>
      </c>
      <c r="AE66">
        <f>IF($G66="s-curve",$E66+($F66-$E66)*$L$2/(1+EXP($L$3*(COUNT($L$9:AE$9)+$L$4))),TREND($E66:$F66,$E$9:$F$9,AE$9))</f>
        <v>0</v>
      </c>
      <c r="AF66">
        <f>IF($G66="s-curve",$E66+($F66-$E66)*$L$2/(1+EXP($L$3*(COUNT($L$9:AF$9)+$L$4))),TREND($E66:$F66,$E$9:$F$9,AF$9))</f>
        <v>0</v>
      </c>
      <c r="AG66">
        <f>IF($G66="s-curve",$E66+($F66-$E66)*$L$2/(1+EXP($L$3*(COUNT($L$9:AG$9)+$L$4))),TREND($E66:$F66,$E$9:$F$9,AG$9))</f>
        <v>0</v>
      </c>
      <c r="AH66">
        <f>IF($G66="s-curve",$E66+($F66-$E66)*$L$2/(1+EXP($L$3*(COUNT($L$9:AH$9)+$L$4))),TREND($E66:$F66,$E$9:$F$9,AH$9))</f>
        <v>0</v>
      </c>
      <c r="AI66">
        <f>IF($G66="s-curve",$E66+($F66-$E66)*$L$2/(1+EXP($L$3*(COUNT($L$9:AI$9)+$L$4))),TREND($E66:$F66,$E$9:$F$9,AI$9))</f>
        <v>0</v>
      </c>
      <c r="AJ66">
        <f>IF($G66="s-curve",$E66+($F66-$E66)*$L$2/(1+EXP($L$3*(COUNT($L$9:AJ$9)+$L$4))),TREND($E66:$F66,$E$9:$F$9,AJ$9))</f>
        <v>0</v>
      </c>
      <c r="AK66">
        <f>IF($G66="s-curve",$E66+($F66-$E66)*$L$2/(1+EXP($L$3*(COUNT($L$9:AK$9)+$L$4))),TREND($E66:$F66,$E$9:$F$9,AK$9))</f>
        <v>0</v>
      </c>
      <c r="AL66">
        <f>IF($G66="s-curve",$E66+($F66-$E66)*$L$2/(1+EXP($L$3*(COUNT($L$9:AL$9)+$L$4))),TREND($E66:$F66,$E$9:$F$9,AL$9))</f>
        <v>0</v>
      </c>
    </row>
    <row r="67" spans="1:38" x14ac:dyDescent="0.3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>
        <f t="shared" ref="I67" si="61">J67</f>
        <v>0</v>
      </c>
      <c r="J67">
        <f t="shared" si="2"/>
        <v>0</v>
      </c>
      <c r="K67">
        <f t="shared" si="2"/>
        <v>0</v>
      </c>
      <c r="L67" s="16">
        <f t="shared" si="32"/>
        <v>0</v>
      </c>
      <c r="M67">
        <f>IF($G67="s-curve",$E67+($F67-$E67)*$L$2/(1+EXP($L$3*(COUNT($L$9:M$9)+$L$4))),TREND($E67:$F67,$E$9:$F$9,M$9))</f>
        <v>0</v>
      </c>
      <c r="N67">
        <f>IF($G67="s-curve",$E67+($F67-$E67)*$L$2/(1+EXP($L$3*(COUNT($L$9:N$9)+$L$4))),TREND($E67:$F67,$E$9:$F$9,N$9))</f>
        <v>0</v>
      </c>
      <c r="O67">
        <f>IF($G67="s-curve",$E67+($F67-$E67)*$L$2/(1+EXP($L$3*(COUNT($L$9:O$9)+$L$4))),TREND($E67:$F67,$E$9:$F$9,O$9))</f>
        <v>0</v>
      </c>
      <c r="P67">
        <f>IF($G67="s-curve",$E67+($F67-$E67)*$L$2/(1+EXP($L$3*(COUNT($L$9:P$9)+$L$4))),TREND($E67:$F67,$E$9:$F$9,P$9))</f>
        <v>0</v>
      </c>
      <c r="Q67">
        <f>IF($G67="s-curve",$E67+($F67-$E67)*$L$2/(1+EXP($L$3*(COUNT($L$9:Q$9)+$L$4))),TREND($E67:$F67,$E$9:$F$9,Q$9))</f>
        <v>0</v>
      </c>
      <c r="R67">
        <f>IF($G67="s-curve",$E67+($F67-$E67)*$L$2/(1+EXP($L$3*(COUNT($L$9:R$9)+$L$4))),TREND($E67:$F67,$E$9:$F$9,R$9))</f>
        <v>0</v>
      </c>
      <c r="S67">
        <f>IF($G67="s-curve",$E67+($F67-$E67)*$L$2/(1+EXP($L$3*(COUNT($L$9:S$9)+$L$4))),TREND($E67:$F67,$E$9:$F$9,S$9))</f>
        <v>0</v>
      </c>
      <c r="T67">
        <f>IF($G67="s-curve",$E67+($F67-$E67)*$L$2/(1+EXP($L$3*(COUNT($L$9:T$9)+$L$4))),TREND($E67:$F67,$E$9:$F$9,T$9))</f>
        <v>0</v>
      </c>
      <c r="U67">
        <f>IF($G67="s-curve",$E67+($F67-$E67)*$L$2/(1+EXP($L$3*(COUNT($L$9:U$9)+$L$4))),TREND($E67:$F67,$E$9:$F$9,U$9))</f>
        <v>0</v>
      </c>
      <c r="V67">
        <f>IF($G67="s-curve",$E67+($F67-$E67)*$L$2/(1+EXP($L$3*(COUNT($L$9:V$9)+$L$4))),TREND($E67:$F67,$E$9:$F$9,V$9))</f>
        <v>0</v>
      </c>
      <c r="W67">
        <f>IF($G67="s-curve",$E67+($F67-$E67)*$L$2/(1+EXP($L$3*(COUNT($L$9:W$9)+$L$4))),TREND($E67:$F67,$E$9:$F$9,W$9))</f>
        <v>0</v>
      </c>
      <c r="X67">
        <f>IF($G67="s-curve",$E67+($F67-$E67)*$L$2/(1+EXP($L$3*(COUNT($L$9:X$9)+$L$4))),TREND($E67:$F67,$E$9:$F$9,X$9))</f>
        <v>0</v>
      </c>
      <c r="Y67">
        <f>IF($G67="s-curve",$E67+($F67-$E67)*$L$2/(1+EXP($L$3*(COUNT($L$9:Y$9)+$L$4))),TREND($E67:$F67,$E$9:$F$9,Y$9))</f>
        <v>0</v>
      </c>
      <c r="Z67">
        <f>IF($G67="s-curve",$E67+($F67-$E67)*$L$2/(1+EXP($L$3*(COUNT($L$9:Z$9)+$L$4))),TREND($E67:$F67,$E$9:$F$9,Z$9))</f>
        <v>0</v>
      </c>
      <c r="AA67">
        <f>IF($G67="s-curve",$E67+($F67-$E67)*$L$2/(1+EXP($L$3*(COUNT($L$9:AA$9)+$L$4))),TREND($E67:$F67,$E$9:$F$9,AA$9))</f>
        <v>0</v>
      </c>
      <c r="AB67">
        <f>IF($G67="s-curve",$E67+($F67-$E67)*$L$2/(1+EXP($L$3*(COUNT($L$9:AB$9)+$L$4))),TREND($E67:$F67,$E$9:$F$9,AB$9))</f>
        <v>0</v>
      </c>
      <c r="AC67">
        <f>IF($G67="s-curve",$E67+($F67-$E67)*$L$2/(1+EXP($L$3*(COUNT($L$9:AC$9)+$L$4))),TREND($E67:$F67,$E$9:$F$9,AC$9))</f>
        <v>0</v>
      </c>
      <c r="AD67">
        <f>IF($G67="s-curve",$E67+($F67-$E67)*$L$2/(1+EXP($L$3*(COUNT($L$9:AD$9)+$L$4))),TREND($E67:$F67,$E$9:$F$9,AD$9))</f>
        <v>0</v>
      </c>
      <c r="AE67">
        <f>IF($G67="s-curve",$E67+($F67-$E67)*$L$2/(1+EXP($L$3*(COUNT($L$9:AE$9)+$L$4))),TREND($E67:$F67,$E$9:$F$9,AE$9))</f>
        <v>0</v>
      </c>
      <c r="AF67">
        <f>IF($G67="s-curve",$E67+($F67-$E67)*$L$2/(1+EXP($L$3*(COUNT($L$9:AF$9)+$L$4))),TREND($E67:$F67,$E$9:$F$9,AF$9))</f>
        <v>0</v>
      </c>
      <c r="AG67">
        <f>IF($G67="s-curve",$E67+($F67-$E67)*$L$2/(1+EXP($L$3*(COUNT($L$9:AG$9)+$L$4))),TREND($E67:$F67,$E$9:$F$9,AG$9))</f>
        <v>0</v>
      </c>
      <c r="AH67">
        <f>IF($G67="s-curve",$E67+($F67-$E67)*$L$2/(1+EXP($L$3*(COUNT($L$9:AH$9)+$L$4))),TREND($E67:$F67,$E$9:$F$9,AH$9))</f>
        <v>0</v>
      </c>
      <c r="AI67">
        <f>IF($G67="s-curve",$E67+($F67-$E67)*$L$2/(1+EXP($L$3*(COUNT($L$9:AI$9)+$L$4))),TREND($E67:$F67,$E$9:$F$9,AI$9))</f>
        <v>0</v>
      </c>
      <c r="AJ67">
        <f>IF($G67="s-curve",$E67+($F67-$E67)*$L$2/(1+EXP($L$3*(COUNT($L$9:AJ$9)+$L$4))),TREND($E67:$F67,$E$9:$F$9,AJ$9))</f>
        <v>0</v>
      </c>
      <c r="AK67">
        <f>IF($G67="s-curve",$E67+($F67-$E67)*$L$2/(1+EXP($L$3*(COUNT($L$9:AK$9)+$L$4))),TREND($E67:$F67,$E$9:$F$9,AK$9))</f>
        <v>0</v>
      </c>
      <c r="AL67">
        <f>IF($G67="s-curve",$E67+($F67-$E67)*$L$2/(1+EXP($L$3*(COUNT($L$9:AL$9)+$L$4))),TREND($E67:$F67,$E$9:$F$9,AL$9))</f>
        <v>0</v>
      </c>
    </row>
    <row r="68" spans="1:38" x14ac:dyDescent="0.3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>
        <f t="shared" ref="I68" si="62">J68</f>
        <v>0</v>
      </c>
      <c r="J68">
        <f t="shared" si="2"/>
        <v>0</v>
      </c>
      <c r="K68">
        <f t="shared" si="2"/>
        <v>0</v>
      </c>
      <c r="L68" s="16">
        <f t="shared" si="32"/>
        <v>0</v>
      </c>
      <c r="M68">
        <f>IF($G68="s-curve",$E68+($F68-$E68)*$L$2/(1+EXP($L$3*(COUNT($L$9:M$9)+$L$4))),TREND($E68:$F68,$E$9:$F$9,M$9))</f>
        <v>0</v>
      </c>
      <c r="N68">
        <f>IF($G68="s-curve",$E68+($F68-$E68)*$L$2/(1+EXP($L$3*(COUNT($L$9:N$9)+$L$4))),TREND($E68:$F68,$E$9:$F$9,N$9))</f>
        <v>0</v>
      </c>
      <c r="O68">
        <f>IF($G68="s-curve",$E68+($F68-$E68)*$L$2/(1+EXP($L$3*(COUNT($L$9:O$9)+$L$4))),TREND($E68:$F68,$E$9:$F$9,O$9))</f>
        <v>0</v>
      </c>
      <c r="P68">
        <f>IF($G68="s-curve",$E68+($F68-$E68)*$L$2/(1+EXP($L$3*(COUNT($L$9:P$9)+$L$4))),TREND($E68:$F68,$E$9:$F$9,P$9))</f>
        <v>0</v>
      </c>
      <c r="Q68">
        <f>IF($G68="s-curve",$E68+($F68-$E68)*$L$2/(1+EXP($L$3*(COUNT($L$9:Q$9)+$L$4))),TREND($E68:$F68,$E$9:$F$9,Q$9))</f>
        <v>0</v>
      </c>
      <c r="R68">
        <f>IF($G68="s-curve",$E68+($F68-$E68)*$L$2/(1+EXP($L$3*(COUNT($L$9:R$9)+$L$4))),TREND($E68:$F68,$E$9:$F$9,R$9))</f>
        <v>0</v>
      </c>
      <c r="S68">
        <f>IF($G68="s-curve",$E68+($F68-$E68)*$L$2/(1+EXP($L$3*(COUNT($L$9:S$9)+$L$4))),TREND($E68:$F68,$E$9:$F$9,S$9))</f>
        <v>0</v>
      </c>
      <c r="T68">
        <f>IF($G68="s-curve",$E68+($F68-$E68)*$L$2/(1+EXP($L$3*(COUNT($L$9:T$9)+$L$4))),TREND($E68:$F68,$E$9:$F$9,T$9))</f>
        <v>0</v>
      </c>
      <c r="U68">
        <f>IF($G68="s-curve",$E68+($F68-$E68)*$L$2/(1+EXP($L$3*(COUNT($L$9:U$9)+$L$4))),TREND($E68:$F68,$E$9:$F$9,U$9))</f>
        <v>0</v>
      </c>
      <c r="V68">
        <f>IF($G68="s-curve",$E68+($F68-$E68)*$L$2/(1+EXP($L$3*(COUNT($L$9:V$9)+$L$4))),TREND($E68:$F68,$E$9:$F$9,V$9))</f>
        <v>0</v>
      </c>
      <c r="W68">
        <f>IF($G68="s-curve",$E68+($F68-$E68)*$L$2/(1+EXP($L$3*(COUNT($L$9:W$9)+$L$4))),TREND($E68:$F68,$E$9:$F$9,W$9))</f>
        <v>0</v>
      </c>
      <c r="X68">
        <f>IF($G68="s-curve",$E68+($F68-$E68)*$L$2/(1+EXP($L$3*(COUNT($L$9:X$9)+$L$4))),TREND($E68:$F68,$E$9:$F$9,X$9))</f>
        <v>0</v>
      </c>
      <c r="Y68">
        <f>IF($G68="s-curve",$E68+($F68-$E68)*$L$2/(1+EXP($L$3*(COUNT($L$9:Y$9)+$L$4))),TREND($E68:$F68,$E$9:$F$9,Y$9))</f>
        <v>0</v>
      </c>
      <c r="Z68">
        <f>IF($G68="s-curve",$E68+($F68-$E68)*$L$2/(1+EXP($L$3*(COUNT($L$9:Z$9)+$L$4))),TREND($E68:$F68,$E$9:$F$9,Z$9))</f>
        <v>0</v>
      </c>
      <c r="AA68">
        <f>IF($G68="s-curve",$E68+($F68-$E68)*$L$2/(1+EXP($L$3*(COUNT($L$9:AA$9)+$L$4))),TREND($E68:$F68,$E$9:$F$9,AA$9))</f>
        <v>0</v>
      </c>
      <c r="AB68">
        <f>IF($G68="s-curve",$E68+($F68-$E68)*$L$2/(1+EXP($L$3*(COUNT($L$9:AB$9)+$L$4))),TREND($E68:$F68,$E$9:$F$9,AB$9))</f>
        <v>0</v>
      </c>
      <c r="AC68">
        <f>IF($G68="s-curve",$E68+($F68-$E68)*$L$2/(1+EXP($L$3*(COUNT($L$9:AC$9)+$L$4))),TREND($E68:$F68,$E$9:$F$9,AC$9))</f>
        <v>0</v>
      </c>
      <c r="AD68">
        <f>IF($G68="s-curve",$E68+($F68-$E68)*$L$2/(1+EXP($L$3*(COUNT($L$9:AD$9)+$L$4))),TREND($E68:$F68,$E$9:$F$9,AD$9))</f>
        <v>0</v>
      </c>
      <c r="AE68">
        <f>IF($G68="s-curve",$E68+($F68-$E68)*$L$2/(1+EXP($L$3*(COUNT($L$9:AE$9)+$L$4))),TREND($E68:$F68,$E$9:$F$9,AE$9))</f>
        <v>0</v>
      </c>
      <c r="AF68">
        <f>IF($G68="s-curve",$E68+($F68-$E68)*$L$2/(1+EXP($L$3*(COUNT($L$9:AF$9)+$L$4))),TREND($E68:$F68,$E$9:$F$9,AF$9))</f>
        <v>0</v>
      </c>
      <c r="AG68">
        <f>IF($G68="s-curve",$E68+($F68-$E68)*$L$2/(1+EXP($L$3*(COUNT($L$9:AG$9)+$L$4))),TREND($E68:$F68,$E$9:$F$9,AG$9))</f>
        <v>0</v>
      </c>
      <c r="AH68">
        <f>IF($G68="s-curve",$E68+($F68-$E68)*$L$2/(1+EXP($L$3*(COUNT($L$9:AH$9)+$L$4))),TREND($E68:$F68,$E$9:$F$9,AH$9))</f>
        <v>0</v>
      </c>
      <c r="AI68">
        <f>IF($G68="s-curve",$E68+($F68-$E68)*$L$2/(1+EXP($L$3*(COUNT($L$9:AI$9)+$L$4))),TREND($E68:$F68,$E$9:$F$9,AI$9))</f>
        <v>0</v>
      </c>
      <c r="AJ68">
        <f>IF($G68="s-curve",$E68+($F68-$E68)*$L$2/(1+EXP($L$3*(COUNT($L$9:AJ$9)+$L$4))),TREND($E68:$F68,$E$9:$F$9,AJ$9))</f>
        <v>0</v>
      </c>
      <c r="AK68">
        <f>IF($G68="s-curve",$E68+($F68-$E68)*$L$2/(1+EXP($L$3*(COUNT($L$9:AK$9)+$L$4))),TREND($E68:$F68,$E$9:$F$9,AK$9))</f>
        <v>0</v>
      </c>
      <c r="AL68">
        <f>IF($G68="s-curve",$E68+($F68-$E68)*$L$2/(1+EXP($L$3*(COUNT($L$9:AL$9)+$L$4))),TREND($E68:$F68,$E$9:$F$9,AL$9))</f>
        <v>0</v>
      </c>
    </row>
    <row r="69" spans="1:38" x14ac:dyDescent="0.3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>
        <f t="shared" ref="I69" si="63">J69</f>
        <v>1</v>
      </c>
      <c r="J69">
        <f t="shared" si="2"/>
        <v>1</v>
      </c>
      <c r="K69">
        <f t="shared" si="2"/>
        <v>1</v>
      </c>
      <c r="L69" s="16">
        <f t="shared" si="32"/>
        <v>1</v>
      </c>
      <c r="M69">
        <f>IF($G69="s-curve",$E69+($F69-$E69)*$L$2/(1+EXP($L$3*(COUNT($L$9:M$9)+$L$4))),TREND($E69:$F69,$E$9:$F$9,M$9))</f>
        <v>1</v>
      </c>
      <c r="N69">
        <f>IF($G69="s-curve",$E69+($F69-$E69)*$L$2/(1+EXP($L$3*(COUNT($L$9:N$9)+$L$4))),TREND($E69:$F69,$E$9:$F$9,N$9))</f>
        <v>1</v>
      </c>
      <c r="O69">
        <f>IF($G69="s-curve",$E69+($F69-$E69)*$L$2/(1+EXP($L$3*(COUNT($L$9:O$9)+$L$4))),TREND($E69:$F69,$E$9:$F$9,O$9))</f>
        <v>1</v>
      </c>
      <c r="P69">
        <f>IF($G69="s-curve",$E69+($F69-$E69)*$L$2/(1+EXP($L$3*(COUNT($L$9:P$9)+$L$4))),TREND($E69:$F69,$E$9:$F$9,P$9))</f>
        <v>1</v>
      </c>
      <c r="Q69">
        <f>IF($G69="s-curve",$E69+($F69-$E69)*$L$2/(1+EXP($L$3*(COUNT($L$9:Q$9)+$L$4))),TREND($E69:$F69,$E$9:$F$9,Q$9))</f>
        <v>1</v>
      </c>
      <c r="R69">
        <f>IF($G69="s-curve",$E69+($F69-$E69)*$L$2/(1+EXP($L$3*(COUNT($L$9:R$9)+$L$4))),TREND($E69:$F69,$E$9:$F$9,R$9))</f>
        <v>1</v>
      </c>
      <c r="S69">
        <f>IF($G69="s-curve",$E69+($F69-$E69)*$L$2/(1+EXP($L$3*(COUNT($L$9:S$9)+$L$4))),TREND($E69:$F69,$E$9:$F$9,S$9))</f>
        <v>1</v>
      </c>
      <c r="T69">
        <f>IF($G69="s-curve",$E69+($F69-$E69)*$L$2/(1+EXP($L$3*(COUNT($L$9:T$9)+$L$4))),TREND($E69:$F69,$E$9:$F$9,T$9))</f>
        <v>1</v>
      </c>
      <c r="U69">
        <f>IF($G69="s-curve",$E69+($F69-$E69)*$L$2/(1+EXP($L$3*(COUNT($L$9:U$9)+$L$4))),TREND($E69:$F69,$E$9:$F$9,U$9))</f>
        <v>1</v>
      </c>
      <c r="V69">
        <f>IF($G69="s-curve",$E69+($F69-$E69)*$L$2/(1+EXP($L$3*(COUNT($L$9:V$9)+$L$4))),TREND($E69:$F69,$E$9:$F$9,V$9))</f>
        <v>1</v>
      </c>
      <c r="W69">
        <f>IF($G69="s-curve",$E69+($F69-$E69)*$L$2/(1+EXP($L$3*(COUNT($L$9:W$9)+$L$4))),TREND($E69:$F69,$E$9:$F$9,W$9))</f>
        <v>1</v>
      </c>
      <c r="X69">
        <f>IF($G69="s-curve",$E69+($F69-$E69)*$L$2/(1+EXP($L$3*(COUNT($L$9:X$9)+$L$4))),TREND($E69:$F69,$E$9:$F$9,X$9))</f>
        <v>1</v>
      </c>
      <c r="Y69">
        <f>IF($G69="s-curve",$E69+($F69-$E69)*$L$2/(1+EXP($L$3*(COUNT($L$9:Y$9)+$L$4))),TREND($E69:$F69,$E$9:$F$9,Y$9))</f>
        <v>1</v>
      </c>
      <c r="Z69">
        <f>IF($G69="s-curve",$E69+($F69-$E69)*$L$2/(1+EXP($L$3*(COUNT($L$9:Z$9)+$L$4))),TREND($E69:$F69,$E$9:$F$9,Z$9))</f>
        <v>1</v>
      </c>
      <c r="AA69">
        <f>IF($G69="s-curve",$E69+($F69-$E69)*$L$2/(1+EXP($L$3*(COUNT($L$9:AA$9)+$L$4))),TREND($E69:$F69,$E$9:$F$9,AA$9))</f>
        <v>1</v>
      </c>
      <c r="AB69">
        <f>IF($G69="s-curve",$E69+($F69-$E69)*$L$2/(1+EXP($L$3*(COUNT($L$9:AB$9)+$L$4))),TREND($E69:$F69,$E$9:$F$9,AB$9))</f>
        <v>1</v>
      </c>
      <c r="AC69">
        <f>IF($G69="s-curve",$E69+($F69-$E69)*$L$2/(1+EXP($L$3*(COUNT($L$9:AC$9)+$L$4))),TREND($E69:$F69,$E$9:$F$9,AC$9))</f>
        <v>1</v>
      </c>
      <c r="AD69">
        <f>IF($G69="s-curve",$E69+($F69-$E69)*$L$2/(1+EXP($L$3*(COUNT($L$9:AD$9)+$L$4))),TREND($E69:$F69,$E$9:$F$9,AD$9))</f>
        <v>1</v>
      </c>
      <c r="AE69">
        <f>IF($G69="s-curve",$E69+($F69-$E69)*$L$2/(1+EXP($L$3*(COUNT($L$9:AE$9)+$L$4))),TREND($E69:$F69,$E$9:$F$9,AE$9))</f>
        <v>1</v>
      </c>
      <c r="AF69">
        <f>IF($G69="s-curve",$E69+($F69-$E69)*$L$2/(1+EXP($L$3*(COUNT($L$9:AF$9)+$L$4))),TREND($E69:$F69,$E$9:$F$9,AF$9))</f>
        <v>1</v>
      </c>
      <c r="AG69">
        <f>IF($G69="s-curve",$E69+($F69-$E69)*$L$2/(1+EXP($L$3*(COUNT($L$9:AG$9)+$L$4))),TREND($E69:$F69,$E$9:$F$9,AG$9))</f>
        <v>1</v>
      </c>
      <c r="AH69">
        <f>IF($G69="s-curve",$E69+($F69-$E69)*$L$2/(1+EXP($L$3*(COUNT($L$9:AH$9)+$L$4))),TREND($E69:$F69,$E$9:$F$9,AH$9))</f>
        <v>1</v>
      </c>
      <c r="AI69">
        <f>IF($G69="s-curve",$E69+($F69-$E69)*$L$2/(1+EXP($L$3*(COUNT($L$9:AI$9)+$L$4))),TREND($E69:$F69,$E$9:$F$9,AI$9))</f>
        <v>1</v>
      </c>
      <c r="AJ69">
        <f>IF($G69="s-curve",$E69+($F69-$E69)*$L$2/(1+EXP($L$3*(COUNT($L$9:AJ$9)+$L$4))),TREND($E69:$F69,$E$9:$F$9,AJ$9))</f>
        <v>1</v>
      </c>
      <c r="AK69">
        <f>IF($G69="s-curve",$E69+($F69-$E69)*$L$2/(1+EXP($L$3*(COUNT($L$9:AK$9)+$L$4))),TREND($E69:$F69,$E$9:$F$9,AK$9))</f>
        <v>1</v>
      </c>
      <c r="AL69">
        <f>IF($G69="s-curve",$E69+($F69-$E69)*$L$2/(1+EXP($L$3*(COUNT($L$9:AL$9)+$L$4))),TREND($E69:$F69,$E$9:$F$9,AL$9))</f>
        <v>1</v>
      </c>
    </row>
    <row r="70" spans="1:38" x14ac:dyDescent="0.3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>
        <f t="shared" ref="I70" si="64">J70</f>
        <v>0</v>
      </c>
      <c r="J70">
        <f t="shared" si="2"/>
        <v>0</v>
      </c>
      <c r="K70">
        <f t="shared" si="2"/>
        <v>0</v>
      </c>
      <c r="L70" s="16">
        <f t="shared" ref="L70:L93" si="65">E70</f>
        <v>0</v>
      </c>
      <c r="M70">
        <f>IF($G70="s-curve",$E70+($F70-$E70)*$L$2/(1+EXP($L$3*(COUNT($L$9:M$9)+$L$4))),TREND($E70:$F70,$E$9:$F$9,M$9))</f>
        <v>0</v>
      </c>
      <c r="N70">
        <f>IF($G70="s-curve",$E70+($F70-$E70)*$L$2/(1+EXP($L$3*(COUNT($L$9:N$9)+$L$4))),TREND($E70:$F70,$E$9:$F$9,N$9))</f>
        <v>0</v>
      </c>
      <c r="O70">
        <f>IF($G70="s-curve",$E70+($F70-$E70)*$L$2/(1+EXP($L$3*(COUNT($L$9:O$9)+$L$4))),TREND($E70:$F70,$E$9:$F$9,O$9))</f>
        <v>0</v>
      </c>
      <c r="P70">
        <f>IF($G70="s-curve",$E70+($F70-$E70)*$L$2/(1+EXP($L$3*(COUNT($L$9:P$9)+$L$4))),TREND($E70:$F70,$E$9:$F$9,P$9))</f>
        <v>0</v>
      </c>
      <c r="Q70">
        <f>IF($G70="s-curve",$E70+($F70-$E70)*$L$2/(1+EXP($L$3*(COUNT($L$9:Q$9)+$L$4))),TREND($E70:$F70,$E$9:$F$9,Q$9))</f>
        <v>0</v>
      </c>
      <c r="R70">
        <f>IF($G70="s-curve",$E70+($F70-$E70)*$L$2/(1+EXP($L$3*(COUNT($L$9:R$9)+$L$4))),TREND($E70:$F70,$E$9:$F$9,R$9))</f>
        <v>0</v>
      </c>
      <c r="S70">
        <f>IF($G70="s-curve",$E70+($F70-$E70)*$L$2/(1+EXP($L$3*(COUNT($L$9:S$9)+$L$4))),TREND($E70:$F70,$E$9:$F$9,S$9))</f>
        <v>0</v>
      </c>
      <c r="T70">
        <f>IF($G70="s-curve",$E70+($F70-$E70)*$L$2/(1+EXP($L$3*(COUNT($L$9:T$9)+$L$4))),TREND($E70:$F70,$E$9:$F$9,T$9))</f>
        <v>0</v>
      </c>
      <c r="U70">
        <f>IF($G70="s-curve",$E70+($F70-$E70)*$L$2/(1+EXP($L$3*(COUNT($L$9:U$9)+$L$4))),TREND($E70:$F70,$E$9:$F$9,U$9))</f>
        <v>0</v>
      </c>
      <c r="V70">
        <f>IF($G70="s-curve",$E70+($F70-$E70)*$L$2/(1+EXP($L$3*(COUNT($L$9:V$9)+$L$4))),TREND($E70:$F70,$E$9:$F$9,V$9))</f>
        <v>0</v>
      </c>
      <c r="W70">
        <f>IF($G70="s-curve",$E70+($F70-$E70)*$L$2/(1+EXP($L$3*(COUNT($L$9:W$9)+$L$4))),TREND($E70:$F70,$E$9:$F$9,W$9))</f>
        <v>0</v>
      </c>
      <c r="X70">
        <f>IF($G70="s-curve",$E70+($F70-$E70)*$L$2/(1+EXP($L$3*(COUNT($L$9:X$9)+$L$4))),TREND($E70:$F70,$E$9:$F$9,X$9))</f>
        <v>0</v>
      </c>
      <c r="Y70">
        <f>IF($G70="s-curve",$E70+($F70-$E70)*$L$2/(1+EXP($L$3*(COUNT($L$9:Y$9)+$L$4))),TREND($E70:$F70,$E$9:$F$9,Y$9))</f>
        <v>0</v>
      </c>
      <c r="Z70">
        <f>IF($G70="s-curve",$E70+($F70-$E70)*$L$2/(1+EXP($L$3*(COUNT($L$9:Z$9)+$L$4))),TREND($E70:$F70,$E$9:$F$9,Z$9))</f>
        <v>0</v>
      </c>
      <c r="AA70">
        <f>IF($G70="s-curve",$E70+($F70-$E70)*$L$2/(1+EXP($L$3*(COUNT($L$9:AA$9)+$L$4))),TREND($E70:$F70,$E$9:$F$9,AA$9))</f>
        <v>0</v>
      </c>
      <c r="AB70">
        <f>IF($G70="s-curve",$E70+($F70-$E70)*$L$2/(1+EXP($L$3*(COUNT($L$9:AB$9)+$L$4))),TREND($E70:$F70,$E$9:$F$9,AB$9))</f>
        <v>0</v>
      </c>
      <c r="AC70">
        <f>IF($G70="s-curve",$E70+($F70-$E70)*$L$2/(1+EXP($L$3*(COUNT($L$9:AC$9)+$L$4))),TREND($E70:$F70,$E$9:$F$9,AC$9))</f>
        <v>0</v>
      </c>
      <c r="AD70">
        <f>IF($G70="s-curve",$E70+($F70-$E70)*$L$2/(1+EXP($L$3*(COUNT($L$9:AD$9)+$L$4))),TREND($E70:$F70,$E$9:$F$9,AD$9))</f>
        <v>0</v>
      </c>
      <c r="AE70">
        <f>IF($G70="s-curve",$E70+($F70-$E70)*$L$2/(1+EXP($L$3*(COUNT($L$9:AE$9)+$L$4))),TREND($E70:$F70,$E$9:$F$9,AE$9))</f>
        <v>0</v>
      </c>
      <c r="AF70">
        <f>IF($G70="s-curve",$E70+($F70-$E70)*$L$2/(1+EXP($L$3*(COUNT($L$9:AF$9)+$L$4))),TREND($E70:$F70,$E$9:$F$9,AF$9))</f>
        <v>0</v>
      </c>
      <c r="AG70">
        <f>IF($G70="s-curve",$E70+($F70-$E70)*$L$2/(1+EXP($L$3*(COUNT($L$9:AG$9)+$L$4))),TREND($E70:$F70,$E$9:$F$9,AG$9))</f>
        <v>0</v>
      </c>
      <c r="AH70">
        <f>IF($G70="s-curve",$E70+($F70-$E70)*$L$2/(1+EXP($L$3*(COUNT($L$9:AH$9)+$L$4))),TREND($E70:$F70,$E$9:$F$9,AH$9))</f>
        <v>0</v>
      </c>
      <c r="AI70">
        <f>IF($G70="s-curve",$E70+($F70-$E70)*$L$2/(1+EXP($L$3*(COUNT($L$9:AI$9)+$L$4))),TREND($E70:$F70,$E$9:$F$9,AI$9))</f>
        <v>0</v>
      </c>
      <c r="AJ70">
        <f>IF($G70="s-curve",$E70+($F70-$E70)*$L$2/(1+EXP($L$3*(COUNT($L$9:AJ$9)+$L$4))),TREND($E70:$F70,$E$9:$F$9,AJ$9))</f>
        <v>0</v>
      </c>
      <c r="AK70">
        <f>IF($G70="s-curve",$E70+($F70-$E70)*$L$2/(1+EXP($L$3*(COUNT($L$9:AK$9)+$L$4))),TREND($E70:$F70,$E$9:$F$9,AK$9))</f>
        <v>0</v>
      </c>
      <c r="AL70">
        <f>IF($G70="s-curve",$E70+($F70-$E70)*$L$2/(1+EXP($L$3*(COUNT($L$9:AL$9)+$L$4))),TREND($E70:$F70,$E$9:$F$9,AL$9))</f>
        <v>0</v>
      </c>
    </row>
    <row r="71" spans="1:38" x14ac:dyDescent="0.3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>
        <f t="shared" ref="I71" si="66">J71</f>
        <v>0</v>
      </c>
      <c r="J71">
        <f t="shared" si="2"/>
        <v>0</v>
      </c>
      <c r="K71">
        <f t="shared" si="2"/>
        <v>0</v>
      </c>
      <c r="L71" s="16">
        <f t="shared" si="65"/>
        <v>0</v>
      </c>
      <c r="M71">
        <f>IF($G71="s-curve",$E71+($F71-$E71)*$L$2/(1+EXP($L$3*(COUNT($L$9:M$9)+$L$4))),TREND($E71:$F71,$E$9:$F$9,M$9))</f>
        <v>0</v>
      </c>
      <c r="N71">
        <f>IF($G71="s-curve",$E71+($F71-$E71)*$L$2/(1+EXP($L$3*(COUNT($L$9:N$9)+$L$4))),TREND($E71:$F71,$E$9:$F$9,N$9))</f>
        <v>0</v>
      </c>
      <c r="O71">
        <f>IF($G71="s-curve",$E71+($F71-$E71)*$L$2/(1+EXP($L$3*(COUNT($L$9:O$9)+$L$4))),TREND($E71:$F71,$E$9:$F$9,O$9))</f>
        <v>0</v>
      </c>
      <c r="P71">
        <f>IF($G71="s-curve",$E71+($F71-$E71)*$L$2/(1+EXP($L$3*(COUNT($L$9:P$9)+$L$4))),TREND($E71:$F71,$E$9:$F$9,P$9))</f>
        <v>0</v>
      </c>
      <c r="Q71">
        <f>IF($G71="s-curve",$E71+($F71-$E71)*$L$2/(1+EXP($L$3*(COUNT($L$9:Q$9)+$L$4))),TREND($E71:$F71,$E$9:$F$9,Q$9))</f>
        <v>0</v>
      </c>
      <c r="R71">
        <f>IF($G71="s-curve",$E71+($F71-$E71)*$L$2/(1+EXP($L$3*(COUNT($L$9:R$9)+$L$4))),TREND($E71:$F71,$E$9:$F$9,R$9))</f>
        <v>0</v>
      </c>
      <c r="S71">
        <f>IF($G71="s-curve",$E71+($F71-$E71)*$L$2/(1+EXP($L$3*(COUNT($L$9:S$9)+$L$4))),TREND($E71:$F71,$E$9:$F$9,S$9))</f>
        <v>0</v>
      </c>
      <c r="T71">
        <f>IF($G71="s-curve",$E71+($F71-$E71)*$L$2/(1+EXP($L$3*(COUNT($L$9:T$9)+$L$4))),TREND($E71:$F71,$E$9:$F$9,T$9))</f>
        <v>0</v>
      </c>
      <c r="U71">
        <f>IF($G71="s-curve",$E71+($F71-$E71)*$L$2/(1+EXP($L$3*(COUNT($L$9:U$9)+$L$4))),TREND($E71:$F71,$E$9:$F$9,U$9))</f>
        <v>0</v>
      </c>
      <c r="V71">
        <f>IF($G71="s-curve",$E71+($F71-$E71)*$L$2/(1+EXP($L$3*(COUNT($L$9:V$9)+$L$4))),TREND($E71:$F71,$E$9:$F$9,V$9))</f>
        <v>0</v>
      </c>
      <c r="W71">
        <f>IF($G71="s-curve",$E71+($F71-$E71)*$L$2/(1+EXP($L$3*(COUNT($L$9:W$9)+$L$4))),TREND($E71:$F71,$E$9:$F$9,W$9))</f>
        <v>0</v>
      </c>
      <c r="X71">
        <f>IF($G71="s-curve",$E71+($F71-$E71)*$L$2/(1+EXP($L$3*(COUNT($L$9:X$9)+$L$4))),TREND($E71:$F71,$E$9:$F$9,X$9))</f>
        <v>0</v>
      </c>
      <c r="Y71">
        <f>IF($G71="s-curve",$E71+($F71-$E71)*$L$2/(1+EXP($L$3*(COUNT($L$9:Y$9)+$L$4))),TREND($E71:$F71,$E$9:$F$9,Y$9))</f>
        <v>0</v>
      </c>
      <c r="Z71">
        <f>IF($G71="s-curve",$E71+($F71-$E71)*$L$2/(1+EXP($L$3*(COUNT($L$9:Z$9)+$L$4))),TREND($E71:$F71,$E$9:$F$9,Z$9))</f>
        <v>0</v>
      </c>
      <c r="AA71">
        <f>IF($G71="s-curve",$E71+($F71-$E71)*$L$2/(1+EXP($L$3*(COUNT($L$9:AA$9)+$L$4))),TREND($E71:$F71,$E$9:$F$9,AA$9))</f>
        <v>0</v>
      </c>
      <c r="AB71">
        <f>IF($G71="s-curve",$E71+($F71-$E71)*$L$2/(1+EXP($L$3*(COUNT($L$9:AB$9)+$L$4))),TREND($E71:$F71,$E$9:$F$9,AB$9))</f>
        <v>0</v>
      </c>
      <c r="AC71">
        <f>IF($G71="s-curve",$E71+($F71-$E71)*$L$2/(1+EXP($L$3*(COUNT($L$9:AC$9)+$L$4))),TREND($E71:$F71,$E$9:$F$9,AC$9))</f>
        <v>0</v>
      </c>
      <c r="AD71">
        <f>IF($G71="s-curve",$E71+($F71-$E71)*$L$2/(1+EXP($L$3*(COUNT($L$9:AD$9)+$L$4))),TREND($E71:$F71,$E$9:$F$9,AD$9))</f>
        <v>0</v>
      </c>
      <c r="AE71">
        <f>IF($G71="s-curve",$E71+($F71-$E71)*$L$2/(1+EXP($L$3*(COUNT($L$9:AE$9)+$L$4))),TREND($E71:$F71,$E$9:$F$9,AE$9))</f>
        <v>0</v>
      </c>
      <c r="AF71">
        <f>IF($G71="s-curve",$E71+($F71-$E71)*$L$2/(1+EXP($L$3*(COUNT($L$9:AF$9)+$L$4))),TREND($E71:$F71,$E$9:$F$9,AF$9))</f>
        <v>0</v>
      </c>
      <c r="AG71">
        <f>IF($G71="s-curve",$E71+($F71-$E71)*$L$2/(1+EXP($L$3*(COUNT($L$9:AG$9)+$L$4))),TREND($E71:$F71,$E$9:$F$9,AG$9))</f>
        <v>0</v>
      </c>
      <c r="AH71">
        <f>IF($G71="s-curve",$E71+($F71-$E71)*$L$2/(1+EXP($L$3*(COUNT($L$9:AH$9)+$L$4))),TREND($E71:$F71,$E$9:$F$9,AH$9))</f>
        <v>0</v>
      </c>
      <c r="AI71">
        <f>IF($G71="s-curve",$E71+($F71-$E71)*$L$2/(1+EXP($L$3*(COUNT($L$9:AI$9)+$L$4))),TREND($E71:$F71,$E$9:$F$9,AI$9))</f>
        <v>0</v>
      </c>
      <c r="AJ71">
        <f>IF($G71="s-curve",$E71+($F71-$E71)*$L$2/(1+EXP($L$3*(COUNT($L$9:AJ$9)+$L$4))),TREND($E71:$F71,$E$9:$F$9,AJ$9))</f>
        <v>0</v>
      </c>
      <c r="AK71">
        <f>IF($G71="s-curve",$E71+($F71-$E71)*$L$2/(1+EXP($L$3*(COUNT($L$9:AK$9)+$L$4))),TREND($E71:$F71,$E$9:$F$9,AK$9))</f>
        <v>0</v>
      </c>
      <c r="AL71">
        <f>IF($G71="s-curve",$E71+($F71-$E71)*$L$2/(1+EXP($L$3*(COUNT($L$9:AL$9)+$L$4))),TREND($E71:$F71,$E$9:$F$9,AL$9))</f>
        <v>0</v>
      </c>
    </row>
    <row r="72" spans="1:38" ht="15.75" customHeight="1" thickBot="1" x14ac:dyDescent="0.4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>
        <f t="shared" ref="I72" si="67">J72</f>
        <v>0</v>
      </c>
      <c r="J72">
        <f t="shared" si="2"/>
        <v>0</v>
      </c>
      <c r="K72">
        <f t="shared" si="2"/>
        <v>0</v>
      </c>
      <c r="L72" s="16">
        <f t="shared" si="65"/>
        <v>0</v>
      </c>
      <c r="M72">
        <f>IF($G72="s-curve",$E72+($F72-$E72)*$L$2/(1+EXP($L$3*(COUNT($L$9:M$9)+$L$4))),TREND($E72:$F72,$E$9:$F$9,M$9))</f>
        <v>0</v>
      </c>
      <c r="N72">
        <f>IF($G72="s-curve",$E72+($F72-$E72)*$L$2/(1+EXP($L$3*(COUNT($L$9:N$9)+$L$4))),TREND($E72:$F72,$E$9:$F$9,N$9))</f>
        <v>0</v>
      </c>
      <c r="O72">
        <f>IF($G72="s-curve",$E72+($F72-$E72)*$L$2/(1+EXP($L$3*(COUNT($L$9:O$9)+$L$4))),TREND($E72:$F72,$E$9:$F$9,O$9))</f>
        <v>0</v>
      </c>
      <c r="P72">
        <f>IF($G72="s-curve",$E72+($F72-$E72)*$L$2/(1+EXP($L$3*(COUNT($L$9:P$9)+$L$4))),TREND($E72:$F72,$E$9:$F$9,P$9))</f>
        <v>0</v>
      </c>
      <c r="Q72">
        <f>IF($G72="s-curve",$E72+($F72-$E72)*$L$2/(1+EXP($L$3*(COUNT($L$9:Q$9)+$L$4))),TREND($E72:$F72,$E$9:$F$9,Q$9))</f>
        <v>0</v>
      </c>
      <c r="R72">
        <f>IF($G72="s-curve",$E72+($F72-$E72)*$L$2/(1+EXP($L$3*(COUNT($L$9:R$9)+$L$4))),TREND($E72:$F72,$E$9:$F$9,R$9))</f>
        <v>0</v>
      </c>
      <c r="S72">
        <f>IF($G72="s-curve",$E72+($F72-$E72)*$L$2/(1+EXP($L$3*(COUNT($L$9:S$9)+$L$4))),TREND($E72:$F72,$E$9:$F$9,S$9))</f>
        <v>0</v>
      </c>
      <c r="T72">
        <f>IF($G72="s-curve",$E72+($F72-$E72)*$L$2/(1+EXP($L$3*(COUNT($L$9:T$9)+$L$4))),TREND($E72:$F72,$E$9:$F$9,T$9))</f>
        <v>0</v>
      </c>
      <c r="U72">
        <f>IF($G72="s-curve",$E72+($F72-$E72)*$L$2/(1+EXP($L$3*(COUNT($L$9:U$9)+$L$4))),TREND($E72:$F72,$E$9:$F$9,U$9))</f>
        <v>0</v>
      </c>
      <c r="V72">
        <f>IF($G72="s-curve",$E72+($F72-$E72)*$L$2/(1+EXP($L$3*(COUNT($L$9:V$9)+$L$4))),TREND($E72:$F72,$E$9:$F$9,V$9))</f>
        <v>0</v>
      </c>
      <c r="W72">
        <f>IF($G72="s-curve",$E72+($F72-$E72)*$L$2/(1+EXP($L$3*(COUNT($L$9:W$9)+$L$4))),TREND($E72:$F72,$E$9:$F$9,W$9))</f>
        <v>0</v>
      </c>
      <c r="X72">
        <f>IF($G72="s-curve",$E72+($F72-$E72)*$L$2/(1+EXP($L$3*(COUNT($L$9:X$9)+$L$4))),TREND($E72:$F72,$E$9:$F$9,X$9))</f>
        <v>0</v>
      </c>
      <c r="Y72">
        <f>IF($G72="s-curve",$E72+($F72-$E72)*$L$2/(1+EXP($L$3*(COUNT($L$9:Y$9)+$L$4))),TREND($E72:$F72,$E$9:$F$9,Y$9))</f>
        <v>0</v>
      </c>
      <c r="Z72">
        <f>IF($G72="s-curve",$E72+($F72-$E72)*$L$2/(1+EXP($L$3*(COUNT($L$9:Z$9)+$L$4))),TREND($E72:$F72,$E$9:$F$9,Z$9))</f>
        <v>0</v>
      </c>
      <c r="AA72">
        <f>IF($G72="s-curve",$E72+($F72-$E72)*$L$2/(1+EXP($L$3*(COUNT($L$9:AA$9)+$L$4))),TREND($E72:$F72,$E$9:$F$9,AA$9))</f>
        <v>0</v>
      </c>
      <c r="AB72">
        <f>IF($G72="s-curve",$E72+($F72-$E72)*$L$2/(1+EXP($L$3*(COUNT($L$9:AB$9)+$L$4))),TREND($E72:$F72,$E$9:$F$9,AB$9))</f>
        <v>0</v>
      </c>
      <c r="AC72">
        <f>IF($G72="s-curve",$E72+($F72-$E72)*$L$2/(1+EXP($L$3*(COUNT($L$9:AC$9)+$L$4))),TREND($E72:$F72,$E$9:$F$9,AC$9))</f>
        <v>0</v>
      </c>
      <c r="AD72">
        <f>IF($G72="s-curve",$E72+($F72-$E72)*$L$2/(1+EXP($L$3*(COUNT($L$9:AD$9)+$L$4))),TREND($E72:$F72,$E$9:$F$9,AD$9))</f>
        <v>0</v>
      </c>
      <c r="AE72">
        <f>IF($G72="s-curve",$E72+($F72-$E72)*$L$2/(1+EXP($L$3*(COUNT($L$9:AE$9)+$L$4))),TREND($E72:$F72,$E$9:$F$9,AE$9))</f>
        <v>0</v>
      </c>
      <c r="AF72">
        <f>IF($G72="s-curve",$E72+($F72-$E72)*$L$2/(1+EXP($L$3*(COUNT($L$9:AF$9)+$L$4))),TREND($E72:$F72,$E$9:$F$9,AF$9))</f>
        <v>0</v>
      </c>
      <c r="AG72">
        <f>IF($G72="s-curve",$E72+($F72-$E72)*$L$2/(1+EXP($L$3*(COUNT($L$9:AG$9)+$L$4))),TREND($E72:$F72,$E$9:$F$9,AG$9))</f>
        <v>0</v>
      </c>
      <c r="AH72">
        <f>IF($G72="s-curve",$E72+($F72-$E72)*$L$2/(1+EXP($L$3*(COUNT($L$9:AH$9)+$L$4))),TREND($E72:$F72,$E$9:$F$9,AH$9))</f>
        <v>0</v>
      </c>
      <c r="AI72">
        <f>IF($G72="s-curve",$E72+($F72-$E72)*$L$2/(1+EXP($L$3*(COUNT($L$9:AI$9)+$L$4))),TREND($E72:$F72,$E$9:$F$9,AI$9))</f>
        <v>0</v>
      </c>
      <c r="AJ72">
        <f>IF($G72="s-curve",$E72+($F72-$E72)*$L$2/(1+EXP($L$3*(COUNT($L$9:AJ$9)+$L$4))),TREND($E72:$F72,$E$9:$F$9,AJ$9))</f>
        <v>0</v>
      </c>
      <c r="AK72">
        <f>IF($G72="s-curve",$E72+($F72-$E72)*$L$2/(1+EXP($L$3*(COUNT($L$9:AK$9)+$L$4))),TREND($E72:$F72,$E$9:$F$9,AK$9))</f>
        <v>0</v>
      </c>
      <c r="AL72">
        <f>IF($G72="s-curve",$E72+($F72-$E72)*$L$2/(1+EXP($L$3*(COUNT($L$9:AL$9)+$L$4))),TREND($E72:$F72,$E$9:$F$9,AL$9))</f>
        <v>0</v>
      </c>
    </row>
    <row r="73" spans="1:38" x14ac:dyDescent="0.3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>
        <f t="shared" ref="I73" si="68">J73</f>
        <v>0</v>
      </c>
      <c r="J73">
        <f t="shared" si="2"/>
        <v>0</v>
      </c>
      <c r="K73">
        <f t="shared" si="2"/>
        <v>0</v>
      </c>
      <c r="L73" s="16">
        <f t="shared" si="65"/>
        <v>0</v>
      </c>
      <c r="M73">
        <f>IF($G73="s-curve",$E73+($F73-$E73)*$L$2/(1+EXP($L$3*(COUNT($L$9:M$9)+$L$4))),TREND($E73:$F73,$E$9:$F$9,M$9))</f>
        <v>0</v>
      </c>
      <c r="N73">
        <f>IF($G73="s-curve",$E73+($F73-$E73)*$L$2/(1+EXP($L$3*(COUNT($L$9:N$9)+$L$4))),TREND($E73:$F73,$E$9:$F$9,N$9))</f>
        <v>0</v>
      </c>
      <c r="O73">
        <f>IF($G73="s-curve",$E73+($F73-$E73)*$L$2/(1+EXP($L$3*(COUNT($L$9:O$9)+$L$4))),TREND($E73:$F73,$E$9:$F$9,O$9))</f>
        <v>0</v>
      </c>
      <c r="P73">
        <f>IF($G73="s-curve",$E73+($F73-$E73)*$L$2/(1+EXP($L$3*(COUNT($L$9:P$9)+$L$4))),TREND($E73:$F73,$E$9:$F$9,P$9))</f>
        <v>0</v>
      </c>
      <c r="Q73">
        <f>IF($G73="s-curve",$E73+($F73-$E73)*$L$2/(1+EXP($L$3*(COUNT($L$9:Q$9)+$L$4))),TREND($E73:$F73,$E$9:$F$9,Q$9))</f>
        <v>0</v>
      </c>
      <c r="R73">
        <f>IF($G73="s-curve",$E73+($F73-$E73)*$L$2/(1+EXP($L$3*(COUNT($L$9:R$9)+$L$4))),TREND($E73:$F73,$E$9:$F$9,R$9))</f>
        <v>0</v>
      </c>
      <c r="S73">
        <f>IF($G73="s-curve",$E73+($F73-$E73)*$L$2/(1+EXP($L$3*(COUNT($L$9:S$9)+$L$4))),TREND($E73:$F73,$E$9:$F$9,S$9))</f>
        <v>0</v>
      </c>
      <c r="T73">
        <f>IF($G73="s-curve",$E73+($F73-$E73)*$L$2/(1+EXP($L$3*(COUNT($L$9:T$9)+$L$4))),TREND($E73:$F73,$E$9:$F$9,T$9))</f>
        <v>0</v>
      </c>
      <c r="U73">
        <f>IF($G73="s-curve",$E73+($F73-$E73)*$L$2/(1+EXP($L$3*(COUNT($L$9:U$9)+$L$4))),TREND($E73:$F73,$E$9:$F$9,U$9))</f>
        <v>0</v>
      </c>
      <c r="V73">
        <f>IF($G73="s-curve",$E73+($F73-$E73)*$L$2/(1+EXP($L$3*(COUNT($L$9:V$9)+$L$4))),TREND($E73:$F73,$E$9:$F$9,V$9))</f>
        <v>0</v>
      </c>
      <c r="W73">
        <f>IF($G73="s-curve",$E73+($F73-$E73)*$L$2/(1+EXP($L$3*(COUNT($L$9:W$9)+$L$4))),TREND($E73:$F73,$E$9:$F$9,W$9))</f>
        <v>0</v>
      </c>
      <c r="X73">
        <f>IF($G73="s-curve",$E73+($F73-$E73)*$L$2/(1+EXP($L$3*(COUNT($L$9:X$9)+$L$4))),TREND($E73:$F73,$E$9:$F$9,X$9))</f>
        <v>0</v>
      </c>
      <c r="Y73">
        <f>IF($G73="s-curve",$E73+($F73-$E73)*$L$2/(1+EXP($L$3*(COUNT($L$9:Y$9)+$L$4))),TREND($E73:$F73,$E$9:$F$9,Y$9))</f>
        <v>0</v>
      </c>
      <c r="Z73">
        <f>IF($G73="s-curve",$E73+($F73-$E73)*$L$2/(1+EXP($L$3*(COUNT($L$9:Z$9)+$L$4))),TREND($E73:$F73,$E$9:$F$9,Z$9))</f>
        <v>0</v>
      </c>
      <c r="AA73">
        <f>IF($G73="s-curve",$E73+($F73-$E73)*$L$2/(1+EXP($L$3*(COUNT($L$9:AA$9)+$L$4))),TREND($E73:$F73,$E$9:$F$9,AA$9))</f>
        <v>0</v>
      </c>
      <c r="AB73">
        <f>IF($G73="s-curve",$E73+($F73-$E73)*$L$2/(1+EXP($L$3*(COUNT($L$9:AB$9)+$L$4))),TREND($E73:$F73,$E$9:$F$9,AB$9))</f>
        <v>0</v>
      </c>
      <c r="AC73">
        <f>IF($G73="s-curve",$E73+($F73-$E73)*$L$2/(1+EXP($L$3*(COUNT($L$9:AC$9)+$L$4))),TREND($E73:$F73,$E$9:$F$9,AC$9))</f>
        <v>0</v>
      </c>
      <c r="AD73">
        <f>IF($G73="s-curve",$E73+($F73-$E73)*$L$2/(1+EXP($L$3*(COUNT($L$9:AD$9)+$L$4))),TREND($E73:$F73,$E$9:$F$9,AD$9))</f>
        <v>0</v>
      </c>
      <c r="AE73">
        <f>IF($G73="s-curve",$E73+($F73-$E73)*$L$2/(1+EXP($L$3*(COUNT($L$9:AE$9)+$L$4))),TREND($E73:$F73,$E$9:$F$9,AE$9))</f>
        <v>0</v>
      </c>
      <c r="AF73">
        <f>IF($G73="s-curve",$E73+($F73-$E73)*$L$2/(1+EXP($L$3*(COUNT($L$9:AF$9)+$L$4))),TREND($E73:$F73,$E$9:$F$9,AF$9))</f>
        <v>0</v>
      </c>
      <c r="AG73">
        <f>IF($G73="s-curve",$E73+($F73-$E73)*$L$2/(1+EXP($L$3*(COUNT($L$9:AG$9)+$L$4))),TREND($E73:$F73,$E$9:$F$9,AG$9))</f>
        <v>0</v>
      </c>
      <c r="AH73">
        <f>IF($G73="s-curve",$E73+($F73-$E73)*$L$2/(1+EXP($L$3*(COUNT($L$9:AH$9)+$L$4))),TREND($E73:$F73,$E$9:$F$9,AH$9))</f>
        <v>0</v>
      </c>
      <c r="AI73">
        <f>IF($G73="s-curve",$E73+($F73-$E73)*$L$2/(1+EXP($L$3*(COUNT($L$9:AI$9)+$L$4))),TREND($E73:$F73,$E$9:$F$9,AI$9))</f>
        <v>0</v>
      </c>
      <c r="AJ73">
        <f>IF($G73="s-curve",$E73+($F73-$E73)*$L$2/(1+EXP($L$3*(COUNT($L$9:AJ$9)+$L$4))),TREND($E73:$F73,$E$9:$F$9,AJ$9))</f>
        <v>0</v>
      </c>
      <c r="AK73">
        <f>IF($G73="s-curve",$E73+($F73-$E73)*$L$2/(1+EXP($L$3*(COUNT($L$9:AK$9)+$L$4))),TREND($E73:$F73,$E$9:$F$9,AK$9))</f>
        <v>0</v>
      </c>
      <c r="AL73">
        <f>IF($G73="s-curve",$E73+($F73-$E73)*$L$2/(1+EXP($L$3*(COUNT($L$9:AL$9)+$L$4))),TREND($E73:$F73,$E$9:$F$9,AL$9))</f>
        <v>0</v>
      </c>
    </row>
    <row r="74" spans="1:38" x14ac:dyDescent="0.3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>
        <f t="shared" ref="I74" si="69">J74</f>
        <v>0</v>
      </c>
      <c r="J74">
        <f t="shared" si="2"/>
        <v>0</v>
      </c>
      <c r="K74">
        <f t="shared" si="2"/>
        <v>0</v>
      </c>
      <c r="L74" s="16">
        <f t="shared" si="65"/>
        <v>0</v>
      </c>
      <c r="M74">
        <f>IF($G74="s-curve",$E74+($F74-$E74)*$L$2/(1+EXP($L$3*(COUNT($L$9:M$9)+$L$4))),TREND($E74:$F74,$E$9:$F$9,M$9))</f>
        <v>0</v>
      </c>
      <c r="N74">
        <f>IF($G74="s-curve",$E74+($F74-$E74)*$L$2/(1+EXP($L$3*(COUNT($L$9:N$9)+$L$4))),TREND($E74:$F74,$E$9:$F$9,N$9))</f>
        <v>0</v>
      </c>
      <c r="O74">
        <f>IF($G74="s-curve",$E74+($F74-$E74)*$L$2/(1+EXP($L$3*(COUNT($L$9:O$9)+$L$4))),TREND($E74:$F74,$E$9:$F$9,O$9))</f>
        <v>0</v>
      </c>
      <c r="P74">
        <f>IF($G74="s-curve",$E74+($F74-$E74)*$L$2/(1+EXP($L$3*(COUNT($L$9:P$9)+$L$4))),TREND($E74:$F74,$E$9:$F$9,P$9))</f>
        <v>0</v>
      </c>
      <c r="Q74">
        <f>IF($G74="s-curve",$E74+($F74-$E74)*$L$2/(1+EXP($L$3*(COUNT($L$9:Q$9)+$L$4))),TREND($E74:$F74,$E$9:$F$9,Q$9))</f>
        <v>0</v>
      </c>
      <c r="R74">
        <f>IF($G74="s-curve",$E74+($F74-$E74)*$L$2/(1+EXP($L$3*(COUNT($L$9:R$9)+$L$4))),TREND($E74:$F74,$E$9:$F$9,R$9))</f>
        <v>0</v>
      </c>
      <c r="S74">
        <f>IF($G74="s-curve",$E74+($F74-$E74)*$L$2/(1+EXP($L$3*(COUNT($L$9:S$9)+$L$4))),TREND($E74:$F74,$E$9:$F$9,S$9))</f>
        <v>0</v>
      </c>
      <c r="T74">
        <f>IF($G74="s-curve",$E74+($F74-$E74)*$L$2/(1+EXP($L$3*(COUNT($L$9:T$9)+$L$4))),TREND($E74:$F74,$E$9:$F$9,T$9))</f>
        <v>0</v>
      </c>
      <c r="U74">
        <f>IF($G74="s-curve",$E74+($F74-$E74)*$L$2/(1+EXP($L$3*(COUNT($L$9:U$9)+$L$4))),TREND($E74:$F74,$E$9:$F$9,U$9))</f>
        <v>0</v>
      </c>
      <c r="V74">
        <f>IF($G74="s-curve",$E74+($F74-$E74)*$L$2/(1+EXP($L$3*(COUNT($L$9:V$9)+$L$4))),TREND($E74:$F74,$E$9:$F$9,V$9))</f>
        <v>0</v>
      </c>
      <c r="W74">
        <f>IF($G74="s-curve",$E74+($F74-$E74)*$L$2/(1+EXP($L$3*(COUNT($L$9:W$9)+$L$4))),TREND($E74:$F74,$E$9:$F$9,W$9))</f>
        <v>0</v>
      </c>
      <c r="X74">
        <f>IF($G74="s-curve",$E74+($F74-$E74)*$L$2/(1+EXP($L$3*(COUNT($L$9:X$9)+$L$4))),TREND($E74:$F74,$E$9:$F$9,X$9))</f>
        <v>0</v>
      </c>
      <c r="Y74">
        <f>IF($G74="s-curve",$E74+($F74-$E74)*$L$2/(1+EXP($L$3*(COUNT($L$9:Y$9)+$L$4))),TREND($E74:$F74,$E$9:$F$9,Y$9))</f>
        <v>0</v>
      </c>
      <c r="Z74">
        <f>IF($G74="s-curve",$E74+($F74-$E74)*$L$2/(1+EXP($L$3*(COUNT($L$9:Z$9)+$L$4))),TREND($E74:$F74,$E$9:$F$9,Z$9))</f>
        <v>0</v>
      </c>
      <c r="AA74">
        <f>IF($G74="s-curve",$E74+($F74-$E74)*$L$2/(1+EXP($L$3*(COUNT($L$9:AA$9)+$L$4))),TREND($E74:$F74,$E$9:$F$9,AA$9))</f>
        <v>0</v>
      </c>
      <c r="AB74">
        <f>IF($G74="s-curve",$E74+($F74-$E74)*$L$2/(1+EXP($L$3*(COUNT($L$9:AB$9)+$L$4))),TREND($E74:$F74,$E$9:$F$9,AB$9))</f>
        <v>0</v>
      </c>
      <c r="AC74">
        <f>IF($G74="s-curve",$E74+($F74-$E74)*$L$2/(1+EXP($L$3*(COUNT($L$9:AC$9)+$L$4))),TREND($E74:$F74,$E$9:$F$9,AC$9))</f>
        <v>0</v>
      </c>
      <c r="AD74">
        <f>IF($G74="s-curve",$E74+($F74-$E74)*$L$2/(1+EXP($L$3*(COUNT($L$9:AD$9)+$L$4))),TREND($E74:$F74,$E$9:$F$9,AD$9))</f>
        <v>0</v>
      </c>
      <c r="AE74">
        <f>IF($G74="s-curve",$E74+($F74-$E74)*$L$2/(1+EXP($L$3*(COUNT($L$9:AE$9)+$L$4))),TREND($E74:$F74,$E$9:$F$9,AE$9))</f>
        <v>0</v>
      </c>
      <c r="AF74">
        <f>IF($G74="s-curve",$E74+($F74-$E74)*$L$2/(1+EXP($L$3*(COUNT($L$9:AF$9)+$L$4))),TREND($E74:$F74,$E$9:$F$9,AF$9))</f>
        <v>0</v>
      </c>
      <c r="AG74">
        <f>IF($G74="s-curve",$E74+($F74-$E74)*$L$2/(1+EXP($L$3*(COUNT($L$9:AG$9)+$L$4))),TREND($E74:$F74,$E$9:$F$9,AG$9))</f>
        <v>0</v>
      </c>
      <c r="AH74">
        <f>IF($G74="s-curve",$E74+($F74-$E74)*$L$2/(1+EXP($L$3*(COUNT($L$9:AH$9)+$L$4))),TREND($E74:$F74,$E$9:$F$9,AH$9))</f>
        <v>0</v>
      </c>
      <c r="AI74">
        <f>IF($G74="s-curve",$E74+($F74-$E74)*$L$2/(1+EXP($L$3*(COUNT($L$9:AI$9)+$L$4))),TREND($E74:$F74,$E$9:$F$9,AI$9))</f>
        <v>0</v>
      </c>
      <c r="AJ74">
        <f>IF($G74="s-curve",$E74+($F74-$E74)*$L$2/(1+EXP($L$3*(COUNT($L$9:AJ$9)+$L$4))),TREND($E74:$F74,$E$9:$F$9,AJ$9))</f>
        <v>0</v>
      </c>
      <c r="AK74">
        <f>IF($G74="s-curve",$E74+($F74-$E74)*$L$2/(1+EXP($L$3*(COUNT($L$9:AK$9)+$L$4))),TREND($E74:$F74,$E$9:$F$9,AK$9))</f>
        <v>0</v>
      </c>
      <c r="AL74">
        <f>IF($G74="s-curve",$E74+($F74-$E74)*$L$2/(1+EXP($L$3*(COUNT($L$9:AL$9)+$L$4))),TREND($E74:$F74,$E$9:$F$9,AL$9))</f>
        <v>0</v>
      </c>
    </row>
    <row r="75" spans="1:38" x14ac:dyDescent="0.3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>
        <f t="shared" ref="I75" si="70">J75</f>
        <v>0</v>
      </c>
      <c r="J75">
        <f t="shared" ref="J75:K93" si="71">K75</f>
        <v>0</v>
      </c>
      <c r="K75">
        <f t="shared" si="71"/>
        <v>0</v>
      </c>
      <c r="L75" s="16">
        <f t="shared" si="65"/>
        <v>0</v>
      </c>
      <c r="M75">
        <f>IF($G75="s-curve",$E75+($F75-$E75)*$L$2/(1+EXP($L$3*(COUNT($L$9:M$9)+$L$4))),TREND($E75:$F75,$E$9:$F$9,M$9))</f>
        <v>0</v>
      </c>
      <c r="N75">
        <f>IF($G75="s-curve",$E75+($F75-$E75)*$L$2/(1+EXP($L$3*(COUNT($L$9:N$9)+$L$4))),TREND($E75:$F75,$E$9:$F$9,N$9))</f>
        <v>0</v>
      </c>
      <c r="O75">
        <f>IF($G75="s-curve",$E75+($F75-$E75)*$L$2/(1+EXP($L$3*(COUNT($L$9:O$9)+$L$4))),TREND($E75:$F75,$E$9:$F$9,O$9))</f>
        <v>0</v>
      </c>
      <c r="P75">
        <f>IF($G75="s-curve",$E75+($F75-$E75)*$L$2/(1+EXP($L$3*(COUNT($L$9:P$9)+$L$4))),TREND($E75:$F75,$E$9:$F$9,P$9))</f>
        <v>0</v>
      </c>
      <c r="Q75">
        <f>IF($G75="s-curve",$E75+($F75-$E75)*$L$2/(1+EXP($L$3*(COUNT($L$9:Q$9)+$L$4))),TREND($E75:$F75,$E$9:$F$9,Q$9))</f>
        <v>0</v>
      </c>
      <c r="R75">
        <f>IF($G75="s-curve",$E75+($F75-$E75)*$L$2/(1+EXP($L$3*(COUNT($L$9:R$9)+$L$4))),TREND($E75:$F75,$E$9:$F$9,R$9))</f>
        <v>0</v>
      </c>
      <c r="S75">
        <f>IF($G75="s-curve",$E75+($F75-$E75)*$L$2/(1+EXP($L$3*(COUNT($L$9:S$9)+$L$4))),TREND($E75:$F75,$E$9:$F$9,S$9))</f>
        <v>0</v>
      </c>
      <c r="T75">
        <f>IF($G75="s-curve",$E75+($F75-$E75)*$L$2/(1+EXP($L$3*(COUNT($L$9:T$9)+$L$4))),TREND($E75:$F75,$E$9:$F$9,T$9))</f>
        <v>0</v>
      </c>
      <c r="U75">
        <f>IF($G75="s-curve",$E75+($F75-$E75)*$L$2/(1+EXP($L$3*(COUNT($L$9:U$9)+$L$4))),TREND($E75:$F75,$E$9:$F$9,U$9))</f>
        <v>0</v>
      </c>
      <c r="V75">
        <f>IF($G75="s-curve",$E75+($F75-$E75)*$L$2/(1+EXP($L$3*(COUNT($L$9:V$9)+$L$4))),TREND($E75:$F75,$E$9:$F$9,V$9))</f>
        <v>0</v>
      </c>
      <c r="W75">
        <f>IF($G75="s-curve",$E75+($F75-$E75)*$L$2/(1+EXP($L$3*(COUNT($L$9:W$9)+$L$4))),TREND($E75:$F75,$E$9:$F$9,W$9))</f>
        <v>0</v>
      </c>
      <c r="X75">
        <f>IF($G75="s-curve",$E75+($F75-$E75)*$L$2/(1+EXP($L$3*(COUNT($L$9:X$9)+$L$4))),TREND($E75:$F75,$E$9:$F$9,X$9))</f>
        <v>0</v>
      </c>
      <c r="Y75">
        <f>IF($G75="s-curve",$E75+($F75-$E75)*$L$2/(1+EXP($L$3*(COUNT($L$9:Y$9)+$L$4))),TREND($E75:$F75,$E$9:$F$9,Y$9))</f>
        <v>0</v>
      </c>
      <c r="Z75">
        <f>IF($G75="s-curve",$E75+($F75-$E75)*$L$2/(1+EXP($L$3*(COUNT($L$9:Z$9)+$L$4))),TREND($E75:$F75,$E$9:$F$9,Z$9))</f>
        <v>0</v>
      </c>
      <c r="AA75">
        <f>IF($G75="s-curve",$E75+($F75-$E75)*$L$2/(1+EXP($L$3*(COUNT($L$9:AA$9)+$L$4))),TREND($E75:$F75,$E$9:$F$9,AA$9))</f>
        <v>0</v>
      </c>
      <c r="AB75">
        <f>IF($G75="s-curve",$E75+($F75-$E75)*$L$2/(1+EXP($L$3*(COUNT($L$9:AB$9)+$L$4))),TREND($E75:$F75,$E$9:$F$9,AB$9))</f>
        <v>0</v>
      </c>
      <c r="AC75">
        <f>IF($G75="s-curve",$E75+($F75-$E75)*$L$2/(1+EXP($L$3*(COUNT($L$9:AC$9)+$L$4))),TREND($E75:$F75,$E$9:$F$9,AC$9))</f>
        <v>0</v>
      </c>
      <c r="AD75">
        <f>IF($G75="s-curve",$E75+($F75-$E75)*$L$2/(1+EXP($L$3*(COUNT($L$9:AD$9)+$L$4))),TREND($E75:$F75,$E$9:$F$9,AD$9))</f>
        <v>0</v>
      </c>
      <c r="AE75">
        <f>IF($G75="s-curve",$E75+($F75-$E75)*$L$2/(1+EXP($L$3*(COUNT($L$9:AE$9)+$L$4))),TREND($E75:$F75,$E$9:$F$9,AE$9))</f>
        <v>0</v>
      </c>
      <c r="AF75">
        <f>IF($G75="s-curve",$E75+($F75-$E75)*$L$2/(1+EXP($L$3*(COUNT($L$9:AF$9)+$L$4))),TREND($E75:$F75,$E$9:$F$9,AF$9))</f>
        <v>0</v>
      </c>
      <c r="AG75">
        <f>IF($G75="s-curve",$E75+($F75-$E75)*$L$2/(1+EXP($L$3*(COUNT($L$9:AG$9)+$L$4))),TREND($E75:$F75,$E$9:$F$9,AG$9))</f>
        <v>0</v>
      </c>
      <c r="AH75">
        <f>IF($G75="s-curve",$E75+($F75-$E75)*$L$2/(1+EXP($L$3*(COUNT($L$9:AH$9)+$L$4))),TREND($E75:$F75,$E$9:$F$9,AH$9))</f>
        <v>0</v>
      </c>
      <c r="AI75">
        <f>IF($G75="s-curve",$E75+($F75-$E75)*$L$2/(1+EXP($L$3*(COUNT($L$9:AI$9)+$L$4))),TREND($E75:$F75,$E$9:$F$9,AI$9))</f>
        <v>0</v>
      </c>
      <c r="AJ75">
        <f>IF($G75="s-curve",$E75+($F75-$E75)*$L$2/(1+EXP($L$3*(COUNT($L$9:AJ$9)+$L$4))),TREND($E75:$F75,$E$9:$F$9,AJ$9))</f>
        <v>0</v>
      </c>
      <c r="AK75">
        <f>IF($G75="s-curve",$E75+($F75-$E75)*$L$2/(1+EXP($L$3*(COUNT($L$9:AK$9)+$L$4))),TREND($E75:$F75,$E$9:$F$9,AK$9))</f>
        <v>0</v>
      </c>
      <c r="AL75">
        <f>IF($G75="s-curve",$E75+($F75-$E75)*$L$2/(1+EXP($L$3*(COUNT($L$9:AL$9)+$L$4))),TREND($E75:$F75,$E$9:$F$9,AL$9))</f>
        <v>0</v>
      </c>
    </row>
    <row r="76" spans="1:38" x14ac:dyDescent="0.3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>
        <f t="shared" ref="I76" si="72">J76</f>
        <v>1</v>
      </c>
      <c r="J76">
        <f t="shared" si="71"/>
        <v>1</v>
      </c>
      <c r="K76">
        <f t="shared" si="71"/>
        <v>1</v>
      </c>
      <c r="L76" s="16">
        <f t="shared" si="65"/>
        <v>1</v>
      </c>
      <c r="M76">
        <f>IF($G76="s-curve",$E76+($F76-$E76)*$L$2/(1+EXP($L$3*(COUNT($L$9:M$9)+$L$4))),TREND($E76:$F76,$E$9:$F$9,M$9))</f>
        <v>1</v>
      </c>
      <c r="N76">
        <f>IF($G76="s-curve",$E76+($F76-$E76)*$L$2/(1+EXP($L$3*(COUNT($L$9:N$9)+$L$4))),TREND($E76:$F76,$E$9:$F$9,N$9))</f>
        <v>1</v>
      </c>
      <c r="O76">
        <f>IF($G76="s-curve",$E76+($F76-$E76)*$L$2/(1+EXP($L$3*(COUNT($L$9:O$9)+$L$4))),TREND($E76:$F76,$E$9:$F$9,O$9))</f>
        <v>1</v>
      </c>
      <c r="P76">
        <f>IF($G76="s-curve",$E76+($F76-$E76)*$L$2/(1+EXP($L$3*(COUNT($L$9:P$9)+$L$4))),TREND($E76:$F76,$E$9:$F$9,P$9))</f>
        <v>1</v>
      </c>
      <c r="Q76">
        <f>IF($G76="s-curve",$E76+($F76-$E76)*$L$2/(1+EXP($L$3*(COUNT($L$9:Q$9)+$L$4))),TREND($E76:$F76,$E$9:$F$9,Q$9))</f>
        <v>1</v>
      </c>
      <c r="R76">
        <f>IF($G76="s-curve",$E76+($F76-$E76)*$L$2/(1+EXP($L$3*(COUNT($L$9:R$9)+$L$4))),TREND($E76:$F76,$E$9:$F$9,R$9))</f>
        <v>1</v>
      </c>
      <c r="S76">
        <f>IF($G76="s-curve",$E76+($F76-$E76)*$L$2/(1+EXP($L$3*(COUNT($L$9:S$9)+$L$4))),TREND($E76:$F76,$E$9:$F$9,S$9))</f>
        <v>1</v>
      </c>
      <c r="T76">
        <f>IF($G76="s-curve",$E76+($F76-$E76)*$L$2/(1+EXP($L$3*(COUNT($L$9:T$9)+$L$4))),TREND($E76:$F76,$E$9:$F$9,T$9))</f>
        <v>1</v>
      </c>
      <c r="U76">
        <f>IF($G76="s-curve",$E76+($F76-$E76)*$L$2/(1+EXP($L$3*(COUNT($L$9:U$9)+$L$4))),TREND($E76:$F76,$E$9:$F$9,U$9))</f>
        <v>1</v>
      </c>
      <c r="V76">
        <f>IF($G76="s-curve",$E76+($F76-$E76)*$L$2/(1+EXP($L$3*(COUNT($L$9:V$9)+$L$4))),TREND($E76:$F76,$E$9:$F$9,V$9))</f>
        <v>1</v>
      </c>
      <c r="W76">
        <f>IF($G76="s-curve",$E76+($F76-$E76)*$L$2/(1+EXP($L$3*(COUNT($L$9:W$9)+$L$4))),TREND($E76:$F76,$E$9:$F$9,W$9))</f>
        <v>1</v>
      </c>
      <c r="X76">
        <f>IF($G76="s-curve",$E76+($F76-$E76)*$L$2/(1+EXP($L$3*(COUNT($L$9:X$9)+$L$4))),TREND($E76:$F76,$E$9:$F$9,X$9))</f>
        <v>1</v>
      </c>
      <c r="Y76">
        <f>IF($G76="s-curve",$E76+($F76-$E76)*$L$2/(1+EXP($L$3*(COUNT($L$9:Y$9)+$L$4))),TREND($E76:$F76,$E$9:$F$9,Y$9))</f>
        <v>1</v>
      </c>
      <c r="Z76">
        <f>IF($G76="s-curve",$E76+($F76-$E76)*$L$2/(1+EXP($L$3*(COUNT($L$9:Z$9)+$L$4))),TREND($E76:$F76,$E$9:$F$9,Z$9))</f>
        <v>1</v>
      </c>
      <c r="AA76">
        <f>IF($G76="s-curve",$E76+($F76-$E76)*$L$2/(1+EXP($L$3*(COUNT($L$9:AA$9)+$L$4))),TREND($E76:$F76,$E$9:$F$9,AA$9))</f>
        <v>1</v>
      </c>
      <c r="AB76">
        <f>IF($G76="s-curve",$E76+($F76-$E76)*$L$2/(1+EXP($L$3*(COUNT($L$9:AB$9)+$L$4))),TREND($E76:$F76,$E$9:$F$9,AB$9))</f>
        <v>1</v>
      </c>
      <c r="AC76">
        <f>IF($G76="s-curve",$E76+($F76-$E76)*$L$2/(1+EXP($L$3*(COUNT($L$9:AC$9)+$L$4))),TREND($E76:$F76,$E$9:$F$9,AC$9))</f>
        <v>1</v>
      </c>
      <c r="AD76">
        <f>IF($G76="s-curve",$E76+($F76-$E76)*$L$2/(1+EXP($L$3*(COUNT($L$9:AD$9)+$L$4))),TREND($E76:$F76,$E$9:$F$9,AD$9))</f>
        <v>1</v>
      </c>
      <c r="AE76">
        <f>IF($G76="s-curve",$E76+($F76-$E76)*$L$2/(1+EXP($L$3*(COUNT($L$9:AE$9)+$L$4))),TREND($E76:$F76,$E$9:$F$9,AE$9))</f>
        <v>1</v>
      </c>
      <c r="AF76">
        <f>IF($G76="s-curve",$E76+($F76-$E76)*$L$2/(1+EXP($L$3*(COUNT($L$9:AF$9)+$L$4))),TREND($E76:$F76,$E$9:$F$9,AF$9))</f>
        <v>1</v>
      </c>
      <c r="AG76">
        <f>IF($G76="s-curve",$E76+($F76-$E76)*$L$2/(1+EXP($L$3*(COUNT($L$9:AG$9)+$L$4))),TREND($E76:$F76,$E$9:$F$9,AG$9))</f>
        <v>1</v>
      </c>
      <c r="AH76">
        <f>IF($G76="s-curve",$E76+($F76-$E76)*$L$2/(1+EXP($L$3*(COUNT($L$9:AH$9)+$L$4))),TREND($E76:$F76,$E$9:$F$9,AH$9))</f>
        <v>1</v>
      </c>
      <c r="AI76">
        <f>IF($G76="s-curve",$E76+($F76-$E76)*$L$2/(1+EXP($L$3*(COUNT($L$9:AI$9)+$L$4))),TREND($E76:$F76,$E$9:$F$9,AI$9))</f>
        <v>1</v>
      </c>
      <c r="AJ76">
        <f>IF($G76="s-curve",$E76+($F76-$E76)*$L$2/(1+EXP($L$3*(COUNT($L$9:AJ$9)+$L$4))),TREND($E76:$F76,$E$9:$F$9,AJ$9))</f>
        <v>1</v>
      </c>
      <c r="AK76">
        <f>IF($G76="s-curve",$E76+($F76-$E76)*$L$2/(1+EXP($L$3*(COUNT($L$9:AK$9)+$L$4))),TREND($E76:$F76,$E$9:$F$9,AK$9))</f>
        <v>1</v>
      </c>
      <c r="AL76">
        <f>IF($G76="s-curve",$E76+($F76-$E76)*$L$2/(1+EXP($L$3*(COUNT($L$9:AL$9)+$L$4))),TREND($E76:$F76,$E$9:$F$9,AL$9))</f>
        <v>1</v>
      </c>
    </row>
    <row r="77" spans="1:38" x14ac:dyDescent="0.3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>
        <f t="shared" ref="I77" si="73">J77</f>
        <v>0</v>
      </c>
      <c r="J77">
        <f t="shared" si="71"/>
        <v>0</v>
      </c>
      <c r="K77">
        <f t="shared" si="71"/>
        <v>0</v>
      </c>
      <c r="L77" s="16">
        <f t="shared" si="65"/>
        <v>0</v>
      </c>
      <c r="M77">
        <f>IF($G77="s-curve",$E77+($F77-$E77)*$L$2/(1+EXP($L$3*(COUNT($L$9:M$9)+$L$4))),TREND($E77:$F77,$E$9:$F$9,M$9))</f>
        <v>0</v>
      </c>
      <c r="N77">
        <f>IF($G77="s-curve",$E77+($F77-$E77)*$L$2/(1+EXP($L$3*(COUNT($L$9:N$9)+$L$4))),TREND($E77:$F77,$E$9:$F$9,N$9))</f>
        <v>0</v>
      </c>
      <c r="O77">
        <f>IF($G77="s-curve",$E77+($F77-$E77)*$L$2/(1+EXP($L$3*(COUNT($L$9:O$9)+$L$4))),TREND($E77:$F77,$E$9:$F$9,O$9))</f>
        <v>0</v>
      </c>
      <c r="P77">
        <f>IF($G77="s-curve",$E77+($F77-$E77)*$L$2/(1+EXP($L$3*(COUNT($L$9:P$9)+$L$4))),TREND($E77:$F77,$E$9:$F$9,P$9))</f>
        <v>0</v>
      </c>
      <c r="Q77">
        <f>IF($G77="s-curve",$E77+($F77-$E77)*$L$2/(1+EXP($L$3*(COUNT($L$9:Q$9)+$L$4))),TREND($E77:$F77,$E$9:$F$9,Q$9))</f>
        <v>0</v>
      </c>
      <c r="R77">
        <f>IF($G77="s-curve",$E77+($F77-$E77)*$L$2/(1+EXP($L$3*(COUNT($L$9:R$9)+$L$4))),TREND($E77:$F77,$E$9:$F$9,R$9))</f>
        <v>0</v>
      </c>
      <c r="S77">
        <f>IF($G77="s-curve",$E77+($F77-$E77)*$L$2/(1+EXP($L$3*(COUNT($L$9:S$9)+$L$4))),TREND($E77:$F77,$E$9:$F$9,S$9))</f>
        <v>0</v>
      </c>
      <c r="T77">
        <f>IF($G77="s-curve",$E77+($F77-$E77)*$L$2/(1+EXP($L$3*(COUNT($L$9:T$9)+$L$4))),TREND($E77:$F77,$E$9:$F$9,T$9))</f>
        <v>0</v>
      </c>
      <c r="U77">
        <f>IF($G77="s-curve",$E77+($F77-$E77)*$L$2/(1+EXP($L$3*(COUNT($L$9:U$9)+$L$4))),TREND($E77:$F77,$E$9:$F$9,U$9))</f>
        <v>0</v>
      </c>
      <c r="V77">
        <f>IF($G77="s-curve",$E77+($F77-$E77)*$L$2/(1+EXP($L$3*(COUNT($L$9:V$9)+$L$4))),TREND($E77:$F77,$E$9:$F$9,V$9))</f>
        <v>0</v>
      </c>
      <c r="W77">
        <f>IF($G77="s-curve",$E77+($F77-$E77)*$L$2/(1+EXP($L$3*(COUNT($L$9:W$9)+$L$4))),TREND($E77:$F77,$E$9:$F$9,W$9))</f>
        <v>0</v>
      </c>
      <c r="X77">
        <f>IF($G77="s-curve",$E77+($F77-$E77)*$L$2/(1+EXP($L$3*(COUNT($L$9:X$9)+$L$4))),TREND($E77:$F77,$E$9:$F$9,X$9))</f>
        <v>0</v>
      </c>
      <c r="Y77">
        <f>IF($G77="s-curve",$E77+($F77-$E77)*$L$2/(1+EXP($L$3*(COUNT($L$9:Y$9)+$L$4))),TREND($E77:$F77,$E$9:$F$9,Y$9))</f>
        <v>0</v>
      </c>
      <c r="Z77">
        <f>IF($G77="s-curve",$E77+($F77-$E77)*$L$2/(1+EXP($L$3*(COUNT($L$9:Z$9)+$L$4))),TREND($E77:$F77,$E$9:$F$9,Z$9))</f>
        <v>0</v>
      </c>
      <c r="AA77">
        <f>IF($G77="s-curve",$E77+($F77-$E77)*$L$2/(1+EXP($L$3*(COUNT($L$9:AA$9)+$L$4))),TREND($E77:$F77,$E$9:$F$9,AA$9))</f>
        <v>0</v>
      </c>
      <c r="AB77">
        <f>IF($G77="s-curve",$E77+($F77-$E77)*$L$2/(1+EXP($L$3*(COUNT($L$9:AB$9)+$L$4))),TREND($E77:$F77,$E$9:$F$9,AB$9))</f>
        <v>0</v>
      </c>
      <c r="AC77">
        <f>IF($G77="s-curve",$E77+($F77-$E77)*$L$2/(1+EXP($L$3*(COUNT($L$9:AC$9)+$L$4))),TREND($E77:$F77,$E$9:$F$9,AC$9))</f>
        <v>0</v>
      </c>
      <c r="AD77">
        <f>IF($G77="s-curve",$E77+($F77-$E77)*$L$2/(1+EXP($L$3*(COUNT($L$9:AD$9)+$L$4))),TREND($E77:$F77,$E$9:$F$9,AD$9))</f>
        <v>0</v>
      </c>
      <c r="AE77">
        <f>IF($G77="s-curve",$E77+($F77-$E77)*$L$2/(1+EXP($L$3*(COUNT($L$9:AE$9)+$L$4))),TREND($E77:$F77,$E$9:$F$9,AE$9))</f>
        <v>0</v>
      </c>
      <c r="AF77">
        <f>IF($G77="s-curve",$E77+($F77-$E77)*$L$2/(1+EXP($L$3*(COUNT($L$9:AF$9)+$L$4))),TREND($E77:$F77,$E$9:$F$9,AF$9))</f>
        <v>0</v>
      </c>
      <c r="AG77">
        <f>IF($G77="s-curve",$E77+($F77-$E77)*$L$2/(1+EXP($L$3*(COUNT($L$9:AG$9)+$L$4))),TREND($E77:$F77,$E$9:$F$9,AG$9))</f>
        <v>0</v>
      </c>
      <c r="AH77">
        <f>IF($G77="s-curve",$E77+($F77-$E77)*$L$2/(1+EXP($L$3*(COUNT($L$9:AH$9)+$L$4))),TREND($E77:$F77,$E$9:$F$9,AH$9))</f>
        <v>0</v>
      </c>
      <c r="AI77">
        <f>IF($G77="s-curve",$E77+($F77-$E77)*$L$2/(1+EXP($L$3*(COUNT($L$9:AI$9)+$L$4))),TREND($E77:$F77,$E$9:$F$9,AI$9))</f>
        <v>0</v>
      </c>
      <c r="AJ77">
        <f>IF($G77="s-curve",$E77+($F77-$E77)*$L$2/(1+EXP($L$3*(COUNT($L$9:AJ$9)+$L$4))),TREND($E77:$F77,$E$9:$F$9,AJ$9))</f>
        <v>0</v>
      </c>
      <c r="AK77">
        <f>IF($G77="s-curve",$E77+($F77-$E77)*$L$2/(1+EXP($L$3*(COUNT($L$9:AK$9)+$L$4))),TREND($E77:$F77,$E$9:$F$9,AK$9))</f>
        <v>0</v>
      </c>
      <c r="AL77">
        <f>IF($G77="s-curve",$E77+($F77-$E77)*$L$2/(1+EXP($L$3*(COUNT($L$9:AL$9)+$L$4))),TREND($E77:$F77,$E$9:$F$9,AL$9))</f>
        <v>0</v>
      </c>
    </row>
    <row r="78" spans="1:38" x14ac:dyDescent="0.3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>
        <f t="shared" ref="I78" si="74">J78</f>
        <v>0</v>
      </c>
      <c r="J78">
        <f t="shared" si="71"/>
        <v>0</v>
      </c>
      <c r="K78">
        <f t="shared" si="71"/>
        <v>0</v>
      </c>
      <c r="L78" s="16">
        <f t="shared" si="65"/>
        <v>0</v>
      </c>
      <c r="M78">
        <f>IF($G78="s-curve",$E78+($F78-$E78)*$L$2/(1+EXP($L$3*(COUNT($L$9:M$9)+$L$4))),TREND($E78:$F78,$E$9:$F$9,M$9))</f>
        <v>0</v>
      </c>
      <c r="N78">
        <f>IF($G78="s-curve",$E78+($F78-$E78)*$L$2/(1+EXP($L$3*(COUNT($L$9:N$9)+$L$4))),TREND($E78:$F78,$E$9:$F$9,N$9))</f>
        <v>0</v>
      </c>
      <c r="O78">
        <f>IF($G78="s-curve",$E78+($F78-$E78)*$L$2/(1+EXP($L$3*(COUNT($L$9:O$9)+$L$4))),TREND($E78:$F78,$E$9:$F$9,O$9))</f>
        <v>0</v>
      </c>
      <c r="P78">
        <f>IF($G78="s-curve",$E78+($F78-$E78)*$L$2/(1+EXP($L$3*(COUNT($L$9:P$9)+$L$4))),TREND($E78:$F78,$E$9:$F$9,P$9))</f>
        <v>0</v>
      </c>
      <c r="Q78">
        <f>IF($G78="s-curve",$E78+($F78-$E78)*$L$2/(1+EXP($L$3*(COUNT($L$9:Q$9)+$L$4))),TREND($E78:$F78,$E$9:$F$9,Q$9))</f>
        <v>0</v>
      </c>
      <c r="R78">
        <f>IF($G78="s-curve",$E78+($F78-$E78)*$L$2/(1+EXP($L$3*(COUNT($L$9:R$9)+$L$4))),TREND($E78:$F78,$E$9:$F$9,R$9))</f>
        <v>0</v>
      </c>
      <c r="S78">
        <f>IF($G78="s-curve",$E78+($F78-$E78)*$L$2/(1+EXP($L$3*(COUNT($L$9:S$9)+$L$4))),TREND($E78:$F78,$E$9:$F$9,S$9))</f>
        <v>0</v>
      </c>
      <c r="T78">
        <f>IF($G78="s-curve",$E78+($F78-$E78)*$L$2/(1+EXP($L$3*(COUNT($L$9:T$9)+$L$4))),TREND($E78:$F78,$E$9:$F$9,T$9))</f>
        <v>0</v>
      </c>
      <c r="U78">
        <f>IF($G78="s-curve",$E78+($F78-$E78)*$L$2/(1+EXP($L$3*(COUNT($L$9:U$9)+$L$4))),TREND($E78:$F78,$E$9:$F$9,U$9))</f>
        <v>0</v>
      </c>
      <c r="V78">
        <f>IF($G78="s-curve",$E78+($F78-$E78)*$L$2/(1+EXP($L$3*(COUNT($L$9:V$9)+$L$4))),TREND($E78:$F78,$E$9:$F$9,V$9))</f>
        <v>0</v>
      </c>
      <c r="W78">
        <f>IF($G78="s-curve",$E78+($F78-$E78)*$L$2/(1+EXP($L$3*(COUNT($L$9:W$9)+$L$4))),TREND($E78:$F78,$E$9:$F$9,W$9))</f>
        <v>0</v>
      </c>
      <c r="X78">
        <f>IF($G78="s-curve",$E78+($F78-$E78)*$L$2/(1+EXP($L$3*(COUNT($L$9:X$9)+$L$4))),TREND($E78:$F78,$E$9:$F$9,X$9))</f>
        <v>0</v>
      </c>
      <c r="Y78">
        <f>IF($G78="s-curve",$E78+($F78-$E78)*$L$2/(1+EXP($L$3*(COUNT($L$9:Y$9)+$L$4))),TREND($E78:$F78,$E$9:$F$9,Y$9))</f>
        <v>0</v>
      </c>
      <c r="Z78">
        <f>IF($G78="s-curve",$E78+($F78-$E78)*$L$2/(1+EXP($L$3*(COUNT($L$9:Z$9)+$L$4))),TREND($E78:$F78,$E$9:$F$9,Z$9))</f>
        <v>0</v>
      </c>
      <c r="AA78">
        <f>IF($G78="s-curve",$E78+($F78-$E78)*$L$2/(1+EXP($L$3*(COUNT($L$9:AA$9)+$L$4))),TREND($E78:$F78,$E$9:$F$9,AA$9))</f>
        <v>0</v>
      </c>
      <c r="AB78">
        <f>IF($G78="s-curve",$E78+($F78-$E78)*$L$2/(1+EXP($L$3*(COUNT($L$9:AB$9)+$L$4))),TREND($E78:$F78,$E$9:$F$9,AB$9))</f>
        <v>0</v>
      </c>
      <c r="AC78">
        <f>IF($G78="s-curve",$E78+($F78-$E78)*$L$2/(1+EXP($L$3*(COUNT($L$9:AC$9)+$L$4))),TREND($E78:$F78,$E$9:$F$9,AC$9))</f>
        <v>0</v>
      </c>
      <c r="AD78">
        <f>IF($G78="s-curve",$E78+($F78-$E78)*$L$2/(1+EXP($L$3*(COUNT($L$9:AD$9)+$L$4))),TREND($E78:$F78,$E$9:$F$9,AD$9))</f>
        <v>0</v>
      </c>
      <c r="AE78">
        <f>IF($G78="s-curve",$E78+($F78-$E78)*$L$2/(1+EXP($L$3*(COUNT($L$9:AE$9)+$L$4))),TREND($E78:$F78,$E$9:$F$9,AE$9))</f>
        <v>0</v>
      </c>
      <c r="AF78">
        <f>IF($G78="s-curve",$E78+($F78-$E78)*$L$2/(1+EXP($L$3*(COUNT($L$9:AF$9)+$L$4))),TREND($E78:$F78,$E$9:$F$9,AF$9))</f>
        <v>0</v>
      </c>
      <c r="AG78">
        <f>IF($G78="s-curve",$E78+($F78-$E78)*$L$2/(1+EXP($L$3*(COUNT($L$9:AG$9)+$L$4))),TREND($E78:$F78,$E$9:$F$9,AG$9))</f>
        <v>0</v>
      </c>
      <c r="AH78">
        <f>IF($G78="s-curve",$E78+($F78-$E78)*$L$2/(1+EXP($L$3*(COUNT($L$9:AH$9)+$L$4))),TREND($E78:$F78,$E$9:$F$9,AH$9))</f>
        <v>0</v>
      </c>
      <c r="AI78">
        <f>IF($G78="s-curve",$E78+($F78-$E78)*$L$2/(1+EXP($L$3*(COUNT($L$9:AI$9)+$L$4))),TREND($E78:$F78,$E$9:$F$9,AI$9))</f>
        <v>0</v>
      </c>
      <c r="AJ78">
        <f>IF($G78="s-curve",$E78+($F78-$E78)*$L$2/(1+EXP($L$3*(COUNT($L$9:AJ$9)+$L$4))),TREND($E78:$F78,$E$9:$F$9,AJ$9))</f>
        <v>0</v>
      </c>
      <c r="AK78">
        <f>IF($G78="s-curve",$E78+($F78-$E78)*$L$2/(1+EXP($L$3*(COUNT($L$9:AK$9)+$L$4))),TREND($E78:$F78,$E$9:$F$9,AK$9))</f>
        <v>0</v>
      </c>
      <c r="AL78">
        <f>IF($G78="s-curve",$E78+($F78-$E78)*$L$2/(1+EXP($L$3*(COUNT($L$9:AL$9)+$L$4))),TREND($E78:$F78,$E$9:$F$9,AL$9))</f>
        <v>0</v>
      </c>
    </row>
    <row r="79" spans="1:38" ht="15.75" customHeight="1" thickBot="1" x14ac:dyDescent="0.4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>
        <f t="shared" ref="I79" si="75">J79</f>
        <v>0</v>
      </c>
      <c r="J79">
        <f t="shared" si="71"/>
        <v>0</v>
      </c>
      <c r="K79">
        <f t="shared" si="71"/>
        <v>0</v>
      </c>
      <c r="L79" s="16">
        <f t="shared" si="65"/>
        <v>0</v>
      </c>
      <c r="M79">
        <f>IF($G79="s-curve",$E79+($F79-$E79)*$L$2/(1+EXP($L$3*(COUNT($L$9:M$9)+$L$4))),TREND($E79:$F79,$E$9:$F$9,M$9))</f>
        <v>0</v>
      </c>
      <c r="N79">
        <f>IF($G79="s-curve",$E79+($F79-$E79)*$L$2/(1+EXP($L$3*(COUNT($L$9:N$9)+$L$4))),TREND($E79:$F79,$E$9:$F$9,N$9))</f>
        <v>0</v>
      </c>
      <c r="O79">
        <f>IF($G79="s-curve",$E79+($F79-$E79)*$L$2/(1+EXP($L$3*(COUNT($L$9:O$9)+$L$4))),TREND($E79:$F79,$E$9:$F$9,O$9))</f>
        <v>0</v>
      </c>
      <c r="P79">
        <f>IF($G79="s-curve",$E79+($F79-$E79)*$L$2/(1+EXP($L$3*(COUNT($L$9:P$9)+$L$4))),TREND($E79:$F79,$E$9:$F$9,P$9))</f>
        <v>0</v>
      </c>
      <c r="Q79">
        <f>IF($G79="s-curve",$E79+($F79-$E79)*$L$2/(1+EXP($L$3*(COUNT($L$9:Q$9)+$L$4))),TREND($E79:$F79,$E$9:$F$9,Q$9))</f>
        <v>0</v>
      </c>
      <c r="R79">
        <f>IF($G79="s-curve",$E79+($F79-$E79)*$L$2/(1+EXP($L$3*(COUNT($L$9:R$9)+$L$4))),TREND($E79:$F79,$E$9:$F$9,R$9))</f>
        <v>0</v>
      </c>
      <c r="S79">
        <f>IF($G79="s-curve",$E79+($F79-$E79)*$L$2/(1+EXP($L$3*(COUNT($L$9:S$9)+$L$4))),TREND($E79:$F79,$E$9:$F$9,S$9))</f>
        <v>0</v>
      </c>
      <c r="T79">
        <f>IF($G79="s-curve",$E79+($F79-$E79)*$L$2/(1+EXP($L$3*(COUNT($L$9:T$9)+$L$4))),TREND($E79:$F79,$E$9:$F$9,T$9))</f>
        <v>0</v>
      </c>
      <c r="U79">
        <f>IF($G79="s-curve",$E79+($F79-$E79)*$L$2/(1+EXP($L$3*(COUNT($L$9:U$9)+$L$4))),TREND($E79:$F79,$E$9:$F$9,U$9))</f>
        <v>0</v>
      </c>
      <c r="V79">
        <f>IF($G79="s-curve",$E79+($F79-$E79)*$L$2/(1+EXP($L$3*(COUNT($L$9:V$9)+$L$4))),TREND($E79:$F79,$E$9:$F$9,V$9))</f>
        <v>0</v>
      </c>
      <c r="W79">
        <f>IF($G79="s-curve",$E79+($F79-$E79)*$L$2/(1+EXP($L$3*(COUNT($L$9:W$9)+$L$4))),TREND($E79:$F79,$E$9:$F$9,W$9))</f>
        <v>0</v>
      </c>
      <c r="X79">
        <f>IF($G79="s-curve",$E79+($F79-$E79)*$L$2/(1+EXP($L$3*(COUNT($L$9:X$9)+$L$4))),TREND($E79:$F79,$E$9:$F$9,X$9))</f>
        <v>0</v>
      </c>
      <c r="Y79">
        <f>IF($G79="s-curve",$E79+($F79-$E79)*$L$2/(1+EXP($L$3*(COUNT($L$9:Y$9)+$L$4))),TREND($E79:$F79,$E$9:$F$9,Y$9))</f>
        <v>0</v>
      </c>
      <c r="Z79">
        <f>IF($G79="s-curve",$E79+($F79-$E79)*$L$2/(1+EXP($L$3*(COUNT($L$9:Z$9)+$L$4))),TREND($E79:$F79,$E$9:$F$9,Z$9))</f>
        <v>0</v>
      </c>
      <c r="AA79">
        <f>IF($G79="s-curve",$E79+($F79-$E79)*$L$2/(1+EXP($L$3*(COUNT($L$9:AA$9)+$L$4))),TREND($E79:$F79,$E$9:$F$9,AA$9))</f>
        <v>0</v>
      </c>
      <c r="AB79">
        <f>IF($G79="s-curve",$E79+($F79-$E79)*$L$2/(1+EXP($L$3*(COUNT($L$9:AB$9)+$L$4))),TREND($E79:$F79,$E$9:$F$9,AB$9))</f>
        <v>0</v>
      </c>
      <c r="AC79">
        <f>IF($G79="s-curve",$E79+($F79-$E79)*$L$2/(1+EXP($L$3*(COUNT($L$9:AC$9)+$L$4))),TREND($E79:$F79,$E$9:$F$9,AC$9))</f>
        <v>0</v>
      </c>
      <c r="AD79">
        <f>IF($G79="s-curve",$E79+($F79-$E79)*$L$2/(1+EXP($L$3*(COUNT($L$9:AD$9)+$L$4))),TREND($E79:$F79,$E$9:$F$9,AD$9))</f>
        <v>0</v>
      </c>
      <c r="AE79">
        <f>IF($G79="s-curve",$E79+($F79-$E79)*$L$2/(1+EXP($L$3*(COUNT($L$9:AE$9)+$L$4))),TREND($E79:$F79,$E$9:$F$9,AE$9))</f>
        <v>0</v>
      </c>
      <c r="AF79">
        <f>IF($G79="s-curve",$E79+($F79-$E79)*$L$2/(1+EXP($L$3*(COUNT($L$9:AF$9)+$L$4))),TREND($E79:$F79,$E$9:$F$9,AF$9))</f>
        <v>0</v>
      </c>
      <c r="AG79">
        <f>IF($G79="s-curve",$E79+($F79-$E79)*$L$2/(1+EXP($L$3*(COUNT($L$9:AG$9)+$L$4))),TREND($E79:$F79,$E$9:$F$9,AG$9))</f>
        <v>0</v>
      </c>
      <c r="AH79">
        <f>IF($G79="s-curve",$E79+($F79-$E79)*$L$2/(1+EXP($L$3*(COUNT($L$9:AH$9)+$L$4))),TREND($E79:$F79,$E$9:$F$9,AH$9))</f>
        <v>0</v>
      </c>
      <c r="AI79">
        <f>IF($G79="s-curve",$E79+($F79-$E79)*$L$2/(1+EXP($L$3*(COUNT($L$9:AI$9)+$L$4))),TREND($E79:$F79,$E$9:$F$9,AI$9))</f>
        <v>0</v>
      </c>
      <c r="AJ79">
        <f>IF($G79="s-curve",$E79+($F79-$E79)*$L$2/(1+EXP($L$3*(COUNT($L$9:AJ$9)+$L$4))),TREND($E79:$F79,$E$9:$F$9,AJ$9))</f>
        <v>0</v>
      </c>
      <c r="AK79">
        <f>IF($G79="s-curve",$E79+($F79-$E79)*$L$2/(1+EXP($L$3*(COUNT($L$9:AK$9)+$L$4))),TREND($E79:$F79,$E$9:$F$9,AK$9))</f>
        <v>0</v>
      </c>
      <c r="AL79">
        <f>IF($G79="s-curve",$E79+($F79-$E79)*$L$2/(1+EXP($L$3*(COUNT($L$9:AL$9)+$L$4))),TREND($E79:$F79,$E$9:$F$9,AL$9))</f>
        <v>0</v>
      </c>
    </row>
    <row r="80" spans="1:38" x14ac:dyDescent="0.35">
      <c r="A80" t="s">
        <v>49</v>
      </c>
      <c r="B80" t="s">
        <v>71</v>
      </c>
      <c r="C80" t="s">
        <v>37</v>
      </c>
      <c r="D80">
        <f t="shared" ref="D80:F86" si="76">D10</f>
        <v>0.16449392895100001</v>
      </c>
      <c r="E80">
        <f t="shared" si="76"/>
        <v>0.14828894775500001</v>
      </c>
      <c r="F80">
        <f t="shared" si="76"/>
        <v>1</v>
      </c>
      <c r="G80" s="5" t="str">
        <f>IF(E80=F80,"n/a",IF(OR(C80="battery electric vehicle",C80="natural gas vehicle",C80="plugin hybrid vehicle"),"s-curve","linear"))</f>
        <v>s-curve</v>
      </c>
      <c r="I80">
        <f t="shared" ref="I80" si="77">J80</f>
        <v>0.14828894775500001</v>
      </c>
      <c r="J80">
        <f t="shared" si="71"/>
        <v>0.14828894775500001</v>
      </c>
      <c r="K80">
        <f t="shared" si="71"/>
        <v>0.14828894775500001</v>
      </c>
      <c r="L80" s="16">
        <f t="shared" si="65"/>
        <v>0.14828894775500001</v>
      </c>
      <c r="M80">
        <f>IF($G80="s-curve",$E80+($F80-$E80)*$R$2/(1+EXP($R$3*(COUNT($L$9:M$9)+$R$4))),TREND($E80:$F80,$E$9:$F$9,M$9))</f>
        <v>0.20192405110570355</v>
      </c>
      <c r="N80">
        <f>IF($G80="s-curve",$E80+($F80-$E80)*$R$2/(1+EXP($R$3*(COUNT($L$9:N$9)+$R$4))),TREND($E80:$F80,$E$9:$F$9,N$9))</f>
        <v>0.21912805260389268</v>
      </c>
      <c r="O80">
        <f>IF($G80="s-curve",$E80+($F80-$E80)*$R$2/(1+EXP($R$3*(COUNT($L$9:O$9)+$R$4))),TREND($E80:$F80,$E$9:$F$9,O$9))</f>
        <v>0.2412079161321001</v>
      </c>
      <c r="P80">
        <f>IF($G80="s-curve",$E80+($F80-$E80)*$R$2/(1+EXP($R$3*(COUNT($L$9:P$9)+$R$4))),TREND($E80:$F80,$E$9:$F$9,P$9))</f>
        <v>0.2691050675034683</v>
      </c>
      <c r="Q80">
        <f>IF($G80="s-curve",$E80+($F80-$E80)*$R$2/(1+EXP($R$3*(COUNT($L$9:Q$9)+$R$4))),TREND($E80:$F80,$E$9:$F$9,Q$9))</f>
        <v>0.30366278259245705</v>
      </c>
      <c r="R80">
        <f>IF($G80="s-curve",$E80+($F80-$E80)*$R$2/(1+EXP($R$3*(COUNT($L$9:R$9)+$R$4))),TREND($E80:$F80,$E$9:$F$9,R$9))</f>
        <v>0.34543894796969088</v>
      </c>
      <c r="S80">
        <f>IF($G80="s-curve",$E80+($F80-$E80)*$R$2/(1+EXP($R$3*(COUNT($L$9:S$9)+$R$4))),TREND($E80:$F80,$E$9:$F$9,S$9))</f>
        <v>0.39447645102619855</v>
      </c>
      <c r="T80">
        <f>IF($G80="s-curve",$E80+($F80-$E80)*$R$2/(1+EXP($R$3*(COUNT($L$9:T$9)+$R$4))),TREND($E80:$F80,$E$9:$F$9,T$9))</f>
        <v>0.45008738803580778</v>
      </c>
      <c r="U80">
        <f>IF($G80="s-curve",$E80+($F80-$E80)*$R$2/(1+EXP($R$3*(COUNT($L$9:U$9)+$R$4))),TREND($E80:$F80,$E$9:$F$9,U$9))</f>
        <v>0.51074095955207577</v>
      </c>
      <c r="V80">
        <f>IF($G80="s-curve",$E80+($F80-$E80)*$R$2/(1+EXP($R$3*(COUNT($L$9:V$9)+$R$4))),TREND($E80:$F80,$E$9:$F$9,V$9))</f>
        <v>0.57414447387750001</v>
      </c>
      <c r="W80">
        <f>IF($G80="s-curve",$E80+($F80-$E80)*$R$2/(1+EXP($R$3*(COUNT($L$9:W$9)+$R$4))),TREND($E80:$F80,$E$9:$F$9,W$9))</f>
        <v>0.63754798820292424</v>
      </c>
      <c r="X80">
        <f>IF($G80="s-curve",$E80+($F80-$E80)*$R$2/(1+EXP($R$3*(COUNT($L$9:X$9)+$R$4))),TREND($E80:$F80,$E$9:$F$9,X$9))</f>
        <v>0.69820155971919218</v>
      </c>
      <c r="Y80">
        <f>IF($G80="s-curve",$E80+($F80-$E80)*$R$2/(1+EXP($R$3*(COUNT($L$9:Y$9)+$R$4))),TREND($E80:$F80,$E$9:$F$9,Y$9))</f>
        <v>0.75381249672880146</v>
      </c>
      <c r="Z80">
        <f>IF($G80="s-curve",$E80+($F80-$E80)*$R$2/(1+EXP($R$3*(COUNT($L$9:Z$9)+$R$4))),TREND($E80:$F80,$E$9:$F$9,Z$9))</f>
        <v>0.80284999978530913</v>
      </c>
      <c r="AA80">
        <f>IF($G80="s-curve",$E80+($F80-$E80)*$R$2/(1+EXP($R$3*(COUNT($L$9:AA$9)+$R$4))),TREND($E80:$F80,$E$9:$F$9,AA$9))</f>
        <v>0.84462616516254285</v>
      </c>
      <c r="AB80">
        <f>IF($G80="s-curve",$E80+($F80-$E80)*$R$2/(1+EXP($R$3*(COUNT($L$9:AB$9)+$R$4))),TREND($E80:$F80,$E$9:$F$9,AB$9))</f>
        <v>0.87918388025153182</v>
      </c>
      <c r="AC80">
        <f>IF($G80="s-curve",$E80+($F80-$E80)*$R$2/(1+EXP($R$3*(COUNT($L$9:AC$9)+$R$4))),TREND($E80:$F80,$E$9:$F$9,AC$9))</f>
        <v>0.90708103162289988</v>
      </c>
      <c r="AD80">
        <f>IF($G80="s-curve",$E80+($F80-$E80)*$R$2/(1+EXP($R$3*(COUNT($L$9:AD$9)+$R$4))),TREND($E80:$F80,$E$9:$F$9,AD$9))</f>
        <v>0.92916089515110734</v>
      </c>
      <c r="AE80">
        <f>IF($G80="s-curve",$E80+($F80-$E80)*$R$2/(1+EXP($R$3*(COUNT($L$9:AE$9)+$R$4))),TREND($E80:$F80,$E$9:$F$9,AE$9))</f>
        <v>0.94636489664929646</v>
      </c>
      <c r="AF80">
        <f>IF($G80="s-curve",$E80+($F80-$E80)*$R$2/(1+EXP($R$3*(COUNT($L$9:AF$9)+$R$4))),TREND($E80:$F80,$E$9:$F$9,AF$9))</f>
        <v>0.95960685965229675</v>
      </c>
      <c r="AG80">
        <f>IF($G80="s-curve",$E80+($F80-$E80)*$R$2/(1+EXP($R$3*(COUNT($L$9:AG$9)+$R$4))),TREND($E80:$F80,$E$9:$F$9,AG$9))</f>
        <v>0.96970362495499696</v>
      </c>
      <c r="AH80">
        <f>IF($G80="s-curve",$E80+($F80-$E80)*$R$2/(1+EXP($R$3*(COUNT($L$9:AH$9)+$R$4))),TREND($E80:$F80,$E$9:$F$9,AH$9))</f>
        <v>0.97734704661409399</v>
      </c>
      <c r="AI80">
        <f>IF($G80="s-curve",$E80+($F80-$E80)*$R$2/(1+EXP($R$3*(COUNT($L$9:AI$9)+$R$4))),TREND($E80:$F80,$E$9:$F$9,AI$9))</f>
        <v>0.98310179232636641</v>
      </c>
      <c r="AJ80">
        <f>IF($G80="s-curve",$E80+($F80-$E80)*$R$2/(1+EXP($R$3*(COUNT($L$9:AJ$9)+$R$4))),TREND($E80:$F80,$E$9:$F$9,AJ$9))</f>
        <v>0.98741679392062143</v>
      </c>
      <c r="AK80">
        <f>IF($G80="s-curve",$E80+($F80-$E80)*$R$2/(1+EXP($R$3*(COUNT($L$9:AK$9)+$R$4))),TREND($E80:$F80,$E$9:$F$9,AK$9))</f>
        <v>0.99064229953114202</v>
      </c>
      <c r="AL80">
        <f>IF($G80="s-curve",$E80+($F80-$E80)*$R$2/(1+EXP($R$3*(COUNT($L$9:AL$9)+$R$4))),TREND($E80:$F80,$E$9:$F$9,AL$9))</f>
        <v>0.99304784793411749</v>
      </c>
    </row>
    <row r="81" spans="1:38" x14ac:dyDescent="0.35">
      <c r="C81" t="s">
        <v>38</v>
      </c>
      <c r="D81">
        <f t="shared" si="76"/>
        <v>1.0004432735E-4</v>
      </c>
      <c r="E81">
        <f t="shared" si="76"/>
        <v>1.00970167475E-4</v>
      </c>
      <c r="F81">
        <f t="shared" si="76"/>
        <v>1.00970167475E-4</v>
      </c>
      <c r="G81" s="5" t="str">
        <f>IF(E81=F81,"n/a",IF(OR(C81="battery electric vehicle",C81="natural gas vehicle",C81="plugin hybrid vehicle"),"s-curve","linear"))</f>
        <v>n/a</v>
      </c>
      <c r="I81">
        <f t="shared" ref="I81" si="78">J81</f>
        <v>1.00970167475E-4</v>
      </c>
      <c r="J81">
        <f t="shared" si="71"/>
        <v>1.00970167475E-4</v>
      </c>
      <c r="K81">
        <f t="shared" si="71"/>
        <v>1.00970167475E-4</v>
      </c>
      <c r="L81" s="16">
        <f t="shared" si="65"/>
        <v>1.00970167475E-4</v>
      </c>
      <c r="M81">
        <f>IF($G81="s-curve",$E81+($F81-$E81)*$L$2/(1+EXP($L$3*(COUNT($L$9:M$9)+$L$4))),TREND($E81:$F81,$E$9:$F$9,M$9))</f>
        <v>1.00970167475E-4</v>
      </c>
      <c r="N81">
        <f>IF($G81="s-curve",$E81+($F81-$E81)*$L$2/(1+EXP($L$3*(COUNT($L$9:N$9)+$L$4))),TREND($E81:$F81,$E$9:$F$9,N$9))</f>
        <v>1.00970167475E-4</v>
      </c>
      <c r="O81">
        <f>IF($G81="s-curve",$E81+($F81-$E81)*$L$2/(1+EXP($L$3*(COUNT($L$9:O$9)+$L$4))),TREND($E81:$F81,$E$9:$F$9,O$9))</f>
        <v>1.00970167475E-4</v>
      </c>
      <c r="P81">
        <f>IF($G81="s-curve",$E81+($F81-$E81)*$L$2/(1+EXP($L$3*(COUNT($L$9:P$9)+$L$4))),TREND($E81:$F81,$E$9:$F$9,P$9))</f>
        <v>1.00970167475E-4</v>
      </c>
      <c r="Q81">
        <f>IF($G81="s-curve",$E81+($F81-$E81)*$L$2/(1+EXP($L$3*(COUNT($L$9:Q$9)+$L$4))),TREND($E81:$F81,$E$9:$F$9,Q$9))</f>
        <v>1.00970167475E-4</v>
      </c>
      <c r="R81">
        <f>IF($G81="s-curve",$E81+($F81-$E81)*$L$2/(1+EXP($L$3*(COUNT($L$9:R$9)+$L$4))),TREND($E81:$F81,$E$9:$F$9,R$9))</f>
        <v>1.00970167475E-4</v>
      </c>
      <c r="S81">
        <f>IF($G81="s-curve",$E81+($F81-$E81)*$L$2/(1+EXP($L$3*(COUNT($L$9:S$9)+$L$4))),TREND($E81:$F81,$E$9:$F$9,S$9))</f>
        <v>1.00970167475E-4</v>
      </c>
      <c r="T81">
        <f>IF($G81="s-curve",$E81+($F81-$E81)*$L$2/(1+EXP($L$3*(COUNT($L$9:T$9)+$L$4))),TREND($E81:$F81,$E$9:$F$9,T$9))</f>
        <v>1.00970167475E-4</v>
      </c>
      <c r="U81">
        <f>IF($G81="s-curve",$E81+($F81-$E81)*$L$2/(1+EXP($L$3*(COUNT($L$9:U$9)+$L$4))),TREND($E81:$F81,$E$9:$F$9,U$9))</f>
        <v>1.00970167475E-4</v>
      </c>
      <c r="V81">
        <f>IF($G81="s-curve",$E81+($F81-$E81)*$L$2/(1+EXP($L$3*(COUNT($L$9:V$9)+$L$4))),TREND($E81:$F81,$E$9:$F$9,V$9))</f>
        <v>1.00970167475E-4</v>
      </c>
      <c r="W81">
        <f>IF($G81="s-curve",$E81+($F81-$E81)*$L$2/(1+EXP($L$3*(COUNT($L$9:W$9)+$L$4))),TREND($E81:$F81,$E$9:$F$9,W$9))</f>
        <v>1.00970167475E-4</v>
      </c>
      <c r="X81">
        <f>IF($G81="s-curve",$E81+($F81-$E81)*$L$2/(1+EXP($L$3*(COUNT($L$9:X$9)+$L$4))),TREND($E81:$F81,$E$9:$F$9,X$9))</f>
        <v>1.00970167475E-4</v>
      </c>
      <c r="Y81">
        <f>IF($G81="s-curve",$E81+($F81-$E81)*$L$2/(1+EXP($L$3*(COUNT($L$9:Y$9)+$L$4))),TREND($E81:$F81,$E$9:$F$9,Y$9))</f>
        <v>1.00970167475E-4</v>
      </c>
      <c r="Z81">
        <f>IF($G81="s-curve",$E81+($F81-$E81)*$L$2/(1+EXP($L$3*(COUNT($L$9:Z$9)+$L$4))),TREND($E81:$F81,$E$9:$F$9,Z$9))</f>
        <v>1.00970167475E-4</v>
      </c>
      <c r="AA81">
        <f>IF($G81="s-curve",$E81+($F81-$E81)*$L$2/(1+EXP($L$3*(COUNT($L$9:AA$9)+$L$4))),TREND($E81:$F81,$E$9:$F$9,AA$9))</f>
        <v>1.00970167475E-4</v>
      </c>
      <c r="AB81">
        <f>IF($G81="s-curve",$E81+($F81-$E81)*$L$2/(1+EXP($L$3*(COUNT($L$9:AB$9)+$L$4))),TREND($E81:$F81,$E$9:$F$9,AB$9))</f>
        <v>1.00970167475E-4</v>
      </c>
      <c r="AC81">
        <f>IF($G81="s-curve",$E81+($F81-$E81)*$L$2/(1+EXP($L$3*(COUNT($L$9:AC$9)+$L$4))),TREND($E81:$F81,$E$9:$F$9,AC$9))</f>
        <v>1.00970167475E-4</v>
      </c>
      <c r="AD81">
        <f>IF($G81="s-curve",$E81+($F81-$E81)*$L$2/(1+EXP($L$3*(COUNT($L$9:AD$9)+$L$4))),TREND($E81:$F81,$E$9:$F$9,AD$9))</f>
        <v>1.00970167475E-4</v>
      </c>
      <c r="AE81">
        <f>IF($G81="s-curve",$E81+($F81-$E81)*$L$2/(1+EXP($L$3*(COUNT($L$9:AE$9)+$L$4))),TREND($E81:$F81,$E$9:$F$9,AE$9))</f>
        <v>1.00970167475E-4</v>
      </c>
      <c r="AF81">
        <f>IF($G81="s-curve",$E81+($F81-$E81)*$L$2/(1+EXP($L$3*(COUNT($L$9:AF$9)+$L$4))),TREND($E81:$F81,$E$9:$F$9,AF$9))</f>
        <v>1.00970167475E-4</v>
      </c>
      <c r="AG81">
        <f>IF($G81="s-curve",$E81+($F81-$E81)*$L$2/(1+EXP($L$3*(COUNT($L$9:AG$9)+$L$4))),TREND($E81:$F81,$E$9:$F$9,AG$9))</f>
        <v>1.00970167475E-4</v>
      </c>
      <c r="AH81">
        <f>IF($G81="s-curve",$E81+($F81-$E81)*$L$2/(1+EXP($L$3*(COUNT($L$9:AH$9)+$L$4))),TREND($E81:$F81,$E$9:$F$9,AH$9))</f>
        <v>1.00970167475E-4</v>
      </c>
      <c r="AI81">
        <f>IF($G81="s-curve",$E81+($F81-$E81)*$L$2/(1+EXP($L$3*(COUNT($L$9:AI$9)+$L$4))),TREND($E81:$F81,$E$9:$F$9,AI$9))</f>
        <v>1.00970167475E-4</v>
      </c>
      <c r="AJ81">
        <f>IF($G81="s-curve",$E81+($F81-$E81)*$L$2/(1+EXP($L$3*(COUNT($L$9:AJ$9)+$L$4))),TREND($E81:$F81,$E$9:$F$9,AJ$9))</f>
        <v>1.00970167475E-4</v>
      </c>
      <c r="AK81">
        <f>IF($G81="s-curve",$E81+($F81-$E81)*$L$2/(1+EXP($L$3*(COUNT($L$9:AK$9)+$L$4))),TREND($E81:$F81,$E$9:$F$9,AK$9))</f>
        <v>1.00970167475E-4</v>
      </c>
      <c r="AL81">
        <f>IF($G81="s-curve",$E81+($F81-$E81)*$L$2/(1+EXP($L$3*(COUNT($L$9:AL$9)+$L$4))),TREND($E81:$F81,$E$9:$F$9,AL$9))</f>
        <v>1.00970167475E-4</v>
      </c>
    </row>
    <row r="82" spans="1:38" x14ac:dyDescent="0.35">
      <c r="C82" t="s">
        <v>39</v>
      </c>
      <c r="D82">
        <f t="shared" si="76"/>
        <v>1</v>
      </c>
      <c r="E82">
        <f t="shared" si="76"/>
        <v>1</v>
      </c>
      <c r="F82">
        <f t="shared" si="76"/>
        <v>1</v>
      </c>
      <c r="G82" s="5" t="str">
        <f>IF(E82=F82,"n/a",IF(OR(C82="battery electric vehicle",C82="natural gas vehicle",C82="plugin hybrid vehicle"),"s-curve","linear"))</f>
        <v>n/a</v>
      </c>
      <c r="I82">
        <f t="shared" ref="I82" si="79">J82</f>
        <v>1</v>
      </c>
      <c r="J82">
        <f t="shared" si="71"/>
        <v>1</v>
      </c>
      <c r="K82">
        <f t="shared" si="71"/>
        <v>1</v>
      </c>
      <c r="L82" s="16">
        <f t="shared" si="65"/>
        <v>1</v>
      </c>
      <c r="M82">
        <f>IF($G82="s-curve",$E82+($F82-$E82)*$L$2/(1+EXP($L$3*(COUNT($L$9:M$9)+$L$4))),TREND($E82:$F82,$E$9:$F$9,M$9))</f>
        <v>1</v>
      </c>
      <c r="N82">
        <f>IF($G82="s-curve",$E82+($F82-$E82)*$L$2/(1+EXP($L$3*(COUNT($L$9:N$9)+$L$4))),TREND($E82:$F82,$E$9:$F$9,N$9))</f>
        <v>1</v>
      </c>
      <c r="O82">
        <f>IF($G82="s-curve",$E82+($F82-$E82)*$L$2/(1+EXP($L$3*(COUNT($L$9:O$9)+$L$4))),TREND($E82:$F82,$E$9:$F$9,O$9))</f>
        <v>1</v>
      </c>
      <c r="P82">
        <f>IF($G82="s-curve",$E82+($F82-$E82)*$L$2/(1+EXP($L$3*(COUNT($L$9:P$9)+$L$4))),TREND($E82:$F82,$E$9:$F$9,P$9))</f>
        <v>1</v>
      </c>
      <c r="Q82">
        <f>IF($G82="s-curve",$E82+($F82-$E82)*$L$2/(1+EXP($L$3*(COUNT($L$9:Q$9)+$L$4))),TREND($E82:$F82,$E$9:$F$9,Q$9))</f>
        <v>1</v>
      </c>
      <c r="R82">
        <f>IF($G82="s-curve",$E82+($F82-$E82)*$L$2/(1+EXP($L$3*(COUNT($L$9:R$9)+$L$4))),TREND($E82:$F82,$E$9:$F$9,R$9))</f>
        <v>1</v>
      </c>
      <c r="S82">
        <f>IF($G82="s-curve",$E82+($F82-$E82)*$L$2/(1+EXP($L$3*(COUNT($L$9:S$9)+$L$4))),TREND($E82:$F82,$E$9:$F$9,S$9))</f>
        <v>1</v>
      </c>
      <c r="T82">
        <f>IF($G82="s-curve",$E82+($F82-$E82)*$L$2/(1+EXP($L$3*(COUNT($L$9:T$9)+$L$4))),TREND($E82:$F82,$E$9:$F$9,T$9))</f>
        <v>1</v>
      </c>
      <c r="U82">
        <f>IF($G82="s-curve",$E82+($F82-$E82)*$L$2/(1+EXP($L$3*(COUNT($L$9:U$9)+$L$4))),TREND($E82:$F82,$E$9:$F$9,U$9))</f>
        <v>1</v>
      </c>
      <c r="V82">
        <f>IF($G82="s-curve",$E82+($F82-$E82)*$L$2/(1+EXP($L$3*(COUNT($L$9:V$9)+$L$4))),TREND($E82:$F82,$E$9:$F$9,V$9))</f>
        <v>1</v>
      </c>
      <c r="W82">
        <f>IF($G82="s-curve",$E82+($F82-$E82)*$L$2/(1+EXP($L$3*(COUNT($L$9:W$9)+$L$4))),TREND($E82:$F82,$E$9:$F$9,W$9))</f>
        <v>1</v>
      </c>
      <c r="X82">
        <f>IF($G82="s-curve",$E82+($F82-$E82)*$L$2/(1+EXP($L$3*(COUNT($L$9:X$9)+$L$4))),TREND($E82:$F82,$E$9:$F$9,X$9))</f>
        <v>1</v>
      </c>
      <c r="Y82">
        <f>IF($G82="s-curve",$E82+($F82-$E82)*$L$2/(1+EXP($L$3*(COUNT($L$9:Y$9)+$L$4))),TREND($E82:$F82,$E$9:$F$9,Y$9))</f>
        <v>1</v>
      </c>
      <c r="Z82">
        <f>IF($G82="s-curve",$E82+($F82-$E82)*$L$2/(1+EXP($L$3*(COUNT($L$9:Z$9)+$L$4))),TREND($E82:$F82,$E$9:$F$9,Z$9))</f>
        <v>1</v>
      </c>
      <c r="AA82">
        <f>IF($G82="s-curve",$E82+($F82-$E82)*$L$2/(1+EXP($L$3*(COUNT($L$9:AA$9)+$L$4))),TREND($E82:$F82,$E$9:$F$9,AA$9))</f>
        <v>1</v>
      </c>
      <c r="AB82">
        <f>IF($G82="s-curve",$E82+($F82-$E82)*$L$2/(1+EXP($L$3*(COUNT($L$9:AB$9)+$L$4))),TREND($E82:$F82,$E$9:$F$9,AB$9))</f>
        <v>1</v>
      </c>
      <c r="AC82">
        <f>IF($G82="s-curve",$E82+($F82-$E82)*$L$2/(1+EXP($L$3*(COUNT($L$9:AC$9)+$L$4))),TREND($E82:$F82,$E$9:$F$9,AC$9))</f>
        <v>1</v>
      </c>
      <c r="AD82">
        <f>IF($G82="s-curve",$E82+($F82-$E82)*$L$2/(1+EXP($L$3*(COUNT($L$9:AD$9)+$L$4))),TREND($E82:$F82,$E$9:$F$9,AD$9))</f>
        <v>1</v>
      </c>
      <c r="AE82">
        <f>IF($G82="s-curve",$E82+($F82-$E82)*$L$2/(1+EXP($L$3*(COUNT($L$9:AE$9)+$L$4))),TREND($E82:$F82,$E$9:$F$9,AE$9))</f>
        <v>1</v>
      </c>
      <c r="AF82">
        <f>IF($G82="s-curve",$E82+($F82-$E82)*$L$2/(1+EXP($L$3*(COUNT($L$9:AF$9)+$L$4))),TREND($E82:$F82,$E$9:$F$9,AF$9))</f>
        <v>1</v>
      </c>
      <c r="AG82">
        <f>IF($G82="s-curve",$E82+($F82-$E82)*$L$2/(1+EXP($L$3*(COUNT($L$9:AG$9)+$L$4))),TREND($E82:$F82,$E$9:$F$9,AG$9))</f>
        <v>1</v>
      </c>
      <c r="AH82">
        <f>IF($G82="s-curve",$E82+($F82-$E82)*$L$2/(1+EXP($L$3*(COUNT($L$9:AH$9)+$L$4))),TREND($E82:$F82,$E$9:$F$9,AH$9))</f>
        <v>1</v>
      </c>
      <c r="AI82">
        <f>IF($G82="s-curve",$E82+($F82-$E82)*$L$2/(1+EXP($L$3*(COUNT($L$9:AI$9)+$L$4))),TREND($E82:$F82,$E$9:$F$9,AI$9))</f>
        <v>1</v>
      </c>
      <c r="AJ82">
        <f>IF($G82="s-curve",$E82+($F82-$E82)*$L$2/(1+EXP($L$3*(COUNT($L$9:AJ$9)+$L$4))),TREND($E82:$F82,$E$9:$F$9,AJ$9))</f>
        <v>1</v>
      </c>
      <c r="AK82">
        <f>IF($G82="s-curve",$E82+($F82-$E82)*$L$2/(1+EXP($L$3*(COUNT($L$9:AK$9)+$L$4))),TREND($E82:$F82,$E$9:$F$9,AK$9))</f>
        <v>1</v>
      </c>
      <c r="AL82">
        <f>IF($G82="s-curve",$E82+($F82-$E82)*$L$2/(1+EXP($L$3*(COUNT($L$9:AL$9)+$L$4))),TREND($E82:$F82,$E$9:$F$9,AL$9))</f>
        <v>1</v>
      </c>
    </row>
    <row r="83" spans="1:38" x14ac:dyDescent="0.35">
      <c r="C83" t="s">
        <v>40</v>
      </c>
      <c r="D83">
        <f t="shared" si="76"/>
        <v>6.6777915503600002E-2</v>
      </c>
      <c r="E83">
        <f t="shared" si="76"/>
        <v>6.7382959534800002E-2</v>
      </c>
      <c r="F83">
        <f t="shared" si="76"/>
        <v>6.7382959534800002E-2</v>
      </c>
      <c r="G83" s="5" t="str">
        <f>IF(E83=F83,"n/a",IF(OR(C83="battery electric vehicle",C83="natural gas vehicle",C83="plugin hybrid vehicle"),"s-curve","linear"))</f>
        <v>n/a</v>
      </c>
      <c r="I83">
        <f t="shared" ref="I83" si="80">J83</f>
        <v>6.7382959534800002E-2</v>
      </c>
      <c r="J83">
        <f t="shared" si="71"/>
        <v>6.7382959534800002E-2</v>
      </c>
      <c r="K83">
        <f t="shared" si="71"/>
        <v>6.7382959534800002E-2</v>
      </c>
      <c r="L83" s="16">
        <f t="shared" si="65"/>
        <v>6.7382959534800002E-2</v>
      </c>
      <c r="M83">
        <f>IF($G83="s-curve",$E83+($F83-$E83)*$L$2/(1+EXP($L$3*(COUNT($L$9:M$9)+$L$4))),TREND($E83:$F83,$E$9:$F$9,M$9))</f>
        <v>6.7382959534800002E-2</v>
      </c>
      <c r="N83">
        <f>IF($G83="s-curve",$E83+($F83-$E83)*$L$2/(1+EXP($L$3*(COUNT($L$9:N$9)+$L$4))),TREND($E83:$F83,$E$9:$F$9,N$9))</f>
        <v>6.7382959534800002E-2</v>
      </c>
      <c r="O83">
        <f>IF($G83="s-curve",$E83+($F83-$E83)*$L$2/(1+EXP($L$3*(COUNT($L$9:O$9)+$L$4))),TREND($E83:$F83,$E$9:$F$9,O$9))</f>
        <v>6.7382959534800002E-2</v>
      </c>
      <c r="P83">
        <f>IF($G83="s-curve",$E83+($F83-$E83)*$L$2/(1+EXP($L$3*(COUNT($L$9:P$9)+$L$4))),TREND($E83:$F83,$E$9:$F$9,P$9))</f>
        <v>6.7382959534800002E-2</v>
      </c>
      <c r="Q83">
        <f>IF($G83="s-curve",$E83+($F83-$E83)*$L$2/(1+EXP($L$3*(COUNT($L$9:Q$9)+$L$4))),TREND($E83:$F83,$E$9:$F$9,Q$9))</f>
        <v>6.7382959534800002E-2</v>
      </c>
      <c r="R83">
        <f>IF($G83="s-curve",$E83+($F83-$E83)*$L$2/(1+EXP($L$3*(COUNT($L$9:R$9)+$L$4))),TREND($E83:$F83,$E$9:$F$9,R$9))</f>
        <v>6.7382959534800002E-2</v>
      </c>
      <c r="S83">
        <f>IF($G83="s-curve",$E83+($F83-$E83)*$L$2/(1+EXP($L$3*(COUNT($L$9:S$9)+$L$4))),TREND($E83:$F83,$E$9:$F$9,S$9))</f>
        <v>6.7382959534800002E-2</v>
      </c>
      <c r="T83">
        <f>IF($G83="s-curve",$E83+($F83-$E83)*$L$2/(1+EXP($L$3*(COUNT($L$9:T$9)+$L$4))),TREND($E83:$F83,$E$9:$F$9,T$9))</f>
        <v>6.7382959534800002E-2</v>
      </c>
      <c r="U83">
        <f>IF($G83="s-curve",$E83+($F83-$E83)*$L$2/(1+EXP($L$3*(COUNT($L$9:U$9)+$L$4))),TREND($E83:$F83,$E$9:$F$9,U$9))</f>
        <v>6.7382959534800002E-2</v>
      </c>
      <c r="V83">
        <f>IF($G83="s-curve",$E83+($F83-$E83)*$L$2/(1+EXP($L$3*(COUNT($L$9:V$9)+$L$4))),TREND($E83:$F83,$E$9:$F$9,V$9))</f>
        <v>6.7382959534800002E-2</v>
      </c>
      <c r="W83">
        <f>IF($G83="s-curve",$E83+($F83-$E83)*$L$2/(1+EXP($L$3*(COUNT($L$9:W$9)+$L$4))),TREND($E83:$F83,$E$9:$F$9,W$9))</f>
        <v>6.7382959534800002E-2</v>
      </c>
      <c r="X83">
        <f>IF($G83="s-curve",$E83+($F83-$E83)*$L$2/(1+EXP($L$3*(COUNT($L$9:X$9)+$L$4))),TREND($E83:$F83,$E$9:$F$9,X$9))</f>
        <v>6.7382959534800002E-2</v>
      </c>
      <c r="Y83">
        <f>IF($G83="s-curve",$E83+($F83-$E83)*$L$2/(1+EXP($L$3*(COUNT($L$9:Y$9)+$L$4))),TREND($E83:$F83,$E$9:$F$9,Y$9))</f>
        <v>6.7382959534800002E-2</v>
      </c>
      <c r="Z83">
        <f>IF($G83="s-curve",$E83+($F83-$E83)*$L$2/(1+EXP($L$3*(COUNT($L$9:Z$9)+$L$4))),TREND($E83:$F83,$E$9:$F$9,Z$9))</f>
        <v>6.7382959534800002E-2</v>
      </c>
      <c r="AA83">
        <f>IF($G83="s-curve",$E83+($F83-$E83)*$L$2/(1+EXP($L$3*(COUNT($L$9:AA$9)+$L$4))),TREND($E83:$F83,$E$9:$F$9,AA$9))</f>
        <v>6.7382959534800002E-2</v>
      </c>
      <c r="AB83">
        <f>IF($G83="s-curve",$E83+($F83-$E83)*$L$2/(1+EXP($L$3*(COUNT($L$9:AB$9)+$L$4))),TREND($E83:$F83,$E$9:$F$9,AB$9))</f>
        <v>6.7382959534800002E-2</v>
      </c>
      <c r="AC83">
        <f>IF($G83="s-curve",$E83+($F83-$E83)*$L$2/(1+EXP($L$3*(COUNT($L$9:AC$9)+$L$4))),TREND($E83:$F83,$E$9:$F$9,AC$9))</f>
        <v>6.7382959534800002E-2</v>
      </c>
      <c r="AD83">
        <f>IF($G83="s-curve",$E83+($F83-$E83)*$L$2/(1+EXP($L$3*(COUNT($L$9:AD$9)+$L$4))),TREND($E83:$F83,$E$9:$F$9,AD$9))</f>
        <v>6.7382959534800002E-2</v>
      </c>
      <c r="AE83">
        <f>IF($G83="s-curve",$E83+($F83-$E83)*$L$2/(1+EXP($L$3*(COUNT($L$9:AE$9)+$L$4))),TREND($E83:$F83,$E$9:$F$9,AE$9))</f>
        <v>6.7382959534800002E-2</v>
      </c>
      <c r="AF83">
        <f>IF($G83="s-curve",$E83+($F83-$E83)*$L$2/(1+EXP($L$3*(COUNT($L$9:AF$9)+$L$4))),TREND($E83:$F83,$E$9:$F$9,AF$9))</f>
        <v>6.7382959534800002E-2</v>
      </c>
      <c r="AG83">
        <f>IF($G83="s-curve",$E83+($F83-$E83)*$L$2/(1+EXP($L$3*(COUNT($L$9:AG$9)+$L$4))),TREND($E83:$F83,$E$9:$F$9,AG$9))</f>
        <v>6.7382959534800002E-2</v>
      </c>
      <c r="AH83">
        <f>IF($G83="s-curve",$E83+($F83-$E83)*$L$2/(1+EXP($L$3*(COUNT($L$9:AH$9)+$L$4))),TREND($E83:$F83,$E$9:$F$9,AH$9))</f>
        <v>6.7382959534800002E-2</v>
      </c>
      <c r="AI83">
        <f>IF($G83="s-curve",$E83+($F83-$E83)*$L$2/(1+EXP($L$3*(COUNT($L$9:AI$9)+$L$4))),TREND($E83:$F83,$E$9:$F$9,AI$9))</f>
        <v>6.7382959534800002E-2</v>
      </c>
      <c r="AJ83">
        <f>IF($G83="s-curve",$E83+($F83-$E83)*$L$2/(1+EXP($L$3*(COUNT($L$9:AJ$9)+$L$4))),TREND($E83:$F83,$E$9:$F$9,AJ$9))</f>
        <v>6.7382959534800002E-2</v>
      </c>
      <c r="AK83">
        <f>IF($G83="s-curve",$E83+($F83-$E83)*$L$2/(1+EXP($L$3*(COUNT($L$9:AK$9)+$L$4))),TREND($E83:$F83,$E$9:$F$9,AK$9))</f>
        <v>6.7382959534800002E-2</v>
      </c>
      <c r="AL83">
        <f>IF($G83="s-curve",$E83+($F83-$E83)*$L$2/(1+EXP($L$3*(COUNT($L$9:AL$9)+$L$4))),TREND($E83:$F83,$E$9:$F$9,AL$9))</f>
        <v>6.7382959534800002E-2</v>
      </c>
    </row>
    <row r="84" spans="1:38" x14ac:dyDescent="0.35">
      <c r="C84" t="s">
        <v>41</v>
      </c>
      <c r="D84">
        <f t="shared" si="76"/>
        <v>1.68426429502E-2</v>
      </c>
      <c r="E84">
        <f t="shared" si="76"/>
        <v>1.4073498597800001E-2</v>
      </c>
      <c r="F84">
        <f t="shared" si="76"/>
        <v>0.10239066607264966</v>
      </c>
      <c r="G84" s="5" t="str">
        <f>IF(E84=F84,"n/a",IF(OR(C84="battery electric vehicle",C84="natural gas vehicle",C84="plugin hybrid vehicle"),"s-curve","linear"))</f>
        <v>s-curve</v>
      </c>
      <c r="I84">
        <f t="shared" ref="I84" si="81">J84</f>
        <v>1.4073498597800001E-2</v>
      </c>
      <c r="J84">
        <f t="shared" si="71"/>
        <v>1.4073498597800001E-2</v>
      </c>
      <c r="K84">
        <f t="shared" si="71"/>
        <v>1.4073498597800001E-2</v>
      </c>
      <c r="L84" s="16">
        <f t="shared" si="65"/>
        <v>1.4073498597800001E-2</v>
      </c>
      <c r="M84">
        <f>IF($G84="s-curve",$E84+($F84-$E84)*$L$2/(1+EXP($L$3*(COUNT($L$9:M$9)+$L$4))),TREND($E84:$F84,$E$9:$F$9,M$9))</f>
        <v>1.5378299229133533E-2</v>
      </c>
      <c r="N84">
        <f>IF($G84="s-curve",$E84+($F84-$E84)*$L$2/(1+EXP($L$3*(COUNT($L$9:N$9)+$L$4))),TREND($E84:$F84,$E$9:$F$9,N$9))</f>
        <v>1.5825738202068743E-2</v>
      </c>
      <c r="O84">
        <f>IF($G84="s-curve",$E84+($F84-$E84)*$L$2/(1+EXP($L$3*(COUNT($L$9:O$9)+$L$4))),TREND($E84:$F84,$E$9:$F$9,O$9))</f>
        <v>1.6422469733855565E-2</v>
      </c>
      <c r="P84">
        <f>IF($G84="s-curve",$E84+($F84-$E84)*$L$2/(1+EXP($L$3*(COUNT($L$9:P$9)+$L$4))),TREND($E84:$F84,$E$9:$F$9,P$9))</f>
        <v>1.7215045278070985E-2</v>
      </c>
      <c r="Q84">
        <f>IF($G84="s-curve",$E84+($F84-$E84)*$L$2/(1+EXP($L$3*(COUNT($L$9:Q$9)+$L$4))),TREND($E84:$F84,$E$9:$F$9,Q$9))</f>
        <v>1.8262017381864146E-2</v>
      </c>
      <c r="R84">
        <f>IF($G84="s-curve",$E84+($F84-$E84)*$L$2/(1+EXP($L$3*(COUNT($L$9:R$9)+$L$4))),TREND($E84:$F84,$E$9:$F$9,R$9))</f>
        <v>1.96351270311391E-2</v>
      </c>
      <c r="S84">
        <f>IF($G84="s-curve",$E84+($F84-$E84)*$L$2/(1+EXP($L$3*(COUNT($L$9:S$9)+$L$4))),TREND($E84:$F84,$E$9:$F$9,S$9))</f>
        <v>2.1419075563388585E-2</v>
      </c>
      <c r="T84">
        <f>IF($G84="s-curve",$E84+($F84-$E84)*$L$2/(1+EXP($L$3*(COUNT($L$9:T$9)+$L$4))),TREND($E84:$F84,$E$9:$F$9,T$9))</f>
        <v>2.3708620826306676E-2</v>
      </c>
      <c r="U84">
        <f>IF($G84="s-curve",$E84+($F84-$E84)*$L$2/(1+EXP($L$3*(COUNT($L$9:U$9)+$L$4))),TREND($E84:$F84,$E$9:$F$9,U$9))</f>
        <v>2.6601382853102151E-2</v>
      </c>
      <c r="V84">
        <f>IF($G84="s-curve",$E84+($F84-$E84)*$L$2/(1+EXP($L$3*(COUNT($L$9:V$9)+$L$4))),TREND($E84:$F84,$E$9:$F$9,V$9))</f>
        <v>3.0184804135493147E-2</v>
      </c>
      <c r="W84">
        <f>IF($G84="s-curve",$E84+($F84-$E84)*$L$2/(1+EXP($L$3*(COUNT($L$9:W$9)+$L$4))),TREND($E84:$F84,$E$9:$F$9,W$9))</f>
        <v>3.4516734059794343E-2</v>
      </c>
      <c r="X84">
        <f>IF($G84="s-curve",$E84+($F84-$E84)*$L$2/(1+EXP($L$3*(COUNT($L$9:X$9)+$L$4))),TREND($E84:$F84,$E$9:$F$9,X$9))</f>
        <v>3.9601619783156121E-2</v>
      </c>
      <c r="Y84">
        <f>IF($G84="s-curve",$E84+($F84-$E84)*$L$2/(1+EXP($L$3*(COUNT($L$9:Y$9)+$L$4))),TREND($E84:$F84,$E$9:$F$9,Y$9))</f>
        <v>4.5368129944513266E-2</v>
      </c>
      <c r="Z84">
        <f>IF($G84="s-curve",$E84+($F84-$E84)*$L$2/(1+EXP($L$3*(COUNT($L$9:Z$9)+$L$4))),TREND($E84:$F84,$E$9:$F$9,Z$9))</f>
        <v>5.1657530110720232E-2</v>
      </c>
      <c r="AA84">
        <f>IF($G84="s-curve",$E84+($F84-$E84)*$L$2/(1+EXP($L$3*(COUNT($L$9:AA$9)+$L$4))),TREND($E84:$F84,$E$9:$F$9,AA$9))</f>
        <v>5.8232082335224832E-2</v>
      </c>
      <c r="AB84">
        <f>IF($G84="s-curve",$E84+($F84-$E84)*$L$2/(1+EXP($L$3*(COUNT($L$9:AB$9)+$L$4))),TREND($E84:$F84,$E$9:$F$9,AB$9))</f>
        <v>6.4806634559729431E-2</v>
      </c>
      <c r="AC84">
        <f>IF($G84="s-curve",$E84+($F84-$E84)*$L$2/(1+EXP($L$3*(COUNT($L$9:AC$9)+$L$4))),TREND($E84:$F84,$E$9:$F$9,AC$9))</f>
        <v>7.1096034725936397E-2</v>
      </c>
      <c r="AD84">
        <f>IF($G84="s-curve",$E84+($F84-$E84)*$L$2/(1+EXP($L$3*(COUNT($L$9:AD$9)+$L$4))),TREND($E84:$F84,$E$9:$F$9,AD$9))</f>
        <v>7.6862544887293549E-2</v>
      </c>
      <c r="AE84">
        <f>IF($G84="s-curve",$E84+($F84-$E84)*$L$2/(1+EXP($L$3*(COUNT($L$9:AE$9)+$L$4))),TREND($E84:$F84,$E$9:$F$9,AE$9))</f>
        <v>8.194743061065532E-2</v>
      </c>
      <c r="AF84">
        <f>IF($G84="s-curve",$E84+($F84-$E84)*$L$2/(1+EXP($L$3*(COUNT($L$9:AF$9)+$L$4))),TREND($E84:$F84,$E$9:$F$9,AF$9))</f>
        <v>8.6279360534956523E-2</v>
      </c>
      <c r="AG84">
        <f>IF($G84="s-curve",$E84+($F84-$E84)*$L$2/(1+EXP($L$3*(COUNT($L$9:AG$9)+$L$4))),TREND($E84:$F84,$E$9:$F$9,AG$9))</f>
        <v>8.9862781817347526E-2</v>
      </c>
      <c r="AH84">
        <f>IF($G84="s-curve",$E84+($F84-$E84)*$L$2/(1+EXP($L$3*(COUNT($L$9:AH$9)+$L$4))),TREND($E84:$F84,$E$9:$F$9,AH$9))</f>
        <v>9.2755543844143001E-2</v>
      </c>
      <c r="AI84">
        <f>IF($G84="s-curve",$E84+($F84-$E84)*$L$2/(1+EXP($L$3*(COUNT($L$9:AI$9)+$L$4))),TREND($E84:$F84,$E$9:$F$9,AI$9))</f>
        <v>9.5045089107061081E-2</v>
      </c>
      <c r="AJ84">
        <f>IF($G84="s-curve",$E84+($F84-$E84)*$L$2/(1+EXP($L$3*(COUNT($L$9:AJ$9)+$L$4))),TREND($E84:$F84,$E$9:$F$9,AJ$9))</f>
        <v>9.6829037639310556E-2</v>
      </c>
      <c r="AK84">
        <f>IF($G84="s-curve",$E84+($F84-$E84)*$L$2/(1+EXP($L$3*(COUNT($L$9:AK$9)+$L$4))),TREND($E84:$F84,$E$9:$F$9,AK$9))</f>
        <v>9.8202147288585534E-2</v>
      </c>
      <c r="AL84">
        <f>IF($G84="s-curve",$E84+($F84-$E84)*$L$2/(1+EXP($L$3*(COUNT($L$9:AL$9)+$L$4))),TREND($E84:$F84,$E$9:$F$9,AL$9))</f>
        <v>9.9249119392378682E-2</v>
      </c>
    </row>
    <row r="85" spans="1:38" x14ac:dyDescent="0.35">
      <c r="C85" t="s">
        <v>42</v>
      </c>
      <c r="D85">
        <f t="shared" si="76"/>
        <v>0</v>
      </c>
      <c r="E85">
        <f t="shared" si="76"/>
        <v>0</v>
      </c>
      <c r="F85">
        <f t="shared" si="76"/>
        <v>0</v>
      </c>
      <c r="G85" s="5" t="str">
        <f>IF(E85=F85,"n/a",IF(OR(C85="battery electric vehicle",C85="natural gas vehicle",C85="plugin hybrid vehicle",C85="hydrogen vehicle"),"s-curve","linear"))</f>
        <v>n/a</v>
      </c>
      <c r="I85">
        <f t="shared" ref="I85" si="82">J85</f>
        <v>0</v>
      </c>
      <c r="J85">
        <f t="shared" si="71"/>
        <v>0</v>
      </c>
      <c r="K85">
        <f t="shared" si="71"/>
        <v>0</v>
      </c>
      <c r="L85" s="16">
        <f t="shared" si="65"/>
        <v>0</v>
      </c>
      <c r="M85">
        <f>IF($G85="s-curve",$E85+($F85-$E85)*$L$2/(1+EXP($L$3*(COUNT($L$9:M$9)+$L$4))),TREND($E85:$F85,$E$9:$F$9,M$9))</f>
        <v>0</v>
      </c>
      <c r="N85">
        <f>IF($G85="s-curve",$E85+($F85-$E85)*$L$2/(1+EXP($L$3*(COUNT($L$9:N$9)+$L$4))),TREND($E85:$F85,$E$9:$F$9,N$9))</f>
        <v>0</v>
      </c>
      <c r="O85">
        <f>IF($G85="s-curve",$E85+($F85-$E85)*$L$2/(1+EXP($L$3*(COUNT($L$9:O$9)+$L$4))),TREND($E85:$F85,$E$9:$F$9,O$9))</f>
        <v>0</v>
      </c>
      <c r="P85">
        <f>IF($G85="s-curve",$E85+($F85-$E85)*$L$2/(1+EXP($L$3*(COUNT($L$9:P$9)+$L$4))),TREND($E85:$F85,$E$9:$F$9,P$9))</f>
        <v>0</v>
      </c>
      <c r="Q85">
        <f>IF($G85="s-curve",$E85+($F85-$E85)*$L$2/(1+EXP($L$3*(COUNT($L$9:Q$9)+$L$4))),TREND($E85:$F85,$E$9:$F$9,Q$9))</f>
        <v>0</v>
      </c>
      <c r="R85">
        <f>IF($G85="s-curve",$E85+($F85-$E85)*$L$2/(1+EXP($L$3*(COUNT($L$9:R$9)+$L$4))),TREND($E85:$F85,$E$9:$F$9,R$9))</f>
        <v>0</v>
      </c>
      <c r="S85">
        <f>IF($G85="s-curve",$E85+($F85-$E85)*$L$2/(1+EXP($L$3*(COUNT($L$9:S$9)+$L$4))),TREND($E85:$F85,$E$9:$F$9,S$9))</f>
        <v>0</v>
      </c>
      <c r="T85">
        <f>IF($G85="s-curve",$E85+($F85-$E85)*$L$2/(1+EXP($L$3*(COUNT($L$9:T$9)+$L$4))),TREND($E85:$F85,$E$9:$F$9,T$9))</f>
        <v>0</v>
      </c>
      <c r="U85">
        <f>IF($G85="s-curve",$E85+($F85-$E85)*$L$2/(1+EXP($L$3*(COUNT($L$9:U$9)+$L$4))),TREND($E85:$F85,$E$9:$F$9,U$9))</f>
        <v>0</v>
      </c>
      <c r="V85">
        <f>IF($G85="s-curve",$E85+($F85-$E85)*$L$2/(1+EXP($L$3*(COUNT($L$9:V$9)+$L$4))),TREND($E85:$F85,$E$9:$F$9,V$9))</f>
        <v>0</v>
      </c>
      <c r="W85">
        <f>IF($G85="s-curve",$E85+($F85-$E85)*$L$2/(1+EXP($L$3*(COUNT($L$9:W$9)+$L$4))),TREND($E85:$F85,$E$9:$F$9,W$9))</f>
        <v>0</v>
      </c>
      <c r="X85">
        <f>IF($G85="s-curve",$E85+($F85-$E85)*$L$2/(1+EXP($L$3*(COUNT($L$9:X$9)+$L$4))),TREND($E85:$F85,$E$9:$F$9,X$9))</f>
        <v>0</v>
      </c>
      <c r="Y85">
        <f>IF($G85="s-curve",$E85+($F85-$E85)*$L$2/(1+EXP($L$3*(COUNT($L$9:Y$9)+$L$4))),TREND($E85:$F85,$E$9:$F$9,Y$9))</f>
        <v>0</v>
      </c>
      <c r="Z85">
        <f>IF($G85="s-curve",$E85+($F85-$E85)*$L$2/(1+EXP($L$3*(COUNT($L$9:Z$9)+$L$4))),TREND($E85:$F85,$E$9:$F$9,Z$9))</f>
        <v>0</v>
      </c>
      <c r="AA85">
        <f>IF($G85="s-curve",$E85+($F85-$E85)*$L$2/(1+EXP($L$3*(COUNT($L$9:AA$9)+$L$4))),TREND($E85:$F85,$E$9:$F$9,AA$9))</f>
        <v>0</v>
      </c>
      <c r="AB85">
        <f>IF($G85="s-curve",$E85+($F85-$E85)*$L$2/(1+EXP($L$3*(COUNT($L$9:AB$9)+$L$4))),TREND($E85:$F85,$E$9:$F$9,AB$9))</f>
        <v>0</v>
      </c>
      <c r="AC85">
        <f>IF($G85="s-curve",$E85+($F85-$E85)*$L$2/(1+EXP($L$3*(COUNT($L$9:AC$9)+$L$4))),TREND($E85:$F85,$E$9:$F$9,AC$9))</f>
        <v>0</v>
      </c>
      <c r="AD85">
        <f>IF($G85="s-curve",$E85+($F85-$E85)*$L$2/(1+EXP($L$3*(COUNT($L$9:AD$9)+$L$4))),TREND($E85:$F85,$E$9:$F$9,AD$9))</f>
        <v>0</v>
      </c>
      <c r="AE85">
        <f>IF($G85="s-curve",$E85+($F85-$E85)*$L$2/(1+EXP($L$3*(COUNT($L$9:AE$9)+$L$4))),TREND($E85:$F85,$E$9:$F$9,AE$9))</f>
        <v>0</v>
      </c>
      <c r="AF85">
        <f>IF($G85="s-curve",$E85+($F85-$E85)*$L$2/(1+EXP($L$3*(COUNT($L$9:AF$9)+$L$4))),TREND($E85:$F85,$E$9:$F$9,AF$9))</f>
        <v>0</v>
      </c>
      <c r="AG85">
        <f>IF($G85="s-curve",$E85+($F85-$E85)*$L$2/(1+EXP($L$3*(COUNT($L$9:AG$9)+$L$4))),TREND($E85:$F85,$E$9:$F$9,AG$9))</f>
        <v>0</v>
      </c>
      <c r="AH85">
        <f>IF($G85="s-curve",$E85+($F85-$E85)*$L$2/(1+EXP($L$3*(COUNT($L$9:AH$9)+$L$4))),TREND($E85:$F85,$E$9:$F$9,AH$9))</f>
        <v>0</v>
      </c>
      <c r="AI85">
        <f>IF($G85="s-curve",$E85+($F85-$E85)*$L$2/(1+EXP($L$3*(COUNT($L$9:AI$9)+$L$4))),TREND($E85:$F85,$E$9:$F$9,AI$9))</f>
        <v>0</v>
      </c>
      <c r="AJ85">
        <f>IF($G85="s-curve",$E85+($F85-$E85)*$L$2/(1+EXP($L$3*(COUNT($L$9:AJ$9)+$L$4))),TREND($E85:$F85,$E$9:$F$9,AJ$9))</f>
        <v>0</v>
      </c>
      <c r="AK85">
        <f>IF($G85="s-curve",$E85+($F85-$E85)*$L$2/(1+EXP($L$3*(COUNT($L$9:AK$9)+$L$4))),TREND($E85:$F85,$E$9:$F$9,AK$9))</f>
        <v>0</v>
      </c>
      <c r="AL85">
        <f>IF($G85="s-curve",$E85+($F85-$E85)*$L$2/(1+EXP($L$3*(COUNT($L$9:AL$9)+$L$4))),TREND($E85:$F85,$E$9:$F$9,AL$9))</f>
        <v>0</v>
      </c>
    </row>
    <row r="86" spans="1:38" ht="15.75" customHeight="1" thickBot="1" x14ac:dyDescent="0.4">
      <c r="A86" s="17"/>
      <c r="B86" s="17"/>
      <c r="C86" s="17" t="s">
        <v>43</v>
      </c>
      <c r="D86">
        <f t="shared" si="76"/>
        <v>0</v>
      </c>
      <c r="E86">
        <f t="shared" si="76"/>
        <v>0</v>
      </c>
      <c r="F86">
        <f t="shared" si="76"/>
        <v>0</v>
      </c>
      <c r="G86" s="6" t="str">
        <f>IF(E86=F86,"n/a",IF(OR(C86="battery electric vehicle",C86="natural gas vehicle",C86="plugin hybrid vehicle",C86="hydrogen vehicle"),"s-curve","linear"))</f>
        <v>n/a</v>
      </c>
      <c r="I86">
        <f t="shared" ref="I86" si="83">J86</f>
        <v>0</v>
      </c>
      <c r="J86">
        <f t="shared" si="71"/>
        <v>0</v>
      </c>
      <c r="K86">
        <f t="shared" si="71"/>
        <v>0</v>
      </c>
      <c r="L86" s="16">
        <f t="shared" si="65"/>
        <v>0</v>
      </c>
      <c r="M86">
        <f>IF($G86="s-curve",$E86+($F86-$E86)*$L$2/(1+EXP($L$3*(COUNT($L$9:M$9)+$L$4))),TREND($E86:$F86,$E$9:$F$9,M$9))</f>
        <v>0</v>
      </c>
      <c r="N86">
        <f>IF($G86="s-curve",$E86+($F86-$E86)*$L$2/(1+EXP($L$3*(COUNT($L$9:N$9)+$L$4))),TREND($E86:$F86,$E$9:$F$9,N$9))</f>
        <v>0</v>
      </c>
      <c r="O86">
        <f>IF($G86="s-curve",$E86+($F86-$E86)*$L$2/(1+EXP($L$3*(COUNT($L$9:O$9)+$L$4))),TREND($E86:$F86,$E$9:$F$9,O$9))</f>
        <v>0</v>
      </c>
      <c r="P86">
        <f>IF($G86="s-curve",$E86+($F86-$E86)*$L$2/(1+EXP($L$3*(COUNT($L$9:P$9)+$L$4))),TREND($E86:$F86,$E$9:$F$9,P$9))</f>
        <v>0</v>
      </c>
      <c r="Q86">
        <f>IF($G86="s-curve",$E86+($F86-$E86)*$L$2/(1+EXP($L$3*(COUNT($L$9:Q$9)+$L$4))),TREND($E86:$F86,$E$9:$F$9,Q$9))</f>
        <v>0</v>
      </c>
      <c r="R86">
        <f>IF($G86="s-curve",$E86+($F86-$E86)*$L$2/(1+EXP($L$3*(COUNT($L$9:R$9)+$L$4))),TREND($E86:$F86,$E$9:$F$9,R$9))</f>
        <v>0</v>
      </c>
      <c r="S86">
        <f>IF($G86="s-curve",$E86+($F86-$E86)*$L$2/(1+EXP($L$3*(COUNT($L$9:S$9)+$L$4))),TREND($E86:$F86,$E$9:$F$9,S$9))</f>
        <v>0</v>
      </c>
      <c r="T86">
        <f>IF($G86="s-curve",$E86+($F86-$E86)*$L$2/(1+EXP($L$3*(COUNT($L$9:T$9)+$L$4))),TREND($E86:$F86,$E$9:$F$9,T$9))</f>
        <v>0</v>
      </c>
      <c r="U86">
        <f>IF($G86="s-curve",$E86+($F86-$E86)*$L$2/(1+EXP($L$3*(COUNT($L$9:U$9)+$L$4))),TREND($E86:$F86,$E$9:$F$9,U$9))</f>
        <v>0</v>
      </c>
      <c r="V86">
        <f>IF($G86="s-curve",$E86+($F86-$E86)*$L$2/(1+EXP($L$3*(COUNT($L$9:V$9)+$L$4))),TREND($E86:$F86,$E$9:$F$9,V$9))</f>
        <v>0</v>
      </c>
      <c r="W86">
        <f>IF($G86="s-curve",$E86+($F86-$E86)*$L$2/(1+EXP($L$3*(COUNT($L$9:W$9)+$L$4))),TREND($E86:$F86,$E$9:$F$9,W$9))</f>
        <v>0</v>
      </c>
      <c r="X86">
        <f>IF($G86="s-curve",$E86+($F86-$E86)*$L$2/(1+EXP($L$3*(COUNT($L$9:X$9)+$L$4))),TREND($E86:$F86,$E$9:$F$9,X$9))</f>
        <v>0</v>
      </c>
      <c r="Y86">
        <f>IF($G86="s-curve",$E86+($F86-$E86)*$L$2/(1+EXP($L$3*(COUNT($L$9:Y$9)+$L$4))),TREND($E86:$F86,$E$9:$F$9,Y$9))</f>
        <v>0</v>
      </c>
      <c r="Z86">
        <f>IF($G86="s-curve",$E86+($F86-$E86)*$L$2/(1+EXP($L$3*(COUNT($L$9:Z$9)+$L$4))),TREND($E86:$F86,$E$9:$F$9,Z$9))</f>
        <v>0</v>
      </c>
      <c r="AA86">
        <f>IF($G86="s-curve",$E86+($F86-$E86)*$L$2/(1+EXP($L$3*(COUNT($L$9:AA$9)+$L$4))),TREND($E86:$F86,$E$9:$F$9,AA$9))</f>
        <v>0</v>
      </c>
      <c r="AB86">
        <f>IF($G86="s-curve",$E86+($F86-$E86)*$L$2/(1+EXP($L$3*(COUNT($L$9:AB$9)+$L$4))),TREND($E86:$F86,$E$9:$F$9,AB$9))</f>
        <v>0</v>
      </c>
      <c r="AC86">
        <f>IF($G86="s-curve",$E86+($F86-$E86)*$L$2/(1+EXP($L$3*(COUNT($L$9:AC$9)+$L$4))),TREND($E86:$F86,$E$9:$F$9,AC$9))</f>
        <v>0</v>
      </c>
      <c r="AD86">
        <f>IF($G86="s-curve",$E86+($F86-$E86)*$L$2/(1+EXP($L$3*(COUNT($L$9:AD$9)+$L$4))),TREND($E86:$F86,$E$9:$F$9,AD$9))</f>
        <v>0</v>
      </c>
      <c r="AE86">
        <f>IF($G86="s-curve",$E86+($F86-$E86)*$L$2/(1+EXP($L$3*(COUNT($L$9:AE$9)+$L$4))),TREND($E86:$F86,$E$9:$F$9,AE$9))</f>
        <v>0</v>
      </c>
      <c r="AF86">
        <f>IF($G86="s-curve",$E86+($F86-$E86)*$L$2/(1+EXP($L$3*(COUNT($L$9:AF$9)+$L$4))),TREND($E86:$F86,$E$9:$F$9,AF$9))</f>
        <v>0</v>
      </c>
      <c r="AG86">
        <f>IF($G86="s-curve",$E86+($F86-$E86)*$L$2/(1+EXP($L$3*(COUNT($L$9:AG$9)+$L$4))),TREND($E86:$F86,$E$9:$F$9,AG$9))</f>
        <v>0</v>
      </c>
      <c r="AH86">
        <f>IF($G86="s-curve",$E86+($F86-$E86)*$L$2/(1+EXP($L$3*(COUNT($L$9:AH$9)+$L$4))),TREND($E86:$F86,$E$9:$F$9,AH$9))</f>
        <v>0</v>
      </c>
      <c r="AI86">
        <f>IF($G86="s-curve",$E86+($F86-$E86)*$L$2/(1+EXP($L$3*(COUNT($L$9:AI$9)+$L$4))),TREND($E86:$F86,$E$9:$F$9,AI$9))</f>
        <v>0</v>
      </c>
      <c r="AJ86">
        <f>IF($G86="s-curve",$E86+($F86-$E86)*$L$2/(1+EXP($L$3*(COUNT($L$9:AJ$9)+$L$4))),TREND($E86:$F86,$E$9:$F$9,AJ$9))</f>
        <v>0</v>
      </c>
      <c r="AK86">
        <f>IF($G86="s-curve",$E86+($F86-$E86)*$L$2/(1+EXP($L$3*(COUNT($L$9:AK$9)+$L$4))),TREND($E86:$F86,$E$9:$F$9,AK$9))</f>
        <v>0</v>
      </c>
      <c r="AL86">
        <f>IF($G86="s-curve",$E86+($F86-$E86)*$L$2/(1+EXP($L$3*(COUNT($L$9:AL$9)+$L$4))),TREND($E86:$F86,$E$9:$F$9,AL$9))</f>
        <v>0</v>
      </c>
    </row>
    <row r="87" spans="1:38" x14ac:dyDescent="0.3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>
        <f t="shared" ref="I87" si="84">J87</f>
        <v>0</v>
      </c>
      <c r="J87">
        <f t="shared" si="71"/>
        <v>0</v>
      </c>
      <c r="K87">
        <f t="shared" si="71"/>
        <v>0</v>
      </c>
      <c r="L87" s="16">
        <f t="shared" si="65"/>
        <v>0</v>
      </c>
      <c r="M87">
        <f>IF($G87="s-curve",$E87+($F87-$E87)*$L$2/(1+EXP($L$3*(COUNT($L$9:M$9)+$L$4))),TREND($E87:$F87,$E$9:$F$9,M$9))</f>
        <v>0</v>
      </c>
      <c r="N87">
        <f>IF($G87="s-curve",$E87+($F87-$E87)*$L$2/(1+EXP($L$3*(COUNT($L$9:N$9)+$L$4))),TREND($E87:$F87,$E$9:$F$9,N$9))</f>
        <v>0</v>
      </c>
      <c r="O87">
        <f>IF($G87="s-curve",$E87+($F87-$E87)*$L$2/(1+EXP($L$3*(COUNT($L$9:O$9)+$L$4))),TREND($E87:$F87,$E$9:$F$9,O$9))</f>
        <v>0</v>
      </c>
      <c r="P87">
        <f>IF($G87="s-curve",$E87+($F87-$E87)*$L$2/(1+EXP($L$3*(COUNT($L$9:P$9)+$L$4))),TREND($E87:$F87,$E$9:$F$9,P$9))</f>
        <v>0</v>
      </c>
      <c r="Q87">
        <f>IF($G87="s-curve",$E87+($F87-$E87)*$L$2/(1+EXP($L$3*(COUNT($L$9:Q$9)+$L$4))),TREND($E87:$F87,$E$9:$F$9,Q$9))</f>
        <v>0</v>
      </c>
      <c r="R87">
        <f>IF($G87="s-curve",$E87+($F87-$E87)*$L$2/(1+EXP($L$3*(COUNT($L$9:R$9)+$L$4))),TREND($E87:$F87,$E$9:$F$9,R$9))</f>
        <v>0</v>
      </c>
      <c r="S87">
        <f>IF($G87="s-curve",$E87+($F87-$E87)*$L$2/(1+EXP($L$3*(COUNT($L$9:S$9)+$L$4))),TREND($E87:$F87,$E$9:$F$9,S$9))</f>
        <v>0</v>
      </c>
      <c r="T87">
        <f>IF($G87="s-curve",$E87+($F87-$E87)*$L$2/(1+EXP($L$3*(COUNT($L$9:T$9)+$L$4))),TREND($E87:$F87,$E$9:$F$9,T$9))</f>
        <v>0</v>
      </c>
      <c r="U87">
        <f>IF($G87="s-curve",$E87+($F87-$E87)*$L$2/(1+EXP($L$3*(COUNT($L$9:U$9)+$L$4))),TREND($E87:$F87,$E$9:$F$9,U$9))</f>
        <v>0</v>
      </c>
      <c r="V87">
        <f>IF($G87="s-curve",$E87+($F87-$E87)*$L$2/(1+EXP($L$3*(COUNT($L$9:V$9)+$L$4))),TREND($E87:$F87,$E$9:$F$9,V$9))</f>
        <v>0</v>
      </c>
      <c r="W87">
        <f>IF($G87="s-curve",$E87+($F87-$E87)*$L$2/(1+EXP($L$3*(COUNT($L$9:W$9)+$L$4))),TREND($E87:$F87,$E$9:$F$9,W$9))</f>
        <v>0</v>
      </c>
      <c r="X87">
        <f>IF($G87="s-curve",$E87+($F87-$E87)*$L$2/(1+EXP($L$3*(COUNT($L$9:X$9)+$L$4))),TREND($E87:$F87,$E$9:$F$9,X$9))</f>
        <v>0</v>
      </c>
      <c r="Y87">
        <f>IF($G87="s-curve",$E87+($F87-$E87)*$L$2/(1+EXP($L$3*(COUNT($L$9:Y$9)+$L$4))),TREND($E87:$F87,$E$9:$F$9,Y$9))</f>
        <v>0</v>
      </c>
      <c r="Z87">
        <f>IF($G87="s-curve",$E87+($F87-$E87)*$L$2/(1+EXP($L$3*(COUNT($L$9:Z$9)+$L$4))),TREND($E87:$F87,$E$9:$F$9,Z$9))</f>
        <v>0</v>
      </c>
      <c r="AA87">
        <f>IF($G87="s-curve",$E87+($F87-$E87)*$L$2/(1+EXP($L$3*(COUNT($L$9:AA$9)+$L$4))),TREND($E87:$F87,$E$9:$F$9,AA$9))</f>
        <v>0</v>
      </c>
      <c r="AB87">
        <f>IF($G87="s-curve",$E87+($F87-$E87)*$L$2/(1+EXP($L$3*(COUNT($L$9:AB$9)+$L$4))),TREND($E87:$F87,$E$9:$F$9,AB$9))</f>
        <v>0</v>
      </c>
      <c r="AC87">
        <f>IF($G87="s-curve",$E87+($F87-$E87)*$L$2/(1+EXP($L$3*(COUNT($L$9:AC$9)+$L$4))),TREND($E87:$F87,$E$9:$F$9,AC$9))</f>
        <v>0</v>
      </c>
      <c r="AD87">
        <f>IF($G87="s-curve",$E87+($F87-$E87)*$L$2/(1+EXP($L$3*(COUNT($L$9:AD$9)+$L$4))),TREND($E87:$F87,$E$9:$F$9,AD$9))</f>
        <v>0</v>
      </c>
      <c r="AE87">
        <f>IF($G87="s-curve",$E87+($F87-$E87)*$L$2/(1+EXP($L$3*(COUNT($L$9:AE$9)+$L$4))),TREND($E87:$F87,$E$9:$F$9,AE$9))</f>
        <v>0</v>
      </c>
      <c r="AF87">
        <f>IF($G87="s-curve",$E87+($F87-$E87)*$L$2/(1+EXP($L$3*(COUNT($L$9:AF$9)+$L$4))),TREND($E87:$F87,$E$9:$F$9,AF$9))</f>
        <v>0</v>
      </c>
      <c r="AG87">
        <f>IF($G87="s-curve",$E87+($F87-$E87)*$L$2/(1+EXP($L$3*(COUNT($L$9:AG$9)+$L$4))),TREND($E87:$F87,$E$9:$F$9,AG$9))</f>
        <v>0</v>
      </c>
      <c r="AH87">
        <f>IF($G87="s-curve",$E87+($F87-$E87)*$L$2/(1+EXP($L$3*(COUNT($L$9:AH$9)+$L$4))),TREND($E87:$F87,$E$9:$F$9,AH$9))</f>
        <v>0</v>
      </c>
      <c r="AI87">
        <f>IF($G87="s-curve",$E87+($F87-$E87)*$L$2/(1+EXP($L$3*(COUNT($L$9:AI$9)+$L$4))),TREND($E87:$F87,$E$9:$F$9,AI$9))</f>
        <v>0</v>
      </c>
      <c r="AJ87">
        <f>IF($G87="s-curve",$E87+($F87-$E87)*$L$2/(1+EXP($L$3*(COUNT($L$9:AJ$9)+$L$4))),TREND($E87:$F87,$E$9:$F$9,AJ$9))</f>
        <v>0</v>
      </c>
      <c r="AK87">
        <f>IF($G87="s-curve",$E87+($F87-$E87)*$L$2/(1+EXP($L$3*(COUNT($L$9:AK$9)+$L$4))),TREND($E87:$F87,$E$9:$F$9,AK$9))</f>
        <v>0</v>
      </c>
      <c r="AL87">
        <f>IF($G87="s-curve",$E87+($F87-$E87)*$L$2/(1+EXP($L$3*(COUNT($L$9:AL$9)+$L$4))),TREND($E87:$F87,$E$9:$F$9,AL$9))</f>
        <v>0</v>
      </c>
    </row>
    <row r="88" spans="1:38" x14ac:dyDescent="0.3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>
        <f t="shared" ref="I88" si="85">J88</f>
        <v>0</v>
      </c>
      <c r="J88">
        <f t="shared" si="71"/>
        <v>0</v>
      </c>
      <c r="K88">
        <f t="shared" si="71"/>
        <v>0</v>
      </c>
      <c r="L88" s="16">
        <f t="shared" si="65"/>
        <v>0</v>
      </c>
      <c r="M88">
        <f>IF($G88="s-curve",$E88+($F88-$E88)*$L$2/(1+EXP($L$3*(COUNT($L$9:M$9)+$L$4))),TREND($E88:$F88,$E$9:$F$9,M$9))</f>
        <v>0</v>
      </c>
      <c r="N88">
        <f>IF($G88="s-curve",$E88+($F88-$E88)*$L$2/(1+EXP($L$3*(COUNT($L$9:N$9)+$L$4))),TREND($E88:$F88,$E$9:$F$9,N$9))</f>
        <v>0</v>
      </c>
      <c r="O88">
        <f>IF($G88="s-curve",$E88+($F88-$E88)*$L$2/(1+EXP($L$3*(COUNT($L$9:O$9)+$L$4))),TREND($E88:$F88,$E$9:$F$9,O$9))</f>
        <v>0</v>
      </c>
      <c r="P88">
        <f>IF($G88="s-curve",$E88+($F88-$E88)*$L$2/(1+EXP($L$3*(COUNT($L$9:P$9)+$L$4))),TREND($E88:$F88,$E$9:$F$9,P$9))</f>
        <v>0</v>
      </c>
      <c r="Q88">
        <f>IF($G88="s-curve",$E88+($F88-$E88)*$L$2/(1+EXP($L$3*(COUNT($L$9:Q$9)+$L$4))),TREND($E88:$F88,$E$9:$F$9,Q$9))</f>
        <v>0</v>
      </c>
      <c r="R88">
        <f>IF($G88="s-curve",$E88+($F88-$E88)*$L$2/(1+EXP($L$3*(COUNT($L$9:R$9)+$L$4))),TREND($E88:$F88,$E$9:$F$9,R$9))</f>
        <v>0</v>
      </c>
      <c r="S88">
        <f>IF($G88="s-curve",$E88+($F88-$E88)*$L$2/(1+EXP($L$3*(COUNT($L$9:S$9)+$L$4))),TREND($E88:$F88,$E$9:$F$9,S$9))</f>
        <v>0</v>
      </c>
      <c r="T88">
        <f>IF($G88="s-curve",$E88+($F88-$E88)*$L$2/(1+EXP($L$3*(COUNT($L$9:T$9)+$L$4))),TREND($E88:$F88,$E$9:$F$9,T$9))</f>
        <v>0</v>
      </c>
      <c r="U88">
        <f>IF($G88="s-curve",$E88+($F88-$E88)*$L$2/(1+EXP($L$3*(COUNT($L$9:U$9)+$L$4))),TREND($E88:$F88,$E$9:$F$9,U$9))</f>
        <v>0</v>
      </c>
      <c r="V88">
        <f>IF($G88="s-curve",$E88+($F88-$E88)*$L$2/(1+EXP($L$3*(COUNT($L$9:V$9)+$L$4))),TREND($E88:$F88,$E$9:$F$9,V$9))</f>
        <v>0</v>
      </c>
      <c r="W88">
        <f>IF($G88="s-curve",$E88+($F88-$E88)*$L$2/(1+EXP($L$3*(COUNT($L$9:W$9)+$L$4))),TREND($E88:$F88,$E$9:$F$9,W$9))</f>
        <v>0</v>
      </c>
      <c r="X88">
        <f>IF($G88="s-curve",$E88+($F88-$E88)*$L$2/(1+EXP($L$3*(COUNT($L$9:X$9)+$L$4))),TREND($E88:$F88,$E$9:$F$9,X$9))</f>
        <v>0</v>
      </c>
      <c r="Y88">
        <f>IF($G88="s-curve",$E88+($F88-$E88)*$L$2/(1+EXP($L$3*(COUNT($L$9:Y$9)+$L$4))),TREND($E88:$F88,$E$9:$F$9,Y$9))</f>
        <v>0</v>
      </c>
      <c r="Z88">
        <f>IF($G88="s-curve",$E88+($F88-$E88)*$L$2/(1+EXP($L$3*(COUNT($L$9:Z$9)+$L$4))),TREND($E88:$F88,$E$9:$F$9,Z$9))</f>
        <v>0</v>
      </c>
      <c r="AA88">
        <f>IF($G88="s-curve",$E88+($F88-$E88)*$L$2/(1+EXP($L$3*(COUNT($L$9:AA$9)+$L$4))),TREND($E88:$F88,$E$9:$F$9,AA$9))</f>
        <v>0</v>
      </c>
      <c r="AB88">
        <f>IF($G88="s-curve",$E88+($F88-$E88)*$L$2/(1+EXP($L$3*(COUNT($L$9:AB$9)+$L$4))),TREND($E88:$F88,$E$9:$F$9,AB$9))</f>
        <v>0</v>
      </c>
      <c r="AC88">
        <f>IF($G88="s-curve",$E88+($F88-$E88)*$L$2/(1+EXP($L$3*(COUNT($L$9:AC$9)+$L$4))),TREND($E88:$F88,$E$9:$F$9,AC$9))</f>
        <v>0</v>
      </c>
      <c r="AD88">
        <f>IF($G88="s-curve",$E88+($F88-$E88)*$L$2/(1+EXP($L$3*(COUNT($L$9:AD$9)+$L$4))),TREND($E88:$F88,$E$9:$F$9,AD$9))</f>
        <v>0</v>
      </c>
      <c r="AE88">
        <f>IF($G88="s-curve",$E88+($F88-$E88)*$L$2/(1+EXP($L$3*(COUNT($L$9:AE$9)+$L$4))),TREND($E88:$F88,$E$9:$F$9,AE$9))</f>
        <v>0</v>
      </c>
      <c r="AF88">
        <f>IF($G88="s-curve",$E88+($F88-$E88)*$L$2/(1+EXP($L$3*(COUNT($L$9:AF$9)+$L$4))),TREND($E88:$F88,$E$9:$F$9,AF$9))</f>
        <v>0</v>
      </c>
      <c r="AG88">
        <f>IF($G88="s-curve",$E88+($F88-$E88)*$L$2/(1+EXP($L$3*(COUNT($L$9:AG$9)+$L$4))),TREND($E88:$F88,$E$9:$F$9,AG$9))</f>
        <v>0</v>
      </c>
      <c r="AH88">
        <f>IF($G88="s-curve",$E88+($F88-$E88)*$L$2/(1+EXP($L$3*(COUNT($L$9:AH$9)+$L$4))),TREND($E88:$F88,$E$9:$F$9,AH$9))</f>
        <v>0</v>
      </c>
      <c r="AI88">
        <f>IF($G88="s-curve",$E88+($F88-$E88)*$L$2/(1+EXP($L$3*(COUNT($L$9:AI$9)+$L$4))),TREND($E88:$F88,$E$9:$F$9,AI$9))</f>
        <v>0</v>
      </c>
      <c r="AJ88">
        <f>IF($G88="s-curve",$E88+($F88-$E88)*$L$2/(1+EXP($L$3*(COUNT($L$9:AJ$9)+$L$4))),TREND($E88:$F88,$E$9:$F$9,AJ$9))</f>
        <v>0</v>
      </c>
      <c r="AK88">
        <f>IF($G88="s-curve",$E88+($F88-$E88)*$L$2/(1+EXP($L$3*(COUNT($L$9:AK$9)+$L$4))),TREND($E88:$F88,$E$9:$F$9,AK$9))</f>
        <v>0</v>
      </c>
      <c r="AL88">
        <f>IF($G88="s-curve",$E88+($F88-$E88)*$L$2/(1+EXP($L$3*(COUNT($L$9:AL$9)+$L$4))),TREND($E88:$F88,$E$9:$F$9,AL$9))</f>
        <v>0</v>
      </c>
    </row>
    <row r="89" spans="1:38" x14ac:dyDescent="0.3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>
        <f t="shared" ref="I89" si="86">J89</f>
        <v>0</v>
      </c>
      <c r="J89">
        <f t="shared" si="71"/>
        <v>0</v>
      </c>
      <c r="K89">
        <f t="shared" si="71"/>
        <v>0</v>
      </c>
      <c r="L89" s="16">
        <f t="shared" si="65"/>
        <v>0</v>
      </c>
      <c r="M89">
        <f>IF($G89="s-curve",$E89+($F89-$E89)*$L$2/(1+EXP($L$3*(COUNT($L$9:M$9)+$L$4))),TREND($E89:$F89,$E$9:$F$9,M$9))</f>
        <v>0</v>
      </c>
      <c r="N89">
        <f>IF($G89="s-curve",$E89+($F89-$E89)*$L$2/(1+EXP($L$3*(COUNT($L$9:N$9)+$L$4))),TREND($E89:$F89,$E$9:$F$9,N$9))</f>
        <v>0</v>
      </c>
      <c r="O89">
        <f>IF($G89="s-curve",$E89+($F89-$E89)*$L$2/(1+EXP($L$3*(COUNT($L$9:O$9)+$L$4))),TREND($E89:$F89,$E$9:$F$9,O$9))</f>
        <v>0</v>
      </c>
      <c r="P89">
        <f>IF($G89="s-curve",$E89+($F89-$E89)*$L$2/(1+EXP($L$3*(COUNT($L$9:P$9)+$L$4))),TREND($E89:$F89,$E$9:$F$9,P$9))</f>
        <v>0</v>
      </c>
      <c r="Q89">
        <f>IF($G89="s-curve",$E89+($F89-$E89)*$L$2/(1+EXP($L$3*(COUNT($L$9:Q$9)+$L$4))),TREND($E89:$F89,$E$9:$F$9,Q$9))</f>
        <v>0</v>
      </c>
      <c r="R89">
        <f>IF($G89="s-curve",$E89+($F89-$E89)*$L$2/(1+EXP($L$3*(COUNT($L$9:R$9)+$L$4))),TREND($E89:$F89,$E$9:$F$9,R$9))</f>
        <v>0</v>
      </c>
      <c r="S89">
        <f>IF($G89="s-curve",$E89+($F89-$E89)*$L$2/(1+EXP($L$3*(COUNT($L$9:S$9)+$L$4))),TREND($E89:$F89,$E$9:$F$9,S$9))</f>
        <v>0</v>
      </c>
      <c r="T89">
        <f>IF($G89="s-curve",$E89+($F89-$E89)*$L$2/(1+EXP($L$3*(COUNT($L$9:T$9)+$L$4))),TREND($E89:$F89,$E$9:$F$9,T$9))</f>
        <v>0</v>
      </c>
      <c r="U89">
        <f>IF($G89="s-curve",$E89+($F89-$E89)*$L$2/(1+EXP($L$3*(COUNT($L$9:U$9)+$L$4))),TREND($E89:$F89,$E$9:$F$9,U$9))</f>
        <v>0</v>
      </c>
      <c r="V89">
        <f>IF($G89="s-curve",$E89+($F89-$E89)*$L$2/(1+EXP($L$3*(COUNT($L$9:V$9)+$L$4))),TREND($E89:$F89,$E$9:$F$9,V$9))</f>
        <v>0</v>
      </c>
      <c r="W89">
        <f>IF($G89="s-curve",$E89+($F89-$E89)*$L$2/(1+EXP($L$3*(COUNT($L$9:W$9)+$L$4))),TREND($E89:$F89,$E$9:$F$9,W$9))</f>
        <v>0</v>
      </c>
      <c r="X89">
        <f>IF($G89="s-curve",$E89+($F89-$E89)*$L$2/(1+EXP($L$3*(COUNT($L$9:X$9)+$L$4))),TREND($E89:$F89,$E$9:$F$9,X$9))</f>
        <v>0</v>
      </c>
      <c r="Y89">
        <f>IF($G89="s-curve",$E89+($F89-$E89)*$L$2/(1+EXP($L$3*(COUNT($L$9:Y$9)+$L$4))),TREND($E89:$F89,$E$9:$F$9,Y$9))</f>
        <v>0</v>
      </c>
      <c r="Z89">
        <f>IF($G89="s-curve",$E89+($F89-$E89)*$L$2/(1+EXP($L$3*(COUNT($L$9:Z$9)+$L$4))),TREND($E89:$F89,$E$9:$F$9,Z$9))</f>
        <v>0</v>
      </c>
      <c r="AA89">
        <f>IF($G89="s-curve",$E89+($F89-$E89)*$L$2/(1+EXP($L$3*(COUNT($L$9:AA$9)+$L$4))),TREND($E89:$F89,$E$9:$F$9,AA$9))</f>
        <v>0</v>
      </c>
      <c r="AB89">
        <f>IF($G89="s-curve",$E89+($F89-$E89)*$L$2/(1+EXP($L$3*(COUNT($L$9:AB$9)+$L$4))),TREND($E89:$F89,$E$9:$F$9,AB$9))</f>
        <v>0</v>
      </c>
      <c r="AC89">
        <f>IF($G89="s-curve",$E89+($F89-$E89)*$L$2/(1+EXP($L$3*(COUNT($L$9:AC$9)+$L$4))),TREND($E89:$F89,$E$9:$F$9,AC$9))</f>
        <v>0</v>
      </c>
      <c r="AD89">
        <f>IF($G89="s-curve",$E89+($F89-$E89)*$L$2/(1+EXP($L$3*(COUNT($L$9:AD$9)+$L$4))),TREND($E89:$F89,$E$9:$F$9,AD$9))</f>
        <v>0</v>
      </c>
      <c r="AE89">
        <f>IF($G89="s-curve",$E89+($F89-$E89)*$L$2/(1+EXP($L$3*(COUNT($L$9:AE$9)+$L$4))),TREND($E89:$F89,$E$9:$F$9,AE$9))</f>
        <v>0</v>
      </c>
      <c r="AF89">
        <f>IF($G89="s-curve",$E89+($F89-$E89)*$L$2/(1+EXP($L$3*(COUNT($L$9:AF$9)+$L$4))),TREND($E89:$F89,$E$9:$F$9,AF$9))</f>
        <v>0</v>
      </c>
      <c r="AG89">
        <f>IF($G89="s-curve",$E89+($F89-$E89)*$L$2/(1+EXP($L$3*(COUNT($L$9:AG$9)+$L$4))),TREND($E89:$F89,$E$9:$F$9,AG$9))</f>
        <v>0</v>
      </c>
      <c r="AH89">
        <f>IF($G89="s-curve",$E89+($F89-$E89)*$L$2/(1+EXP($L$3*(COUNT($L$9:AH$9)+$L$4))),TREND($E89:$F89,$E$9:$F$9,AH$9))</f>
        <v>0</v>
      </c>
      <c r="AI89">
        <f>IF($G89="s-curve",$E89+($F89-$E89)*$L$2/(1+EXP($L$3*(COUNT($L$9:AI$9)+$L$4))),TREND($E89:$F89,$E$9:$F$9,AI$9))</f>
        <v>0</v>
      </c>
      <c r="AJ89">
        <f>IF($G89="s-curve",$E89+($F89-$E89)*$L$2/(1+EXP($L$3*(COUNT($L$9:AJ$9)+$L$4))),TREND($E89:$F89,$E$9:$F$9,AJ$9))</f>
        <v>0</v>
      </c>
      <c r="AK89">
        <f>IF($G89="s-curve",$E89+($F89-$E89)*$L$2/(1+EXP($L$3*(COUNT($L$9:AK$9)+$L$4))),TREND($E89:$F89,$E$9:$F$9,AK$9))</f>
        <v>0</v>
      </c>
      <c r="AL89">
        <f>IF($G89="s-curve",$E89+($F89-$E89)*$L$2/(1+EXP($L$3*(COUNT($L$9:AL$9)+$L$4))),TREND($E89:$F89,$E$9:$F$9,AL$9))</f>
        <v>0</v>
      </c>
    </row>
    <row r="90" spans="1:38" x14ac:dyDescent="0.3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>
        <f t="shared" ref="I90" si="87">J90</f>
        <v>0</v>
      </c>
      <c r="J90">
        <f t="shared" si="71"/>
        <v>0</v>
      </c>
      <c r="K90">
        <f t="shared" si="71"/>
        <v>0</v>
      </c>
      <c r="L90" s="16">
        <f t="shared" si="65"/>
        <v>0</v>
      </c>
      <c r="M90">
        <f>IF($G90="s-curve",$E90+($F90-$E90)*$L$2/(1+EXP($L$3*(COUNT($L$9:M$9)+$L$4))),TREND($E90:$F90,$E$9:$F$9,M$9))</f>
        <v>0</v>
      </c>
      <c r="N90">
        <f>IF($G90="s-curve",$E90+($F90-$E90)*$L$2/(1+EXP($L$3*(COUNT($L$9:N$9)+$L$4))),TREND($E90:$F90,$E$9:$F$9,N$9))</f>
        <v>0</v>
      </c>
      <c r="O90">
        <f>IF($G90="s-curve",$E90+($F90-$E90)*$L$2/(1+EXP($L$3*(COUNT($L$9:O$9)+$L$4))),TREND($E90:$F90,$E$9:$F$9,O$9))</f>
        <v>0</v>
      </c>
      <c r="P90">
        <f>IF($G90="s-curve",$E90+($F90-$E90)*$L$2/(1+EXP($L$3*(COUNT($L$9:P$9)+$L$4))),TREND($E90:$F90,$E$9:$F$9,P$9))</f>
        <v>0</v>
      </c>
      <c r="Q90">
        <f>IF($G90="s-curve",$E90+($F90-$E90)*$L$2/(1+EXP($L$3*(COUNT($L$9:Q$9)+$L$4))),TREND($E90:$F90,$E$9:$F$9,Q$9))</f>
        <v>0</v>
      </c>
      <c r="R90">
        <f>IF($G90="s-curve",$E90+($F90-$E90)*$L$2/(1+EXP($L$3*(COUNT($L$9:R$9)+$L$4))),TREND($E90:$F90,$E$9:$F$9,R$9))</f>
        <v>0</v>
      </c>
      <c r="S90">
        <f>IF($G90="s-curve",$E90+($F90-$E90)*$L$2/(1+EXP($L$3*(COUNT($L$9:S$9)+$L$4))),TREND($E90:$F90,$E$9:$F$9,S$9))</f>
        <v>0</v>
      </c>
      <c r="T90">
        <f>IF($G90="s-curve",$E90+($F90-$E90)*$L$2/(1+EXP($L$3*(COUNT($L$9:T$9)+$L$4))),TREND($E90:$F90,$E$9:$F$9,T$9))</f>
        <v>0</v>
      </c>
      <c r="U90">
        <f>IF($G90="s-curve",$E90+($F90-$E90)*$L$2/(1+EXP($L$3*(COUNT($L$9:U$9)+$L$4))),TREND($E90:$F90,$E$9:$F$9,U$9))</f>
        <v>0</v>
      </c>
      <c r="V90">
        <f>IF($G90="s-curve",$E90+($F90-$E90)*$L$2/(1+EXP($L$3*(COUNT($L$9:V$9)+$L$4))),TREND($E90:$F90,$E$9:$F$9,V$9))</f>
        <v>0</v>
      </c>
      <c r="W90">
        <f>IF($G90="s-curve",$E90+($F90-$E90)*$L$2/(1+EXP($L$3*(COUNT($L$9:W$9)+$L$4))),TREND($E90:$F90,$E$9:$F$9,W$9))</f>
        <v>0</v>
      </c>
      <c r="X90">
        <f>IF($G90="s-curve",$E90+($F90-$E90)*$L$2/(1+EXP($L$3*(COUNT($L$9:X$9)+$L$4))),TREND($E90:$F90,$E$9:$F$9,X$9))</f>
        <v>0</v>
      </c>
      <c r="Y90">
        <f>IF($G90="s-curve",$E90+($F90-$E90)*$L$2/(1+EXP($L$3*(COUNT($L$9:Y$9)+$L$4))),TREND($E90:$F90,$E$9:$F$9,Y$9))</f>
        <v>0</v>
      </c>
      <c r="Z90">
        <f>IF($G90="s-curve",$E90+($F90-$E90)*$L$2/(1+EXP($L$3*(COUNT($L$9:Z$9)+$L$4))),TREND($E90:$F90,$E$9:$F$9,Z$9))</f>
        <v>0</v>
      </c>
      <c r="AA90">
        <f>IF($G90="s-curve",$E90+($F90-$E90)*$L$2/(1+EXP($L$3*(COUNT($L$9:AA$9)+$L$4))),TREND($E90:$F90,$E$9:$F$9,AA$9))</f>
        <v>0</v>
      </c>
      <c r="AB90">
        <f>IF($G90="s-curve",$E90+($F90-$E90)*$L$2/(1+EXP($L$3*(COUNT($L$9:AB$9)+$L$4))),TREND($E90:$F90,$E$9:$F$9,AB$9))</f>
        <v>0</v>
      </c>
      <c r="AC90">
        <f>IF($G90="s-curve",$E90+($F90-$E90)*$L$2/(1+EXP($L$3*(COUNT($L$9:AC$9)+$L$4))),TREND($E90:$F90,$E$9:$F$9,AC$9))</f>
        <v>0</v>
      </c>
      <c r="AD90">
        <f>IF($G90="s-curve",$E90+($F90-$E90)*$L$2/(1+EXP($L$3*(COUNT($L$9:AD$9)+$L$4))),TREND($E90:$F90,$E$9:$F$9,AD$9))</f>
        <v>0</v>
      </c>
      <c r="AE90">
        <f>IF($G90="s-curve",$E90+($F90-$E90)*$L$2/(1+EXP($L$3*(COUNT($L$9:AE$9)+$L$4))),TREND($E90:$F90,$E$9:$F$9,AE$9))</f>
        <v>0</v>
      </c>
      <c r="AF90">
        <f>IF($G90="s-curve",$E90+($F90-$E90)*$L$2/(1+EXP($L$3*(COUNT($L$9:AF$9)+$L$4))),TREND($E90:$F90,$E$9:$F$9,AF$9))</f>
        <v>0</v>
      </c>
      <c r="AG90">
        <f>IF($G90="s-curve",$E90+($F90-$E90)*$L$2/(1+EXP($L$3*(COUNT($L$9:AG$9)+$L$4))),TREND($E90:$F90,$E$9:$F$9,AG$9))</f>
        <v>0</v>
      </c>
      <c r="AH90">
        <f>IF($G90="s-curve",$E90+($F90-$E90)*$L$2/(1+EXP($L$3*(COUNT($L$9:AH$9)+$L$4))),TREND($E90:$F90,$E$9:$F$9,AH$9))</f>
        <v>0</v>
      </c>
      <c r="AI90">
        <f>IF($G90="s-curve",$E90+($F90-$E90)*$L$2/(1+EXP($L$3*(COUNT($L$9:AI$9)+$L$4))),TREND($E90:$F90,$E$9:$F$9,AI$9))</f>
        <v>0</v>
      </c>
      <c r="AJ90">
        <f>IF($G90="s-curve",$E90+($F90-$E90)*$L$2/(1+EXP($L$3*(COUNT($L$9:AJ$9)+$L$4))),TREND($E90:$F90,$E$9:$F$9,AJ$9))</f>
        <v>0</v>
      </c>
      <c r="AK90">
        <f>IF($G90="s-curve",$E90+($F90-$E90)*$L$2/(1+EXP($L$3*(COUNT($L$9:AK$9)+$L$4))),TREND($E90:$F90,$E$9:$F$9,AK$9))</f>
        <v>0</v>
      </c>
      <c r="AL90">
        <f>IF($G90="s-curve",$E90+($F90-$E90)*$L$2/(1+EXP($L$3*(COUNT($L$9:AL$9)+$L$4))),TREND($E90:$F90,$E$9:$F$9,AL$9))</f>
        <v>0</v>
      </c>
    </row>
    <row r="91" spans="1:38" x14ac:dyDescent="0.3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>
        <f t="shared" ref="I91" si="88">J91</f>
        <v>0</v>
      </c>
      <c r="J91">
        <f t="shared" si="71"/>
        <v>0</v>
      </c>
      <c r="K91">
        <f t="shared" si="71"/>
        <v>0</v>
      </c>
      <c r="L91" s="16">
        <f t="shared" si="65"/>
        <v>0</v>
      </c>
      <c r="M91">
        <f>IF($G91="s-curve",$E91+($F91-$E91)*$L$2/(1+EXP($L$3*(COUNT($L$9:M$9)+$L$4))),TREND($E91:$F91,$E$9:$F$9,M$9))</f>
        <v>0</v>
      </c>
      <c r="N91">
        <f>IF($G91="s-curve",$E91+($F91-$E91)*$L$2/(1+EXP($L$3*(COUNT($L$9:N$9)+$L$4))),TREND($E91:$F91,$E$9:$F$9,N$9))</f>
        <v>0</v>
      </c>
      <c r="O91">
        <f>IF($G91="s-curve",$E91+($F91-$E91)*$L$2/(1+EXP($L$3*(COUNT($L$9:O$9)+$L$4))),TREND($E91:$F91,$E$9:$F$9,O$9))</f>
        <v>0</v>
      </c>
      <c r="P91">
        <f>IF($G91="s-curve",$E91+($F91-$E91)*$L$2/(1+EXP($L$3*(COUNT($L$9:P$9)+$L$4))),TREND($E91:$F91,$E$9:$F$9,P$9))</f>
        <v>0</v>
      </c>
      <c r="Q91">
        <f>IF($G91="s-curve",$E91+($F91-$E91)*$L$2/(1+EXP($L$3*(COUNT($L$9:Q$9)+$L$4))),TREND($E91:$F91,$E$9:$F$9,Q$9))</f>
        <v>0</v>
      </c>
      <c r="R91">
        <f>IF($G91="s-curve",$E91+($F91-$E91)*$L$2/(1+EXP($L$3*(COUNT($L$9:R$9)+$L$4))),TREND($E91:$F91,$E$9:$F$9,R$9))</f>
        <v>0</v>
      </c>
      <c r="S91">
        <f>IF($G91="s-curve",$E91+($F91-$E91)*$L$2/(1+EXP($L$3*(COUNT($L$9:S$9)+$L$4))),TREND($E91:$F91,$E$9:$F$9,S$9))</f>
        <v>0</v>
      </c>
      <c r="T91">
        <f>IF($G91="s-curve",$E91+($F91-$E91)*$L$2/(1+EXP($L$3*(COUNT($L$9:T$9)+$L$4))),TREND($E91:$F91,$E$9:$F$9,T$9))</f>
        <v>0</v>
      </c>
      <c r="U91">
        <f>IF($G91="s-curve",$E91+($F91-$E91)*$L$2/(1+EXP($L$3*(COUNT($L$9:U$9)+$L$4))),TREND($E91:$F91,$E$9:$F$9,U$9))</f>
        <v>0</v>
      </c>
      <c r="V91">
        <f>IF($G91="s-curve",$E91+($F91-$E91)*$L$2/(1+EXP($L$3*(COUNT($L$9:V$9)+$L$4))),TREND($E91:$F91,$E$9:$F$9,V$9))</f>
        <v>0</v>
      </c>
      <c r="W91">
        <f>IF($G91="s-curve",$E91+($F91-$E91)*$L$2/(1+EXP($L$3*(COUNT($L$9:W$9)+$L$4))),TREND($E91:$F91,$E$9:$F$9,W$9))</f>
        <v>0</v>
      </c>
      <c r="X91">
        <f>IF($G91="s-curve",$E91+($F91-$E91)*$L$2/(1+EXP($L$3*(COUNT($L$9:X$9)+$L$4))),TREND($E91:$F91,$E$9:$F$9,X$9))</f>
        <v>0</v>
      </c>
      <c r="Y91">
        <f>IF($G91="s-curve",$E91+($F91-$E91)*$L$2/(1+EXP($L$3*(COUNT($L$9:Y$9)+$L$4))),TREND($E91:$F91,$E$9:$F$9,Y$9))</f>
        <v>0</v>
      </c>
      <c r="Z91">
        <f>IF($G91="s-curve",$E91+($F91-$E91)*$L$2/(1+EXP($L$3*(COUNT($L$9:Z$9)+$L$4))),TREND($E91:$F91,$E$9:$F$9,Z$9))</f>
        <v>0</v>
      </c>
      <c r="AA91">
        <f>IF($G91="s-curve",$E91+($F91-$E91)*$L$2/(1+EXP($L$3*(COUNT($L$9:AA$9)+$L$4))),TREND($E91:$F91,$E$9:$F$9,AA$9))</f>
        <v>0</v>
      </c>
      <c r="AB91">
        <f>IF($G91="s-curve",$E91+($F91-$E91)*$L$2/(1+EXP($L$3*(COUNT($L$9:AB$9)+$L$4))),TREND($E91:$F91,$E$9:$F$9,AB$9))</f>
        <v>0</v>
      </c>
      <c r="AC91">
        <f>IF($G91="s-curve",$E91+($F91-$E91)*$L$2/(1+EXP($L$3*(COUNT($L$9:AC$9)+$L$4))),TREND($E91:$F91,$E$9:$F$9,AC$9))</f>
        <v>0</v>
      </c>
      <c r="AD91">
        <f>IF($G91="s-curve",$E91+($F91-$E91)*$L$2/(1+EXP($L$3*(COUNT($L$9:AD$9)+$L$4))),TREND($E91:$F91,$E$9:$F$9,AD$9))</f>
        <v>0</v>
      </c>
      <c r="AE91">
        <f>IF($G91="s-curve",$E91+($F91-$E91)*$L$2/(1+EXP($L$3*(COUNT($L$9:AE$9)+$L$4))),TREND($E91:$F91,$E$9:$F$9,AE$9))</f>
        <v>0</v>
      </c>
      <c r="AF91">
        <f>IF($G91="s-curve",$E91+($F91-$E91)*$L$2/(1+EXP($L$3*(COUNT($L$9:AF$9)+$L$4))),TREND($E91:$F91,$E$9:$F$9,AF$9))</f>
        <v>0</v>
      </c>
      <c r="AG91">
        <f>IF($G91="s-curve",$E91+($F91-$E91)*$L$2/(1+EXP($L$3*(COUNT($L$9:AG$9)+$L$4))),TREND($E91:$F91,$E$9:$F$9,AG$9))</f>
        <v>0</v>
      </c>
      <c r="AH91">
        <f>IF($G91="s-curve",$E91+($F91-$E91)*$L$2/(1+EXP($L$3*(COUNT($L$9:AH$9)+$L$4))),TREND($E91:$F91,$E$9:$F$9,AH$9))</f>
        <v>0</v>
      </c>
      <c r="AI91">
        <f>IF($G91="s-curve",$E91+($F91-$E91)*$L$2/(1+EXP($L$3*(COUNT($L$9:AI$9)+$L$4))),TREND($E91:$F91,$E$9:$F$9,AI$9))</f>
        <v>0</v>
      </c>
      <c r="AJ91">
        <f>IF($G91="s-curve",$E91+($F91-$E91)*$L$2/(1+EXP($L$3*(COUNT($L$9:AJ$9)+$L$4))),TREND($E91:$F91,$E$9:$F$9,AJ$9))</f>
        <v>0</v>
      </c>
      <c r="AK91">
        <f>IF($G91="s-curve",$E91+($F91-$E91)*$L$2/(1+EXP($L$3*(COUNT($L$9:AK$9)+$L$4))),TREND($E91:$F91,$E$9:$F$9,AK$9))</f>
        <v>0</v>
      </c>
      <c r="AL91">
        <f>IF($G91="s-curve",$E91+($F91-$E91)*$L$2/(1+EXP($L$3*(COUNT($L$9:AL$9)+$L$4))),TREND($E91:$F91,$E$9:$F$9,AL$9))</f>
        <v>0</v>
      </c>
    </row>
    <row r="92" spans="1:38" x14ac:dyDescent="0.3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>
        <f t="shared" ref="I92" si="89">J92</f>
        <v>0</v>
      </c>
      <c r="J92">
        <f t="shared" si="71"/>
        <v>0</v>
      </c>
      <c r="K92">
        <f t="shared" si="71"/>
        <v>0</v>
      </c>
      <c r="L92" s="16">
        <f t="shared" si="65"/>
        <v>0</v>
      </c>
      <c r="M92">
        <f>IF($G92="s-curve",$E92+($F92-$E92)*$L$2/(1+EXP($L$3*(COUNT($L$9:M$9)+$L$4))),TREND($E92:$F92,$E$9:$F$9,M$9))</f>
        <v>0</v>
      </c>
      <c r="N92">
        <f>IF($G92="s-curve",$E92+($F92-$E92)*$L$2/(1+EXP($L$3*(COUNT($L$9:N$9)+$L$4))),TREND($E92:$F92,$E$9:$F$9,N$9))</f>
        <v>0</v>
      </c>
      <c r="O92">
        <f>IF($G92="s-curve",$E92+($F92-$E92)*$L$2/(1+EXP($L$3*(COUNT($L$9:O$9)+$L$4))),TREND($E92:$F92,$E$9:$F$9,O$9))</f>
        <v>0</v>
      </c>
      <c r="P92">
        <f>IF($G92="s-curve",$E92+($F92-$E92)*$L$2/(1+EXP($L$3*(COUNT($L$9:P$9)+$L$4))),TREND($E92:$F92,$E$9:$F$9,P$9))</f>
        <v>0</v>
      </c>
      <c r="Q92">
        <f>IF($G92="s-curve",$E92+($F92-$E92)*$L$2/(1+EXP($L$3*(COUNT($L$9:Q$9)+$L$4))),TREND($E92:$F92,$E$9:$F$9,Q$9))</f>
        <v>0</v>
      </c>
      <c r="R92">
        <f>IF($G92="s-curve",$E92+($F92-$E92)*$L$2/(1+EXP($L$3*(COUNT($L$9:R$9)+$L$4))),TREND($E92:$F92,$E$9:$F$9,R$9))</f>
        <v>0</v>
      </c>
      <c r="S92">
        <f>IF($G92="s-curve",$E92+($F92-$E92)*$L$2/(1+EXP($L$3*(COUNT($L$9:S$9)+$L$4))),TREND($E92:$F92,$E$9:$F$9,S$9))</f>
        <v>0</v>
      </c>
      <c r="T92">
        <f>IF($G92="s-curve",$E92+($F92-$E92)*$L$2/(1+EXP($L$3*(COUNT($L$9:T$9)+$L$4))),TREND($E92:$F92,$E$9:$F$9,T$9))</f>
        <v>0</v>
      </c>
      <c r="U92">
        <f>IF($G92="s-curve",$E92+($F92-$E92)*$L$2/(1+EXP($L$3*(COUNT($L$9:U$9)+$L$4))),TREND($E92:$F92,$E$9:$F$9,U$9))</f>
        <v>0</v>
      </c>
      <c r="V92">
        <f>IF($G92="s-curve",$E92+($F92-$E92)*$L$2/(1+EXP($L$3*(COUNT($L$9:V$9)+$L$4))),TREND($E92:$F92,$E$9:$F$9,V$9))</f>
        <v>0</v>
      </c>
      <c r="W92">
        <f>IF($G92="s-curve",$E92+($F92-$E92)*$L$2/(1+EXP($L$3*(COUNT($L$9:W$9)+$L$4))),TREND($E92:$F92,$E$9:$F$9,W$9))</f>
        <v>0</v>
      </c>
      <c r="X92">
        <f>IF($G92="s-curve",$E92+($F92-$E92)*$L$2/(1+EXP($L$3*(COUNT($L$9:X$9)+$L$4))),TREND($E92:$F92,$E$9:$F$9,X$9))</f>
        <v>0</v>
      </c>
      <c r="Y92">
        <f>IF($G92="s-curve",$E92+($F92-$E92)*$L$2/(1+EXP($L$3*(COUNT($L$9:Y$9)+$L$4))),TREND($E92:$F92,$E$9:$F$9,Y$9))</f>
        <v>0</v>
      </c>
      <c r="Z92">
        <f>IF($G92="s-curve",$E92+($F92-$E92)*$L$2/(1+EXP($L$3*(COUNT($L$9:Z$9)+$L$4))),TREND($E92:$F92,$E$9:$F$9,Z$9))</f>
        <v>0</v>
      </c>
      <c r="AA92">
        <f>IF($G92="s-curve",$E92+($F92-$E92)*$L$2/(1+EXP($L$3*(COUNT($L$9:AA$9)+$L$4))),TREND($E92:$F92,$E$9:$F$9,AA$9))</f>
        <v>0</v>
      </c>
      <c r="AB92">
        <f>IF($G92="s-curve",$E92+($F92-$E92)*$L$2/(1+EXP($L$3*(COUNT($L$9:AB$9)+$L$4))),TREND($E92:$F92,$E$9:$F$9,AB$9))</f>
        <v>0</v>
      </c>
      <c r="AC92">
        <f>IF($G92="s-curve",$E92+($F92-$E92)*$L$2/(1+EXP($L$3*(COUNT($L$9:AC$9)+$L$4))),TREND($E92:$F92,$E$9:$F$9,AC$9))</f>
        <v>0</v>
      </c>
      <c r="AD92">
        <f>IF($G92="s-curve",$E92+($F92-$E92)*$L$2/(1+EXP($L$3*(COUNT($L$9:AD$9)+$L$4))),TREND($E92:$F92,$E$9:$F$9,AD$9))</f>
        <v>0</v>
      </c>
      <c r="AE92">
        <f>IF($G92="s-curve",$E92+($F92-$E92)*$L$2/(1+EXP($L$3*(COUNT($L$9:AE$9)+$L$4))),TREND($E92:$F92,$E$9:$F$9,AE$9))</f>
        <v>0</v>
      </c>
      <c r="AF92">
        <f>IF($G92="s-curve",$E92+($F92-$E92)*$L$2/(1+EXP($L$3*(COUNT($L$9:AF$9)+$L$4))),TREND($E92:$F92,$E$9:$F$9,AF$9))</f>
        <v>0</v>
      </c>
      <c r="AG92">
        <f>IF($G92="s-curve",$E92+($F92-$E92)*$L$2/(1+EXP($L$3*(COUNT($L$9:AG$9)+$L$4))),TREND($E92:$F92,$E$9:$F$9,AG$9))</f>
        <v>0</v>
      </c>
      <c r="AH92">
        <f>IF($G92="s-curve",$E92+($F92-$E92)*$L$2/(1+EXP($L$3*(COUNT($L$9:AH$9)+$L$4))),TREND($E92:$F92,$E$9:$F$9,AH$9))</f>
        <v>0</v>
      </c>
      <c r="AI92">
        <f>IF($G92="s-curve",$E92+($F92-$E92)*$L$2/(1+EXP($L$3*(COUNT($L$9:AI$9)+$L$4))),TREND($E92:$F92,$E$9:$F$9,AI$9))</f>
        <v>0</v>
      </c>
      <c r="AJ92">
        <f>IF($G92="s-curve",$E92+($F92-$E92)*$L$2/(1+EXP($L$3*(COUNT($L$9:AJ$9)+$L$4))),TREND($E92:$F92,$E$9:$F$9,AJ$9))</f>
        <v>0</v>
      </c>
      <c r="AK92">
        <f>IF($G92="s-curve",$E92+($F92-$E92)*$L$2/(1+EXP($L$3*(COUNT($L$9:AK$9)+$L$4))),TREND($E92:$F92,$E$9:$F$9,AK$9))</f>
        <v>0</v>
      </c>
      <c r="AL92">
        <f>IF($G92="s-curve",$E92+($F92-$E92)*$L$2/(1+EXP($L$3*(COUNT($L$9:AL$9)+$L$4))),TREND($E92:$F92,$E$9:$F$9,AL$9))</f>
        <v>0</v>
      </c>
    </row>
    <row r="93" spans="1:38" ht="15.75" customHeight="1" thickBot="1" x14ac:dyDescent="0.4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>
        <f t="shared" ref="I93" si="90">J93</f>
        <v>0</v>
      </c>
      <c r="J93">
        <f t="shared" si="71"/>
        <v>0</v>
      </c>
      <c r="K93">
        <f t="shared" si="71"/>
        <v>0</v>
      </c>
      <c r="L93" s="16">
        <f t="shared" si="65"/>
        <v>0</v>
      </c>
      <c r="M93">
        <f>IF($G93="s-curve",$E93+($F93-$E93)*$L$2/(1+EXP($L$3*(COUNT($L$9:M$9)+$L$4))),TREND($E93:$F93,$E$9:$F$9,M$9))</f>
        <v>0</v>
      </c>
      <c r="N93">
        <f>IF($G93="s-curve",$E93+($F93-$E93)*$L$2/(1+EXP($L$3*(COUNT($L$9:N$9)+$L$4))),TREND($E93:$F93,$E$9:$F$9,N$9))</f>
        <v>0</v>
      </c>
      <c r="O93">
        <f>IF($G93="s-curve",$E93+($F93-$E93)*$L$2/(1+EXP($L$3*(COUNT($L$9:O$9)+$L$4))),TREND($E93:$F93,$E$9:$F$9,O$9))</f>
        <v>0</v>
      </c>
      <c r="P93">
        <f>IF($G93="s-curve",$E93+($F93-$E93)*$L$2/(1+EXP($L$3*(COUNT($L$9:P$9)+$L$4))),TREND($E93:$F93,$E$9:$F$9,P$9))</f>
        <v>0</v>
      </c>
      <c r="Q93">
        <f>IF($G93="s-curve",$E93+($F93-$E93)*$L$2/(1+EXP($L$3*(COUNT($L$9:Q$9)+$L$4))),TREND($E93:$F93,$E$9:$F$9,Q$9))</f>
        <v>0</v>
      </c>
      <c r="R93">
        <f>IF($G93="s-curve",$E93+($F93-$E93)*$L$2/(1+EXP($L$3*(COUNT($L$9:R$9)+$L$4))),TREND($E93:$F93,$E$9:$F$9,R$9))</f>
        <v>0</v>
      </c>
      <c r="S93">
        <f>IF($G93="s-curve",$E93+($F93-$E93)*$L$2/(1+EXP($L$3*(COUNT($L$9:S$9)+$L$4))),TREND($E93:$F93,$E$9:$F$9,S$9))</f>
        <v>0</v>
      </c>
      <c r="T93">
        <f>IF($G93="s-curve",$E93+($F93-$E93)*$L$2/(1+EXP($L$3*(COUNT($L$9:T$9)+$L$4))),TREND($E93:$F93,$E$9:$F$9,T$9))</f>
        <v>0</v>
      </c>
      <c r="U93">
        <f>IF($G93="s-curve",$E93+($F93-$E93)*$L$2/(1+EXP($L$3*(COUNT($L$9:U$9)+$L$4))),TREND($E93:$F93,$E$9:$F$9,U$9))</f>
        <v>0</v>
      </c>
      <c r="V93">
        <f>IF($G93="s-curve",$E93+($F93-$E93)*$L$2/(1+EXP($L$3*(COUNT($L$9:V$9)+$L$4))),TREND($E93:$F93,$E$9:$F$9,V$9))</f>
        <v>0</v>
      </c>
      <c r="W93">
        <f>IF($G93="s-curve",$E93+($F93-$E93)*$L$2/(1+EXP($L$3*(COUNT($L$9:W$9)+$L$4))),TREND($E93:$F93,$E$9:$F$9,W$9))</f>
        <v>0</v>
      </c>
      <c r="X93">
        <f>IF($G93="s-curve",$E93+($F93-$E93)*$L$2/(1+EXP($L$3*(COUNT($L$9:X$9)+$L$4))),TREND($E93:$F93,$E$9:$F$9,X$9))</f>
        <v>0</v>
      </c>
      <c r="Y93">
        <f>IF($G93="s-curve",$E93+($F93-$E93)*$L$2/(1+EXP($L$3*(COUNT($L$9:Y$9)+$L$4))),TREND($E93:$F93,$E$9:$F$9,Y$9))</f>
        <v>0</v>
      </c>
      <c r="Z93">
        <f>IF($G93="s-curve",$E93+($F93-$E93)*$L$2/(1+EXP($L$3*(COUNT($L$9:Z$9)+$L$4))),TREND($E93:$F93,$E$9:$F$9,Z$9))</f>
        <v>0</v>
      </c>
      <c r="AA93">
        <f>IF($G93="s-curve",$E93+($F93-$E93)*$L$2/(1+EXP($L$3*(COUNT($L$9:AA$9)+$L$4))),TREND($E93:$F93,$E$9:$F$9,AA$9))</f>
        <v>0</v>
      </c>
      <c r="AB93">
        <f>IF($G93="s-curve",$E93+($F93-$E93)*$L$2/(1+EXP($L$3*(COUNT($L$9:AB$9)+$L$4))),TREND($E93:$F93,$E$9:$F$9,AB$9))</f>
        <v>0</v>
      </c>
      <c r="AC93">
        <f>IF($G93="s-curve",$E93+($F93-$E93)*$L$2/(1+EXP($L$3*(COUNT($L$9:AC$9)+$L$4))),TREND($E93:$F93,$E$9:$F$9,AC$9))</f>
        <v>0</v>
      </c>
      <c r="AD93">
        <f>IF($G93="s-curve",$E93+($F93-$E93)*$L$2/(1+EXP($L$3*(COUNT($L$9:AD$9)+$L$4))),TREND($E93:$F93,$E$9:$F$9,AD$9))</f>
        <v>0</v>
      </c>
      <c r="AE93">
        <f>IF($G93="s-curve",$E93+($F93-$E93)*$L$2/(1+EXP($L$3*(COUNT($L$9:AE$9)+$L$4))),TREND($E93:$F93,$E$9:$F$9,AE$9))</f>
        <v>0</v>
      </c>
      <c r="AF93">
        <f>IF($G93="s-curve",$E93+($F93-$E93)*$L$2/(1+EXP($L$3*(COUNT($L$9:AF$9)+$L$4))),TREND($E93:$F93,$E$9:$F$9,AF$9))</f>
        <v>0</v>
      </c>
      <c r="AG93">
        <f>IF($G93="s-curve",$E93+($F93-$E93)*$L$2/(1+EXP($L$3*(COUNT($L$9:AG$9)+$L$4))),TREND($E93:$F93,$E$9:$F$9,AG$9))</f>
        <v>0</v>
      </c>
      <c r="AH93">
        <f>IF($G93="s-curve",$E93+($F93-$E93)*$L$2/(1+EXP($L$3*(COUNT($L$9:AH$9)+$L$4))),TREND($E93:$F93,$E$9:$F$9,AH$9))</f>
        <v>0</v>
      </c>
      <c r="AI93">
        <f>IF($G93="s-curve",$E93+($F93-$E93)*$L$2/(1+EXP($L$3*(COUNT($L$9:AI$9)+$L$4))),TREND($E93:$F93,$E$9:$F$9,AI$9))</f>
        <v>0</v>
      </c>
      <c r="AJ93">
        <f>IF($G93="s-curve",$E93+($F93-$E93)*$L$2/(1+EXP($L$3*(COUNT($L$9:AJ$9)+$L$4))),TREND($E93:$F93,$E$9:$F$9,AJ$9))</f>
        <v>0</v>
      </c>
      <c r="AK93">
        <f>IF($G93="s-curve",$E93+($F93-$E93)*$L$2/(1+EXP($L$3*(COUNT($L$9:AK$9)+$L$4))),TREND($E93:$F93,$E$9:$F$9,AK$9))</f>
        <v>0</v>
      </c>
      <c r="AL93">
        <f>IF($G93="s-curve",$E93+($F93-$E93)*$L$2/(1+EXP($L$3*(COUNT($L$9:AL$9)+$L$4))),TREND($E93:$F93,$E$9:$F$9,AL$9))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8"/>
  <sheetViews>
    <sheetView workbookViewId="0">
      <selection activeCell="B2" sqref="B2"/>
    </sheetView>
  </sheetViews>
  <sheetFormatPr defaultColWidth="9.1796875" defaultRowHeight="14.5" x14ac:dyDescent="0.35"/>
  <cols>
    <col min="1" max="1" width="24.453125" customWidth="1"/>
    <col min="2" max="5" width="12.816406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Data!I10</f>
        <v>0.16449392895100001</v>
      </c>
      <c r="C2">
        <f>Data!J10</f>
        <v>0.16449392895100001</v>
      </c>
      <c r="D2">
        <f>Data!K10</f>
        <v>0.16449392895100001</v>
      </c>
      <c r="E2">
        <f>Data!L10</f>
        <v>0.16449392895100001</v>
      </c>
      <c r="F2">
        <f>Data!M10</f>
        <v>0.14828894775500001</v>
      </c>
      <c r="G2">
        <f>Data!N10</f>
        <v>0.18868208810270334</v>
      </c>
      <c r="H2">
        <f>Data!O10</f>
        <v>0.20192405110570355</v>
      </c>
      <c r="I2">
        <f>Data!P10</f>
        <v>0.21912805260389268</v>
      </c>
      <c r="J2">
        <f>Data!Q10</f>
        <v>0.2412079161321001</v>
      </c>
      <c r="K2">
        <f>Data!R10</f>
        <v>0.2691050675034683</v>
      </c>
      <c r="L2">
        <f>Data!S10</f>
        <v>0.30366278259245705</v>
      </c>
      <c r="M2">
        <f>Data!T10</f>
        <v>0.34543894796969088</v>
      </c>
      <c r="N2">
        <f>Data!U10</f>
        <v>0.39447645102619855</v>
      </c>
      <c r="O2">
        <f>Data!V10</f>
        <v>0.45008738803580778</v>
      </c>
      <c r="P2">
        <f>Data!W10</f>
        <v>0.51074095955207577</v>
      </c>
      <c r="Q2">
        <f>Data!X10</f>
        <v>0.57414447387750001</v>
      </c>
      <c r="R2">
        <f>Data!Y10</f>
        <v>0.63754798820292424</v>
      </c>
      <c r="S2">
        <f>Data!Z10</f>
        <v>0.69820155971919218</v>
      </c>
      <c r="T2">
        <f>Data!AA10</f>
        <v>0.75381249672880146</v>
      </c>
      <c r="U2">
        <f>Data!AB10</f>
        <v>0.80284999978530913</v>
      </c>
      <c r="V2">
        <f>Data!AC10</f>
        <v>0.84462616516254285</v>
      </c>
      <c r="W2">
        <f>Data!AD10</f>
        <v>0.87918388025153182</v>
      </c>
      <c r="X2">
        <f>Data!AE10</f>
        <v>0.90708103162289988</v>
      </c>
      <c r="Y2">
        <f>Data!AF10</f>
        <v>0.92916089515110734</v>
      </c>
      <c r="Z2">
        <f>Data!AG10</f>
        <v>0.94636489664929646</v>
      </c>
      <c r="AA2">
        <f>Data!AH10</f>
        <v>0.95960685965229675</v>
      </c>
      <c r="AB2">
        <f>Data!AI10</f>
        <v>0.96970362495499696</v>
      </c>
      <c r="AC2">
        <f>Data!AJ10</f>
        <v>0.97734704661409399</v>
      </c>
      <c r="AD2">
        <f>Data!AK10</f>
        <v>0.98310179232636641</v>
      </c>
      <c r="AE2">
        <f>Data!AL10</f>
        <v>0.98741679392062143</v>
      </c>
    </row>
    <row r="3" spans="1:31" x14ac:dyDescent="0.35">
      <c r="A3" t="s">
        <v>38</v>
      </c>
      <c r="B3">
        <f>Data!I11</f>
        <v>1.00970167475E-4</v>
      </c>
      <c r="C3">
        <f>Data!J11</f>
        <v>1.00970167475E-4</v>
      </c>
      <c r="D3">
        <f>Data!K11</f>
        <v>1.00970167475E-4</v>
      </c>
      <c r="E3">
        <f>Data!L11</f>
        <v>1.00970167475E-4</v>
      </c>
      <c r="F3">
        <f>Data!M11</f>
        <v>1.00970167475E-4</v>
      </c>
      <c r="G3">
        <f>Data!N11</f>
        <v>1.00970167475E-4</v>
      </c>
      <c r="H3">
        <f>Data!O11</f>
        <v>1.00970167475E-4</v>
      </c>
      <c r="I3">
        <f>Data!P11</f>
        <v>1.00970167475E-4</v>
      </c>
      <c r="J3">
        <f>Data!Q11</f>
        <v>1.00970167475E-4</v>
      </c>
      <c r="K3">
        <f>Data!R11</f>
        <v>1.00970167475E-4</v>
      </c>
      <c r="L3">
        <f>Data!S11</f>
        <v>1.00970167475E-4</v>
      </c>
      <c r="M3">
        <f>Data!T11</f>
        <v>1.00970167475E-4</v>
      </c>
      <c r="N3">
        <f>Data!U11</f>
        <v>1.00970167475E-4</v>
      </c>
      <c r="O3">
        <f>Data!V11</f>
        <v>1.00970167475E-4</v>
      </c>
      <c r="P3">
        <f>Data!W11</f>
        <v>1.00970167475E-4</v>
      </c>
      <c r="Q3">
        <f>Data!X11</f>
        <v>1.00970167475E-4</v>
      </c>
      <c r="R3">
        <f>Data!Y11</f>
        <v>1.00970167475E-4</v>
      </c>
      <c r="S3">
        <f>Data!Z11</f>
        <v>1.00970167475E-4</v>
      </c>
      <c r="T3">
        <f>Data!AA11</f>
        <v>1.00970167475E-4</v>
      </c>
      <c r="U3">
        <f>Data!AB11</f>
        <v>1.00970167475E-4</v>
      </c>
      <c r="V3">
        <f>Data!AC11</f>
        <v>1.00970167475E-4</v>
      </c>
      <c r="W3">
        <f>Data!AD11</f>
        <v>1.00970167475E-4</v>
      </c>
      <c r="X3">
        <f>Data!AE11</f>
        <v>1.00970167475E-4</v>
      </c>
      <c r="Y3">
        <f>Data!AF11</f>
        <v>1.00970167475E-4</v>
      </c>
      <c r="Z3">
        <f>Data!AG11</f>
        <v>1.00970167475E-4</v>
      </c>
      <c r="AA3">
        <f>Data!AH11</f>
        <v>1.00970167475E-4</v>
      </c>
      <c r="AB3">
        <f>Data!AI11</f>
        <v>1.00970167475E-4</v>
      </c>
      <c r="AC3">
        <f>Data!AJ11</f>
        <v>1.00970167475E-4</v>
      </c>
      <c r="AD3">
        <f>Data!AK11</f>
        <v>1.00970167475E-4</v>
      </c>
      <c r="AE3">
        <f>Data!AL11</f>
        <v>1.00970167475E-4</v>
      </c>
    </row>
    <row r="4" spans="1:31" x14ac:dyDescent="0.3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35">
      <c r="A5" t="s">
        <v>40</v>
      </c>
      <c r="B5">
        <f>Data!I13</f>
        <v>6.7382959534800002E-2</v>
      </c>
      <c r="C5">
        <f>Data!J13</f>
        <v>6.7382959534800002E-2</v>
      </c>
      <c r="D5">
        <f>Data!K13</f>
        <v>6.7382959534800002E-2</v>
      </c>
      <c r="E5">
        <f>Data!L13</f>
        <v>6.7382959534800002E-2</v>
      </c>
      <c r="F5">
        <f>Data!M13</f>
        <v>6.7382959534800002E-2</v>
      </c>
      <c r="G5">
        <f>Data!N13</f>
        <v>6.7382959534800002E-2</v>
      </c>
      <c r="H5">
        <f>Data!O13</f>
        <v>6.7382959534800002E-2</v>
      </c>
      <c r="I5">
        <f>Data!P13</f>
        <v>6.7382959534800002E-2</v>
      </c>
      <c r="J5">
        <f>Data!Q13</f>
        <v>6.7382959534800002E-2</v>
      </c>
      <c r="K5">
        <f>Data!R13</f>
        <v>6.7382959534800002E-2</v>
      </c>
      <c r="L5">
        <f>Data!S13</f>
        <v>6.7382959534800002E-2</v>
      </c>
      <c r="M5">
        <f>Data!T13</f>
        <v>6.7382959534800002E-2</v>
      </c>
      <c r="N5">
        <f>Data!U13</f>
        <v>6.7382959534800002E-2</v>
      </c>
      <c r="O5">
        <f>Data!V13</f>
        <v>6.7382959534800002E-2</v>
      </c>
      <c r="P5">
        <f>Data!W13</f>
        <v>6.7382959534800002E-2</v>
      </c>
      <c r="Q5">
        <f>Data!X13</f>
        <v>6.7382959534800002E-2</v>
      </c>
      <c r="R5">
        <f>Data!Y13</f>
        <v>6.7382959534800002E-2</v>
      </c>
      <c r="S5">
        <f>Data!Z13</f>
        <v>6.7382959534800002E-2</v>
      </c>
      <c r="T5">
        <f>Data!AA13</f>
        <v>6.7382959534800002E-2</v>
      </c>
      <c r="U5">
        <f>Data!AB13</f>
        <v>6.7382959534800002E-2</v>
      </c>
      <c r="V5">
        <f>Data!AC13</f>
        <v>6.7382959534800002E-2</v>
      </c>
      <c r="W5">
        <f>Data!AD13</f>
        <v>6.7382959534800002E-2</v>
      </c>
      <c r="X5">
        <f>Data!AE13</f>
        <v>6.7382959534800002E-2</v>
      </c>
      <c r="Y5">
        <f>Data!AF13</f>
        <v>6.7382959534800002E-2</v>
      </c>
      <c r="Z5">
        <f>Data!AG13</f>
        <v>6.7382959534800002E-2</v>
      </c>
      <c r="AA5">
        <f>Data!AH13</f>
        <v>6.7382959534800002E-2</v>
      </c>
      <c r="AB5">
        <f>Data!AI13</f>
        <v>6.7382959534800002E-2</v>
      </c>
      <c r="AC5">
        <f>Data!AJ13</f>
        <v>6.7382959534800002E-2</v>
      </c>
      <c r="AD5">
        <f>Data!AK13</f>
        <v>6.7382959534800002E-2</v>
      </c>
      <c r="AE5">
        <f>Data!AL13</f>
        <v>6.7382959534800002E-2</v>
      </c>
    </row>
    <row r="6" spans="1:31" x14ac:dyDescent="0.35">
      <c r="A6" t="s">
        <v>41</v>
      </c>
      <c r="B6">
        <f>Data!I14</f>
        <v>1.68426429502E-2</v>
      </c>
      <c r="C6">
        <f>Data!J14</f>
        <v>1.68426429502E-2</v>
      </c>
      <c r="D6">
        <f>Data!K14</f>
        <v>1.68426429502E-2</v>
      </c>
      <c r="E6">
        <f>Data!L14</f>
        <v>1.68426429502E-2</v>
      </c>
      <c r="F6">
        <f>Data!M14</f>
        <v>1.4073498597800001E-2</v>
      </c>
      <c r="G6">
        <f>Data!N14</f>
        <v>1.7532504297315375E-2</v>
      </c>
      <c r="H6">
        <f>Data!O14</f>
        <v>1.9136207441018131E-2</v>
      </c>
      <c r="I6">
        <f>Data!P14</f>
        <v>2.1419075563388582E-2</v>
      </c>
      <c r="J6">
        <f>Data!Q14</f>
        <v>2.4601163025518801E-2</v>
      </c>
      <c r="K6">
        <f>Data!R14</f>
        <v>2.8909159010622888E-2</v>
      </c>
      <c r="L6">
        <f>Data!S14</f>
        <v>3.4516734059794343E-2</v>
      </c>
      <c r="M6">
        <f>Data!T14</f>
        <v>4.1454074269529816E-2</v>
      </c>
      <c r="N6">
        <f>Data!U14</f>
        <v>4.9516267729372364E-2</v>
      </c>
      <c r="O6">
        <f>Data!V14</f>
        <v>5.8232082335224832E-2</v>
      </c>
      <c r="P6">
        <f>Data!W14</f>
        <v>6.6947896941077292E-2</v>
      </c>
      <c r="Q6">
        <f>Data!X14</f>
        <v>7.5010090400919854E-2</v>
      </c>
      <c r="R6">
        <f>Data!Y14</f>
        <v>8.194743061065532E-2</v>
      </c>
      <c r="S6">
        <f>Data!Z14</f>
        <v>8.7555005659826768E-2</v>
      </c>
      <c r="T6">
        <f>Data!AA14</f>
        <v>9.1863001644930858E-2</v>
      </c>
      <c r="U6">
        <f>Data!AB14</f>
        <v>9.5045089107061081E-2</v>
      </c>
      <c r="V6">
        <f>Data!AC14</f>
        <v>9.7327957229431522E-2</v>
      </c>
      <c r="W6">
        <f>Data!AD14</f>
        <v>9.8931660373134278E-2</v>
      </c>
      <c r="X6">
        <f>Data!AE14</f>
        <v>0.10004169493659409</v>
      </c>
      <c r="Y6">
        <f>Data!AF14</f>
        <v>0.10080217495518981</v>
      </c>
      <c r="Z6">
        <f>Data!AG14</f>
        <v>0.10131951704893569</v>
      </c>
      <c r="AA6">
        <f>Data!AH14</f>
        <v>0.10166977090909066</v>
      </c>
      <c r="AB6">
        <f>Data!AI14</f>
        <v>0.10190613169392981</v>
      </c>
      <c r="AC6">
        <f>Data!AJ14</f>
        <v>0.10206528444043367</v>
      </c>
      <c r="AD6">
        <f>Data!AK14</f>
        <v>0.10217229099922295</v>
      </c>
      <c r="AE6">
        <f>Data!AL14</f>
        <v>0.10224416545984444</v>
      </c>
    </row>
    <row r="7" spans="1:31" x14ac:dyDescent="0.3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  <c r="AC7">
        <f>Data!AJ15</f>
        <v>0</v>
      </c>
      <c r="AD7">
        <f>Data!AK15</f>
        <v>0</v>
      </c>
      <c r="AE7">
        <f>Data!AL15</f>
        <v>0</v>
      </c>
    </row>
    <row r="8" spans="1:31" x14ac:dyDescent="0.3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  <c r="AC8">
        <f>Data!AJ16</f>
        <v>0</v>
      </c>
      <c r="AD8">
        <f>Data!AK16</f>
        <v>0</v>
      </c>
      <c r="AE8">
        <f>Data!AL16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K15" sqref="K15"/>
    </sheetView>
  </sheetViews>
  <sheetFormatPr defaultColWidth="9.1796875" defaultRowHeight="14.5" x14ac:dyDescent="0.35"/>
  <cols>
    <col min="1" max="1" width="24.453125" customWidth="1"/>
    <col min="2" max="5" width="10.179687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Data!I17</f>
        <v>0.464269858905</v>
      </c>
      <c r="C2">
        <f>Data!J17</f>
        <v>0.464269858905</v>
      </c>
      <c r="D2">
        <f>Data!K17</f>
        <v>0.464269858905</v>
      </c>
      <c r="E2">
        <f>Data!L17</f>
        <v>0.464269858905</v>
      </c>
      <c r="F2">
        <f>Data!M17</f>
        <v>0.22113248143634012</v>
      </c>
      <c r="G2">
        <f>Data!N17</f>
        <v>0.45842658466210101</v>
      </c>
      <c r="H2">
        <f>Data!O17</f>
        <v>0.45647921740967468</v>
      </c>
      <c r="I2">
        <f>Data!P17</f>
        <v>0.45392523459074285</v>
      </c>
      <c r="J2">
        <f>Data!Q17</f>
        <v>0.45060709178719499</v>
      </c>
      <c r="K2">
        <f>Data!R17</f>
        <v>0.44634853948021264</v>
      </c>
      <c r="L2">
        <f>Data!S17</f>
        <v>0.44096800448827289</v>
      </c>
      <c r="M2">
        <f>Data!T17</f>
        <v>0.43430284384865914</v>
      </c>
      <c r="N2">
        <f>Data!U17</f>
        <v>0.42624545775037931</v>
      </c>
      <c r="O2">
        <f>Data!V17</f>
        <v>0.41678757448478931</v>
      </c>
      <c r="P2">
        <f>Data!W17</f>
        <v>0.40606187032483487</v>
      </c>
      <c r="Q2">
        <f>Data!X17</f>
        <v>0.39436359118568431</v>
      </c>
      <c r="R2">
        <f>Data!Y17</f>
        <v>0.38213492945249999</v>
      </c>
      <c r="S2">
        <f>Data!Z17</f>
        <v>0.36990626771931567</v>
      </c>
      <c r="T2">
        <f>Data!AA17</f>
        <v>0.35820798858016512</v>
      </c>
      <c r="U2">
        <f>Data!AB17</f>
        <v>0.34748228442021067</v>
      </c>
      <c r="V2">
        <f>Data!AC17</f>
        <v>0.33802440115462073</v>
      </c>
      <c r="W2">
        <f>Data!AD17</f>
        <v>0.32996701505634085</v>
      </c>
      <c r="X2">
        <f>Data!AE17</f>
        <v>0.3233018544167271</v>
      </c>
      <c r="Y2">
        <f>Data!AF17</f>
        <v>0.3179213194247873</v>
      </c>
      <c r="Z2">
        <f>Data!AG17</f>
        <v>0.313662767117805</v>
      </c>
      <c r="AA2">
        <f>Data!AH17</f>
        <v>0.31034462431425713</v>
      </c>
      <c r="AB2">
        <f>Data!AI17</f>
        <v>0.30779064149532531</v>
      </c>
      <c r="AC2">
        <f>Data!AJ17</f>
        <v>0.30584327424289898</v>
      </c>
      <c r="AD2">
        <f>Data!AK17</f>
        <v>0.30436908438216892</v>
      </c>
      <c r="AE2">
        <f>Data!AL17</f>
        <v>0.30325916422356897</v>
      </c>
    </row>
    <row r="3" spans="1:31" x14ac:dyDescent="0.35">
      <c r="A3" t="s">
        <v>38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  <c r="AC3">
        <f>Data!AJ18</f>
        <v>0</v>
      </c>
      <c r="AD3">
        <f>Data!AK18</f>
        <v>0</v>
      </c>
      <c r="AE3">
        <f>Data!AL18</f>
        <v>0</v>
      </c>
    </row>
    <row r="4" spans="1:31" x14ac:dyDescent="0.35">
      <c r="A4" t="s">
        <v>39</v>
      </c>
      <c r="B4">
        <f>Data!I19</f>
        <v>1</v>
      </c>
      <c r="C4">
        <f>Data!J19</f>
        <v>1</v>
      </c>
      <c r="D4">
        <f>Data!K19</f>
        <v>1</v>
      </c>
      <c r="E4">
        <f>Data!L19</f>
        <v>1</v>
      </c>
      <c r="F4">
        <f>Data!M19</f>
        <v>0.95569574619999997</v>
      </c>
      <c r="G4">
        <f>Data!N19</f>
        <v>0.95569574619999997</v>
      </c>
      <c r="H4">
        <f>Data!O19</f>
        <v>0.95569574619999997</v>
      </c>
      <c r="I4">
        <f>Data!P19</f>
        <v>0.95569574619999997</v>
      </c>
      <c r="J4">
        <f>Data!Q19</f>
        <v>0.95569574619999997</v>
      </c>
      <c r="K4">
        <f>Data!R19</f>
        <v>0.95569574619999997</v>
      </c>
      <c r="L4">
        <f>Data!S19</f>
        <v>0.95569574619999997</v>
      </c>
      <c r="M4">
        <f>Data!T19</f>
        <v>0.95569574619999997</v>
      </c>
      <c r="N4">
        <f>Data!U19</f>
        <v>0.95569574619999997</v>
      </c>
      <c r="O4">
        <f>Data!V19</f>
        <v>0.95569574619999997</v>
      </c>
      <c r="P4">
        <f>Data!W19</f>
        <v>0.95569574619999997</v>
      </c>
      <c r="Q4">
        <f>Data!X19</f>
        <v>0.95569574619999997</v>
      </c>
      <c r="R4">
        <f>Data!Y19</f>
        <v>0.95569574619999997</v>
      </c>
      <c r="S4">
        <f>Data!Z19</f>
        <v>0.95569574619999997</v>
      </c>
      <c r="T4">
        <f>Data!AA19</f>
        <v>0.95569574619999997</v>
      </c>
      <c r="U4">
        <f>Data!AB19</f>
        <v>0.95569574619999997</v>
      </c>
      <c r="V4">
        <f>Data!AC19</f>
        <v>0.95569574619999997</v>
      </c>
      <c r="W4">
        <f>Data!AD19</f>
        <v>0.95569574619999997</v>
      </c>
      <c r="X4">
        <f>Data!AE19</f>
        <v>0.95569574619999997</v>
      </c>
      <c r="Y4">
        <f>Data!AF19</f>
        <v>0.95569574619999997</v>
      </c>
      <c r="Z4">
        <f>Data!AG19</f>
        <v>0.95569574619999997</v>
      </c>
      <c r="AA4">
        <f>Data!AH19</f>
        <v>0.95569574619999997</v>
      </c>
      <c r="AB4">
        <f>Data!AI19</f>
        <v>0.95569574619999997</v>
      </c>
      <c r="AC4">
        <f>Data!AJ19</f>
        <v>0.95569574619999997</v>
      </c>
      <c r="AD4">
        <f>Data!AK19</f>
        <v>0.95569574619999997</v>
      </c>
      <c r="AE4">
        <f>Data!AL19</f>
        <v>0.95569574619999997</v>
      </c>
    </row>
    <row r="5" spans="1:31" x14ac:dyDescent="0.35">
      <c r="A5" t="s">
        <v>40</v>
      </c>
      <c r="B5">
        <f>Data!I20</f>
        <v>0.97299803336400004</v>
      </c>
      <c r="C5">
        <f>Data!J20</f>
        <v>0.97299803336400004</v>
      </c>
      <c r="D5">
        <f>Data!K20</f>
        <v>0.97299803336400004</v>
      </c>
      <c r="E5">
        <f>Data!L20</f>
        <v>0.97299803336400004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35">
      <c r="A6" t="s">
        <v>41</v>
      </c>
      <c r="B6">
        <f>Data!I21</f>
        <v>0</v>
      </c>
      <c r="C6">
        <f>Data!J21</f>
        <v>0</v>
      </c>
      <c r="D6">
        <f>Data!K21</f>
        <v>0</v>
      </c>
      <c r="E6">
        <f>Data!L21</f>
        <v>0</v>
      </c>
      <c r="F6">
        <f>Data!M21</f>
        <v>9.0197447039299999E-4</v>
      </c>
      <c r="G6">
        <f>Data!N21</f>
        <v>9.1384577850523699E-4</v>
      </c>
      <c r="H6">
        <f>Data!O21</f>
        <v>9.1780208719455226E-4</v>
      </c>
      <c r="I6">
        <f>Data!P21</f>
        <v>9.229908077126324E-4</v>
      </c>
      <c r="J6">
        <f>Data!Q21</f>
        <v>9.2973201032334131E-4</v>
      </c>
      <c r="K6">
        <f>Data!R21</f>
        <v>9.3838376693218116E-4</v>
      </c>
      <c r="L6">
        <f>Data!S21</f>
        <v>9.4931496509999139E-4</v>
      </c>
      <c r="M6">
        <f>Data!T21</f>
        <v>9.6285603339172255E-4</v>
      </c>
      <c r="N6">
        <f>Data!U21</f>
        <v>9.7922557364874116E-4</v>
      </c>
      <c r="O6">
        <f>Data!V21</f>
        <v>9.9844039083310217E-4</v>
      </c>
      <c r="P6">
        <f>Data!W21</f>
        <v>1.020230937281997E-3</v>
      </c>
      <c r="Q6">
        <f>Data!X21</f>
        <v>1.0439973857269895E-3</v>
      </c>
      <c r="R6">
        <f>Data!Y21</f>
        <v>1.0688413696305979E-3</v>
      </c>
      <c r="S6">
        <f>Data!Z21</f>
        <v>1.0936853535342065E-3</v>
      </c>
      <c r="T6">
        <f>Data!AA21</f>
        <v>1.117451801979199E-3</v>
      </c>
      <c r="U6">
        <f>Data!AB21</f>
        <v>1.1392423484280938E-3</v>
      </c>
      <c r="V6">
        <f>Data!AC21</f>
        <v>1.1584571656124548E-3</v>
      </c>
      <c r="W6">
        <f>Data!AD21</f>
        <v>1.1748267058694735E-3</v>
      </c>
      <c r="X6">
        <f>Data!AE21</f>
        <v>1.1883677741612046E-3</v>
      </c>
      <c r="Y6">
        <f>Data!AF21</f>
        <v>1.1992989723290147E-3</v>
      </c>
      <c r="Z6">
        <f>Data!AG21</f>
        <v>1.2079507289378547E-3</v>
      </c>
      <c r="AA6">
        <f>Data!AH21</f>
        <v>1.2146919315485635E-3</v>
      </c>
      <c r="AB6">
        <f>Data!AI21</f>
        <v>1.2198806520666437E-3</v>
      </c>
      <c r="AC6">
        <f>Data!AJ21</f>
        <v>1.223836960755959E-3</v>
      </c>
      <c r="AD6">
        <f>Data!AK21</f>
        <v>1.2268319531737681E-3</v>
      </c>
      <c r="AE6">
        <f>Data!AL21</f>
        <v>1.2290868882726532E-3</v>
      </c>
    </row>
    <row r="7" spans="1:31" x14ac:dyDescent="0.35">
      <c r="A7" t="s">
        <v>42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  <c r="AC7">
        <f>Data!AJ22</f>
        <v>0</v>
      </c>
      <c r="AD7">
        <f>Data!AK22</f>
        <v>0</v>
      </c>
      <c r="AE7">
        <f>Data!AL22</f>
        <v>0</v>
      </c>
    </row>
    <row r="8" spans="1:31" x14ac:dyDescent="0.35">
      <c r="A8" t="s">
        <v>43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0.87530894177700003</v>
      </c>
      <c r="G8">
        <f>Data!N23</f>
        <v>0.87530894177700003</v>
      </c>
      <c r="H8">
        <f>Data!O23</f>
        <v>0.87530894177700003</v>
      </c>
      <c r="I8">
        <f>Data!P23</f>
        <v>0.87530894177700003</v>
      </c>
      <c r="J8">
        <f>Data!Q23</f>
        <v>0.87530894177700003</v>
      </c>
      <c r="K8">
        <f>Data!R23</f>
        <v>0.87530894177700003</v>
      </c>
      <c r="L8">
        <f>Data!S23</f>
        <v>0.87530894177700003</v>
      </c>
      <c r="M8">
        <f>Data!T23</f>
        <v>0.87530894177700003</v>
      </c>
      <c r="N8">
        <f>Data!U23</f>
        <v>0.87530894177700003</v>
      </c>
      <c r="O8">
        <f>Data!V23</f>
        <v>0.87530894177700003</v>
      </c>
      <c r="P8">
        <f>Data!W23</f>
        <v>0.87530894177700003</v>
      </c>
      <c r="Q8">
        <f>Data!X23</f>
        <v>0.87530894177700003</v>
      </c>
      <c r="R8">
        <f>Data!Y23</f>
        <v>0.87530894177700003</v>
      </c>
      <c r="S8">
        <f>Data!Z23</f>
        <v>0.87530894177700003</v>
      </c>
      <c r="T8">
        <f>Data!AA23</f>
        <v>0.87530894177700003</v>
      </c>
      <c r="U8">
        <f>Data!AB23</f>
        <v>0.87530894177700003</v>
      </c>
      <c r="V8">
        <f>Data!AC23</f>
        <v>0.87530894177700003</v>
      </c>
      <c r="W8">
        <f>Data!AD23</f>
        <v>0.87530894177700003</v>
      </c>
      <c r="X8">
        <f>Data!AE23</f>
        <v>0.87530894177700003</v>
      </c>
      <c r="Y8">
        <f>Data!AF23</f>
        <v>0.87530894177700003</v>
      </c>
      <c r="Z8">
        <f>Data!AG23</f>
        <v>0.87530894177700003</v>
      </c>
      <c r="AA8">
        <f>Data!AH23</f>
        <v>0.87530894177700003</v>
      </c>
      <c r="AB8">
        <f>Data!AI23</f>
        <v>0.87530894177700003</v>
      </c>
      <c r="AC8">
        <f>Data!AJ23</f>
        <v>0.87530894177700003</v>
      </c>
      <c r="AD8">
        <f>Data!AK23</f>
        <v>0.87530894177700003</v>
      </c>
      <c r="AE8">
        <f>Data!AL23</f>
        <v>0.87530894177700003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K15" sqref="J15:K15"/>
    </sheetView>
  </sheetViews>
  <sheetFormatPr defaultColWidth="9.1796875" defaultRowHeight="14.5" x14ac:dyDescent="0.35"/>
  <cols>
    <col min="1" max="1" width="24.453125" customWidth="1"/>
    <col min="2" max="5" width="9.72656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Data!I24</f>
        <v>3.1162890650799999E-2</v>
      </c>
      <c r="C2">
        <f>Data!J24</f>
        <v>3.1162890650799999E-2</v>
      </c>
      <c r="D2">
        <f>Data!K24</f>
        <v>3.1162890650799999E-2</v>
      </c>
      <c r="E2">
        <f>Data!L24</f>
        <v>3.1162890650799999E-2</v>
      </c>
      <c r="F2">
        <f>Data!M24</f>
        <v>3.0635270769200001E-2</v>
      </c>
      <c r="G2">
        <f>Data!N24</f>
        <v>5.6223929708727458E-2</v>
      </c>
      <c r="H2">
        <f>Data!O24</f>
        <v>6.4751771186114582E-2</v>
      </c>
      <c r="I2">
        <f>Data!P24</f>
        <v>7.593608199789606E-2</v>
      </c>
      <c r="J2">
        <f>Data!Q24</f>
        <v>9.0466775061945975E-2</v>
      </c>
      <c r="K2">
        <f>Data!R24</f>
        <v>0.10911567600852309</v>
      </c>
      <c r="L2">
        <f>Data!S24</f>
        <v>0.13267792366244005</v>
      </c>
      <c r="M2">
        <f>Data!T24</f>
        <v>0.16186575830694638</v>
      </c>
      <c r="N2">
        <f>Data!U24</f>
        <v>0.19715037721106998</v>
      </c>
      <c r="O2">
        <f>Data!V24</f>
        <v>0.2385680035473921</v>
      </c>
      <c r="P2">
        <f>Data!W24</f>
        <v>0.2855376260957222</v>
      </c>
      <c r="Q2">
        <f>Data!X24</f>
        <v>0.33676631443512162</v>
      </c>
      <c r="R2">
        <f>Data!Y24</f>
        <v>0.39031763538459996</v>
      </c>
      <c r="S2">
        <f>Data!Z24</f>
        <v>0.4438689563340783</v>
      </c>
      <c r="T2">
        <f>Data!AA24</f>
        <v>0.49509764467347783</v>
      </c>
      <c r="U2">
        <f>Data!AB24</f>
        <v>0.54206726722180787</v>
      </c>
      <c r="V2">
        <f>Data!AC24</f>
        <v>0.58348489355812994</v>
      </c>
      <c r="W2">
        <f>Data!AD24</f>
        <v>0.61876951246225353</v>
      </c>
      <c r="X2">
        <f>Data!AE24</f>
        <v>0.64795734710676001</v>
      </c>
      <c r="Y2">
        <f>Data!AF24</f>
        <v>0.67151959476067691</v>
      </c>
      <c r="Z2">
        <f>Data!AG24</f>
        <v>0.69016849570725403</v>
      </c>
      <c r="AA2">
        <f>Data!AH24</f>
        <v>0.704699188771304</v>
      </c>
      <c r="AB2">
        <f>Data!AI24</f>
        <v>0.7158834995830855</v>
      </c>
      <c r="AC2">
        <f>Data!AJ24</f>
        <v>0.72441134106047256</v>
      </c>
      <c r="AD2">
        <f>Data!AK24</f>
        <v>0.73086706091722453</v>
      </c>
      <c r="AE2">
        <f>Data!AL24</f>
        <v>0.73572758383774906</v>
      </c>
    </row>
    <row r="3" spans="1:31" x14ac:dyDescent="0.35">
      <c r="A3" t="s">
        <v>38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  <c r="AC3">
        <f>Data!AJ25</f>
        <v>0</v>
      </c>
      <c r="AD3">
        <f>Data!AK25</f>
        <v>0</v>
      </c>
      <c r="AE3">
        <f>Data!AL25</f>
        <v>0</v>
      </c>
    </row>
    <row r="4" spans="1:31" x14ac:dyDescent="0.35">
      <c r="A4" t="s">
        <v>39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  <c r="AC4">
        <f>Data!AJ26</f>
        <v>0</v>
      </c>
      <c r="AD4">
        <f>Data!AK26</f>
        <v>0</v>
      </c>
      <c r="AE4">
        <f>Data!AL26</f>
        <v>0</v>
      </c>
    </row>
    <row r="5" spans="1:31" x14ac:dyDescent="0.3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3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  <c r="AC6">
        <f>Data!AJ28</f>
        <v>0</v>
      </c>
      <c r="AD6">
        <f>Data!AK28</f>
        <v>0</v>
      </c>
      <c r="AE6">
        <f>Data!AL28</f>
        <v>0</v>
      </c>
    </row>
    <row r="7" spans="1:31" x14ac:dyDescent="0.35">
      <c r="A7" t="s">
        <v>42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  <c r="AC7">
        <f>Data!AJ29</f>
        <v>0</v>
      </c>
      <c r="AD7">
        <f>Data!AK29</f>
        <v>0</v>
      </c>
      <c r="AE7">
        <f>Data!AL29</f>
        <v>0</v>
      </c>
    </row>
    <row r="8" spans="1:31" x14ac:dyDescent="0.35">
      <c r="A8" t="s">
        <v>43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  <c r="AC8">
        <f>Data!AJ30</f>
        <v>0</v>
      </c>
      <c r="AD8">
        <f>Data!AK30</f>
        <v>0</v>
      </c>
      <c r="AE8">
        <f>Data!AL30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>
      <selection activeCell="V29" sqref="V29"/>
    </sheetView>
  </sheetViews>
  <sheetFormatPr defaultColWidth="9.1796875" defaultRowHeight="14.5" x14ac:dyDescent="0.35"/>
  <cols>
    <col min="1" max="1" width="24.453125" customWidth="1"/>
    <col min="2" max="5" width="10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Data!I31</f>
        <v>4.7973229575300003E-3</v>
      </c>
      <c r="C2">
        <f>Data!J31</f>
        <v>4.7973229575300003E-3</v>
      </c>
      <c r="D2">
        <f>Data!K31</f>
        <v>4.7973229575300003E-3</v>
      </c>
      <c r="E2">
        <f>Data!L31</f>
        <v>4.7973229575300003E-3</v>
      </c>
      <c r="F2">
        <f>Data!M31</f>
        <v>6.1405058414400002E-3</v>
      </c>
      <c r="G2">
        <f>Data!N31</f>
        <v>1.4814878064083456E-2</v>
      </c>
      <c r="H2">
        <f>Data!O31</f>
        <v>1.7705755284549454E-2</v>
      </c>
      <c r="I2">
        <f>Data!P31</f>
        <v>2.1497156594966059E-2</v>
      </c>
      <c r="J2">
        <f>Data!Q31</f>
        <v>2.6422957536251346E-2</v>
      </c>
      <c r="K2">
        <f>Data!R31</f>
        <v>3.2744801472509036E-2</v>
      </c>
      <c r="L2">
        <f>Data!S31</f>
        <v>4.0732234773926027E-2</v>
      </c>
      <c r="M2">
        <f>Data!T31</f>
        <v>5.0626701798468406E-2</v>
      </c>
      <c r="N2">
        <f>Data!U31</f>
        <v>6.2587935047612731E-2</v>
      </c>
      <c r="O2">
        <f>Data!V31</f>
        <v>7.6628213917586716E-2</v>
      </c>
      <c r="P2">
        <f>Data!W31</f>
        <v>9.2550579763493207E-2</v>
      </c>
      <c r="Q2">
        <f>Data!X31</f>
        <v>0.10991673842713874</v>
      </c>
      <c r="R2">
        <f>Data!Y31</f>
        <v>0.12807025292072</v>
      </c>
      <c r="S2">
        <f>Data!Z31</f>
        <v>0.14622376741430126</v>
      </c>
      <c r="T2">
        <f>Data!AA31</f>
        <v>0.16358992607794678</v>
      </c>
      <c r="U2">
        <f>Data!AB31</f>
        <v>0.17951229192385326</v>
      </c>
      <c r="V2">
        <f>Data!AC31</f>
        <v>0.19355257079382726</v>
      </c>
      <c r="W2">
        <f>Data!AD31</f>
        <v>0.20551380404297159</v>
      </c>
      <c r="X2">
        <f>Data!AE31</f>
        <v>0.21540827106751401</v>
      </c>
      <c r="Y2">
        <f>Data!AF31</f>
        <v>0.22339570436893097</v>
      </c>
      <c r="Z2">
        <f>Data!AG31</f>
        <v>0.22971754830518867</v>
      </c>
      <c r="AA2">
        <f>Data!AH31</f>
        <v>0.23464334924647395</v>
      </c>
      <c r="AB2">
        <f>Data!AI31</f>
        <v>0.23843475055689056</v>
      </c>
      <c r="AC2">
        <f>Data!AJ31</f>
        <v>0.24132562777735656</v>
      </c>
      <c r="AD2">
        <f>Data!AK31</f>
        <v>0.24351407060020699</v>
      </c>
      <c r="AE2">
        <f>Data!AL31</f>
        <v>0.2451617530797367</v>
      </c>
    </row>
    <row r="3" spans="1:31" x14ac:dyDescent="0.35">
      <c r="A3" t="s">
        <v>38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  <c r="AC3">
        <f>Data!AJ32</f>
        <v>0</v>
      </c>
      <c r="AD3">
        <f>Data!AK32</f>
        <v>0</v>
      </c>
      <c r="AE3">
        <f>Data!AL32</f>
        <v>0</v>
      </c>
    </row>
    <row r="4" spans="1:31" x14ac:dyDescent="0.35">
      <c r="A4" t="s">
        <v>39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3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  <c r="AC5">
        <f>Data!AJ34</f>
        <v>1</v>
      </c>
      <c r="AD5">
        <f>Data!AK34</f>
        <v>1</v>
      </c>
      <c r="AE5">
        <f>Data!AL34</f>
        <v>1</v>
      </c>
    </row>
    <row r="6" spans="1:31" x14ac:dyDescent="0.3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  <c r="AC6">
        <f>Data!AJ35</f>
        <v>0</v>
      </c>
      <c r="AD6">
        <f>Data!AK35</f>
        <v>0</v>
      </c>
      <c r="AE6">
        <f>Data!AL35</f>
        <v>0</v>
      </c>
    </row>
    <row r="7" spans="1:31" x14ac:dyDescent="0.3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  <c r="AC7">
        <f>Data!AJ36</f>
        <v>0</v>
      </c>
      <c r="AD7">
        <f>Data!AK36</f>
        <v>0</v>
      </c>
      <c r="AE7">
        <f>Data!AL36</f>
        <v>0</v>
      </c>
    </row>
    <row r="8" spans="1:31" x14ac:dyDescent="0.35">
      <c r="A8" t="s">
        <v>43</v>
      </c>
      <c r="B8">
        <f>Data!I37</f>
        <v>6.2247642917999998E-4</v>
      </c>
      <c r="C8">
        <f>Data!J37</f>
        <v>6.2247642917999998E-4</v>
      </c>
      <c r="D8">
        <f>Data!K37</f>
        <v>6.2247642917999998E-4</v>
      </c>
      <c r="E8">
        <f>Data!L37</f>
        <v>6.2247642917999998E-4</v>
      </c>
      <c r="F8">
        <f>Data!M37</f>
        <v>3.70282921188E-3</v>
      </c>
      <c r="G8">
        <f>Data!N37</f>
        <v>3.70282921188E-3</v>
      </c>
      <c r="H8">
        <f>Data!O37</f>
        <v>3.70282921188E-3</v>
      </c>
      <c r="I8">
        <f>Data!P37</f>
        <v>3.70282921188E-3</v>
      </c>
      <c r="J8">
        <f>Data!Q37</f>
        <v>3.70282921188E-3</v>
      </c>
      <c r="K8">
        <f>Data!R37</f>
        <v>3.70282921188E-3</v>
      </c>
      <c r="L8">
        <f>Data!S37</f>
        <v>3.70282921188E-3</v>
      </c>
      <c r="M8">
        <f>Data!T37</f>
        <v>3.70282921188E-3</v>
      </c>
      <c r="N8">
        <f>Data!U37</f>
        <v>3.70282921188E-3</v>
      </c>
      <c r="O8">
        <f>Data!V37</f>
        <v>3.70282921188E-3</v>
      </c>
      <c r="P8">
        <f>Data!W37</f>
        <v>3.70282921188E-3</v>
      </c>
      <c r="Q8">
        <f>Data!X37</f>
        <v>3.70282921188E-3</v>
      </c>
      <c r="R8">
        <f>Data!Y37</f>
        <v>3.70282921188E-3</v>
      </c>
      <c r="S8">
        <f>Data!Z37</f>
        <v>3.70282921188E-3</v>
      </c>
      <c r="T8">
        <f>Data!AA37</f>
        <v>3.70282921188E-3</v>
      </c>
      <c r="U8">
        <f>Data!AB37</f>
        <v>3.70282921188E-3</v>
      </c>
      <c r="V8">
        <f>Data!AC37</f>
        <v>3.70282921188E-3</v>
      </c>
      <c r="W8">
        <f>Data!AD37</f>
        <v>3.70282921188E-3</v>
      </c>
      <c r="X8">
        <f>Data!AE37</f>
        <v>3.70282921188E-3</v>
      </c>
      <c r="Y8">
        <f>Data!AF37</f>
        <v>3.70282921188E-3</v>
      </c>
      <c r="Z8">
        <f>Data!AG37</f>
        <v>3.70282921188E-3</v>
      </c>
      <c r="AA8">
        <f>Data!AH37</f>
        <v>3.70282921188E-3</v>
      </c>
      <c r="AB8">
        <f>Data!AI37</f>
        <v>3.70282921188E-3</v>
      </c>
      <c r="AC8">
        <f>Data!AJ37</f>
        <v>3.70282921188E-3</v>
      </c>
      <c r="AD8">
        <f>Data!AK37</f>
        <v>3.70282921188E-3</v>
      </c>
      <c r="AE8">
        <f>Data!AL37</f>
        <v>3.70282921188E-3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>
      <selection activeCell="E1" sqref="B1:F8"/>
    </sheetView>
  </sheetViews>
  <sheetFormatPr defaultColWidth="9.1796875" defaultRowHeight="14.5" x14ac:dyDescent="0.35"/>
  <cols>
    <col min="1" max="1" width="24.453125" customWidth="1"/>
    <col min="2" max="5" width="9.72656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3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3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3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3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3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3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>
      <selection activeCell="E19" sqref="E19"/>
    </sheetView>
  </sheetViews>
  <sheetFormatPr defaultColWidth="9.1796875" defaultRowHeight="14.5" x14ac:dyDescent="0.35"/>
  <cols>
    <col min="1" max="1" width="24.453125" customWidth="1"/>
    <col min="2" max="5" width="10.179687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3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3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3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3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3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3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tabSelected="1" workbookViewId="0">
      <selection activeCell="M32" sqref="M32"/>
    </sheetView>
  </sheetViews>
  <sheetFormatPr defaultColWidth="9.1796875" defaultRowHeight="14.5" x14ac:dyDescent="0.35"/>
  <cols>
    <col min="1" max="1" width="24.453125" customWidth="1"/>
    <col min="2" max="5" width="9.72656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  <c r="AC2">
        <f>Data!AJ52</f>
        <v>0.93664816810144857</v>
      </c>
      <c r="AD2">
        <f>Data!AK52</f>
        <v>0.93664816810144857</v>
      </c>
      <c r="AE2">
        <f>Data!AL52</f>
        <v>0.93664816810144857</v>
      </c>
    </row>
    <row r="3" spans="1:31" x14ac:dyDescent="0.3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3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35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  <c r="AC5">
        <f>Data!AJ55</f>
        <v>6.3351831898551425E-2</v>
      </c>
      <c r="AD5">
        <f>Data!AK55</f>
        <v>6.3351831898551425E-2</v>
      </c>
      <c r="AE5">
        <f>Data!AL55</f>
        <v>6.3351831898551425E-2</v>
      </c>
    </row>
    <row r="6" spans="1:31" x14ac:dyDescent="0.3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3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3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workbookViewId="0">
      <selection activeCell="H38" sqref="H38"/>
    </sheetView>
  </sheetViews>
  <sheetFormatPr defaultColWidth="9.1796875" defaultRowHeight="14.5" x14ac:dyDescent="0.35"/>
  <cols>
    <col min="1" max="1" width="24.453125" customWidth="1"/>
    <col min="2" max="5" width="9.72656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3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3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3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3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3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3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H13" sqref="H13"/>
    </sheetView>
  </sheetViews>
  <sheetFormatPr defaultColWidth="9.1796875" defaultRowHeight="14.5" x14ac:dyDescent="0.35"/>
  <cols>
    <col min="1" max="1" width="24.453125" customWidth="1"/>
    <col min="2" max="5" width="10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3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3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3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3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3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3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E1" sqref="B1:F8"/>
    </sheetView>
  </sheetViews>
  <sheetFormatPr defaultColWidth="9.1796875" defaultRowHeight="14.5" x14ac:dyDescent="0.35"/>
  <cols>
    <col min="1" max="1" width="24.453125" customWidth="1"/>
    <col min="2" max="5" width="9.63281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3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3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3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3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3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3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>
      <selection activeCell="F19" sqref="F19"/>
    </sheetView>
  </sheetViews>
  <sheetFormatPr defaultColWidth="9.1796875" defaultRowHeight="14.5" x14ac:dyDescent="0.35"/>
  <cols>
    <col min="1" max="1" width="24.453125" customWidth="1"/>
    <col min="2" max="5" width="9.453125" customWidth="1"/>
    <col min="10" max="10" width="9.4531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f>Data!I80</f>
        <v>0.14828894775500001</v>
      </c>
      <c r="C2">
        <f>Data!J80</f>
        <v>0.14828894775500001</v>
      </c>
      <c r="D2">
        <f>Data!K80</f>
        <v>0.14828894775500001</v>
      </c>
      <c r="E2">
        <f>Data!L80</f>
        <v>0.14828894775500001</v>
      </c>
      <c r="F2">
        <f>Data!M80</f>
        <v>0.20192405110570355</v>
      </c>
      <c r="G2">
        <f>Data!N80</f>
        <v>0.21912805260389268</v>
      </c>
      <c r="H2">
        <f>Data!O80</f>
        <v>0.2412079161321001</v>
      </c>
      <c r="I2">
        <f>Data!P80</f>
        <v>0.2691050675034683</v>
      </c>
      <c r="J2">
        <f>Data!Q80</f>
        <v>0.30366278259245705</v>
      </c>
      <c r="K2">
        <f>Data!R80</f>
        <v>0.34543894796969088</v>
      </c>
      <c r="L2">
        <f>Data!S80</f>
        <v>0.39447645102619855</v>
      </c>
      <c r="M2">
        <f>Data!T80</f>
        <v>0.45008738803580778</v>
      </c>
      <c r="N2">
        <f>Data!U80</f>
        <v>0.51074095955207577</v>
      </c>
      <c r="O2">
        <f>Data!V80</f>
        <v>0.57414447387750001</v>
      </c>
      <c r="P2">
        <f>Data!W80</f>
        <v>0.63754798820292424</v>
      </c>
      <c r="Q2">
        <f>Data!X80</f>
        <v>0.69820155971919218</v>
      </c>
      <c r="R2">
        <f>Data!Y80</f>
        <v>0.75381249672880146</v>
      </c>
      <c r="S2">
        <f>Data!Z80</f>
        <v>0.80284999978530913</v>
      </c>
      <c r="T2">
        <f>Data!AA80</f>
        <v>0.84462616516254285</v>
      </c>
      <c r="U2">
        <f>Data!AB80</f>
        <v>0.87918388025153182</v>
      </c>
      <c r="V2">
        <f>Data!AC80</f>
        <v>0.90708103162289988</v>
      </c>
      <c r="W2">
        <f>Data!AD80</f>
        <v>0.92916089515110734</v>
      </c>
      <c r="X2">
        <f>Data!AE80</f>
        <v>0.94636489664929646</v>
      </c>
      <c r="Y2">
        <f>Data!AF80</f>
        <v>0.95960685965229675</v>
      </c>
      <c r="Z2">
        <f>Data!AG80</f>
        <v>0.96970362495499696</v>
      </c>
      <c r="AA2">
        <f>Data!AH80</f>
        <v>0.97734704661409399</v>
      </c>
      <c r="AB2">
        <f>Data!AI80</f>
        <v>0.98310179232636641</v>
      </c>
      <c r="AC2">
        <f>Data!AJ80</f>
        <v>0.98741679392062143</v>
      </c>
      <c r="AD2">
        <f>Data!AK80</f>
        <v>0.99064229953114202</v>
      </c>
      <c r="AE2">
        <f>Data!AL80</f>
        <v>0.99304784793411749</v>
      </c>
    </row>
    <row r="3" spans="1:31" x14ac:dyDescent="0.35">
      <c r="A3" t="s">
        <v>38</v>
      </c>
      <c r="B3">
        <f>Data!I81</f>
        <v>1.00970167475E-4</v>
      </c>
      <c r="C3">
        <f>Data!J81</f>
        <v>1.00970167475E-4</v>
      </c>
      <c r="D3">
        <f>Data!K81</f>
        <v>1.00970167475E-4</v>
      </c>
      <c r="E3">
        <f>Data!L81</f>
        <v>1.00970167475E-4</v>
      </c>
      <c r="F3">
        <f>Data!M81</f>
        <v>1.00970167475E-4</v>
      </c>
      <c r="G3">
        <f>Data!N81</f>
        <v>1.00970167475E-4</v>
      </c>
      <c r="H3">
        <f>Data!O81</f>
        <v>1.00970167475E-4</v>
      </c>
      <c r="I3">
        <f>Data!P81</f>
        <v>1.00970167475E-4</v>
      </c>
      <c r="J3">
        <f>Data!Q81</f>
        <v>1.00970167475E-4</v>
      </c>
      <c r="K3">
        <f>Data!R81</f>
        <v>1.00970167475E-4</v>
      </c>
      <c r="L3">
        <f>Data!S81</f>
        <v>1.00970167475E-4</v>
      </c>
      <c r="M3">
        <f>Data!T81</f>
        <v>1.00970167475E-4</v>
      </c>
      <c r="N3">
        <f>Data!U81</f>
        <v>1.00970167475E-4</v>
      </c>
      <c r="O3">
        <f>Data!V81</f>
        <v>1.00970167475E-4</v>
      </c>
      <c r="P3">
        <f>Data!W81</f>
        <v>1.00970167475E-4</v>
      </c>
      <c r="Q3">
        <f>Data!X81</f>
        <v>1.00970167475E-4</v>
      </c>
      <c r="R3">
        <f>Data!Y81</f>
        <v>1.00970167475E-4</v>
      </c>
      <c r="S3">
        <f>Data!Z81</f>
        <v>1.00970167475E-4</v>
      </c>
      <c r="T3">
        <f>Data!AA81</f>
        <v>1.00970167475E-4</v>
      </c>
      <c r="U3">
        <f>Data!AB81</f>
        <v>1.00970167475E-4</v>
      </c>
      <c r="V3">
        <f>Data!AC81</f>
        <v>1.00970167475E-4</v>
      </c>
      <c r="W3">
        <f>Data!AD81</f>
        <v>1.00970167475E-4</v>
      </c>
      <c r="X3">
        <f>Data!AE81</f>
        <v>1.00970167475E-4</v>
      </c>
      <c r="Y3">
        <f>Data!AF81</f>
        <v>1.00970167475E-4</v>
      </c>
      <c r="Z3">
        <f>Data!AG81</f>
        <v>1.00970167475E-4</v>
      </c>
      <c r="AA3">
        <f>Data!AH81</f>
        <v>1.00970167475E-4</v>
      </c>
      <c r="AB3">
        <f>Data!AI81</f>
        <v>1.00970167475E-4</v>
      </c>
      <c r="AC3">
        <f>Data!AJ81</f>
        <v>1.00970167475E-4</v>
      </c>
      <c r="AD3">
        <f>Data!AK81</f>
        <v>1.00970167475E-4</v>
      </c>
      <c r="AE3">
        <f>Data!AL81</f>
        <v>1.00970167475E-4</v>
      </c>
    </row>
    <row r="4" spans="1:31" x14ac:dyDescent="0.3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  <c r="AC4">
        <f>Data!AJ82</f>
        <v>1</v>
      </c>
      <c r="AD4">
        <f>Data!AK82</f>
        <v>1</v>
      </c>
      <c r="AE4">
        <f>Data!AL82</f>
        <v>1</v>
      </c>
    </row>
    <row r="5" spans="1:31" x14ac:dyDescent="0.35">
      <c r="A5" t="s">
        <v>40</v>
      </c>
      <c r="B5">
        <f>Data!I83</f>
        <v>6.7382959534800002E-2</v>
      </c>
      <c r="C5">
        <f>Data!J83</f>
        <v>6.7382959534800002E-2</v>
      </c>
      <c r="D5">
        <f>Data!K83</f>
        <v>6.7382959534800002E-2</v>
      </c>
      <c r="E5">
        <f>Data!L83</f>
        <v>6.7382959534800002E-2</v>
      </c>
      <c r="F5">
        <f>Data!M83</f>
        <v>6.7382959534800002E-2</v>
      </c>
      <c r="G5">
        <f>Data!N83</f>
        <v>6.7382959534800002E-2</v>
      </c>
      <c r="H5">
        <f>Data!O83</f>
        <v>6.7382959534800002E-2</v>
      </c>
      <c r="I5">
        <f>Data!P83</f>
        <v>6.7382959534800002E-2</v>
      </c>
      <c r="J5">
        <f>Data!Q83</f>
        <v>6.7382959534800002E-2</v>
      </c>
      <c r="K5">
        <f>Data!R83</f>
        <v>6.7382959534800002E-2</v>
      </c>
      <c r="L5">
        <f>Data!S83</f>
        <v>6.7382959534800002E-2</v>
      </c>
      <c r="M5">
        <f>Data!T83</f>
        <v>6.7382959534800002E-2</v>
      </c>
      <c r="N5">
        <f>Data!U83</f>
        <v>6.7382959534800002E-2</v>
      </c>
      <c r="O5">
        <f>Data!V83</f>
        <v>6.7382959534800002E-2</v>
      </c>
      <c r="P5">
        <f>Data!W83</f>
        <v>6.7382959534800002E-2</v>
      </c>
      <c r="Q5">
        <f>Data!X83</f>
        <v>6.7382959534800002E-2</v>
      </c>
      <c r="R5">
        <f>Data!Y83</f>
        <v>6.7382959534800002E-2</v>
      </c>
      <c r="S5">
        <f>Data!Z83</f>
        <v>6.7382959534800002E-2</v>
      </c>
      <c r="T5">
        <f>Data!AA83</f>
        <v>6.7382959534800002E-2</v>
      </c>
      <c r="U5">
        <f>Data!AB83</f>
        <v>6.7382959534800002E-2</v>
      </c>
      <c r="V5">
        <f>Data!AC83</f>
        <v>6.7382959534800002E-2</v>
      </c>
      <c r="W5">
        <f>Data!AD83</f>
        <v>6.7382959534800002E-2</v>
      </c>
      <c r="X5">
        <f>Data!AE83</f>
        <v>6.7382959534800002E-2</v>
      </c>
      <c r="Y5">
        <f>Data!AF83</f>
        <v>6.7382959534800002E-2</v>
      </c>
      <c r="Z5">
        <f>Data!AG83</f>
        <v>6.7382959534800002E-2</v>
      </c>
      <c r="AA5">
        <f>Data!AH83</f>
        <v>6.7382959534800002E-2</v>
      </c>
      <c r="AB5">
        <f>Data!AI83</f>
        <v>6.7382959534800002E-2</v>
      </c>
      <c r="AC5">
        <f>Data!AJ83</f>
        <v>6.7382959534800002E-2</v>
      </c>
      <c r="AD5">
        <f>Data!AK83</f>
        <v>6.7382959534800002E-2</v>
      </c>
      <c r="AE5">
        <f>Data!AL83</f>
        <v>6.7382959534800002E-2</v>
      </c>
    </row>
    <row r="6" spans="1:31" x14ac:dyDescent="0.35">
      <c r="A6" t="s">
        <v>41</v>
      </c>
      <c r="B6">
        <f>Data!I84</f>
        <v>1.4073498597800001E-2</v>
      </c>
      <c r="C6">
        <f>Data!J84</f>
        <v>1.4073498597800001E-2</v>
      </c>
      <c r="D6">
        <f>Data!K84</f>
        <v>1.4073498597800001E-2</v>
      </c>
      <c r="E6">
        <f>Data!L84</f>
        <v>1.4073498597800001E-2</v>
      </c>
      <c r="F6">
        <f>Data!M84</f>
        <v>1.5378299229133533E-2</v>
      </c>
      <c r="G6">
        <f>Data!N84</f>
        <v>1.5825738202068743E-2</v>
      </c>
      <c r="H6">
        <f>Data!O84</f>
        <v>1.6422469733855565E-2</v>
      </c>
      <c r="I6">
        <f>Data!P84</f>
        <v>1.7215045278070985E-2</v>
      </c>
      <c r="J6">
        <f>Data!Q84</f>
        <v>1.8262017381864146E-2</v>
      </c>
      <c r="K6">
        <f>Data!R84</f>
        <v>1.96351270311391E-2</v>
      </c>
      <c r="L6">
        <f>Data!S84</f>
        <v>2.1419075563388585E-2</v>
      </c>
      <c r="M6">
        <f>Data!T84</f>
        <v>2.3708620826306676E-2</v>
      </c>
      <c r="N6">
        <f>Data!U84</f>
        <v>2.6601382853102151E-2</v>
      </c>
      <c r="O6">
        <f>Data!V84</f>
        <v>3.0184804135493147E-2</v>
      </c>
      <c r="P6">
        <f>Data!W84</f>
        <v>3.4516734059794343E-2</v>
      </c>
      <c r="Q6">
        <f>Data!X84</f>
        <v>3.9601619783156121E-2</v>
      </c>
      <c r="R6">
        <f>Data!Y84</f>
        <v>4.5368129944513266E-2</v>
      </c>
      <c r="S6">
        <f>Data!Z84</f>
        <v>5.1657530110720232E-2</v>
      </c>
      <c r="T6">
        <f>Data!AA84</f>
        <v>5.8232082335224832E-2</v>
      </c>
      <c r="U6">
        <f>Data!AB84</f>
        <v>6.4806634559729431E-2</v>
      </c>
      <c r="V6">
        <f>Data!AC84</f>
        <v>7.1096034725936397E-2</v>
      </c>
      <c r="W6">
        <f>Data!AD84</f>
        <v>7.6862544887293549E-2</v>
      </c>
      <c r="X6">
        <f>Data!AE84</f>
        <v>8.194743061065532E-2</v>
      </c>
      <c r="Y6">
        <f>Data!AF84</f>
        <v>8.6279360534956523E-2</v>
      </c>
      <c r="Z6">
        <f>Data!AG84</f>
        <v>8.9862781817347526E-2</v>
      </c>
      <c r="AA6">
        <f>Data!AH84</f>
        <v>9.2755543844143001E-2</v>
      </c>
      <c r="AB6">
        <f>Data!AI84</f>
        <v>9.5045089107061081E-2</v>
      </c>
      <c r="AC6">
        <f>Data!AJ84</f>
        <v>9.6829037639310556E-2</v>
      </c>
      <c r="AD6">
        <f>Data!AK84</f>
        <v>9.8202147288585534E-2</v>
      </c>
      <c r="AE6">
        <f>Data!AL84</f>
        <v>9.9249119392378682E-2</v>
      </c>
    </row>
    <row r="7" spans="1:31" x14ac:dyDescent="0.3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3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>
      <selection activeCell="F18" sqref="F18"/>
    </sheetView>
  </sheetViews>
  <sheetFormatPr defaultColWidth="9.1796875" defaultRowHeight="14.5" x14ac:dyDescent="0.35"/>
  <cols>
    <col min="1" max="1" width="24.453125" customWidth="1"/>
    <col min="2" max="5" width="9.7265625" customWidth="1"/>
  </cols>
  <sheetData>
    <row r="1" spans="1:31" ht="45" customHeight="1" x14ac:dyDescent="0.35">
      <c r="A1" s="19" t="s">
        <v>75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3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3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3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3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3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3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3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2017-07-01T03:43:09Z</dcterms:created>
  <dcterms:modified xsi:type="dcterms:W3CDTF">2026-06-17T16:21:58Z</dcterms:modified>
</cp:coreProperties>
</file>