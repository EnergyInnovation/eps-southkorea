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SK\eps-southkorea\InputData\trans\TTS\"/>
    </mc:Choice>
  </mc:AlternateContent>
  <xr:revisionPtr revIDLastSave="0" documentId="13_ncr:1_{8D3C9C14-9940-445D-BC30-CC5F930CFE88}" xr6:coauthVersionLast="47" xr6:coauthVersionMax="47" xr10:uidLastSave="{00000000-0000-0000-0000-000000000000}"/>
  <bookViews>
    <workbookView xWindow="-27810" yWindow="1095" windowWidth="27045" windowHeight="14940" firstSheet="3" activeTab="5" xr2:uid="{00000000-000D-0000-FFFF-FFFF00000000}"/>
  </bookViews>
  <sheets>
    <sheet name="About" sheetId="1" r:id="rId1"/>
    <sheet name="SYVbT-passenger" sheetId="6" r:id="rId2"/>
    <sheet name="SYVbT-freight" sheetId="19" r:id="rId3"/>
    <sheet name="Sheet1" sheetId="21" r:id="rId4"/>
    <sheet name="recalculated_shareweights" sheetId="20" r:id="rId5"/>
    <sheet name="Data" sheetId="3" r:id="rId6"/>
    <sheet name="TTS-LDVs-psgr" sheetId="2" r:id="rId7"/>
    <sheet name="TTS-LDVs-frgt" sheetId="8" r:id="rId8"/>
    <sheet name="TTS-HDVs-psgr" sheetId="9" r:id="rId9"/>
    <sheet name="TTS-HDVs-frgt" sheetId="10" r:id="rId10"/>
    <sheet name="TTS-aircraft-psgr" sheetId="11" r:id="rId11"/>
    <sheet name="TTS-aircraft-frgt" sheetId="12" r:id="rId12"/>
    <sheet name="TTS-rail-psgr" sheetId="13" r:id="rId13"/>
    <sheet name="TTS-rail-frgt" sheetId="14" r:id="rId14"/>
    <sheet name="TTS-ships-psgr" sheetId="15" r:id="rId15"/>
    <sheet name="TTS-ships-frgt" sheetId="16" r:id="rId16"/>
    <sheet name="TTS-motorbikes-psgr" sheetId="17" r:id="rId17"/>
    <sheet name="TTS-motorbikes-frgt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3" l="1"/>
  <c r="AH14" i="3"/>
  <c r="AI14" i="3" s="1"/>
  <c r="AJ14" i="3" s="1"/>
  <c r="AK14" i="3" s="1"/>
  <c r="AC14" i="3"/>
  <c r="AD14" i="3" s="1"/>
  <c r="AE14" i="3" s="1"/>
  <c r="AF14" i="3" s="1"/>
  <c r="X14" i="3"/>
  <c r="Y14" i="3" s="1"/>
  <c r="Z14" i="3" s="1"/>
  <c r="AA14" i="3" s="1"/>
  <c r="AH10" i="3" l="1"/>
  <c r="AI10" i="3" s="1"/>
  <c r="AJ10" i="3" s="1"/>
  <c r="AK10" i="3" s="1"/>
  <c r="AC10" i="3"/>
  <c r="AD10" i="3" s="1"/>
  <c r="AE10" i="3" s="1"/>
  <c r="AF10" i="3" s="1"/>
  <c r="X10" i="3"/>
  <c r="Y10" i="3" s="1"/>
  <c r="Z10" i="3" s="1"/>
  <c r="AA10" i="3" s="1"/>
  <c r="S10" i="3"/>
  <c r="T10" i="3" s="1"/>
  <c r="U10" i="3" s="1"/>
  <c r="V10" i="3" s="1"/>
  <c r="M16" i="3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L16" i="3"/>
  <c r="K16" i="3"/>
  <c r="J16" i="3"/>
  <c r="I16" i="3"/>
  <c r="H16" i="3" s="1"/>
  <c r="M15" i="3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AK15" i="3" s="1"/>
  <c r="AL15" i="3" s="1"/>
  <c r="L15" i="3"/>
  <c r="K15" i="3"/>
  <c r="J15" i="3"/>
  <c r="I15" i="3"/>
  <c r="H15" i="3" s="1"/>
  <c r="M14" i="3"/>
  <c r="N14" i="3" s="1"/>
  <c r="O14" i="3" s="1"/>
  <c r="P14" i="3" s="1"/>
  <c r="Q14" i="3" s="1"/>
  <c r="L14" i="3"/>
  <c r="K14" i="3"/>
  <c r="J14" i="3"/>
  <c r="I14" i="3"/>
  <c r="H14" i="3" s="1"/>
  <c r="M13" i="3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L13" i="3"/>
  <c r="K13" i="3"/>
  <c r="J13" i="3"/>
  <c r="I13" i="3"/>
  <c r="H13" i="3" s="1"/>
  <c r="M12" i="3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L12" i="3"/>
  <c r="K12" i="3"/>
  <c r="J12" i="3"/>
  <c r="I12" i="3"/>
  <c r="H12" i="3" s="1"/>
  <c r="M11" i="3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AL11" i="3" s="1"/>
  <c r="L11" i="3"/>
  <c r="K11" i="3"/>
  <c r="J11" i="3"/>
  <c r="I11" i="3"/>
  <c r="H11" i="3" s="1"/>
  <c r="M10" i="3"/>
  <c r="N10" i="3" s="1"/>
  <c r="O10" i="3" s="1"/>
  <c r="P10" i="3" s="1"/>
  <c r="Q10" i="3" s="1"/>
  <c r="L10" i="3"/>
  <c r="K10" i="3"/>
  <c r="J10" i="3"/>
  <c r="I10" i="3"/>
  <c r="H10" i="3" s="1"/>
  <c r="E21" i="3" l="1"/>
  <c r="D21" i="3"/>
  <c r="D19" i="3" l="1"/>
  <c r="D34" i="3"/>
  <c r="D33" i="3"/>
  <c r="D27" i="3"/>
  <c r="D26" i="3"/>
  <c r="D13" i="3"/>
  <c r="D12" i="3"/>
  <c r="E33" i="3" l="1"/>
  <c r="E34" i="3"/>
  <c r="E26" i="3"/>
  <c r="E27" i="3"/>
  <c r="E87" i="3"/>
  <c r="E88" i="3"/>
  <c r="E89" i="3"/>
  <c r="E90" i="3"/>
  <c r="E91" i="3"/>
  <c r="E92" i="3"/>
  <c r="D89" i="3"/>
  <c r="D87" i="3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E59" i="3"/>
  <c r="D60" i="3"/>
  <c r="E60" i="3" s="1"/>
  <c r="D61" i="3"/>
  <c r="E61" i="3" s="1"/>
  <c r="E62" i="3"/>
  <c r="D63" i="3"/>
  <c r="E63" i="3" s="1"/>
  <c r="D64" i="3"/>
  <c r="E64" i="3" s="1"/>
  <c r="D65" i="3"/>
  <c r="E65" i="3" s="1"/>
  <c r="D53" i="3"/>
  <c r="E53" i="3" s="1"/>
  <c r="D54" i="3"/>
  <c r="E54" i="3" s="1"/>
  <c r="E55" i="3"/>
  <c r="D56" i="3"/>
  <c r="E56" i="3" s="1"/>
  <c r="D57" i="3"/>
  <c r="E57" i="3" s="1"/>
  <c r="D58" i="3"/>
  <c r="E58" i="3" s="1"/>
  <c r="D31" i="3"/>
  <c r="D32" i="3"/>
  <c r="E32" i="3" s="1"/>
  <c r="D35" i="3"/>
  <c r="E35" i="3" s="1"/>
  <c r="D36" i="3"/>
  <c r="E36" i="3" s="1"/>
  <c r="E37" i="3" s="1"/>
  <c r="D37" i="3"/>
  <c r="D25" i="3"/>
  <c r="E25" i="3" s="1"/>
  <c r="E30" i="3" s="1"/>
  <c r="D28" i="3"/>
  <c r="E28" i="3" s="1"/>
  <c r="D29" i="3"/>
  <c r="E29" i="3" s="1"/>
  <c r="D30" i="3"/>
  <c r="D18" i="3"/>
  <c r="E18" i="3" s="1"/>
  <c r="E23" i="3" s="1"/>
  <c r="E19" i="3"/>
  <c r="E20" i="3"/>
  <c r="D22" i="3"/>
  <c r="E22" i="3" s="1"/>
  <c r="D23" i="3"/>
  <c r="E13" i="3"/>
  <c r="D11" i="3"/>
  <c r="E11" i="3" s="1"/>
  <c r="E16" i="3" s="1"/>
  <c r="E12" i="3"/>
  <c r="D14" i="3"/>
  <c r="D15" i="3"/>
  <c r="E15" i="3" s="1"/>
  <c r="D16" i="3"/>
  <c r="H9" i="3" l="1"/>
  <c r="I9" i="3" s="1"/>
  <c r="D86" i="3" l="1"/>
  <c r="D93" i="3" s="1"/>
  <c r="D85" i="3"/>
  <c r="D92" i="3" s="1"/>
  <c r="D84" i="3"/>
  <c r="D91" i="3" s="1"/>
  <c r="D83" i="3"/>
  <c r="D90" i="3" s="1"/>
  <c r="D81" i="3"/>
  <c r="D88" i="3" s="1"/>
  <c r="F29" i="3" l="1"/>
  <c r="F30" i="3"/>
  <c r="F93" i="3"/>
  <c r="F92" i="3"/>
  <c r="F86" i="3"/>
  <c r="F85" i="3"/>
  <c r="F79" i="3"/>
  <c r="F78" i="3"/>
  <c r="F72" i="3"/>
  <c r="F71" i="3"/>
  <c r="F65" i="3"/>
  <c r="F64" i="3"/>
  <c r="F58" i="3"/>
  <c r="F57" i="3"/>
  <c r="F51" i="3"/>
  <c r="F50" i="3"/>
  <c r="F44" i="3"/>
  <c r="F43" i="3"/>
  <c r="F37" i="3"/>
  <c r="F36" i="3"/>
  <c r="F23" i="3"/>
  <c r="F22" i="3"/>
  <c r="H27" i="3"/>
  <c r="H29" i="3"/>
  <c r="B7" i="9" s="1"/>
  <c r="H30" i="3"/>
  <c r="B8" i="9" s="1"/>
  <c r="H34" i="3"/>
  <c r="H36" i="3"/>
  <c r="B7" i="10" s="1"/>
  <c r="H37" i="3"/>
  <c r="B8" i="10" s="1"/>
  <c r="H38" i="3"/>
  <c r="H39" i="3"/>
  <c r="H40" i="3"/>
  <c r="H41" i="3"/>
  <c r="B5" i="11" s="1"/>
  <c r="H42" i="3"/>
  <c r="H43" i="3"/>
  <c r="B7" i="11" s="1"/>
  <c r="H44" i="3"/>
  <c r="B8" i="11" s="1"/>
  <c r="H45" i="3"/>
  <c r="H46" i="3"/>
  <c r="H47" i="3"/>
  <c r="H48" i="3"/>
  <c r="H49" i="3"/>
  <c r="H50" i="3"/>
  <c r="B7" i="12" s="1"/>
  <c r="H51" i="3"/>
  <c r="B8" i="12" s="1"/>
  <c r="H52" i="3"/>
  <c r="B2" i="13" s="1"/>
  <c r="H53" i="3"/>
  <c r="H54" i="3"/>
  <c r="H55" i="3"/>
  <c r="H56" i="3"/>
  <c r="H57" i="3"/>
  <c r="B7" i="13" s="1"/>
  <c r="H58" i="3"/>
  <c r="B8" i="13" s="1"/>
  <c r="H59" i="3"/>
  <c r="H60" i="3"/>
  <c r="H61" i="3"/>
  <c r="H62" i="3"/>
  <c r="H63" i="3"/>
  <c r="H64" i="3"/>
  <c r="B7" i="14" s="1"/>
  <c r="H65" i="3"/>
  <c r="B8" i="14" s="1"/>
  <c r="H66" i="3"/>
  <c r="H67" i="3"/>
  <c r="H68" i="3"/>
  <c r="H69" i="3"/>
  <c r="H70" i="3"/>
  <c r="H71" i="3"/>
  <c r="B7" i="15" s="1"/>
  <c r="H72" i="3"/>
  <c r="B8" i="15" s="1"/>
  <c r="H73" i="3"/>
  <c r="H74" i="3"/>
  <c r="H75" i="3"/>
  <c r="H76" i="3"/>
  <c r="H77" i="3"/>
  <c r="H78" i="3"/>
  <c r="B7" i="16" s="1"/>
  <c r="H79" i="3"/>
  <c r="B8" i="16" s="1"/>
  <c r="H82" i="3"/>
  <c r="H85" i="3"/>
  <c r="B7" i="17" s="1"/>
  <c r="H86" i="3"/>
  <c r="B8" i="17" s="1"/>
  <c r="H87" i="3"/>
  <c r="B2" i="18" s="1"/>
  <c r="H88" i="3"/>
  <c r="B3" i="18" s="1"/>
  <c r="H89" i="3"/>
  <c r="B4" i="18" s="1"/>
  <c r="H90" i="3"/>
  <c r="B5" i="18" s="1"/>
  <c r="H91" i="3"/>
  <c r="B6" i="18" s="1"/>
  <c r="H92" i="3"/>
  <c r="B7" i="18" s="1"/>
  <c r="H93" i="3"/>
  <c r="B8" i="18" s="1"/>
  <c r="H19" i="3"/>
  <c r="H22" i="3"/>
  <c r="B7" i="8" s="1"/>
  <c r="H23" i="3"/>
  <c r="B8" i="8" s="1"/>
  <c r="B7" i="2"/>
  <c r="F16" i="3" l="1"/>
  <c r="B8" i="2"/>
  <c r="F15" i="3"/>
  <c r="H18" i="3" l="1"/>
  <c r="B1" i="18" l="1"/>
  <c r="B1" i="16"/>
  <c r="B1" i="14"/>
  <c r="B1" i="12"/>
  <c r="B1" i="10"/>
  <c r="I36" i="3"/>
  <c r="C7" i="10" s="1"/>
  <c r="B1" i="13"/>
  <c r="B1" i="2"/>
  <c r="B1" i="9"/>
  <c r="B1" i="11"/>
  <c r="B1" i="8"/>
  <c r="B1" i="15"/>
  <c r="B1" i="17"/>
  <c r="H35" i="3"/>
  <c r="H33" i="3"/>
  <c r="H32" i="3"/>
  <c r="H31" i="3"/>
  <c r="I37" i="3" l="1"/>
  <c r="C8" i="10" s="1"/>
  <c r="I44" i="3"/>
  <c r="C8" i="11" s="1"/>
  <c r="I50" i="3"/>
  <c r="C7" i="12" s="1"/>
  <c r="I58" i="3"/>
  <c r="C8" i="13" s="1"/>
  <c r="I64" i="3"/>
  <c r="C7" i="14" s="1"/>
  <c r="I43" i="3"/>
  <c r="C7" i="11" s="1"/>
  <c r="I51" i="3"/>
  <c r="C8" i="12" s="1"/>
  <c r="I57" i="3"/>
  <c r="C7" i="13" s="1"/>
  <c r="I65" i="3"/>
  <c r="C8" i="14" s="1"/>
  <c r="I71" i="3"/>
  <c r="C7" i="15" s="1"/>
  <c r="I79" i="3"/>
  <c r="C8" i="16" s="1"/>
  <c r="I85" i="3"/>
  <c r="C7" i="17" s="1"/>
  <c r="I72" i="3"/>
  <c r="C8" i="15" s="1"/>
  <c r="I78" i="3"/>
  <c r="C7" i="16" s="1"/>
  <c r="I92" i="3"/>
  <c r="C7" i="18" s="1"/>
  <c r="I93" i="3"/>
  <c r="C8" i="18" s="1"/>
  <c r="I30" i="3"/>
  <c r="C8" i="9" s="1"/>
  <c r="C7" i="2"/>
  <c r="I86" i="3"/>
  <c r="C8" i="17" s="1"/>
  <c r="I29" i="3"/>
  <c r="C7" i="9" s="1"/>
  <c r="I22" i="3"/>
  <c r="C7" i="8" s="1"/>
  <c r="I18" i="3"/>
  <c r="C8" i="2"/>
  <c r="I23" i="3"/>
  <c r="C8" i="8" s="1"/>
  <c r="C1" i="18"/>
  <c r="C1" i="16"/>
  <c r="C1" i="14"/>
  <c r="C1" i="12"/>
  <c r="C1" i="10"/>
  <c r="C1" i="17"/>
  <c r="C1" i="15"/>
  <c r="C1" i="13"/>
  <c r="C1" i="11"/>
  <c r="C1" i="9"/>
  <c r="C1" i="8"/>
  <c r="J9" i="3"/>
  <c r="C1" i="2"/>
  <c r="F14" i="3"/>
  <c r="C6" i="2" s="1"/>
  <c r="J36" i="3" l="1"/>
  <c r="D7" i="10" s="1"/>
  <c r="J37" i="3"/>
  <c r="D8" i="10" s="1"/>
  <c r="J23" i="3"/>
  <c r="D8" i="8" s="1"/>
  <c r="D8" i="2"/>
  <c r="J57" i="3"/>
  <c r="D7" i="13" s="1"/>
  <c r="J44" i="3"/>
  <c r="D8" i="11" s="1"/>
  <c r="J50" i="3"/>
  <c r="D7" i="12" s="1"/>
  <c r="J58" i="3"/>
  <c r="D8" i="13" s="1"/>
  <c r="J64" i="3"/>
  <c r="D7" i="14" s="1"/>
  <c r="J43" i="3"/>
  <c r="D7" i="11" s="1"/>
  <c r="J51" i="3"/>
  <c r="D8" i="12" s="1"/>
  <c r="J65" i="3"/>
  <c r="D8" i="14" s="1"/>
  <c r="J71" i="3"/>
  <c r="D7" i="15" s="1"/>
  <c r="J79" i="3"/>
  <c r="D8" i="16" s="1"/>
  <c r="J85" i="3"/>
  <c r="D7" i="17" s="1"/>
  <c r="J72" i="3"/>
  <c r="D8" i="15" s="1"/>
  <c r="J78" i="3"/>
  <c r="D7" i="16" s="1"/>
  <c r="J93" i="3"/>
  <c r="D8" i="18" s="1"/>
  <c r="J92" i="3"/>
  <c r="D7" i="18" s="1"/>
  <c r="D7" i="2"/>
  <c r="J29" i="3"/>
  <c r="D7" i="9" s="1"/>
  <c r="J22" i="3"/>
  <c r="D7" i="8" s="1"/>
  <c r="J86" i="3"/>
  <c r="D8" i="17" s="1"/>
  <c r="J30" i="3"/>
  <c r="D8" i="9" s="1"/>
  <c r="J18" i="3"/>
  <c r="D1" i="18"/>
  <c r="D1" i="16"/>
  <c r="D1" i="14"/>
  <c r="D1" i="12"/>
  <c r="D1" i="10"/>
  <c r="D1" i="17"/>
  <c r="D1" i="9"/>
  <c r="D1" i="15"/>
  <c r="D1" i="8"/>
  <c r="K9" i="3"/>
  <c r="D1" i="11"/>
  <c r="D1" i="13"/>
  <c r="D1" i="2"/>
  <c r="H81" i="3"/>
  <c r="K36" i="3" l="1"/>
  <c r="E7" i="10" s="1"/>
  <c r="K37" i="3"/>
  <c r="E8" i="10" s="1"/>
  <c r="K43" i="3"/>
  <c r="E7" i="11" s="1"/>
  <c r="K51" i="3"/>
  <c r="E8" i="12" s="1"/>
  <c r="K57" i="3"/>
  <c r="E7" i="13" s="1"/>
  <c r="K44" i="3"/>
  <c r="E8" i="11" s="1"/>
  <c r="K50" i="3"/>
  <c r="E7" i="12" s="1"/>
  <c r="K58" i="3"/>
  <c r="E8" i="13" s="1"/>
  <c r="K64" i="3"/>
  <c r="E7" i="14" s="1"/>
  <c r="K72" i="3"/>
  <c r="E8" i="15" s="1"/>
  <c r="K78" i="3"/>
  <c r="E7" i="16" s="1"/>
  <c r="K65" i="3"/>
  <c r="E8" i="14" s="1"/>
  <c r="K71" i="3"/>
  <c r="E7" i="15" s="1"/>
  <c r="K79" i="3"/>
  <c r="E8" i="16" s="1"/>
  <c r="K85" i="3"/>
  <c r="E7" i="17" s="1"/>
  <c r="K86" i="3"/>
  <c r="E8" i="17" s="1"/>
  <c r="K93" i="3"/>
  <c r="E8" i="18" s="1"/>
  <c r="K92" i="3"/>
  <c r="E7" i="18" s="1"/>
  <c r="K22" i="3"/>
  <c r="E7" i="8" s="1"/>
  <c r="K30" i="3"/>
  <c r="E8" i="9" s="1"/>
  <c r="K29" i="3"/>
  <c r="E7" i="9" s="1"/>
  <c r="E7" i="2"/>
  <c r="K18" i="3"/>
  <c r="K23" i="3"/>
  <c r="E8" i="8" s="1"/>
  <c r="E8" i="2"/>
  <c r="L9" i="3"/>
  <c r="L36" i="3" s="1"/>
  <c r="F7" i="10" s="1"/>
  <c r="E1" i="17"/>
  <c r="E1" i="15"/>
  <c r="E1" i="13"/>
  <c r="E1" i="11"/>
  <c r="E1" i="9"/>
  <c r="E1" i="18"/>
  <c r="E1" i="16"/>
  <c r="E1" i="14"/>
  <c r="E1" i="12"/>
  <c r="E1" i="10"/>
  <c r="E1" i="2"/>
  <c r="E1" i="8"/>
  <c r="H20" i="3"/>
  <c r="L37" i="3" l="1"/>
  <c r="F8" i="10" s="1"/>
  <c r="L58" i="3"/>
  <c r="F8" i="13" s="1"/>
  <c r="L64" i="3"/>
  <c r="F7" i="14" s="1"/>
  <c r="L43" i="3"/>
  <c r="F7" i="11" s="1"/>
  <c r="L51" i="3"/>
  <c r="F8" i="12" s="1"/>
  <c r="L57" i="3"/>
  <c r="F7" i="13" s="1"/>
  <c r="L44" i="3"/>
  <c r="F8" i="11" s="1"/>
  <c r="L50" i="3"/>
  <c r="F7" i="12" s="1"/>
  <c r="L85" i="3"/>
  <c r="F7" i="17" s="1"/>
  <c r="L72" i="3"/>
  <c r="F8" i="15" s="1"/>
  <c r="L78" i="3"/>
  <c r="F7" i="16" s="1"/>
  <c r="L65" i="3"/>
  <c r="F8" i="14" s="1"/>
  <c r="L71" i="3"/>
  <c r="F7" i="15" s="1"/>
  <c r="L79" i="3"/>
  <c r="F8" i="16" s="1"/>
  <c r="L92" i="3"/>
  <c r="F7" i="18" s="1"/>
  <c r="L93" i="3"/>
  <c r="F8" i="18" s="1"/>
  <c r="L86" i="3"/>
  <c r="F8" i="17" s="1"/>
  <c r="L22" i="3"/>
  <c r="F7" i="8" s="1"/>
  <c r="L29" i="3"/>
  <c r="F7" i="9" s="1"/>
  <c r="L30" i="3"/>
  <c r="F8" i="9" s="1"/>
  <c r="F7" i="2"/>
  <c r="L18" i="3"/>
  <c r="L23" i="3"/>
  <c r="F8" i="8" s="1"/>
  <c r="F8" i="2"/>
  <c r="M9" i="3"/>
  <c r="F1" i="17"/>
  <c r="F1" i="15"/>
  <c r="F1" i="13"/>
  <c r="F1" i="11"/>
  <c r="F1" i="9"/>
  <c r="F1" i="18"/>
  <c r="F1" i="10"/>
  <c r="F1" i="16"/>
  <c r="F1" i="2"/>
  <c r="F1" i="12"/>
  <c r="F1" i="14"/>
  <c r="F1" i="8"/>
  <c r="B2" i="2"/>
  <c r="H25" i="3"/>
  <c r="M23" i="3" l="1"/>
  <c r="G8" i="8" s="1"/>
  <c r="M36" i="3"/>
  <c r="G7" i="10" s="1"/>
  <c r="M37" i="3"/>
  <c r="G8" i="10" s="1"/>
  <c r="M44" i="3"/>
  <c r="G8" i="11" s="1"/>
  <c r="M50" i="3"/>
  <c r="G7" i="12" s="1"/>
  <c r="M58" i="3"/>
  <c r="G8" i="13" s="1"/>
  <c r="M64" i="3"/>
  <c r="G7" i="14" s="1"/>
  <c r="M43" i="3"/>
  <c r="G7" i="11" s="1"/>
  <c r="M51" i="3"/>
  <c r="G8" i="12" s="1"/>
  <c r="M57" i="3"/>
  <c r="G7" i="13" s="1"/>
  <c r="M65" i="3"/>
  <c r="G8" i="14" s="1"/>
  <c r="M71" i="3"/>
  <c r="G7" i="15" s="1"/>
  <c r="M79" i="3"/>
  <c r="G8" i="16" s="1"/>
  <c r="M85" i="3"/>
  <c r="G7" i="17" s="1"/>
  <c r="M72" i="3"/>
  <c r="G8" i="15" s="1"/>
  <c r="M78" i="3"/>
  <c r="G7" i="16" s="1"/>
  <c r="M92" i="3"/>
  <c r="G7" i="18" s="1"/>
  <c r="M93" i="3"/>
  <c r="G8" i="18" s="1"/>
  <c r="M22" i="3"/>
  <c r="G7" i="8" s="1"/>
  <c r="M29" i="3"/>
  <c r="G7" i="9" s="1"/>
  <c r="M30" i="3"/>
  <c r="G8" i="9" s="1"/>
  <c r="M86" i="3"/>
  <c r="G8" i="17" s="1"/>
  <c r="G7" i="2"/>
  <c r="M18" i="3"/>
  <c r="G8" i="2"/>
  <c r="N9" i="3"/>
  <c r="G1" i="18"/>
  <c r="G1" i="16"/>
  <c r="G1" i="14"/>
  <c r="G1" i="12"/>
  <c r="G1" i="10"/>
  <c r="G1" i="17"/>
  <c r="G1" i="15"/>
  <c r="G1" i="13"/>
  <c r="G1" i="11"/>
  <c r="G1" i="9"/>
  <c r="G1" i="8"/>
  <c r="G1" i="2"/>
  <c r="B6" i="2"/>
  <c r="H21" i="3"/>
  <c r="H17" i="3"/>
  <c r="F53" i="3"/>
  <c r="F54" i="3"/>
  <c r="F55" i="3"/>
  <c r="F56" i="3"/>
  <c r="F59" i="3"/>
  <c r="F60" i="3"/>
  <c r="F61" i="3"/>
  <c r="F62" i="3"/>
  <c r="F63" i="3"/>
  <c r="F66" i="3"/>
  <c r="F67" i="3"/>
  <c r="F68" i="3"/>
  <c r="F69" i="3"/>
  <c r="F70" i="3"/>
  <c r="F73" i="3"/>
  <c r="F74" i="3"/>
  <c r="F75" i="3"/>
  <c r="F76" i="3"/>
  <c r="F77" i="3"/>
  <c r="F82" i="3"/>
  <c r="F87" i="3"/>
  <c r="F88" i="3"/>
  <c r="F89" i="3"/>
  <c r="F90" i="3"/>
  <c r="F91" i="3"/>
  <c r="F38" i="3"/>
  <c r="F39" i="3"/>
  <c r="F40" i="3"/>
  <c r="F41" i="3"/>
  <c r="F42" i="3"/>
  <c r="F45" i="3"/>
  <c r="F46" i="3"/>
  <c r="F47" i="3"/>
  <c r="F48" i="3"/>
  <c r="F49" i="3"/>
  <c r="F52" i="3"/>
  <c r="F19" i="3"/>
  <c r="F20" i="3"/>
  <c r="F27" i="3"/>
  <c r="F34" i="3"/>
  <c r="F12" i="3"/>
  <c r="B5" i="9"/>
  <c r="B5" i="10"/>
  <c r="B2" i="11"/>
  <c r="B3" i="11"/>
  <c r="B4" i="11"/>
  <c r="B6" i="11"/>
  <c r="B2" i="12"/>
  <c r="B3" i="12"/>
  <c r="B4" i="12"/>
  <c r="B5" i="12"/>
  <c r="B6" i="12"/>
  <c r="B3" i="13"/>
  <c r="B4" i="13"/>
  <c r="B5" i="13"/>
  <c r="B6" i="13"/>
  <c r="B2" i="14"/>
  <c r="B3" i="14"/>
  <c r="B4" i="14"/>
  <c r="B5" i="14"/>
  <c r="B6" i="14"/>
  <c r="B2" i="15"/>
  <c r="B3" i="15"/>
  <c r="B4" i="15"/>
  <c r="B5" i="15"/>
  <c r="B6" i="15"/>
  <c r="B2" i="16"/>
  <c r="B3" i="16"/>
  <c r="B4" i="16"/>
  <c r="B5" i="16"/>
  <c r="B6" i="16"/>
  <c r="B4" i="17"/>
  <c r="B4" i="2"/>
  <c r="N36" i="3" l="1"/>
  <c r="H7" i="10" s="1"/>
  <c r="N37" i="3"/>
  <c r="H8" i="10" s="1"/>
  <c r="J91" i="3"/>
  <c r="D6" i="18" s="1"/>
  <c r="N91" i="3"/>
  <c r="H6" i="18" s="1"/>
  <c r="K91" i="3"/>
  <c r="E6" i="18" s="1"/>
  <c r="L91" i="3"/>
  <c r="F6" i="18" s="1"/>
  <c r="I91" i="3"/>
  <c r="C6" i="18" s="1"/>
  <c r="M91" i="3"/>
  <c r="G6" i="18" s="1"/>
  <c r="L90" i="3"/>
  <c r="F5" i="18" s="1"/>
  <c r="I90" i="3"/>
  <c r="C5" i="18" s="1"/>
  <c r="M90" i="3"/>
  <c r="G5" i="18" s="1"/>
  <c r="J90" i="3"/>
  <c r="D5" i="18" s="1"/>
  <c r="N90" i="3"/>
  <c r="H5" i="18" s="1"/>
  <c r="K90" i="3"/>
  <c r="E5" i="18" s="1"/>
  <c r="K53" i="3"/>
  <c r="E3" i="13" s="1"/>
  <c r="L53" i="3"/>
  <c r="F3" i="13" s="1"/>
  <c r="I53" i="3"/>
  <c r="C3" i="13" s="1"/>
  <c r="M53" i="3"/>
  <c r="G3" i="13" s="1"/>
  <c r="J53" i="3"/>
  <c r="D3" i="13" s="1"/>
  <c r="N53" i="3"/>
  <c r="H3" i="13" s="1"/>
  <c r="J89" i="3"/>
  <c r="D4" i="18" s="1"/>
  <c r="N89" i="3"/>
  <c r="H4" i="18" s="1"/>
  <c r="K89" i="3"/>
  <c r="E4" i="18" s="1"/>
  <c r="L89" i="3"/>
  <c r="F4" i="18" s="1"/>
  <c r="I89" i="3"/>
  <c r="C4" i="18" s="1"/>
  <c r="M89" i="3"/>
  <c r="G4" i="18" s="1"/>
  <c r="L88" i="3"/>
  <c r="F3" i="18" s="1"/>
  <c r="I88" i="3"/>
  <c r="C3" i="18" s="1"/>
  <c r="N88" i="3"/>
  <c r="H3" i="18" s="1"/>
  <c r="J88" i="3"/>
  <c r="D3" i="18" s="1"/>
  <c r="K88" i="3"/>
  <c r="E3" i="18" s="1"/>
  <c r="M88" i="3"/>
  <c r="G3" i="18" s="1"/>
  <c r="J87" i="3"/>
  <c r="D2" i="18" s="1"/>
  <c r="N87" i="3"/>
  <c r="H2" i="18" s="1"/>
  <c r="L87" i="3"/>
  <c r="F2" i="18" s="1"/>
  <c r="M87" i="3"/>
  <c r="G2" i="18" s="1"/>
  <c r="I87" i="3"/>
  <c r="C2" i="18" s="1"/>
  <c r="K87" i="3"/>
  <c r="E2" i="18" s="1"/>
  <c r="N57" i="3"/>
  <c r="H7" i="13" s="1"/>
  <c r="N44" i="3"/>
  <c r="H8" i="11" s="1"/>
  <c r="N50" i="3"/>
  <c r="H7" i="12" s="1"/>
  <c r="N58" i="3"/>
  <c r="H8" i="13" s="1"/>
  <c r="N64" i="3"/>
  <c r="H7" i="14" s="1"/>
  <c r="N43" i="3"/>
  <c r="H7" i="11" s="1"/>
  <c r="N51" i="3"/>
  <c r="H8" i="12" s="1"/>
  <c r="N65" i="3"/>
  <c r="H8" i="14" s="1"/>
  <c r="N71" i="3"/>
  <c r="H7" i="15" s="1"/>
  <c r="N79" i="3"/>
  <c r="H8" i="16" s="1"/>
  <c r="N85" i="3"/>
  <c r="H7" i="17" s="1"/>
  <c r="N72" i="3"/>
  <c r="H8" i="15" s="1"/>
  <c r="N78" i="3"/>
  <c r="H7" i="16" s="1"/>
  <c r="N93" i="3"/>
  <c r="H8" i="18" s="1"/>
  <c r="N92" i="3"/>
  <c r="H7" i="18" s="1"/>
  <c r="N86" i="3"/>
  <c r="H8" i="17" s="1"/>
  <c r="H7" i="2"/>
  <c r="N22" i="3"/>
  <c r="H7" i="8" s="1"/>
  <c r="N30" i="3"/>
  <c r="H8" i="9" s="1"/>
  <c r="N29" i="3"/>
  <c r="H7" i="9" s="1"/>
  <c r="N18" i="3"/>
  <c r="H8" i="2"/>
  <c r="N23" i="3"/>
  <c r="H8" i="8" s="1"/>
  <c r="I42" i="3"/>
  <c r="C6" i="11" s="1"/>
  <c r="M42" i="3"/>
  <c r="G6" i="11" s="1"/>
  <c r="J42" i="3"/>
  <c r="D6" i="11" s="1"/>
  <c r="N42" i="3"/>
  <c r="H6" i="11" s="1"/>
  <c r="K42" i="3"/>
  <c r="E6" i="11" s="1"/>
  <c r="L42" i="3"/>
  <c r="F6" i="11" s="1"/>
  <c r="J52" i="3"/>
  <c r="D2" i="13" s="1"/>
  <c r="N52" i="3"/>
  <c r="H2" i="13" s="1"/>
  <c r="K52" i="3"/>
  <c r="E2" i="13" s="1"/>
  <c r="I52" i="3"/>
  <c r="C2" i="13" s="1"/>
  <c r="L52" i="3"/>
  <c r="F2" i="13" s="1"/>
  <c r="M52" i="3"/>
  <c r="G2" i="13" s="1"/>
  <c r="J76" i="3"/>
  <c r="D5" i="16" s="1"/>
  <c r="N76" i="3"/>
  <c r="H5" i="16" s="1"/>
  <c r="K76" i="3"/>
  <c r="E5" i="16" s="1"/>
  <c r="L76" i="3"/>
  <c r="F5" i="16" s="1"/>
  <c r="I76" i="3"/>
  <c r="C5" i="16" s="1"/>
  <c r="M76" i="3"/>
  <c r="G5" i="16" s="1"/>
  <c r="I62" i="3"/>
  <c r="C5" i="14" s="1"/>
  <c r="M62" i="3"/>
  <c r="G5" i="14" s="1"/>
  <c r="J62" i="3"/>
  <c r="D5" i="14" s="1"/>
  <c r="N62" i="3"/>
  <c r="H5" i="14" s="1"/>
  <c r="K62" i="3"/>
  <c r="E5" i="14" s="1"/>
  <c r="L62" i="3"/>
  <c r="F5" i="14" s="1"/>
  <c r="C4" i="2"/>
  <c r="D4" i="2"/>
  <c r="E4" i="2"/>
  <c r="F4" i="2"/>
  <c r="K46" i="3"/>
  <c r="E3" i="12" s="1"/>
  <c r="I46" i="3"/>
  <c r="C3" i="12" s="1"/>
  <c r="M46" i="3"/>
  <c r="G3" i="12" s="1"/>
  <c r="L46" i="3"/>
  <c r="F3" i="12" s="1"/>
  <c r="N46" i="3"/>
  <c r="H3" i="12" s="1"/>
  <c r="J46" i="3"/>
  <c r="D3" i="12" s="1"/>
  <c r="K41" i="3"/>
  <c r="E5" i="11" s="1"/>
  <c r="L41" i="3"/>
  <c r="F5" i="11" s="1"/>
  <c r="I41" i="3"/>
  <c r="C5" i="11" s="1"/>
  <c r="M41" i="3"/>
  <c r="G5" i="11" s="1"/>
  <c r="J41" i="3"/>
  <c r="D5" i="11" s="1"/>
  <c r="N41" i="3"/>
  <c r="H5" i="11" s="1"/>
  <c r="L82" i="3"/>
  <c r="F4" i="17" s="1"/>
  <c r="I82" i="3"/>
  <c r="C4" i="17" s="1"/>
  <c r="M82" i="3"/>
  <c r="G4" i="17" s="1"/>
  <c r="K82" i="3"/>
  <c r="E4" i="17" s="1"/>
  <c r="J82" i="3"/>
  <c r="D4" i="17" s="1"/>
  <c r="N82" i="3"/>
  <c r="H4" i="17" s="1"/>
  <c r="K75" i="3"/>
  <c r="E4" i="16" s="1"/>
  <c r="L75" i="3"/>
  <c r="F4" i="16" s="1"/>
  <c r="M75" i="3"/>
  <c r="G4" i="16" s="1"/>
  <c r="N75" i="3"/>
  <c r="H4" i="16" s="1"/>
  <c r="I75" i="3"/>
  <c r="C4" i="16" s="1"/>
  <c r="J75" i="3"/>
  <c r="D4" i="16" s="1"/>
  <c r="K70" i="3"/>
  <c r="E6" i="15" s="1"/>
  <c r="L70" i="3"/>
  <c r="F6" i="15" s="1"/>
  <c r="I70" i="3"/>
  <c r="C6" i="15" s="1"/>
  <c r="J70" i="3"/>
  <c r="D6" i="15" s="1"/>
  <c r="M70" i="3"/>
  <c r="G6" i="15" s="1"/>
  <c r="N70" i="3"/>
  <c r="H6" i="15" s="1"/>
  <c r="K66" i="3"/>
  <c r="E2" i="15" s="1"/>
  <c r="L66" i="3"/>
  <c r="F2" i="15" s="1"/>
  <c r="I66" i="3"/>
  <c r="C2" i="15" s="1"/>
  <c r="M66" i="3"/>
  <c r="G2" i="15" s="1"/>
  <c r="J66" i="3"/>
  <c r="D2" i="15" s="1"/>
  <c r="N66" i="3"/>
  <c r="H2" i="15" s="1"/>
  <c r="K61" i="3"/>
  <c r="E4" i="14" s="1"/>
  <c r="L61" i="3"/>
  <c r="F4" i="14" s="1"/>
  <c r="I61" i="3"/>
  <c r="C4" i="14" s="1"/>
  <c r="M61" i="3"/>
  <c r="G4" i="14" s="1"/>
  <c r="J61" i="3"/>
  <c r="D4" i="14" s="1"/>
  <c r="N61" i="3"/>
  <c r="H4" i="14" s="1"/>
  <c r="J56" i="3"/>
  <c r="D6" i="13" s="1"/>
  <c r="N56" i="3"/>
  <c r="H6" i="13" s="1"/>
  <c r="K56" i="3"/>
  <c r="E6" i="13" s="1"/>
  <c r="I56" i="3"/>
  <c r="C6" i="13" s="1"/>
  <c r="L56" i="3"/>
  <c r="F6" i="13" s="1"/>
  <c r="M56" i="3"/>
  <c r="G6" i="13" s="1"/>
  <c r="I47" i="3"/>
  <c r="C4" i="12" s="1"/>
  <c r="M47" i="3"/>
  <c r="G4" i="12" s="1"/>
  <c r="K47" i="3"/>
  <c r="E4" i="12" s="1"/>
  <c r="J47" i="3"/>
  <c r="D4" i="12" s="1"/>
  <c r="L47" i="3"/>
  <c r="F4" i="12" s="1"/>
  <c r="N47" i="3"/>
  <c r="H4" i="12" s="1"/>
  <c r="I38" i="3"/>
  <c r="C2" i="11" s="1"/>
  <c r="M38" i="3"/>
  <c r="G2" i="11" s="1"/>
  <c r="J38" i="3"/>
  <c r="D2" i="11" s="1"/>
  <c r="N38" i="3"/>
  <c r="K38" i="3"/>
  <c r="E2" i="11" s="1"/>
  <c r="L38" i="3"/>
  <c r="F2" i="11" s="1"/>
  <c r="I67" i="3"/>
  <c r="C3" i="15" s="1"/>
  <c r="M67" i="3"/>
  <c r="G3" i="15" s="1"/>
  <c r="J67" i="3"/>
  <c r="D3" i="15" s="1"/>
  <c r="N67" i="3"/>
  <c r="H3" i="15" s="1"/>
  <c r="K67" i="3"/>
  <c r="E3" i="15" s="1"/>
  <c r="L67" i="3"/>
  <c r="F3" i="15" s="1"/>
  <c r="I34" i="3"/>
  <c r="C5" i="10" s="1"/>
  <c r="M34" i="3"/>
  <c r="G5" i="10" s="1"/>
  <c r="J34" i="3"/>
  <c r="D5" i="10" s="1"/>
  <c r="N34" i="3"/>
  <c r="H5" i="10" s="1"/>
  <c r="K34" i="3"/>
  <c r="E5" i="10" s="1"/>
  <c r="L34" i="3"/>
  <c r="F5" i="10" s="1"/>
  <c r="J49" i="3"/>
  <c r="D6" i="12" s="1"/>
  <c r="N49" i="3"/>
  <c r="K49" i="3"/>
  <c r="E6" i="12" s="1"/>
  <c r="L49" i="3"/>
  <c r="F6" i="12" s="1"/>
  <c r="M49" i="3"/>
  <c r="G6" i="12" s="1"/>
  <c r="I49" i="3"/>
  <c r="C6" i="12" s="1"/>
  <c r="I45" i="3"/>
  <c r="C2" i="12" s="1"/>
  <c r="M45" i="3"/>
  <c r="G2" i="12" s="1"/>
  <c r="K45" i="3"/>
  <c r="E2" i="12" s="1"/>
  <c r="N45" i="3"/>
  <c r="H2" i="12" s="1"/>
  <c r="J45" i="3"/>
  <c r="D2" i="12" s="1"/>
  <c r="L45" i="3"/>
  <c r="F2" i="12" s="1"/>
  <c r="I40" i="3"/>
  <c r="C4" i="11" s="1"/>
  <c r="M40" i="3"/>
  <c r="G4" i="11" s="1"/>
  <c r="J40" i="3"/>
  <c r="D4" i="11" s="1"/>
  <c r="N40" i="3"/>
  <c r="H4" i="11" s="1"/>
  <c r="K40" i="3"/>
  <c r="E4" i="11" s="1"/>
  <c r="L40" i="3"/>
  <c r="F4" i="11" s="1"/>
  <c r="I74" i="3"/>
  <c r="C3" i="16" s="1"/>
  <c r="M74" i="3"/>
  <c r="G3" i="16" s="1"/>
  <c r="J74" i="3"/>
  <c r="D3" i="16" s="1"/>
  <c r="N74" i="3"/>
  <c r="H3" i="16" s="1"/>
  <c r="K74" i="3"/>
  <c r="E3" i="16" s="1"/>
  <c r="L74" i="3"/>
  <c r="F3" i="16" s="1"/>
  <c r="I69" i="3"/>
  <c r="C5" i="15" s="1"/>
  <c r="M69" i="3"/>
  <c r="G5" i="15" s="1"/>
  <c r="J69" i="3"/>
  <c r="D5" i="15" s="1"/>
  <c r="N69" i="3"/>
  <c r="H5" i="15" s="1"/>
  <c r="K69" i="3"/>
  <c r="E5" i="15" s="1"/>
  <c r="L69" i="3"/>
  <c r="F5" i="15" s="1"/>
  <c r="I60" i="3"/>
  <c r="C3" i="14" s="1"/>
  <c r="M60" i="3"/>
  <c r="G3" i="14" s="1"/>
  <c r="J60" i="3"/>
  <c r="D3" i="14" s="1"/>
  <c r="N60" i="3"/>
  <c r="H3" i="14" s="1"/>
  <c r="K60" i="3"/>
  <c r="E3" i="14" s="1"/>
  <c r="L60" i="3"/>
  <c r="F3" i="14" s="1"/>
  <c r="L55" i="3"/>
  <c r="F5" i="13" s="1"/>
  <c r="I55" i="3"/>
  <c r="C5" i="13" s="1"/>
  <c r="M55" i="3"/>
  <c r="G5" i="13" s="1"/>
  <c r="K55" i="3"/>
  <c r="E5" i="13" s="1"/>
  <c r="N55" i="3"/>
  <c r="H5" i="13" s="1"/>
  <c r="J55" i="3"/>
  <c r="D5" i="13" s="1"/>
  <c r="G4" i="2"/>
  <c r="I27" i="3"/>
  <c r="C5" i="9" s="1"/>
  <c r="M27" i="3"/>
  <c r="G5" i="9" s="1"/>
  <c r="J27" i="3"/>
  <c r="D5" i="9" s="1"/>
  <c r="N27" i="3"/>
  <c r="H5" i="9" s="1"/>
  <c r="K27" i="3"/>
  <c r="E5" i="9" s="1"/>
  <c r="L27" i="3"/>
  <c r="F5" i="9" s="1"/>
  <c r="B4" i="8"/>
  <c r="L19" i="3"/>
  <c r="F4" i="8" s="1"/>
  <c r="M19" i="3"/>
  <c r="G4" i="8" s="1"/>
  <c r="I19" i="3"/>
  <c r="C4" i="8" s="1"/>
  <c r="K19" i="3"/>
  <c r="E4" i="8" s="1"/>
  <c r="J19" i="3"/>
  <c r="D4" i="8" s="1"/>
  <c r="N19" i="3"/>
  <c r="H4" i="8" s="1"/>
  <c r="K48" i="3"/>
  <c r="E5" i="12" s="1"/>
  <c r="I48" i="3"/>
  <c r="C5" i="12" s="1"/>
  <c r="M48" i="3"/>
  <c r="G5" i="12" s="1"/>
  <c r="J48" i="3"/>
  <c r="D5" i="12" s="1"/>
  <c r="L48" i="3"/>
  <c r="F5" i="12" s="1"/>
  <c r="N48" i="3"/>
  <c r="H5" i="12" s="1"/>
  <c r="K39" i="3"/>
  <c r="E3" i="11" s="1"/>
  <c r="L39" i="3"/>
  <c r="F3" i="11" s="1"/>
  <c r="J39" i="3"/>
  <c r="D3" i="11" s="1"/>
  <c r="M39" i="3"/>
  <c r="G3" i="11" s="1"/>
  <c r="N39" i="3"/>
  <c r="H3" i="11" s="1"/>
  <c r="I39" i="3"/>
  <c r="C3" i="11" s="1"/>
  <c r="L77" i="3"/>
  <c r="F6" i="16" s="1"/>
  <c r="I77" i="3"/>
  <c r="C6" i="16" s="1"/>
  <c r="M77" i="3"/>
  <c r="G6" i="16" s="1"/>
  <c r="J77" i="3"/>
  <c r="D6" i="16" s="1"/>
  <c r="N77" i="3"/>
  <c r="H6" i="16" s="1"/>
  <c r="K77" i="3"/>
  <c r="E6" i="16" s="1"/>
  <c r="K73" i="3"/>
  <c r="E2" i="16" s="1"/>
  <c r="L73" i="3"/>
  <c r="F2" i="16" s="1"/>
  <c r="J73" i="3"/>
  <c r="D2" i="16" s="1"/>
  <c r="M73" i="3"/>
  <c r="G2" i="16" s="1"/>
  <c r="N73" i="3"/>
  <c r="H2" i="16" s="1"/>
  <c r="I73" i="3"/>
  <c r="C2" i="16" s="1"/>
  <c r="K68" i="3"/>
  <c r="E4" i="15" s="1"/>
  <c r="L68" i="3"/>
  <c r="F4" i="15" s="1"/>
  <c r="I68" i="3"/>
  <c r="C4" i="15" s="1"/>
  <c r="M68" i="3"/>
  <c r="G4" i="15" s="1"/>
  <c r="J68" i="3"/>
  <c r="D4" i="15" s="1"/>
  <c r="N68" i="3"/>
  <c r="H4" i="15" s="1"/>
  <c r="K63" i="3"/>
  <c r="E6" i="14" s="1"/>
  <c r="L63" i="3"/>
  <c r="F6" i="14" s="1"/>
  <c r="I63" i="3"/>
  <c r="C6" i="14" s="1"/>
  <c r="M63" i="3"/>
  <c r="G6" i="14" s="1"/>
  <c r="J63" i="3"/>
  <c r="D6" i="14" s="1"/>
  <c r="N63" i="3"/>
  <c r="H6" i="14" s="1"/>
  <c r="J59" i="3"/>
  <c r="D2" i="14" s="1"/>
  <c r="K59" i="3"/>
  <c r="E2" i="14" s="1"/>
  <c r="L59" i="3"/>
  <c r="F2" i="14" s="1"/>
  <c r="M59" i="3"/>
  <c r="G2" i="14" s="1"/>
  <c r="I59" i="3"/>
  <c r="C2" i="14" s="1"/>
  <c r="N59" i="3"/>
  <c r="H2" i="14" s="1"/>
  <c r="J54" i="3"/>
  <c r="D4" i="13" s="1"/>
  <c r="N54" i="3"/>
  <c r="H4" i="13" s="1"/>
  <c r="K54" i="3"/>
  <c r="E4" i="13" s="1"/>
  <c r="I54" i="3"/>
  <c r="C4" i="13" s="1"/>
  <c r="L54" i="3"/>
  <c r="F4" i="13" s="1"/>
  <c r="M54" i="3"/>
  <c r="G4" i="13" s="1"/>
  <c r="I20" i="3"/>
  <c r="C5" i="8" s="1"/>
  <c r="M20" i="3"/>
  <c r="G5" i="8" s="1"/>
  <c r="J20" i="3"/>
  <c r="D5" i="8" s="1"/>
  <c r="N20" i="3"/>
  <c r="H5" i="8" s="1"/>
  <c r="K20" i="3"/>
  <c r="E5" i="8" s="1"/>
  <c r="L20" i="3"/>
  <c r="F5" i="8" s="1"/>
  <c r="O9" i="3"/>
  <c r="O36" i="3" s="1"/>
  <c r="I7" i="10" s="1"/>
  <c r="H1" i="18"/>
  <c r="H1" i="16"/>
  <c r="H1" i="14"/>
  <c r="H1" i="12"/>
  <c r="H1" i="10"/>
  <c r="H1" i="11"/>
  <c r="H1" i="17"/>
  <c r="H1" i="9"/>
  <c r="H1" i="8"/>
  <c r="H1" i="13"/>
  <c r="H1" i="2"/>
  <c r="H1" i="15"/>
  <c r="H4" i="2"/>
  <c r="H2" i="11"/>
  <c r="H6" i="12"/>
  <c r="B5" i="8"/>
  <c r="O37" i="3" l="1"/>
  <c r="I8" i="10" s="1"/>
  <c r="O43" i="3"/>
  <c r="I7" i="11" s="1"/>
  <c r="O51" i="3"/>
  <c r="I8" i="12" s="1"/>
  <c r="O57" i="3"/>
  <c r="I7" i="13" s="1"/>
  <c r="O44" i="3"/>
  <c r="I8" i="11" s="1"/>
  <c r="O50" i="3"/>
  <c r="I7" i="12" s="1"/>
  <c r="O58" i="3"/>
  <c r="I8" i="13" s="1"/>
  <c r="O64" i="3"/>
  <c r="I7" i="14" s="1"/>
  <c r="O72" i="3"/>
  <c r="I8" i="15" s="1"/>
  <c r="O78" i="3"/>
  <c r="I7" i="16" s="1"/>
  <c r="O65" i="3"/>
  <c r="I8" i="14" s="1"/>
  <c r="O71" i="3"/>
  <c r="I7" i="15" s="1"/>
  <c r="O79" i="3"/>
  <c r="I8" i="16" s="1"/>
  <c r="O85" i="3"/>
  <c r="I7" i="17" s="1"/>
  <c r="O86" i="3"/>
  <c r="I8" i="17" s="1"/>
  <c r="O93" i="3"/>
  <c r="I8" i="18" s="1"/>
  <c r="O92" i="3"/>
  <c r="I7" i="18" s="1"/>
  <c r="O29" i="3"/>
  <c r="I7" i="9" s="1"/>
  <c r="O30" i="3"/>
  <c r="I8" i="9" s="1"/>
  <c r="O22" i="3"/>
  <c r="I7" i="8" s="1"/>
  <c r="I7" i="2"/>
  <c r="O18" i="3"/>
  <c r="I8" i="2"/>
  <c r="O53" i="3"/>
  <c r="I3" i="13" s="1"/>
  <c r="O88" i="3"/>
  <c r="I3" i="18" s="1"/>
  <c r="O87" i="3"/>
  <c r="I2" i="18" s="1"/>
  <c r="O91" i="3"/>
  <c r="I6" i="18" s="1"/>
  <c r="O89" i="3"/>
  <c r="I4" i="18" s="1"/>
  <c r="O42" i="3"/>
  <c r="I6" i="11" s="1"/>
  <c r="O52" i="3"/>
  <c r="I2" i="13" s="1"/>
  <c r="O90" i="3"/>
  <c r="I5" i="18" s="1"/>
  <c r="O23" i="3"/>
  <c r="I8" i="8" s="1"/>
  <c r="O46" i="3"/>
  <c r="I3" i="12" s="1"/>
  <c r="O75" i="3"/>
  <c r="I4" i="16" s="1"/>
  <c r="O62" i="3"/>
  <c r="I5" i="14" s="1"/>
  <c r="O41" i="3"/>
  <c r="I5" i="11" s="1"/>
  <c r="O70" i="3"/>
  <c r="I6" i="15" s="1"/>
  <c r="O82" i="3"/>
  <c r="I4" i="17" s="1"/>
  <c r="O66" i="3"/>
  <c r="I2" i="15" s="1"/>
  <c r="O76" i="3"/>
  <c r="I5" i="16" s="1"/>
  <c r="O61" i="3"/>
  <c r="I4" i="14" s="1"/>
  <c r="O47" i="3"/>
  <c r="I4" i="12" s="1"/>
  <c r="O38" i="3"/>
  <c r="I2" i="11" s="1"/>
  <c r="O69" i="3"/>
  <c r="I5" i="15" s="1"/>
  <c r="O73" i="3"/>
  <c r="I2" i="16" s="1"/>
  <c r="O59" i="3"/>
  <c r="I2" i="14" s="1"/>
  <c r="O54" i="3"/>
  <c r="I4" i="13" s="1"/>
  <c r="O45" i="3"/>
  <c r="I2" i="12" s="1"/>
  <c r="O27" i="3"/>
  <c r="I5" i="9" s="1"/>
  <c r="O68" i="3"/>
  <c r="I4" i="15" s="1"/>
  <c r="O56" i="3"/>
  <c r="I6" i="13" s="1"/>
  <c r="O67" i="3"/>
  <c r="I3" i="15" s="1"/>
  <c r="O74" i="3"/>
  <c r="I3" i="16" s="1"/>
  <c r="O60" i="3"/>
  <c r="I3" i="14" s="1"/>
  <c r="O55" i="3"/>
  <c r="I5" i="13" s="1"/>
  <c r="O39" i="3"/>
  <c r="I3" i="11" s="1"/>
  <c r="O77" i="3"/>
  <c r="I6" i="16" s="1"/>
  <c r="O63" i="3"/>
  <c r="I6" i="14" s="1"/>
  <c r="O34" i="3"/>
  <c r="I5" i="10" s="1"/>
  <c r="O49" i="3"/>
  <c r="I6" i="12" s="1"/>
  <c r="O40" i="3"/>
  <c r="I4" i="11" s="1"/>
  <c r="O19" i="3"/>
  <c r="I4" i="8" s="1"/>
  <c r="O48" i="3"/>
  <c r="I5" i="12" s="1"/>
  <c r="O20" i="3"/>
  <c r="I5" i="8" s="1"/>
  <c r="P9" i="3"/>
  <c r="I1" i="17"/>
  <c r="I1" i="15"/>
  <c r="I1" i="13"/>
  <c r="I1" i="11"/>
  <c r="I1" i="9"/>
  <c r="I1" i="18"/>
  <c r="I1" i="16"/>
  <c r="I1" i="14"/>
  <c r="I1" i="12"/>
  <c r="I1" i="10"/>
  <c r="I1" i="2"/>
  <c r="I1" i="8"/>
  <c r="I4" i="2"/>
  <c r="H84" i="3"/>
  <c r="H83" i="3"/>
  <c r="H80" i="3"/>
  <c r="H28" i="3"/>
  <c r="H26" i="3"/>
  <c r="P36" i="3" l="1"/>
  <c r="J7" i="10" s="1"/>
  <c r="P37" i="3"/>
  <c r="J8" i="10" s="1"/>
  <c r="P58" i="3"/>
  <c r="J8" i="13" s="1"/>
  <c r="P64" i="3"/>
  <c r="J7" i="14" s="1"/>
  <c r="P43" i="3"/>
  <c r="J7" i="11" s="1"/>
  <c r="P51" i="3"/>
  <c r="J8" i="12" s="1"/>
  <c r="P57" i="3"/>
  <c r="J7" i="13" s="1"/>
  <c r="P44" i="3"/>
  <c r="J8" i="11" s="1"/>
  <c r="P50" i="3"/>
  <c r="J7" i="12" s="1"/>
  <c r="P85" i="3"/>
  <c r="J7" i="17" s="1"/>
  <c r="P72" i="3"/>
  <c r="J8" i="15" s="1"/>
  <c r="P78" i="3"/>
  <c r="J7" i="16" s="1"/>
  <c r="P65" i="3"/>
  <c r="J8" i="14" s="1"/>
  <c r="P71" i="3"/>
  <c r="J7" i="15" s="1"/>
  <c r="P79" i="3"/>
  <c r="J8" i="16" s="1"/>
  <c r="P92" i="3"/>
  <c r="J7" i="18" s="1"/>
  <c r="P93" i="3"/>
  <c r="J8" i="18" s="1"/>
  <c r="P22" i="3"/>
  <c r="J7" i="8" s="1"/>
  <c r="P29" i="3"/>
  <c r="J7" i="9" s="1"/>
  <c r="J7" i="2"/>
  <c r="P30" i="3"/>
  <c r="J8" i="9" s="1"/>
  <c r="P86" i="3"/>
  <c r="J8" i="17" s="1"/>
  <c r="P18" i="3"/>
  <c r="J8" i="2"/>
  <c r="P53" i="3"/>
  <c r="J3" i="13" s="1"/>
  <c r="P91" i="3"/>
  <c r="J6" i="18" s="1"/>
  <c r="P89" i="3"/>
  <c r="J4" i="18" s="1"/>
  <c r="P23" i="3"/>
  <c r="J8" i="8" s="1"/>
  <c r="P90" i="3"/>
  <c r="J5" i="18" s="1"/>
  <c r="P88" i="3"/>
  <c r="J3" i="18" s="1"/>
  <c r="P87" i="3"/>
  <c r="J2" i="18" s="1"/>
  <c r="P42" i="3"/>
  <c r="J6" i="11" s="1"/>
  <c r="P52" i="3"/>
  <c r="J2" i="13" s="1"/>
  <c r="P46" i="3"/>
  <c r="J3" i="12" s="1"/>
  <c r="P62" i="3"/>
  <c r="J5" i="14" s="1"/>
  <c r="P41" i="3"/>
  <c r="J5" i="11" s="1"/>
  <c r="P70" i="3"/>
  <c r="J6" i="15" s="1"/>
  <c r="P66" i="3"/>
  <c r="J2" i="15" s="1"/>
  <c r="P76" i="3"/>
  <c r="J5" i="16" s="1"/>
  <c r="P82" i="3"/>
  <c r="J4" i="17" s="1"/>
  <c r="P75" i="3"/>
  <c r="J4" i="16" s="1"/>
  <c r="P61" i="3"/>
  <c r="J4" i="14" s="1"/>
  <c r="P38" i="3"/>
  <c r="J2" i="11" s="1"/>
  <c r="P34" i="3"/>
  <c r="J5" i="10" s="1"/>
  <c r="P45" i="3"/>
  <c r="J2" i="12" s="1"/>
  <c r="P27" i="3"/>
  <c r="J5" i="9" s="1"/>
  <c r="P73" i="3"/>
  <c r="J2" i="16" s="1"/>
  <c r="P59" i="3"/>
  <c r="J2" i="14" s="1"/>
  <c r="P67" i="3"/>
  <c r="J3" i="15" s="1"/>
  <c r="P40" i="3"/>
  <c r="J4" i="11" s="1"/>
  <c r="P68" i="3"/>
  <c r="J4" i="15" s="1"/>
  <c r="P56" i="3"/>
  <c r="J6" i="13" s="1"/>
  <c r="P47" i="3"/>
  <c r="J4" i="12" s="1"/>
  <c r="P74" i="3"/>
  <c r="J3" i="16" s="1"/>
  <c r="P60" i="3"/>
  <c r="J3" i="14" s="1"/>
  <c r="P55" i="3"/>
  <c r="J5" i="13" s="1"/>
  <c r="P48" i="3"/>
  <c r="J5" i="12" s="1"/>
  <c r="P39" i="3"/>
  <c r="J3" i="11" s="1"/>
  <c r="P63" i="3"/>
  <c r="J6" i="14" s="1"/>
  <c r="P49" i="3"/>
  <c r="J6" i="12" s="1"/>
  <c r="P69" i="3"/>
  <c r="J5" i="15" s="1"/>
  <c r="P19" i="3"/>
  <c r="J4" i="8" s="1"/>
  <c r="P77" i="3"/>
  <c r="J6" i="16" s="1"/>
  <c r="P54" i="3"/>
  <c r="J4" i="13" s="1"/>
  <c r="P20" i="3"/>
  <c r="J5" i="8" s="1"/>
  <c r="H24" i="3"/>
  <c r="B2" i="9" s="1"/>
  <c r="Q9" i="3"/>
  <c r="J1" i="17"/>
  <c r="J1" i="15"/>
  <c r="J1" i="13"/>
  <c r="J1" i="11"/>
  <c r="J1" i="9"/>
  <c r="J1" i="12"/>
  <c r="J1" i="18"/>
  <c r="J1" i="10"/>
  <c r="J1" i="2"/>
  <c r="J1" i="8"/>
  <c r="J1" i="16"/>
  <c r="J1" i="14"/>
  <c r="J4" i="2"/>
  <c r="F25" i="3"/>
  <c r="F26" i="3"/>
  <c r="F28" i="3"/>
  <c r="F31" i="3"/>
  <c r="F32" i="3"/>
  <c r="F81" i="3"/>
  <c r="F24" i="3"/>
  <c r="F33" i="3"/>
  <c r="F83" i="3"/>
  <c r="F80" i="3"/>
  <c r="F35" i="3"/>
  <c r="F84" i="3"/>
  <c r="Q36" i="3" l="1"/>
  <c r="K7" i="10" s="1"/>
  <c r="Q37" i="3"/>
  <c r="K8" i="10" s="1"/>
  <c r="J35" i="3"/>
  <c r="D6" i="10" s="1"/>
  <c r="N35" i="3"/>
  <c r="H6" i="10" s="1"/>
  <c r="K35" i="3"/>
  <c r="E6" i="10" s="1"/>
  <c r="O35" i="3"/>
  <c r="I6" i="10" s="1"/>
  <c r="L35" i="3"/>
  <c r="F6" i="10" s="1"/>
  <c r="P35" i="3"/>
  <c r="J6" i="10" s="1"/>
  <c r="I35" i="3"/>
  <c r="C6" i="10" s="1"/>
  <c r="M35" i="3"/>
  <c r="G6" i="10" s="1"/>
  <c r="Q35" i="3"/>
  <c r="K6" i="10" s="1"/>
  <c r="Q44" i="3"/>
  <c r="K8" i="11" s="1"/>
  <c r="Q50" i="3"/>
  <c r="K7" i="12" s="1"/>
  <c r="Q58" i="3"/>
  <c r="K8" i="13" s="1"/>
  <c r="Q64" i="3"/>
  <c r="K7" i="14" s="1"/>
  <c r="Q43" i="3"/>
  <c r="K7" i="11" s="1"/>
  <c r="Q51" i="3"/>
  <c r="K8" i="12" s="1"/>
  <c r="Q57" i="3"/>
  <c r="K7" i="13" s="1"/>
  <c r="Q65" i="3"/>
  <c r="K8" i="14" s="1"/>
  <c r="Q71" i="3"/>
  <c r="K7" i="15" s="1"/>
  <c r="Q79" i="3"/>
  <c r="K8" i="16" s="1"/>
  <c r="Q85" i="3"/>
  <c r="K7" i="17" s="1"/>
  <c r="Q72" i="3"/>
  <c r="K8" i="15" s="1"/>
  <c r="Q78" i="3"/>
  <c r="K7" i="16" s="1"/>
  <c r="Q92" i="3"/>
  <c r="K7" i="18" s="1"/>
  <c r="Q93" i="3"/>
  <c r="K8" i="18" s="1"/>
  <c r="Q22" i="3"/>
  <c r="K7" i="8" s="1"/>
  <c r="Q30" i="3"/>
  <c r="K8" i="9" s="1"/>
  <c r="Q86" i="3"/>
  <c r="K8" i="17" s="1"/>
  <c r="Q29" i="3"/>
  <c r="K7" i="9" s="1"/>
  <c r="K7" i="2"/>
  <c r="Q18" i="3"/>
  <c r="K8" i="2"/>
  <c r="Q23" i="3"/>
  <c r="K8" i="8" s="1"/>
  <c r="Q87" i="3"/>
  <c r="K2" i="18" s="1"/>
  <c r="Q53" i="3"/>
  <c r="K3" i="13" s="1"/>
  <c r="Q52" i="3"/>
  <c r="K2" i="13" s="1"/>
  <c r="Q91" i="3"/>
  <c r="K6" i="18" s="1"/>
  <c r="Q89" i="3"/>
  <c r="K4" i="18" s="1"/>
  <c r="Q90" i="3"/>
  <c r="K5" i="18" s="1"/>
  <c r="Q88" i="3"/>
  <c r="K3" i="18" s="1"/>
  <c r="Q42" i="3"/>
  <c r="K6" i="11" s="1"/>
  <c r="Q61" i="3"/>
  <c r="K4" i="14" s="1"/>
  <c r="Q76" i="3"/>
  <c r="K5" i="16" s="1"/>
  <c r="Q62" i="3"/>
  <c r="K5" i="14" s="1"/>
  <c r="Q46" i="3"/>
  <c r="K3" i="12" s="1"/>
  <c r="Q70" i="3"/>
  <c r="K6" i="15" s="1"/>
  <c r="Q41" i="3"/>
  <c r="K5" i="11" s="1"/>
  <c r="Q82" i="3"/>
  <c r="K4" i="17" s="1"/>
  <c r="Q75" i="3"/>
  <c r="K4" i="16" s="1"/>
  <c r="Q66" i="3"/>
  <c r="K2" i="15" s="1"/>
  <c r="Q47" i="3"/>
  <c r="K4" i="12" s="1"/>
  <c r="Q69" i="3"/>
  <c r="K5" i="15" s="1"/>
  <c r="Q73" i="3"/>
  <c r="K2" i="16" s="1"/>
  <c r="Q59" i="3"/>
  <c r="K2" i="14" s="1"/>
  <c r="Q54" i="3"/>
  <c r="K4" i="13" s="1"/>
  <c r="Q38" i="3"/>
  <c r="K2" i="11" s="1"/>
  <c r="Q45" i="3"/>
  <c r="K2" i="12" s="1"/>
  <c r="Q27" i="3"/>
  <c r="K5" i="9" s="1"/>
  <c r="Q39" i="3"/>
  <c r="K3" i="11" s="1"/>
  <c r="Q77" i="3"/>
  <c r="K6" i="16" s="1"/>
  <c r="Q56" i="3"/>
  <c r="K6" i="13" s="1"/>
  <c r="Q67" i="3"/>
  <c r="K3" i="15" s="1"/>
  <c r="Q40" i="3"/>
  <c r="K4" i="11" s="1"/>
  <c r="Q60" i="3"/>
  <c r="K3" i="14" s="1"/>
  <c r="Q48" i="3"/>
  <c r="K5" i="12" s="1"/>
  <c r="Q68" i="3"/>
  <c r="K4" i="15" s="1"/>
  <c r="Q34" i="3"/>
  <c r="K5" i="10" s="1"/>
  <c r="Q49" i="3"/>
  <c r="K6" i="12" s="1"/>
  <c r="Q74" i="3"/>
  <c r="K3" i="16" s="1"/>
  <c r="Q55" i="3"/>
  <c r="K5" i="13" s="1"/>
  <c r="Q19" i="3"/>
  <c r="K4" i="8" s="1"/>
  <c r="Q63" i="3"/>
  <c r="K6" i="14" s="1"/>
  <c r="Q20" i="3"/>
  <c r="K5" i="8" s="1"/>
  <c r="I32" i="3"/>
  <c r="C3" i="10" s="1"/>
  <c r="M32" i="3"/>
  <c r="G3" i="10" s="1"/>
  <c r="Q32" i="3"/>
  <c r="K3" i="10" s="1"/>
  <c r="J32" i="3"/>
  <c r="D3" i="10" s="1"/>
  <c r="N32" i="3"/>
  <c r="H3" i="10" s="1"/>
  <c r="K32" i="3"/>
  <c r="E3" i="10" s="1"/>
  <c r="O32" i="3"/>
  <c r="I3" i="10" s="1"/>
  <c r="L32" i="3"/>
  <c r="F3" i="10" s="1"/>
  <c r="P32" i="3"/>
  <c r="J3" i="10" s="1"/>
  <c r="K33" i="3"/>
  <c r="E4" i="10" s="1"/>
  <c r="O33" i="3"/>
  <c r="I4" i="10" s="1"/>
  <c r="L33" i="3"/>
  <c r="F4" i="10" s="1"/>
  <c r="P33" i="3"/>
  <c r="J4" i="10" s="1"/>
  <c r="I33" i="3"/>
  <c r="C4" i="10" s="1"/>
  <c r="M33" i="3"/>
  <c r="G4" i="10" s="1"/>
  <c r="Q33" i="3"/>
  <c r="K4" i="10" s="1"/>
  <c r="J33" i="3"/>
  <c r="D4" i="10" s="1"/>
  <c r="N33" i="3"/>
  <c r="H4" i="10" s="1"/>
  <c r="K31" i="3"/>
  <c r="E2" i="10" s="1"/>
  <c r="O31" i="3"/>
  <c r="I2" i="10" s="1"/>
  <c r="L31" i="3"/>
  <c r="F2" i="10" s="1"/>
  <c r="P31" i="3"/>
  <c r="J2" i="10" s="1"/>
  <c r="I31" i="3"/>
  <c r="C2" i="10" s="1"/>
  <c r="M31" i="3"/>
  <c r="G2" i="10" s="1"/>
  <c r="Q31" i="3"/>
  <c r="K2" i="10" s="1"/>
  <c r="N31" i="3"/>
  <c r="H2" i="10" s="1"/>
  <c r="J31" i="3"/>
  <c r="D2" i="10" s="1"/>
  <c r="L84" i="3"/>
  <c r="F6" i="17" s="1"/>
  <c r="P84" i="3"/>
  <c r="J6" i="17" s="1"/>
  <c r="I84" i="3"/>
  <c r="C6" i="17" s="1"/>
  <c r="M84" i="3"/>
  <c r="G6" i="17" s="1"/>
  <c r="Q84" i="3"/>
  <c r="K6" i="17" s="1"/>
  <c r="J84" i="3"/>
  <c r="D6" i="17" s="1"/>
  <c r="N84" i="3"/>
  <c r="H6" i="17" s="1"/>
  <c r="K84" i="3"/>
  <c r="E6" i="17" s="1"/>
  <c r="O84" i="3"/>
  <c r="I6" i="17" s="1"/>
  <c r="I24" i="3"/>
  <c r="C2" i="9" s="1"/>
  <c r="M24" i="3"/>
  <c r="G2" i="9" s="1"/>
  <c r="Q24" i="3"/>
  <c r="K2" i="9" s="1"/>
  <c r="J24" i="3"/>
  <c r="D2" i="9" s="1"/>
  <c r="N24" i="3"/>
  <c r="H2" i="9" s="1"/>
  <c r="K24" i="3"/>
  <c r="E2" i="9" s="1"/>
  <c r="O24" i="3"/>
  <c r="I2" i="9" s="1"/>
  <c r="L24" i="3"/>
  <c r="F2" i="9" s="1"/>
  <c r="P24" i="3"/>
  <c r="J2" i="9" s="1"/>
  <c r="I28" i="3"/>
  <c r="C6" i="9" s="1"/>
  <c r="M28" i="3"/>
  <c r="G6" i="9" s="1"/>
  <c r="Q28" i="3"/>
  <c r="K6" i="9" s="1"/>
  <c r="J28" i="3"/>
  <c r="D6" i="9" s="1"/>
  <c r="N28" i="3"/>
  <c r="H6" i="9" s="1"/>
  <c r="K28" i="3"/>
  <c r="E6" i="9" s="1"/>
  <c r="O28" i="3"/>
  <c r="I6" i="9" s="1"/>
  <c r="L28" i="3"/>
  <c r="F6" i="9" s="1"/>
  <c r="P28" i="3"/>
  <c r="J6" i="9" s="1"/>
  <c r="L80" i="3"/>
  <c r="F2" i="17" s="1"/>
  <c r="P80" i="3"/>
  <c r="J2" i="17" s="1"/>
  <c r="I80" i="3"/>
  <c r="C2" i="17" s="1"/>
  <c r="M80" i="3"/>
  <c r="G2" i="17" s="1"/>
  <c r="Q80" i="3"/>
  <c r="K2" i="17" s="1"/>
  <c r="J80" i="3"/>
  <c r="D2" i="17" s="1"/>
  <c r="N80" i="3"/>
  <c r="H2" i="17" s="1"/>
  <c r="K80" i="3"/>
  <c r="E2" i="17" s="1"/>
  <c r="O80" i="3"/>
  <c r="I2" i="17" s="1"/>
  <c r="J81" i="3"/>
  <c r="D3" i="17" s="1"/>
  <c r="N81" i="3"/>
  <c r="H3" i="17" s="1"/>
  <c r="K81" i="3"/>
  <c r="E3" i="17" s="1"/>
  <c r="O81" i="3"/>
  <c r="I3" i="17" s="1"/>
  <c r="L81" i="3"/>
  <c r="F3" i="17" s="1"/>
  <c r="P81" i="3"/>
  <c r="J3" i="17" s="1"/>
  <c r="I81" i="3"/>
  <c r="C3" i="17" s="1"/>
  <c r="M81" i="3"/>
  <c r="G3" i="17" s="1"/>
  <c r="Q81" i="3"/>
  <c r="K3" i="17" s="1"/>
  <c r="I26" i="3"/>
  <c r="C4" i="9" s="1"/>
  <c r="M26" i="3"/>
  <c r="G4" i="9" s="1"/>
  <c r="Q26" i="3"/>
  <c r="K4" i="9" s="1"/>
  <c r="J26" i="3"/>
  <c r="D4" i="9" s="1"/>
  <c r="N26" i="3"/>
  <c r="H4" i="9" s="1"/>
  <c r="K26" i="3"/>
  <c r="E4" i="9" s="1"/>
  <c r="O26" i="3"/>
  <c r="I4" i="9" s="1"/>
  <c r="L26" i="3"/>
  <c r="F4" i="9" s="1"/>
  <c r="P26" i="3"/>
  <c r="J4" i="9" s="1"/>
  <c r="J83" i="3"/>
  <c r="D5" i="17" s="1"/>
  <c r="N83" i="3"/>
  <c r="H5" i="17" s="1"/>
  <c r="K83" i="3"/>
  <c r="E5" i="17" s="1"/>
  <c r="O83" i="3"/>
  <c r="I5" i="17" s="1"/>
  <c r="L83" i="3"/>
  <c r="F5" i="17" s="1"/>
  <c r="P83" i="3"/>
  <c r="J5" i="17" s="1"/>
  <c r="I83" i="3"/>
  <c r="C5" i="17" s="1"/>
  <c r="M83" i="3"/>
  <c r="G5" i="17" s="1"/>
  <c r="Q83" i="3"/>
  <c r="K5" i="17" s="1"/>
  <c r="K25" i="3"/>
  <c r="E3" i="9" s="1"/>
  <c r="O25" i="3"/>
  <c r="I3" i="9" s="1"/>
  <c r="L25" i="3"/>
  <c r="F3" i="9" s="1"/>
  <c r="P25" i="3"/>
  <c r="J3" i="9" s="1"/>
  <c r="I25" i="3"/>
  <c r="C3" i="9" s="1"/>
  <c r="M25" i="3"/>
  <c r="G3" i="9" s="1"/>
  <c r="Q25" i="3"/>
  <c r="K3" i="9" s="1"/>
  <c r="J25" i="3"/>
  <c r="D3" i="9" s="1"/>
  <c r="N25" i="3"/>
  <c r="H3" i="9" s="1"/>
  <c r="R9" i="3"/>
  <c r="K1" i="18"/>
  <c r="K1" i="16"/>
  <c r="K1" i="14"/>
  <c r="K1" i="12"/>
  <c r="K1" i="10"/>
  <c r="K1" i="17"/>
  <c r="K1" i="15"/>
  <c r="K1" i="13"/>
  <c r="K1" i="11"/>
  <c r="K1" i="9"/>
  <c r="K1" i="8"/>
  <c r="K1" i="2"/>
  <c r="K4" i="2"/>
  <c r="B4" i="10"/>
  <c r="B2" i="10"/>
  <c r="F13" i="3"/>
  <c r="B6" i="9"/>
  <c r="F21" i="3"/>
  <c r="B4" i="9"/>
  <c r="B2" i="17"/>
  <c r="B3" i="17"/>
  <c r="B6" i="17"/>
  <c r="F11" i="3"/>
  <c r="B5" i="17"/>
  <c r="B3" i="10"/>
  <c r="F10" i="3"/>
  <c r="B6" i="10"/>
  <c r="F17" i="3"/>
  <c r="B3" i="9"/>
  <c r="E2" i="2" l="1"/>
  <c r="C2" i="2"/>
  <c r="D2" i="2"/>
  <c r="F2" i="2"/>
  <c r="G2" i="2"/>
  <c r="H2" i="2"/>
  <c r="I2" i="2"/>
  <c r="J2" i="2"/>
  <c r="K2" i="2"/>
  <c r="L2" i="2"/>
  <c r="R35" i="3"/>
  <c r="L6" i="10" s="1"/>
  <c r="R36" i="3"/>
  <c r="L7" i="10" s="1"/>
  <c r="R37" i="3"/>
  <c r="L8" i="10" s="1"/>
  <c r="R28" i="3"/>
  <c r="L6" i="9" s="1"/>
  <c r="R83" i="3"/>
  <c r="L5" i="17" s="1"/>
  <c r="R26" i="3"/>
  <c r="L4" i="9" s="1"/>
  <c r="R24" i="3"/>
  <c r="L2" i="9" s="1"/>
  <c r="R32" i="3"/>
  <c r="L3" i="10" s="1"/>
  <c r="R57" i="3"/>
  <c r="L7" i="13" s="1"/>
  <c r="R44" i="3"/>
  <c r="L8" i="11" s="1"/>
  <c r="R50" i="3"/>
  <c r="L7" i="12" s="1"/>
  <c r="R58" i="3"/>
  <c r="L8" i="13" s="1"/>
  <c r="R43" i="3"/>
  <c r="L7" i="11" s="1"/>
  <c r="R51" i="3"/>
  <c r="L8" i="12" s="1"/>
  <c r="R65" i="3"/>
  <c r="L8" i="14" s="1"/>
  <c r="R71" i="3"/>
  <c r="L7" i="15" s="1"/>
  <c r="R79" i="3"/>
  <c r="L8" i="16" s="1"/>
  <c r="R85" i="3"/>
  <c r="L7" i="17" s="1"/>
  <c r="R64" i="3"/>
  <c r="L7" i="14" s="1"/>
  <c r="R72" i="3"/>
  <c r="L8" i="15" s="1"/>
  <c r="R78" i="3"/>
  <c r="L7" i="16" s="1"/>
  <c r="R93" i="3"/>
  <c r="L8" i="18" s="1"/>
  <c r="R92" i="3"/>
  <c r="L7" i="18" s="1"/>
  <c r="R22" i="3"/>
  <c r="L7" i="8" s="1"/>
  <c r="R86" i="3"/>
  <c r="L8" i="17" s="1"/>
  <c r="R30" i="3"/>
  <c r="L8" i="9" s="1"/>
  <c r="R29" i="3"/>
  <c r="L7" i="9" s="1"/>
  <c r="L7" i="2"/>
  <c r="R18" i="3"/>
  <c r="L3" i="8" s="1"/>
  <c r="L8" i="2"/>
  <c r="R23" i="3"/>
  <c r="L8" i="8" s="1"/>
  <c r="R90" i="3"/>
  <c r="L5" i="18" s="1"/>
  <c r="R42" i="3"/>
  <c r="L6" i="11" s="1"/>
  <c r="R88" i="3"/>
  <c r="L3" i="18" s="1"/>
  <c r="R87" i="3"/>
  <c r="L2" i="18" s="1"/>
  <c r="R91" i="3"/>
  <c r="L6" i="18" s="1"/>
  <c r="R53" i="3"/>
  <c r="L3" i="13" s="1"/>
  <c r="R89" i="3"/>
  <c r="L4" i="18" s="1"/>
  <c r="R76" i="3"/>
  <c r="L5" i="16" s="1"/>
  <c r="R52" i="3"/>
  <c r="L2" i="13" s="1"/>
  <c r="R61" i="3"/>
  <c r="L4" i="14" s="1"/>
  <c r="R56" i="3"/>
  <c r="L6" i="13" s="1"/>
  <c r="R62" i="3"/>
  <c r="L5" i="14" s="1"/>
  <c r="R82" i="3"/>
  <c r="L4" i="17" s="1"/>
  <c r="R75" i="3"/>
  <c r="L4" i="16" s="1"/>
  <c r="R70" i="3"/>
  <c r="L6" i="15" s="1"/>
  <c r="R66" i="3"/>
  <c r="L2" i="15" s="1"/>
  <c r="R46" i="3"/>
  <c r="L3" i="12" s="1"/>
  <c r="R41" i="3"/>
  <c r="L5" i="11" s="1"/>
  <c r="R47" i="3"/>
  <c r="L4" i="12" s="1"/>
  <c r="R34" i="3"/>
  <c r="L5" i="10" s="1"/>
  <c r="R49" i="3"/>
  <c r="L6" i="12" s="1"/>
  <c r="R74" i="3"/>
  <c r="L3" i="16" s="1"/>
  <c r="R73" i="3"/>
  <c r="L2" i="16" s="1"/>
  <c r="R63" i="3"/>
  <c r="L6" i="14" s="1"/>
  <c r="R45" i="3"/>
  <c r="L2" i="12" s="1"/>
  <c r="R40" i="3"/>
  <c r="L4" i="11" s="1"/>
  <c r="R69" i="3"/>
  <c r="L5" i="15" s="1"/>
  <c r="R48" i="3"/>
  <c r="L5" i="12" s="1"/>
  <c r="R68" i="3"/>
  <c r="L4" i="15" s="1"/>
  <c r="R59" i="3"/>
  <c r="L2" i="14" s="1"/>
  <c r="R54" i="3"/>
  <c r="L4" i="13" s="1"/>
  <c r="R38" i="3"/>
  <c r="L2" i="11" s="1"/>
  <c r="R27" i="3"/>
  <c r="L5" i="9" s="1"/>
  <c r="R19" i="3"/>
  <c r="L4" i="8" s="1"/>
  <c r="R39" i="3"/>
  <c r="L3" i="11" s="1"/>
  <c r="R67" i="3"/>
  <c r="L3" i="15" s="1"/>
  <c r="R60" i="3"/>
  <c r="L3" i="14" s="1"/>
  <c r="R55" i="3"/>
  <c r="L5" i="13" s="1"/>
  <c r="R77" i="3"/>
  <c r="L6" i="16" s="1"/>
  <c r="R20" i="3"/>
  <c r="L5" i="8" s="1"/>
  <c r="R84" i="3"/>
  <c r="L6" i="17" s="1"/>
  <c r="R25" i="3"/>
  <c r="L3" i="9" s="1"/>
  <c r="R81" i="3"/>
  <c r="L3" i="17" s="1"/>
  <c r="R80" i="3"/>
  <c r="L2" i="17" s="1"/>
  <c r="R31" i="3"/>
  <c r="L2" i="10" s="1"/>
  <c r="R33" i="3"/>
  <c r="L4" i="10" s="1"/>
  <c r="K17" i="3"/>
  <c r="E2" i="8" s="1"/>
  <c r="O17" i="3"/>
  <c r="I2" i="8" s="1"/>
  <c r="J17" i="3"/>
  <c r="D2" i="8" s="1"/>
  <c r="L17" i="3"/>
  <c r="F2" i="8" s="1"/>
  <c r="P17" i="3"/>
  <c r="J2" i="8" s="1"/>
  <c r="N17" i="3"/>
  <c r="H2" i="8" s="1"/>
  <c r="I17" i="3"/>
  <c r="C2" i="8" s="1"/>
  <c r="M17" i="3"/>
  <c r="G2" i="8" s="1"/>
  <c r="Q17" i="3"/>
  <c r="K2" i="8" s="1"/>
  <c r="R17" i="3"/>
  <c r="L2" i="8" s="1"/>
  <c r="I21" i="3"/>
  <c r="C6" i="8" s="1"/>
  <c r="M21" i="3"/>
  <c r="G6" i="8" s="1"/>
  <c r="Q21" i="3"/>
  <c r="K6" i="8" s="1"/>
  <c r="L21" i="3"/>
  <c r="F6" i="8" s="1"/>
  <c r="J21" i="3"/>
  <c r="D6" i="8" s="1"/>
  <c r="N21" i="3"/>
  <c r="H6" i="8" s="1"/>
  <c r="R21" i="3"/>
  <c r="L6" i="8" s="1"/>
  <c r="P21" i="3"/>
  <c r="J6" i="8" s="1"/>
  <c r="K21" i="3"/>
  <c r="E6" i="8" s="1"/>
  <c r="O21" i="3"/>
  <c r="I6" i="8" s="1"/>
  <c r="S9" i="3"/>
  <c r="M5" i="2" s="1"/>
  <c r="L1" i="18"/>
  <c r="L1" i="16"/>
  <c r="L1" i="14"/>
  <c r="L1" i="12"/>
  <c r="L1" i="10"/>
  <c r="L1" i="13"/>
  <c r="L1" i="15"/>
  <c r="L1" i="11"/>
  <c r="L1" i="8"/>
  <c r="L1" i="17"/>
  <c r="L1" i="9"/>
  <c r="L1" i="2"/>
  <c r="L4" i="2"/>
  <c r="D3" i="2"/>
  <c r="L3" i="2"/>
  <c r="E3" i="2"/>
  <c r="F3" i="2"/>
  <c r="G3" i="2"/>
  <c r="H3" i="2"/>
  <c r="C3" i="2"/>
  <c r="I3" i="2"/>
  <c r="J3" i="2"/>
  <c r="K3" i="2"/>
  <c r="I5" i="2"/>
  <c r="J5" i="2"/>
  <c r="C5" i="2"/>
  <c r="K5" i="2"/>
  <c r="D5" i="2"/>
  <c r="L5" i="2"/>
  <c r="E5" i="2"/>
  <c r="F5" i="2"/>
  <c r="H5" i="2"/>
  <c r="G5" i="2"/>
  <c r="I6" i="2"/>
  <c r="J6" i="2"/>
  <c r="K6" i="2"/>
  <c r="D6" i="2"/>
  <c r="L6" i="2"/>
  <c r="E6" i="2"/>
  <c r="G6" i="2"/>
  <c r="H6" i="2"/>
  <c r="F6" i="2"/>
  <c r="E3" i="8"/>
  <c r="I3" i="8"/>
  <c r="F3" i="8"/>
  <c r="J3" i="8"/>
  <c r="C3" i="8"/>
  <c r="G3" i="8"/>
  <c r="K3" i="8"/>
  <c r="D3" i="8"/>
  <c r="H3" i="8"/>
  <c r="B3" i="8"/>
  <c r="B3" i="2"/>
  <c r="B5" i="2"/>
  <c r="B6" i="8"/>
  <c r="B2" i="8"/>
  <c r="M2" i="2" l="1"/>
  <c r="S36" i="3"/>
  <c r="M7" i="10" s="1"/>
  <c r="S37" i="3"/>
  <c r="M8" i="10" s="1"/>
  <c r="M3" i="2"/>
  <c r="S35" i="3"/>
  <c r="M6" i="10" s="1"/>
  <c r="S24" i="3"/>
  <c r="M2" i="9" s="1"/>
  <c r="S80" i="3"/>
  <c r="M2" i="17" s="1"/>
  <c r="S32" i="3"/>
  <c r="M3" i="10" s="1"/>
  <c r="S28" i="3"/>
  <c r="M6" i="9" s="1"/>
  <c r="S31" i="3"/>
  <c r="M2" i="10" s="1"/>
  <c r="S25" i="3"/>
  <c r="M3" i="9" s="1"/>
  <c r="S29" i="3"/>
  <c r="M7" i="9" s="1"/>
  <c r="S43" i="3"/>
  <c r="M7" i="11" s="1"/>
  <c r="S51" i="3"/>
  <c r="M8" i="12" s="1"/>
  <c r="S57" i="3"/>
  <c r="M7" i="13" s="1"/>
  <c r="S44" i="3"/>
  <c r="M8" i="11" s="1"/>
  <c r="S50" i="3"/>
  <c r="M7" i="12" s="1"/>
  <c r="S58" i="3"/>
  <c r="M8" i="13" s="1"/>
  <c r="S64" i="3"/>
  <c r="M7" i="14" s="1"/>
  <c r="S72" i="3"/>
  <c r="M8" i="15" s="1"/>
  <c r="S78" i="3"/>
  <c r="M7" i="16" s="1"/>
  <c r="S86" i="3"/>
  <c r="M8" i="17" s="1"/>
  <c r="S65" i="3"/>
  <c r="M8" i="14" s="1"/>
  <c r="S71" i="3"/>
  <c r="M7" i="15" s="1"/>
  <c r="S79" i="3"/>
  <c r="M8" i="16" s="1"/>
  <c r="S85" i="3"/>
  <c r="M7" i="17" s="1"/>
  <c r="S93" i="3"/>
  <c r="M8" i="18" s="1"/>
  <c r="S92" i="3"/>
  <c r="M7" i="18" s="1"/>
  <c r="S22" i="3"/>
  <c r="M7" i="8" s="1"/>
  <c r="S30" i="3"/>
  <c r="M8" i="9" s="1"/>
  <c r="M7" i="2"/>
  <c r="S18" i="3"/>
  <c r="M3" i="8" s="1"/>
  <c r="M8" i="2"/>
  <c r="S23" i="3"/>
  <c r="M8" i="8" s="1"/>
  <c r="S90" i="3"/>
  <c r="M5" i="18" s="1"/>
  <c r="S53" i="3"/>
  <c r="M3" i="13" s="1"/>
  <c r="S91" i="3"/>
  <c r="M6" i="18" s="1"/>
  <c r="S89" i="3"/>
  <c r="M4" i="18" s="1"/>
  <c r="S88" i="3"/>
  <c r="M3" i="18" s="1"/>
  <c r="S87" i="3"/>
  <c r="M2" i="18" s="1"/>
  <c r="S42" i="3"/>
  <c r="M6" i="11" s="1"/>
  <c r="S76" i="3"/>
  <c r="M5" i="16" s="1"/>
  <c r="S61" i="3"/>
  <c r="M4" i="14" s="1"/>
  <c r="S52" i="3"/>
  <c r="M2" i="13" s="1"/>
  <c r="S46" i="3"/>
  <c r="M3" i="12" s="1"/>
  <c r="S75" i="3"/>
  <c r="M4" i="16" s="1"/>
  <c r="S62" i="3"/>
  <c r="M5" i="14" s="1"/>
  <c r="S41" i="3"/>
  <c r="M5" i="11" s="1"/>
  <c r="S82" i="3"/>
  <c r="M4" i="17" s="1"/>
  <c r="S70" i="3"/>
  <c r="M6" i="15" s="1"/>
  <c r="S66" i="3"/>
  <c r="M2" i="15" s="1"/>
  <c r="S34" i="3"/>
  <c r="M5" i="10" s="1"/>
  <c r="S49" i="3"/>
  <c r="M6" i="12" s="1"/>
  <c r="S40" i="3"/>
  <c r="M4" i="11" s="1"/>
  <c r="S19" i="3"/>
  <c r="M4" i="8" s="1"/>
  <c r="S48" i="3"/>
  <c r="M5" i="12" s="1"/>
  <c r="S47" i="3"/>
  <c r="M4" i="12" s="1"/>
  <c r="S38" i="3"/>
  <c r="M2" i="11" s="1"/>
  <c r="S69" i="3"/>
  <c r="M5" i="15" s="1"/>
  <c r="S73" i="3"/>
  <c r="M2" i="16" s="1"/>
  <c r="S59" i="3"/>
  <c r="M2" i="14" s="1"/>
  <c r="S54" i="3"/>
  <c r="M4" i="13" s="1"/>
  <c r="S45" i="3"/>
  <c r="M2" i="12" s="1"/>
  <c r="S27" i="3"/>
  <c r="M5" i="9" s="1"/>
  <c r="S77" i="3"/>
  <c r="M6" i="16" s="1"/>
  <c r="S68" i="3"/>
  <c r="M4" i="15" s="1"/>
  <c r="S56" i="3"/>
  <c r="M6" i="13" s="1"/>
  <c r="S67" i="3"/>
  <c r="M3" i="15" s="1"/>
  <c r="S74" i="3"/>
  <c r="M3" i="16" s="1"/>
  <c r="S60" i="3"/>
  <c r="M3" i="14" s="1"/>
  <c r="S55" i="3"/>
  <c r="M5" i="13" s="1"/>
  <c r="S39" i="3"/>
  <c r="M3" i="11" s="1"/>
  <c r="S63" i="3"/>
  <c r="M6" i="14" s="1"/>
  <c r="S20" i="3"/>
  <c r="M5" i="8" s="1"/>
  <c r="S81" i="3"/>
  <c r="M3" i="17" s="1"/>
  <c r="S84" i="3"/>
  <c r="M6" i="17" s="1"/>
  <c r="S33" i="3"/>
  <c r="M4" i="10" s="1"/>
  <c r="S26" i="3"/>
  <c r="M4" i="9" s="1"/>
  <c r="S83" i="3"/>
  <c r="M5" i="17" s="1"/>
  <c r="S21" i="3"/>
  <c r="M6" i="8" s="1"/>
  <c r="S17" i="3"/>
  <c r="M2" i="8" s="1"/>
  <c r="T9" i="3"/>
  <c r="M1" i="17"/>
  <c r="M1" i="15"/>
  <c r="M1" i="13"/>
  <c r="M1" i="11"/>
  <c r="M1" i="9"/>
  <c r="M1" i="18"/>
  <c r="M1" i="16"/>
  <c r="M1" i="14"/>
  <c r="M1" i="12"/>
  <c r="M1" i="10"/>
  <c r="M1" i="2"/>
  <c r="M1" i="8"/>
  <c r="M4" i="2"/>
  <c r="N2" i="2" l="1"/>
  <c r="T36" i="3"/>
  <c r="N7" i="10" s="1"/>
  <c r="T37" i="3"/>
  <c r="N8" i="10" s="1"/>
  <c r="T58" i="3"/>
  <c r="N8" i="13" s="1"/>
  <c r="T64" i="3"/>
  <c r="N7" i="14" s="1"/>
  <c r="T43" i="3"/>
  <c r="N7" i="11" s="1"/>
  <c r="T51" i="3"/>
  <c r="N8" i="12" s="1"/>
  <c r="T57" i="3"/>
  <c r="N7" i="13" s="1"/>
  <c r="T44" i="3"/>
  <c r="N8" i="11" s="1"/>
  <c r="T50" i="3"/>
  <c r="N7" i="12" s="1"/>
  <c r="T85" i="3"/>
  <c r="N7" i="17" s="1"/>
  <c r="T72" i="3"/>
  <c r="N8" i="15" s="1"/>
  <c r="T78" i="3"/>
  <c r="N7" i="16" s="1"/>
  <c r="T65" i="3"/>
  <c r="N8" i="14" s="1"/>
  <c r="T71" i="3"/>
  <c r="N7" i="15" s="1"/>
  <c r="T79" i="3"/>
  <c r="N8" i="16" s="1"/>
  <c r="T92" i="3"/>
  <c r="N7" i="18" s="1"/>
  <c r="T22" i="3"/>
  <c r="N7" i="8" s="1"/>
  <c r="T93" i="3"/>
  <c r="N8" i="18" s="1"/>
  <c r="T29" i="3"/>
  <c r="N7" i="9" s="1"/>
  <c r="T30" i="3"/>
  <c r="N8" i="9" s="1"/>
  <c r="T86" i="3"/>
  <c r="N8" i="17" s="1"/>
  <c r="N7" i="2"/>
  <c r="T18" i="3"/>
  <c r="N3" i="8" s="1"/>
  <c r="T23" i="3"/>
  <c r="N8" i="8" s="1"/>
  <c r="N8" i="2"/>
  <c r="T42" i="3"/>
  <c r="T53" i="3"/>
  <c r="N3" i="13" s="1"/>
  <c r="T87" i="3"/>
  <c r="N2" i="18" s="1"/>
  <c r="T91" i="3"/>
  <c r="N6" i="18" s="1"/>
  <c r="T89" i="3"/>
  <c r="N4" i="18" s="1"/>
  <c r="T90" i="3"/>
  <c r="N5" i="18" s="1"/>
  <c r="T88" i="3"/>
  <c r="N3" i="18" s="1"/>
  <c r="T76" i="3"/>
  <c r="N5" i="16" s="1"/>
  <c r="T82" i="3"/>
  <c r="N4" i="17" s="1"/>
  <c r="T61" i="3"/>
  <c r="N4" i="14" s="1"/>
  <c r="T46" i="3"/>
  <c r="N3" i="12" s="1"/>
  <c r="T75" i="3"/>
  <c r="N4" i="16" s="1"/>
  <c r="T62" i="3"/>
  <c r="N5" i="14" s="1"/>
  <c r="T41" i="3"/>
  <c r="N5" i="11" s="1"/>
  <c r="T70" i="3"/>
  <c r="N6" i="15" s="1"/>
  <c r="T52" i="3"/>
  <c r="N2" i="13" s="1"/>
  <c r="T66" i="3"/>
  <c r="N2" i="15" s="1"/>
  <c r="T47" i="3"/>
  <c r="N4" i="12" s="1"/>
  <c r="T49" i="3"/>
  <c r="N6" i="12" s="1"/>
  <c r="T19" i="3"/>
  <c r="N4" i="8" s="1"/>
  <c r="T48" i="3"/>
  <c r="N5" i="12" s="1"/>
  <c r="T77" i="3"/>
  <c r="N6" i="16" s="1"/>
  <c r="T40" i="3"/>
  <c r="N4" i="11" s="1"/>
  <c r="T69" i="3"/>
  <c r="N5" i="15" s="1"/>
  <c r="T73" i="3"/>
  <c r="N2" i="16" s="1"/>
  <c r="T59" i="3"/>
  <c r="N2" i="14" s="1"/>
  <c r="T34" i="3"/>
  <c r="N5" i="10" s="1"/>
  <c r="T45" i="3"/>
  <c r="N2" i="12" s="1"/>
  <c r="T27" i="3"/>
  <c r="N5" i="9" s="1"/>
  <c r="T68" i="3"/>
  <c r="N4" i="15" s="1"/>
  <c r="T56" i="3"/>
  <c r="N6" i="13" s="1"/>
  <c r="T38" i="3"/>
  <c r="N2" i="11" s="1"/>
  <c r="T67" i="3"/>
  <c r="N3" i="15" s="1"/>
  <c r="T74" i="3"/>
  <c r="N3" i="16" s="1"/>
  <c r="T60" i="3"/>
  <c r="N3" i="14" s="1"/>
  <c r="T55" i="3"/>
  <c r="N5" i="13" s="1"/>
  <c r="T39" i="3"/>
  <c r="N3" i="11" s="1"/>
  <c r="T63" i="3"/>
  <c r="N6" i="14" s="1"/>
  <c r="T20" i="3"/>
  <c r="N5" i="8" s="1"/>
  <c r="T54" i="3"/>
  <c r="N4" i="13" s="1"/>
  <c r="T84" i="3"/>
  <c r="N6" i="17" s="1"/>
  <c r="T81" i="3"/>
  <c r="N3" i="17" s="1"/>
  <c r="T33" i="3"/>
  <c r="N4" i="10" s="1"/>
  <c r="T26" i="3"/>
  <c r="N4" i="9" s="1"/>
  <c r="T83" i="3"/>
  <c r="N5" i="17" s="1"/>
  <c r="T28" i="3"/>
  <c r="N6" i="9" s="1"/>
  <c r="T32" i="3"/>
  <c r="N3" i="10" s="1"/>
  <c r="T80" i="3"/>
  <c r="N2" i="17" s="1"/>
  <c r="T17" i="3"/>
  <c r="N2" i="8" s="1"/>
  <c r="T21" i="3"/>
  <c r="N6" i="8" s="1"/>
  <c r="T31" i="3"/>
  <c r="N2" i="10" s="1"/>
  <c r="T24" i="3"/>
  <c r="N2" i="9" s="1"/>
  <c r="T35" i="3"/>
  <c r="N6" i="10" s="1"/>
  <c r="T25" i="3"/>
  <c r="N3" i="9" s="1"/>
  <c r="U9" i="3"/>
  <c r="N1" i="17"/>
  <c r="N1" i="15"/>
  <c r="N1" i="13"/>
  <c r="N1" i="11"/>
  <c r="N1" i="9"/>
  <c r="N1" i="14"/>
  <c r="N1" i="12"/>
  <c r="N1" i="2"/>
  <c r="N1" i="16"/>
  <c r="N1" i="18"/>
  <c r="N1" i="10"/>
  <c r="N1" i="8"/>
  <c r="N4" i="2"/>
  <c r="N6" i="11"/>
  <c r="N5" i="2"/>
  <c r="N3" i="2"/>
  <c r="O2" i="2" l="1"/>
  <c r="U25" i="3"/>
  <c r="O3" i="9" s="1"/>
  <c r="U32" i="3"/>
  <c r="O3" i="10" s="1"/>
  <c r="U21" i="3"/>
  <c r="O6" i="8" s="1"/>
  <c r="O3" i="2"/>
  <c r="U35" i="3"/>
  <c r="O6" i="10" s="1"/>
  <c r="U24" i="3"/>
  <c r="O2" i="9" s="1"/>
  <c r="U31" i="3"/>
  <c r="O2" i="10" s="1"/>
  <c r="U36" i="3"/>
  <c r="O7" i="10" s="1"/>
  <c r="U37" i="3"/>
  <c r="O8" i="10" s="1"/>
  <c r="U44" i="3"/>
  <c r="O8" i="11" s="1"/>
  <c r="U50" i="3"/>
  <c r="O7" i="12" s="1"/>
  <c r="U58" i="3"/>
  <c r="O8" i="13" s="1"/>
  <c r="U64" i="3"/>
  <c r="O7" i="14" s="1"/>
  <c r="U43" i="3"/>
  <c r="O7" i="11" s="1"/>
  <c r="U51" i="3"/>
  <c r="O8" i="12" s="1"/>
  <c r="U57" i="3"/>
  <c r="O7" i="13" s="1"/>
  <c r="U65" i="3"/>
  <c r="O8" i="14" s="1"/>
  <c r="U71" i="3"/>
  <c r="O7" i="15" s="1"/>
  <c r="U79" i="3"/>
  <c r="O8" i="16" s="1"/>
  <c r="U85" i="3"/>
  <c r="O7" i="17" s="1"/>
  <c r="U72" i="3"/>
  <c r="O8" i="15" s="1"/>
  <c r="U78" i="3"/>
  <c r="O7" i="16" s="1"/>
  <c r="U92" i="3"/>
  <c r="O7" i="18" s="1"/>
  <c r="U93" i="3"/>
  <c r="O8" i="18" s="1"/>
  <c r="U30" i="3"/>
  <c r="O8" i="9" s="1"/>
  <c r="U86" i="3"/>
  <c r="O8" i="17" s="1"/>
  <c r="U22" i="3"/>
  <c r="O7" i="8" s="1"/>
  <c r="U29" i="3"/>
  <c r="O7" i="9" s="1"/>
  <c r="O7" i="2"/>
  <c r="U18" i="3"/>
  <c r="O3" i="8" s="1"/>
  <c r="U23" i="3"/>
  <c r="O8" i="8" s="1"/>
  <c r="O8" i="2"/>
  <c r="U90" i="3"/>
  <c r="O5" i="18" s="1"/>
  <c r="U87" i="3"/>
  <c r="O2" i="18" s="1"/>
  <c r="U42" i="3"/>
  <c r="O6" i="11" s="1"/>
  <c r="U88" i="3"/>
  <c r="O3" i="18" s="1"/>
  <c r="U53" i="3"/>
  <c r="O3" i="13" s="1"/>
  <c r="U91" i="3"/>
  <c r="O6" i="18" s="1"/>
  <c r="U89" i="3"/>
  <c r="O4" i="18" s="1"/>
  <c r="U82" i="3"/>
  <c r="O4" i="17" s="1"/>
  <c r="U75" i="3"/>
  <c r="O4" i="16" s="1"/>
  <c r="U66" i="3"/>
  <c r="O2" i="15" s="1"/>
  <c r="U61" i="3"/>
  <c r="O4" i="14" s="1"/>
  <c r="U76" i="3"/>
  <c r="O5" i="16" s="1"/>
  <c r="U62" i="3"/>
  <c r="O5" i="14" s="1"/>
  <c r="U46" i="3"/>
  <c r="O3" i="12" s="1"/>
  <c r="U70" i="3"/>
  <c r="O6" i="15" s="1"/>
  <c r="U52" i="3"/>
  <c r="O2" i="13" s="1"/>
  <c r="U41" i="3"/>
  <c r="O5" i="11" s="1"/>
  <c r="U34" i="3"/>
  <c r="O5" i="10" s="1"/>
  <c r="U49" i="3"/>
  <c r="O6" i="12" s="1"/>
  <c r="U74" i="3"/>
  <c r="O3" i="16" s="1"/>
  <c r="U55" i="3"/>
  <c r="O5" i="13" s="1"/>
  <c r="U73" i="3"/>
  <c r="O2" i="16" s="1"/>
  <c r="U63" i="3"/>
  <c r="O6" i="14" s="1"/>
  <c r="U47" i="3"/>
  <c r="O4" i="12" s="1"/>
  <c r="U69" i="3"/>
  <c r="O5" i="15" s="1"/>
  <c r="U59" i="3"/>
  <c r="O2" i="14" s="1"/>
  <c r="U38" i="3"/>
  <c r="O2" i="11" s="1"/>
  <c r="U45" i="3"/>
  <c r="O2" i="12" s="1"/>
  <c r="U40" i="3"/>
  <c r="O4" i="11" s="1"/>
  <c r="U27" i="3"/>
  <c r="O5" i="9" s="1"/>
  <c r="U39" i="3"/>
  <c r="O3" i="11" s="1"/>
  <c r="U77" i="3"/>
  <c r="O6" i="16" s="1"/>
  <c r="U56" i="3"/>
  <c r="O6" i="13" s="1"/>
  <c r="U67" i="3"/>
  <c r="O3" i="15" s="1"/>
  <c r="U60" i="3"/>
  <c r="O3" i="14" s="1"/>
  <c r="U19" i="3"/>
  <c r="O4" i="8" s="1"/>
  <c r="U48" i="3"/>
  <c r="O5" i="12" s="1"/>
  <c r="U68" i="3"/>
  <c r="O4" i="15" s="1"/>
  <c r="U20" i="3"/>
  <c r="O5" i="8" s="1"/>
  <c r="U54" i="3"/>
  <c r="O4" i="13" s="1"/>
  <c r="U84" i="3"/>
  <c r="O6" i="17" s="1"/>
  <c r="U81" i="3"/>
  <c r="O3" i="17" s="1"/>
  <c r="U26" i="3"/>
  <c r="O4" i="9" s="1"/>
  <c r="U33" i="3"/>
  <c r="O4" i="10" s="1"/>
  <c r="U83" i="3"/>
  <c r="O5" i="17" s="1"/>
  <c r="U17" i="3"/>
  <c r="O2" i="8" s="1"/>
  <c r="U80" i="3"/>
  <c r="O2" i="17" s="1"/>
  <c r="U28" i="3"/>
  <c r="O6" i="9" s="1"/>
  <c r="V9" i="3"/>
  <c r="V80" i="3" s="1"/>
  <c r="P2" i="17" s="1"/>
  <c r="O1" i="18"/>
  <c r="O1" i="16"/>
  <c r="O1" i="14"/>
  <c r="O1" i="12"/>
  <c r="O1" i="10"/>
  <c r="O1" i="17"/>
  <c r="O1" i="15"/>
  <c r="O1" i="13"/>
  <c r="O1" i="11"/>
  <c r="O1" i="8"/>
  <c r="O1" i="2"/>
  <c r="O1" i="9"/>
  <c r="O4" i="2"/>
  <c r="O5" i="2"/>
  <c r="P2" i="2" l="1"/>
  <c r="V36" i="3"/>
  <c r="P7" i="10" s="1"/>
  <c r="V37" i="3"/>
  <c r="P8" i="10" s="1"/>
  <c r="V57" i="3"/>
  <c r="P7" i="13" s="1"/>
  <c r="V44" i="3"/>
  <c r="P8" i="11" s="1"/>
  <c r="V50" i="3"/>
  <c r="P7" i="12" s="1"/>
  <c r="V58" i="3"/>
  <c r="P8" i="13" s="1"/>
  <c r="V43" i="3"/>
  <c r="P7" i="11" s="1"/>
  <c r="V51" i="3"/>
  <c r="P8" i="12" s="1"/>
  <c r="V64" i="3"/>
  <c r="P7" i="14" s="1"/>
  <c r="V65" i="3"/>
  <c r="P8" i="14" s="1"/>
  <c r="V71" i="3"/>
  <c r="P7" i="15" s="1"/>
  <c r="V79" i="3"/>
  <c r="P8" i="16" s="1"/>
  <c r="V85" i="3"/>
  <c r="P7" i="17" s="1"/>
  <c r="V72" i="3"/>
  <c r="P8" i="15" s="1"/>
  <c r="V78" i="3"/>
  <c r="P7" i="16" s="1"/>
  <c r="V93" i="3"/>
  <c r="P8" i="18" s="1"/>
  <c r="V92" i="3"/>
  <c r="P7" i="18" s="1"/>
  <c r="V22" i="3"/>
  <c r="P7" i="8" s="1"/>
  <c r="V30" i="3"/>
  <c r="P8" i="9" s="1"/>
  <c r="V29" i="3"/>
  <c r="P7" i="9" s="1"/>
  <c r="V86" i="3"/>
  <c r="P8" i="17" s="1"/>
  <c r="P7" i="2"/>
  <c r="V18" i="3"/>
  <c r="P3" i="8" s="1"/>
  <c r="P8" i="2"/>
  <c r="V23" i="3"/>
  <c r="P8" i="8" s="1"/>
  <c r="V88" i="3"/>
  <c r="P3" i="18" s="1"/>
  <c r="V90" i="3"/>
  <c r="P5" i="18" s="1"/>
  <c r="V42" i="3"/>
  <c r="P6" i="11" s="1"/>
  <c r="V87" i="3"/>
  <c r="P2" i="18" s="1"/>
  <c r="V91" i="3"/>
  <c r="P6" i="18" s="1"/>
  <c r="V53" i="3"/>
  <c r="P3" i="13" s="1"/>
  <c r="V89" i="3"/>
  <c r="P4" i="18" s="1"/>
  <c r="V52" i="3"/>
  <c r="P2" i="13" s="1"/>
  <c r="V75" i="3"/>
  <c r="P4" i="16" s="1"/>
  <c r="V66" i="3"/>
  <c r="P2" i="15" s="1"/>
  <c r="V76" i="3"/>
  <c r="P5" i="16" s="1"/>
  <c r="V46" i="3"/>
  <c r="P3" i="12" s="1"/>
  <c r="V41" i="3"/>
  <c r="P5" i="11" s="1"/>
  <c r="V70" i="3"/>
  <c r="P6" i="15" s="1"/>
  <c r="V61" i="3"/>
  <c r="P4" i="14" s="1"/>
  <c r="V62" i="3"/>
  <c r="P5" i="14" s="1"/>
  <c r="V82" i="3"/>
  <c r="P4" i="17" s="1"/>
  <c r="V47" i="3"/>
  <c r="P4" i="12" s="1"/>
  <c r="V67" i="3"/>
  <c r="P3" i="15" s="1"/>
  <c r="V60" i="3"/>
  <c r="P3" i="14" s="1"/>
  <c r="V77" i="3"/>
  <c r="P6" i="16" s="1"/>
  <c r="V73" i="3"/>
  <c r="P2" i="16" s="1"/>
  <c r="V56" i="3"/>
  <c r="P6" i="13" s="1"/>
  <c r="V34" i="3"/>
  <c r="P5" i="10" s="1"/>
  <c r="V49" i="3"/>
  <c r="P6" i="12" s="1"/>
  <c r="V45" i="3"/>
  <c r="P2" i="12" s="1"/>
  <c r="V74" i="3"/>
  <c r="P3" i="16" s="1"/>
  <c r="V63" i="3"/>
  <c r="P6" i="14" s="1"/>
  <c r="V40" i="3"/>
  <c r="P4" i="11" s="1"/>
  <c r="V69" i="3"/>
  <c r="P5" i="15" s="1"/>
  <c r="V39" i="3"/>
  <c r="P3" i="11" s="1"/>
  <c r="V59" i="3"/>
  <c r="P2" i="14" s="1"/>
  <c r="V54" i="3"/>
  <c r="P4" i="13" s="1"/>
  <c r="V38" i="3"/>
  <c r="P2" i="11" s="1"/>
  <c r="V55" i="3"/>
  <c r="P5" i="13" s="1"/>
  <c r="V27" i="3"/>
  <c r="P5" i="9" s="1"/>
  <c r="V19" i="3"/>
  <c r="P4" i="8" s="1"/>
  <c r="V48" i="3"/>
  <c r="P5" i="12" s="1"/>
  <c r="V68" i="3"/>
  <c r="P4" i="15" s="1"/>
  <c r="V20" i="3"/>
  <c r="P5" i="8" s="1"/>
  <c r="V33" i="3"/>
  <c r="P4" i="10" s="1"/>
  <c r="V81" i="3"/>
  <c r="P3" i="17" s="1"/>
  <c r="V84" i="3"/>
  <c r="P6" i="17" s="1"/>
  <c r="V26" i="3"/>
  <c r="P4" i="9" s="1"/>
  <c r="V83" i="3"/>
  <c r="P5" i="17" s="1"/>
  <c r="V17" i="3"/>
  <c r="P2" i="8" s="1"/>
  <c r="V28" i="3"/>
  <c r="P6" i="9" s="1"/>
  <c r="V21" i="3"/>
  <c r="P6" i="8" s="1"/>
  <c r="V24" i="3"/>
  <c r="P2" i="9" s="1"/>
  <c r="V31" i="3"/>
  <c r="P2" i="10" s="1"/>
  <c r="V25" i="3"/>
  <c r="P3" i="9" s="1"/>
  <c r="V32" i="3"/>
  <c r="P3" i="10" s="1"/>
  <c r="V35" i="3"/>
  <c r="P6" i="10" s="1"/>
  <c r="W9" i="3"/>
  <c r="P1" i="18"/>
  <c r="P1" i="16"/>
  <c r="P1" i="14"/>
  <c r="P1" i="12"/>
  <c r="P1" i="10"/>
  <c r="P1" i="15"/>
  <c r="P1" i="9"/>
  <c r="P1" i="13"/>
  <c r="P1" i="8"/>
  <c r="P1" i="17"/>
  <c r="P1" i="2"/>
  <c r="P1" i="11"/>
  <c r="P4" i="2"/>
  <c r="P5" i="2"/>
  <c r="P3" i="2"/>
  <c r="Q2" i="2" l="1"/>
  <c r="Q3" i="2"/>
  <c r="W36" i="3"/>
  <c r="Q7" i="10" s="1"/>
  <c r="W37" i="3"/>
  <c r="Q8" i="10" s="1"/>
  <c r="W21" i="3"/>
  <c r="Q6" i="8" s="1"/>
  <c r="W31" i="3"/>
  <c r="Q2" i="10" s="1"/>
  <c r="W17" i="3"/>
  <c r="Q2" i="8" s="1"/>
  <c r="W25" i="3"/>
  <c r="Q3" i="9" s="1"/>
  <c r="W28" i="3"/>
  <c r="Q6" i="9" s="1"/>
  <c r="W24" i="3"/>
  <c r="Q2" i="9" s="1"/>
  <c r="W32" i="3"/>
  <c r="Q3" i="10" s="1"/>
  <c r="W43" i="3"/>
  <c r="Q7" i="11" s="1"/>
  <c r="W51" i="3"/>
  <c r="Q8" i="12" s="1"/>
  <c r="W57" i="3"/>
  <c r="Q7" i="13" s="1"/>
  <c r="W44" i="3"/>
  <c r="Q8" i="11" s="1"/>
  <c r="W50" i="3"/>
  <c r="Q7" i="12" s="1"/>
  <c r="W58" i="3"/>
  <c r="Q8" i="13" s="1"/>
  <c r="W72" i="3"/>
  <c r="Q8" i="15" s="1"/>
  <c r="W78" i="3"/>
  <c r="Q7" i="16" s="1"/>
  <c r="W64" i="3"/>
  <c r="Q7" i="14" s="1"/>
  <c r="W65" i="3"/>
  <c r="Q8" i="14" s="1"/>
  <c r="W71" i="3"/>
  <c r="Q7" i="15" s="1"/>
  <c r="W79" i="3"/>
  <c r="Q8" i="16" s="1"/>
  <c r="W85" i="3"/>
  <c r="Q7" i="17" s="1"/>
  <c r="W86" i="3"/>
  <c r="Q8" i="17" s="1"/>
  <c r="W93" i="3"/>
  <c r="Q8" i="18" s="1"/>
  <c r="W92" i="3"/>
  <c r="Q7" i="18" s="1"/>
  <c r="W22" i="3"/>
  <c r="Q7" i="8" s="1"/>
  <c r="W30" i="3"/>
  <c r="Q8" i="9" s="1"/>
  <c r="W29" i="3"/>
  <c r="Q7" i="9" s="1"/>
  <c r="Q7" i="2"/>
  <c r="W18" i="3"/>
  <c r="Q3" i="8" s="1"/>
  <c r="Q8" i="2"/>
  <c r="W23" i="3"/>
  <c r="Q8" i="8" s="1"/>
  <c r="W90" i="3"/>
  <c r="Q5" i="18" s="1"/>
  <c r="W87" i="3"/>
  <c r="Q2" i="18" s="1"/>
  <c r="W53" i="3"/>
  <c r="Q3" i="13" s="1"/>
  <c r="W88" i="3"/>
  <c r="Q3" i="18" s="1"/>
  <c r="W91" i="3"/>
  <c r="Q6" i="18" s="1"/>
  <c r="W89" i="3"/>
  <c r="Q4" i="18" s="1"/>
  <c r="W42" i="3"/>
  <c r="Q6" i="11" s="1"/>
  <c r="W52" i="3"/>
  <c r="Q2" i="13" s="1"/>
  <c r="W82" i="3"/>
  <c r="Q4" i="17" s="1"/>
  <c r="W66" i="3"/>
  <c r="Q2" i="15" s="1"/>
  <c r="W76" i="3"/>
  <c r="Q5" i="16" s="1"/>
  <c r="W61" i="3"/>
  <c r="Q4" i="14" s="1"/>
  <c r="W46" i="3"/>
  <c r="Q3" i="12" s="1"/>
  <c r="W62" i="3"/>
  <c r="Q5" i="14" s="1"/>
  <c r="W41" i="3"/>
  <c r="Q5" i="11" s="1"/>
  <c r="W75" i="3"/>
  <c r="Q4" i="16" s="1"/>
  <c r="W70" i="3"/>
  <c r="Q6" i="15" s="1"/>
  <c r="W56" i="3"/>
  <c r="Q6" i="13" s="1"/>
  <c r="W67" i="3"/>
  <c r="Q3" i="15" s="1"/>
  <c r="W60" i="3"/>
  <c r="Q3" i="14" s="1"/>
  <c r="W19" i="3"/>
  <c r="Q4" i="8" s="1"/>
  <c r="W39" i="3"/>
  <c r="Q3" i="11" s="1"/>
  <c r="W63" i="3"/>
  <c r="Q6" i="14" s="1"/>
  <c r="W38" i="3"/>
  <c r="Q2" i="11" s="1"/>
  <c r="W34" i="3"/>
  <c r="Q5" i="10" s="1"/>
  <c r="W49" i="3"/>
  <c r="Q6" i="12" s="1"/>
  <c r="W40" i="3"/>
  <c r="Q4" i="11" s="1"/>
  <c r="W47" i="3"/>
  <c r="Q4" i="12" s="1"/>
  <c r="W69" i="3"/>
  <c r="Q5" i="15" s="1"/>
  <c r="W48" i="3"/>
  <c r="Q5" i="12" s="1"/>
  <c r="W73" i="3"/>
  <c r="Q2" i="16" s="1"/>
  <c r="W59" i="3"/>
  <c r="Q2" i="14" s="1"/>
  <c r="W45" i="3"/>
  <c r="Q2" i="12" s="1"/>
  <c r="W74" i="3"/>
  <c r="Q3" i="16" s="1"/>
  <c r="W55" i="3"/>
  <c r="Q5" i="13" s="1"/>
  <c r="W27" i="3"/>
  <c r="Q5" i="9" s="1"/>
  <c r="W77" i="3"/>
  <c r="Q6" i="16" s="1"/>
  <c r="W68" i="3"/>
  <c r="Q4" i="15" s="1"/>
  <c r="W54" i="3"/>
  <c r="Q4" i="13" s="1"/>
  <c r="W20" i="3"/>
  <c r="Q5" i="8" s="1"/>
  <c r="W81" i="3"/>
  <c r="Q3" i="17" s="1"/>
  <c r="W84" i="3"/>
  <c r="Q6" i="17" s="1"/>
  <c r="W33" i="3"/>
  <c r="Q4" i="10" s="1"/>
  <c r="W26" i="3"/>
  <c r="Q4" i="9" s="1"/>
  <c r="W83" i="3"/>
  <c r="Q5" i="17" s="1"/>
  <c r="W80" i="3"/>
  <c r="Q2" i="17" s="1"/>
  <c r="W35" i="3"/>
  <c r="Q6" i="10" s="1"/>
  <c r="X9" i="3"/>
  <c r="Q1" i="17"/>
  <c r="Q1" i="15"/>
  <c r="Q1" i="13"/>
  <c r="Q1" i="11"/>
  <c r="Q1" i="9"/>
  <c r="Q1" i="18"/>
  <c r="Q1" i="16"/>
  <c r="Q1" i="14"/>
  <c r="Q1" i="12"/>
  <c r="Q1" i="10"/>
  <c r="Q1" i="2"/>
  <c r="Q1" i="8"/>
  <c r="Q4" i="2"/>
  <c r="Q5" i="2"/>
  <c r="R2" i="2" l="1"/>
  <c r="X31" i="3"/>
  <c r="R2" i="10" s="1"/>
  <c r="X36" i="3"/>
  <c r="R7" i="10" s="1"/>
  <c r="X37" i="3"/>
  <c r="R8" i="10" s="1"/>
  <c r="X21" i="3"/>
  <c r="R6" i="8" s="1"/>
  <c r="X58" i="3"/>
  <c r="R8" i="13" s="1"/>
  <c r="X43" i="3"/>
  <c r="R7" i="11" s="1"/>
  <c r="X51" i="3"/>
  <c r="R8" i="12" s="1"/>
  <c r="X57" i="3"/>
  <c r="R7" i="13" s="1"/>
  <c r="X44" i="3"/>
  <c r="R8" i="11" s="1"/>
  <c r="X50" i="3"/>
  <c r="R7" i="12" s="1"/>
  <c r="X85" i="3"/>
  <c r="R7" i="17" s="1"/>
  <c r="X72" i="3"/>
  <c r="R8" i="15" s="1"/>
  <c r="X78" i="3"/>
  <c r="R7" i="16" s="1"/>
  <c r="X64" i="3"/>
  <c r="R7" i="14" s="1"/>
  <c r="X65" i="3"/>
  <c r="R8" i="14" s="1"/>
  <c r="X71" i="3"/>
  <c r="R7" i="15" s="1"/>
  <c r="X79" i="3"/>
  <c r="R8" i="16" s="1"/>
  <c r="X92" i="3"/>
  <c r="R7" i="18" s="1"/>
  <c r="X93" i="3"/>
  <c r="R8" i="18" s="1"/>
  <c r="X22" i="3"/>
  <c r="R7" i="8" s="1"/>
  <c r="X30" i="3"/>
  <c r="R8" i="9" s="1"/>
  <c r="X86" i="3"/>
  <c r="R8" i="17" s="1"/>
  <c r="X29" i="3"/>
  <c r="R7" i="9" s="1"/>
  <c r="R7" i="2"/>
  <c r="X18" i="3"/>
  <c r="R3" i="8" s="1"/>
  <c r="X23" i="3"/>
  <c r="R8" i="8" s="1"/>
  <c r="R8" i="2"/>
  <c r="X90" i="3"/>
  <c r="R5" i="18" s="1"/>
  <c r="X88" i="3"/>
  <c r="R3" i="18" s="1"/>
  <c r="X52" i="3"/>
  <c r="R2" i="13" s="1"/>
  <c r="X53" i="3"/>
  <c r="R3" i="13" s="1"/>
  <c r="X42" i="3"/>
  <c r="R6" i="11" s="1"/>
  <c r="X91" i="3"/>
  <c r="R6" i="18" s="1"/>
  <c r="X89" i="3"/>
  <c r="R4" i="18" s="1"/>
  <c r="X87" i="3"/>
  <c r="R2" i="18" s="1"/>
  <c r="X66" i="3"/>
  <c r="R2" i="15" s="1"/>
  <c r="X76" i="3"/>
  <c r="R5" i="16" s="1"/>
  <c r="X46" i="3"/>
  <c r="R3" i="12" s="1"/>
  <c r="X82" i="3"/>
  <c r="R4" i="17" s="1"/>
  <c r="X61" i="3"/>
  <c r="R4" i="14" s="1"/>
  <c r="X75" i="3"/>
  <c r="R4" i="16" s="1"/>
  <c r="X62" i="3"/>
  <c r="R5" i="14" s="1"/>
  <c r="X41" i="3"/>
  <c r="R5" i="11" s="1"/>
  <c r="X70" i="3"/>
  <c r="R6" i="15" s="1"/>
  <c r="X34" i="3"/>
  <c r="R5" i="10" s="1"/>
  <c r="X49" i="3"/>
  <c r="R6" i="12" s="1"/>
  <c r="X60" i="3"/>
  <c r="R3" i="14" s="1"/>
  <c r="X55" i="3"/>
  <c r="R5" i="13" s="1"/>
  <c r="X27" i="3"/>
  <c r="R5" i="9" s="1"/>
  <c r="X39" i="3"/>
  <c r="R3" i="11" s="1"/>
  <c r="X63" i="3"/>
  <c r="R6" i="14" s="1"/>
  <c r="X54" i="3"/>
  <c r="R4" i="13" s="1"/>
  <c r="X38" i="3"/>
  <c r="R2" i="11" s="1"/>
  <c r="X67" i="3"/>
  <c r="R3" i="15" s="1"/>
  <c r="X45" i="3"/>
  <c r="R2" i="12" s="1"/>
  <c r="X19" i="3"/>
  <c r="R4" i="8" s="1"/>
  <c r="X77" i="3"/>
  <c r="R6" i="16" s="1"/>
  <c r="X48" i="3"/>
  <c r="R5" i="12" s="1"/>
  <c r="X73" i="3"/>
  <c r="R2" i="16" s="1"/>
  <c r="X59" i="3"/>
  <c r="R2" i="14" s="1"/>
  <c r="X56" i="3"/>
  <c r="R6" i="13" s="1"/>
  <c r="X47" i="3"/>
  <c r="R4" i="12" s="1"/>
  <c r="X40" i="3"/>
  <c r="R4" i="11" s="1"/>
  <c r="X74" i="3"/>
  <c r="R3" i="16" s="1"/>
  <c r="X69" i="3"/>
  <c r="R5" i="15" s="1"/>
  <c r="X68" i="3"/>
  <c r="R4" i="15" s="1"/>
  <c r="X20" i="3"/>
  <c r="R5" i="8" s="1"/>
  <c r="X84" i="3"/>
  <c r="R6" i="17" s="1"/>
  <c r="X81" i="3"/>
  <c r="R3" i="17" s="1"/>
  <c r="X33" i="3"/>
  <c r="R4" i="10" s="1"/>
  <c r="X26" i="3"/>
  <c r="R4" i="9" s="1"/>
  <c r="X83" i="3"/>
  <c r="R5" i="17" s="1"/>
  <c r="X35" i="3"/>
  <c r="R6" i="10" s="1"/>
  <c r="X28" i="3"/>
  <c r="R6" i="9" s="1"/>
  <c r="X80" i="3"/>
  <c r="R2" i="17" s="1"/>
  <c r="X17" i="3"/>
  <c r="R2" i="8" s="1"/>
  <c r="X25" i="3"/>
  <c r="R3" i="9" s="1"/>
  <c r="X24" i="3"/>
  <c r="R2" i="9" s="1"/>
  <c r="X32" i="3"/>
  <c r="R3" i="10" s="1"/>
  <c r="Y9" i="3"/>
  <c r="R1" i="17"/>
  <c r="R1" i="15"/>
  <c r="R1" i="13"/>
  <c r="R1" i="11"/>
  <c r="R1" i="9"/>
  <c r="R1" i="16"/>
  <c r="R1" i="14"/>
  <c r="R1" i="2"/>
  <c r="R1" i="8"/>
  <c r="R1" i="12"/>
  <c r="R1" i="18"/>
  <c r="R1" i="10"/>
  <c r="R4" i="2"/>
  <c r="R5" i="2"/>
  <c r="R3" i="2"/>
  <c r="S2" i="2" l="1"/>
  <c r="S3" i="2"/>
  <c r="Y36" i="3"/>
  <c r="S7" i="10" s="1"/>
  <c r="Y37" i="3"/>
  <c r="S8" i="10" s="1"/>
  <c r="Y44" i="3"/>
  <c r="S8" i="11" s="1"/>
  <c r="Y50" i="3"/>
  <c r="S7" i="12" s="1"/>
  <c r="Y58" i="3"/>
  <c r="S8" i="13" s="1"/>
  <c r="Y64" i="3"/>
  <c r="S7" i="14" s="1"/>
  <c r="Y43" i="3"/>
  <c r="S7" i="11" s="1"/>
  <c r="Y51" i="3"/>
  <c r="S8" i="12" s="1"/>
  <c r="Y57" i="3"/>
  <c r="S7" i="13" s="1"/>
  <c r="Y65" i="3"/>
  <c r="S8" i="14" s="1"/>
  <c r="Y71" i="3"/>
  <c r="S7" i="15" s="1"/>
  <c r="Y79" i="3"/>
  <c r="S8" i="16" s="1"/>
  <c r="Y85" i="3"/>
  <c r="S7" i="17" s="1"/>
  <c r="Y72" i="3"/>
  <c r="S8" i="15" s="1"/>
  <c r="Y78" i="3"/>
  <c r="S7" i="16" s="1"/>
  <c r="Y92" i="3"/>
  <c r="S7" i="18" s="1"/>
  <c r="Y93" i="3"/>
  <c r="S8" i="18" s="1"/>
  <c r="Y30" i="3"/>
  <c r="S8" i="9" s="1"/>
  <c r="Y86" i="3"/>
  <c r="S8" i="17" s="1"/>
  <c r="Y29" i="3"/>
  <c r="S7" i="9" s="1"/>
  <c r="Y22" i="3"/>
  <c r="S7" i="8" s="1"/>
  <c r="S7" i="2"/>
  <c r="Y18" i="3"/>
  <c r="S3" i="8" s="1"/>
  <c r="S8" i="2"/>
  <c r="Y23" i="3"/>
  <c r="S8" i="8" s="1"/>
  <c r="Y91" i="3"/>
  <c r="S6" i="18" s="1"/>
  <c r="Y89" i="3"/>
  <c r="S4" i="18" s="1"/>
  <c r="Y90" i="3"/>
  <c r="S5" i="18" s="1"/>
  <c r="Y42" i="3"/>
  <c r="S6" i="11" s="1"/>
  <c r="Y87" i="3"/>
  <c r="S2" i="18" s="1"/>
  <c r="Y53" i="3"/>
  <c r="S3" i="13" s="1"/>
  <c r="Y88" i="3"/>
  <c r="S3" i="18" s="1"/>
  <c r="Y41" i="3"/>
  <c r="S5" i="11" s="1"/>
  <c r="Y82" i="3"/>
  <c r="S4" i="17" s="1"/>
  <c r="Y75" i="3"/>
  <c r="S4" i="16" s="1"/>
  <c r="Y66" i="3"/>
  <c r="S2" i="15" s="1"/>
  <c r="Y70" i="3"/>
  <c r="S6" i="15" s="1"/>
  <c r="Y61" i="3"/>
  <c r="S4" i="14" s="1"/>
  <c r="Y52" i="3"/>
  <c r="S2" i="13" s="1"/>
  <c r="Y76" i="3"/>
  <c r="S5" i="16" s="1"/>
  <c r="Y62" i="3"/>
  <c r="S5" i="14" s="1"/>
  <c r="Y46" i="3"/>
  <c r="S3" i="12" s="1"/>
  <c r="Y67" i="3"/>
  <c r="S3" i="15" s="1"/>
  <c r="Y49" i="3"/>
  <c r="S6" i="12" s="1"/>
  <c r="Y60" i="3"/>
  <c r="S3" i="14" s="1"/>
  <c r="Y19" i="3"/>
  <c r="S4" i="8" s="1"/>
  <c r="Y48" i="3"/>
  <c r="S5" i="12" s="1"/>
  <c r="Y68" i="3"/>
  <c r="S4" i="15" s="1"/>
  <c r="Y34" i="3"/>
  <c r="S5" i="10" s="1"/>
  <c r="Y74" i="3"/>
  <c r="S3" i="16" s="1"/>
  <c r="Y55" i="3"/>
  <c r="S5" i="13" s="1"/>
  <c r="Y73" i="3"/>
  <c r="S2" i="16" s="1"/>
  <c r="Y63" i="3"/>
  <c r="S6" i="14" s="1"/>
  <c r="Y54" i="3"/>
  <c r="S4" i="13" s="1"/>
  <c r="Y47" i="3"/>
  <c r="S4" i="12" s="1"/>
  <c r="Y69" i="3"/>
  <c r="S5" i="15" s="1"/>
  <c r="Y39" i="3"/>
  <c r="S3" i="11" s="1"/>
  <c r="Y59" i="3"/>
  <c r="S2" i="14" s="1"/>
  <c r="Y56" i="3"/>
  <c r="S6" i="13" s="1"/>
  <c r="Y38" i="3"/>
  <c r="S2" i="11" s="1"/>
  <c r="Y45" i="3"/>
  <c r="S2" i="12" s="1"/>
  <c r="Y40" i="3"/>
  <c r="S4" i="11" s="1"/>
  <c r="Y27" i="3"/>
  <c r="S5" i="9" s="1"/>
  <c r="Y77" i="3"/>
  <c r="S6" i="16" s="1"/>
  <c r="Y20" i="3"/>
  <c r="S5" i="8" s="1"/>
  <c r="Y33" i="3"/>
  <c r="S4" i="10" s="1"/>
  <c r="Y83" i="3"/>
  <c r="S5" i="17" s="1"/>
  <c r="Y84" i="3"/>
  <c r="S6" i="17" s="1"/>
  <c r="Y81" i="3"/>
  <c r="S3" i="17" s="1"/>
  <c r="Y26" i="3"/>
  <c r="S4" i="9" s="1"/>
  <c r="Y35" i="3"/>
  <c r="S6" i="10" s="1"/>
  <c r="Y80" i="3"/>
  <c r="S2" i="17" s="1"/>
  <c r="Y25" i="3"/>
  <c r="S3" i="9" s="1"/>
  <c r="Y28" i="3"/>
  <c r="S6" i="9" s="1"/>
  <c r="Y32" i="3"/>
  <c r="S3" i="10" s="1"/>
  <c r="Y24" i="3"/>
  <c r="S2" i="9" s="1"/>
  <c r="Y31" i="3"/>
  <c r="S2" i="10" s="1"/>
  <c r="Y21" i="3"/>
  <c r="S6" i="8" s="1"/>
  <c r="Y17" i="3"/>
  <c r="S2" i="8" s="1"/>
  <c r="Z9" i="3"/>
  <c r="T2" i="2" s="1"/>
  <c r="S1" i="18"/>
  <c r="S1" i="16"/>
  <c r="S1" i="14"/>
  <c r="S1" i="12"/>
  <c r="S1" i="10"/>
  <c r="S1" i="17"/>
  <c r="S1" i="15"/>
  <c r="S1" i="13"/>
  <c r="S1" i="11"/>
  <c r="S1" i="8"/>
  <c r="S1" i="9"/>
  <c r="S1" i="2"/>
  <c r="S4" i="2"/>
  <c r="S5" i="2"/>
  <c r="Z21" i="3" l="1"/>
  <c r="T6" i="8" s="1"/>
  <c r="Z36" i="3"/>
  <c r="T7" i="10" s="1"/>
  <c r="Z37" i="3"/>
  <c r="T8" i="10" s="1"/>
  <c r="Z57" i="3"/>
  <c r="T7" i="13" s="1"/>
  <c r="Z44" i="3"/>
  <c r="T8" i="11" s="1"/>
  <c r="Z50" i="3"/>
  <c r="T7" i="12" s="1"/>
  <c r="Z58" i="3"/>
  <c r="T8" i="13" s="1"/>
  <c r="Z43" i="3"/>
  <c r="T7" i="11" s="1"/>
  <c r="Z51" i="3"/>
  <c r="T8" i="12" s="1"/>
  <c r="Z65" i="3"/>
  <c r="T8" i="14" s="1"/>
  <c r="Z71" i="3"/>
  <c r="T7" i="15" s="1"/>
  <c r="Z79" i="3"/>
  <c r="T8" i="16" s="1"/>
  <c r="Z85" i="3"/>
  <c r="T7" i="17" s="1"/>
  <c r="Z64" i="3"/>
  <c r="T7" i="14" s="1"/>
  <c r="Z72" i="3"/>
  <c r="T8" i="15" s="1"/>
  <c r="Z78" i="3"/>
  <c r="T7" i="16" s="1"/>
  <c r="Z93" i="3"/>
  <c r="T8" i="18" s="1"/>
  <c r="Z92" i="3"/>
  <c r="T7" i="18" s="1"/>
  <c r="Z30" i="3"/>
  <c r="T8" i="9" s="1"/>
  <c r="Z29" i="3"/>
  <c r="T7" i="9" s="1"/>
  <c r="Z22" i="3"/>
  <c r="T7" i="8" s="1"/>
  <c r="Z86" i="3"/>
  <c r="T8" i="17" s="1"/>
  <c r="T7" i="2"/>
  <c r="Z18" i="3"/>
  <c r="T3" i="8" s="1"/>
  <c r="Z23" i="3"/>
  <c r="T8" i="8" s="1"/>
  <c r="T8" i="2"/>
  <c r="Z91" i="3"/>
  <c r="T6" i="18" s="1"/>
  <c r="Z53" i="3"/>
  <c r="T3" i="13" s="1"/>
  <c r="Z89" i="3"/>
  <c r="T4" i="18" s="1"/>
  <c r="Z90" i="3"/>
  <c r="T5" i="18" s="1"/>
  <c r="Z88" i="3"/>
  <c r="T3" i="18" s="1"/>
  <c r="Z42" i="3"/>
  <c r="T6" i="11" s="1"/>
  <c r="Z87" i="3"/>
  <c r="T2" i="18" s="1"/>
  <c r="Z62" i="3"/>
  <c r="T5" i="14" s="1"/>
  <c r="Z46" i="3"/>
  <c r="T3" i="12" s="1"/>
  <c r="Z41" i="3"/>
  <c r="T5" i="11" s="1"/>
  <c r="Z82" i="3"/>
  <c r="T4" i="17" s="1"/>
  <c r="Z66" i="3"/>
  <c r="T2" i="15" s="1"/>
  <c r="Z75" i="3"/>
  <c r="T4" i="16" s="1"/>
  <c r="Z52" i="3"/>
  <c r="T2" i="13" s="1"/>
  <c r="Z76" i="3"/>
  <c r="T5" i="16" s="1"/>
  <c r="Z70" i="3"/>
  <c r="T6" i="15" s="1"/>
  <c r="Z61" i="3"/>
  <c r="T4" i="14" s="1"/>
  <c r="Z38" i="3"/>
  <c r="T2" i="11" s="1"/>
  <c r="Z55" i="3"/>
  <c r="T5" i="13" s="1"/>
  <c r="Z27" i="3"/>
  <c r="T5" i="9" s="1"/>
  <c r="Z19" i="3"/>
  <c r="T4" i="8" s="1"/>
  <c r="Z47" i="3"/>
  <c r="T4" i="12" s="1"/>
  <c r="Z67" i="3"/>
  <c r="T3" i="15" s="1"/>
  <c r="Z60" i="3"/>
  <c r="T3" i="14" s="1"/>
  <c r="Z48" i="3"/>
  <c r="T5" i="12" s="1"/>
  <c r="Z77" i="3"/>
  <c r="T6" i="16" s="1"/>
  <c r="Z73" i="3"/>
  <c r="T2" i="16" s="1"/>
  <c r="Z56" i="3"/>
  <c r="T6" i="13" s="1"/>
  <c r="Z34" i="3"/>
  <c r="T5" i="10" s="1"/>
  <c r="Z49" i="3"/>
  <c r="T6" i="12" s="1"/>
  <c r="Z45" i="3"/>
  <c r="T2" i="12" s="1"/>
  <c r="Z74" i="3"/>
  <c r="T3" i="16" s="1"/>
  <c r="Z68" i="3"/>
  <c r="T4" i="15" s="1"/>
  <c r="Z63" i="3"/>
  <c r="T6" i="14" s="1"/>
  <c r="Z40" i="3"/>
  <c r="T4" i="11" s="1"/>
  <c r="Z69" i="3"/>
  <c r="T5" i="15" s="1"/>
  <c r="Z39" i="3"/>
  <c r="T3" i="11" s="1"/>
  <c r="Z59" i="3"/>
  <c r="T2" i="14" s="1"/>
  <c r="Z54" i="3"/>
  <c r="T4" i="13" s="1"/>
  <c r="Z20" i="3"/>
  <c r="T5" i="8" s="1"/>
  <c r="Z33" i="3"/>
  <c r="T4" i="10" s="1"/>
  <c r="Z26" i="3"/>
  <c r="T4" i="9" s="1"/>
  <c r="Z83" i="3"/>
  <c r="T5" i="17" s="1"/>
  <c r="Z81" i="3"/>
  <c r="T3" i="17" s="1"/>
  <c r="Z84" i="3"/>
  <c r="T6" i="17" s="1"/>
  <c r="Z35" i="3"/>
  <c r="T6" i="10" s="1"/>
  <c r="Z32" i="3"/>
  <c r="T3" i="10" s="1"/>
  <c r="Z24" i="3"/>
  <c r="T2" i="9" s="1"/>
  <c r="Z28" i="3"/>
  <c r="T6" i="9" s="1"/>
  <c r="Z31" i="3"/>
  <c r="T2" i="10" s="1"/>
  <c r="Z17" i="3"/>
  <c r="T2" i="8" s="1"/>
  <c r="Z80" i="3"/>
  <c r="T2" i="17" s="1"/>
  <c r="Z25" i="3"/>
  <c r="T3" i="9" s="1"/>
  <c r="AA9" i="3"/>
  <c r="U2" i="2" s="1"/>
  <c r="T1" i="18"/>
  <c r="T1" i="16"/>
  <c r="T1" i="14"/>
  <c r="T1" i="12"/>
  <c r="T1" i="10"/>
  <c r="T1" i="17"/>
  <c r="T1" i="15"/>
  <c r="T1" i="8"/>
  <c r="T1" i="13"/>
  <c r="T1" i="9"/>
  <c r="T1" i="11"/>
  <c r="T1" i="2"/>
  <c r="T4" i="2"/>
  <c r="T5" i="2"/>
  <c r="T3" i="2"/>
  <c r="U3" i="2" l="1"/>
  <c r="AA36" i="3"/>
  <c r="U7" i="10" s="1"/>
  <c r="AA37" i="3"/>
  <c r="U8" i="10" s="1"/>
  <c r="AA43" i="3"/>
  <c r="U7" i="11" s="1"/>
  <c r="AA51" i="3"/>
  <c r="U8" i="12" s="1"/>
  <c r="AA57" i="3"/>
  <c r="U7" i="13" s="1"/>
  <c r="AA44" i="3"/>
  <c r="U8" i="11" s="1"/>
  <c r="AA50" i="3"/>
  <c r="U7" i="12" s="1"/>
  <c r="AA58" i="3"/>
  <c r="U8" i="13" s="1"/>
  <c r="AA64" i="3"/>
  <c r="U7" i="14" s="1"/>
  <c r="AA72" i="3"/>
  <c r="U8" i="15" s="1"/>
  <c r="AA78" i="3"/>
  <c r="U7" i="16" s="1"/>
  <c r="AA65" i="3"/>
  <c r="U8" i="14" s="1"/>
  <c r="AA71" i="3"/>
  <c r="U7" i="15" s="1"/>
  <c r="AA79" i="3"/>
  <c r="U8" i="16" s="1"/>
  <c r="AA85" i="3"/>
  <c r="U7" i="17" s="1"/>
  <c r="AA86" i="3"/>
  <c r="U8" i="17" s="1"/>
  <c r="AA93" i="3"/>
  <c r="U8" i="18" s="1"/>
  <c r="AA92" i="3"/>
  <c r="U7" i="18" s="1"/>
  <c r="AA22" i="3"/>
  <c r="U7" i="8" s="1"/>
  <c r="AA29" i="3"/>
  <c r="U7" i="9" s="1"/>
  <c r="AA30" i="3"/>
  <c r="U8" i="9" s="1"/>
  <c r="U7" i="2"/>
  <c r="AA18" i="3"/>
  <c r="U3" i="8" s="1"/>
  <c r="U8" i="2"/>
  <c r="AA23" i="3"/>
  <c r="U8" i="8" s="1"/>
  <c r="AA91" i="3"/>
  <c r="U6" i="18" s="1"/>
  <c r="AA89" i="3"/>
  <c r="U4" i="18" s="1"/>
  <c r="AA42" i="3"/>
  <c r="U6" i="11" s="1"/>
  <c r="AA88" i="3"/>
  <c r="U3" i="18" s="1"/>
  <c r="AA87" i="3"/>
  <c r="U2" i="18" s="1"/>
  <c r="AA90" i="3"/>
  <c r="U5" i="18" s="1"/>
  <c r="AA53" i="3"/>
  <c r="U3" i="13" s="1"/>
  <c r="AA62" i="3"/>
  <c r="U5" i="14" s="1"/>
  <c r="AA41" i="3"/>
  <c r="U5" i="11" s="1"/>
  <c r="AA75" i="3"/>
  <c r="U4" i="16" s="1"/>
  <c r="AA70" i="3"/>
  <c r="U6" i="15" s="1"/>
  <c r="AA66" i="3"/>
  <c r="U2" i="15" s="1"/>
  <c r="AA52" i="3"/>
  <c r="U2" i="13" s="1"/>
  <c r="AA76" i="3"/>
  <c r="U5" i="16" s="1"/>
  <c r="AA61" i="3"/>
  <c r="U4" i="14" s="1"/>
  <c r="AA46" i="3"/>
  <c r="U3" i="12" s="1"/>
  <c r="AA82" i="3"/>
  <c r="U4" i="17" s="1"/>
  <c r="AA45" i="3"/>
  <c r="U2" i="12" s="1"/>
  <c r="AA74" i="3"/>
  <c r="U3" i="16" s="1"/>
  <c r="AA55" i="3"/>
  <c r="U5" i="13" s="1"/>
  <c r="AA27" i="3"/>
  <c r="U5" i="9" s="1"/>
  <c r="AA48" i="3"/>
  <c r="U5" i="12" s="1"/>
  <c r="AA77" i="3"/>
  <c r="U6" i="16" s="1"/>
  <c r="AA68" i="3"/>
  <c r="U4" i="15" s="1"/>
  <c r="AA56" i="3"/>
  <c r="U6" i="13" s="1"/>
  <c r="AA67" i="3"/>
  <c r="U3" i="15" s="1"/>
  <c r="AA60" i="3"/>
  <c r="U3" i="14" s="1"/>
  <c r="AA39" i="3"/>
  <c r="U3" i="11" s="1"/>
  <c r="AA63" i="3"/>
  <c r="U6" i="14" s="1"/>
  <c r="AA38" i="3"/>
  <c r="U2" i="11" s="1"/>
  <c r="AA34" i="3"/>
  <c r="U5" i="10" s="1"/>
  <c r="AA49" i="3"/>
  <c r="U6" i="12" s="1"/>
  <c r="AA40" i="3"/>
  <c r="U4" i="11" s="1"/>
  <c r="AA19" i="3"/>
  <c r="U4" i="8" s="1"/>
  <c r="AA47" i="3"/>
  <c r="U4" i="12" s="1"/>
  <c r="AA69" i="3"/>
  <c r="U5" i="15" s="1"/>
  <c r="AA73" i="3"/>
  <c r="U2" i="16" s="1"/>
  <c r="AA59" i="3"/>
  <c r="U2" i="14" s="1"/>
  <c r="AA54" i="3"/>
  <c r="U4" i="13" s="1"/>
  <c r="AA20" i="3"/>
  <c r="U5" i="8" s="1"/>
  <c r="AA33" i="3"/>
  <c r="U4" i="10" s="1"/>
  <c r="AA26" i="3"/>
  <c r="U4" i="9" s="1"/>
  <c r="AA83" i="3"/>
  <c r="U5" i="17" s="1"/>
  <c r="AA81" i="3"/>
  <c r="U3" i="17" s="1"/>
  <c r="AA84" i="3"/>
  <c r="U6" i="17" s="1"/>
  <c r="AA31" i="3"/>
  <c r="U2" i="10" s="1"/>
  <c r="AA28" i="3"/>
  <c r="U6" i="9" s="1"/>
  <c r="AA35" i="3"/>
  <c r="U6" i="10" s="1"/>
  <c r="AA32" i="3"/>
  <c r="U3" i="10" s="1"/>
  <c r="AA24" i="3"/>
  <c r="U2" i="9" s="1"/>
  <c r="AA17" i="3"/>
  <c r="U2" i="8" s="1"/>
  <c r="AA21" i="3"/>
  <c r="U6" i="8" s="1"/>
  <c r="AA80" i="3"/>
  <c r="U2" i="17" s="1"/>
  <c r="AA25" i="3"/>
  <c r="U3" i="9" s="1"/>
  <c r="AB9" i="3"/>
  <c r="V2" i="2" s="1"/>
  <c r="U1" i="17"/>
  <c r="U1" i="15"/>
  <c r="U1" i="13"/>
  <c r="U1" i="11"/>
  <c r="U1" i="9"/>
  <c r="U1" i="18"/>
  <c r="U1" i="16"/>
  <c r="U1" i="14"/>
  <c r="U1" i="12"/>
  <c r="U1" i="10"/>
  <c r="U1" i="2"/>
  <c r="U1" i="8"/>
  <c r="U4" i="2"/>
  <c r="U5" i="2"/>
  <c r="AB36" i="3" l="1"/>
  <c r="V7" i="10" s="1"/>
  <c r="AB37" i="3"/>
  <c r="V8" i="10" s="1"/>
  <c r="AB58" i="3"/>
  <c r="V8" i="13" s="1"/>
  <c r="AB43" i="3"/>
  <c r="V7" i="11" s="1"/>
  <c r="AB51" i="3"/>
  <c r="V8" i="12" s="1"/>
  <c r="AB57" i="3"/>
  <c r="V7" i="13" s="1"/>
  <c r="AB44" i="3"/>
  <c r="V8" i="11" s="1"/>
  <c r="AB50" i="3"/>
  <c r="V7" i="12" s="1"/>
  <c r="AB85" i="3"/>
  <c r="V7" i="17" s="1"/>
  <c r="AB64" i="3"/>
  <c r="V7" i="14" s="1"/>
  <c r="AB72" i="3"/>
  <c r="V8" i="15" s="1"/>
  <c r="AB78" i="3"/>
  <c r="V7" i="16" s="1"/>
  <c r="AB65" i="3"/>
  <c r="V8" i="14" s="1"/>
  <c r="AB71" i="3"/>
  <c r="V7" i="15" s="1"/>
  <c r="AB79" i="3"/>
  <c r="V8" i="16" s="1"/>
  <c r="AB92" i="3"/>
  <c r="V7" i="18" s="1"/>
  <c r="AB93" i="3"/>
  <c r="V8" i="18" s="1"/>
  <c r="AB22" i="3"/>
  <c r="V7" i="8" s="1"/>
  <c r="AB29" i="3"/>
  <c r="V7" i="9" s="1"/>
  <c r="AB30" i="3"/>
  <c r="V8" i="9" s="1"/>
  <c r="AB86" i="3"/>
  <c r="V8" i="17" s="1"/>
  <c r="V7" i="2"/>
  <c r="AB18" i="3"/>
  <c r="V3" i="8" s="1"/>
  <c r="V8" i="2"/>
  <c r="AB91" i="3"/>
  <c r="V6" i="18" s="1"/>
  <c r="AB89" i="3"/>
  <c r="V4" i="18" s="1"/>
  <c r="AB90" i="3"/>
  <c r="V5" i="18" s="1"/>
  <c r="AB88" i="3"/>
  <c r="V3" i="18" s="1"/>
  <c r="AB42" i="3"/>
  <c r="V6" i="11" s="1"/>
  <c r="AB87" i="3"/>
  <c r="V2" i="18" s="1"/>
  <c r="AB23" i="3"/>
  <c r="V8" i="8" s="1"/>
  <c r="AB53" i="3"/>
  <c r="V3" i="13" s="1"/>
  <c r="AB52" i="3"/>
  <c r="V2" i="13" s="1"/>
  <c r="AB62" i="3"/>
  <c r="V5" i="14" s="1"/>
  <c r="AB41" i="3"/>
  <c r="V5" i="11" s="1"/>
  <c r="AB70" i="3"/>
  <c r="V6" i="15" s="1"/>
  <c r="AB66" i="3"/>
  <c r="V2" i="15" s="1"/>
  <c r="AB76" i="3"/>
  <c r="V5" i="16" s="1"/>
  <c r="AB46" i="3"/>
  <c r="V3" i="12" s="1"/>
  <c r="AB82" i="3"/>
  <c r="V4" i="17" s="1"/>
  <c r="AB61" i="3"/>
  <c r="V4" i="14" s="1"/>
  <c r="AB75" i="3"/>
  <c r="V4" i="16" s="1"/>
  <c r="AB56" i="3"/>
  <c r="V6" i="13" s="1"/>
  <c r="AB38" i="3"/>
  <c r="V2" i="11" s="1"/>
  <c r="AB67" i="3"/>
  <c r="V3" i="15" s="1"/>
  <c r="AB74" i="3"/>
  <c r="V3" i="16" s="1"/>
  <c r="AB68" i="3"/>
  <c r="V4" i="15" s="1"/>
  <c r="AB47" i="3"/>
  <c r="V4" i="12" s="1"/>
  <c r="AB49" i="3"/>
  <c r="V6" i="12" s="1"/>
  <c r="AB60" i="3"/>
  <c r="V3" i="14" s="1"/>
  <c r="AB55" i="3"/>
  <c r="V5" i="13" s="1"/>
  <c r="AB39" i="3"/>
  <c r="V3" i="11" s="1"/>
  <c r="AB63" i="3"/>
  <c r="V6" i="14" s="1"/>
  <c r="AB40" i="3"/>
  <c r="V4" i="11" s="1"/>
  <c r="AB69" i="3"/>
  <c r="V5" i="15" s="1"/>
  <c r="AB19" i="3"/>
  <c r="V4" i="8" s="1"/>
  <c r="AB77" i="3"/>
  <c r="V6" i="16" s="1"/>
  <c r="AB34" i="3"/>
  <c r="V5" i="10" s="1"/>
  <c r="AB45" i="3"/>
  <c r="V2" i="12" s="1"/>
  <c r="AB27" i="3"/>
  <c r="V5" i="9" s="1"/>
  <c r="AB48" i="3"/>
  <c r="V5" i="12" s="1"/>
  <c r="AB73" i="3"/>
  <c r="V2" i="16" s="1"/>
  <c r="AB59" i="3"/>
  <c r="V2" i="14" s="1"/>
  <c r="AB54" i="3"/>
  <c r="V4" i="13" s="1"/>
  <c r="AB20" i="3"/>
  <c r="V5" i="8" s="1"/>
  <c r="AB33" i="3"/>
  <c r="V4" i="10" s="1"/>
  <c r="AB26" i="3"/>
  <c r="V4" i="9" s="1"/>
  <c r="AB83" i="3"/>
  <c r="V5" i="17" s="1"/>
  <c r="AB84" i="3"/>
  <c r="V6" i="17" s="1"/>
  <c r="AB81" i="3"/>
  <c r="V3" i="17" s="1"/>
  <c r="AB35" i="3"/>
  <c r="V6" i="10" s="1"/>
  <c r="AB80" i="3"/>
  <c r="V2" i="17" s="1"/>
  <c r="AB31" i="3"/>
  <c r="V2" i="10" s="1"/>
  <c r="AB32" i="3"/>
  <c r="V3" i="10" s="1"/>
  <c r="AB17" i="3"/>
  <c r="V2" i="8" s="1"/>
  <c r="AB24" i="3"/>
  <c r="V2" i="9" s="1"/>
  <c r="AB25" i="3"/>
  <c r="V3" i="9" s="1"/>
  <c r="AB28" i="3"/>
  <c r="V6" i="9" s="1"/>
  <c r="AB21" i="3"/>
  <c r="V6" i="8" s="1"/>
  <c r="AC9" i="3"/>
  <c r="W2" i="2" s="1"/>
  <c r="V1" i="17"/>
  <c r="V1" i="15"/>
  <c r="V1" i="13"/>
  <c r="V1" i="11"/>
  <c r="V1" i="9"/>
  <c r="V1" i="18"/>
  <c r="V1" i="10"/>
  <c r="V1" i="16"/>
  <c r="V1" i="2"/>
  <c r="V1" i="14"/>
  <c r="V1" i="12"/>
  <c r="V1" i="8"/>
  <c r="V4" i="2"/>
  <c r="V5" i="2"/>
  <c r="V3" i="2"/>
  <c r="W3" i="2" l="1"/>
  <c r="AC36" i="3"/>
  <c r="W7" i="10" s="1"/>
  <c r="AC37" i="3"/>
  <c r="W8" i="10" s="1"/>
  <c r="AC44" i="3"/>
  <c r="W8" i="11" s="1"/>
  <c r="AC50" i="3"/>
  <c r="W7" i="12" s="1"/>
  <c r="AC58" i="3"/>
  <c r="W8" i="13" s="1"/>
  <c r="AC64" i="3"/>
  <c r="W7" i="14" s="1"/>
  <c r="AC43" i="3"/>
  <c r="W7" i="11" s="1"/>
  <c r="AC51" i="3"/>
  <c r="W8" i="12" s="1"/>
  <c r="AC57" i="3"/>
  <c r="W7" i="13" s="1"/>
  <c r="AC65" i="3"/>
  <c r="W8" i="14" s="1"/>
  <c r="AC71" i="3"/>
  <c r="W7" i="15" s="1"/>
  <c r="AC79" i="3"/>
  <c r="W8" i="16" s="1"/>
  <c r="AC85" i="3"/>
  <c r="W7" i="17" s="1"/>
  <c r="AC72" i="3"/>
  <c r="W8" i="15" s="1"/>
  <c r="AC78" i="3"/>
  <c r="W7" i="16" s="1"/>
  <c r="AC92" i="3"/>
  <c r="W7" i="18" s="1"/>
  <c r="AC93" i="3"/>
  <c r="W8" i="18" s="1"/>
  <c r="AC22" i="3"/>
  <c r="W7" i="8" s="1"/>
  <c r="AC86" i="3"/>
  <c r="W8" i="17" s="1"/>
  <c r="AC29" i="3"/>
  <c r="W7" i="9" s="1"/>
  <c r="AC30" i="3"/>
  <c r="W8" i="9" s="1"/>
  <c r="W7" i="2"/>
  <c r="AC18" i="3"/>
  <c r="W3" i="8" s="1"/>
  <c r="W8" i="2"/>
  <c r="AC23" i="3"/>
  <c r="W8" i="8" s="1"/>
  <c r="AC53" i="3"/>
  <c r="W3" i="13" s="1"/>
  <c r="AC87" i="3"/>
  <c r="W2" i="18" s="1"/>
  <c r="AC91" i="3"/>
  <c r="W6" i="18" s="1"/>
  <c r="AC89" i="3"/>
  <c r="W4" i="18" s="1"/>
  <c r="AC90" i="3"/>
  <c r="W5" i="18" s="1"/>
  <c r="AC42" i="3"/>
  <c r="W6" i="11" s="1"/>
  <c r="AC88" i="3"/>
  <c r="W3" i="18" s="1"/>
  <c r="AC52" i="3"/>
  <c r="W2" i="13" s="1"/>
  <c r="AC76" i="3"/>
  <c r="W5" i="16" s="1"/>
  <c r="AC62" i="3"/>
  <c r="W5" i="14" s="1"/>
  <c r="AC46" i="3"/>
  <c r="W3" i="12" s="1"/>
  <c r="AC41" i="3"/>
  <c r="W5" i="11" s="1"/>
  <c r="AC82" i="3"/>
  <c r="W4" i="17" s="1"/>
  <c r="AC75" i="3"/>
  <c r="W4" i="16" s="1"/>
  <c r="AC66" i="3"/>
  <c r="W2" i="15" s="1"/>
  <c r="AC70" i="3"/>
  <c r="W6" i="15" s="1"/>
  <c r="AC61" i="3"/>
  <c r="W4" i="14" s="1"/>
  <c r="AC56" i="3"/>
  <c r="W6" i="13" s="1"/>
  <c r="AC38" i="3"/>
  <c r="W2" i="11" s="1"/>
  <c r="AC45" i="3"/>
  <c r="W2" i="12" s="1"/>
  <c r="AC40" i="3"/>
  <c r="W4" i="11" s="1"/>
  <c r="AC27" i="3"/>
  <c r="W5" i="9" s="1"/>
  <c r="AC77" i="3"/>
  <c r="W6" i="16" s="1"/>
  <c r="AC67" i="3"/>
  <c r="W3" i="15" s="1"/>
  <c r="AC49" i="3"/>
  <c r="W6" i="12" s="1"/>
  <c r="AC60" i="3"/>
  <c r="W3" i="14" s="1"/>
  <c r="AC19" i="3"/>
  <c r="W4" i="8" s="1"/>
  <c r="AC48" i="3"/>
  <c r="W5" i="12" s="1"/>
  <c r="AC73" i="3"/>
  <c r="W2" i="16" s="1"/>
  <c r="AC68" i="3"/>
  <c r="W4" i="15" s="1"/>
  <c r="AC34" i="3"/>
  <c r="W5" i="10" s="1"/>
  <c r="AC74" i="3"/>
  <c r="W3" i="16" s="1"/>
  <c r="AC55" i="3"/>
  <c r="W5" i="13" s="1"/>
  <c r="AC63" i="3"/>
  <c r="W6" i="14" s="1"/>
  <c r="AC47" i="3"/>
  <c r="W4" i="12" s="1"/>
  <c r="AC69" i="3"/>
  <c r="W5" i="15" s="1"/>
  <c r="AC39" i="3"/>
  <c r="W3" i="11" s="1"/>
  <c r="AC59" i="3"/>
  <c r="W2" i="14" s="1"/>
  <c r="AC54" i="3"/>
  <c r="W4" i="13" s="1"/>
  <c r="AC20" i="3"/>
  <c r="W5" i="8" s="1"/>
  <c r="AC26" i="3"/>
  <c r="W4" i="9" s="1"/>
  <c r="AC33" i="3"/>
  <c r="W4" i="10" s="1"/>
  <c r="AC83" i="3"/>
  <c r="W5" i="17" s="1"/>
  <c r="AC84" i="3"/>
  <c r="W6" i="17" s="1"/>
  <c r="AC81" i="3"/>
  <c r="W3" i="17" s="1"/>
  <c r="AC35" i="3"/>
  <c r="W6" i="10" s="1"/>
  <c r="AC80" i="3"/>
  <c r="W2" i="17" s="1"/>
  <c r="AC31" i="3"/>
  <c r="W2" i="10" s="1"/>
  <c r="AC28" i="3"/>
  <c r="W6" i="9" s="1"/>
  <c r="AC32" i="3"/>
  <c r="W3" i="10" s="1"/>
  <c r="AC25" i="3"/>
  <c r="W3" i="9" s="1"/>
  <c r="AC17" i="3"/>
  <c r="W2" i="8" s="1"/>
  <c r="AC24" i="3"/>
  <c r="W2" i="9" s="1"/>
  <c r="AC21" i="3"/>
  <c r="W6" i="8" s="1"/>
  <c r="AD9" i="3"/>
  <c r="X2" i="2" s="1"/>
  <c r="W1" i="18"/>
  <c r="W1" i="16"/>
  <c r="W1" i="14"/>
  <c r="W1" i="12"/>
  <c r="W1" i="10"/>
  <c r="W1" i="17"/>
  <c r="W1" i="15"/>
  <c r="W1" i="13"/>
  <c r="W1" i="11"/>
  <c r="W1" i="8"/>
  <c r="W1" i="9"/>
  <c r="W1" i="2"/>
  <c r="W4" i="2"/>
  <c r="W5" i="2"/>
  <c r="AD36" i="3" l="1"/>
  <c r="X7" i="10" s="1"/>
  <c r="AD37" i="3"/>
  <c r="X8" i="10" s="1"/>
  <c r="AD57" i="3"/>
  <c r="X7" i="13" s="1"/>
  <c r="AD44" i="3"/>
  <c r="X8" i="11" s="1"/>
  <c r="AD50" i="3"/>
  <c r="X7" i="12" s="1"/>
  <c r="AD58" i="3"/>
  <c r="X8" i="13" s="1"/>
  <c r="AD43" i="3"/>
  <c r="X7" i="11" s="1"/>
  <c r="AD51" i="3"/>
  <c r="X8" i="12" s="1"/>
  <c r="AD65" i="3"/>
  <c r="X8" i="14" s="1"/>
  <c r="AD71" i="3"/>
  <c r="X7" i="15" s="1"/>
  <c r="AD79" i="3"/>
  <c r="X8" i="16" s="1"/>
  <c r="AD64" i="3"/>
  <c r="X7" i="14" s="1"/>
  <c r="AD85" i="3"/>
  <c r="X7" i="17" s="1"/>
  <c r="AD72" i="3"/>
  <c r="X8" i="15" s="1"/>
  <c r="AD78" i="3"/>
  <c r="X7" i="16" s="1"/>
  <c r="AD93" i="3"/>
  <c r="X8" i="18" s="1"/>
  <c r="AD92" i="3"/>
  <c r="X7" i="18" s="1"/>
  <c r="AD29" i="3"/>
  <c r="X7" i="9" s="1"/>
  <c r="AD86" i="3"/>
  <c r="X8" i="17" s="1"/>
  <c r="AD22" i="3"/>
  <c r="X7" i="8" s="1"/>
  <c r="AD30" i="3"/>
  <c r="X8" i="9" s="1"/>
  <c r="X7" i="2"/>
  <c r="AD18" i="3"/>
  <c r="X3" i="8" s="1"/>
  <c r="X8" i="2"/>
  <c r="AD23" i="3"/>
  <c r="X8" i="8" s="1"/>
  <c r="AD88" i="3"/>
  <c r="X3" i="18" s="1"/>
  <c r="AD87" i="3"/>
  <c r="X2" i="18" s="1"/>
  <c r="AD91" i="3"/>
  <c r="X6" i="18" s="1"/>
  <c r="AD53" i="3"/>
  <c r="X3" i="13" s="1"/>
  <c r="AD89" i="3"/>
  <c r="X4" i="18" s="1"/>
  <c r="AD52" i="3"/>
  <c r="X2" i="13" s="1"/>
  <c r="AD90" i="3"/>
  <c r="X5" i="18" s="1"/>
  <c r="AD42" i="3"/>
  <c r="X6" i="11" s="1"/>
  <c r="AD61" i="3"/>
  <c r="X4" i="14" s="1"/>
  <c r="AD56" i="3"/>
  <c r="X6" i="13" s="1"/>
  <c r="AD62" i="3"/>
  <c r="X5" i="14" s="1"/>
  <c r="AD82" i="3"/>
  <c r="X4" i="17" s="1"/>
  <c r="AD66" i="3"/>
  <c r="X2" i="15" s="1"/>
  <c r="AD46" i="3"/>
  <c r="X3" i="12" s="1"/>
  <c r="AD41" i="3"/>
  <c r="X5" i="11" s="1"/>
  <c r="AD75" i="3"/>
  <c r="X4" i="16" s="1"/>
  <c r="AD76" i="3"/>
  <c r="X5" i="16" s="1"/>
  <c r="AD70" i="3"/>
  <c r="X6" i="15" s="1"/>
  <c r="AD40" i="3"/>
  <c r="X4" i="11" s="1"/>
  <c r="AD69" i="3"/>
  <c r="X5" i="15" s="1"/>
  <c r="AD55" i="3"/>
  <c r="X5" i="13" s="1"/>
  <c r="AD68" i="3"/>
  <c r="X4" i="15" s="1"/>
  <c r="AD59" i="3"/>
  <c r="X2" i="14" s="1"/>
  <c r="AD54" i="3"/>
  <c r="X4" i="13" s="1"/>
  <c r="AD47" i="3"/>
  <c r="X4" i="12" s="1"/>
  <c r="AD38" i="3"/>
  <c r="X2" i="11" s="1"/>
  <c r="AD27" i="3"/>
  <c r="X5" i="9" s="1"/>
  <c r="AD19" i="3"/>
  <c r="X4" i="8" s="1"/>
  <c r="AD73" i="3"/>
  <c r="X2" i="16" s="1"/>
  <c r="AD67" i="3"/>
  <c r="X3" i="15" s="1"/>
  <c r="AD45" i="3"/>
  <c r="X2" i="12" s="1"/>
  <c r="AD60" i="3"/>
  <c r="X3" i="14" s="1"/>
  <c r="AD77" i="3"/>
  <c r="X6" i="16" s="1"/>
  <c r="AD34" i="3"/>
  <c r="X5" i="10" s="1"/>
  <c r="AD49" i="3"/>
  <c r="X6" i="12" s="1"/>
  <c r="AD74" i="3"/>
  <c r="X3" i="16" s="1"/>
  <c r="AD48" i="3"/>
  <c r="X5" i="12" s="1"/>
  <c r="AD39" i="3"/>
  <c r="X3" i="11" s="1"/>
  <c r="AD63" i="3"/>
  <c r="X6" i="14" s="1"/>
  <c r="AD20" i="3"/>
  <c r="X5" i="8" s="1"/>
  <c r="AD84" i="3"/>
  <c r="X6" i="17" s="1"/>
  <c r="AD26" i="3"/>
  <c r="X4" i="9" s="1"/>
  <c r="AD83" i="3"/>
  <c r="X5" i="17" s="1"/>
  <c r="AD33" i="3"/>
  <c r="X4" i="10" s="1"/>
  <c r="AD81" i="3"/>
  <c r="X3" i="17" s="1"/>
  <c r="AD35" i="3"/>
  <c r="X6" i="10" s="1"/>
  <c r="AD24" i="3"/>
  <c r="X2" i="9" s="1"/>
  <c r="AD28" i="3"/>
  <c r="X6" i="9" s="1"/>
  <c r="AD31" i="3"/>
  <c r="X2" i="10" s="1"/>
  <c r="AD25" i="3"/>
  <c r="X3" i="9" s="1"/>
  <c r="AD17" i="3"/>
  <c r="X2" i="8" s="1"/>
  <c r="AD80" i="3"/>
  <c r="X2" i="17" s="1"/>
  <c r="AD32" i="3"/>
  <c r="X3" i="10" s="1"/>
  <c r="AD21" i="3"/>
  <c r="X6" i="8" s="1"/>
  <c r="AE9" i="3"/>
  <c r="Y2" i="2" s="1"/>
  <c r="X1" i="18"/>
  <c r="X1" i="16"/>
  <c r="X1" i="14"/>
  <c r="X1" i="12"/>
  <c r="X1" i="10"/>
  <c r="X1" i="11"/>
  <c r="X1" i="9"/>
  <c r="X1" i="17"/>
  <c r="X1" i="8"/>
  <c r="X1" i="2"/>
  <c r="X1" i="15"/>
  <c r="X1" i="13"/>
  <c r="X4" i="2"/>
  <c r="X5" i="2"/>
  <c r="X3" i="2"/>
  <c r="AE36" i="3" l="1"/>
  <c r="Y7" i="10" s="1"/>
  <c r="AE37" i="3"/>
  <c r="Y8" i="10" s="1"/>
  <c r="AE43" i="3"/>
  <c r="Y7" i="11" s="1"/>
  <c r="AE51" i="3"/>
  <c r="Y8" i="12" s="1"/>
  <c r="AE57" i="3"/>
  <c r="Y7" i="13" s="1"/>
  <c r="AE44" i="3"/>
  <c r="Y8" i="11" s="1"/>
  <c r="AE50" i="3"/>
  <c r="Y7" i="12" s="1"/>
  <c r="AE58" i="3"/>
  <c r="Y8" i="13" s="1"/>
  <c r="AE72" i="3"/>
  <c r="Y8" i="15" s="1"/>
  <c r="AE78" i="3"/>
  <c r="Y7" i="16" s="1"/>
  <c r="AE65" i="3"/>
  <c r="Y8" i="14" s="1"/>
  <c r="AE71" i="3"/>
  <c r="Y7" i="15" s="1"/>
  <c r="AE79" i="3"/>
  <c r="Y8" i="16" s="1"/>
  <c r="AE64" i="3"/>
  <c r="Y7" i="14" s="1"/>
  <c r="AE85" i="3"/>
  <c r="Y7" i="17" s="1"/>
  <c r="AE93" i="3"/>
  <c r="Y8" i="18" s="1"/>
  <c r="AE86" i="3"/>
  <c r="Y8" i="17" s="1"/>
  <c r="AE92" i="3"/>
  <c r="Y7" i="18" s="1"/>
  <c r="AE29" i="3"/>
  <c r="Y7" i="9" s="1"/>
  <c r="AE22" i="3"/>
  <c r="Y7" i="8" s="1"/>
  <c r="AE30" i="3"/>
  <c r="Y8" i="9" s="1"/>
  <c r="Y7" i="2"/>
  <c r="AE18" i="3"/>
  <c r="Y3" i="8" s="1"/>
  <c r="AE23" i="3"/>
  <c r="Y8" i="8" s="1"/>
  <c r="Y8" i="2"/>
  <c r="AE53" i="3"/>
  <c r="Y3" i="13" s="1"/>
  <c r="AE91" i="3"/>
  <c r="Y6" i="18" s="1"/>
  <c r="AE89" i="3"/>
  <c r="Y4" i="18" s="1"/>
  <c r="AE42" i="3"/>
  <c r="Y6" i="11" s="1"/>
  <c r="AE52" i="3"/>
  <c r="Y2" i="13" s="1"/>
  <c r="AE90" i="3"/>
  <c r="Y5" i="18" s="1"/>
  <c r="AE88" i="3"/>
  <c r="Y3" i="18" s="1"/>
  <c r="AE87" i="3"/>
  <c r="Y2" i="18" s="1"/>
  <c r="AE46" i="3"/>
  <c r="Y3" i="12" s="1"/>
  <c r="AE62" i="3"/>
  <c r="Y5" i="14" s="1"/>
  <c r="AE41" i="3"/>
  <c r="Y5" i="11" s="1"/>
  <c r="AE75" i="3"/>
  <c r="Y4" i="16" s="1"/>
  <c r="AE70" i="3"/>
  <c r="Y6" i="15" s="1"/>
  <c r="AE66" i="3"/>
  <c r="Y2" i="15" s="1"/>
  <c r="AE76" i="3"/>
  <c r="Y5" i="16" s="1"/>
  <c r="AE82" i="3"/>
  <c r="Y4" i="17" s="1"/>
  <c r="AE61" i="3"/>
  <c r="Y4" i="14" s="1"/>
  <c r="AE47" i="3"/>
  <c r="Y4" i="12" s="1"/>
  <c r="AE74" i="3"/>
  <c r="Y3" i="16" s="1"/>
  <c r="AE69" i="3"/>
  <c r="Y5" i="15" s="1"/>
  <c r="AE55" i="3"/>
  <c r="Y5" i="13" s="1"/>
  <c r="AE77" i="3"/>
  <c r="Y6" i="16" s="1"/>
  <c r="AE73" i="3"/>
  <c r="Y2" i="16" s="1"/>
  <c r="AE59" i="3"/>
  <c r="Y2" i="14" s="1"/>
  <c r="AE54" i="3"/>
  <c r="Y4" i="13" s="1"/>
  <c r="AE45" i="3"/>
  <c r="Y2" i="12" s="1"/>
  <c r="AE27" i="3"/>
  <c r="Y5" i="9" s="1"/>
  <c r="AE68" i="3"/>
  <c r="Y4" i="15" s="1"/>
  <c r="AE56" i="3"/>
  <c r="Y6" i="13" s="1"/>
  <c r="AE38" i="3"/>
  <c r="Y2" i="11" s="1"/>
  <c r="AE67" i="3"/>
  <c r="Y3" i="15" s="1"/>
  <c r="AE60" i="3"/>
  <c r="Y3" i="14" s="1"/>
  <c r="AE48" i="3"/>
  <c r="Y5" i="12" s="1"/>
  <c r="AE39" i="3"/>
  <c r="Y3" i="11" s="1"/>
  <c r="AE63" i="3"/>
  <c r="Y6" i="14" s="1"/>
  <c r="AE34" i="3"/>
  <c r="Y5" i="10" s="1"/>
  <c r="AE49" i="3"/>
  <c r="Y6" i="12" s="1"/>
  <c r="AE40" i="3"/>
  <c r="Y4" i="11" s="1"/>
  <c r="AE19" i="3"/>
  <c r="Y4" i="8" s="1"/>
  <c r="AE20" i="3"/>
  <c r="Y5" i="8" s="1"/>
  <c r="AE84" i="3"/>
  <c r="Y6" i="17" s="1"/>
  <c r="AE33" i="3"/>
  <c r="Y4" i="10" s="1"/>
  <c r="AE26" i="3"/>
  <c r="Y4" i="9" s="1"/>
  <c r="AE83" i="3"/>
  <c r="Y5" i="17" s="1"/>
  <c r="AE81" i="3"/>
  <c r="Y3" i="17" s="1"/>
  <c r="AE35" i="3"/>
  <c r="Y6" i="10" s="1"/>
  <c r="AE25" i="3"/>
  <c r="Y3" i="9" s="1"/>
  <c r="AE80" i="3"/>
  <c r="Y2" i="17" s="1"/>
  <c r="AE31" i="3"/>
  <c r="Y2" i="10" s="1"/>
  <c r="AE24" i="3"/>
  <c r="Y2" i="9" s="1"/>
  <c r="AE32" i="3"/>
  <c r="Y3" i="10" s="1"/>
  <c r="AE28" i="3"/>
  <c r="Y6" i="9" s="1"/>
  <c r="AE21" i="3"/>
  <c r="Y6" i="8" s="1"/>
  <c r="AE17" i="3"/>
  <c r="Y2" i="8" s="1"/>
  <c r="AF9" i="3"/>
  <c r="Z2" i="2" s="1"/>
  <c r="Y1" i="17"/>
  <c r="Y1" i="15"/>
  <c r="Y1" i="13"/>
  <c r="Y1" i="11"/>
  <c r="Y1" i="9"/>
  <c r="Y1" i="18"/>
  <c r="Y1" i="16"/>
  <c r="Y1" i="14"/>
  <c r="Y1" i="12"/>
  <c r="Y1" i="10"/>
  <c r="Y1" i="2"/>
  <c r="Y1" i="8"/>
  <c r="Y4" i="2"/>
  <c r="Y5" i="2"/>
  <c r="Y3" i="2"/>
  <c r="AF36" i="3" l="1"/>
  <c r="Z7" i="10" s="1"/>
  <c r="AF37" i="3"/>
  <c r="Z8" i="10" s="1"/>
  <c r="AF58" i="3"/>
  <c r="Z8" i="13" s="1"/>
  <c r="AF43" i="3"/>
  <c r="Z7" i="11" s="1"/>
  <c r="AF51" i="3"/>
  <c r="Z8" i="12" s="1"/>
  <c r="AF57" i="3"/>
  <c r="Z7" i="13" s="1"/>
  <c r="AF44" i="3"/>
  <c r="Z8" i="11" s="1"/>
  <c r="AF50" i="3"/>
  <c r="Z7" i="12" s="1"/>
  <c r="AF64" i="3"/>
  <c r="Z7" i="14" s="1"/>
  <c r="AF72" i="3"/>
  <c r="Z8" i="15" s="1"/>
  <c r="AF78" i="3"/>
  <c r="Z7" i="16" s="1"/>
  <c r="AF65" i="3"/>
  <c r="Z8" i="14" s="1"/>
  <c r="AF71" i="3"/>
  <c r="Z7" i="15" s="1"/>
  <c r="AF79" i="3"/>
  <c r="Z8" i="16" s="1"/>
  <c r="AF92" i="3"/>
  <c r="Z7" i="18" s="1"/>
  <c r="AF93" i="3"/>
  <c r="Z8" i="18" s="1"/>
  <c r="AF85" i="3"/>
  <c r="Z7" i="17" s="1"/>
  <c r="AF22" i="3"/>
  <c r="Z7" i="8" s="1"/>
  <c r="AF29" i="3"/>
  <c r="Z7" i="9" s="1"/>
  <c r="AF30" i="3"/>
  <c r="Z8" i="9" s="1"/>
  <c r="AF86" i="3"/>
  <c r="Z8" i="17" s="1"/>
  <c r="Z7" i="2"/>
  <c r="AF18" i="3"/>
  <c r="Z3" i="8" s="1"/>
  <c r="AF23" i="3"/>
  <c r="Z8" i="8" s="1"/>
  <c r="Z8" i="2"/>
  <c r="AF53" i="3"/>
  <c r="Z3" i="13" s="1"/>
  <c r="AF42" i="3"/>
  <c r="AF91" i="3"/>
  <c r="Z6" i="18" s="1"/>
  <c r="AF89" i="3"/>
  <c r="Z4" i="18" s="1"/>
  <c r="AF90" i="3"/>
  <c r="Z5" i="18" s="1"/>
  <c r="AF88" i="3"/>
  <c r="Z3" i="18" s="1"/>
  <c r="AF87" i="3"/>
  <c r="Z2" i="18" s="1"/>
  <c r="AF75" i="3"/>
  <c r="Z4" i="16" s="1"/>
  <c r="AF52" i="3"/>
  <c r="Z2" i="13" s="1"/>
  <c r="AF62" i="3"/>
  <c r="Z5" i="14" s="1"/>
  <c r="AF41" i="3"/>
  <c r="Z5" i="11" s="1"/>
  <c r="AF70" i="3"/>
  <c r="Z6" i="15" s="1"/>
  <c r="AF46" i="3"/>
  <c r="Z3" i="12" s="1"/>
  <c r="AF66" i="3"/>
  <c r="Z2" i="15" s="1"/>
  <c r="AF76" i="3"/>
  <c r="Z5" i="16" s="1"/>
  <c r="AF82" i="3"/>
  <c r="Z4" i="17" s="1"/>
  <c r="AF61" i="3"/>
  <c r="Z4" i="14" s="1"/>
  <c r="AF56" i="3"/>
  <c r="Z6" i="13" s="1"/>
  <c r="AF47" i="3"/>
  <c r="Z4" i="12" s="1"/>
  <c r="AF40" i="3"/>
  <c r="Z4" i="11" s="1"/>
  <c r="AF74" i="3"/>
  <c r="Z3" i="16" s="1"/>
  <c r="AF69" i="3"/>
  <c r="Z5" i="15" s="1"/>
  <c r="AF73" i="3"/>
  <c r="Z2" i="16" s="1"/>
  <c r="AF59" i="3"/>
  <c r="Z2" i="14" s="1"/>
  <c r="AF34" i="3"/>
  <c r="Z5" i="10" s="1"/>
  <c r="AF49" i="3"/>
  <c r="Z6" i="12" s="1"/>
  <c r="AF27" i="3"/>
  <c r="Z5" i="9" s="1"/>
  <c r="AF48" i="3"/>
  <c r="Z5" i="12" s="1"/>
  <c r="AF68" i="3"/>
  <c r="Z4" i="15" s="1"/>
  <c r="AF54" i="3"/>
  <c r="Z4" i="13" s="1"/>
  <c r="AF38" i="3"/>
  <c r="Z2" i="11" s="1"/>
  <c r="AF67" i="3"/>
  <c r="Z3" i="15" s="1"/>
  <c r="AF45" i="3"/>
  <c r="Z2" i="12" s="1"/>
  <c r="AF60" i="3"/>
  <c r="Z3" i="14" s="1"/>
  <c r="AF55" i="3"/>
  <c r="Z5" i="13" s="1"/>
  <c r="AF39" i="3"/>
  <c r="Z3" i="11" s="1"/>
  <c r="AF63" i="3"/>
  <c r="Z6" i="14" s="1"/>
  <c r="AF19" i="3"/>
  <c r="Z4" i="8" s="1"/>
  <c r="AF77" i="3"/>
  <c r="Z6" i="16" s="1"/>
  <c r="AF20" i="3"/>
  <c r="Z5" i="8" s="1"/>
  <c r="AF33" i="3"/>
  <c r="Z4" i="10" s="1"/>
  <c r="AF26" i="3"/>
  <c r="Z4" i="9" s="1"/>
  <c r="AF83" i="3"/>
  <c r="Z5" i="17" s="1"/>
  <c r="AF84" i="3"/>
  <c r="Z6" i="17" s="1"/>
  <c r="AF81" i="3"/>
  <c r="Z3" i="17" s="1"/>
  <c r="AF35" i="3"/>
  <c r="Z6" i="10" s="1"/>
  <c r="AF32" i="3"/>
  <c r="Z3" i="10" s="1"/>
  <c r="AF80" i="3"/>
  <c r="Z2" i="17" s="1"/>
  <c r="AF31" i="3"/>
  <c r="Z2" i="10" s="1"/>
  <c r="AF17" i="3"/>
  <c r="Z2" i="8" s="1"/>
  <c r="AF24" i="3"/>
  <c r="Z2" i="9" s="1"/>
  <c r="AF28" i="3"/>
  <c r="Z6" i="9" s="1"/>
  <c r="AF21" i="3"/>
  <c r="Z6" i="8" s="1"/>
  <c r="AF25" i="3"/>
  <c r="Z3" i="9" s="1"/>
  <c r="AG9" i="3"/>
  <c r="AA2" i="2" s="1"/>
  <c r="Z1" i="17"/>
  <c r="Z1" i="15"/>
  <c r="Z1" i="13"/>
  <c r="Z1" i="11"/>
  <c r="Z1" i="9"/>
  <c r="Z1" i="12"/>
  <c r="Z1" i="18"/>
  <c r="Z1" i="10"/>
  <c r="Z1" i="2"/>
  <c r="Z1" i="8"/>
  <c r="Z1" i="16"/>
  <c r="Z1" i="14"/>
  <c r="Z4" i="2"/>
  <c r="Z6" i="11"/>
  <c r="Z5" i="2"/>
  <c r="Z3" i="2"/>
  <c r="AG36" i="3" l="1"/>
  <c r="AA7" i="10" s="1"/>
  <c r="AG37" i="3"/>
  <c r="AA8" i="10" s="1"/>
  <c r="AG44" i="3"/>
  <c r="AA8" i="11" s="1"/>
  <c r="AG50" i="3"/>
  <c r="AA7" i="12" s="1"/>
  <c r="AG58" i="3"/>
  <c r="AA8" i="13" s="1"/>
  <c r="AG64" i="3"/>
  <c r="AA7" i="14" s="1"/>
  <c r="AG43" i="3"/>
  <c r="AA7" i="11" s="1"/>
  <c r="AG51" i="3"/>
  <c r="AA8" i="12" s="1"/>
  <c r="AG57" i="3"/>
  <c r="AA7" i="13" s="1"/>
  <c r="AG65" i="3"/>
  <c r="AA8" i="14" s="1"/>
  <c r="AG71" i="3"/>
  <c r="AA7" i="15" s="1"/>
  <c r="AG79" i="3"/>
  <c r="AA8" i="16" s="1"/>
  <c r="AG85" i="3"/>
  <c r="AA7" i="17" s="1"/>
  <c r="AG72" i="3"/>
  <c r="AA8" i="15" s="1"/>
  <c r="AG78" i="3"/>
  <c r="AA7" i="16" s="1"/>
  <c r="AG92" i="3"/>
  <c r="AA7" i="18" s="1"/>
  <c r="AG93" i="3"/>
  <c r="AA8" i="18" s="1"/>
  <c r="AG22" i="3"/>
  <c r="AA7" i="8" s="1"/>
  <c r="AG30" i="3"/>
  <c r="AA8" i="9" s="1"/>
  <c r="AG86" i="3"/>
  <c r="AA8" i="17" s="1"/>
  <c r="AG29" i="3"/>
  <c r="AA7" i="9" s="1"/>
  <c r="AA7" i="2"/>
  <c r="AG18" i="3"/>
  <c r="AA3" i="8" s="1"/>
  <c r="AG23" i="3"/>
  <c r="AA8" i="8" s="1"/>
  <c r="AA8" i="2"/>
  <c r="AG53" i="3"/>
  <c r="AA3" i="13" s="1"/>
  <c r="AG91" i="3"/>
  <c r="AA6" i="18" s="1"/>
  <c r="AG89" i="3"/>
  <c r="AA4" i="18" s="1"/>
  <c r="AG88" i="3"/>
  <c r="AA3" i="18" s="1"/>
  <c r="AG90" i="3"/>
  <c r="AA5" i="18" s="1"/>
  <c r="AG87" i="3"/>
  <c r="AA2" i="18" s="1"/>
  <c r="AG42" i="3"/>
  <c r="AA6" i="11" s="1"/>
  <c r="AG52" i="3"/>
  <c r="AA2" i="13" s="1"/>
  <c r="AG61" i="3"/>
  <c r="AA4" i="14" s="1"/>
  <c r="AG62" i="3"/>
  <c r="AA5" i="14" s="1"/>
  <c r="AG46" i="3"/>
  <c r="AA3" i="12" s="1"/>
  <c r="AG76" i="3"/>
  <c r="AA5" i="16" s="1"/>
  <c r="AG41" i="3"/>
  <c r="AA5" i="11" s="1"/>
  <c r="AG82" i="3"/>
  <c r="AA4" i="17" s="1"/>
  <c r="AG75" i="3"/>
  <c r="AA4" i="16" s="1"/>
  <c r="AG70" i="3"/>
  <c r="AA6" i="15" s="1"/>
  <c r="AG66" i="3"/>
  <c r="AA2" i="15" s="1"/>
  <c r="AG56" i="3"/>
  <c r="AA6" i="13" s="1"/>
  <c r="AG47" i="3"/>
  <c r="AA4" i="12" s="1"/>
  <c r="AG69" i="3"/>
  <c r="AA5" i="15" s="1"/>
  <c r="AG19" i="3"/>
  <c r="AA4" i="8" s="1"/>
  <c r="AG59" i="3"/>
  <c r="AA2" i="14" s="1"/>
  <c r="AG38" i="3"/>
  <c r="AA2" i="11" s="1"/>
  <c r="AG49" i="3"/>
  <c r="AA6" i="12" s="1"/>
  <c r="AG45" i="3"/>
  <c r="AA2" i="12" s="1"/>
  <c r="AG40" i="3"/>
  <c r="AA4" i="11" s="1"/>
  <c r="AG27" i="3"/>
  <c r="AA5" i="9" s="1"/>
  <c r="AG77" i="3"/>
  <c r="AA6" i="16" s="1"/>
  <c r="AG67" i="3"/>
  <c r="AA3" i="15" s="1"/>
  <c r="AG60" i="3"/>
  <c r="AA3" i="14" s="1"/>
  <c r="AG48" i="3"/>
  <c r="AA5" i="12" s="1"/>
  <c r="AG73" i="3"/>
  <c r="AA2" i="16" s="1"/>
  <c r="AG68" i="3"/>
  <c r="AA4" i="15" s="1"/>
  <c r="AG34" i="3"/>
  <c r="AA5" i="10" s="1"/>
  <c r="AG74" i="3"/>
  <c r="AA3" i="16" s="1"/>
  <c r="AG55" i="3"/>
  <c r="AA5" i="13" s="1"/>
  <c r="AG39" i="3"/>
  <c r="AA3" i="11" s="1"/>
  <c r="AG63" i="3"/>
  <c r="AA6" i="14" s="1"/>
  <c r="AG54" i="3"/>
  <c r="AA4" i="13" s="1"/>
  <c r="AG20" i="3"/>
  <c r="AA5" i="8" s="1"/>
  <c r="AG84" i="3"/>
  <c r="AA6" i="17" s="1"/>
  <c r="AG81" i="3"/>
  <c r="AA3" i="17" s="1"/>
  <c r="AG26" i="3"/>
  <c r="AA4" i="9" s="1"/>
  <c r="AG33" i="3"/>
  <c r="AA4" i="10" s="1"/>
  <c r="AG83" i="3"/>
  <c r="AA5" i="17" s="1"/>
  <c r="AG25" i="3"/>
  <c r="AA3" i="9" s="1"/>
  <c r="AG35" i="3"/>
  <c r="AA6" i="10" s="1"/>
  <c r="AG28" i="3"/>
  <c r="AA6" i="9" s="1"/>
  <c r="AG31" i="3"/>
  <c r="AA2" i="10" s="1"/>
  <c r="AG32" i="3"/>
  <c r="AA3" i="10" s="1"/>
  <c r="AG80" i="3"/>
  <c r="AA2" i="17" s="1"/>
  <c r="AG24" i="3"/>
  <c r="AA2" i="9" s="1"/>
  <c r="AG21" i="3"/>
  <c r="AA6" i="8" s="1"/>
  <c r="AG17" i="3"/>
  <c r="AA2" i="8" s="1"/>
  <c r="AH9" i="3"/>
  <c r="AB2" i="2" s="1"/>
  <c r="AA1" i="18"/>
  <c r="AA1" i="16"/>
  <c r="AA1" i="14"/>
  <c r="AA1" i="12"/>
  <c r="AA1" i="10"/>
  <c r="AA1" i="17"/>
  <c r="AA1" i="15"/>
  <c r="AA1" i="13"/>
  <c r="AA1" i="11"/>
  <c r="AA1" i="8"/>
  <c r="AA1" i="9"/>
  <c r="AA1" i="2"/>
  <c r="AA4" i="2"/>
  <c r="AA5" i="2"/>
  <c r="AA3" i="2"/>
  <c r="AH36" i="3" l="1"/>
  <c r="AB7" i="10" s="1"/>
  <c r="AH37" i="3"/>
  <c r="AB8" i="10" s="1"/>
  <c r="AH57" i="3"/>
  <c r="AB7" i="13" s="1"/>
  <c r="AH44" i="3"/>
  <c r="AB8" i="11" s="1"/>
  <c r="AH50" i="3"/>
  <c r="AB7" i="12" s="1"/>
  <c r="AH58" i="3"/>
  <c r="AB8" i="13" s="1"/>
  <c r="AH43" i="3"/>
  <c r="AB7" i="11" s="1"/>
  <c r="AH51" i="3"/>
  <c r="AB8" i="12" s="1"/>
  <c r="AH64" i="3"/>
  <c r="AB7" i="14" s="1"/>
  <c r="AH65" i="3"/>
  <c r="AB8" i="14" s="1"/>
  <c r="AH71" i="3"/>
  <c r="AB7" i="15" s="1"/>
  <c r="AH79" i="3"/>
  <c r="AB8" i="16" s="1"/>
  <c r="AH85" i="3"/>
  <c r="AB7" i="17" s="1"/>
  <c r="AH72" i="3"/>
  <c r="AB8" i="15" s="1"/>
  <c r="AH78" i="3"/>
  <c r="AB7" i="16" s="1"/>
  <c r="AH93" i="3"/>
  <c r="AB8" i="18" s="1"/>
  <c r="AH92" i="3"/>
  <c r="AB7" i="18" s="1"/>
  <c r="AH22" i="3"/>
  <c r="AB7" i="8" s="1"/>
  <c r="AH86" i="3"/>
  <c r="AB8" i="17" s="1"/>
  <c r="AH29" i="3"/>
  <c r="AB7" i="9" s="1"/>
  <c r="AH30" i="3"/>
  <c r="AB8" i="9" s="1"/>
  <c r="AB7" i="2"/>
  <c r="AH18" i="3"/>
  <c r="AB3" i="8" s="1"/>
  <c r="AH23" i="3"/>
  <c r="AB8" i="8" s="1"/>
  <c r="AH90" i="3"/>
  <c r="AB5" i="18" s="1"/>
  <c r="AH88" i="3"/>
  <c r="AB3" i="18" s="1"/>
  <c r="AH87" i="3"/>
  <c r="AB2" i="18" s="1"/>
  <c r="AH42" i="3"/>
  <c r="AB6" i="11" s="1"/>
  <c r="AH91" i="3"/>
  <c r="AB6" i="18" s="1"/>
  <c r="AH53" i="3"/>
  <c r="AB3" i="13" s="1"/>
  <c r="AH89" i="3"/>
  <c r="AB4" i="18" s="1"/>
  <c r="AB8" i="2"/>
  <c r="AH76" i="3"/>
  <c r="AB5" i="16" s="1"/>
  <c r="AH41" i="3"/>
  <c r="AB5" i="11" s="1"/>
  <c r="AH70" i="3"/>
  <c r="AB6" i="15" s="1"/>
  <c r="AH46" i="3"/>
  <c r="AB3" i="12" s="1"/>
  <c r="AH61" i="3"/>
  <c r="AB4" i="14" s="1"/>
  <c r="AH62" i="3"/>
  <c r="AB5" i="14" s="1"/>
  <c r="AH82" i="3"/>
  <c r="AB4" i="17" s="1"/>
  <c r="AH52" i="3"/>
  <c r="AB2" i="13" s="1"/>
  <c r="AH75" i="3"/>
  <c r="AB4" i="16" s="1"/>
  <c r="AH66" i="3"/>
  <c r="AB2" i="15" s="1"/>
  <c r="AH34" i="3"/>
  <c r="AB5" i="10" s="1"/>
  <c r="AH49" i="3"/>
  <c r="AB6" i="12" s="1"/>
  <c r="AH74" i="3"/>
  <c r="AB3" i="16" s="1"/>
  <c r="AH48" i="3"/>
  <c r="AB5" i="12" s="1"/>
  <c r="AH39" i="3"/>
  <c r="AB3" i="11" s="1"/>
  <c r="AH63" i="3"/>
  <c r="AB6" i="14" s="1"/>
  <c r="AH40" i="3"/>
  <c r="AB4" i="11" s="1"/>
  <c r="AH69" i="3"/>
  <c r="AB5" i="15" s="1"/>
  <c r="AH55" i="3"/>
  <c r="AB5" i="13" s="1"/>
  <c r="AH59" i="3"/>
  <c r="AB2" i="14" s="1"/>
  <c r="AH54" i="3"/>
  <c r="AB4" i="13" s="1"/>
  <c r="AH47" i="3"/>
  <c r="AB4" i="12" s="1"/>
  <c r="AH38" i="3"/>
  <c r="AB2" i="11" s="1"/>
  <c r="AH27" i="3"/>
  <c r="AB5" i="9" s="1"/>
  <c r="AH19" i="3"/>
  <c r="AB4" i="8" s="1"/>
  <c r="AH73" i="3"/>
  <c r="AB2" i="16" s="1"/>
  <c r="AH68" i="3"/>
  <c r="AB4" i="15" s="1"/>
  <c r="AH56" i="3"/>
  <c r="AB6" i="13" s="1"/>
  <c r="AH67" i="3"/>
  <c r="AB3" i="15" s="1"/>
  <c r="AH45" i="3"/>
  <c r="AB2" i="12" s="1"/>
  <c r="AH60" i="3"/>
  <c r="AB3" i="14" s="1"/>
  <c r="AH77" i="3"/>
  <c r="AB6" i="16" s="1"/>
  <c r="AH20" i="3"/>
  <c r="AB5" i="8" s="1"/>
  <c r="AH81" i="3"/>
  <c r="AB3" i="17" s="1"/>
  <c r="AH84" i="3"/>
  <c r="AB6" i="17" s="1"/>
  <c r="AH26" i="3"/>
  <c r="AB4" i="9" s="1"/>
  <c r="AH83" i="3"/>
  <c r="AB5" i="17" s="1"/>
  <c r="AH33" i="3"/>
  <c r="AB4" i="10" s="1"/>
  <c r="AH35" i="3"/>
  <c r="AB6" i="10" s="1"/>
  <c r="AH80" i="3"/>
  <c r="AB2" i="17" s="1"/>
  <c r="AH28" i="3"/>
  <c r="AB6" i="9" s="1"/>
  <c r="AH24" i="3"/>
  <c r="AB2" i="9" s="1"/>
  <c r="AH32" i="3"/>
  <c r="AB3" i="10" s="1"/>
  <c r="AH21" i="3"/>
  <c r="AB6" i="8" s="1"/>
  <c r="AH31" i="3"/>
  <c r="AB2" i="10" s="1"/>
  <c r="AH25" i="3"/>
  <c r="AB3" i="9" s="1"/>
  <c r="AH17" i="3"/>
  <c r="AB2" i="8" s="1"/>
  <c r="AI9" i="3"/>
  <c r="AC2" i="2" s="1"/>
  <c r="AB1" i="18"/>
  <c r="AB1" i="16"/>
  <c r="AB1" i="14"/>
  <c r="AB1" i="12"/>
  <c r="AB1" i="10"/>
  <c r="AB1" i="13"/>
  <c r="AB1" i="2"/>
  <c r="AB1" i="11"/>
  <c r="AB1" i="8"/>
  <c r="AB1" i="15"/>
  <c r="AB1" i="17"/>
  <c r="AB1" i="9"/>
  <c r="AB4" i="2"/>
  <c r="AB5" i="2"/>
  <c r="AB3" i="2"/>
  <c r="AI36" i="3" l="1"/>
  <c r="AC7" i="10" s="1"/>
  <c r="AI37" i="3"/>
  <c r="AC8" i="10" s="1"/>
  <c r="AI43" i="3"/>
  <c r="AC7" i="11" s="1"/>
  <c r="AI51" i="3"/>
  <c r="AC8" i="12" s="1"/>
  <c r="AI57" i="3"/>
  <c r="AC7" i="13" s="1"/>
  <c r="AI44" i="3"/>
  <c r="AC8" i="11" s="1"/>
  <c r="AI50" i="3"/>
  <c r="AC7" i="12" s="1"/>
  <c r="AI58" i="3"/>
  <c r="AC8" i="13" s="1"/>
  <c r="AI72" i="3"/>
  <c r="AC8" i="15" s="1"/>
  <c r="AI78" i="3"/>
  <c r="AC7" i="16" s="1"/>
  <c r="AI86" i="3"/>
  <c r="AC8" i="17" s="1"/>
  <c r="AI64" i="3"/>
  <c r="AC7" i="14" s="1"/>
  <c r="AI65" i="3"/>
  <c r="AC8" i="14" s="1"/>
  <c r="AI71" i="3"/>
  <c r="AC7" i="15" s="1"/>
  <c r="AI79" i="3"/>
  <c r="AC8" i="16" s="1"/>
  <c r="AI85" i="3"/>
  <c r="AC7" i="17" s="1"/>
  <c r="AI93" i="3"/>
  <c r="AC8" i="18" s="1"/>
  <c r="AI92" i="3"/>
  <c r="AC7" i="18" s="1"/>
  <c r="AI30" i="3"/>
  <c r="AC8" i="9" s="1"/>
  <c r="AI29" i="3"/>
  <c r="AC7" i="9" s="1"/>
  <c r="AI22" i="3"/>
  <c r="AC7" i="8" s="1"/>
  <c r="AC7" i="2"/>
  <c r="AI18" i="3"/>
  <c r="AC3" i="8" s="1"/>
  <c r="AC8" i="2"/>
  <c r="AI23" i="3"/>
  <c r="AC8" i="8" s="1"/>
  <c r="AI90" i="3"/>
  <c r="AC5" i="18" s="1"/>
  <c r="AI53" i="3"/>
  <c r="AC3" i="13" s="1"/>
  <c r="AI88" i="3"/>
  <c r="AC3" i="18" s="1"/>
  <c r="AI87" i="3"/>
  <c r="AC2" i="18" s="1"/>
  <c r="AI91" i="3"/>
  <c r="AC6" i="18" s="1"/>
  <c r="AI89" i="3"/>
  <c r="AC4" i="18" s="1"/>
  <c r="AI42" i="3"/>
  <c r="AC6" i="11" s="1"/>
  <c r="AI76" i="3"/>
  <c r="AC5" i="16" s="1"/>
  <c r="AI61" i="3"/>
  <c r="AC4" i="14" s="1"/>
  <c r="AI46" i="3"/>
  <c r="AC3" i="12" s="1"/>
  <c r="AI82" i="3"/>
  <c r="AC4" i="17" s="1"/>
  <c r="AI62" i="3"/>
  <c r="AC5" i="14" s="1"/>
  <c r="AI41" i="3"/>
  <c r="AC5" i="11" s="1"/>
  <c r="AI75" i="3"/>
  <c r="AC4" i="16" s="1"/>
  <c r="AI70" i="3"/>
  <c r="AC6" i="15" s="1"/>
  <c r="AI52" i="3"/>
  <c r="AC2" i="13" s="1"/>
  <c r="AI66" i="3"/>
  <c r="AC2" i="15" s="1"/>
  <c r="AI34" i="3"/>
  <c r="AC5" i="10" s="1"/>
  <c r="AI49" i="3"/>
  <c r="AC6" i="12" s="1"/>
  <c r="AI40" i="3"/>
  <c r="AC4" i="11" s="1"/>
  <c r="AI47" i="3"/>
  <c r="AC4" i="12" s="1"/>
  <c r="AI74" i="3"/>
  <c r="AC3" i="16" s="1"/>
  <c r="AI69" i="3"/>
  <c r="AC5" i="15" s="1"/>
  <c r="AI55" i="3"/>
  <c r="AC5" i="13" s="1"/>
  <c r="AI19" i="3"/>
  <c r="AC4" i="8" s="1"/>
  <c r="AI77" i="3"/>
  <c r="AC6" i="16" s="1"/>
  <c r="AI73" i="3"/>
  <c r="AC2" i="16" s="1"/>
  <c r="AI59" i="3"/>
  <c r="AC2" i="14" s="1"/>
  <c r="AI54" i="3"/>
  <c r="AC4" i="13" s="1"/>
  <c r="AI45" i="3"/>
  <c r="AC2" i="12" s="1"/>
  <c r="AI27" i="3"/>
  <c r="AC5" i="9" s="1"/>
  <c r="AI68" i="3"/>
  <c r="AC4" i="15" s="1"/>
  <c r="AI56" i="3"/>
  <c r="AC6" i="13" s="1"/>
  <c r="AI38" i="3"/>
  <c r="AC2" i="11" s="1"/>
  <c r="AI67" i="3"/>
  <c r="AC3" i="15" s="1"/>
  <c r="AI60" i="3"/>
  <c r="AC3" i="14" s="1"/>
  <c r="AI48" i="3"/>
  <c r="AC5" i="12" s="1"/>
  <c r="AI39" i="3"/>
  <c r="AC3" i="11" s="1"/>
  <c r="AI63" i="3"/>
  <c r="AC6" i="14" s="1"/>
  <c r="AI20" i="3"/>
  <c r="AC5" i="8" s="1"/>
  <c r="AI81" i="3"/>
  <c r="AC3" i="17" s="1"/>
  <c r="AI84" i="3"/>
  <c r="AC6" i="17" s="1"/>
  <c r="AI33" i="3"/>
  <c r="AC4" i="10" s="1"/>
  <c r="AI26" i="3"/>
  <c r="AC4" i="9" s="1"/>
  <c r="AI83" i="3"/>
  <c r="AC5" i="17" s="1"/>
  <c r="AI35" i="3"/>
  <c r="AC6" i="10" s="1"/>
  <c r="AI31" i="3"/>
  <c r="AC2" i="10" s="1"/>
  <c r="AI32" i="3"/>
  <c r="AC3" i="10" s="1"/>
  <c r="AI28" i="3"/>
  <c r="AC6" i="9" s="1"/>
  <c r="AI24" i="3"/>
  <c r="AC2" i="9" s="1"/>
  <c r="AI21" i="3"/>
  <c r="AC6" i="8" s="1"/>
  <c r="AI25" i="3"/>
  <c r="AC3" i="9" s="1"/>
  <c r="AI80" i="3"/>
  <c r="AC2" i="17" s="1"/>
  <c r="AI17" i="3"/>
  <c r="AC2" i="8" s="1"/>
  <c r="AJ9" i="3"/>
  <c r="AD2" i="2" s="1"/>
  <c r="AC1" i="17"/>
  <c r="AC1" i="15"/>
  <c r="AC1" i="13"/>
  <c r="AC1" i="11"/>
  <c r="AC1" i="9"/>
  <c r="AC1" i="18"/>
  <c r="AC1" i="16"/>
  <c r="AC1" i="14"/>
  <c r="AC1" i="12"/>
  <c r="AC1" i="10"/>
  <c r="AC1" i="2"/>
  <c r="AC1" i="8"/>
  <c r="AC4" i="2"/>
  <c r="AC5" i="2"/>
  <c r="AC3" i="2"/>
  <c r="AJ36" i="3" l="1"/>
  <c r="AD7" i="10" s="1"/>
  <c r="AJ37" i="3"/>
  <c r="AD8" i="10" s="1"/>
  <c r="AJ58" i="3"/>
  <c r="AD8" i="13" s="1"/>
  <c r="AJ43" i="3"/>
  <c r="AD7" i="11" s="1"/>
  <c r="AJ51" i="3"/>
  <c r="AD8" i="12" s="1"/>
  <c r="AJ57" i="3"/>
  <c r="AD7" i="13" s="1"/>
  <c r="AJ44" i="3"/>
  <c r="AD8" i="11" s="1"/>
  <c r="AJ50" i="3"/>
  <c r="AD7" i="12" s="1"/>
  <c r="AJ72" i="3"/>
  <c r="AD8" i="15" s="1"/>
  <c r="AJ78" i="3"/>
  <c r="AD7" i="16" s="1"/>
  <c r="AJ64" i="3"/>
  <c r="AD7" i="14" s="1"/>
  <c r="AJ65" i="3"/>
  <c r="AD8" i="14" s="1"/>
  <c r="AJ71" i="3"/>
  <c r="AD7" i="15" s="1"/>
  <c r="AJ79" i="3"/>
  <c r="AD8" i="16" s="1"/>
  <c r="AJ85" i="3"/>
  <c r="AD7" i="17" s="1"/>
  <c r="AJ92" i="3"/>
  <c r="AD7" i="18" s="1"/>
  <c r="AJ93" i="3"/>
  <c r="AD8" i="18" s="1"/>
  <c r="AJ22" i="3"/>
  <c r="AD7" i="8" s="1"/>
  <c r="AJ30" i="3"/>
  <c r="AD8" i="9" s="1"/>
  <c r="AJ86" i="3"/>
  <c r="AD8" i="17" s="1"/>
  <c r="AJ29" i="3"/>
  <c r="AD7" i="9" s="1"/>
  <c r="AD7" i="2"/>
  <c r="AJ18" i="3"/>
  <c r="AD3" i="8" s="1"/>
  <c r="AJ23" i="3"/>
  <c r="AD8" i="8" s="1"/>
  <c r="AD8" i="2"/>
  <c r="AJ87" i="3"/>
  <c r="AD2" i="18" s="1"/>
  <c r="AJ53" i="3"/>
  <c r="AD3" i="13" s="1"/>
  <c r="AJ91" i="3"/>
  <c r="AD6" i="18" s="1"/>
  <c r="AJ89" i="3"/>
  <c r="AD4" i="18" s="1"/>
  <c r="AJ90" i="3"/>
  <c r="AD5" i="18" s="1"/>
  <c r="AJ88" i="3"/>
  <c r="AD3" i="18" s="1"/>
  <c r="AJ42" i="3"/>
  <c r="AD6" i="11" s="1"/>
  <c r="AJ76" i="3"/>
  <c r="AD5" i="16" s="1"/>
  <c r="AJ82" i="3"/>
  <c r="AD4" i="17" s="1"/>
  <c r="AJ61" i="3"/>
  <c r="AD4" i="14" s="1"/>
  <c r="AJ52" i="3"/>
  <c r="AD2" i="13" s="1"/>
  <c r="AJ75" i="3"/>
  <c r="AD4" i="16" s="1"/>
  <c r="AJ62" i="3"/>
  <c r="AD5" i="14" s="1"/>
  <c r="AJ41" i="3"/>
  <c r="AD5" i="11" s="1"/>
  <c r="AJ70" i="3"/>
  <c r="AD6" i="15" s="1"/>
  <c r="AJ46" i="3"/>
  <c r="AD3" i="12" s="1"/>
  <c r="AJ66" i="3"/>
  <c r="AD2" i="15" s="1"/>
  <c r="AJ67" i="3"/>
  <c r="AD3" i="15" s="1"/>
  <c r="AJ45" i="3"/>
  <c r="AD2" i="12" s="1"/>
  <c r="AJ19" i="3"/>
  <c r="AD4" i="8" s="1"/>
  <c r="AJ77" i="3"/>
  <c r="AD6" i="16" s="1"/>
  <c r="AJ56" i="3"/>
  <c r="AD6" i="13" s="1"/>
  <c r="AJ38" i="3"/>
  <c r="AD2" i="11" s="1"/>
  <c r="AJ74" i="3"/>
  <c r="AD3" i="16" s="1"/>
  <c r="AJ73" i="3"/>
  <c r="AD2" i="16" s="1"/>
  <c r="AJ59" i="3"/>
  <c r="AD2" i="14" s="1"/>
  <c r="AJ47" i="3"/>
  <c r="AD4" i="12" s="1"/>
  <c r="AJ49" i="3"/>
  <c r="AD6" i="12" s="1"/>
  <c r="AJ40" i="3"/>
  <c r="AD4" i="11" s="1"/>
  <c r="AJ69" i="3"/>
  <c r="AD5" i="15" s="1"/>
  <c r="AJ68" i="3"/>
  <c r="AD4" i="15" s="1"/>
  <c r="AJ34" i="3"/>
  <c r="AD5" i="10" s="1"/>
  <c r="AJ60" i="3"/>
  <c r="AD3" i="14" s="1"/>
  <c r="AJ55" i="3"/>
  <c r="AD5" i="13" s="1"/>
  <c r="AJ27" i="3"/>
  <c r="AD5" i="9" s="1"/>
  <c r="AJ48" i="3"/>
  <c r="AD5" i="12" s="1"/>
  <c r="AJ39" i="3"/>
  <c r="AD3" i="11" s="1"/>
  <c r="AJ63" i="3"/>
  <c r="AD6" i="14" s="1"/>
  <c r="AJ54" i="3"/>
  <c r="AD4" i="13" s="1"/>
  <c r="AJ20" i="3"/>
  <c r="AD5" i="8" s="1"/>
  <c r="AJ84" i="3"/>
  <c r="AD6" i="17" s="1"/>
  <c r="AJ81" i="3"/>
  <c r="AD3" i="17" s="1"/>
  <c r="AJ33" i="3"/>
  <c r="AD4" i="10" s="1"/>
  <c r="AJ26" i="3"/>
  <c r="AD4" i="9" s="1"/>
  <c r="AJ83" i="3"/>
  <c r="AD5" i="17" s="1"/>
  <c r="AJ35" i="3"/>
  <c r="AD6" i="10" s="1"/>
  <c r="AJ28" i="3"/>
  <c r="AD6" i="9" s="1"/>
  <c r="AJ31" i="3"/>
  <c r="AD2" i="10" s="1"/>
  <c r="AJ32" i="3"/>
  <c r="AD3" i="10" s="1"/>
  <c r="AJ80" i="3"/>
  <c r="AD2" i="17" s="1"/>
  <c r="AJ24" i="3"/>
  <c r="AD2" i="9" s="1"/>
  <c r="AJ25" i="3"/>
  <c r="AD3" i="9" s="1"/>
  <c r="AJ17" i="3"/>
  <c r="AD2" i="8" s="1"/>
  <c r="AJ21" i="3"/>
  <c r="AD6" i="8" s="1"/>
  <c r="AK9" i="3"/>
  <c r="AE2" i="2" s="1"/>
  <c r="AD1" i="17"/>
  <c r="AD1" i="15"/>
  <c r="AD1" i="13"/>
  <c r="AD1" i="11"/>
  <c r="AD1" i="9"/>
  <c r="AD1" i="14"/>
  <c r="AD1" i="12"/>
  <c r="AD1" i="2"/>
  <c r="AD1" i="18"/>
  <c r="AD1" i="10"/>
  <c r="AD1" i="16"/>
  <c r="AD1" i="8"/>
  <c r="AD4" i="2"/>
  <c r="AD5" i="2"/>
  <c r="AD3" i="2"/>
  <c r="AK36" i="3" l="1"/>
  <c r="AE7" i="10" s="1"/>
  <c r="AK37" i="3"/>
  <c r="AE8" i="10" s="1"/>
  <c r="AK44" i="3"/>
  <c r="AE8" i="11" s="1"/>
  <c r="AK50" i="3"/>
  <c r="AE7" i="12" s="1"/>
  <c r="AK58" i="3"/>
  <c r="AE8" i="13" s="1"/>
  <c r="AK64" i="3"/>
  <c r="AE7" i="14" s="1"/>
  <c r="AK29" i="3"/>
  <c r="AE7" i="9" s="1"/>
  <c r="AK43" i="3"/>
  <c r="AE7" i="11" s="1"/>
  <c r="AK51" i="3"/>
  <c r="AE8" i="12" s="1"/>
  <c r="AK57" i="3"/>
  <c r="AE7" i="13" s="1"/>
  <c r="AK65" i="3"/>
  <c r="AE8" i="14" s="1"/>
  <c r="AK71" i="3"/>
  <c r="AE7" i="15" s="1"/>
  <c r="AK79" i="3"/>
  <c r="AE8" i="16" s="1"/>
  <c r="AK85" i="3"/>
  <c r="AE7" i="17" s="1"/>
  <c r="AK72" i="3"/>
  <c r="AE8" i="15" s="1"/>
  <c r="AK78" i="3"/>
  <c r="AE7" i="16" s="1"/>
  <c r="AK92" i="3"/>
  <c r="AE7" i="18" s="1"/>
  <c r="AK93" i="3"/>
  <c r="AE8" i="18" s="1"/>
  <c r="AK30" i="3"/>
  <c r="AE8" i="9" s="1"/>
  <c r="AK22" i="3"/>
  <c r="AE7" i="8" s="1"/>
  <c r="AK86" i="3"/>
  <c r="AE8" i="17" s="1"/>
  <c r="AE7" i="2"/>
  <c r="AK18" i="3"/>
  <c r="AE3" i="8" s="1"/>
  <c r="AE8" i="2"/>
  <c r="AK23" i="3"/>
  <c r="AE8" i="8" s="1"/>
  <c r="AK90" i="3"/>
  <c r="AE5" i="18" s="1"/>
  <c r="AK88" i="3"/>
  <c r="AE3" i="18" s="1"/>
  <c r="AK42" i="3"/>
  <c r="AE6" i="11" s="1"/>
  <c r="AK53" i="3"/>
  <c r="AE3" i="13" s="1"/>
  <c r="AK91" i="3"/>
  <c r="AE6" i="18" s="1"/>
  <c r="AK89" i="3"/>
  <c r="AE4" i="18" s="1"/>
  <c r="AK87" i="3"/>
  <c r="AE2" i="18" s="1"/>
  <c r="AK82" i="3"/>
  <c r="AE4" i="17" s="1"/>
  <c r="AK75" i="3"/>
  <c r="AE4" i="16" s="1"/>
  <c r="AK70" i="3"/>
  <c r="AE6" i="15" s="1"/>
  <c r="AK66" i="3"/>
  <c r="AE2" i="15" s="1"/>
  <c r="AK52" i="3"/>
  <c r="AE2" i="13" s="1"/>
  <c r="AK76" i="3"/>
  <c r="AE5" i="16" s="1"/>
  <c r="AK61" i="3"/>
  <c r="AE4" i="14" s="1"/>
  <c r="AK62" i="3"/>
  <c r="AE5" i="14" s="1"/>
  <c r="AK46" i="3"/>
  <c r="AE3" i="12" s="1"/>
  <c r="AK41" i="3"/>
  <c r="AE5" i="11" s="1"/>
  <c r="AK34" i="3"/>
  <c r="AE5" i="10" s="1"/>
  <c r="AK74" i="3"/>
  <c r="AE3" i="16" s="1"/>
  <c r="AK55" i="3"/>
  <c r="AE5" i="13" s="1"/>
  <c r="AK39" i="3"/>
  <c r="AE3" i="11" s="1"/>
  <c r="AK63" i="3"/>
  <c r="AE6" i="14" s="1"/>
  <c r="AK56" i="3"/>
  <c r="AE6" i="13" s="1"/>
  <c r="AK47" i="3"/>
  <c r="AE4" i="12" s="1"/>
  <c r="AK69" i="3"/>
  <c r="AE5" i="15" s="1"/>
  <c r="AK59" i="3"/>
  <c r="AE2" i="14" s="1"/>
  <c r="AK38" i="3"/>
  <c r="AE2" i="11" s="1"/>
  <c r="AK49" i="3"/>
  <c r="AE6" i="12" s="1"/>
  <c r="AK45" i="3"/>
  <c r="AE2" i="12" s="1"/>
  <c r="AK40" i="3"/>
  <c r="AE4" i="11" s="1"/>
  <c r="AK27" i="3"/>
  <c r="AE5" i="9" s="1"/>
  <c r="AK19" i="3"/>
  <c r="AE4" i="8" s="1"/>
  <c r="AK48" i="3"/>
  <c r="AE5" i="12" s="1"/>
  <c r="AK77" i="3"/>
  <c r="AE6" i="16" s="1"/>
  <c r="AK73" i="3"/>
  <c r="AE2" i="16" s="1"/>
  <c r="AK67" i="3"/>
  <c r="AE3" i="15" s="1"/>
  <c r="AK60" i="3"/>
  <c r="AE3" i="14" s="1"/>
  <c r="AK68" i="3"/>
  <c r="AE4" i="15" s="1"/>
  <c r="AK54" i="3"/>
  <c r="AE4" i="13" s="1"/>
  <c r="AK20" i="3"/>
  <c r="AE5" i="8" s="1"/>
  <c r="AK84" i="3"/>
  <c r="AE6" i="17" s="1"/>
  <c r="AK81" i="3"/>
  <c r="AE3" i="17" s="1"/>
  <c r="AK26" i="3"/>
  <c r="AE4" i="9" s="1"/>
  <c r="AK33" i="3"/>
  <c r="AE4" i="10" s="1"/>
  <c r="AK83" i="3"/>
  <c r="AE5" i="17" s="1"/>
  <c r="AK31" i="3"/>
  <c r="AE2" i="10" s="1"/>
  <c r="AK35" i="3"/>
  <c r="AE6" i="10" s="1"/>
  <c r="AK28" i="3"/>
  <c r="AE6" i="9" s="1"/>
  <c r="AK25" i="3"/>
  <c r="AE3" i="9" s="1"/>
  <c r="AK80" i="3"/>
  <c r="AE2" i="17" s="1"/>
  <c r="AK17" i="3"/>
  <c r="AE2" i="8" s="1"/>
  <c r="AK21" i="3"/>
  <c r="AE6" i="8" s="1"/>
  <c r="AK24" i="3"/>
  <c r="AE2" i="9" s="1"/>
  <c r="AK32" i="3"/>
  <c r="AE3" i="10" s="1"/>
  <c r="AL9" i="3"/>
  <c r="AF2" i="2" s="1"/>
  <c r="AE1" i="18"/>
  <c r="AE1" i="16"/>
  <c r="AE1" i="14"/>
  <c r="AE1" i="12"/>
  <c r="AE1" i="10"/>
  <c r="AE1" i="17"/>
  <c r="AE1" i="15"/>
  <c r="AE1" i="13"/>
  <c r="AE1" i="11"/>
  <c r="AE1" i="8"/>
  <c r="AE1" i="2"/>
  <c r="AE1" i="9"/>
  <c r="AE4" i="2"/>
  <c r="AE5" i="2"/>
  <c r="AE3" i="2"/>
  <c r="AL36" i="3" l="1"/>
  <c r="AF7" i="10" s="1"/>
  <c r="AL37" i="3"/>
  <c r="AF8" i="10" s="1"/>
  <c r="AL57" i="3"/>
  <c r="AF7" i="13" s="1"/>
  <c r="AL44" i="3"/>
  <c r="AF8" i="11" s="1"/>
  <c r="AL50" i="3"/>
  <c r="AF7" i="12" s="1"/>
  <c r="AL58" i="3"/>
  <c r="AF8" i="13" s="1"/>
  <c r="AL43" i="3"/>
  <c r="AF7" i="11" s="1"/>
  <c r="AL51" i="3"/>
  <c r="AF8" i="12" s="1"/>
  <c r="AL64" i="3"/>
  <c r="AF7" i="14" s="1"/>
  <c r="AL65" i="3"/>
  <c r="AF8" i="14" s="1"/>
  <c r="AL71" i="3"/>
  <c r="AF7" i="15" s="1"/>
  <c r="AL79" i="3"/>
  <c r="AF8" i="16" s="1"/>
  <c r="AL72" i="3"/>
  <c r="AF8" i="15" s="1"/>
  <c r="AL78" i="3"/>
  <c r="AF7" i="16" s="1"/>
  <c r="AL93" i="3"/>
  <c r="AF8" i="18" s="1"/>
  <c r="AL85" i="3"/>
  <c r="AF7" i="17" s="1"/>
  <c r="AL92" i="3"/>
  <c r="AF7" i="18" s="1"/>
  <c r="AL29" i="3"/>
  <c r="AF7" i="9" s="1"/>
  <c r="AL22" i="3"/>
  <c r="AF7" i="8" s="1"/>
  <c r="AL30" i="3"/>
  <c r="AF8" i="9" s="1"/>
  <c r="AL86" i="3"/>
  <c r="AF8" i="17" s="1"/>
  <c r="AF7" i="2"/>
  <c r="AL18" i="3"/>
  <c r="AF3" i="8" s="1"/>
  <c r="AF8" i="2"/>
  <c r="AL23" i="3"/>
  <c r="AF8" i="8" s="1"/>
  <c r="AL90" i="3"/>
  <c r="AF5" i="18" s="1"/>
  <c r="AL87" i="3"/>
  <c r="AF2" i="18" s="1"/>
  <c r="AL42" i="3"/>
  <c r="AF6" i="11" s="1"/>
  <c r="AL91" i="3"/>
  <c r="AF6" i="18" s="1"/>
  <c r="AL53" i="3"/>
  <c r="AF3" i="13" s="1"/>
  <c r="AL89" i="3"/>
  <c r="AF4" i="18" s="1"/>
  <c r="AL88" i="3"/>
  <c r="AF3" i="18" s="1"/>
  <c r="AL52" i="3"/>
  <c r="AF2" i="13" s="1"/>
  <c r="AL75" i="3"/>
  <c r="AF4" i="16" s="1"/>
  <c r="AL70" i="3"/>
  <c r="AF6" i="15" s="1"/>
  <c r="AL76" i="3"/>
  <c r="AF5" i="16" s="1"/>
  <c r="AL66" i="3"/>
  <c r="AF2" i="15" s="1"/>
  <c r="AL41" i="3"/>
  <c r="AF5" i="11" s="1"/>
  <c r="AL62" i="3"/>
  <c r="AF5" i="14" s="1"/>
  <c r="AL46" i="3"/>
  <c r="AF3" i="12" s="1"/>
  <c r="AL82" i="3"/>
  <c r="AF4" i="17" s="1"/>
  <c r="AL56" i="3"/>
  <c r="AF6" i="13" s="1"/>
  <c r="AL67" i="3"/>
  <c r="AF3" i="15" s="1"/>
  <c r="AL60" i="3"/>
  <c r="AF3" i="14" s="1"/>
  <c r="AL39" i="3"/>
  <c r="AF3" i="11" s="1"/>
  <c r="AL77" i="3"/>
  <c r="AF6" i="16" s="1"/>
  <c r="AL68" i="3"/>
  <c r="AF4" i="15" s="1"/>
  <c r="AL34" i="3"/>
  <c r="AF5" i="10" s="1"/>
  <c r="AL49" i="3"/>
  <c r="AF6" i="12" s="1"/>
  <c r="AL74" i="3"/>
  <c r="AF3" i="16" s="1"/>
  <c r="AL55" i="3"/>
  <c r="AF5" i="13" s="1"/>
  <c r="AL48" i="3"/>
  <c r="AF5" i="12" s="1"/>
  <c r="AL63" i="3"/>
  <c r="AF6" i="14" s="1"/>
  <c r="AL61" i="3"/>
  <c r="AF4" i="14" s="1"/>
  <c r="AL47" i="3"/>
  <c r="AF4" i="12" s="1"/>
  <c r="AL40" i="3"/>
  <c r="AF4" i="11" s="1"/>
  <c r="AL69" i="3"/>
  <c r="AF5" i="15" s="1"/>
  <c r="AL73" i="3"/>
  <c r="AF2" i="16" s="1"/>
  <c r="AL59" i="3"/>
  <c r="AF2" i="14" s="1"/>
  <c r="AL38" i="3"/>
  <c r="AF2" i="11" s="1"/>
  <c r="AL45" i="3"/>
  <c r="AF2" i="12" s="1"/>
  <c r="AL27" i="3"/>
  <c r="AF5" i="9" s="1"/>
  <c r="AL19" i="3"/>
  <c r="AF4" i="8" s="1"/>
  <c r="AL54" i="3"/>
  <c r="AF4" i="13" s="1"/>
  <c r="AL20" i="3"/>
  <c r="AF5" i="8" s="1"/>
  <c r="AL81" i="3"/>
  <c r="AF3" i="17" s="1"/>
  <c r="AL33" i="3"/>
  <c r="AF4" i="10" s="1"/>
  <c r="AL84" i="3"/>
  <c r="AF6" i="17" s="1"/>
  <c r="AL26" i="3"/>
  <c r="AF4" i="9" s="1"/>
  <c r="AL83" i="3"/>
  <c r="AF5" i="17" s="1"/>
  <c r="AL35" i="3"/>
  <c r="AF6" i="10" s="1"/>
  <c r="AL24" i="3"/>
  <c r="AF2" i="9" s="1"/>
  <c r="AL32" i="3"/>
  <c r="AF3" i="10" s="1"/>
  <c r="AL80" i="3"/>
  <c r="AF2" i="17" s="1"/>
  <c r="AL25" i="3"/>
  <c r="AF3" i="9" s="1"/>
  <c r="AL28" i="3"/>
  <c r="AF6" i="9" s="1"/>
  <c r="AL31" i="3"/>
  <c r="AF2" i="10" s="1"/>
  <c r="AL21" i="3"/>
  <c r="AF6" i="8" s="1"/>
  <c r="AL17" i="3"/>
  <c r="AF2" i="8" s="1"/>
  <c r="AF1" i="18"/>
  <c r="AF1" i="16"/>
  <c r="AF1" i="14"/>
  <c r="AF1" i="12"/>
  <c r="AF1" i="10"/>
  <c r="AF1" i="15"/>
  <c r="AF1" i="9"/>
  <c r="AF1" i="13"/>
  <c r="AF1" i="8"/>
  <c r="AF1" i="11"/>
  <c r="AF1" i="17"/>
  <c r="AF1" i="2"/>
  <c r="AF4" i="2"/>
  <c r="AF5" i="2"/>
  <c r="AF3" i="2"/>
  <c r="R6" i="2" l="1"/>
  <c r="S14" i="3"/>
  <c r="Q6" i="2"/>
  <c r="M6" i="2" l="1"/>
  <c r="T14" i="3"/>
  <c r="U14" i="3" s="1"/>
  <c r="V14" i="3" s="1"/>
  <c r="S6" i="2"/>
  <c r="N6" i="2" l="1"/>
  <c r="T6" i="2"/>
  <c r="U6" i="2" l="1"/>
  <c r="O6" i="2"/>
  <c r="P6" i="2"/>
  <c r="V6" i="2" l="1"/>
  <c r="W6" i="2" l="1"/>
  <c r="X6" i="2" l="1"/>
  <c r="Y6" i="2" l="1"/>
  <c r="Z6" i="2" l="1"/>
  <c r="AA6" i="2" l="1"/>
  <c r="AB6" i="2" l="1"/>
  <c r="AC6" i="2" l="1"/>
  <c r="AD6" i="2" l="1"/>
  <c r="AF6" i="2" l="1"/>
  <c r="AE6" i="2"/>
</calcChain>
</file>

<file path=xl/sharedStrings.xml><?xml version="1.0" encoding="utf-8"?>
<sst xmlns="http://schemas.openxmlformats.org/spreadsheetml/2006/main" count="429" uniqueCount="138">
  <si>
    <t>Source:</t>
  </si>
  <si>
    <t>battery electric vehicle</t>
  </si>
  <si>
    <t>natural gas vehicle</t>
  </si>
  <si>
    <t>gasoline vehicle</t>
  </si>
  <si>
    <t>diesel vehicle</t>
  </si>
  <si>
    <t>plugin hybrid vehicle</t>
  </si>
  <si>
    <t>Notes</t>
  </si>
  <si>
    <t>When adapting the model to a new country or region, it may be helpful</t>
  </si>
  <si>
    <t>to calibrate this variable after replacing the input data for other variables.</t>
  </si>
  <si>
    <t>Vehicle Type</t>
  </si>
  <si>
    <t>Cargo Type</t>
  </si>
  <si>
    <t>Vehicle Technology</t>
  </si>
  <si>
    <t>LDVs</t>
  </si>
  <si>
    <t>HDVs</t>
  </si>
  <si>
    <t>aircraft</t>
  </si>
  <si>
    <t>rail</t>
  </si>
  <si>
    <t>ships</t>
  </si>
  <si>
    <t>motorbikes</t>
  </si>
  <si>
    <t>freight</t>
  </si>
  <si>
    <t>passenger</t>
  </si>
  <si>
    <t>Max Potential Sales Share</t>
  </si>
  <si>
    <t>The technology that is the reference type for a given vehicle type is</t>
  </si>
  <si>
    <t>allowed a 100% share in all years.  (This is "gasoline vehicle" for LDVs</t>
  </si>
  <si>
    <t>and motorbikes, "diesel vehicle" for HDVs.)</t>
  </si>
  <si>
    <t>All nonroad modes have a 100% share of the "nonroad vehicle"</t>
  </si>
  <si>
    <t>technology type and a 0% share of the other technology types.</t>
  </si>
  <si>
    <t>Technology allocation is only used for on-road vehicles in the EPS.</t>
  </si>
  <si>
    <t>On-road modes all have a 0% share of the "nonroad vehicle"</t>
  </si>
  <si>
    <t>technology type.</t>
  </si>
  <si>
    <t>Here are the assumptions we use for the U.S.:</t>
  </si>
  <si>
    <t>between the current sales share and the potential 2050 sales share.</t>
  </si>
  <si>
    <t>last year values (on the "Data" tab).</t>
  </si>
  <si>
    <t>as maximum potentials in the first simulated year.</t>
  </si>
  <si>
    <t>First and Last Simulated Year Values</t>
  </si>
  <si>
    <t>First Simulated Year Values Only</t>
  </si>
  <si>
    <t>technology, as calculated in variable SYVbT.</t>
  </si>
  <si>
    <t>See SYVbT variable.</t>
  </si>
  <si>
    <t>For passenger motorbikes, we use the share of existing vehicles by</t>
  </si>
  <si>
    <t>Last Simulated Year Values Only</t>
  </si>
  <si>
    <t>For passenger motorbikes, we assume there will be no diesel</t>
  </si>
  <si>
    <t>vehicle, natural gas vehicle, or plug-in hybrid vehicle technologies.</t>
  </si>
  <si>
    <t>In 2014 in China, 9.3 million electric motorcycles and scooters</t>
  </si>
  <si>
    <t>were sold, roughly 20 times the total number of motorcycles</t>
  </si>
  <si>
    <t>and scooters sold in the U.S. in that year.  Therefore, it seems</t>
  </si>
  <si>
    <t>possible that electric motorbikes could account for as much</t>
  </si>
  <si>
    <t>as 100% of U.S. motorbike sales in 205.</t>
  </si>
  <si>
    <t>For freight HDVs, we use estimated sales shares by technology in 2050</t>
  </si>
  <si>
    <t>from AEO 50.  This is a reference case, not a maximum, so we multiply</t>
  </si>
  <si>
    <t>the shares of the three newer technologies (battery electric vehicle,</t>
  </si>
  <si>
    <t>natural gas vehicle, plug-in hybrid vehicle) by a multiplier</t>
  </si>
  <si>
    <t>(see "Assumptions" tab) to represent the potential for sales to</t>
  </si>
  <si>
    <t>greatly exceed the reference case values.</t>
  </si>
  <si>
    <t>For passenger LDVs, predictions of battery electric penetration vary.</t>
  </si>
  <si>
    <t>natural gas vehicle, and plug-in hybrid vehicle), we use the</t>
  </si>
  <si>
    <t>the case when estimating the first year, this is using a share of</t>
  </si>
  <si>
    <t>For other unusual technologies (diesel vehicle,</t>
  </si>
  <si>
    <t>entire projected stock in 2050 could be built in a single year,</t>
  </si>
  <si>
    <t>which is generous, and thus may compensate for the fact that</t>
  </si>
  <si>
    <t>our AEO source is a reference case, not a maximum.</t>
  </si>
  <si>
    <t>double the percentage of stock estimated by EIA for 2050 (AEO 40).  As was</t>
  </si>
  <si>
    <t>stock to represent a share of sales.  This effectively assumes that twice the</t>
  </si>
  <si>
    <t>L</t>
  </si>
  <si>
    <t>k</t>
  </si>
  <si>
    <t>Xo</t>
  </si>
  <si>
    <t>Interpolation Method</t>
  </si>
  <si>
    <t>We use sigmoidal interpolation for relatively new technologies (battery electric vehicles, natural gas vehicles, and</t>
  </si>
  <si>
    <t>plugin hybrid vehicles) and linear interpolation for other vehicle technologies.  Technologies with constant values</t>
  </si>
  <si>
    <t>do not require interpolation.</t>
  </si>
  <si>
    <t>The values (to the right) that define the shape of the sigmoidal curve are assumptions, which neatly approach the</t>
  </si>
  <si>
    <t>specified 2050 max sales share with a flattening curve.  (Of course, linear interpolation is similarly an assumption.)</t>
  </si>
  <si>
    <t>To make it easier to set the values for this variable, it is set up to interpolate</t>
  </si>
  <si>
    <t>For freight LDVs, we use the same percentages as passenger LDVs,</t>
  </si>
  <si>
    <t>necessary to avoid a situation where the retirement rate of the</t>
  </si>
  <si>
    <t>start year diesel engine freight LDVs is far in excess of how quickly</t>
  </si>
  <si>
    <t>they can be replaced.</t>
  </si>
  <si>
    <t>except we allow up to 100% diesel engine market share, which is</t>
  </si>
  <si>
    <t>linear</t>
  </si>
  <si>
    <t>For passenger HDVs, we use the same percentages as passenger LDVs.</t>
  </si>
  <si>
    <t>LPG vehicle</t>
  </si>
  <si>
    <t>hydrogen vehicle</t>
  </si>
  <si>
    <t>Max Fraction of Production (dimensionless)</t>
  </si>
  <si>
    <t>Number of Vehicles</t>
  </si>
  <si>
    <t xml:space="preserve">For passenger LDVs, we use the sales shares by technology from AEO 38 </t>
  </si>
  <si>
    <t>Using the reported sales share from a few years out produces more accurate</t>
  </si>
  <si>
    <t>*for passenger LDVs only, see Assumptions page</t>
  </si>
  <si>
    <t>Sigmoidal Curve Values for battery electric passenger LDV Technologies</t>
  </si>
  <si>
    <t>Sigmoidal Curve Values for Vehicle Technologies (all except battery electric passenger LDVs)</t>
  </si>
  <si>
    <t>For freight HDVs, we use the sales shares by technology from AEO 50</t>
  </si>
  <si>
    <t>Many organizations have released projections.</t>
  </si>
  <si>
    <t>See an explanation on the Assumptions page for how the passenger LDV</t>
  </si>
  <si>
    <t>values were calibrated against one such source.</t>
  </si>
  <si>
    <t>TTS Transportation Technology Shareweights</t>
  </si>
  <si>
    <t>The easiest way to calibrate this variable is to simply adjust these first and</t>
  </si>
  <si>
    <t>This variable provides the shareweights used in the modified logit equation for vehicle</t>
  </si>
  <si>
    <t>technology selection.  We base them on estimated potential maximum sales shares in each year.</t>
  </si>
  <si>
    <t>For more on this, see the "Modified Logit" equation description at:</t>
  </si>
  <si>
    <t>https://jgcri.github.io/gcam-doc/choice.html</t>
  </si>
  <si>
    <t>For freight LDVs and passenger HDVs, we use the share of existing vehicles by</t>
  </si>
  <si>
    <t>in year 2030 as the maximum potential in the first simulated year.</t>
  </si>
  <si>
    <t>forecasts in the start year, since this represents a maximum rather than</t>
  </si>
  <si>
    <t>an actual deployment amount.</t>
  </si>
  <si>
    <t>Psgr LDVs only</t>
  </si>
  <si>
    <t>All vehicles</t>
  </si>
  <si>
    <t>year</t>
  </si>
  <si>
    <t>vehicle_type</t>
  </si>
  <si>
    <t>vehicle_tech</t>
  </si>
  <si>
    <t>cost</t>
  </si>
  <si>
    <t>share_obs</t>
  </si>
  <si>
    <t>w</t>
  </si>
  <si>
    <t>alpha</t>
  </si>
  <si>
    <t>passenger LDVs</t>
  </si>
  <si>
    <t>indicates value hardcoded during calibration</t>
  </si>
  <si>
    <t>Time (Year)</t>
  </si>
  <si>
    <t>NPV of Lifetime Vehicle Cost[rail,passenger,battery electric vehicle] : NoSettings</t>
  </si>
  <si>
    <t>NPV of Lifetime Vehicle Cost[rail,passenger,natural gas vehicle] : NoSettings</t>
  </si>
  <si>
    <t>NPV of Lifetime Vehicle Cost[rail,passenger,gasoline vehicle] : NoSettings</t>
  </si>
  <si>
    <t>NPV of Lifetime Vehicle Cost[rail,passenger,diesel vehicle] : NoSettings</t>
  </si>
  <si>
    <t>NPV of Lifetime Vehicle Cost[rail,passenger,plugin hybrid vehicle] : NoSettings</t>
  </si>
  <si>
    <t>NPV of Lifetime Vehicle Cost[rail,passenger,LPG vehicle] : NoSettings</t>
  </si>
  <si>
    <t>NPV of Lifetime Vehicle Cost[rail,passenger,hydrogen vehicle] : NoSettings</t>
  </si>
  <si>
    <t>NPV of Lifetime Vehicle Cost[rail,freight,battery electric vehicle] : NoSettings</t>
  </si>
  <si>
    <t>NPV of Lifetime Vehicle Cost[rail,freight,natural gas vehicle] : NoSettings</t>
  </si>
  <si>
    <t>NPV of Lifetime Vehicle Cost[rail,freight,gasoline vehicle] : NoSettings</t>
  </si>
  <si>
    <t>NPV of Lifetime Vehicle Cost[rail,freight,diesel vehicle] : NoSettings</t>
  </si>
  <si>
    <t>NPV of Lifetime Vehicle Cost[rail,freight,plugin hybrid vehicle] : NoSettings</t>
  </si>
  <si>
    <t>NPV of Lifetime Vehicle Cost[rail,freight,LPG vehicle] : NoSettings</t>
  </si>
  <si>
    <t>NPV of Lifetime Vehicle Cost[rail,freight,hydrogen vehicle] : NoSettings</t>
  </si>
  <si>
    <t xml:space="preserve">      TTS Transportation Technology Shareweights[Vehicle Type,Cargo Type,Vehicle Technology</t>
  </si>
  <si>
    <t>]</t>
  </si>
  <si>
    <t xml:space="preserve">      * exp(MAX(1, NPV of Lifetime Vehicle Cost[Vehicle Type,Cargo Type,Vehicle Technology</t>
  </si>
  <si>
    <t>]* Vehicle Allocation Unit Correction)/1e+06*TTLE Transportation Technology Logit Exponents</t>
  </si>
  <si>
    <t>[Vehicle Type,Cargo Type])</t>
  </si>
  <si>
    <t xml:space="preserve">    )</t>
  </si>
  <si>
    <t xml:space="preserve">    /</t>
  </si>
  <si>
    <t xml:space="preserve">    (</t>
  </si>
  <si>
    <t xml:space="preserve">      SUM(TTS Transportation Technology Shareweights[Vehicle Type,Cargo Type,Vehicle Technology</t>
  </si>
  <si>
    <t>!]</t>
  </si>
  <si>
    <t>!]* Vehicle Allocation Unit Correction)/1e+06*TTLE Transportation Technology Logit Exponents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</si>
</sst>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0.0"/>
    <numFmt numFmtId="167" formatCode="0_);[Red]\(0\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 wrapText="1"/>
    </xf>
    <xf numFmtId="0" fontId="1" fillId="0" borderId="0" xfId="0" applyFont="1" applyAlignment="1">
      <alignment horizontal="right"/>
    </xf>
    <xf numFmtId="1" fontId="0" fillId="0" borderId="0" xfId="0" applyNumberFormat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3" fontId="0" fillId="0" borderId="0" xfId="0" applyNumberFormat="1"/>
    <xf numFmtId="0" fontId="1" fillId="2" borderId="0" xfId="0" applyFont="1" applyFill="1"/>
    <xf numFmtId="0" fontId="5" fillId="0" borderId="0" xfId="0" applyFont="1"/>
    <xf numFmtId="0" fontId="0" fillId="2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0" xfId="0" applyFill="1"/>
    <xf numFmtId="0" fontId="0" fillId="0" borderId="9" xfId="0" applyBorder="1"/>
    <xf numFmtId="0" fontId="0" fillId="0" borderId="11" xfId="0" applyBorder="1"/>
    <xf numFmtId="0" fontId="1" fillId="4" borderId="0" xfId="0" applyFont="1" applyFill="1"/>
    <xf numFmtId="164" fontId="0" fillId="0" borderId="0" xfId="0" applyNumberFormat="1"/>
    <xf numFmtId="0" fontId="0" fillId="0" borderId="5" xfId="0" applyBorder="1"/>
    <xf numFmtId="165" fontId="0" fillId="0" borderId="0" xfId="9" applyNumberFormat="1" applyFont="1"/>
    <xf numFmtId="0" fontId="1" fillId="0" borderId="0" xfId="0" applyFont="1" applyAlignment="1">
      <alignment wrapText="1"/>
    </xf>
    <xf numFmtId="164" fontId="0" fillId="0" borderId="5" xfId="0" applyNumberFormat="1" applyBorder="1"/>
    <xf numFmtId="0" fontId="8" fillId="2" borderId="0" xfId="0" applyFont="1" applyFill="1" applyAlignment="1">
      <alignment horizontal="right" wrapText="1"/>
    </xf>
    <xf numFmtId="166" fontId="0" fillId="0" borderId="0" xfId="0" applyNumberFormat="1"/>
    <xf numFmtId="0" fontId="6" fillId="0" borderId="0" xfId="8" applyAlignment="1"/>
    <xf numFmtId="164" fontId="0" fillId="3" borderId="0" xfId="0" applyNumberFormat="1" applyFill="1"/>
    <xf numFmtId="167" fontId="0" fillId="0" borderId="0" xfId="0" applyNumberFormat="1"/>
    <xf numFmtId="0" fontId="0" fillId="5" borderId="0" xfId="0" applyFill="1"/>
    <xf numFmtId="0" fontId="0" fillId="6" borderId="0" xfId="0" applyFill="1"/>
    <xf numFmtId="11" fontId="0" fillId="0" borderId="0" xfId="0" applyNumberFormat="1"/>
  </cellXfs>
  <cellStyles count="10">
    <cellStyle name="Body: normal cell" xfId="4" xr:uid="{00000000-0005-0000-0000-000000000000}"/>
    <cellStyle name="Comma" xfId="9" builtinId="3"/>
    <cellStyle name="Font: Calibri, 9pt regular" xfId="6" xr:uid="{00000000-0005-0000-0000-000002000000}"/>
    <cellStyle name="Footnotes: top row" xfId="2" xr:uid="{00000000-0005-0000-0000-000003000000}"/>
    <cellStyle name="Header: bottom row" xfId="5" xr:uid="{00000000-0005-0000-0000-000004000000}"/>
    <cellStyle name="Hyperlink" xfId="8" builtinId="8"/>
    <cellStyle name="Normal" xfId="0" builtinId="0"/>
    <cellStyle name="Normal 2" xfId="1" xr:uid="{00000000-0005-0000-0000-000007000000}"/>
    <cellStyle name="Parent row" xfId="3" xr:uid="{00000000-0005-0000-0000-000008000000}"/>
    <cellStyle name="Table title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Data!$H$10:$AL$10</c:f>
              <c:numCache>
                <c:formatCode>General</c:formatCode>
                <c:ptCount val="31"/>
                <c:pt idx="0" formatCode="0.0000">
                  <c:v>7.3490200174101794E-2</c:v>
                </c:pt>
                <c:pt idx="1">
                  <c:v>7.3490200174101794E-2</c:v>
                </c:pt>
                <c:pt idx="2">
                  <c:v>0.157825313074512</c:v>
                </c:pt>
                <c:pt idx="3">
                  <c:v>0.13005309903783399</c:v>
                </c:pt>
                <c:pt idx="4">
                  <c:v>0.17042213170193199</c:v>
                </c:pt>
                <c:pt idx="5">
                  <c:v>0.26665968836382897</c:v>
                </c:pt>
                <c:pt idx="6">
                  <c:v>0.30932775069106316</c:v>
                </c:pt>
                <c:pt idx="7">
                  <c:v>0.35199581301829735</c:v>
                </c:pt>
                <c:pt idx="8">
                  <c:v>0.39466387534553155</c:v>
                </c:pt>
                <c:pt idx="9">
                  <c:v>0.43733193767276574</c:v>
                </c:pt>
                <c:pt idx="10">
                  <c:v>0.48</c:v>
                </c:pt>
                <c:pt idx="11">
                  <c:v>0.504</c:v>
                </c:pt>
                <c:pt idx="12">
                  <c:v>0.52800000000000002</c:v>
                </c:pt>
                <c:pt idx="13">
                  <c:v>0.55200000000000005</c:v>
                </c:pt>
                <c:pt idx="14">
                  <c:v>0.57600000000000007</c:v>
                </c:pt>
                <c:pt idx="15">
                  <c:v>0.6</c:v>
                </c:pt>
                <c:pt idx="16">
                  <c:v>0.64600000000000002</c:v>
                </c:pt>
                <c:pt idx="17">
                  <c:v>0.69200000000000006</c:v>
                </c:pt>
                <c:pt idx="18">
                  <c:v>0.7380000000000001</c:v>
                </c:pt>
                <c:pt idx="19">
                  <c:v>0.78400000000000014</c:v>
                </c:pt>
                <c:pt idx="20">
                  <c:v>0.83</c:v>
                </c:pt>
                <c:pt idx="21">
                  <c:v>0.94399999999999995</c:v>
                </c:pt>
                <c:pt idx="22">
                  <c:v>1.0579999999999998</c:v>
                </c:pt>
                <c:pt idx="23">
                  <c:v>1.1719999999999997</c:v>
                </c:pt>
                <c:pt idx="24">
                  <c:v>1.2859999999999996</c:v>
                </c:pt>
                <c:pt idx="25">
                  <c:v>1.4</c:v>
                </c:pt>
                <c:pt idx="26">
                  <c:v>1.64</c:v>
                </c:pt>
                <c:pt idx="27">
                  <c:v>1.88</c:v>
                </c:pt>
                <c:pt idx="28">
                  <c:v>2.12</c:v>
                </c:pt>
                <c:pt idx="29">
                  <c:v>2.3600000000000003</c:v>
                </c:pt>
                <c:pt idx="30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D-493F-BBC6-6B463F1C89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Data!$H$11:$AL$11</c:f>
              <c:numCache>
                <c:formatCode>General</c:formatCode>
                <c:ptCount val="31"/>
                <c:pt idx="0" formatCode="0.0000">
                  <c:v>3.3619455883161201E-3</c:v>
                </c:pt>
                <c:pt idx="1">
                  <c:v>3.3619455883161201E-3</c:v>
                </c:pt>
                <c:pt idx="2">
                  <c:v>3.2366567758692999E-3</c:v>
                </c:pt>
                <c:pt idx="3">
                  <c:v>3.3102715104686301E-3</c:v>
                </c:pt>
                <c:pt idx="4">
                  <c:v>3.31078535598989E-3</c:v>
                </c:pt>
                <c:pt idx="5">
                  <c:v>3.30901198145427E-3</c:v>
                </c:pt>
                <c:pt idx="6">
                  <c:v>3.30901198145427E-3</c:v>
                </c:pt>
                <c:pt idx="7">
                  <c:v>3.30901198145427E-3</c:v>
                </c:pt>
                <c:pt idx="8">
                  <c:v>3.30901198145427E-3</c:v>
                </c:pt>
                <c:pt idx="9">
                  <c:v>3.30901198145427E-3</c:v>
                </c:pt>
                <c:pt idx="10">
                  <c:v>3.30901198145427E-3</c:v>
                </c:pt>
                <c:pt idx="11">
                  <c:v>3.30901198145427E-3</c:v>
                </c:pt>
                <c:pt idx="12">
                  <c:v>3.30901198145427E-3</c:v>
                </c:pt>
                <c:pt idx="13">
                  <c:v>3.30901198145427E-3</c:v>
                </c:pt>
                <c:pt idx="14">
                  <c:v>3.30901198145427E-3</c:v>
                </c:pt>
                <c:pt idx="15">
                  <c:v>3.30901198145427E-3</c:v>
                </c:pt>
                <c:pt idx="16">
                  <c:v>3.30901198145427E-3</c:v>
                </c:pt>
                <c:pt idx="17">
                  <c:v>3.30901198145427E-3</c:v>
                </c:pt>
                <c:pt idx="18">
                  <c:v>3.30901198145427E-3</c:v>
                </c:pt>
                <c:pt idx="19">
                  <c:v>3.30901198145427E-3</c:v>
                </c:pt>
                <c:pt idx="20">
                  <c:v>3.30901198145427E-3</c:v>
                </c:pt>
                <c:pt idx="21">
                  <c:v>3.30901198145427E-3</c:v>
                </c:pt>
                <c:pt idx="22">
                  <c:v>3.30901198145427E-3</c:v>
                </c:pt>
                <c:pt idx="23">
                  <c:v>3.30901198145427E-3</c:v>
                </c:pt>
                <c:pt idx="24">
                  <c:v>3.30901198145427E-3</c:v>
                </c:pt>
                <c:pt idx="25">
                  <c:v>3.30901198145427E-3</c:v>
                </c:pt>
                <c:pt idx="26">
                  <c:v>3.30901198145427E-3</c:v>
                </c:pt>
                <c:pt idx="27">
                  <c:v>3.30901198145427E-3</c:v>
                </c:pt>
                <c:pt idx="28">
                  <c:v>3.30901198145427E-3</c:v>
                </c:pt>
                <c:pt idx="29">
                  <c:v>3.30901198145427E-3</c:v>
                </c:pt>
                <c:pt idx="30">
                  <c:v>3.30901198145427E-3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BD-493F-BBC6-6B463F1C898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Data!$H$12:$AL$12</c:f>
              <c:numCache>
                <c:formatCode>General</c:formatCode>
                <c:ptCount val="31"/>
                <c:pt idx="0" formatCode="0.000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BD-493F-BBC6-6B463F1C898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Data!$H$13:$AL$13</c:f>
              <c:numCache>
                <c:formatCode>General</c:formatCode>
                <c:ptCount val="31"/>
                <c:pt idx="0" formatCode="0.0000">
                  <c:v>0.59258194130892095</c:v>
                </c:pt>
                <c:pt idx="1">
                  <c:v>0.59258194130892095</c:v>
                </c:pt>
                <c:pt idx="2">
                  <c:v>0.59256250147626899</c:v>
                </c:pt>
                <c:pt idx="3">
                  <c:v>0.592196165783894</c:v>
                </c:pt>
                <c:pt idx="4">
                  <c:v>0.592014678526816</c:v>
                </c:pt>
                <c:pt idx="5">
                  <c:v>0.59122138352735099</c:v>
                </c:pt>
                <c:pt idx="6">
                  <c:v>0.59122138352735099</c:v>
                </c:pt>
                <c:pt idx="7">
                  <c:v>0.59122138352735099</c:v>
                </c:pt>
                <c:pt idx="8">
                  <c:v>0.59122138352735099</c:v>
                </c:pt>
                <c:pt idx="9">
                  <c:v>0.59122138352735099</c:v>
                </c:pt>
                <c:pt idx="10">
                  <c:v>0.59122138352735099</c:v>
                </c:pt>
                <c:pt idx="11">
                  <c:v>0.59122138352735099</c:v>
                </c:pt>
                <c:pt idx="12">
                  <c:v>0.59122138352735099</c:v>
                </c:pt>
                <c:pt idx="13">
                  <c:v>0.59122138352735099</c:v>
                </c:pt>
                <c:pt idx="14">
                  <c:v>0.59122138352735099</c:v>
                </c:pt>
                <c:pt idx="15">
                  <c:v>0.59122138352735099</c:v>
                </c:pt>
                <c:pt idx="16">
                  <c:v>0.59122138352735099</c:v>
                </c:pt>
                <c:pt idx="17">
                  <c:v>0.59122138352735099</c:v>
                </c:pt>
                <c:pt idx="18">
                  <c:v>0.59122138352735099</c:v>
                </c:pt>
                <c:pt idx="19">
                  <c:v>0.59122138352735099</c:v>
                </c:pt>
                <c:pt idx="20">
                  <c:v>0.59122138352735099</c:v>
                </c:pt>
                <c:pt idx="21">
                  <c:v>0.59122138352735099</c:v>
                </c:pt>
                <c:pt idx="22">
                  <c:v>0.59122138352735099</c:v>
                </c:pt>
                <c:pt idx="23">
                  <c:v>0.59122138352735099</c:v>
                </c:pt>
                <c:pt idx="24">
                  <c:v>0.59122138352735099</c:v>
                </c:pt>
                <c:pt idx="25">
                  <c:v>0.59122138352735099</c:v>
                </c:pt>
                <c:pt idx="26">
                  <c:v>0.59122138352735099</c:v>
                </c:pt>
                <c:pt idx="27">
                  <c:v>0.59122138352735099</c:v>
                </c:pt>
                <c:pt idx="28">
                  <c:v>0.59122138352735099</c:v>
                </c:pt>
                <c:pt idx="29">
                  <c:v>0.59122138352735099</c:v>
                </c:pt>
                <c:pt idx="30">
                  <c:v>0.59122138352735099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BD-493F-BBC6-6B463F1C898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Data!$H$14:$AL$14</c:f>
              <c:numCache>
                <c:formatCode>General</c:formatCode>
                <c:ptCount val="31"/>
                <c:pt idx="0" formatCode="0.0000">
                  <c:v>2.68592624324243E-2</c:v>
                </c:pt>
                <c:pt idx="1">
                  <c:v>2.68592624324243E-2</c:v>
                </c:pt>
                <c:pt idx="2">
                  <c:v>1.94058745124292E-2</c:v>
                </c:pt>
                <c:pt idx="3">
                  <c:v>1.8171220012969998E-2</c:v>
                </c:pt>
                <c:pt idx="4">
                  <c:v>1.64374786444835E-2</c:v>
                </c:pt>
                <c:pt idx="5">
                  <c:v>2.2877517710931699E-2</c:v>
                </c:pt>
                <c:pt idx="6">
                  <c:v>2.7902014168745361E-2</c:v>
                </c:pt>
                <c:pt idx="7">
                  <c:v>3.2926510626559019E-2</c:v>
                </c:pt>
                <c:pt idx="8">
                  <c:v>3.7951007084372677E-2</c:v>
                </c:pt>
                <c:pt idx="9">
                  <c:v>4.2975503542186336E-2</c:v>
                </c:pt>
                <c:pt idx="10">
                  <c:v>4.8000000000000001E-2</c:v>
                </c:pt>
                <c:pt idx="11">
                  <c:v>5.2400000000000002E-2</c:v>
                </c:pt>
                <c:pt idx="12">
                  <c:v>5.6800000000000003E-2</c:v>
                </c:pt>
                <c:pt idx="13">
                  <c:v>6.1200000000000004E-2</c:v>
                </c:pt>
                <c:pt idx="14">
                  <c:v>6.5600000000000006E-2</c:v>
                </c:pt>
                <c:pt idx="15">
                  <c:v>7.0000000000000007E-2</c:v>
                </c:pt>
                <c:pt idx="16">
                  <c:v>7.46E-2</c:v>
                </c:pt>
                <c:pt idx="17">
                  <c:v>7.9199999999999993E-2</c:v>
                </c:pt>
                <c:pt idx="18">
                  <c:v>8.3799999999999986E-2</c:v>
                </c:pt>
                <c:pt idx="19">
                  <c:v>8.8399999999999979E-2</c:v>
                </c:pt>
                <c:pt idx="20">
                  <c:v>9.2999999999999999E-2</c:v>
                </c:pt>
                <c:pt idx="21">
                  <c:v>0.1024</c:v>
                </c:pt>
                <c:pt idx="22">
                  <c:v>0.11180000000000001</c:v>
                </c:pt>
                <c:pt idx="23">
                  <c:v>0.12120000000000002</c:v>
                </c:pt>
                <c:pt idx="24">
                  <c:v>0.13060000000000002</c:v>
                </c:pt>
                <c:pt idx="25">
                  <c:v>0.14000000000000001</c:v>
                </c:pt>
                <c:pt idx="26">
                  <c:v>0.16400000000000001</c:v>
                </c:pt>
                <c:pt idx="27">
                  <c:v>0.188</c:v>
                </c:pt>
                <c:pt idx="28">
                  <c:v>0.21199999999999999</c:v>
                </c:pt>
                <c:pt idx="29">
                  <c:v>0.23599999999999999</c:v>
                </c:pt>
                <c:pt idx="30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BD-493F-BBC6-6B463F1C898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Data!$H$15:$AL$15</c:f>
              <c:numCache>
                <c:formatCode>General</c:formatCode>
                <c:ptCount val="31"/>
                <c:pt idx="0" formatCode="0.0000">
                  <c:v>0.171228650249552</c:v>
                </c:pt>
                <c:pt idx="1">
                  <c:v>0.171228650249552</c:v>
                </c:pt>
                <c:pt idx="2">
                  <c:v>0.160575453689589</c:v>
                </c:pt>
                <c:pt idx="3">
                  <c:v>0.16035867432016401</c:v>
                </c:pt>
                <c:pt idx="4">
                  <c:v>0.16022472098401899</c:v>
                </c:pt>
                <c:pt idx="5">
                  <c:v>0.15979463806628899</c:v>
                </c:pt>
                <c:pt idx="6">
                  <c:v>0.15979463806628899</c:v>
                </c:pt>
                <c:pt idx="7">
                  <c:v>0.15979463806628899</c:v>
                </c:pt>
                <c:pt idx="8">
                  <c:v>0.15979463806628899</c:v>
                </c:pt>
                <c:pt idx="9">
                  <c:v>0.15979463806628899</c:v>
                </c:pt>
                <c:pt idx="10">
                  <c:v>0.15979463806628899</c:v>
                </c:pt>
                <c:pt idx="11">
                  <c:v>0.15979463806628899</c:v>
                </c:pt>
                <c:pt idx="12">
                  <c:v>0.15979463806628899</c:v>
                </c:pt>
                <c:pt idx="13">
                  <c:v>0.15979463806628899</c:v>
                </c:pt>
                <c:pt idx="14">
                  <c:v>0.15979463806628899</c:v>
                </c:pt>
                <c:pt idx="15">
                  <c:v>0.15979463806628899</c:v>
                </c:pt>
                <c:pt idx="16">
                  <c:v>0.15979463806628899</c:v>
                </c:pt>
                <c:pt idx="17">
                  <c:v>0.15979463806628899</c:v>
                </c:pt>
                <c:pt idx="18">
                  <c:v>0.15979463806628899</c:v>
                </c:pt>
                <c:pt idx="19">
                  <c:v>0.15979463806628899</c:v>
                </c:pt>
                <c:pt idx="20">
                  <c:v>0.15979463806628899</c:v>
                </c:pt>
                <c:pt idx="21">
                  <c:v>0.15979463806628899</c:v>
                </c:pt>
                <c:pt idx="22">
                  <c:v>0.15979463806628899</c:v>
                </c:pt>
                <c:pt idx="23">
                  <c:v>0.15979463806628899</c:v>
                </c:pt>
                <c:pt idx="24">
                  <c:v>0.15979463806628899</c:v>
                </c:pt>
                <c:pt idx="25">
                  <c:v>0.15979463806628899</c:v>
                </c:pt>
                <c:pt idx="26">
                  <c:v>0.15979463806628899</c:v>
                </c:pt>
                <c:pt idx="27">
                  <c:v>0.15979463806628899</c:v>
                </c:pt>
                <c:pt idx="28">
                  <c:v>0.15979463806628899</c:v>
                </c:pt>
                <c:pt idx="29">
                  <c:v>0.15979463806628899</c:v>
                </c:pt>
                <c:pt idx="30">
                  <c:v>0.15979463806628899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BD-493F-BBC6-6B463F1C8981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Data!$H$9:$AL$9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Data!$H$16:$AL$16</c:f>
              <c:numCache>
                <c:formatCode>General</c:formatCode>
                <c:ptCount val="31"/>
                <c:pt idx="0" formatCode="0.0000">
                  <c:v>1.3775185340645301E-2</c:v>
                </c:pt>
                <c:pt idx="1">
                  <c:v>1.3775185340645301E-2</c:v>
                </c:pt>
                <c:pt idx="2">
                  <c:v>1.50499244982964E-2</c:v>
                </c:pt>
                <c:pt idx="3">
                  <c:v>5.9981476236627097E-3</c:v>
                </c:pt>
                <c:pt idx="4">
                  <c:v>3.9475989042041899E-3</c:v>
                </c:pt>
                <c:pt idx="5">
                  <c:v>8.1683077230845901E-3</c:v>
                </c:pt>
                <c:pt idx="6">
                  <c:v>8.1683077230845901E-3</c:v>
                </c:pt>
                <c:pt idx="7">
                  <c:v>8.1683077230845901E-3</c:v>
                </c:pt>
                <c:pt idx="8">
                  <c:v>8.1683077230845901E-3</c:v>
                </c:pt>
                <c:pt idx="9">
                  <c:v>8.1683077230845901E-3</c:v>
                </c:pt>
                <c:pt idx="10">
                  <c:v>8.1683077230845901E-3</c:v>
                </c:pt>
                <c:pt idx="11">
                  <c:v>8.1683077230845901E-3</c:v>
                </c:pt>
                <c:pt idx="12">
                  <c:v>8.1683077230845901E-3</c:v>
                </c:pt>
                <c:pt idx="13">
                  <c:v>8.1683077230845901E-3</c:v>
                </c:pt>
                <c:pt idx="14">
                  <c:v>8.1683077230845901E-3</c:v>
                </c:pt>
                <c:pt idx="15">
                  <c:v>8.1683077230845901E-3</c:v>
                </c:pt>
                <c:pt idx="16">
                  <c:v>8.1683077230845901E-3</c:v>
                </c:pt>
                <c:pt idx="17">
                  <c:v>8.1683077230845901E-3</c:v>
                </c:pt>
                <c:pt idx="18">
                  <c:v>8.1683077230845901E-3</c:v>
                </c:pt>
                <c:pt idx="19">
                  <c:v>8.1683077230845901E-3</c:v>
                </c:pt>
                <c:pt idx="20">
                  <c:v>8.1683077230845901E-3</c:v>
                </c:pt>
                <c:pt idx="21">
                  <c:v>8.1683077230845901E-3</c:v>
                </c:pt>
                <c:pt idx="22">
                  <c:v>8.1683077230845901E-3</c:v>
                </c:pt>
                <c:pt idx="23">
                  <c:v>8.1683077230845901E-3</c:v>
                </c:pt>
                <c:pt idx="24">
                  <c:v>8.1683077230845901E-3</c:v>
                </c:pt>
                <c:pt idx="25">
                  <c:v>8.1683077230845901E-3</c:v>
                </c:pt>
                <c:pt idx="26">
                  <c:v>8.1683077230845901E-3</c:v>
                </c:pt>
                <c:pt idx="27">
                  <c:v>8.1683077230845901E-3</c:v>
                </c:pt>
                <c:pt idx="28">
                  <c:v>8.1683077230845901E-3</c:v>
                </c:pt>
                <c:pt idx="29">
                  <c:v>8.1683077230845901E-3</c:v>
                </c:pt>
                <c:pt idx="30">
                  <c:v>8.1683077230845901E-3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4BD-493F-BBC6-6B463F1C8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410304"/>
        <c:axId val="1442411744"/>
      </c:scatterChart>
      <c:valAx>
        <c:axId val="144241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411744"/>
        <c:crosses val="autoZero"/>
        <c:crossBetween val="midCat"/>
      </c:valAx>
      <c:valAx>
        <c:axId val="14424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41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469071</xdr:colOff>
      <xdr:row>18</xdr:row>
      <xdr:rowOff>59257</xdr:rowOff>
    </xdr:from>
    <xdr:to>
      <xdr:col>21</xdr:col>
      <xdr:colOff>595512</xdr:colOff>
      <xdr:row>39</xdr:row>
      <xdr:rowOff>51226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B79091-E0A2-C2C6-F98D-A19EDBA75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gcri.github.io/gcam-doc/choice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workbookViewId="0">
      <selection activeCell="J14" sqref="J14"/>
    </sheetView>
  </sheetViews>
  <sheetFormatPr defaultColWidth="9.140625" defaultRowHeight="15"/>
  <cols>
    <col min="2" max="2" width="56.140625" customWidth="1"/>
  </cols>
  <sheetData>
    <row r="1" spans="1:2">
      <c r="A1" s="1" t="s">
        <v>91</v>
      </c>
    </row>
    <row r="3" spans="1:2">
      <c r="A3" s="1" t="s">
        <v>0</v>
      </c>
      <c r="B3" s="11" t="s">
        <v>102</v>
      </c>
    </row>
    <row r="4" spans="1:2">
      <c r="B4" s="12" t="s">
        <v>36</v>
      </c>
    </row>
    <row r="6" spans="1:2">
      <c r="A6" s="1" t="s">
        <v>6</v>
      </c>
    </row>
    <row r="7" spans="1:2">
      <c r="A7" t="s">
        <v>93</v>
      </c>
    </row>
    <row r="8" spans="1:2">
      <c r="A8" t="s">
        <v>94</v>
      </c>
    </row>
    <row r="9" spans="1:2">
      <c r="A9" t="s">
        <v>95</v>
      </c>
    </row>
    <row r="10" spans="1:2">
      <c r="A10" s="27" t="s">
        <v>96</v>
      </c>
    </row>
    <row r="11" spans="1:2">
      <c r="A11" s="1"/>
    </row>
    <row r="12" spans="1:2">
      <c r="A12" t="s">
        <v>7</v>
      </c>
    </row>
    <row r="13" spans="1:2">
      <c r="A13" t="s">
        <v>8</v>
      </c>
    </row>
    <row r="15" spans="1:2">
      <c r="A15" t="s">
        <v>70</v>
      </c>
    </row>
    <row r="16" spans="1:2">
      <c r="A16" t="s">
        <v>30</v>
      </c>
    </row>
    <row r="17" spans="1:2">
      <c r="A17" t="s">
        <v>92</v>
      </c>
    </row>
    <row r="18" spans="1:2">
      <c r="A18" t="s">
        <v>31</v>
      </c>
    </row>
    <row r="20" spans="1:2">
      <c r="A20" s="11" t="s">
        <v>29</v>
      </c>
      <c r="B20" s="13"/>
    </row>
    <row r="22" spans="1:2">
      <c r="B22" s="11" t="s">
        <v>33</v>
      </c>
    </row>
    <row r="23" spans="1:2">
      <c r="B23" s="1"/>
    </row>
    <row r="24" spans="1:2">
      <c r="B24" t="s">
        <v>24</v>
      </c>
    </row>
    <row r="25" spans="1:2">
      <c r="B25" t="s">
        <v>25</v>
      </c>
    </row>
    <row r="26" spans="1:2">
      <c r="B26" t="s">
        <v>26</v>
      </c>
    </row>
    <row r="28" spans="1:2">
      <c r="B28" t="s">
        <v>27</v>
      </c>
    </row>
    <row r="29" spans="1:2">
      <c r="B29" t="s">
        <v>28</v>
      </c>
    </row>
    <row r="31" spans="1:2">
      <c r="B31" t="s">
        <v>21</v>
      </c>
    </row>
    <row r="32" spans="1:2">
      <c r="B32" t="s">
        <v>22</v>
      </c>
    </row>
    <row r="33" spans="2:2">
      <c r="B33" t="s">
        <v>23</v>
      </c>
    </row>
    <row r="35" spans="2:2">
      <c r="B35" s="11" t="s">
        <v>34</v>
      </c>
    </row>
    <row r="37" spans="2:2">
      <c r="B37" t="s">
        <v>82</v>
      </c>
    </row>
    <row r="38" spans="2:2">
      <c r="B38" t="s">
        <v>98</v>
      </c>
    </row>
    <row r="39" spans="2:2">
      <c r="B39" t="s">
        <v>83</v>
      </c>
    </row>
    <row r="40" spans="2:2">
      <c r="B40" t="s">
        <v>99</v>
      </c>
    </row>
    <row r="41" spans="2:2">
      <c r="B41" t="s">
        <v>100</v>
      </c>
    </row>
    <row r="43" spans="2:2">
      <c r="B43" t="s">
        <v>87</v>
      </c>
    </row>
    <row r="44" spans="2:2">
      <c r="B44" t="s">
        <v>32</v>
      </c>
    </row>
    <row r="46" spans="2:2">
      <c r="B46" t="s">
        <v>97</v>
      </c>
    </row>
    <row r="47" spans="2:2">
      <c r="B47" t="s">
        <v>35</v>
      </c>
    </row>
    <row r="49" spans="2:2">
      <c r="B49" t="s">
        <v>37</v>
      </c>
    </row>
    <row r="50" spans="2:2">
      <c r="B50" t="s">
        <v>35</v>
      </c>
    </row>
    <row r="52" spans="2:2">
      <c r="B52" s="11" t="s">
        <v>38</v>
      </c>
    </row>
    <row r="54" spans="2:2">
      <c r="B54" t="s">
        <v>52</v>
      </c>
    </row>
    <row r="55" spans="2:2">
      <c r="B55" t="s">
        <v>88</v>
      </c>
    </row>
    <row r="56" spans="2:2">
      <c r="B56" t="s">
        <v>89</v>
      </c>
    </row>
    <row r="57" spans="2:2">
      <c r="B57" t="s">
        <v>90</v>
      </c>
    </row>
    <row r="59" spans="2:2">
      <c r="B59" t="s">
        <v>55</v>
      </c>
    </row>
    <row r="60" spans="2:2">
      <c r="B60" t="s">
        <v>53</v>
      </c>
    </row>
    <row r="61" spans="2:2">
      <c r="B61" t="s">
        <v>59</v>
      </c>
    </row>
    <row r="62" spans="2:2">
      <c r="B62" t="s">
        <v>54</v>
      </c>
    </row>
    <row r="63" spans="2:2">
      <c r="B63" t="s">
        <v>60</v>
      </c>
    </row>
    <row r="64" spans="2:2">
      <c r="B64" t="s">
        <v>56</v>
      </c>
    </row>
    <row r="65" spans="2:2">
      <c r="B65" t="s">
        <v>57</v>
      </c>
    </row>
    <row r="66" spans="2:2">
      <c r="B66" t="s">
        <v>58</v>
      </c>
    </row>
    <row r="68" spans="2:2">
      <c r="B68" t="s">
        <v>71</v>
      </c>
    </row>
    <row r="69" spans="2:2">
      <c r="B69" t="s">
        <v>75</v>
      </c>
    </row>
    <row r="70" spans="2:2">
      <c r="B70" t="s">
        <v>72</v>
      </c>
    </row>
    <row r="71" spans="2:2">
      <c r="B71" t="s">
        <v>73</v>
      </c>
    </row>
    <row r="72" spans="2:2">
      <c r="B72" t="s">
        <v>74</v>
      </c>
    </row>
    <row r="74" spans="2:2">
      <c r="B74" t="s">
        <v>46</v>
      </c>
    </row>
    <row r="75" spans="2:2">
      <c r="B75" t="s">
        <v>47</v>
      </c>
    </row>
    <row r="76" spans="2:2">
      <c r="B76" t="s">
        <v>48</v>
      </c>
    </row>
    <row r="77" spans="2:2">
      <c r="B77" t="s">
        <v>49</v>
      </c>
    </row>
    <row r="78" spans="2:2">
      <c r="B78" t="s">
        <v>50</v>
      </c>
    </row>
    <row r="79" spans="2:2">
      <c r="B79" t="s">
        <v>51</v>
      </c>
    </row>
    <row r="81" spans="2:2">
      <c r="B81" t="s">
        <v>77</v>
      </c>
    </row>
    <row r="83" spans="2:2">
      <c r="B83" t="s">
        <v>39</v>
      </c>
    </row>
    <row r="84" spans="2:2">
      <c r="B84" t="s">
        <v>40</v>
      </c>
    </row>
    <row r="85" spans="2:2">
      <c r="B85" t="s">
        <v>41</v>
      </c>
    </row>
    <row r="86" spans="2:2">
      <c r="B86" t="s">
        <v>42</v>
      </c>
    </row>
    <row r="87" spans="2:2">
      <c r="B87" t="s">
        <v>43</v>
      </c>
    </row>
    <row r="88" spans="2:2">
      <c r="B88" t="s">
        <v>44</v>
      </c>
    </row>
    <row r="89" spans="2:2">
      <c r="B89" t="s">
        <v>45</v>
      </c>
    </row>
  </sheetData>
  <phoneticPr fontId="9" type="noConversion"/>
  <hyperlinks>
    <hyperlink ref="A10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D2" sqref="D2:E2"/>
    </sheetView>
  </sheetViews>
  <sheetFormatPr defaultRowHeight="15"/>
  <cols>
    <col min="1" max="1" width="16.85546875" customWidth="1"/>
    <col min="2" max="2" width="24.42578125" customWidth="1"/>
    <col min="3" max="3" width="20.85546875" customWidth="1"/>
    <col min="4" max="4" width="18.140625" customWidth="1"/>
    <col min="5" max="5" width="17.140625" customWidth="1"/>
    <col min="6" max="8" width="23.140625" customWidth="1"/>
    <col min="10" max="10" width="14.42578125" bestFit="1" customWidth="1"/>
  </cols>
  <sheetData>
    <row r="1" spans="1:10" ht="30">
      <c r="A1" s="23" t="s">
        <v>81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78</v>
      </c>
      <c r="H1" s="3" t="s">
        <v>79</v>
      </c>
    </row>
    <row r="2" spans="1:10">
      <c r="A2" s="1" t="s">
        <v>12</v>
      </c>
      <c r="B2" s="4">
        <v>84650.742266925648</v>
      </c>
      <c r="C2" s="4">
        <v>25214.586997392125</v>
      </c>
      <c r="D2" s="4">
        <v>8072982.1194173032</v>
      </c>
      <c r="E2" s="4">
        <v>4633956.5131107848</v>
      </c>
      <c r="F2" s="4">
        <v>477958.89831224794</v>
      </c>
      <c r="G2" s="4">
        <v>1315953.270937951</v>
      </c>
      <c r="H2" s="4">
        <v>7728.5710293009906</v>
      </c>
      <c r="J2" s="4"/>
    </row>
    <row r="3" spans="1:10">
      <c r="A3" s="1" t="s">
        <v>13</v>
      </c>
      <c r="B3" s="4">
        <v>34802.257733074344</v>
      </c>
      <c r="C3" s="4">
        <v>10314.28274882044</v>
      </c>
      <c r="D3" s="4">
        <v>3302335.2797511155</v>
      </c>
      <c r="E3" s="4">
        <v>1895566.9480886636</v>
      </c>
      <c r="F3" s="4">
        <v>195513.93881712668</v>
      </c>
      <c r="G3" s="4">
        <v>538304.04289758822</v>
      </c>
      <c r="H3" s="4">
        <v>3161.4504274369956</v>
      </c>
      <c r="I3" s="4"/>
      <c r="J3" s="22"/>
    </row>
    <row r="4" spans="1:10">
      <c r="A4" s="1" t="s">
        <v>14</v>
      </c>
      <c r="B4" s="4">
        <v>0</v>
      </c>
      <c r="C4" s="4">
        <v>0</v>
      </c>
      <c r="D4" s="4">
        <v>0</v>
      </c>
      <c r="E4" s="4">
        <v>822</v>
      </c>
      <c r="F4" s="4">
        <v>0</v>
      </c>
      <c r="G4" s="4">
        <v>0</v>
      </c>
      <c r="H4" s="4">
        <v>0</v>
      </c>
    </row>
    <row r="5" spans="1:10">
      <c r="A5" s="1" t="s">
        <v>15</v>
      </c>
      <c r="B5" s="4">
        <v>1046.875</v>
      </c>
      <c r="C5" s="4">
        <v>0</v>
      </c>
      <c r="D5" s="4">
        <v>0</v>
      </c>
      <c r="E5" s="4">
        <v>669.83333333333326</v>
      </c>
      <c r="F5" s="4">
        <v>0</v>
      </c>
      <c r="G5" s="4">
        <v>0</v>
      </c>
      <c r="H5" s="4">
        <v>0</v>
      </c>
    </row>
    <row r="6" spans="1:10">
      <c r="A6" s="1" t="s">
        <v>16</v>
      </c>
      <c r="B6" s="4">
        <v>0</v>
      </c>
      <c r="C6" s="4">
        <v>0</v>
      </c>
      <c r="D6" s="29">
        <v>0.4823245691429916</v>
      </c>
      <c r="E6" s="4">
        <v>328</v>
      </c>
      <c r="F6" s="4">
        <v>0</v>
      </c>
      <c r="G6" s="4">
        <v>0.19292982765719663</v>
      </c>
      <c r="H6" s="4">
        <v>0</v>
      </c>
    </row>
    <row r="7" spans="1:10">
      <c r="A7" s="1" t="s">
        <v>17</v>
      </c>
      <c r="B7" s="4">
        <v>0</v>
      </c>
      <c r="C7" s="4">
        <v>0</v>
      </c>
      <c r="D7" s="4">
        <v>272564</v>
      </c>
      <c r="E7" s="4">
        <v>0</v>
      </c>
      <c r="F7" s="4">
        <v>0</v>
      </c>
      <c r="G7" s="4">
        <v>0</v>
      </c>
      <c r="H7" s="4">
        <v>0</v>
      </c>
    </row>
    <row r="9" spans="1:10">
      <c r="B9" s="4"/>
      <c r="C9" s="4"/>
      <c r="D9" s="4"/>
      <c r="E9" s="4"/>
      <c r="F9" s="4"/>
      <c r="G9" s="4"/>
      <c r="H9" s="4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B2" sqref="B2:H7"/>
    </sheetView>
  </sheetViews>
  <sheetFormatPr defaultRowHeight="15"/>
  <cols>
    <col min="1" max="1" width="16.85546875" customWidth="1"/>
    <col min="2" max="2" width="24.42578125" customWidth="1"/>
    <col min="3" max="3" width="20.85546875" customWidth="1"/>
    <col min="4" max="4" width="18.140625" customWidth="1"/>
    <col min="5" max="5" width="17.140625" customWidth="1"/>
    <col min="6" max="8" width="23.140625" customWidth="1"/>
    <col min="9" max="9" width="13.42578125" bestFit="1" customWidth="1"/>
    <col min="10" max="10" width="12.42578125" bestFit="1" customWidth="1"/>
  </cols>
  <sheetData>
    <row r="1" spans="1:10" ht="30">
      <c r="A1" s="23" t="s">
        <v>81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78</v>
      </c>
      <c r="H1" s="3" t="s">
        <v>79</v>
      </c>
    </row>
    <row r="2" spans="1:10">
      <c r="A2" s="1" t="s">
        <v>12</v>
      </c>
      <c r="B2" s="4">
        <v>11965.956562995307</v>
      </c>
      <c r="C2" s="4">
        <v>1366</v>
      </c>
      <c r="D2" s="4">
        <v>14255.143043258835</v>
      </c>
      <c r="E2" s="4">
        <v>2664174.8230804084</v>
      </c>
      <c r="F2" s="4">
        <v>0</v>
      </c>
      <c r="G2" s="4">
        <v>94459.997166222995</v>
      </c>
      <c r="H2">
        <v>0</v>
      </c>
      <c r="I2" s="22"/>
      <c r="J2" s="4"/>
    </row>
    <row r="3" spans="1:10">
      <c r="A3" s="1" t="s">
        <v>13</v>
      </c>
      <c r="B3">
        <v>3543.0434370046937</v>
      </c>
      <c r="C3">
        <v>0</v>
      </c>
      <c r="D3">
        <v>4220.8569567411641</v>
      </c>
      <c r="E3">
        <v>788845.17691959161</v>
      </c>
      <c r="F3">
        <v>0</v>
      </c>
      <c r="G3" s="4">
        <v>27969.002833777009</v>
      </c>
      <c r="H3" s="4">
        <v>0</v>
      </c>
      <c r="J3" s="4"/>
    </row>
    <row r="4" spans="1:10">
      <c r="A4" s="1" t="s">
        <v>14</v>
      </c>
      <c r="B4">
        <v>0</v>
      </c>
      <c r="C4">
        <v>0</v>
      </c>
      <c r="D4">
        <v>0</v>
      </c>
      <c r="E4" s="10">
        <v>36</v>
      </c>
      <c r="F4">
        <v>0</v>
      </c>
      <c r="G4" s="4">
        <v>0</v>
      </c>
      <c r="H4" s="4">
        <v>0</v>
      </c>
    </row>
    <row r="5" spans="1:10">
      <c r="A5" s="1" t="s">
        <v>15</v>
      </c>
      <c r="B5">
        <v>87.5</v>
      </c>
      <c r="C5">
        <v>0</v>
      </c>
      <c r="D5">
        <v>0</v>
      </c>
      <c r="E5" s="4">
        <v>127</v>
      </c>
      <c r="F5">
        <v>0</v>
      </c>
      <c r="G5" s="4">
        <v>0</v>
      </c>
      <c r="H5" s="4">
        <v>0</v>
      </c>
    </row>
    <row r="6" spans="1:10">
      <c r="A6" s="1" t="s">
        <v>16</v>
      </c>
      <c r="B6">
        <v>0</v>
      </c>
      <c r="C6">
        <v>0</v>
      </c>
      <c r="D6">
        <v>2.1101699900005881</v>
      </c>
      <c r="E6" s="4">
        <v>630.10013528615957</v>
      </c>
      <c r="F6">
        <v>0</v>
      </c>
      <c r="G6" s="4">
        <v>0.8440679960002353</v>
      </c>
      <c r="H6" s="4">
        <v>0</v>
      </c>
    </row>
    <row r="7" spans="1:10">
      <c r="A7" s="1" t="s">
        <v>17</v>
      </c>
      <c r="B7">
        <v>0</v>
      </c>
      <c r="C7">
        <v>0</v>
      </c>
      <c r="D7">
        <v>2016445</v>
      </c>
      <c r="E7">
        <v>0</v>
      </c>
      <c r="F7">
        <v>0</v>
      </c>
      <c r="G7" s="4">
        <v>0</v>
      </c>
      <c r="H7" s="4">
        <v>0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A0B0-4AA3-4C7F-A6AE-244E743CFDDD}">
  <dimension ref="B2:AF35"/>
  <sheetViews>
    <sheetView topLeftCell="A3" workbookViewId="0">
      <selection activeCell="D28" sqref="D28"/>
    </sheetView>
  </sheetViews>
  <sheetFormatPr defaultRowHeight="15"/>
  <cols>
    <col min="2" max="2" width="74.42578125" bestFit="1" customWidth="1"/>
  </cols>
  <sheetData>
    <row r="2" spans="2:32">
      <c r="B2" t="s">
        <v>112</v>
      </c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  <c r="M2">
        <v>2031</v>
      </c>
      <c r="N2">
        <v>2032</v>
      </c>
      <c r="O2">
        <v>2033</v>
      </c>
      <c r="P2">
        <v>2034</v>
      </c>
      <c r="Q2">
        <v>2035</v>
      </c>
      <c r="R2">
        <v>2036</v>
      </c>
      <c r="S2">
        <v>2037</v>
      </c>
      <c r="T2">
        <v>2038</v>
      </c>
      <c r="U2">
        <v>2039</v>
      </c>
      <c r="V2">
        <v>2040</v>
      </c>
      <c r="W2">
        <v>2041</v>
      </c>
      <c r="X2">
        <v>2042</v>
      </c>
      <c r="Y2">
        <v>2043</v>
      </c>
      <c r="Z2">
        <v>2044</v>
      </c>
      <c r="AA2">
        <v>2045</v>
      </c>
      <c r="AB2">
        <v>2046</v>
      </c>
      <c r="AC2">
        <v>2047</v>
      </c>
      <c r="AD2">
        <v>2048</v>
      </c>
      <c r="AE2">
        <v>2049</v>
      </c>
      <c r="AF2">
        <v>2050</v>
      </c>
    </row>
    <row r="3" spans="2:32">
      <c r="B3" t="s">
        <v>113</v>
      </c>
      <c r="C3" s="32">
        <v>49233500</v>
      </c>
      <c r="D3" s="32">
        <v>49235000</v>
      </c>
      <c r="E3" s="32">
        <v>49827200</v>
      </c>
      <c r="F3" s="32">
        <v>53422400</v>
      </c>
      <c r="G3" s="32">
        <v>54626000</v>
      </c>
      <c r="H3" s="32">
        <v>56242500</v>
      </c>
      <c r="I3" s="32">
        <v>55110700</v>
      </c>
      <c r="J3" s="32">
        <v>53945200</v>
      </c>
      <c r="K3" s="32">
        <v>53056900</v>
      </c>
      <c r="L3" s="32">
        <v>52838500</v>
      </c>
      <c r="M3" s="32">
        <v>52446900</v>
      </c>
      <c r="N3" s="32">
        <v>51692900</v>
      </c>
      <c r="O3" s="32">
        <v>53332800</v>
      </c>
      <c r="P3" s="32">
        <v>52977500</v>
      </c>
      <c r="Q3" s="32">
        <v>52958600</v>
      </c>
      <c r="R3" s="32">
        <v>52732200</v>
      </c>
      <c r="S3" s="32">
        <v>54927200</v>
      </c>
      <c r="T3" s="32">
        <v>56761300</v>
      </c>
      <c r="U3" s="32">
        <v>56864400</v>
      </c>
      <c r="V3" s="32">
        <v>56747500</v>
      </c>
      <c r="W3" s="32">
        <v>56851800</v>
      </c>
      <c r="X3" s="32">
        <v>56830700</v>
      </c>
      <c r="Y3" s="32">
        <v>56722200</v>
      </c>
      <c r="Z3" s="32">
        <v>56637500</v>
      </c>
      <c r="AA3" s="32">
        <v>56401400</v>
      </c>
      <c r="AB3" s="32">
        <v>56093800</v>
      </c>
      <c r="AC3" s="32">
        <v>55766000</v>
      </c>
      <c r="AD3" s="32">
        <v>55692800</v>
      </c>
      <c r="AE3" s="32">
        <v>55626600</v>
      </c>
      <c r="AF3" s="32">
        <v>55552800</v>
      </c>
    </row>
    <row r="4" spans="2:32">
      <c r="B4" t="s">
        <v>114</v>
      </c>
      <c r="C4" s="32">
        <v>1042500000</v>
      </c>
      <c r="D4" s="32">
        <v>1042500000</v>
      </c>
      <c r="E4" s="32">
        <v>1042500000</v>
      </c>
      <c r="F4" s="32">
        <v>1042500000</v>
      </c>
      <c r="G4" s="32">
        <v>1042500000</v>
      </c>
      <c r="H4" s="32">
        <v>1042500000</v>
      </c>
      <c r="I4" s="32">
        <v>1042500000</v>
      </c>
      <c r="J4" s="32">
        <v>1042500000</v>
      </c>
      <c r="K4" s="32">
        <v>1042500000</v>
      </c>
      <c r="L4" s="32">
        <v>1042500000</v>
      </c>
      <c r="M4" s="32">
        <v>1042500000</v>
      </c>
      <c r="N4" s="32">
        <v>1042500000</v>
      </c>
      <c r="O4" s="32">
        <v>1042500000</v>
      </c>
      <c r="P4" s="32">
        <v>1042500000</v>
      </c>
      <c r="Q4" s="32">
        <v>1042500000</v>
      </c>
      <c r="R4" s="32">
        <v>1042500000</v>
      </c>
      <c r="S4" s="32">
        <v>1042500000</v>
      </c>
      <c r="T4" s="32">
        <v>1042500000</v>
      </c>
      <c r="U4" s="32">
        <v>1042500000</v>
      </c>
      <c r="V4" s="32">
        <v>1042500000</v>
      </c>
      <c r="W4" s="32">
        <v>1042500000</v>
      </c>
      <c r="X4" s="32">
        <v>1042500000</v>
      </c>
      <c r="Y4" s="32">
        <v>1042500000</v>
      </c>
      <c r="Z4" s="32">
        <v>1042500000</v>
      </c>
      <c r="AA4" s="32">
        <v>1042500000</v>
      </c>
      <c r="AB4" s="32">
        <v>1042500000</v>
      </c>
      <c r="AC4" s="32">
        <v>1042500000</v>
      </c>
      <c r="AD4" s="32">
        <v>1042500000</v>
      </c>
      <c r="AE4" s="32">
        <v>1042500000</v>
      </c>
      <c r="AF4" s="32">
        <v>1042500000</v>
      </c>
    </row>
    <row r="5" spans="2:32">
      <c r="B5" t="s">
        <v>115</v>
      </c>
      <c r="C5" s="32">
        <v>1042500000</v>
      </c>
      <c r="D5" s="32">
        <v>1042500000</v>
      </c>
      <c r="E5" s="32">
        <v>1042500000</v>
      </c>
      <c r="F5" s="32">
        <v>1042500000</v>
      </c>
      <c r="G5" s="32">
        <v>1042500000</v>
      </c>
      <c r="H5" s="32">
        <v>1042500000</v>
      </c>
      <c r="I5" s="32">
        <v>1042500000</v>
      </c>
      <c r="J5" s="32">
        <v>1042500000</v>
      </c>
      <c r="K5" s="32">
        <v>1042500000</v>
      </c>
      <c r="L5" s="32">
        <v>1042500000</v>
      </c>
      <c r="M5" s="32">
        <v>1042500000</v>
      </c>
      <c r="N5" s="32">
        <v>1042500000</v>
      </c>
      <c r="O5" s="32">
        <v>1042500000</v>
      </c>
      <c r="P5" s="32">
        <v>1042500000</v>
      </c>
      <c r="Q5" s="32">
        <v>1042500000</v>
      </c>
      <c r="R5" s="32">
        <v>1042500000</v>
      </c>
      <c r="S5" s="32">
        <v>1042500000</v>
      </c>
      <c r="T5" s="32">
        <v>1042500000</v>
      </c>
      <c r="U5" s="32">
        <v>1042500000</v>
      </c>
      <c r="V5" s="32">
        <v>1042500000</v>
      </c>
      <c r="W5" s="32">
        <v>1042500000</v>
      </c>
      <c r="X5" s="32">
        <v>1042500000</v>
      </c>
      <c r="Y5" s="32">
        <v>1042500000</v>
      </c>
      <c r="Z5" s="32">
        <v>1042500000</v>
      </c>
      <c r="AA5" s="32">
        <v>1042500000</v>
      </c>
      <c r="AB5" s="32">
        <v>1042500000</v>
      </c>
      <c r="AC5" s="32">
        <v>1042500000</v>
      </c>
      <c r="AD5" s="32">
        <v>1042500000</v>
      </c>
      <c r="AE5" s="32">
        <v>1042500000</v>
      </c>
      <c r="AF5" s="32">
        <v>1042500000</v>
      </c>
    </row>
    <row r="6" spans="2:32">
      <c r="B6" t="s">
        <v>116</v>
      </c>
      <c r="C6" s="32">
        <v>46244200</v>
      </c>
      <c r="D6" s="32">
        <v>46573700</v>
      </c>
      <c r="E6" s="32">
        <v>46593600</v>
      </c>
      <c r="F6" s="32">
        <v>46612900</v>
      </c>
      <c r="G6" s="32">
        <v>46633700</v>
      </c>
      <c r="H6" s="32">
        <v>46653800</v>
      </c>
      <c r="I6" s="32">
        <v>46675300</v>
      </c>
      <c r="J6" s="32">
        <v>46699700</v>
      </c>
      <c r="K6" s="32">
        <v>46721300</v>
      </c>
      <c r="L6" s="32">
        <v>46743700</v>
      </c>
      <c r="M6" s="32">
        <v>46766100</v>
      </c>
      <c r="N6" s="32">
        <v>46788500</v>
      </c>
      <c r="O6" s="32">
        <v>46816200</v>
      </c>
      <c r="P6" s="32">
        <v>46839500</v>
      </c>
      <c r="Q6" s="32">
        <v>46863400</v>
      </c>
      <c r="R6" s="32">
        <v>46888200</v>
      </c>
      <c r="S6" s="32">
        <v>46913000</v>
      </c>
      <c r="T6" s="32">
        <v>46938500</v>
      </c>
      <c r="U6" s="32">
        <v>46968100</v>
      </c>
      <c r="V6" s="32">
        <v>46994400</v>
      </c>
      <c r="W6" s="32">
        <v>47020800</v>
      </c>
      <c r="X6" s="32">
        <v>47047900</v>
      </c>
      <c r="Y6" s="32">
        <v>47075800</v>
      </c>
      <c r="Z6" s="32">
        <v>47103700</v>
      </c>
      <c r="AA6" s="32">
        <v>47136800</v>
      </c>
      <c r="AB6" s="32">
        <v>47166300</v>
      </c>
      <c r="AC6" s="32">
        <v>47195800</v>
      </c>
      <c r="AD6" s="32">
        <v>47226100</v>
      </c>
      <c r="AE6" s="32">
        <v>47256400</v>
      </c>
      <c r="AF6" s="32">
        <v>47287500</v>
      </c>
    </row>
    <row r="7" spans="2:32">
      <c r="B7" t="s">
        <v>117</v>
      </c>
      <c r="C7" s="32">
        <v>1042500000</v>
      </c>
      <c r="D7" s="32">
        <v>1042500000</v>
      </c>
      <c r="E7" s="32">
        <v>1042500000</v>
      </c>
      <c r="F7" s="32">
        <v>1042500000</v>
      </c>
      <c r="G7" s="32">
        <v>1042500000</v>
      </c>
      <c r="H7" s="32">
        <v>1042500000</v>
      </c>
      <c r="I7" s="32">
        <v>1042500000</v>
      </c>
      <c r="J7" s="32">
        <v>1042500000</v>
      </c>
      <c r="K7" s="32">
        <v>1042500000</v>
      </c>
      <c r="L7" s="32">
        <v>1042500000</v>
      </c>
      <c r="M7" s="32">
        <v>1042500000</v>
      </c>
      <c r="N7" s="32">
        <v>1042500000</v>
      </c>
      <c r="O7" s="32">
        <v>1042500000</v>
      </c>
      <c r="P7" s="32">
        <v>1042500000</v>
      </c>
      <c r="Q7" s="32">
        <v>1042500000</v>
      </c>
      <c r="R7" s="32">
        <v>1042500000</v>
      </c>
      <c r="S7" s="32">
        <v>1042500000</v>
      </c>
      <c r="T7" s="32">
        <v>1042500000</v>
      </c>
      <c r="U7" s="32">
        <v>1042500000</v>
      </c>
      <c r="V7" s="32">
        <v>1042500000</v>
      </c>
      <c r="W7" s="32">
        <v>1042500000</v>
      </c>
      <c r="X7" s="32">
        <v>1042500000</v>
      </c>
      <c r="Y7" s="32">
        <v>1042500000</v>
      </c>
      <c r="Z7" s="32">
        <v>1042500000</v>
      </c>
      <c r="AA7" s="32">
        <v>1042500000</v>
      </c>
      <c r="AB7" s="32">
        <v>1042500000</v>
      </c>
      <c r="AC7" s="32">
        <v>1042500000</v>
      </c>
      <c r="AD7" s="32">
        <v>1042500000</v>
      </c>
      <c r="AE7" s="32">
        <v>1042500000</v>
      </c>
      <c r="AF7" s="32">
        <v>1042500000</v>
      </c>
    </row>
    <row r="8" spans="2:32">
      <c r="B8" t="s">
        <v>118</v>
      </c>
      <c r="C8" s="32">
        <v>1042500000</v>
      </c>
      <c r="D8" s="32">
        <v>1042500000</v>
      </c>
      <c r="E8" s="32">
        <v>1042500000</v>
      </c>
      <c r="F8" s="32">
        <v>1042500000</v>
      </c>
      <c r="G8" s="32">
        <v>1042500000</v>
      </c>
      <c r="H8" s="32">
        <v>1042500000</v>
      </c>
      <c r="I8" s="32">
        <v>1042500000</v>
      </c>
      <c r="J8" s="32">
        <v>1042500000</v>
      </c>
      <c r="K8" s="32">
        <v>1042500000</v>
      </c>
      <c r="L8" s="32">
        <v>1042500000</v>
      </c>
      <c r="M8" s="32">
        <v>1042500000</v>
      </c>
      <c r="N8" s="32">
        <v>1042500000</v>
      </c>
      <c r="O8" s="32">
        <v>1042500000</v>
      </c>
      <c r="P8" s="32">
        <v>1042500000</v>
      </c>
      <c r="Q8" s="32">
        <v>1042500000</v>
      </c>
      <c r="R8" s="32">
        <v>1042500000</v>
      </c>
      <c r="S8" s="32">
        <v>1042500000</v>
      </c>
      <c r="T8" s="32">
        <v>1042500000</v>
      </c>
      <c r="U8" s="32">
        <v>1042500000</v>
      </c>
      <c r="V8" s="32">
        <v>1042500000</v>
      </c>
      <c r="W8" s="32">
        <v>1042500000</v>
      </c>
      <c r="X8" s="32">
        <v>1042500000</v>
      </c>
      <c r="Y8" s="32">
        <v>1042500000</v>
      </c>
      <c r="Z8" s="32">
        <v>1042500000</v>
      </c>
      <c r="AA8" s="32">
        <v>1042500000</v>
      </c>
      <c r="AB8" s="32">
        <v>1042500000</v>
      </c>
      <c r="AC8" s="32">
        <v>1042500000</v>
      </c>
      <c r="AD8" s="32">
        <v>1042500000</v>
      </c>
      <c r="AE8" s="32">
        <v>1042500000</v>
      </c>
      <c r="AF8" s="32">
        <v>1042500000</v>
      </c>
    </row>
    <row r="9" spans="2:32">
      <c r="B9" t="s">
        <v>119</v>
      </c>
      <c r="C9" s="32">
        <v>35312800</v>
      </c>
      <c r="D9" s="32">
        <v>35076200</v>
      </c>
      <c r="E9" s="32">
        <v>35025300</v>
      </c>
      <c r="F9" s="32">
        <v>34820700</v>
      </c>
      <c r="G9" s="32">
        <v>34621000</v>
      </c>
      <c r="H9" s="32">
        <v>34427000</v>
      </c>
      <c r="I9" s="32">
        <v>34134300</v>
      </c>
      <c r="J9" s="32">
        <v>33850300</v>
      </c>
      <c r="K9" s="32">
        <v>33598700</v>
      </c>
      <c r="L9" s="32">
        <v>33364700</v>
      </c>
      <c r="M9" s="32">
        <v>33294400</v>
      </c>
      <c r="N9" s="32">
        <v>33238700</v>
      </c>
      <c r="O9" s="32">
        <v>33194300</v>
      </c>
      <c r="P9" s="32">
        <v>33155000</v>
      </c>
      <c r="Q9" s="32">
        <v>33114200</v>
      </c>
      <c r="R9" s="32">
        <v>33070700</v>
      </c>
      <c r="S9" s="32">
        <v>33030700</v>
      </c>
      <c r="T9" s="32">
        <v>32986500</v>
      </c>
      <c r="U9" s="32">
        <v>32950700</v>
      </c>
      <c r="V9" s="32">
        <v>32923500</v>
      </c>
      <c r="W9" s="32">
        <v>32896900</v>
      </c>
      <c r="X9" s="32">
        <v>32873600</v>
      </c>
      <c r="Y9" s="32">
        <v>32853400</v>
      </c>
      <c r="Z9" s="32">
        <v>32831400</v>
      </c>
      <c r="AA9" s="32">
        <v>32812300</v>
      </c>
      <c r="AB9" s="32">
        <v>32797800</v>
      </c>
      <c r="AC9" s="32">
        <v>32787600</v>
      </c>
      <c r="AD9" s="32">
        <v>32777800</v>
      </c>
      <c r="AE9" s="32">
        <v>32768500</v>
      </c>
      <c r="AF9" s="32">
        <v>32759300</v>
      </c>
    </row>
    <row r="10" spans="2:32">
      <c r="B10" t="s">
        <v>120</v>
      </c>
      <c r="C10" s="32">
        <v>43448100</v>
      </c>
      <c r="D10" s="32">
        <v>43376300</v>
      </c>
      <c r="E10" s="32">
        <v>43602100</v>
      </c>
      <c r="F10" s="32">
        <v>45461100</v>
      </c>
      <c r="G10" s="32">
        <v>45986800</v>
      </c>
      <c r="H10" s="32">
        <v>46712100</v>
      </c>
      <c r="I10" s="32">
        <v>46125100</v>
      </c>
      <c r="J10" s="32">
        <v>45445100</v>
      </c>
      <c r="K10" s="32">
        <v>44915700</v>
      </c>
      <c r="L10" s="32">
        <v>44807100</v>
      </c>
      <c r="M10" s="32">
        <v>44522200</v>
      </c>
      <c r="N10" s="32">
        <v>44076900</v>
      </c>
      <c r="O10" s="32">
        <v>44876200</v>
      </c>
      <c r="P10" s="32">
        <v>44624300</v>
      </c>
      <c r="Q10" s="32">
        <v>44527000</v>
      </c>
      <c r="R10" s="32">
        <v>44418800</v>
      </c>
      <c r="S10" s="32">
        <v>45383800</v>
      </c>
      <c r="T10" s="32">
        <v>46162300</v>
      </c>
      <c r="U10" s="32">
        <v>46108500</v>
      </c>
      <c r="V10" s="32">
        <v>46054200</v>
      </c>
      <c r="W10" s="32">
        <v>46015200</v>
      </c>
      <c r="X10" s="32">
        <v>45919600</v>
      </c>
      <c r="Y10" s="32">
        <v>45857400</v>
      </c>
      <c r="Z10" s="32">
        <v>45735200</v>
      </c>
      <c r="AA10" s="32">
        <v>45547200</v>
      </c>
      <c r="AB10" s="32">
        <v>45330500</v>
      </c>
      <c r="AC10" s="32">
        <v>45173000</v>
      </c>
      <c r="AD10" s="32">
        <v>45064600</v>
      </c>
      <c r="AE10" s="32">
        <v>44961200</v>
      </c>
      <c r="AF10" s="32">
        <v>44856100</v>
      </c>
    </row>
    <row r="11" spans="2:32">
      <c r="B11" t="s">
        <v>121</v>
      </c>
      <c r="C11" s="32">
        <v>1042500000</v>
      </c>
      <c r="D11" s="32">
        <v>1042500000</v>
      </c>
      <c r="E11" s="32">
        <v>1042500000</v>
      </c>
      <c r="F11" s="32">
        <v>1042500000</v>
      </c>
      <c r="G11" s="32">
        <v>1042500000</v>
      </c>
      <c r="H11" s="32">
        <v>1042500000</v>
      </c>
      <c r="I11" s="32">
        <v>1042500000</v>
      </c>
      <c r="J11" s="32">
        <v>1042500000</v>
      </c>
      <c r="K11" s="32">
        <v>1042500000</v>
      </c>
      <c r="L11" s="32">
        <v>1042500000</v>
      </c>
      <c r="M11" s="32">
        <v>1042500000</v>
      </c>
      <c r="N11" s="32">
        <v>1042500000</v>
      </c>
      <c r="O11" s="32">
        <v>1042500000</v>
      </c>
      <c r="P11" s="32">
        <v>1042500000</v>
      </c>
      <c r="Q11" s="32">
        <v>1042500000</v>
      </c>
      <c r="R11" s="32">
        <v>1042500000</v>
      </c>
      <c r="S11" s="32">
        <v>1042500000</v>
      </c>
      <c r="T11" s="32">
        <v>1042500000</v>
      </c>
      <c r="U11" s="32">
        <v>1042500000</v>
      </c>
      <c r="V11" s="32">
        <v>1042500000</v>
      </c>
      <c r="W11" s="32">
        <v>1042500000</v>
      </c>
      <c r="X11" s="32">
        <v>1042500000</v>
      </c>
      <c r="Y11" s="32">
        <v>1042500000</v>
      </c>
      <c r="Z11" s="32">
        <v>1042500000</v>
      </c>
      <c r="AA11" s="32">
        <v>1042500000</v>
      </c>
      <c r="AB11" s="32">
        <v>1042500000</v>
      </c>
      <c r="AC11" s="32">
        <v>1042500000</v>
      </c>
      <c r="AD11" s="32">
        <v>1042500000</v>
      </c>
      <c r="AE11" s="32">
        <v>1042500000</v>
      </c>
      <c r="AF11" s="32">
        <v>1042500000</v>
      </c>
    </row>
    <row r="12" spans="2:32">
      <c r="B12" t="s">
        <v>122</v>
      </c>
      <c r="C12" s="32">
        <v>1042500000</v>
      </c>
      <c r="D12" s="32">
        <v>1042500000</v>
      </c>
      <c r="E12" s="32">
        <v>1042500000</v>
      </c>
      <c r="F12" s="32">
        <v>1042500000</v>
      </c>
      <c r="G12" s="32">
        <v>1042500000</v>
      </c>
      <c r="H12" s="32">
        <v>1042500000</v>
      </c>
      <c r="I12" s="32">
        <v>1042500000</v>
      </c>
      <c r="J12" s="32">
        <v>1042500000</v>
      </c>
      <c r="K12" s="32">
        <v>1042500000</v>
      </c>
      <c r="L12" s="32">
        <v>1042500000</v>
      </c>
      <c r="M12" s="32">
        <v>1042500000</v>
      </c>
      <c r="N12" s="32">
        <v>1042500000</v>
      </c>
      <c r="O12" s="32">
        <v>1042500000</v>
      </c>
      <c r="P12" s="32">
        <v>1042500000</v>
      </c>
      <c r="Q12" s="32">
        <v>1042500000</v>
      </c>
      <c r="R12" s="32">
        <v>1042500000</v>
      </c>
      <c r="S12" s="32">
        <v>1042500000</v>
      </c>
      <c r="T12" s="32">
        <v>1042500000</v>
      </c>
      <c r="U12" s="32">
        <v>1042500000</v>
      </c>
      <c r="V12" s="32">
        <v>1042500000</v>
      </c>
      <c r="W12" s="32">
        <v>1042500000</v>
      </c>
      <c r="X12" s="32">
        <v>1042500000</v>
      </c>
      <c r="Y12" s="32">
        <v>1042500000</v>
      </c>
      <c r="Z12" s="32">
        <v>1042500000</v>
      </c>
      <c r="AA12" s="32">
        <v>1042500000</v>
      </c>
      <c r="AB12" s="32">
        <v>1042500000</v>
      </c>
      <c r="AC12" s="32">
        <v>1042500000</v>
      </c>
      <c r="AD12" s="32">
        <v>1042500000</v>
      </c>
      <c r="AE12" s="32">
        <v>1042500000</v>
      </c>
      <c r="AF12" s="32">
        <v>1042500000</v>
      </c>
    </row>
    <row r="13" spans="2:32">
      <c r="B13" t="s">
        <v>123</v>
      </c>
      <c r="C13" s="32">
        <v>45539700</v>
      </c>
      <c r="D13" s="32">
        <v>45612800</v>
      </c>
      <c r="E13" s="32">
        <v>45614800</v>
      </c>
      <c r="F13" s="32">
        <v>45616600</v>
      </c>
      <c r="G13" s="32">
        <v>45618800</v>
      </c>
      <c r="H13" s="32">
        <v>45620700</v>
      </c>
      <c r="I13" s="32">
        <v>45623000</v>
      </c>
      <c r="J13" s="32">
        <v>45625100</v>
      </c>
      <c r="K13" s="32">
        <v>45627300</v>
      </c>
      <c r="L13" s="32">
        <v>45627100</v>
      </c>
      <c r="M13" s="32">
        <v>45629500</v>
      </c>
      <c r="N13" s="32">
        <v>45631800</v>
      </c>
      <c r="O13" s="32">
        <v>45634400</v>
      </c>
      <c r="P13" s="32">
        <v>45636900</v>
      </c>
      <c r="Q13" s="32">
        <v>45639400</v>
      </c>
      <c r="R13" s="32">
        <v>45642100</v>
      </c>
      <c r="S13" s="32">
        <v>45644800</v>
      </c>
      <c r="T13" s="32">
        <v>45647600</v>
      </c>
      <c r="U13" s="32">
        <v>45647800</v>
      </c>
      <c r="V13" s="32">
        <v>45650700</v>
      </c>
      <c r="W13" s="32">
        <v>45653600</v>
      </c>
      <c r="X13" s="32">
        <v>45656600</v>
      </c>
      <c r="Y13" s="32">
        <v>45659700</v>
      </c>
      <c r="Z13" s="32">
        <v>45662800</v>
      </c>
      <c r="AA13" s="32">
        <v>45663500</v>
      </c>
      <c r="AB13" s="32">
        <v>45666800</v>
      </c>
      <c r="AC13" s="32">
        <v>45670100</v>
      </c>
      <c r="AD13" s="32">
        <v>45673500</v>
      </c>
      <c r="AE13" s="32">
        <v>45676900</v>
      </c>
      <c r="AF13" s="32">
        <v>45677800</v>
      </c>
    </row>
    <row r="14" spans="2:32">
      <c r="B14" t="s">
        <v>124</v>
      </c>
      <c r="C14" s="32">
        <v>1042500000</v>
      </c>
      <c r="D14" s="32">
        <v>1042500000</v>
      </c>
      <c r="E14" s="32">
        <v>1042500000</v>
      </c>
      <c r="F14" s="32">
        <v>1042500000</v>
      </c>
      <c r="G14" s="32">
        <v>1042500000</v>
      </c>
      <c r="H14" s="32">
        <v>1042500000</v>
      </c>
      <c r="I14" s="32">
        <v>1042500000</v>
      </c>
      <c r="J14" s="32">
        <v>1042500000</v>
      </c>
      <c r="K14" s="32">
        <v>1042500000</v>
      </c>
      <c r="L14" s="32">
        <v>1042500000</v>
      </c>
      <c r="M14" s="32">
        <v>1042500000</v>
      </c>
      <c r="N14" s="32">
        <v>1042500000</v>
      </c>
      <c r="O14" s="32">
        <v>1042500000</v>
      </c>
      <c r="P14" s="32">
        <v>1042500000</v>
      </c>
      <c r="Q14" s="32">
        <v>1042500000</v>
      </c>
      <c r="R14" s="32">
        <v>1042500000</v>
      </c>
      <c r="S14" s="32">
        <v>1042500000</v>
      </c>
      <c r="T14" s="32">
        <v>1042500000</v>
      </c>
      <c r="U14" s="32">
        <v>1042500000</v>
      </c>
      <c r="V14" s="32">
        <v>1042500000</v>
      </c>
      <c r="W14" s="32">
        <v>1042500000</v>
      </c>
      <c r="X14" s="32">
        <v>1042500000</v>
      </c>
      <c r="Y14" s="32">
        <v>1042500000</v>
      </c>
      <c r="Z14" s="32">
        <v>1042500000</v>
      </c>
      <c r="AA14" s="32">
        <v>1042500000</v>
      </c>
      <c r="AB14" s="32">
        <v>1042500000</v>
      </c>
      <c r="AC14" s="32">
        <v>1042500000</v>
      </c>
      <c r="AD14" s="32">
        <v>1042500000</v>
      </c>
      <c r="AE14" s="32">
        <v>1042500000</v>
      </c>
      <c r="AF14" s="32">
        <v>1042500000</v>
      </c>
    </row>
    <row r="15" spans="2:32">
      <c r="B15" t="s">
        <v>125</v>
      </c>
      <c r="C15" s="32">
        <v>1042500000</v>
      </c>
      <c r="D15" s="32">
        <v>1042500000</v>
      </c>
      <c r="E15" s="32">
        <v>1042500000</v>
      </c>
      <c r="F15" s="32">
        <v>1042500000</v>
      </c>
      <c r="G15" s="32">
        <v>1042500000</v>
      </c>
      <c r="H15" s="32">
        <v>1042500000</v>
      </c>
      <c r="I15" s="32">
        <v>1042500000</v>
      </c>
      <c r="J15" s="32">
        <v>1042500000</v>
      </c>
      <c r="K15" s="32">
        <v>1042500000</v>
      </c>
      <c r="L15" s="32">
        <v>1042500000</v>
      </c>
      <c r="M15" s="32">
        <v>1042500000</v>
      </c>
      <c r="N15" s="32">
        <v>1042500000</v>
      </c>
      <c r="O15" s="32">
        <v>1042500000</v>
      </c>
      <c r="P15" s="32">
        <v>1042500000</v>
      </c>
      <c r="Q15" s="32">
        <v>1042500000</v>
      </c>
      <c r="R15" s="32">
        <v>1042500000</v>
      </c>
      <c r="S15" s="32">
        <v>1042500000</v>
      </c>
      <c r="T15" s="32">
        <v>1042500000</v>
      </c>
      <c r="U15" s="32">
        <v>1042500000</v>
      </c>
      <c r="V15" s="32">
        <v>1042500000</v>
      </c>
      <c r="W15" s="32">
        <v>1042500000</v>
      </c>
      <c r="X15" s="32">
        <v>1042500000</v>
      </c>
      <c r="Y15" s="32">
        <v>1042500000</v>
      </c>
      <c r="Z15" s="32">
        <v>1042500000</v>
      </c>
      <c r="AA15" s="32">
        <v>1042500000</v>
      </c>
      <c r="AB15" s="32">
        <v>1042500000</v>
      </c>
      <c r="AC15" s="32">
        <v>1042500000</v>
      </c>
      <c r="AD15" s="32">
        <v>1042500000</v>
      </c>
      <c r="AE15" s="32">
        <v>1042500000</v>
      </c>
      <c r="AF15" s="32">
        <v>1042500000</v>
      </c>
    </row>
    <row r="16" spans="2:32">
      <c r="B16" t="s">
        <v>126</v>
      </c>
      <c r="C16" s="32">
        <v>39699000</v>
      </c>
      <c r="D16" s="32">
        <v>39030400</v>
      </c>
      <c r="E16" s="32">
        <v>38884700</v>
      </c>
      <c r="F16" s="32">
        <v>38306200</v>
      </c>
      <c r="G16" s="32">
        <v>37741600</v>
      </c>
      <c r="H16" s="32">
        <v>37193100</v>
      </c>
      <c r="I16" s="32">
        <v>36645600</v>
      </c>
      <c r="J16" s="32">
        <v>36104900</v>
      </c>
      <c r="K16" s="32">
        <v>35595500</v>
      </c>
      <c r="L16" s="32">
        <v>35102000</v>
      </c>
      <c r="M16" s="32">
        <v>35030200</v>
      </c>
      <c r="N16" s="32">
        <v>34952800</v>
      </c>
      <c r="O16" s="32">
        <v>34886900</v>
      </c>
      <c r="P16" s="32">
        <v>34822000</v>
      </c>
      <c r="Q16" s="32">
        <v>34759800</v>
      </c>
      <c r="R16" s="32">
        <v>34703400</v>
      </c>
      <c r="S16" s="32">
        <v>34650100</v>
      </c>
      <c r="T16" s="32">
        <v>34598600</v>
      </c>
      <c r="U16" s="32">
        <v>34550700</v>
      </c>
      <c r="V16" s="32">
        <v>34506900</v>
      </c>
      <c r="W16" s="32">
        <v>34464600</v>
      </c>
      <c r="X16" s="32">
        <v>34425100</v>
      </c>
      <c r="Y16" s="32">
        <v>34387600</v>
      </c>
      <c r="Z16" s="32">
        <v>34351600</v>
      </c>
      <c r="AA16" s="32">
        <v>34317400</v>
      </c>
      <c r="AB16" s="32">
        <v>34284900</v>
      </c>
      <c r="AC16" s="32">
        <v>34255200</v>
      </c>
      <c r="AD16" s="32">
        <v>34227000</v>
      </c>
      <c r="AE16" s="32">
        <v>34199900</v>
      </c>
      <c r="AF16" s="32">
        <v>34173100</v>
      </c>
    </row>
    <row r="23" spans="2:2">
      <c r="B23" t="s">
        <v>127</v>
      </c>
    </row>
    <row r="24" spans="2:2">
      <c r="B24" t="s">
        <v>128</v>
      </c>
    </row>
    <row r="25" spans="2:2">
      <c r="B25" t="s">
        <v>129</v>
      </c>
    </row>
    <row r="26" spans="2:2">
      <c r="B26" t="s">
        <v>130</v>
      </c>
    </row>
    <row r="27" spans="2:2">
      <c r="B27" t="s">
        <v>131</v>
      </c>
    </row>
    <row r="28" spans="2:2">
      <c r="B28" t="s">
        <v>132</v>
      </c>
    </row>
    <row r="29" spans="2:2">
      <c r="B29" t="s">
        <v>133</v>
      </c>
    </row>
    <row r="30" spans="2:2">
      <c r="B30" t="s">
        <v>134</v>
      </c>
    </row>
    <row r="31" spans="2:2">
      <c r="B31" t="s">
        <v>135</v>
      </c>
    </row>
    <row r="32" spans="2:2">
      <c r="B32" t="s">
        <v>136</v>
      </c>
    </row>
    <row r="33" spans="2:2">
      <c r="B33" t="s">
        <v>129</v>
      </c>
    </row>
    <row r="34" spans="2:2">
      <c r="B34" t="s">
        <v>137</v>
      </c>
    </row>
    <row r="35" spans="2:2">
      <c r="B35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F80A-1DD4-4EFC-BD0A-42EC00E11F1F}">
  <dimension ref="A1:G36"/>
  <sheetViews>
    <sheetView workbookViewId="0">
      <selection sqref="A1:G36"/>
    </sheetView>
  </sheetViews>
  <sheetFormatPr defaultRowHeight="15"/>
  <cols>
    <col min="2" max="2" width="14.140625" bestFit="1" customWidth="1"/>
    <col min="3" max="3" width="20.7109375" bestFit="1" customWidth="1"/>
    <col min="6" max="6" width="11.85546875" bestFit="1" customWidth="1"/>
  </cols>
  <sheetData>
    <row r="1" spans="1:7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>
      <c r="A2">
        <v>2021</v>
      </c>
      <c r="B2" t="s">
        <v>110</v>
      </c>
      <c r="C2" t="s">
        <v>1</v>
      </c>
      <c r="D2">
        <v>58414</v>
      </c>
      <c r="E2">
        <v>3.5339646603533899E-2</v>
      </c>
      <c r="F2">
        <v>7.3490200174101794E-2</v>
      </c>
      <c r="G2">
        <v>-2.6106032126173</v>
      </c>
    </row>
    <row r="3" spans="1:7">
      <c r="A3">
        <v>2021</v>
      </c>
      <c r="B3" t="s">
        <v>110</v>
      </c>
      <c r="C3" t="s">
        <v>2</v>
      </c>
      <c r="D3">
        <v>54549</v>
      </c>
      <c r="E3">
        <v>1.6999830001699901E-3</v>
      </c>
      <c r="F3">
        <v>3.3619455883161201E-3</v>
      </c>
      <c r="G3">
        <v>-5.69523542844669</v>
      </c>
    </row>
    <row r="4" spans="1:7">
      <c r="A4">
        <v>2021</v>
      </c>
      <c r="B4" t="s">
        <v>110</v>
      </c>
      <c r="C4" t="s">
        <v>3</v>
      </c>
      <c r="D4">
        <v>49019</v>
      </c>
      <c r="E4">
        <v>0.54334456655433405</v>
      </c>
      <c r="F4">
        <v>1</v>
      </c>
      <c r="G4">
        <v>0</v>
      </c>
    </row>
    <row r="5" spans="1:7">
      <c r="A5">
        <v>2021</v>
      </c>
      <c r="B5" t="s">
        <v>110</v>
      </c>
      <c r="C5" t="s">
        <v>4</v>
      </c>
      <c r="D5">
        <v>51468</v>
      </c>
      <c r="E5">
        <v>0.31188688113118801</v>
      </c>
      <c r="F5">
        <v>0.59258194130892095</v>
      </c>
      <c r="G5">
        <v>-0.52326611796727696</v>
      </c>
    </row>
    <row r="6" spans="1:7">
      <c r="A6">
        <v>2021</v>
      </c>
      <c r="B6" t="s">
        <v>110</v>
      </c>
      <c r="C6" t="s">
        <v>5</v>
      </c>
      <c r="D6">
        <v>55470</v>
      </c>
      <c r="E6">
        <v>1.34198658013419E-2</v>
      </c>
      <c r="F6">
        <v>2.68592624324243E-2</v>
      </c>
      <c r="G6">
        <v>-3.6171445479653199</v>
      </c>
    </row>
    <row r="7" spans="1:7">
      <c r="A7">
        <v>2021</v>
      </c>
      <c r="B7" t="s">
        <v>110</v>
      </c>
      <c r="C7" t="s">
        <v>78</v>
      </c>
      <c r="D7">
        <v>52804</v>
      </c>
      <c r="E7">
        <v>8.8569114308856903E-2</v>
      </c>
      <c r="F7">
        <v>0.171228650249552</v>
      </c>
      <c r="G7">
        <v>-1.7647554796873599</v>
      </c>
    </row>
    <row r="8" spans="1:7">
      <c r="A8">
        <v>2021</v>
      </c>
      <c r="B8" t="s">
        <v>110</v>
      </c>
      <c r="C8" t="s">
        <v>79</v>
      </c>
      <c r="D8">
        <v>69435</v>
      </c>
      <c r="E8">
        <v>5.7399426005739903E-3</v>
      </c>
      <c r="F8">
        <v>1.3775185340645301E-2</v>
      </c>
      <c r="G8">
        <v>-4.2848864691773798</v>
      </c>
    </row>
    <row r="9" spans="1:7">
      <c r="A9">
        <v>2022</v>
      </c>
      <c r="B9" t="s">
        <v>110</v>
      </c>
      <c r="C9" t="s">
        <v>1</v>
      </c>
      <c r="D9">
        <v>57856</v>
      </c>
      <c r="E9">
        <v>7.4800000000000005E-2</v>
      </c>
      <c r="F9">
        <v>0.157825313074512</v>
      </c>
      <c r="G9">
        <v>-1.84626647104904</v>
      </c>
    </row>
    <row r="10" spans="1:7">
      <c r="A10">
        <v>2022</v>
      </c>
      <c r="B10" t="s">
        <v>110</v>
      </c>
      <c r="C10" t="s">
        <v>2</v>
      </c>
      <c r="D10">
        <v>53186</v>
      </c>
      <c r="E10">
        <v>1.6299999999999999E-3</v>
      </c>
      <c r="F10">
        <v>3.2366567758692999E-3</v>
      </c>
      <c r="G10">
        <v>-5.7332143412108003</v>
      </c>
    </row>
    <row r="11" spans="1:7">
      <c r="A11">
        <v>2022</v>
      </c>
      <c r="B11" t="s">
        <v>110</v>
      </c>
      <c r="C11" t="s">
        <v>3</v>
      </c>
      <c r="D11">
        <v>50400</v>
      </c>
      <c r="E11">
        <v>0.52217999999999998</v>
      </c>
      <c r="F11">
        <v>1</v>
      </c>
      <c r="G11">
        <v>0</v>
      </c>
    </row>
    <row r="12" spans="1:7">
      <c r="A12">
        <v>2022</v>
      </c>
      <c r="B12" t="s">
        <v>110</v>
      </c>
      <c r="C12" t="s">
        <v>4</v>
      </c>
      <c r="D12">
        <v>52846</v>
      </c>
      <c r="E12">
        <v>0.29974000000000001</v>
      </c>
      <c r="F12">
        <v>0.59256250147626899</v>
      </c>
      <c r="G12">
        <v>-0.52329892381262699</v>
      </c>
    </row>
    <row r="13" spans="1:7">
      <c r="A13">
        <v>2022</v>
      </c>
      <c r="B13" t="s">
        <v>110</v>
      </c>
      <c r="C13" t="s">
        <v>5</v>
      </c>
      <c r="D13">
        <v>55608</v>
      </c>
      <c r="E13">
        <v>9.4699999999999993E-3</v>
      </c>
      <c r="F13">
        <v>1.94058745124292E-2</v>
      </c>
      <c r="G13">
        <v>-3.9421794488314901</v>
      </c>
    </row>
    <row r="14" spans="1:7">
      <c r="A14">
        <v>2022</v>
      </c>
      <c r="B14" t="s">
        <v>110</v>
      </c>
      <c r="C14" t="s">
        <v>78</v>
      </c>
      <c r="D14">
        <v>49243</v>
      </c>
      <c r="E14">
        <v>8.5120000000000001E-2</v>
      </c>
      <c r="F14">
        <v>0.160575453689589</v>
      </c>
      <c r="G14">
        <v>-1.82899133043614</v>
      </c>
    </row>
    <row r="15" spans="1:7">
      <c r="A15">
        <v>2022</v>
      </c>
      <c r="B15" t="s">
        <v>110</v>
      </c>
      <c r="C15" t="s">
        <v>79</v>
      </c>
      <c r="D15">
        <v>58645</v>
      </c>
      <c r="E15">
        <v>7.0600000000000003E-3</v>
      </c>
      <c r="F15">
        <v>1.50499244982964E-2</v>
      </c>
      <c r="G15">
        <v>-4.1963823045243203</v>
      </c>
    </row>
    <row r="16" spans="1:7">
      <c r="A16">
        <v>2023</v>
      </c>
      <c r="B16" t="s">
        <v>110</v>
      </c>
      <c r="C16" t="s">
        <v>1</v>
      </c>
      <c r="D16">
        <v>54552</v>
      </c>
      <c r="E16">
        <v>6.5549344506554905E-2</v>
      </c>
      <c r="F16">
        <v>0.13005309903783399</v>
      </c>
      <c r="G16">
        <v>-2.0398124577840502</v>
      </c>
    </row>
    <row r="17" spans="1:7">
      <c r="A17">
        <v>2023</v>
      </c>
      <c r="B17" t="s">
        <v>110</v>
      </c>
      <c r="C17" t="s">
        <v>2</v>
      </c>
      <c r="D17">
        <v>54943</v>
      </c>
      <c r="E17">
        <v>1.65998340016599E-3</v>
      </c>
      <c r="F17">
        <v>3.3102715104686301E-3</v>
      </c>
      <c r="G17">
        <v>-5.7107250656252999</v>
      </c>
    </row>
    <row r="18" spans="1:7">
      <c r="A18">
        <v>2023</v>
      </c>
      <c r="B18" t="s">
        <v>110</v>
      </c>
      <c r="C18" t="s">
        <v>3</v>
      </c>
      <c r="D18">
        <v>50672</v>
      </c>
      <c r="E18">
        <v>0.53009469905300899</v>
      </c>
      <c r="F18">
        <v>1</v>
      </c>
      <c r="G18">
        <v>0</v>
      </c>
    </row>
    <row r="19" spans="1:7">
      <c r="A19">
        <v>2023</v>
      </c>
      <c r="B19" t="s">
        <v>110</v>
      </c>
      <c r="C19" t="s">
        <v>4</v>
      </c>
      <c r="D19">
        <v>53072</v>
      </c>
      <c r="E19">
        <v>0.30427695723042703</v>
      </c>
      <c r="F19">
        <v>0.592196165783894</v>
      </c>
      <c r="G19">
        <v>-0.52391733786465899</v>
      </c>
    </row>
    <row r="20" spans="1:7">
      <c r="A20">
        <v>2023</v>
      </c>
      <c r="B20" t="s">
        <v>110</v>
      </c>
      <c r="C20" t="s">
        <v>5</v>
      </c>
      <c r="D20">
        <v>55047</v>
      </c>
      <c r="E20">
        <v>9.0999090009099906E-3</v>
      </c>
      <c r="F20">
        <v>1.8171220012969998E-2</v>
      </c>
      <c r="G20">
        <v>-4.0079162544709499</v>
      </c>
    </row>
    <row r="21" spans="1:7">
      <c r="A21">
        <v>2023</v>
      </c>
      <c r="B21" t="s">
        <v>110</v>
      </c>
      <c r="C21" t="s">
        <v>78</v>
      </c>
      <c r="D21">
        <v>49412</v>
      </c>
      <c r="E21">
        <v>8.6409135908640897E-2</v>
      </c>
      <c r="F21">
        <v>0.16035867432016401</v>
      </c>
      <c r="G21">
        <v>-1.83034225814045</v>
      </c>
    </row>
    <row r="22" spans="1:7">
      <c r="A22">
        <v>2023</v>
      </c>
      <c r="B22" t="s">
        <v>110</v>
      </c>
      <c r="C22" t="s">
        <v>79</v>
      </c>
      <c r="D22">
        <v>57488</v>
      </c>
      <c r="E22">
        <v>2.9099709002909902E-3</v>
      </c>
      <c r="F22">
        <v>5.9981476236627097E-3</v>
      </c>
      <c r="G22">
        <v>-5.1163045868103598</v>
      </c>
    </row>
    <row r="23" spans="1:7">
      <c r="A23">
        <v>2024</v>
      </c>
      <c r="B23" t="s">
        <v>110</v>
      </c>
      <c r="C23" t="s">
        <v>1</v>
      </c>
      <c r="D23">
        <v>52141</v>
      </c>
      <c r="E23">
        <v>8.6980869808698E-2</v>
      </c>
      <c r="F23">
        <v>0.17042213170193199</v>
      </c>
      <c r="G23">
        <v>-1.7694767921408201</v>
      </c>
    </row>
    <row r="24" spans="1:7">
      <c r="A24">
        <v>2024</v>
      </c>
      <c r="B24" t="s">
        <v>110</v>
      </c>
      <c r="C24" t="s">
        <v>2</v>
      </c>
      <c r="D24">
        <v>55384</v>
      </c>
      <c r="E24">
        <v>1.620016200162E-3</v>
      </c>
      <c r="F24">
        <v>3.31078535598989E-3</v>
      </c>
      <c r="G24">
        <v>-5.7105698500660198</v>
      </c>
    </row>
    <row r="25" spans="1:7">
      <c r="A25">
        <v>2024</v>
      </c>
      <c r="B25" t="s">
        <v>110</v>
      </c>
      <c r="C25" t="s">
        <v>3</v>
      </c>
      <c r="D25">
        <v>50863</v>
      </c>
      <c r="E25">
        <v>0.51893518935189298</v>
      </c>
      <c r="F25">
        <v>1</v>
      </c>
      <c r="G25">
        <v>0</v>
      </c>
    </row>
    <row r="26" spans="1:7">
      <c r="A26">
        <v>2024</v>
      </c>
      <c r="B26" t="s">
        <v>110</v>
      </c>
      <c r="C26" t="s">
        <v>4</v>
      </c>
      <c r="D26">
        <v>53239</v>
      </c>
      <c r="E26">
        <v>0.29787297872978702</v>
      </c>
      <c r="F26">
        <v>0.592014678526816</v>
      </c>
      <c r="G26">
        <v>-0.52422384959670598</v>
      </c>
    </row>
    <row r="27" spans="1:7">
      <c r="A27">
        <v>2024</v>
      </c>
      <c r="B27" t="s">
        <v>110</v>
      </c>
      <c r="C27" t="s">
        <v>5</v>
      </c>
      <c r="D27">
        <v>54936</v>
      </c>
      <c r="E27">
        <v>8.0900809008089998E-3</v>
      </c>
      <c r="F27">
        <v>1.64374786444835E-2</v>
      </c>
      <c r="G27">
        <v>-4.10819126823991</v>
      </c>
    </row>
    <row r="28" spans="1:7">
      <c r="A28">
        <v>2024</v>
      </c>
      <c r="B28" t="s">
        <v>110</v>
      </c>
      <c r="C28" t="s">
        <v>78</v>
      </c>
      <c r="D28">
        <v>49538</v>
      </c>
      <c r="E28">
        <v>8.4590845908459E-2</v>
      </c>
      <c r="F28">
        <v>0.16022472098401899</v>
      </c>
      <c r="G28">
        <v>-1.83117794299439</v>
      </c>
    </row>
    <row r="29" spans="1:7">
      <c r="A29">
        <v>2024</v>
      </c>
      <c r="B29" t="s">
        <v>110</v>
      </c>
      <c r="C29" t="s">
        <v>79</v>
      </c>
      <c r="D29">
        <v>56249</v>
      </c>
      <c r="E29">
        <v>1.910019100191E-3</v>
      </c>
      <c r="F29">
        <v>3.9475989042041899E-3</v>
      </c>
      <c r="G29">
        <v>-5.53464775725178</v>
      </c>
    </row>
    <row r="30" spans="1:7">
      <c r="A30">
        <v>2025</v>
      </c>
      <c r="B30" t="s">
        <v>110</v>
      </c>
      <c r="C30" t="s">
        <v>1</v>
      </c>
      <c r="D30">
        <v>50779</v>
      </c>
      <c r="E30">
        <v>0.13181999999999999</v>
      </c>
      <c r="F30">
        <v>0.26665968836382897</v>
      </c>
      <c r="G30">
        <v>-1.32178200896036</v>
      </c>
    </row>
    <row r="31" spans="1:7">
      <c r="A31">
        <v>2025</v>
      </c>
      <c r="B31" t="s">
        <v>110</v>
      </c>
      <c r="C31" t="s">
        <v>2</v>
      </c>
      <c r="D31">
        <v>55921</v>
      </c>
      <c r="E31">
        <v>1.5299999999999999E-3</v>
      </c>
      <c r="F31">
        <v>3.30901198145427E-3</v>
      </c>
      <c r="G31">
        <v>-5.7111056291805902</v>
      </c>
    </row>
    <row r="32" spans="1:7">
      <c r="A32">
        <v>2025</v>
      </c>
      <c r="B32" t="s">
        <v>110</v>
      </c>
      <c r="C32" t="s">
        <v>3</v>
      </c>
      <c r="D32">
        <v>51366</v>
      </c>
      <c r="E32">
        <v>0.49058000000000002</v>
      </c>
      <c r="F32">
        <v>1</v>
      </c>
      <c r="G32">
        <v>0</v>
      </c>
    </row>
    <row r="33" spans="1:7">
      <c r="A33">
        <v>2025</v>
      </c>
      <c r="B33" t="s">
        <v>110</v>
      </c>
      <c r="C33" t="s">
        <v>4</v>
      </c>
      <c r="D33">
        <v>53638</v>
      </c>
      <c r="E33">
        <v>0.28160000000000002</v>
      </c>
      <c r="F33">
        <v>0.59122138352735099</v>
      </c>
      <c r="G33">
        <v>-0.52556474030104905</v>
      </c>
    </row>
    <row r="34" spans="1:7">
      <c r="A34">
        <v>2025</v>
      </c>
      <c r="B34" t="s">
        <v>110</v>
      </c>
      <c r="C34" t="s">
        <v>5</v>
      </c>
      <c r="D34">
        <v>54680</v>
      </c>
      <c r="E34">
        <v>1.0749999999999999E-2</v>
      </c>
      <c r="F34">
        <v>2.2877517710931699E-2</v>
      </c>
      <c r="G34">
        <v>-3.7776006100112598</v>
      </c>
    </row>
    <row r="35" spans="1:7">
      <c r="A35">
        <v>2025</v>
      </c>
      <c r="B35" t="s">
        <v>110</v>
      </c>
      <c r="C35" t="s">
        <v>78</v>
      </c>
      <c r="D35">
        <v>49833</v>
      </c>
      <c r="E35">
        <v>7.9969999999999999E-2</v>
      </c>
      <c r="F35">
        <v>0.15979463806628899</v>
      </c>
      <c r="G35">
        <v>-1.8338658002411301</v>
      </c>
    </row>
    <row r="36" spans="1:7">
      <c r="A36">
        <v>2025</v>
      </c>
      <c r="B36" t="s">
        <v>110</v>
      </c>
      <c r="C36" t="s">
        <v>79</v>
      </c>
      <c r="D36">
        <v>56469</v>
      </c>
      <c r="E36">
        <v>3.7499999999999999E-3</v>
      </c>
      <c r="F36">
        <v>8.1683077230845901E-3</v>
      </c>
      <c r="G36">
        <v>-4.8074935246026103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L93"/>
  <sheetViews>
    <sheetView tabSelected="1" zoomScale="70" zoomScaleNormal="70" workbookViewId="0">
      <selection activeCell="H26" sqref="H26"/>
    </sheetView>
  </sheetViews>
  <sheetFormatPr defaultColWidth="9.140625" defaultRowHeight="15"/>
  <cols>
    <col min="1" max="1" width="23.140625" customWidth="1"/>
    <col min="2" max="2" width="18.85546875" customWidth="1"/>
    <col min="3" max="3" width="24.140625" customWidth="1"/>
    <col min="4" max="4" width="14.85546875" customWidth="1"/>
    <col min="5" max="5" width="16.140625" customWidth="1"/>
    <col min="6" max="6" width="18" style="6" customWidth="1"/>
    <col min="8" max="9" width="9.140625" customWidth="1"/>
  </cols>
  <sheetData>
    <row r="1" spans="1:38">
      <c r="A1" t="s">
        <v>65</v>
      </c>
      <c r="H1" s="14" t="s">
        <v>86</v>
      </c>
      <c r="I1" s="15"/>
      <c r="J1" s="16"/>
      <c r="K1" s="16"/>
      <c r="L1" s="16"/>
      <c r="N1" s="14" t="s">
        <v>85</v>
      </c>
      <c r="O1" s="15"/>
      <c r="P1" s="16"/>
      <c r="Q1" s="16"/>
      <c r="R1" s="16"/>
    </row>
    <row r="2" spans="1:38">
      <c r="A2" t="s">
        <v>66</v>
      </c>
      <c r="H2" s="8" t="s">
        <v>61</v>
      </c>
      <c r="I2" s="17">
        <v>1</v>
      </c>
      <c r="N2" s="8" t="s">
        <v>61</v>
      </c>
      <c r="O2" s="17">
        <v>1</v>
      </c>
    </row>
    <row r="3" spans="1:38">
      <c r="A3" t="s">
        <v>67</v>
      </c>
      <c r="H3" s="8" t="s">
        <v>62</v>
      </c>
      <c r="I3" s="17">
        <v>-0.3</v>
      </c>
      <c r="N3" s="8" t="s">
        <v>62</v>
      </c>
      <c r="O3" s="17">
        <v>-1</v>
      </c>
    </row>
    <row r="4" spans="1:38" ht="15.75" thickBot="1">
      <c r="A4" t="s">
        <v>68</v>
      </c>
      <c r="H4" s="9" t="s">
        <v>63</v>
      </c>
      <c r="I4" s="18">
        <v>-16</v>
      </c>
      <c r="N4" s="9" t="s">
        <v>63</v>
      </c>
      <c r="O4" s="18">
        <v>-5</v>
      </c>
    </row>
    <row r="5" spans="1:38">
      <c r="A5" t="s">
        <v>69</v>
      </c>
    </row>
    <row r="6" spans="1:38" ht="30">
      <c r="A6" s="11"/>
      <c r="B6" s="11"/>
      <c r="C6" s="11"/>
      <c r="D6" s="2" t="s">
        <v>20</v>
      </c>
      <c r="E6" s="2" t="s">
        <v>20</v>
      </c>
      <c r="F6" s="2" t="s">
        <v>64</v>
      </c>
    </row>
    <row r="7" spans="1:38">
      <c r="A7" s="11"/>
      <c r="B7" s="11"/>
      <c r="C7" s="11" t="s">
        <v>101</v>
      </c>
      <c r="D7" s="2">
        <v>2020</v>
      </c>
      <c r="E7" s="2">
        <v>2035</v>
      </c>
      <c r="F7" s="2"/>
    </row>
    <row r="8" spans="1:38" ht="45">
      <c r="A8" s="11"/>
      <c r="B8" s="11"/>
      <c r="C8" s="11"/>
      <c r="D8" s="25">
        <v>2020</v>
      </c>
      <c r="E8" s="25">
        <v>2050</v>
      </c>
      <c r="F8" s="25" t="s">
        <v>84</v>
      </c>
      <c r="R8" s="31" t="s">
        <v>111</v>
      </c>
      <c r="S8" s="31"/>
      <c r="T8" s="31"/>
      <c r="U8" s="31"/>
      <c r="V8" s="31"/>
    </row>
    <row r="9" spans="1:38">
      <c r="A9" s="11" t="s">
        <v>9</v>
      </c>
      <c r="B9" s="11" t="s">
        <v>10</v>
      </c>
      <c r="C9" s="11" t="s">
        <v>11</v>
      </c>
      <c r="D9" s="11">
        <v>2020</v>
      </c>
      <c r="E9" s="11">
        <v>2050</v>
      </c>
      <c r="F9" s="5"/>
      <c r="H9" s="19">
        <f>D9</f>
        <v>2020</v>
      </c>
      <c r="I9" s="19">
        <f>H9+1</f>
        <v>2021</v>
      </c>
      <c r="J9" s="19">
        <f t="shared" ref="J9:AL9" si="0">I9+1</f>
        <v>2022</v>
      </c>
      <c r="K9" s="19">
        <f t="shared" si="0"/>
        <v>2023</v>
      </c>
      <c r="L9" s="19">
        <f t="shared" si="0"/>
        <v>2024</v>
      </c>
      <c r="M9" s="19">
        <f t="shared" si="0"/>
        <v>2025</v>
      </c>
      <c r="N9" s="19">
        <f t="shared" si="0"/>
        <v>2026</v>
      </c>
      <c r="O9" s="19">
        <f t="shared" si="0"/>
        <v>2027</v>
      </c>
      <c r="P9" s="19">
        <f t="shared" si="0"/>
        <v>2028</v>
      </c>
      <c r="Q9" s="19">
        <f t="shared" si="0"/>
        <v>2029</v>
      </c>
      <c r="R9" s="19">
        <f t="shared" si="0"/>
        <v>2030</v>
      </c>
      <c r="S9" s="19">
        <f t="shared" si="0"/>
        <v>2031</v>
      </c>
      <c r="T9" s="19">
        <f t="shared" si="0"/>
        <v>2032</v>
      </c>
      <c r="U9" s="19">
        <f t="shared" si="0"/>
        <v>2033</v>
      </c>
      <c r="V9" s="19">
        <f t="shared" si="0"/>
        <v>2034</v>
      </c>
      <c r="W9" s="19">
        <f t="shared" si="0"/>
        <v>2035</v>
      </c>
      <c r="X9" s="19">
        <f t="shared" si="0"/>
        <v>2036</v>
      </c>
      <c r="Y9" s="19">
        <f t="shared" si="0"/>
        <v>2037</v>
      </c>
      <c r="Z9" s="19">
        <f t="shared" si="0"/>
        <v>2038</v>
      </c>
      <c r="AA9" s="19">
        <f t="shared" si="0"/>
        <v>2039</v>
      </c>
      <c r="AB9" s="19">
        <f t="shared" si="0"/>
        <v>2040</v>
      </c>
      <c r="AC9" s="19">
        <f t="shared" si="0"/>
        <v>2041</v>
      </c>
      <c r="AD9" s="19">
        <f t="shared" si="0"/>
        <v>2042</v>
      </c>
      <c r="AE9" s="19">
        <f t="shared" si="0"/>
        <v>2043</v>
      </c>
      <c r="AF9" s="19">
        <f t="shared" si="0"/>
        <v>2044</v>
      </c>
      <c r="AG9" s="19">
        <f t="shared" si="0"/>
        <v>2045</v>
      </c>
      <c r="AH9" s="19">
        <f t="shared" si="0"/>
        <v>2046</v>
      </c>
      <c r="AI9" s="19">
        <f t="shared" si="0"/>
        <v>2047</v>
      </c>
      <c r="AJ9" s="19">
        <f t="shared" si="0"/>
        <v>2048</v>
      </c>
      <c r="AK9" s="19">
        <f t="shared" si="0"/>
        <v>2049</v>
      </c>
      <c r="AL9" s="19">
        <f t="shared" si="0"/>
        <v>2050</v>
      </c>
    </row>
    <row r="10" spans="1:38">
      <c r="A10" t="s">
        <v>12</v>
      </c>
      <c r="B10" t="s">
        <v>19</v>
      </c>
      <c r="C10" t="s">
        <v>1</v>
      </c>
      <c r="D10" s="28">
        <v>0.1</v>
      </c>
      <c r="E10">
        <v>1</v>
      </c>
      <c r="F10" s="6" t="str">
        <f>IF(D10=E10,"n/a",IF(OR(C10="battery electric vehicle",C10="natural gas vehicle",C10="plugin hybrid vehicle"),"s-curve","linear"))</f>
        <v>s-curve</v>
      </c>
      <c r="H10" s="20">
        <f>I10</f>
        <v>7.3490200174101794E-2</v>
      </c>
      <c r="I10" s="30">
        <f>SUMIFS(recalculated_shareweights!$F:$F,recalculated_shareweights!$A:$A,Data!I$9,recalculated_shareweights!$C:$C,Data!$C10)</f>
        <v>7.3490200174101794E-2</v>
      </c>
      <c r="J10" s="30">
        <f>SUMIFS(recalculated_shareweights!$F:$F,recalculated_shareweights!$A:$A,Data!J$9,recalculated_shareweights!$C:$C,Data!$C10)</f>
        <v>0.157825313074512</v>
      </c>
      <c r="K10" s="30">
        <f>SUMIFS(recalculated_shareweights!$F:$F,recalculated_shareweights!$A:$A,Data!K$9,recalculated_shareweights!$C:$C,Data!$C10)</f>
        <v>0.13005309903783399</v>
      </c>
      <c r="L10" s="30">
        <f>SUMIFS(recalculated_shareweights!$F:$F,recalculated_shareweights!$A:$A,Data!L$9,recalculated_shareweights!$C:$C,Data!$C10)</f>
        <v>0.17042213170193199</v>
      </c>
      <c r="M10" s="30">
        <f>SUMIFS(recalculated_shareweights!$F:$F,recalculated_shareweights!$A:$A,Data!M$9,recalculated_shareweights!$C:$C,Data!$C10)</f>
        <v>0.26665968836382897</v>
      </c>
      <c r="N10">
        <f>M10+($R$10-$M$10)/($R$9-$M$9)</f>
        <v>0.30932775069106316</v>
      </c>
      <c r="O10">
        <f t="shared" ref="O10:Q10" si="1">N10+($R$10-$M$10)/($R$9-$M$9)</f>
        <v>0.35199581301829735</v>
      </c>
      <c r="P10">
        <f t="shared" si="1"/>
        <v>0.39466387534553155</v>
      </c>
      <c r="Q10">
        <f t="shared" si="1"/>
        <v>0.43733193767276574</v>
      </c>
      <c r="R10" s="31">
        <v>0.48</v>
      </c>
      <c r="S10">
        <f>R10+($W$10-$R$10)/($W$9-$R$9)</f>
        <v>0.504</v>
      </c>
      <c r="T10">
        <f t="shared" ref="T10:V10" si="2">S10+($W$10-$R$10)/($W$9-$R$9)</f>
        <v>0.52800000000000002</v>
      </c>
      <c r="U10">
        <f t="shared" si="2"/>
        <v>0.55200000000000005</v>
      </c>
      <c r="V10">
        <f t="shared" si="2"/>
        <v>0.57600000000000007</v>
      </c>
      <c r="W10" s="31">
        <v>0.6</v>
      </c>
      <c r="X10">
        <f t="shared" ref="X10" si="3">W10+($AB$10-$W$10)/($AB$9-$W$9)</f>
        <v>0.64600000000000002</v>
      </c>
      <c r="Y10">
        <f>X10+($AB$10-$W$10)/($AB$9-$W$9)</f>
        <v>0.69200000000000006</v>
      </c>
      <c r="Z10">
        <f t="shared" ref="Z10:AA10" si="4">Y10+($AB$10-$W$10)/($AB$9-$W$9)</f>
        <v>0.7380000000000001</v>
      </c>
      <c r="AA10">
        <f t="shared" si="4"/>
        <v>0.78400000000000014</v>
      </c>
      <c r="AB10" s="31">
        <v>0.83</v>
      </c>
      <c r="AC10">
        <f t="shared" ref="AC10" si="5">AB10+($AG$10-$AB$10)/($AG$9-$AB$9)</f>
        <v>0.94399999999999995</v>
      </c>
      <c r="AD10">
        <f>AC10+($AG$10-$AB$10)/($AG$9-$AB$9)</f>
        <v>1.0579999999999998</v>
      </c>
      <c r="AE10">
        <f t="shared" ref="AE10:AF10" si="6">AD10+($AG$10-$AB$10)/($AG$9-$AB$9)</f>
        <v>1.1719999999999997</v>
      </c>
      <c r="AF10">
        <f t="shared" si="6"/>
        <v>1.2859999999999996</v>
      </c>
      <c r="AG10" s="31">
        <v>1.4</v>
      </c>
      <c r="AH10">
        <f t="shared" ref="AH10" si="7">AG10+($AL$10-$AG$10)/($AL$9-$AG$9)</f>
        <v>1.64</v>
      </c>
      <c r="AI10">
        <f>AH10+($AL$10-$AG$10)/($AL$9-$AG$9)</f>
        <v>1.88</v>
      </c>
      <c r="AJ10">
        <f t="shared" ref="AJ10:AK10" si="8">AI10+($AL$10-$AG$10)/($AL$9-$AG$9)</f>
        <v>2.12</v>
      </c>
      <c r="AK10">
        <f t="shared" si="8"/>
        <v>2.3600000000000003</v>
      </c>
      <c r="AL10" s="31">
        <v>2.6</v>
      </c>
    </row>
    <row r="11" spans="1:38">
      <c r="C11" t="s">
        <v>2</v>
      </c>
      <c r="D11" s="20">
        <f>1.25*INDEX('SYVbT-passenger'!$B$2:$H$2,MATCH(Data!$C11,'SYVbT-passenger'!$B$1:$H$1,0))/SUM('SYVbT-passenger'!$B$2:$H$2)</f>
        <v>2.1560593065193183E-3</v>
      </c>
      <c r="E11" s="20">
        <f>D11</f>
        <v>2.1560593065193183E-3</v>
      </c>
      <c r="F11" s="6" t="str">
        <f>IF(D11=E11,"n/a",IF(OR(C11="battery electric vehicle",C11="natural gas vehicle",C11="plugin hybrid vehicle"),"s-curve","linear"))</f>
        <v>n/a</v>
      </c>
      <c r="H11" s="20">
        <f t="shared" ref="H11:H16" si="9">I11</f>
        <v>3.3619455883161201E-3</v>
      </c>
      <c r="I11" s="30">
        <f>SUMIFS(recalculated_shareweights!$F:$F,recalculated_shareweights!$A:$A,Data!I$9,recalculated_shareweights!$C:$C,Data!$C11)</f>
        <v>3.3619455883161201E-3</v>
      </c>
      <c r="J11" s="30">
        <f>SUMIFS(recalculated_shareweights!$F:$F,recalculated_shareweights!$A:$A,Data!J$9,recalculated_shareweights!$C:$C,Data!$C11)</f>
        <v>3.2366567758692999E-3</v>
      </c>
      <c r="K11" s="30">
        <f>SUMIFS(recalculated_shareweights!$F:$F,recalculated_shareweights!$A:$A,Data!K$9,recalculated_shareweights!$C:$C,Data!$C11)</f>
        <v>3.3102715104686301E-3</v>
      </c>
      <c r="L11" s="30">
        <f>SUMIFS(recalculated_shareweights!$F:$F,recalculated_shareweights!$A:$A,Data!L$9,recalculated_shareweights!$C:$C,Data!$C11)</f>
        <v>3.31078535598989E-3</v>
      </c>
      <c r="M11" s="30">
        <f>SUMIFS(recalculated_shareweights!$F:$F,recalculated_shareweights!$A:$A,Data!M$9,recalculated_shareweights!$C:$C,Data!$C11)</f>
        <v>3.30901198145427E-3</v>
      </c>
      <c r="N11">
        <f t="shared" ref="N11:AL11" si="10">M11</f>
        <v>3.30901198145427E-3</v>
      </c>
      <c r="O11">
        <f t="shared" si="10"/>
        <v>3.30901198145427E-3</v>
      </c>
      <c r="P11">
        <f t="shared" si="10"/>
        <v>3.30901198145427E-3</v>
      </c>
      <c r="Q11">
        <f t="shared" si="10"/>
        <v>3.30901198145427E-3</v>
      </c>
      <c r="R11">
        <f t="shared" si="10"/>
        <v>3.30901198145427E-3</v>
      </c>
      <c r="S11">
        <f t="shared" si="10"/>
        <v>3.30901198145427E-3</v>
      </c>
      <c r="T11">
        <f t="shared" si="10"/>
        <v>3.30901198145427E-3</v>
      </c>
      <c r="U11">
        <f t="shared" si="10"/>
        <v>3.30901198145427E-3</v>
      </c>
      <c r="V11">
        <f t="shared" si="10"/>
        <v>3.30901198145427E-3</v>
      </c>
      <c r="W11">
        <f t="shared" si="10"/>
        <v>3.30901198145427E-3</v>
      </c>
      <c r="X11">
        <f t="shared" si="10"/>
        <v>3.30901198145427E-3</v>
      </c>
      <c r="Y11">
        <f t="shared" si="10"/>
        <v>3.30901198145427E-3</v>
      </c>
      <c r="Z11">
        <f t="shared" si="10"/>
        <v>3.30901198145427E-3</v>
      </c>
      <c r="AA11">
        <f t="shared" si="10"/>
        <v>3.30901198145427E-3</v>
      </c>
      <c r="AB11">
        <f t="shared" si="10"/>
        <v>3.30901198145427E-3</v>
      </c>
      <c r="AC11">
        <f t="shared" si="10"/>
        <v>3.30901198145427E-3</v>
      </c>
      <c r="AD11">
        <f t="shared" si="10"/>
        <v>3.30901198145427E-3</v>
      </c>
      <c r="AE11">
        <f t="shared" si="10"/>
        <v>3.30901198145427E-3</v>
      </c>
      <c r="AF11">
        <f t="shared" si="10"/>
        <v>3.30901198145427E-3</v>
      </c>
      <c r="AG11">
        <f t="shared" si="10"/>
        <v>3.30901198145427E-3</v>
      </c>
      <c r="AH11">
        <f t="shared" si="10"/>
        <v>3.30901198145427E-3</v>
      </c>
      <c r="AI11">
        <f t="shared" si="10"/>
        <v>3.30901198145427E-3</v>
      </c>
      <c r="AJ11">
        <f t="shared" si="10"/>
        <v>3.30901198145427E-3</v>
      </c>
      <c r="AK11">
        <f t="shared" si="10"/>
        <v>3.30901198145427E-3</v>
      </c>
      <c r="AL11">
        <f t="shared" si="10"/>
        <v>3.30901198145427E-3</v>
      </c>
    </row>
    <row r="12" spans="1:38">
      <c r="C12" t="s">
        <v>3</v>
      </c>
      <c r="D12" s="20">
        <f>1.25*INDEX('SYVbT-passenger'!$B$2:$H$2,MATCH(Data!$C12,'SYVbT-passenger'!$B$1:$H$1,0))/SUM('SYVbT-passenger'!$B$2:$H$2)*3</f>
        <v>2.0709236560250575</v>
      </c>
      <c r="E12" s="20">
        <f>D12</f>
        <v>2.0709236560250575</v>
      </c>
      <c r="F12" s="6" t="str">
        <f>IF(D12=E12,"n/a",IF(OR(C12="battery electric vehicle",C12="natural gas vehicle",C12="plugin hybrid vehicle"),"s-curve","linear"))</f>
        <v>n/a</v>
      </c>
      <c r="H12" s="20">
        <f t="shared" si="9"/>
        <v>1</v>
      </c>
      <c r="I12" s="30">
        <f>SUMIFS(recalculated_shareweights!$F:$F,recalculated_shareweights!$A:$A,Data!I$9,recalculated_shareweights!$C:$C,Data!$C12)</f>
        <v>1</v>
      </c>
      <c r="J12" s="30">
        <f>SUMIFS(recalculated_shareweights!$F:$F,recalculated_shareweights!$A:$A,Data!J$9,recalculated_shareweights!$C:$C,Data!$C12)</f>
        <v>1</v>
      </c>
      <c r="K12" s="30">
        <f>SUMIFS(recalculated_shareweights!$F:$F,recalculated_shareweights!$A:$A,Data!K$9,recalculated_shareweights!$C:$C,Data!$C12)</f>
        <v>1</v>
      </c>
      <c r="L12" s="30">
        <f>SUMIFS(recalculated_shareweights!$F:$F,recalculated_shareweights!$A:$A,Data!L$9,recalculated_shareweights!$C:$C,Data!$C12)</f>
        <v>1</v>
      </c>
      <c r="M12" s="30">
        <f>SUMIFS(recalculated_shareweights!$F:$F,recalculated_shareweights!$A:$A,Data!M$9,recalculated_shareweights!$C:$C,Data!$C12)</f>
        <v>1</v>
      </c>
      <c r="N12">
        <f t="shared" ref="N12:AL12" si="11">M12</f>
        <v>1</v>
      </c>
      <c r="O12">
        <f t="shared" si="11"/>
        <v>1</v>
      </c>
      <c r="P12">
        <f t="shared" si="11"/>
        <v>1</v>
      </c>
      <c r="Q12">
        <f t="shared" si="11"/>
        <v>1</v>
      </c>
      <c r="R12">
        <f t="shared" si="11"/>
        <v>1</v>
      </c>
      <c r="S12">
        <f t="shared" si="11"/>
        <v>1</v>
      </c>
      <c r="T12">
        <f t="shared" si="11"/>
        <v>1</v>
      </c>
      <c r="U12">
        <f t="shared" si="11"/>
        <v>1</v>
      </c>
      <c r="V12">
        <f t="shared" si="11"/>
        <v>1</v>
      </c>
      <c r="W12">
        <f t="shared" si="11"/>
        <v>1</v>
      </c>
      <c r="X12">
        <f t="shared" si="11"/>
        <v>1</v>
      </c>
      <c r="Y12">
        <f t="shared" si="11"/>
        <v>1</v>
      </c>
      <c r="Z12">
        <f t="shared" si="11"/>
        <v>1</v>
      </c>
      <c r="AA12">
        <f t="shared" si="11"/>
        <v>1</v>
      </c>
      <c r="AB12">
        <f t="shared" si="11"/>
        <v>1</v>
      </c>
      <c r="AC12">
        <f t="shared" si="11"/>
        <v>1</v>
      </c>
      <c r="AD12">
        <f t="shared" si="11"/>
        <v>1</v>
      </c>
      <c r="AE12">
        <f t="shared" si="11"/>
        <v>1</v>
      </c>
      <c r="AF12">
        <f t="shared" si="11"/>
        <v>1</v>
      </c>
      <c r="AG12">
        <f t="shared" si="11"/>
        <v>1</v>
      </c>
      <c r="AH12">
        <f t="shared" si="11"/>
        <v>1</v>
      </c>
      <c r="AI12">
        <f t="shared" si="11"/>
        <v>1</v>
      </c>
      <c r="AJ12">
        <f t="shared" si="11"/>
        <v>1</v>
      </c>
      <c r="AK12">
        <f t="shared" si="11"/>
        <v>1</v>
      </c>
      <c r="AL12">
        <f t="shared" si="11"/>
        <v>1</v>
      </c>
    </row>
    <row r="13" spans="1:38">
      <c r="C13" t="s">
        <v>4</v>
      </c>
      <c r="D13" s="20">
        <f>1.25*INDEX('SYVbT-passenger'!$B$2:$H$2,MATCH(Data!$C13,'SYVbT-passenger'!$B$1:$H$1,0))/SUM('SYVbT-passenger'!$B$2:$H$2)*3</f>
        <v>1.188726795382173</v>
      </c>
      <c r="E13" s="20">
        <f t="shared" ref="E13:E15" si="12">D13</f>
        <v>1.188726795382173</v>
      </c>
      <c r="F13" s="6" t="str">
        <f>IF(D13=E13,"n/a",IF(OR(C13="battery electric vehicle",C13="natural gas vehicle",C13="plugin hybrid vehicle"),"s-curve","linear"))</f>
        <v>n/a</v>
      </c>
      <c r="H13" s="20">
        <f t="shared" si="9"/>
        <v>0.59258194130892095</v>
      </c>
      <c r="I13" s="30">
        <f>SUMIFS(recalculated_shareweights!$F:$F,recalculated_shareweights!$A:$A,Data!I$9,recalculated_shareweights!$C:$C,Data!$C13)</f>
        <v>0.59258194130892095</v>
      </c>
      <c r="J13" s="30">
        <f>SUMIFS(recalculated_shareweights!$F:$F,recalculated_shareweights!$A:$A,Data!J$9,recalculated_shareweights!$C:$C,Data!$C13)</f>
        <v>0.59256250147626899</v>
      </c>
      <c r="K13" s="30">
        <f>SUMIFS(recalculated_shareweights!$F:$F,recalculated_shareweights!$A:$A,Data!K$9,recalculated_shareweights!$C:$C,Data!$C13)</f>
        <v>0.592196165783894</v>
      </c>
      <c r="L13" s="30">
        <f>SUMIFS(recalculated_shareweights!$F:$F,recalculated_shareweights!$A:$A,Data!L$9,recalculated_shareweights!$C:$C,Data!$C13)</f>
        <v>0.592014678526816</v>
      </c>
      <c r="M13" s="30">
        <f>SUMIFS(recalculated_shareweights!$F:$F,recalculated_shareweights!$A:$A,Data!M$9,recalculated_shareweights!$C:$C,Data!$C13)</f>
        <v>0.59122138352735099</v>
      </c>
      <c r="N13">
        <f t="shared" ref="N13:AL13" si="13">M13</f>
        <v>0.59122138352735099</v>
      </c>
      <c r="O13">
        <f t="shared" si="13"/>
        <v>0.59122138352735099</v>
      </c>
      <c r="P13">
        <f t="shared" si="13"/>
        <v>0.59122138352735099</v>
      </c>
      <c r="Q13">
        <f t="shared" si="13"/>
        <v>0.59122138352735099</v>
      </c>
      <c r="R13">
        <f t="shared" si="13"/>
        <v>0.59122138352735099</v>
      </c>
      <c r="S13">
        <f t="shared" si="13"/>
        <v>0.59122138352735099</v>
      </c>
      <c r="T13">
        <f t="shared" si="13"/>
        <v>0.59122138352735099</v>
      </c>
      <c r="U13">
        <f t="shared" si="13"/>
        <v>0.59122138352735099</v>
      </c>
      <c r="V13">
        <f t="shared" si="13"/>
        <v>0.59122138352735099</v>
      </c>
      <c r="W13">
        <f t="shared" si="13"/>
        <v>0.59122138352735099</v>
      </c>
      <c r="X13">
        <f t="shared" si="13"/>
        <v>0.59122138352735099</v>
      </c>
      <c r="Y13">
        <f t="shared" si="13"/>
        <v>0.59122138352735099</v>
      </c>
      <c r="Z13">
        <f t="shared" si="13"/>
        <v>0.59122138352735099</v>
      </c>
      <c r="AA13">
        <f t="shared" si="13"/>
        <v>0.59122138352735099</v>
      </c>
      <c r="AB13">
        <f t="shared" si="13"/>
        <v>0.59122138352735099</v>
      </c>
      <c r="AC13">
        <f t="shared" si="13"/>
        <v>0.59122138352735099</v>
      </c>
      <c r="AD13">
        <f t="shared" si="13"/>
        <v>0.59122138352735099</v>
      </c>
      <c r="AE13">
        <f t="shared" si="13"/>
        <v>0.59122138352735099</v>
      </c>
      <c r="AF13">
        <f t="shared" si="13"/>
        <v>0.59122138352735099</v>
      </c>
      <c r="AG13">
        <f t="shared" si="13"/>
        <v>0.59122138352735099</v>
      </c>
      <c r="AH13">
        <f t="shared" si="13"/>
        <v>0.59122138352735099</v>
      </c>
      <c r="AI13">
        <f t="shared" si="13"/>
        <v>0.59122138352735099</v>
      </c>
      <c r="AJ13">
        <f t="shared" si="13"/>
        <v>0.59122138352735099</v>
      </c>
      <c r="AK13">
        <f t="shared" si="13"/>
        <v>0.59122138352735099</v>
      </c>
      <c r="AL13">
        <f t="shared" si="13"/>
        <v>0.59122138352735099</v>
      </c>
    </row>
    <row r="14" spans="1:38">
      <c r="C14" t="s">
        <v>5</v>
      </c>
      <c r="D14" s="20">
        <f>1.25*INDEX('SYVbT-passenger'!$B$2:$H$2,MATCH(Data!$C14,'SYVbT-passenger'!$B$1:$H$1,0))/SUM('SYVbT-passenger'!$B$2:$H$2)</f>
        <v>4.086950664496012E-2</v>
      </c>
      <c r="E14" s="20">
        <v>0.25</v>
      </c>
      <c r="F14" s="6" t="str">
        <f>IF(D14=E14,"n/a",IF(OR(C14="battery electric vehicle",C14="natural gas vehicle",C14="plugin hybrid vehicle",C14="hydrogen vehicle"),"s-curve","linear"))</f>
        <v>s-curve</v>
      </c>
      <c r="H14" s="20">
        <f t="shared" si="9"/>
        <v>2.68592624324243E-2</v>
      </c>
      <c r="I14" s="30">
        <f>SUMIFS(recalculated_shareweights!$F:$F,recalculated_shareweights!$A:$A,Data!I$9,recalculated_shareweights!$C:$C,Data!$C14)</f>
        <v>2.68592624324243E-2</v>
      </c>
      <c r="J14" s="30">
        <f>SUMIFS(recalculated_shareweights!$F:$F,recalculated_shareweights!$A:$A,Data!J$9,recalculated_shareweights!$C:$C,Data!$C14)</f>
        <v>1.94058745124292E-2</v>
      </c>
      <c r="K14" s="30">
        <f>SUMIFS(recalculated_shareweights!$F:$F,recalculated_shareweights!$A:$A,Data!K$9,recalculated_shareweights!$C:$C,Data!$C14)</f>
        <v>1.8171220012969998E-2</v>
      </c>
      <c r="L14" s="30">
        <f>SUMIFS(recalculated_shareweights!$F:$F,recalculated_shareweights!$A:$A,Data!L$9,recalculated_shareweights!$C:$C,Data!$C14)</f>
        <v>1.64374786444835E-2</v>
      </c>
      <c r="M14" s="30">
        <f>SUMIFS(recalculated_shareweights!$F:$F,recalculated_shareweights!$A:$A,Data!M$9,recalculated_shareweights!$C:$C,Data!$C14)</f>
        <v>2.2877517710931699E-2</v>
      </c>
      <c r="N14">
        <f>M14+($R$14-$M$14)/($R$9-$M$9)</f>
        <v>2.7902014168745361E-2</v>
      </c>
      <c r="O14">
        <f t="shared" ref="O14:Q14" si="14">N14+($R$14-$M$14)/($R$9-$M$9)</f>
        <v>3.2926510626559019E-2</v>
      </c>
      <c r="P14">
        <f t="shared" si="14"/>
        <v>3.7951007084372677E-2</v>
      </c>
      <c r="Q14">
        <f t="shared" si="14"/>
        <v>4.2975503542186336E-2</v>
      </c>
      <c r="R14" s="31">
        <v>4.8000000000000001E-2</v>
      </c>
      <c r="S14">
        <f>R14+($W$14-$R$14)/($W$9-$R$9)</f>
        <v>5.2400000000000002E-2</v>
      </c>
      <c r="T14">
        <f t="shared" ref="T14:V14" si="15">S14+($W$14-$R$14)/($W$9-$R$9)</f>
        <v>5.6800000000000003E-2</v>
      </c>
      <c r="U14">
        <f t="shared" si="15"/>
        <v>6.1200000000000004E-2</v>
      </c>
      <c r="V14">
        <f t="shared" si="15"/>
        <v>6.5600000000000006E-2</v>
      </c>
      <c r="W14" s="31">
        <v>7.0000000000000007E-2</v>
      </c>
      <c r="X14">
        <f>W14+($AB$14-$W$14)/($AB$9-$W$9)</f>
        <v>7.46E-2</v>
      </c>
      <c r="Y14">
        <f t="shared" ref="Y14:AA14" si="16">X14+($AB$14-$W$14)/($AB$9-$W$9)</f>
        <v>7.9199999999999993E-2</v>
      </c>
      <c r="Z14">
        <f t="shared" si="16"/>
        <v>8.3799999999999986E-2</v>
      </c>
      <c r="AA14">
        <f t="shared" si="16"/>
        <v>8.8399999999999979E-2</v>
      </c>
      <c r="AB14" s="31">
        <v>9.2999999999999999E-2</v>
      </c>
      <c r="AC14">
        <f t="shared" ref="AC14" si="17">AB14+($AG$14-$AB$14)/($AG$9-$AB$9)</f>
        <v>0.1024</v>
      </c>
      <c r="AD14">
        <f>AC14+($AG$14-$AB$14)/($AG$9-$AB$9)</f>
        <v>0.11180000000000001</v>
      </c>
      <c r="AE14">
        <f t="shared" ref="AE14:AF14" si="18">AD14+($AG$14-$AB$14)/($AG$9-$AB$9)</f>
        <v>0.12120000000000002</v>
      </c>
      <c r="AF14">
        <f t="shared" si="18"/>
        <v>0.13060000000000002</v>
      </c>
      <c r="AG14" s="31">
        <v>0.14000000000000001</v>
      </c>
      <c r="AH14">
        <f t="shared" ref="AH14" si="19">AG14+($AL$14-$AG$14)/($AL$9-$AG$9)</f>
        <v>0.16400000000000001</v>
      </c>
      <c r="AI14">
        <f>AH14+($AL$14-$AG$14)/($AL$9-$AG$9)</f>
        <v>0.188</v>
      </c>
      <c r="AJ14">
        <f t="shared" ref="AJ14:AK14" si="20">AI14+($AL$14-$AG$14)/($AL$9-$AG$9)</f>
        <v>0.21199999999999999</v>
      </c>
      <c r="AK14">
        <f t="shared" si="20"/>
        <v>0.23599999999999999</v>
      </c>
      <c r="AL14" s="31">
        <v>0.26</v>
      </c>
    </row>
    <row r="15" spans="1:38">
      <c r="C15" t="s">
        <v>78</v>
      </c>
      <c r="D15" s="20">
        <f>1.25*INDEX('SYVbT-passenger'!$B$2:$H$2,MATCH(Data!$C15,'SYVbT-passenger'!$B$1:$H$1,0))/SUM('SYVbT-passenger'!$B$2:$H$2)</f>
        <v>0.11252507514970436</v>
      </c>
      <c r="E15" s="20">
        <f t="shared" si="12"/>
        <v>0.11252507514970436</v>
      </c>
      <c r="F15" s="6" t="str">
        <f>IF(D15=E15,"n/a",IF(OR(C15="battery electric vehicle",C15="natural gas vehicle",C15="plugin hybrid vehicle",C15="hydrogen vehicle"),"s-curve","linear"))</f>
        <v>n/a</v>
      </c>
      <c r="H15" s="20">
        <f t="shared" si="9"/>
        <v>0.171228650249552</v>
      </c>
      <c r="I15" s="30">
        <f>SUMIFS(recalculated_shareweights!$F:$F,recalculated_shareweights!$A:$A,Data!I$9,recalculated_shareweights!$C:$C,Data!$C15)</f>
        <v>0.171228650249552</v>
      </c>
      <c r="J15" s="30">
        <f>SUMIFS(recalculated_shareweights!$F:$F,recalculated_shareweights!$A:$A,Data!J$9,recalculated_shareweights!$C:$C,Data!$C15)</f>
        <v>0.160575453689589</v>
      </c>
      <c r="K15" s="30">
        <f>SUMIFS(recalculated_shareweights!$F:$F,recalculated_shareweights!$A:$A,Data!K$9,recalculated_shareweights!$C:$C,Data!$C15)</f>
        <v>0.16035867432016401</v>
      </c>
      <c r="L15" s="30">
        <f>SUMIFS(recalculated_shareweights!$F:$F,recalculated_shareweights!$A:$A,Data!L$9,recalculated_shareweights!$C:$C,Data!$C15)</f>
        <v>0.16022472098401899</v>
      </c>
      <c r="M15" s="30">
        <f>SUMIFS(recalculated_shareweights!$F:$F,recalculated_shareweights!$A:$A,Data!M$9,recalculated_shareweights!$C:$C,Data!$C15)</f>
        <v>0.15979463806628899</v>
      </c>
      <c r="N15">
        <f t="shared" ref="N15:AL15" si="21">M15</f>
        <v>0.15979463806628899</v>
      </c>
      <c r="O15">
        <f t="shared" si="21"/>
        <v>0.15979463806628899</v>
      </c>
      <c r="P15">
        <f t="shared" si="21"/>
        <v>0.15979463806628899</v>
      </c>
      <c r="Q15">
        <f t="shared" si="21"/>
        <v>0.15979463806628899</v>
      </c>
      <c r="R15">
        <f t="shared" si="21"/>
        <v>0.15979463806628899</v>
      </c>
      <c r="S15">
        <f t="shared" si="21"/>
        <v>0.15979463806628899</v>
      </c>
      <c r="T15">
        <f t="shared" si="21"/>
        <v>0.15979463806628899</v>
      </c>
      <c r="U15">
        <f t="shared" si="21"/>
        <v>0.15979463806628899</v>
      </c>
      <c r="V15">
        <f t="shared" si="21"/>
        <v>0.15979463806628899</v>
      </c>
      <c r="W15">
        <f t="shared" si="21"/>
        <v>0.15979463806628899</v>
      </c>
      <c r="X15">
        <f t="shared" si="21"/>
        <v>0.15979463806628899</v>
      </c>
      <c r="Y15">
        <f t="shared" si="21"/>
        <v>0.15979463806628899</v>
      </c>
      <c r="Z15">
        <f t="shared" si="21"/>
        <v>0.15979463806628899</v>
      </c>
      <c r="AA15">
        <f t="shared" si="21"/>
        <v>0.15979463806628899</v>
      </c>
      <c r="AB15">
        <f t="shared" si="21"/>
        <v>0.15979463806628899</v>
      </c>
      <c r="AC15">
        <f t="shared" si="21"/>
        <v>0.15979463806628899</v>
      </c>
      <c r="AD15">
        <f t="shared" si="21"/>
        <v>0.15979463806628899</v>
      </c>
      <c r="AE15">
        <f t="shared" si="21"/>
        <v>0.15979463806628899</v>
      </c>
      <c r="AF15">
        <f t="shared" si="21"/>
        <v>0.15979463806628899</v>
      </c>
      <c r="AG15">
        <f t="shared" si="21"/>
        <v>0.15979463806628899</v>
      </c>
      <c r="AH15">
        <f t="shared" si="21"/>
        <v>0.15979463806628899</v>
      </c>
      <c r="AI15">
        <f t="shared" si="21"/>
        <v>0.15979463806628899</v>
      </c>
      <c r="AJ15">
        <f t="shared" si="21"/>
        <v>0.15979463806628899</v>
      </c>
      <c r="AK15">
        <f t="shared" si="21"/>
        <v>0.15979463806628899</v>
      </c>
      <c r="AL15">
        <f t="shared" si="21"/>
        <v>0.15979463806628899</v>
      </c>
    </row>
    <row r="16" spans="1:38" ht="15.75" thickBot="1">
      <c r="A16" s="21"/>
      <c r="B16" s="21"/>
      <c r="C16" s="21" t="s">
        <v>79</v>
      </c>
      <c r="D16" s="21">
        <f>1.25*INDEX('SYVbT-passenger'!$B$2:$H$2,MATCH(Data!$C16,'SYVbT-passenger'!$B$1:$H$1,0))/SUM('SYVbT-passenger'!$B$2:$H$2)</f>
        <v>6.6085783977121745E-4</v>
      </c>
      <c r="E16" s="24">
        <f>E11</f>
        <v>2.1560593065193183E-3</v>
      </c>
      <c r="F16" s="7" t="str">
        <f>IF(D16=E16,"n/a",IF(OR(C16="battery electric vehicle",C16="natural gas vehicle",C16="plugin hybrid vehicle",C16="hydrogen vehicle"),"s-curve","linear"))</f>
        <v>s-curve</v>
      </c>
      <c r="H16" s="20">
        <f t="shared" si="9"/>
        <v>1.3775185340645301E-2</v>
      </c>
      <c r="I16" s="30">
        <f>SUMIFS(recalculated_shareweights!$F:$F,recalculated_shareweights!$A:$A,Data!I$9,recalculated_shareweights!$C:$C,Data!$C16)</f>
        <v>1.3775185340645301E-2</v>
      </c>
      <c r="J16" s="30">
        <f>SUMIFS(recalculated_shareweights!$F:$F,recalculated_shareweights!$A:$A,Data!J$9,recalculated_shareweights!$C:$C,Data!$C16)</f>
        <v>1.50499244982964E-2</v>
      </c>
      <c r="K16" s="30">
        <f>SUMIFS(recalculated_shareweights!$F:$F,recalculated_shareweights!$A:$A,Data!K$9,recalculated_shareweights!$C:$C,Data!$C16)</f>
        <v>5.9981476236627097E-3</v>
      </c>
      <c r="L16" s="30">
        <f>SUMIFS(recalculated_shareweights!$F:$F,recalculated_shareweights!$A:$A,Data!L$9,recalculated_shareweights!$C:$C,Data!$C16)</f>
        <v>3.9475989042041899E-3</v>
      </c>
      <c r="M16" s="30">
        <f>SUMIFS(recalculated_shareweights!$F:$F,recalculated_shareweights!$A:$A,Data!M$9,recalculated_shareweights!$C:$C,Data!$C16)</f>
        <v>8.1683077230845901E-3</v>
      </c>
      <c r="N16">
        <f t="shared" ref="N16:AL16" si="22">M16</f>
        <v>8.1683077230845901E-3</v>
      </c>
      <c r="O16">
        <f t="shared" si="22"/>
        <v>8.1683077230845901E-3</v>
      </c>
      <c r="P16">
        <f t="shared" si="22"/>
        <v>8.1683077230845901E-3</v>
      </c>
      <c r="Q16">
        <f t="shared" si="22"/>
        <v>8.1683077230845901E-3</v>
      </c>
      <c r="R16">
        <f t="shared" si="22"/>
        <v>8.1683077230845901E-3</v>
      </c>
      <c r="S16">
        <f t="shared" si="22"/>
        <v>8.1683077230845901E-3</v>
      </c>
      <c r="T16">
        <f t="shared" si="22"/>
        <v>8.1683077230845901E-3</v>
      </c>
      <c r="U16">
        <f t="shared" si="22"/>
        <v>8.1683077230845901E-3</v>
      </c>
      <c r="V16">
        <f t="shared" si="22"/>
        <v>8.1683077230845901E-3</v>
      </c>
      <c r="W16">
        <f t="shared" si="22"/>
        <v>8.1683077230845901E-3</v>
      </c>
      <c r="X16">
        <f t="shared" si="22"/>
        <v>8.1683077230845901E-3</v>
      </c>
      <c r="Y16">
        <f t="shared" si="22"/>
        <v>8.1683077230845901E-3</v>
      </c>
      <c r="Z16">
        <f t="shared" si="22"/>
        <v>8.1683077230845901E-3</v>
      </c>
      <c r="AA16">
        <f t="shared" si="22"/>
        <v>8.1683077230845901E-3</v>
      </c>
      <c r="AB16">
        <f t="shared" si="22"/>
        <v>8.1683077230845901E-3</v>
      </c>
      <c r="AC16">
        <f t="shared" si="22"/>
        <v>8.1683077230845901E-3</v>
      </c>
      <c r="AD16">
        <f t="shared" si="22"/>
        <v>8.1683077230845901E-3</v>
      </c>
      <c r="AE16">
        <f t="shared" si="22"/>
        <v>8.1683077230845901E-3</v>
      </c>
      <c r="AF16">
        <f t="shared" si="22"/>
        <v>8.1683077230845901E-3</v>
      </c>
      <c r="AG16">
        <f t="shared" si="22"/>
        <v>8.1683077230845901E-3</v>
      </c>
      <c r="AH16">
        <f t="shared" si="22"/>
        <v>8.1683077230845901E-3</v>
      </c>
      <c r="AI16">
        <f t="shared" si="22"/>
        <v>8.1683077230845901E-3</v>
      </c>
      <c r="AJ16">
        <f t="shared" si="22"/>
        <v>8.1683077230845901E-3</v>
      </c>
      <c r="AK16">
        <f t="shared" si="22"/>
        <v>8.1683077230845901E-3</v>
      </c>
      <c r="AL16">
        <f t="shared" si="22"/>
        <v>8.1683077230845901E-3</v>
      </c>
    </row>
    <row r="17" spans="1:38">
      <c r="A17" t="s">
        <v>12</v>
      </c>
      <c r="B17" t="s">
        <v>18</v>
      </c>
      <c r="C17" t="s">
        <v>1</v>
      </c>
      <c r="D17" s="20">
        <v>0.05</v>
      </c>
      <c r="E17">
        <v>0.5</v>
      </c>
      <c r="F17" s="6" t="str">
        <f>IF(D17=E17,"n/a",IF(OR(C17="battery electric vehicle",C17="natural gas vehicle",C17="plugin hybrid vehicle"),"s-curve","linear"))</f>
        <v>s-curve</v>
      </c>
      <c r="H17" s="20">
        <f t="shared" ref="H17:H40" si="23">D17</f>
        <v>0.05</v>
      </c>
      <c r="I17">
        <f>IF($F17="s-curve",$D17+($E17-$D17)*$I$2/(1+EXP($I$3*(COUNT($H$9:I$9)+$I$4))),TREND($D17:$E17,$D$9:$E$9,I$9))</f>
        <v>5.6648314261972879E-2</v>
      </c>
      <c r="J17">
        <f>IF($F17="s-curve",$D17+($E17-$D17)*$I$2/(1+EXP($I$3*(COUNT($H$9:J$9)+$I$4))),TREND($D17:$E17,$D$9:$E$9,J$9))</f>
        <v>5.8928137580334883E-2</v>
      </c>
      <c r="K17">
        <f>IF($F17="s-curve",$D17+($E17-$D17)*$I$2/(1+EXP($I$3*(COUNT($H$9:K$9)+$I$4))),TREND($D17:$E17,$D$9:$E$9,K$9))</f>
        <v>6.1968647109589645E-2</v>
      </c>
      <c r="L17">
        <f>IF($F17="s-curve",$D17+($E17-$D17)*$I$2/(1+EXP($I$3*(COUNT($H$9:L$9)+$I$4))),TREND($D17:$E17,$D$9:$E$9,L$9))</f>
        <v>6.6007035172686288E-2</v>
      </c>
      <c r="M17">
        <f>IF($F17="s-curve",$D17+($E17-$D17)*$I$2/(1+EXP($I$3*(COUNT($H$9:M$9)+$I$4))),TREND($D17:$E17,$D$9:$E$9,M$9))</f>
        <v>7.1341642929905053E-2</v>
      </c>
      <c r="N17">
        <f>IF($F17="s-curve",$D17+($E17-$D17)*$I$2/(1+EXP($I$3*(COUNT($H$9:N$9)+$I$4))),TREND($D17:$E17,$D$9:$E$9,N$9))</f>
        <v>7.833801022564843E-2</v>
      </c>
      <c r="O17">
        <f>IF($F17="s-curve",$D17+($E17-$D17)*$I$2/(1+EXP($I$3*(COUNT($H$9:O$9)+$I$4))),TREND($D17:$E17,$D$9:$E$9,O$9))</f>
        <v>8.7427713422265074E-2</v>
      </c>
      <c r="P17">
        <f>IF($F17="s-curve",$D17+($E17-$D17)*$I$2/(1+EXP($I$3*(COUNT($H$9:P$9)+$I$4))),TREND($D17:$E17,$D$9:$E$9,P$9))</f>
        <v>9.9093569538025811E-2</v>
      </c>
      <c r="Q17">
        <f>IF($F17="s-curve",$D17+($E17-$D17)*$I$2/(1+EXP($I$3*(COUNT($H$9:Q$9)+$I$4))),TREND($D17:$E17,$D$9:$E$9,Q$9))</f>
        <v>0.11383297920521952</v>
      </c>
      <c r="R17">
        <f>IF($F17="s-curve",$D17+($E17-$D17)*$I$2/(1+EXP($I$3*(COUNT($H$9:R$9)+$I$4))),TREND($D17:$E17,$D$9:$E$9,R$9))</f>
        <v>0.13209148571286036</v>
      </c>
      <c r="S17">
        <f>IF($F17="s-curve",$D17+($E17-$D17)*$I$2/(1+EXP($I$3*(COUNT($H$9:S$9)+$I$4))),TREND($D17:$E17,$D$9:$E$9,S$9))</f>
        <v>0.15416384742544209</v>
      </c>
      <c r="T17">
        <f>IF($F17="s-curve",$D17+($E17-$D17)*$I$2/(1+EXP($I$3*(COUNT($H$9:T$9)+$I$4))),TREND($D17:$E17,$D$9:$E$9,T$9))</f>
        <v>0.18007272381874823</v>
      </c>
      <c r="U17">
        <f>IF($F17="s-curve",$D17+($E17-$D17)*$I$2/(1+EXP($I$3*(COUNT($H$9:U$9)+$I$4))),TREND($D17:$E17,$D$9:$E$9,U$9))</f>
        <v>0.20945466219839204</v>
      </c>
      <c r="V17">
        <f>IF($F17="s-curve",$D17+($E17-$D17)*$I$2/(1+EXP($I$3*(COUNT($H$9:V$9)+$I$4))),TREND($D17:$E17,$D$9:$E$9,V$9))</f>
        <v>0.24150086743475346</v>
      </c>
      <c r="W17">
        <f>IF($F17="s-curve",$D17+($E17-$D17)*$I$2/(1+EXP($I$3*(COUNT($H$9:W$9)+$I$4))),TREND($D17:$E17,$D$9:$E$9,W$9))</f>
        <v>0.27500000000000002</v>
      </c>
      <c r="X17">
        <f>IF($F17="s-curve",$D17+($E17-$D17)*$I$2/(1+EXP($I$3*(COUNT($H$9:X$9)+$I$4))),TREND($D17:$E17,$D$9:$E$9,X$9))</f>
        <v>0.30849913256524658</v>
      </c>
      <c r="Y17">
        <f>IF($F17="s-curve",$D17+($E17-$D17)*$I$2/(1+EXP($I$3*(COUNT($H$9:Y$9)+$I$4))),TREND($D17:$E17,$D$9:$E$9,Y$9))</f>
        <v>0.34054533780160795</v>
      </c>
      <c r="Z17">
        <f>IF($F17="s-curve",$D17+($E17-$D17)*$I$2/(1+EXP($I$3*(COUNT($H$9:Z$9)+$I$4))),TREND($D17:$E17,$D$9:$E$9,Z$9))</f>
        <v>0.36992727618125176</v>
      </c>
      <c r="AA17">
        <f>IF($F17="s-curve",$D17+($E17-$D17)*$I$2/(1+EXP($I$3*(COUNT($H$9:AA$9)+$I$4))),TREND($D17:$E17,$D$9:$E$9,AA$9))</f>
        <v>0.3958361525745579</v>
      </c>
      <c r="AB17">
        <f>IF($F17="s-curve",$D17+($E17-$D17)*$I$2/(1+EXP($I$3*(COUNT($H$9:AB$9)+$I$4))),TREND($D17:$E17,$D$9:$E$9,AB$9))</f>
        <v>0.4179085142871396</v>
      </c>
      <c r="AC17">
        <f>IF($F17="s-curve",$D17+($E17-$D17)*$I$2/(1+EXP($I$3*(COUNT($H$9:AC$9)+$I$4))),TREND($D17:$E17,$D$9:$E$9,AC$9))</f>
        <v>0.43616702079478054</v>
      </c>
      <c r="AD17">
        <f>IF($F17="s-curve",$D17+($E17-$D17)*$I$2/(1+EXP($I$3*(COUNT($H$9:AD$9)+$I$4))),TREND($D17:$E17,$D$9:$E$9,AD$9))</f>
        <v>0.45090643046197421</v>
      </c>
      <c r="AE17">
        <f>IF($F17="s-curve",$D17+($E17-$D17)*$I$2/(1+EXP($I$3*(COUNT($H$9:AE$9)+$I$4))),TREND($D17:$E17,$D$9:$E$9,AE$9))</f>
        <v>0.46257228657773497</v>
      </c>
      <c r="AF17">
        <f>IF($F17="s-curve",$D17+($E17-$D17)*$I$2/(1+EXP($I$3*(COUNT($H$9:AF$9)+$I$4))),TREND($D17:$E17,$D$9:$E$9,AF$9))</f>
        <v>0.47166198977435159</v>
      </c>
      <c r="AG17">
        <f>IF($F17="s-curve",$D17+($E17-$D17)*$I$2/(1+EXP($I$3*(COUNT($H$9:AG$9)+$I$4))),TREND($D17:$E17,$D$9:$E$9,AG$9))</f>
        <v>0.47865835707009496</v>
      </c>
      <c r="AH17">
        <f>IF($F17="s-curve",$D17+($E17-$D17)*$I$2/(1+EXP($I$3*(COUNT($H$9:AH$9)+$I$4))),TREND($D17:$E17,$D$9:$E$9,AH$9))</f>
        <v>0.48399296482731374</v>
      </c>
      <c r="AI17">
        <f>IF($F17="s-curve",$D17+($E17-$D17)*$I$2/(1+EXP($I$3*(COUNT($H$9:AI$9)+$I$4))),TREND($D17:$E17,$D$9:$E$9,AI$9))</f>
        <v>0.48803135289041033</v>
      </c>
      <c r="AJ17">
        <f>IF($F17="s-curve",$D17+($E17-$D17)*$I$2/(1+EXP($I$3*(COUNT($H$9:AJ$9)+$I$4))),TREND($D17:$E17,$D$9:$E$9,AJ$9))</f>
        <v>0.49107186241966516</v>
      </c>
      <c r="AK17">
        <f>IF($F17="s-curve",$D17+($E17-$D17)*$I$2/(1+EXP($I$3*(COUNT($H$9:AK$9)+$I$4))),TREND($D17:$E17,$D$9:$E$9,AK$9))</f>
        <v>0.49335168573802712</v>
      </c>
      <c r="AL17">
        <f>IF($F17="s-curve",$D17+($E17-$D17)*$I$2/(1+EXP($I$3*(COUNT($H$9:AL$9)+$I$4))),TREND($D17:$E17,$D$9:$E$9,AL$9))</f>
        <v>0.49505587581623306</v>
      </c>
    </row>
    <row r="18" spans="1:38">
      <c r="C18" t="s">
        <v>2</v>
      </c>
      <c r="D18" s="20">
        <f>MIN(1.25*INDEX('SYVbT-freight'!$B$2:$H$2,MATCH(Data!$C11,'SYVbT-passenger'!$B$1:$H$1,0))/SUM('SYVbT-freight'!$B$2:$H$2),1)</f>
        <v>6.1283704210113928E-4</v>
      </c>
      <c r="E18" s="20">
        <f>D18</f>
        <v>6.1283704210113928E-4</v>
      </c>
      <c r="F18" s="6" t="s">
        <v>76</v>
      </c>
      <c r="H18" s="20">
        <f t="shared" si="23"/>
        <v>6.1283704210113928E-4</v>
      </c>
      <c r="I18">
        <f>IF($F18="s-curve",$D18+($E18-$D18)*$I$2/(1+EXP($I$3*(COUNT($H$9:I$9)+$I$4))),TREND($D18:$E18,$D$9:$E$9,I$9))</f>
        <v>6.1283704210113928E-4</v>
      </c>
      <c r="J18">
        <f>IF($F18="s-curve",$D18+($E18-$D18)*$I$2/(1+EXP($I$3*(COUNT($H$9:J$9)+$I$4))),TREND($D18:$E18,$D$9:$E$9,J$9))</f>
        <v>6.1283704210113928E-4</v>
      </c>
      <c r="K18">
        <f>IF($F18="s-curve",$D18+($E18-$D18)*$I$2/(1+EXP($I$3*(COUNT($H$9:K$9)+$I$4))),TREND($D18:$E18,$D$9:$E$9,K$9))</f>
        <v>6.1283704210113928E-4</v>
      </c>
      <c r="L18">
        <f>IF($F18="s-curve",$D18+($E18-$D18)*$I$2/(1+EXP($I$3*(COUNT($H$9:L$9)+$I$4))),TREND($D18:$E18,$D$9:$E$9,L$9))</f>
        <v>6.1283704210113928E-4</v>
      </c>
      <c r="M18">
        <f>IF($F18="s-curve",$D18+($E18-$D18)*$I$2/(1+EXP($I$3*(COUNT($H$9:M$9)+$I$4))),TREND($D18:$E18,$D$9:$E$9,M$9))</f>
        <v>6.1283704210113928E-4</v>
      </c>
      <c r="N18">
        <f>IF($F18="s-curve",$D18+($E18-$D18)*$I$2/(1+EXP($I$3*(COUNT($H$9:N$9)+$I$4))),TREND($D18:$E18,$D$9:$E$9,N$9))</f>
        <v>6.1283704210113928E-4</v>
      </c>
      <c r="O18">
        <f>IF($F18="s-curve",$D18+($E18-$D18)*$I$2/(1+EXP($I$3*(COUNT($H$9:O$9)+$I$4))),TREND($D18:$E18,$D$9:$E$9,O$9))</f>
        <v>6.1283704210113928E-4</v>
      </c>
      <c r="P18">
        <f>IF($F18="s-curve",$D18+($E18-$D18)*$I$2/(1+EXP($I$3*(COUNT($H$9:P$9)+$I$4))),TREND($D18:$E18,$D$9:$E$9,P$9))</f>
        <v>6.1283704210113928E-4</v>
      </c>
      <c r="Q18">
        <f>IF($F18="s-curve",$D18+($E18-$D18)*$I$2/(1+EXP($I$3*(COUNT($H$9:Q$9)+$I$4))),TREND($D18:$E18,$D$9:$E$9,Q$9))</f>
        <v>6.1283704210113928E-4</v>
      </c>
      <c r="R18">
        <f>IF($F18="s-curve",$D18+($E18-$D18)*$I$2/(1+EXP($I$3*(COUNT($H$9:R$9)+$I$4))),TREND($D18:$E18,$D$9:$E$9,R$9))</f>
        <v>6.1283704210113928E-4</v>
      </c>
      <c r="S18">
        <f>IF($F18="s-curve",$D18+($E18-$D18)*$I$2/(1+EXP($I$3*(COUNT($H$9:S$9)+$I$4))),TREND($D18:$E18,$D$9:$E$9,S$9))</f>
        <v>6.1283704210113928E-4</v>
      </c>
      <c r="T18">
        <f>IF($F18="s-curve",$D18+($E18-$D18)*$I$2/(1+EXP($I$3*(COUNT($H$9:T$9)+$I$4))),TREND($D18:$E18,$D$9:$E$9,T$9))</f>
        <v>6.1283704210113928E-4</v>
      </c>
      <c r="U18">
        <f>IF($F18="s-curve",$D18+($E18-$D18)*$I$2/(1+EXP($I$3*(COUNT($H$9:U$9)+$I$4))),TREND($D18:$E18,$D$9:$E$9,U$9))</f>
        <v>6.1283704210113928E-4</v>
      </c>
      <c r="V18">
        <f>IF($F18="s-curve",$D18+($E18-$D18)*$I$2/(1+EXP($I$3*(COUNT($H$9:V$9)+$I$4))),TREND($D18:$E18,$D$9:$E$9,V$9))</f>
        <v>6.1283704210113928E-4</v>
      </c>
      <c r="W18">
        <f>IF($F18="s-curve",$D18+($E18-$D18)*$I$2/(1+EXP($I$3*(COUNT($H$9:W$9)+$I$4))),TREND($D18:$E18,$D$9:$E$9,W$9))</f>
        <v>6.1283704210113928E-4</v>
      </c>
      <c r="X18">
        <f>IF($F18="s-curve",$D18+($E18-$D18)*$I$2/(1+EXP($I$3*(COUNT($H$9:X$9)+$I$4))),TREND($D18:$E18,$D$9:$E$9,X$9))</f>
        <v>6.1283704210113928E-4</v>
      </c>
      <c r="Y18">
        <f>IF($F18="s-curve",$D18+($E18-$D18)*$I$2/(1+EXP($I$3*(COUNT($H$9:Y$9)+$I$4))),TREND($D18:$E18,$D$9:$E$9,Y$9))</f>
        <v>6.1283704210113928E-4</v>
      </c>
      <c r="Z18">
        <f>IF($F18="s-curve",$D18+($E18-$D18)*$I$2/(1+EXP($I$3*(COUNT($H$9:Z$9)+$I$4))),TREND($D18:$E18,$D$9:$E$9,Z$9))</f>
        <v>6.1283704210113928E-4</v>
      </c>
      <c r="AA18">
        <f>IF($F18="s-curve",$D18+($E18-$D18)*$I$2/(1+EXP($I$3*(COUNT($H$9:AA$9)+$I$4))),TREND($D18:$E18,$D$9:$E$9,AA$9))</f>
        <v>6.1283704210113928E-4</v>
      </c>
      <c r="AB18">
        <f>IF($F18="s-curve",$D18+($E18-$D18)*$I$2/(1+EXP($I$3*(COUNT($H$9:AB$9)+$I$4))),TREND($D18:$E18,$D$9:$E$9,AB$9))</f>
        <v>6.1283704210113928E-4</v>
      </c>
      <c r="AC18">
        <f>IF($F18="s-curve",$D18+($E18-$D18)*$I$2/(1+EXP($I$3*(COUNT($H$9:AC$9)+$I$4))),TREND($D18:$E18,$D$9:$E$9,AC$9))</f>
        <v>6.1283704210113928E-4</v>
      </c>
      <c r="AD18">
        <f>IF($F18="s-curve",$D18+($E18-$D18)*$I$2/(1+EXP($I$3*(COUNT($H$9:AD$9)+$I$4))),TREND($D18:$E18,$D$9:$E$9,AD$9))</f>
        <v>6.1283704210113928E-4</v>
      </c>
      <c r="AE18">
        <f>IF($F18="s-curve",$D18+($E18-$D18)*$I$2/(1+EXP($I$3*(COUNT($H$9:AE$9)+$I$4))),TREND($D18:$E18,$D$9:$E$9,AE$9))</f>
        <v>6.1283704210113928E-4</v>
      </c>
      <c r="AF18">
        <f>IF($F18="s-curve",$D18+($E18-$D18)*$I$2/(1+EXP($I$3*(COUNT($H$9:AF$9)+$I$4))),TREND($D18:$E18,$D$9:$E$9,AF$9))</f>
        <v>6.1283704210113928E-4</v>
      </c>
      <c r="AG18">
        <f>IF($F18="s-curve",$D18+($E18-$D18)*$I$2/(1+EXP($I$3*(COUNT($H$9:AG$9)+$I$4))),TREND($D18:$E18,$D$9:$E$9,AG$9))</f>
        <v>6.1283704210113928E-4</v>
      </c>
      <c r="AH18">
        <f>IF($F18="s-curve",$D18+($E18-$D18)*$I$2/(1+EXP($I$3*(COUNT($H$9:AH$9)+$I$4))),TREND($D18:$E18,$D$9:$E$9,AH$9))</f>
        <v>6.1283704210113928E-4</v>
      </c>
      <c r="AI18">
        <f>IF($F18="s-curve",$D18+($E18-$D18)*$I$2/(1+EXP($I$3*(COUNT($H$9:AI$9)+$I$4))),TREND($D18:$E18,$D$9:$E$9,AI$9))</f>
        <v>6.1283704210113928E-4</v>
      </c>
      <c r="AJ18">
        <f>IF($F18="s-curve",$D18+($E18-$D18)*$I$2/(1+EXP($I$3*(COUNT($H$9:AJ$9)+$I$4))),TREND($D18:$E18,$D$9:$E$9,AJ$9))</f>
        <v>6.1283704210113928E-4</v>
      </c>
      <c r="AK18">
        <f>IF($F18="s-curve",$D18+($E18-$D18)*$I$2/(1+EXP($I$3*(COUNT($H$9:AK$9)+$I$4))),TREND($D18:$E18,$D$9:$E$9,AK$9))</f>
        <v>6.1283704210113928E-4</v>
      </c>
      <c r="AL18">
        <f>IF($F18="s-curve",$D18+($E18-$D18)*$I$2/(1+EXP($I$3*(COUNT($H$9:AL$9)+$I$4))),TREND($D18:$E18,$D$9:$E$9,AL$9))</f>
        <v>6.1283704210113928E-4</v>
      </c>
    </row>
    <row r="19" spans="1:38">
      <c r="C19" t="s">
        <v>3</v>
      </c>
      <c r="D19" s="20">
        <f>MIN(1.25*INDEX('SYVbT-freight'!$B$2:$H$2,MATCH(Data!$C12,'SYVbT-passenger'!$B$1:$H$1,0))/SUM('SYVbT-freight'!$B$2:$H$2),1)*3</f>
        <v>1.9186119393907859E-2</v>
      </c>
      <c r="E19" s="20">
        <f t="shared" ref="E19:E20" si="24">D19</f>
        <v>1.9186119393907859E-2</v>
      </c>
      <c r="F19" s="6" t="str">
        <f>IF(D19=E19,"n/a",IF(OR(C19="battery electric vehicle",C19="natural gas vehicle",C19="plugin hybrid vehicle"),"s-curve","linear"))</f>
        <v>n/a</v>
      </c>
      <c r="H19" s="20">
        <f t="shared" si="23"/>
        <v>1.9186119393907859E-2</v>
      </c>
      <c r="I19">
        <f>IF($F19="s-curve",$D19+($E19-$D19)*$I$2/(1+EXP($I$3*(COUNT($H$9:I$9)+$I$4))),TREND($D19:$E19,$D$9:$E$9,I$9))</f>
        <v>1.9186119393907859E-2</v>
      </c>
      <c r="J19">
        <f>IF($F19="s-curve",$D19+($E19-$D19)*$I$2/(1+EXP($I$3*(COUNT($H$9:J$9)+$I$4))),TREND($D19:$E19,$D$9:$E$9,J$9))</f>
        <v>1.9186119393907859E-2</v>
      </c>
      <c r="K19">
        <f>IF($F19="s-curve",$D19+($E19-$D19)*$I$2/(1+EXP($I$3*(COUNT($H$9:K$9)+$I$4))),TREND($D19:$E19,$D$9:$E$9,K$9))</f>
        <v>1.9186119393907859E-2</v>
      </c>
      <c r="L19">
        <f>IF($F19="s-curve",$D19+($E19-$D19)*$I$2/(1+EXP($I$3*(COUNT($H$9:L$9)+$I$4))),TREND($D19:$E19,$D$9:$E$9,L$9))</f>
        <v>1.9186119393907859E-2</v>
      </c>
      <c r="M19">
        <f>IF($F19="s-curve",$D19+($E19-$D19)*$I$2/(1+EXP($I$3*(COUNT($H$9:M$9)+$I$4))),TREND($D19:$E19,$D$9:$E$9,M$9))</f>
        <v>1.9186119393907859E-2</v>
      </c>
      <c r="N19">
        <f>IF($F19="s-curve",$D19+($E19-$D19)*$I$2/(1+EXP($I$3*(COUNT($H$9:N$9)+$I$4))),TREND($D19:$E19,$D$9:$E$9,N$9))</f>
        <v>1.9186119393907859E-2</v>
      </c>
      <c r="O19">
        <f>IF($F19="s-curve",$D19+($E19-$D19)*$I$2/(1+EXP($I$3*(COUNT($H$9:O$9)+$I$4))),TREND($D19:$E19,$D$9:$E$9,O$9))</f>
        <v>1.9186119393907859E-2</v>
      </c>
      <c r="P19">
        <f>IF($F19="s-curve",$D19+($E19-$D19)*$I$2/(1+EXP($I$3*(COUNT($H$9:P$9)+$I$4))),TREND($D19:$E19,$D$9:$E$9,P$9))</f>
        <v>1.9186119393907859E-2</v>
      </c>
      <c r="Q19">
        <f>IF($F19="s-curve",$D19+($E19-$D19)*$I$2/(1+EXP($I$3*(COUNT($H$9:Q$9)+$I$4))),TREND($D19:$E19,$D$9:$E$9,Q$9))</f>
        <v>1.9186119393907859E-2</v>
      </c>
      <c r="R19">
        <f>IF($F19="s-curve",$D19+($E19-$D19)*$I$2/(1+EXP($I$3*(COUNT($H$9:R$9)+$I$4))),TREND($D19:$E19,$D$9:$E$9,R$9))</f>
        <v>1.9186119393907859E-2</v>
      </c>
      <c r="S19">
        <f>IF($F19="s-curve",$D19+($E19-$D19)*$I$2/(1+EXP($I$3*(COUNT($H$9:S$9)+$I$4))),TREND($D19:$E19,$D$9:$E$9,S$9))</f>
        <v>1.9186119393907859E-2</v>
      </c>
      <c r="T19">
        <f>IF($F19="s-curve",$D19+($E19-$D19)*$I$2/(1+EXP($I$3*(COUNT($H$9:T$9)+$I$4))),TREND($D19:$E19,$D$9:$E$9,T$9))</f>
        <v>1.9186119393907859E-2</v>
      </c>
      <c r="U19">
        <f>IF($F19="s-curve",$D19+($E19-$D19)*$I$2/(1+EXP($I$3*(COUNT($H$9:U$9)+$I$4))),TREND($D19:$E19,$D$9:$E$9,U$9))</f>
        <v>1.9186119393907859E-2</v>
      </c>
      <c r="V19">
        <f>IF($F19="s-curve",$D19+($E19-$D19)*$I$2/(1+EXP($I$3*(COUNT($H$9:V$9)+$I$4))),TREND($D19:$E19,$D$9:$E$9,V$9))</f>
        <v>1.9186119393907859E-2</v>
      </c>
      <c r="W19">
        <f>IF($F19="s-curve",$D19+($E19-$D19)*$I$2/(1+EXP($I$3*(COUNT($H$9:W$9)+$I$4))),TREND($D19:$E19,$D$9:$E$9,W$9))</f>
        <v>1.9186119393907859E-2</v>
      </c>
      <c r="X19">
        <f>IF($F19="s-curve",$D19+($E19-$D19)*$I$2/(1+EXP($I$3*(COUNT($H$9:X$9)+$I$4))),TREND($D19:$E19,$D$9:$E$9,X$9))</f>
        <v>1.9186119393907859E-2</v>
      </c>
      <c r="Y19">
        <f>IF($F19="s-curve",$D19+($E19-$D19)*$I$2/(1+EXP($I$3*(COUNT($H$9:Y$9)+$I$4))),TREND($D19:$E19,$D$9:$E$9,Y$9))</f>
        <v>1.9186119393907859E-2</v>
      </c>
      <c r="Z19">
        <f>IF($F19="s-curve",$D19+($E19-$D19)*$I$2/(1+EXP($I$3*(COUNT($H$9:Z$9)+$I$4))),TREND($D19:$E19,$D$9:$E$9,Z$9))</f>
        <v>1.9186119393907859E-2</v>
      </c>
      <c r="AA19">
        <f>IF($F19="s-curve",$D19+($E19-$D19)*$I$2/(1+EXP($I$3*(COUNT($H$9:AA$9)+$I$4))),TREND($D19:$E19,$D$9:$E$9,AA$9))</f>
        <v>1.9186119393907859E-2</v>
      </c>
      <c r="AB19">
        <f>IF($F19="s-curve",$D19+($E19-$D19)*$I$2/(1+EXP($I$3*(COUNT($H$9:AB$9)+$I$4))),TREND($D19:$E19,$D$9:$E$9,AB$9))</f>
        <v>1.9186119393907859E-2</v>
      </c>
      <c r="AC19">
        <f>IF($F19="s-curve",$D19+($E19-$D19)*$I$2/(1+EXP($I$3*(COUNT($H$9:AC$9)+$I$4))),TREND($D19:$E19,$D$9:$E$9,AC$9))</f>
        <v>1.9186119393907859E-2</v>
      </c>
      <c r="AD19">
        <f>IF($F19="s-curve",$D19+($E19-$D19)*$I$2/(1+EXP($I$3*(COUNT($H$9:AD$9)+$I$4))),TREND($D19:$E19,$D$9:$E$9,AD$9))</f>
        <v>1.9186119393907859E-2</v>
      </c>
      <c r="AE19">
        <f>IF($F19="s-curve",$D19+($E19-$D19)*$I$2/(1+EXP($I$3*(COUNT($H$9:AE$9)+$I$4))),TREND($D19:$E19,$D$9:$E$9,AE$9))</f>
        <v>1.9186119393907859E-2</v>
      </c>
      <c r="AF19">
        <f>IF($F19="s-curve",$D19+($E19-$D19)*$I$2/(1+EXP($I$3*(COUNT($H$9:AF$9)+$I$4))),TREND($D19:$E19,$D$9:$E$9,AF$9))</f>
        <v>1.9186119393907859E-2</v>
      </c>
      <c r="AG19">
        <f>IF($F19="s-curve",$D19+($E19-$D19)*$I$2/(1+EXP($I$3*(COUNT($H$9:AG$9)+$I$4))),TREND($D19:$E19,$D$9:$E$9,AG$9))</f>
        <v>1.9186119393907859E-2</v>
      </c>
      <c r="AH19">
        <f>IF($F19="s-curve",$D19+($E19-$D19)*$I$2/(1+EXP($I$3*(COUNT($H$9:AH$9)+$I$4))),TREND($D19:$E19,$D$9:$E$9,AH$9))</f>
        <v>1.9186119393907859E-2</v>
      </c>
      <c r="AI19">
        <f>IF($F19="s-curve",$D19+($E19-$D19)*$I$2/(1+EXP($I$3*(COUNT($H$9:AI$9)+$I$4))),TREND($D19:$E19,$D$9:$E$9,AI$9))</f>
        <v>1.9186119393907859E-2</v>
      </c>
      <c r="AJ19">
        <f>IF($F19="s-curve",$D19+($E19-$D19)*$I$2/(1+EXP($I$3*(COUNT($H$9:AJ$9)+$I$4))),TREND($D19:$E19,$D$9:$E$9,AJ$9))</f>
        <v>1.9186119393907859E-2</v>
      </c>
      <c r="AK19">
        <f>IF($F19="s-curve",$D19+($E19-$D19)*$I$2/(1+EXP($I$3*(COUNT($H$9:AK$9)+$I$4))),TREND($D19:$E19,$D$9:$E$9,AK$9))</f>
        <v>1.9186119393907859E-2</v>
      </c>
      <c r="AL19">
        <f>IF($F19="s-curve",$D19+($E19-$D19)*$I$2/(1+EXP($I$3*(COUNT($H$9:AL$9)+$I$4))),TREND($D19:$E19,$D$9:$E$9,AL$9))</f>
        <v>1.9186119393907859E-2</v>
      </c>
    </row>
    <row r="20" spans="1:38">
      <c r="C20" t="s">
        <v>4</v>
      </c>
      <c r="D20" s="20">
        <v>3</v>
      </c>
      <c r="E20" s="20">
        <f t="shared" si="24"/>
        <v>3</v>
      </c>
      <c r="F20" s="6" t="str">
        <f>IF(D20=E20,"n/a",IF(OR(C20="battery electric vehicle",C20="natural gas vehicle",C20="plugin hybrid vehicle"),"s-curve","linear"))</f>
        <v>n/a</v>
      </c>
      <c r="H20" s="20">
        <f t="shared" si="23"/>
        <v>3</v>
      </c>
      <c r="I20">
        <f>IF($F20="s-curve",$D20+($E20-$D20)*$I$2/(1+EXP($I$3*(COUNT($H$9:I$9)+$I$4))),TREND($D20:$E20,$D$9:$E$9,I$9))</f>
        <v>3</v>
      </c>
      <c r="J20">
        <f>IF($F20="s-curve",$D20+($E20-$D20)*$I$2/(1+EXP($I$3*(COUNT($H$9:J$9)+$I$4))),TREND($D20:$E20,$D$9:$E$9,J$9))</f>
        <v>3</v>
      </c>
      <c r="K20">
        <f>IF($F20="s-curve",$D20+($E20-$D20)*$I$2/(1+EXP($I$3*(COUNT($H$9:K$9)+$I$4))),TREND($D20:$E20,$D$9:$E$9,K$9))</f>
        <v>3</v>
      </c>
      <c r="L20">
        <f>IF($F20="s-curve",$D20+($E20-$D20)*$I$2/(1+EXP($I$3*(COUNT($H$9:L$9)+$I$4))),TREND($D20:$E20,$D$9:$E$9,L$9))</f>
        <v>3</v>
      </c>
      <c r="M20">
        <f>IF($F20="s-curve",$D20+($E20-$D20)*$I$2/(1+EXP($I$3*(COUNT($H$9:M$9)+$I$4))),TREND($D20:$E20,$D$9:$E$9,M$9))</f>
        <v>3</v>
      </c>
      <c r="N20">
        <f>IF($F20="s-curve",$D20+($E20-$D20)*$I$2/(1+EXP($I$3*(COUNT($H$9:N$9)+$I$4))),TREND($D20:$E20,$D$9:$E$9,N$9))</f>
        <v>3</v>
      </c>
      <c r="O20">
        <f>IF($F20="s-curve",$D20+($E20-$D20)*$I$2/(1+EXP($I$3*(COUNT($H$9:O$9)+$I$4))),TREND($D20:$E20,$D$9:$E$9,O$9))</f>
        <v>3</v>
      </c>
      <c r="P20">
        <f>IF($F20="s-curve",$D20+($E20-$D20)*$I$2/(1+EXP($I$3*(COUNT($H$9:P$9)+$I$4))),TREND($D20:$E20,$D$9:$E$9,P$9))</f>
        <v>3</v>
      </c>
      <c r="Q20">
        <f>IF($F20="s-curve",$D20+($E20-$D20)*$I$2/(1+EXP($I$3*(COUNT($H$9:Q$9)+$I$4))),TREND($D20:$E20,$D$9:$E$9,Q$9))</f>
        <v>3</v>
      </c>
      <c r="R20">
        <f>IF($F20="s-curve",$D20+($E20-$D20)*$I$2/(1+EXP($I$3*(COUNT($H$9:R$9)+$I$4))),TREND($D20:$E20,$D$9:$E$9,R$9))</f>
        <v>3</v>
      </c>
      <c r="S20">
        <f>IF($F20="s-curve",$D20+($E20-$D20)*$I$2/(1+EXP($I$3*(COUNT($H$9:S$9)+$I$4))),TREND($D20:$E20,$D$9:$E$9,S$9))</f>
        <v>3</v>
      </c>
      <c r="T20">
        <f>IF($F20="s-curve",$D20+($E20-$D20)*$I$2/(1+EXP($I$3*(COUNT($H$9:T$9)+$I$4))),TREND($D20:$E20,$D$9:$E$9,T$9))</f>
        <v>3</v>
      </c>
      <c r="U20">
        <f>IF($F20="s-curve",$D20+($E20-$D20)*$I$2/(1+EXP($I$3*(COUNT($H$9:U$9)+$I$4))),TREND($D20:$E20,$D$9:$E$9,U$9))</f>
        <v>3</v>
      </c>
      <c r="V20">
        <f>IF($F20="s-curve",$D20+($E20-$D20)*$I$2/(1+EXP($I$3*(COUNT($H$9:V$9)+$I$4))),TREND($D20:$E20,$D$9:$E$9,V$9))</f>
        <v>3</v>
      </c>
      <c r="W20">
        <f>IF($F20="s-curve",$D20+($E20-$D20)*$I$2/(1+EXP($I$3*(COUNT($H$9:W$9)+$I$4))),TREND($D20:$E20,$D$9:$E$9,W$9))</f>
        <v>3</v>
      </c>
      <c r="X20">
        <f>IF($F20="s-curve",$D20+($E20-$D20)*$I$2/(1+EXP($I$3*(COUNT($H$9:X$9)+$I$4))),TREND($D20:$E20,$D$9:$E$9,X$9))</f>
        <v>3</v>
      </c>
      <c r="Y20">
        <f>IF($F20="s-curve",$D20+($E20-$D20)*$I$2/(1+EXP($I$3*(COUNT($H$9:Y$9)+$I$4))),TREND($D20:$E20,$D$9:$E$9,Y$9))</f>
        <v>3</v>
      </c>
      <c r="Z20">
        <f>IF($F20="s-curve",$D20+($E20-$D20)*$I$2/(1+EXP($I$3*(COUNT($H$9:Z$9)+$I$4))),TREND($D20:$E20,$D$9:$E$9,Z$9))</f>
        <v>3</v>
      </c>
      <c r="AA20">
        <f>IF($F20="s-curve",$D20+($E20-$D20)*$I$2/(1+EXP($I$3*(COUNT($H$9:AA$9)+$I$4))),TREND($D20:$E20,$D$9:$E$9,AA$9))</f>
        <v>3</v>
      </c>
      <c r="AB20">
        <f>IF($F20="s-curve",$D20+($E20-$D20)*$I$2/(1+EXP($I$3*(COUNT($H$9:AB$9)+$I$4))),TREND($D20:$E20,$D$9:$E$9,AB$9))</f>
        <v>3</v>
      </c>
      <c r="AC20">
        <f>IF($F20="s-curve",$D20+($E20-$D20)*$I$2/(1+EXP($I$3*(COUNT($H$9:AC$9)+$I$4))),TREND($D20:$E20,$D$9:$E$9,AC$9))</f>
        <v>3</v>
      </c>
      <c r="AD20">
        <f>IF($F20="s-curve",$D20+($E20-$D20)*$I$2/(1+EXP($I$3*(COUNT($H$9:AD$9)+$I$4))),TREND($D20:$E20,$D$9:$E$9,AD$9))</f>
        <v>3</v>
      </c>
      <c r="AE20">
        <f>IF($F20="s-curve",$D20+($E20-$D20)*$I$2/(1+EXP($I$3*(COUNT($H$9:AE$9)+$I$4))),TREND($D20:$E20,$D$9:$E$9,AE$9))</f>
        <v>3</v>
      </c>
      <c r="AF20">
        <f>IF($F20="s-curve",$D20+($E20-$D20)*$I$2/(1+EXP($I$3*(COUNT($H$9:AF$9)+$I$4))),TREND($D20:$E20,$D$9:$E$9,AF$9))</f>
        <v>3</v>
      </c>
      <c r="AG20">
        <f>IF($F20="s-curve",$D20+($E20-$D20)*$I$2/(1+EXP($I$3*(COUNT($H$9:AG$9)+$I$4))),TREND($D20:$E20,$D$9:$E$9,AG$9))</f>
        <v>3</v>
      </c>
      <c r="AH20">
        <f>IF($F20="s-curve",$D20+($E20-$D20)*$I$2/(1+EXP($I$3*(COUNT($H$9:AH$9)+$I$4))),TREND($D20:$E20,$D$9:$E$9,AH$9))</f>
        <v>3</v>
      </c>
      <c r="AI20">
        <f>IF($F20="s-curve",$D20+($E20-$D20)*$I$2/(1+EXP($I$3*(COUNT($H$9:AI$9)+$I$4))),TREND($D20:$E20,$D$9:$E$9,AI$9))</f>
        <v>3</v>
      </c>
      <c r="AJ20">
        <f>IF($F20="s-curve",$D20+($E20-$D20)*$I$2/(1+EXP($I$3*(COUNT($H$9:AJ$9)+$I$4))),TREND($D20:$E20,$D$9:$E$9,AJ$9))</f>
        <v>3</v>
      </c>
      <c r="AK20">
        <f>IF($F20="s-curve",$D20+($E20-$D20)*$I$2/(1+EXP($I$3*(COUNT($H$9:AK$9)+$I$4))),TREND($D20:$E20,$D$9:$E$9,AK$9))</f>
        <v>3</v>
      </c>
      <c r="AL20">
        <f>IF($F20="s-curve",$D20+($E20-$D20)*$I$2/(1+EXP($I$3*(COUNT($H$9:AL$9)+$I$4))),TREND($D20:$E20,$D$9:$E$9,AL$9))</f>
        <v>3</v>
      </c>
    </row>
    <row r="21" spans="1:38">
      <c r="C21" t="s">
        <v>5</v>
      </c>
      <c r="D21" s="20">
        <f>MIN(1.25*INDEX('SYVbT-freight'!$B$2:$H$2,MATCH(Data!$C14,'SYVbT-passenger'!$B$1:$H$1,0))/SUM('SYVbT-freight'!$B$2:$H$2),1)</f>
        <v>0</v>
      </c>
      <c r="E21" s="20">
        <f>E14</f>
        <v>0.25</v>
      </c>
      <c r="F21" s="6" t="str">
        <f>IF(D21=E21,"n/a",IF(OR(C21="battery electric vehicle",C21="natural gas vehicle",C21="plugin hybrid vehicle"),"s-curve","linear"))</f>
        <v>s-curve</v>
      </c>
      <c r="H21" s="20">
        <f t="shared" si="23"/>
        <v>0</v>
      </c>
      <c r="I21">
        <f>IF($F21="s-curve",$D21+($E21-$D21)*$I$2/(1+EXP($I$3*(COUNT($H$9:I$9)+$I$4))),TREND($D21:$E21,$D$9:$E$9,I$9))</f>
        <v>3.6935079233182638E-3</v>
      </c>
      <c r="J21">
        <f>IF($F21="s-curve",$D21+($E21-$D21)*$I$2/(1+EXP($I$3*(COUNT($H$9:J$9)+$I$4))),TREND($D21:$E21,$D$9:$E$9,J$9))</f>
        <v>4.9600764335193774E-3</v>
      </c>
      <c r="K21">
        <f>IF($F21="s-curve",$D21+($E21-$D21)*$I$2/(1+EXP($I$3*(COUNT($H$9:K$9)+$I$4))),TREND($D21:$E21,$D$9:$E$9,K$9))</f>
        <v>6.6492483942164659E-3</v>
      </c>
      <c r="L21">
        <f>IF($F21="s-curve",$D21+($E21-$D21)*$I$2/(1+EXP($I$3*(COUNT($H$9:L$9)+$I$4))),TREND($D21:$E21,$D$9:$E$9,L$9))</f>
        <v>8.8927973181590451E-3</v>
      </c>
      <c r="M21">
        <f>IF($F21="s-curve",$D21+($E21-$D21)*$I$2/(1+EXP($I$3*(COUNT($H$9:M$9)+$I$4))),TREND($D21:$E21,$D$9:$E$9,M$9))</f>
        <v>1.1856468294391695E-2</v>
      </c>
      <c r="N21">
        <f>IF($F21="s-curve",$D21+($E21-$D21)*$I$2/(1+EXP($I$3*(COUNT($H$9:N$9)+$I$4))),TREND($D21:$E21,$D$9:$E$9,N$9))</f>
        <v>1.5743339014249128E-2</v>
      </c>
      <c r="O21">
        <f>IF($F21="s-curve",$D21+($E21-$D21)*$I$2/(1+EXP($I$3*(COUNT($H$9:O$9)+$I$4))),TREND($D21:$E21,$D$9:$E$9,O$9))</f>
        <v>2.0793174123480595E-2</v>
      </c>
      <c r="P21">
        <f>IF($F21="s-curve",$D21+($E21-$D21)*$I$2/(1+EXP($I$3*(COUNT($H$9:P$9)+$I$4))),TREND($D21:$E21,$D$9:$E$9,P$9))</f>
        <v>2.7274205298903231E-2</v>
      </c>
      <c r="Q21">
        <f>IF($F21="s-curve",$D21+($E21-$D21)*$I$2/(1+EXP($I$3*(COUNT($H$9:Q$9)+$I$4))),TREND($D21:$E21,$D$9:$E$9,Q$9))</f>
        <v>3.5462766225121956E-2</v>
      </c>
      <c r="R21">
        <f>IF($F21="s-curve",$D21+($E21-$D21)*$I$2/(1+EXP($I$3*(COUNT($H$9:R$9)+$I$4))),TREND($D21:$E21,$D$9:$E$9,R$9))</f>
        <v>4.5606380951589087E-2</v>
      </c>
      <c r="S21">
        <f>IF($F21="s-curve",$D21+($E21-$D21)*$I$2/(1+EXP($I$3*(COUNT($H$9:S$9)+$I$4))),TREND($D21:$E21,$D$9:$E$9,S$9))</f>
        <v>5.7868804125245595E-2</v>
      </c>
      <c r="T21">
        <f>IF($F21="s-curve",$D21+($E21-$D21)*$I$2/(1+EXP($I$3*(COUNT($H$9:T$9)+$I$4))),TREND($D21:$E21,$D$9:$E$9,T$9))</f>
        <v>7.2262624343749013E-2</v>
      </c>
      <c r="U21">
        <f>IF($F21="s-curve",$D21+($E21-$D21)*$I$2/(1+EXP($I$3*(COUNT($H$9:U$9)+$I$4))),TREND($D21:$E21,$D$9:$E$9,U$9))</f>
        <v>8.8585923443551137E-2</v>
      </c>
      <c r="V21">
        <f>IF($F21="s-curve",$D21+($E21-$D21)*$I$2/(1+EXP($I$3*(COUNT($H$9:V$9)+$I$4))),TREND($D21:$E21,$D$9:$E$9,V$9))</f>
        <v>0.10638937079708526</v>
      </c>
      <c r="W21">
        <f>IF($F21="s-curve",$D21+($E21-$D21)*$I$2/(1+EXP($I$3*(COUNT($H$9:W$9)+$I$4))),TREND($D21:$E21,$D$9:$E$9,W$9))</f>
        <v>0.125</v>
      </c>
      <c r="X21">
        <f>IF($F21="s-curve",$D21+($E21-$D21)*$I$2/(1+EXP($I$3*(COUNT($H$9:X$9)+$I$4))),TREND($D21:$E21,$D$9:$E$9,X$9))</f>
        <v>0.14361062920291476</v>
      </c>
      <c r="Y21">
        <f>IF($F21="s-curve",$D21+($E21-$D21)*$I$2/(1+EXP($I$3*(COUNT($H$9:Y$9)+$I$4))),TREND($D21:$E21,$D$9:$E$9,Y$9))</f>
        <v>0.16141407655644885</v>
      </c>
      <c r="Z21">
        <f>IF($F21="s-curve",$D21+($E21-$D21)*$I$2/(1+EXP($I$3*(COUNT($H$9:Z$9)+$I$4))),TREND($D21:$E21,$D$9:$E$9,Z$9))</f>
        <v>0.17773737565625097</v>
      </c>
      <c r="AA21">
        <f>IF($F21="s-curve",$D21+($E21-$D21)*$I$2/(1+EXP($I$3*(COUNT($H$9:AA$9)+$I$4))),TREND($D21:$E21,$D$9:$E$9,AA$9))</f>
        <v>0.19213119587475438</v>
      </c>
      <c r="AB21">
        <f>IF($F21="s-curve",$D21+($E21-$D21)*$I$2/(1+EXP($I$3*(COUNT($H$9:AB$9)+$I$4))),TREND($D21:$E21,$D$9:$E$9,AB$9))</f>
        <v>0.20439361904841091</v>
      </c>
      <c r="AC21">
        <f>IF($F21="s-curve",$D21+($E21-$D21)*$I$2/(1+EXP($I$3*(COUNT($H$9:AC$9)+$I$4))),TREND($D21:$E21,$D$9:$E$9,AC$9))</f>
        <v>0.21453723377487807</v>
      </c>
      <c r="AD21">
        <f>IF($F21="s-curve",$D21+($E21-$D21)*$I$2/(1+EXP($I$3*(COUNT($H$9:AD$9)+$I$4))),TREND($D21:$E21,$D$9:$E$9,AD$9))</f>
        <v>0.22272579470109677</v>
      </c>
      <c r="AE21">
        <f>IF($F21="s-curve",$D21+($E21-$D21)*$I$2/(1+EXP($I$3*(COUNT($H$9:AE$9)+$I$4))),TREND($D21:$E21,$D$9:$E$9,AE$9))</f>
        <v>0.22920682587651942</v>
      </c>
      <c r="AF21">
        <f>IF($F21="s-curve",$D21+($E21-$D21)*$I$2/(1+EXP($I$3*(COUNT($H$9:AF$9)+$I$4))),TREND($D21:$E21,$D$9:$E$9,AF$9))</f>
        <v>0.23425666098575088</v>
      </c>
      <c r="AG21">
        <f>IF($F21="s-curve",$D21+($E21-$D21)*$I$2/(1+EXP($I$3*(COUNT($H$9:AG$9)+$I$4))),TREND($D21:$E21,$D$9:$E$9,AG$9))</f>
        <v>0.23814353170560834</v>
      </c>
      <c r="AH21">
        <f>IF($F21="s-curve",$D21+($E21-$D21)*$I$2/(1+EXP($I$3*(COUNT($H$9:AH$9)+$I$4))),TREND($D21:$E21,$D$9:$E$9,AH$9))</f>
        <v>0.24110720268184097</v>
      </c>
      <c r="AI21">
        <f>IF($F21="s-curve",$D21+($E21-$D21)*$I$2/(1+EXP($I$3*(COUNT($H$9:AI$9)+$I$4))),TREND($D21:$E21,$D$9:$E$9,AI$9))</f>
        <v>0.24335075160578351</v>
      </c>
      <c r="AJ21">
        <f>IF($F21="s-curve",$D21+($E21-$D21)*$I$2/(1+EXP($I$3*(COUNT($H$9:AJ$9)+$I$4))),TREND($D21:$E21,$D$9:$E$9,AJ$9))</f>
        <v>0.24503992356648063</v>
      </c>
      <c r="AK21">
        <f>IF($F21="s-curve",$D21+($E21-$D21)*$I$2/(1+EXP($I$3*(COUNT($H$9:AK$9)+$I$4))),TREND($D21:$E21,$D$9:$E$9,AK$9))</f>
        <v>0.24630649207668173</v>
      </c>
      <c r="AL21">
        <f>IF($F21="s-curve",$D21+($E21-$D21)*$I$2/(1+EXP($I$3*(COUNT($H$9:AL$9)+$I$4))),TREND($D21:$E21,$D$9:$E$9,AL$9))</f>
        <v>0.2472532643423517</v>
      </c>
    </row>
    <row r="22" spans="1:38">
      <c r="C22" t="s">
        <v>78</v>
      </c>
      <c r="D22" s="20">
        <f>MIN(1.25*INDEX('SYVbT-freight'!$B$2:$H$2,MATCH(Data!$C15,'SYVbT-passenger'!$B$1:$H$1,0))/SUM('SYVbT-freight'!$B$2:$H$2),1)</f>
        <v>4.237817368977314E-2</v>
      </c>
      <c r="E22" s="20">
        <f>D22</f>
        <v>4.237817368977314E-2</v>
      </c>
      <c r="F22" s="6" t="str">
        <f>IF(D22=E22,"n/a",IF(OR(C22="battery electric vehicle",C22="natural gas vehicle",C22="plugin hybrid vehicle",C22="hydrogen vehicle"),"s-curve","linear"))</f>
        <v>n/a</v>
      </c>
      <c r="H22" s="20">
        <f t="shared" si="23"/>
        <v>4.237817368977314E-2</v>
      </c>
      <c r="I22">
        <f>IF($F22="s-curve",$D22+($E22-$D22)*$I$2/(1+EXP($I$3*(COUNT($H$9:I$9)+$I$4))),TREND($D22:$E22,$D$9:$E$9,I$9))</f>
        <v>4.237817368977314E-2</v>
      </c>
      <c r="J22">
        <f>IF($F22="s-curve",$D22+($E22-$D22)*$I$2/(1+EXP($I$3*(COUNT($H$9:J$9)+$I$4))),TREND($D22:$E22,$D$9:$E$9,J$9))</f>
        <v>4.237817368977314E-2</v>
      </c>
      <c r="K22">
        <f>IF($F22="s-curve",$D22+($E22-$D22)*$I$2/(1+EXP($I$3*(COUNT($H$9:K$9)+$I$4))),TREND($D22:$E22,$D$9:$E$9,K$9))</f>
        <v>4.237817368977314E-2</v>
      </c>
      <c r="L22">
        <f>IF($F22="s-curve",$D22+($E22-$D22)*$I$2/(1+EXP($I$3*(COUNT($H$9:L$9)+$I$4))),TREND($D22:$E22,$D$9:$E$9,L$9))</f>
        <v>4.237817368977314E-2</v>
      </c>
      <c r="M22">
        <f>IF($F22="s-curve",$D22+($E22-$D22)*$I$2/(1+EXP($I$3*(COUNT($H$9:M$9)+$I$4))),TREND($D22:$E22,$D$9:$E$9,M$9))</f>
        <v>4.237817368977314E-2</v>
      </c>
      <c r="N22">
        <f>IF($F22="s-curve",$D22+($E22-$D22)*$I$2/(1+EXP($I$3*(COUNT($H$9:N$9)+$I$4))),TREND($D22:$E22,$D$9:$E$9,N$9))</f>
        <v>4.237817368977314E-2</v>
      </c>
      <c r="O22">
        <f>IF($F22="s-curve",$D22+($E22-$D22)*$I$2/(1+EXP($I$3*(COUNT($H$9:O$9)+$I$4))),TREND($D22:$E22,$D$9:$E$9,O$9))</f>
        <v>4.237817368977314E-2</v>
      </c>
      <c r="P22">
        <f>IF($F22="s-curve",$D22+($E22-$D22)*$I$2/(1+EXP($I$3*(COUNT($H$9:P$9)+$I$4))),TREND($D22:$E22,$D$9:$E$9,P$9))</f>
        <v>4.237817368977314E-2</v>
      </c>
      <c r="Q22">
        <f>IF($F22="s-curve",$D22+($E22-$D22)*$I$2/(1+EXP($I$3*(COUNT($H$9:Q$9)+$I$4))),TREND($D22:$E22,$D$9:$E$9,Q$9))</f>
        <v>4.237817368977314E-2</v>
      </c>
      <c r="R22">
        <f>IF($F22="s-curve",$D22+($E22-$D22)*$I$2/(1+EXP($I$3*(COUNT($H$9:R$9)+$I$4))),TREND($D22:$E22,$D$9:$E$9,R$9))</f>
        <v>4.237817368977314E-2</v>
      </c>
      <c r="S22">
        <f>IF($F22="s-curve",$D22+($E22-$D22)*$I$2/(1+EXP($I$3*(COUNT($H$9:S$9)+$I$4))),TREND($D22:$E22,$D$9:$E$9,S$9))</f>
        <v>4.237817368977314E-2</v>
      </c>
      <c r="T22">
        <f>IF($F22="s-curve",$D22+($E22-$D22)*$I$2/(1+EXP($I$3*(COUNT($H$9:T$9)+$I$4))),TREND($D22:$E22,$D$9:$E$9,T$9))</f>
        <v>4.237817368977314E-2</v>
      </c>
      <c r="U22">
        <f>IF($F22="s-curve",$D22+($E22-$D22)*$I$2/(1+EXP($I$3*(COUNT($H$9:U$9)+$I$4))),TREND($D22:$E22,$D$9:$E$9,U$9))</f>
        <v>4.237817368977314E-2</v>
      </c>
      <c r="V22">
        <f>IF($F22="s-curve",$D22+($E22-$D22)*$I$2/(1+EXP($I$3*(COUNT($H$9:V$9)+$I$4))),TREND($D22:$E22,$D$9:$E$9,V$9))</f>
        <v>4.237817368977314E-2</v>
      </c>
      <c r="W22">
        <f>IF($F22="s-curve",$D22+($E22-$D22)*$I$2/(1+EXP($I$3*(COUNT($H$9:W$9)+$I$4))),TREND($D22:$E22,$D$9:$E$9,W$9))</f>
        <v>4.237817368977314E-2</v>
      </c>
      <c r="X22">
        <f>IF($F22="s-curve",$D22+($E22-$D22)*$I$2/(1+EXP($I$3*(COUNT($H$9:X$9)+$I$4))),TREND($D22:$E22,$D$9:$E$9,X$9))</f>
        <v>4.237817368977314E-2</v>
      </c>
      <c r="Y22">
        <f>IF($F22="s-curve",$D22+($E22-$D22)*$I$2/(1+EXP($I$3*(COUNT($H$9:Y$9)+$I$4))),TREND($D22:$E22,$D$9:$E$9,Y$9))</f>
        <v>4.237817368977314E-2</v>
      </c>
      <c r="Z22">
        <f>IF($F22="s-curve",$D22+($E22-$D22)*$I$2/(1+EXP($I$3*(COUNT($H$9:Z$9)+$I$4))),TREND($D22:$E22,$D$9:$E$9,Z$9))</f>
        <v>4.237817368977314E-2</v>
      </c>
      <c r="AA22">
        <f>IF($F22="s-curve",$D22+($E22-$D22)*$I$2/(1+EXP($I$3*(COUNT($H$9:AA$9)+$I$4))),TREND($D22:$E22,$D$9:$E$9,AA$9))</f>
        <v>4.237817368977314E-2</v>
      </c>
      <c r="AB22">
        <f>IF($F22="s-curve",$D22+($E22-$D22)*$I$2/(1+EXP($I$3*(COUNT($H$9:AB$9)+$I$4))),TREND($D22:$E22,$D$9:$E$9,AB$9))</f>
        <v>4.237817368977314E-2</v>
      </c>
      <c r="AC22">
        <f>IF($F22="s-curve",$D22+($E22-$D22)*$I$2/(1+EXP($I$3*(COUNT($H$9:AC$9)+$I$4))),TREND($D22:$E22,$D$9:$E$9,AC$9))</f>
        <v>4.237817368977314E-2</v>
      </c>
      <c r="AD22">
        <f>IF($F22="s-curve",$D22+($E22-$D22)*$I$2/(1+EXP($I$3*(COUNT($H$9:AD$9)+$I$4))),TREND($D22:$E22,$D$9:$E$9,AD$9))</f>
        <v>4.237817368977314E-2</v>
      </c>
      <c r="AE22">
        <f>IF($F22="s-curve",$D22+($E22-$D22)*$I$2/(1+EXP($I$3*(COUNT($H$9:AE$9)+$I$4))),TREND($D22:$E22,$D$9:$E$9,AE$9))</f>
        <v>4.237817368977314E-2</v>
      </c>
      <c r="AF22">
        <f>IF($F22="s-curve",$D22+($E22-$D22)*$I$2/(1+EXP($I$3*(COUNT($H$9:AF$9)+$I$4))),TREND($D22:$E22,$D$9:$E$9,AF$9))</f>
        <v>4.237817368977314E-2</v>
      </c>
      <c r="AG22">
        <f>IF($F22="s-curve",$D22+($E22-$D22)*$I$2/(1+EXP($I$3*(COUNT($H$9:AG$9)+$I$4))),TREND($D22:$E22,$D$9:$E$9,AG$9))</f>
        <v>4.237817368977314E-2</v>
      </c>
      <c r="AH22">
        <f>IF($F22="s-curve",$D22+($E22-$D22)*$I$2/(1+EXP($I$3*(COUNT($H$9:AH$9)+$I$4))),TREND($D22:$E22,$D$9:$E$9,AH$9))</f>
        <v>4.237817368977314E-2</v>
      </c>
      <c r="AI22">
        <f>IF($F22="s-curve",$D22+($E22-$D22)*$I$2/(1+EXP($I$3*(COUNT($H$9:AI$9)+$I$4))),TREND($D22:$E22,$D$9:$E$9,AI$9))</f>
        <v>4.237817368977314E-2</v>
      </c>
      <c r="AJ22">
        <f>IF($F22="s-curve",$D22+($E22-$D22)*$I$2/(1+EXP($I$3*(COUNT($H$9:AJ$9)+$I$4))),TREND($D22:$E22,$D$9:$E$9,AJ$9))</f>
        <v>4.237817368977314E-2</v>
      </c>
      <c r="AK22">
        <f>IF($F22="s-curve",$D22+($E22-$D22)*$I$2/(1+EXP($I$3*(COUNT($H$9:AK$9)+$I$4))),TREND($D22:$E22,$D$9:$E$9,AK$9))</f>
        <v>4.237817368977314E-2</v>
      </c>
      <c r="AL22">
        <f>IF($F22="s-curve",$D22+($E22-$D22)*$I$2/(1+EXP($I$3*(COUNT($H$9:AL$9)+$I$4))),TREND($D22:$E22,$D$9:$E$9,AL$9))</f>
        <v>4.237817368977314E-2</v>
      </c>
    </row>
    <row r="23" spans="1:38" ht="15.75" thickBot="1">
      <c r="A23" s="21"/>
      <c r="B23" s="21"/>
      <c r="C23" s="21" t="s">
        <v>79</v>
      </c>
      <c r="D23" s="21">
        <f>MIN(1.25*INDEX('SYVbT-freight'!$B$2:$H$2,MATCH(Data!$C16,'SYVbT-passenger'!$B$1:$H$1,0))/SUM('SYVbT-freight'!$B$2:$H$2),1)</f>
        <v>0</v>
      </c>
      <c r="E23" s="24">
        <f>E18</f>
        <v>6.1283704210113928E-4</v>
      </c>
      <c r="F23" s="7" t="str">
        <f>IF(D23=E23,"n/a",IF(OR(C23="battery electric vehicle",C23="natural gas vehicle",C23="plugin hybrid vehicle",C23="hydrogen vehicle"),"s-curve","linear"))</f>
        <v>s-curve</v>
      </c>
      <c r="H23" s="20">
        <f t="shared" si="23"/>
        <v>0</v>
      </c>
      <c r="I23">
        <f>IF($F23="s-curve",$D23+($E23-$D23)*$I$2/(1+EXP($I$3*(COUNT($H$9:I$9)+$I$4))),TREND($D23:$E23,$D$9:$E$9,I$9))</f>
        <v>9.0540738828139446E-6</v>
      </c>
      <c r="J23">
        <f>IF($F23="s-curve",$D23+($E23-$D23)*$I$2/(1+EXP($I$3*(COUNT($H$9:J$9)+$I$4))),TREND($D23:$E23,$D$9:$E$9,J$9))</f>
        <v>1.2158874280454334E-5</v>
      </c>
      <c r="K23">
        <f>IF($F23="s-curve",$D23+($E23-$D23)*$I$2/(1+EXP($I$3*(COUNT($H$9:K$9)+$I$4))),TREND($D23:$E23,$D$9:$E$9,K$9))</f>
        <v>1.6299622872429478E-5</v>
      </c>
      <c r="L23">
        <f>IF($F23="s-curve",$D23+($E23-$D23)*$I$2/(1+EXP($I$3*(COUNT($H$9:L$9)+$I$4))),TREND($D23:$E23,$D$9:$E$9,L$9))</f>
        <v>2.179934241786213E-5</v>
      </c>
      <c r="M23">
        <f>IF($F23="s-curve",$D23+($E23-$D23)*$I$2/(1+EXP($I$3*(COUNT($H$9:M$9)+$I$4))),TREND($D23:$E23,$D$9:$E$9,M$9))</f>
        <v>2.9064331837203784E-5</v>
      </c>
      <c r="N23">
        <f>IF($F23="s-curve",$D23+($E23-$D23)*$I$2/(1+EXP($I$3*(COUNT($H$9:N$9)+$I$4))),TREND($D23:$E23,$D$9:$E$9,N$9))</f>
        <v>3.85924052571516E-5</v>
      </c>
      <c r="O23">
        <f>IF($F23="s-curve",$D23+($E23-$D23)*$I$2/(1+EXP($I$3*(COUNT($H$9:O$9)+$I$4))),TREND($D23:$E23,$D$9:$E$9,O$9))</f>
        <v>5.0971309302911188E-5</v>
      </c>
      <c r="P23">
        <f>IF($F23="s-curve",$D23+($E23-$D23)*$I$2/(1+EXP($I$3*(COUNT($H$9:P$9)+$I$4))),TREND($D23:$E23,$D$9:$E$9,P$9))</f>
        <v>6.6858573204156302E-5</v>
      </c>
      <c r="Q23">
        <f>IF($F23="s-curve",$D23+($E23-$D23)*$I$2/(1+EXP($I$3*(COUNT($H$9:Q$9)+$I$4))),TREND($D23:$E23,$D$9:$E$9,Q$9))</f>
        <v>8.6931587032511697E-5</v>
      </c>
      <c r="R23">
        <f>IF($F23="s-curve",$D23+($E23-$D23)*$I$2/(1+EXP($I$3*(COUNT($H$9:R$9)+$I$4))),TREND($D23:$E23,$D$9:$E$9,R$9))</f>
        <v>1.1179711841323839E-4</v>
      </c>
      <c r="S23">
        <f>IF($F23="s-curve",$D23+($E23-$D23)*$I$2/(1+EXP($I$3*(COUNT($H$9:S$9)+$I$4))),TREND($D23:$E23,$D$9:$E$9,S$9))</f>
        <v>1.4185658700018285E-4</v>
      </c>
      <c r="T23">
        <f>IF($F23="s-curve",$D23+($E23-$D23)*$I$2/(1+EXP($I$3*(COUNT($H$9:T$9)+$I$4))),TREND($D23:$E23,$D$9:$E$9,T$9))</f>
        <v>1.7714085182915572E-4</v>
      </c>
      <c r="U23">
        <f>IF($F23="s-curve",$D23+($E23-$D23)*$I$2/(1+EXP($I$3*(COUNT($H$9:U$9)+$I$4))),TREND($D23:$E23,$D$9:$E$9,U$9))</f>
        <v>2.1715494117977539E-4</v>
      </c>
      <c r="V23">
        <f>IF($F23="s-curve",$D23+($E23-$D23)*$I$2/(1+EXP($I$3*(COUNT($H$9:V$9)+$I$4))),TREND($D23:$E23,$D$9:$E$9,V$9))</f>
        <v>2.6079738924114821E-4</v>
      </c>
      <c r="W23">
        <f>IF($F23="s-curve",$D23+($E23-$D23)*$I$2/(1+EXP($I$3*(COUNT($H$9:W$9)+$I$4))),TREND($D23:$E23,$D$9:$E$9,W$9))</f>
        <v>3.0641852105056964E-4</v>
      </c>
      <c r="X23">
        <f>IF($F23="s-curve",$D23+($E23-$D23)*$I$2/(1+EXP($I$3*(COUNT($H$9:X$9)+$I$4))),TREND($D23:$E23,$D$9:$E$9,X$9))</f>
        <v>3.5203965285999107E-4</v>
      </c>
      <c r="Y23">
        <f>IF($F23="s-curve",$D23+($E23-$D23)*$I$2/(1+EXP($I$3*(COUNT($H$9:Y$9)+$I$4))),TREND($D23:$E23,$D$9:$E$9,Y$9))</f>
        <v>3.9568210092136389E-4</v>
      </c>
      <c r="Z23">
        <f>IF($F23="s-curve",$D23+($E23-$D23)*$I$2/(1+EXP($I$3*(COUNT($H$9:Z$9)+$I$4))),TREND($D23:$E23,$D$9:$E$9,Z$9))</f>
        <v>4.3569619027198356E-4</v>
      </c>
      <c r="AA23">
        <f>IF($F23="s-curve",$D23+($E23-$D23)*$I$2/(1+EXP($I$3*(COUNT($H$9:AA$9)+$I$4))),TREND($D23:$E23,$D$9:$E$9,AA$9))</f>
        <v>4.709804551009564E-4</v>
      </c>
      <c r="AB23">
        <f>IF($F23="s-curve",$D23+($E23-$D23)*$I$2/(1+EXP($I$3*(COUNT($H$9:AB$9)+$I$4))),TREND($D23:$E23,$D$9:$E$9,AB$9))</f>
        <v>5.010399236879009E-4</v>
      </c>
      <c r="AC23">
        <f>IF($F23="s-curve",$D23+($E23-$D23)*$I$2/(1+EXP($I$3*(COUNT($H$9:AC$9)+$I$4))),TREND($D23:$E23,$D$9:$E$9,AC$9))</f>
        <v>5.2590545506862765E-4</v>
      </c>
      <c r="AD23">
        <f>IF($F23="s-curve",$D23+($E23-$D23)*$I$2/(1+EXP($I$3*(COUNT($H$9:AD$9)+$I$4))),TREND($D23:$E23,$D$9:$E$9,AD$9))</f>
        <v>5.4597846889698301E-4</v>
      </c>
      <c r="AE23">
        <f>IF($F23="s-curve",$D23+($E23-$D23)*$I$2/(1+EXP($I$3*(COUNT($H$9:AE$9)+$I$4))),TREND($D23:$E23,$D$9:$E$9,AE$9))</f>
        <v>5.6186573279822817E-4</v>
      </c>
      <c r="AF23">
        <f>IF($F23="s-curve",$D23+($E23-$D23)*$I$2/(1+EXP($I$3*(COUNT($H$9:AF$9)+$I$4))),TREND($D23:$E23,$D$9:$E$9,AF$9))</f>
        <v>5.7424463684398771E-4</v>
      </c>
      <c r="AG23">
        <f>IF($F23="s-curve",$D23+($E23-$D23)*$I$2/(1+EXP($I$3*(COUNT($H$9:AG$9)+$I$4))),TREND($D23:$E23,$D$9:$E$9,AG$9))</f>
        <v>5.8377271026393554E-4</v>
      </c>
      <c r="AH23">
        <f>IF($F23="s-curve",$D23+($E23-$D23)*$I$2/(1+EXP($I$3*(COUNT($H$9:AH$9)+$I$4))),TREND($D23:$E23,$D$9:$E$9,AH$9))</f>
        <v>5.9103769968327712E-4</v>
      </c>
      <c r="AI23">
        <f>IF($F23="s-curve",$D23+($E23-$D23)*$I$2/(1+EXP($I$3*(COUNT($H$9:AI$9)+$I$4))),TREND($D23:$E23,$D$9:$E$9,AI$9))</f>
        <v>5.9653741922870976E-4</v>
      </c>
      <c r="AJ23">
        <f>IF($F23="s-curve",$D23+($E23-$D23)*$I$2/(1+EXP($I$3*(COUNT($H$9:AJ$9)+$I$4))),TREND($D23:$E23,$D$9:$E$9,AJ$9))</f>
        <v>6.0067816782068497E-4</v>
      </c>
      <c r="AK23">
        <f>IF($F23="s-curve",$D23+($E23-$D23)*$I$2/(1+EXP($I$3*(COUNT($H$9:AK$9)+$I$4))),TREND($D23:$E23,$D$9:$E$9,AK$9))</f>
        <v>6.0378296821832537E-4</v>
      </c>
      <c r="AL23">
        <f>IF($F23="s-curve",$D23+($E23-$D23)*$I$2/(1+EXP($I$3*(COUNT($H$9:AL$9)+$I$4))),TREND($D23:$E23,$D$9:$E$9,AL$9))</f>
        <v>6.0610383667767168E-4</v>
      </c>
    </row>
    <row r="24" spans="1:38">
      <c r="A24" t="s">
        <v>13</v>
      </c>
      <c r="B24" t="s">
        <v>19</v>
      </c>
      <c r="C24" t="s">
        <v>1</v>
      </c>
      <c r="D24" s="20">
        <v>0.05</v>
      </c>
      <c r="E24" s="26">
        <v>1</v>
      </c>
      <c r="F24" s="6" t="str">
        <f>IF(D24=E24,"n/a",IF(OR(C24="battery electric vehicle",C24="natural gas vehicle",C24="plugin hybrid vehicle"),"s-curve","linear"))</f>
        <v>s-curve</v>
      </c>
      <c r="H24" s="20">
        <f t="shared" si="23"/>
        <v>0.05</v>
      </c>
      <c r="I24">
        <f>IF($F24="s-curve",$D24+($E24-$D24)*$I$2/(1+EXP($I$3*(COUNT($H$9:I$9)+$I$4))),TREND($D24:$E24,$D$9:$E$9,I$9))</f>
        <v>6.4035330108609401E-2</v>
      </c>
      <c r="J24">
        <f>IF($F24="s-curve",$D24+($E24-$D24)*$I$2/(1+EXP($I$3*(COUNT($H$9:J$9)+$I$4))),TREND($D24:$E24,$D$9:$E$9,J$9))</f>
        <v>6.8848290447373631E-2</v>
      </c>
      <c r="K24">
        <f>IF($F24="s-curve",$D24+($E24-$D24)*$I$2/(1+EXP($I$3*(COUNT($H$9:K$9)+$I$4))),TREND($D24:$E24,$D$9:$E$9,K$9))</f>
        <v>7.5267143898022582E-2</v>
      </c>
      <c r="L24">
        <f>IF($F24="s-curve",$D24+($E24-$D24)*$I$2/(1+EXP($I$3*(COUNT($H$9:L$9)+$I$4))),TREND($D24:$E24,$D$9:$E$9,L$9))</f>
        <v>8.3792629809004371E-2</v>
      </c>
      <c r="M24">
        <f>IF($F24="s-curve",$D24+($E24-$D24)*$I$2/(1+EXP($I$3*(COUNT($H$9:M$9)+$I$4))),TREND($D24:$E24,$D$9:$E$9,M$9))</f>
        <v>9.505457951868844E-2</v>
      </c>
      <c r="N24">
        <f>IF($F24="s-curve",$D24+($E24-$D24)*$I$2/(1+EXP($I$3*(COUNT($H$9:N$9)+$I$4))),TREND($D24:$E24,$D$9:$E$9,N$9))</f>
        <v>0.10982468825414668</v>
      </c>
      <c r="O24">
        <f>IF($F24="s-curve",$D24+($E24-$D24)*$I$2/(1+EXP($I$3*(COUNT($H$9:O$9)+$I$4))),TREND($D24:$E24,$D$9:$E$9,O$9))</f>
        <v>0.12901406166922624</v>
      </c>
      <c r="P24">
        <f>IF($F24="s-curve",$D24+($E24-$D24)*$I$2/(1+EXP($I$3*(COUNT($H$9:P$9)+$I$4))),TREND($D24:$E24,$D$9:$E$9,P$9))</f>
        <v>0.15364198013583227</v>
      </c>
      <c r="Q24">
        <f>IF($F24="s-curve",$D24+($E24-$D24)*$I$2/(1+EXP($I$3*(COUNT($H$9:Q$9)+$I$4))),TREND($D24:$E24,$D$9:$E$9,Q$9))</f>
        <v>0.18475851165546342</v>
      </c>
      <c r="R24">
        <f>IF($F24="s-curve",$D24+($E24-$D24)*$I$2/(1+EXP($I$3*(COUNT($H$9:R$9)+$I$4))),TREND($D24:$E24,$D$9:$E$9,R$9))</f>
        <v>0.22330424761603851</v>
      </c>
      <c r="S24">
        <f>IF($F24="s-curve",$D24+($E24-$D24)*$I$2/(1+EXP($I$3*(COUNT($H$9:S$9)+$I$4))),TREND($D24:$E24,$D$9:$E$9,S$9))</f>
        <v>0.26990145567593327</v>
      </c>
      <c r="T24">
        <f>IF($F24="s-curve",$D24+($E24-$D24)*$I$2/(1+EXP($I$3*(COUNT($H$9:T$9)+$I$4))),TREND($D24:$E24,$D$9:$E$9,T$9))</f>
        <v>0.32459797250624622</v>
      </c>
      <c r="U24">
        <f>IF($F24="s-curve",$D24+($E24-$D24)*$I$2/(1+EXP($I$3*(COUNT($H$9:U$9)+$I$4))),TREND($D24:$E24,$D$9:$E$9,U$9))</f>
        <v>0.38662650908549429</v>
      </c>
      <c r="V24">
        <f>IF($F24="s-curve",$D24+($E24-$D24)*$I$2/(1+EXP($I$3*(COUNT($H$9:V$9)+$I$4))),TREND($D24:$E24,$D$9:$E$9,V$9))</f>
        <v>0.45427960902892389</v>
      </c>
      <c r="W24">
        <f>IF($F24="s-curve",$D24+($E24-$D24)*$I$2/(1+EXP($I$3*(COUNT($H$9:W$9)+$I$4))),TREND($D24:$E24,$D$9:$E$9,W$9))</f>
        <v>0.52500000000000002</v>
      </c>
      <c r="X24">
        <f>IF($F24="s-curve",$D24+($E24-$D24)*$I$2/(1+EXP($I$3*(COUNT($H$9:X$9)+$I$4))),TREND($D24:$E24,$D$9:$E$9,X$9))</f>
        <v>0.5957203909710761</v>
      </c>
      <c r="Y24">
        <f>IF($F24="s-curve",$D24+($E24-$D24)*$I$2/(1+EXP($I$3*(COUNT($H$9:Y$9)+$I$4))),TREND($D24:$E24,$D$9:$E$9,Y$9))</f>
        <v>0.6633734909145057</v>
      </c>
      <c r="Z24">
        <f>IF($F24="s-curve",$D24+($E24-$D24)*$I$2/(1+EXP($I$3*(COUNT($H$9:Z$9)+$I$4))),TREND($D24:$E24,$D$9:$E$9,Z$9))</f>
        <v>0.72540202749375371</v>
      </c>
      <c r="AA24">
        <f>IF($F24="s-curve",$D24+($E24-$D24)*$I$2/(1+EXP($I$3*(COUNT($H$9:AA$9)+$I$4))),TREND($D24:$E24,$D$9:$E$9,AA$9))</f>
        <v>0.78009854432406667</v>
      </c>
      <c r="AB24">
        <f>IF($F24="s-curve",$D24+($E24-$D24)*$I$2/(1+EXP($I$3*(COUNT($H$9:AB$9)+$I$4))),TREND($D24:$E24,$D$9:$E$9,AB$9))</f>
        <v>0.82669575238396142</v>
      </c>
      <c r="AC24">
        <f>IF($F24="s-curve",$D24+($E24-$D24)*$I$2/(1+EXP($I$3*(COUNT($H$9:AC$9)+$I$4))),TREND($D24:$E24,$D$9:$E$9,AC$9))</f>
        <v>0.86524148834453662</v>
      </c>
      <c r="AD24">
        <f>IF($F24="s-curve",$D24+($E24-$D24)*$I$2/(1+EXP($I$3*(COUNT($H$9:AD$9)+$I$4))),TREND($D24:$E24,$D$9:$E$9,AD$9))</f>
        <v>0.89635801986416774</v>
      </c>
      <c r="AE24">
        <f>IF($F24="s-curve",$D24+($E24-$D24)*$I$2/(1+EXP($I$3*(COUNT($H$9:AE$9)+$I$4))),TREND($D24:$E24,$D$9:$E$9,AE$9))</f>
        <v>0.9209859383307738</v>
      </c>
      <c r="AF24">
        <f>IF($F24="s-curve",$D24+($E24-$D24)*$I$2/(1+EXP($I$3*(COUNT($H$9:AF$9)+$I$4))),TREND($D24:$E24,$D$9:$E$9,AF$9))</f>
        <v>0.94017531174585334</v>
      </c>
      <c r="AG24">
        <f>IF($F24="s-curve",$D24+($E24-$D24)*$I$2/(1+EXP($I$3*(COUNT($H$9:AG$9)+$I$4))),TREND($D24:$E24,$D$9:$E$9,AG$9))</f>
        <v>0.9549454204813117</v>
      </c>
      <c r="AH24">
        <f>IF($F24="s-curve",$D24+($E24-$D24)*$I$2/(1+EXP($I$3*(COUNT($H$9:AH$9)+$I$4))),TREND($D24:$E24,$D$9:$E$9,AH$9))</f>
        <v>0.96620737019099567</v>
      </c>
      <c r="AI24">
        <f>IF($F24="s-curve",$D24+($E24-$D24)*$I$2/(1+EXP($I$3*(COUNT($H$9:AI$9)+$I$4))),TREND($D24:$E24,$D$9:$E$9,AI$9))</f>
        <v>0.97473285610197735</v>
      </c>
      <c r="AJ24">
        <f>IF($F24="s-curve",$D24+($E24-$D24)*$I$2/(1+EXP($I$3*(COUNT($H$9:AJ$9)+$I$4))),TREND($D24:$E24,$D$9:$E$9,AJ$9))</f>
        <v>0.98115170955262643</v>
      </c>
      <c r="AK24">
        <f>IF($F24="s-curve",$D24+($E24-$D24)*$I$2/(1+EXP($I$3*(COUNT($H$9:AK$9)+$I$4))),TREND($D24:$E24,$D$9:$E$9,AK$9))</f>
        <v>0.98596466989139064</v>
      </c>
      <c r="AL24">
        <f>IF($F24="s-curve",$D24+($E24-$D24)*$I$2/(1+EXP($I$3*(COUNT($H$9:AL$9)+$I$4))),TREND($D24:$E24,$D$9:$E$9,AL$9))</f>
        <v>0.98956240450093647</v>
      </c>
    </row>
    <row r="25" spans="1:38">
      <c r="C25" t="s">
        <v>2</v>
      </c>
      <c r="D25" s="20">
        <f>MIN(1.25*INDEX('SYVbT-passenger'!$B$3:$H$3,MATCH(Data!$C11,'SYVbT-passenger'!$B$1:$H$1,0))/SUM('SYVbT-passenger'!$B$3:$H$3),1)</f>
        <v>2.155996206658648E-3</v>
      </c>
      <c r="E25" s="20">
        <f>D25</f>
        <v>2.155996206658648E-3</v>
      </c>
      <c r="F25" s="6" t="str">
        <f>IF(D25=E25,"n/a",IF(OR(C25="battery electric vehicle",C25="natural gas vehicle",C25="plugin hybrid vehicle"),"s-curve","linear"))</f>
        <v>n/a</v>
      </c>
      <c r="H25" s="20">
        <f t="shared" si="23"/>
        <v>2.155996206658648E-3</v>
      </c>
      <c r="I25">
        <f>IF($F25="s-curve",$D25+($E25-$D25)*$I$2/(1+EXP($I$3*(COUNT($H$9:I$9)+$I$4))),TREND($D25:$E25,$D$9:$E$9,I$9))</f>
        <v>2.155996206658648E-3</v>
      </c>
      <c r="J25">
        <f>IF($F25="s-curve",$D25+($E25-$D25)*$I$2/(1+EXP($I$3*(COUNT($H$9:J$9)+$I$4))),TREND($D25:$E25,$D$9:$E$9,J$9))</f>
        <v>2.155996206658648E-3</v>
      </c>
      <c r="K25">
        <f>IF($F25="s-curve",$D25+($E25-$D25)*$I$2/(1+EXP($I$3*(COUNT($H$9:K$9)+$I$4))),TREND($D25:$E25,$D$9:$E$9,K$9))</f>
        <v>2.155996206658648E-3</v>
      </c>
      <c r="L25">
        <f>IF($F25="s-curve",$D25+($E25-$D25)*$I$2/(1+EXP($I$3*(COUNT($H$9:L$9)+$I$4))),TREND($D25:$E25,$D$9:$E$9,L$9))</f>
        <v>2.155996206658648E-3</v>
      </c>
      <c r="M25">
        <f>IF($F25="s-curve",$D25+($E25-$D25)*$I$2/(1+EXP($I$3*(COUNT($H$9:M$9)+$I$4))),TREND($D25:$E25,$D$9:$E$9,M$9))</f>
        <v>2.155996206658648E-3</v>
      </c>
      <c r="N25">
        <f>IF($F25="s-curve",$D25+($E25-$D25)*$I$2/(1+EXP($I$3*(COUNT($H$9:N$9)+$I$4))),TREND($D25:$E25,$D$9:$E$9,N$9))</f>
        <v>2.155996206658648E-3</v>
      </c>
      <c r="O25">
        <f>IF($F25="s-curve",$D25+($E25-$D25)*$I$2/(1+EXP($I$3*(COUNT($H$9:O$9)+$I$4))),TREND($D25:$E25,$D$9:$E$9,O$9))</f>
        <v>2.155996206658648E-3</v>
      </c>
      <c r="P25">
        <f>IF($F25="s-curve",$D25+($E25-$D25)*$I$2/(1+EXP($I$3*(COUNT($H$9:P$9)+$I$4))),TREND($D25:$E25,$D$9:$E$9,P$9))</f>
        <v>2.155996206658648E-3</v>
      </c>
      <c r="Q25">
        <f>IF($F25="s-curve",$D25+($E25-$D25)*$I$2/(1+EXP($I$3*(COUNT($H$9:Q$9)+$I$4))),TREND($D25:$E25,$D$9:$E$9,Q$9))</f>
        <v>2.155996206658648E-3</v>
      </c>
      <c r="R25">
        <f>IF($F25="s-curve",$D25+($E25-$D25)*$I$2/(1+EXP($I$3*(COUNT($H$9:R$9)+$I$4))),TREND($D25:$E25,$D$9:$E$9,R$9))</f>
        <v>2.155996206658648E-3</v>
      </c>
      <c r="S25">
        <f>IF($F25="s-curve",$D25+($E25-$D25)*$I$2/(1+EXP($I$3*(COUNT($H$9:S$9)+$I$4))),TREND($D25:$E25,$D$9:$E$9,S$9))</f>
        <v>2.155996206658648E-3</v>
      </c>
      <c r="T25">
        <f>IF($F25="s-curve",$D25+($E25-$D25)*$I$2/(1+EXP($I$3*(COUNT($H$9:T$9)+$I$4))),TREND($D25:$E25,$D$9:$E$9,T$9))</f>
        <v>2.155996206658648E-3</v>
      </c>
      <c r="U25">
        <f>IF($F25="s-curve",$D25+($E25-$D25)*$I$2/(1+EXP($I$3*(COUNT($H$9:U$9)+$I$4))),TREND($D25:$E25,$D$9:$E$9,U$9))</f>
        <v>2.155996206658648E-3</v>
      </c>
      <c r="V25">
        <f>IF($F25="s-curve",$D25+($E25-$D25)*$I$2/(1+EXP($I$3*(COUNT($H$9:V$9)+$I$4))),TREND($D25:$E25,$D$9:$E$9,V$9))</f>
        <v>2.155996206658648E-3</v>
      </c>
      <c r="W25">
        <f>IF($F25="s-curve",$D25+($E25-$D25)*$I$2/(1+EXP($I$3*(COUNT($H$9:W$9)+$I$4))),TREND($D25:$E25,$D$9:$E$9,W$9))</f>
        <v>2.155996206658648E-3</v>
      </c>
      <c r="X25">
        <f>IF($F25="s-curve",$D25+($E25-$D25)*$I$2/(1+EXP($I$3*(COUNT($H$9:X$9)+$I$4))),TREND($D25:$E25,$D$9:$E$9,X$9))</f>
        <v>2.155996206658648E-3</v>
      </c>
      <c r="Y25">
        <f>IF($F25="s-curve",$D25+($E25-$D25)*$I$2/(1+EXP($I$3*(COUNT($H$9:Y$9)+$I$4))),TREND($D25:$E25,$D$9:$E$9,Y$9))</f>
        <v>2.155996206658648E-3</v>
      </c>
      <c r="Z25">
        <f>IF($F25="s-curve",$D25+($E25-$D25)*$I$2/(1+EXP($I$3*(COUNT($H$9:Z$9)+$I$4))),TREND($D25:$E25,$D$9:$E$9,Z$9))</f>
        <v>2.155996206658648E-3</v>
      </c>
      <c r="AA25">
        <f>IF($F25="s-curve",$D25+($E25-$D25)*$I$2/(1+EXP($I$3*(COUNT($H$9:AA$9)+$I$4))),TREND($D25:$E25,$D$9:$E$9,AA$9))</f>
        <v>2.155996206658648E-3</v>
      </c>
      <c r="AB25">
        <f>IF($F25="s-curve",$D25+($E25-$D25)*$I$2/(1+EXP($I$3*(COUNT($H$9:AB$9)+$I$4))),TREND($D25:$E25,$D$9:$E$9,AB$9))</f>
        <v>2.155996206658648E-3</v>
      </c>
      <c r="AC25">
        <f>IF($F25="s-curve",$D25+($E25-$D25)*$I$2/(1+EXP($I$3*(COUNT($H$9:AC$9)+$I$4))),TREND($D25:$E25,$D$9:$E$9,AC$9))</f>
        <v>2.155996206658648E-3</v>
      </c>
      <c r="AD25">
        <f>IF($F25="s-curve",$D25+($E25-$D25)*$I$2/(1+EXP($I$3*(COUNT($H$9:AD$9)+$I$4))),TREND($D25:$E25,$D$9:$E$9,AD$9))</f>
        <v>2.155996206658648E-3</v>
      </c>
      <c r="AE25">
        <f>IF($F25="s-curve",$D25+($E25-$D25)*$I$2/(1+EXP($I$3*(COUNT($H$9:AE$9)+$I$4))),TREND($D25:$E25,$D$9:$E$9,AE$9))</f>
        <v>2.155996206658648E-3</v>
      </c>
      <c r="AF25">
        <f>IF($F25="s-curve",$D25+($E25-$D25)*$I$2/(1+EXP($I$3*(COUNT($H$9:AF$9)+$I$4))),TREND($D25:$E25,$D$9:$E$9,AF$9))</f>
        <v>2.155996206658648E-3</v>
      </c>
      <c r="AG25">
        <f>IF($F25="s-curve",$D25+($E25-$D25)*$I$2/(1+EXP($I$3*(COUNT($H$9:AG$9)+$I$4))),TREND($D25:$E25,$D$9:$E$9,AG$9))</f>
        <v>2.155996206658648E-3</v>
      </c>
      <c r="AH25">
        <f>IF($F25="s-curve",$D25+($E25-$D25)*$I$2/(1+EXP($I$3*(COUNT($H$9:AH$9)+$I$4))),TREND($D25:$E25,$D$9:$E$9,AH$9))</f>
        <v>2.155996206658648E-3</v>
      </c>
      <c r="AI25">
        <f>IF($F25="s-curve",$D25+($E25-$D25)*$I$2/(1+EXP($I$3*(COUNT($H$9:AI$9)+$I$4))),TREND($D25:$E25,$D$9:$E$9,AI$9))</f>
        <v>2.155996206658648E-3</v>
      </c>
      <c r="AJ25">
        <f>IF($F25="s-curve",$D25+($E25-$D25)*$I$2/(1+EXP($I$3*(COUNT($H$9:AJ$9)+$I$4))),TREND($D25:$E25,$D$9:$E$9,AJ$9))</f>
        <v>2.155996206658648E-3</v>
      </c>
      <c r="AK25">
        <f>IF($F25="s-curve",$D25+($E25-$D25)*$I$2/(1+EXP($I$3*(COUNT($H$9:AK$9)+$I$4))),TREND($D25:$E25,$D$9:$E$9,AK$9))</f>
        <v>2.155996206658648E-3</v>
      </c>
      <c r="AL25">
        <f>IF($F25="s-curve",$D25+($E25-$D25)*$I$2/(1+EXP($I$3*(COUNT($H$9:AL$9)+$I$4))),TREND($D25:$E25,$D$9:$E$9,AL$9))</f>
        <v>2.155996206658648E-3</v>
      </c>
    </row>
    <row r="26" spans="1:38">
      <c r="C26" t="s">
        <v>3</v>
      </c>
      <c r="D26" s="20">
        <f>MIN(1.25*INDEX('SYVbT-passenger'!$B$3:$H$3,MATCH(Data!$C12,'SYVbT-passenger'!$B$1:$H$1,0))/SUM('SYVbT-passenger'!$B$3:$H$3),1)*3</f>
        <v>2.0708630477691714</v>
      </c>
      <c r="E26" s="20">
        <f t="shared" ref="E26:E29" si="25">D26</f>
        <v>2.0708630477691714</v>
      </c>
      <c r="F26" s="6" t="str">
        <f>IF(D26=E26,"n/a",IF(OR(C26="battery electric vehicle",C26="natural gas vehicle",C26="plugin hybrid vehicle"),"s-curve","linear"))</f>
        <v>n/a</v>
      </c>
      <c r="H26" s="20">
        <f t="shared" si="23"/>
        <v>2.0708630477691714</v>
      </c>
      <c r="I26">
        <f>IF($F26="s-curve",$D26+($E26-$D26)*$I$2/(1+EXP($I$3*(COUNT($H$9:I$9)+$I$4))),TREND($D26:$E26,$D$9:$E$9,I$9))</f>
        <v>2.0708630477691714</v>
      </c>
      <c r="J26">
        <f>IF($F26="s-curve",$D26+($E26-$D26)*$I$2/(1+EXP($I$3*(COUNT($H$9:J$9)+$I$4))),TREND($D26:$E26,$D$9:$E$9,J$9))</f>
        <v>2.0708630477691714</v>
      </c>
      <c r="K26">
        <f>IF($F26="s-curve",$D26+($E26-$D26)*$I$2/(1+EXP($I$3*(COUNT($H$9:K$9)+$I$4))),TREND($D26:$E26,$D$9:$E$9,K$9))</f>
        <v>2.0708630477691714</v>
      </c>
      <c r="L26">
        <f>IF($F26="s-curve",$D26+($E26-$D26)*$I$2/(1+EXP($I$3*(COUNT($H$9:L$9)+$I$4))),TREND($D26:$E26,$D$9:$E$9,L$9))</f>
        <v>2.0708630477691714</v>
      </c>
      <c r="M26">
        <f>IF($F26="s-curve",$D26+($E26-$D26)*$I$2/(1+EXP($I$3*(COUNT($H$9:M$9)+$I$4))),TREND($D26:$E26,$D$9:$E$9,M$9))</f>
        <v>2.0708630477691714</v>
      </c>
      <c r="N26">
        <f>IF($F26="s-curve",$D26+($E26-$D26)*$I$2/(1+EXP($I$3*(COUNT($H$9:N$9)+$I$4))),TREND($D26:$E26,$D$9:$E$9,N$9))</f>
        <v>2.0708630477691714</v>
      </c>
      <c r="O26">
        <f>IF($F26="s-curve",$D26+($E26-$D26)*$I$2/(1+EXP($I$3*(COUNT($H$9:O$9)+$I$4))),TREND($D26:$E26,$D$9:$E$9,O$9))</f>
        <v>2.0708630477691714</v>
      </c>
      <c r="P26">
        <f>IF($F26="s-curve",$D26+($E26-$D26)*$I$2/(1+EXP($I$3*(COUNT($H$9:P$9)+$I$4))),TREND($D26:$E26,$D$9:$E$9,P$9))</f>
        <v>2.0708630477691714</v>
      </c>
      <c r="Q26">
        <f>IF($F26="s-curve",$D26+($E26-$D26)*$I$2/(1+EXP($I$3*(COUNT($H$9:Q$9)+$I$4))),TREND($D26:$E26,$D$9:$E$9,Q$9))</f>
        <v>2.0708630477691714</v>
      </c>
      <c r="R26">
        <f>IF($F26="s-curve",$D26+($E26-$D26)*$I$2/(1+EXP($I$3*(COUNT($H$9:R$9)+$I$4))),TREND($D26:$E26,$D$9:$E$9,R$9))</f>
        <v>2.0708630477691714</v>
      </c>
      <c r="S26">
        <f>IF($F26="s-curve",$D26+($E26-$D26)*$I$2/(1+EXP($I$3*(COUNT($H$9:S$9)+$I$4))),TREND($D26:$E26,$D$9:$E$9,S$9))</f>
        <v>2.0708630477691714</v>
      </c>
      <c r="T26">
        <f>IF($F26="s-curve",$D26+($E26-$D26)*$I$2/(1+EXP($I$3*(COUNT($H$9:T$9)+$I$4))),TREND($D26:$E26,$D$9:$E$9,T$9))</f>
        <v>2.0708630477691714</v>
      </c>
      <c r="U26">
        <f>IF($F26="s-curve",$D26+($E26-$D26)*$I$2/(1+EXP($I$3*(COUNT($H$9:U$9)+$I$4))),TREND($D26:$E26,$D$9:$E$9,U$9))</f>
        <v>2.0708630477691714</v>
      </c>
      <c r="V26">
        <f>IF($F26="s-curve",$D26+($E26-$D26)*$I$2/(1+EXP($I$3*(COUNT($H$9:V$9)+$I$4))),TREND($D26:$E26,$D$9:$E$9,V$9))</f>
        <v>2.0708630477691714</v>
      </c>
      <c r="W26">
        <f>IF($F26="s-curve",$D26+($E26-$D26)*$I$2/(1+EXP($I$3*(COUNT($H$9:W$9)+$I$4))),TREND($D26:$E26,$D$9:$E$9,W$9))</f>
        <v>2.0708630477691714</v>
      </c>
      <c r="X26">
        <f>IF($F26="s-curve",$D26+($E26-$D26)*$I$2/(1+EXP($I$3*(COUNT($H$9:X$9)+$I$4))),TREND($D26:$E26,$D$9:$E$9,X$9))</f>
        <v>2.0708630477691714</v>
      </c>
      <c r="Y26">
        <f>IF($F26="s-curve",$D26+($E26-$D26)*$I$2/(1+EXP($I$3*(COUNT($H$9:Y$9)+$I$4))),TREND($D26:$E26,$D$9:$E$9,Y$9))</f>
        <v>2.0708630477691714</v>
      </c>
      <c r="Z26">
        <f>IF($F26="s-curve",$D26+($E26-$D26)*$I$2/(1+EXP($I$3*(COUNT($H$9:Z$9)+$I$4))),TREND($D26:$E26,$D$9:$E$9,Z$9))</f>
        <v>2.0708630477691714</v>
      </c>
      <c r="AA26">
        <f>IF($F26="s-curve",$D26+($E26-$D26)*$I$2/(1+EXP($I$3*(COUNT($H$9:AA$9)+$I$4))),TREND($D26:$E26,$D$9:$E$9,AA$9))</f>
        <v>2.0708630477691714</v>
      </c>
      <c r="AB26">
        <f>IF($F26="s-curve",$D26+($E26-$D26)*$I$2/(1+EXP($I$3*(COUNT($H$9:AB$9)+$I$4))),TREND($D26:$E26,$D$9:$E$9,AB$9))</f>
        <v>2.0708630477691714</v>
      </c>
      <c r="AC26">
        <f>IF($F26="s-curve",$D26+($E26-$D26)*$I$2/(1+EXP($I$3*(COUNT($H$9:AC$9)+$I$4))),TREND($D26:$E26,$D$9:$E$9,AC$9))</f>
        <v>2.0708630477691714</v>
      </c>
      <c r="AD26">
        <f>IF($F26="s-curve",$D26+($E26-$D26)*$I$2/(1+EXP($I$3*(COUNT($H$9:AD$9)+$I$4))),TREND($D26:$E26,$D$9:$E$9,AD$9))</f>
        <v>2.0708630477691714</v>
      </c>
      <c r="AE26">
        <f>IF($F26="s-curve",$D26+($E26-$D26)*$I$2/(1+EXP($I$3*(COUNT($H$9:AE$9)+$I$4))),TREND($D26:$E26,$D$9:$E$9,AE$9))</f>
        <v>2.0708630477691714</v>
      </c>
      <c r="AF26">
        <f>IF($F26="s-curve",$D26+($E26-$D26)*$I$2/(1+EXP($I$3*(COUNT($H$9:AF$9)+$I$4))),TREND($D26:$E26,$D$9:$E$9,AF$9))</f>
        <v>2.0708630477691714</v>
      </c>
      <c r="AG26">
        <f>IF($F26="s-curve",$D26+($E26-$D26)*$I$2/(1+EXP($I$3*(COUNT($H$9:AG$9)+$I$4))),TREND($D26:$E26,$D$9:$E$9,AG$9))</f>
        <v>2.0708630477691714</v>
      </c>
      <c r="AH26">
        <f>IF($F26="s-curve",$D26+($E26-$D26)*$I$2/(1+EXP($I$3*(COUNT($H$9:AH$9)+$I$4))),TREND($D26:$E26,$D$9:$E$9,AH$9))</f>
        <v>2.0708630477691714</v>
      </c>
      <c r="AI26">
        <f>IF($F26="s-curve",$D26+($E26-$D26)*$I$2/(1+EXP($I$3*(COUNT($H$9:AI$9)+$I$4))),TREND($D26:$E26,$D$9:$E$9,AI$9))</f>
        <v>2.0708630477691714</v>
      </c>
      <c r="AJ26">
        <f>IF($F26="s-curve",$D26+($E26-$D26)*$I$2/(1+EXP($I$3*(COUNT($H$9:AJ$9)+$I$4))),TREND($D26:$E26,$D$9:$E$9,AJ$9))</f>
        <v>2.0708630477691714</v>
      </c>
      <c r="AK26">
        <f>IF($F26="s-curve",$D26+($E26-$D26)*$I$2/(1+EXP($I$3*(COUNT($H$9:AK$9)+$I$4))),TREND($D26:$E26,$D$9:$E$9,AK$9))</f>
        <v>2.0708630477691714</v>
      </c>
      <c r="AL26">
        <f>IF($F26="s-curve",$D26+($E26-$D26)*$I$2/(1+EXP($I$3*(COUNT($H$9:AL$9)+$I$4))),TREND($D26:$E26,$D$9:$E$9,AL$9))</f>
        <v>2.0708630477691714</v>
      </c>
    </row>
    <row r="27" spans="1:38">
      <c r="C27" t="s">
        <v>4</v>
      </c>
      <c r="D27" s="20">
        <f>MIN(1.25*INDEX('SYVbT-passenger'!$B$3:$H$3,MATCH(Data!$C13,'SYVbT-passenger'!$B$1:$H$1,0))/SUM('SYVbT-passenger'!$B$3:$H$3),1)*3</f>
        <v>1.1886920057569821</v>
      </c>
      <c r="E27" s="20">
        <f t="shared" si="25"/>
        <v>1.1886920057569821</v>
      </c>
      <c r="F27" s="6" t="str">
        <f>IF(D27=E27,"n/a",IF(OR(C27="battery electric vehicle",C27="natural gas vehicle",C27="plugin hybrid vehicle"),"s-curve","linear"))</f>
        <v>n/a</v>
      </c>
      <c r="H27" s="20">
        <f t="shared" si="23"/>
        <v>1.1886920057569821</v>
      </c>
      <c r="I27">
        <f>IF($F27="s-curve",$D27+($E27-$D27)*$I$2/(1+EXP($I$3*(COUNT($H$9:I$9)+$I$4))),TREND($D27:$E27,$D$9:$E$9,I$9))</f>
        <v>1.1886920057569821</v>
      </c>
      <c r="J27">
        <f>IF($F27="s-curve",$D27+($E27-$D27)*$I$2/(1+EXP($I$3*(COUNT($H$9:J$9)+$I$4))),TREND($D27:$E27,$D$9:$E$9,J$9))</f>
        <v>1.1886920057569821</v>
      </c>
      <c r="K27">
        <f>IF($F27="s-curve",$D27+($E27-$D27)*$I$2/(1+EXP($I$3*(COUNT($H$9:K$9)+$I$4))),TREND($D27:$E27,$D$9:$E$9,K$9))</f>
        <v>1.1886920057569821</v>
      </c>
      <c r="L27">
        <f>IF($F27="s-curve",$D27+($E27-$D27)*$I$2/(1+EXP($I$3*(COUNT($H$9:L$9)+$I$4))),TREND($D27:$E27,$D$9:$E$9,L$9))</f>
        <v>1.1886920057569821</v>
      </c>
      <c r="M27">
        <f>IF($F27="s-curve",$D27+($E27-$D27)*$I$2/(1+EXP($I$3*(COUNT($H$9:M$9)+$I$4))),TREND($D27:$E27,$D$9:$E$9,M$9))</f>
        <v>1.1886920057569821</v>
      </c>
      <c r="N27">
        <f>IF($F27="s-curve",$D27+($E27-$D27)*$I$2/(1+EXP($I$3*(COUNT($H$9:N$9)+$I$4))),TREND($D27:$E27,$D$9:$E$9,N$9))</f>
        <v>1.1886920057569821</v>
      </c>
      <c r="O27">
        <f>IF($F27="s-curve",$D27+($E27-$D27)*$I$2/(1+EXP($I$3*(COUNT($H$9:O$9)+$I$4))),TREND($D27:$E27,$D$9:$E$9,O$9))</f>
        <v>1.1886920057569821</v>
      </c>
      <c r="P27">
        <f>IF($F27="s-curve",$D27+($E27-$D27)*$I$2/(1+EXP($I$3*(COUNT($H$9:P$9)+$I$4))),TREND($D27:$E27,$D$9:$E$9,P$9))</f>
        <v>1.1886920057569821</v>
      </c>
      <c r="Q27">
        <f>IF($F27="s-curve",$D27+($E27-$D27)*$I$2/(1+EXP($I$3*(COUNT($H$9:Q$9)+$I$4))),TREND($D27:$E27,$D$9:$E$9,Q$9))</f>
        <v>1.1886920057569821</v>
      </c>
      <c r="R27">
        <f>IF($F27="s-curve",$D27+($E27-$D27)*$I$2/(1+EXP($I$3*(COUNT($H$9:R$9)+$I$4))),TREND($D27:$E27,$D$9:$E$9,R$9))</f>
        <v>1.1886920057569821</v>
      </c>
      <c r="S27">
        <f>IF($F27="s-curve",$D27+($E27-$D27)*$I$2/(1+EXP($I$3*(COUNT($H$9:S$9)+$I$4))),TREND($D27:$E27,$D$9:$E$9,S$9))</f>
        <v>1.1886920057569821</v>
      </c>
      <c r="T27">
        <f>IF($F27="s-curve",$D27+($E27-$D27)*$I$2/(1+EXP($I$3*(COUNT($H$9:T$9)+$I$4))),TREND($D27:$E27,$D$9:$E$9,T$9))</f>
        <v>1.1886920057569821</v>
      </c>
      <c r="U27">
        <f>IF($F27="s-curve",$D27+($E27-$D27)*$I$2/(1+EXP($I$3*(COUNT($H$9:U$9)+$I$4))),TREND($D27:$E27,$D$9:$E$9,U$9))</f>
        <v>1.1886920057569821</v>
      </c>
      <c r="V27">
        <f>IF($F27="s-curve",$D27+($E27-$D27)*$I$2/(1+EXP($I$3*(COUNT($H$9:V$9)+$I$4))),TREND($D27:$E27,$D$9:$E$9,V$9))</f>
        <v>1.1886920057569821</v>
      </c>
      <c r="W27">
        <f>IF($F27="s-curve",$D27+($E27-$D27)*$I$2/(1+EXP($I$3*(COUNT($H$9:W$9)+$I$4))),TREND($D27:$E27,$D$9:$E$9,W$9))</f>
        <v>1.1886920057569821</v>
      </c>
      <c r="X27">
        <f>IF($F27="s-curve",$D27+($E27-$D27)*$I$2/(1+EXP($I$3*(COUNT($H$9:X$9)+$I$4))),TREND($D27:$E27,$D$9:$E$9,X$9))</f>
        <v>1.1886920057569821</v>
      </c>
      <c r="Y27">
        <f>IF($F27="s-curve",$D27+($E27-$D27)*$I$2/(1+EXP($I$3*(COUNT($H$9:Y$9)+$I$4))),TREND($D27:$E27,$D$9:$E$9,Y$9))</f>
        <v>1.1886920057569821</v>
      </c>
      <c r="Z27">
        <f>IF($F27="s-curve",$D27+($E27-$D27)*$I$2/(1+EXP($I$3*(COUNT($H$9:Z$9)+$I$4))),TREND($D27:$E27,$D$9:$E$9,Z$9))</f>
        <v>1.1886920057569821</v>
      </c>
      <c r="AA27">
        <f>IF($F27="s-curve",$D27+($E27-$D27)*$I$2/(1+EXP($I$3*(COUNT($H$9:AA$9)+$I$4))),TREND($D27:$E27,$D$9:$E$9,AA$9))</f>
        <v>1.1886920057569821</v>
      </c>
      <c r="AB27">
        <f>IF($F27="s-curve",$D27+($E27-$D27)*$I$2/(1+EXP($I$3*(COUNT($H$9:AB$9)+$I$4))),TREND($D27:$E27,$D$9:$E$9,AB$9))</f>
        <v>1.1886920057569821</v>
      </c>
      <c r="AC27">
        <f>IF($F27="s-curve",$D27+($E27-$D27)*$I$2/(1+EXP($I$3*(COUNT($H$9:AC$9)+$I$4))),TREND($D27:$E27,$D$9:$E$9,AC$9))</f>
        <v>1.1886920057569821</v>
      </c>
      <c r="AD27">
        <f>IF($F27="s-curve",$D27+($E27-$D27)*$I$2/(1+EXP($I$3*(COUNT($H$9:AD$9)+$I$4))),TREND($D27:$E27,$D$9:$E$9,AD$9))</f>
        <v>1.1886920057569821</v>
      </c>
      <c r="AE27">
        <f>IF($F27="s-curve",$D27+($E27-$D27)*$I$2/(1+EXP($I$3*(COUNT($H$9:AE$9)+$I$4))),TREND($D27:$E27,$D$9:$E$9,AE$9))</f>
        <v>1.1886920057569821</v>
      </c>
      <c r="AF27">
        <f>IF($F27="s-curve",$D27+($E27-$D27)*$I$2/(1+EXP($I$3*(COUNT($H$9:AF$9)+$I$4))),TREND($D27:$E27,$D$9:$E$9,AF$9))</f>
        <v>1.1886920057569821</v>
      </c>
      <c r="AG27">
        <f>IF($F27="s-curve",$D27+($E27-$D27)*$I$2/(1+EXP($I$3*(COUNT($H$9:AG$9)+$I$4))),TREND($D27:$E27,$D$9:$E$9,AG$9))</f>
        <v>1.1886920057569821</v>
      </c>
      <c r="AH27">
        <f>IF($F27="s-curve",$D27+($E27-$D27)*$I$2/(1+EXP($I$3*(COUNT($H$9:AH$9)+$I$4))),TREND($D27:$E27,$D$9:$E$9,AH$9))</f>
        <v>1.1886920057569821</v>
      </c>
      <c r="AI27">
        <f>IF($F27="s-curve",$D27+($E27-$D27)*$I$2/(1+EXP($I$3*(COUNT($H$9:AI$9)+$I$4))),TREND($D27:$E27,$D$9:$E$9,AI$9))</f>
        <v>1.1886920057569821</v>
      </c>
      <c r="AJ27">
        <f>IF($F27="s-curve",$D27+($E27-$D27)*$I$2/(1+EXP($I$3*(COUNT($H$9:AJ$9)+$I$4))),TREND($D27:$E27,$D$9:$E$9,AJ$9))</f>
        <v>1.1886920057569821</v>
      </c>
      <c r="AK27">
        <f>IF($F27="s-curve",$D27+($E27-$D27)*$I$2/(1+EXP($I$3*(COUNT($H$9:AK$9)+$I$4))),TREND($D27:$E27,$D$9:$E$9,AK$9))</f>
        <v>1.1886920057569821</v>
      </c>
      <c r="AL27">
        <f>IF($F27="s-curve",$D27+($E27-$D27)*$I$2/(1+EXP($I$3*(COUNT($H$9:AL$9)+$I$4))),TREND($D27:$E27,$D$9:$E$9,AL$9))</f>
        <v>1.1886920057569821</v>
      </c>
    </row>
    <row r="28" spans="1:38">
      <c r="C28" t="s">
        <v>5</v>
      </c>
      <c r="D28" s="20">
        <f>MIN(1.25*INDEX('SYVbT-passenger'!$B$3:$H$3,MATCH(Data!$C14,'SYVbT-passenger'!$B$1:$H$1,0))/SUM('SYVbT-passenger'!$B$3:$H$3),1)</f>
        <v>4.0868310546055435E-2</v>
      </c>
      <c r="E28" s="20">
        <f t="shared" si="25"/>
        <v>4.0868310546055435E-2</v>
      </c>
      <c r="F28" s="6" t="str">
        <f>IF(D28=E28,"n/a",IF(OR(C28="battery electric vehicle",C28="natural gas vehicle",C28="plugin hybrid vehicle"),"s-curve","linear"))</f>
        <v>n/a</v>
      </c>
      <c r="H28" s="20">
        <f t="shared" si="23"/>
        <v>4.0868310546055435E-2</v>
      </c>
      <c r="I28">
        <f>IF($F28="s-curve",$D28+($E28-$D28)*$I$2/(1+EXP($I$3*(COUNT($H$9:I$9)+$I$4))),TREND($D28:$E28,$D$9:$E$9,I$9))</f>
        <v>4.0868310546055435E-2</v>
      </c>
      <c r="J28">
        <f>IF($F28="s-curve",$D28+($E28-$D28)*$I$2/(1+EXP($I$3*(COUNT($H$9:J$9)+$I$4))),TREND($D28:$E28,$D$9:$E$9,J$9))</f>
        <v>4.0868310546055435E-2</v>
      </c>
      <c r="K28">
        <f>IF($F28="s-curve",$D28+($E28-$D28)*$I$2/(1+EXP($I$3*(COUNT($H$9:K$9)+$I$4))),TREND($D28:$E28,$D$9:$E$9,K$9))</f>
        <v>4.0868310546055435E-2</v>
      </c>
      <c r="L28">
        <f>IF($F28="s-curve",$D28+($E28-$D28)*$I$2/(1+EXP($I$3*(COUNT($H$9:L$9)+$I$4))),TREND($D28:$E28,$D$9:$E$9,L$9))</f>
        <v>4.0868310546055435E-2</v>
      </c>
      <c r="M28">
        <f>IF($F28="s-curve",$D28+($E28-$D28)*$I$2/(1+EXP($I$3*(COUNT($H$9:M$9)+$I$4))),TREND($D28:$E28,$D$9:$E$9,M$9))</f>
        <v>4.0868310546055435E-2</v>
      </c>
      <c r="N28">
        <f>IF($F28="s-curve",$D28+($E28-$D28)*$I$2/(1+EXP($I$3*(COUNT($H$9:N$9)+$I$4))),TREND($D28:$E28,$D$9:$E$9,N$9))</f>
        <v>4.0868310546055435E-2</v>
      </c>
      <c r="O28">
        <f>IF($F28="s-curve",$D28+($E28-$D28)*$I$2/(1+EXP($I$3*(COUNT($H$9:O$9)+$I$4))),TREND($D28:$E28,$D$9:$E$9,O$9))</f>
        <v>4.0868310546055435E-2</v>
      </c>
      <c r="P28">
        <f>IF($F28="s-curve",$D28+($E28-$D28)*$I$2/(1+EXP($I$3*(COUNT($H$9:P$9)+$I$4))),TREND($D28:$E28,$D$9:$E$9,P$9))</f>
        <v>4.0868310546055435E-2</v>
      </c>
      <c r="Q28">
        <f>IF($F28="s-curve",$D28+($E28-$D28)*$I$2/(1+EXP($I$3*(COUNT($H$9:Q$9)+$I$4))),TREND($D28:$E28,$D$9:$E$9,Q$9))</f>
        <v>4.0868310546055435E-2</v>
      </c>
      <c r="R28">
        <f>IF($F28="s-curve",$D28+($E28-$D28)*$I$2/(1+EXP($I$3*(COUNT($H$9:R$9)+$I$4))),TREND($D28:$E28,$D$9:$E$9,R$9))</f>
        <v>4.0868310546055435E-2</v>
      </c>
      <c r="S28">
        <f>IF($F28="s-curve",$D28+($E28-$D28)*$I$2/(1+EXP($I$3*(COUNT($H$9:S$9)+$I$4))),TREND($D28:$E28,$D$9:$E$9,S$9))</f>
        <v>4.0868310546055435E-2</v>
      </c>
      <c r="T28">
        <f>IF($F28="s-curve",$D28+($E28-$D28)*$I$2/(1+EXP($I$3*(COUNT($H$9:T$9)+$I$4))),TREND($D28:$E28,$D$9:$E$9,T$9))</f>
        <v>4.0868310546055435E-2</v>
      </c>
      <c r="U28">
        <f>IF($F28="s-curve",$D28+($E28-$D28)*$I$2/(1+EXP($I$3*(COUNT($H$9:U$9)+$I$4))),TREND($D28:$E28,$D$9:$E$9,U$9))</f>
        <v>4.0868310546055435E-2</v>
      </c>
      <c r="V28">
        <f>IF($F28="s-curve",$D28+($E28-$D28)*$I$2/(1+EXP($I$3*(COUNT($H$9:V$9)+$I$4))),TREND($D28:$E28,$D$9:$E$9,V$9))</f>
        <v>4.0868310546055435E-2</v>
      </c>
      <c r="W28">
        <f>IF($F28="s-curve",$D28+($E28-$D28)*$I$2/(1+EXP($I$3*(COUNT($H$9:W$9)+$I$4))),TREND($D28:$E28,$D$9:$E$9,W$9))</f>
        <v>4.0868310546055435E-2</v>
      </c>
      <c r="X28">
        <f>IF($F28="s-curve",$D28+($E28-$D28)*$I$2/(1+EXP($I$3*(COUNT($H$9:X$9)+$I$4))),TREND($D28:$E28,$D$9:$E$9,X$9))</f>
        <v>4.0868310546055435E-2</v>
      </c>
      <c r="Y28">
        <f>IF($F28="s-curve",$D28+($E28-$D28)*$I$2/(1+EXP($I$3*(COUNT($H$9:Y$9)+$I$4))),TREND($D28:$E28,$D$9:$E$9,Y$9))</f>
        <v>4.0868310546055435E-2</v>
      </c>
      <c r="Z28">
        <f>IF($F28="s-curve",$D28+($E28-$D28)*$I$2/(1+EXP($I$3*(COUNT($H$9:Z$9)+$I$4))),TREND($D28:$E28,$D$9:$E$9,Z$9))</f>
        <v>4.0868310546055435E-2</v>
      </c>
      <c r="AA28">
        <f>IF($F28="s-curve",$D28+($E28-$D28)*$I$2/(1+EXP($I$3*(COUNT($H$9:AA$9)+$I$4))),TREND($D28:$E28,$D$9:$E$9,AA$9))</f>
        <v>4.0868310546055435E-2</v>
      </c>
      <c r="AB28">
        <f>IF($F28="s-curve",$D28+($E28-$D28)*$I$2/(1+EXP($I$3*(COUNT($H$9:AB$9)+$I$4))),TREND($D28:$E28,$D$9:$E$9,AB$9))</f>
        <v>4.0868310546055435E-2</v>
      </c>
      <c r="AC28">
        <f>IF($F28="s-curve",$D28+($E28-$D28)*$I$2/(1+EXP($I$3*(COUNT($H$9:AC$9)+$I$4))),TREND($D28:$E28,$D$9:$E$9,AC$9))</f>
        <v>4.0868310546055435E-2</v>
      </c>
      <c r="AD28">
        <f>IF($F28="s-curve",$D28+($E28-$D28)*$I$2/(1+EXP($I$3*(COUNT($H$9:AD$9)+$I$4))),TREND($D28:$E28,$D$9:$E$9,AD$9))</f>
        <v>4.0868310546055435E-2</v>
      </c>
      <c r="AE28">
        <f>IF($F28="s-curve",$D28+($E28-$D28)*$I$2/(1+EXP($I$3*(COUNT($H$9:AE$9)+$I$4))),TREND($D28:$E28,$D$9:$E$9,AE$9))</f>
        <v>4.0868310546055435E-2</v>
      </c>
      <c r="AF28">
        <f>IF($F28="s-curve",$D28+($E28-$D28)*$I$2/(1+EXP($I$3*(COUNT($H$9:AF$9)+$I$4))),TREND($D28:$E28,$D$9:$E$9,AF$9))</f>
        <v>4.0868310546055435E-2</v>
      </c>
      <c r="AG28">
        <f>IF($F28="s-curve",$D28+($E28-$D28)*$I$2/(1+EXP($I$3*(COUNT($H$9:AG$9)+$I$4))),TREND($D28:$E28,$D$9:$E$9,AG$9))</f>
        <v>4.0868310546055435E-2</v>
      </c>
      <c r="AH28">
        <f>IF($F28="s-curve",$D28+($E28-$D28)*$I$2/(1+EXP($I$3*(COUNT($H$9:AH$9)+$I$4))),TREND($D28:$E28,$D$9:$E$9,AH$9))</f>
        <v>4.0868310546055435E-2</v>
      </c>
      <c r="AI28">
        <f>IF($F28="s-curve",$D28+($E28-$D28)*$I$2/(1+EXP($I$3*(COUNT($H$9:AI$9)+$I$4))),TREND($D28:$E28,$D$9:$E$9,AI$9))</f>
        <v>4.0868310546055435E-2</v>
      </c>
      <c r="AJ28">
        <f>IF($F28="s-curve",$D28+($E28-$D28)*$I$2/(1+EXP($I$3*(COUNT($H$9:AJ$9)+$I$4))),TREND($D28:$E28,$D$9:$E$9,AJ$9))</f>
        <v>4.0868310546055435E-2</v>
      </c>
      <c r="AK28">
        <f>IF($F28="s-curve",$D28+($E28-$D28)*$I$2/(1+EXP($I$3*(COUNT($H$9:AK$9)+$I$4))),TREND($D28:$E28,$D$9:$E$9,AK$9))</f>
        <v>4.0868310546055435E-2</v>
      </c>
      <c r="AL28">
        <f>IF($F28="s-curve",$D28+($E28-$D28)*$I$2/(1+EXP($I$3*(COUNT($H$9:AL$9)+$I$4))),TREND($D28:$E28,$D$9:$E$9,AL$9))</f>
        <v>4.0868310546055435E-2</v>
      </c>
    </row>
    <row r="29" spans="1:38">
      <c r="C29" t="s">
        <v>78</v>
      </c>
      <c r="D29" s="20">
        <f>MIN(1.25*INDEX('SYVbT-passenger'!$B$3:$H$3,MATCH(Data!$C15,'SYVbT-passenger'!$B$1:$H$1,0))/SUM('SYVbT-passenger'!$B$3:$H$3),1)</f>
        <v>0.11252178195802712</v>
      </c>
      <c r="E29" s="20">
        <f t="shared" si="25"/>
        <v>0.11252178195802712</v>
      </c>
      <c r="F29" s="6" t="str">
        <f>IF(D29=E29,"n/a",IF(OR(C29="battery electric vehicle",C29="natural gas vehicle",C29="plugin hybrid vehicle",C29="hydrogen vehicle"),"s-curve","linear"))</f>
        <v>n/a</v>
      </c>
      <c r="H29" s="20">
        <f t="shared" si="23"/>
        <v>0.11252178195802712</v>
      </c>
      <c r="I29">
        <f>IF($F29="s-curve",$D29+($E29-$D29)*$I$2/(1+EXP($I$3*(COUNT($H$9:I$9)+$I$4))),TREND($D29:$E29,$D$9:$E$9,I$9))</f>
        <v>0.11252178195802712</v>
      </c>
      <c r="J29">
        <f>IF($F29="s-curve",$D29+($E29-$D29)*$I$2/(1+EXP($I$3*(COUNT($H$9:J$9)+$I$4))),TREND($D29:$E29,$D$9:$E$9,J$9))</f>
        <v>0.11252178195802712</v>
      </c>
      <c r="K29">
        <f>IF($F29="s-curve",$D29+($E29-$D29)*$I$2/(1+EXP($I$3*(COUNT($H$9:K$9)+$I$4))),TREND($D29:$E29,$D$9:$E$9,K$9))</f>
        <v>0.11252178195802712</v>
      </c>
      <c r="L29">
        <f>IF($F29="s-curve",$D29+($E29-$D29)*$I$2/(1+EXP($I$3*(COUNT($H$9:L$9)+$I$4))),TREND($D29:$E29,$D$9:$E$9,L$9))</f>
        <v>0.11252178195802712</v>
      </c>
      <c r="M29">
        <f>IF($F29="s-curve",$D29+($E29-$D29)*$I$2/(1+EXP($I$3*(COUNT($H$9:M$9)+$I$4))),TREND($D29:$E29,$D$9:$E$9,M$9))</f>
        <v>0.11252178195802712</v>
      </c>
      <c r="N29">
        <f>IF($F29="s-curve",$D29+($E29-$D29)*$I$2/(1+EXP($I$3*(COUNT($H$9:N$9)+$I$4))),TREND($D29:$E29,$D$9:$E$9,N$9))</f>
        <v>0.11252178195802712</v>
      </c>
      <c r="O29">
        <f>IF($F29="s-curve",$D29+($E29-$D29)*$I$2/(1+EXP($I$3*(COUNT($H$9:O$9)+$I$4))),TREND($D29:$E29,$D$9:$E$9,O$9))</f>
        <v>0.11252178195802712</v>
      </c>
      <c r="P29">
        <f>IF($F29="s-curve",$D29+($E29-$D29)*$I$2/(1+EXP($I$3*(COUNT($H$9:P$9)+$I$4))),TREND($D29:$E29,$D$9:$E$9,P$9))</f>
        <v>0.11252178195802712</v>
      </c>
      <c r="Q29">
        <f>IF($F29="s-curve",$D29+($E29-$D29)*$I$2/(1+EXP($I$3*(COUNT($H$9:Q$9)+$I$4))),TREND($D29:$E29,$D$9:$E$9,Q$9))</f>
        <v>0.11252178195802712</v>
      </c>
      <c r="R29">
        <f>IF($F29="s-curve",$D29+($E29-$D29)*$I$2/(1+EXP($I$3*(COUNT($H$9:R$9)+$I$4))),TREND($D29:$E29,$D$9:$E$9,R$9))</f>
        <v>0.11252178195802712</v>
      </c>
      <c r="S29">
        <f>IF($F29="s-curve",$D29+($E29-$D29)*$I$2/(1+EXP($I$3*(COUNT($H$9:S$9)+$I$4))),TREND($D29:$E29,$D$9:$E$9,S$9))</f>
        <v>0.11252178195802712</v>
      </c>
      <c r="T29">
        <f>IF($F29="s-curve",$D29+($E29-$D29)*$I$2/(1+EXP($I$3*(COUNT($H$9:T$9)+$I$4))),TREND($D29:$E29,$D$9:$E$9,T$9))</f>
        <v>0.11252178195802712</v>
      </c>
      <c r="U29">
        <f>IF($F29="s-curve",$D29+($E29-$D29)*$I$2/(1+EXP($I$3*(COUNT($H$9:U$9)+$I$4))),TREND($D29:$E29,$D$9:$E$9,U$9))</f>
        <v>0.11252178195802712</v>
      </c>
      <c r="V29">
        <f>IF($F29="s-curve",$D29+($E29-$D29)*$I$2/(1+EXP($I$3*(COUNT($H$9:V$9)+$I$4))),TREND($D29:$E29,$D$9:$E$9,V$9))</f>
        <v>0.11252178195802712</v>
      </c>
      <c r="W29">
        <f>IF($F29="s-curve",$D29+($E29-$D29)*$I$2/(1+EXP($I$3*(COUNT($H$9:W$9)+$I$4))),TREND($D29:$E29,$D$9:$E$9,W$9))</f>
        <v>0.11252178195802712</v>
      </c>
      <c r="X29">
        <f>IF($F29="s-curve",$D29+($E29-$D29)*$I$2/(1+EXP($I$3*(COUNT($H$9:X$9)+$I$4))),TREND($D29:$E29,$D$9:$E$9,X$9))</f>
        <v>0.11252178195802712</v>
      </c>
      <c r="Y29">
        <f>IF($F29="s-curve",$D29+($E29-$D29)*$I$2/(1+EXP($I$3*(COUNT($H$9:Y$9)+$I$4))),TREND($D29:$E29,$D$9:$E$9,Y$9))</f>
        <v>0.11252178195802712</v>
      </c>
      <c r="Z29">
        <f>IF($F29="s-curve",$D29+($E29-$D29)*$I$2/(1+EXP($I$3*(COUNT($H$9:Z$9)+$I$4))),TREND($D29:$E29,$D$9:$E$9,Z$9))</f>
        <v>0.11252178195802712</v>
      </c>
      <c r="AA29">
        <f>IF($F29="s-curve",$D29+($E29-$D29)*$I$2/(1+EXP($I$3*(COUNT($H$9:AA$9)+$I$4))),TREND($D29:$E29,$D$9:$E$9,AA$9))</f>
        <v>0.11252178195802712</v>
      </c>
      <c r="AB29">
        <f>IF($F29="s-curve",$D29+($E29-$D29)*$I$2/(1+EXP($I$3*(COUNT($H$9:AB$9)+$I$4))),TREND($D29:$E29,$D$9:$E$9,AB$9))</f>
        <v>0.11252178195802712</v>
      </c>
      <c r="AC29">
        <f>IF($F29="s-curve",$D29+($E29-$D29)*$I$2/(1+EXP($I$3*(COUNT($H$9:AC$9)+$I$4))),TREND($D29:$E29,$D$9:$E$9,AC$9))</f>
        <v>0.11252178195802712</v>
      </c>
      <c r="AD29">
        <f>IF($F29="s-curve",$D29+($E29-$D29)*$I$2/(1+EXP($I$3*(COUNT($H$9:AD$9)+$I$4))),TREND($D29:$E29,$D$9:$E$9,AD$9))</f>
        <v>0.11252178195802712</v>
      </c>
      <c r="AE29">
        <f>IF($F29="s-curve",$D29+($E29-$D29)*$I$2/(1+EXP($I$3*(COUNT($H$9:AE$9)+$I$4))),TREND($D29:$E29,$D$9:$E$9,AE$9))</f>
        <v>0.11252178195802712</v>
      </c>
      <c r="AF29">
        <f>IF($F29="s-curve",$D29+($E29-$D29)*$I$2/(1+EXP($I$3*(COUNT($H$9:AF$9)+$I$4))),TREND($D29:$E29,$D$9:$E$9,AF$9))</f>
        <v>0.11252178195802712</v>
      </c>
      <c r="AG29">
        <f>IF($F29="s-curve",$D29+($E29-$D29)*$I$2/(1+EXP($I$3*(COUNT($H$9:AG$9)+$I$4))),TREND($D29:$E29,$D$9:$E$9,AG$9))</f>
        <v>0.11252178195802712</v>
      </c>
      <c r="AH29">
        <f>IF($F29="s-curve",$D29+($E29-$D29)*$I$2/(1+EXP($I$3*(COUNT($H$9:AH$9)+$I$4))),TREND($D29:$E29,$D$9:$E$9,AH$9))</f>
        <v>0.11252178195802712</v>
      </c>
      <c r="AI29">
        <f>IF($F29="s-curve",$D29+($E29-$D29)*$I$2/(1+EXP($I$3*(COUNT($H$9:AI$9)+$I$4))),TREND($D29:$E29,$D$9:$E$9,AI$9))</f>
        <v>0.11252178195802712</v>
      </c>
      <c r="AJ29">
        <f>IF($F29="s-curve",$D29+($E29-$D29)*$I$2/(1+EXP($I$3*(COUNT($H$9:AJ$9)+$I$4))),TREND($D29:$E29,$D$9:$E$9,AJ$9))</f>
        <v>0.11252178195802712</v>
      </c>
      <c r="AK29">
        <f>IF($F29="s-curve",$D29+($E29-$D29)*$I$2/(1+EXP($I$3*(COUNT($H$9:AK$9)+$I$4))),TREND($D29:$E29,$D$9:$E$9,AK$9))</f>
        <v>0.11252178195802712</v>
      </c>
      <c r="AL29">
        <f>IF($F29="s-curve",$D29+($E29-$D29)*$I$2/(1+EXP($I$3*(COUNT($H$9:AL$9)+$I$4))),TREND($D29:$E29,$D$9:$E$9,AL$9))</f>
        <v>0.11252178195802712</v>
      </c>
    </row>
    <row r="30" spans="1:38" ht="15.75" thickBot="1">
      <c r="A30" s="21"/>
      <c r="B30" s="21"/>
      <c r="C30" s="21" t="s">
        <v>79</v>
      </c>
      <c r="D30" s="21">
        <f>MIN(1.25*INDEX('SYVbT-passenger'!$B$3:$H$3,MATCH(Data!$C16,'SYVbT-passenger'!$B$1:$H$1,0))/SUM('SYVbT-passenger'!$B$3:$H$3),1)</f>
        <v>6.6083849891288092E-4</v>
      </c>
      <c r="E30" s="24">
        <f>E25</f>
        <v>2.155996206658648E-3</v>
      </c>
      <c r="F30" s="7" t="str">
        <f>IF(D30=E30,"n/a",IF(OR(C30="battery electric vehicle",C30="natural gas vehicle",C30="plugin hybrid vehicle",C30="hydrogen vehicle"),"s-curve","linear"))</f>
        <v>s-curve</v>
      </c>
      <c r="H30" s="20">
        <f t="shared" si="23"/>
        <v>6.6083849891288092E-4</v>
      </c>
      <c r="I30">
        <f>IF($F30="s-curve",$D30+($E30-$D30)*$I$2/(1+EXP($I$3*(COUNT($H$9:I$9)+$I$4))),TREND($D30:$E30,$D$9:$E$9,I$9))</f>
        <v>6.8292800627355835E-4</v>
      </c>
      <c r="J30">
        <f>IF($F30="s-curve",$D30+($E30-$D30)*$I$2/(1+EXP($I$3*(COUNT($H$9:J$9)+$I$4))),TREND($D30:$E30,$D$9:$E$9,J$9))</f>
        <v>6.9050288495521941E-4</v>
      </c>
      <c r="K30">
        <f>IF($F30="s-curve",$D30+($E30-$D30)*$I$2/(1+EXP($I$3*(COUNT($H$9:K$9)+$I$4))),TREND($D30:$E30,$D$9:$E$9,K$9))</f>
        <v>7.0060519886219654E-4</v>
      </c>
      <c r="L30">
        <f>IF($F30="s-curve",$D30+($E30-$D30)*$I$2/(1+EXP($I$3*(COUNT($H$9:L$9)+$I$4))),TREND($D30:$E30,$D$9:$E$9,L$9))</f>
        <v>7.140230367275464E-4</v>
      </c>
      <c r="M30">
        <f>IF($F30="s-curve",$D30+($E30-$D30)*$I$2/(1+EXP($I$3*(COUNT($H$9:M$9)+$I$4))),TREND($D30:$E30,$D$9:$E$9,M$9))</f>
        <v>7.3174765874089315E-4</v>
      </c>
      <c r="N30">
        <f>IF($F30="s-curve",$D30+($E30-$D30)*$I$2/(1+EXP($I$3*(COUNT($H$9:N$9)+$I$4))),TREND($D30:$E30,$D$9:$E$9,N$9))</f>
        <v>7.549935976041178E-4</v>
      </c>
      <c r="O30">
        <f>IF($F30="s-curve",$D30+($E30-$D30)*$I$2/(1+EXP($I$3*(COUNT($H$9:O$9)+$I$4))),TREND($D30:$E30,$D$9:$E$9,O$9))</f>
        <v>7.851947971497683E-4</v>
      </c>
      <c r="P30">
        <f>IF($F30="s-curve",$D30+($E30-$D30)*$I$2/(1+EXP($I$3*(COUNT($H$9:P$9)+$I$4))),TREND($D30:$E30,$D$9:$E$9,P$9))</f>
        <v>8.2395545201406335E-4</v>
      </c>
      <c r="Q30">
        <f>IF($F30="s-curve",$D30+($E30-$D30)*$I$2/(1+EXP($I$3*(COUNT($H$9:Q$9)+$I$4))),TREND($D30:$E30,$D$9:$E$9,Q$9))</f>
        <v>8.7292821195079028E-4</v>
      </c>
      <c r="R30">
        <f>IF($F30="s-curve",$D30+($E30-$D30)*$I$2/(1+EXP($I$3*(COUNT($H$9:R$9)+$I$4))),TREND($D30:$E30,$D$9:$E$9,R$9))</f>
        <v>9.3359342692151347E-4</v>
      </c>
      <c r="S30">
        <f>IF($F30="s-curve",$D30+($E30-$D30)*$I$2/(1+EXP($I$3*(COUNT($H$9:S$9)+$I$4))),TREND($D30:$E30,$D$9:$E$9,S$9))</f>
        <v>1.0069304530164447E-3</v>
      </c>
      <c r="T30">
        <f>IF($F30="s-curve",$D30+($E30-$D30)*$I$2/(1+EXP($I$3*(COUNT($H$9:T$9)+$I$4))),TREND($D30:$E30,$D$9:$E$9,T$9))</f>
        <v>1.0930145779908538E-3</v>
      </c>
      <c r="U30">
        <f>IF($F30="s-curve",$D30+($E30-$D30)*$I$2/(1+EXP($I$3*(COUNT($H$9:U$9)+$I$4))),TREND($D30:$E30,$D$9:$E$9,U$9))</f>
        <v>1.1906382038504885E-3</v>
      </c>
      <c r="V30">
        <f>IF($F30="s-curve",$D30+($E30-$D30)*$I$2/(1+EXP($I$3*(COUNT($H$9:V$9)+$I$4))),TREND($D30:$E30,$D$9:$E$9,V$9))</f>
        <v>1.2971140499908186E-3</v>
      </c>
      <c r="W30">
        <f>IF($F30="s-curve",$D30+($E30-$D30)*$I$2/(1+EXP($I$3*(COUNT($H$9:W$9)+$I$4))),TREND($D30:$E30,$D$9:$E$9,W$9))</f>
        <v>1.4084173527857645E-3</v>
      </c>
      <c r="X30">
        <f>IF($F30="s-curve",$D30+($E30-$D30)*$I$2/(1+EXP($I$3*(COUNT($H$9:X$9)+$I$4))),TREND($D30:$E30,$D$9:$E$9,X$9))</f>
        <v>1.5197206555807102E-3</v>
      </c>
      <c r="Y30">
        <f>IF($F30="s-curve",$D30+($E30-$D30)*$I$2/(1+EXP($I$3*(COUNT($H$9:Y$9)+$I$4))),TREND($D30:$E30,$D$9:$E$9,Y$9))</f>
        <v>1.62619650172104E-3</v>
      </c>
      <c r="Z30">
        <f>IF($F30="s-curve",$D30+($E30-$D30)*$I$2/(1+EXP($I$3*(COUNT($H$9:Z$9)+$I$4))),TREND($D30:$E30,$D$9:$E$9,Z$9))</f>
        <v>1.7238201275806748E-3</v>
      </c>
      <c r="AA30">
        <f>IF($F30="s-curve",$D30+($E30-$D30)*$I$2/(1+EXP($I$3*(COUNT($H$9:AA$9)+$I$4))),TREND($D30:$E30,$D$9:$E$9,AA$9))</f>
        <v>1.8099042525550838E-3</v>
      </c>
      <c r="AB30">
        <f>IF($F30="s-curve",$D30+($E30-$D30)*$I$2/(1+EXP($I$3*(COUNT($H$9:AB$9)+$I$4))),TREND($D30:$E30,$D$9:$E$9,AB$9))</f>
        <v>1.8832412786500153E-3</v>
      </c>
      <c r="AC30">
        <f>IF($F30="s-curve",$D30+($E30-$D30)*$I$2/(1+EXP($I$3*(COUNT($H$9:AC$9)+$I$4))),TREND($D30:$E30,$D$9:$E$9,AC$9))</f>
        <v>1.9439064936207385E-3</v>
      </c>
      <c r="AD30">
        <f>IF($F30="s-curve",$D30+($E30-$D30)*$I$2/(1+EXP($I$3*(COUNT($H$9:AD$9)+$I$4))),TREND($D30:$E30,$D$9:$E$9,AD$9))</f>
        <v>1.9928792535574653E-3</v>
      </c>
      <c r="AE30">
        <f>IF($F30="s-curve",$D30+($E30-$D30)*$I$2/(1+EXP($I$3*(COUNT($H$9:AE$9)+$I$4))),TREND($D30:$E30,$D$9:$E$9,AE$9))</f>
        <v>2.0316399084217606E-3</v>
      </c>
      <c r="AF30">
        <f>IF($F30="s-curve",$D30+($E30-$D30)*$I$2/(1+EXP($I$3*(COUNT($H$9:AF$9)+$I$4))),TREND($D30:$E30,$D$9:$E$9,AF$9))</f>
        <v>2.0618411079674111E-3</v>
      </c>
      <c r="AG30">
        <f>IF($F30="s-curve",$D30+($E30-$D30)*$I$2/(1+EXP($I$3*(COUNT($H$9:AG$9)+$I$4))),TREND($D30:$E30,$D$9:$E$9,AG$9))</f>
        <v>2.0850870468306359E-3</v>
      </c>
      <c r="AH30">
        <f>IF($F30="s-curve",$D30+($E30-$D30)*$I$2/(1+EXP($I$3*(COUNT($H$9:AH$9)+$I$4))),TREND($D30:$E30,$D$9:$E$9,AH$9))</f>
        <v>2.1028116688439824E-3</v>
      </c>
      <c r="AI30">
        <f>IF($F30="s-curve",$D30+($E30-$D30)*$I$2/(1+EXP($I$3*(COUNT($H$9:AI$9)+$I$4))),TREND($D30:$E30,$D$9:$E$9,AI$9))</f>
        <v>2.1162295067093319E-3</v>
      </c>
      <c r="AJ30">
        <f>IF($F30="s-curve",$D30+($E30-$D30)*$I$2/(1+EXP($I$3*(COUNT($H$9:AJ$9)+$I$4))),TREND($D30:$E30,$D$9:$E$9,AJ$9))</f>
        <v>2.1263318206163092E-3</v>
      </c>
      <c r="AK30">
        <f>IF($F30="s-curve",$D30+($E30-$D30)*$I$2/(1+EXP($I$3*(COUNT($H$9:AK$9)+$I$4))),TREND($D30:$E30,$D$9:$E$9,AK$9))</f>
        <v>2.1339066992979703E-3</v>
      </c>
      <c r="AL30">
        <f>IF($F30="s-curve",$D30+($E30-$D30)*$I$2/(1+EXP($I$3*(COUNT($H$9:AL$9)+$I$4))),TREND($D30:$E30,$D$9:$E$9,AL$9))</f>
        <v>2.1395689946999558E-3</v>
      </c>
    </row>
    <row r="31" spans="1:38">
      <c r="A31" t="s">
        <v>13</v>
      </c>
      <c r="B31" t="s">
        <v>18</v>
      </c>
      <c r="C31" t="s">
        <v>1</v>
      </c>
      <c r="D31" s="20">
        <f>MIN(1.25*INDEX('SYVbT-freight'!$B$3:$H$3,MATCH(Data!$C10,'SYVbT-passenger'!$B$1:$H$1,0))/SUM('SYVbT-freight'!$B$3:$H$3),1)</f>
        <v>5.3709944550863111E-3</v>
      </c>
      <c r="E31" s="20">
        <v>0.5</v>
      </c>
      <c r="F31" s="6" t="str">
        <f>IF(D31=E31,"n/a",IF(OR(C31="battery electric vehicle",C31="natural gas vehicle",C31="plugin hybrid vehicle"),"s-curve","linear"))</f>
        <v>s-curve</v>
      </c>
      <c r="H31" s="20">
        <f t="shared" si="23"/>
        <v>5.3709944550863111E-3</v>
      </c>
      <c r="I31">
        <f>IF($F31="s-curve",$D31+($E31-$D31)*$I$2/(1+EXP($I$3*(COUNT($H$9:I$9)+$I$4))),TREND($D31:$E31,$D$9:$E$9,I$9))</f>
        <v>1.2678659059418999E-2</v>
      </c>
      <c r="J31">
        <f>IF($F31="s-curve",$D31+($E31-$D31)*$I$2/(1+EXP($I$3*(COUNT($H$9:J$9)+$I$4))),TREND($D31:$E31,$D$9:$E$9,J$9))</f>
        <v>1.5184585150040118E-2</v>
      </c>
      <c r="K31">
        <f>IF($F31="s-curve",$D31+($E31-$D31)*$I$2/(1+EXP($I$3*(COUNT($H$9:K$9)+$I$4))),TREND($D31:$E31,$D$9:$E$9,K$9))</f>
        <v>1.8526638938495932E-2</v>
      </c>
      <c r="L31">
        <f>IF($F31="s-curve",$D31+($E31-$D31)*$I$2/(1+EXP($I$3*(COUNT($H$9:L$9)+$I$4))),TREND($D31:$E31,$D$9:$E$9,L$9))</f>
        <v>2.2965536431060245E-2</v>
      </c>
      <c r="M31">
        <f>IF($F31="s-curve",$D31+($E31-$D31)*$I$2/(1+EXP($I$3*(COUNT($H$9:M$9)+$I$4))),TREND($D31:$E31,$D$9:$E$9,M$9))</f>
        <v>2.8829206942005366E-2</v>
      </c>
      <c r="N31">
        <f>IF($F31="s-curve",$D31+($E31-$D31)*$I$2/(1+EXP($I$3*(COUNT($H$9:N$9)+$I$4))),TREND($D31:$E31,$D$9:$E$9,N$9))</f>
        <v>3.651944293738426E-2</v>
      </c>
      <c r="O31">
        <f>IF($F31="s-curve",$D31+($E31-$D31)*$I$2/(1+EXP($I$3*(COUNT($H$9:O$9)+$I$4))),TREND($D31:$E31,$D$9:$E$9,O$9))</f>
        <v>4.6510622610364066E-2</v>
      </c>
      <c r="P31">
        <f>IF($F31="s-curve",$D31+($E31-$D31)*$I$2/(1+EXP($I$3*(COUNT($H$9:P$9)+$I$4))),TREND($D31:$E31,$D$9:$E$9,P$9))</f>
        <v>5.933344663118359E-2</v>
      </c>
      <c r="Q31">
        <f>IF($F31="s-curve",$D31+($E31-$D31)*$I$2/(1+EXP($I$3*(COUNT($H$9:Q$9)+$I$4))),TREND($D31:$E31,$D$9:$E$9,Q$9))</f>
        <v>7.5534645622301611E-2</v>
      </c>
      <c r="R31">
        <f>IF($F31="s-curve",$D31+($E31-$D31)*$I$2/(1+EXP($I$3*(COUNT($H$9:R$9)+$I$4))),TREND($D31:$E31,$D$9:$E$9,R$9))</f>
        <v>9.5603949881434322E-2</v>
      </c>
      <c r="S31">
        <f>IF($F31="s-curve",$D31+($E31-$D31)*$I$2/(1+EXP($I$3*(COUNT($H$9:S$9)+$I$4))),TREND($D31:$E31,$D$9:$E$9,S$9))</f>
        <v>0.11986535060126081</v>
      </c>
      <c r="T31">
        <f>IF($F31="s-curve",$D31+($E31-$D31)*$I$2/(1+EXP($I$3*(COUNT($H$9:T$9)+$I$4))),TREND($D31:$E31,$D$9:$E$9,T$9))</f>
        <v>0.1483437545239433</v>
      </c>
      <c r="U31">
        <f>IF($F31="s-curve",$D31+($E31-$D31)*$I$2/(1+EXP($I$3*(COUNT($H$9:U$9)+$I$4))),TREND($D31:$E31,$D$9:$E$9,U$9))</f>
        <v>0.18063966332773254</v>
      </c>
      <c r="V31">
        <f>IF($F31="s-curve",$D31+($E31-$D31)*$I$2/(1+EXP($I$3*(COUNT($H$9:V$9)+$I$4))),TREND($D31:$E31,$D$9:$E$9,V$9))</f>
        <v>0.21586406916673176</v>
      </c>
      <c r="W31">
        <f>IF($F31="s-curve",$D31+($E31-$D31)*$I$2/(1+EXP($I$3*(COUNT($H$9:W$9)+$I$4))),TREND($D31:$E31,$D$9:$E$9,W$9))</f>
        <v>0.25268549722754313</v>
      </c>
      <c r="X31">
        <f>IF($F31="s-curve",$D31+($E31-$D31)*$I$2/(1+EXP($I$3*(COUNT($H$9:X$9)+$I$4))),TREND($D31:$E31,$D$9:$E$9,X$9))</f>
        <v>0.28950692528835459</v>
      </c>
      <c r="Y31">
        <f>IF($F31="s-curve",$D31+($E31-$D31)*$I$2/(1+EXP($I$3*(COUNT($H$9:Y$9)+$I$4))),TREND($D31:$E31,$D$9:$E$9,Y$9))</f>
        <v>0.32473133112735375</v>
      </c>
      <c r="Z31">
        <f>IF($F31="s-curve",$D31+($E31-$D31)*$I$2/(1+EXP($I$3*(COUNT($H$9:Z$9)+$I$4))),TREND($D31:$E31,$D$9:$E$9,Z$9))</f>
        <v>0.35702723993114299</v>
      </c>
      <c r="AA31">
        <f>IF($F31="s-curve",$D31+($E31-$D31)*$I$2/(1+EXP($I$3*(COUNT($H$9:AA$9)+$I$4))),TREND($D31:$E31,$D$9:$E$9,AA$9))</f>
        <v>0.38550564385382546</v>
      </c>
      <c r="AB31">
        <f>IF($F31="s-curve",$D31+($E31-$D31)*$I$2/(1+EXP($I$3*(COUNT($H$9:AB$9)+$I$4))),TREND($D31:$E31,$D$9:$E$9,AB$9))</f>
        <v>0.40976704457365198</v>
      </c>
      <c r="AC31">
        <f>IF($F31="s-curve",$D31+($E31-$D31)*$I$2/(1+EXP($I$3*(COUNT($H$9:AC$9)+$I$4))),TREND($D31:$E31,$D$9:$E$9,AC$9))</f>
        <v>0.42983634883278476</v>
      </c>
      <c r="AD31">
        <f>IF($F31="s-curve",$D31+($E31-$D31)*$I$2/(1+EXP($I$3*(COUNT($H$9:AD$9)+$I$4))),TREND($D31:$E31,$D$9:$E$9,AD$9))</f>
        <v>0.4460375478239027</v>
      </c>
      <c r="AE31">
        <f>IF($F31="s-curve",$D31+($E31-$D31)*$I$2/(1+EXP($I$3*(COUNT($H$9:AE$9)+$I$4))),TREND($D31:$E31,$D$9:$E$9,AE$9))</f>
        <v>0.45886037184472228</v>
      </c>
      <c r="AF31">
        <f>IF($F31="s-curve",$D31+($E31-$D31)*$I$2/(1+EXP($I$3*(COUNT($H$9:AF$9)+$I$4))),TREND($D31:$E31,$D$9:$E$9,AF$9))</f>
        <v>0.46885155151770208</v>
      </c>
      <c r="AG31">
        <f>IF($F31="s-curve",$D31+($E31-$D31)*$I$2/(1+EXP($I$3*(COUNT($H$9:AG$9)+$I$4))),TREND($D31:$E31,$D$9:$E$9,AG$9))</f>
        <v>0.47654178751308102</v>
      </c>
      <c r="AH31">
        <f>IF($F31="s-curve",$D31+($E31-$D31)*$I$2/(1+EXP($I$3*(COUNT($H$9:AH$9)+$I$4))),TREND($D31:$E31,$D$9:$E$9,AH$9))</f>
        <v>0.48240545802402607</v>
      </c>
      <c r="AI31">
        <f>IF($F31="s-curve",$D31+($E31-$D31)*$I$2/(1+EXP($I$3*(COUNT($H$9:AI$9)+$I$4))),TREND($D31:$E31,$D$9:$E$9,AI$9))</f>
        <v>0.48684435551659033</v>
      </c>
      <c r="AJ31">
        <f>IF($F31="s-curve",$D31+($E31-$D31)*$I$2/(1+EXP($I$3*(COUNT($H$9:AJ$9)+$I$4))),TREND($D31:$E31,$D$9:$E$9,AJ$9))</f>
        <v>0.4901864093050462</v>
      </c>
      <c r="AK31">
        <f>IF($F31="s-curve",$D31+($E31-$D31)*$I$2/(1+EXP($I$3*(COUNT($H$9:AK$9)+$I$4))),TREND($D31:$E31,$D$9:$E$9,AK$9))</f>
        <v>0.49269233539566731</v>
      </c>
      <c r="AL31">
        <f>IF($F31="s-curve",$D31+($E31-$D31)*$I$2/(1+EXP($I$3*(COUNT($H$9:AL$9)+$I$4))),TREND($D31:$E31,$D$9:$E$9,AL$9))</f>
        <v>0.4945655394926507</v>
      </c>
    </row>
    <row r="32" spans="1:38">
      <c r="C32" t="s">
        <v>2</v>
      </c>
      <c r="D32" s="20">
        <f>MIN(1.25*INDEX('SYVbT-freight'!$B$3:$H$3,MATCH(Data!$C11,'SYVbT-passenger'!$B$1:$H$1,0))/SUM('SYVbT-freight'!$B$3:$H$3),1)</f>
        <v>0</v>
      </c>
      <c r="E32" s="20">
        <f>D32</f>
        <v>0</v>
      </c>
      <c r="F32" s="6" t="str">
        <f>IF(D32=E32,"n/a",IF(OR(C32="battery electric vehicle",C32="natural gas vehicle",C32="plugin hybrid vehicle"),"s-curve","linear"))</f>
        <v>n/a</v>
      </c>
      <c r="H32" s="20">
        <f t="shared" si="23"/>
        <v>0</v>
      </c>
      <c r="I32">
        <f>IF($F32="s-curve",$D32+($E32-$D32)*$I$2/(1+EXP($I$3*(COUNT($H$9:I$9)+$I$4))),TREND($D32:$E32,$D$9:$E$9,I$9))</f>
        <v>0</v>
      </c>
      <c r="J32">
        <f>IF($F32="s-curve",$D32+($E32-$D32)*$I$2/(1+EXP($I$3*(COUNT($H$9:J$9)+$I$4))),TREND($D32:$E32,$D$9:$E$9,J$9))</f>
        <v>0</v>
      </c>
      <c r="K32">
        <f>IF($F32="s-curve",$D32+($E32-$D32)*$I$2/(1+EXP($I$3*(COUNT($H$9:K$9)+$I$4))),TREND($D32:$E32,$D$9:$E$9,K$9))</f>
        <v>0</v>
      </c>
      <c r="L32">
        <f>IF($F32="s-curve",$D32+($E32-$D32)*$I$2/(1+EXP($I$3*(COUNT($H$9:L$9)+$I$4))),TREND($D32:$E32,$D$9:$E$9,L$9))</f>
        <v>0</v>
      </c>
      <c r="M32">
        <f>IF($F32="s-curve",$D32+($E32-$D32)*$I$2/(1+EXP($I$3*(COUNT($H$9:M$9)+$I$4))),TREND($D32:$E32,$D$9:$E$9,M$9))</f>
        <v>0</v>
      </c>
      <c r="N32">
        <f>IF($F32="s-curve",$D32+($E32-$D32)*$I$2/(1+EXP($I$3*(COUNT($H$9:N$9)+$I$4))),TREND($D32:$E32,$D$9:$E$9,N$9))</f>
        <v>0</v>
      </c>
      <c r="O32">
        <f>IF($F32="s-curve",$D32+($E32-$D32)*$I$2/(1+EXP($I$3*(COUNT($H$9:O$9)+$I$4))),TREND($D32:$E32,$D$9:$E$9,O$9))</f>
        <v>0</v>
      </c>
      <c r="P32">
        <f>IF($F32="s-curve",$D32+($E32-$D32)*$I$2/(1+EXP($I$3*(COUNT($H$9:P$9)+$I$4))),TREND($D32:$E32,$D$9:$E$9,P$9))</f>
        <v>0</v>
      </c>
      <c r="Q32">
        <f>IF($F32="s-curve",$D32+($E32-$D32)*$I$2/(1+EXP($I$3*(COUNT($H$9:Q$9)+$I$4))),TREND($D32:$E32,$D$9:$E$9,Q$9))</f>
        <v>0</v>
      </c>
      <c r="R32">
        <f>IF($F32="s-curve",$D32+($E32-$D32)*$I$2/(1+EXP($I$3*(COUNT($H$9:R$9)+$I$4))),TREND($D32:$E32,$D$9:$E$9,R$9))</f>
        <v>0</v>
      </c>
      <c r="S32">
        <f>IF($F32="s-curve",$D32+($E32-$D32)*$I$2/(1+EXP($I$3*(COUNT($H$9:S$9)+$I$4))),TREND($D32:$E32,$D$9:$E$9,S$9))</f>
        <v>0</v>
      </c>
      <c r="T32">
        <f>IF($F32="s-curve",$D32+($E32-$D32)*$I$2/(1+EXP($I$3*(COUNT($H$9:T$9)+$I$4))),TREND($D32:$E32,$D$9:$E$9,T$9))</f>
        <v>0</v>
      </c>
      <c r="U32">
        <f>IF($F32="s-curve",$D32+($E32-$D32)*$I$2/(1+EXP($I$3*(COUNT($H$9:U$9)+$I$4))),TREND($D32:$E32,$D$9:$E$9,U$9))</f>
        <v>0</v>
      </c>
      <c r="V32">
        <f>IF($F32="s-curve",$D32+($E32-$D32)*$I$2/(1+EXP($I$3*(COUNT($H$9:V$9)+$I$4))),TREND($D32:$E32,$D$9:$E$9,V$9))</f>
        <v>0</v>
      </c>
      <c r="W32">
        <f>IF($F32="s-curve",$D32+($E32-$D32)*$I$2/(1+EXP($I$3*(COUNT($H$9:W$9)+$I$4))),TREND($D32:$E32,$D$9:$E$9,W$9))</f>
        <v>0</v>
      </c>
      <c r="X32">
        <f>IF($F32="s-curve",$D32+($E32-$D32)*$I$2/(1+EXP($I$3*(COUNT($H$9:X$9)+$I$4))),TREND($D32:$E32,$D$9:$E$9,X$9))</f>
        <v>0</v>
      </c>
      <c r="Y32">
        <f>IF($F32="s-curve",$D32+($E32-$D32)*$I$2/(1+EXP($I$3*(COUNT($H$9:Y$9)+$I$4))),TREND($D32:$E32,$D$9:$E$9,Y$9))</f>
        <v>0</v>
      </c>
      <c r="Z32">
        <f>IF($F32="s-curve",$D32+($E32-$D32)*$I$2/(1+EXP($I$3*(COUNT($H$9:Z$9)+$I$4))),TREND($D32:$E32,$D$9:$E$9,Z$9))</f>
        <v>0</v>
      </c>
      <c r="AA32">
        <f>IF($F32="s-curve",$D32+($E32-$D32)*$I$2/(1+EXP($I$3*(COUNT($H$9:AA$9)+$I$4))),TREND($D32:$E32,$D$9:$E$9,AA$9))</f>
        <v>0</v>
      </c>
      <c r="AB32">
        <f>IF($F32="s-curve",$D32+($E32-$D32)*$I$2/(1+EXP($I$3*(COUNT($H$9:AB$9)+$I$4))),TREND($D32:$E32,$D$9:$E$9,AB$9))</f>
        <v>0</v>
      </c>
      <c r="AC32">
        <f>IF($F32="s-curve",$D32+($E32-$D32)*$I$2/(1+EXP($I$3*(COUNT($H$9:AC$9)+$I$4))),TREND($D32:$E32,$D$9:$E$9,AC$9))</f>
        <v>0</v>
      </c>
      <c r="AD32">
        <f>IF($F32="s-curve",$D32+($E32-$D32)*$I$2/(1+EXP($I$3*(COUNT($H$9:AD$9)+$I$4))),TREND($D32:$E32,$D$9:$E$9,AD$9))</f>
        <v>0</v>
      </c>
      <c r="AE32">
        <f>IF($F32="s-curve",$D32+($E32-$D32)*$I$2/(1+EXP($I$3*(COUNT($H$9:AE$9)+$I$4))),TREND($D32:$E32,$D$9:$E$9,AE$9))</f>
        <v>0</v>
      </c>
      <c r="AF32">
        <f>IF($F32="s-curve",$D32+($E32-$D32)*$I$2/(1+EXP($I$3*(COUNT($H$9:AF$9)+$I$4))),TREND($D32:$E32,$D$9:$E$9,AF$9))</f>
        <v>0</v>
      </c>
      <c r="AG32">
        <f>IF($F32="s-curve",$D32+($E32-$D32)*$I$2/(1+EXP($I$3*(COUNT($H$9:AG$9)+$I$4))),TREND($D32:$E32,$D$9:$E$9,AG$9))</f>
        <v>0</v>
      </c>
      <c r="AH32">
        <f>IF($F32="s-curve",$D32+($E32-$D32)*$I$2/(1+EXP($I$3*(COUNT($H$9:AH$9)+$I$4))),TREND($D32:$E32,$D$9:$E$9,AH$9))</f>
        <v>0</v>
      </c>
      <c r="AI32">
        <f>IF($F32="s-curve",$D32+($E32-$D32)*$I$2/(1+EXP($I$3*(COUNT($H$9:AI$9)+$I$4))),TREND($D32:$E32,$D$9:$E$9,AI$9))</f>
        <v>0</v>
      </c>
      <c r="AJ32">
        <f>IF($F32="s-curve",$D32+($E32-$D32)*$I$2/(1+EXP($I$3*(COUNT($H$9:AJ$9)+$I$4))),TREND($D32:$E32,$D$9:$E$9,AJ$9))</f>
        <v>0</v>
      </c>
      <c r="AK32">
        <f>IF($F32="s-curve",$D32+($E32-$D32)*$I$2/(1+EXP($I$3*(COUNT($H$9:AK$9)+$I$4))),TREND($D32:$E32,$D$9:$E$9,AK$9))</f>
        <v>0</v>
      </c>
      <c r="AL32">
        <f>IF($F32="s-curve",$D32+($E32-$D32)*$I$2/(1+EXP($I$3*(COUNT($H$9:AL$9)+$I$4))),TREND($D32:$E32,$D$9:$E$9,AL$9))</f>
        <v>0</v>
      </c>
    </row>
    <row r="33" spans="1:38">
      <c r="C33" t="s">
        <v>3</v>
      </c>
      <c r="D33" s="20">
        <f>MIN(1.25*INDEX('SYVbT-freight'!$B$3:$H$3,MATCH(Data!$C12,'SYVbT-passenger'!$B$1:$H$1,0))/SUM('SYVbT-freight'!$B$3:$H$3),1)*3</f>
        <v>1.9195530379555355E-2</v>
      </c>
      <c r="E33" s="20">
        <f t="shared" ref="E33:E36" si="26">D33</f>
        <v>1.9195530379555355E-2</v>
      </c>
      <c r="F33" s="6" t="str">
        <f>IF(D33=E33,"n/a",IF(OR(C33="battery electric vehicle",C33="natural gas vehicle",C33="plugin hybrid vehicle"),"s-curve","linear"))</f>
        <v>n/a</v>
      </c>
      <c r="H33" s="20">
        <f t="shared" si="23"/>
        <v>1.9195530379555355E-2</v>
      </c>
      <c r="I33">
        <f>IF($F33="s-curve",$D33+($E33-$D33)*$I$2/(1+EXP($I$3*(COUNT($H$9:I$9)+$I$4))),TREND($D33:$E33,$D$9:$E$9,I$9))</f>
        <v>1.9195530379555355E-2</v>
      </c>
      <c r="J33">
        <f>IF($F33="s-curve",$D33+($E33-$D33)*$I$2/(1+EXP($I$3*(COUNT($H$9:J$9)+$I$4))),TREND($D33:$E33,$D$9:$E$9,J$9))</f>
        <v>1.9195530379555355E-2</v>
      </c>
      <c r="K33">
        <f>IF($F33="s-curve",$D33+($E33-$D33)*$I$2/(1+EXP($I$3*(COUNT($H$9:K$9)+$I$4))),TREND($D33:$E33,$D$9:$E$9,K$9))</f>
        <v>1.9195530379555355E-2</v>
      </c>
      <c r="L33">
        <f>IF($F33="s-curve",$D33+($E33-$D33)*$I$2/(1+EXP($I$3*(COUNT($H$9:L$9)+$I$4))),TREND($D33:$E33,$D$9:$E$9,L$9))</f>
        <v>1.9195530379555355E-2</v>
      </c>
      <c r="M33">
        <f>IF($F33="s-curve",$D33+($E33-$D33)*$I$2/(1+EXP($I$3*(COUNT($H$9:M$9)+$I$4))),TREND($D33:$E33,$D$9:$E$9,M$9))</f>
        <v>1.9195530379555355E-2</v>
      </c>
      <c r="N33">
        <f>IF($F33="s-curve",$D33+($E33-$D33)*$I$2/(1+EXP($I$3*(COUNT($H$9:N$9)+$I$4))),TREND($D33:$E33,$D$9:$E$9,N$9))</f>
        <v>1.9195530379555355E-2</v>
      </c>
      <c r="O33">
        <f>IF($F33="s-curve",$D33+($E33-$D33)*$I$2/(1+EXP($I$3*(COUNT($H$9:O$9)+$I$4))),TREND($D33:$E33,$D$9:$E$9,O$9))</f>
        <v>1.9195530379555355E-2</v>
      </c>
      <c r="P33">
        <f>IF($F33="s-curve",$D33+($E33-$D33)*$I$2/(1+EXP($I$3*(COUNT($H$9:P$9)+$I$4))),TREND($D33:$E33,$D$9:$E$9,P$9))</f>
        <v>1.9195530379555355E-2</v>
      </c>
      <c r="Q33">
        <f>IF($F33="s-curve",$D33+($E33-$D33)*$I$2/(1+EXP($I$3*(COUNT($H$9:Q$9)+$I$4))),TREND($D33:$E33,$D$9:$E$9,Q$9))</f>
        <v>1.9195530379555355E-2</v>
      </c>
      <c r="R33">
        <f>IF($F33="s-curve",$D33+($E33-$D33)*$I$2/(1+EXP($I$3*(COUNT($H$9:R$9)+$I$4))),TREND($D33:$E33,$D$9:$E$9,R$9))</f>
        <v>1.9195530379555355E-2</v>
      </c>
      <c r="S33">
        <f>IF($F33="s-curve",$D33+($E33-$D33)*$I$2/(1+EXP($I$3*(COUNT($H$9:S$9)+$I$4))),TREND($D33:$E33,$D$9:$E$9,S$9))</f>
        <v>1.9195530379555355E-2</v>
      </c>
      <c r="T33">
        <f>IF($F33="s-curve",$D33+($E33-$D33)*$I$2/(1+EXP($I$3*(COUNT($H$9:T$9)+$I$4))),TREND($D33:$E33,$D$9:$E$9,T$9))</f>
        <v>1.9195530379555355E-2</v>
      </c>
      <c r="U33">
        <f>IF($F33="s-curve",$D33+($E33-$D33)*$I$2/(1+EXP($I$3*(COUNT($H$9:U$9)+$I$4))),TREND($D33:$E33,$D$9:$E$9,U$9))</f>
        <v>1.9195530379555355E-2</v>
      </c>
      <c r="V33">
        <f>IF($F33="s-curve",$D33+($E33-$D33)*$I$2/(1+EXP($I$3*(COUNT($H$9:V$9)+$I$4))),TREND($D33:$E33,$D$9:$E$9,V$9))</f>
        <v>1.9195530379555355E-2</v>
      </c>
      <c r="W33">
        <f>IF($F33="s-curve",$D33+($E33-$D33)*$I$2/(1+EXP($I$3*(COUNT($H$9:W$9)+$I$4))),TREND($D33:$E33,$D$9:$E$9,W$9))</f>
        <v>1.9195530379555355E-2</v>
      </c>
      <c r="X33">
        <f>IF($F33="s-curve",$D33+($E33-$D33)*$I$2/(1+EXP($I$3*(COUNT($H$9:X$9)+$I$4))),TREND($D33:$E33,$D$9:$E$9,X$9))</f>
        <v>1.9195530379555355E-2</v>
      </c>
      <c r="Y33">
        <f>IF($F33="s-curve",$D33+($E33-$D33)*$I$2/(1+EXP($I$3*(COUNT($H$9:Y$9)+$I$4))),TREND($D33:$E33,$D$9:$E$9,Y$9))</f>
        <v>1.9195530379555355E-2</v>
      </c>
      <c r="Z33">
        <f>IF($F33="s-curve",$D33+($E33-$D33)*$I$2/(1+EXP($I$3*(COUNT($H$9:Z$9)+$I$4))),TREND($D33:$E33,$D$9:$E$9,Z$9))</f>
        <v>1.9195530379555355E-2</v>
      </c>
      <c r="AA33">
        <f>IF($F33="s-curve",$D33+($E33-$D33)*$I$2/(1+EXP($I$3*(COUNT($H$9:AA$9)+$I$4))),TREND($D33:$E33,$D$9:$E$9,AA$9))</f>
        <v>1.9195530379555355E-2</v>
      </c>
      <c r="AB33">
        <f>IF($F33="s-curve",$D33+($E33-$D33)*$I$2/(1+EXP($I$3*(COUNT($H$9:AB$9)+$I$4))),TREND($D33:$E33,$D$9:$E$9,AB$9))</f>
        <v>1.9195530379555355E-2</v>
      </c>
      <c r="AC33">
        <f>IF($F33="s-curve",$D33+($E33-$D33)*$I$2/(1+EXP($I$3*(COUNT($H$9:AC$9)+$I$4))),TREND($D33:$E33,$D$9:$E$9,AC$9))</f>
        <v>1.9195530379555355E-2</v>
      </c>
      <c r="AD33">
        <f>IF($F33="s-curve",$D33+($E33-$D33)*$I$2/(1+EXP($I$3*(COUNT($H$9:AD$9)+$I$4))),TREND($D33:$E33,$D$9:$E$9,AD$9))</f>
        <v>1.9195530379555355E-2</v>
      </c>
      <c r="AE33">
        <f>IF($F33="s-curve",$D33+($E33-$D33)*$I$2/(1+EXP($I$3*(COUNT($H$9:AE$9)+$I$4))),TREND($D33:$E33,$D$9:$E$9,AE$9))</f>
        <v>1.9195530379555355E-2</v>
      </c>
      <c r="AF33">
        <f>IF($F33="s-curve",$D33+($E33-$D33)*$I$2/(1+EXP($I$3*(COUNT($H$9:AF$9)+$I$4))),TREND($D33:$E33,$D$9:$E$9,AF$9))</f>
        <v>1.9195530379555355E-2</v>
      </c>
      <c r="AG33">
        <f>IF($F33="s-curve",$D33+($E33-$D33)*$I$2/(1+EXP($I$3*(COUNT($H$9:AG$9)+$I$4))),TREND($D33:$E33,$D$9:$E$9,AG$9))</f>
        <v>1.9195530379555355E-2</v>
      </c>
      <c r="AH33">
        <f>IF($F33="s-curve",$D33+($E33-$D33)*$I$2/(1+EXP($I$3*(COUNT($H$9:AH$9)+$I$4))),TREND($D33:$E33,$D$9:$E$9,AH$9))</f>
        <v>1.9195530379555355E-2</v>
      </c>
      <c r="AI33">
        <f>IF($F33="s-curve",$D33+($E33-$D33)*$I$2/(1+EXP($I$3*(COUNT($H$9:AI$9)+$I$4))),TREND($D33:$E33,$D$9:$E$9,AI$9))</f>
        <v>1.9195530379555355E-2</v>
      </c>
      <c r="AJ33">
        <f>IF($F33="s-curve",$D33+($E33-$D33)*$I$2/(1+EXP($I$3*(COUNT($H$9:AJ$9)+$I$4))),TREND($D33:$E33,$D$9:$E$9,AJ$9))</f>
        <v>1.9195530379555355E-2</v>
      </c>
      <c r="AK33">
        <f>IF($F33="s-curve",$D33+($E33-$D33)*$I$2/(1+EXP($I$3*(COUNT($H$9:AK$9)+$I$4))),TREND($D33:$E33,$D$9:$E$9,AK$9))</f>
        <v>1.9195530379555355E-2</v>
      </c>
      <c r="AL33">
        <f>IF($F33="s-curve",$D33+($E33-$D33)*$I$2/(1+EXP($I$3*(COUNT($H$9:AL$9)+$I$4))),TREND($D33:$E33,$D$9:$E$9,AL$9))</f>
        <v>1.9195530379555355E-2</v>
      </c>
    </row>
    <row r="34" spans="1:38">
      <c r="C34" t="s">
        <v>4</v>
      </c>
      <c r="D34" s="20">
        <f>MIN(1.25*INDEX('SYVbT-freight'!$B$3:$H$3,MATCH(Data!$C13,'SYVbT-passenger'!$B$1:$H$1,0))/SUM('SYVbT-freight'!$B$3:$H$3),1)*3</f>
        <v>3</v>
      </c>
      <c r="E34" s="20">
        <f t="shared" si="26"/>
        <v>3</v>
      </c>
      <c r="F34" s="6" t="str">
        <f>IF(D34=E34,"n/a",IF(OR(C34="battery electric vehicle",C34="natural gas vehicle",C34="plugin hybrid vehicle"),"s-curve","linear"))</f>
        <v>n/a</v>
      </c>
      <c r="H34" s="20">
        <f t="shared" si="23"/>
        <v>3</v>
      </c>
      <c r="I34">
        <f>IF($F34="s-curve",$D34+($E34-$D34)*$I$2/(1+EXP($I$3*(COUNT($H$9:I$9)+$I$4))),TREND($D34:$E34,$D$9:$E$9,I$9))</f>
        <v>3</v>
      </c>
      <c r="J34">
        <f>IF($F34="s-curve",$D34+($E34-$D34)*$I$2/(1+EXP($I$3*(COUNT($H$9:J$9)+$I$4))),TREND($D34:$E34,$D$9:$E$9,J$9))</f>
        <v>3</v>
      </c>
      <c r="K34">
        <f>IF($F34="s-curve",$D34+($E34-$D34)*$I$2/(1+EXP($I$3*(COUNT($H$9:K$9)+$I$4))),TREND($D34:$E34,$D$9:$E$9,K$9))</f>
        <v>3</v>
      </c>
      <c r="L34">
        <f>IF($F34="s-curve",$D34+($E34-$D34)*$I$2/(1+EXP($I$3*(COUNT($H$9:L$9)+$I$4))),TREND($D34:$E34,$D$9:$E$9,L$9))</f>
        <v>3</v>
      </c>
      <c r="M34">
        <f>IF($F34="s-curve",$D34+($E34-$D34)*$I$2/(1+EXP($I$3*(COUNT($H$9:M$9)+$I$4))),TREND($D34:$E34,$D$9:$E$9,M$9))</f>
        <v>3</v>
      </c>
      <c r="N34">
        <f>IF($F34="s-curve",$D34+($E34-$D34)*$I$2/(1+EXP($I$3*(COUNT($H$9:N$9)+$I$4))),TREND($D34:$E34,$D$9:$E$9,N$9))</f>
        <v>3</v>
      </c>
      <c r="O34">
        <f>IF($F34="s-curve",$D34+($E34-$D34)*$I$2/(1+EXP($I$3*(COUNT($H$9:O$9)+$I$4))),TREND($D34:$E34,$D$9:$E$9,O$9))</f>
        <v>3</v>
      </c>
      <c r="P34">
        <f>IF($F34="s-curve",$D34+($E34-$D34)*$I$2/(1+EXP($I$3*(COUNT($H$9:P$9)+$I$4))),TREND($D34:$E34,$D$9:$E$9,P$9))</f>
        <v>3</v>
      </c>
      <c r="Q34">
        <f>IF($F34="s-curve",$D34+($E34-$D34)*$I$2/(1+EXP($I$3*(COUNT($H$9:Q$9)+$I$4))),TREND($D34:$E34,$D$9:$E$9,Q$9))</f>
        <v>3</v>
      </c>
      <c r="R34">
        <f>IF($F34="s-curve",$D34+($E34-$D34)*$I$2/(1+EXP($I$3*(COUNT($H$9:R$9)+$I$4))),TREND($D34:$E34,$D$9:$E$9,R$9))</f>
        <v>3</v>
      </c>
      <c r="S34">
        <f>IF($F34="s-curve",$D34+($E34-$D34)*$I$2/(1+EXP($I$3*(COUNT($H$9:S$9)+$I$4))),TREND($D34:$E34,$D$9:$E$9,S$9))</f>
        <v>3</v>
      </c>
      <c r="T34">
        <f>IF($F34="s-curve",$D34+($E34-$D34)*$I$2/(1+EXP($I$3*(COUNT($H$9:T$9)+$I$4))),TREND($D34:$E34,$D$9:$E$9,T$9))</f>
        <v>3</v>
      </c>
      <c r="U34">
        <f>IF($F34="s-curve",$D34+($E34-$D34)*$I$2/(1+EXP($I$3*(COUNT($H$9:U$9)+$I$4))),TREND($D34:$E34,$D$9:$E$9,U$9))</f>
        <v>3</v>
      </c>
      <c r="V34">
        <f>IF($F34="s-curve",$D34+($E34-$D34)*$I$2/(1+EXP($I$3*(COUNT($H$9:V$9)+$I$4))),TREND($D34:$E34,$D$9:$E$9,V$9))</f>
        <v>3</v>
      </c>
      <c r="W34">
        <f>IF($F34="s-curve",$D34+($E34-$D34)*$I$2/(1+EXP($I$3*(COUNT($H$9:W$9)+$I$4))),TREND($D34:$E34,$D$9:$E$9,W$9))</f>
        <v>3</v>
      </c>
      <c r="X34">
        <f>IF($F34="s-curve",$D34+($E34-$D34)*$I$2/(1+EXP($I$3*(COUNT($H$9:X$9)+$I$4))),TREND($D34:$E34,$D$9:$E$9,X$9))</f>
        <v>3</v>
      </c>
      <c r="Y34">
        <f>IF($F34="s-curve",$D34+($E34-$D34)*$I$2/(1+EXP($I$3*(COUNT($H$9:Y$9)+$I$4))),TREND($D34:$E34,$D$9:$E$9,Y$9))</f>
        <v>3</v>
      </c>
      <c r="Z34">
        <f>IF($F34="s-curve",$D34+($E34-$D34)*$I$2/(1+EXP($I$3*(COUNT($H$9:Z$9)+$I$4))),TREND($D34:$E34,$D$9:$E$9,Z$9))</f>
        <v>3</v>
      </c>
      <c r="AA34">
        <f>IF($F34="s-curve",$D34+($E34-$D34)*$I$2/(1+EXP($I$3*(COUNT($H$9:AA$9)+$I$4))),TREND($D34:$E34,$D$9:$E$9,AA$9))</f>
        <v>3</v>
      </c>
      <c r="AB34">
        <f>IF($F34="s-curve",$D34+($E34-$D34)*$I$2/(1+EXP($I$3*(COUNT($H$9:AB$9)+$I$4))),TREND($D34:$E34,$D$9:$E$9,AB$9))</f>
        <v>3</v>
      </c>
      <c r="AC34">
        <f>IF($F34="s-curve",$D34+($E34-$D34)*$I$2/(1+EXP($I$3*(COUNT($H$9:AC$9)+$I$4))),TREND($D34:$E34,$D$9:$E$9,AC$9))</f>
        <v>3</v>
      </c>
      <c r="AD34">
        <f>IF($F34="s-curve",$D34+($E34-$D34)*$I$2/(1+EXP($I$3*(COUNT($H$9:AD$9)+$I$4))),TREND($D34:$E34,$D$9:$E$9,AD$9))</f>
        <v>3</v>
      </c>
      <c r="AE34">
        <f>IF($F34="s-curve",$D34+($E34-$D34)*$I$2/(1+EXP($I$3*(COUNT($H$9:AE$9)+$I$4))),TREND($D34:$E34,$D$9:$E$9,AE$9))</f>
        <v>3</v>
      </c>
      <c r="AF34">
        <f>IF($F34="s-curve",$D34+($E34-$D34)*$I$2/(1+EXP($I$3*(COUNT($H$9:AF$9)+$I$4))),TREND($D34:$E34,$D$9:$E$9,AF$9))</f>
        <v>3</v>
      </c>
      <c r="AG34">
        <f>IF($F34="s-curve",$D34+($E34-$D34)*$I$2/(1+EXP($I$3*(COUNT($H$9:AG$9)+$I$4))),TREND($D34:$E34,$D$9:$E$9,AG$9))</f>
        <v>3</v>
      </c>
      <c r="AH34">
        <f>IF($F34="s-curve",$D34+($E34-$D34)*$I$2/(1+EXP($I$3*(COUNT($H$9:AH$9)+$I$4))),TREND($D34:$E34,$D$9:$E$9,AH$9))</f>
        <v>3</v>
      </c>
      <c r="AI34">
        <f>IF($F34="s-curve",$D34+($E34-$D34)*$I$2/(1+EXP($I$3*(COUNT($H$9:AI$9)+$I$4))),TREND($D34:$E34,$D$9:$E$9,AI$9))</f>
        <v>3</v>
      </c>
      <c r="AJ34">
        <f>IF($F34="s-curve",$D34+($E34-$D34)*$I$2/(1+EXP($I$3*(COUNT($H$9:AJ$9)+$I$4))),TREND($D34:$E34,$D$9:$E$9,AJ$9))</f>
        <v>3</v>
      </c>
      <c r="AK34">
        <f>IF($F34="s-curve",$D34+($E34-$D34)*$I$2/(1+EXP($I$3*(COUNT($H$9:AK$9)+$I$4))),TREND($D34:$E34,$D$9:$E$9,AK$9))</f>
        <v>3</v>
      </c>
      <c r="AL34">
        <f>IF($F34="s-curve",$D34+($E34-$D34)*$I$2/(1+EXP($I$3*(COUNT($H$9:AL$9)+$I$4))),TREND($D34:$E34,$D$9:$E$9,AL$9))</f>
        <v>3</v>
      </c>
    </row>
    <row r="35" spans="1:38">
      <c r="C35" t="s">
        <v>5</v>
      </c>
      <c r="D35" s="20">
        <f>MIN(1.25*INDEX('SYVbT-freight'!$B$3:$H$3,MATCH(Data!$C14,'SYVbT-passenger'!$B$1:$H$1,0))/SUM('SYVbT-freight'!$B$3:$H$3),1)</f>
        <v>0</v>
      </c>
      <c r="E35" s="20">
        <f t="shared" si="26"/>
        <v>0</v>
      </c>
      <c r="F35" s="6" t="str">
        <f>IF(D35=E35,"n/a",IF(OR(C35="battery electric vehicle",C35="natural gas vehicle",C35="plugin hybrid vehicle"),"s-curve","linear"))</f>
        <v>n/a</v>
      </c>
      <c r="H35" s="20">
        <f t="shared" si="23"/>
        <v>0</v>
      </c>
      <c r="I35">
        <f>IF($F35="s-curve",$D35+($E35-$D35)*$I$2/(1+EXP($I$3*(COUNT($H$9:I$9)+$I$4))),TREND($D35:$E35,$D$9:$E$9,I$9))</f>
        <v>0</v>
      </c>
      <c r="J35">
        <f>IF($F35="s-curve",$D35+($E35-$D35)*$I$2/(1+EXP($I$3*(COUNT($H$9:J$9)+$I$4))),TREND($D35:$E35,$D$9:$E$9,J$9))</f>
        <v>0</v>
      </c>
      <c r="K35">
        <f>IF($F35="s-curve",$D35+($E35-$D35)*$I$2/(1+EXP($I$3*(COUNT($H$9:K$9)+$I$4))),TREND($D35:$E35,$D$9:$E$9,K$9))</f>
        <v>0</v>
      </c>
      <c r="L35">
        <f>IF($F35="s-curve",$D35+($E35-$D35)*$I$2/(1+EXP($I$3*(COUNT($H$9:L$9)+$I$4))),TREND($D35:$E35,$D$9:$E$9,L$9))</f>
        <v>0</v>
      </c>
      <c r="M35">
        <f>IF($F35="s-curve",$D35+($E35-$D35)*$I$2/(1+EXP($I$3*(COUNT($H$9:M$9)+$I$4))),TREND($D35:$E35,$D$9:$E$9,M$9))</f>
        <v>0</v>
      </c>
      <c r="N35">
        <f>IF($F35="s-curve",$D35+($E35-$D35)*$I$2/(1+EXP($I$3*(COUNT($H$9:N$9)+$I$4))),TREND($D35:$E35,$D$9:$E$9,N$9))</f>
        <v>0</v>
      </c>
      <c r="O35">
        <f>IF($F35="s-curve",$D35+($E35-$D35)*$I$2/(1+EXP($I$3*(COUNT($H$9:O$9)+$I$4))),TREND($D35:$E35,$D$9:$E$9,O$9))</f>
        <v>0</v>
      </c>
      <c r="P35">
        <f>IF($F35="s-curve",$D35+($E35-$D35)*$I$2/(1+EXP($I$3*(COUNT($H$9:P$9)+$I$4))),TREND($D35:$E35,$D$9:$E$9,P$9))</f>
        <v>0</v>
      </c>
      <c r="Q35">
        <f>IF($F35="s-curve",$D35+($E35-$D35)*$I$2/(1+EXP($I$3*(COUNT($H$9:Q$9)+$I$4))),TREND($D35:$E35,$D$9:$E$9,Q$9))</f>
        <v>0</v>
      </c>
      <c r="R35">
        <f>IF($F35="s-curve",$D35+($E35-$D35)*$I$2/(1+EXP($I$3*(COUNT($H$9:R$9)+$I$4))),TREND($D35:$E35,$D$9:$E$9,R$9))</f>
        <v>0</v>
      </c>
      <c r="S35">
        <f>IF($F35="s-curve",$D35+($E35-$D35)*$I$2/(1+EXP($I$3*(COUNT($H$9:S$9)+$I$4))),TREND($D35:$E35,$D$9:$E$9,S$9))</f>
        <v>0</v>
      </c>
      <c r="T35">
        <f>IF($F35="s-curve",$D35+($E35-$D35)*$I$2/(1+EXP($I$3*(COUNT($H$9:T$9)+$I$4))),TREND($D35:$E35,$D$9:$E$9,T$9))</f>
        <v>0</v>
      </c>
      <c r="U35">
        <f>IF($F35="s-curve",$D35+($E35-$D35)*$I$2/(1+EXP($I$3*(COUNT($H$9:U$9)+$I$4))),TREND($D35:$E35,$D$9:$E$9,U$9))</f>
        <v>0</v>
      </c>
      <c r="V35">
        <f>IF($F35="s-curve",$D35+($E35-$D35)*$I$2/(1+EXP($I$3*(COUNT($H$9:V$9)+$I$4))),TREND($D35:$E35,$D$9:$E$9,V$9))</f>
        <v>0</v>
      </c>
      <c r="W35">
        <f>IF($F35="s-curve",$D35+($E35-$D35)*$I$2/(1+EXP($I$3*(COUNT($H$9:W$9)+$I$4))),TREND($D35:$E35,$D$9:$E$9,W$9))</f>
        <v>0</v>
      </c>
      <c r="X35">
        <f>IF($F35="s-curve",$D35+($E35-$D35)*$I$2/(1+EXP($I$3*(COUNT($H$9:X$9)+$I$4))),TREND($D35:$E35,$D$9:$E$9,X$9))</f>
        <v>0</v>
      </c>
      <c r="Y35">
        <f>IF($F35="s-curve",$D35+($E35-$D35)*$I$2/(1+EXP($I$3*(COUNT($H$9:Y$9)+$I$4))),TREND($D35:$E35,$D$9:$E$9,Y$9))</f>
        <v>0</v>
      </c>
      <c r="Z35">
        <f>IF($F35="s-curve",$D35+($E35-$D35)*$I$2/(1+EXP($I$3*(COUNT($H$9:Z$9)+$I$4))),TREND($D35:$E35,$D$9:$E$9,Z$9))</f>
        <v>0</v>
      </c>
      <c r="AA35">
        <f>IF($F35="s-curve",$D35+($E35-$D35)*$I$2/(1+EXP($I$3*(COUNT($H$9:AA$9)+$I$4))),TREND($D35:$E35,$D$9:$E$9,AA$9))</f>
        <v>0</v>
      </c>
      <c r="AB35">
        <f>IF($F35="s-curve",$D35+($E35-$D35)*$I$2/(1+EXP($I$3*(COUNT($H$9:AB$9)+$I$4))),TREND($D35:$E35,$D$9:$E$9,AB$9))</f>
        <v>0</v>
      </c>
      <c r="AC35">
        <f>IF($F35="s-curve",$D35+($E35-$D35)*$I$2/(1+EXP($I$3*(COUNT($H$9:AC$9)+$I$4))),TREND($D35:$E35,$D$9:$E$9,AC$9))</f>
        <v>0</v>
      </c>
      <c r="AD35">
        <f>IF($F35="s-curve",$D35+($E35-$D35)*$I$2/(1+EXP($I$3*(COUNT($H$9:AD$9)+$I$4))),TREND($D35:$E35,$D$9:$E$9,AD$9))</f>
        <v>0</v>
      </c>
      <c r="AE35">
        <f>IF($F35="s-curve",$D35+($E35-$D35)*$I$2/(1+EXP($I$3*(COUNT($H$9:AE$9)+$I$4))),TREND($D35:$E35,$D$9:$E$9,AE$9))</f>
        <v>0</v>
      </c>
      <c r="AF35">
        <f>IF($F35="s-curve",$D35+($E35-$D35)*$I$2/(1+EXP($I$3*(COUNT($H$9:AF$9)+$I$4))),TREND($D35:$E35,$D$9:$E$9,AF$9))</f>
        <v>0</v>
      </c>
      <c r="AG35">
        <f>IF($F35="s-curve",$D35+($E35-$D35)*$I$2/(1+EXP($I$3*(COUNT($H$9:AG$9)+$I$4))),TREND($D35:$E35,$D$9:$E$9,AG$9))</f>
        <v>0</v>
      </c>
      <c r="AH35">
        <f>IF($F35="s-curve",$D35+($E35-$D35)*$I$2/(1+EXP($I$3*(COUNT($H$9:AH$9)+$I$4))),TREND($D35:$E35,$D$9:$E$9,AH$9))</f>
        <v>0</v>
      </c>
      <c r="AI35">
        <f>IF($F35="s-curve",$D35+($E35-$D35)*$I$2/(1+EXP($I$3*(COUNT($H$9:AI$9)+$I$4))),TREND($D35:$E35,$D$9:$E$9,AI$9))</f>
        <v>0</v>
      </c>
      <c r="AJ35">
        <f>IF($F35="s-curve",$D35+($E35-$D35)*$I$2/(1+EXP($I$3*(COUNT($H$9:AJ$9)+$I$4))),TREND($D35:$E35,$D$9:$E$9,AJ$9))</f>
        <v>0</v>
      </c>
      <c r="AK35">
        <f>IF($F35="s-curve",$D35+($E35-$D35)*$I$2/(1+EXP($I$3*(COUNT($H$9:AK$9)+$I$4))),TREND($D35:$E35,$D$9:$E$9,AK$9))</f>
        <v>0</v>
      </c>
      <c r="AL35">
        <f>IF($F35="s-curve",$D35+($E35-$D35)*$I$2/(1+EXP($I$3*(COUNT($H$9:AL$9)+$I$4))),TREND($D35:$E35,$D$9:$E$9,AL$9))</f>
        <v>0</v>
      </c>
    </row>
    <row r="36" spans="1:38">
      <c r="C36" t="s">
        <v>78</v>
      </c>
      <c r="D36" s="20">
        <f>MIN(1.25*INDEX('SYVbT-freight'!$B$3:$H$3,MATCH(Data!$C15,'SYVbT-passenger'!$B$1:$H$1,0))/SUM('SYVbT-freight'!$B$3:$H$3),1)</f>
        <v>4.2398960612661157E-2</v>
      </c>
      <c r="E36" s="20">
        <f t="shared" si="26"/>
        <v>4.2398960612661157E-2</v>
      </c>
      <c r="F36" s="6" t="str">
        <f>IF(D36=E36,"n/a",IF(OR(C36="battery electric vehicle",C36="natural gas vehicle",C36="plugin hybrid vehicle",C36="hydrogen vehicle"),"s-curve","linear"))</f>
        <v>n/a</v>
      </c>
      <c r="H36" s="20">
        <f t="shared" si="23"/>
        <v>4.2398960612661157E-2</v>
      </c>
      <c r="I36">
        <f>IF($F36="s-curve",$D36+($E36-$D36)*$I$2/(1+EXP($I$3*(COUNT($H$9:I$9)+$I$4))),TREND($D36:$E36,$D$9:$E$9,I$9))</f>
        <v>4.2398960612661157E-2</v>
      </c>
      <c r="J36">
        <f>IF($F36="s-curve",$D36+($E36-$D36)*$I$2/(1+EXP($I$3*(COUNT($H$9:J$9)+$I$4))),TREND($D36:$E36,$D$9:$E$9,J$9))</f>
        <v>4.2398960612661157E-2</v>
      </c>
      <c r="K36">
        <f>IF($F36="s-curve",$D36+($E36-$D36)*$I$2/(1+EXP($I$3*(COUNT($H$9:K$9)+$I$4))),TREND($D36:$E36,$D$9:$E$9,K$9))</f>
        <v>4.2398960612661157E-2</v>
      </c>
      <c r="L36">
        <f>IF($F36="s-curve",$D36+($E36-$D36)*$I$2/(1+EXP($I$3*(COUNT($H$9:L$9)+$I$4))),TREND($D36:$E36,$D$9:$E$9,L$9))</f>
        <v>4.2398960612661157E-2</v>
      </c>
      <c r="M36">
        <f>IF($F36="s-curve",$D36+($E36-$D36)*$I$2/(1+EXP($I$3*(COUNT($H$9:M$9)+$I$4))),TREND($D36:$E36,$D$9:$E$9,M$9))</f>
        <v>4.2398960612661157E-2</v>
      </c>
      <c r="N36">
        <f>IF($F36="s-curve",$D36+($E36-$D36)*$I$2/(1+EXP($I$3*(COUNT($H$9:N$9)+$I$4))),TREND($D36:$E36,$D$9:$E$9,N$9))</f>
        <v>4.2398960612661157E-2</v>
      </c>
      <c r="O36">
        <f>IF($F36="s-curve",$D36+($E36-$D36)*$I$2/(1+EXP($I$3*(COUNT($H$9:O$9)+$I$4))),TREND($D36:$E36,$D$9:$E$9,O$9))</f>
        <v>4.2398960612661157E-2</v>
      </c>
      <c r="P36">
        <f>IF($F36="s-curve",$D36+($E36-$D36)*$I$2/(1+EXP($I$3*(COUNT($H$9:P$9)+$I$4))),TREND($D36:$E36,$D$9:$E$9,P$9))</f>
        <v>4.2398960612661157E-2</v>
      </c>
      <c r="Q36">
        <f>IF($F36="s-curve",$D36+($E36-$D36)*$I$2/(1+EXP($I$3*(COUNT($H$9:Q$9)+$I$4))),TREND($D36:$E36,$D$9:$E$9,Q$9))</f>
        <v>4.2398960612661157E-2</v>
      </c>
      <c r="R36">
        <f>IF($F36="s-curve",$D36+($E36-$D36)*$I$2/(1+EXP($I$3*(COUNT($H$9:R$9)+$I$4))),TREND($D36:$E36,$D$9:$E$9,R$9))</f>
        <v>4.2398960612661157E-2</v>
      </c>
      <c r="S36">
        <f>IF($F36="s-curve",$D36+($E36-$D36)*$I$2/(1+EXP($I$3*(COUNT($H$9:S$9)+$I$4))),TREND($D36:$E36,$D$9:$E$9,S$9))</f>
        <v>4.2398960612661157E-2</v>
      </c>
      <c r="T36">
        <f>IF($F36="s-curve",$D36+($E36-$D36)*$I$2/(1+EXP($I$3*(COUNT($H$9:T$9)+$I$4))),TREND($D36:$E36,$D$9:$E$9,T$9))</f>
        <v>4.2398960612661157E-2</v>
      </c>
      <c r="U36">
        <f>IF($F36="s-curve",$D36+($E36-$D36)*$I$2/(1+EXP($I$3*(COUNT($H$9:U$9)+$I$4))),TREND($D36:$E36,$D$9:$E$9,U$9))</f>
        <v>4.2398960612661157E-2</v>
      </c>
      <c r="V36">
        <f>IF($F36="s-curve",$D36+($E36-$D36)*$I$2/(1+EXP($I$3*(COUNT($H$9:V$9)+$I$4))),TREND($D36:$E36,$D$9:$E$9,V$9))</f>
        <v>4.2398960612661157E-2</v>
      </c>
      <c r="W36">
        <f>IF($F36="s-curve",$D36+($E36-$D36)*$I$2/(1+EXP($I$3*(COUNT($H$9:W$9)+$I$4))),TREND($D36:$E36,$D$9:$E$9,W$9))</f>
        <v>4.2398960612661157E-2</v>
      </c>
      <c r="X36">
        <f>IF($F36="s-curve",$D36+($E36-$D36)*$I$2/(1+EXP($I$3*(COUNT($H$9:X$9)+$I$4))),TREND($D36:$E36,$D$9:$E$9,X$9))</f>
        <v>4.2398960612661157E-2</v>
      </c>
      <c r="Y36">
        <f>IF($F36="s-curve",$D36+($E36-$D36)*$I$2/(1+EXP($I$3*(COUNT($H$9:Y$9)+$I$4))),TREND($D36:$E36,$D$9:$E$9,Y$9))</f>
        <v>4.2398960612661157E-2</v>
      </c>
      <c r="Z36">
        <f>IF($F36="s-curve",$D36+($E36-$D36)*$I$2/(1+EXP($I$3*(COUNT($H$9:Z$9)+$I$4))),TREND($D36:$E36,$D$9:$E$9,Z$9))</f>
        <v>4.2398960612661157E-2</v>
      </c>
      <c r="AA36">
        <f>IF($F36="s-curve",$D36+($E36-$D36)*$I$2/(1+EXP($I$3*(COUNT($H$9:AA$9)+$I$4))),TREND($D36:$E36,$D$9:$E$9,AA$9))</f>
        <v>4.2398960612661157E-2</v>
      </c>
      <c r="AB36">
        <f>IF($F36="s-curve",$D36+($E36-$D36)*$I$2/(1+EXP($I$3*(COUNT($H$9:AB$9)+$I$4))),TREND($D36:$E36,$D$9:$E$9,AB$9))</f>
        <v>4.2398960612661157E-2</v>
      </c>
      <c r="AC36">
        <f>IF($F36="s-curve",$D36+($E36-$D36)*$I$2/(1+EXP($I$3*(COUNT($H$9:AC$9)+$I$4))),TREND($D36:$E36,$D$9:$E$9,AC$9))</f>
        <v>4.2398960612661157E-2</v>
      </c>
      <c r="AD36">
        <f>IF($F36="s-curve",$D36+($E36-$D36)*$I$2/(1+EXP($I$3*(COUNT($H$9:AD$9)+$I$4))),TREND($D36:$E36,$D$9:$E$9,AD$9))</f>
        <v>4.2398960612661157E-2</v>
      </c>
      <c r="AE36">
        <f>IF($F36="s-curve",$D36+($E36-$D36)*$I$2/(1+EXP($I$3*(COUNT($H$9:AE$9)+$I$4))),TREND($D36:$E36,$D$9:$E$9,AE$9))</f>
        <v>4.2398960612661157E-2</v>
      </c>
      <c r="AF36">
        <f>IF($F36="s-curve",$D36+($E36-$D36)*$I$2/(1+EXP($I$3*(COUNT($H$9:AF$9)+$I$4))),TREND($D36:$E36,$D$9:$E$9,AF$9))</f>
        <v>4.2398960612661157E-2</v>
      </c>
      <c r="AG36">
        <f>IF($F36="s-curve",$D36+($E36-$D36)*$I$2/(1+EXP($I$3*(COUNT($H$9:AG$9)+$I$4))),TREND($D36:$E36,$D$9:$E$9,AG$9))</f>
        <v>4.2398960612661157E-2</v>
      </c>
      <c r="AH36">
        <f>IF($F36="s-curve",$D36+($E36-$D36)*$I$2/(1+EXP($I$3*(COUNT($H$9:AH$9)+$I$4))),TREND($D36:$E36,$D$9:$E$9,AH$9))</f>
        <v>4.2398960612661157E-2</v>
      </c>
      <c r="AI36">
        <f>IF($F36="s-curve",$D36+($E36-$D36)*$I$2/(1+EXP($I$3*(COUNT($H$9:AI$9)+$I$4))),TREND($D36:$E36,$D$9:$E$9,AI$9))</f>
        <v>4.2398960612661157E-2</v>
      </c>
      <c r="AJ36">
        <f>IF($F36="s-curve",$D36+($E36-$D36)*$I$2/(1+EXP($I$3*(COUNT($H$9:AJ$9)+$I$4))),TREND($D36:$E36,$D$9:$E$9,AJ$9))</f>
        <v>4.2398960612661157E-2</v>
      </c>
      <c r="AK36">
        <f>IF($F36="s-curve",$D36+($E36-$D36)*$I$2/(1+EXP($I$3*(COUNT($H$9:AK$9)+$I$4))),TREND($D36:$E36,$D$9:$E$9,AK$9))</f>
        <v>4.2398960612661157E-2</v>
      </c>
      <c r="AL36">
        <f>IF($F36="s-curve",$D36+($E36-$D36)*$I$2/(1+EXP($I$3*(COUNT($H$9:AL$9)+$I$4))),TREND($D36:$E36,$D$9:$E$9,AL$9))</f>
        <v>4.2398960612661157E-2</v>
      </c>
    </row>
    <row r="37" spans="1:38" ht="15.75" thickBot="1">
      <c r="A37" s="21"/>
      <c r="B37" s="21"/>
      <c r="C37" s="21" t="s">
        <v>79</v>
      </c>
      <c r="D37" s="21">
        <f>MIN(1.25*INDEX('SYVbT-freight'!$B$3:$H$3,MATCH(Data!$C16,'SYVbT-passenger'!$B$1:$H$1,0))/SUM('SYVbT-freight'!$B$3:$H$3),1)</f>
        <v>0</v>
      </c>
      <c r="E37" s="24">
        <f>E36</f>
        <v>4.2398960612661157E-2</v>
      </c>
      <c r="F37" s="7" t="str">
        <f>IF(D37=E37,"n/a",IF(OR(C37="battery electric vehicle",C37="natural gas vehicle",C37="plugin hybrid vehicle",C37="hydrogen vehicle"),"s-curve","linear"))</f>
        <v>s-curve</v>
      </c>
      <c r="H37" s="20">
        <f t="shared" si="23"/>
        <v>0</v>
      </c>
      <c r="I37">
        <f>IF($F37="s-curve",$D37+($E37-$D37)*$I$2/(1+EXP($I$3*(COUNT($H$9:I$9)+$I$4))),TREND($D37:$E37,$D$9:$E$9,I$9))</f>
        <v>6.2640358785329186E-4</v>
      </c>
      <c r="J37">
        <f>IF($F37="s-curve",$D37+($E37-$D37)*$I$2/(1+EXP($I$3*(COUNT($H$9:J$9)+$I$4))),TREND($D37:$E37,$D$9:$E$9,J$9))</f>
        <v>8.4120834136230764E-4</v>
      </c>
      <c r="K37">
        <f>IF($F37="s-curve",$D37+($E37-$D37)*$I$2/(1+EXP($I$3*(COUNT($H$9:K$9)+$I$4))),TREND($D37:$E37,$D$9:$E$9,K$9))</f>
        <v>1.1276848830807375E-3</v>
      </c>
      <c r="L37">
        <f>IF($F37="s-curve",$D37+($E37-$D37)*$I$2/(1+EXP($I$3*(COUNT($H$9:L$9)+$I$4))),TREND($D37:$E37,$D$9:$E$9,L$9))</f>
        <v>1.5081814529160165E-3</v>
      </c>
      <c r="M37">
        <f>IF($F37="s-curve",$D37+($E37-$D37)*$I$2/(1+EXP($I$3*(COUNT($H$9:M$9)+$I$4))),TREND($D37:$E37,$D$9:$E$9,M$9))</f>
        <v>2.0108077288767171E-3</v>
      </c>
      <c r="N37">
        <f>IF($F37="s-curve",$D37+($E37-$D37)*$I$2/(1+EXP($I$3*(COUNT($H$9:N$9)+$I$4))),TREND($D37:$E37,$D$9:$E$9,N$9))</f>
        <v>2.6700048431076819E-3</v>
      </c>
      <c r="O37">
        <f>IF($F37="s-curve",$D37+($E37-$D37)*$I$2/(1+EXP($I$3*(COUNT($H$9:O$9)+$I$4))),TREND($D37:$E37,$D$9:$E$9,O$9))</f>
        <v>3.5264358826946353E-3</v>
      </c>
      <c r="P37">
        <f>IF($F37="s-curve",$D37+($E37-$D37)*$I$2/(1+EXP($I$3*(COUNT($H$9:P$9)+$I$4))),TREND($D37:$E37,$D$9:$E$9,P$9))</f>
        <v>4.6255918248393289E-3</v>
      </c>
      <c r="Q37">
        <f>IF($F37="s-curve",$D37+($E37-$D37)*$I$2/(1+EXP($I$3*(COUNT($H$9:Q$9)+$I$4))),TREND($D37:$E37,$D$9:$E$9,Q$9))</f>
        <v>6.0143377135798244E-3</v>
      </c>
      <c r="R37">
        <f>IF($F37="s-curve",$D37+($E37-$D37)*$I$2/(1+EXP($I$3*(COUNT($H$9:R$9)+$I$4))),TREND($D37:$E37,$D$9:$E$9,R$9))</f>
        <v>7.7346525986097831E-3</v>
      </c>
      <c r="S37">
        <f>IF($F37="s-curve",$D37+($E37-$D37)*$I$2/(1+EXP($I$3*(COUNT($H$9:S$9)+$I$4))),TREND($D37:$E37,$D$9:$E$9,S$9))</f>
        <v>9.8143085872323659E-3</v>
      </c>
      <c r="T37">
        <f>IF($F37="s-curve",$D37+($E37-$D37)*$I$2/(1+EXP($I$3*(COUNT($H$9:T$9)+$I$4))),TREND($D37:$E37,$D$9:$E$9,T$9))</f>
        <v>1.2255440653272574E-2</v>
      </c>
      <c r="U37">
        <f>IF($F37="s-curve",$D37+($E37-$D37)*$I$2/(1+EXP($I$3*(COUNT($H$9:U$9)+$I$4))),TREND($D37:$E37,$D$9:$E$9,U$9))</f>
        <v>1.5023804315677364E-2</v>
      </c>
      <c r="V37">
        <f>IF($F37="s-curve",$D37+($E37-$D37)*$I$2/(1+EXP($I$3*(COUNT($H$9:V$9)+$I$4))),TREND($D37:$E37,$D$9:$E$9,V$9))</f>
        <v>1.8043194968125682E-2</v>
      </c>
      <c r="W37">
        <f>IF($F37="s-curve",$D37+($E37-$D37)*$I$2/(1+EXP($I$3*(COUNT($H$9:W$9)+$I$4))),TREND($D37:$E37,$D$9:$E$9,W$9))</f>
        <v>2.1199480306330579E-2</v>
      </c>
      <c r="X37">
        <f>IF($F37="s-curve",$D37+($E37-$D37)*$I$2/(1+EXP($I$3*(COUNT($H$9:X$9)+$I$4))),TREND($D37:$E37,$D$9:$E$9,X$9))</f>
        <v>2.4355765644535475E-2</v>
      </c>
      <c r="Y37">
        <f>IF($F37="s-curve",$D37+($E37-$D37)*$I$2/(1+EXP($I$3*(COUNT($H$9:Y$9)+$I$4))),TREND($D37:$E37,$D$9:$E$9,Y$9))</f>
        <v>2.7375156296983789E-2</v>
      </c>
      <c r="Z37">
        <f>IF($F37="s-curve",$D37+($E37-$D37)*$I$2/(1+EXP($I$3*(COUNT($H$9:Z$9)+$I$4))),TREND($D37:$E37,$D$9:$E$9,Z$9))</f>
        <v>3.014351995938858E-2</v>
      </c>
      <c r="AA37">
        <f>IF($F37="s-curve",$D37+($E37-$D37)*$I$2/(1+EXP($I$3*(COUNT($H$9:AA$9)+$I$4))),TREND($D37:$E37,$D$9:$E$9,AA$9))</f>
        <v>3.258465202542879E-2</v>
      </c>
      <c r="AB37">
        <f>IF($F37="s-curve",$D37+($E37-$D37)*$I$2/(1+EXP($I$3*(COUNT($H$9:AB$9)+$I$4))),TREND($D37:$E37,$D$9:$E$9,AB$9))</f>
        <v>3.4664308014051376E-2</v>
      </c>
      <c r="AC37">
        <f>IF($F37="s-curve",$D37+($E37-$D37)*$I$2/(1+EXP($I$3*(COUNT($H$9:AC$9)+$I$4))),TREND($D37:$E37,$D$9:$E$9,AC$9))</f>
        <v>3.6384622899081336E-2</v>
      </c>
      <c r="AD37">
        <f>IF($F37="s-curve",$D37+($E37-$D37)*$I$2/(1+EXP($I$3*(COUNT($H$9:AD$9)+$I$4))),TREND($D37:$E37,$D$9:$E$9,AD$9))</f>
        <v>3.777336878782183E-2</v>
      </c>
      <c r="AE37">
        <f>IF($F37="s-curve",$D37+($E37-$D37)*$I$2/(1+EXP($I$3*(COUNT($H$9:AE$9)+$I$4))),TREND($D37:$E37,$D$9:$E$9,AE$9))</f>
        <v>3.8872524729966523E-2</v>
      </c>
      <c r="AF37">
        <f>IF($F37="s-curve",$D37+($E37-$D37)*$I$2/(1+EXP($I$3*(COUNT($H$9:AF$9)+$I$4))),TREND($D37:$E37,$D$9:$E$9,AF$9))</f>
        <v>3.972895576955348E-2</v>
      </c>
      <c r="AG37">
        <f>IF($F37="s-curve",$D37+($E37-$D37)*$I$2/(1+EXP($I$3*(COUNT($H$9:AG$9)+$I$4))),TREND($D37:$E37,$D$9:$E$9,AG$9))</f>
        <v>4.0388152883784445E-2</v>
      </c>
      <c r="AH37">
        <f>IF($F37="s-curve",$D37+($E37-$D37)*$I$2/(1+EXP($I$3*(COUNT($H$9:AH$9)+$I$4))),TREND($D37:$E37,$D$9:$E$9,AH$9))</f>
        <v>4.0890779159745143E-2</v>
      </c>
      <c r="AI37">
        <f>IF($F37="s-curve",$D37+($E37-$D37)*$I$2/(1+EXP($I$3*(COUNT($H$9:AI$9)+$I$4))),TREND($D37:$E37,$D$9:$E$9,AI$9))</f>
        <v>4.127127572958042E-2</v>
      </c>
      <c r="AJ37">
        <f>IF($F37="s-curve",$D37+($E37-$D37)*$I$2/(1+EXP($I$3*(COUNT($H$9:AJ$9)+$I$4))),TREND($D37:$E37,$D$9:$E$9,AJ$9))</f>
        <v>4.1557752271298855E-2</v>
      </c>
      <c r="AK37">
        <f>IF($F37="s-curve",$D37+($E37-$D37)*$I$2/(1+EXP($I$3*(COUNT($H$9:AK$9)+$I$4))),TREND($D37:$E37,$D$9:$E$9,AK$9))</f>
        <v>4.1772557024807866E-2</v>
      </c>
      <c r="AL37">
        <f>IF($F37="s-curve",$D37+($E37-$D37)*$I$2/(1+EXP($I$3*(COUNT($H$9:AL$9)+$I$4))),TREND($D37:$E37,$D$9:$E$9,AL$9))</f>
        <v>4.1933125664813074E-2</v>
      </c>
    </row>
    <row r="38" spans="1:38">
      <c r="A38" t="s">
        <v>14</v>
      </c>
      <c r="B38" t="s">
        <v>19</v>
      </c>
      <c r="C38" t="s">
        <v>1</v>
      </c>
      <c r="D38">
        <v>0</v>
      </c>
      <c r="E38">
        <v>0</v>
      </c>
      <c r="F38" s="6" t="str">
        <f>IF(D38=E38,"n/a",IF(OR(C38="battery electric vehicle",C38="natural gas vehicle",C38="plugin hybrid vehicle"),"s-curve","linear"))</f>
        <v>n/a</v>
      </c>
      <c r="H38" s="20">
        <f t="shared" si="23"/>
        <v>0</v>
      </c>
      <c r="I38">
        <f>IF($F38="s-curve",$D38+($E38-$D38)*$I$2/(1+EXP($I$3*(COUNT($H$9:I$9)+$I$4))),TREND($D38:$E38,$D$9:$E$9,I$9))</f>
        <v>0</v>
      </c>
      <c r="J38">
        <f>IF($F38="s-curve",$D38+($E38-$D38)*$I$2/(1+EXP($I$3*(COUNT($H$9:J$9)+$I$4))),TREND($D38:$E38,$D$9:$E$9,J$9))</f>
        <v>0</v>
      </c>
      <c r="K38">
        <f>IF($F38="s-curve",$D38+($E38-$D38)*$I$2/(1+EXP($I$3*(COUNT($H$9:K$9)+$I$4))),TREND($D38:$E38,$D$9:$E$9,K$9))</f>
        <v>0</v>
      </c>
      <c r="L38">
        <f>IF($F38="s-curve",$D38+($E38-$D38)*$I$2/(1+EXP($I$3*(COUNT($H$9:L$9)+$I$4))),TREND($D38:$E38,$D$9:$E$9,L$9))</f>
        <v>0</v>
      </c>
      <c r="M38">
        <f>IF($F38="s-curve",$D38+($E38-$D38)*$I$2/(1+EXP($I$3*(COUNT($H$9:M$9)+$I$4))),TREND($D38:$E38,$D$9:$E$9,M$9))</f>
        <v>0</v>
      </c>
      <c r="N38">
        <f>IF($F38="s-curve",$D38+($E38-$D38)*$I$2/(1+EXP($I$3*(COUNT($H$9:N$9)+$I$4))),TREND($D38:$E38,$D$9:$E$9,N$9))</f>
        <v>0</v>
      </c>
      <c r="O38">
        <f>IF($F38="s-curve",$D38+($E38-$D38)*$I$2/(1+EXP($I$3*(COUNT($H$9:O$9)+$I$4))),TREND($D38:$E38,$D$9:$E$9,O$9))</f>
        <v>0</v>
      </c>
      <c r="P38">
        <f>IF($F38="s-curve",$D38+($E38-$D38)*$I$2/(1+EXP($I$3*(COUNT($H$9:P$9)+$I$4))),TREND($D38:$E38,$D$9:$E$9,P$9))</f>
        <v>0</v>
      </c>
      <c r="Q38">
        <f>IF($F38="s-curve",$D38+($E38-$D38)*$I$2/(1+EXP($I$3*(COUNT($H$9:Q$9)+$I$4))),TREND($D38:$E38,$D$9:$E$9,Q$9))</f>
        <v>0</v>
      </c>
      <c r="R38">
        <f>IF($F38="s-curve",$D38+($E38-$D38)*$I$2/(1+EXP($I$3*(COUNT($H$9:R$9)+$I$4))),TREND($D38:$E38,$D$9:$E$9,R$9))</f>
        <v>0</v>
      </c>
      <c r="S38">
        <f>IF($F38="s-curve",$D38+($E38-$D38)*$I$2/(1+EXP($I$3*(COUNT($H$9:S$9)+$I$4))),TREND($D38:$E38,$D$9:$E$9,S$9))</f>
        <v>0</v>
      </c>
      <c r="T38">
        <f>IF($F38="s-curve",$D38+($E38-$D38)*$I$2/(1+EXP($I$3*(COUNT($H$9:T$9)+$I$4))),TREND($D38:$E38,$D$9:$E$9,T$9))</f>
        <v>0</v>
      </c>
      <c r="U38">
        <f>IF($F38="s-curve",$D38+($E38-$D38)*$I$2/(1+EXP($I$3*(COUNT($H$9:U$9)+$I$4))),TREND($D38:$E38,$D$9:$E$9,U$9))</f>
        <v>0</v>
      </c>
      <c r="V38">
        <f>IF($F38="s-curve",$D38+($E38-$D38)*$I$2/(1+EXP($I$3*(COUNT($H$9:V$9)+$I$4))),TREND($D38:$E38,$D$9:$E$9,V$9))</f>
        <v>0</v>
      </c>
      <c r="W38">
        <f>IF($F38="s-curve",$D38+($E38-$D38)*$I$2/(1+EXP($I$3*(COUNT($H$9:W$9)+$I$4))),TREND($D38:$E38,$D$9:$E$9,W$9))</f>
        <v>0</v>
      </c>
      <c r="X38">
        <f>IF($F38="s-curve",$D38+($E38-$D38)*$I$2/(1+EXP($I$3*(COUNT($H$9:X$9)+$I$4))),TREND($D38:$E38,$D$9:$E$9,X$9))</f>
        <v>0</v>
      </c>
      <c r="Y38">
        <f>IF($F38="s-curve",$D38+($E38-$D38)*$I$2/(1+EXP($I$3*(COUNT($H$9:Y$9)+$I$4))),TREND($D38:$E38,$D$9:$E$9,Y$9))</f>
        <v>0</v>
      </c>
      <c r="Z38">
        <f>IF($F38="s-curve",$D38+($E38-$D38)*$I$2/(1+EXP($I$3*(COUNT($H$9:Z$9)+$I$4))),TREND($D38:$E38,$D$9:$E$9,Z$9))</f>
        <v>0</v>
      </c>
      <c r="AA38">
        <f>IF($F38="s-curve",$D38+($E38-$D38)*$I$2/(1+EXP($I$3*(COUNT($H$9:AA$9)+$I$4))),TREND($D38:$E38,$D$9:$E$9,AA$9))</f>
        <v>0</v>
      </c>
      <c r="AB38">
        <f>IF($F38="s-curve",$D38+($E38-$D38)*$I$2/(1+EXP($I$3*(COUNT($H$9:AB$9)+$I$4))),TREND($D38:$E38,$D$9:$E$9,AB$9))</f>
        <v>0</v>
      </c>
      <c r="AC38">
        <f>IF($F38="s-curve",$D38+($E38-$D38)*$I$2/(1+EXP($I$3*(COUNT($H$9:AC$9)+$I$4))),TREND($D38:$E38,$D$9:$E$9,AC$9))</f>
        <v>0</v>
      </c>
      <c r="AD38">
        <f>IF($F38="s-curve",$D38+($E38-$D38)*$I$2/(1+EXP($I$3*(COUNT($H$9:AD$9)+$I$4))),TREND($D38:$E38,$D$9:$E$9,AD$9))</f>
        <v>0</v>
      </c>
      <c r="AE38">
        <f>IF($F38="s-curve",$D38+($E38-$D38)*$I$2/(1+EXP($I$3*(COUNT($H$9:AE$9)+$I$4))),TREND($D38:$E38,$D$9:$E$9,AE$9))</f>
        <v>0</v>
      </c>
      <c r="AF38">
        <f>IF($F38="s-curve",$D38+($E38-$D38)*$I$2/(1+EXP($I$3*(COUNT($H$9:AF$9)+$I$4))),TREND($D38:$E38,$D$9:$E$9,AF$9))</f>
        <v>0</v>
      </c>
      <c r="AG38">
        <f>IF($F38="s-curve",$D38+($E38-$D38)*$I$2/(1+EXP($I$3*(COUNT($H$9:AG$9)+$I$4))),TREND($D38:$E38,$D$9:$E$9,AG$9))</f>
        <v>0</v>
      </c>
      <c r="AH38">
        <f>IF($F38="s-curve",$D38+($E38-$D38)*$I$2/(1+EXP($I$3*(COUNT($H$9:AH$9)+$I$4))),TREND($D38:$E38,$D$9:$E$9,AH$9))</f>
        <v>0</v>
      </c>
      <c r="AI38">
        <f>IF($F38="s-curve",$D38+($E38-$D38)*$I$2/(1+EXP($I$3*(COUNT($H$9:AI$9)+$I$4))),TREND($D38:$E38,$D$9:$E$9,AI$9))</f>
        <v>0</v>
      </c>
      <c r="AJ38">
        <f>IF($F38="s-curve",$D38+($E38-$D38)*$I$2/(1+EXP($I$3*(COUNT($H$9:AJ$9)+$I$4))),TREND($D38:$E38,$D$9:$E$9,AJ$9))</f>
        <v>0</v>
      </c>
      <c r="AK38">
        <f>IF($F38="s-curve",$D38+($E38-$D38)*$I$2/(1+EXP($I$3*(COUNT($H$9:AK$9)+$I$4))),TREND($D38:$E38,$D$9:$E$9,AK$9))</f>
        <v>0</v>
      </c>
      <c r="AL38">
        <f>IF($F38="s-curve",$D38+($E38-$D38)*$I$2/(1+EXP($I$3*(COUNT($H$9:AL$9)+$I$4))),TREND($D38:$E38,$D$9:$E$9,AL$9))</f>
        <v>0</v>
      </c>
    </row>
    <row r="39" spans="1:38">
      <c r="C39" t="s">
        <v>2</v>
      </c>
      <c r="D39">
        <v>0</v>
      </c>
      <c r="E39">
        <v>0</v>
      </c>
      <c r="F39" s="6" t="str">
        <f>IF(D39=E39,"n/a",IF(OR(C39="battery electric vehicle",C39="natural gas vehicle",C39="plugin hybrid vehicle"),"s-curve","linear"))</f>
        <v>n/a</v>
      </c>
      <c r="H39" s="20">
        <f t="shared" si="23"/>
        <v>0</v>
      </c>
      <c r="I39">
        <f>IF($F39="s-curve",$D39+($E39-$D39)*$I$2/(1+EXP($I$3*(COUNT($H$9:I$9)+$I$4))),TREND($D39:$E39,$D$9:$E$9,I$9))</f>
        <v>0</v>
      </c>
      <c r="J39">
        <f>IF($F39="s-curve",$D39+($E39-$D39)*$I$2/(1+EXP($I$3*(COUNT($H$9:J$9)+$I$4))),TREND($D39:$E39,$D$9:$E$9,J$9))</f>
        <v>0</v>
      </c>
      <c r="K39">
        <f>IF($F39="s-curve",$D39+($E39-$D39)*$I$2/(1+EXP($I$3*(COUNT($H$9:K$9)+$I$4))),TREND($D39:$E39,$D$9:$E$9,K$9))</f>
        <v>0</v>
      </c>
      <c r="L39">
        <f>IF($F39="s-curve",$D39+($E39-$D39)*$I$2/(1+EXP($I$3*(COUNT($H$9:L$9)+$I$4))),TREND($D39:$E39,$D$9:$E$9,L$9))</f>
        <v>0</v>
      </c>
      <c r="M39">
        <f>IF($F39="s-curve",$D39+($E39-$D39)*$I$2/(1+EXP($I$3*(COUNT($H$9:M$9)+$I$4))),TREND($D39:$E39,$D$9:$E$9,M$9))</f>
        <v>0</v>
      </c>
      <c r="N39">
        <f>IF($F39="s-curve",$D39+($E39-$D39)*$I$2/(1+EXP($I$3*(COUNT($H$9:N$9)+$I$4))),TREND($D39:$E39,$D$9:$E$9,N$9))</f>
        <v>0</v>
      </c>
      <c r="O39">
        <f>IF($F39="s-curve",$D39+($E39-$D39)*$I$2/(1+EXP($I$3*(COUNT($H$9:O$9)+$I$4))),TREND($D39:$E39,$D$9:$E$9,O$9))</f>
        <v>0</v>
      </c>
      <c r="P39">
        <f>IF($F39="s-curve",$D39+($E39-$D39)*$I$2/(1+EXP($I$3*(COUNT($H$9:P$9)+$I$4))),TREND($D39:$E39,$D$9:$E$9,P$9))</f>
        <v>0</v>
      </c>
      <c r="Q39">
        <f>IF($F39="s-curve",$D39+($E39-$D39)*$I$2/(1+EXP($I$3*(COUNT($H$9:Q$9)+$I$4))),TREND($D39:$E39,$D$9:$E$9,Q$9))</f>
        <v>0</v>
      </c>
      <c r="R39">
        <f>IF($F39="s-curve",$D39+($E39-$D39)*$I$2/(1+EXP($I$3*(COUNT($H$9:R$9)+$I$4))),TREND($D39:$E39,$D$9:$E$9,R$9))</f>
        <v>0</v>
      </c>
      <c r="S39">
        <f>IF($F39="s-curve",$D39+($E39-$D39)*$I$2/(1+EXP($I$3*(COUNT($H$9:S$9)+$I$4))),TREND($D39:$E39,$D$9:$E$9,S$9))</f>
        <v>0</v>
      </c>
      <c r="T39">
        <f>IF($F39="s-curve",$D39+($E39-$D39)*$I$2/(1+EXP($I$3*(COUNT($H$9:T$9)+$I$4))),TREND($D39:$E39,$D$9:$E$9,T$9))</f>
        <v>0</v>
      </c>
      <c r="U39">
        <f>IF($F39="s-curve",$D39+($E39-$D39)*$I$2/(1+EXP($I$3*(COUNT($H$9:U$9)+$I$4))),TREND($D39:$E39,$D$9:$E$9,U$9))</f>
        <v>0</v>
      </c>
      <c r="V39">
        <f>IF($F39="s-curve",$D39+($E39-$D39)*$I$2/(1+EXP($I$3*(COUNT($H$9:V$9)+$I$4))),TREND($D39:$E39,$D$9:$E$9,V$9))</f>
        <v>0</v>
      </c>
      <c r="W39">
        <f>IF($F39="s-curve",$D39+($E39-$D39)*$I$2/(1+EXP($I$3*(COUNT($H$9:W$9)+$I$4))),TREND($D39:$E39,$D$9:$E$9,W$9))</f>
        <v>0</v>
      </c>
      <c r="X39">
        <f>IF($F39="s-curve",$D39+($E39-$D39)*$I$2/(1+EXP($I$3*(COUNT($H$9:X$9)+$I$4))),TREND($D39:$E39,$D$9:$E$9,X$9))</f>
        <v>0</v>
      </c>
      <c r="Y39">
        <f>IF($F39="s-curve",$D39+($E39-$D39)*$I$2/(1+EXP($I$3*(COUNT($H$9:Y$9)+$I$4))),TREND($D39:$E39,$D$9:$E$9,Y$9))</f>
        <v>0</v>
      </c>
      <c r="Z39">
        <f>IF($F39="s-curve",$D39+($E39-$D39)*$I$2/(1+EXP($I$3*(COUNT($H$9:Z$9)+$I$4))),TREND($D39:$E39,$D$9:$E$9,Z$9))</f>
        <v>0</v>
      </c>
      <c r="AA39">
        <f>IF($F39="s-curve",$D39+($E39-$D39)*$I$2/(1+EXP($I$3*(COUNT($H$9:AA$9)+$I$4))),TREND($D39:$E39,$D$9:$E$9,AA$9))</f>
        <v>0</v>
      </c>
      <c r="AB39">
        <f>IF($F39="s-curve",$D39+($E39-$D39)*$I$2/(1+EXP($I$3*(COUNT($H$9:AB$9)+$I$4))),TREND($D39:$E39,$D$9:$E$9,AB$9))</f>
        <v>0</v>
      </c>
      <c r="AC39">
        <f>IF($F39="s-curve",$D39+($E39-$D39)*$I$2/(1+EXP($I$3*(COUNT($H$9:AC$9)+$I$4))),TREND($D39:$E39,$D$9:$E$9,AC$9))</f>
        <v>0</v>
      </c>
      <c r="AD39">
        <f>IF($F39="s-curve",$D39+($E39-$D39)*$I$2/(1+EXP($I$3*(COUNT($H$9:AD$9)+$I$4))),TREND($D39:$E39,$D$9:$E$9,AD$9))</f>
        <v>0</v>
      </c>
      <c r="AE39">
        <f>IF($F39="s-curve",$D39+($E39-$D39)*$I$2/(1+EXP($I$3*(COUNT($H$9:AE$9)+$I$4))),TREND($D39:$E39,$D$9:$E$9,AE$9))</f>
        <v>0</v>
      </c>
      <c r="AF39">
        <f>IF($F39="s-curve",$D39+($E39-$D39)*$I$2/(1+EXP($I$3*(COUNT($H$9:AF$9)+$I$4))),TREND($D39:$E39,$D$9:$E$9,AF$9))</f>
        <v>0</v>
      </c>
      <c r="AG39">
        <f>IF($F39="s-curve",$D39+($E39-$D39)*$I$2/(1+EXP($I$3*(COUNT($H$9:AG$9)+$I$4))),TREND($D39:$E39,$D$9:$E$9,AG$9))</f>
        <v>0</v>
      </c>
      <c r="AH39">
        <f>IF($F39="s-curve",$D39+($E39-$D39)*$I$2/(1+EXP($I$3*(COUNT($H$9:AH$9)+$I$4))),TREND($D39:$E39,$D$9:$E$9,AH$9))</f>
        <v>0</v>
      </c>
      <c r="AI39">
        <f>IF($F39="s-curve",$D39+($E39-$D39)*$I$2/(1+EXP($I$3*(COUNT($H$9:AI$9)+$I$4))),TREND($D39:$E39,$D$9:$E$9,AI$9))</f>
        <v>0</v>
      </c>
      <c r="AJ39">
        <f>IF($F39="s-curve",$D39+($E39-$D39)*$I$2/(1+EXP($I$3*(COUNT($H$9:AJ$9)+$I$4))),TREND($D39:$E39,$D$9:$E$9,AJ$9))</f>
        <v>0</v>
      </c>
      <c r="AK39">
        <f>IF($F39="s-curve",$D39+($E39-$D39)*$I$2/(1+EXP($I$3*(COUNT($H$9:AK$9)+$I$4))),TREND($D39:$E39,$D$9:$E$9,AK$9))</f>
        <v>0</v>
      </c>
      <c r="AL39">
        <f>IF($F39="s-curve",$D39+($E39-$D39)*$I$2/(1+EXP($I$3*(COUNT($H$9:AL$9)+$I$4))),TREND($D39:$E39,$D$9:$E$9,AL$9))</f>
        <v>0</v>
      </c>
    </row>
    <row r="40" spans="1:38">
      <c r="C40" t="s">
        <v>3</v>
      </c>
      <c r="D40">
        <v>0</v>
      </c>
      <c r="E40">
        <v>0</v>
      </c>
      <c r="F40" s="6" t="str">
        <f>IF(D40=E40,"n/a",IF(OR(C40="battery electric vehicle",C40="natural gas vehicle",C40="plugin hybrid vehicle"),"s-curve","linear"))</f>
        <v>n/a</v>
      </c>
      <c r="H40" s="20">
        <f t="shared" si="23"/>
        <v>0</v>
      </c>
      <c r="I40">
        <f>IF($F40="s-curve",$D40+($E40-$D40)*$I$2/(1+EXP($I$3*(COUNT($H$9:I$9)+$I$4))),TREND($D40:$E40,$D$9:$E$9,I$9))</f>
        <v>0</v>
      </c>
      <c r="J40">
        <f>IF($F40="s-curve",$D40+($E40-$D40)*$I$2/(1+EXP($I$3*(COUNT($H$9:J$9)+$I$4))),TREND($D40:$E40,$D$9:$E$9,J$9))</f>
        <v>0</v>
      </c>
      <c r="K40">
        <f>IF($F40="s-curve",$D40+($E40-$D40)*$I$2/(1+EXP($I$3*(COUNT($H$9:K$9)+$I$4))),TREND($D40:$E40,$D$9:$E$9,K$9))</f>
        <v>0</v>
      </c>
      <c r="L40">
        <f>IF($F40="s-curve",$D40+($E40-$D40)*$I$2/(1+EXP($I$3*(COUNT($H$9:L$9)+$I$4))),TREND($D40:$E40,$D$9:$E$9,L$9))</f>
        <v>0</v>
      </c>
      <c r="M40">
        <f>IF($F40="s-curve",$D40+($E40-$D40)*$I$2/(1+EXP($I$3*(COUNT($H$9:M$9)+$I$4))),TREND($D40:$E40,$D$9:$E$9,M$9))</f>
        <v>0</v>
      </c>
      <c r="N40">
        <f>IF($F40="s-curve",$D40+($E40-$D40)*$I$2/(1+EXP($I$3*(COUNT($H$9:N$9)+$I$4))),TREND($D40:$E40,$D$9:$E$9,N$9))</f>
        <v>0</v>
      </c>
      <c r="O40">
        <f>IF($F40="s-curve",$D40+($E40-$D40)*$I$2/(1+EXP($I$3*(COUNT($H$9:O$9)+$I$4))),TREND($D40:$E40,$D$9:$E$9,O$9))</f>
        <v>0</v>
      </c>
      <c r="P40">
        <f>IF($F40="s-curve",$D40+($E40-$D40)*$I$2/(1+EXP($I$3*(COUNT($H$9:P$9)+$I$4))),TREND($D40:$E40,$D$9:$E$9,P$9))</f>
        <v>0</v>
      </c>
      <c r="Q40">
        <f>IF($F40="s-curve",$D40+($E40-$D40)*$I$2/(1+EXP($I$3*(COUNT($H$9:Q$9)+$I$4))),TREND($D40:$E40,$D$9:$E$9,Q$9))</f>
        <v>0</v>
      </c>
      <c r="R40">
        <f>IF($F40="s-curve",$D40+($E40-$D40)*$I$2/(1+EXP($I$3*(COUNT($H$9:R$9)+$I$4))),TREND($D40:$E40,$D$9:$E$9,R$9))</f>
        <v>0</v>
      </c>
      <c r="S40">
        <f>IF($F40="s-curve",$D40+($E40-$D40)*$I$2/(1+EXP($I$3*(COUNT($H$9:S$9)+$I$4))),TREND($D40:$E40,$D$9:$E$9,S$9))</f>
        <v>0</v>
      </c>
      <c r="T40">
        <f>IF($F40="s-curve",$D40+($E40-$D40)*$I$2/(1+EXP($I$3*(COUNT($H$9:T$9)+$I$4))),TREND($D40:$E40,$D$9:$E$9,T$9))</f>
        <v>0</v>
      </c>
      <c r="U40">
        <f>IF($F40="s-curve",$D40+($E40-$D40)*$I$2/(1+EXP($I$3*(COUNT($H$9:U$9)+$I$4))),TREND($D40:$E40,$D$9:$E$9,U$9))</f>
        <v>0</v>
      </c>
      <c r="V40">
        <f>IF($F40="s-curve",$D40+($E40-$D40)*$I$2/(1+EXP($I$3*(COUNT($H$9:V$9)+$I$4))),TREND($D40:$E40,$D$9:$E$9,V$9))</f>
        <v>0</v>
      </c>
      <c r="W40">
        <f>IF($F40="s-curve",$D40+($E40-$D40)*$I$2/(1+EXP($I$3*(COUNT($H$9:W$9)+$I$4))),TREND($D40:$E40,$D$9:$E$9,W$9))</f>
        <v>0</v>
      </c>
      <c r="X40">
        <f>IF($F40="s-curve",$D40+($E40-$D40)*$I$2/(1+EXP($I$3*(COUNT($H$9:X$9)+$I$4))),TREND($D40:$E40,$D$9:$E$9,X$9))</f>
        <v>0</v>
      </c>
      <c r="Y40">
        <f>IF($F40="s-curve",$D40+($E40-$D40)*$I$2/(1+EXP($I$3*(COUNT($H$9:Y$9)+$I$4))),TREND($D40:$E40,$D$9:$E$9,Y$9))</f>
        <v>0</v>
      </c>
      <c r="Z40">
        <f>IF($F40="s-curve",$D40+($E40-$D40)*$I$2/(1+EXP($I$3*(COUNT($H$9:Z$9)+$I$4))),TREND($D40:$E40,$D$9:$E$9,Z$9))</f>
        <v>0</v>
      </c>
      <c r="AA40">
        <f>IF($F40="s-curve",$D40+($E40-$D40)*$I$2/(1+EXP($I$3*(COUNT($H$9:AA$9)+$I$4))),TREND($D40:$E40,$D$9:$E$9,AA$9))</f>
        <v>0</v>
      </c>
      <c r="AB40">
        <f>IF($F40="s-curve",$D40+($E40-$D40)*$I$2/(1+EXP($I$3*(COUNT($H$9:AB$9)+$I$4))),TREND($D40:$E40,$D$9:$E$9,AB$9))</f>
        <v>0</v>
      </c>
      <c r="AC40">
        <f>IF($F40="s-curve",$D40+($E40-$D40)*$I$2/(1+EXP($I$3*(COUNT($H$9:AC$9)+$I$4))),TREND($D40:$E40,$D$9:$E$9,AC$9))</f>
        <v>0</v>
      </c>
      <c r="AD40">
        <f>IF($F40="s-curve",$D40+($E40-$D40)*$I$2/(1+EXP($I$3*(COUNT($H$9:AD$9)+$I$4))),TREND($D40:$E40,$D$9:$E$9,AD$9))</f>
        <v>0</v>
      </c>
      <c r="AE40">
        <f>IF($F40="s-curve",$D40+($E40-$D40)*$I$2/(1+EXP($I$3*(COUNT($H$9:AE$9)+$I$4))),TREND($D40:$E40,$D$9:$E$9,AE$9))</f>
        <v>0</v>
      </c>
      <c r="AF40">
        <f>IF($F40="s-curve",$D40+($E40-$D40)*$I$2/(1+EXP($I$3*(COUNT($H$9:AF$9)+$I$4))),TREND($D40:$E40,$D$9:$E$9,AF$9))</f>
        <v>0</v>
      </c>
      <c r="AG40">
        <f>IF($F40="s-curve",$D40+($E40-$D40)*$I$2/(1+EXP($I$3*(COUNT($H$9:AG$9)+$I$4))),TREND($D40:$E40,$D$9:$E$9,AG$9))</f>
        <v>0</v>
      </c>
      <c r="AH40">
        <f>IF($F40="s-curve",$D40+($E40-$D40)*$I$2/(1+EXP($I$3*(COUNT($H$9:AH$9)+$I$4))),TREND($D40:$E40,$D$9:$E$9,AH$9))</f>
        <v>0</v>
      </c>
      <c r="AI40">
        <f>IF($F40="s-curve",$D40+($E40-$D40)*$I$2/(1+EXP($I$3*(COUNT($H$9:AI$9)+$I$4))),TREND($D40:$E40,$D$9:$E$9,AI$9))</f>
        <v>0</v>
      </c>
      <c r="AJ40">
        <f>IF($F40="s-curve",$D40+($E40-$D40)*$I$2/(1+EXP($I$3*(COUNT($H$9:AJ$9)+$I$4))),TREND($D40:$E40,$D$9:$E$9,AJ$9))</f>
        <v>0</v>
      </c>
      <c r="AK40">
        <f>IF($F40="s-curve",$D40+($E40-$D40)*$I$2/(1+EXP($I$3*(COUNT($H$9:AK$9)+$I$4))),TREND($D40:$E40,$D$9:$E$9,AK$9))</f>
        <v>0</v>
      </c>
      <c r="AL40">
        <f>IF($F40="s-curve",$D40+($E40-$D40)*$I$2/(1+EXP($I$3*(COUNT($H$9:AL$9)+$I$4))),TREND($D40:$E40,$D$9:$E$9,AL$9))</f>
        <v>0</v>
      </c>
    </row>
    <row r="41" spans="1:38">
      <c r="C41" t="s">
        <v>4</v>
      </c>
      <c r="D41">
        <v>1</v>
      </c>
      <c r="E41">
        <v>1</v>
      </c>
      <c r="F41" s="6" t="str">
        <f>IF(D41=E41,"n/a",IF(OR(C41="battery electric vehicle",C41="natural gas vehicle",C41="plugin hybrid vehicle"),"s-curve","linear"))</f>
        <v>n/a</v>
      </c>
      <c r="H41" s="20">
        <f t="shared" ref="H41:H72" si="27">D41</f>
        <v>1</v>
      </c>
      <c r="I41">
        <f>IF($F41="s-curve",$D41+($E41-$D41)*$I$2/(1+EXP($I$3*(COUNT($H$9:I$9)+$I$4))),TREND($D41:$E41,$D$9:$E$9,I$9))</f>
        <v>1</v>
      </c>
      <c r="J41">
        <f>IF($F41="s-curve",$D41+($E41-$D41)*$I$2/(1+EXP($I$3*(COUNT($H$9:J$9)+$I$4))),TREND($D41:$E41,$D$9:$E$9,J$9))</f>
        <v>1</v>
      </c>
      <c r="K41">
        <f>IF($F41="s-curve",$D41+($E41-$D41)*$I$2/(1+EXP($I$3*(COUNT($H$9:K$9)+$I$4))),TREND($D41:$E41,$D$9:$E$9,K$9))</f>
        <v>1</v>
      </c>
      <c r="L41">
        <f>IF($F41="s-curve",$D41+($E41-$D41)*$I$2/(1+EXP($I$3*(COUNT($H$9:L$9)+$I$4))),TREND($D41:$E41,$D$9:$E$9,L$9))</f>
        <v>1</v>
      </c>
      <c r="M41">
        <f>IF($F41="s-curve",$D41+($E41-$D41)*$I$2/(1+EXP($I$3*(COUNT($H$9:M$9)+$I$4))),TREND($D41:$E41,$D$9:$E$9,M$9))</f>
        <v>1</v>
      </c>
      <c r="N41">
        <f>IF($F41="s-curve",$D41+($E41-$D41)*$I$2/(1+EXP($I$3*(COUNT($H$9:N$9)+$I$4))),TREND($D41:$E41,$D$9:$E$9,N$9))</f>
        <v>1</v>
      </c>
      <c r="O41">
        <f>IF($F41="s-curve",$D41+($E41-$D41)*$I$2/(1+EXP($I$3*(COUNT($H$9:O$9)+$I$4))),TREND($D41:$E41,$D$9:$E$9,O$9))</f>
        <v>1</v>
      </c>
      <c r="P41">
        <f>IF($F41="s-curve",$D41+($E41-$D41)*$I$2/(1+EXP($I$3*(COUNT($H$9:P$9)+$I$4))),TREND($D41:$E41,$D$9:$E$9,P$9))</f>
        <v>1</v>
      </c>
      <c r="Q41">
        <f>IF($F41="s-curve",$D41+($E41-$D41)*$I$2/(1+EXP($I$3*(COUNT($H$9:Q$9)+$I$4))),TREND($D41:$E41,$D$9:$E$9,Q$9))</f>
        <v>1</v>
      </c>
      <c r="R41">
        <f>IF($F41="s-curve",$D41+($E41-$D41)*$I$2/(1+EXP($I$3*(COUNT($H$9:R$9)+$I$4))),TREND($D41:$E41,$D$9:$E$9,R$9))</f>
        <v>1</v>
      </c>
      <c r="S41">
        <f>IF($F41="s-curve",$D41+($E41-$D41)*$I$2/(1+EXP($I$3*(COUNT($H$9:S$9)+$I$4))),TREND($D41:$E41,$D$9:$E$9,S$9))</f>
        <v>1</v>
      </c>
      <c r="T41">
        <f>IF($F41="s-curve",$D41+($E41-$D41)*$I$2/(1+EXP($I$3*(COUNT($H$9:T$9)+$I$4))),TREND($D41:$E41,$D$9:$E$9,T$9))</f>
        <v>1</v>
      </c>
      <c r="U41">
        <f>IF($F41="s-curve",$D41+($E41-$D41)*$I$2/(1+EXP($I$3*(COUNT($H$9:U$9)+$I$4))),TREND($D41:$E41,$D$9:$E$9,U$9))</f>
        <v>1</v>
      </c>
      <c r="V41">
        <f>IF($F41="s-curve",$D41+($E41-$D41)*$I$2/(1+EXP($I$3*(COUNT($H$9:V$9)+$I$4))),TREND($D41:$E41,$D$9:$E$9,V$9))</f>
        <v>1</v>
      </c>
      <c r="W41">
        <f>IF($F41="s-curve",$D41+($E41-$D41)*$I$2/(1+EXP($I$3*(COUNT($H$9:W$9)+$I$4))),TREND($D41:$E41,$D$9:$E$9,W$9))</f>
        <v>1</v>
      </c>
      <c r="X41">
        <f>IF($F41="s-curve",$D41+($E41-$D41)*$I$2/(1+EXP($I$3*(COUNT($H$9:X$9)+$I$4))),TREND($D41:$E41,$D$9:$E$9,X$9))</f>
        <v>1</v>
      </c>
      <c r="Y41">
        <f>IF($F41="s-curve",$D41+($E41-$D41)*$I$2/(1+EXP($I$3*(COUNT($H$9:Y$9)+$I$4))),TREND($D41:$E41,$D$9:$E$9,Y$9))</f>
        <v>1</v>
      </c>
      <c r="Z41">
        <f>IF($F41="s-curve",$D41+($E41-$D41)*$I$2/(1+EXP($I$3*(COUNT($H$9:Z$9)+$I$4))),TREND($D41:$E41,$D$9:$E$9,Z$9))</f>
        <v>1</v>
      </c>
      <c r="AA41">
        <f>IF($F41="s-curve",$D41+($E41-$D41)*$I$2/(1+EXP($I$3*(COUNT($H$9:AA$9)+$I$4))),TREND($D41:$E41,$D$9:$E$9,AA$9))</f>
        <v>1</v>
      </c>
      <c r="AB41">
        <f>IF($F41="s-curve",$D41+($E41-$D41)*$I$2/(1+EXP($I$3*(COUNT($H$9:AB$9)+$I$4))),TREND($D41:$E41,$D$9:$E$9,AB$9))</f>
        <v>1</v>
      </c>
      <c r="AC41">
        <f>IF($F41="s-curve",$D41+($E41-$D41)*$I$2/(1+EXP($I$3*(COUNT($H$9:AC$9)+$I$4))),TREND($D41:$E41,$D$9:$E$9,AC$9))</f>
        <v>1</v>
      </c>
      <c r="AD41">
        <f>IF($F41="s-curve",$D41+($E41-$D41)*$I$2/(1+EXP($I$3*(COUNT($H$9:AD$9)+$I$4))),TREND($D41:$E41,$D$9:$E$9,AD$9))</f>
        <v>1</v>
      </c>
      <c r="AE41">
        <f>IF($F41="s-curve",$D41+($E41-$D41)*$I$2/(1+EXP($I$3*(COUNT($H$9:AE$9)+$I$4))),TREND($D41:$E41,$D$9:$E$9,AE$9))</f>
        <v>1</v>
      </c>
      <c r="AF41">
        <f>IF($F41="s-curve",$D41+($E41-$D41)*$I$2/(1+EXP($I$3*(COUNT($H$9:AF$9)+$I$4))),TREND($D41:$E41,$D$9:$E$9,AF$9))</f>
        <v>1</v>
      </c>
      <c r="AG41">
        <f>IF($F41="s-curve",$D41+($E41-$D41)*$I$2/(1+EXP($I$3*(COUNT($H$9:AG$9)+$I$4))),TREND($D41:$E41,$D$9:$E$9,AG$9))</f>
        <v>1</v>
      </c>
      <c r="AH41">
        <f>IF($F41="s-curve",$D41+($E41-$D41)*$I$2/(1+EXP($I$3*(COUNT($H$9:AH$9)+$I$4))),TREND($D41:$E41,$D$9:$E$9,AH$9))</f>
        <v>1</v>
      </c>
      <c r="AI41">
        <f>IF($F41="s-curve",$D41+($E41-$D41)*$I$2/(1+EXP($I$3*(COUNT($H$9:AI$9)+$I$4))),TREND($D41:$E41,$D$9:$E$9,AI$9))</f>
        <v>1</v>
      </c>
      <c r="AJ41">
        <f>IF($F41="s-curve",$D41+($E41-$D41)*$I$2/(1+EXP($I$3*(COUNT($H$9:AJ$9)+$I$4))),TREND($D41:$E41,$D$9:$E$9,AJ$9))</f>
        <v>1</v>
      </c>
      <c r="AK41">
        <f>IF($F41="s-curve",$D41+($E41-$D41)*$I$2/(1+EXP($I$3*(COUNT($H$9:AK$9)+$I$4))),TREND($D41:$E41,$D$9:$E$9,AK$9))</f>
        <v>1</v>
      </c>
      <c r="AL41">
        <f>IF($F41="s-curve",$D41+($E41-$D41)*$I$2/(1+EXP($I$3*(COUNT($H$9:AL$9)+$I$4))),TREND($D41:$E41,$D$9:$E$9,AL$9))</f>
        <v>1</v>
      </c>
    </row>
    <row r="42" spans="1:38">
      <c r="C42" t="s">
        <v>5</v>
      </c>
      <c r="D42">
        <v>0</v>
      </c>
      <c r="E42">
        <v>0</v>
      </c>
      <c r="F42" s="6" t="str">
        <f>IF(D42=E42,"n/a",IF(OR(C42="battery electric vehicle",C42="natural gas vehicle",C42="plugin hybrid vehicle"),"s-curve","linear"))</f>
        <v>n/a</v>
      </c>
      <c r="H42" s="20">
        <f t="shared" si="27"/>
        <v>0</v>
      </c>
      <c r="I42">
        <f>IF($F42="s-curve",$D42+($E42-$D42)*$I$2/(1+EXP($I$3*(COUNT($H$9:I$9)+$I$4))),TREND($D42:$E42,$D$9:$E$9,I$9))</f>
        <v>0</v>
      </c>
      <c r="J42">
        <f>IF($F42="s-curve",$D42+($E42-$D42)*$I$2/(1+EXP($I$3*(COUNT($H$9:J$9)+$I$4))),TREND($D42:$E42,$D$9:$E$9,J$9))</f>
        <v>0</v>
      </c>
      <c r="K42">
        <f>IF($F42="s-curve",$D42+($E42-$D42)*$I$2/(1+EXP($I$3*(COUNT($H$9:K$9)+$I$4))),TREND($D42:$E42,$D$9:$E$9,K$9))</f>
        <v>0</v>
      </c>
      <c r="L42">
        <f>IF($F42="s-curve",$D42+($E42-$D42)*$I$2/(1+EXP($I$3*(COUNT($H$9:L$9)+$I$4))),TREND($D42:$E42,$D$9:$E$9,L$9))</f>
        <v>0</v>
      </c>
      <c r="M42">
        <f>IF($F42="s-curve",$D42+($E42-$D42)*$I$2/(1+EXP($I$3*(COUNT($H$9:M$9)+$I$4))),TREND($D42:$E42,$D$9:$E$9,M$9))</f>
        <v>0</v>
      </c>
      <c r="N42">
        <f>IF($F42="s-curve",$D42+($E42-$D42)*$I$2/(1+EXP($I$3*(COUNT($H$9:N$9)+$I$4))),TREND($D42:$E42,$D$9:$E$9,N$9))</f>
        <v>0</v>
      </c>
      <c r="O42">
        <f>IF($F42="s-curve",$D42+($E42-$D42)*$I$2/(1+EXP($I$3*(COUNT($H$9:O$9)+$I$4))),TREND($D42:$E42,$D$9:$E$9,O$9))</f>
        <v>0</v>
      </c>
      <c r="P42">
        <f>IF($F42="s-curve",$D42+($E42-$D42)*$I$2/(1+EXP($I$3*(COUNT($H$9:P$9)+$I$4))),TREND($D42:$E42,$D$9:$E$9,P$9))</f>
        <v>0</v>
      </c>
      <c r="Q42">
        <f>IF($F42="s-curve",$D42+($E42-$D42)*$I$2/(1+EXP($I$3*(COUNT($H$9:Q$9)+$I$4))),TREND($D42:$E42,$D$9:$E$9,Q$9))</f>
        <v>0</v>
      </c>
      <c r="R42">
        <f>IF($F42="s-curve",$D42+($E42-$D42)*$I$2/(1+EXP($I$3*(COUNT($H$9:R$9)+$I$4))),TREND($D42:$E42,$D$9:$E$9,R$9))</f>
        <v>0</v>
      </c>
      <c r="S42">
        <f>IF($F42="s-curve",$D42+($E42-$D42)*$I$2/(1+EXP($I$3*(COUNT($H$9:S$9)+$I$4))),TREND($D42:$E42,$D$9:$E$9,S$9))</f>
        <v>0</v>
      </c>
      <c r="T42">
        <f>IF($F42="s-curve",$D42+($E42-$D42)*$I$2/(1+EXP($I$3*(COUNT($H$9:T$9)+$I$4))),TREND($D42:$E42,$D$9:$E$9,T$9))</f>
        <v>0</v>
      </c>
      <c r="U42">
        <f>IF($F42="s-curve",$D42+($E42-$D42)*$I$2/(1+EXP($I$3*(COUNT($H$9:U$9)+$I$4))),TREND($D42:$E42,$D$9:$E$9,U$9))</f>
        <v>0</v>
      </c>
      <c r="V42">
        <f>IF($F42="s-curve",$D42+($E42-$D42)*$I$2/(1+EXP($I$3*(COUNT($H$9:V$9)+$I$4))),TREND($D42:$E42,$D$9:$E$9,V$9))</f>
        <v>0</v>
      </c>
      <c r="W42">
        <f>IF($F42="s-curve",$D42+($E42-$D42)*$I$2/(1+EXP($I$3*(COUNT($H$9:W$9)+$I$4))),TREND($D42:$E42,$D$9:$E$9,W$9))</f>
        <v>0</v>
      </c>
      <c r="X42">
        <f>IF($F42="s-curve",$D42+($E42-$D42)*$I$2/(1+EXP($I$3*(COUNT($H$9:X$9)+$I$4))),TREND($D42:$E42,$D$9:$E$9,X$9))</f>
        <v>0</v>
      </c>
      <c r="Y42">
        <f>IF($F42="s-curve",$D42+($E42-$D42)*$I$2/(1+EXP($I$3*(COUNT($H$9:Y$9)+$I$4))),TREND($D42:$E42,$D$9:$E$9,Y$9))</f>
        <v>0</v>
      </c>
      <c r="Z42">
        <f>IF($F42="s-curve",$D42+($E42-$D42)*$I$2/(1+EXP($I$3*(COUNT($H$9:Z$9)+$I$4))),TREND($D42:$E42,$D$9:$E$9,Z$9))</f>
        <v>0</v>
      </c>
      <c r="AA42">
        <f>IF($F42="s-curve",$D42+($E42-$D42)*$I$2/(1+EXP($I$3*(COUNT($H$9:AA$9)+$I$4))),TREND($D42:$E42,$D$9:$E$9,AA$9))</f>
        <v>0</v>
      </c>
      <c r="AB42">
        <f>IF($F42="s-curve",$D42+($E42-$D42)*$I$2/(1+EXP($I$3*(COUNT($H$9:AB$9)+$I$4))),TREND($D42:$E42,$D$9:$E$9,AB$9))</f>
        <v>0</v>
      </c>
      <c r="AC42">
        <f>IF($F42="s-curve",$D42+($E42-$D42)*$I$2/(1+EXP($I$3*(COUNT($H$9:AC$9)+$I$4))),TREND($D42:$E42,$D$9:$E$9,AC$9))</f>
        <v>0</v>
      </c>
      <c r="AD42">
        <f>IF($F42="s-curve",$D42+($E42-$D42)*$I$2/(1+EXP($I$3*(COUNT($H$9:AD$9)+$I$4))),TREND($D42:$E42,$D$9:$E$9,AD$9))</f>
        <v>0</v>
      </c>
      <c r="AE42">
        <f>IF($F42="s-curve",$D42+($E42-$D42)*$I$2/(1+EXP($I$3*(COUNT($H$9:AE$9)+$I$4))),TREND($D42:$E42,$D$9:$E$9,AE$9))</f>
        <v>0</v>
      </c>
      <c r="AF42">
        <f>IF($F42="s-curve",$D42+($E42-$D42)*$I$2/(1+EXP($I$3*(COUNT($H$9:AF$9)+$I$4))),TREND($D42:$E42,$D$9:$E$9,AF$9))</f>
        <v>0</v>
      </c>
      <c r="AG42">
        <f>IF($F42="s-curve",$D42+($E42-$D42)*$I$2/(1+EXP($I$3*(COUNT($H$9:AG$9)+$I$4))),TREND($D42:$E42,$D$9:$E$9,AG$9))</f>
        <v>0</v>
      </c>
      <c r="AH42">
        <f>IF($F42="s-curve",$D42+($E42-$D42)*$I$2/(1+EXP($I$3*(COUNT($H$9:AH$9)+$I$4))),TREND($D42:$E42,$D$9:$E$9,AH$9))</f>
        <v>0</v>
      </c>
      <c r="AI42">
        <f>IF($F42="s-curve",$D42+($E42-$D42)*$I$2/(1+EXP($I$3*(COUNT($H$9:AI$9)+$I$4))),TREND($D42:$E42,$D$9:$E$9,AI$9))</f>
        <v>0</v>
      </c>
      <c r="AJ42">
        <f>IF($F42="s-curve",$D42+($E42-$D42)*$I$2/(1+EXP($I$3*(COUNT($H$9:AJ$9)+$I$4))),TREND($D42:$E42,$D$9:$E$9,AJ$9))</f>
        <v>0</v>
      </c>
      <c r="AK42">
        <f>IF($F42="s-curve",$D42+($E42-$D42)*$I$2/(1+EXP($I$3*(COUNT($H$9:AK$9)+$I$4))),TREND($D42:$E42,$D$9:$E$9,AK$9))</f>
        <v>0</v>
      </c>
      <c r="AL42">
        <f>IF($F42="s-curve",$D42+($E42-$D42)*$I$2/(1+EXP($I$3*(COUNT($H$9:AL$9)+$I$4))),TREND($D42:$E42,$D$9:$E$9,AL$9))</f>
        <v>0</v>
      </c>
    </row>
    <row r="43" spans="1:38">
      <c r="C43" t="s">
        <v>78</v>
      </c>
      <c r="D43">
        <v>0</v>
      </c>
      <c r="E43">
        <v>0</v>
      </c>
      <c r="F43" s="6" t="str">
        <f>IF(D43=E43,"n/a",IF(OR(C43="battery electric vehicle",C43="natural gas vehicle",C43="plugin hybrid vehicle",C43="hydrogen vehicle"),"s-curve","linear"))</f>
        <v>n/a</v>
      </c>
      <c r="H43" s="20">
        <f t="shared" si="27"/>
        <v>0</v>
      </c>
      <c r="I43">
        <f>IF($F43="s-curve",$D43+($E43-$D43)*$I$2/(1+EXP($I$3*(COUNT($H$9:I$9)+$I$4))),TREND($D43:$E43,$D$9:$E$9,I$9))</f>
        <v>0</v>
      </c>
      <c r="J43">
        <f>IF($F43="s-curve",$D43+($E43-$D43)*$I$2/(1+EXP($I$3*(COUNT($H$9:J$9)+$I$4))),TREND($D43:$E43,$D$9:$E$9,J$9))</f>
        <v>0</v>
      </c>
      <c r="K43">
        <f>IF($F43="s-curve",$D43+($E43-$D43)*$I$2/(1+EXP($I$3*(COUNT($H$9:K$9)+$I$4))),TREND($D43:$E43,$D$9:$E$9,K$9))</f>
        <v>0</v>
      </c>
      <c r="L43">
        <f>IF($F43="s-curve",$D43+($E43-$D43)*$I$2/(1+EXP($I$3*(COUNT($H$9:L$9)+$I$4))),TREND($D43:$E43,$D$9:$E$9,L$9))</f>
        <v>0</v>
      </c>
      <c r="M43">
        <f>IF($F43="s-curve",$D43+($E43-$D43)*$I$2/(1+EXP($I$3*(COUNT($H$9:M$9)+$I$4))),TREND($D43:$E43,$D$9:$E$9,M$9))</f>
        <v>0</v>
      </c>
      <c r="N43">
        <f>IF($F43="s-curve",$D43+($E43-$D43)*$I$2/(1+EXP($I$3*(COUNT($H$9:N$9)+$I$4))),TREND($D43:$E43,$D$9:$E$9,N$9))</f>
        <v>0</v>
      </c>
      <c r="O43">
        <f>IF($F43="s-curve",$D43+($E43-$D43)*$I$2/(1+EXP($I$3*(COUNT($H$9:O$9)+$I$4))),TREND($D43:$E43,$D$9:$E$9,O$9))</f>
        <v>0</v>
      </c>
      <c r="P43">
        <f>IF($F43="s-curve",$D43+($E43-$D43)*$I$2/(1+EXP($I$3*(COUNT($H$9:P$9)+$I$4))),TREND($D43:$E43,$D$9:$E$9,P$9))</f>
        <v>0</v>
      </c>
      <c r="Q43">
        <f>IF($F43="s-curve",$D43+($E43-$D43)*$I$2/(1+EXP($I$3*(COUNT($H$9:Q$9)+$I$4))),TREND($D43:$E43,$D$9:$E$9,Q$9))</f>
        <v>0</v>
      </c>
      <c r="R43">
        <f>IF($F43="s-curve",$D43+($E43-$D43)*$I$2/(1+EXP($I$3*(COUNT($H$9:R$9)+$I$4))),TREND($D43:$E43,$D$9:$E$9,R$9))</f>
        <v>0</v>
      </c>
      <c r="S43">
        <f>IF($F43="s-curve",$D43+($E43-$D43)*$I$2/(1+EXP($I$3*(COUNT($H$9:S$9)+$I$4))),TREND($D43:$E43,$D$9:$E$9,S$9))</f>
        <v>0</v>
      </c>
      <c r="T43">
        <f>IF($F43="s-curve",$D43+($E43-$D43)*$I$2/(1+EXP($I$3*(COUNT($H$9:T$9)+$I$4))),TREND($D43:$E43,$D$9:$E$9,T$9))</f>
        <v>0</v>
      </c>
      <c r="U43">
        <f>IF($F43="s-curve",$D43+($E43-$D43)*$I$2/(1+EXP($I$3*(COUNT($H$9:U$9)+$I$4))),TREND($D43:$E43,$D$9:$E$9,U$9))</f>
        <v>0</v>
      </c>
      <c r="V43">
        <f>IF($F43="s-curve",$D43+($E43-$D43)*$I$2/(1+EXP($I$3*(COUNT($H$9:V$9)+$I$4))),TREND($D43:$E43,$D$9:$E$9,V$9))</f>
        <v>0</v>
      </c>
      <c r="W43">
        <f>IF($F43="s-curve",$D43+($E43-$D43)*$I$2/(1+EXP($I$3*(COUNT($H$9:W$9)+$I$4))),TREND($D43:$E43,$D$9:$E$9,W$9))</f>
        <v>0</v>
      </c>
      <c r="X43">
        <f>IF($F43="s-curve",$D43+($E43-$D43)*$I$2/(1+EXP($I$3*(COUNT($H$9:X$9)+$I$4))),TREND($D43:$E43,$D$9:$E$9,X$9))</f>
        <v>0</v>
      </c>
      <c r="Y43">
        <f>IF($F43="s-curve",$D43+($E43-$D43)*$I$2/(1+EXP($I$3*(COUNT($H$9:Y$9)+$I$4))),TREND($D43:$E43,$D$9:$E$9,Y$9))</f>
        <v>0</v>
      </c>
      <c r="Z43">
        <f>IF($F43="s-curve",$D43+($E43-$D43)*$I$2/(1+EXP($I$3*(COUNT($H$9:Z$9)+$I$4))),TREND($D43:$E43,$D$9:$E$9,Z$9))</f>
        <v>0</v>
      </c>
      <c r="AA43">
        <f>IF($F43="s-curve",$D43+($E43-$D43)*$I$2/(1+EXP($I$3*(COUNT($H$9:AA$9)+$I$4))),TREND($D43:$E43,$D$9:$E$9,AA$9))</f>
        <v>0</v>
      </c>
      <c r="AB43">
        <f>IF($F43="s-curve",$D43+($E43-$D43)*$I$2/(1+EXP($I$3*(COUNT($H$9:AB$9)+$I$4))),TREND($D43:$E43,$D$9:$E$9,AB$9))</f>
        <v>0</v>
      </c>
      <c r="AC43">
        <f>IF($F43="s-curve",$D43+($E43-$D43)*$I$2/(1+EXP($I$3*(COUNT($H$9:AC$9)+$I$4))),TREND($D43:$E43,$D$9:$E$9,AC$9))</f>
        <v>0</v>
      </c>
      <c r="AD43">
        <f>IF($F43="s-curve",$D43+($E43-$D43)*$I$2/(1+EXP($I$3*(COUNT($H$9:AD$9)+$I$4))),TREND($D43:$E43,$D$9:$E$9,AD$9))</f>
        <v>0</v>
      </c>
      <c r="AE43">
        <f>IF($F43="s-curve",$D43+($E43-$D43)*$I$2/(1+EXP($I$3*(COUNT($H$9:AE$9)+$I$4))),TREND($D43:$E43,$D$9:$E$9,AE$9))</f>
        <v>0</v>
      </c>
      <c r="AF43">
        <f>IF($F43="s-curve",$D43+($E43-$D43)*$I$2/(1+EXP($I$3*(COUNT($H$9:AF$9)+$I$4))),TREND($D43:$E43,$D$9:$E$9,AF$9))</f>
        <v>0</v>
      </c>
      <c r="AG43">
        <f>IF($F43="s-curve",$D43+($E43-$D43)*$I$2/(1+EXP($I$3*(COUNT($H$9:AG$9)+$I$4))),TREND($D43:$E43,$D$9:$E$9,AG$9))</f>
        <v>0</v>
      </c>
      <c r="AH43">
        <f>IF($F43="s-curve",$D43+($E43-$D43)*$I$2/(1+EXP($I$3*(COUNT($H$9:AH$9)+$I$4))),TREND($D43:$E43,$D$9:$E$9,AH$9))</f>
        <v>0</v>
      </c>
      <c r="AI43">
        <f>IF($F43="s-curve",$D43+($E43-$D43)*$I$2/(1+EXP($I$3*(COUNT($H$9:AI$9)+$I$4))),TREND($D43:$E43,$D$9:$E$9,AI$9))</f>
        <v>0</v>
      </c>
      <c r="AJ43">
        <f>IF($F43="s-curve",$D43+($E43-$D43)*$I$2/(1+EXP($I$3*(COUNT($H$9:AJ$9)+$I$4))),TREND($D43:$E43,$D$9:$E$9,AJ$9))</f>
        <v>0</v>
      </c>
      <c r="AK43">
        <f>IF($F43="s-curve",$D43+($E43-$D43)*$I$2/(1+EXP($I$3*(COUNT($H$9:AK$9)+$I$4))),TREND($D43:$E43,$D$9:$E$9,AK$9))</f>
        <v>0</v>
      </c>
      <c r="AL43">
        <f>IF($F43="s-curve",$D43+($E43-$D43)*$I$2/(1+EXP($I$3*(COUNT($H$9:AL$9)+$I$4))),TREND($D43:$E43,$D$9:$E$9,AL$9))</f>
        <v>0</v>
      </c>
    </row>
    <row r="44" spans="1:38" ht="15.75" thickBot="1">
      <c r="A44" s="21"/>
      <c r="B44" s="21"/>
      <c r="C44" s="21" t="s">
        <v>79</v>
      </c>
      <c r="D44" s="21">
        <v>0</v>
      </c>
      <c r="E44" s="21">
        <v>0</v>
      </c>
      <c r="F44" s="7" t="str">
        <f>IF(D44=E44,"n/a",IF(OR(C44="battery electric vehicle",C44="natural gas vehicle",C44="plugin hybrid vehicle",C44="hydrogen vehicle"),"s-curve","linear"))</f>
        <v>n/a</v>
      </c>
      <c r="H44" s="20">
        <f t="shared" si="27"/>
        <v>0</v>
      </c>
      <c r="I44">
        <f>IF($F44="s-curve",$D44+($E44-$D44)*$I$2/(1+EXP($I$3*(COUNT($H$9:I$9)+$I$4))),TREND($D44:$E44,$D$9:$E$9,I$9))</f>
        <v>0</v>
      </c>
      <c r="J44">
        <f>IF($F44="s-curve",$D44+($E44-$D44)*$I$2/(1+EXP($I$3*(COUNT($H$9:J$9)+$I$4))),TREND($D44:$E44,$D$9:$E$9,J$9))</f>
        <v>0</v>
      </c>
      <c r="K44">
        <f>IF($F44="s-curve",$D44+($E44-$D44)*$I$2/(1+EXP($I$3*(COUNT($H$9:K$9)+$I$4))),TREND($D44:$E44,$D$9:$E$9,K$9))</f>
        <v>0</v>
      </c>
      <c r="L44">
        <f>IF($F44="s-curve",$D44+($E44-$D44)*$I$2/(1+EXP($I$3*(COUNT($H$9:L$9)+$I$4))),TREND($D44:$E44,$D$9:$E$9,L$9))</f>
        <v>0</v>
      </c>
      <c r="M44">
        <f>IF($F44="s-curve",$D44+($E44-$D44)*$I$2/(1+EXP($I$3*(COUNT($H$9:M$9)+$I$4))),TREND($D44:$E44,$D$9:$E$9,M$9))</f>
        <v>0</v>
      </c>
      <c r="N44">
        <f>IF($F44="s-curve",$D44+($E44-$D44)*$I$2/(1+EXP($I$3*(COUNT($H$9:N$9)+$I$4))),TREND($D44:$E44,$D$9:$E$9,N$9))</f>
        <v>0</v>
      </c>
      <c r="O44">
        <f>IF($F44="s-curve",$D44+($E44-$D44)*$I$2/(1+EXP($I$3*(COUNT($H$9:O$9)+$I$4))),TREND($D44:$E44,$D$9:$E$9,O$9))</f>
        <v>0</v>
      </c>
      <c r="P44">
        <f>IF($F44="s-curve",$D44+($E44-$D44)*$I$2/(1+EXP($I$3*(COUNT($H$9:P$9)+$I$4))),TREND($D44:$E44,$D$9:$E$9,P$9))</f>
        <v>0</v>
      </c>
      <c r="Q44">
        <f>IF($F44="s-curve",$D44+($E44-$D44)*$I$2/(1+EXP($I$3*(COUNT($H$9:Q$9)+$I$4))),TREND($D44:$E44,$D$9:$E$9,Q$9))</f>
        <v>0</v>
      </c>
      <c r="R44">
        <f>IF($F44="s-curve",$D44+($E44-$D44)*$I$2/(1+EXP($I$3*(COUNT($H$9:R$9)+$I$4))),TREND($D44:$E44,$D$9:$E$9,R$9))</f>
        <v>0</v>
      </c>
      <c r="S44">
        <f>IF($F44="s-curve",$D44+($E44-$D44)*$I$2/(1+EXP($I$3*(COUNT($H$9:S$9)+$I$4))),TREND($D44:$E44,$D$9:$E$9,S$9))</f>
        <v>0</v>
      </c>
      <c r="T44">
        <f>IF($F44="s-curve",$D44+($E44-$D44)*$I$2/(1+EXP($I$3*(COUNT($H$9:T$9)+$I$4))),TREND($D44:$E44,$D$9:$E$9,T$9))</f>
        <v>0</v>
      </c>
      <c r="U44">
        <f>IF($F44="s-curve",$D44+($E44-$D44)*$I$2/(1+EXP($I$3*(COUNT($H$9:U$9)+$I$4))),TREND($D44:$E44,$D$9:$E$9,U$9))</f>
        <v>0</v>
      </c>
      <c r="V44">
        <f>IF($F44="s-curve",$D44+($E44-$D44)*$I$2/(1+EXP($I$3*(COUNT($H$9:V$9)+$I$4))),TREND($D44:$E44,$D$9:$E$9,V$9))</f>
        <v>0</v>
      </c>
      <c r="W44">
        <f>IF($F44="s-curve",$D44+($E44-$D44)*$I$2/(1+EXP($I$3*(COUNT($H$9:W$9)+$I$4))),TREND($D44:$E44,$D$9:$E$9,W$9))</f>
        <v>0</v>
      </c>
      <c r="X44">
        <f>IF($F44="s-curve",$D44+($E44-$D44)*$I$2/(1+EXP($I$3*(COUNT($H$9:X$9)+$I$4))),TREND($D44:$E44,$D$9:$E$9,X$9))</f>
        <v>0</v>
      </c>
      <c r="Y44">
        <f>IF($F44="s-curve",$D44+($E44-$D44)*$I$2/(1+EXP($I$3*(COUNT($H$9:Y$9)+$I$4))),TREND($D44:$E44,$D$9:$E$9,Y$9))</f>
        <v>0</v>
      </c>
      <c r="Z44">
        <f>IF($F44="s-curve",$D44+($E44-$D44)*$I$2/(1+EXP($I$3*(COUNT($H$9:Z$9)+$I$4))),TREND($D44:$E44,$D$9:$E$9,Z$9))</f>
        <v>0</v>
      </c>
      <c r="AA44">
        <f>IF($F44="s-curve",$D44+($E44-$D44)*$I$2/(1+EXP($I$3*(COUNT($H$9:AA$9)+$I$4))),TREND($D44:$E44,$D$9:$E$9,AA$9))</f>
        <v>0</v>
      </c>
      <c r="AB44">
        <f>IF($F44="s-curve",$D44+($E44-$D44)*$I$2/(1+EXP($I$3*(COUNT($H$9:AB$9)+$I$4))),TREND($D44:$E44,$D$9:$E$9,AB$9))</f>
        <v>0</v>
      </c>
      <c r="AC44">
        <f>IF($F44="s-curve",$D44+($E44-$D44)*$I$2/(1+EXP($I$3*(COUNT($H$9:AC$9)+$I$4))),TREND($D44:$E44,$D$9:$E$9,AC$9))</f>
        <v>0</v>
      </c>
      <c r="AD44">
        <f>IF($F44="s-curve",$D44+($E44-$D44)*$I$2/(1+EXP($I$3*(COUNT($H$9:AD$9)+$I$4))),TREND($D44:$E44,$D$9:$E$9,AD$9))</f>
        <v>0</v>
      </c>
      <c r="AE44">
        <f>IF($F44="s-curve",$D44+($E44-$D44)*$I$2/(1+EXP($I$3*(COUNT($H$9:AE$9)+$I$4))),TREND($D44:$E44,$D$9:$E$9,AE$9))</f>
        <v>0</v>
      </c>
      <c r="AF44">
        <f>IF($F44="s-curve",$D44+($E44-$D44)*$I$2/(1+EXP($I$3*(COUNT($H$9:AF$9)+$I$4))),TREND($D44:$E44,$D$9:$E$9,AF$9))</f>
        <v>0</v>
      </c>
      <c r="AG44">
        <f>IF($F44="s-curve",$D44+($E44-$D44)*$I$2/(1+EXP($I$3*(COUNT($H$9:AG$9)+$I$4))),TREND($D44:$E44,$D$9:$E$9,AG$9))</f>
        <v>0</v>
      </c>
      <c r="AH44">
        <f>IF($F44="s-curve",$D44+($E44-$D44)*$I$2/(1+EXP($I$3*(COUNT($H$9:AH$9)+$I$4))),TREND($D44:$E44,$D$9:$E$9,AH$9))</f>
        <v>0</v>
      </c>
      <c r="AI44">
        <f>IF($F44="s-curve",$D44+($E44-$D44)*$I$2/(1+EXP($I$3*(COUNT($H$9:AI$9)+$I$4))),TREND($D44:$E44,$D$9:$E$9,AI$9))</f>
        <v>0</v>
      </c>
      <c r="AJ44">
        <f>IF($F44="s-curve",$D44+($E44-$D44)*$I$2/(1+EXP($I$3*(COUNT($H$9:AJ$9)+$I$4))),TREND($D44:$E44,$D$9:$E$9,AJ$9))</f>
        <v>0</v>
      </c>
      <c r="AK44">
        <f>IF($F44="s-curve",$D44+($E44-$D44)*$I$2/(1+EXP($I$3*(COUNT($H$9:AK$9)+$I$4))),TREND($D44:$E44,$D$9:$E$9,AK$9))</f>
        <v>0</v>
      </c>
      <c r="AL44">
        <f>IF($F44="s-curve",$D44+($E44-$D44)*$I$2/(1+EXP($I$3*(COUNT($H$9:AL$9)+$I$4))),TREND($D44:$E44,$D$9:$E$9,AL$9))</f>
        <v>0</v>
      </c>
    </row>
    <row r="45" spans="1:38">
      <c r="A45" t="s">
        <v>14</v>
      </c>
      <c r="B45" t="s">
        <v>18</v>
      </c>
      <c r="C45" t="s">
        <v>1</v>
      </c>
      <c r="D45">
        <v>0</v>
      </c>
      <c r="E45">
        <v>0</v>
      </c>
      <c r="F45" s="6" t="str">
        <f>IF(D45=E45,"n/a",IF(OR(C45="battery electric vehicle",C45="natural gas vehicle",C45="plugin hybrid vehicle"),"s-curve","linear"))</f>
        <v>n/a</v>
      </c>
      <c r="H45" s="20">
        <f t="shared" si="27"/>
        <v>0</v>
      </c>
      <c r="I45">
        <f>IF($F45="s-curve",$D45+($E45-$D45)*$I$2/(1+EXP($I$3*(COUNT($H$9:I$9)+$I$4))),TREND($D45:$E45,$D$9:$E$9,I$9))</f>
        <v>0</v>
      </c>
      <c r="J45">
        <f>IF($F45="s-curve",$D45+($E45-$D45)*$I$2/(1+EXP($I$3*(COUNT($H$9:J$9)+$I$4))),TREND($D45:$E45,$D$9:$E$9,J$9))</f>
        <v>0</v>
      </c>
      <c r="K45">
        <f>IF($F45="s-curve",$D45+($E45-$D45)*$I$2/(1+EXP($I$3*(COUNT($H$9:K$9)+$I$4))),TREND($D45:$E45,$D$9:$E$9,K$9))</f>
        <v>0</v>
      </c>
      <c r="L45">
        <f>IF($F45="s-curve",$D45+($E45-$D45)*$I$2/(1+EXP($I$3*(COUNT($H$9:L$9)+$I$4))),TREND($D45:$E45,$D$9:$E$9,L$9))</f>
        <v>0</v>
      </c>
      <c r="M45">
        <f>IF($F45="s-curve",$D45+($E45-$D45)*$I$2/(1+EXP($I$3*(COUNT($H$9:M$9)+$I$4))),TREND($D45:$E45,$D$9:$E$9,M$9))</f>
        <v>0</v>
      </c>
      <c r="N45">
        <f>IF($F45="s-curve",$D45+($E45-$D45)*$I$2/(1+EXP($I$3*(COUNT($H$9:N$9)+$I$4))),TREND($D45:$E45,$D$9:$E$9,N$9))</f>
        <v>0</v>
      </c>
      <c r="O45">
        <f>IF($F45="s-curve",$D45+($E45-$D45)*$I$2/(1+EXP($I$3*(COUNT($H$9:O$9)+$I$4))),TREND($D45:$E45,$D$9:$E$9,O$9))</f>
        <v>0</v>
      </c>
      <c r="P45">
        <f>IF($F45="s-curve",$D45+($E45-$D45)*$I$2/(1+EXP($I$3*(COUNT($H$9:P$9)+$I$4))),TREND($D45:$E45,$D$9:$E$9,P$9))</f>
        <v>0</v>
      </c>
      <c r="Q45">
        <f>IF($F45="s-curve",$D45+($E45-$D45)*$I$2/(1+EXP($I$3*(COUNT($H$9:Q$9)+$I$4))),TREND($D45:$E45,$D$9:$E$9,Q$9))</f>
        <v>0</v>
      </c>
      <c r="R45">
        <f>IF($F45="s-curve",$D45+($E45-$D45)*$I$2/(1+EXP($I$3*(COUNT($H$9:R$9)+$I$4))),TREND($D45:$E45,$D$9:$E$9,R$9))</f>
        <v>0</v>
      </c>
      <c r="S45">
        <f>IF($F45="s-curve",$D45+($E45-$D45)*$I$2/(1+EXP($I$3*(COUNT($H$9:S$9)+$I$4))),TREND($D45:$E45,$D$9:$E$9,S$9))</f>
        <v>0</v>
      </c>
      <c r="T45">
        <f>IF($F45="s-curve",$D45+($E45-$D45)*$I$2/(1+EXP($I$3*(COUNT($H$9:T$9)+$I$4))),TREND($D45:$E45,$D$9:$E$9,T$9))</f>
        <v>0</v>
      </c>
      <c r="U45">
        <f>IF($F45="s-curve",$D45+($E45-$D45)*$I$2/(1+EXP($I$3*(COUNT($H$9:U$9)+$I$4))),TREND($D45:$E45,$D$9:$E$9,U$9))</f>
        <v>0</v>
      </c>
      <c r="V45">
        <f>IF($F45="s-curve",$D45+($E45-$D45)*$I$2/(1+EXP($I$3*(COUNT($H$9:V$9)+$I$4))),TREND($D45:$E45,$D$9:$E$9,V$9))</f>
        <v>0</v>
      </c>
      <c r="W45">
        <f>IF($F45="s-curve",$D45+($E45-$D45)*$I$2/(1+EXP($I$3*(COUNT($H$9:W$9)+$I$4))),TREND($D45:$E45,$D$9:$E$9,W$9))</f>
        <v>0</v>
      </c>
      <c r="X45">
        <f>IF($F45="s-curve",$D45+($E45-$D45)*$I$2/(1+EXP($I$3*(COUNT($H$9:X$9)+$I$4))),TREND($D45:$E45,$D$9:$E$9,X$9))</f>
        <v>0</v>
      </c>
      <c r="Y45">
        <f>IF($F45="s-curve",$D45+($E45-$D45)*$I$2/(1+EXP($I$3*(COUNT($H$9:Y$9)+$I$4))),TREND($D45:$E45,$D$9:$E$9,Y$9))</f>
        <v>0</v>
      </c>
      <c r="Z45">
        <f>IF($F45="s-curve",$D45+($E45-$D45)*$I$2/(1+EXP($I$3*(COUNT($H$9:Z$9)+$I$4))),TREND($D45:$E45,$D$9:$E$9,Z$9))</f>
        <v>0</v>
      </c>
      <c r="AA45">
        <f>IF($F45="s-curve",$D45+($E45-$D45)*$I$2/(1+EXP($I$3*(COUNT($H$9:AA$9)+$I$4))),TREND($D45:$E45,$D$9:$E$9,AA$9))</f>
        <v>0</v>
      </c>
      <c r="AB45">
        <f>IF($F45="s-curve",$D45+($E45-$D45)*$I$2/(1+EXP($I$3*(COUNT($H$9:AB$9)+$I$4))),TREND($D45:$E45,$D$9:$E$9,AB$9))</f>
        <v>0</v>
      </c>
      <c r="AC45">
        <f>IF($F45="s-curve",$D45+($E45-$D45)*$I$2/(1+EXP($I$3*(COUNT($H$9:AC$9)+$I$4))),TREND($D45:$E45,$D$9:$E$9,AC$9))</f>
        <v>0</v>
      </c>
      <c r="AD45">
        <f>IF($F45="s-curve",$D45+($E45-$D45)*$I$2/(1+EXP($I$3*(COUNT($H$9:AD$9)+$I$4))),TREND($D45:$E45,$D$9:$E$9,AD$9))</f>
        <v>0</v>
      </c>
      <c r="AE45">
        <f>IF($F45="s-curve",$D45+($E45-$D45)*$I$2/(1+EXP($I$3*(COUNT($H$9:AE$9)+$I$4))),TREND($D45:$E45,$D$9:$E$9,AE$9))</f>
        <v>0</v>
      </c>
      <c r="AF45">
        <f>IF($F45="s-curve",$D45+($E45-$D45)*$I$2/(1+EXP($I$3*(COUNT($H$9:AF$9)+$I$4))),TREND($D45:$E45,$D$9:$E$9,AF$9))</f>
        <v>0</v>
      </c>
      <c r="AG45">
        <f>IF($F45="s-curve",$D45+($E45-$D45)*$I$2/(1+EXP($I$3*(COUNT($H$9:AG$9)+$I$4))),TREND($D45:$E45,$D$9:$E$9,AG$9))</f>
        <v>0</v>
      </c>
      <c r="AH45">
        <f>IF($F45="s-curve",$D45+($E45-$D45)*$I$2/(1+EXP($I$3*(COUNT($H$9:AH$9)+$I$4))),TREND($D45:$E45,$D$9:$E$9,AH$9))</f>
        <v>0</v>
      </c>
      <c r="AI45">
        <f>IF($F45="s-curve",$D45+($E45-$D45)*$I$2/(1+EXP($I$3*(COUNT($H$9:AI$9)+$I$4))),TREND($D45:$E45,$D$9:$E$9,AI$9))</f>
        <v>0</v>
      </c>
      <c r="AJ45">
        <f>IF($F45="s-curve",$D45+($E45-$D45)*$I$2/(1+EXP($I$3*(COUNT($H$9:AJ$9)+$I$4))),TREND($D45:$E45,$D$9:$E$9,AJ$9))</f>
        <v>0</v>
      </c>
      <c r="AK45">
        <f>IF($F45="s-curve",$D45+($E45-$D45)*$I$2/(1+EXP($I$3*(COUNT($H$9:AK$9)+$I$4))),TREND($D45:$E45,$D$9:$E$9,AK$9))</f>
        <v>0</v>
      </c>
      <c r="AL45">
        <f>IF($F45="s-curve",$D45+($E45-$D45)*$I$2/(1+EXP($I$3*(COUNT($H$9:AL$9)+$I$4))),TREND($D45:$E45,$D$9:$E$9,AL$9))</f>
        <v>0</v>
      </c>
    </row>
    <row r="46" spans="1:38">
      <c r="C46" t="s">
        <v>2</v>
      </c>
      <c r="D46">
        <v>0</v>
      </c>
      <c r="E46">
        <v>0</v>
      </c>
      <c r="F46" s="6" t="str">
        <f>IF(D46=E46,"n/a",IF(OR(C46="battery electric vehicle",C46="natural gas vehicle",C46="plugin hybrid vehicle"),"s-curve","linear"))</f>
        <v>n/a</v>
      </c>
      <c r="H46" s="20">
        <f t="shared" si="27"/>
        <v>0</v>
      </c>
      <c r="I46">
        <f>IF($F46="s-curve",$D46+($E46-$D46)*$I$2/(1+EXP($I$3*(COUNT($H$9:I$9)+$I$4))),TREND($D46:$E46,$D$9:$E$9,I$9))</f>
        <v>0</v>
      </c>
      <c r="J46">
        <f>IF($F46="s-curve",$D46+($E46-$D46)*$I$2/(1+EXP($I$3*(COUNT($H$9:J$9)+$I$4))),TREND($D46:$E46,$D$9:$E$9,J$9))</f>
        <v>0</v>
      </c>
      <c r="K46">
        <f>IF($F46="s-curve",$D46+($E46-$D46)*$I$2/(1+EXP($I$3*(COUNT($H$9:K$9)+$I$4))),TREND($D46:$E46,$D$9:$E$9,K$9))</f>
        <v>0</v>
      </c>
      <c r="L46">
        <f>IF($F46="s-curve",$D46+($E46-$D46)*$I$2/(1+EXP($I$3*(COUNT($H$9:L$9)+$I$4))),TREND($D46:$E46,$D$9:$E$9,L$9))</f>
        <v>0</v>
      </c>
      <c r="M46">
        <f>IF($F46="s-curve",$D46+($E46-$D46)*$I$2/(1+EXP($I$3*(COUNT($H$9:M$9)+$I$4))),TREND($D46:$E46,$D$9:$E$9,M$9))</f>
        <v>0</v>
      </c>
      <c r="N46">
        <f>IF($F46="s-curve",$D46+($E46-$D46)*$I$2/(1+EXP($I$3*(COUNT($H$9:N$9)+$I$4))),TREND($D46:$E46,$D$9:$E$9,N$9))</f>
        <v>0</v>
      </c>
      <c r="O46">
        <f>IF($F46="s-curve",$D46+($E46-$D46)*$I$2/(1+EXP($I$3*(COUNT($H$9:O$9)+$I$4))),TREND($D46:$E46,$D$9:$E$9,O$9))</f>
        <v>0</v>
      </c>
      <c r="P46">
        <f>IF($F46="s-curve",$D46+($E46-$D46)*$I$2/(1+EXP($I$3*(COUNT($H$9:P$9)+$I$4))),TREND($D46:$E46,$D$9:$E$9,P$9))</f>
        <v>0</v>
      </c>
      <c r="Q46">
        <f>IF($F46="s-curve",$D46+($E46-$D46)*$I$2/(1+EXP($I$3*(COUNT($H$9:Q$9)+$I$4))),TREND($D46:$E46,$D$9:$E$9,Q$9))</f>
        <v>0</v>
      </c>
      <c r="R46">
        <f>IF($F46="s-curve",$D46+($E46-$D46)*$I$2/(1+EXP($I$3*(COUNT($H$9:R$9)+$I$4))),TREND($D46:$E46,$D$9:$E$9,R$9))</f>
        <v>0</v>
      </c>
      <c r="S46">
        <f>IF($F46="s-curve",$D46+($E46-$D46)*$I$2/(1+EXP($I$3*(COUNT($H$9:S$9)+$I$4))),TREND($D46:$E46,$D$9:$E$9,S$9))</f>
        <v>0</v>
      </c>
      <c r="T46">
        <f>IF($F46="s-curve",$D46+($E46-$D46)*$I$2/(1+EXP($I$3*(COUNT($H$9:T$9)+$I$4))),TREND($D46:$E46,$D$9:$E$9,T$9))</f>
        <v>0</v>
      </c>
      <c r="U46">
        <f>IF($F46="s-curve",$D46+($E46-$D46)*$I$2/(1+EXP($I$3*(COUNT($H$9:U$9)+$I$4))),TREND($D46:$E46,$D$9:$E$9,U$9))</f>
        <v>0</v>
      </c>
      <c r="V46">
        <f>IF($F46="s-curve",$D46+($E46-$D46)*$I$2/(1+EXP($I$3*(COUNT($H$9:V$9)+$I$4))),TREND($D46:$E46,$D$9:$E$9,V$9))</f>
        <v>0</v>
      </c>
      <c r="W46">
        <f>IF($F46="s-curve",$D46+($E46-$D46)*$I$2/(1+EXP($I$3*(COUNT($H$9:W$9)+$I$4))),TREND($D46:$E46,$D$9:$E$9,W$9))</f>
        <v>0</v>
      </c>
      <c r="X46">
        <f>IF($F46="s-curve",$D46+($E46-$D46)*$I$2/(1+EXP($I$3*(COUNT($H$9:X$9)+$I$4))),TREND($D46:$E46,$D$9:$E$9,X$9))</f>
        <v>0</v>
      </c>
      <c r="Y46">
        <f>IF($F46="s-curve",$D46+($E46-$D46)*$I$2/(1+EXP($I$3*(COUNT($H$9:Y$9)+$I$4))),TREND($D46:$E46,$D$9:$E$9,Y$9))</f>
        <v>0</v>
      </c>
      <c r="Z46">
        <f>IF($F46="s-curve",$D46+($E46-$D46)*$I$2/(1+EXP($I$3*(COUNT($H$9:Z$9)+$I$4))),TREND($D46:$E46,$D$9:$E$9,Z$9))</f>
        <v>0</v>
      </c>
      <c r="AA46">
        <f>IF($F46="s-curve",$D46+($E46-$D46)*$I$2/(1+EXP($I$3*(COUNT($H$9:AA$9)+$I$4))),TREND($D46:$E46,$D$9:$E$9,AA$9))</f>
        <v>0</v>
      </c>
      <c r="AB46">
        <f>IF($F46="s-curve",$D46+($E46-$D46)*$I$2/(1+EXP($I$3*(COUNT($H$9:AB$9)+$I$4))),TREND($D46:$E46,$D$9:$E$9,AB$9))</f>
        <v>0</v>
      </c>
      <c r="AC46">
        <f>IF($F46="s-curve",$D46+($E46-$D46)*$I$2/(1+EXP($I$3*(COUNT($H$9:AC$9)+$I$4))),TREND($D46:$E46,$D$9:$E$9,AC$9))</f>
        <v>0</v>
      </c>
      <c r="AD46">
        <f>IF($F46="s-curve",$D46+($E46-$D46)*$I$2/(1+EXP($I$3*(COUNT($H$9:AD$9)+$I$4))),TREND($D46:$E46,$D$9:$E$9,AD$9))</f>
        <v>0</v>
      </c>
      <c r="AE46">
        <f>IF($F46="s-curve",$D46+($E46-$D46)*$I$2/(1+EXP($I$3*(COUNT($H$9:AE$9)+$I$4))),TREND($D46:$E46,$D$9:$E$9,AE$9))</f>
        <v>0</v>
      </c>
      <c r="AF46">
        <f>IF($F46="s-curve",$D46+($E46-$D46)*$I$2/(1+EXP($I$3*(COUNT($H$9:AF$9)+$I$4))),TREND($D46:$E46,$D$9:$E$9,AF$9))</f>
        <v>0</v>
      </c>
      <c r="AG46">
        <f>IF($F46="s-curve",$D46+($E46-$D46)*$I$2/(1+EXP($I$3*(COUNT($H$9:AG$9)+$I$4))),TREND($D46:$E46,$D$9:$E$9,AG$9))</f>
        <v>0</v>
      </c>
      <c r="AH46">
        <f>IF($F46="s-curve",$D46+($E46-$D46)*$I$2/(1+EXP($I$3*(COUNT($H$9:AH$9)+$I$4))),TREND($D46:$E46,$D$9:$E$9,AH$9))</f>
        <v>0</v>
      </c>
      <c r="AI46">
        <f>IF($F46="s-curve",$D46+($E46-$D46)*$I$2/(1+EXP($I$3*(COUNT($H$9:AI$9)+$I$4))),TREND($D46:$E46,$D$9:$E$9,AI$9))</f>
        <v>0</v>
      </c>
      <c r="AJ46">
        <f>IF($F46="s-curve",$D46+($E46-$D46)*$I$2/(1+EXP($I$3*(COUNT($H$9:AJ$9)+$I$4))),TREND($D46:$E46,$D$9:$E$9,AJ$9))</f>
        <v>0</v>
      </c>
      <c r="AK46">
        <f>IF($F46="s-curve",$D46+($E46-$D46)*$I$2/(1+EXP($I$3*(COUNT($H$9:AK$9)+$I$4))),TREND($D46:$E46,$D$9:$E$9,AK$9))</f>
        <v>0</v>
      </c>
      <c r="AL46">
        <f>IF($F46="s-curve",$D46+($E46-$D46)*$I$2/(1+EXP($I$3*(COUNT($H$9:AL$9)+$I$4))),TREND($D46:$E46,$D$9:$E$9,AL$9))</f>
        <v>0</v>
      </c>
    </row>
    <row r="47" spans="1:38">
      <c r="C47" t="s">
        <v>3</v>
      </c>
      <c r="D47">
        <v>0</v>
      </c>
      <c r="E47">
        <v>0</v>
      </c>
      <c r="F47" s="6" t="str">
        <f>IF(D47=E47,"n/a",IF(OR(C47="battery electric vehicle",C47="natural gas vehicle",C47="plugin hybrid vehicle"),"s-curve","linear"))</f>
        <v>n/a</v>
      </c>
      <c r="H47" s="20">
        <f t="shared" si="27"/>
        <v>0</v>
      </c>
      <c r="I47">
        <f>IF($F47="s-curve",$D47+($E47-$D47)*$I$2/(1+EXP($I$3*(COUNT($H$9:I$9)+$I$4))),TREND($D47:$E47,$D$9:$E$9,I$9))</f>
        <v>0</v>
      </c>
      <c r="J47">
        <f>IF($F47="s-curve",$D47+($E47-$D47)*$I$2/(1+EXP($I$3*(COUNT($H$9:J$9)+$I$4))),TREND($D47:$E47,$D$9:$E$9,J$9))</f>
        <v>0</v>
      </c>
      <c r="K47">
        <f>IF($F47="s-curve",$D47+($E47-$D47)*$I$2/(1+EXP($I$3*(COUNT($H$9:K$9)+$I$4))),TREND($D47:$E47,$D$9:$E$9,K$9))</f>
        <v>0</v>
      </c>
      <c r="L47">
        <f>IF($F47="s-curve",$D47+($E47-$D47)*$I$2/(1+EXP($I$3*(COUNT($H$9:L$9)+$I$4))),TREND($D47:$E47,$D$9:$E$9,L$9))</f>
        <v>0</v>
      </c>
      <c r="M47">
        <f>IF($F47="s-curve",$D47+($E47-$D47)*$I$2/(1+EXP($I$3*(COUNT($H$9:M$9)+$I$4))),TREND($D47:$E47,$D$9:$E$9,M$9))</f>
        <v>0</v>
      </c>
      <c r="N47">
        <f>IF($F47="s-curve",$D47+($E47-$D47)*$I$2/(1+EXP($I$3*(COUNT($H$9:N$9)+$I$4))),TREND($D47:$E47,$D$9:$E$9,N$9))</f>
        <v>0</v>
      </c>
      <c r="O47">
        <f>IF($F47="s-curve",$D47+($E47-$D47)*$I$2/(1+EXP($I$3*(COUNT($H$9:O$9)+$I$4))),TREND($D47:$E47,$D$9:$E$9,O$9))</f>
        <v>0</v>
      </c>
      <c r="P47">
        <f>IF($F47="s-curve",$D47+($E47-$D47)*$I$2/(1+EXP($I$3*(COUNT($H$9:P$9)+$I$4))),TREND($D47:$E47,$D$9:$E$9,P$9))</f>
        <v>0</v>
      </c>
      <c r="Q47">
        <f>IF($F47="s-curve",$D47+($E47-$D47)*$I$2/(1+EXP($I$3*(COUNT($H$9:Q$9)+$I$4))),TREND($D47:$E47,$D$9:$E$9,Q$9))</f>
        <v>0</v>
      </c>
      <c r="R47">
        <f>IF($F47="s-curve",$D47+($E47-$D47)*$I$2/(1+EXP($I$3*(COUNT($H$9:R$9)+$I$4))),TREND($D47:$E47,$D$9:$E$9,R$9))</f>
        <v>0</v>
      </c>
      <c r="S47">
        <f>IF($F47="s-curve",$D47+($E47-$D47)*$I$2/(1+EXP($I$3*(COUNT($H$9:S$9)+$I$4))),TREND($D47:$E47,$D$9:$E$9,S$9))</f>
        <v>0</v>
      </c>
      <c r="T47">
        <f>IF($F47="s-curve",$D47+($E47-$D47)*$I$2/(1+EXP($I$3*(COUNT($H$9:T$9)+$I$4))),TREND($D47:$E47,$D$9:$E$9,T$9))</f>
        <v>0</v>
      </c>
      <c r="U47">
        <f>IF($F47="s-curve",$D47+($E47-$D47)*$I$2/(1+EXP($I$3*(COUNT($H$9:U$9)+$I$4))),TREND($D47:$E47,$D$9:$E$9,U$9))</f>
        <v>0</v>
      </c>
      <c r="V47">
        <f>IF($F47="s-curve",$D47+($E47-$D47)*$I$2/(1+EXP($I$3*(COUNT($H$9:V$9)+$I$4))),TREND($D47:$E47,$D$9:$E$9,V$9))</f>
        <v>0</v>
      </c>
      <c r="W47">
        <f>IF($F47="s-curve",$D47+($E47-$D47)*$I$2/(1+EXP($I$3*(COUNT($H$9:W$9)+$I$4))),TREND($D47:$E47,$D$9:$E$9,W$9))</f>
        <v>0</v>
      </c>
      <c r="X47">
        <f>IF($F47="s-curve",$D47+($E47-$D47)*$I$2/(1+EXP($I$3*(COUNT($H$9:X$9)+$I$4))),TREND($D47:$E47,$D$9:$E$9,X$9))</f>
        <v>0</v>
      </c>
      <c r="Y47">
        <f>IF($F47="s-curve",$D47+($E47-$D47)*$I$2/(1+EXP($I$3*(COUNT($H$9:Y$9)+$I$4))),TREND($D47:$E47,$D$9:$E$9,Y$9))</f>
        <v>0</v>
      </c>
      <c r="Z47">
        <f>IF($F47="s-curve",$D47+($E47-$D47)*$I$2/(1+EXP($I$3*(COUNT($H$9:Z$9)+$I$4))),TREND($D47:$E47,$D$9:$E$9,Z$9))</f>
        <v>0</v>
      </c>
      <c r="AA47">
        <f>IF($F47="s-curve",$D47+($E47-$D47)*$I$2/(1+EXP($I$3*(COUNT($H$9:AA$9)+$I$4))),TREND($D47:$E47,$D$9:$E$9,AA$9))</f>
        <v>0</v>
      </c>
      <c r="AB47">
        <f>IF($F47="s-curve",$D47+($E47-$D47)*$I$2/(1+EXP($I$3*(COUNT($H$9:AB$9)+$I$4))),TREND($D47:$E47,$D$9:$E$9,AB$9))</f>
        <v>0</v>
      </c>
      <c r="AC47">
        <f>IF($F47="s-curve",$D47+($E47-$D47)*$I$2/(1+EXP($I$3*(COUNT($H$9:AC$9)+$I$4))),TREND($D47:$E47,$D$9:$E$9,AC$9))</f>
        <v>0</v>
      </c>
      <c r="AD47">
        <f>IF($F47="s-curve",$D47+($E47-$D47)*$I$2/(1+EXP($I$3*(COUNT($H$9:AD$9)+$I$4))),TREND($D47:$E47,$D$9:$E$9,AD$9))</f>
        <v>0</v>
      </c>
      <c r="AE47">
        <f>IF($F47="s-curve",$D47+($E47-$D47)*$I$2/(1+EXP($I$3*(COUNT($H$9:AE$9)+$I$4))),TREND($D47:$E47,$D$9:$E$9,AE$9))</f>
        <v>0</v>
      </c>
      <c r="AF47">
        <f>IF($F47="s-curve",$D47+($E47-$D47)*$I$2/(1+EXP($I$3*(COUNT($H$9:AF$9)+$I$4))),TREND($D47:$E47,$D$9:$E$9,AF$9))</f>
        <v>0</v>
      </c>
      <c r="AG47">
        <f>IF($F47="s-curve",$D47+($E47-$D47)*$I$2/(1+EXP($I$3*(COUNT($H$9:AG$9)+$I$4))),TREND($D47:$E47,$D$9:$E$9,AG$9))</f>
        <v>0</v>
      </c>
      <c r="AH47">
        <f>IF($F47="s-curve",$D47+($E47-$D47)*$I$2/(1+EXP($I$3*(COUNT($H$9:AH$9)+$I$4))),TREND($D47:$E47,$D$9:$E$9,AH$9))</f>
        <v>0</v>
      </c>
      <c r="AI47">
        <f>IF($F47="s-curve",$D47+($E47-$D47)*$I$2/(1+EXP($I$3*(COUNT($H$9:AI$9)+$I$4))),TREND($D47:$E47,$D$9:$E$9,AI$9))</f>
        <v>0</v>
      </c>
      <c r="AJ47">
        <f>IF($F47="s-curve",$D47+($E47-$D47)*$I$2/(1+EXP($I$3*(COUNT($H$9:AJ$9)+$I$4))),TREND($D47:$E47,$D$9:$E$9,AJ$9))</f>
        <v>0</v>
      </c>
      <c r="AK47">
        <f>IF($F47="s-curve",$D47+($E47-$D47)*$I$2/(1+EXP($I$3*(COUNT($H$9:AK$9)+$I$4))),TREND($D47:$E47,$D$9:$E$9,AK$9))</f>
        <v>0</v>
      </c>
      <c r="AL47">
        <f>IF($F47="s-curve",$D47+($E47-$D47)*$I$2/(1+EXP($I$3*(COUNT($H$9:AL$9)+$I$4))),TREND($D47:$E47,$D$9:$E$9,AL$9))</f>
        <v>0</v>
      </c>
    </row>
    <row r="48" spans="1:38">
      <c r="C48" t="s">
        <v>4</v>
      </c>
      <c r="D48">
        <v>1</v>
      </c>
      <c r="E48">
        <v>1</v>
      </c>
      <c r="F48" s="6" t="str">
        <f>IF(D48=E48,"n/a",IF(OR(C48="battery electric vehicle",C48="natural gas vehicle",C48="plugin hybrid vehicle"),"s-curve","linear"))</f>
        <v>n/a</v>
      </c>
      <c r="H48" s="20">
        <f t="shared" si="27"/>
        <v>1</v>
      </c>
      <c r="I48">
        <f>IF($F48="s-curve",$D48+($E48-$D48)*$I$2/(1+EXP($I$3*(COUNT($H$9:I$9)+$I$4))),TREND($D48:$E48,$D$9:$E$9,I$9))</f>
        <v>1</v>
      </c>
      <c r="J48">
        <f>IF($F48="s-curve",$D48+($E48-$D48)*$I$2/(1+EXP($I$3*(COUNT($H$9:J$9)+$I$4))),TREND($D48:$E48,$D$9:$E$9,J$9))</f>
        <v>1</v>
      </c>
      <c r="K48">
        <f>IF($F48="s-curve",$D48+($E48-$D48)*$I$2/(1+EXP($I$3*(COUNT($H$9:K$9)+$I$4))),TREND($D48:$E48,$D$9:$E$9,K$9))</f>
        <v>1</v>
      </c>
      <c r="L48">
        <f>IF($F48="s-curve",$D48+($E48-$D48)*$I$2/(1+EXP($I$3*(COUNT($H$9:L$9)+$I$4))),TREND($D48:$E48,$D$9:$E$9,L$9))</f>
        <v>1</v>
      </c>
      <c r="M48">
        <f>IF($F48="s-curve",$D48+($E48-$D48)*$I$2/(1+EXP($I$3*(COUNT($H$9:M$9)+$I$4))),TREND($D48:$E48,$D$9:$E$9,M$9))</f>
        <v>1</v>
      </c>
      <c r="N48">
        <f>IF($F48="s-curve",$D48+($E48-$D48)*$I$2/(1+EXP($I$3*(COUNT($H$9:N$9)+$I$4))),TREND($D48:$E48,$D$9:$E$9,N$9))</f>
        <v>1</v>
      </c>
      <c r="O48">
        <f>IF($F48="s-curve",$D48+($E48-$D48)*$I$2/(1+EXP($I$3*(COUNT($H$9:O$9)+$I$4))),TREND($D48:$E48,$D$9:$E$9,O$9))</f>
        <v>1</v>
      </c>
      <c r="P48">
        <f>IF($F48="s-curve",$D48+($E48-$D48)*$I$2/(1+EXP($I$3*(COUNT($H$9:P$9)+$I$4))),TREND($D48:$E48,$D$9:$E$9,P$9))</f>
        <v>1</v>
      </c>
      <c r="Q48">
        <f>IF($F48="s-curve",$D48+($E48-$D48)*$I$2/(1+EXP($I$3*(COUNT($H$9:Q$9)+$I$4))),TREND($D48:$E48,$D$9:$E$9,Q$9))</f>
        <v>1</v>
      </c>
      <c r="R48">
        <f>IF($F48="s-curve",$D48+($E48-$D48)*$I$2/(1+EXP($I$3*(COUNT($H$9:R$9)+$I$4))),TREND($D48:$E48,$D$9:$E$9,R$9))</f>
        <v>1</v>
      </c>
      <c r="S48">
        <f>IF($F48="s-curve",$D48+($E48-$D48)*$I$2/(1+EXP($I$3*(COUNT($H$9:S$9)+$I$4))),TREND($D48:$E48,$D$9:$E$9,S$9))</f>
        <v>1</v>
      </c>
      <c r="T48">
        <f>IF($F48="s-curve",$D48+($E48-$D48)*$I$2/(1+EXP($I$3*(COUNT($H$9:T$9)+$I$4))),TREND($D48:$E48,$D$9:$E$9,T$9))</f>
        <v>1</v>
      </c>
      <c r="U48">
        <f>IF($F48="s-curve",$D48+($E48-$D48)*$I$2/(1+EXP($I$3*(COUNT($H$9:U$9)+$I$4))),TREND($D48:$E48,$D$9:$E$9,U$9))</f>
        <v>1</v>
      </c>
      <c r="V48">
        <f>IF($F48="s-curve",$D48+($E48-$D48)*$I$2/(1+EXP($I$3*(COUNT($H$9:V$9)+$I$4))),TREND($D48:$E48,$D$9:$E$9,V$9))</f>
        <v>1</v>
      </c>
      <c r="W48">
        <f>IF($F48="s-curve",$D48+($E48-$D48)*$I$2/(1+EXP($I$3*(COUNT($H$9:W$9)+$I$4))),TREND($D48:$E48,$D$9:$E$9,W$9))</f>
        <v>1</v>
      </c>
      <c r="X48">
        <f>IF($F48="s-curve",$D48+($E48-$D48)*$I$2/(1+EXP($I$3*(COUNT($H$9:X$9)+$I$4))),TREND($D48:$E48,$D$9:$E$9,X$9))</f>
        <v>1</v>
      </c>
      <c r="Y48">
        <f>IF($F48="s-curve",$D48+($E48-$D48)*$I$2/(1+EXP($I$3*(COUNT($H$9:Y$9)+$I$4))),TREND($D48:$E48,$D$9:$E$9,Y$9))</f>
        <v>1</v>
      </c>
      <c r="Z48">
        <f>IF($F48="s-curve",$D48+($E48-$D48)*$I$2/(1+EXP($I$3*(COUNT($H$9:Z$9)+$I$4))),TREND($D48:$E48,$D$9:$E$9,Z$9))</f>
        <v>1</v>
      </c>
      <c r="AA48">
        <f>IF($F48="s-curve",$D48+($E48-$D48)*$I$2/(1+EXP($I$3*(COUNT($H$9:AA$9)+$I$4))),TREND($D48:$E48,$D$9:$E$9,AA$9))</f>
        <v>1</v>
      </c>
      <c r="AB48">
        <f>IF($F48="s-curve",$D48+($E48-$D48)*$I$2/(1+EXP($I$3*(COUNT($H$9:AB$9)+$I$4))),TREND($D48:$E48,$D$9:$E$9,AB$9))</f>
        <v>1</v>
      </c>
      <c r="AC48">
        <f>IF($F48="s-curve",$D48+($E48-$D48)*$I$2/(1+EXP($I$3*(COUNT($H$9:AC$9)+$I$4))),TREND($D48:$E48,$D$9:$E$9,AC$9))</f>
        <v>1</v>
      </c>
      <c r="AD48">
        <f>IF($F48="s-curve",$D48+($E48-$D48)*$I$2/(1+EXP($I$3*(COUNT($H$9:AD$9)+$I$4))),TREND($D48:$E48,$D$9:$E$9,AD$9))</f>
        <v>1</v>
      </c>
      <c r="AE48">
        <f>IF($F48="s-curve",$D48+($E48-$D48)*$I$2/(1+EXP($I$3*(COUNT($H$9:AE$9)+$I$4))),TREND($D48:$E48,$D$9:$E$9,AE$9))</f>
        <v>1</v>
      </c>
      <c r="AF48">
        <f>IF($F48="s-curve",$D48+($E48-$D48)*$I$2/(1+EXP($I$3*(COUNT($H$9:AF$9)+$I$4))),TREND($D48:$E48,$D$9:$E$9,AF$9))</f>
        <v>1</v>
      </c>
      <c r="AG48">
        <f>IF($F48="s-curve",$D48+($E48-$D48)*$I$2/(1+EXP($I$3*(COUNT($H$9:AG$9)+$I$4))),TREND($D48:$E48,$D$9:$E$9,AG$9))</f>
        <v>1</v>
      </c>
      <c r="AH48">
        <f>IF($F48="s-curve",$D48+($E48-$D48)*$I$2/(1+EXP($I$3*(COUNT($H$9:AH$9)+$I$4))),TREND($D48:$E48,$D$9:$E$9,AH$9))</f>
        <v>1</v>
      </c>
      <c r="AI48">
        <f>IF($F48="s-curve",$D48+($E48-$D48)*$I$2/(1+EXP($I$3*(COUNT($H$9:AI$9)+$I$4))),TREND($D48:$E48,$D$9:$E$9,AI$9))</f>
        <v>1</v>
      </c>
      <c r="AJ48">
        <f>IF($F48="s-curve",$D48+($E48-$D48)*$I$2/(1+EXP($I$3*(COUNT($H$9:AJ$9)+$I$4))),TREND($D48:$E48,$D$9:$E$9,AJ$9))</f>
        <v>1</v>
      </c>
      <c r="AK48">
        <f>IF($F48="s-curve",$D48+($E48-$D48)*$I$2/(1+EXP($I$3*(COUNT($H$9:AK$9)+$I$4))),TREND($D48:$E48,$D$9:$E$9,AK$9))</f>
        <v>1</v>
      </c>
      <c r="AL48">
        <f>IF($F48="s-curve",$D48+($E48-$D48)*$I$2/(1+EXP($I$3*(COUNT($H$9:AL$9)+$I$4))),TREND($D48:$E48,$D$9:$E$9,AL$9))</f>
        <v>1</v>
      </c>
    </row>
    <row r="49" spans="1:38">
      <c r="C49" t="s">
        <v>5</v>
      </c>
      <c r="D49">
        <v>0</v>
      </c>
      <c r="E49">
        <v>0</v>
      </c>
      <c r="F49" s="6" t="str">
        <f>IF(D49=E49,"n/a",IF(OR(C49="battery electric vehicle",C49="natural gas vehicle",C49="plugin hybrid vehicle"),"s-curve","linear"))</f>
        <v>n/a</v>
      </c>
      <c r="H49" s="20">
        <f t="shared" si="27"/>
        <v>0</v>
      </c>
      <c r="I49">
        <f>IF($F49="s-curve",$D49+($E49-$D49)*$I$2/(1+EXP($I$3*(COUNT($H$9:I$9)+$I$4))),TREND($D49:$E49,$D$9:$E$9,I$9))</f>
        <v>0</v>
      </c>
      <c r="J49">
        <f>IF($F49="s-curve",$D49+($E49-$D49)*$I$2/(1+EXP($I$3*(COUNT($H$9:J$9)+$I$4))),TREND($D49:$E49,$D$9:$E$9,J$9))</f>
        <v>0</v>
      </c>
      <c r="K49">
        <f>IF($F49="s-curve",$D49+($E49-$D49)*$I$2/(1+EXP($I$3*(COUNT($H$9:K$9)+$I$4))),TREND($D49:$E49,$D$9:$E$9,K$9))</f>
        <v>0</v>
      </c>
      <c r="L49">
        <f>IF($F49="s-curve",$D49+($E49-$D49)*$I$2/(1+EXP($I$3*(COUNT($H$9:L$9)+$I$4))),TREND($D49:$E49,$D$9:$E$9,L$9))</f>
        <v>0</v>
      </c>
      <c r="M49">
        <f>IF($F49="s-curve",$D49+($E49-$D49)*$I$2/(1+EXP($I$3*(COUNT($H$9:M$9)+$I$4))),TREND($D49:$E49,$D$9:$E$9,M$9))</f>
        <v>0</v>
      </c>
      <c r="N49">
        <f>IF($F49="s-curve",$D49+($E49-$D49)*$I$2/(1+EXP($I$3*(COUNT($H$9:N$9)+$I$4))),TREND($D49:$E49,$D$9:$E$9,N$9))</f>
        <v>0</v>
      </c>
      <c r="O49">
        <f>IF($F49="s-curve",$D49+($E49-$D49)*$I$2/(1+EXP($I$3*(COUNT($H$9:O$9)+$I$4))),TREND($D49:$E49,$D$9:$E$9,O$9))</f>
        <v>0</v>
      </c>
      <c r="P49">
        <f>IF($F49="s-curve",$D49+($E49-$D49)*$I$2/(1+EXP($I$3*(COUNT($H$9:P$9)+$I$4))),TREND($D49:$E49,$D$9:$E$9,P$9))</f>
        <v>0</v>
      </c>
      <c r="Q49">
        <f>IF($F49="s-curve",$D49+($E49-$D49)*$I$2/(1+EXP($I$3*(COUNT($H$9:Q$9)+$I$4))),TREND($D49:$E49,$D$9:$E$9,Q$9))</f>
        <v>0</v>
      </c>
      <c r="R49">
        <f>IF($F49="s-curve",$D49+($E49-$D49)*$I$2/(1+EXP($I$3*(COUNT($H$9:R$9)+$I$4))),TREND($D49:$E49,$D$9:$E$9,R$9))</f>
        <v>0</v>
      </c>
      <c r="S49">
        <f>IF($F49="s-curve",$D49+($E49-$D49)*$I$2/(1+EXP($I$3*(COUNT($H$9:S$9)+$I$4))),TREND($D49:$E49,$D$9:$E$9,S$9))</f>
        <v>0</v>
      </c>
      <c r="T49">
        <f>IF($F49="s-curve",$D49+($E49-$D49)*$I$2/(1+EXP($I$3*(COUNT($H$9:T$9)+$I$4))),TREND($D49:$E49,$D$9:$E$9,T$9))</f>
        <v>0</v>
      </c>
      <c r="U49">
        <f>IF($F49="s-curve",$D49+($E49-$D49)*$I$2/(1+EXP($I$3*(COUNT($H$9:U$9)+$I$4))),TREND($D49:$E49,$D$9:$E$9,U$9))</f>
        <v>0</v>
      </c>
      <c r="V49">
        <f>IF($F49="s-curve",$D49+($E49-$D49)*$I$2/(1+EXP($I$3*(COUNT($H$9:V$9)+$I$4))),TREND($D49:$E49,$D$9:$E$9,V$9))</f>
        <v>0</v>
      </c>
      <c r="W49">
        <f>IF($F49="s-curve",$D49+($E49-$D49)*$I$2/(1+EXP($I$3*(COUNT($H$9:W$9)+$I$4))),TREND($D49:$E49,$D$9:$E$9,W$9))</f>
        <v>0</v>
      </c>
      <c r="X49">
        <f>IF($F49="s-curve",$D49+($E49-$D49)*$I$2/(1+EXP($I$3*(COUNT($H$9:X$9)+$I$4))),TREND($D49:$E49,$D$9:$E$9,X$9))</f>
        <v>0</v>
      </c>
      <c r="Y49">
        <f>IF($F49="s-curve",$D49+($E49-$D49)*$I$2/(1+EXP($I$3*(COUNT($H$9:Y$9)+$I$4))),TREND($D49:$E49,$D$9:$E$9,Y$9))</f>
        <v>0</v>
      </c>
      <c r="Z49">
        <f>IF($F49="s-curve",$D49+($E49-$D49)*$I$2/(1+EXP($I$3*(COUNT($H$9:Z$9)+$I$4))),TREND($D49:$E49,$D$9:$E$9,Z$9))</f>
        <v>0</v>
      </c>
      <c r="AA49">
        <f>IF($F49="s-curve",$D49+($E49-$D49)*$I$2/(1+EXP($I$3*(COUNT($H$9:AA$9)+$I$4))),TREND($D49:$E49,$D$9:$E$9,AA$9))</f>
        <v>0</v>
      </c>
      <c r="AB49">
        <f>IF($F49="s-curve",$D49+($E49-$D49)*$I$2/(1+EXP($I$3*(COUNT($H$9:AB$9)+$I$4))),TREND($D49:$E49,$D$9:$E$9,AB$9))</f>
        <v>0</v>
      </c>
      <c r="AC49">
        <f>IF($F49="s-curve",$D49+($E49-$D49)*$I$2/(1+EXP($I$3*(COUNT($H$9:AC$9)+$I$4))),TREND($D49:$E49,$D$9:$E$9,AC$9))</f>
        <v>0</v>
      </c>
      <c r="AD49">
        <f>IF($F49="s-curve",$D49+($E49-$D49)*$I$2/(1+EXP($I$3*(COUNT($H$9:AD$9)+$I$4))),TREND($D49:$E49,$D$9:$E$9,AD$9))</f>
        <v>0</v>
      </c>
      <c r="AE49">
        <f>IF($F49="s-curve",$D49+($E49-$D49)*$I$2/(1+EXP($I$3*(COUNT($H$9:AE$9)+$I$4))),TREND($D49:$E49,$D$9:$E$9,AE$9))</f>
        <v>0</v>
      </c>
      <c r="AF49">
        <f>IF($F49="s-curve",$D49+($E49-$D49)*$I$2/(1+EXP($I$3*(COUNT($H$9:AF$9)+$I$4))),TREND($D49:$E49,$D$9:$E$9,AF$9))</f>
        <v>0</v>
      </c>
      <c r="AG49">
        <f>IF($F49="s-curve",$D49+($E49-$D49)*$I$2/(1+EXP($I$3*(COUNT($H$9:AG$9)+$I$4))),TREND($D49:$E49,$D$9:$E$9,AG$9))</f>
        <v>0</v>
      </c>
      <c r="AH49">
        <f>IF($F49="s-curve",$D49+($E49-$D49)*$I$2/(1+EXP($I$3*(COUNT($H$9:AH$9)+$I$4))),TREND($D49:$E49,$D$9:$E$9,AH$9))</f>
        <v>0</v>
      </c>
      <c r="AI49">
        <f>IF($F49="s-curve",$D49+($E49-$D49)*$I$2/(1+EXP($I$3*(COUNT($H$9:AI$9)+$I$4))),TREND($D49:$E49,$D$9:$E$9,AI$9))</f>
        <v>0</v>
      </c>
      <c r="AJ49">
        <f>IF($F49="s-curve",$D49+($E49-$D49)*$I$2/(1+EXP($I$3*(COUNT($H$9:AJ$9)+$I$4))),TREND($D49:$E49,$D$9:$E$9,AJ$9))</f>
        <v>0</v>
      </c>
      <c r="AK49">
        <f>IF($F49="s-curve",$D49+($E49-$D49)*$I$2/(1+EXP($I$3*(COUNT($H$9:AK$9)+$I$4))),TREND($D49:$E49,$D$9:$E$9,AK$9))</f>
        <v>0</v>
      </c>
      <c r="AL49">
        <f>IF($F49="s-curve",$D49+($E49-$D49)*$I$2/(1+EXP($I$3*(COUNT($H$9:AL$9)+$I$4))),TREND($D49:$E49,$D$9:$E$9,AL$9))</f>
        <v>0</v>
      </c>
    </row>
    <row r="50" spans="1:38">
      <c r="C50" t="s">
        <v>78</v>
      </c>
      <c r="D50">
        <v>0</v>
      </c>
      <c r="E50">
        <v>0</v>
      </c>
      <c r="F50" s="6" t="str">
        <f>IF(D50=E50,"n/a",IF(OR(C50="battery electric vehicle",C50="natural gas vehicle",C50="plugin hybrid vehicle",C50="hydrogen vehicle"),"s-curve","linear"))</f>
        <v>n/a</v>
      </c>
      <c r="H50" s="20">
        <f t="shared" si="27"/>
        <v>0</v>
      </c>
      <c r="I50">
        <f>IF($F50="s-curve",$D50+($E50-$D50)*$I$2/(1+EXP($I$3*(COUNT($H$9:I$9)+$I$4))),TREND($D50:$E50,$D$9:$E$9,I$9))</f>
        <v>0</v>
      </c>
      <c r="J50">
        <f>IF($F50="s-curve",$D50+($E50-$D50)*$I$2/(1+EXP($I$3*(COUNT($H$9:J$9)+$I$4))),TREND($D50:$E50,$D$9:$E$9,J$9))</f>
        <v>0</v>
      </c>
      <c r="K50">
        <f>IF($F50="s-curve",$D50+($E50-$D50)*$I$2/(1+EXP($I$3*(COUNT($H$9:K$9)+$I$4))),TREND($D50:$E50,$D$9:$E$9,K$9))</f>
        <v>0</v>
      </c>
      <c r="L50">
        <f>IF($F50="s-curve",$D50+($E50-$D50)*$I$2/(1+EXP($I$3*(COUNT($H$9:L$9)+$I$4))),TREND($D50:$E50,$D$9:$E$9,L$9))</f>
        <v>0</v>
      </c>
      <c r="M50">
        <f>IF($F50="s-curve",$D50+($E50-$D50)*$I$2/(1+EXP($I$3*(COUNT($H$9:M$9)+$I$4))),TREND($D50:$E50,$D$9:$E$9,M$9))</f>
        <v>0</v>
      </c>
      <c r="N50">
        <f>IF($F50="s-curve",$D50+($E50-$D50)*$I$2/(1+EXP($I$3*(COUNT($H$9:N$9)+$I$4))),TREND($D50:$E50,$D$9:$E$9,N$9))</f>
        <v>0</v>
      </c>
      <c r="O50">
        <f>IF($F50="s-curve",$D50+($E50-$D50)*$I$2/(1+EXP($I$3*(COUNT($H$9:O$9)+$I$4))),TREND($D50:$E50,$D$9:$E$9,O$9))</f>
        <v>0</v>
      </c>
      <c r="P50">
        <f>IF($F50="s-curve",$D50+($E50-$D50)*$I$2/(1+EXP($I$3*(COUNT($H$9:P$9)+$I$4))),TREND($D50:$E50,$D$9:$E$9,P$9))</f>
        <v>0</v>
      </c>
      <c r="Q50">
        <f>IF($F50="s-curve",$D50+($E50-$D50)*$I$2/(1+EXP($I$3*(COUNT($H$9:Q$9)+$I$4))),TREND($D50:$E50,$D$9:$E$9,Q$9))</f>
        <v>0</v>
      </c>
      <c r="R50">
        <f>IF($F50="s-curve",$D50+($E50-$D50)*$I$2/(1+EXP($I$3*(COUNT($H$9:R$9)+$I$4))),TREND($D50:$E50,$D$9:$E$9,R$9))</f>
        <v>0</v>
      </c>
      <c r="S50">
        <f>IF($F50="s-curve",$D50+($E50-$D50)*$I$2/(1+EXP($I$3*(COUNT($H$9:S$9)+$I$4))),TREND($D50:$E50,$D$9:$E$9,S$9))</f>
        <v>0</v>
      </c>
      <c r="T50">
        <f>IF($F50="s-curve",$D50+($E50-$D50)*$I$2/(1+EXP($I$3*(COUNT($H$9:T$9)+$I$4))),TREND($D50:$E50,$D$9:$E$9,T$9))</f>
        <v>0</v>
      </c>
      <c r="U50">
        <f>IF($F50="s-curve",$D50+($E50-$D50)*$I$2/(1+EXP($I$3*(COUNT($H$9:U$9)+$I$4))),TREND($D50:$E50,$D$9:$E$9,U$9))</f>
        <v>0</v>
      </c>
      <c r="V50">
        <f>IF($F50="s-curve",$D50+($E50-$D50)*$I$2/(1+EXP($I$3*(COUNT($H$9:V$9)+$I$4))),TREND($D50:$E50,$D$9:$E$9,V$9))</f>
        <v>0</v>
      </c>
      <c r="W50">
        <f>IF($F50="s-curve",$D50+($E50-$D50)*$I$2/(1+EXP($I$3*(COUNT($H$9:W$9)+$I$4))),TREND($D50:$E50,$D$9:$E$9,W$9))</f>
        <v>0</v>
      </c>
      <c r="X50">
        <f>IF($F50="s-curve",$D50+($E50-$D50)*$I$2/(1+EXP($I$3*(COUNT($H$9:X$9)+$I$4))),TREND($D50:$E50,$D$9:$E$9,X$9))</f>
        <v>0</v>
      </c>
      <c r="Y50">
        <f>IF($F50="s-curve",$D50+($E50-$D50)*$I$2/(1+EXP($I$3*(COUNT($H$9:Y$9)+$I$4))),TREND($D50:$E50,$D$9:$E$9,Y$9))</f>
        <v>0</v>
      </c>
      <c r="Z50">
        <f>IF($F50="s-curve",$D50+($E50-$D50)*$I$2/(1+EXP($I$3*(COUNT($H$9:Z$9)+$I$4))),TREND($D50:$E50,$D$9:$E$9,Z$9))</f>
        <v>0</v>
      </c>
      <c r="AA50">
        <f>IF($F50="s-curve",$D50+($E50-$D50)*$I$2/(1+EXP($I$3*(COUNT($H$9:AA$9)+$I$4))),TREND($D50:$E50,$D$9:$E$9,AA$9))</f>
        <v>0</v>
      </c>
      <c r="AB50">
        <f>IF($F50="s-curve",$D50+($E50-$D50)*$I$2/(1+EXP($I$3*(COUNT($H$9:AB$9)+$I$4))),TREND($D50:$E50,$D$9:$E$9,AB$9))</f>
        <v>0</v>
      </c>
      <c r="AC50">
        <f>IF($F50="s-curve",$D50+($E50-$D50)*$I$2/(1+EXP($I$3*(COUNT($H$9:AC$9)+$I$4))),TREND($D50:$E50,$D$9:$E$9,AC$9))</f>
        <v>0</v>
      </c>
      <c r="AD50">
        <f>IF($F50="s-curve",$D50+($E50-$D50)*$I$2/(1+EXP($I$3*(COUNT($H$9:AD$9)+$I$4))),TREND($D50:$E50,$D$9:$E$9,AD$9))</f>
        <v>0</v>
      </c>
      <c r="AE50">
        <f>IF($F50="s-curve",$D50+($E50-$D50)*$I$2/(1+EXP($I$3*(COUNT($H$9:AE$9)+$I$4))),TREND($D50:$E50,$D$9:$E$9,AE$9))</f>
        <v>0</v>
      </c>
      <c r="AF50">
        <f>IF($F50="s-curve",$D50+($E50-$D50)*$I$2/(1+EXP($I$3*(COUNT($H$9:AF$9)+$I$4))),TREND($D50:$E50,$D$9:$E$9,AF$9))</f>
        <v>0</v>
      </c>
      <c r="AG50">
        <f>IF($F50="s-curve",$D50+($E50-$D50)*$I$2/(1+EXP($I$3*(COUNT($H$9:AG$9)+$I$4))),TREND($D50:$E50,$D$9:$E$9,AG$9))</f>
        <v>0</v>
      </c>
      <c r="AH50">
        <f>IF($F50="s-curve",$D50+($E50-$D50)*$I$2/(1+EXP($I$3*(COUNT($H$9:AH$9)+$I$4))),TREND($D50:$E50,$D$9:$E$9,AH$9))</f>
        <v>0</v>
      </c>
      <c r="AI50">
        <f>IF($F50="s-curve",$D50+($E50-$D50)*$I$2/(1+EXP($I$3*(COUNT($H$9:AI$9)+$I$4))),TREND($D50:$E50,$D$9:$E$9,AI$9))</f>
        <v>0</v>
      </c>
      <c r="AJ50">
        <f>IF($F50="s-curve",$D50+($E50-$D50)*$I$2/(1+EXP($I$3*(COUNT($H$9:AJ$9)+$I$4))),TREND($D50:$E50,$D$9:$E$9,AJ$9))</f>
        <v>0</v>
      </c>
      <c r="AK50">
        <f>IF($F50="s-curve",$D50+($E50-$D50)*$I$2/(1+EXP($I$3*(COUNT($H$9:AK$9)+$I$4))),TREND($D50:$E50,$D$9:$E$9,AK$9))</f>
        <v>0</v>
      </c>
      <c r="AL50">
        <f>IF($F50="s-curve",$D50+($E50-$D50)*$I$2/(1+EXP($I$3*(COUNT($H$9:AL$9)+$I$4))),TREND($D50:$E50,$D$9:$E$9,AL$9))</f>
        <v>0</v>
      </c>
    </row>
    <row r="51" spans="1:38" ht="15.75" thickBot="1">
      <c r="A51" s="21"/>
      <c r="B51" s="21"/>
      <c r="C51" s="21" t="s">
        <v>79</v>
      </c>
      <c r="D51" s="21">
        <v>0</v>
      </c>
      <c r="E51" s="21">
        <v>0</v>
      </c>
      <c r="F51" s="7" t="str">
        <f>IF(D51=E51,"n/a",IF(OR(C51="battery electric vehicle",C51="natural gas vehicle",C51="plugin hybrid vehicle",C51="hydrogen vehicle"),"s-curve","linear"))</f>
        <v>n/a</v>
      </c>
      <c r="H51" s="20">
        <f t="shared" si="27"/>
        <v>0</v>
      </c>
      <c r="I51">
        <f>IF($F51="s-curve",$D51+($E51-$D51)*$I$2/(1+EXP($I$3*(COUNT($H$9:I$9)+$I$4))),TREND($D51:$E51,$D$9:$E$9,I$9))</f>
        <v>0</v>
      </c>
      <c r="J51">
        <f>IF($F51="s-curve",$D51+($E51-$D51)*$I$2/(1+EXP($I$3*(COUNT($H$9:J$9)+$I$4))),TREND($D51:$E51,$D$9:$E$9,J$9))</f>
        <v>0</v>
      </c>
      <c r="K51">
        <f>IF($F51="s-curve",$D51+($E51-$D51)*$I$2/(1+EXP($I$3*(COUNT($H$9:K$9)+$I$4))),TREND($D51:$E51,$D$9:$E$9,K$9))</f>
        <v>0</v>
      </c>
      <c r="L51">
        <f>IF($F51="s-curve",$D51+($E51-$D51)*$I$2/(1+EXP($I$3*(COUNT($H$9:L$9)+$I$4))),TREND($D51:$E51,$D$9:$E$9,L$9))</f>
        <v>0</v>
      </c>
      <c r="M51">
        <f>IF($F51="s-curve",$D51+($E51-$D51)*$I$2/(1+EXP($I$3*(COUNT($H$9:M$9)+$I$4))),TREND($D51:$E51,$D$9:$E$9,M$9))</f>
        <v>0</v>
      </c>
      <c r="N51">
        <f>IF($F51="s-curve",$D51+($E51-$D51)*$I$2/(1+EXP($I$3*(COUNT($H$9:N$9)+$I$4))),TREND($D51:$E51,$D$9:$E$9,N$9))</f>
        <v>0</v>
      </c>
      <c r="O51">
        <f>IF($F51="s-curve",$D51+($E51-$D51)*$I$2/(1+EXP($I$3*(COUNT($H$9:O$9)+$I$4))),TREND($D51:$E51,$D$9:$E$9,O$9))</f>
        <v>0</v>
      </c>
      <c r="P51">
        <f>IF($F51="s-curve",$D51+($E51-$D51)*$I$2/(1+EXP($I$3*(COUNT($H$9:P$9)+$I$4))),TREND($D51:$E51,$D$9:$E$9,P$9))</f>
        <v>0</v>
      </c>
      <c r="Q51">
        <f>IF($F51="s-curve",$D51+($E51-$D51)*$I$2/(1+EXP($I$3*(COUNT($H$9:Q$9)+$I$4))),TREND($D51:$E51,$D$9:$E$9,Q$9))</f>
        <v>0</v>
      </c>
      <c r="R51">
        <f>IF($F51="s-curve",$D51+($E51-$D51)*$I$2/(1+EXP($I$3*(COUNT($H$9:R$9)+$I$4))),TREND($D51:$E51,$D$9:$E$9,R$9))</f>
        <v>0</v>
      </c>
      <c r="S51">
        <f>IF($F51="s-curve",$D51+($E51-$D51)*$I$2/(1+EXP($I$3*(COUNT($H$9:S$9)+$I$4))),TREND($D51:$E51,$D$9:$E$9,S$9))</f>
        <v>0</v>
      </c>
      <c r="T51">
        <f>IF($F51="s-curve",$D51+($E51-$D51)*$I$2/(1+EXP($I$3*(COUNT($H$9:T$9)+$I$4))),TREND($D51:$E51,$D$9:$E$9,T$9))</f>
        <v>0</v>
      </c>
      <c r="U51">
        <f>IF($F51="s-curve",$D51+($E51-$D51)*$I$2/(1+EXP($I$3*(COUNT($H$9:U$9)+$I$4))),TREND($D51:$E51,$D$9:$E$9,U$9))</f>
        <v>0</v>
      </c>
      <c r="V51">
        <f>IF($F51="s-curve",$D51+($E51-$D51)*$I$2/(1+EXP($I$3*(COUNT($H$9:V$9)+$I$4))),TREND($D51:$E51,$D$9:$E$9,V$9))</f>
        <v>0</v>
      </c>
      <c r="W51">
        <f>IF($F51="s-curve",$D51+($E51-$D51)*$I$2/(1+EXP($I$3*(COUNT($H$9:W$9)+$I$4))),TREND($D51:$E51,$D$9:$E$9,W$9))</f>
        <v>0</v>
      </c>
      <c r="X51">
        <f>IF($F51="s-curve",$D51+($E51-$D51)*$I$2/(1+EXP($I$3*(COUNT($H$9:X$9)+$I$4))),TREND($D51:$E51,$D$9:$E$9,X$9))</f>
        <v>0</v>
      </c>
      <c r="Y51">
        <f>IF($F51="s-curve",$D51+($E51-$D51)*$I$2/(1+EXP($I$3*(COUNT($H$9:Y$9)+$I$4))),TREND($D51:$E51,$D$9:$E$9,Y$9))</f>
        <v>0</v>
      </c>
      <c r="Z51">
        <f>IF($F51="s-curve",$D51+($E51-$D51)*$I$2/(1+EXP($I$3*(COUNT($H$9:Z$9)+$I$4))),TREND($D51:$E51,$D$9:$E$9,Z$9))</f>
        <v>0</v>
      </c>
      <c r="AA51">
        <f>IF($F51="s-curve",$D51+($E51-$D51)*$I$2/(1+EXP($I$3*(COUNT($H$9:AA$9)+$I$4))),TREND($D51:$E51,$D$9:$E$9,AA$9))</f>
        <v>0</v>
      </c>
      <c r="AB51">
        <f>IF($F51="s-curve",$D51+($E51-$D51)*$I$2/(1+EXP($I$3*(COUNT($H$9:AB$9)+$I$4))),TREND($D51:$E51,$D$9:$E$9,AB$9))</f>
        <v>0</v>
      </c>
      <c r="AC51">
        <f>IF($F51="s-curve",$D51+($E51-$D51)*$I$2/(1+EXP($I$3*(COUNT($H$9:AC$9)+$I$4))),TREND($D51:$E51,$D$9:$E$9,AC$9))</f>
        <v>0</v>
      </c>
      <c r="AD51">
        <f>IF($F51="s-curve",$D51+($E51-$D51)*$I$2/(1+EXP($I$3*(COUNT($H$9:AD$9)+$I$4))),TREND($D51:$E51,$D$9:$E$9,AD$9))</f>
        <v>0</v>
      </c>
      <c r="AE51">
        <f>IF($F51="s-curve",$D51+($E51-$D51)*$I$2/(1+EXP($I$3*(COUNT($H$9:AE$9)+$I$4))),TREND($D51:$E51,$D$9:$E$9,AE$9))</f>
        <v>0</v>
      </c>
      <c r="AF51">
        <f>IF($F51="s-curve",$D51+($E51-$D51)*$I$2/(1+EXP($I$3*(COUNT($H$9:AF$9)+$I$4))),TREND($D51:$E51,$D$9:$E$9,AF$9))</f>
        <v>0</v>
      </c>
      <c r="AG51">
        <f>IF($F51="s-curve",$D51+($E51-$D51)*$I$2/(1+EXP($I$3*(COUNT($H$9:AG$9)+$I$4))),TREND($D51:$E51,$D$9:$E$9,AG$9))</f>
        <v>0</v>
      </c>
      <c r="AH51">
        <f>IF($F51="s-curve",$D51+($E51-$D51)*$I$2/(1+EXP($I$3*(COUNT($H$9:AH$9)+$I$4))),TREND($D51:$E51,$D$9:$E$9,AH$9))</f>
        <v>0</v>
      </c>
      <c r="AI51">
        <f>IF($F51="s-curve",$D51+($E51-$D51)*$I$2/(1+EXP($I$3*(COUNT($H$9:AI$9)+$I$4))),TREND($D51:$E51,$D$9:$E$9,AI$9))</f>
        <v>0</v>
      </c>
      <c r="AJ51">
        <f>IF($F51="s-curve",$D51+($E51-$D51)*$I$2/(1+EXP($I$3*(COUNT($H$9:AJ$9)+$I$4))),TREND($D51:$E51,$D$9:$E$9,AJ$9))</f>
        <v>0</v>
      </c>
      <c r="AK51">
        <f>IF($F51="s-curve",$D51+($E51-$D51)*$I$2/(1+EXP($I$3*(COUNT($H$9:AK$9)+$I$4))),TREND($D51:$E51,$D$9:$E$9,AK$9))</f>
        <v>0</v>
      </c>
      <c r="AL51">
        <f>IF($F51="s-curve",$D51+($E51-$D51)*$I$2/(1+EXP($I$3*(COUNT($H$9:AL$9)+$I$4))),TREND($D51:$E51,$D$9:$E$9,AL$9))</f>
        <v>0</v>
      </c>
    </row>
    <row r="52" spans="1:38">
      <c r="A52" t="s">
        <v>15</v>
      </c>
      <c r="B52" t="s">
        <v>19</v>
      </c>
      <c r="C52" t="s">
        <v>1</v>
      </c>
      <c r="D52" s="20">
        <v>1</v>
      </c>
      <c r="E52" s="20">
        <f>D52</f>
        <v>1</v>
      </c>
      <c r="F52" s="6" t="str">
        <f>IF(D52=E52,"n/a",IF(OR(C52="battery electric vehicle",C52="natural gas vehicle",C52="plugin hybrid vehicle"),"s-curve","linear"))</f>
        <v>n/a</v>
      </c>
      <c r="H52" s="20">
        <f t="shared" si="27"/>
        <v>1</v>
      </c>
      <c r="I52">
        <f>IF($F52="s-curve",$D52+($E52-$D52)*$I$2/(1+EXP($I$3*(COUNT($H$9:I$9)+$I$4))),TREND($D52:$E52,$D$9:$E$9,I$9))</f>
        <v>1</v>
      </c>
      <c r="J52">
        <f>IF($F52="s-curve",$D52+($E52-$D52)*$I$2/(1+EXP($I$3*(COUNT($H$9:J$9)+$I$4))),TREND($D52:$E52,$D$9:$E$9,J$9))</f>
        <v>1</v>
      </c>
      <c r="K52">
        <f>IF($F52="s-curve",$D52+($E52-$D52)*$I$2/(1+EXP($I$3*(COUNT($H$9:K$9)+$I$4))),TREND($D52:$E52,$D$9:$E$9,K$9))</f>
        <v>1</v>
      </c>
      <c r="L52">
        <f>IF($F52="s-curve",$D52+($E52-$D52)*$I$2/(1+EXP($I$3*(COUNT($H$9:L$9)+$I$4))),TREND($D52:$E52,$D$9:$E$9,L$9))</f>
        <v>1</v>
      </c>
      <c r="M52">
        <f>IF($F52="s-curve",$D52+($E52-$D52)*$I$2/(1+EXP($I$3*(COUNT($H$9:M$9)+$I$4))),TREND($D52:$E52,$D$9:$E$9,M$9))</f>
        <v>1</v>
      </c>
      <c r="N52">
        <f>IF($F52="s-curve",$D52+($E52-$D52)*$I$2/(1+EXP($I$3*(COUNT($H$9:N$9)+$I$4))),TREND($D52:$E52,$D$9:$E$9,N$9))</f>
        <v>1</v>
      </c>
      <c r="O52">
        <f>IF($F52="s-curve",$D52+($E52-$D52)*$I$2/(1+EXP($I$3*(COUNT($H$9:O$9)+$I$4))),TREND($D52:$E52,$D$9:$E$9,O$9))</f>
        <v>1</v>
      </c>
      <c r="P52">
        <f>IF($F52="s-curve",$D52+($E52-$D52)*$I$2/(1+EXP($I$3*(COUNT($H$9:P$9)+$I$4))),TREND($D52:$E52,$D$9:$E$9,P$9))</f>
        <v>1</v>
      </c>
      <c r="Q52">
        <f>IF($F52="s-curve",$D52+($E52-$D52)*$I$2/(1+EXP($I$3*(COUNT($H$9:Q$9)+$I$4))),TREND($D52:$E52,$D$9:$E$9,Q$9))</f>
        <v>1</v>
      </c>
      <c r="R52">
        <f>IF($F52="s-curve",$D52+($E52-$D52)*$I$2/(1+EXP($I$3*(COUNT($H$9:R$9)+$I$4))),TREND($D52:$E52,$D$9:$E$9,R$9))</f>
        <v>1</v>
      </c>
      <c r="S52">
        <f>IF($F52="s-curve",$D52+($E52-$D52)*$I$2/(1+EXP($I$3*(COUNT($H$9:S$9)+$I$4))),TREND($D52:$E52,$D$9:$E$9,S$9))</f>
        <v>1</v>
      </c>
      <c r="T52">
        <f>IF($F52="s-curve",$D52+($E52-$D52)*$I$2/(1+EXP($I$3*(COUNT($H$9:T$9)+$I$4))),TREND($D52:$E52,$D$9:$E$9,T$9))</f>
        <v>1</v>
      </c>
      <c r="U52">
        <f>IF($F52="s-curve",$D52+($E52-$D52)*$I$2/(1+EXP($I$3*(COUNT($H$9:U$9)+$I$4))),TREND($D52:$E52,$D$9:$E$9,U$9))</f>
        <v>1</v>
      </c>
      <c r="V52">
        <f>IF($F52="s-curve",$D52+($E52-$D52)*$I$2/(1+EXP($I$3*(COUNT($H$9:V$9)+$I$4))),TREND($D52:$E52,$D$9:$E$9,V$9))</f>
        <v>1</v>
      </c>
      <c r="W52">
        <f>IF($F52="s-curve",$D52+($E52-$D52)*$I$2/(1+EXP($I$3*(COUNT($H$9:W$9)+$I$4))),TREND($D52:$E52,$D$9:$E$9,W$9))</f>
        <v>1</v>
      </c>
      <c r="X52">
        <f>IF($F52="s-curve",$D52+($E52-$D52)*$I$2/(1+EXP($I$3*(COUNT($H$9:X$9)+$I$4))),TREND($D52:$E52,$D$9:$E$9,X$9))</f>
        <v>1</v>
      </c>
      <c r="Y52">
        <f>IF($F52="s-curve",$D52+($E52-$D52)*$I$2/(1+EXP($I$3*(COUNT($H$9:Y$9)+$I$4))),TREND($D52:$E52,$D$9:$E$9,Y$9))</f>
        <v>1</v>
      </c>
      <c r="Z52">
        <f>IF($F52="s-curve",$D52+($E52-$D52)*$I$2/(1+EXP($I$3*(COUNT($H$9:Z$9)+$I$4))),TREND($D52:$E52,$D$9:$E$9,Z$9))</f>
        <v>1</v>
      </c>
      <c r="AA52">
        <f>IF($F52="s-curve",$D52+($E52-$D52)*$I$2/(1+EXP($I$3*(COUNT($H$9:AA$9)+$I$4))),TREND($D52:$E52,$D$9:$E$9,AA$9))</f>
        <v>1</v>
      </c>
      <c r="AB52">
        <f>IF($F52="s-curve",$D52+($E52-$D52)*$I$2/(1+EXP($I$3*(COUNT($H$9:AB$9)+$I$4))),TREND($D52:$E52,$D$9:$E$9,AB$9))</f>
        <v>1</v>
      </c>
      <c r="AC52">
        <f>IF($F52="s-curve",$D52+($E52-$D52)*$I$2/(1+EXP($I$3*(COUNT($H$9:AC$9)+$I$4))),TREND($D52:$E52,$D$9:$E$9,AC$9))</f>
        <v>1</v>
      </c>
      <c r="AD52">
        <f>IF($F52="s-curve",$D52+($E52-$D52)*$I$2/(1+EXP($I$3*(COUNT($H$9:AD$9)+$I$4))),TREND($D52:$E52,$D$9:$E$9,AD$9))</f>
        <v>1</v>
      </c>
      <c r="AE52">
        <f>IF($F52="s-curve",$D52+($E52-$D52)*$I$2/(1+EXP($I$3*(COUNT($H$9:AE$9)+$I$4))),TREND($D52:$E52,$D$9:$E$9,AE$9))</f>
        <v>1</v>
      </c>
      <c r="AF52">
        <f>IF($F52="s-curve",$D52+($E52-$D52)*$I$2/(1+EXP($I$3*(COUNT($H$9:AF$9)+$I$4))),TREND($D52:$E52,$D$9:$E$9,AF$9))</f>
        <v>1</v>
      </c>
      <c r="AG52">
        <f>IF($F52="s-curve",$D52+($E52-$D52)*$I$2/(1+EXP($I$3*(COUNT($H$9:AG$9)+$I$4))),TREND($D52:$E52,$D$9:$E$9,AG$9))</f>
        <v>1</v>
      </c>
      <c r="AH52">
        <f>IF($F52="s-curve",$D52+($E52-$D52)*$I$2/(1+EXP($I$3*(COUNT($H$9:AH$9)+$I$4))),TREND($D52:$E52,$D$9:$E$9,AH$9))</f>
        <v>1</v>
      </c>
      <c r="AI52">
        <f>IF($F52="s-curve",$D52+($E52-$D52)*$I$2/(1+EXP($I$3*(COUNT($H$9:AI$9)+$I$4))),TREND($D52:$E52,$D$9:$E$9,AI$9))</f>
        <v>1</v>
      </c>
      <c r="AJ52">
        <f>IF($F52="s-curve",$D52+($E52-$D52)*$I$2/(1+EXP($I$3*(COUNT($H$9:AJ$9)+$I$4))),TREND($D52:$E52,$D$9:$E$9,AJ$9))</f>
        <v>1</v>
      </c>
      <c r="AK52">
        <f>IF($F52="s-curve",$D52+($E52-$D52)*$I$2/(1+EXP($I$3*(COUNT($H$9:AK$9)+$I$4))),TREND($D52:$E52,$D$9:$E$9,AK$9))</f>
        <v>1</v>
      </c>
      <c r="AL52">
        <f>IF($F52="s-curve",$D52+($E52-$D52)*$I$2/(1+EXP($I$3*(COUNT($H$9:AL$9)+$I$4))),TREND($D52:$E52,$D$9:$E$9,AL$9))</f>
        <v>1</v>
      </c>
    </row>
    <row r="53" spans="1:38">
      <c r="C53" t="s">
        <v>2</v>
      </c>
      <c r="D53" s="20">
        <f>MIN(1.25*INDEX('SYVbT-passenger'!$B$5:$H$5,MATCH(Data!$C11,'SYVbT-passenger'!$B$1:$H$1,0))/SUM('SYVbT-passenger'!$B$5:$H$5),1)</f>
        <v>0</v>
      </c>
      <c r="E53" s="20">
        <f t="shared" ref="E53:E58" si="28">D53</f>
        <v>0</v>
      </c>
      <c r="F53" s="6" t="str">
        <f>IF(D53=E53,"n/a",IF(OR(C53="battery electric vehicle",C53="natural gas vehicle",C53="plugin hybrid vehicle"),"s-curve","linear"))</f>
        <v>n/a</v>
      </c>
      <c r="H53" s="20">
        <f t="shared" si="27"/>
        <v>0</v>
      </c>
      <c r="I53">
        <f>IF($F53="s-curve",$D53+($E53-$D53)*$I$2/(1+EXP($I$3*(COUNT($H$9:I$9)+$I$4))),TREND($D53:$E53,$D$9:$E$9,I$9))</f>
        <v>0</v>
      </c>
      <c r="J53">
        <f>IF($F53="s-curve",$D53+($E53-$D53)*$I$2/(1+EXP($I$3*(COUNT($H$9:J$9)+$I$4))),TREND($D53:$E53,$D$9:$E$9,J$9))</f>
        <v>0</v>
      </c>
      <c r="K53">
        <f>IF($F53="s-curve",$D53+($E53-$D53)*$I$2/(1+EXP($I$3*(COUNT($H$9:K$9)+$I$4))),TREND($D53:$E53,$D$9:$E$9,K$9))</f>
        <v>0</v>
      </c>
      <c r="L53">
        <f>IF($F53="s-curve",$D53+($E53-$D53)*$I$2/(1+EXP($I$3*(COUNT($H$9:L$9)+$I$4))),TREND($D53:$E53,$D$9:$E$9,L$9))</f>
        <v>0</v>
      </c>
      <c r="M53">
        <f>IF($F53="s-curve",$D53+($E53-$D53)*$I$2/(1+EXP($I$3*(COUNT($H$9:M$9)+$I$4))),TREND($D53:$E53,$D$9:$E$9,M$9))</f>
        <v>0</v>
      </c>
      <c r="N53">
        <f>IF($F53="s-curve",$D53+($E53-$D53)*$I$2/(1+EXP($I$3*(COUNT($H$9:N$9)+$I$4))),TREND($D53:$E53,$D$9:$E$9,N$9))</f>
        <v>0</v>
      </c>
      <c r="O53">
        <f>IF($F53="s-curve",$D53+($E53-$D53)*$I$2/(1+EXP($I$3*(COUNT($H$9:O$9)+$I$4))),TREND($D53:$E53,$D$9:$E$9,O$9))</f>
        <v>0</v>
      </c>
      <c r="P53">
        <f>IF($F53="s-curve",$D53+($E53-$D53)*$I$2/(1+EXP($I$3*(COUNT($H$9:P$9)+$I$4))),TREND($D53:$E53,$D$9:$E$9,P$9))</f>
        <v>0</v>
      </c>
      <c r="Q53">
        <f>IF($F53="s-curve",$D53+($E53-$D53)*$I$2/(1+EXP($I$3*(COUNT($H$9:Q$9)+$I$4))),TREND($D53:$E53,$D$9:$E$9,Q$9))</f>
        <v>0</v>
      </c>
      <c r="R53">
        <f>IF($F53="s-curve",$D53+($E53-$D53)*$I$2/(1+EXP($I$3*(COUNT($H$9:R$9)+$I$4))),TREND($D53:$E53,$D$9:$E$9,R$9))</f>
        <v>0</v>
      </c>
      <c r="S53">
        <f>IF($F53="s-curve",$D53+($E53-$D53)*$I$2/(1+EXP($I$3*(COUNT($H$9:S$9)+$I$4))),TREND($D53:$E53,$D$9:$E$9,S$9))</f>
        <v>0</v>
      </c>
      <c r="T53">
        <f>IF($F53="s-curve",$D53+($E53-$D53)*$I$2/(1+EXP($I$3*(COUNT($H$9:T$9)+$I$4))),TREND($D53:$E53,$D$9:$E$9,T$9))</f>
        <v>0</v>
      </c>
      <c r="U53">
        <f>IF($F53="s-curve",$D53+($E53-$D53)*$I$2/(1+EXP($I$3*(COUNT($H$9:U$9)+$I$4))),TREND($D53:$E53,$D$9:$E$9,U$9))</f>
        <v>0</v>
      </c>
      <c r="V53">
        <f>IF($F53="s-curve",$D53+($E53-$D53)*$I$2/(1+EXP($I$3*(COUNT($H$9:V$9)+$I$4))),TREND($D53:$E53,$D$9:$E$9,V$9))</f>
        <v>0</v>
      </c>
      <c r="W53">
        <f>IF($F53="s-curve",$D53+($E53-$D53)*$I$2/(1+EXP($I$3*(COUNT($H$9:W$9)+$I$4))),TREND($D53:$E53,$D$9:$E$9,W$9))</f>
        <v>0</v>
      </c>
      <c r="X53">
        <f>IF($F53="s-curve",$D53+($E53-$D53)*$I$2/(1+EXP($I$3*(COUNT($H$9:X$9)+$I$4))),TREND($D53:$E53,$D$9:$E$9,X$9))</f>
        <v>0</v>
      </c>
      <c r="Y53">
        <f>IF($F53="s-curve",$D53+($E53-$D53)*$I$2/(1+EXP($I$3*(COUNT($H$9:Y$9)+$I$4))),TREND($D53:$E53,$D$9:$E$9,Y$9))</f>
        <v>0</v>
      </c>
      <c r="Z53">
        <f>IF($F53="s-curve",$D53+($E53-$D53)*$I$2/(1+EXP($I$3*(COUNT($H$9:Z$9)+$I$4))),TREND($D53:$E53,$D$9:$E$9,Z$9))</f>
        <v>0</v>
      </c>
      <c r="AA53">
        <f>IF($F53="s-curve",$D53+($E53-$D53)*$I$2/(1+EXP($I$3*(COUNT($H$9:AA$9)+$I$4))),TREND($D53:$E53,$D$9:$E$9,AA$9))</f>
        <v>0</v>
      </c>
      <c r="AB53">
        <f>IF($F53="s-curve",$D53+($E53-$D53)*$I$2/(1+EXP($I$3*(COUNT($H$9:AB$9)+$I$4))),TREND($D53:$E53,$D$9:$E$9,AB$9))</f>
        <v>0</v>
      </c>
      <c r="AC53">
        <f>IF($F53="s-curve",$D53+($E53-$D53)*$I$2/(1+EXP($I$3*(COUNT($H$9:AC$9)+$I$4))),TREND($D53:$E53,$D$9:$E$9,AC$9))</f>
        <v>0</v>
      </c>
      <c r="AD53">
        <f>IF($F53="s-curve",$D53+($E53-$D53)*$I$2/(1+EXP($I$3*(COUNT($H$9:AD$9)+$I$4))),TREND($D53:$E53,$D$9:$E$9,AD$9))</f>
        <v>0</v>
      </c>
      <c r="AE53">
        <f>IF($F53="s-curve",$D53+($E53-$D53)*$I$2/(1+EXP($I$3*(COUNT($H$9:AE$9)+$I$4))),TREND($D53:$E53,$D$9:$E$9,AE$9))</f>
        <v>0</v>
      </c>
      <c r="AF53">
        <f>IF($F53="s-curve",$D53+($E53-$D53)*$I$2/(1+EXP($I$3*(COUNT($H$9:AF$9)+$I$4))),TREND($D53:$E53,$D$9:$E$9,AF$9))</f>
        <v>0</v>
      </c>
      <c r="AG53">
        <f>IF($F53="s-curve",$D53+($E53-$D53)*$I$2/(1+EXP($I$3*(COUNT($H$9:AG$9)+$I$4))),TREND($D53:$E53,$D$9:$E$9,AG$9))</f>
        <v>0</v>
      </c>
      <c r="AH53">
        <f>IF($F53="s-curve",$D53+($E53-$D53)*$I$2/(1+EXP($I$3*(COUNT($H$9:AH$9)+$I$4))),TREND($D53:$E53,$D$9:$E$9,AH$9))</f>
        <v>0</v>
      </c>
      <c r="AI53">
        <f>IF($F53="s-curve",$D53+($E53-$D53)*$I$2/(1+EXP($I$3*(COUNT($H$9:AI$9)+$I$4))),TREND($D53:$E53,$D$9:$E$9,AI$9))</f>
        <v>0</v>
      </c>
      <c r="AJ53">
        <f>IF($F53="s-curve",$D53+($E53-$D53)*$I$2/(1+EXP($I$3*(COUNT($H$9:AJ$9)+$I$4))),TREND($D53:$E53,$D$9:$E$9,AJ$9))</f>
        <v>0</v>
      </c>
      <c r="AK53">
        <f>IF($F53="s-curve",$D53+($E53-$D53)*$I$2/(1+EXP($I$3*(COUNT($H$9:AK$9)+$I$4))),TREND($D53:$E53,$D$9:$E$9,AK$9))</f>
        <v>0</v>
      </c>
      <c r="AL53">
        <f>IF($F53="s-curve",$D53+($E53-$D53)*$I$2/(1+EXP($I$3*(COUNT($H$9:AL$9)+$I$4))),TREND($D53:$E53,$D$9:$E$9,AL$9))</f>
        <v>0</v>
      </c>
    </row>
    <row r="54" spans="1:38">
      <c r="C54" t="s">
        <v>3</v>
      </c>
      <c r="D54" s="20">
        <f>MIN(1.25*INDEX('SYVbT-passenger'!$B$5:$H$5,MATCH(Data!$C12,'SYVbT-passenger'!$B$1:$H$1,0))/SUM('SYVbT-passenger'!$B$5:$H$5),1)</f>
        <v>0</v>
      </c>
      <c r="E54" s="20">
        <f t="shared" si="28"/>
        <v>0</v>
      </c>
      <c r="F54" s="6" t="str">
        <f>IF(D54=E54,"n/a",IF(OR(C54="battery electric vehicle",C54="natural gas vehicle",C54="plugin hybrid vehicle"),"s-curve","linear"))</f>
        <v>n/a</v>
      </c>
      <c r="H54" s="20">
        <f t="shared" si="27"/>
        <v>0</v>
      </c>
      <c r="I54">
        <f>IF($F54="s-curve",$D54+($E54-$D54)*$I$2/(1+EXP($I$3*(COUNT($H$9:I$9)+$I$4))),TREND($D54:$E54,$D$9:$E$9,I$9))</f>
        <v>0</v>
      </c>
      <c r="J54">
        <f>IF($F54="s-curve",$D54+($E54-$D54)*$I$2/(1+EXP($I$3*(COUNT($H$9:J$9)+$I$4))),TREND($D54:$E54,$D$9:$E$9,J$9))</f>
        <v>0</v>
      </c>
      <c r="K54">
        <f>IF($F54="s-curve",$D54+($E54-$D54)*$I$2/(1+EXP($I$3*(COUNT($H$9:K$9)+$I$4))),TREND($D54:$E54,$D$9:$E$9,K$9))</f>
        <v>0</v>
      </c>
      <c r="L54">
        <f>IF($F54="s-curve",$D54+($E54-$D54)*$I$2/(1+EXP($I$3*(COUNT($H$9:L$9)+$I$4))),TREND($D54:$E54,$D$9:$E$9,L$9))</f>
        <v>0</v>
      </c>
      <c r="M54">
        <f>IF($F54="s-curve",$D54+($E54-$D54)*$I$2/(1+EXP($I$3*(COUNT($H$9:M$9)+$I$4))),TREND($D54:$E54,$D$9:$E$9,M$9))</f>
        <v>0</v>
      </c>
      <c r="N54">
        <f>IF($F54="s-curve",$D54+($E54-$D54)*$I$2/(1+EXP($I$3*(COUNT($H$9:N$9)+$I$4))),TREND($D54:$E54,$D$9:$E$9,N$9))</f>
        <v>0</v>
      </c>
      <c r="O54">
        <f>IF($F54="s-curve",$D54+($E54-$D54)*$I$2/(1+EXP($I$3*(COUNT($H$9:O$9)+$I$4))),TREND($D54:$E54,$D$9:$E$9,O$9))</f>
        <v>0</v>
      </c>
      <c r="P54">
        <f>IF($F54="s-curve",$D54+($E54-$D54)*$I$2/(1+EXP($I$3*(COUNT($H$9:P$9)+$I$4))),TREND($D54:$E54,$D$9:$E$9,P$9))</f>
        <v>0</v>
      </c>
      <c r="Q54">
        <f>IF($F54="s-curve",$D54+($E54-$D54)*$I$2/(1+EXP($I$3*(COUNT($H$9:Q$9)+$I$4))),TREND($D54:$E54,$D$9:$E$9,Q$9))</f>
        <v>0</v>
      </c>
      <c r="R54">
        <f>IF($F54="s-curve",$D54+($E54-$D54)*$I$2/(1+EXP($I$3*(COUNT($H$9:R$9)+$I$4))),TREND($D54:$E54,$D$9:$E$9,R$9))</f>
        <v>0</v>
      </c>
      <c r="S54">
        <f>IF($F54="s-curve",$D54+($E54-$D54)*$I$2/(1+EXP($I$3*(COUNT($H$9:S$9)+$I$4))),TREND($D54:$E54,$D$9:$E$9,S$9))</f>
        <v>0</v>
      </c>
      <c r="T54">
        <f>IF($F54="s-curve",$D54+($E54-$D54)*$I$2/(1+EXP($I$3*(COUNT($H$9:T$9)+$I$4))),TREND($D54:$E54,$D$9:$E$9,T$9))</f>
        <v>0</v>
      </c>
      <c r="U54">
        <f>IF($F54="s-curve",$D54+($E54-$D54)*$I$2/(1+EXP($I$3*(COUNT($H$9:U$9)+$I$4))),TREND($D54:$E54,$D$9:$E$9,U$9))</f>
        <v>0</v>
      </c>
      <c r="V54">
        <f>IF($F54="s-curve",$D54+($E54-$D54)*$I$2/(1+EXP($I$3*(COUNT($H$9:V$9)+$I$4))),TREND($D54:$E54,$D$9:$E$9,V$9))</f>
        <v>0</v>
      </c>
      <c r="W54">
        <f>IF($F54="s-curve",$D54+($E54-$D54)*$I$2/(1+EXP($I$3*(COUNT($H$9:W$9)+$I$4))),TREND($D54:$E54,$D$9:$E$9,W$9))</f>
        <v>0</v>
      </c>
      <c r="X54">
        <f>IF($F54="s-curve",$D54+($E54-$D54)*$I$2/(1+EXP($I$3*(COUNT($H$9:X$9)+$I$4))),TREND($D54:$E54,$D$9:$E$9,X$9))</f>
        <v>0</v>
      </c>
      <c r="Y54">
        <f>IF($F54="s-curve",$D54+($E54-$D54)*$I$2/(1+EXP($I$3*(COUNT($H$9:Y$9)+$I$4))),TREND($D54:$E54,$D$9:$E$9,Y$9))</f>
        <v>0</v>
      </c>
      <c r="Z54">
        <f>IF($F54="s-curve",$D54+($E54-$D54)*$I$2/(1+EXP($I$3*(COUNT($H$9:Z$9)+$I$4))),TREND($D54:$E54,$D$9:$E$9,Z$9))</f>
        <v>0</v>
      </c>
      <c r="AA54">
        <f>IF($F54="s-curve",$D54+($E54-$D54)*$I$2/(1+EXP($I$3*(COUNT($H$9:AA$9)+$I$4))),TREND($D54:$E54,$D$9:$E$9,AA$9))</f>
        <v>0</v>
      </c>
      <c r="AB54">
        <f>IF($F54="s-curve",$D54+($E54-$D54)*$I$2/(1+EXP($I$3*(COUNT($H$9:AB$9)+$I$4))),TREND($D54:$E54,$D$9:$E$9,AB$9))</f>
        <v>0</v>
      </c>
      <c r="AC54">
        <f>IF($F54="s-curve",$D54+($E54-$D54)*$I$2/(1+EXP($I$3*(COUNT($H$9:AC$9)+$I$4))),TREND($D54:$E54,$D$9:$E$9,AC$9))</f>
        <v>0</v>
      </c>
      <c r="AD54">
        <f>IF($F54="s-curve",$D54+($E54-$D54)*$I$2/(1+EXP($I$3*(COUNT($H$9:AD$9)+$I$4))),TREND($D54:$E54,$D$9:$E$9,AD$9))</f>
        <v>0</v>
      </c>
      <c r="AE54">
        <f>IF($F54="s-curve",$D54+($E54-$D54)*$I$2/(1+EXP($I$3*(COUNT($H$9:AE$9)+$I$4))),TREND($D54:$E54,$D$9:$E$9,AE$9))</f>
        <v>0</v>
      </c>
      <c r="AF54">
        <f>IF($F54="s-curve",$D54+($E54-$D54)*$I$2/(1+EXP($I$3*(COUNT($H$9:AF$9)+$I$4))),TREND($D54:$E54,$D$9:$E$9,AF$9))</f>
        <v>0</v>
      </c>
      <c r="AG54">
        <f>IF($F54="s-curve",$D54+($E54-$D54)*$I$2/(1+EXP($I$3*(COUNT($H$9:AG$9)+$I$4))),TREND($D54:$E54,$D$9:$E$9,AG$9))</f>
        <v>0</v>
      </c>
      <c r="AH54">
        <f>IF($F54="s-curve",$D54+($E54-$D54)*$I$2/(1+EXP($I$3*(COUNT($H$9:AH$9)+$I$4))),TREND($D54:$E54,$D$9:$E$9,AH$9))</f>
        <v>0</v>
      </c>
      <c r="AI54">
        <f>IF($F54="s-curve",$D54+($E54-$D54)*$I$2/(1+EXP($I$3*(COUNT($H$9:AI$9)+$I$4))),TREND($D54:$E54,$D$9:$E$9,AI$9))</f>
        <v>0</v>
      </c>
      <c r="AJ54">
        <f>IF($F54="s-curve",$D54+($E54-$D54)*$I$2/(1+EXP($I$3*(COUNT($H$9:AJ$9)+$I$4))),TREND($D54:$E54,$D$9:$E$9,AJ$9))</f>
        <v>0</v>
      </c>
      <c r="AK54">
        <f>IF($F54="s-curve",$D54+($E54-$D54)*$I$2/(1+EXP($I$3*(COUNT($H$9:AK$9)+$I$4))),TREND($D54:$E54,$D$9:$E$9,AK$9))</f>
        <v>0</v>
      </c>
      <c r="AL54">
        <f>IF($F54="s-curve",$D54+($E54-$D54)*$I$2/(1+EXP($I$3*(COUNT($H$9:AL$9)+$I$4))),TREND($D54:$E54,$D$9:$E$9,AL$9))</f>
        <v>0</v>
      </c>
    </row>
    <row r="55" spans="1:38">
      <c r="C55" t="s">
        <v>4</v>
      </c>
      <c r="D55" s="20">
        <v>0.52</v>
      </c>
      <c r="E55" s="20">
        <f t="shared" si="28"/>
        <v>0.52</v>
      </c>
      <c r="F55" s="6" t="str">
        <f>IF(D55=E55,"n/a",IF(OR(C55="battery electric vehicle",C55="natural gas vehicle",C55="plugin hybrid vehicle"),"s-curve","linear"))</f>
        <v>n/a</v>
      </c>
      <c r="H55" s="20">
        <f t="shared" si="27"/>
        <v>0.52</v>
      </c>
      <c r="I55">
        <f>IF($F55="s-curve",$D55+($E55-$D55)*$I$2/(1+EXP($I$3*(COUNT($H$9:I$9)+$I$4))),TREND($D55:$E55,$D$9:$E$9,I$9))</f>
        <v>0.52</v>
      </c>
      <c r="J55">
        <f>IF($F55="s-curve",$D55+($E55-$D55)*$I$2/(1+EXP($I$3*(COUNT($H$9:J$9)+$I$4))),TREND($D55:$E55,$D$9:$E$9,J$9))</f>
        <v>0.52</v>
      </c>
      <c r="K55">
        <f>IF($F55="s-curve",$D55+($E55-$D55)*$I$2/(1+EXP($I$3*(COUNT($H$9:K$9)+$I$4))),TREND($D55:$E55,$D$9:$E$9,K$9))</f>
        <v>0.52</v>
      </c>
      <c r="L55">
        <f>IF($F55="s-curve",$D55+($E55-$D55)*$I$2/(1+EXP($I$3*(COUNT($H$9:L$9)+$I$4))),TREND($D55:$E55,$D$9:$E$9,L$9))</f>
        <v>0.52</v>
      </c>
      <c r="M55">
        <f>IF($F55="s-curve",$D55+($E55-$D55)*$I$2/(1+EXP($I$3*(COUNT($H$9:M$9)+$I$4))),TREND($D55:$E55,$D$9:$E$9,M$9))</f>
        <v>0.52</v>
      </c>
      <c r="N55">
        <f>IF($F55="s-curve",$D55+($E55-$D55)*$I$2/(1+EXP($I$3*(COUNT($H$9:N$9)+$I$4))),TREND($D55:$E55,$D$9:$E$9,N$9))</f>
        <v>0.52</v>
      </c>
      <c r="O55">
        <f>IF($F55="s-curve",$D55+($E55-$D55)*$I$2/(1+EXP($I$3*(COUNT($H$9:O$9)+$I$4))),TREND($D55:$E55,$D$9:$E$9,O$9))</f>
        <v>0.52</v>
      </c>
      <c r="P55">
        <f>IF($F55="s-curve",$D55+($E55-$D55)*$I$2/(1+EXP($I$3*(COUNT($H$9:P$9)+$I$4))),TREND($D55:$E55,$D$9:$E$9,P$9))</f>
        <v>0.52</v>
      </c>
      <c r="Q55">
        <f>IF($F55="s-curve",$D55+($E55-$D55)*$I$2/(1+EXP($I$3*(COUNT($H$9:Q$9)+$I$4))),TREND($D55:$E55,$D$9:$E$9,Q$9))</f>
        <v>0.52</v>
      </c>
      <c r="R55">
        <f>IF($F55="s-curve",$D55+($E55-$D55)*$I$2/(1+EXP($I$3*(COUNT($H$9:R$9)+$I$4))),TREND($D55:$E55,$D$9:$E$9,R$9))</f>
        <v>0.52</v>
      </c>
      <c r="S55">
        <f>IF($F55="s-curve",$D55+($E55-$D55)*$I$2/(1+EXP($I$3*(COUNT($H$9:S$9)+$I$4))),TREND($D55:$E55,$D$9:$E$9,S$9))</f>
        <v>0.52</v>
      </c>
      <c r="T55">
        <f>IF($F55="s-curve",$D55+($E55-$D55)*$I$2/(1+EXP($I$3*(COUNT($H$9:T$9)+$I$4))),TREND($D55:$E55,$D$9:$E$9,T$9))</f>
        <v>0.52</v>
      </c>
      <c r="U55">
        <f>IF($F55="s-curve",$D55+($E55-$D55)*$I$2/(1+EXP($I$3*(COUNT($H$9:U$9)+$I$4))),TREND($D55:$E55,$D$9:$E$9,U$9))</f>
        <v>0.52</v>
      </c>
      <c r="V55">
        <f>IF($F55="s-curve",$D55+($E55-$D55)*$I$2/(1+EXP($I$3*(COUNT($H$9:V$9)+$I$4))),TREND($D55:$E55,$D$9:$E$9,V$9))</f>
        <v>0.52</v>
      </c>
      <c r="W55">
        <f>IF($F55="s-curve",$D55+($E55-$D55)*$I$2/(1+EXP($I$3*(COUNT($H$9:W$9)+$I$4))),TREND($D55:$E55,$D$9:$E$9,W$9))</f>
        <v>0.52</v>
      </c>
      <c r="X55">
        <f>IF($F55="s-curve",$D55+($E55-$D55)*$I$2/(1+EXP($I$3*(COUNT($H$9:X$9)+$I$4))),TREND($D55:$E55,$D$9:$E$9,X$9))</f>
        <v>0.52</v>
      </c>
      <c r="Y55">
        <f>IF($F55="s-curve",$D55+($E55-$D55)*$I$2/(1+EXP($I$3*(COUNT($H$9:Y$9)+$I$4))),TREND($D55:$E55,$D$9:$E$9,Y$9))</f>
        <v>0.52</v>
      </c>
      <c r="Z55">
        <f>IF($F55="s-curve",$D55+($E55-$D55)*$I$2/(1+EXP($I$3*(COUNT($H$9:Z$9)+$I$4))),TREND($D55:$E55,$D$9:$E$9,Z$9))</f>
        <v>0.52</v>
      </c>
      <c r="AA55">
        <f>IF($F55="s-curve",$D55+($E55-$D55)*$I$2/(1+EXP($I$3*(COUNT($H$9:AA$9)+$I$4))),TREND($D55:$E55,$D$9:$E$9,AA$9))</f>
        <v>0.52</v>
      </c>
      <c r="AB55">
        <f>IF($F55="s-curve",$D55+($E55-$D55)*$I$2/(1+EXP($I$3*(COUNT($H$9:AB$9)+$I$4))),TREND($D55:$E55,$D$9:$E$9,AB$9))</f>
        <v>0.52</v>
      </c>
      <c r="AC55">
        <f>IF($F55="s-curve",$D55+($E55-$D55)*$I$2/(1+EXP($I$3*(COUNT($H$9:AC$9)+$I$4))),TREND($D55:$E55,$D$9:$E$9,AC$9))</f>
        <v>0.52</v>
      </c>
      <c r="AD55">
        <f>IF($F55="s-curve",$D55+($E55-$D55)*$I$2/(1+EXP($I$3*(COUNT($H$9:AD$9)+$I$4))),TREND($D55:$E55,$D$9:$E$9,AD$9))</f>
        <v>0.52</v>
      </c>
      <c r="AE55">
        <f>IF($F55="s-curve",$D55+($E55-$D55)*$I$2/(1+EXP($I$3*(COUNT($H$9:AE$9)+$I$4))),TREND($D55:$E55,$D$9:$E$9,AE$9))</f>
        <v>0.52</v>
      </c>
      <c r="AF55">
        <f>IF($F55="s-curve",$D55+($E55-$D55)*$I$2/(1+EXP($I$3*(COUNT($H$9:AF$9)+$I$4))),TREND($D55:$E55,$D$9:$E$9,AF$9))</f>
        <v>0.52</v>
      </c>
      <c r="AG55">
        <f>IF($F55="s-curve",$D55+($E55-$D55)*$I$2/(1+EXP($I$3*(COUNT($H$9:AG$9)+$I$4))),TREND($D55:$E55,$D$9:$E$9,AG$9))</f>
        <v>0.52</v>
      </c>
      <c r="AH55">
        <f>IF($F55="s-curve",$D55+($E55-$D55)*$I$2/(1+EXP($I$3*(COUNT($H$9:AH$9)+$I$4))),TREND($D55:$E55,$D$9:$E$9,AH$9))</f>
        <v>0.52</v>
      </c>
      <c r="AI55">
        <f>IF($F55="s-curve",$D55+($E55-$D55)*$I$2/(1+EXP($I$3*(COUNT($H$9:AI$9)+$I$4))),TREND($D55:$E55,$D$9:$E$9,AI$9))</f>
        <v>0.52</v>
      </c>
      <c r="AJ55">
        <f>IF($F55="s-curve",$D55+($E55-$D55)*$I$2/(1+EXP($I$3*(COUNT($H$9:AJ$9)+$I$4))),TREND($D55:$E55,$D$9:$E$9,AJ$9))</f>
        <v>0.52</v>
      </c>
      <c r="AK55">
        <f>IF($F55="s-curve",$D55+($E55-$D55)*$I$2/(1+EXP($I$3*(COUNT($H$9:AK$9)+$I$4))),TREND($D55:$E55,$D$9:$E$9,AK$9))</f>
        <v>0.52</v>
      </c>
      <c r="AL55">
        <f>IF($F55="s-curve",$D55+($E55-$D55)*$I$2/(1+EXP($I$3*(COUNT($H$9:AL$9)+$I$4))),TREND($D55:$E55,$D$9:$E$9,AL$9))</f>
        <v>0.52</v>
      </c>
    </row>
    <row r="56" spans="1:38">
      <c r="C56" t="s">
        <v>5</v>
      </c>
      <c r="D56" s="20">
        <f>MIN(1.25*INDEX('SYVbT-passenger'!$B$5:$H$5,MATCH(Data!$C14,'SYVbT-passenger'!$B$1:$H$1,0))/SUM('SYVbT-passenger'!$B$5:$H$5),1)</f>
        <v>0</v>
      </c>
      <c r="E56" s="20">
        <f t="shared" si="28"/>
        <v>0</v>
      </c>
      <c r="F56" s="6" t="str">
        <f>IF(D56=E56,"n/a",IF(OR(C56="battery electric vehicle",C56="natural gas vehicle",C56="plugin hybrid vehicle"),"s-curve","linear"))</f>
        <v>n/a</v>
      </c>
      <c r="H56" s="20">
        <f t="shared" si="27"/>
        <v>0</v>
      </c>
      <c r="I56">
        <f>IF($F56="s-curve",$D56+($E56-$D56)*$I$2/(1+EXP($I$3*(COUNT($H$9:I$9)+$I$4))),TREND($D56:$E56,$D$9:$E$9,I$9))</f>
        <v>0</v>
      </c>
      <c r="J56">
        <f>IF($F56="s-curve",$D56+($E56-$D56)*$I$2/(1+EXP($I$3*(COUNT($H$9:J$9)+$I$4))),TREND($D56:$E56,$D$9:$E$9,J$9))</f>
        <v>0</v>
      </c>
      <c r="K56">
        <f>IF($F56="s-curve",$D56+($E56-$D56)*$I$2/(1+EXP($I$3*(COUNT($H$9:K$9)+$I$4))),TREND($D56:$E56,$D$9:$E$9,K$9))</f>
        <v>0</v>
      </c>
      <c r="L56">
        <f>IF($F56="s-curve",$D56+($E56-$D56)*$I$2/(1+EXP($I$3*(COUNT($H$9:L$9)+$I$4))),TREND($D56:$E56,$D$9:$E$9,L$9))</f>
        <v>0</v>
      </c>
      <c r="M56">
        <f>IF($F56="s-curve",$D56+($E56-$D56)*$I$2/(1+EXP($I$3*(COUNT($H$9:M$9)+$I$4))),TREND($D56:$E56,$D$9:$E$9,M$9))</f>
        <v>0</v>
      </c>
      <c r="N56">
        <f>IF($F56="s-curve",$D56+($E56-$D56)*$I$2/(1+EXP($I$3*(COUNT($H$9:N$9)+$I$4))),TREND($D56:$E56,$D$9:$E$9,N$9))</f>
        <v>0</v>
      </c>
      <c r="O56">
        <f>IF($F56="s-curve",$D56+($E56-$D56)*$I$2/(1+EXP($I$3*(COUNT($H$9:O$9)+$I$4))),TREND($D56:$E56,$D$9:$E$9,O$9))</f>
        <v>0</v>
      </c>
      <c r="P56">
        <f>IF($F56="s-curve",$D56+($E56-$D56)*$I$2/(1+EXP($I$3*(COUNT($H$9:P$9)+$I$4))),TREND($D56:$E56,$D$9:$E$9,P$9))</f>
        <v>0</v>
      </c>
      <c r="Q56">
        <f>IF($F56="s-curve",$D56+($E56-$D56)*$I$2/(1+EXP($I$3*(COUNT($H$9:Q$9)+$I$4))),TREND($D56:$E56,$D$9:$E$9,Q$9))</f>
        <v>0</v>
      </c>
      <c r="R56">
        <f>IF($F56="s-curve",$D56+($E56-$D56)*$I$2/(1+EXP($I$3*(COUNT($H$9:R$9)+$I$4))),TREND($D56:$E56,$D$9:$E$9,R$9))</f>
        <v>0</v>
      </c>
      <c r="S56">
        <f>IF($F56="s-curve",$D56+($E56-$D56)*$I$2/(1+EXP($I$3*(COUNT($H$9:S$9)+$I$4))),TREND($D56:$E56,$D$9:$E$9,S$9))</f>
        <v>0</v>
      </c>
      <c r="T56">
        <f>IF($F56="s-curve",$D56+($E56-$D56)*$I$2/(1+EXP($I$3*(COUNT($H$9:T$9)+$I$4))),TREND($D56:$E56,$D$9:$E$9,T$9))</f>
        <v>0</v>
      </c>
      <c r="U56">
        <f>IF($F56="s-curve",$D56+($E56-$D56)*$I$2/(1+EXP($I$3*(COUNT($H$9:U$9)+$I$4))),TREND($D56:$E56,$D$9:$E$9,U$9))</f>
        <v>0</v>
      </c>
      <c r="V56">
        <f>IF($F56="s-curve",$D56+($E56-$D56)*$I$2/(1+EXP($I$3*(COUNT($H$9:V$9)+$I$4))),TREND($D56:$E56,$D$9:$E$9,V$9))</f>
        <v>0</v>
      </c>
      <c r="W56">
        <f>IF($F56="s-curve",$D56+($E56-$D56)*$I$2/(1+EXP($I$3*(COUNT($H$9:W$9)+$I$4))),TREND($D56:$E56,$D$9:$E$9,W$9))</f>
        <v>0</v>
      </c>
      <c r="X56">
        <f>IF($F56="s-curve",$D56+($E56-$D56)*$I$2/(1+EXP($I$3*(COUNT($H$9:X$9)+$I$4))),TREND($D56:$E56,$D$9:$E$9,X$9))</f>
        <v>0</v>
      </c>
      <c r="Y56">
        <f>IF($F56="s-curve",$D56+($E56-$D56)*$I$2/(1+EXP($I$3*(COUNT($H$9:Y$9)+$I$4))),TREND($D56:$E56,$D$9:$E$9,Y$9))</f>
        <v>0</v>
      </c>
      <c r="Z56">
        <f>IF($F56="s-curve",$D56+($E56-$D56)*$I$2/(1+EXP($I$3*(COUNT($H$9:Z$9)+$I$4))),TREND($D56:$E56,$D$9:$E$9,Z$9))</f>
        <v>0</v>
      </c>
      <c r="AA56">
        <f>IF($F56="s-curve",$D56+($E56-$D56)*$I$2/(1+EXP($I$3*(COUNT($H$9:AA$9)+$I$4))),TREND($D56:$E56,$D$9:$E$9,AA$9))</f>
        <v>0</v>
      </c>
      <c r="AB56">
        <f>IF($F56="s-curve",$D56+($E56-$D56)*$I$2/(1+EXP($I$3*(COUNT($H$9:AB$9)+$I$4))),TREND($D56:$E56,$D$9:$E$9,AB$9))</f>
        <v>0</v>
      </c>
      <c r="AC56">
        <f>IF($F56="s-curve",$D56+($E56-$D56)*$I$2/(1+EXP($I$3*(COUNT($H$9:AC$9)+$I$4))),TREND($D56:$E56,$D$9:$E$9,AC$9))</f>
        <v>0</v>
      </c>
      <c r="AD56">
        <f>IF($F56="s-curve",$D56+($E56-$D56)*$I$2/(1+EXP($I$3*(COUNT($H$9:AD$9)+$I$4))),TREND($D56:$E56,$D$9:$E$9,AD$9))</f>
        <v>0</v>
      </c>
      <c r="AE56">
        <f>IF($F56="s-curve",$D56+($E56-$D56)*$I$2/(1+EXP($I$3*(COUNT($H$9:AE$9)+$I$4))),TREND($D56:$E56,$D$9:$E$9,AE$9))</f>
        <v>0</v>
      </c>
      <c r="AF56">
        <f>IF($F56="s-curve",$D56+($E56-$D56)*$I$2/(1+EXP($I$3*(COUNT($H$9:AF$9)+$I$4))),TREND($D56:$E56,$D$9:$E$9,AF$9))</f>
        <v>0</v>
      </c>
      <c r="AG56">
        <f>IF($F56="s-curve",$D56+($E56-$D56)*$I$2/(1+EXP($I$3*(COUNT($H$9:AG$9)+$I$4))),TREND($D56:$E56,$D$9:$E$9,AG$9))</f>
        <v>0</v>
      </c>
      <c r="AH56">
        <f>IF($F56="s-curve",$D56+($E56-$D56)*$I$2/(1+EXP($I$3*(COUNT($H$9:AH$9)+$I$4))),TREND($D56:$E56,$D$9:$E$9,AH$9))</f>
        <v>0</v>
      </c>
      <c r="AI56">
        <f>IF($F56="s-curve",$D56+($E56-$D56)*$I$2/(1+EXP($I$3*(COUNT($H$9:AI$9)+$I$4))),TREND($D56:$E56,$D$9:$E$9,AI$9))</f>
        <v>0</v>
      </c>
      <c r="AJ56">
        <f>IF($F56="s-curve",$D56+($E56-$D56)*$I$2/(1+EXP($I$3*(COUNT($H$9:AJ$9)+$I$4))),TREND($D56:$E56,$D$9:$E$9,AJ$9))</f>
        <v>0</v>
      </c>
      <c r="AK56">
        <f>IF($F56="s-curve",$D56+($E56-$D56)*$I$2/(1+EXP($I$3*(COUNT($H$9:AK$9)+$I$4))),TREND($D56:$E56,$D$9:$E$9,AK$9))</f>
        <v>0</v>
      </c>
      <c r="AL56">
        <f>IF($F56="s-curve",$D56+($E56-$D56)*$I$2/(1+EXP($I$3*(COUNT($H$9:AL$9)+$I$4))),TREND($D56:$E56,$D$9:$E$9,AL$9))</f>
        <v>0</v>
      </c>
    </row>
    <row r="57" spans="1:38">
      <c r="C57" t="s">
        <v>78</v>
      </c>
      <c r="D57" s="20">
        <f>MIN(1.25*INDEX('SYVbT-passenger'!$B$5:$H$5,MATCH(Data!$C15,'SYVbT-passenger'!$B$1:$H$1,0))/SUM('SYVbT-passenger'!$B$5:$H$5),1)</f>
        <v>0</v>
      </c>
      <c r="E57" s="20">
        <f t="shared" si="28"/>
        <v>0</v>
      </c>
      <c r="F57" s="6" t="str">
        <f>IF(D57=E57,"n/a",IF(OR(C57="battery electric vehicle",C57="natural gas vehicle",C57="plugin hybrid vehicle",C57="hydrogen vehicle"),"s-curve","linear"))</f>
        <v>n/a</v>
      </c>
      <c r="H57" s="20">
        <f t="shared" si="27"/>
        <v>0</v>
      </c>
      <c r="I57">
        <f>IF($F57="s-curve",$D57+($E57-$D57)*$I$2/(1+EXP($I$3*(COUNT($H$9:I$9)+$I$4))),TREND($D57:$E57,$D$9:$E$9,I$9))</f>
        <v>0</v>
      </c>
      <c r="J57">
        <f>IF($F57="s-curve",$D57+($E57-$D57)*$I$2/(1+EXP($I$3*(COUNT($H$9:J$9)+$I$4))),TREND($D57:$E57,$D$9:$E$9,J$9))</f>
        <v>0</v>
      </c>
      <c r="K57">
        <f>IF($F57="s-curve",$D57+($E57-$D57)*$I$2/(1+EXP($I$3*(COUNT($H$9:K$9)+$I$4))),TREND($D57:$E57,$D$9:$E$9,K$9))</f>
        <v>0</v>
      </c>
      <c r="L57">
        <f>IF($F57="s-curve",$D57+($E57-$D57)*$I$2/(1+EXP($I$3*(COUNT($H$9:L$9)+$I$4))),TREND($D57:$E57,$D$9:$E$9,L$9))</f>
        <v>0</v>
      </c>
      <c r="M57">
        <f>IF($F57="s-curve",$D57+($E57-$D57)*$I$2/(1+EXP($I$3*(COUNT($H$9:M$9)+$I$4))),TREND($D57:$E57,$D$9:$E$9,M$9))</f>
        <v>0</v>
      </c>
      <c r="N57">
        <f>IF($F57="s-curve",$D57+($E57-$D57)*$I$2/(1+EXP($I$3*(COUNT($H$9:N$9)+$I$4))),TREND($D57:$E57,$D$9:$E$9,N$9))</f>
        <v>0</v>
      </c>
      <c r="O57">
        <f>IF($F57="s-curve",$D57+($E57-$D57)*$I$2/(1+EXP($I$3*(COUNT($H$9:O$9)+$I$4))),TREND($D57:$E57,$D$9:$E$9,O$9))</f>
        <v>0</v>
      </c>
      <c r="P57">
        <f>IF($F57="s-curve",$D57+($E57-$D57)*$I$2/(1+EXP($I$3*(COUNT($H$9:P$9)+$I$4))),TREND($D57:$E57,$D$9:$E$9,P$9))</f>
        <v>0</v>
      </c>
      <c r="Q57">
        <f>IF($F57="s-curve",$D57+($E57-$D57)*$I$2/(1+EXP($I$3*(COUNT($H$9:Q$9)+$I$4))),TREND($D57:$E57,$D$9:$E$9,Q$9))</f>
        <v>0</v>
      </c>
      <c r="R57">
        <f>IF($F57="s-curve",$D57+($E57-$D57)*$I$2/(1+EXP($I$3*(COUNT($H$9:R$9)+$I$4))),TREND($D57:$E57,$D$9:$E$9,R$9))</f>
        <v>0</v>
      </c>
      <c r="S57">
        <f>IF($F57="s-curve",$D57+($E57-$D57)*$I$2/(1+EXP($I$3*(COUNT($H$9:S$9)+$I$4))),TREND($D57:$E57,$D$9:$E$9,S$9))</f>
        <v>0</v>
      </c>
      <c r="T57">
        <f>IF($F57="s-curve",$D57+($E57-$D57)*$I$2/(1+EXP($I$3*(COUNT($H$9:T$9)+$I$4))),TREND($D57:$E57,$D$9:$E$9,T$9))</f>
        <v>0</v>
      </c>
      <c r="U57">
        <f>IF($F57="s-curve",$D57+($E57-$D57)*$I$2/(1+EXP($I$3*(COUNT($H$9:U$9)+$I$4))),TREND($D57:$E57,$D$9:$E$9,U$9))</f>
        <v>0</v>
      </c>
      <c r="V57">
        <f>IF($F57="s-curve",$D57+($E57-$D57)*$I$2/(1+EXP($I$3*(COUNT($H$9:V$9)+$I$4))),TREND($D57:$E57,$D$9:$E$9,V$9))</f>
        <v>0</v>
      </c>
      <c r="W57">
        <f>IF($F57="s-curve",$D57+($E57-$D57)*$I$2/(1+EXP($I$3*(COUNT($H$9:W$9)+$I$4))),TREND($D57:$E57,$D$9:$E$9,W$9))</f>
        <v>0</v>
      </c>
      <c r="X57">
        <f>IF($F57="s-curve",$D57+($E57-$D57)*$I$2/(1+EXP($I$3*(COUNT($H$9:X$9)+$I$4))),TREND($D57:$E57,$D$9:$E$9,X$9))</f>
        <v>0</v>
      </c>
      <c r="Y57">
        <f>IF($F57="s-curve",$D57+($E57-$D57)*$I$2/(1+EXP($I$3*(COUNT($H$9:Y$9)+$I$4))),TREND($D57:$E57,$D$9:$E$9,Y$9))</f>
        <v>0</v>
      </c>
      <c r="Z57">
        <f>IF($F57="s-curve",$D57+($E57-$D57)*$I$2/(1+EXP($I$3*(COUNT($H$9:Z$9)+$I$4))),TREND($D57:$E57,$D$9:$E$9,Z$9))</f>
        <v>0</v>
      </c>
      <c r="AA57">
        <f>IF($F57="s-curve",$D57+($E57-$D57)*$I$2/(1+EXP($I$3*(COUNT($H$9:AA$9)+$I$4))),TREND($D57:$E57,$D$9:$E$9,AA$9))</f>
        <v>0</v>
      </c>
      <c r="AB57">
        <f>IF($F57="s-curve",$D57+($E57-$D57)*$I$2/(1+EXP($I$3*(COUNT($H$9:AB$9)+$I$4))),TREND($D57:$E57,$D$9:$E$9,AB$9))</f>
        <v>0</v>
      </c>
      <c r="AC57">
        <f>IF($F57="s-curve",$D57+($E57-$D57)*$I$2/(1+EXP($I$3*(COUNT($H$9:AC$9)+$I$4))),TREND($D57:$E57,$D$9:$E$9,AC$9))</f>
        <v>0</v>
      </c>
      <c r="AD57">
        <f>IF($F57="s-curve",$D57+($E57-$D57)*$I$2/(1+EXP($I$3*(COUNT($H$9:AD$9)+$I$4))),TREND($D57:$E57,$D$9:$E$9,AD$9))</f>
        <v>0</v>
      </c>
      <c r="AE57">
        <f>IF($F57="s-curve",$D57+($E57-$D57)*$I$2/(1+EXP($I$3*(COUNT($H$9:AE$9)+$I$4))),TREND($D57:$E57,$D$9:$E$9,AE$9))</f>
        <v>0</v>
      </c>
      <c r="AF57">
        <f>IF($F57="s-curve",$D57+($E57-$D57)*$I$2/(1+EXP($I$3*(COUNT($H$9:AF$9)+$I$4))),TREND($D57:$E57,$D$9:$E$9,AF$9))</f>
        <v>0</v>
      </c>
      <c r="AG57">
        <f>IF($F57="s-curve",$D57+($E57-$D57)*$I$2/(1+EXP($I$3*(COUNT($H$9:AG$9)+$I$4))),TREND($D57:$E57,$D$9:$E$9,AG$9))</f>
        <v>0</v>
      </c>
      <c r="AH57">
        <f>IF($F57="s-curve",$D57+($E57-$D57)*$I$2/(1+EXP($I$3*(COUNT($H$9:AH$9)+$I$4))),TREND($D57:$E57,$D$9:$E$9,AH$9))</f>
        <v>0</v>
      </c>
      <c r="AI57">
        <f>IF($F57="s-curve",$D57+($E57-$D57)*$I$2/(1+EXP($I$3*(COUNT($H$9:AI$9)+$I$4))),TREND($D57:$E57,$D$9:$E$9,AI$9))</f>
        <v>0</v>
      </c>
      <c r="AJ57">
        <f>IF($F57="s-curve",$D57+($E57-$D57)*$I$2/(1+EXP($I$3*(COUNT($H$9:AJ$9)+$I$4))),TREND($D57:$E57,$D$9:$E$9,AJ$9))</f>
        <v>0</v>
      </c>
      <c r="AK57">
        <f>IF($F57="s-curve",$D57+($E57-$D57)*$I$2/(1+EXP($I$3*(COUNT($H$9:AK$9)+$I$4))),TREND($D57:$E57,$D$9:$E$9,AK$9))</f>
        <v>0</v>
      </c>
      <c r="AL57">
        <f>IF($F57="s-curve",$D57+($E57-$D57)*$I$2/(1+EXP($I$3*(COUNT($H$9:AL$9)+$I$4))),TREND($D57:$E57,$D$9:$E$9,AL$9))</f>
        <v>0</v>
      </c>
    </row>
    <row r="58" spans="1:38" ht="15.75" thickBot="1">
      <c r="A58" s="21"/>
      <c r="B58" s="21"/>
      <c r="C58" s="21" t="s">
        <v>79</v>
      </c>
      <c r="D58" s="21">
        <f>MIN(1.25*INDEX('SYVbT-passenger'!$B$5:$H$5,MATCH(Data!$C16,'SYVbT-passenger'!$B$1:$H$1,0))/SUM('SYVbT-passenger'!$B$5:$H$5),1)</f>
        <v>0</v>
      </c>
      <c r="E58" s="21">
        <f t="shared" si="28"/>
        <v>0</v>
      </c>
      <c r="F58" s="7" t="str">
        <f>IF(D58=E58,"n/a",IF(OR(C58="battery electric vehicle",C58="natural gas vehicle",C58="plugin hybrid vehicle",C58="hydrogen vehicle"),"s-curve","linear"))</f>
        <v>n/a</v>
      </c>
      <c r="H58" s="20">
        <f t="shared" si="27"/>
        <v>0</v>
      </c>
      <c r="I58">
        <f>IF($F58="s-curve",$D58+($E58-$D58)*$I$2/(1+EXP($I$3*(COUNT($H$9:I$9)+$I$4))),TREND($D58:$E58,$D$9:$E$9,I$9))</f>
        <v>0</v>
      </c>
      <c r="J58">
        <f>IF($F58="s-curve",$D58+($E58-$D58)*$I$2/(1+EXP($I$3*(COUNT($H$9:J$9)+$I$4))),TREND($D58:$E58,$D$9:$E$9,J$9))</f>
        <v>0</v>
      </c>
      <c r="K58">
        <f>IF($F58="s-curve",$D58+($E58-$D58)*$I$2/(1+EXP($I$3*(COUNT($H$9:K$9)+$I$4))),TREND($D58:$E58,$D$9:$E$9,K$9))</f>
        <v>0</v>
      </c>
      <c r="L58">
        <f>IF($F58="s-curve",$D58+($E58-$D58)*$I$2/(1+EXP($I$3*(COUNT($H$9:L$9)+$I$4))),TREND($D58:$E58,$D$9:$E$9,L$9))</f>
        <v>0</v>
      </c>
      <c r="M58">
        <f>IF($F58="s-curve",$D58+($E58-$D58)*$I$2/(1+EXP($I$3*(COUNT($H$9:M$9)+$I$4))),TREND($D58:$E58,$D$9:$E$9,M$9))</f>
        <v>0</v>
      </c>
      <c r="N58">
        <f>IF($F58="s-curve",$D58+($E58-$D58)*$I$2/(1+EXP($I$3*(COUNT($H$9:N$9)+$I$4))),TREND($D58:$E58,$D$9:$E$9,N$9))</f>
        <v>0</v>
      </c>
      <c r="O58">
        <f>IF($F58="s-curve",$D58+($E58-$D58)*$I$2/(1+EXP($I$3*(COUNT($H$9:O$9)+$I$4))),TREND($D58:$E58,$D$9:$E$9,O$9))</f>
        <v>0</v>
      </c>
      <c r="P58">
        <f>IF($F58="s-curve",$D58+($E58-$D58)*$I$2/(1+EXP($I$3*(COUNT($H$9:P$9)+$I$4))),TREND($D58:$E58,$D$9:$E$9,P$9))</f>
        <v>0</v>
      </c>
      <c r="Q58">
        <f>IF($F58="s-curve",$D58+($E58-$D58)*$I$2/(1+EXP($I$3*(COUNT($H$9:Q$9)+$I$4))),TREND($D58:$E58,$D$9:$E$9,Q$9))</f>
        <v>0</v>
      </c>
      <c r="R58">
        <f>IF($F58="s-curve",$D58+($E58-$D58)*$I$2/(1+EXP($I$3*(COUNT($H$9:R$9)+$I$4))),TREND($D58:$E58,$D$9:$E$9,R$9))</f>
        <v>0</v>
      </c>
      <c r="S58">
        <f>IF($F58="s-curve",$D58+($E58-$D58)*$I$2/(1+EXP($I$3*(COUNT($H$9:S$9)+$I$4))),TREND($D58:$E58,$D$9:$E$9,S$9))</f>
        <v>0</v>
      </c>
      <c r="T58">
        <f>IF($F58="s-curve",$D58+($E58-$D58)*$I$2/(1+EXP($I$3*(COUNT($H$9:T$9)+$I$4))),TREND($D58:$E58,$D$9:$E$9,T$9))</f>
        <v>0</v>
      </c>
      <c r="U58">
        <f>IF($F58="s-curve",$D58+($E58-$D58)*$I$2/(1+EXP($I$3*(COUNT($H$9:U$9)+$I$4))),TREND($D58:$E58,$D$9:$E$9,U$9))</f>
        <v>0</v>
      </c>
      <c r="V58">
        <f>IF($F58="s-curve",$D58+($E58-$D58)*$I$2/(1+EXP($I$3*(COUNT($H$9:V$9)+$I$4))),TREND($D58:$E58,$D$9:$E$9,V$9))</f>
        <v>0</v>
      </c>
      <c r="W58">
        <f>IF($F58="s-curve",$D58+($E58-$D58)*$I$2/(1+EXP($I$3*(COUNT($H$9:W$9)+$I$4))),TREND($D58:$E58,$D$9:$E$9,W$9))</f>
        <v>0</v>
      </c>
      <c r="X58">
        <f>IF($F58="s-curve",$D58+($E58-$D58)*$I$2/(1+EXP($I$3*(COUNT($H$9:X$9)+$I$4))),TREND($D58:$E58,$D$9:$E$9,X$9))</f>
        <v>0</v>
      </c>
      <c r="Y58">
        <f>IF($F58="s-curve",$D58+($E58-$D58)*$I$2/(1+EXP($I$3*(COUNT($H$9:Y$9)+$I$4))),TREND($D58:$E58,$D$9:$E$9,Y$9))</f>
        <v>0</v>
      </c>
      <c r="Z58">
        <f>IF($F58="s-curve",$D58+($E58-$D58)*$I$2/(1+EXP($I$3*(COUNT($H$9:Z$9)+$I$4))),TREND($D58:$E58,$D$9:$E$9,Z$9))</f>
        <v>0</v>
      </c>
      <c r="AA58">
        <f>IF($F58="s-curve",$D58+($E58-$D58)*$I$2/(1+EXP($I$3*(COUNT($H$9:AA$9)+$I$4))),TREND($D58:$E58,$D$9:$E$9,AA$9))</f>
        <v>0</v>
      </c>
      <c r="AB58">
        <f>IF($F58="s-curve",$D58+($E58-$D58)*$I$2/(1+EXP($I$3*(COUNT($H$9:AB$9)+$I$4))),TREND($D58:$E58,$D$9:$E$9,AB$9))</f>
        <v>0</v>
      </c>
      <c r="AC58">
        <f>IF($F58="s-curve",$D58+($E58-$D58)*$I$2/(1+EXP($I$3*(COUNT($H$9:AC$9)+$I$4))),TREND($D58:$E58,$D$9:$E$9,AC$9))</f>
        <v>0</v>
      </c>
      <c r="AD58">
        <f>IF($F58="s-curve",$D58+($E58-$D58)*$I$2/(1+EXP($I$3*(COUNT($H$9:AD$9)+$I$4))),TREND($D58:$E58,$D$9:$E$9,AD$9))</f>
        <v>0</v>
      </c>
      <c r="AE58">
        <f>IF($F58="s-curve",$D58+($E58-$D58)*$I$2/(1+EXP($I$3*(COUNT($H$9:AE$9)+$I$4))),TREND($D58:$E58,$D$9:$E$9,AE$9))</f>
        <v>0</v>
      </c>
      <c r="AF58">
        <f>IF($F58="s-curve",$D58+($E58-$D58)*$I$2/(1+EXP($I$3*(COUNT($H$9:AF$9)+$I$4))),TREND($D58:$E58,$D$9:$E$9,AF$9))</f>
        <v>0</v>
      </c>
      <c r="AG58">
        <f>IF($F58="s-curve",$D58+($E58-$D58)*$I$2/(1+EXP($I$3*(COUNT($H$9:AG$9)+$I$4))),TREND($D58:$E58,$D$9:$E$9,AG$9))</f>
        <v>0</v>
      </c>
      <c r="AH58">
        <f>IF($F58="s-curve",$D58+($E58-$D58)*$I$2/(1+EXP($I$3*(COUNT($H$9:AH$9)+$I$4))),TREND($D58:$E58,$D$9:$E$9,AH$9))</f>
        <v>0</v>
      </c>
      <c r="AI58">
        <f>IF($F58="s-curve",$D58+($E58-$D58)*$I$2/(1+EXP($I$3*(COUNT($H$9:AI$9)+$I$4))),TREND($D58:$E58,$D$9:$E$9,AI$9))</f>
        <v>0</v>
      </c>
      <c r="AJ58">
        <f>IF($F58="s-curve",$D58+($E58-$D58)*$I$2/(1+EXP($I$3*(COUNT($H$9:AJ$9)+$I$4))),TREND($D58:$E58,$D$9:$E$9,AJ$9))</f>
        <v>0</v>
      </c>
      <c r="AK58">
        <f>IF($F58="s-curve",$D58+($E58-$D58)*$I$2/(1+EXP($I$3*(COUNT($H$9:AK$9)+$I$4))),TREND($D58:$E58,$D$9:$E$9,AK$9))</f>
        <v>0</v>
      </c>
      <c r="AL58">
        <f>IF($F58="s-curve",$D58+($E58-$D58)*$I$2/(1+EXP($I$3*(COUNT($H$9:AL$9)+$I$4))),TREND($D58:$E58,$D$9:$E$9,AL$9))</f>
        <v>0</v>
      </c>
    </row>
    <row r="59" spans="1:38">
      <c r="A59" t="s">
        <v>15</v>
      </c>
      <c r="B59" t="s">
        <v>18</v>
      </c>
      <c r="C59" t="s">
        <v>1</v>
      </c>
      <c r="D59">
        <v>0.2</v>
      </c>
      <c r="E59">
        <f>D59</f>
        <v>0.2</v>
      </c>
      <c r="F59" s="6" t="str">
        <f>IF(D59=E59,"n/a",IF(OR(C59="battery electric vehicle",C59="natural gas vehicle",C59="plugin hybrid vehicle"),"s-curve","linear"))</f>
        <v>n/a</v>
      </c>
      <c r="H59" s="20">
        <f t="shared" si="27"/>
        <v>0.2</v>
      </c>
      <c r="I59">
        <f>IF($F59="s-curve",$D59+($E59-$D59)*$I$2/(1+EXP($I$3*(COUNT($H$9:I$9)+$I$4))),TREND($D59:$E59,$D$9:$E$9,I$9))</f>
        <v>0.2</v>
      </c>
      <c r="J59">
        <f>IF($F59="s-curve",$D59+($E59-$D59)*$I$2/(1+EXP($I$3*(COUNT($H$9:J$9)+$I$4))),TREND($D59:$E59,$D$9:$E$9,J$9))</f>
        <v>0.2</v>
      </c>
      <c r="K59">
        <f>IF($F59="s-curve",$D59+($E59-$D59)*$I$2/(1+EXP($I$3*(COUNT($H$9:K$9)+$I$4))),TREND($D59:$E59,$D$9:$E$9,K$9))</f>
        <v>0.2</v>
      </c>
      <c r="L59">
        <f>IF($F59="s-curve",$D59+($E59-$D59)*$I$2/(1+EXP($I$3*(COUNT($H$9:L$9)+$I$4))),TREND($D59:$E59,$D$9:$E$9,L$9))</f>
        <v>0.2</v>
      </c>
      <c r="M59">
        <f>IF($F59="s-curve",$D59+($E59-$D59)*$I$2/(1+EXP($I$3*(COUNT($H$9:M$9)+$I$4))),TREND($D59:$E59,$D$9:$E$9,M$9))</f>
        <v>0.2</v>
      </c>
      <c r="N59">
        <f>IF($F59="s-curve",$D59+($E59-$D59)*$I$2/(1+EXP($I$3*(COUNT($H$9:N$9)+$I$4))),TREND($D59:$E59,$D$9:$E$9,N$9))</f>
        <v>0.2</v>
      </c>
      <c r="O59">
        <f>IF($F59="s-curve",$D59+($E59-$D59)*$I$2/(1+EXP($I$3*(COUNT($H$9:O$9)+$I$4))),TREND($D59:$E59,$D$9:$E$9,O$9))</f>
        <v>0.2</v>
      </c>
      <c r="P59">
        <f>IF($F59="s-curve",$D59+($E59-$D59)*$I$2/(1+EXP($I$3*(COUNT($H$9:P$9)+$I$4))),TREND($D59:$E59,$D$9:$E$9,P$9))</f>
        <v>0.2</v>
      </c>
      <c r="Q59">
        <f>IF($F59="s-curve",$D59+($E59-$D59)*$I$2/(1+EXP($I$3*(COUNT($H$9:Q$9)+$I$4))),TREND($D59:$E59,$D$9:$E$9,Q$9))</f>
        <v>0.2</v>
      </c>
      <c r="R59">
        <f>IF($F59="s-curve",$D59+($E59-$D59)*$I$2/(1+EXP($I$3*(COUNT($H$9:R$9)+$I$4))),TREND($D59:$E59,$D$9:$E$9,R$9))</f>
        <v>0.2</v>
      </c>
      <c r="S59">
        <f>IF($F59="s-curve",$D59+($E59-$D59)*$I$2/(1+EXP($I$3*(COUNT($H$9:S$9)+$I$4))),TREND($D59:$E59,$D$9:$E$9,S$9))</f>
        <v>0.2</v>
      </c>
      <c r="T59">
        <f>IF($F59="s-curve",$D59+($E59-$D59)*$I$2/(1+EXP($I$3*(COUNT($H$9:T$9)+$I$4))),TREND($D59:$E59,$D$9:$E$9,T$9))</f>
        <v>0.2</v>
      </c>
      <c r="U59">
        <f>IF($F59="s-curve",$D59+($E59-$D59)*$I$2/(1+EXP($I$3*(COUNT($H$9:U$9)+$I$4))),TREND($D59:$E59,$D$9:$E$9,U$9))</f>
        <v>0.2</v>
      </c>
      <c r="V59">
        <f>IF($F59="s-curve",$D59+($E59-$D59)*$I$2/(1+EXP($I$3*(COUNT($H$9:V$9)+$I$4))),TREND($D59:$E59,$D$9:$E$9,V$9))</f>
        <v>0.2</v>
      </c>
      <c r="W59">
        <f>IF($F59="s-curve",$D59+($E59-$D59)*$I$2/(1+EXP($I$3*(COUNT($H$9:W$9)+$I$4))),TREND($D59:$E59,$D$9:$E$9,W$9))</f>
        <v>0.2</v>
      </c>
      <c r="X59">
        <f>IF($F59="s-curve",$D59+($E59-$D59)*$I$2/(1+EXP($I$3*(COUNT($H$9:X$9)+$I$4))),TREND($D59:$E59,$D$9:$E$9,X$9))</f>
        <v>0.2</v>
      </c>
      <c r="Y59">
        <f>IF($F59="s-curve",$D59+($E59-$D59)*$I$2/(1+EXP($I$3*(COUNT($H$9:Y$9)+$I$4))),TREND($D59:$E59,$D$9:$E$9,Y$9))</f>
        <v>0.2</v>
      </c>
      <c r="Z59">
        <f>IF($F59="s-curve",$D59+($E59-$D59)*$I$2/(1+EXP($I$3*(COUNT($H$9:Z$9)+$I$4))),TREND($D59:$E59,$D$9:$E$9,Z$9))</f>
        <v>0.2</v>
      </c>
      <c r="AA59">
        <f>IF($F59="s-curve",$D59+($E59-$D59)*$I$2/(1+EXP($I$3*(COUNT($H$9:AA$9)+$I$4))),TREND($D59:$E59,$D$9:$E$9,AA$9))</f>
        <v>0.2</v>
      </c>
      <c r="AB59">
        <f>IF($F59="s-curve",$D59+($E59-$D59)*$I$2/(1+EXP($I$3*(COUNT($H$9:AB$9)+$I$4))),TREND($D59:$E59,$D$9:$E$9,AB$9))</f>
        <v>0.2</v>
      </c>
      <c r="AC59">
        <f>IF($F59="s-curve",$D59+($E59-$D59)*$I$2/(1+EXP($I$3*(COUNT($H$9:AC$9)+$I$4))),TREND($D59:$E59,$D$9:$E$9,AC$9))</f>
        <v>0.2</v>
      </c>
      <c r="AD59">
        <f>IF($F59="s-curve",$D59+($E59-$D59)*$I$2/(1+EXP($I$3*(COUNT($H$9:AD$9)+$I$4))),TREND($D59:$E59,$D$9:$E$9,AD$9))</f>
        <v>0.2</v>
      </c>
      <c r="AE59">
        <f>IF($F59="s-curve",$D59+($E59-$D59)*$I$2/(1+EXP($I$3*(COUNT($H$9:AE$9)+$I$4))),TREND($D59:$E59,$D$9:$E$9,AE$9))</f>
        <v>0.2</v>
      </c>
      <c r="AF59">
        <f>IF($F59="s-curve",$D59+($E59-$D59)*$I$2/(1+EXP($I$3*(COUNT($H$9:AF$9)+$I$4))),TREND($D59:$E59,$D$9:$E$9,AF$9))</f>
        <v>0.2</v>
      </c>
      <c r="AG59">
        <f>IF($F59="s-curve",$D59+($E59-$D59)*$I$2/(1+EXP($I$3*(COUNT($H$9:AG$9)+$I$4))),TREND($D59:$E59,$D$9:$E$9,AG$9))</f>
        <v>0.2</v>
      </c>
      <c r="AH59">
        <f>IF($F59="s-curve",$D59+($E59-$D59)*$I$2/(1+EXP($I$3*(COUNT($H$9:AH$9)+$I$4))),TREND($D59:$E59,$D$9:$E$9,AH$9))</f>
        <v>0.2</v>
      </c>
      <c r="AI59">
        <f>IF($F59="s-curve",$D59+($E59-$D59)*$I$2/(1+EXP($I$3*(COUNT($H$9:AI$9)+$I$4))),TREND($D59:$E59,$D$9:$E$9,AI$9))</f>
        <v>0.2</v>
      </c>
      <c r="AJ59">
        <f>IF($F59="s-curve",$D59+($E59-$D59)*$I$2/(1+EXP($I$3*(COUNT($H$9:AJ$9)+$I$4))),TREND($D59:$E59,$D$9:$E$9,AJ$9))</f>
        <v>0.2</v>
      </c>
      <c r="AK59">
        <f>IF($F59="s-curve",$D59+($E59-$D59)*$I$2/(1+EXP($I$3*(COUNT($H$9:AK$9)+$I$4))),TREND($D59:$E59,$D$9:$E$9,AK$9))</f>
        <v>0.2</v>
      </c>
      <c r="AL59">
        <f>IF($F59="s-curve",$D59+($E59-$D59)*$I$2/(1+EXP($I$3*(COUNT($H$9:AL$9)+$I$4))),TREND($D59:$E59,$D$9:$E$9,AL$9))</f>
        <v>0.2</v>
      </c>
    </row>
    <row r="60" spans="1:38">
      <c r="C60" t="s">
        <v>2</v>
      </c>
      <c r="D60">
        <f>MIN(1.25*INDEX('SYVbT-freight'!$B$5:$H$5,MATCH(Data!$C11,'SYVbT-passenger'!$B$1:$H$1,0))/SUM('SYVbT-freight'!$B$5:$H$5),1)</f>
        <v>0</v>
      </c>
      <c r="E60">
        <f t="shared" ref="E60:E65" si="29">D60</f>
        <v>0</v>
      </c>
      <c r="F60" s="6" t="str">
        <f>IF(D60=E60,"n/a",IF(OR(C60="battery electric vehicle",C60="natural gas vehicle",C60="plugin hybrid vehicle"),"s-curve","linear"))</f>
        <v>n/a</v>
      </c>
      <c r="H60" s="20">
        <f t="shared" si="27"/>
        <v>0</v>
      </c>
      <c r="I60">
        <f>IF($F60="s-curve",$D60+($E60-$D60)*$I$2/(1+EXP($I$3*(COUNT($H$9:I$9)+$I$4))),TREND($D60:$E60,$D$9:$E$9,I$9))</f>
        <v>0</v>
      </c>
      <c r="J60">
        <f>IF($F60="s-curve",$D60+($E60-$D60)*$I$2/(1+EXP($I$3*(COUNT($H$9:J$9)+$I$4))),TREND($D60:$E60,$D$9:$E$9,J$9))</f>
        <v>0</v>
      </c>
      <c r="K60">
        <f>IF($F60="s-curve",$D60+($E60-$D60)*$I$2/(1+EXP($I$3*(COUNT($H$9:K$9)+$I$4))),TREND($D60:$E60,$D$9:$E$9,K$9))</f>
        <v>0</v>
      </c>
      <c r="L60">
        <f>IF($F60="s-curve",$D60+($E60-$D60)*$I$2/(1+EXP($I$3*(COUNT($H$9:L$9)+$I$4))),TREND($D60:$E60,$D$9:$E$9,L$9))</f>
        <v>0</v>
      </c>
      <c r="M60">
        <f>IF($F60="s-curve",$D60+($E60-$D60)*$I$2/(1+EXP($I$3*(COUNT($H$9:M$9)+$I$4))),TREND($D60:$E60,$D$9:$E$9,M$9))</f>
        <v>0</v>
      </c>
      <c r="N60">
        <f>IF($F60="s-curve",$D60+($E60-$D60)*$I$2/(1+EXP($I$3*(COUNT($H$9:N$9)+$I$4))),TREND($D60:$E60,$D$9:$E$9,N$9))</f>
        <v>0</v>
      </c>
      <c r="O60">
        <f>IF($F60="s-curve",$D60+($E60-$D60)*$I$2/(1+EXP($I$3*(COUNT($H$9:O$9)+$I$4))),TREND($D60:$E60,$D$9:$E$9,O$9))</f>
        <v>0</v>
      </c>
      <c r="P60">
        <f>IF($F60="s-curve",$D60+($E60-$D60)*$I$2/(1+EXP($I$3*(COUNT($H$9:P$9)+$I$4))),TREND($D60:$E60,$D$9:$E$9,P$9))</f>
        <v>0</v>
      </c>
      <c r="Q60">
        <f>IF($F60="s-curve",$D60+($E60-$D60)*$I$2/(1+EXP($I$3*(COUNT($H$9:Q$9)+$I$4))),TREND($D60:$E60,$D$9:$E$9,Q$9))</f>
        <v>0</v>
      </c>
      <c r="R60">
        <f>IF($F60="s-curve",$D60+($E60-$D60)*$I$2/(1+EXP($I$3*(COUNT($H$9:R$9)+$I$4))),TREND($D60:$E60,$D$9:$E$9,R$9))</f>
        <v>0</v>
      </c>
      <c r="S60">
        <f>IF($F60="s-curve",$D60+($E60-$D60)*$I$2/(1+EXP($I$3*(COUNT($H$9:S$9)+$I$4))),TREND($D60:$E60,$D$9:$E$9,S$9))</f>
        <v>0</v>
      </c>
      <c r="T60">
        <f>IF($F60="s-curve",$D60+($E60-$D60)*$I$2/(1+EXP($I$3*(COUNT($H$9:T$9)+$I$4))),TREND($D60:$E60,$D$9:$E$9,T$9))</f>
        <v>0</v>
      </c>
      <c r="U60">
        <f>IF($F60="s-curve",$D60+($E60-$D60)*$I$2/(1+EXP($I$3*(COUNT($H$9:U$9)+$I$4))),TREND($D60:$E60,$D$9:$E$9,U$9))</f>
        <v>0</v>
      </c>
      <c r="V60">
        <f>IF($F60="s-curve",$D60+($E60-$D60)*$I$2/(1+EXP($I$3*(COUNT($H$9:V$9)+$I$4))),TREND($D60:$E60,$D$9:$E$9,V$9))</f>
        <v>0</v>
      </c>
      <c r="W60">
        <f>IF($F60="s-curve",$D60+($E60-$D60)*$I$2/(1+EXP($I$3*(COUNT($H$9:W$9)+$I$4))),TREND($D60:$E60,$D$9:$E$9,W$9))</f>
        <v>0</v>
      </c>
      <c r="X60">
        <f>IF($F60="s-curve",$D60+($E60-$D60)*$I$2/(1+EXP($I$3*(COUNT($H$9:X$9)+$I$4))),TREND($D60:$E60,$D$9:$E$9,X$9))</f>
        <v>0</v>
      </c>
      <c r="Y60">
        <f>IF($F60="s-curve",$D60+($E60-$D60)*$I$2/(1+EXP($I$3*(COUNT($H$9:Y$9)+$I$4))),TREND($D60:$E60,$D$9:$E$9,Y$9))</f>
        <v>0</v>
      </c>
      <c r="Z60">
        <f>IF($F60="s-curve",$D60+($E60-$D60)*$I$2/(1+EXP($I$3*(COUNT($H$9:Z$9)+$I$4))),TREND($D60:$E60,$D$9:$E$9,Z$9))</f>
        <v>0</v>
      </c>
      <c r="AA60">
        <f>IF($F60="s-curve",$D60+($E60-$D60)*$I$2/(1+EXP($I$3*(COUNT($H$9:AA$9)+$I$4))),TREND($D60:$E60,$D$9:$E$9,AA$9))</f>
        <v>0</v>
      </c>
      <c r="AB60">
        <f>IF($F60="s-curve",$D60+($E60-$D60)*$I$2/(1+EXP($I$3*(COUNT($H$9:AB$9)+$I$4))),TREND($D60:$E60,$D$9:$E$9,AB$9))</f>
        <v>0</v>
      </c>
      <c r="AC60">
        <f>IF($F60="s-curve",$D60+($E60-$D60)*$I$2/(1+EXP($I$3*(COUNT($H$9:AC$9)+$I$4))),TREND($D60:$E60,$D$9:$E$9,AC$9))</f>
        <v>0</v>
      </c>
      <c r="AD60">
        <f>IF($F60="s-curve",$D60+($E60-$D60)*$I$2/(1+EXP($I$3*(COUNT($H$9:AD$9)+$I$4))),TREND($D60:$E60,$D$9:$E$9,AD$9))</f>
        <v>0</v>
      </c>
      <c r="AE60">
        <f>IF($F60="s-curve",$D60+($E60-$D60)*$I$2/(1+EXP($I$3*(COUNT($H$9:AE$9)+$I$4))),TREND($D60:$E60,$D$9:$E$9,AE$9))</f>
        <v>0</v>
      </c>
      <c r="AF60">
        <f>IF($F60="s-curve",$D60+($E60-$D60)*$I$2/(1+EXP($I$3*(COUNT($H$9:AF$9)+$I$4))),TREND($D60:$E60,$D$9:$E$9,AF$9))</f>
        <v>0</v>
      </c>
      <c r="AG60">
        <f>IF($F60="s-curve",$D60+($E60-$D60)*$I$2/(1+EXP($I$3*(COUNT($H$9:AG$9)+$I$4))),TREND($D60:$E60,$D$9:$E$9,AG$9))</f>
        <v>0</v>
      </c>
      <c r="AH60">
        <f>IF($F60="s-curve",$D60+($E60-$D60)*$I$2/(1+EXP($I$3*(COUNT($H$9:AH$9)+$I$4))),TREND($D60:$E60,$D$9:$E$9,AH$9))</f>
        <v>0</v>
      </c>
      <c r="AI60">
        <f>IF($F60="s-curve",$D60+($E60-$D60)*$I$2/(1+EXP($I$3*(COUNT($H$9:AI$9)+$I$4))),TREND($D60:$E60,$D$9:$E$9,AI$9))</f>
        <v>0</v>
      </c>
      <c r="AJ60">
        <f>IF($F60="s-curve",$D60+($E60-$D60)*$I$2/(1+EXP($I$3*(COUNT($H$9:AJ$9)+$I$4))),TREND($D60:$E60,$D$9:$E$9,AJ$9))</f>
        <v>0</v>
      </c>
      <c r="AK60">
        <f>IF($F60="s-curve",$D60+($E60-$D60)*$I$2/(1+EXP($I$3*(COUNT($H$9:AK$9)+$I$4))),TREND($D60:$E60,$D$9:$E$9,AK$9))</f>
        <v>0</v>
      </c>
      <c r="AL60">
        <f>IF($F60="s-curve",$D60+($E60-$D60)*$I$2/(1+EXP($I$3*(COUNT($H$9:AL$9)+$I$4))),TREND($D60:$E60,$D$9:$E$9,AL$9))</f>
        <v>0</v>
      </c>
    </row>
    <row r="61" spans="1:38">
      <c r="C61" t="s">
        <v>3</v>
      </c>
      <c r="D61">
        <f>MIN(1.25*INDEX('SYVbT-freight'!$B$5:$H$5,MATCH(Data!$C12,'SYVbT-passenger'!$B$1:$H$1,0))/SUM('SYVbT-freight'!$B$5:$H$5),1)</f>
        <v>0</v>
      </c>
      <c r="E61">
        <f t="shared" si="29"/>
        <v>0</v>
      </c>
      <c r="F61" s="6" t="str">
        <f>IF(D61=E61,"n/a",IF(OR(C61="battery electric vehicle",C61="natural gas vehicle",C61="plugin hybrid vehicle"),"s-curve","linear"))</f>
        <v>n/a</v>
      </c>
      <c r="H61" s="20">
        <f t="shared" si="27"/>
        <v>0</v>
      </c>
      <c r="I61">
        <f>IF($F61="s-curve",$D61+($E61-$D61)*$I$2/(1+EXP($I$3*(COUNT($H$9:I$9)+$I$4))),TREND($D61:$E61,$D$9:$E$9,I$9))</f>
        <v>0</v>
      </c>
      <c r="J61">
        <f>IF($F61="s-curve",$D61+($E61-$D61)*$I$2/(1+EXP($I$3*(COUNT($H$9:J$9)+$I$4))),TREND($D61:$E61,$D$9:$E$9,J$9))</f>
        <v>0</v>
      </c>
      <c r="K61">
        <f>IF($F61="s-curve",$D61+($E61-$D61)*$I$2/(1+EXP($I$3*(COUNT($H$9:K$9)+$I$4))),TREND($D61:$E61,$D$9:$E$9,K$9))</f>
        <v>0</v>
      </c>
      <c r="L61">
        <f>IF($F61="s-curve",$D61+($E61-$D61)*$I$2/(1+EXP($I$3*(COUNT($H$9:L$9)+$I$4))),TREND($D61:$E61,$D$9:$E$9,L$9))</f>
        <v>0</v>
      </c>
      <c r="M61">
        <f>IF($F61="s-curve",$D61+($E61-$D61)*$I$2/(1+EXP($I$3*(COUNT($H$9:M$9)+$I$4))),TREND($D61:$E61,$D$9:$E$9,M$9))</f>
        <v>0</v>
      </c>
      <c r="N61">
        <f>IF($F61="s-curve",$D61+($E61-$D61)*$I$2/(1+EXP($I$3*(COUNT($H$9:N$9)+$I$4))),TREND($D61:$E61,$D$9:$E$9,N$9))</f>
        <v>0</v>
      </c>
      <c r="O61">
        <f>IF($F61="s-curve",$D61+($E61-$D61)*$I$2/(1+EXP($I$3*(COUNT($H$9:O$9)+$I$4))),TREND($D61:$E61,$D$9:$E$9,O$9))</f>
        <v>0</v>
      </c>
      <c r="P61">
        <f>IF($F61="s-curve",$D61+($E61-$D61)*$I$2/(1+EXP($I$3*(COUNT($H$9:P$9)+$I$4))),TREND($D61:$E61,$D$9:$E$9,P$9))</f>
        <v>0</v>
      </c>
      <c r="Q61">
        <f>IF($F61="s-curve",$D61+($E61-$D61)*$I$2/(1+EXP($I$3*(COUNT($H$9:Q$9)+$I$4))),TREND($D61:$E61,$D$9:$E$9,Q$9))</f>
        <v>0</v>
      </c>
      <c r="R61">
        <f>IF($F61="s-curve",$D61+($E61-$D61)*$I$2/(1+EXP($I$3*(COUNT($H$9:R$9)+$I$4))),TREND($D61:$E61,$D$9:$E$9,R$9))</f>
        <v>0</v>
      </c>
      <c r="S61">
        <f>IF($F61="s-curve",$D61+($E61-$D61)*$I$2/(1+EXP($I$3*(COUNT($H$9:S$9)+$I$4))),TREND($D61:$E61,$D$9:$E$9,S$9))</f>
        <v>0</v>
      </c>
      <c r="T61">
        <f>IF($F61="s-curve",$D61+($E61-$D61)*$I$2/(1+EXP($I$3*(COUNT($H$9:T$9)+$I$4))),TREND($D61:$E61,$D$9:$E$9,T$9))</f>
        <v>0</v>
      </c>
      <c r="U61">
        <f>IF($F61="s-curve",$D61+($E61-$D61)*$I$2/(1+EXP($I$3*(COUNT($H$9:U$9)+$I$4))),TREND($D61:$E61,$D$9:$E$9,U$9))</f>
        <v>0</v>
      </c>
      <c r="V61">
        <f>IF($F61="s-curve",$D61+($E61-$D61)*$I$2/(1+EXP($I$3*(COUNT($H$9:V$9)+$I$4))),TREND($D61:$E61,$D$9:$E$9,V$9))</f>
        <v>0</v>
      </c>
      <c r="W61">
        <f>IF($F61="s-curve",$D61+($E61-$D61)*$I$2/(1+EXP($I$3*(COUNT($H$9:W$9)+$I$4))),TREND($D61:$E61,$D$9:$E$9,W$9))</f>
        <v>0</v>
      </c>
      <c r="X61">
        <f>IF($F61="s-curve",$D61+($E61-$D61)*$I$2/(1+EXP($I$3*(COUNT($H$9:X$9)+$I$4))),TREND($D61:$E61,$D$9:$E$9,X$9))</f>
        <v>0</v>
      </c>
      <c r="Y61">
        <f>IF($F61="s-curve",$D61+($E61-$D61)*$I$2/(1+EXP($I$3*(COUNT($H$9:Y$9)+$I$4))),TREND($D61:$E61,$D$9:$E$9,Y$9))</f>
        <v>0</v>
      </c>
      <c r="Z61">
        <f>IF($F61="s-curve",$D61+($E61-$D61)*$I$2/(1+EXP($I$3*(COUNT($H$9:Z$9)+$I$4))),TREND($D61:$E61,$D$9:$E$9,Z$9))</f>
        <v>0</v>
      </c>
      <c r="AA61">
        <f>IF($F61="s-curve",$D61+($E61-$D61)*$I$2/(1+EXP($I$3*(COUNT($H$9:AA$9)+$I$4))),TREND($D61:$E61,$D$9:$E$9,AA$9))</f>
        <v>0</v>
      </c>
      <c r="AB61">
        <f>IF($F61="s-curve",$D61+($E61-$D61)*$I$2/(1+EXP($I$3*(COUNT($H$9:AB$9)+$I$4))),TREND($D61:$E61,$D$9:$E$9,AB$9))</f>
        <v>0</v>
      </c>
      <c r="AC61">
        <f>IF($F61="s-curve",$D61+($E61-$D61)*$I$2/(1+EXP($I$3*(COUNT($H$9:AC$9)+$I$4))),TREND($D61:$E61,$D$9:$E$9,AC$9))</f>
        <v>0</v>
      </c>
      <c r="AD61">
        <f>IF($F61="s-curve",$D61+($E61-$D61)*$I$2/(1+EXP($I$3*(COUNT($H$9:AD$9)+$I$4))),TREND($D61:$E61,$D$9:$E$9,AD$9))</f>
        <v>0</v>
      </c>
      <c r="AE61">
        <f>IF($F61="s-curve",$D61+($E61-$D61)*$I$2/(1+EXP($I$3*(COUNT($H$9:AE$9)+$I$4))),TREND($D61:$E61,$D$9:$E$9,AE$9))</f>
        <v>0</v>
      </c>
      <c r="AF61">
        <f>IF($F61="s-curve",$D61+($E61-$D61)*$I$2/(1+EXP($I$3*(COUNT($H$9:AF$9)+$I$4))),TREND($D61:$E61,$D$9:$E$9,AF$9))</f>
        <v>0</v>
      </c>
      <c r="AG61">
        <f>IF($F61="s-curve",$D61+($E61-$D61)*$I$2/(1+EXP($I$3*(COUNT($H$9:AG$9)+$I$4))),TREND($D61:$E61,$D$9:$E$9,AG$9))</f>
        <v>0</v>
      </c>
      <c r="AH61">
        <f>IF($F61="s-curve",$D61+($E61-$D61)*$I$2/(1+EXP($I$3*(COUNT($H$9:AH$9)+$I$4))),TREND($D61:$E61,$D$9:$E$9,AH$9))</f>
        <v>0</v>
      </c>
      <c r="AI61">
        <f>IF($F61="s-curve",$D61+($E61-$D61)*$I$2/(1+EXP($I$3*(COUNT($H$9:AI$9)+$I$4))),TREND($D61:$E61,$D$9:$E$9,AI$9))</f>
        <v>0</v>
      </c>
      <c r="AJ61">
        <f>IF($F61="s-curve",$D61+($E61-$D61)*$I$2/(1+EXP($I$3*(COUNT($H$9:AJ$9)+$I$4))),TREND($D61:$E61,$D$9:$E$9,AJ$9))</f>
        <v>0</v>
      </c>
      <c r="AK61">
        <f>IF($F61="s-curve",$D61+($E61-$D61)*$I$2/(1+EXP($I$3*(COUNT($H$9:AK$9)+$I$4))),TREND($D61:$E61,$D$9:$E$9,AK$9))</f>
        <v>0</v>
      </c>
      <c r="AL61">
        <f>IF($F61="s-curve",$D61+($E61-$D61)*$I$2/(1+EXP($I$3*(COUNT($H$9:AL$9)+$I$4))),TREND($D61:$E61,$D$9:$E$9,AL$9))</f>
        <v>0</v>
      </c>
    </row>
    <row r="62" spans="1:38">
      <c r="C62" t="s">
        <v>4</v>
      </c>
      <c r="D62">
        <v>1</v>
      </c>
      <c r="E62">
        <f t="shared" si="29"/>
        <v>1</v>
      </c>
      <c r="F62" s="6" t="str">
        <f>IF(D62=E62,"n/a",IF(OR(C62="battery electric vehicle",C62="natural gas vehicle",C62="plugin hybrid vehicle"),"s-curve","linear"))</f>
        <v>n/a</v>
      </c>
      <c r="H62" s="20">
        <f t="shared" si="27"/>
        <v>1</v>
      </c>
      <c r="I62">
        <f>IF($F62="s-curve",$D62+($E62-$D62)*$I$2/(1+EXP($I$3*(COUNT($H$9:I$9)+$I$4))),TREND($D62:$E62,$D$9:$E$9,I$9))</f>
        <v>1</v>
      </c>
      <c r="J62">
        <f>IF($F62="s-curve",$D62+($E62-$D62)*$I$2/(1+EXP($I$3*(COUNT($H$9:J$9)+$I$4))),TREND($D62:$E62,$D$9:$E$9,J$9))</f>
        <v>1</v>
      </c>
      <c r="K62">
        <f>IF($F62="s-curve",$D62+($E62-$D62)*$I$2/(1+EXP($I$3*(COUNT($H$9:K$9)+$I$4))),TREND($D62:$E62,$D$9:$E$9,K$9))</f>
        <v>1</v>
      </c>
      <c r="L62">
        <f>IF($F62="s-curve",$D62+($E62-$D62)*$I$2/(1+EXP($I$3*(COUNT($H$9:L$9)+$I$4))),TREND($D62:$E62,$D$9:$E$9,L$9))</f>
        <v>1</v>
      </c>
      <c r="M62">
        <f>IF($F62="s-curve",$D62+($E62-$D62)*$I$2/(1+EXP($I$3*(COUNT($H$9:M$9)+$I$4))),TREND($D62:$E62,$D$9:$E$9,M$9))</f>
        <v>1</v>
      </c>
      <c r="N62">
        <f>IF($F62="s-curve",$D62+($E62-$D62)*$I$2/(1+EXP($I$3*(COUNT($H$9:N$9)+$I$4))),TREND($D62:$E62,$D$9:$E$9,N$9))</f>
        <v>1</v>
      </c>
      <c r="O62">
        <f>IF($F62="s-curve",$D62+($E62-$D62)*$I$2/(1+EXP($I$3*(COUNT($H$9:O$9)+$I$4))),TREND($D62:$E62,$D$9:$E$9,O$9))</f>
        <v>1</v>
      </c>
      <c r="P62">
        <f>IF($F62="s-curve",$D62+($E62-$D62)*$I$2/(1+EXP($I$3*(COUNT($H$9:P$9)+$I$4))),TREND($D62:$E62,$D$9:$E$9,P$9))</f>
        <v>1</v>
      </c>
      <c r="Q62">
        <f>IF($F62="s-curve",$D62+($E62-$D62)*$I$2/(1+EXP($I$3*(COUNT($H$9:Q$9)+$I$4))),TREND($D62:$E62,$D$9:$E$9,Q$9))</f>
        <v>1</v>
      </c>
      <c r="R62">
        <f>IF($F62="s-curve",$D62+($E62-$D62)*$I$2/(1+EXP($I$3*(COUNT($H$9:R$9)+$I$4))),TREND($D62:$E62,$D$9:$E$9,R$9))</f>
        <v>1</v>
      </c>
      <c r="S62">
        <f>IF($F62="s-curve",$D62+($E62-$D62)*$I$2/(1+EXP($I$3*(COUNT($H$9:S$9)+$I$4))),TREND($D62:$E62,$D$9:$E$9,S$9))</f>
        <v>1</v>
      </c>
      <c r="T62">
        <f>IF($F62="s-curve",$D62+($E62-$D62)*$I$2/(1+EXP($I$3*(COUNT($H$9:T$9)+$I$4))),TREND($D62:$E62,$D$9:$E$9,T$9))</f>
        <v>1</v>
      </c>
      <c r="U62">
        <f>IF($F62="s-curve",$D62+($E62-$D62)*$I$2/(1+EXP($I$3*(COUNT($H$9:U$9)+$I$4))),TREND($D62:$E62,$D$9:$E$9,U$9))</f>
        <v>1</v>
      </c>
      <c r="V62">
        <f>IF($F62="s-curve",$D62+($E62-$D62)*$I$2/(1+EXP($I$3*(COUNT($H$9:V$9)+$I$4))),TREND($D62:$E62,$D$9:$E$9,V$9))</f>
        <v>1</v>
      </c>
      <c r="W62">
        <f>IF($F62="s-curve",$D62+($E62-$D62)*$I$2/(1+EXP($I$3*(COUNT($H$9:W$9)+$I$4))),TREND($D62:$E62,$D$9:$E$9,W$9))</f>
        <v>1</v>
      </c>
      <c r="X62">
        <f>IF($F62="s-curve",$D62+($E62-$D62)*$I$2/(1+EXP($I$3*(COUNT($H$9:X$9)+$I$4))),TREND($D62:$E62,$D$9:$E$9,X$9))</f>
        <v>1</v>
      </c>
      <c r="Y62">
        <f>IF($F62="s-curve",$D62+($E62-$D62)*$I$2/(1+EXP($I$3*(COUNT($H$9:Y$9)+$I$4))),TREND($D62:$E62,$D$9:$E$9,Y$9))</f>
        <v>1</v>
      </c>
      <c r="Z62">
        <f>IF($F62="s-curve",$D62+($E62-$D62)*$I$2/(1+EXP($I$3*(COUNT($H$9:Z$9)+$I$4))),TREND($D62:$E62,$D$9:$E$9,Z$9))</f>
        <v>1</v>
      </c>
      <c r="AA62">
        <f>IF($F62="s-curve",$D62+($E62-$D62)*$I$2/(1+EXP($I$3*(COUNT($H$9:AA$9)+$I$4))),TREND($D62:$E62,$D$9:$E$9,AA$9))</f>
        <v>1</v>
      </c>
      <c r="AB62">
        <f>IF($F62="s-curve",$D62+($E62-$D62)*$I$2/(1+EXP($I$3*(COUNT($H$9:AB$9)+$I$4))),TREND($D62:$E62,$D$9:$E$9,AB$9))</f>
        <v>1</v>
      </c>
      <c r="AC62">
        <f>IF($F62="s-curve",$D62+($E62-$D62)*$I$2/(1+EXP($I$3*(COUNT($H$9:AC$9)+$I$4))),TREND($D62:$E62,$D$9:$E$9,AC$9))</f>
        <v>1</v>
      </c>
      <c r="AD62">
        <f>IF($F62="s-curve",$D62+($E62-$D62)*$I$2/(1+EXP($I$3*(COUNT($H$9:AD$9)+$I$4))),TREND($D62:$E62,$D$9:$E$9,AD$9))</f>
        <v>1</v>
      </c>
      <c r="AE62">
        <f>IF($F62="s-curve",$D62+($E62-$D62)*$I$2/(1+EXP($I$3*(COUNT($H$9:AE$9)+$I$4))),TREND($D62:$E62,$D$9:$E$9,AE$9))</f>
        <v>1</v>
      </c>
      <c r="AF62">
        <f>IF($F62="s-curve",$D62+($E62-$D62)*$I$2/(1+EXP($I$3*(COUNT($H$9:AF$9)+$I$4))),TREND($D62:$E62,$D$9:$E$9,AF$9))</f>
        <v>1</v>
      </c>
      <c r="AG62">
        <f>IF($F62="s-curve",$D62+($E62-$D62)*$I$2/(1+EXP($I$3*(COUNT($H$9:AG$9)+$I$4))),TREND($D62:$E62,$D$9:$E$9,AG$9))</f>
        <v>1</v>
      </c>
      <c r="AH62">
        <f>IF($F62="s-curve",$D62+($E62-$D62)*$I$2/(1+EXP($I$3*(COUNT($H$9:AH$9)+$I$4))),TREND($D62:$E62,$D$9:$E$9,AH$9))</f>
        <v>1</v>
      </c>
      <c r="AI62">
        <f>IF($F62="s-curve",$D62+($E62-$D62)*$I$2/(1+EXP($I$3*(COUNT($H$9:AI$9)+$I$4))),TREND($D62:$E62,$D$9:$E$9,AI$9))</f>
        <v>1</v>
      </c>
      <c r="AJ62">
        <f>IF($F62="s-curve",$D62+($E62-$D62)*$I$2/(1+EXP($I$3*(COUNT($H$9:AJ$9)+$I$4))),TREND($D62:$E62,$D$9:$E$9,AJ$9))</f>
        <v>1</v>
      </c>
      <c r="AK62">
        <f>IF($F62="s-curve",$D62+($E62-$D62)*$I$2/(1+EXP($I$3*(COUNT($H$9:AK$9)+$I$4))),TREND($D62:$E62,$D$9:$E$9,AK$9))</f>
        <v>1</v>
      </c>
      <c r="AL62">
        <f>IF($F62="s-curve",$D62+($E62-$D62)*$I$2/(1+EXP($I$3*(COUNT($H$9:AL$9)+$I$4))),TREND($D62:$E62,$D$9:$E$9,AL$9))</f>
        <v>1</v>
      </c>
    </row>
    <row r="63" spans="1:38">
      <c r="C63" t="s">
        <v>5</v>
      </c>
      <c r="D63">
        <f>MIN(1.25*INDEX('SYVbT-freight'!$B$5:$H$5,MATCH(Data!$C14,'SYVbT-passenger'!$B$1:$H$1,0))/SUM('SYVbT-freight'!$B$5:$H$5),1)</f>
        <v>0</v>
      </c>
      <c r="E63">
        <f t="shared" si="29"/>
        <v>0</v>
      </c>
      <c r="F63" s="6" t="str">
        <f>IF(D63=E63,"n/a",IF(OR(C63="battery electric vehicle",C63="natural gas vehicle",C63="plugin hybrid vehicle"),"s-curve","linear"))</f>
        <v>n/a</v>
      </c>
      <c r="H63" s="20">
        <f t="shared" si="27"/>
        <v>0</v>
      </c>
      <c r="I63">
        <f>IF($F63="s-curve",$D63+($E63-$D63)*$I$2/(1+EXP($I$3*(COUNT($H$9:I$9)+$I$4))),TREND($D63:$E63,$D$9:$E$9,I$9))</f>
        <v>0</v>
      </c>
      <c r="J63">
        <f>IF($F63="s-curve",$D63+($E63-$D63)*$I$2/(1+EXP($I$3*(COUNT($H$9:J$9)+$I$4))),TREND($D63:$E63,$D$9:$E$9,J$9))</f>
        <v>0</v>
      </c>
      <c r="K63">
        <f>IF($F63="s-curve",$D63+($E63-$D63)*$I$2/(1+EXP($I$3*(COUNT($H$9:K$9)+$I$4))),TREND($D63:$E63,$D$9:$E$9,K$9))</f>
        <v>0</v>
      </c>
      <c r="L63">
        <f>IF($F63="s-curve",$D63+($E63-$D63)*$I$2/(1+EXP($I$3*(COUNT($H$9:L$9)+$I$4))),TREND($D63:$E63,$D$9:$E$9,L$9))</f>
        <v>0</v>
      </c>
      <c r="M63">
        <f>IF($F63="s-curve",$D63+($E63-$D63)*$I$2/(1+EXP($I$3*(COUNT($H$9:M$9)+$I$4))),TREND($D63:$E63,$D$9:$E$9,M$9))</f>
        <v>0</v>
      </c>
      <c r="N63">
        <f>IF($F63="s-curve",$D63+($E63-$D63)*$I$2/(1+EXP($I$3*(COUNT($H$9:N$9)+$I$4))),TREND($D63:$E63,$D$9:$E$9,N$9))</f>
        <v>0</v>
      </c>
      <c r="O63">
        <f>IF($F63="s-curve",$D63+($E63-$D63)*$I$2/(1+EXP($I$3*(COUNT($H$9:O$9)+$I$4))),TREND($D63:$E63,$D$9:$E$9,O$9))</f>
        <v>0</v>
      </c>
      <c r="P63">
        <f>IF($F63="s-curve",$D63+($E63-$D63)*$I$2/(1+EXP($I$3*(COUNT($H$9:P$9)+$I$4))),TREND($D63:$E63,$D$9:$E$9,P$9))</f>
        <v>0</v>
      </c>
      <c r="Q63">
        <f>IF($F63="s-curve",$D63+($E63-$D63)*$I$2/(1+EXP($I$3*(COUNT($H$9:Q$9)+$I$4))),TREND($D63:$E63,$D$9:$E$9,Q$9))</f>
        <v>0</v>
      </c>
      <c r="R63">
        <f>IF($F63="s-curve",$D63+($E63-$D63)*$I$2/(1+EXP($I$3*(COUNT($H$9:R$9)+$I$4))),TREND($D63:$E63,$D$9:$E$9,R$9))</f>
        <v>0</v>
      </c>
      <c r="S63">
        <f>IF($F63="s-curve",$D63+($E63-$D63)*$I$2/(1+EXP($I$3*(COUNT($H$9:S$9)+$I$4))),TREND($D63:$E63,$D$9:$E$9,S$9))</f>
        <v>0</v>
      </c>
      <c r="T63">
        <f>IF($F63="s-curve",$D63+($E63-$D63)*$I$2/(1+EXP($I$3*(COUNT($H$9:T$9)+$I$4))),TREND($D63:$E63,$D$9:$E$9,T$9))</f>
        <v>0</v>
      </c>
      <c r="U63">
        <f>IF($F63="s-curve",$D63+($E63-$D63)*$I$2/(1+EXP($I$3*(COUNT($H$9:U$9)+$I$4))),TREND($D63:$E63,$D$9:$E$9,U$9))</f>
        <v>0</v>
      </c>
      <c r="V63">
        <f>IF($F63="s-curve",$D63+($E63-$D63)*$I$2/(1+EXP($I$3*(COUNT($H$9:V$9)+$I$4))),TREND($D63:$E63,$D$9:$E$9,V$9))</f>
        <v>0</v>
      </c>
      <c r="W63">
        <f>IF($F63="s-curve",$D63+($E63-$D63)*$I$2/(1+EXP($I$3*(COUNT($H$9:W$9)+$I$4))),TREND($D63:$E63,$D$9:$E$9,W$9))</f>
        <v>0</v>
      </c>
      <c r="X63">
        <f>IF($F63="s-curve",$D63+($E63-$D63)*$I$2/(1+EXP($I$3*(COUNT($H$9:X$9)+$I$4))),TREND($D63:$E63,$D$9:$E$9,X$9))</f>
        <v>0</v>
      </c>
      <c r="Y63">
        <f>IF($F63="s-curve",$D63+($E63-$D63)*$I$2/(1+EXP($I$3*(COUNT($H$9:Y$9)+$I$4))),TREND($D63:$E63,$D$9:$E$9,Y$9))</f>
        <v>0</v>
      </c>
      <c r="Z63">
        <f>IF($F63="s-curve",$D63+($E63-$D63)*$I$2/(1+EXP($I$3*(COUNT($H$9:Z$9)+$I$4))),TREND($D63:$E63,$D$9:$E$9,Z$9))</f>
        <v>0</v>
      </c>
      <c r="AA63">
        <f>IF($F63="s-curve",$D63+($E63-$D63)*$I$2/(1+EXP($I$3*(COUNT($H$9:AA$9)+$I$4))),TREND($D63:$E63,$D$9:$E$9,AA$9))</f>
        <v>0</v>
      </c>
      <c r="AB63">
        <f>IF($F63="s-curve",$D63+($E63-$D63)*$I$2/(1+EXP($I$3*(COUNT($H$9:AB$9)+$I$4))),TREND($D63:$E63,$D$9:$E$9,AB$9))</f>
        <v>0</v>
      </c>
      <c r="AC63">
        <f>IF($F63="s-curve",$D63+($E63-$D63)*$I$2/(1+EXP($I$3*(COUNT($H$9:AC$9)+$I$4))),TREND($D63:$E63,$D$9:$E$9,AC$9))</f>
        <v>0</v>
      </c>
      <c r="AD63">
        <f>IF($F63="s-curve",$D63+($E63-$D63)*$I$2/(1+EXP($I$3*(COUNT($H$9:AD$9)+$I$4))),TREND($D63:$E63,$D$9:$E$9,AD$9))</f>
        <v>0</v>
      </c>
      <c r="AE63">
        <f>IF($F63="s-curve",$D63+($E63-$D63)*$I$2/(1+EXP($I$3*(COUNT($H$9:AE$9)+$I$4))),TREND($D63:$E63,$D$9:$E$9,AE$9))</f>
        <v>0</v>
      </c>
      <c r="AF63">
        <f>IF($F63="s-curve",$D63+($E63-$D63)*$I$2/(1+EXP($I$3*(COUNT($H$9:AF$9)+$I$4))),TREND($D63:$E63,$D$9:$E$9,AF$9))</f>
        <v>0</v>
      </c>
      <c r="AG63">
        <f>IF($F63="s-curve",$D63+($E63-$D63)*$I$2/(1+EXP($I$3*(COUNT($H$9:AG$9)+$I$4))),TREND($D63:$E63,$D$9:$E$9,AG$9))</f>
        <v>0</v>
      </c>
      <c r="AH63">
        <f>IF($F63="s-curve",$D63+($E63-$D63)*$I$2/(1+EXP($I$3*(COUNT($H$9:AH$9)+$I$4))),TREND($D63:$E63,$D$9:$E$9,AH$9))</f>
        <v>0</v>
      </c>
      <c r="AI63">
        <f>IF($F63="s-curve",$D63+($E63-$D63)*$I$2/(1+EXP($I$3*(COUNT($H$9:AI$9)+$I$4))),TREND($D63:$E63,$D$9:$E$9,AI$9))</f>
        <v>0</v>
      </c>
      <c r="AJ63">
        <f>IF($F63="s-curve",$D63+($E63-$D63)*$I$2/(1+EXP($I$3*(COUNT($H$9:AJ$9)+$I$4))),TREND($D63:$E63,$D$9:$E$9,AJ$9))</f>
        <v>0</v>
      </c>
      <c r="AK63">
        <f>IF($F63="s-curve",$D63+($E63-$D63)*$I$2/(1+EXP($I$3*(COUNT($H$9:AK$9)+$I$4))),TREND($D63:$E63,$D$9:$E$9,AK$9))</f>
        <v>0</v>
      </c>
      <c r="AL63">
        <f>IF($F63="s-curve",$D63+($E63-$D63)*$I$2/(1+EXP($I$3*(COUNT($H$9:AL$9)+$I$4))),TREND($D63:$E63,$D$9:$E$9,AL$9))</f>
        <v>0</v>
      </c>
    </row>
    <row r="64" spans="1:38">
      <c r="C64" t="s">
        <v>78</v>
      </c>
      <c r="D64">
        <f>MIN(1.25*INDEX('SYVbT-freight'!$B$5:$H$5,MATCH(Data!$C15,'SYVbT-passenger'!$B$1:$H$1,0))/SUM('SYVbT-freight'!$B$5:$H$5),1)</f>
        <v>0</v>
      </c>
      <c r="E64">
        <f t="shared" si="29"/>
        <v>0</v>
      </c>
      <c r="F64" s="6" t="str">
        <f>IF(D64=E64,"n/a",IF(OR(C64="battery electric vehicle",C64="natural gas vehicle",C64="plugin hybrid vehicle",C64="hydrogen vehicle"),"s-curve","linear"))</f>
        <v>n/a</v>
      </c>
      <c r="H64" s="20">
        <f t="shared" si="27"/>
        <v>0</v>
      </c>
      <c r="I64">
        <f>IF($F64="s-curve",$D64+($E64-$D64)*$I$2/(1+EXP($I$3*(COUNT($H$9:I$9)+$I$4))),TREND($D64:$E64,$D$9:$E$9,I$9))</f>
        <v>0</v>
      </c>
      <c r="J64">
        <f>IF($F64="s-curve",$D64+($E64-$D64)*$I$2/(1+EXP($I$3*(COUNT($H$9:J$9)+$I$4))),TREND($D64:$E64,$D$9:$E$9,J$9))</f>
        <v>0</v>
      </c>
      <c r="K64">
        <f>IF($F64="s-curve",$D64+($E64-$D64)*$I$2/(1+EXP($I$3*(COUNT($H$9:K$9)+$I$4))),TREND($D64:$E64,$D$9:$E$9,K$9))</f>
        <v>0</v>
      </c>
      <c r="L64">
        <f>IF($F64="s-curve",$D64+($E64-$D64)*$I$2/(1+EXP($I$3*(COUNT($H$9:L$9)+$I$4))),TREND($D64:$E64,$D$9:$E$9,L$9))</f>
        <v>0</v>
      </c>
      <c r="M64">
        <f>IF($F64="s-curve",$D64+($E64-$D64)*$I$2/(1+EXP($I$3*(COUNT($H$9:M$9)+$I$4))),TREND($D64:$E64,$D$9:$E$9,M$9))</f>
        <v>0</v>
      </c>
      <c r="N64">
        <f>IF($F64="s-curve",$D64+($E64-$D64)*$I$2/(1+EXP($I$3*(COUNT($H$9:N$9)+$I$4))),TREND($D64:$E64,$D$9:$E$9,N$9))</f>
        <v>0</v>
      </c>
      <c r="O64">
        <f>IF($F64="s-curve",$D64+($E64-$D64)*$I$2/(1+EXP($I$3*(COUNT($H$9:O$9)+$I$4))),TREND($D64:$E64,$D$9:$E$9,O$9))</f>
        <v>0</v>
      </c>
      <c r="P64">
        <f>IF($F64="s-curve",$D64+($E64-$D64)*$I$2/(1+EXP($I$3*(COUNT($H$9:P$9)+$I$4))),TREND($D64:$E64,$D$9:$E$9,P$9))</f>
        <v>0</v>
      </c>
      <c r="Q64">
        <f>IF($F64="s-curve",$D64+($E64-$D64)*$I$2/(1+EXP($I$3*(COUNT($H$9:Q$9)+$I$4))),TREND($D64:$E64,$D$9:$E$9,Q$9))</f>
        <v>0</v>
      </c>
      <c r="R64">
        <f>IF($F64="s-curve",$D64+($E64-$D64)*$I$2/(1+EXP($I$3*(COUNT($H$9:R$9)+$I$4))),TREND($D64:$E64,$D$9:$E$9,R$9))</f>
        <v>0</v>
      </c>
      <c r="S64">
        <f>IF($F64="s-curve",$D64+($E64-$D64)*$I$2/(1+EXP($I$3*(COUNT($H$9:S$9)+$I$4))),TREND($D64:$E64,$D$9:$E$9,S$9))</f>
        <v>0</v>
      </c>
      <c r="T64">
        <f>IF($F64="s-curve",$D64+($E64-$D64)*$I$2/(1+EXP($I$3*(COUNT($H$9:T$9)+$I$4))),TREND($D64:$E64,$D$9:$E$9,T$9))</f>
        <v>0</v>
      </c>
      <c r="U64">
        <f>IF($F64="s-curve",$D64+($E64-$D64)*$I$2/(1+EXP($I$3*(COUNT($H$9:U$9)+$I$4))),TREND($D64:$E64,$D$9:$E$9,U$9))</f>
        <v>0</v>
      </c>
      <c r="V64">
        <f>IF($F64="s-curve",$D64+($E64-$D64)*$I$2/(1+EXP($I$3*(COUNT($H$9:V$9)+$I$4))),TREND($D64:$E64,$D$9:$E$9,V$9))</f>
        <v>0</v>
      </c>
      <c r="W64">
        <f>IF($F64="s-curve",$D64+($E64-$D64)*$I$2/(1+EXP($I$3*(COUNT($H$9:W$9)+$I$4))),TREND($D64:$E64,$D$9:$E$9,W$9))</f>
        <v>0</v>
      </c>
      <c r="X64">
        <f>IF($F64="s-curve",$D64+($E64-$D64)*$I$2/(1+EXP($I$3*(COUNT($H$9:X$9)+$I$4))),TREND($D64:$E64,$D$9:$E$9,X$9))</f>
        <v>0</v>
      </c>
      <c r="Y64">
        <f>IF($F64="s-curve",$D64+($E64-$D64)*$I$2/(1+EXP($I$3*(COUNT($H$9:Y$9)+$I$4))),TREND($D64:$E64,$D$9:$E$9,Y$9))</f>
        <v>0</v>
      </c>
      <c r="Z64">
        <f>IF($F64="s-curve",$D64+($E64-$D64)*$I$2/(1+EXP($I$3*(COUNT($H$9:Z$9)+$I$4))),TREND($D64:$E64,$D$9:$E$9,Z$9))</f>
        <v>0</v>
      </c>
      <c r="AA64">
        <f>IF($F64="s-curve",$D64+($E64-$D64)*$I$2/(1+EXP($I$3*(COUNT($H$9:AA$9)+$I$4))),TREND($D64:$E64,$D$9:$E$9,AA$9))</f>
        <v>0</v>
      </c>
      <c r="AB64">
        <f>IF($F64="s-curve",$D64+($E64-$D64)*$I$2/(1+EXP($I$3*(COUNT($H$9:AB$9)+$I$4))),TREND($D64:$E64,$D$9:$E$9,AB$9))</f>
        <v>0</v>
      </c>
      <c r="AC64">
        <f>IF($F64="s-curve",$D64+($E64-$D64)*$I$2/(1+EXP($I$3*(COUNT($H$9:AC$9)+$I$4))),TREND($D64:$E64,$D$9:$E$9,AC$9))</f>
        <v>0</v>
      </c>
      <c r="AD64">
        <f>IF($F64="s-curve",$D64+($E64-$D64)*$I$2/(1+EXP($I$3*(COUNT($H$9:AD$9)+$I$4))),TREND($D64:$E64,$D$9:$E$9,AD$9))</f>
        <v>0</v>
      </c>
      <c r="AE64">
        <f>IF($F64="s-curve",$D64+($E64-$D64)*$I$2/(1+EXP($I$3*(COUNT($H$9:AE$9)+$I$4))),TREND($D64:$E64,$D$9:$E$9,AE$9))</f>
        <v>0</v>
      </c>
      <c r="AF64">
        <f>IF($F64="s-curve",$D64+($E64-$D64)*$I$2/(1+EXP($I$3*(COUNT($H$9:AF$9)+$I$4))),TREND($D64:$E64,$D$9:$E$9,AF$9))</f>
        <v>0</v>
      </c>
      <c r="AG64">
        <f>IF($F64="s-curve",$D64+($E64-$D64)*$I$2/(1+EXP($I$3*(COUNT($H$9:AG$9)+$I$4))),TREND($D64:$E64,$D$9:$E$9,AG$9))</f>
        <v>0</v>
      </c>
      <c r="AH64">
        <f>IF($F64="s-curve",$D64+($E64-$D64)*$I$2/(1+EXP($I$3*(COUNT($H$9:AH$9)+$I$4))),TREND($D64:$E64,$D$9:$E$9,AH$9))</f>
        <v>0</v>
      </c>
      <c r="AI64">
        <f>IF($F64="s-curve",$D64+($E64-$D64)*$I$2/(1+EXP($I$3*(COUNT($H$9:AI$9)+$I$4))),TREND($D64:$E64,$D$9:$E$9,AI$9))</f>
        <v>0</v>
      </c>
      <c r="AJ64">
        <f>IF($F64="s-curve",$D64+($E64-$D64)*$I$2/(1+EXP($I$3*(COUNT($H$9:AJ$9)+$I$4))),TREND($D64:$E64,$D$9:$E$9,AJ$9))</f>
        <v>0</v>
      </c>
      <c r="AK64">
        <f>IF($F64="s-curve",$D64+($E64-$D64)*$I$2/(1+EXP($I$3*(COUNT($H$9:AK$9)+$I$4))),TREND($D64:$E64,$D$9:$E$9,AK$9))</f>
        <v>0</v>
      </c>
      <c r="AL64">
        <f>IF($F64="s-curve",$D64+($E64-$D64)*$I$2/(1+EXP($I$3*(COUNT($H$9:AL$9)+$I$4))),TREND($D64:$E64,$D$9:$E$9,AL$9))</f>
        <v>0</v>
      </c>
    </row>
    <row r="65" spans="1:38" ht="15.75" thickBot="1">
      <c r="A65" s="21"/>
      <c r="B65" s="21"/>
      <c r="C65" s="21" t="s">
        <v>79</v>
      </c>
      <c r="D65" s="21">
        <f>MIN(1.25*INDEX('SYVbT-freight'!$B$5:$H$5,MATCH(Data!$C16,'SYVbT-passenger'!$B$1:$H$1,0))/SUM('SYVbT-freight'!$B$5:$H$5),1)</f>
        <v>0</v>
      </c>
      <c r="E65" s="21">
        <f t="shared" si="29"/>
        <v>0</v>
      </c>
      <c r="F65" s="7" t="str">
        <f>IF(D65=E65,"n/a",IF(OR(C65="battery electric vehicle",C65="natural gas vehicle",C65="plugin hybrid vehicle",C65="hydrogen vehicle"),"s-curve","linear"))</f>
        <v>n/a</v>
      </c>
      <c r="H65" s="20">
        <f t="shared" si="27"/>
        <v>0</v>
      </c>
      <c r="I65">
        <f>IF($F65="s-curve",$D65+($E65-$D65)*$I$2/(1+EXP($I$3*(COUNT($H$9:I$9)+$I$4))),TREND($D65:$E65,$D$9:$E$9,I$9))</f>
        <v>0</v>
      </c>
      <c r="J65">
        <f>IF($F65="s-curve",$D65+($E65-$D65)*$I$2/(1+EXP($I$3*(COUNT($H$9:J$9)+$I$4))),TREND($D65:$E65,$D$9:$E$9,J$9))</f>
        <v>0</v>
      </c>
      <c r="K65">
        <f>IF($F65="s-curve",$D65+($E65-$D65)*$I$2/(1+EXP($I$3*(COUNT($H$9:K$9)+$I$4))),TREND($D65:$E65,$D$9:$E$9,K$9))</f>
        <v>0</v>
      </c>
      <c r="L65">
        <f>IF($F65="s-curve",$D65+($E65-$D65)*$I$2/(1+EXP($I$3*(COUNT($H$9:L$9)+$I$4))),TREND($D65:$E65,$D$9:$E$9,L$9))</f>
        <v>0</v>
      </c>
      <c r="M65">
        <f>IF($F65="s-curve",$D65+($E65-$D65)*$I$2/(1+EXP($I$3*(COUNT($H$9:M$9)+$I$4))),TREND($D65:$E65,$D$9:$E$9,M$9))</f>
        <v>0</v>
      </c>
      <c r="N65">
        <f>IF($F65="s-curve",$D65+($E65-$D65)*$I$2/(1+EXP($I$3*(COUNT($H$9:N$9)+$I$4))),TREND($D65:$E65,$D$9:$E$9,N$9))</f>
        <v>0</v>
      </c>
      <c r="O65">
        <f>IF($F65="s-curve",$D65+($E65-$D65)*$I$2/(1+EXP($I$3*(COUNT($H$9:O$9)+$I$4))),TREND($D65:$E65,$D$9:$E$9,O$9))</f>
        <v>0</v>
      </c>
      <c r="P65">
        <f>IF($F65="s-curve",$D65+($E65-$D65)*$I$2/(1+EXP($I$3*(COUNT($H$9:P$9)+$I$4))),TREND($D65:$E65,$D$9:$E$9,P$9))</f>
        <v>0</v>
      </c>
      <c r="Q65">
        <f>IF($F65="s-curve",$D65+($E65-$D65)*$I$2/(1+EXP($I$3*(COUNT($H$9:Q$9)+$I$4))),TREND($D65:$E65,$D$9:$E$9,Q$9))</f>
        <v>0</v>
      </c>
      <c r="R65">
        <f>IF($F65="s-curve",$D65+($E65-$D65)*$I$2/(1+EXP($I$3*(COUNT($H$9:R$9)+$I$4))),TREND($D65:$E65,$D$9:$E$9,R$9))</f>
        <v>0</v>
      </c>
      <c r="S65">
        <f>IF($F65="s-curve",$D65+($E65-$D65)*$I$2/(1+EXP($I$3*(COUNT($H$9:S$9)+$I$4))),TREND($D65:$E65,$D$9:$E$9,S$9))</f>
        <v>0</v>
      </c>
      <c r="T65">
        <f>IF($F65="s-curve",$D65+($E65-$D65)*$I$2/(1+EXP($I$3*(COUNT($H$9:T$9)+$I$4))),TREND($D65:$E65,$D$9:$E$9,T$9))</f>
        <v>0</v>
      </c>
      <c r="U65">
        <f>IF($F65="s-curve",$D65+($E65-$D65)*$I$2/(1+EXP($I$3*(COUNT($H$9:U$9)+$I$4))),TREND($D65:$E65,$D$9:$E$9,U$9))</f>
        <v>0</v>
      </c>
      <c r="V65">
        <f>IF($F65="s-curve",$D65+($E65-$D65)*$I$2/(1+EXP($I$3*(COUNT($H$9:V$9)+$I$4))),TREND($D65:$E65,$D$9:$E$9,V$9))</f>
        <v>0</v>
      </c>
      <c r="W65">
        <f>IF($F65="s-curve",$D65+($E65-$D65)*$I$2/(1+EXP($I$3*(COUNT($H$9:W$9)+$I$4))),TREND($D65:$E65,$D$9:$E$9,W$9))</f>
        <v>0</v>
      </c>
      <c r="X65">
        <f>IF($F65="s-curve",$D65+($E65-$D65)*$I$2/(1+EXP($I$3*(COUNT($H$9:X$9)+$I$4))),TREND($D65:$E65,$D$9:$E$9,X$9))</f>
        <v>0</v>
      </c>
      <c r="Y65">
        <f>IF($F65="s-curve",$D65+($E65-$D65)*$I$2/(1+EXP($I$3*(COUNT($H$9:Y$9)+$I$4))),TREND($D65:$E65,$D$9:$E$9,Y$9))</f>
        <v>0</v>
      </c>
      <c r="Z65">
        <f>IF($F65="s-curve",$D65+($E65-$D65)*$I$2/(1+EXP($I$3*(COUNT($H$9:Z$9)+$I$4))),TREND($D65:$E65,$D$9:$E$9,Z$9))</f>
        <v>0</v>
      </c>
      <c r="AA65">
        <f>IF($F65="s-curve",$D65+($E65-$D65)*$I$2/(1+EXP($I$3*(COUNT($H$9:AA$9)+$I$4))),TREND($D65:$E65,$D$9:$E$9,AA$9))</f>
        <v>0</v>
      </c>
      <c r="AB65">
        <f>IF($F65="s-curve",$D65+($E65-$D65)*$I$2/(1+EXP($I$3*(COUNT($H$9:AB$9)+$I$4))),TREND($D65:$E65,$D$9:$E$9,AB$9))</f>
        <v>0</v>
      </c>
      <c r="AC65">
        <f>IF($F65="s-curve",$D65+($E65-$D65)*$I$2/(1+EXP($I$3*(COUNT($H$9:AC$9)+$I$4))),TREND($D65:$E65,$D$9:$E$9,AC$9))</f>
        <v>0</v>
      </c>
      <c r="AD65">
        <f>IF($F65="s-curve",$D65+($E65-$D65)*$I$2/(1+EXP($I$3*(COUNT($H$9:AD$9)+$I$4))),TREND($D65:$E65,$D$9:$E$9,AD$9))</f>
        <v>0</v>
      </c>
      <c r="AE65">
        <f>IF($F65="s-curve",$D65+($E65-$D65)*$I$2/(1+EXP($I$3*(COUNT($H$9:AE$9)+$I$4))),TREND($D65:$E65,$D$9:$E$9,AE$9))</f>
        <v>0</v>
      </c>
      <c r="AF65">
        <f>IF($F65="s-curve",$D65+($E65-$D65)*$I$2/(1+EXP($I$3*(COUNT($H$9:AF$9)+$I$4))),TREND($D65:$E65,$D$9:$E$9,AF$9))</f>
        <v>0</v>
      </c>
      <c r="AG65">
        <f>IF($F65="s-curve",$D65+($E65-$D65)*$I$2/(1+EXP($I$3*(COUNT($H$9:AG$9)+$I$4))),TREND($D65:$E65,$D$9:$E$9,AG$9))</f>
        <v>0</v>
      </c>
      <c r="AH65">
        <f>IF($F65="s-curve",$D65+($E65-$D65)*$I$2/(1+EXP($I$3*(COUNT($H$9:AH$9)+$I$4))),TREND($D65:$E65,$D$9:$E$9,AH$9))</f>
        <v>0</v>
      </c>
      <c r="AI65">
        <f>IF($F65="s-curve",$D65+($E65-$D65)*$I$2/(1+EXP($I$3*(COUNT($H$9:AI$9)+$I$4))),TREND($D65:$E65,$D$9:$E$9,AI$9))</f>
        <v>0</v>
      </c>
      <c r="AJ65">
        <f>IF($F65="s-curve",$D65+($E65-$D65)*$I$2/(1+EXP($I$3*(COUNT($H$9:AJ$9)+$I$4))),TREND($D65:$E65,$D$9:$E$9,AJ$9))</f>
        <v>0</v>
      </c>
      <c r="AK65">
        <f>IF($F65="s-curve",$D65+($E65-$D65)*$I$2/(1+EXP($I$3*(COUNT($H$9:AK$9)+$I$4))),TREND($D65:$E65,$D$9:$E$9,AK$9))</f>
        <v>0</v>
      </c>
      <c r="AL65">
        <f>IF($F65="s-curve",$D65+($E65-$D65)*$I$2/(1+EXP($I$3*(COUNT($H$9:AL$9)+$I$4))),TREND($D65:$E65,$D$9:$E$9,AL$9))</f>
        <v>0</v>
      </c>
    </row>
    <row r="66" spans="1:38">
      <c r="A66" t="s">
        <v>16</v>
      </c>
      <c r="B66" t="s">
        <v>19</v>
      </c>
      <c r="C66" t="s">
        <v>1</v>
      </c>
      <c r="D66">
        <v>0</v>
      </c>
      <c r="E66">
        <v>0</v>
      </c>
      <c r="F66" s="6" t="str">
        <f>IF(D66=E66,"n/a",IF(OR(C66="battery electric vehicle",C66="natural gas vehicle",C66="plugin hybrid vehicle"),"s-curve","linear"))</f>
        <v>n/a</v>
      </c>
      <c r="H66" s="20">
        <f t="shared" si="27"/>
        <v>0</v>
      </c>
      <c r="I66">
        <f>IF($F66="s-curve",$D66+($E66-$D66)*$I$2/(1+EXP($I$3*(COUNT($H$9:I$9)+$I$4))),TREND($D66:$E66,$D$9:$E$9,I$9))</f>
        <v>0</v>
      </c>
      <c r="J66">
        <f>IF($F66="s-curve",$D66+($E66-$D66)*$I$2/(1+EXP($I$3*(COUNT($H$9:J$9)+$I$4))),TREND($D66:$E66,$D$9:$E$9,J$9))</f>
        <v>0</v>
      </c>
      <c r="K66">
        <f>IF($F66="s-curve",$D66+($E66-$D66)*$I$2/(1+EXP($I$3*(COUNT($H$9:K$9)+$I$4))),TREND($D66:$E66,$D$9:$E$9,K$9))</f>
        <v>0</v>
      </c>
      <c r="L66">
        <f>IF($F66="s-curve",$D66+($E66-$D66)*$I$2/(1+EXP($I$3*(COUNT($H$9:L$9)+$I$4))),TREND($D66:$E66,$D$9:$E$9,L$9))</f>
        <v>0</v>
      </c>
      <c r="M66">
        <f>IF($F66="s-curve",$D66+($E66-$D66)*$I$2/(1+EXP($I$3*(COUNT($H$9:M$9)+$I$4))),TREND($D66:$E66,$D$9:$E$9,M$9))</f>
        <v>0</v>
      </c>
      <c r="N66">
        <f>IF($F66="s-curve",$D66+($E66-$D66)*$I$2/(1+EXP($I$3*(COUNT($H$9:N$9)+$I$4))),TREND($D66:$E66,$D$9:$E$9,N$9))</f>
        <v>0</v>
      </c>
      <c r="O66">
        <f>IF($F66="s-curve",$D66+($E66-$D66)*$I$2/(1+EXP($I$3*(COUNT($H$9:O$9)+$I$4))),TREND($D66:$E66,$D$9:$E$9,O$9))</f>
        <v>0</v>
      </c>
      <c r="P66">
        <f>IF($F66="s-curve",$D66+($E66-$D66)*$I$2/(1+EXP($I$3*(COUNT($H$9:P$9)+$I$4))),TREND($D66:$E66,$D$9:$E$9,P$9))</f>
        <v>0</v>
      </c>
      <c r="Q66">
        <f>IF($F66="s-curve",$D66+($E66-$D66)*$I$2/(1+EXP($I$3*(COUNT($H$9:Q$9)+$I$4))),TREND($D66:$E66,$D$9:$E$9,Q$9))</f>
        <v>0</v>
      </c>
      <c r="R66">
        <f>IF($F66="s-curve",$D66+($E66-$D66)*$I$2/(1+EXP($I$3*(COUNT($H$9:R$9)+$I$4))),TREND($D66:$E66,$D$9:$E$9,R$9))</f>
        <v>0</v>
      </c>
      <c r="S66">
        <f>IF($F66="s-curve",$D66+($E66-$D66)*$I$2/(1+EXP($I$3*(COUNT($H$9:S$9)+$I$4))),TREND($D66:$E66,$D$9:$E$9,S$9))</f>
        <v>0</v>
      </c>
      <c r="T66">
        <f>IF($F66="s-curve",$D66+($E66-$D66)*$I$2/(1+EXP($I$3*(COUNT($H$9:T$9)+$I$4))),TREND($D66:$E66,$D$9:$E$9,T$9))</f>
        <v>0</v>
      </c>
      <c r="U66">
        <f>IF($F66="s-curve",$D66+($E66-$D66)*$I$2/(1+EXP($I$3*(COUNT($H$9:U$9)+$I$4))),TREND($D66:$E66,$D$9:$E$9,U$9))</f>
        <v>0</v>
      </c>
      <c r="V66">
        <f>IF($F66="s-curve",$D66+($E66-$D66)*$I$2/(1+EXP($I$3*(COUNT($H$9:V$9)+$I$4))),TREND($D66:$E66,$D$9:$E$9,V$9))</f>
        <v>0</v>
      </c>
      <c r="W66">
        <f>IF($F66="s-curve",$D66+($E66-$D66)*$I$2/(1+EXP($I$3*(COUNT($H$9:W$9)+$I$4))),TREND($D66:$E66,$D$9:$E$9,W$9))</f>
        <v>0</v>
      </c>
      <c r="X66">
        <f>IF($F66="s-curve",$D66+($E66-$D66)*$I$2/(1+EXP($I$3*(COUNT($H$9:X$9)+$I$4))),TREND($D66:$E66,$D$9:$E$9,X$9))</f>
        <v>0</v>
      </c>
      <c r="Y66">
        <f>IF($F66="s-curve",$D66+($E66-$D66)*$I$2/(1+EXP($I$3*(COUNT($H$9:Y$9)+$I$4))),TREND($D66:$E66,$D$9:$E$9,Y$9))</f>
        <v>0</v>
      </c>
      <c r="Z66">
        <f>IF($F66="s-curve",$D66+($E66-$D66)*$I$2/(1+EXP($I$3*(COUNT($H$9:Z$9)+$I$4))),TREND($D66:$E66,$D$9:$E$9,Z$9))</f>
        <v>0</v>
      </c>
      <c r="AA66">
        <f>IF($F66="s-curve",$D66+($E66-$D66)*$I$2/(1+EXP($I$3*(COUNT($H$9:AA$9)+$I$4))),TREND($D66:$E66,$D$9:$E$9,AA$9))</f>
        <v>0</v>
      </c>
      <c r="AB66">
        <f>IF($F66="s-curve",$D66+($E66-$D66)*$I$2/(1+EXP($I$3*(COUNT($H$9:AB$9)+$I$4))),TREND($D66:$E66,$D$9:$E$9,AB$9))</f>
        <v>0</v>
      </c>
      <c r="AC66">
        <f>IF($F66="s-curve",$D66+($E66-$D66)*$I$2/(1+EXP($I$3*(COUNT($H$9:AC$9)+$I$4))),TREND($D66:$E66,$D$9:$E$9,AC$9))</f>
        <v>0</v>
      </c>
      <c r="AD66">
        <f>IF($F66="s-curve",$D66+($E66-$D66)*$I$2/(1+EXP($I$3*(COUNT($H$9:AD$9)+$I$4))),TREND($D66:$E66,$D$9:$E$9,AD$9))</f>
        <v>0</v>
      </c>
      <c r="AE66">
        <f>IF($F66="s-curve",$D66+($E66-$D66)*$I$2/(1+EXP($I$3*(COUNT($H$9:AE$9)+$I$4))),TREND($D66:$E66,$D$9:$E$9,AE$9))</f>
        <v>0</v>
      </c>
      <c r="AF66">
        <f>IF($F66="s-curve",$D66+($E66-$D66)*$I$2/(1+EXP($I$3*(COUNT($H$9:AF$9)+$I$4))),TREND($D66:$E66,$D$9:$E$9,AF$9))</f>
        <v>0</v>
      </c>
      <c r="AG66">
        <f>IF($F66="s-curve",$D66+($E66-$D66)*$I$2/(1+EXP($I$3*(COUNT($H$9:AG$9)+$I$4))),TREND($D66:$E66,$D$9:$E$9,AG$9))</f>
        <v>0</v>
      </c>
      <c r="AH66">
        <f>IF($F66="s-curve",$D66+($E66-$D66)*$I$2/(1+EXP($I$3*(COUNT($H$9:AH$9)+$I$4))),TREND($D66:$E66,$D$9:$E$9,AH$9))</f>
        <v>0</v>
      </c>
      <c r="AI66">
        <f>IF($F66="s-curve",$D66+($E66-$D66)*$I$2/(1+EXP($I$3*(COUNT($H$9:AI$9)+$I$4))),TREND($D66:$E66,$D$9:$E$9,AI$9))</f>
        <v>0</v>
      </c>
      <c r="AJ66">
        <f>IF($F66="s-curve",$D66+($E66-$D66)*$I$2/(1+EXP($I$3*(COUNT($H$9:AJ$9)+$I$4))),TREND($D66:$E66,$D$9:$E$9,AJ$9))</f>
        <v>0</v>
      </c>
      <c r="AK66">
        <f>IF($F66="s-curve",$D66+($E66-$D66)*$I$2/(1+EXP($I$3*(COUNT($H$9:AK$9)+$I$4))),TREND($D66:$E66,$D$9:$E$9,AK$9))</f>
        <v>0</v>
      </c>
      <c r="AL66">
        <f>IF($F66="s-curve",$D66+($E66-$D66)*$I$2/(1+EXP($I$3*(COUNT($H$9:AL$9)+$I$4))),TREND($D66:$E66,$D$9:$E$9,AL$9))</f>
        <v>0</v>
      </c>
    </row>
    <row r="67" spans="1:38">
      <c r="C67" t="s">
        <v>2</v>
      </c>
      <c r="D67">
        <v>0</v>
      </c>
      <c r="E67">
        <v>0</v>
      </c>
      <c r="F67" s="6" t="str">
        <f>IF(D67=E67,"n/a",IF(OR(C67="battery electric vehicle",C67="natural gas vehicle",C67="plugin hybrid vehicle"),"s-curve","linear"))</f>
        <v>n/a</v>
      </c>
      <c r="H67" s="20">
        <f t="shared" si="27"/>
        <v>0</v>
      </c>
      <c r="I67">
        <f>IF($F67="s-curve",$D67+($E67-$D67)*$I$2/(1+EXP($I$3*(COUNT($H$9:I$9)+$I$4))),TREND($D67:$E67,$D$9:$E$9,I$9))</f>
        <v>0</v>
      </c>
      <c r="J67">
        <f>IF($F67="s-curve",$D67+($E67-$D67)*$I$2/(1+EXP($I$3*(COUNT($H$9:J$9)+$I$4))),TREND($D67:$E67,$D$9:$E$9,J$9))</f>
        <v>0</v>
      </c>
      <c r="K67">
        <f>IF($F67="s-curve",$D67+($E67-$D67)*$I$2/(1+EXP($I$3*(COUNT($H$9:K$9)+$I$4))),TREND($D67:$E67,$D$9:$E$9,K$9))</f>
        <v>0</v>
      </c>
      <c r="L67">
        <f>IF($F67="s-curve",$D67+($E67-$D67)*$I$2/(1+EXP($I$3*(COUNT($H$9:L$9)+$I$4))),TREND($D67:$E67,$D$9:$E$9,L$9))</f>
        <v>0</v>
      </c>
      <c r="M67">
        <f>IF($F67="s-curve",$D67+($E67-$D67)*$I$2/(1+EXP($I$3*(COUNT($H$9:M$9)+$I$4))),TREND($D67:$E67,$D$9:$E$9,M$9))</f>
        <v>0</v>
      </c>
      <c r="N67">
        <f>IF($F67="s-curve",$D67+($E67-$D67)*$I$2/(1+EXP($I$3*(COUNT($H$9:N$9)+$I$4))),TREND($D67:$E67,$D$9:$E$9,N$9))</f>
        <v>0</v>
      </c>
      <c r="O67">
        <f>IF($F67="s-curve",$D67+($E67-$D67)*$I$2/(1+EXP($I$3*(COUNT($H$9:O$9)+$I$4))),TREND($D67:$E67,$D$9:$E$9,O$9))</f>
        <v>0</v>
      </c>
      <c r="P67">
        <f>IF($F67="s-curve",$D67+($E67-$D67)*$I$2/(1+EXP($I$3*(COUNT($H$9:P$9)+$I$4))),TREND($D67:$E67,$D$9:$E$9,P$9))</f>
        <v>0</v>
      </c>
      <c r="Q67">
        <f>IF($F67="s-curve",$D67+($E67-$D67)*$I$2/(1+EXP($I$3*(COUNT($H$9:Q$9)+$I$4))),TREND($D67:$E67,$D$9:$E$9,Q$9))</f>
        <v>0</v>
      </c>
      <c r="R67">
        <f>IF($F67="s-curve",$D67+($E67-$D67)*$I$2/(1+EXP($I$3*(COUNT($H$9:R$9)+$I$4))),TREND($D67:$E67,$D$9:$E$9,R$9))</f>
        <v>0</v>
      </c>
      <c r="S67">
        <f>IF($F67="s-curve",$D67+($E67-$D67)*$I$2/(1+EXP($I$3*(COUNT($H$9:S$9)+$I$4))),TREND($D67:$E67,$D$9:$E$9,S$9))</f>
        <v>0</v>
      </c>
      <c r="T67">
        <f>IF($F67="s-curve",$D67+($E67-$D67)*$I$2/(1+EXP($I$3*(COUNT($H$9:T$9)+$I$4))),TREND($D67:$E67,$D$9:$E$9,T$9))</f>
        <v>0</v>
      </c>
      <c r="U67">
        <f>IF($F67="s-curve",$D67+($E67-$D67)*$I$2/(1+EXP($I$3*(COUNT($H$9:U$9)+$I$4))),TREND($D67:$E67,$D$9:$E$9,U$9))</f>
        <v>0</v>
      </c>
      <c r="V67">
        <f>IF($F67="s-curve",$D67+($E67-$D67)*$I$2/(1+EXP($I$3*(COUNT($H$9:V$9)+$I$4))),TREND($D67:$E67,$D$9:$E$9,V$9))</f>
        <v>0</v>
      </c>
      <c r="W67">
        <f>IF($F67="s-curve",$D67+($E67-$D67)*$I$2/(1+EXP($I$3*(COUNT($H$9:W$9)+$I$4))),TREND($D67:$E67,$D$9:$E$9,W$9))</f>
        <v>0</v>
      </c>
      <c r="X67">
        <f>IF($F67="s-curve",$D67+($E67-$D67)*$I$2/(1+EXP($I$3*(COUNT($H$9:X$9)+$I$4))),TREND($D67:$E67,$D$9:$E$9,X$9))</f>
        <v>0</v>
      </c>
      <c r="Y67">
        <f>IF($F67="s-curve",$D67+($E67-$D67)*$I$2/(1+EXP($I$3*(COUNT($H$9:Y$9)+$I$4))),TREND($D67:$E67,$D$9:$E$9,Y$9))</f>
        <v>0</v>
      </c>
      <c r="Z67">
        <f>IF($F67="s-curve",$D67+($E67-$D67)*$I$2/(1+EXP($I$3*(COUNT($H$9:Z$9)+$I$4))),TREND($D67:$E67,$D$9:$E$9,Z$9))</f>
        <v>0</v>
      </c>
      <c r="AA67">
        <f>IF($F67="s-curve",$D67+($E67-$D67)*$I$2/(1+EXP($I$3*(COUNT($H$9:AA$9)+$I$4))),TREND($D67:$E67,$D$9:$E$9,AA$9))</f>
        <v>0</v>
      </c>
      <c r="AB67">
        <f>IF($F67="s-curve",$D67+($E67-$D67)*$I$2/(1+EXP($I$3*(COUNT($H$9:AB$9)+$I$4))),TREND($D67:$E67,$D$9:$E$9,AB$9))</f>
        <v>0</v>
      </c>
      <c r="AC67">
        <f>IF($F67="s-curve",$D67+($E67-$D67)*$I$2/(1+EXP($I$3*(COUNT($H$9:AC$9)+$I$4))),TREND($D67:$E67,$D$9:$E$9,AC$9))</f>
        <v>0</v>
      </c>
      <c r="AD67">
        <f>IF($F67="s-curve",$D67+($E67-$D67)*$I$2/(1+EXP($I$3*(COUNT($H$9:AD$9)+$I$4))),TREND($D67:$E67,$D$9:$E$9,AD$9))</f>
        <v>0</v>
      </c>
      <c r="AE67">
        <f>IF($F67="s-curve",$D67+($E67-$D67)*$I$2/(1+EXP($I$3*(COUNT($H$9:AE$9)+$I$4))),TREND($D67:$E67,$D$9:$E$9,AE$9))</f>
        <v>0</v>
      </c>
      <c r="AF67">
        <f>IF($F67="s-curve",$D67+($E67-$D67)*$I$2/(1+EXP($I$3*(COUNT($H$9:AF$9)+$I$4))),TREND($D67:$E67,$D$9:$E$9,AF$9))</f>
        <v>0</v>
      </c>
      <c r="AG67">
        <f>IF($F67="s-curve",$D67+($E67-$D67)*$I$2/(1+EXP($I$3*(COUNT($H$9:AG$9)+$I$4))),TREND($D67:$E67,$D$9:$E$9,AG$9))</f>
        <v>0</v>
      </c>
      <c r="AH67">
        <f>IF($F67="s-curve",$D67+($E67-$D67)*$I$2/(1+EXP($I$3*(COUNT($H$9:AH$9)+$I$4))),TREND($D67:$E67,$D$9:$E$9,AH$9))</f>
        <v>0</v>
      </c>
      <c r="AI67">
        <f>IF($F67="s-curve",$D67+($E67-$D67)*$I$2/(1+EXP($I$3*(COUNT($H$9:AI$9)+$I$4))),TREND($D67:$E67,$D$9:$E$9,AI$9))</f>
        <v>0</v>
      </c>
      <c r="AJ67">
        <f>IF($F67="s-curve",$D67+($E67-$D67)*$I$2/(1+EXP($I$3*(COUNT($H$9:AJ$9)+$I$4))),TREND($D67:$E67,$D$9:$E$9,AJ$9))</f>
        <v>0</v>
      </c>
      <c r="AK67">
        <f>IF($F67="s-curve",$D67+($E67-$D67)*$I$2/(1+EXP($I$3*(COUNT($H$9:AK$9)+$I$4))),TREND($D67:$E67,$D$9:$E$9,AK$9))</f>
        <v>0</v>
      </c>
      <c r="AL67">
        <f>IF($F67="s-curve",$D67+($E67-$D67)*$I$2/(1+EXP($I$3*(COUNT($H$9:AL$9)+$I$4))),TREND($D67:$E67,$D$9:$E$9,AL$9))</f>
        <v>0</v>
      </c>
    </row>
    <row r="68" spans="1:38">
      <c r="C68" t="s">
        <v>3</v>
      </c>
      <c r="D68">
        <v>0</v>
      </c>
      <c r="E68">
        <v>0</v>
      </c>
      <c r="F68" s="6" t="str">
        <f>IF(D68=E68,"n/a",IF(OR(C68="battery electric vehicle",C68="natural gas vehicle",C68="plugin hybrid vehicle"),"s-curve","linear"))</f>
        <v>n/a</v>
      </c>
      <c r="H68" s="20">
        <f t="shared" si="27"/>
        <v>0</v>
      </c>
      <c r="I68">
        <f>IF($F68="s-curve",$D68+($E68-$D68)*$I$2/(1+EXP($I$3*(COUNT($H$9:I$9)+$I$4))),TREND($D68:$E68,$D$9:$E$9,I$9))</f>
        <v>0</v>
      </c>
      <c r="J68">
        <f>IF($F68="s-curve",$D68+($E68-$D68)*$I$2/(1+EXP($I$3*(COUNT($H$9:J$9)+$I$4))),TREND($D68:$E68,$D$9:$E$9,J$9))</f>
        <v>0</v>
      </c>
      <c r="K68">
        <f>IF($F68="s-curve",$D68+($E68-$D68)*$I$2/(1+EXP($I$3*(COUNT($H$9:K$9)+$I$4))),TREND($D68:$E68,$D$9:$E$9,K$9))</f>
        <v>0</v>
      </c>
      <c r="L68">
        <f>IF($F68="s-curve",$D68+($E68-$D68)*$I$2/(1+EXP($I$3*(COUNT($H$9:L$9)+$I$4))),TREND($D68:$E68,$D$9:$E$9,L$9))</f>
        <v>0</v>
      </c>
      <c r="M68">
        <f>IF($F68="s-curve",$D68+($E68-$D68)*$I$2/(1+EXP($I$3*(COUNT($H$9:M$9)+$I$4))),TREND($D68:$E68,$D$9:$E$9,M$9))</f>
        <v>0</v>
      </c>
      <c r="N68">
        <f>IF($F68="s-curve",$D68+($E68-$D68)*$I$2/(1+EXP($I$3*(COUNT($H$9:N$9)+$I$4))),TREND($D68:$E68,$D$9:$E$9,N$9))</f>
        <v>0</v>
      </c>
      <c r="O68">
        <f>IF($F68="s-curve",$D68+($E68-$D68)*$I$2/(1+EXP($I$3*(COUNT($H$9:O$9)+$I$4))),TREND($D68:$E68,$D$9:$E$9,O$9))</f>
        <v>0</v>
      </c>
      <c r="P68">
        <f>IF($F68="s-curve",$D68+($E68-$D68)*$I$2/(1+EXP($I$3*(COUNT($H$9:P$9)+$I$4))),TREND($D68:$E68,$D$9:$E$9,P$9))</f>
        <v>0</v>
      </c>
      <c r="Q68">
        <f>IF($F68="s-curve",$D68+($E68-$D68)*$I$2/(1+EXP($I$3*(COUNT($H$9:Q$9)+$I$4))),TREND($D68:$E68,$D$9:$E$9,Q$9))</f>
        <v>0</v>
      </c>
      <c r="R68">
        <f>IF($F68="s-curve",$D68+($E68-$D68)*$I$2/(1+EXP($I$3*(COUNT($H$9:R$9)+$I$4))),TREND($D68:$E68,$D$9:$E$9,R$9))</f>
        <v>0</v>
      </c>
      <c r="S68">
        <f>IF($F68="s-curve",$D68+($E68-$D68)*$I$2/(1+EXP($I$3*(COUNT($H$9:S$9)+$I$4))),TREND($D68:$E68,$D$9:$E$9,S$9))</f>
        <v>0</v>
      </c>
      <c r="T68">
        <f>IF($F68="s-curve",$D68+($E68-$D68)*$I$2/(1+EXP($I$3*(COUNT($H$9:T$9)+$I$4))),TREND($D68:$E68,$D$9:$E$9,T$9))</f>
        <v>0</v>
      </c>
      <c r="U68">
        <f>IF($F68="s-curve",$D68+($E68-$D68)*$I$2/(1+EXP($I$3*(COUNT($H$9:U$9)+$I$4))),TREND($D68:$E68,$D$9:$E$9,U$9))</f>
        <v>0</v>
      </c>
      <c r="V68">
        <f>IF($F68="s-curve",$D68+($E68-$D68)*$I$2/(1+EXP($I$3*(COUNT($H$9:V$9)+$I$4))),TREND($D68:$E68,$D$9:$E$9,V$9))</f>
        <v>0</v>
      </c>
      <c r="W68">
        <f>IF($F68="s-curve",$D68+($E68-$D68)*$I$2/(1+EXP($I$3*(COUNT($H$9:W$9)+$I$4))),TREND($D68:$E68,$D$9:$E$9,W$9))</f>
        <v>0</v>
      </c>
      <c r="X68">
        <f>IF($F68="s-curve",$D68+($E68-$D68)*$I$2/(1+EXP($I$3*(COUNT($H$9:X$9)+$I$4))),TREND($D68:$E68,$D$9:$E$9,X$9))</f>
        <v>0</v>
      </c>
      <c r="Y68">
        <f>IF($F68="s-curve",$D68+($E68-$D68)*$I$2/(1+EXP($I$3*(COUNT($H$9:Y$9)+$I$4))),TREND($D68:$E68,$D$9:$E$9,Y$9))</f>
        <v>0</v>
      </c>
      <c r="Z68">
        <f>IF($F68="s-curve",$D68+($E68-$D68)*$I$2/(1+EXP($I$3*(COUNT($H$9:Z$9)+$I$4))),TREND($D68:$E68,$D$9:$E$9,Z$9))</f>
        <v>0</v>
      </c>
      <c r="AA68">
        <f>IF($F68="s-curve",$D68+($E68-$D68)*$I$2/(1+EXP($I$3*(COUNT($H$9:AA$9)+$I$4))),TREND($D68:$E68,$D$9:$E$9,AA$9))</f>
        <v>0</v>
      </c>
      <c r="AB68">
        <f>IF($F68="s-curve",$D68+($E68-$D68)*$I$2/(1+EXP($I$3*(COUNT($H$9:AB$9)+$I$4))),TREND($D68:$E68,$D$9:$E$9,AB$9))</f>
        <v>0</v>
      </c>
      <c r="AC68">
        <f>IF($F68="s-curve",$D68+($E68-$D68)*$I$2/(1+EXP($I$3*(COUNT($H$9:AC$9)+$I$4))),TREND($D68:$E68,$D$9:$E$9,AC$9))</f>
        <v>0</v>
      </c>
      <c r="AD68">
        <f>IF($F68="s-curve",$D68+($E68-$D68)*$I$2/(1+EXP($I$3*(COUNT($H$9:AD$9)+$I$4))),TREND($D68:$E68,$D$9:$E$9,AD$9))</f>
        <v>0</v>
      </c>
      <c r="AE68">
        <f>IF($F68="s-curve",$D68+($E68-$D68)*$I$2/(1+EXP($I$3*(COUNT($H$9:AE$9)+$I$4))),TREND($D68:$E68,$D$9:$E$9,AE$9))</f>
        <v>0</v>
      </c>
      <c r="AF68">
        <f>IF($F68="s-curve",$D68+($E68-$D68)*$I$2/(1+EXP($I$3*(COUNT($H$9:AF$9)+$I$4))),TREND($D68:$E68,$D$9:$E$9,AF$9))</f>
        <v>0</v>
      </c>
      <c r="AG68">
        <f>IF($F68="s-curve",$D68+($E68-$D68)*$I$2/(1+EXP($I$3*(COUNT($H$9:AG$9)+$I$4))),TREND($D68:$E68,$D$9:$E$9,AG$9))</f>
        <v>0</v>
      </c>
      <c r="AH68">
        <f>IF($F68="s-curve",$D68+($E68-$D68)*$I$2/(1+EXP($I$3*(COUNT($H$9:AH$9)+$I$4))),TREND($D68:$E68,$D$9:$E$9,AH$9))</f>
        <v>0</v>
      </c>
      <c r="AI68">
        <f>IF($F68="s-curve",$D68+($E68-$D68)*$I$2/(1+EXP($I$3*(COUNT($H$9:AI$9)+$I$4))),TREND($D68:$E68,$D$9:$E$9,AI$9))</f>
        <v>0</v>
      </c>
      <c r="AJ68">
        <f>IF($F68="s-curve",$D68+($E68-$D68)*$I$2/(1+EXP($I$3*(COUNT($H$9:AJ$9)+$I$4))),TREND($D68:$E68,$D$9:$E$9,AJ$9))</f>
        <v>0</v>
      </c>
      <c r="AK68">
        <f>IF($F68="s-curve",$D68+($E68-$D68)*$I$2/(1+EXP($I$3*(COUNT($H$9:AK$9)+$I$4))),TREND($D68:$E68,$D$9:$E$9,AK$9))</f>
        <v>0</v>
      </c>
      <c r="AL68">
        <f>IF($F68="s-curve",$D68+($E68-$D68)*$I$2/(1+EXP($I$3*(COUNT($H$9:AL$9)+$I$4))),TREND($D68:$E68,$D$9:$E$9,AL$9))</f>
        <v>0</v>
      </c>
    </row>
    <row r="69" spans="1:38">
      <c r="C69" t="s">
        <v>4</v>
      </c>
      <c r="D69">
        <v>1</v>
      </c>
      <c r="E69">
        <v>1</v>
      </c>
      <c r="F69" s="6" t="str">
        <f>IF(D69=E69,"n/a",IF(OR(C69="battery electric vehicle",C69="natural gas vehicle",C69="plugin hybrid vehicle"),"s-curve","linear"))</f>
        <v>n/a</v>
      </c>
      <c r="H69" s="20">
        <f t="shared" si="27"/>
        <v>1</v>
      </c>
      <c r="I69">
        <f>IF($F69="s-curve",$D69+($E69-$D69)*$I$2/(1+EXP($I$3*(COUNT($H$9:I$9)+$I$4))),TREND($D69:$E69,$D$9:$E$9,I$9))</f>
        <v>1</v>
      </c>
      <c r="J69">
        <f>IF($F69="s-curve",$D69+($E69-$D69)*$I$2/(1+EXP($I$3*(COUNT($H$9:J$9)+$I$4))),TREND($D69:$E69,$D$9:$E$9,J$9))</f>
        <v>1</v>
      </c>
      <c r="K69">
        <f>IF($F69="s-curve",$D69+($E69-$D69)*$I$2/(1+EXP($I$3*(COUNT($H$9:K$9)+$I$4))),TREND($D69:$E69,$D$9:$E$9,K$9))</f>
        <v>1</v>
      </c>
      <c r="L69">
        <f>IF($F69="s-curve",$D69+($E69-$D69)*$I$2/(1+EXP($I$3*(COUNT($H$9:L$9)+$I$4))),TREND($D69:$E69,$D$9:$E$9,L$9))</f>
        <v>1</v>
      </c>
      <c r="M69">
        <f>IF($F69="s-curve",$D69+($E69-$D69)*$I$2/(1+EXP($I$3*(COUNT($H$9:M$9)+$I$4))),TREND($D69:$E69,$D$9:$E$9,M$9))</f>
        <v>1</v>
      </c>
      <c r="N69">
        <f>IF($F69="s-curve",$D69+($E69-$D69)*$I$2/(1+EXP($I$3*(COUNT($H$9:N$9)+$I$4))),TREND($D69:$E69,$D$9:$E$9,N$9))</f>
        <v>1</v>
      </c>
      <c r="O69">
        <f>IF($F69="s-curve",$D69+($E69-$D69)*$I$2/(1+EXP($I$3*(COUNT($H$9:O$9)+$I$4))),TREND($D69:$E69,$D$9:$E$9,O$9))</f>
        <v>1</v>
      </c>
      <c r="P69">
        <f>IF($F69="s-curve",$D69+($E69-$D69)*$I$2/(1+EXP($I$3*(COUNT($H$9:P$9)+$I$4))),TREND($D69:$E69,$D$9:$E$9,P$9))</f>
        <v>1</v>
      </c>
      <c r="Q69">
        <f>IF($F69="s-curve",$D69+($E69-$D69)*$I$2/(1+EXP($I$3*(COUNT($H$9:Q$9)+$I$4))),TREND($D69:$E69,$D$9:$E$9,Q$9))</f>
        <v>1</v>
      </c>
      <c r="R69">
        <f>IF($F69="s-curve",$D69+($E69-$D69)*$I$2/(1+EXP($I$3*(COUNT($H$9:R$9)+$I$4))),TREND($D69:$E69,$D$9:$E$9,R$9))</f>
        <v>1</v>
      </c>
      <c r="S69">
        <f>IF($F69="s-curve",$D69+($E69-$D69)*$I$2/(1+EXP($I$3*(COUNT($H$9:S$9)+$I$4))),TREND($D69:$E69,$D$9:$E$9,S$9))</f>
        <v>1</v>
      </c>
      <c r="T69">
        <f>IF($F69="s-curve",$D69+($E69-$D69)*$I$2/(1+EXP($I$3*(COUNT($H$9:T$9)+$I$4))),TREND($D69:$E69,$D$9:$E$9,T$9))</f>
        <v>1</v>
      </c>
      <c r="U69">
        <f>IF($F69="s-curve",$D69+($E69-$D69)*$I$2/(1+EXP($I$3*(COUNT($H$9:U$9)+$I$4))),TREND($D69:$E69,$D$9:$E$9,U$9))</f>
        <v>1</v>
      </c>
      <c r="V69">
        <f>IF($F69="s-curve",$D69+($E69-$D69)*$I$2/(1+EXP($I$3*(COUNT($H$9:V$9)+$I$4))),TREND($D69:$E69,$D$9:$E$9,V$9))</f>
        <v>1</v>
      </c>
      <c r="W69">
        <f>IF($F69="s-curve",$D69+($E69-$D69)*$I$2/(1+EXP($I$3*(COUNT($H$9:W$9)+$I$4))),TREND($D69:$E69,$D$9:$E$9,W$9))</f>
        <v>1</v>
      </c>
      <c r="X69">
        <f>IF($F69="s-curve",$D69+($E69-$D69)*$I$2/(1+EXP($I$3*(COUNT($H$9:X$9)+$I$4))),TREND($D69:$E69,$D$9:$E$9,X$9))</f>
        <v>1</v>
      </c>
      <c r="Y69">
        <f>IF($F69="s-curve",$D69+($E69-$D69)*$I$2/(1+EXP($I$3*(COUNT($H$9:Y$9)+$I$4))),TREND($D69:$E69,$D$9:$E$9,Y$9))</f>
        <v>1</v>
      </c>
      <c r="Z69">
        <f>IF($F69="s-curve",$D69+($E69-$D69)*$I$2/(1+EXP($I$3*(COUNT($H$9:Z$9)+$I$4))),TREND($D69:$E69,$D$9:$E$9,Z$9))</f>
        <v>1</v>
      </c>
      <c r="AA69">
        <f>IF($F69="s-curve",$D69+($E69-$D69)*$I$2/(1+EXP($I$3*(COUNT($H$9:AA$9)+$I$4))),TREND($D69:$E69,$D$9:$E$9,AA$9))</f>
        <v>1</v>
      </c>
      <c r="AB69">
        <f>IF($F69="s-curve",$D69+($E69-$D69)*$I$2/(1+EXP($I$3*(COUNT($H$9:AB$9)+$I$4))),TREND($D69:$E69,$D$9:$E$9,AB$9))</f>
        <v>1</v>
      </c>
      <c r="AC69">
        <f>IF($F69="s-curve",$D69+($E69-$D69)*$I$2/(1+EXP($I$3*(COUNT($H$9:AC$9)+$I$4))),TREND($D69:$E69,$D$9:$E$9,AC$9))</f>
        <v>1</v>
      </c>
      <c r="AD69">
        <f>IF($F69="s-curve",$D69+($E69-$D69)*$I$2/(1+EXP($I$3*(COUNT($H$9:AD$9)+$I$4))),TREND($D69:$E69,$D$9:$E$9,AD$9))</f>
        <v>1</v>
      </c>
      <c r="AE69">
        <f>IF($F69="s-curve",$D69+($E69-$D69)*$I$2/(1+EXP($I$3*(COUNT($H$9:AE$9)+$I$4))),TREND($D69:$E69,$D$9:$E$9,AE$9))</f>
        <v>1</v>
      </c>
      <c r="AF69">
        <f>IF($F69="s-curve",$D69+($E69-$D69)*$I$2/(1+EXP($I$3*(COUNT($H$9:AF$9)+$I$4))),TREND($D69:$E69,$D$9:$E$9,AF$9))</f>
        <v>1</v>
      </c>
      <c r="AG69">
        <f>IF($F69="s-curve",$D69+($E69-$D69)*$I$2/(1+EXP($I$3*(COUNT($H$9:AG$9)+$I$4))),TREND($D69:$E69,$D$9:$E$9,AG$9))</f>
        <v>1</v>
      </c>
      <c r="AH69">
        <f>IF($F69="s-curve",$D69+($E69-$D69)*$I$2/(1+EXP($I$3*(COUNT($H$9:AH$9)+$I$4))),TREND($D69:$E69,$D$9:$E$9,AH$9))</f>
        <v>1</v>
      </c>
      <c r="AI69">
        <f>IF($F69="s-curve",$D69+($E69-$D69)*$I$2/(1+EXP($I$3*(COUNT($H$9:AI$9)+$I$4))),TREND($D69:$E69,$D$9:$E$9,AI$9))</f>
        <v>1</v>
      </c>
      <c r="AJ69">
        <f>IF($F69="s-curve",$D69+($E69-$D69)*$I$2/(1+EXP($I$3*(COUNT($H$9:AJ$9)+$I$4))),TREND($D69:$E69,$D$9:$E$9,AJ$9))</f>
        <v>1</v>
      </c>
      <c r="AK69">
        <f>IF($F69="s-curve",$D69+($E69-$D69)*$I$2/(1+EXP($I$3*(COUNT($H$9:AK$9)+$I$4))),TREND($D69:$E69,$D$9:$E$9,AK$9))</f>
        <v>1</v>
      </c>
      <c r="AL69">
        <f>IF($F69="s-curve",$D69+($E69-$D69)*$I$2/(1+EXP($I$3*(COUNT($H$9:AL$9)+$I$4))),TREND($D69:$E69,$D$9:$E$9,AL$9))</f>
        <v>1</v>
      </c>
    </row>
    <row r="70" spans="1:38">
      <c r="C70" t="s">
        <v>5</v>
      </c>
      <c r="D70">
        <v>0</v>
      </c>
      <c r="E70">
        <v>0</v>
      </c>
      <c r="F70" s="6" t="str">
        <f>IF(D70=E70,"n/a",IF(OR(C70="battery electric vehicle",C70="natural gas vehicle",C70="plugin hybrid vehicle"),"s-curve","linear"))</f>
        <v>n/a</v>
      </c>
      <c r="H70" s="20">
        <f t="shared" si="27"/>
        <v>0</v>
      </c>
      <c r="I70">
        <f>IF($F70="s-curve",$D70+($E70-$D70)*$I$2/(1+EXP($I$3*(COUNT($H$9:I$9)+$I$4))),TREND($D70:$E70,$D$9:$E$9,I$9))</f>
        <v>0</v>
      </c>
      <c r="J70">
        <f>IF($F70="s-curve",$D70+($E70-$D70)*$I$2/(1+EXP($I$3*(COUNT($H$9:J$9)+$I$4))),TREND($D70:$E70,$D$9:$E$9,J$9))</f>
        <v>0</v>
      </c>
      <c r="K70">
        <f>IF($F70="s-curve",$D70+($E70-$D70)*$I$2/(1+EXP($I$3*(COUNT($H$9:K$9)+$I$4))),TREND($D70:$E70,$D$9:$E$9,K$9))</f>
        <v>0</v>
      </c>
      <c r="L70">
        <f>IF($F70="s-curve",$D70+($E70-$D70)*$I$2/(1+EXP($I$3*(COUNT($H$9:L$9)+$I$4))),TREND($D70:$E70,$D$9:$E$9,L$9))</f>
        <v>0</v>
      </c>
      <c r="M70">
        <f>IF($F70="s-curve",$D70+($E70-$D70)*$I$2/(1+EXP($I$3*(COUNT($H$9:M$9)+$I$4))),TREND($D70:$E70,$D$9:$E$9,M$9))</f>
        <v>0</v>
      </c>
      <c r="N70">
        <f>IF($F70="s-curve",$D70+($E70-$D70)*$I$2/(1+EXP($I$3*(COUNT($H$9:N$9)+$I$4))),TREND($D70:$E70,$D$9:$E$9,N$9))</f>
        <v>0</v>
      </c>
      <c r="O70">
        <f>IF($F70="s-curve",$D70+($E70-$D70)*$I$2/(1+EXP($I$3*(COUNT($H$9:O$9)+$I$4))),TREND($D70:$E70,$D$9:$E$9,O$9))</f>
        <v>0</v>
      </c>
      <c r="P70">
        <f>IF($F70="s-curve",$D70+($E70-$D70)*$I$2/(1+EXP($I$3*(COUNT($H$9:P$9)+$I$4))),TREND($D70:$E70,$D$9:$E$9,P$9))</f>
        <v>0</v>
      </c>
      <c r="Q70">
        <f>IF($F70="s-curve",$D70+($E70-$D70)*$I$2/(1+EXP($I$3*(COUNT($H$9:Q$9)+$I$4))),TREND($D70:$E70,$D$9:$E$9,Q$9))</f>
        <v>0</v>
      </c>
      <c r="R70">
        <f>IF($F70="s-curve",$D70+($E70-$D70)*$I$2/(1+EXP($I$3*(COUNT($H$9:R$9)+$I$4))),TREND($D70:$E70,$D$9:$E$9,R$9))</f>
        <v>0</v>
      </c>
      <c r="S70">
        <f>IF($F70="s-curve",$D70+($E70-$D70)*$I$2/(1+EXP($I$3*(COUNT($H$9:S$9)+$I$4))),TREND($D70:$E70,$D$9:$E$9,S$9))</f>
        <v>0</v>
      </c>
      <c r="T70">
        <f>IF($F70="s-curve",$D70+($E70-$D70)*$I$2/(1+EXP($I$3*(COUNT($H$9:T$9)+$I$4))),TREND($D70:$E70,$D$9:$E$9,T$9))</f>
        <v>0</v>
      </c>
      <c r="U70">
        <f>IF($F70="s-curve",$D70+($E70-$D70)*$I$2/(1+EXP($I$3*(COUNT($H$9:U$9)+$I$4))),TREND($D70:$E70,$D$9:$E$9,U$9))</f>
        <v>0</v>
      </c>
      <c r="V70">
        <f>IF($F70="s-curve",$D70+($E70-$D70)*$I$2/(1+EXP($I$3*(COUNT($H$9:V$9)+$I$4))),TREND($D70:$E70,$D$9:$E$9,V$9))</f>
        <v>0</v>
      </c>
      <c r="W70">
        <f>IF($F70="s-curve",$D70+($E70-$D70)*$I$2/(1+EXP($I$3*(COUNT($H$9:W$9)+$I$4))),TREND($D70:$E70,$D$9:$E$9,W$9))</f>
        <v>0</v>
      </c>
      <c r="X70">
        <f>IF($F70="s-curve",$D70+($E70-$D70)*$I$2/(1+EXP($I$3*(COUNT($H$9:X$9)+$I$4))),TREND($D70:$E70,$D$9:$E$9,X$9))</f>
        <v>0</v>
      </c>
      <c r="Y70">
        <f>IF($F70="s-curve",$D70+($E70-$D70)*$I$2/(1+EXP($I$3*(COUNT($H$9:Y$9)+$I$4))),TREND($D70:$E70,$D$9:$E$9,Y$9))</f>
        <v>0</v>
      </c>
      <c r="Z70">
        <f>IF($F70="s-curve",$D70+($E70-$D70)*$I$2/(1+EXP($I$3*(COUNT($H$9:Z$9)+$I$4))),TREND($D70:$E70,$D$9:$E$9,Z$9))</f>
        <v>0</v>
      </c>
      <c r="AA70">
        <f>IF($F70="s-curve",$D70+($E70-$D70)*$I$2/(1+EXP($I$3*(COUNT($H$9:AA$9)+$I$4))),TREND($D70:$E70,$D$9:$E$9,AA$9))</f>
        <v>0</v>
      </c>
      <c r="AB70">
        <f>IF($F70="s-curve",$D70+($E70-$D70)*$I$2/(1+EXP($I$3*(COUNT($H$9:AB$9)+$I$4))),TREND($D70:$E70,$D$9:$E$9,AB$9))</f>
        <v>0</v>
      </c>
      <c r="AC70">
        <f>IF($F70="s-curve",$D70+($E70-$D70)*$I$2/(1+EXP($I$3*(COUNT($H$9:AC$9)+$I$4))),TREND($D70:$E70,$D$9:$E$9,AC$9))</f>
        <v>0</v>
      </c>
      <c r="AD70">
        <f>IF($F70="s-curve",$D70+($E70-$D70)*$I$2/(1+EXP($I$3*(COUNT($H$9:AD$9)+$I$4))),TREND($D70:$E70,$D$9:$E$9,AD$9))</f>
        <v>0</v>
      </c>
      <c r="AE70">
        <f>IF($F70="s-curve",$D70+($E70-$D70)*$I$2/(1+EXP($I$3*(COUNT($H$9:AE$9)+$I$4))),TREND($D70:$E70,$D$9:$E$9,AE$9))</f>
        <v>0</v>
      </c>
      <c r="AF70">
        <f>IF($F70="s-curve",$D70+($E70-$D70)*$I$2/(1+EXP($I$3*(COUNT($H$9:AF$9)+$I$4))),TREND($D70:$E70,$D$9:$E$9,AF$9))</f>
        <v>0</v>
      </c>
      <c r="AG70">
        <f>IF($F70="s-curve",$D70+($E70-$D70)*$I$2/(1+EXP($I$3*(COUNT($H$9:AG$9)+$I$4))),TREND($D70:$E70,$D$9:$E$9,AG$9))</f>
        <v>0</v>
      </c>
      <c r="AH70">
        <f>IF($F70="s-curve",$D70+($E70-$D70)*$I$2/(1+EXP($I$3*(COUNT($H$9:AH$9)+$I$4))),TREND($D70:$E70,$D$9:$E$9,AH$9))</f>
        <v>0</v>
      </c>
      <c r="AI70">
        <f>IF($F70="s-curve",$D70+($E70-$D70)*$I$2/(1+EXP($I$3*(COUNT($H$9:AI$9)+$I$4))),TREND($D70:$E70,$D$9:$E$9,AI$9))</f>
        <v>0</v>
      </c>
      <c r="AJ70">
        <f>IF($F70="s-curve",$D70+($E70-$D70)*$I$2/(1+EXP($I$3*(COUNT($H$9:AJ$9)+$I$4))),TREND($D70:$E70,$D$9:$E$9,AJ$9))</f>
        <v>0</v>
      </c>
      <c r="AK70">
        <f>IF($F70="s-curve",$D70+($E70-$D70)*$I$2/(1+EXP($I$3*(COUNT($H$9:AK$9)+$I$4))),TREND($D70:$E70,$D$9:$E$9,AK$9))</f>
        <v>0</v>
      </c>
      <c r="AL70">
        <f>IF($F70="s-curve",$D70+($E70-$D70)*$I$2/(1+EXP($I$3*(COUNT($H$9:AL$9)+$I$4))),TREND($D70:$E70,$D$9:$E$9,AL$9))</f>
        <v>0</v>
      </c>
    </row>
    <row r="71" spans="1:38">
      <c r="C71" t="s">
        <v>78</v>
      </c>
      <c r="D71">
        <v>0</v>
      </c>
      <c r="E71">
        <v>0</v>
      </c>
      <c r="F71" s="6" t="str">
        <f>IF(D71=E71,"n/a",IF(OR(C71="battery electric vehicle",C71="natural gas vehicle",C71="plugin hybrid vehicle",C71="hydrogen vehicle"),"s-curve","linear"))</f>
        <v>n/a</v>
      </c>
      <c r="H71" s="20">
        <f t="shared" si="27"/>
        <v>0</v>
      </c>
      <c r="I71">
        <f>IF($F71="s-curve",$D71+($E71-$D71)*$I$2/(1+EXP($I$3*(COUNT($H$9:I$9)+$I$4))),TREND($D71:$E71,$D$9:$E$9,I$9))</f>
        <v>0</v>
      </c>
      <c r="J71">
        <f>IF($F71="s-curve",$D71+($E71-$D71)*$I$2/(1+EXP($I$3*(COUNT($H$9:J$9)+$I$4))),TREND($D71:$E71,$D$9:$E$9,J$9))</f>
        <v>0</v>
      </c>
      <c r="K71">
        <f>IF($F71="s-curve",$D71+($E71-$D71)*$I$2/(1+EXP($I$3*(COUNT($H$9:K$9)+$I$4))),TREND($D71:$E71,$D$9:$E$9,K$9))</f>
        <v>0</v>
      </c>
      <c r="L71">
        <f>IF($F71="s-curve",$D71+($E71-$D71)*$I$2/(1+EXP($I$3*(COUNT($H$9:L$9)+$I$4))),TREND($D71:$E71,$D$9:$E$9,L$9))</f>
        <v>0</v>
      </c>
      <c r="M71">
        <f>IF($F71="s-curve",$D71+($E71-$D71)*$I$2/(1+EXP($I$3*(COUNT($H$9:M$9)+$I$4))),TREND($D71:$E71,$D$9:$E$9,M$9))</f>
        <v>0</v>
      </c>
      <c r="N71">
        <f>IF($F71="s-curve",$D71+($E71-$D71)*$I$2/(1+EXP($I$3*(COUNT($H$9:N$9)+$I$4))),TREND($D71:$E71,$D$9:$E$9,N$9))</f>
        <v>0</v>
      </c>
      <c r="O71">
        <f>IF($F71="s-curve",$D71+($E71-$D71)*$I$2/(1+EXP($I$3*(COUNT($H$9:O$9)+$I$4))),TREND($D71:$E71,$D$9:$E$9,O$9))</f>
        <v>0</v>
      </c>
      <c r="P71">
        <f>IF($F71="s-curve",$D71+($E71-$D71)*$I$2/(1+EXP($I$3*(COUNT($H$9:P$9)+$I$4))),TREND($D71:$E71,$D$9:$E$9,P$9))</f>
        <v>0</v>
      </c>
      <c r="Q71">
        <f>IF($F71="s-curve",$D71+($E71-$D71)*$I$2/(1+EXP($I$3*(COUNT($H$9:Q$9)+$I$4))),TREND($D71:$E71,$D$9:$E$9,Q$9))</f>
        <v>0</v>
      </c>
      <c r="R71">
        <f>IF($F71="s-curve",$D71+($E71-$D71)*$I$2/(1+EXP($I$3*(COUNT($H$9:R$9)+$I$4))),TREND($D71:$E71,$D$9:$E$9,R$9))</f>
        <v>0</v>
      </c>
      <c r="S71">
        <f>IF($F71="s-curve",$D71+($E71-$D71)*$I$2/(1+EXP($I$3*(COUNT($H$9:S$9)+$I$4))),TREND($D71:$E71,$D$9:$E$9,S$9))</f>
        <v>0</v>
      </c>
      <c r="T71">
        <f>IF($F71="s-curve",$D71+($E71-$D71)*$I$2/(1+EXP($I$3*(COUNT($H$9:T$9)+$I$4))),TREND($D71:$E71,$D$9:$E$9,T$9))</f>
        <v>0</v>
      </c>
      <c r="U71">
        <f>IF($F71="s-curve",$D71+($E71-$D71)*$I$2/(1+EXP($I$3*(COUNT($H$9:U$9)+$I$4))),TREND($D71:$E71,$D$9:$E$9,U$9))</f>
        <v>0</v>
      </c>
      <c r="V71">
        <f>IF($F71="s-curve",$D71+($E71-$D71)*$I$2/(1+EXP($I$3*(COUNT($H$9:V$9)+$I$4))),TREND($D71:$E71,$D$9:$E$9,V$9))</f>
        <v>0</v>
      </c>
      <c r="W71">
        <f>IF($F71="s-curve",$D71+($E71-$D71)*$I$2/(1+EXP($I$3*(COUNT($H$9:W$9)+$I$4))),TREND($D71:$E71,$D$9:$E$9,W$9))</f>
        <v>0</v>
      </c>
      <c r="X71">
        <f>IF($F71="s-curve",$D71+($E71-$D71)*$I$2/(1+EXP($I$3*(COUNT($H$9:X$9)+$I$4))),TREND($D71:$E71,$D$9:$E$9,X$9))</f>
        <v>0</v>
      </c>
      <c r="Y71">
        <f>IF($F71="s-curve",$D71+($E71-$D71)*$I$2/(1+EXP($I$3*(COUNT($H$9:Y$9)+$I$4))),TREND($D71:$E71,$D$9:$E$9,Y$9))</f>
        <v>0</v>
      </c>
      <c r="Z71">
        <f>IF($F71="s-curve",$D71+($E71-$D71)*$I$2/(1+EXP($I$3*(COUNT($H$9:Z$9)+$I$4))),TREND($D71:$E71,$D$9:$E$9,Z$9))</f>
        <v>0</v>
      </c>
      <c r="AA71">
        <f>IF($F71="s-curve",$D71+($E71-$D71)*$I$2/(1+EXP($I$3*(COUNT($H$9:AA$9)+$I$4))),TREND($D71:$E71,$D$9:$E$9,AA$9))</f>
        <v>0</v>
      </c>
      <c r="AB71">
        <f>IF($F71="s-curve",$D71+($E71-$D71)*$I$2/(1+EXP($I$3*(COUNT($H$9:AB$9)+$I$4))),TREND($D71:$E71,$D$9:$E$9,AB$9))</f>
        <v>0</v>
      </c>
      <c r="AC71">
        <f>IF($F71="s-curve",$D71+($E71-$D71)*$I$2/(1+EXP($I$3*(COUNT($H$9:AC$9)+$I$4))),TREND($D71:$E71,$D$9:$E$9,AC$9))</f>
        <v>0</v>
      </c>
      <c r="AD71">
        <f>IF($F71="s-curve",$D71+($E71-$D71)*$I$2/(1+EXP($I$3*(COUNT($H$9:AD$9)+$I$4))),TREND($D71:$E71,$D$9:$E$9,AD$9))</f>
        <v>0</v>
      </c>
      <c r="AE71">
        <f>IF($F71="s-curve",$D71+($E71-$D71)*$I$2/(1+EXP($I$3*(COUNT($H$9:AE$9)+$I$4))),TREND($D71:$E71,$D$9:$E$9,AE$9))</f>
        <v>0</v>
      </c>
      <c r="AF71">
        <f>IF($F71="s-curve",$D71+($E71-$D71)*$I$2/(1+EXP($I$3*(COUNT($H$9:AF$9)+$I$4))),TREND($D71:$E71,$D$9:$E$9,AF$9))</f>
        <v>0</v>
      </c>
      <c r="AG71">
        <f>IF($F71="s-curve",$D71+($E71-$D71)*$I$2/(1+EXP($I$3*(COUNT($H$9:AG$9)+$I$4))),TREND($D71:$E71,$D$9:$E$9,AG$9))</f>
        <v>0</v>
      </c>
      <c r="AH71">
        <f>IF($F71="s-curve",$D71+($E71-$D71)*$I$2/(1+EXP($I$3*(COUNT($H$9:AH$9)+$I$4))),TREND($D71:$E71,$D$9:$E$9,AH$9))</f>
        <v>0</v>
      </c>
      <c r="AI71">
        <f>IF($F71="s-curve",$D71+($E71-$D71)*$I$2/(1+EXP($I$3*(COUNT($H$9:AI$9)+$I$4))),TREND($D71:$E71,$D$9:$E$9,AI$9))</f>
        <v>0</v>
      </c>
      <c r="AJ71">
        <f>IF($F71="s-curve",$D71+($E71-$D71)*$I$2/(1+EXP($I$3*(COUNT($H$9:AJ$9)+$I$4))),TREND($D71:$E71,$D$9:$E$9,AJ$9))</f>
        <v>0</v>
      </c>
      <c r="AK71">
        <f>IF($F71="s-curve",$D71+($E71-$D71)*$I$2/(1+EXP($I$3*(COUNT($H$9:AK$9)+$I$4))),TREND($D71:$E71,$D$9:$E$9,AK$9))</f>
        <v>0</v>
      </c>
      <c r="AL71">
        <f>IF($F71="s-curve",$D71+($E71-$D71)*$I$2/(1+EXP($I$3*(COUNT($H$9:AL$9)+$I$4))),TREND($D71:$E71,$D$9:$E$9,AL$9))</f>
        <v>0</v>
      </c>
    </row>
    <row r="72" spans="1:38" ht="15.75" thickBot="1">
      <c r="A72" s="21"/>
      <c r="B72" s="21"/>
      <c r="C72" s="21" t="s">
        <v>79</v>
      </c>
      <c r="D72" s="21">
        <v>0</v>
      </c>
      <c r="E72" s="21">
        <v>0</v>
      </c>
      <c r="F72" s="7" t="str">
        <f>IF(D72=E72,"n/a",IF(OR(C72="battery electric vehicle",C72="natural gas vehicle",C72="plugin hybrid vehicle",C72="hydrogen vehicle"),"s-curve","linear"))</f>
        <v>n/a</v>
      </c>
      <c r="H72" s="20">
        <f t="shared" si="27"/>
        <v>0</v>
      </c>
      <c r="I72">
        <f>IF($F72="s-curve",$D72+($E72-$D72)*$I$2/(1+EXP($I$3*(COUNT($H$9:I$9)+$I$4))),TREND($D72:$E72,$D$9:$E$9,I$9))</f>
        <v>0</v>
      </c>
      <c r="J72">
        <f>IF($F72="s-curve",$D72+($E72-$D72)*$I$2/(1+EXP($I$3*(COUNT($H$9:J$9)+$I$4))),TREND($D72:$E72,$D$9:$E$9,J$9))</f>
        <v>0</v>
      </c>
      <c r="K72">
        <f>IF($F72="s-curve",$D72+($E72-$D72)*$I$2/(1+EXP($I$3*(COUNT($H$9:K$9)+$I$4))),TREND($D72:$E72,$D$9:$E$9,K$9))</f>
        <v>0</v>
      </c>
      <c r="L72">
        <f>IF($F72="s-curve",$D72+($E72-$D72)*$I$2/(1+EXP($I$3*(COUNT($H$9:L$9)+$I$4))),TREND($D72:$E72,$D$9:$E$9,L$9))</f>
        <v>0</v>
      </c>
      <c r="M72">
        <f>IF($F72="s-curve",$D72+($E72-$D72)*$I$2/(1+EXP($I$3*(COUNT($H$9:M$9)+$I$4))),TREND($D72:$E72,$D$9:$E$9,M$9))</f>
        <v>0</v>
      </c>
      <c r="N72">
        <f>IF($F72="s-curve",$D72+($E72-$D72)*$I$2/(1+EXP($I$3*(COUNT($H$9:N$9)+$I$4))),TREND($D72:$E72,$D$9:$E$9,N$9))</f>
        <v>0</v>
      </c>
      <c r="O72">
        <f>IF($F72="s-curve",$D72+($E72-$D72)*$I$2/(1+EXP($I$3*(COUNT($H$9:O$9)+$I$4))),TREND($D72:$E72,$D$9:$E$9,O$9))</f>
        <v>0</v>
      </c>
      <c r="P72">
        <f>IF($F72="s-curve",$D72+($E72-$D72)*$I$2/(1+EXP($I$3*(COUNT($H$9:P$9)+$I$4))),TREND($D72:$E72,$D$9:$E$9,P$9))</f>
        <v>0</v>
      </c>
      <c r="Q72">
        <f>IF($F72="s-curve",$D72+($E72-$D72)*$I$2/(1+EXP($I$3*(COUNT($H$9:Q$9)+$I$4))),TREND($D72:$E72,$D$9:$E$9,Q$9))</f>
        <v>0</v>
      </c>
      <c r="R72">
        <f>IF($F72="s-curve",$D72+($E72-$D72)*$I$2/(1+EXP($I$3*(COUNT($H$9:R$9)+$I$4))),TREND($D72:$E72,$D$9:$E$9,R$9))</f>
        <v>0</v>
      </c>
      <c r="S72">
        <f>IF($F72="s-curve",$D72+($E72-$D72)*$I$2/(1+EXP($I$3*(COUNT($H$9:S$9)+$I$4))),TREND($D72:$E72,$D$9:$E$9,S$9))</f>
        <v>0</v>
      </c>
      <c r="T72">
        <f>IF($F72="s-curve",$D72+($E72-$D72)*$I$2/(1+EXP($I$3*(COUNT($H$9:T$9)+$I$4))),TREND($D72:$E72,$D$9:$E$9,T$9))</f>
        <v>0</v>
      </c>
      <c r="U72">
        <f>IF($F72="s-curve",$D72+($E72-$D72)*$I$2/(1+EXP($I$3*(COUNT($H$9:U$9)+$I$4))),TREND($D72:$E72,$D$9:$E$9,U$9))</f>
        <v>0</v>
      </c>
      <c r="V72">
        <f>IF($F72="s-curve",$D72+($E72-$D72)*$I$2/(1+EXP($I$3*(COUNT($H$9:V$9)+$I$4))),TREND($D72:$E72,$D$9:$E$9,V$9))</f>
        <v>0</v>
      </c>
      <c r="W72">
        <f>IF($F72="s-curve",$D72+($E72-$D72)*$I$2/(1+EXP($I$3*(COUNT($H$9:W$9)+$I$4))),TREND($D72:$E72,$D$9:$E$9,W$9))</f>
        <v>0</v>
      </c>
      <c r="X72">
        <f>IF($F72="s-curve",$D72+($E72-$D72)*$I$2/(1+EXP($I$3*(COUNT($H$9:X$9)+$I$4))),TREND($D72:$E72,$D$9:$E$9,X$9))</f>
        <v>0</v>
      </c>
      <c r="Y72">
        <f>IF($F72="s-curve",$D72+($E72-$D72)*$I$2/(1+EXP($I$3*(COUNT($H$9:Y$9)+$I$4))),TREND($D72:$E72,$D$9:$E$9,Y$9))</f>
        <v>0</v>
      </c>
      <c r="Z72">
        <f>IF($F72="s-curve",$D72+($E72-$D72)*$I$2/(1+EXP($I$3*(COUNT($H$9:Z$9)+$I$4))),TREND($D72:$E72,$D$9:$E$9,Z$9))</f>
        <v>0</v>
      </c>
      <c r="AA72">
        <f>IF($F72="s-curve",$D72+($E72-$D72)*$I$2/(1+EXP($I$3*(COUNT($H$9:AA$9)+$I$4))),TREND($D72:$E72,$D$9:$E$9,AA$9))</f>
        <v>0</v>
      </c>
      <c r="AB72">
        <f>IF($F72="s-curve",$D72+($E72-$D72)*$I$2/(1+EXP($I$3*(COUNT($H$9:AB$9)+$I$4))),TREND($D72:$E72,$D$9:$E$9,AB$9))</f>
        <v>0</v>
      </c>
      <c r="AC72">
        <f>IF($F72="s-curve",$D72+($E72-$D72)*$I$2/(1+EXP($I$3*(COUNT($H$9:AC$9)+$I$4))),TREND($D72:$E72,$D$9:$E$9,AC$9))</f>
        <v>0</v>
      </c>
      <c r="AD72">
        <f>IF($F72="s-curve",$D72+($E72-$D72)*$I$2/(1+EXP($I$3*(COUNT($H$9:AD$9)+$I$4))),TREND($D72:$E72,$D$9:$E$9,AD$9))</f>
        <v>0</v>
      </c>
      <c r="AE72">
        <f>IF($F72="s-curve",$D72+($E72-$D72)*$I$2/(1+EXP($I$3*(COUNT($H$9:AE$9)+$I$4))),TREND($D72:$E72,$D$9:$E$9,AE$9))</f>
        <v>0</v>
      </c>
      <c r="AF72">
        <f>IF($F72="s-curve",$D72+($E72-$D72)*$I$2/(1+EXP($I$3*(COUNT($H$9:AF$9)+$I$4))),TREND($D72:$E72,$D$9:$E$9,AF$9))</f>
        <v>0</v>
      </c>
      <c r="AG72">
        <f>IF($F72="s-curve",$D72+($E72-$D72)*$I$2/(1+EXP($I$3*(COUNT($H$9:AG$9)+$I$4))),TREND($D72:$E72,$D$9:$E$9,AG$9))</f>
        <v>0</v>
      </c>
      <c r="AH72">
        <f>IF($F72="s-curve",$D72+($E72-$D72)*$I$2/(1+EXP($I$3*(COUNT($H$9:AH$9)+$I$4))),TREND($D72:$E72,$D$9:$E$9,AH$9))</f>
        <v>0</v>
      </c>
      <c r="AI72">
        <f>IF($F72="s-curve",$D72+($E72-$D72)*$I$2/(1+EXP($I$3*(COUNT($H$9:AI$9)+$I$4))),TREND($D72:$E72,$D$9:$E$9,AI$9))</f>
        <v>0</v>
      </c>
      <c r="AJ72">
        <f>IF($F72="s-curve",$D72+($E72-$D72)*$I$2/(1+EXP($I$3*(COUNT($H$9:AJ$9)+$I$4))),TREND($D72:$E72,$D$9:$E$9,AJ$9))</f>
        <v>0</v>
      </c>
      <c r="AK72">
        <f>IF($F72="s-curve",$D72+($E72-$D72)*$I$2/(1+EXP($I$3*(COUNT($H$9:AK$9)+$I$4))),TREND($D72:$E72,$D$9:$E$9,AK$9))</f>
        <v>0</v>
      </c>
      <c r="AL72">
        <f>IF($F72="s-curve",$D72+($E72-$D72)*$I$2/(1+EXP($I$3*(COUNT($H$9:AL$9)+$I$4))),TREND($D72:$E72,$D$9:$E$9,AL$9))</f>
        <v>0</v>
      </c>
    </row>
    <row r="73" spans="1:38">
      <c r="A73" t="s">
        <v>16</v>
      </c>
      <c r="B73" t="s">
        <v>18</v>
      </c>
      <c r="C73" t="s">
        <v>1</v>
      </c>
      <c r="D73">
        <f>MIN(1.25*INDEX('SYVbT-freight'!$B$6:$H$6,MATCH(Data!$C10,'SYVbT-passenger'!$B$1:$H$1,0))/SUM('SYVbT-freight'!$B$6:$H$6),1)</f>
        <v>0</v>
      </c>
      <c r="E73">
        <f>D73</f>
        <v>0</v>
      </c>
      <c r="F73" s="6" t="str">
        <f>IF(D73=E73,"n/a",IF(OR(C73="battery electric vehicle",C73="natural gas vehicle",C73="plugin hybrid vehicle"),"s-curve","linear"))</f>
        <v>n/a</v>
      </c>
      <c r="H73" s="20">
        <f t="shared" ref="H73:H93" si="30">D73</f>
        <v>0</v>
      </c>
      <c r="I73">
        <f>IF($F73="s-curve",$D73+($E73-$D73)*$I$2/(1+EXP($I$3*(COUNT($H$9:I$9)+$I$4))),TREND($D73:$E73,$D$9:$E$9,I$9))</f>
        <v>0</v>
      </c>
      <c r="J73">
        <f>IF($F73="s-curve",$D73+($E73-$D73)*$I$2/(1+EXP($I$3*(COUNT($H$9:J$9)+$I$4))),TREND($D73:$E73,$D$9:$E$9,J$9))</f>
        <v>0</v>
      </c>
      <c r="K73">
        <f>IF($F73="s-curve",$D73+($E73-$D73)*$I$2/(1+EXP($I$3*(COUNT($H$9:K$9)+$I$4))),TREND($D73:$E73,$D$9:$E$9,K$9))</f>
        <v>0</v>
      </c>
      <c r="L73">
        <f>IF($F73="s-curve",$D73+($E73-$D73)*$I$2/(1+EXP($I$3*(COUNT($H$9:L$9)+$I$4))),TREND($D73:$E73,$D$9:$E$9,L$9))</f>
        <v>0</v>
      </c>
      <c r="M73">
        <f>IF($F73="s-curve",$D73+($E73-$D73)*$I$2/(1+EXP($I$3*(COUNT($H$9:M$9)+$I$4))),TREND($D73:$E73,$D$9:$E$9,M$9))</f>
        <v>0</v>
      </c>
      <c r="N73">
        <f>IF($F73="s-curve",$D73+($E73-$D73)*$I$2/(1+EXP($I$3*(COUNT($H$9:N$9)+$I$4))),TREND($D73:$E73,$D$9:$E$9,N$9))</f>
        <v>0</v>
      </c>
      <c r="O73">
        <f>IF($F73="s-curve",$D73+($E73-$D73)*$I$2/(1+EXP($I$3*(COUNT($H$9:O$9)+$I$4))),TREND($D73:$E73,$D$9:$E$9,O$9))</f>
        <v>0</v>
      </c>
      <c r="P73">
        <f>IF($F73="s-curve",$D73+($E73-$D73)*$I$2/(1+EXP($I$3*(COUNT($H$9:P$9)+$I$4))),TREND($D73:$E73,$D$9:$E$9,P$9))</f>
        <v>0</v>
      </c>
      <c r="Q73">
        <f>IF($F73="s-curve",$D73+($E73-$D73)*$I$2/(1+EXP($I$3*(COUNT($H$9:Q$9)+$I$4))),TREND($D73:$E73,$D$9:$E$9,Q$9))</f>
        <v>0</v>
      </c>
      <c r="R73">
        <f>IF($F73="s-curve",$D73+($E73-$D73)*$I$2/(1+EXP($I$3*(COUNT($H$9:R$9)+$I$4))),TREND($D73:$E73,$D$9:$E$9,R$9))</f>
        <v>0</v>
      </c>
      <c r="S73">
        <f>IF($F73="s-curve",$D73+($E73-$D73)*$I$2/(1+EXP($I$3*(COUNT($H$9:S$9)+$I$4))),TREND($D73:$E73,$D$9:$E$9,S$9))</f>
        <v>0</v>
      </c>
      <c r="T73">
        <f>IF($F73="s-curve",$D73+($E73-$D73)*$I$2/(1+EXP($I$3*(COUNT($H$9:T$9)+$I$4))),TREND($D73:$E73,$D$9:$E$9,T$9))</f>
        <v>0</v>
      </c>
      <c r="U73">
        <f>IF($F73="s-curve",$D73+($E73-$D73)*$I$2/(1+EXP($I$3*(COUNT($H$9:U$9)+$I$4))),TREND($D73:$E73,$D$9:$E$9,U$9))</f>
        <v>0</v>
      </c>
      <c r="V73">
        <f>IF($F73="s-curve",$D73+($E73-$D73)*$I$2/(1+EXP($I$3*(COUNT($H$9:V$9)+$I$4))),TREND($D73:$E73,$D$9:$E$9,V$9))</f>
        <v>0</v>
      </c>
      <c r="W73">
        <f>IF($F73="s-curve",$D73+($E73-$D73)*$I$2/(1+EXP($I$3*(COUNT($H$9:W$9)+$I$4))),TREND($D73:$E73,$D$9:$E$9,W$9))</f>
        <v>0</v>
      </c>
      <c r="X73">
        <f>IF($F73="s-curve",$D73+($E73-$D73)*$I$2/(1+EXP($I$3*(COUNT($H$9:X$9)+$I$4))),TREND($D73:$E73,$D$9:$E$9,X$9))</f>
        <v>0</v>
      </c>
      <c r="Y73">
        <f>IF($F73="s-curve",$D73+($E73-$D73)*$I$2/(1+EXP($I$3*(COUNT($H$9:Y$9)+$I$4))),TREND($D73:$E73,$D$9:$E$9,Y$9))</f>
        <v>0</v>
      </c>
      <c r="Z73">
        <f>IF($F73="s-curve",$D73+($E73-$D73)*$I$2/(1+EXP($I$3*(COUNT($H$9:Z$9)+$I$4))),TREND($D73:$E73,$D$9:$E$9,Z$9))</f>
        <v>0</v>
      </c>
      <c r="AA73">
        <f>IF($F73="s-curve",$D73+($E73-$D73)*$I$2/(1+EXP($I$3*(COUNT($H$9:AA$9)+$I$4))),TREND($D73:$E73,$D$9:$E$9,AA$9))</f>
        <v>0</v>
      </c>
      <c r="AB73">
        <f>IF($F73="s-curve",$D73+($E73-$D73)*$I$2/(1+EXP($I$3*(COUNT($H$9:AB$9)+$I$4))),TREND($D73:$E73,$D$9:$E$9,AB$9))</f>
        <v>0</v>
      </c>
      <c r="AC73">
        <f>IF($F73="s-curve",$D73+($E73-$D73)*$I$2/(1+EXP($I$3*(COUNT($H$9:AC$9)+$I$4))),TREND($D73:$E73,$D$9:$E$9,AC$9))</f>
        <v>0</v>
      </c>
      <c r="AD73">
        <f>IF($F73="s-curve",$D73+($E73-$D73)*$I$2/(1+EXP($I$3*(COUNT($H$9:AD$9)+$I$4))),TREND($D73:$E73,$D$9:$E$9,AD$9))</f>
        <v>0</v>
      </c>
      <c r="AE73">
        <f>IF($F73="s-curve",$D73+($E73-$D73)*$I$2/(1+EXP($I$3*(COUNT($H$9:AE$9)+$I$4))),TREND($D73:$E73,$D$9:$E$9,AE$9))</f>
        <v>0</v>
      </c>
      <c r="AF73">
        <f>IF($F73="s-curve",$D73+($E73-$D73)*$I$2/(1+EXP($I$3*(COUNT($H$9:AF$9)+$I$4))),TREND($D73:$E73,$D$9:$E$9,AF$9))</f>
        <v>0</v>
      </c>
      <c r="AG73">
        <f>IF($F73="s-curve",$D73+($E73-$D73)*$I$2/(1+EXP($I$3*(COUNT($H$9:AG$9)+$I$4))),TREND($D73:$E73,$D$9:$E$9,AG$9))</f>
        <v>0</v>
      </c>
      <c r="AH73">
        <f>IF($F73="s-curve",$D73+($E73-$D73)*$I$2/(1+EXP($I$3*(COUNT($H$9:AH$9)+$I$4))),TREND($D73:$E73,$D$9:$E$9,AH$9))</f>
        <v>0</v>
      </c>
      <c r="AI73">
        <f>IF($F73="s-curve",$D73+($E73-$D73)*$I$2/(1+EXP($I$3*(COUNT($H$9:AI$9)+$I$4))),TREND($D73:$E73,$D$9:$E$9,AI$9))</f>
        <v>0</v>
      </c>
      <c r="AJ73">
        <f>IF($F73="s-curve",$D73+($E73-$D73)*$I$2/(1+EXP($I$3*(COUNT($H$9:AJ$9)+$I$4))),TREND($D73:$E73,$D$9:$E$9,AJ$9))</f>
        <v>0</v>
      </c>
      <c r="AK73">
        <f>IF($F73="s-curve",$D73+($E73-$D73)*$I$2/(1+EXP($I$3*(COUNT($H$9:AK$9)+$I$4))),TREND($D73:$E73,$D$9:$E$9,AK$9))</f>
        <v>0</v>
      </c>
      <c r="AL73">
        <f>IF($F73="s-curve",$D73+($E73-$D73)*$I$2/(1+EXP($I$3*(COUNT($H$9:AL$9)+$I$4))),TREND($D73:$E73,$D$9:$E$9,AL$9))</f>
        <v>0</v>
      </c>
    </row>
    <row r="74" spans="1:38">
      <c r="C74" t="s">
        <v>2</v>
      </c>
      <c r="D74">
        <f>MIN(1.25*INDEX('SYVbT-freight'!$B$6:$H$6,MATCH(Data!$C11,'SYVbT-passenger'!$B$1:$H$1,0))/SUM('SYVbT-freight'!$B$6:$H$6),1)</f>
        <v>0</v>
      </c>
      <c r="E74">
        <f t="shared" ref="E74:E79" si="31">D74</f>
        <v>0</v>
      </c>
      <c r="F74" s="6" t="str">
        <f>IF(D74=E74,"n/a",IF(OR(C74="battery electric vehicle",C74="natural gas vehicle",C74="plugin hybrid vehicle"),"s-curve","linear"))</f>
        <v>n/a</v>
      </c>
      <c r="H74" s="20">
        <f t="shared" si="30"/>
        <v>0</v>
      </c>
      <c r="I74">
        <f>IF($F74="s-curve",$D74+($E74-$D74)*$I$2/(1+EXP($I$3*(COUNT($H$9:I$9)+$I$4))),TREND($D74:$E74,$D$9:$E$9,I$9))</f>
        <v>0</v>
      </c>
      <c r="J74">
        <f>IF($F74="s-curve",$D74+($E74-$D74)*$I$2/(1+EXP($I$3*(COUNT($H$9:J$9)+$I$4))),TREND($D74:$E74,$D$9:$E$9,J$9))</f>
        <v>0</v>
      </c>
      <c r="K74">
        <f>IF($F74="s-curve",$D74+($E74-$D74)*$I$2/(1+EXP($I$3*(COUNT($H$9:K$9)+$I$4))),TREND($D74:$E74,$D$9:$E$9,K$9))</f>
        <v>0</v>
      </c>
      <c r="L74">
        <f>IF($F74="s-curve",$D74+($E74-$D74)*$I$2/(1+EXP($I$3*(COUNT($H$9:L$9)+$I$4))),TREND($D74:$E74,$D$9:$E$9,L$9))</f>
        <v>0</v>
      </c>
      <c r="M74">
        <f>IF($F74="s-curve",$D74+($E74-$D74)*$I$2/(1+EXP($I$3*(COUNT($H$9:M$9)+$I$4))),TREND($D74:$E74,$D$9:$E$9,M$9))</f>
        <v>0</v>
      </c>
      <c r="N74">
        <f>IF($F74="s-curve",$D74+($E74-$D74)*$I$2/(1+EXP($I$3*(COUNT($H$9:N$9)+$I$4))),TREND($D74:$E74,$D$9:$E$9,N$9))</f>
        <v>0</v>
      </c>
      <c r="O74">
        <f>IF($F74="s-curve",$D74+($E74-$D74)*$I$2/(1+EXP($I$3*(COUNT($H$9:O$9)+$I$4))),TREND($D74:$E74,$D$9:$E$9,O$9))</f>
        <v>0</v>
      </c>
      <c r="P74">
        <f>IF($F74="s-curve",$D74+($E74-$D74)*$I$2/(1+EXP($I$3*(COUNT($H$9:P$9)+$I$4))),TREND($D74:$E74,$D$9:$E$9,P$9))</f>
        <v>0</v>
      </c>
      <c r="Q74">
        <f>IF($F74="s-curve",$D74+($E74-$D74)*$I$2/(1+EXP($I$3*(COUNT($H$9:Q$9)+$I$4))),TREND($D74:$E74,$D$9:$E$9,Q$9))</f>
        <v>0</v>
      </c>
      <c r="R74">
        <f>IF($F74="s-curve",$D74+($E74-$D74)*$I$2/(1+EXP($I$3*(COUNT($H$9:R$9)+$I$4))),TREND($D74:$E74,$D$9:$E$9,R$9))</f>
        <v>0</v>
      </c>
      <c r="S74">
        <f>IF($F74="s-curve",$D74+($E74-$D74)*$I$2/(1+EXP($I$3*(COUNT($H$9:S$9)+$I$4))),TREND($D74:$E74,$D$9:$E$9,S$9))</f>
        <v>0</v>
      </c>
      <c r="T74">
        <f>IF($F74="s-curve",$D74+($E74-$D74)*$I$2/(1+EXP($I$3*(COUNT($H$9:T$9)+$I$4))),TREND($D74:$E74,$D$9:$E$9,T$9))</f>
        <v>0</v>
      </c>
      <c r="U74">
        <f>IF($F74="s-curve",$D74+($E74-$D74)*$I$2/(1+EXP($I$3*(COUNT($H$9:U$9)+$I$4))),TREND($D74:$E74,$D$9:$E$9,U$9))</f>
        <v>0</v>
      </c>
      <c r="V74">
        <f>IF($F74="s-curve",$D74+($E74-$D74)*$I$2/(1+EXP($I$3*(COUNT($H$9:V$9)+$I$4))),TREND($D74:$E74,$D$9:$E$9,V$9))</f>
        <v>0</v>
      </c>
      <c r="W74">
        <f>IF($F74="s-curve",$D74+($E74-$D74)*$I$2/(1+EXP($I$3*(COUNT($H$9:W$9)+$I$4))),TREND($D74:$E74,$D$9:$E$9,W$9))</f>
        <v>0</v>
      </c>
      <c r="X74">
        <f>IF($F74="s-curve",$D74+($E74-$D74)*$I$2/(1+EXP($I$3*(COUNT($H$9:X$9)+$I$4))),TREND($D74:$E74,$D$9:$E$9,X$9))</f>
        <v>0</v>
      </c>
      <c r="Y74">
        <f>IF($F74="s-curve",$D74+($E74-$D74)*$I$2/(1+EXP($I$3*(COUNT($H$9:Y$9)+$I$4))),TREND($D74:$E74,$D$9:$E$9,Y$9))</f>
        <v>0</v>
      </c>
      <c r="Z74">
        <f>IF($F74="s-curve",$D74+($E74-$D74)*$I$2/(1+EXP($I$3*(COUNT($H$9:Z$9)+$I$4))),TREND($D74:$E74,$D$9:$E$9,Z$9))</f>
        <v>0</v>
      </c>
      <c r="AA74">
        <f>IF($F74="s-curve",$D74+($E74-$D74)*$I$2/(1+EXP($I$3*(COUNT($H$9:AA$9)+$I$4))),TREND($D74:$E74,$D$9:$E$9,AA$9))</f>
        <v>0</v>
      </c>
      <c r="AB74">
        <f>IF($F74="s-curve",$D74+($E74-$D74)*$I$2/(1+EXP($I$3*(COUNT($H$9:AB$9)+$I$4))),TREND($D74:$E74,$D$9:$E$9,AB$9))</f>
        <v>0</v>
      </c>
      <c r="AC74">
        <f>IF($F74="s-curve",$D74+($E74-$D74)*$I$2/(1+EXP($I$3*(COUNT($H$9:AC$9)+$I$4))),TREND($D74:$E74,$D$9:$E$9,AC$9))</f>
        <v>0</v>
      </c>
      <c r="AD74">
        <f>IF($F74="s-curve",$D74+($E74-$D74)*$I$2/(1+EXP($I$3*(COUNT($H$9:AD$9)+$I$4))),TREND($D74:$E74,$D$9:$E$9,AD$9))</f>
        <v>0</v>
      </c>
      <c r="AE74">
        <f>IF($F74="s-curve",$D74+($E74-$D74)*$I$2/(1+EXP($I$3*(COUNT($H$9:AE$9)+$I$4))),TREND($D74:$E74,$D$9:$E$9,AE$9))</f>
        <v>0</v>
      </c>
      <c r="AF74">
        <f>IF($F74="s-curve",$D74+($E74-$D74)*$I$2/(1+EXP($I$3*(COUNT($H$9:AF$9)+$I$4))),TREND($D74:$E74,$D$9:$E$9,AF$9))</f>
        <v>0</v>
      </c>
      <c r="AG74">
        <f>IF($F74="s-curve",$D74+($E74-$D74)*$I$2/(1+EXP($I$3*(COUNT($H$9:AG$9)+$I$4))),TREND($D74:$E74,$D$9:$E$9,AG$9))</f>
        <v>0</v>
      </c>
      <c r="AH74">
        <f>IF($F74="s-curve",$D74+($E74-$D74)*$I$2/(1+EXP($I$3*(COUNT($H$9:AH$9)+$I$4))),TREND($D74:$E74,$D$9:$E$9,AH$9))</f>
        <v>0</v>
      </c>
      <c r="AI74">
        <f>IF($F74="s-curve",$D74+($E74-$D74)*$I$2/(1+EXP($I$3*(COUNT($H$9:AI$9)+$I$4))),TREND($D74:$E74,$D$9:$E$9,AI$9))</f>
        <v>0</v>
      </c>
      <c r="AJ74">
        <f>IF($F74="s-curve",$D74+($E74-$D74)*$I$2/(1+EXP($I$3*(COUNT($H$9:AJ$9)+$I$4))),TREND($D74:$E74,$D$9:$E$9,AJ$9))</f>
        <v>0</v>
      </c>
      <c r="AK74">
        <f>IF($F74="s-curve",$D74+($E74-$D74)*$I$2/(1+EXP($I$3*(COUNT($H$9:AK$9)+$I$4))),TREND($D74:$E74,$D$9:$E$9,AK$9))</f>
        <v>0</v>
      </c>
      <c r="AL74">
        <f>IF($F74="s-curve",$D74+($E74-$D74)*$I$2/(1+EXP($I$3*(COUNT($H$9:AL$9)+$I$4))),TREND($D74:$E74,$D$9:$E$9,AL$9))</f>
        <v>0</v>
      </c>
    </row>
    <row r="75" spans="1:38">
      <c r="C75" t="s">
        <v>3</v>
      </c>
      <c r="D75">
        <f>MIN(1.25*INDEX('SYVbT-freight'!$B$6:$H$6,MATCH(Data!$C12,'SYVbT-passenger'!$B$1:$H$1,0))/SUM('SYVbT-freight'!$B$6:$H$6),1)</f>
        <v>4.1666444445629626E-3</v>
      </c>
      <c r="E75">
        <f t="shared" si="31"/>
        <v>4.1666444445629626E-3</v>
      </c>
      <c r="F75" s="6" t="str">
        <f>IF(D75=E75,"n/a",IF(OR(C75="battery electric vehicle",C75="natural gas vehicle",C75="plugin hybrid vehicle"),"s-curve","linear"))</f>
        <v>n/a</v>
      </c>
      <c r="H75" s="20">
        <f t="shared" si="30"/>
        <v>4.1666444445629626E-3</v>
      </c>
      <c r="I75">
        <f>IF($F75="s-curve",$D75+($E75-$D75)*$I$2/(1+EXP($I$3*(COUNT($H$9:I$9)+$I$4))),TREND($D75:$E75,$D$9:$E$9,I$9))</f>
        <v>4.1666444445629626E-3</v>
      </c>
      <c r="J75">
        <f>IF($F75="s-curve",$D75+($E75-$D75)*$I$2/(1+EXP($I$3*(COUNT($H$9:J$9)+$I$4))),TREND($D75:$E75,$D$9:$E$9,J$9))</f>
        <v>4.1666444445629626E-3</v>
      </c>
      <c r="K75">
        <f>IF($F75="s-curve",$D75+($E75-$D75)*$I$2/(1+EXP($I$3*(COUNT($H$9:K$9)+$I$4))),TREND($D75:$E75,$D$9:$E$9,K$9))</f>
        <v>4.1666444445629626E-3</v>
      </c>
      <c r="L75">
        <f>IF($F75="s-curve",$D75+($E75-$D75)*$I$2/(1+EXP($I$3*(COUNT($H$9:L$9)+$I$4))),TREND($D75:$E75,$D$9:$E$9,L$9))</f>
        <v>4.1666444445629626E-3</v>
      </c>
      <c r="M75">
        <f>IF($F75="s-curve",$D75+($E75-$D75)*$I$2/(1+EXP($I$3*(COUNT($H$9:M$9)+$I$4))),TREND($D75:$E75,$D$9:$E$9,M$9))</f>
        <v>4.1666444445629626E-3</v>
      </c>
      <c r="N75">
        <f>IF($F75="s-curve",$D75+($E75-$D75)*$I$2/(1+EXP($I$3*(COUNT($H$9:N$9)+$I$4))),TREND($D75:$E75,$D$9:$E$9,N$9))</f>
        <v>4.1666444445629626E-3</v>
      </c>
      <c r="O75">
        <f>IF($F75="s-curve",$D75+($E75-$D75)*$I$2/(1+EXP($I$3*(COUNT($H$9:O$9)+$I$4))),TREND($D75:$E75,$D$9:$E$9,O$9))</f>
        <v>4.1666444445629626E-3</v>
      </c>
      <c r="P75">
        <f>IF($F75="s-curve",$D75+($E75-$D75)*$I$2/(1+EXP($I$3*(COUNT($H$9:P$9)+$I$4))),TREND($D75:$E75,$D$9:$E$9,P$9))</f>
        <v>4.1666444445629626E-3</v>
      </c>
      <c r="Q75">
        <f>IF($F75="s-curve",$D75+($E75-$D75)*$I$2/(1+EXP($I$3*(COUNT($H$9:Q$9)+$I$4))),TREND($D75:$E75,$D$9:$E$9,Q$9))</f>
        <v>4.1666444445629626E-3</v>
      </c>
      <c r="R75">
        <f>IF($F75="s-curve",$D75+($E75-$D75)*$I$2/(1+EXP($I$3*(COUNT($H$9:R$9)+$I$4))),TREND($D75:$E75,$D$9:$E$9,R$9))</f>
        <v>4.1666444445629626E-3</v>
      </c>
      <c r="S75">
        <f>IF($F75="s-curve",$D75+($E75-$D75)*$I$2/(1+EXP($I$3*(COUNT($H$9:S$9)+$I$4))),TREND($D75:$E75,$D$9:$E$9,S$9))</f>
        <v>4.1666444445629626E-3</v>
      </c>
      <c r="T75">
        <f>IF($F75="s-curve",$D75+($E75-$D75)*$I$2/(1+EXP($I$3*(COUNT($H$9:T$9)+$I$4))),TREND($D75:$E75,$D$9:$E$9,T$9))</f>
        <v>4.1666444445629626E-3</v>
      </c>
      <c r="U75">
        <f>IF($F75="s-curve",$D75+($E75-$D75)*$I$2/(1+EXP($I$3*(COUNT($H$9:U$9)+$I$4))),TREND($D75:$E75,$D$9:$E$9,U$9))</f>
        <v>4.1666444445629626E-3</v>
      </c>
      <c r="V75">
        <f>IF($F75="s-curve",$D75+($E75-$D75)*$I$2/(1+EXP($I$3*(COUNT($H$9:V$9)+$I$4))),TREND($D75:$E75,$D$9:$E$9,V$9))</f>
        <v>4.1666444445629626E-3</v>
      </c>
      <c r="W75">
        <f>IF($F75="s-curve",$D75+($E75-$D75)*$I$2/(1+EXP($I$3*(COUNT($H$9:W$9)+$I$4))),TREND($D75:$E75,$D$9:$E$9,W$9))</f>
        <v>4.1666444445629626E-3</v>
      </c>
      <c r="X75">
        <f>IF($F75="s-curve",$D75+($E75-$D75)*$I$2/(1+EXP($I$3*(COUNT($H$9:X$9)+$I$4))),TREND($D75:$E75,$D$9:$E$9,X$9))</f>
        <v>4.1666444445629626E-3</v>
      </c>
      <c r="Y75">
        <f>IF($F75="s-curve",$D75+($E75-$D75)*$I$2/(1+EXP($I$3*(COUNT($H$9:Y$9)+$I$4))),TREND($D75:$E75,$D$9:$E$9,Y$9))</f>
        <v>4.1666444445629626E-3</v>
      </c>
      <c r="Z75">
        <f>IF($F75="s-curve",$D75+($E75-$D75)*$I$2/(1+EXP($I$3*(COUNT($H$9:Z$9)+$I$4))),TREND($D75:$E75,$D$9:$E$9,Z$9))</f>
        <v>4.1666444445629626E-3</v>
      </c>
      <c r="AA75">
        <f>IF($F75="s-curve",$D75+($E75-$D75)*$I$2/(1+EXP($I$3*(COUNT($H$9:AA$9)+$I$4))),TREND($D75:$E75,$D$9:$E$9,AA$9))</f>
        <v>4.1666444445629626E-3</v>
      </c>
      <c r="AB75">
        <f>IF($F75="s-curve",$D75+($E75-$D75)*$I$2/(1+EXP($I$3*(COUNT($H$9:AB$9)+$I$4))),TREND($D75:$E75,$D$9:$E$9,AB$9))</f>
        <v>4.1666444445629626E-3</v>
      </c>
      <c r="AC75">
        <f>IF($F75="s-curve",$D75+($E75-$D75)*$I$2/(1+EXP($I$3*(COUNT($H$9:AC$9)+$I$4))),TREND($D75:$E75,$D$9:$E$9,AC$9))</f>
        <v>4.1666444445629626E-3</v>
      </c>
      <c r="AD75">
        <f>IF($F75="s-curve",$D75+($E75-$D75)*$I$2/(1+EXP($I$3*(COUNT($H$9:AD$9)+$I$4))),TREND($D75:$E75,$D$9:$E$9,AD$9))</f>
        <v>4.1666444445629626E-3</v>
      </c>
      <c r="AE75">
        <f>IF($F75="s-curve",$D75+($E75-$D75)*$I$2/(1+EXP($I$3*(COUNT($H$9:AE$9)+$I$4))),TREND($D75:$E75,$D$9:$E$9,AE$9))</f>
        <v>4.1666444445629626E-3</v>
      </c>
      <c r="AF75">
        <f>IF($F75="s-curve",$D75+($E75-$D75)*$I$2/(1+EXP($I$3*(COUNT($H$9:AF$9)+$I$4))),TREND($D75:$E75,$D$9:$E$9,AF$9))</f>
        <v>4.1666444445629626E-3</v>
      </c>
      <c r="AG75">
        <f>IF($F75="s-curve",$D75+($E75-$D75)*$I$2/(1+EXP($I$3*(COUNT($H$9:AG$9)+$I$4))),TREND($D75:$E75,$D$9:$E$9,AG$9))</f>
        <v>4.1666444445629626E-3</v>
      </c>
      <c r="AH75">
        <f>IF($F75="s-curve",$D75+($E75-$D75)*$I$2/(1+EXP($I$3*(COUNT($H$9:AH$9)+$I$4))),TREND($D75:$E75,$D$9:$E$9,AH$9))</f>
        <v>4.1666444445629626E-3</v>
      </c>
      <c r="AI75">
        <f>IF($F75="s-curve",$D75+($E75-$D75)*$I$2/(1+EXP($I$3*(COUNT($H$9:AI$9)+$I$4))),TREND($D75:$E75,$D$9:$E$9,AI$9))</f>
        <v>4.1666444445629626E-3</v>
      </c>
      <c r="AJ75">
        <f>IF($F75="s-curve",$D75+($E75-$D75)*$I$2/(1+EXP($I$3*(COUNT($H$9:AJ$9)+$I$4))),TREND($D75:$E75,$D$9:$E$9,AJ$9))</f>
        <v>4.1666444445629626E-3</v>
      </c>
      <c r="AK75">
        <f>IF($F75="s-curve",$D75+($E75-$D75)*$I$2/(1+EXP($I$3*(COUNT($H$9:AK$9)+$I$4))),TREND($D75:$E75,$D$9:$E$9,AK$9))</f>
        <v>4.1666444445629626E-3</v>
      </c>
      <c r="AL75">
        <f>IF($F75="s-curve",$D75+($E75-$D75)*$I$2/(1+EXP($I$3*(COUNT($H$9:AL$9)+$I$4))),TREND($D75:$E75,$D$9:$E$9,AL$9))</f>
        <v>4.1666444445629626E-3</v>
      </c>
    </row>
    <row r="76" spans="1:38">
      <c r="C76" t="s">
        <v>4</v>
      </c>
      <c r="D76">
        <f>MIN(1.25*INDEX('SYVbT-freight'!$B$6:$H$6,MATCH(Data!$C13,'SYVbT-passenger'!$B$1:$H$1,0))/SUM('SYVbT-freight'!$B$6:$H$6),1)</f>
        <v>1</v>
      </c>
      <c r="E76">
        <f t="shared" si="31"/>
        <v>1</v>
      </c>
      <c r="F76" s="6" t="str">
        <f>IF(D76=E76,"n/a",IF(OR(C76="battery electric vehicle",C76="natural gas vehicle",C76="plugin hybrid vehicle"),"s-curve","linear"))</f>
        <v>n/a</v>
      </c>
      <c r="H76" s="20">
        <f t="shared" si="30"/>
        <v>1</v>
      </c>
      <c r="I76">
        <f>IF($F76="s-curve",$D76+($E76-$D76)*$I$2/(1+EXP($I$3*(COUNT($H$9:I$9)+$I$4))),TREND($D76:$E76,$D$9:$E$9,I$9))</f>
        <v>1</v>
      </c>
      <c r="J76">
        <f>IF($F76="s-curve",$D76+($E76-$D76)*$I$2/(1+EXP($I$3*(COUNT($H$9:J$9)+$I$4))),TREND($D76:$E76,$D$9:$E$9,J$9))</f>
        <v>1</v>
      </c>
      <c r="K76">
        <f>IF($F76="s-curve",$D76+($E76-$D76)*$I$2/(1+EXP($I$3*(COUNT($H$9:K$9)+$I$4))),TREND($D76:$E76,$D$9:$E$9,K$9))</f>
        <v>1</v>
      </c>
      <c r="L76">
        <f>IF($F76="s-curve",$D76+($E76-$D76)*$I$2/(1+EXP($I$3*(COUNT($H$9:L$9)+$I$4))),TREND($D76:$E76,$D$9:$E$9,L$9))</f>
        <v>1</v>
      </c>
      <c r="M76">
        <f>IF($F76="s-curve",$D76+($E76-$D76)*$I$2/(1+EXP($I$3*(COUNT($H$9:M$9)+$I$4))),TREND($D76:$E76,$D$9:$E$9,M$9))</f>
        <v>1</v>
      </c>
      <c r="N76">
        <f>IF($F76="s-curve",$D76+($E76-$D76)*$I$2/(1+EXP($I$3*(COUNT($H$9:N$9)+$I$4))),TREND($D76:$E76,$D$9:$E$9,N$9))</f>
        <v>1</v>
      </c>
      <c r="O76">
        <f>IF($F76="s-curve",$D76+($E76-$D76)*$I$2/(1+EXP($I$3*(COUNT($H$9:O$9)+$I$4))),TREND($D76:$E76,$D$9:$E$9,O$9))</f>
        <v>1</v>
      </c>
      <c r="P76">
        <f>IF($F76="s-curve",$D76+($E76-$D76)*$I$2/(1+EXP($I$3*(COUNT($H$9:P$9)+$I$4))),TREND($D76:$E76,$D$9:$E$9,P$9))</f>
        <v>1</v>
      </c>
      <c r="Q76">
        <f>IF($F76="s-curve",$D76+($E76-$D76)*$I$2/(1+EXP($I$3*(COUNT($H$9:Q$9)+$I$4))),TREND($D76:$E76,$D$9:$E$9,Q$9))</f>
        <v>1</v>
      </c>
      <c r="R76">
        <f>IF($F76="s-curve",$D76+($E76-$D76)*$I$2/(1+EXP($I$3*(COUNT($H$9:R$9)+$I$4))),TREND($D76:$E76,$D$9:$E$9,R$9))</f>
        <v>1</v>
      </c>
      <c r="S76">
        <f>IF($F76="s-curve",$D76+($E76-$D76)*$I$2/(1+EXP($I$3*(COUNT($H$9:S$9)+$I$4))),TREND($D76:$E76,$D$9:$E$9,S$9))</f>
        <v>1</v>
      </c>
      <c r="T76">
        <f>IF($F76="s-curve",$D76+($E76-$D76)*$I$2/(1+EXP($I$3*(COUNT($H$9:T$9)+$I$4))),TREND($D76:$E76,$D$9:$E$9,T$9))</f>
        <v>1</v>
      </c>
      <c r="U76">
        <f>IF($F76="s-curve",$D76+($E76-$D76)*$I$2/(1+EXP($I$3*(COUNT($H$9:U$9)+$I$4))),TREND($D76:$E76,$D$9:$E$9,U$9))</f>
        <v>1</v>
      </c>
      <c r="V76">
        <f>IF($F76="s-curve",$D76+($E76-$D76)*$I$2/(1+EXP($I$3*(COUNT($H$9:V$9)+$I$4))),TREND($D76:$E76,$D$9:$E$9,V$9))</f>
        <v>1</v>
      </c>
      <c r="W76">
        <f>IF($F76="s-curve",$D76+($E76-$D76)*$I$2/(1+EXP($I$3*(COUNT($H$9:W$9)+$I$4))),TREND($D76:$E76,$D$9:$E$9,W$9))</f>
        <v>1</v>
      </c>
      <c r="X76">
        <f>IF($F76="s-curve",$D76+($E76-$D76)*$I$2/(1+EXP($I$3*(COUNT($H$9:X$9)+$I$4))),TREND($D76:$E76,$D$9:$E$9,X$9))</f>
        <v>1</v>
      </c>
      <c r="Y76">
        <f>IF($F76="s-curve",$D76+($E76-$D76)*$I$2/(1+EXP($I$3*(COUNT($H$9:Y$9)+$I$4))),TREND($D76:$E76,$D$9:$E$9,Y$9))</f>
        <v>1</v>
      </c>
      <c r="Z76">
        <f>IF($F76="s-curve",$D76+($E76-$D76)*$I$2/(1+EXP($I$3*(COUNT($H$9:Z$9)+$I$4))),TREND($D76:$E76,$D$9:$E$9,Z$9))</f>
        <v>1</v>
      </c>
      <c r="AA76">
        <f>IF($F76="s-curve",$D76+($E76-$D76)*$I$2/(1+EXP($I$3*(COUNT($H$9:AA$9)+$I$4))),TREND($D76:$E76,$D$9:$E$9,AA$9))</f>
        <v>1</v>
      </c>
      <c r="AB76">
        <f>IF($F76="s-curve",$D76+($E76-$D76)*$I$2/(1+EXP($I$3*(COUNT($H$9:AB$9)+$I$4))),TREND($D76:$E76,$D$9:$E$9,AB$9))</f>
        <v>1</v>
      </c>
      <c r="AC76">
        <f>IF($F76="s-curve",$D76+($E76-$D76)*$I$2/(1+EXP($I$3*(COUNT($H$9:AC$9)+$I$4))),TREND($D76:$E76,$D$9:$E$9,AC$9))</f>
        <v>1</v>
      </c>
      <c r="AD76">
        <f>IF($F76="s-curve",$D76+($E76-$D76)*$I$2/(1+EXP($I$3*(COUNT($H$9:AD$9)+$I$4))),TREND($D76:$E76,$D$9:$E$9,AD$9))</f>
        <v>1</v>
      </c>
      <c r="AE76">
        <f>IF($F76="s-curve",$D76+($E76-$D76)*$I$2/(1+EXP($I$3*(COUNT($H$9:AE$9)+$I$4))),TREND($D76:$E76,$D$9:$E$9,AE$9))</f>
        <v>1</v>
      </c>
      <c r="AF76">
        <f>IF($F76="s-curve",$D76+($E76-$D76)*$I$2/(1+EXP($I$3*(COUNT($H$9:AF$9)+$I$4))),TREND($D76:$E76,$D$9:$E$9,AF$9))</f>
        <v>1</v>
      </c>
      <c r="AG76">
        <f>IF($F76="s-curve",$D76+($E76-$D76)*$I$2/(1+EXP($I$3*(COUNT($H$9:AG$9)+$I$4))),TREND($D76:$E76,$D$9:$E$9,AG$9))</f>
        <v>1</v>
      </c>
      <c r="AH76">
        <f>IF($F76="s-curve",$D76+($E76-$D76)*$I$2/(1+EXP($I$3*(COUNT($H$9:AH$9)+$I$4))),TREND($D76:$E76,$D$9:$E$9,AH$9))</f>
        <v>1</v>
      </c>
      <c r="AI76">
        <f>IF($F76="s-curve",$D76+($E76-$D76)*$I$2/(1+EXP($I$3*(COUNT($H$9:AI$9)+$I$4))),TREND($D76:$E76,$D$9:$E$9,AI$9))</f>
        <v>1</v>
      </c>
      <c r="AJ76">
        <f>IF($F76="s-curve",$D76+($E76-$D76)*$I$2/(1+EXP($I$3*(COUNT($H$9:AJ$9)+$I$4))),TREND($D76:$E76,$D$9:$E$9,AJ$9))</f>
        <v>1</v>
      </c>
      <c r="AK76">
        <f>IF($F76="s-curve",$D76+($E76-$D76)*$I$2/(1+EXP($I$3*(COUNT($H$9:AK$9)+$I$4))),TREND($D76:$E76,$D$9:$E$9,AK$9))</f>
        <v>1</v>
      </c>
      <c r="AL76">
        <f>IF($F76="s-curve",$D76+($E76-$D76)*$I$2/(1+EXP($I$3*(COUNT($H$9:AL$9)+$I$4))),TREND($D76:$E76,$D$9:$E$9,AL$9))</f>
        <v>1</v>
      </c>
    </row>
    <row r="77" spans="1:38">
      <c r="C77" t="s">
        <v>5</v>
      </c>
      <c r="D77">
        <f>MIN(1.25*INDEX('SYVbT-freight'!$B$6:$H$6,MATCH(Data!$C14,'SYVbT-passenger'!$B$1:$H$1,0))/SUM('SYVbT-freight'!$B$6:$H$6),1)</f>
        <v>0</v>
      </c>
      <c r="E77">
        <f t="shared" si="31"/>
        <v>0</v>
      </c>
      <c r="F77" s="6" t="str">
        <f>IF(D77=E77,"n/a",IF(OR(C77="battery electric vehicle",C77="natural gas vehicle",C77="plugin hybrid vehicle"),"s-curve","linear"))</f>
        <v>n/a</v>
      </c>
      <c r="H77" s="20">
        <f t="shared" si="30"/>
        <v>0</v>
      </c>
      <c r="I77">
        <f>IF($F77="s-curve",$D77+($E77-$D77)*$I$2/(1+EXP($I$3*(COUNT($H$9:I$9)+$I$4))),TREND($D77:$E77,$D$9:$E$9,I$9))</f>
        <v>0</v>
      </c>
      <c r="J77">
        <f>IF($F77="s-curve",$D77+($E77-$D77)*$I$2/(1+EXP($I$3*(COUNT($H$9:J$9)+$I$4))),TREND($D77:$E77,$D$9:$E$9,J$9))</f>
        <v>0</v>
      </c>
      <c r="K77">
        <f>IF($F77="s-curve",$D77+($E77-$D77)*$I$2/(1+EXP($I$3*(COUNT($H$9:K$9)+$I$4))),TREND($D77:$E77,$D$9:$E$9,K$9))</f>
        <v>0</v>
      </c>
      <c r="L77">
        <f>IF($F77="s-curve",$D77+($E77-$D77)*$I$2/(1+EXP($I$3*(COUNT($H$9:L$9)+$I$4))),TREND($D77:$E77,$D$9:$E$9,L$9))</f>
        <v>0</v>
      </c>
      <c r="M77">
        <f>IF($F77="s-curve",$D77+($E77-$D77)*$I$2/(1+EXP($I$3*(COUNT($H$9:M$9)+$I$4))),TREND($D77:$E77,$D$9:$E$9,M$9))</f>
        <v>0</v>
      </c>
      <c r="N77">
        <f>IF($F77="s-curve",$D77+($E77-$D77)*$I$2/(1+EXP($I$3*(COUNT($H$9:N$9)+$I$4))),TREND($D77:$E77,$D$9:$E$9,N$9))</f>
        <v>0</v>
      </c>
      <c r="O77">
        <f>IF($F77="s-curve",$D77+($E77-$D77)*$I$2/(1+EXP($I$3*(COUNT($H$9:O$9)+$I$4))),TREND($D77:$E77,$D$9:$E$9,O$9))</f>
        <v>0</v>
      </c>
      <c r="P77">
        <f>IF($F77="s-curve",$D77+($E77-$D77)*$I$2/(1+EXP($I$3*(COUNT($H$9:P$9)+$I$4))),TREND($D77:$E77,$D$9:$E$9,P$9))</f>
        <v>0</v>
      </c>
      <c r="Q77">
        <f>IF($F77="s-curve",$D77+($E77-$D77)*$I$2/(1+EXP($I$3*(COUNT($H$9:Q$9)+$I$4))),TREND($D77:$E77,$D$9:$E$9,Q$9))</f>
        <v>0</v>
      </c>
      <c r="R77">
        <f>IF($F77="s-curve",$D77+($E77-$D77)*$I$2/(1+EXP($I$3*(COUNT($H$9:R$9)+$I$4))),TREND($D77:$E77,$D$9:$E$9,R$9))</f>
        <v>0</v>
      </c>
      <c r="S77">
        <f>IF($F77="s-curve",$D77+($E77-$D77)*$I$2/(1+EXP($I$3*(COUNT($H$9:S$9)+$I$4))),TREND($D77:$E77,$D$9:$E$9,S$9))</f>
        <v>0</v>
      </c>
      <c r="T77">
        <f>IF($F77="s-curve",$D77+($E77-$D77)*$I$2/(1+EXP($I$3*(COUNT($H$9:T$9)+$I$4))),TREND($D77:$E77,$D$9:$E$9,T$9))</f>
        <v>0</v>
      </c>
      <c r="U77">
        <f>IF($F77="s-curve",$D77+($E77-$D77)*$I$2/(1+EXP($I$3*(COUNT($H$9:U$9)+$I$4))),TREND($D77:$E77,$D$9:$E$9,U$9))</f>
        <v>0</v>
      </c>
      <c r="V77">
        <f>IF($F77="s-curve",$D77+($E77-$D77)*$I$2/(1+EXP($I$3*(COUNT($H$9:V$9)+$I$4))),TREND($D77:$E77,$D$9:$E$9,V$9))</f>
        <v>0</v>
      </c>
      <c r="W77">
        <f>IF($F77="s-curve",$D77+($E77-$D77)*$I$2/(1+EXP($I$3*(COUNT($H$9:W$9)+$I$4))),TREND($D77:$E77,$D$9:$E$9,W$9))</f>
        <v>0</v>
      </c>
      <c r="X77">
        <f>IF($F77="s-curve",$D77+($E77-$D77)*$I$2/(1+EXP($I$3*(COUNT($H$9:X$9)+$I$4))),TREND($D77:$E77,$D$9:$E$9,X$9))</f>
        <v>0</v>
      </c>
      <c r="Y77">
        <f>IF($F77="s-curve",$D77+($E77-$D77)*$I$2/(1+EXP($I$3*(COUNT($H$9:Y$9)+$I$4))),TREND($D77:$E77,$D$9:$E$9,Y$9))</f>
        <v>0</v>
      </c>
      <c r="Z77">
        <f>IF($F77="s-curve",$D77+($E77-$D77)*$I$2/(1+EXP($I$3*(COUNT($H$9:Z$9)+$I$4))),TREND($D77:$E77,$D$9:$E$9,Z$9))</f>
        <v>0</v>
      </c>
      <c r="AA77">
        <f>IF($F77="s-curve",$D77+($E77-$D77)*$I$2/(1+EXP($I$3*(COUNT($H$9:AA$9)+$I$4))),TREND($D77:$E77,$D$9:$E$9,AA$9))</f>
        <v>0</v>
      </c>
      <c r="AB77">
        <f>IF($F77="s-curve",$D77+($E77-$D77)*$I$2/(1+EXP($I$3*(COUNT($H$9:AB$9)+$I$4))),TREND($D77:$E77,$D$9:$E$9,AB$9))</f>
        <v>0</v>
      </c>
      <c r="AC77">
        <f>IF($F77="s-curve",$D77+($E77-$D77)*$I$2/(1+EXP($I$3*(COUNT($H$9:AC$9)+$I$4))),TREND($D77:$E77,$D$9:$E$9,AC$9))</f>
        <v>0</v>
      </c>
      <c r="AD77">
        <f>IF($F77="s-curve",$D77+($E77-$D77)*$I$2/(1+EXP($I$3*(COUNT($H$9:AD$9)+$I$4))),TREND($D77:$E77,$D$9:$E$9,AD$9))</f>
        <v>0</v>
      </c>
      <c r="AE77">
        <f>IF($F77="s-curve",$D77+($E77-$D77)*$I$2/(1+EXP($I$3*(COUNT($H$9:AE$9)+$I$4))),TREND($D77:$E77,$D$9:$E$9,AE$9))</f>
        <v>0</v>
      </c>
      <c r="AF77">
        <f>IF($F77="s-curve",$D77+($E77-$D77)*$I$2/(1+EXP($I$3*(COUNT($H$9:AF$9)+$I$4))),TREND($D77:$E77,$D$9:$E$9,AF$9))</f>
        <v>0</v>
      </c>
      <c r="AG77">
        <f>IF($F77="s-curve",$D77+($E77-$D77)*$I$2/(1+EXP($I$3*(COUNT($H$9:AG$9)+$I$4))),TREND($D77:$E77,$D$9:$E$9,AG$9))</f>
        <v>0</v>
      </c>
      <c r="AH77">
        <f>IF($F77="s-curve",$D77+($E77-$D77)*$I$2/(1+EXP($I$3*(COUNT($H$9:AH$9)+$I$4))),TREND($D77:$E77,$D$9:$E$9,AH$9))</f>
        <v>0</v>
      </c>
      <c r="AI77">
        <f>IF($F77="s-curve",$D77+($E77-$D77)*$I$2/(1+EXP($I$3*(COUNT($H$9:AI$9)+$I$4))),TREND($D77:$E77,$D$9:$E$9,AI$9))</f>
        <v>0</v>
      </c>
      <c r="AJ77">
        <f>IF($F77="s-curve",$D77+($E77-$D77)*$I$2/(1+EXP($I$3*(COUNT($H$9:AJ$9)+$I$4))),TREND($D77:$E77,$D$9:$E$9,AJ$9))</f>
        <v>0</v>
      </c>
      <c r="AK77">
        <f>IF($F77="s-curve",$D77+($E77-$D77)*$I$2/(1+EXP($I$3*(COUNT($H$9:AK$9)+$I$4))),TREND($D77:$E77,$D$9:$E$9,AK$9))</f>
        <v>0</v>
      </c>
      <c r="AL77">
        <f>IF($F77="s-curve",$D77+($E77-$D77)*$I$2/(1+EXP($I$3*(COUNT($H$9:AL$9)+$I$4))),TREND($D77:$E77,$D$9:$E$9,AL$9))</f>
        <v>0</v>
      </c>
    </row>
    <row r="78" spans="1:38">
      <c r="C78" t="s">
        <v>78</v>
      </c>
      <c r="D78">
        <f>MIN(1.25*INDEX('SYVbT-freight'!$B$6:$H$6,MATCH(Data!$C15,'SYVbT-passenger'!$B$1:$H$1,0))/SUM('SYVbT-freight'!$B$6:$H$6),1)</f>
        <v>1.6666577778251849E-3</v>
      </c>
      <c r="E78">
        <f t="shared" si="31"/>
        <v>1.6666577778251849E-3</v>
      </c>
      <c r="F78" s="6" t="str">
        <f>IF(D78=E78,"n/a",IF(OR(C78="battery electric vehicle",C78="natural gas vehicle",C78="plugin hybrid vehicle",C78="hydrogen vehicle"),"s-curve","linear"))</f>
        <v>n/a</v>
      </c>
      <c r="H78" s="20">
        <f t="shared" si="30"/>
        <v>1.6666577778251849E-3</v>
      </c>
      <c r="I78">
        <f>IF($F78="s-curve",$D78+($E78-$D78)*$I$2/(1+EXP($I$3*(COUNT($H$9:I$9)+$I$4))),TREND($D78:$E78,$D$9:$E$9,I$9))</f>
        <v>1.6666577778251849E-3</v>
      </c>
      <c r="J78">
        <f>IF($F78="s-curve",$D78+($E78-$D78)*$I$2/(1+EXP($I$3*(COUNT($H$9:J$9)+$I$4))),TREND($D78:$E78,$D$9:$E$9,J$9))</f>
        <v>1.6666577778251849E-3</v>
      </c>
      <c r="K78">
        <f>IF($F78="s-curve",$D78+($E78-$D78)*$I$2/(1+EXP($I$3*(COUNT($H$9:K$9)+$I$4))),TREND($D78:$E78,$D$9:$E$9,K$9))</f>
        <v>1.6666577778251849E-3</v>
      </c>
      <c r="L78">
        <f>IF($F78="s-curve",$D78+($E78-$D78)*$I$2/(1+EXP($I$3*(COUNT($H$9:L$9)+$I$4))),TREND($D78:$E78,$D$9:$E$9,L$9))</f>
        <v>1.6666577778251849E-3</v>
      </c>
      <c r="M78">
        <f>IF($F78="s-curve",$D78+($E78-$D78)*$I$2/(1+EXP($I$3*(COUNT($H$9:M$9)+$I$4))),TREND($D78:$E78,$D$9:$E$9,M$9))</f>
        <v>1.6666577778251849E-3</v>
      </c>
      <c r="N78">
        <f>IF($F78="s-curve",$D78+($E78-$D78)*$I$2/(1+EXP($I$3*(COUNT($H$9:N$9)+$I$4))),TREND($D78:$E78,$D$9:$E$9,N$9))</f>
        <v>1.6666577778251849E-3</v>
      </c>
      <c r="O78">
        <f>IF($F78="s-curve",$D78+($E78-$D78)*$I$2/(1+EXP($I$3*(COUNT($H$9:O$9)+$I$4))),TREND($D78:$E78,$D$9:$E$9,O$9))</f>
        <v>1.6666577778251849E-3</v>
      </c>
      <c r="P78">
        <f>IF($F78="s-curve",$D78+($E78-$D78)*$I$2/(1+EXP($I$3*(COUNT($H$9:P$9)+$I$4))),TREND($D78:$E78,$D$9:$E$9,P$9))</f>
        <v>1.6666577778251849E-3</v>
      </c>
      <c r="Q78">
        <f>IF($F78="s-curve",$D78+($E78-$D78)*$I$2/(1+EXP($I$3*(COUNT($H$9:Q$9)+$I$4))),TREND($D78:$E78,$D$9:$E$9,Q$9))</f>
        <v>1.6666577778251849E-3</v>
      </c>
      <c r="R78">
        <f>IF($F78="s-curve",$D78+($E78-$D78)*$I$2/(1+EXP($I$3*(COUNT($H$9:R$9)+$I$4))),TREND($D78:$E78,$D$9:$E$9,R$9))</f>
        <v>1.6666577778251849E-3</v>
      </c>
      <c r="S78">
        <f>IF($F78="s-curve",$D78+($E78-$D78)*$I$2/(1+EXP($I$3*(COUNT($H$9:S$9)+$I$4))),TREND($D78:$E78,$D$9:$E$9,S$9))</f>
        <v>1.6666577778251849E-3</v>
      </c>
      <c r="T78">
        <f>IF($F78="s-curve",$D78+($E78-$D78)*$I$2/(1+EXP($I$3*(COUNT($H$9:T$9)+$I$4))),TREND($D78:$E78,$D$9:$E$9,T$9))</f>
        <v>1.6666577778251849E-3</v>
      </c>
      <c r="U78">
        <f>IF($F78="s-curve",$D78+($E78-$D78)*$I$2/(1+EXP($I$3*(COUNT($H$9:U$9)+$I$4))),TREND($D78:$E78,$D$9:$E$9,U$9))</f>
        <v>1.6666577778251849E-3</v>
      </c>
      <c r="V78">
        <f>IF($F78="s-curve",$D78+($E78-$D78)*$I$2/(1+EXP($I$3*(COUNT($H$9:V$9)+$I$4))),TREND($D78:$E78,$D$9:$E$9,V$9))</f>
        <v>1.6666577778251849E-3</v>
      </c>
      <c r="W78">
        <f>IF($F78="s-curve",$D78+($E78-$D78)*$I$2/(1+EXP($I$3*(COUNT($H$9:W$9)+$I$4))),TREND($D78:$E78,$D$9:$E$9,W$9))</f>
        <v>1.6666577778251849E-3</v>
      </c>
      <c r="X78">
        <f>IF($F78="s-curve",$D78+($E78-$D78)*$I$2/(1+EXP($I$3*(COUNT($H$9:X$9)+$I$4))),TREND($D78:$E78,$D$9:$E$9,X$9))</f>
        <v>1.6666577778251849E-3</v>
      </c>
      <c r="Y78">
        <f>IF($F78="s-curve",$D78+($E78-$D78)*$I$2/(1+EXP($I$3*(COUNT($H$9:Y$9)+$I$4))),TREND($D78:$E78,$D$9:$E$9,Y$9))</f>
        <v>1.6666577778251849E-3</v>
      </c>
      <c r="Z78">
        <f>IF($F78="s-curve",$D78+($E78-$D78)*$I$2/(1+EXP($I$3*(COUNT($H$9:Z$9)+$I$4))),TREND($D78:$E78,$D$9:$E$9,Z$9))</f>
        <v>1.6666577778251849E-3</v>
      </c>
      <c r="AA78">
        <f>IF($F78="s-curve",$D78+($E78-$D78)*$I$2/(1+EXP($I$3*(COUNT($H$9:AA$9)+$I$4))),TREND($D78:$E78,$D$9:$E$9,AA$9))</f>
        <v>1.6666577778251849E-3</v>
      </c>
      <c r="AB78">
        <f>IF($F78="s-curve",$D78+($E78-$D78)*$I$2/(1+EXP($I$3*(COUNT($H$9:AB$9)+$I$4))),TREND($D78:$E78,$D$9:$E$9,AB$9))</f>
        <v>1.6666577778251849E-3</v>
      </c>
      <c r="AC78">
        <f>IF($F78="s-curve",$D78+($E78-$D78)*$I$2/(1+EXP($I$3*(COUNT($H$9:AC$9)+$I$4))),TREND($D78:$E78,$D$9:$E$9,AC$9))</f>
        <v>1.6666577778251849E-3</v>
      </c>
      <c r="AD78">
        <f>IF($F78="s-curve",$D78+($E78-$D78)*$I$2/(1+EXP($I$3*(COUNT($H$9:AD$9)+$I$4))),TREND($D78:$E78,$D$9:$E$9,AD$9))</f>
        <v>1.6666577778251849E-3</v>
      </c>
      <c r="AE78">
        <f>IF($F78="s-curve",$D78+($E78-$D78)*$I$2/(1+EXP($I$3*(COUNT($H$9:AE$9)+$I$4))),TREND($D78:$E78,$D$9:$E$9,AE$9))</f>
        <v>1.6666577778251849E-3</v>
      </c>
      <c r="AF78">
        <f>IF($F78="s-curve",$D78+($E78-$D78)*$I$2/(1+EXP($I$3*(COUNT($H$9:AF$9)+$I$4))),TREND($D78:$E78,$D$9:$E$9,AF$9))</f>
        <v>1.6666577778251849E-3</v>
      </c>
      <c r="AG78">
        <f>IF($F78="s-curve",$D78+($E78-$D78)*$I$2/(1+EXP($I$3*(COUNT($H$9:AG$9)+$I$4))),TREND($D78:$E78,$D$9:$E$9,AG$9))</f>
        <v>1.6666577778251849E-3</v>
      </c>
      <c r="AH78">
        <f>IF($F78="s-curve",$D78+($E78-$D78)*$I$2/(1+EXP($I$3*(COUNT($H$9:AH$9)+$I$4))),TREND($D78:$E78,$D$9:$E$9,AH$9))</f>
        <v>1.6666577778251849E-3</v>
      </c>
      <c r="AI78">
        <f>IF($F78="s-curve",$D78+($E78-$D78)*$I$2/(1+EXP($I$3*(COUNT($H$9:AI$9)+$I$4))),TREND($D78:$E78,$D$9:$E$9,AI$9))</f>
        <v>1.6666577778251849E-3</v>
      </c>
      <c r="AJ78">
        <f>IF($F78="s-curve",$D78+($E78-$D78)*$I$2/(1+EXP($I$3*(COUNT($H$9:AJ$9)+$I$4))),TREND($D78:$E78,$D$9:$E$9,AJ$9))</f>
        <v>1.6666577778251849E-3</v>
      </c>
      <c r="AK78">
        <f>IF($F78="s-curve",$D78+($E78-$D78)*$I$2/(1+EXP($I$3*(COUNT($H$9:AK$9)+$I$4))),TREND($D78:$E78,$D$9:$E$9,AK$9))</f>
        <v>1.6666577778251849E-3</v>
      </c>
      <c r="AL78">
        <f>IF($F78="s-curve",$D78+($E78-$D78)*$I$2/(1+EXP($I$3*(COUNT($H$9:AL$9)+$I$4))),TREND($D78:$E78,$D$9:$E$9,AL$9))</f>
        <v>1.6666577778251849E-3</v>
      </c>
    </row>
    <row r="79" spans="1:38" ht="15.75" thickBot="1">
      <c r="A79" s="21"/>
      <c r="B79" s="21"/>
      <c r="C79" s="21" t="s">
        <v>79</v>
      </c>
      <c r="D79" s="21">
        <f>MIN(1.25*INDEX('SYVbT-freight'!$B$6:$H$6,MATCH(Data!$C16,'SYVbT-passenger'!$B$1:$H$1,0))/SUM('SYVbT-freight'!$B$6:$H$6),1)</f>
        <v>0</v>
      </c>
      <c r="E79" s="21">
        <f t="shared" si="31"/>
        <v>0</v>
      </c>
      <c r="F79" s="7" t="str">
        <f>IF(D79=E79,"n/a",IF(OR(C79="battery electric vehicle",C79="natural gas vehicle",C79="plugin hybrid vehicle",C79="hydrogen vehicle"),"s-curve","linear"))</f>
        <v>n/a</v>
      </c>
      <c r="H79" s="20">
        <f t="shared" si="30"/>
        <v>0</v>
      </c>
      <c r="I79">
        <f>IF($F79="s-curve",$D79+($E79-$D79)*$I$2/(1+EXP($I$3*(COUNT($H$9:I$9)+$I$4))),TREND($D79:$E79,$D$9:$E$9,I$9))</f>
        <v>0</v>
      </c>
      <c r="J79">
        <f>IF($F79="s-curve",$D79+($E79-$D79)*$I$2/(1+EXP($I$3*(COUNT($H$9:J$9)+$I$4))),TREND($D79:$E79,$D$9:$E$9,J$9))</f>
        <v>0</v>
      </c>
      <c r="K79">
        <f>IF($F79="s-curve",$D79+($E79-$D79)*$I$2/(1+EXP($I$3*(COUNT($H$9:K$9)+$I$4))),TREND($D79:$E79,$D$9:$E$9,K$9))</f>
        <v>0</v>
      </c>
      <c r="L79">
        <f>IF($F79="s-curve",$D79+($E79-$D79)*$I$2/(1+EXP($I$3*(COUNT($H$9:L$9)+$I$4))),TREND($D79:$E79,$D$9:$E$9,L$9))</f>
        <v>0</v>
      </c>
      <c r="M79">
        <f>IF($F79="s-curve",$D79+($E79-$D79)*$I$2/(1+EXP($I$3*(COUNT($H$9:M$9)+$I$4))),TREND($D79:$E79,$D$9:$E$9,M$9))</f>
        <v>0</v>
      </c>
      <c r="N79">
        <f>IF($F79="s-curve",$D79+($E79-$D79)*$I$2/(1+EXP($I$3*(COUNT($H$9:N$9)+$I$4))),TREND($D79:$E79,$D$9:$E$9,N$9))</f>
        <v>0</v>
      </c>
      <c r="O79">
        <f>IF($F79="s-curve",$D79+($E79-$D79)*$I$2/(1+EXP($I$3*(COUNT($H$9:O$9)+$I$4))),TREND($D79:$E79,$D$9:$E$9,O$9))</f>
        <v>0</v>
      </c>
      <c r="P79">
        <f>IF($F79="s-curve",$D79+($E79-$D79)*$I$2/(1+EXP($I$3*(COUNT($H$9:P$9)+$I$4))),TREND($D79:$E79,$D$9:$E$9,P$9))</f>
        <v>0</v>
      </c>
      <c r="Q79">
        <f>IF($F79="s-curve",$D79+($E79-$D79)*$I$2/(1+EXP($I$3*(COUNT($H$9:Q$9)+$I$4))),TREND($D79:$E79,$D$9:$E$9,Q$9))</f>
        <v>0</v>
      </c>
      <c r="R79">
        <f>IF($F79="s-curve",$D79+($E79-$D79)*$I$2/(1+EXP($I$3*(COUNT($H$9:R$9)+$I$4))),TREND($D79:$E79,$D$9:$E$9,R$9))</f>
        <v>0</v>
      </c>
      <c r="S79">
        <f>IF($F79="s-curve",$D79+($E79-$D79)*$I$2/(1+EXP($I$3*(COUNT($H$9:S$9)+$I$4))),TREND($D79:$E79,$D$9:$E$9,S$9))</f>
        <v>0</v>
      </c>
      <c r="T79">
        <f>IF($F79="s-curve",$D79+($E79-$D79)*$I$2/(1+EXP($I$3*(COUNT($H$9:T$9)+$I$4))),TREND($D79:$E79,$D$9:$E$9,T$9))</f>
        <v>0</v>
      </c>
      <c r="U79">
        <f>IF($F79="s-curve",$D79+($E79-$D79)*$I$2/(1+EXP($I$3*(COUNT($H$9:U$9)+$I$4))),TREND($D79:$E79,$D$9:$E$9,U$9))</f>
        <v>0</v>
      </c>
      <c r="V79">
        <f>IF($F79="s-curve",$D79+($E79-$D79)*$I$2/(1+EXP($I$3*(COUNT($H$9:V$9)+$I$4))),TREND($D79:$E79,$D$9:$E$9,V$9))</f>
        <v>0</v>
      </c>
      <c r="W79">
        <f>IF($F79="s-curve",$D79+($E79-$D79)*$I$2/(1+EXP($I$3*(COUNT($H$9:W$9)+$I$4))),TREND($D79:$E79,$D$9:$E$9,W$9))</f>
        <v>0</v>
      </c>
      <c r="X79">
        <f>IF($F79="s-curve",$D79+($E79-$D79)*$I$2/(1+EXP($I$3*(COUNT($H$9:X$9)+$I$4))),TREND($D79:$E79,$D$9:$E$9,X$9))</f>
        <v>0</v>
      </c>
      <c r="Y79">
        <f>IF($F79="s-curve",$D79+($E79-$D79)*$I$2/(1+EXP($I$3*(COUNT($H$9:Y$9)+$I$4))),TREND($D79:$E79,$D$9:$E$9,Y$9))</f>
        <v>0</v>
      </c>
      <c r="Z79">
        <f>IF($F79="s-curve",$D79+($E79-$D79)*$I$2/(1+EXP($I$3*(COUNT($H$9:Z$9)+$I$4))),TREND($D79:$E79,$D$9:$E$9,Z$9))</f>
        <v>0</v>
      </c>
      <c r="AA79">
        <f>IF($F79="s-curve",$D79+($E79-$D79)*$I$2/(1+EXP($I$3*(COUNT($H$9:AA$9)+$I$4))),TREND($D79:$E79,$D$9:$E$9,AA$9))</f>
        <v>0</v>
      </c>
      <c r="AB79">
        <f>IF($F79="s-curve",$D79+($E79-$D79)*$I$2/(1+EXP($I$3*(COUNT($H$9:AB$9)+$I$4))),TREND($D79:$E79,$D$9:$E$9,AB$9))</f>
        <v>0</v>
      </c>
      <c r="AC79">
        <f>IF($F79="s-curve",$D79+($E79-$D79)*$I$2/(1+EXP($I$3*(COUNT($H$9:AC$9)+$I$4))),TREND($D79:$E79,$D$9:$E$9,AC$9))</f>
        <v>0</v>
      </c>
      <c r="AD79">
        <f>IF($F79="s-curve",$D79+($E79-$D79)*$I$2/(1+EXP($I$3*(COUNT($H$9:AD$9)+$I$4))),TREND($D79:$E79,$D$9:$E$9,AD$9))</f>
        <v>0</v>
      </c>
      <c r="AE79">
        <f>IF($F79="s-curve",$D79+($E79-$D79)*$I$2/(1+EXP($I$3*(COUNT($H$9:AE$9)+$I$4))),TREND($D79:$E79,$D$9:$E$9,AE$9))</f>
        <v>0</v>
      </c>
      <c r="AF79">
        <f>IF($F79="s-curve",$D79+($E79-$D79)*$I$2/(1+EXP($I$3*(COUNT($H$9:AF$9)+$I$4))),TREND($D79:$E79,$D$9:$E$9,AF$9))</f>
        <v>0</v>
      </c>
      <c r="AG79">
        <f>IF($F79="s-curve",$D79+($E79-$D79)*$I$2/(1+EXP($I$3*(COUNT($H$9:AG$9)+$I$4))),TREND($D79:$E79,$D$9:$E$9,AG$9))</f>
        <v>0</v>
      </c>
      <c r="AH79">
        <f>IF($F79="s-curve",$D79+($E79-$D79)*$I$2/(1+EXP($I$3*(COUNT($H$9:AH$9)+$I$4))),TREND($D79:$E79,$D$9:$E$9,AH$9))</f>
        <v>0</v>
      </c>
      <c r="AI79">
        <f>IF($F79="s-curve",$D79+($E79-$D79)*$I$2/(1+EXP($I$3*(COUNT($H$9:AI$9)+$I$4))),TREND($D79:$E79,$D$9:$E$9,AI$9))</f>
        <v>0</v>
      </c>
      <c r="AJ79">
        <f>IF($F79="s-curve",$D79+($E79-$D79)*$I$2/(1+EXP($I$3*(COUNT($H$9:AJ$9)+$I$4))),TREND($D79:$E79,$D$9:$E$9,AJ$9))</f>
        <v>0</v>
      </c>
      <c r="AK79">
        <f>IF($F79="s-curve",$D79+($E79-$D79)*$I$2/(1+EXP($I$3*(COUNT($H$9:AK$9)+$I$4))),TREND($D79:$E79,$D$9:$E$9,AK$9))</f>
        <v>0</v>
      </c>
      <c r="AL79">
        <f>IF($F79="s-curve",$D79+($E79-$D79)*$I$2/(1+EXP($I$3*(COUNT($H$9:AL$9)+$I$4))),TREND($D79:$E79,$D$9:$E$9,AL$9))</f>
        <v>0</v>
      </c>
    </row>
    <row r="80" spans="1:38">
      <c r="A80" t="s">
        <v>17</v>
      </c>
      <c r="B80" t="s">
        <v>19</v>
      </c>
      <c r="C80" t="s">
        <v>1</v>
      </c>
      <c r="D80" s="20">
        <v>0</v>
      </c>
      <c r="E80">
        <v>1</v>
      </c>
      <c r="F80" s="6" t="str">
        <f>IF(D80=E80,"n/a",IF(OR(C80="battery electric vehicle",C80="natural gas vehicle",C80="plugin hybrid vehicle"),"s-curve","linear"))</f>
        <v>s-curve</v>
      </c>
      <c r="H80" s="20">
        <f t="shared" si="30"/>
        <v>0</v>
      </c>
      <c r="I80">
        <f>IF($F80="s-curve",$D80+($E80-$D80)*$I$2/(1+EXP($I$3*(COUNT($H$9:I$9)+$I$4))),TREND($D80:$E80,$D$9:$E$9,I$9))</f>
        <v>1.4774031693273055E-2</v>
      </c>
      <c r="J80">
        <f>IF($F80="s-curve",$D80+($E80-$D80)*$I$2/(1+EXP($I$3*(COUNT($H$9:J$9)+$I$4))),TREND($D80:$E80,$D$9:$E$9,J$9))</f>
        <v>1.984030573407751E-2</v>
      </c>
      <c r="K80">
        <f>IF($F80="s-curve",$D80+($E80-$D80)*$I$2/(1+EXP($I$3*(COUNT($H$9:K$9)+$I$4))),TREND($D80:$E80,$D$9:$E$9,K$9))</f>
        <v>2.6596993576865863E-2</v>
      </c>
      <c r="L80">
        <f>IF($F80="s-curve",$D80+($E80-$D80)*$I$2/(1+EXP($I$3*(COUNT($H$9:L$9)+$I$4))),TREND($D80:$E80,$D$9:$E$9,L$9))</f>
        <v>3.5571189272636181E-2</v>
      </c>
      <c r="M80">
        <f>IF($F80="s-curve",$D80+($E80-$D80)*$I$2/(1+EXP($I$3*(COUNT($H$9:M$9)+$I$4))),TREND($D80:$E80,$D$9:$E$9,M$9))</f>
        <v>4.7425873177566781E-2</v>
      </c>
      <c r="N80">
        <f>IF($F80="s-curve",$D80+($E80-$D80)*$I$2/(1+EXP($I$3*(COUNT($H$9:N$9)+$I$4))),TREND($D80:$E80,$D$9:$E$9,N$9))</f>
        <v>6.2973356056996513E-2</v>
      </c>
      <c r="O80">
        <f>IF($F80="s-curve",$D80+($E80-$D80)*$I$2/(1+EXP($I$3*(COUNT($H$9:O$9)+$I$4))),TREND($D80:$E80,$D$9:$E$9,O$9))</f>
        <v>8.317269649392238E-2</v>
      </c>
      <c r="P80">
        <f>IF($F80="s-curve",$D80+($E80-$D80)*$I$2/(1+EXP($I$3*(COUNT($H$9:P$9)+$I$4))),TREND($D80:$E80,$D$9:$E$9,P$9))</f>
        <v>0.10909682119561293</v>
      </c>
      <c r="Q80">
        <f>IF($F80="s-curve",$D80+($E80-$D80)*$I$2/(1+EXP($I$3*(COUNT($H$9:Q$9)+$I$4))),TREND($D80:$E80,$D$9:$E$9,Q$9))</f>
        <v>0.14185106490048782</v>
      </c>
      <c r="R80">
        <f>IF($F80="s-curve",$D80+($E80-$D80)*$I$2/(1+EXP($I$3*(COUNT($H$9:R$9)+$I$4))),TREND($D80:$E80,$D$9:$E$9,R$9))</f>
        <v>0.18242552380635635</v>
      </c>
      <c r="S80">
        <f>IF($F80="s-curve",$D80+($E80-$D80)*$I$2/(1+EXP($I$3*(COUNT($H$9:S$9)+$I$4))),TREND($D80:$E80,$D$9:$E$9,S$9))</f>
        <v>0.23147521650098238</v>
      </c>
      <c r="T80">
        <f>IF($F80="s-curve",$D80+($E80-$D80)*$I$2/(1+EXP($I$3*(COUNT($H$9:T$9)+$I$4))),TREND($D80:$E80,$D$9:$E$9,T$9))</f>
        <v>0.28905049737499605</v>
      </c>
      <c r="U80">
        <f>IF($F80="s-curve",$D80+($E80-$D80)*$I$2/(1+EXP($I$3*(COUNT($H$9:U$9)+$I$4))),TREND($D80:$E80,$D$9:$E$9,U$9))</f>
        <v>0.35434369377420455</v>
      </c>
      <c r="V80">
        <f>IF($F80="s-curve",$D80+($E80-$D80)*$I$2/(1+EXP($I$3*(COUNT($H$9:V$9)+$I$4))),TREND($D80:$E80,$D$9:$E$9,V$9))</f>
        <v>0.42555748318834102</v>
      </c>
      <c r="W80">
        <f>IF($F80="s-curve",$D80+($E80-$D80)*$I$2/(1+EXP($I$3*(COUNT($H$9:W$9)+$I$4))),TREND($D80:$E80,$D$9:$E$9,W$9))</f>
        <v>0.5</v>
      </c>
      <c r="X80">
        <f>IF($F80="s-curve",$D80+($E80-$D80)*$I$2/(1+EXP($I$3*(COUNT($H$9:X$9)+$I$4))),TREND($D80:$E80,$D$9:$E$9,X$9))</f>
        <v>0.57444251681165903</v>
      </c>
      <c r="Y80">
        <f>IF($F80="s-curve",$D80+($E80-$D80)*$I$2/(1+EXP($I$3*(COUNT($H$9:Y$9)+$I$4))),TREND($D80:$E80,$D$9:$E$9,Y$9))</f>
        <v>0.6456563062257954</v>
      </c>
      <c r="Z80">
        <f>IF($F80="s-curve",$D80+($E80-$D80)*$I$2/(1+EXP($I$3*(COUNT($H$9:Z$9)+$I$4))),TREND($D80:$E80,$D$9:$E$9,Z$9))</f>
        <v>0.71094950262500389</v>
      </c>
      <c r="AA80">
        <f>IF($F80="s-curve",$D80+($E80-$D80)*$I$2/(1+EXP($I$3*(COUNT($H$9:AA$9)+$I$4))),TREND($D80:$E80,$D$9:$E$9,AA$9))</f>
        <v>0.76852478349901754</v>
      </c>
      <c r="AB80">
        <f>IF($F80="s-curve",$D80+($E80-$D80)*$I$2/(1+EXP($I$3*(COUNT($H$9:AB$9)+$I$4))),TREND($D80:$E80,$D$9:$E$9,AB$9))</f>
        <v>0.81757447619364365</v>
      </c>
      <c r="AC80">
        <f>IF($F80="s-curve",$D80+($E80-$D80)*$I$2/(1+EXP($I$3*(COUNT($H$9:AC$9)+$I$4))),TREND($D80:$E80,$D$9:$E$9,AC$9))</f>
        <v>0.85814893509951229</v>
      </c>
      <c r="AD80">
        <f>IF($F80="s-curve",$D80+($E80-$D80)*$I$2/(1+EXP($I$3*(COUNT($H$9:AD$9)+$I$4))),TREND($D80:$E80,$D$9:$E$9,AD$9))</f>
        <v>0.89090317880438707</v>
      </c>
      <c r="AE80">
        <f>IF($F80="s-curve",$D80+($E80-$D80)*$I$2/(1+EXP($I$3*(COUNT($H$9:AE$9)+$I$4))),TREND($D80:$E80,$D$9:$E$9,AE$9))</f>
        <v>0.91682730350607766</v>
      </c>
      <c r="AF80">
        <f>IF($F80="s-curve",$D80+($E80-$D80)*$I$2/(1+EXP($I$3*(COUNT($H$9:AF$9)+$I$4))),TREND($D80:$E80,$D$9:$E$9,AF$9))</f>
        <v>0.9370266439430035</v>
      </c>
      <c r="AG80">
        <f>IF($F80="s-curve",$D80+($E80-$D80)*$I$2/(1+EXP($I$3*(COUNT($H$9:AG$9)+$I$4))),TREND($D80:$E80,$D$9:$E$9,AG$9))</f>
        <v>0.95257412682243336</v>
      </c>
      <c r="AH80">
        <f>IF($F80="s-curve",$D80+($E80-$D80)*$I$2/(1+EXP($I$3*(COUNT($H$9:AH$9)+$I$4))),TREND($D80:$E80,$D$9:$E$9,AH$9))</f>
        <v>0.96442881072736386</v>
      </c>
      <c r="AI80">
        <f>IF($F80="s-curve",$D80+($E80-$D80)*$I$2/(1+EXP($I$3*(COUNT($H$9:AI$9)+$I$4))),TREND($D80:$E80,$D$9:$E$9,AI$9))</f>
        <v>0.97340300642313404</v>
      </c>
      <c r="AJ80">
        <f>IF($F80="s-curve",$D80+($E80-$D80)*$I$2/(1+EXP($I$3*(COUNT($H$9:AJ$9)+$I$4))),TREND($D80:$E80,$D$9:$E$9,AJ$9))</f>
        <v>0.98015969426592253</v>
      </c>
      <c r="AK80">
        <f>IF($F80="s-curve",$D80+($E80-$D80)*$I$2/(1+EXP($I$3*(COUNT($H$9:AK$9)+$I$4))),TREND($D80:$E80,$D$9:$E$9,AK$9))</f>
        <v>0.98522596830672693</v>
      </c>
      <c r="AL80">
        <f>IF($F80="s-curve",$D80+($E80-$D80)*$I$2/(1+EXP($I$3*(COUNT($H$9:AL$9)+$I$4))),TREND($D80:$E80,$D$9:$E$9,AL$9))</f>
        <v>0.98901305736940681</v>
      </c>
    </row>
    <row r="81" spans="1:38">
      <c r="C81" t="s">
        <v>2</v>
      </c>
      <c r="D81" s="20">
        <f>'SYVbT-passenger'!C7/SUM('SYVbT-passenger'!7:7)</f>
        <v>0</v>
      </c>
      <c r="E81">
        <v>0</v>
      </c>
      <c r="F81" s="6" t="str">
        <f>IF(D81=E81,"n/a",IF(OR(C81="battery electric vehicle",C81="natural gas vehicle",C81="plugin hybrid vehicle"),"s-curve","linear"))</f>
        <v>n/a</v>
      </c>
      <c r="H81" s="20">
        <f t="shared" si="30"/>
        <v>0</v>
      </c>
      <c r="I81">
        <f>IF($F81="s-curve",$D81+($E81-$D81)*$I$2/(1+EXP($I$3*(COUNT($H$9:I$9)+$I$4))),TREND($D81:$E81,$D$9:$E$9,I$9))</f>
        <v>0</v>
      </c>
      <c r="J81">
        <f>IF($F81="s-curve",$D81+($E81-$D81)*$I$2/(1+EXP($I$3*(COUNT($H$9:J$9)+$I$4))),TREND($D81:$E81,$D$9:$E$9,J$9))</f>
        <v>0</v>
      </c>
      <c r="K81">
        <f>IF($F81="s-curve",$D81+($E81-$D81)*$I$2/(1+EXP($I$3*(COUNT($H$9:K$9)+$I$4))),TREND($D81:$E81,$D$9:$E$9,K$9))</f>
        <v>0</v>
      </c>
      <c r="L81">
        <f>IF($F81="s-curve",$D81+($E81-$D81)*$I$2/(1+EXP($I$3*(COUNT($H$9:L$9)+$I$4))),TREND($D81:$E81,$D$9:$E$9,L$9))</f>
        <v>0</v>
      </c>
      <c r="M81">
        <f>IF($F81="s-curve",$D81+($E81-$D81)*$I$2/(1+EXP($I$3*(COUNT($H$9:M$9)+$I$4))),TREND($D81:$E81,$D$9:$E$9,M$9))</f>
        <v>0</v>
      </c>
      <c r="N81">
        <f>IF($F81="s-curve",$D81+($E81-$D81)*$I$2/(1+EXP($I$3*(COUNT($H$9:N$9)+$I$4))),TREND($D81:$E81,$D$9:$E$9,N$9))</f>
        <v>0</v>
      </c>
      <c r="O81">
        <f>IF($F81="s-curve",$D81+($E81-$D81)*$I$2/(1+EXP($I$3*(COUNT($H$9:O$9)+$I$4))),TREND($D81:$E81,$D$9:$E$9,O$9))</f>
        <v>0</v>
      </c>
      <c r="P81">
        <f>IF($F81="s-curve",$D81+($E81-$D81)*$I$2/(1+EXP($I$3*(COUNT($H$9:P$9)+$I$4))),TREND($D81:$E81,$D$9:$E$9,P$9))</f>
        <v>0</v>
      </c>
      <c r="Q81">
        <f>IF($F81="s-curve",$D81+($E81-$D81)*$I$2/(1+EXP($I$3*(COUNT($H$9:Q$9)+$I$4))),TREND($D81:$E81,$D$9:$E$9,Q$9))</f>
        <v>0</v>
      </c>
      <c r="R81">
        <f>IF($F81="s-curve",$D81+($E81-$D81)*$I$2/(1+EXP($I$3*(COUNT($H$9:R$9)+$I$4))),TREND($D81:$E81,$D$9:$E$9,R$9))</f>
        <v>0</v>
      </c>
      <c r="S81">
        <f>IF($F81="s-curve",$D81+($E81-$D81)*$I$2/(1+EXP($I$3*(COUNT($H$9:S$9)+$I$4))),TREND($D81:$E81,$D$9:$E$9,S$9))</f>
        <v>0</v>
      </c>
      <c r="T81">
        <f>IF($F81="s-curve",$D81+($E81-$D81)*$I$2/(1+EXP($I$3*(COUNT($H$9:T$9)+$I$4))),TREND($D81:$E81,$D$9:$E$9,T$9))</f>
        <v>0</v>
      </c>
      <c r="U81">
        <f>IF($F81="s-curve",$D81+($E81-$D81)*$I$2/(1+EXP($I$3*(COUNT($H$9:U$9)+$I$4))),TREND($D81:$E81,$D$9:$E$9,U$9))</f>
        <v>0</v>
      </c>
      <c r="V81">
        <f>IF($F81="s-curve",$D81+($E81-$D81)*$I$2/(1+EXP($I$3*(COUNT($H$9:V$9)+$I$4))),TREND($D81:$E81,$D$9:$E$9,V$9))</f>
        <v>0</v>
      </c>
      <c r="W81">
        <f>IF($F81="s-curve",$D81+($E81-$D81)*$I$2/(1+EXP($I$3*(COUNT($H$9:W$9)+$I$4))),TREND($D81:$E81,$D$9:$E$9,W$9))</f>
        <v>0</v>
      </c>
      <c r="X81">
        <f>IF($F81="s-curve",$D81+($E81-$D81)*$I$2/(1+EXP($I$3*(COUNT($H$9:X$9)+$I$4))),TREND($D81:$E81,$D$9:$E$9,X$9))</f>
        <v>0</v>
      </c>
      <c r="Y81">
        <f>IF($F81="s-curve",$D81+($E81-$D81)*$I$2/(1+EXP($I$3*(COUNT($H$9:Y$9)+$I$4))),TREND($D81:$E81,$D$9:$E$9,Y$9))</f>
        <v>0</v>
      </c>
      <c r="Z81">
        <f>IF($F81="s-curve",$D81+($E81-$D81)*$I$2/(1+EXP($I$3*(COUNT($H$9:Z$9)+$I$4))),TREND($D81:$E81,$D$9:$E$9,Z$9))</f>
        <v>0</v>
      </c>
      <c r="AA81">
        <f>IF($F81="s-curve",$D81+($E81-$D81)*$I$2/(1+EXP($I$3*(COUNT($H$9:AA$9)+$I$4))),TREND($D81:$E81,$D$9:$E$9,AA$9))</f>
        <v>0</v>
      </c>
      <c r="AB81">
        <f>IF($F81="s-curve",$D81+($E81-$D81)*$I$2/(1+EXP($I$3*(COUNT($H$9:AB$9)+$I$4))),TREND($D81:$E81,$D$9:$E$9,AB$9))</f>
        <v>0</v>
      </c>
      <c r="AC81">
        <f>IF($F81="s-curve",$D81+($E81-$D81)*$I$2/(1+EXP($I$3*(COUNT($H$9:AC$9)+$I$4))),TREND($D81:$E81,$D$9:$E$9,AC$9))</f>
        <v>0</v>
      </c>
      <c r="AD81">
        <f>IF($F81="s-curve",$D81+($E81-$D81)*$I$2/(1+EXP($I$3*(COUNT($H$9:AD$9)+$I$4))),TREND($D81:$E81,$D$9:$E$9,AD$9))</f>
        <v>0</v>
      </c>
      <c r="AE81">
        <f>IF($F81="s-curve",$D81+($E81-$D81)*$I$2/(1+EXP($I$3*(COUNT($H$9:AE$9)+$I$4))),TREND($D81:$E81,$D$9:$E$9,AE$9))</f>
        <v>0</v>
      </c>
      <c r="AF81">
        <f>IF($F81="s-curve",$D81+($E81-$D81)*$I$2/(1+EXP($I$3*(COUNT($H$9:AF$9)+$I$4))),TREND($D81:$E81,$D$9:$E$9,AF$9))</f>
        <v>0</v>
      </c>
      <c r="AG81">
        <f>IF($F81="s-curve",$D81+($E81-$D81)*$I$2/(1+EXP($I$3*(COUNT($H$9:AG$9)+$I$4))),TREND($D81:$E81,$D$9:$E$9,AG$9))</f>
        <v>0</v>
      </c>
      <c r="AH81">
        <f>IF($F81="s-curve",$D81+($E81-$D81)*$I$2/(1+EXP($I$3*(COUNT($H$9:AH$9)+$I$4))),TREND($D81:$E81,$D$9:$E$9,AH$9))</f>
        <v>0</v>
      </c>
      <c r="AI81">
        <f>IF($F81="s-curve",$D81+($E81-$D81)*$I$2/(1+EXP($I$3*(COUNT($H$9:AI$9)+$I$4))),TREND($D81:$E81,$D$9:$E$9,AI$9))</f>
        <v>0</v>
      </c>
      <c r="AJ81">
        <f>IF($F81="s-curve",$D81+($E81-$D81)*$I$2/(1+EXP($I$3*(COUNT($H$9:AJ$9)+$I$4))),TREND($D81:$E81,$D$9:$E$9,AJ$9))</f>
        <v>0</v>
      </c>
      <c r="AK81">
        <f>IF($F81="s-curve",$D81+($E81-$D81)*$I$2/(1+EXP($I$3*(COUNT($H$9:AK$9)+$I$4))),TREND($D81:$E81,$D$9:$E$9,AK$9))</f>
        <v>0</v>
      </c>
      <c r="AL81">
        <f>IF($F81="s-curve",$D81+($E81-$D81)*$I$2/(1+EXP($I$3*(COUNT($H$9:AL$9)+$I$4))),TREND($D81:$E81,$D$9:$E$9,AL$9))</f>
        <v>0</v>
      </c>
    </row>
    <row r="82" spans="1:38">
      <c r="C82" t="s">
        <v>3</v>
      </c>
      <c r="D82">
        <v>3</v>
      </c>
      <c r="E82">
        <v>3</v>
      </c>
      <c r="F82" s="6" t="str">
        <f>IF(D82=E82,"n/a",IF(OR(C82="battery electric vehicle",C82="natural gas vehicle",C82="plugin hybrid vehicle"),"s-curve","linear"))</f>
        <v>n/a</v>
      </c>
      <c r="H82" s="20">
        <f t="shared" si="30"/>
        <v>3</v>
      </c>
      <c r="I82">
        <f>IF($F82="s-curve",$D82+($E82-$D82)*$I$2/(1+EXP($I$3*(COUNT($H$9:I$9)+$I$4))),TREND($D82:$E82,$D$9:$E$9,I$9))</f>
        <v>3</v>
      </c>
      <c r="J82">
        <f>IF($F82="s-curve",$D82+($E82-$D82)*$I$2/(1+EXP($I$3*(COUNT($H$9:J$9)+$I$4))),TREND($D82:$E82,$D$9:$E$9,J$9))</f>
        <v>3</v>
      </c>
      <c r="K82">
        <f>IF($F82="s-curve",$D82+($E82-$D82)*$I$2/(1+EXP($I$3*(COUNT($H$9:K$9)+$I$4))),TREND($D82:$E82,$D$9:$E$9,K$9))</f>
        <v>3</v>
      </c>
      <c r="L82">
        <f>IF($F82="s-curve",$D82+($E82-$D82)*$I$2/(1+EXP($I$3*(COUNT($H$9:L$9)+$I$4))),TREND($D82:$E82,$D$9:$E$9,L$9))</f>
        <v>3</v>
      </c>
      <c r="M82">
        <f>IF($F82="s-curve",$D82+($E82-$D82)*$I$2/(1+EXP($I$3*(COUNT($H$9:M$9)+$I$4))),TREND($D82:$E82,$D$9:$E$9,M$9))</f>
        <v>3</v>
      </c>
      <c r="N82">
        <f>IF($F82="s-curve",$D82+($E82-$D82)*$I$2/(1+EXP($I$3*(COUNT($H$9:N$9)+$I$4))),TREND($D82:$E82,$D$9:$E$9,N$9))</f>
        <v>3</v>
      </c>
      <c r="O82">
        <f>IF($F82="s-curve",$D82+($E82-$D82)*$I$2/(1+EXP($I$3*(COUNT($H$9:O$9)+$I$4))),TREND($D82:$E82,$D$9:$E$9,O$9))</f>
        <v>3</v>
      </c>
      <c r="P82">
        <f>IF($F82="s-curve",$D82+($E82-$D82)*$I$2/(1+EXP($I$3*(COUNT($H$9:P$9)+$I$4))),TREND($D82:$E82,$D$9:$E$9,P$9))</f>
        <v>3</v>
      </c>
      <c r="Q82">
        <f>IF($F82="s-curve",$D82+($E82-$D82)*$I$2/(1+EXP($I$3*(COUNT($H$9:Q$9)+$I$4))),TREND($D82:$E82,$D$9:$E$9,Q$9))</f>
        <v>3</v>
      </c>
      <c r="R82">
        <f>IF($F82="s-curve",$D82+($E82-$D82)*$I$2/(1+EXP($I$3*(COUNT($H$9:R$9)+$I$4))),TREND($D82:$E82,$D$9:$E$9,R$9))</f>
        <v>3</v>
      </c>
      <c r="S82">
        <f>IF($F82="s-curve",$D82+($E82-$D82)*$I$2/(1+EXP($I$3*(COUNT($H$9:S$9)+$I$4))),TREND($D82:$E82,$D$9:$E$9,S$9))</f>
        <v>3</v>
      </c>
      <c r="T82">
        <f>IF($F82="s-curve",$D82+($E82-$D82)*$I$2/(1+EXP($I$3*(COUNT($H$9:T$9)+$I$4))),TREND($D82:$E82,$D$9:$E$9,T$9))</f>
        <v>3</v>
      </c>
      <c r="U82">
        <f>IF($F82="s-curve",$D82+($E82-$D82)*$I$2/(1+EXP($I$3*(COUNT($H$9:U$9)+$I$4))),TREND($D82:$E82,$D$9:$E$9,U$9))</f>
        <v>3</v>
      </c>
      <c r="V82">
        <f>IF($F82="s-curve",$D82+($E82-$D82)*$I$2/(1+EXP($I$3*(COUNT($H$9:V$9)+$I$4))),TREND($D82:$E82,$D$9:$E$9,V$9))</f>
        <v>3</v>
      </c>
      <c r="W82">
        <f>IF($F82="s-curve",$D82+($E82-$D82)*$I$2/(1+EXP($I$3*(COUNT($H$9:W$9)+$I$4))),TREND($D82:$E82,$D$9:$E$9,W$9))</f>
        <v>3</v>
      </c>
      <c r="X82">
        <f>IF($F82="s-curve",$D82+($E82-$D82)*$I$2/(1+EXP($I$3*(COUNT($H$9:X$9)+$I$4))),TREND($D82:$E82,$D$9:$E$9,X$9))</f>
        <v>3</v>
      </c>
      <c r="Y82">
        <f>IF($F82="s-curve",$D82+($E82-$D82)*$I$2/(1+EXP($I$3*(COUNT($H$9:Y$9)+$I$4))),TREND($D82:$E82,$D$9:$E$9,Y$9))</f>
        <v>3</v>
      </c>
      <c r="Z82">
        <f>IF($F82="s-curve",$D82+($E82-$D82)*$I$2/(1+EXP($I$3*(COUNT($H$9:Z$9)+$I$4))),TREND($D82:$E82,$D$9:$E$9,Z$9))</f>
        <v>3</v>
      </c>
      <c r="AA82">
        <f>IF($F82="s-curve",$D82+($E82-$D82)*$I$2/(1+EXP($I$3*(COUNT($H$9:AA$9)+$I$4))),TREND($D82:$E82,$D$9:$E$9,AA$9))</f>
        <v>3</v>
      </c>
      <c r="AB82">
        <f>IF($F82="s-curve",$D82+($E82-$D82)*$I$2/(1+EXP($I$3*(COUNT($H$9:AB$9)+$I$4))),TREND($D82:$E82,$D$9:$E$9,AB$9))</f>
        <v>3</v>
      </c>
      <c r="AC82">
        <f>IF($F82="s-curve",$D82+($E82-$D82)*$I$2/(1+EXP($I$3*(COUNT($H$9:AC$9)+$I$4))),TREND($D82:$E82,$D$9:$E$9,AC$9))</f>
        <v>3</v>
      </c>
      <c r="AD82">
        <f>IF($F82="s-curve",$D82+($E82-$D82)*$I$2/(1+EXP($I$3*(COUNT($H$9:AD$9)+$I$4))),TREND($D82:$E82,$D$9:$E$9,AD$9))</f>
        <v>3</v>
      </c>
      <c r="AE82">
        <f>IF($F82="s-curve",$D82+($E82-$D82)*$I$2/(1+EXP($I$3*(COUNT($H$9:AE$9)+$I$4))),TREND($D82:$E82,$D$9:$E$9,AE$9))</f>
        <v>3</v>
      </c>
      <c r="AF82">
        <f>IF($F82="s-curve",$D82+($E82-$D82)*$I$2/(1+EXP($I$3*(COUNT($H$9:AF$9)+$I$4))),TREND($D82:$E82,$D$9:$E$9,AF$9))</f>
        <v>3</v>
      </c>
      <c r="AG82">
        <f>IF($F82="s-curve",$D82+($E82-$D82)*$I$2/(1+EXP($I$3*(COUNT($H$9:AG$9)+$I$4))),TREND($D82:$E82,$D$9:$E$9,AG$9))</f>
        <v>3</v>
      </c>
      <c r="AH82">
        <f>IF($F82="s-curve",$D82+($E82-$D82)*$I$2/(1+EXP($I$3*(COUNT($H$9:AH$9)+$I$4))),TREND($D82:$E82,$D$9:$E$9,AH$9))</f>
        <v>3</v>
      </c>
      <c r="AI82">
        <f>IF($F82="s-curve",$D82+($E82-$D82)*$I$2/(1+EXP($I$3*(COUNT($H$9:AI$9)+$I$4))),TREND($D82:$E82,$D$9:$E$9,AI$9))</f>
        <v>3</v>
      </c>
      <c r="AJ82">
        <f>IF($F82="s-curve",$D82+($E82-$D82)*$I$2/(1+EXP($I$3*(COUNT($H$9:AJ$9)+$I$4))),TREND($D82:$E82,$D$9:$E$9,AJ$9))</f>
        <v>3</v>
      </c>
      <c r="AK82">
        <f>IF($F82="s-curve",$D82+($E82-$D82)*$I$2/(1+EXP($I$3*(COUNT($H$9:AK$9)+$I$4))),TREND($D82:$E82,$D$9:$E$9,AK$9))</f>
        <v>3</v>
      </c>
      <c r="AL82">
        <f>IF($F82="s-curve",$D82+($E82-$D82)*$I$2/(1+EXP($I$3*(COUNT($H$9:AL$9)+$I$4))),TREND($D82:$E82,$D$9:$E$9,AL$9))</f>
        <v>3</v>
      </c>
    </row>
    <row r="83" spans="1:38">
      <c r="C83" t="s">
        <v>4</v>
      </c>
      <c r="D83" s="20">
        <f>'SYVbT-passenger'!E7/SUM('SYVbT-passenger'!7:7)</f>
        <v>0</v>
      </c>
      <c r="E83">
        <v>0</v>
      </c>
      <c r="F83" s="6" t="str">
        <f>IF(D83=E83,"n/a",IF(OR(C83="battery electric vehicle",C83="natural gas vehicle",C83="plugin hybrid vehicle"),"s-curve","linear"))</f>
        <v>n/a</v>
      </c>
      <c r="H83" s="20">
        <f t="shared" si="30"/>
        <v>0</v>
      </c>
      <c r="I83">
        <f>IF($F83="s-curve",$D83+($E83-$D83)*$I$2/(1+EXP($I$3*(COUNT($H$9:I$9)+$I$4))),TREND($D83:$E83,$D$9:$E$9,I$9))</f>
        <v>0</v>
      </c>
      <c r="J83">
        <f>IF($F83="s-curve",$D83+($E83-$D83)*$I$2/(1+EXP($I$3*(COUNT($H$9:J$9)+$I$4))),TREND($D83:$E83,$D$9:$E$9,J$9))</f>
        <v>0</v>
      </c>
      <c r="K83">
        <f>IF($F83="s-curve",$D83+($E83-$D83)*$I$2/(1+EXP($I$3*(COUNT($H$9:K$9)+$I$4))),TREND($D83:$E83,$D$9:$E$9,K$9))</f>
        <v>0</v>
      </c>
      <c r="L83">
        <f>IF($F83="s-curve",$D83+($E83-$D83)*$I$2/(1+EXP($I$3*(COUNT($H$9:L$9)+$I$4))),TREND($D83:$E83,$D$9:$E$9,L$9))</f>
        <v>0</v>
      </c>
      <c r="M83">
        <f>IF($F83="s-curve",$D83+($E83-$D83)*$I$2/(1+EXP($I$3*(COUNT($H$9:M$9)+$I$4))),TREND($D83:$E83,$D$9:$E$9,M$9))</f>
        <v>0</v>
      </c>
      <c r="N83">
        <f>IF($F83="s-curve",$D83+($E83-$D83)*$I$2/(1+EXP($I$3*(COUNT($H$9:N$9)+$I$4))),TREND($D83:$E83,$D$9:$E$9,N$9))</f>
        <v>0</v>
      </c>
      <c r="O83">
        <f>IF($F83="s-curve",$D83+($E83-$D83)*$I$2/(1+EXP($I$3*(COUNT($H$9:O$9)+$I$4))),TREND($D83:$E83,$D$9:$E$9,O$9))</f>
        <v>0</v>
      </c>
      <c r="P83">
        <f>IF($F83="s-curve",$D83+($E83-$D83)*$I$2/(1+EXP($I$3*(COUNT($H$9:P$9)+$I$4))),TREND($D83:$E83,$D$9:$E$9,P$9))</f>
        <v>0</v>
      </c>
      <c r="Q83">
        <f>IF($F83="s-curve",$D83+($E83-$D83)*$I$2/(1+EXP($I$3*(COUNT($H$9:Q$9)+$I$4))),TREND($D83:$E83,$D$9:$E$9,Q$9))</f>
        <v>0</v>
      </c>
      <c r="R83">
        <f>IF($F83="s-curve",$D83+($E83-$D83)*$I$2/(1+EXP($I$3*(COUNT($H$9:R$9)+$I$4))),TREND($D83:$E83,$D$9:$E$9,R$9))</f>
        <v>0</v>
      </c>
      <c r="S83">
        <f>IF($F83="s-curve",$D83+($E83-$D83)*$I$2/(1+EXP($I$3*(COUNT($H$9:S$9)+$I$4))),TREND($D83:$E83,$D$9:$E$9,S$9))</f>
        <v>0</v>
      </c>
      <c r="T83">
        <f>IF($F83="s-curve",$D83+($E83-$D83)*$I$2/(1+EXP($I$3*(COUNT($H$9:T$9)+$I$4))),TREND($D83:$E83,$D$9:$E$9,T$9))</f>
        <v>0</v>
      </c>
      <c r="U83">
        <f>IF($F83="s-curve",$D83+($E83-$D83)*$I$2/(1+EXP($I$3*(COUNT($H$9:U$9)+$I$4))),TREND($D83:$E83,$D$9:$E$9,U$9))</f>
        <v>0</v>
      </c>
      <c r="V83">
        <f>IF($F83="s-curve",$D83+($E83-$D83)*$I$2/(1+EXP($I$3*(COUNT($H$9:V$9)+$I$4))),TREND($D83:$E83,$D$9:$E$9,V$9))</f>
        <v>0</v>
      </c>
      <c r="W83">
        <f>IF($F83="s-curve",$D83+($E83-$D83)*$I$2/(1+EXP($I$3*(COUNT($H$9:W$9)+$I$4))),TREND($D83:$E83,$D$9:$E$9,W$9))</f>
        <v>0</v>
      </c>
      <c r="X83">
        <f>IF($F83="s-curve",$D83+($E83-$D83)*$I$2/(1+EXP($I$3*(COUNT($H$9:X$9)+$I$4))),TREND($D83:$E83,$D$9:$E$9,X$9))</f>
        <v>0</v>
      </c>
      <c r="Y83">
        <f>IF($F83="s-curve",$D83+($E83-$D83)*$I$2/(1+EXP($I$3*(COUNT($H$9:Y$9)+$I$4))),TREND($D83:$E83,$D$9:$E$9,Y$9))</f>
        <v>0</v>
      </c>
      <c r="Z83">
        <f>IF($F83="s-curve",$D83+($E83-$D83)*$I$2/(1+EXP($I$3*(COUNT($H$9:Z$9)+$I$4))),TREND($D83:$E83,$D$9:$E$9,Z$9))</f>
        <v>0</v>
      </c>
      <c r="AA83">
        <f>IF($F83="s-curve",$D83+($E83-$D83)*$I$2/(1+EXP($I$3*(COUNT($H$9:AA$9)+$I$4))),TREND($D83:$E83,$D$9:$E$9,AA$9))</f>
        <v>0</v>
      </c>
      <c r="AB83">
        <f>IF($F83="s-curve",$D83+($E83-$D83)*$I$2/(1+EXP($I$3*(COUNT($H$9:AB$9)+$I$4))),TREND($D83:$E83,$D$9:$E$9,AB$9))</f>
        <v>0</v>
      </c>
      <c r="AC83">
        <f>IF($F83="s-curve",$D83+($E83-$D83)*$I$2/(1+EXP($I$3*(COUNT($H$9:AC$9)+$I$4))),TREND($D83:$E83,$D$9:$E$9,AC$9))</f>
        <v>0</v>
      </c>
      <c r="AD83">
        <f>IF($F83="s-curve",$D83+($E83-$D83)*$I$2/(1+EXP($I$3*(COUNT($H$9:AD$9)+$I$4))),TREND($D83:$E83,$D$9:$E$9,AD$9))</f>
        <v>0</v>
      </c>
      <c r="AE83">
        <f>IF($F83="s-curve",$D83+($E83-$D83)*$I$2/(1+EXP($I$3*(COUNT($H$9:AE$9)+$I$4))),TREND($D83:$E83,$D$9:$E$9,AE$9))</f>
        <v>0</v>
      </c>
      <c r="AF83">
        <f>IF($F83="s-curve",$D83+($E83-$D83)*$I$2/(1+EXP($I$3*(COUNT($H$9:AF$9)+$I$4))),TREND($D83:$E83,$D$9:$E$9,AF$9))</f>
        <v>0</v>
      </c>
      <c r="AG83">
        <f>IF($F83="s-curve",$D83+($E83-$D83)*$I$2/(1+EXP($I$3*(COUNT($H$9:AG$9)+$I$4))),TREND($D83:$E83,$D$9:$E$9,AG$9))</f>
        <v>0</v>
      </c>
      <c r="AH83">
        <f>IF($F83="s-curve",$D83+($E83-$D83)*$I$2/(1+EXP($I$3*(COUNT($H$9:AH$9)+$I$4))),TREND($D83:$E83,$D$9:$E$9,AH$9))</f>
        <v>0</v>
      </c>
      <c r="AI83">
        <f>IF($F83="s-curve",$D83+($E83-$D83)*$I$2/(1+EXP($I$3*(COUNT($H$9:AI$9)+$I$4))),TREND($D83:$E83,$D$9:$E$9,AI$9))</f>
        <v>0</v>
      </c>
      <c r="AJ83">
        <f>IF($F83="s-curve",$D83+($E83-$D83)*$I$2/(1+EXP($I$3*(COUNT($H$9:AJ$9)+$I$4))),TREND($D83:$E83,$D$9:$E$9,AJ$9))</f>
        <v>0</v>
      </c>
      <c r="AK83">
        <f>IF($F83="s-curve",$D83+($E83-$D83)*$I$2/(1+EXP($I$3*(COUNT($H$9:AK$9)+$I$4))),TREND($D83:$E83,$D$9:$E$9,AK$9))</f>
        <v>0</v>
      </c>
      <c r="AL83">
        <f>IF($F83="s-curve",$D83+($E83-$D83)*$I$2/(1+EXP($I$3*(COUNT($H$9:AL$9)+$I$4))),TREND($D83:$E83,$D$9:$E$9,AL$9))</f>
        <v>0</v>
      </c>
    </row>
    <row r="84" spans="1:38">
      <c r="C84" t="s">
        <v>5</v>
      </c>
      <c r="D84" s="20">
        <f>'SYVbT-passenger'!F7/SUM('SYVbT-passenger'!7:7)</f>
        <v>0</v>
      </c>
      <c r="E84">
        <v>0</v>
      </c>
      <c r="F84" s="6" t="str">
        <f>IF(D84=E84,"n/a",IF(OR(C84="battery electric vehicle",C84="natural gas vehicle",C84="plugin hybrid vehicle"),"s-curve","linear"))</f>
        <v>n/a</v>
      </c>
      <c r="H84" s="20">
        <f t="shared" si="30"/>
        <v>0</v>
      </c>
      <c r="I84">
        <f>IF($F84="s-curve",$D84+($E84-$D84)*$I$2/(1+EXP($I$3*(COUNT($H$9:I$9)+$I$4))),TREND($D84:$E84,$D$9:$E$9,I$9))</f>
        <v>0</v>
      </c>
      <c r="J84">
        <f>IF($F84="s-curve",$D84+($E84-$D84)*$I$2/(1+EXP($I$3*(COUNT($H$9:J$9)+$I$4))),TREND($D84:$E84,$D$9:$E$9,J$9))</f>
        <v>0</v>
      </c>
      <c r="K84">
        <f>IF($F84="s-curve",$D84+($E84-$D84)*$I$2/(1+EXP($I$3*(COUNT($H$9:K$9)+$I$4))),TREND($D84:$E84,$D$9:$E$9,K$9))</f>
        <v>0</v>
      </c>
      <c r="L84">
        <f>IF($F84="s-curve",$D84+($E84-$D84)*$I$2/(1+EXP($I$3*(COUNT($H$9:L$9)+$I$4))),TREND($D84:$E84,$D$9:$E$9,L$9))</f>
        <v>0</v>
      </c>
      <c r="M84">
        <f>IF($F84="s-curve",$D84+($E84-$D84)*$I$2/(1+EXP($I$3*(COUNT($H$9:M$9)+$I$4))),TREND($D84:$E84,$D$9:$E$9,M$9))</f>
        <v>0</v>
      </c>
      <c r="N84">
        <f>IF($F84="s-curve",$D84+($E84-$D84)*$I$2/(1+EXP($I$3*(COUNT($H$9:N$9)+$I$4))),TREND($D84:$E84,$D$9:$E$9,N$9))</f>
        <v>0</v>
      </c>
      <c r="O84">
        <f>IF($F84="s-curve",$D84+($E84-$D84)*$I$2/(1+EXP($I$3*(COUNT($H$9:O$9)+$I$4))),TREND($D84:$E84,$D$9:$E$9,O$9))</f>
        <v>0</v>
      </c>
      <c r="P84">
        <f>IF($F84="s-curve",$D84+($E84-$D84)*$I$2/(1+EXP($I$3*(COUNT($H$9:P$9)+$I$4))),TREND($D84:$E84,$D$9:$E$9,P$9))</f>
        <v>0</v>
      </c>
      <c r="Q84">
        <f>IF($F84="s-curve",$D84+($E84-$D84)*$I$2/(1+EXP($I$3*(COUNT($H$9:Q$9)+$I$4))),TREND($D84:$E84,$D$9:$E$9,Q$9))</f>
        <v>0</v>
      </c>
      <c r="R84">
        <f>IF($F84="s-curve",$D84+($E84-$D84)*$I$2/(1+EXP($I$3*(COUNT($H$9:R$9)+$I$4))),TREND($D84:$E84,$D$9:$E$9,R$9))</f>
        <v>0</v>
      </c>
      <c r="S84">
        <f>IF($F84="s-curve",$D84+($E84-$D84)*$I$2/(1+EXP($I$3*(COUNT($H$9:S$9)+$I$4))),TREND($D84:$E84,$D$9:$E$9,S$9))</f>
        <v>0</v>
      </c>
      <c r="T84">
        <f>IF($F84="s-curve",$D84+($E84-$D84)*$I$2/(1+EXP($I$3*(COUNT($H$9:T$9)+$I$4))),TREND($D84:$E84,$D$9:$E$9,T$9))</f>
        <v>0</v>
      </c>
      <c r="U84">
        <f>IF($F84="s-curve",$D84+($E84-$D84)*$I$2/(1+EXP($I$3*(COUNT($H$9:U$9)+$I$4))),TREND($D84:$E84,$D$9:$E$9,U$9))</f>
        <v>0</v>
      </c>
      <c r="V84">
        <f>IF($F84="s-curve",$D84+($E84-$D84)*$I$2/(1+EXP($I$3*(COUNT($H$9:V$9)+$I$4))),TREND($D84:$E84,$D$9:$E$9,V$9))</f>
        <v>0</v>
      </c>
      <c r="W84">
        <f>IF($F84="s-curve",$D84+($E84-$D84)*$I$2/(1+EXP($I$3*(COUNT($H$9:W$9)+$I$4))),TREND($D84:$E84,$D$9:$E$9,W$9))</f>
        <v>0</v>
      </c>
      <c r="X84">
        <f>IF($F84="s-curve",$D84+($E84-$D84)*$I$2/(1+EXP($I$3*(COUNT($H$9:X$9)+$I$4))),TREND($D84:$E84,$D$9:$E$9,X$9))</f>
        <v>0</v>
      </c>
      <c r="Y84">
        <f>IF($F84="s-curve",$D84+($E84-$D84)*$I$2/(1+EXP($I$3*(COUNT($H$9:Y$9)+$I$4))),TREND($D84:$E84,$D$9:$E$9,Y$9))</f>
        <v>0</v>
      </c>
      <c r="Z84">
        <f>IF($F84="s-curve",$D84+($E84-$D84)*$I$2/(1+EXP($I$3*(COUNT($H$9:Z$9)+$I$4))),TREND($D84:$E84,$D$9:$E$9,Z$9))</f>
        <v>0</v>
      </c>
      <c r="AA84">
        <f>IF($F84="s-curve",$D84+($E84-$D84)*$I$2/(1+EXP($I$3*(COUNT($H$9:AA$9)+$I$4))),TREND($D84:$E84,$D$9:$E$9,AA$9))</f>
        <v>0</v>
      </c>
      <c r="AB84">
        <f>IF($F84="s-curve",$D84+($E84-$D84)*$I$2/(1+EXP($I$3*(COUNT($H$9:AB$9)+$I$4))),TREND($D84:$E84,$D$9:$E$9,AB$9))</f>
        <v>0</v>
      </c>
      <c r="AC84">
        <f>IF($F84="s-curve",$D84+($E84-$D84)*$I$2/(1+EXP($I$3*(COUNT($H$9:AC$9)+$I$4))),TREND($D84:$E84,$D$9:$E$9,AC$9))</f>
        <v>0</v>
      </c>
      <c r="AD84">
        <f>IF($F84="s-curve",$D84+($E84-$D84)*$I$2/(1+EXP($I$3*(COUNT($H$9:AD$9)+$I$4))),TREND($D84:$E84,$D$9:$E$9,AD$9))</f>
        <v>0</v>
      </c>
      <c r="AE84">
        <f>IF($F84="s-curve",$D84+($E84-$D84)*$I$2/(1+EXP($I$3*(COUNT($H$9:AE$9)+$I$4))),TREND($D84:$E84,$D$9:$E$9,AE$9))</f>
        <v>0</v>
      </c>
      <c r="AF84">
        <f>IF($F84="s-curve",$D84+($E84-$D84)*$I$2/(1+EXP($I$3*(COUNT($H$9:AF$9)+$I$4))),TREND($D84:$E84,$D$9:$E$9,AF$9))</f>
        <v>0</v>
      </c>
      <c r="AG84">
        <f>IF($F84="s-curve",$D84+($E84-$D84)*$I$2/(1+EXP($I$3*(COUNT($H$9:AG$9)+$I$4))),TREND($D84:$E84,$D$9:$E$9,AG$9))</f>
        <v>0</v>
      </c>
      <c r="AH84">
        <f>IF($F84="s-curve",$D84+($E84-$D84)*$I$2/(1+EXP($I$3*(COUNT($H$9:AH$9)+$I$4))),TREND($D84:$E84,$D$9:$E$9,AH$9))</f>
        <v>0</v>
      </c>
      <c r="AI84">
        <f>IF($F84="s-curve",$D84+($E84-$D84)*$I$2/(1+EXP($I$3*(COUNT($H$9:AI$9)+$I$4))),TREND($D84:$E84,$D$9:$E$9,AI$9))</f>
        <v>0</v>
      </c>
      <c r="AJ84">
        <f>IF($F84="s-curve",$D84+($E84-$D84)*$I$2/(1+EXP($I$3*(COUNT($H$9:AJ$9)+$I$4))),TREND($D84:$E84,$D$9:$E$9,AJ$9))</f>
        <v>0</v>
      </c>
      <c r="AK84">
        <f>IF($F84="s-curve",$D84+($E84-$D84)*$I$2/(1+EXP($I$3*(COUNT($H$9:AK$9)+$I$4))),TREND($D84:$E84,$D$9:$E$9,AK$9))</f>
        <v>0</v>
      </c>
      <c r="AL84">
        <f>IF($F84="s-curve",$D84+($E84-$D84)*$I$2/(1+EXP($I$3*(COUNT($H$9:AL$9)+$I$4))),TREND($D84:$E84,$D$9:$E$9,AL$9))</f>
        <v>0</v>
      </c>
    </row>
    <row r="85" spans="1:38">
      <c r="C85" t="s">
        <v>78</v>
      </c>
      <c r="D85" s="20">
        <f>'SYVbT-passenger'!G7/SUM('SYVbT-passenger'!7:7)</f>
        <v>0</v>
      </c>
      <c r="E85">
        <v>0</v>
      </c>
      <c r="F85" s="6" t="str">
        <f>IF(D85=E85,"n/a",IF(OR(C85="battery electric vehicle",C85="natural gas vehicle",C85="plugin hybrid vehicle",C85="hydrogen vehicle"),"s-curve","linear"))</f>
        <v>n/a</v>
      </c>
      <c r="H85" s="20">
        <f t="shared" si="30"/>
        <v>0</v>
      </c>
      <c r="I85">
        <f>IF($F85="s-curve",$D85+($E85-$D85)*$I$2/(1+EXP($I$3*(COUNT($H$9:I$9)+$I$4))),TREND($D85:$E85,$D$9:$E$9,I$9))</f>
        <v>0</v>
      </c>
      <c r="J85">
        <f>IF($F85="s-curve",$D85+($E85-$D85)*$I$2/(1+EXP($I$3*(COUNT($H$9:J$9)+$I$4))),TREND($D85:$E85,$D$9:$E$9,J$9))</f>
        <v>0</v>
      </c>
      <c r="K85">
        <f>IF($F85="s-curve",$D85+($E85-$D85)*$I$2/(1+EXP($I$3*(COUNT($H$9:K$9)+$I$4))),TREND($D85:$E85,$D$9:$E$9,K$9))</f>
        <v>0</v>
      </c>
      <c r="L85">
        <f>IF($F85="s-curve",$D85+($E85-$D85)*$I$2/(1+EXP($I$3*(COUNT($H$9:L$9)+$I$4))),TREND($D85:$E85,$D$9:$E$9,L$9))</f>
        <v>0</v>
      </c>
      <c r="M85">
        <f>IF($F85="s-curve",$D85+($E85-$D85)*$I$2/(1+EXP($I$3*(COUNT($H$9:M$9)+$I$4))),TREND($D85:$E85,$D$9:$E$9,M$9))</f>
        <v>0</v>
      </c>
      <c r="N85">
        <f>IF($F85="s-curve",$D85+($E85-$D85)*$I$2/(1+EXP($I$3*(COUNT($H$9:N$9)+$I$4))),TREND($D85:$E85,$D$9:$E$9,N$9))</f>
        <v>0</v>
      </c>
      <c r="O85">
        <f>IF($F85="s-curve",$D85+($E85-$D85)*$I$2/(1+EXP($I$3*(COUNT($H$9:O$9)+$I$4))),TREND($D85:$E85,$D$9:$E$9,O$9))</f>
        <v>0</v>
      </c>
      <c r="P85">
        <f>IF($F85="s-curve",$D85+($E85-$D85)*$I$2/(1+EXP($I$3*(COUNT($H$9:P$9)+$I$4))),TREND($D85:$E85,$D$9:$E$9,P$9))</f>
        <v>0</v>
      </c>
      <c r="Q85">
        <f>IF($F85="s-curve",$D85+($E85-$D85)*$I$2/(1+EXP($I$3*(COUNT($H$9:Q$9)+$I$4))),TREND($D85:$E85,$D$9:$E$9,Q$9))</f>
        <v>0</v>
      </c>
      <c r="R85">
        <f>IF($F85="s-curve",$D85+($E85-$D85)*$I$2/(1+EXP($I$3*(COUNT($H$9:R$9)+$I$4))),TREND($D85:$E85,$D$9:$E$9,R$9))</f>
        <v>0</v>
      </c>
      <c r="S85">
        <f>IF($F85="s-curve",$D85+($E85-$D85)*$I$2/(1+EXP($I$3*(COUNT($H$9:S$9)+$I$4))),TREND($D85:$E85,$D$9:$E$9,S$9))</f>
        <v>0</v>
      </c>
      <c r="T85">
        <f>IF($F85="s-curve",$D85+($E85-$D85)*$I$2/(1+EXP($I$3*(COUNT($H$9:T$9)+$I$4))),TREND($D85:$E85,$D$9:$E$9,T$9))</f>
        <v>0</v>
      </c>
      <c r="U85">
        <f>IF($F85="s-curve",$D85+($E85-$D85)*$I$2/(1+EXP($I$3*(COUNT($H$9:U$9)+$I$4))),TREND($D85:$E85,$D$9:$E$9,U$9))</f>
        <v>0</v>
      </c>
      <c r="V85">
        <f>IF($F85="s-curve",$D85+($E85-$D85)*$I$2/(1+EXP($I$3*(COUNT($H$9:V$9)+$I$4))),TREND($D85:$E85,$D$9:$E$9,V$9))</f>
        <v>0</v>
      </c>
      <c r="W85">
        <f>IF($F85="s-curve",$D85+($E85-$D85)*$I$2/(1+EXP($I$3*(COUNT($H$9:W$9)+$I$4))),TREND($D85:$E85,$D$9:$E$9,W$9))</f>
        <v>0</v>
      </c>
      <c r="X85">
        <f>IF($F85="s-curve",$D85+($E85-$D85)*$I$2/(1+EXP($I$3*(COUNT($H$9:X$9)+$I$4))),TREND($D85:$E85,$D$9:$E$9,X$9))</f>
        <v>0</v>
      </c>
      <c r="Y85">
        <f>IF($F85="s-curve",$D85+($E85-$D85)*$I$2/(1+EXP($I$3*(COUNT($H$9:Y$9)+$I$4))),TREND($D85:$E85,$D$9:$E$9,Y$9))</f>
        <v>0</v>
      </c>
      <c r="Z85">
        <f>IF($F85="s-curve",$D85+($E85-$D85)*$I$2/(1+EXP($I$3*(COUNT($H$9:Z$9)+$I$4))),TREND($D85:$E85,$D$9:$E$9,Z$9))</f>
        <v>0</v>
      </c>
      <c r="AA85">
        <f>IF($F85="s-curve",$D85+($E85-$D85)*$I$2/(1+EXP($I$3*(COUNT($H$9:AA$9)+$I$4))),TREND($D85:$E85,$D$9:$E$9,AA$9))</f>
        <v>0</v>
      </c>
      <c r="AB85">
        <f>IF($F85="s-curve",$D85+($E85-$D85)*$I$2/(1+EXP($I$3*(COUNT($H$9:AB$9)+$I$4))),TREND($D85:$E85,$D$9:$E$9,AB$9))</f>
        <v>0</v>
      </c>
      <c r="AC85">
        <f>IF($F85="s-curve",$D85+($E85-$D85)*$I$2/(1+EXP($I$3*(COUNT($H$9:AC$9)+$I$4))),TREND($D85:$E85,$D$9:$E$9,AC$9))</f>
        <v>0</v>
      </c>
      <c r="AD85">
        <f>IF($F85="s-curve",$D85+($E85-$D85)*$I$2/(1+EXP($I$3*(COUNT($H$9:AD$9)+$I$4))),TREND($D85:$E85,$D$9:$E$9,AD$9))</f>
        <v>0</v>
      </c>
      <c r="AE85">
        <f>IF($F85="s-curve",$D85+($E85-$D85)*$I$2/(1+EXP($I$3*(COUNT($H$9:AE$9)+$I$4))),TREND($D85:$E85,$D$9:$E$9,AE$9))</f>
        <v>0</v>
      </c>
      <c r="AF85">
        <f>IF($F85="s-curve",$D85+($E85-$D85)*$I$2/(1+EXP($I$3*(COUNT($H$9:AF$9)+$I$4))),TREND($D85:$E85,$D$9:$E$9,AF$9))</f>
        <v>0</v>
      </c>
      <c r="AG85">
        <f>IF($F85="s-curve",$D85+($E85-$D85)*$I$2/(1+EXP($I$3*(COUNT($H$9:AG$9)+$I$4))),TREND($D85:$E85,$D$9:$E$9,AG$9))</f>
        <v>0</v>
      </c>
      <c r="AH85">
        <f>IF($F85="s-curve",$D85+($E85-$D85)*$I$2/(1+EXP($I$3*(COUNT($H$9:AH$9)+$I$4))),TREND($D85:$E85,$D$9:$E$9,AH$9))</f>
        <v>0</v>
      </c>
      <c r="AI85">
        <f>IF($F85="s-curve",$D85+($E85-$D85)*$I$2/(1+EXP($I$3*(COUNT($H$9:AI$9)+$I$4))),TREND($D85:$E85,$D$9:$E$9,AI$9))</f>
        <v>0</v>
      </c>
      <c r="AJ85">
        <f>IF($F85="s-curve",$D85+($E85-$D85)*$I$2/(1+EXP($I$3*(COUNT($H$9:AJ$9)+$I$4))),TREND($D85:$E85,$D$9:$E$9,AJ$9))</f>
        <v>0</v>
      </c>
      <c r="AK85">
        <f>IF($F85="s-curve",$D85+($E85-$D85)*$I$2/(1+EXP($I$3*(COUNT($H$9:AK$9)+$I$4))),TREND($D85:$E85,$D$9:$E$9,AK$9))</f>
        <v>0</v>
      </c>
      <c r="AL85">
        <f>IF($F85="s-curve",$D85+($E85-$D85)*$I$2/(1+EXP($I$3*(COUNT($H$9:AL$9)+$I$4))),TREND($D85:$E85,$D$9:$E$9,AL$9))</f>
        <v>0</v>
      </c>
    </row>
    <row r="86" spans="1:38" ht="15.75" thickBot="1">
      <c r="A86" s="21"/>
      <c r="B86" s="21"/>
      <c r="C86" s="21" t="s">
        <v>79</v>
      </c>
      <c r="D86" s="24">
        <f>'SYVbT-passenger'!H7/SUM('SYVbT-passenger'!7:7)</f>
        <v>0</v>
      </c>
      <c r="E86" s="21">
        <v>0</v>
      </c>
      <c r="F86" s="7" t="str">
        <f>IF(D86=E86,"n/a",IF(OR(C86="battery electric vehicle",C86="natural gas vehicle",C86="plugin hybrid vehicle",C86="hydrogen vehicle"),"s-curve","linear"))</f>
        <v>n/a</v>
      </c>
      <c r="H86" s="20">
        <f t="shared" si="30"/>
        <v>0</v>
      </c>
      <c r="I86">
        <f>IF($F86="s-curve",$D86+($E86-$D86)*$I$2/(1+EXP($I$3*(COUNT($H$9:I$9)+$I$4))),TREND($D86:$E86,$D$9:$E$9,I$9))</f>
        <v>0</v>
      </c>
      <c r="J86">
        <f>IF($F86="s-curve",$D86+($E86-$D86)*$I$2/(1+EXP($I$3*(COUNT($H$9:J$9)+$I$4))),TREND($D86:$E86,$D$9:$E$9,J$9))</f>
        <v>0</v>
      </c>
      <c r="K86">
        <f>IF($F86="s-curve",$D86+($E86-$D86)*$I$2/(1+EXP($I$3*(COUNT($H$9:K$9)+$I$4))),TREND($D86:$E86,$D$9:$E$9,K$9))</f>
        <v>0</v>
      </c>
      <c r="L86">
        <f>IF($F86="s-curve",$D86+($E86-$D86)*$I$2/(1+EXP($I$3*(COUNT($H$9:L$9)+$I$4))),TREND($D86:$E86,$D$9:$E$9,L$9))</f>
        <v>0</v>
      </c>
      <c r="M86">
        <f>IF($F86="s-curve",$D86+($E86-$D86)*$I$2/(1+EXP($I$3*(COUNT($H$9:M$9)+$I$4))),TREND($D86:$E86,$D$9:$E$9,M$9))</f>
        <v>0</v>
      </c>
      <c r="N86">
        <f>IF($F86="s-curve",$D86+($E86-$D86)*$I$2/(1+EXP($I$3*(COUNT($H$9:N$9)+$I$4))),TREND($D86:$E86,$D$9:$E$9,N$9))</f>
        <v>0</v>
      </c>
      <c r="O86">
        <f>IF($F86="s-curve",$D86+($E86-$D86)*$I$2/(1+EXP($I$3*(COUNT($H$9:O$9)+$I$4))),TREND($D86:$E86,$D$9:$E$9,O$9))</f>
        <v>0</v>
      </c>
      <c r="P86">
        <f>IF($F86="s-curve",$D86+($E86-$D86)*$I$2/(1+EXP($I$3*(COUNT($H$9:P$9)+$I$4))),TREND($D86:$E86,$D$9:$E$9,P$9))</f>
        <v>0</v>
      </c>
      <c r="Q86">
        <f>IF($F86="s-curve",$D86+($E86-$D86)*$I$2/(1+EXP($I$3*(COUNT($H$9:Q$9)+$I$4))),TREND($D86:$E86,$D$9:$E$9,Q$9))</f>
        <v>0</v>
      </c>
      <c r="R86">
        <f>IF($F86="s-curve",$D86+($E86-$D86)*$I$2/(1+EXP($I$3*(COUNT($H$9:R$9)+$I$4))),TREND($D86:$E86,$D$9:$E$9,R$9))</f>
        <v>0</v>
      </c>
      <c r="S86">
        <f>IF($F86="s-curve",$D86+($E86-$D86)*$I$2/(1+EXP($I$3*(COUNT($H$9:S$9)+$I$4))),TREND($D86:$E86,$D$9:$E$9,S$9))</f>
        <v>0</v>
      </c>
      <c r="T86">
        <f>IF($F86="s-curve",$D86+($E86-$D86)*$I$2/(1+EXP($I$3*(COUNT($H$9:T$9)+$I$4))),TREND($D86:$E86,$D$9:$E$9,T$9))</f>
        <v>0</v>
      </c>
      <c r="U86">
        <f>IF($F86="s-curve",$D86+($E86-$D86)*$I$2/(1+EXP($I$3*(COUNT($H$9:U$9)+$I$4))),TREND($D86:$E86,$D$9:$E$9,U$9))</f>
        <v>0</v>
      </c>
      <c r="V86">
        <f>IF($F86="s-curve",$D86+($E86-$D86)*$I$2/(1+EXP($I$3*(COUNT($H$9:V$9)+$I$4))),TREND($D86:$E86,$D$9:$E$9,V$9))</f>
        <v>0</v>
      </c>
      <c r="W86">
        <f>IF($F86="s-curve",$D86+($E86-$D86)*$I$2/(1+EXP($I$3*(COUNT($H$9:W$9)+$I$4))),TREND($D86:$E86,$D$9:$E$9,W$9))</f>
        <v>0</v>
      </c>
      <c r="X86">
        <f>IF($F86="s-curve",$D86+($E86-$D86)*$I$2/(1+EXP($I$3*(COUNT($H$9:X$9)+$I$4))),TREND($D86:$E86,$D$9:$E$9,X$9))</f>
        <v>0</v>
      </c>
      <c r="Y86">
        <f>IF($F86="s-curve",$D86+($E86-$D86)*$I$2/(1+EXP($I$3*(COUNT($H$9:Y$9)+$I$4))),TREND($D86:$E86,$D$9:$E$9,Y$9))</f>
        <v>0</v>
      </c>
      <c r="Z86">
        <f>IF($F86="s-curve",$D86+($E86-$D86)*$I$2/(1+EXP($I$3*(COUNT($H$9:Z$9)+$I$4))),TREND($D86:$E86,$D$9:$E$9,Z$9))</f>
        <v>0</v>
      </c>
      <c r="AA86">
        <f>IF($F86="s-curve",$D86+($E86-$D86)*$I$2/(1+EXP($I$3*(COUNT($H$9:AA$9)+$I$4))),TREND($D86:$E86,$D$9:$E$9,AA$9))</f>
        <v>0</v>
      </c>
      <c r="AB86">
        <f>IF($F86="s-curve",$D86+($E86-$D86)*$I$2/(1+EXP($I$3*(COUNT($H$9:AB$9)+$I$4))),TREND($D86:$E86,$D$9:$E$9,AB$9))</f>
        <v>0</v>
      </c>
      <c r="AC86">
        <f>IF($F86="s-curve",$D86+($E86-$D86)*$I$2/(1+EXP($I$3*(COUNT($H$9:AC$9)+$I$4))),TREND($D86:$E86,$D$9:$E$9,AC$9))</f>
        <v>0</v>
      </c>
      <c r="AD86">
        <f>IF($F86="s-curve",$D86+($E86-$D86)*$I$2/(1+EXP($I$3*(COUNT($H$9:AD$9)+$I$4))),TREND($D86:$E86,$D$9:$E$9,AD$9))</f>
        <v>0</v>
      </c>
      <c r="AE86">
        <f>IF($F86="s-curve",$D86+($E86-$D86)*$I$2/(1+EXP($I$3*(COUNT($H$9:AE$9)+$I$4))),TREND($D86:$E86,$D$9:$E$9,AE$9))</f>
        <v>0</v>
      </c>
      <c r="AF86">
        <f>IF($F86="s-curve",$D86+($E86-$D86)*$I$2/(1+EXP($I$3*(COUNT($H$9:AF$9)+$I$4))),TREND($D86:$E86,$D$9:$E$9,AF$9))</f>
        <v>0</v>
      </c>
      <c r="AG86">
        <f>IF($F86="s-curve",$D86+($E86-$D86)*$I$2/(1+EXP($I$3*(COUNT($H$9:AG$9)+$I$4))),TREND($D86:$E86,$D$9:$E$9,AG$9))</f>
        <v>0</v>
      </c>
      <c r="AH86">
        <f>IF($F86="s-curve",$D86+($E86-$D86)*$I$2/(1+EXP($I$3*(COUNT($H$9:AH$9)+$I$4))),TREND($D86:$E86,$D$9:$E$9,AH$9))</f>
        <v>0</v>
      </c>
      <c r="AI86">
        <f>IF($F86="s-curve",$D86+($E86-$D86)*$I$2/(1+EXP($I$3*(COUNT($H$9:AI$9)+$I$4))),TREND($D86:$E86,$D$9:$E$9,AI$9))</f>
        <v>0</v>
      </c>
      <c r="AJ86">
        <f>IF($F86="s-curve",$D86+($E86-$D86)*$I$2/(1+EXP($I$3*(COUNT($H$9:AJ$9)+$I$4))),TREND($D86:$E86,$D$9:$E$9,AJ$9))</f>
        <v>0</v>
      </c>
      <c r="AK86">
        <f>IF($F86="s-curve",$D86+($E86-$D86)*$I$2/(1+EXP($I$3*(COUNT($H$9:AK$9)+$I$4))),TREND($D86:$E86,$D$9:$E$9,AK$9))</f>
        <v>0</v>
      </c>
      <c r="AL86">
        <f>IF($F86="s-curve",$D86+($E86-$D86)*$I$2/(1+EXP($I$3*(COUNT($H$9:AL$9)+$I$4))),TREND($D86:$E86,$D$9:$E$9,AL$9))</f>
        <v>0</v>
      </c>
    </row>
    <row r="87" spans="1:38">
      <c r="A87" t="s">
        <v>17</v>
      </c>
      <c r="B87" t="s">
        <v>18</v>
      </c>
      <c r="C87" t="s">
        <v>1</v>
      </c>
      <c r="D87" s="20">
        <f>D80</f>
        <v>0</v>
      </c>
      <c r="E87" s="20">
        <f>E80</f>
        <v>1</v>
      </c>
      <c r="F87" s="6" t="str">
        <f>IF(D87=E87,"n/a",IF(OR(C87="battery electric vehicle",C87="natural gas vehicle",C87="plugin hybrid vehicle"),"s-curve","linear"))</f>
        <v>s-curve</v>
      </c>
      <c r="H87" s="20">
        <f t="shared" si="30"/>
        <v>0</v>
      </c>
      <c r="I87">
        <f>IF($F87="s-curve",$D87+($E87-$D87)*$I$2/(1+EXP($I$3*(COUNT($H$9:I$9)+$I$4))),TREND($D87:$E87,$D$9:$E$9,I$9))</f>
        <v>1.4774031693273055E-2</v>
      </c>
      <c r="J87">
        <f>IF($F87="s-curve",$D87+($E87-$D87)*$I$2/(1+EXP($I$3*(COUNT($H$9:J$9)+$I$4))),TREND($D87:$E87,$D$9:$E$9,J$9))</f>
        <v>1.984030573407751E-2</v>
      </c>
      <c r="K87">
        <f>IF($F87="s-curve",$D87+($E87-$D87)*$I$2/(1+EXP($I$3*(COUNT($H$9:K$9)+$I$4))),TREND($D87:$E87,$D$9:$E$9,K$9))</f>
        <v>2.6596993576865863E-2</v>
      </c>
      <c r="L87">
        <f>IF($F87="s-curve",$D87+($E87-$D87)*$I$2/(1+EXP($I$3*(COUNT($H$9:L$9)+$I$4))),TREND($D87:$E87,$D$9:$E$9,L$9))</f>
        <v>3.5571189272636181E-2</v>
      </c>
      <c r="M87">
        <f>IF($F87="s-curve",$D87+($E87-$D87)*$I$2/(1+EXP($I$3*(COUNT($H$9:M$9)+$I$4))),TREND($D87:$E87,$D$9:$E$9,M$9))</f>
        <v>4.7425873177566781E-2</v>
      </c>
      <c r="N87">
        <f>IF($F87="s-curve",$D87+($E87-$D87)*$I$2/(1+EXP($I$3*(COUNT($H$9:N$9)+$I$4))),TREND($D87:$E87,$D$9:$E$9,N$9))</f>
        <v>6.2973356056996513E-2</v>
      </c>
      <c r="O87">
        <f>IF($F87="s-curve",$D87+($E87-$D87)*$I$2/(1+EXP($I$3*(COUNT($H$9:O$9)+$I$4))),TREND($D87:$E87,$D$9:$E$9,O$9))</f>
        <v>8.317269649392238E-2</v>
      </c>
      <c r="P87">
        <f>IF($F87="s-curve",$D87+($E87-$D87)*$I$2/(1+EXP($I$3*(COUNT($H$9:P$9)+$I$4))),TREND($D87:$E87,$D$9:$E$9,P$9))</f>
        <v>0.10909682119561293</v>
      </c>
      <c r="Q87">
        <f>IF($F87="s-curve",$D87+($E87-$D87)*$I$2/(1+EXP($I$3*(COUNT($H$9:Q$9)+$I$4))),TREND($D87:$E87,$D$9:$E$9,Q$9))</f>
        <v>0.14185106490048782</v>
      </c>
      <c r="R87">
        <f>IF($F87="s-curve",$D87+($E87-$D87)*$I$2/(1+EXP($I$3*(COUNT($H$9:R$9)+$I$4))),TREND($D87:$E87,$D$9:$E$9,R$9))</f>
        <v>0.18242552380635635</v>
      </c>
      <c r="S87">
        <f>IF($F87="s-curve",$D87+($E87-$D87)*$I$2/(1+EXP($I$3*(COUNT($H$9:S$9)+$I$4))),TREND($D87:$E87,$D$9:$E$9,S$9))</f>
        <v>0.23147521650098238</v>
      </c>
      <c r="T87">
        <f>IF($F87="s-curve",$D87+($E87-$D87)*$I$2/(1+EXP($I$3*(COUNT($H$9:T$9)+$I$4))),TREND($D87:$E87,$D$9:$E$9,T$9))</f>
        <v>0.28905049737499605</v>
      </c>
      <c r="U87">
        <f>IF($F87="s-curve",$D87+($E87-$D87)*$I$2/(1+EXP($I$3*(COUNT($H$9:U$9)+$I$4))),TREND($D87:$E87,$D$9:$E$9,U$9))</f>
        <v>0.35434369377420455</v>
      </c>
      <c r="V87">
        <f>IF($F87="s-curve",$D87+($E87-$D87)*$I$2/(1+EXP($I$3*(COUNT($H$9:V$9)+$I$4))),TREND($D87:$E87,$D$9:$E$9,V$9))</f>
        <v>0.42555748318834102</v>
      </c>
      <c r="W87">
        <f>IF($F87="s-curve",$D87+($E87-$D87)*$I$2/(1+EXP($I$3*(COUNT($H$9:W$9)+$I$4))),TREND($D87:$E87,$D$9:$E$9,W$9))</f>
        <v>0.5</v>
      </c>
      <c r="X87">
        <f>IF($F87="s-curve",$D87+($E87-$D87)*$I$2/(1+EXP($I$3*(COUNT($H$9:X$9)+$I$4))),TREND($D87:$E87,$D$9:$E$9,X$9))</f>
        <v>0.57444251681165903</v>
      </c>
      <c r="Y87">
        <f>IF($F87="s-curve",$D87+($E87-$D87)*$I$2/(1+EXP($I$3*(COUNT($H$9:Y$9)+$I$4))),TREND($D87:$E87,$D$9:$E$9,Y$9))</f>
        <v>0.6456563062257954</v>
      </c>
      <c r="Z87">
        <f>IF($F87="s-curve",$D87+($E87-$D87)*$I$2/(1+EXP($I$3*(COUNT($H$9:Z$9)+$I$4))),TREND($D87:$E87,$D$9:$E$9,Z$9))</f>
        <v>0.71094950262500389</v>
      </c>
      <c r="AA87">
        <f>IF($F87="s-curve",$D87+($E87-$D87)*$I$2/(1+EXP($I$3*(COUNT($H$9:AA$9)+$I$4))),TREND($D87:$E87,$D$9:$E$9,AA$9))</f>
        <v>0.76852478349901754</v>
      </c>
      <c r="AB87">
        <f>IF($F87="s-curve",$D87+($E87-$D87)*$I$2/(1+EXP($I$3*(COUNT($H$9:AB$9)+$I$4))),TREND($D87:$E87,$D$9:$E$9,AB$9))</f>
        <v>0.81757447619364365</v>
      </c>
      <c r="AC87">
        <f>IF($F87="s-curve",$D87+($E87-$D87)*$I$2/(1+EXP($I$3*(COUNT($H$9:AC$9)+$I$4))),TREND($D87:$E87,$D$9:$E$9,AC$9))</f>
        <v>0.85814893509951229</v>
      </c>
      <c r="AD87">
        <f>IF($F87="s-curve",$D87+($E87-$D87)*$I$2/(1+EXP($I$3*(COUNT($H$9:AD$9)+$I$4))),TREND($D87:$E87,$D$9:$E$9,AD$9))</f>
        <v>0.89090317880438707</v>
      </c>
      <c r="AE87">
        <f>IF($F87="s-curve",$D87+($E87-$D87)*$I$2/(1+EXP($I$3*(COUNT($H$9:AE$9)+$I$4))),TREND($D87:$E87,$D$9:$E$9,AE$9))</f>
        <v>0.91682730350607766</v>
      </c>
      <c r="AF87">
        <f>IF($F87="s-curve",$D87+($E87-$D87)*$I$2/(1+EXP($I$3*(COUNT($H$9:AF$9)+$I$4))),TREND($D87:$E87,$D$9:$E$9,AF$9))</f>
        <v>0.9370266439430035</v>
      </c>
      <c r="AG87">
        <f>IF($F87="s-curve",$D87+($E87-$D87)*$I$2/(1+EXP($I$3*(COUNT($H$9:AG$9)+$I$4))),TREND($D87:$E87,$D$9:$E$9,AG$9))</f>
        <v>0.95257412682243336</v>
      </c>
      <c r="AH87">
        <f>IF($F87="s-curve",$D87+($E87-$D87)*$I$2/(1+EXP($I$3*(COUNT($H$9:AH$9)+$I$4))),TREND($D87:$E87,$D$9:$E$9,AH$9))</f>
        <v>0.96442881072736386</v>
      </c>
      <c r="AI87">
        <f>IF($F87="s-curve",$D87+($E87-$D87)*$I$2/(1+EXP($I$3*(COUNT($H$9:AI$9)+$I$4))),TREND($D87:$E87,$D$9:$E$9,AI$9))</f>
        <v>0.97340300642313404</v>
      </c>
      <c r="AJ87">
        <f>IF($F87="s-curve",$D87+($E87-$D87)*$I$2/(1+EXP($I$3*(COUNT($H$9:AJ$9)+$I$4))),TREND($D87:$E87,$D$9:$E$9,AJ$9))</f>
        <v>0.98015969426592253</v>
      </c>
      <c r="AK87">
        <f>IF($F87="s-curve",$D87+($E87-$D87)*$I$2/(1+EXP($I$3*(COUNT($H$9:AK$9)+$I$4))),TREND($D87:$E87,$D$9:$E$9,AK$9))</f>
        <v>0.98522596830672693</v>
      </c>
      <c r="AL87">
        <f>IF($F87="s-curve",$D87+($E87-$D87)*$I$2/(1+EXP($I$3*(COUNT($H$9:AL$9)+$I$4))),TREND($D87:$E87,$D$9:$E$9,AL$9))</f>
        <v>0.98901305736940681</v>
      </c>
    </row>
    <row r="88" spans="1:38">
      <c r="C88" t="s">
        <v>2</v>
      </c>
      <c r="D88" s="20">
        <f t="shared" ref="D88:E93" si="32">D81</f>
        <v>0</v>
      </c>
      <c r="E88" s="20">
        <f t="shared" si="32"/>
        <v>0</v>
      </c>
      <c r="F88" s="6" t="str">
        <f>IF(D88=E88,"n/a",IF(OR(C88="battery electric vehicle",C88="natural gas vehicle",C88="plugin hybrid vehicle"),"s-curve","linear"))</f>
        <v>n/a</v>
      </c>
      <c r="H88" s="20">
        <f t="shared" si="30"/>
        <v>0</v>
      </c>
      <c r="I88">
        <f>IF($F88="s-curve",$D88+($E88-$D88)*$I$2/(1+EXP($I$3*(COUNT($H$9:I$9)+$I$4))),TREND($D88:$E88,$D$9:$E$9,I$9))</f>
        <v>0</v>
      </c>
      <c r="J88">
        <f>IF($F88="s-curve",$D88+($E88-$D88)*$I$2/(1+EXP($I$3*(COUNT($H$9:J$9)+$I$4))),TREND($D88:$E88,$D$9:$E$9,J$9))</f>
        <v>0</v>
      </c>
      <c r="K88">
        <f>IF($F88="s-curve",$D88+($E88-$D88)*$I$2/(1+EXP($I$3*(COUNT($H$9:K$9)+$I$4))),TREND($D88:$E88,$D$9:$E$9,K$9))</f>
        <v>0</v>
      </c>
      <c r="L88">
        <f>IF($F88="s-curve",$D88+($E88-$D88)*$I$2/(1+EXP($I$3*(COUNT($H$9:L$9)+$I$4))),TREND($D88:$E88,$D$9:$E$9,L$9))</f>
        <v>0</v>
      </c>
      <c r="M88">
        <f>IF($F88="s-curve",$D88+($E88-$D88)*$I$2/(1+EXP($I$3*(COUNT($H$9:M$9)+$I$4))),TREND($D88:$E88,$D$9:$E$9,M$9))</f>
        <v>0</v>
      </c>
      <c r="N88">
        <f>IF($F88="s-curve",$D88+($E88-$D88)*$I$2/(1+EXP($I$3*(COUNT($H$9:N$9)+$I$4))),TREND($D88:$E88,$D$9:$E$9,N$9))</f>
        <v>0</v>
      </c>
      <c r="O88">
        <f>IF($F88="s-curve",$D88+($E88-$D88)*$I$2/(1+EXP($I$3*(COUNT($H$9:O$9)+$I$4))),TREND($D88:$E88,$D$9:$E$9,O$9))</f>
        <v>0</v>
      </c>
      <c r="P88">
        <f>IF($F88="s-curve",$D88+($E88-$D88)*$I$2/(1+EXP($I$3*(COUNT($H$9:P$9)+$I$4))),TREND($D88:$E88,$D$9:$E$9,P$9))</f>
        <v>0</v>
      </c>
      <c r="Q88">
        <f>IF($F88="s-curve",$D88+($E88-$D88)*$I$2/(1+EXP($I$3*(COUNT($H$9:Q$9)+$I$4))),TREND($D88:$E88,$D$9:$E$9,Q$9))</f>
        <v>0</v>
      </c>
      <c r="R88">
        <f>IF($F88="s-curve",$D88+($E88-$D88)*$I$2/(1+EXP($I$3*(COUNT($H$9:R$9)+$I$4))),TREND($D88:$E88,$D$9:$E$9,R$9))</f>
        <v>0</v>
      </c>
      <c r="S88">
        <f>IF($F88="s-curve",$D88+($E88-$D88)*$I$2/(1+EXP($I$3*(COUNT($H$9:S$9)+$I$4))),TREND($D88:$E88,$D$9:$E$9,S$9))</f>
        <v>0</v>
      </c>
      <c r="T88">
        <f>IF($F88="s-curve",$D88+($E88-$D88)*$I$2/(1+EXP($I$3*(COUNT($H$9:T$9)+$I$4))),TREND($D88:$E88,$D$9:$E$9,T$9))</f>
        <v>0</v>
      </c>
      <c r="U88">
        <f>IF($F88="s-curve",$D88+($E88-$D88)*$I$2/(1+EXP($I$3*(COUNT($H$9:U$9)+$I$4))),TREND($D88:$E88,$D$9:$E$9,U$9))</f>
        <v>0</v>
      </c>
      <c r="V88">
        <f>IF($F88="s-curve",$D88+($E88-$D88)*$I$2/(1+EXP($I$3*(COUNT($H$9:V$9)+$I$4))),TREND($D88:$E88,$D$9:$E$9,V$9))</f>
        <v>0</v>
      </c>
      <c r="W88">
        <f>IF($F88="s-curve",$D88+($E88-$D88)*$I$2/(1+EXP($I$3*(COUNT($H$9:W$9)+$I$4))),TREND($D88:$E88,$D$9:$E$9,W$9))</f>
        <v>0</v>
      </c>
      <c r="X88">
        <f>IF($F88="s-curve",$D88+($E88-$D88)*$I$2/(1+EXP($I$3*(COUNT($H$9:X$9)+$I$4))),TREND($D88:$E88,$D$9:$E$9,X$9))</f>
        <v>0</v>
      </c>
      <c r="Y88">
        <f>IF($F88="s-curve",$D88+($E88-$D88)*$I$2/(1+EXP($I$3*(COUNT($H$9:Y$9)+$I$4))),TREND($D88:$E88,$D$9:$E$9,Y$9))</f>
        <v>0</v>
      </c>
      <c r="Z88">
        <f>IF($F88="s-curve",$D88+($E88-$D88)*$I$2/(1+EXP($I$3*(COUNT($H$9:Z$9)+$I$4))),TREND($D88:$E88,$D$9:$E$9,Z$9))</f>
        <v>0</v>
      </c>
      <c r="AA88">
        <f>IF($F88="s-curve",$D88+($E88-$D88)*$I$2/(1+EXP($I$3*(COUNT($H$9:AA$9)+$I$4))),TREND($D88:$E88,$D$9:$E$9,AA$9))</f>
        <v>0</v>
      </c>
      <c r="AB88">
        <f>IF($F88="s-curve",$D88+($E88-$D88)*$I$2/(1+EXP($I$3*(COUNT($H$9:AB$9)+$I$4))),TREND($D88:$E88,$D$9:$E$9,AB$9))</f>
        <v>0</v>
      </c>
      <c r="AC88">
        <f>IF($F88="s-curve",$D88+($E88-$D88)*$I$2/(1+EXP($I$3*(COUNT($H$9:AC$9)+$I$4))),TREND($D88:$E88,$D$9:$E$9,AC$9))</f>
        <v>0</v>
      </c>
      <c r="AD88">
        <f>IF($F88="s-curve",$D88+($E88-$D88)*$I$2/(1+EXP($I$3*(COUNT($H$9:AD$9)+$I$4))),TREND($D88:$E88,$D$9:$E$9,AD$9))</f>
        <v>0</v>
      </c>
      <c r="AE88">
        <f>IF($F88="s-curve",$D88+($E88-$D88)*$I$2/(1+EXP($I$3*(COUNT($H$9:AE$9)+$I$4))),TREND($D88:$E88,$D$9:$E$9,AE$9))</f>
        <v>0</v>
      </c>
      <c r="AF88">
        <f>IF($F88="s-curve",$D88+($E88-$D88)*$I$2/(1+EXP($I$3*(COUNT($H$9:AF$9)+$I$4))),TREND($D88:$E88,$D$9:$E$9,AF$9))</f>
        <v>0</v>
      </c>
      <c r="AG88">
        <f>IF($F88="s-curve",$D88+($E88-$D88)*$I$2/(1+EXP($I$3*(COUNT($H$9:AG$9)+$I$4))),TREND($D88:$E88,$D$9:$E$9,AG$9))</f>
        <v>0</v>
      </c>
      <c r="AH88">
        <f>IF($F88="s-curve",$D88+($E88-$D88)*$I$2/(1+EXP($I$3*(COUNT($H$9:AH$9)+$I$4))),TREND($D88:$E88,$D$9:$E$9,AH$9))</f>
        <v>0</v>
      </c>
      <c r="AI88">
        <f>IF($F88="s-curve",$D88+($E88-$D88)*$I$2/(1+EXP($I$3*(COUNT($H$9:AI$9)+$I$4))),TREND($D88:$E88,$D$9:$E$9,AI$9))</f>
        <v>0</v>
      </c>
      <c r="AJ88">
        <f>IF($F88="s-curve",$D88+($E88-$D88)*$I$2/(1+EXP($I$3*(COUNT($H$9:AJ$9)+$I$4))),TREND($D88:$E88,$D$9:$E$9,AJ$9))</f>
        <v>0</v>
      </c>
      <c r="AK88">
        <f>IF($F88="s-curve",$D88+($E88-$D88)*$I$2/(1+EXP($I$3*(COUNT($H$9:AK$9)+$I$4))),TREND($D88:$E88,$D$9:$E$9,AK$9))</f>
        <v>0</v>
      </c>
      <c r="AL88">
        <f>IF($F88="s-curve",$D88+($E88-$D88)*$I$2/(1+EXP($I$3*(COUNT($H$9:AL$9)+$I$4))),TREND($D88:$E88,$D$9:$E$9,AL$9))</f>
        <v>0</v>
      </c>
    </row>
    <row r="89" spans="1:38">
      <c r="C89" t="s">
        <v>3</v>
      </c>
      <c r="D89" s="20">
        <f t="shared" si="32"/>
        <v>3</v>
      </c>
      <c r="E89" s="20">
        <f t="shared" si="32"/>
        <v>3</v>
      </c>
      <c r="F89" s="6" t="str">
        <f>IF(D89=E89,"n/a",IF(OR(C89="battery electric vehicle",C89="natural gas vehicle",C89="plugin hybrid vehicle"),"s-curve","linear"))</f>
        <v>n/a</v>
      </c>
      <c r="H89" s="20">
        <f t="shared" si="30"/>
        <v>3</v>
      </c>
      <c r="I89">
        <f>IF($F89="s-curve",$D89+($E89-$D89)*$I$2/(1+EXP($I$3*(COUNT($H$9:I$9)+$I$4))),TREND($D89:$E89,$D$9:$E$9,I$9))</f>
        <v>3</v>
      </c>
      <c r="J89">
        <f>IF($F89="s-curve",$D89+($E89-$D89)*$I$2/(1+EXP($I$3*(COUNT($H$9:J$9)+$I$4))),TREND($D89:$E89,$D$9:$E$9,J$9))</f>
        <v>3</v>
      </c>
      <c r="K89">
        <f>IF($F89="s-curve",$D89+($E89-$D89)*$I$2/(1+EXP($I$3*(COUNT($H$9:K$9)+$I$4))),TREND($D89:$E89,$D$9:$E$9,K$9))</f>
        <v>3</v>
      </c>
      <c r="L89">
        <f>IF($F89="s-curve",$D89+($E89-$D89)*$I$2/(1+EXP($I$3*(COUNT($H$9:L$9)+$I$4))),TREND($D89:$E89,$D$9:$E$9,L$9))</f>
        <v>3</v>
      </c>
      <c r="M89">
        <f>IF($F89="s-curve",$D89+($E89-$D89)*$I$2/(1+EXP($I$3*(COUNT($H$9:M$9)+$I$4))),TREND($D89:$E89,$D$9:$E$9,M$9))</f>
        <v>3</v>
      </c>
      <c r="N89">
        <f>IF($F89="s-curve",$D89+($E89-$D89)*$I$2/(1+EXP($I$3*(COUNT($H$9:N$9)+$I$4))),TREND($D89:$E89,$D$9:$E$9,N$9))</f>
        <v>3</v>
      </c>
      <c r="O89">
        <f>IF($F89="s-curve",$D89+($E89-$D89)*$I$2/(1+EXP($I$3*(COUNT($H$9:O$9)+$I$4))),TREND($D89:$E89,$D$9:$E$9,O$9))</f>
        <v>3</v>
      </c>
      <c r="P89">
        <f>IF($F89="s-curve",$D89+($E89-$D89)*$I$2/(1+EXP($I$3*(COUNT($H$9:P$9)+$I$4))),TREND($D89:$E89,$D$9:$E$9,P$9))</f>
        <v>3</v>
      </c>
      <c r="Q89">
        <f>IF($F89="s-curve",$D89+($E89-$D89)*$I$2/(1+EXP($I$3*(COUNT($H$9:Q$9)+$I$4))),TREND($D89:$E89,$D$9:$E$9,Q$9))</f>
        <v>3</v>
      </c>
      <c r="R89">
        <f>IF($F89="s-curve",$D89+($E89-$D89)*$I$2/(1+EXP($I$3*(COUNT($H$9:R$9)+$I$4))),TREND($D89:$E89,$D$9:$E$9,R$9))</f>
        <v>3</v>
      </c>
      <c r="S89">
        <f>IF($F89="s-curve",$D89+($E89-$D89)*$I$2/(1+EXP($I$3*(COUNT($H$9:S$9)+$I$4))),TREND($D89:$E89,$D$9:$E$9,S$9))</f>
        <v>3</v>
      </c>
      <c r="T89">
        <f>IF($F89="s-curve",$D89+($E89-$D89)*$I$2/(1+EXP($I$3*(COUNT($H$9:T$9)+$I$4))),TREND($D89:$E89,$D$9:$E$9,T$9))</f>
        <v>3</v>
      </c>
      <c r="U89">
        <f>IF($F89="s-curve",$D89+($E89-$D89)*$I$2/(1+EXP($I$3*(COUNT($H$9:U$9)+$I$4))),TREND($D89:$E89,$D$9:$E$9,U$9))</f>
        <v>3</v>
      </c>
      <c r="V89">
        <f>IF($F89="s-curve",$D89+($E89-$D89)*$I$2/(1+EXP($I$3*(COUNT($H$9:V$9)+$I$4))),TREND($D89:$E89,$D$9:$E$9,V$9))</f>
        <v>3</v>
      </c>
      <c r="W89">
        <f>IF($F89="s-curve",$D89+($E89-$D89)*$I$2/(1+EXP($I$3*(COUNT($H$9:W$9)+$I$4))),TREND($D89:$E89,$D$9:$E$9,W$9))</f>
        <v>3</v>
      </c>
      <c r="X89">
        <f>IF($F89="s-curve",$D89+($E89-$D89)*$I$2/(1+EXP($I$3*(COUNT($H$9:X$9)+$I$4))),TREND($D89:$E89,$D$9:$E$9,X$9))</f>
        <v>3</v>
      </c>
      <c r="Y89">
        <f>IF($F89="s-curve",$D89+($E89-$D89)*$I$2/(1+EXP($I$3*(COUNT($H$9:Y$9)+$I$4))),TREND($D89:$E89,$D$9:$E$9,Y$9))</f>
        <v>3</v>
      </c>
      <c r="Z89">
        <f>IF($F89="s-curve",$D89+($E89-$D89)*$I$2/(1+EXP($I$3*(COUNT($H$9:Z$9)+$I$4))),TREND($D89:$E89,$D$9:$E$9,Z$9))</f>
        <v>3</v>
      </c>
      <c r="AA89">
        <f>IF($F89="s-curve",$D89+($E89-$D89)*$I$2/(1+EXP($I$3*(COUNT($H$9:AA$9)+$I$4))),TREND($D89:$E89,$D$9:$E$9,AA$9))</f>
        <v>3</v>
      </c>
      <c r="AB89">
        <f>IF($F89="s-curve",$D89+($E89-$D89)*$I$2/(1+EXP($I$3*(COUNT($H$9:AB$9)+$I$4))),TREND($D89:$E89,$D$9:$E$9,AB$9))</f>
        <v>3</v>
      </c>
      <c r="AC89">
        <f>IF($F89="s-curve",$D89+($E89-$D89)*$I$2/(1+EXP($I$3*(COUNT($H$9:AC$9)+$I$4))),TREND($D89:$E89,$D$9:$E$9,AC$9))</f>
        <v>3</v>
      </c>
      <c r="AD89">
        <f>IF($F89="s-curve",$D89+($E89-$D89)*$I$2/(1+EXP($I$3*(COUNT($H$9:AD$9)+$I$4))),TREND($D89:$E89,$D$9:$E$9,AD$9))</f>
        <v>3</v>
      </c>
      <c r="AE89">
        <f>IF($F89="s-curve",$D89+($E89-$D89)*$I$2/(1+EXP($I$3*(COUNT($H$9:AE$9)+$I$4))),TREND($D89:$E89,$D$9:$E$9,AE$9))</f>
        <v>3</v>
      </c>
      <c r="AF89">
        <f>IF($F89="s-curve",$D89+($E89-$D89)*$I$2/(1+EXP($I$3*(COUNT($H$9:AF$9)+$I$4))),TREND($D89:$E89,$D$9:$E$9,AF$9))</f>
        <v>3</v>
      </c>
      <c r="AG89">
        <f>IF($F89="s-curve",$D89+($E89-$D89)*$I$2/(1+EXP($I$3*(COUNT($H$9:AG$9)+$I$4))),TREND($D89:$E89,$D$9:$E$9,AG$9))</f>
        <v>3</v>
      </c>
      <c r="AH89">
        <f>IF($F89="s-curve",$D89+($E89-$D89)*$I$2/(1+EXP($I$3*(COUNT($H$9:AH$9)+$I$4))),TREND($D89:$E89,$D$9:$E$9,AH$9))</f>
        <v>3</v>
      </c>
      <c r="AI89">
        <f>IF($F89="s-curve",$D89+($E89-$D89)*$I$2/(1+EXP($I$3*(COUNT($H$9:AI$9)+$I$4))),TREND($D89:$E89,$D$9:$E$9,AI$9))</f>
        <v>3</v>
      </c>
      <c r="AJ89">
        <f>IF($F89="s-curve",$D89+($E89-$D89)*$I$2/(1+EXP($I$3*(COUNT($H$9:AJ$9)+$I$4))),TREND($D89:$E89,$D$9:$E$9,AJ$9))</f>
        <v>3</v>
      </c>
      <c r="AK89">
        <f>IF($F89="s-curve",$D89+($E89-$D89)*$I$2/(1+EXP($I$3*(COUNT($H$9:AK$9)+$I$4))),TREND($D89:$E89,$D$9:$E$9,AK$9))</f>
        <v>3</v>
      </c>
      <c r="AL89">
        <f>IF($F89="s-curve",$D89+($E89-$D89)*$I$2/(1+EXP($I$3*(COUNT($H$9:AL$9)+$I$4))),TREND($D89:$E89,$D$9:$E$9,AL$9))</f>
        <v>3</v>
      </c>
    </row>
    <row r="90" spans="1:38">
      <c r="C90" t="s">
        <v>4</v>
      </c>
      <c r="D90" s="20">
        <f t="shared" si="32"/>
        <v>0</v>
      </c>
      <c r="E90" s="20">
        <f t="shared" si="32"/>
        <v>0</v>
      </c>
      <c r="F90" s="6" t="str">
        <f>IF(D90=E90,"n/a",IF(OR(C90="battery electric vehicle",C90="natural gas vehicle",C90="plugin hybrid vehicle"),"s-curve","linear"))</f>
        <v>n/a</v>
      </c>
      <c r="H90" s="20">
        <f t="shared" si="30"/>
        <v>0</v>
      </c>
      <c r="I90">
        <f>IF($F90="s-curve",$D90+($E90-$D90)*$I$2/(1+EXP($I$3*(COUNT($H$9:I$9)+$I$4))),TREND($D90:$E90,$D$9:$E$9,I$9))</f>
        <v>0</v>
      </c>
      <c r="J90">
        <f>IF($F90="s-curve",$D90+($E90-$D90)*$I$2/(1+EXP($I$3*(COUNT($H$9:J$9)+$I$4))),TREND($D90:$E90,$D$9:$E$9,J$9))</f>
        <v>0</v>
      </c>
      <c r="K90">
        <f>IF($F90="s-curve",$D90+($E90-$D90)*$I$2/(1+EXP($I$3*(COUNT($H$9:K$9)+$I$4))),TREND($D90:$E90,$D$9:$E$9,K$9))</f>
        <v>0</v>
      </c>
      <c r="L90">
        <f>IF($F90="s-curve",$D90+($E90-$D90)*$I$2/(1+EXP($I$3*(COUNT($H$9:L$9)+$I$4))),TREND($D90:$E90,$D$9:$E$9,L$9))</f>
        <v>0</v>
      </c>
      <c r="M90">
        <f>IF($F90="s-curve",$D90+($E90-$D90)*$I$2/(1+EXP($I$3*(COUNT($H$9:M$9)+$I$4))),TREND($D90:$E90,$D$9:$E$9,M$9))</f>
        <v>0</v>
      </c>
      <c r="N90">
        <f>IF($F90="s-curve",$D90+($E90-$D90)*$I$2/(1+EXP($I$3*(COUNT($H$9:N$9)+$I$4))),TREND($D90:$E90,$D$9:$E$9,N$9))</f>
        <v>0</v>
      </c>
      <c r="O90">
        <f>IF($F90="s-curve",$D90+($E90-$D90)*$I$2/(1+EXP($I$3*(COUNT($H$9:O$9)+$I$4))),TREND($D90:$E90,$D$9:$E$9,O$9))</f>
        <v>0</v>
      </c>
      <c r="P90">
        <f>IF($F90="s-curve",$D90+($E90-$D90)*$I$2/(1+EXP($I$3*(COUNT($H$9:P$9)+$I$4))),TREND($D90:$E90,$D$9:$E$9,P$9))</f>
        <v>0</v>
      </c>
      <c r="Q90">
        <f>IF($F90="s-curve",$D90+($E90-$D90)*$I$2/(1+EXP($I$3*(COUNT($H$9:Q$9)+$I$4))),TREND($D90:$E90,$D$9:$E$9,Q$9))</f>
        <v>0</v>
      </c>
      <c r="R90">
        <f>IF($F90="s-curve",$D90+($E90-$D90)*$I$2/(1+EXP($I$3*(COUNT($H$9:R$9)+$I$4))),TREND($D90:$E90,$D$9:$E$9,R$9))</f>
        <v>0</v>
      </c>
      <c r="S90">
        <f>IF($F90="s-curve",$D90+($E90-$D90)*$I$2/(1+EXP($I$3*(COUNT($H$9:S$9)+$I$4))),TREND($D90:$E90,$D$9:$E$9,S$9))</f>
        <v>0</v>
      </c>
      <c r="T90">
        <f>IF($F90="s-curve",$D90+($E90-$D90)*$I$2/(1+EXP($I$3*(COUNT($H$9:T$9)+$I$4))),TREND($D90:$E90,$D$9:$E$9,T$9))</f>
        <v>0</v>
      </c>
      <c r="U90">
        <f>IF($F90="s-curve",$D90+($E90-$D90)*$I$2/(1+EXP($I$3*(COUNT($H$9:U$9)+$I$4))),TREND($D90:$E90,$D$9:$E$9,U$9))</f>
        <v>0</v>
      </c>
      <c r="V90">
        <f>IF($F90="s-curve",$D90+($E90-$D90)*$I$2/(1+EXP($I$3*(COUNT($H$9:V$9)+$I$4))),TREND($D90:$E90,$D$9:$E$9,V$9))</f>
        <v>0</v>
      </c>
      <c r="W90">
        <f>IF($F90="s-curve",$D90+($E90-$D90)*$I$2/(1+EXP($I$3*(COUNT($H$9:W$9)+$I$4))),TREND($D90:$E90,$D$9:$E$9,W$9))</f>
        <v>0</v>
      </c>
      <c r="X90">
        <f>IF($F90="s-curve",$D90+($E90-$D90)*$I$2/(1+EXP($I$3*(COUNT($H$9:X$9)+$I$4))),TREND($D90:$E90,$D$9:$E$9,X$9))</f>
        <v>0</v>
      </c>
      <c r="Y90">
        <f>IF($F90="s-curve",$D90+($E90-$D90)*$I$2/(1+EXP($I$3*(COUNT($H$9:Y$9)+$I$4))),TREND($D90:$E90,$D$9:$E$9,Y$9))</f>
        <v>0</v>
      </c>
      <c r="Z90">
        <f>IF($F90="s-curve",$D90+($E90-$D90)*$I$2/(1+EXP($I$3*(COUNT($H$9:Z$9)+$I$4))),TREND($D90:$E90,$D$9:$E$9,Z$9))</f>
        <v>0</v>
      </c>
      <c r="AA90">
        <f>IF($F90="s-curve",$D90+($E90-$D90)*$I$2/(1+EXP($I$3*(COUNT($H$9:AA$9)+$I$4))),TREND($D90:$E90,$D$9:$E$9,AA$9))</f>
        <v>0</v>
      </c>
      <c r="AB90">
        <f>IF($F90="s-curve",$D90+($E90-$D90)*$I$2/(1+EXP($I$3*(COUNT($H$9:AB$9)+$I$4))),TREND($D90:$E90,$D$9:$E$9,AB$9))</f>
        <v>0</v>
      </c>
      <c r="AC90">
        <f>IF($F90="s-curve",$D90+($E90-$D90)*$I$2/(1+EXP($I$3*(COUNT($H$9:AC$9)+$I$4))),TREND($D90:$E90,$D$9:$E$9,AC$9))</f>
        <v>0</v>
      </c>
      <c r="AD90">
        <f>IF($F90="s-curve",$D90+($E90-$D90)*$I$2/(1+EXP($I$3*(COUNT($H$9:AD$9)+$I$4))),TREND($D90:$E90,$D$9:$E$9,AD$9))</f>
        <v>0</v>
      </c>
      <c r="AE90">
        <f>IF($F90="s-curve",$D90+($E90-$D90)*$I$2/(1+EXP($I$3*(COUNT($H$9:AE$9)+$I$4))),TREND($D90:$E90,$D$9:$E$9,AE$9))</f>
        <v>0</v>
      </c>
      <c r="AF90">
        <f>IF($F90="s-curve",$D90+($E90-$D90)*$I$2/(1+EXP($I$3*(COUNT($H$9:AF$9)+$I$4))),TREND($D90:$E90,$D$9:$E$9,AF$9))</f>
        <v>0</v>
      </c>
      <c r="AG90">
        <f>IF($F90="s-curve",$D90+($E90-$D90)*$I$2/(1+EXP($I$3*(COUNT($H$9:AG$9)+$I$4))),TREND($D90:$E90,$D$9:$E$9,AG$9))</f>
        <v>0</v>
      </c>
      <c r="AH90">
        <f>IF($F90="s-curve",$D90+($E90-$D90)*$I$2/(1+EXP($I$3*(COUNT($H$9:AH$9)+$I$4))),TREND($D90:$E90,$D$9:$E$9,AH$9))</f>
        <v>0</v>
      </c>
      <c r="AI90">
        <f>IF($F90="s-curve",$D90+($E90-$D90)*$I$2/(1+EXP($I$3*(COUNT($H$9:AI$9)+$I$4))),TREND($D90:$E90,$D$9:$E$9,AI$9))</f>
        <v>0</v>
      </c>
      <c r="AJ90">
        <f>IF($F90="s-curve",$D90+($E90-$D90)*$I$2/(1+EXP($I$3*(COUNT($H$9:AJ$9)+$I$4))),TREND($D90:$E90,$D$9:$E$9,AJ$9))</f>
        <v>0</v>
      </c>
      <c r="AK90">
        <f>IF($F90="s-curve",$D90+($E90-$D90)*$I$2/(1+EXP($I$3*(COUNT($H$9:AK$9)+$I$4))),TREND($D90:$E90,$D$9:$E$9,AK$9))</f>
        <v>0</v>
      </c>
      <c r="AL90">
        <f>IF($F90="s-curve",$D90+($E90-$D90)*$I$2/(1+EXP($I$3*(COUNT($H$9:AL$9)+$I$4))),TREND($D90:$E90,$D$9:$E$9,AL$9))</f>
        <v>0</v>
      </c>
    </row>
    <row r="91" spans="1:38">
      <c r="C91" t="s">
        <v>5</v>
      </c>
      <c r="D91" s="20">
        <f t="shared" si="32"/>
        <v>0</v>
      </c>
      <c r="E91" s="20">
        <f t="shared" si="32"/>
        <v>0</v>
      </c>
      <c r="F91" s="6" t="str">
        <f>IF(D91=E91,"n/a",IF(OR(C91="battery electric vehicle",C91="natural gas vehicle",C91="plugin hybrid vehicle"),"s-curve","linear"))</f>
        <v>n/a</v>
      </c>
      <c r="H91" s="20">
        <f t="shared" si="30"/>
        <v>0</v>
      </c>
      <c r="I91">
        <f>IF($F91="s-curve",$D91+($E91-$D91)*$I$2/(1+EXP($I$3*(COUNT($H$9:I$9)+$I$4))),TREND($D91:$E91,$D$9:$E$9,I$9))</f>
        <v>0</v>
      </c>
      <c r="J91">
        <f>IF($F91="s-curve",$D91+($E91-$D91)*$I$2/(1+EXP($I$3*(COUNT($H$9:J$9)+$I$4))),TREND($D91:$E91,$D$9:$E$9,J$9))</f>
        <v>0</v>
      </c>
      <c r="K91">
        <f>IF($F91="s-curve",$D91+($E91-$D91)*$I$2/(1+EXP($I$3*(COUNT($H$9:K$9)+$I$4))),TREND($D91:$E91,$D$9:$E$9,K$9))</f>
        <v>0</v>
      </c>
      <c r="L91">
        <f>IF($F91="s-curve",$D91+($E91-$D91)*$I$2/(1+EXP($I$3*(COUNT($H$9:L$9)+$I$4))),TREND($D91:$E91,$D$9:$E$9,L$9))</f>
        <v>0</v>
      </c>
      <c r="M91">
        <f>IF($F91="s-curve",$D91+($E91-$D91)*$I$2/(1+EXP($I$3*(COUNT($H$9:M$9)+$I$4))),TREND($D91:$E91,$D$9:$E$9,M$9))</f>
        <v>0</v>
      </c>
      <c r="N91">
        <f>IF($F91="s-curve",$D91+($E91-$D91)*$I$2/(1+EXP($I$3*(COUNT($H$9:N$9)+$I$4))),TREND($D91:$E91,$D$9:$E$9,N$9))</f>
        <v>0</v>
      </c>
      <c r="O91">
        <f>IF($F91="s-curve",$D91+($E91-$D91)*$I$2/(1+EXP($I$3*(COUNT($H$9:O$9)+$I$4))),TREND($D91:$E91,$D$9:$E$9,O$9))</f>
        <v>0</v>
      </c>
      <c r="P91">
        <f>IF($F91="s-curve",$D91+($E91-$D91)*$I$2/(1+EXP($I$3*(COUNT($H$9:P$9)+$I$4))),TREND($D91:$E91,$D$9:$E$9,P$9))</f>
        <v>0</v>
      </c>
      <c r="Q91">
        <f>IF($F91="s-curve",$D91+($E91-$D91)*$I$2/(1+EXP($I$3*(COUNT($H$9:Q$9)+$I$4))),TREND($D91:$E91,$D$9:$E$9,Q$9))</f>
        <v>0</v>
      </c>
      <c r="R91">
        <f>IF($F91="s-curve",$D91+($E91-$D91)*$I$2/(1+EXP($I$3*(COUNT($H$9:R$9)+$I$4))),TREND($D91:$E91,$D$9:$E$9,R$9))</f>
        <v>0</v>
      </c>
      <c r="S91">
        <f>IF($F91="s-curve",$D91+($E91-$D91)*$I$2/(1+EXP($I$3*(COUNT($H$9:S$9)+$I$4))),TREND($D91:$E91,$D$9:$E$9,S$9))</f>
        <v>0</v>
      </c>
      <c r="T91">
        <f>IF($F91="s-curve",$D91+($E91-$D91)*$I$2/(1+EXP($I$3*(COUNT($H$9:T$9)+$I$4))),TREND($D91:$E91,$D$9:$E$9,T$9))</f>
        <v>0</v>
      </c>
      <c r="U91">
        <f>IF($F91="s-curve",$D91+($E91-$D91)*$I$2/(1+EXP($I$3*(COUNT($H$9:U$9)+$I$4))),TREND($D91:$E91,$D$9:$E$9,U$9))</f>
        <v>0</v>
      </c>
      <c r="V91">
        <f>IF($F91="s-curve",$D91+($E91-$D91)*$I$2/(1+EXP($I$3*(COUNT($H$9:V$9)+$I$4))),TREND($D91:$E91,$D$9:$E$9,V$9))</f>
        <v>0</v>
      </c>
      <c r="W91">
        <f>IF($F91="s-curve",$D91+($E91-$D91)*$I$2/(1+EXP($I$3*(COUNT($H$9:W$9)+$I$4))),TREND($D91:$E91,$D$9:$E$9,W$9))</f>
        <v>0</v>
      </c>
      <c r="X91">
        <f>IF($F91="s-curve",$D91+($E91-$D91)*$I$2/(1+EXP($I$3*(COUNT($H$9:X$9)+$I$4))),TREND($D91:$E91,$D$9:$E$9,X$9))</f>
        <v>0</v>
      </c>
      <c r="Y91">
        <f>IF($F91="s-curve",$D91+($E91-$D91)*$I$2/(1+EXP($I$3*(COUNT($H$9:Y$9)+$I$4))),TREND($D91:$E91,$D$9:$E$9,Y$9))</f>
        <v>0</v>
      </c>
      <c r="Z91">
        <f>IF($F91="s-curve",$D91+($E91-$D91)*$I$2/(1+EXP($I$3*(COUNT($H$9:Z$9)+$I$4))),TREND($D91:$E91,$D$9:$E$9,Z$9))</f>
        <v>0</v>
      </c>
      <c r="AA91">
        <f>IF($F91="s-curve",$D91+($E91-$D91)*$I$2/(1+EXP($I$3*(COUNT($H$9:AA$9)+$I$4))),TREND($D91:$E91,$D$9:$E$9,AA$9))</f>
        <v>0</v>
      </c>
      <c r="AB91">
        <f>IF($F91="s-curve",$D91+($E91-$D91)*$I$2/(1+EXP($I$3*(COUNT($H$9:AB$9)+$I$4))),TREND($D91:$E91,$D$9:$E$9,AB$9))</f>
        <v>0</v>
      </c>
      <c r="AC91">
        <f>IF($F91="s-curve",$D91+($E91-$D91)*$I$2/(1+EXP($I$3*(COUNT($H$9:AC$9)+$I$4))),TREND($D91:$E91,$D$9:$E$9,AC$9))</f>
        <v>0</v>
      </c>
      <c r="AD91">
        <f>IF($F91="s-curve",$D91+($E91-$D91)*$I$2/(1+EXP($I$3*(COUNT($H$9:AD$9)+$I$4))),TREND($D91:$E91,$D$9:$E$9,AD$9))</f>
        <v>0</v>
      </c>
      <c r="AE91">
        <f>IF($F91="s-curve",$D91+($E91-$D91)*$I$2/(1+EXP($I$3*(COUNT($H$9:AE$9)+$I$4))),TREND($D91:$E91,$D$9:$E$9,AE$9))</f>
        <v>0</v>
      </c>
      <c r="AF91">
        <f>IF($F91="s-curve",$D91+($E91-$D91)*$I$2/(1+EXP($I$3*(COUNT($H$9:AF$9)+$I$4))),TREND($D91:$E91,$D$9:$E$9,AF$9))</f>
        <v>0</v>
      </c>
      <c r="AG91">
        <f>IF($F91="s-curve",$D91+($E91-$D91)*$I$2/(1+EXP($I$3*(COUNT($H$9:AG$9)+$I$4))),TREND($D91:$E91,$D$9:$E$9,AG$9))</f>
        <v>0</v>
      </c>
      <c r="AH91">
        <f>IF($F91="s-curve",$D91+($E91-$D91)*$I$2/(1+EXP($I$3*(COUNT($H$9:AH$9)+$I$4))),TREND($D91:$E91,$D$9:$E$9,AH$9))</f>
        <v>0</v>
      </c>
      <c r="AI91">
        <f>IF($F91="s-curve",$D91+($E91-$D91)*$I$2/(1+EXP($I$3*(COUNT($H$9:AI$9)+$I$4))),TREND($D91:$E91,$D$9:$E$9,AI$9))</f>
        <v>0</v>
      </c>
      <c r="AJ91">
        <f>IF($F91="s-curve",$D91+($E91-$D91)*$I$2/(1+EXP($I$3*(COUNT($H$9:AJ$9)+$I$4))),TREND($D91:$E91,$D$9:$E$9,AJ$9))</f>
        <v>0</v>
      </c>
      <c r="AK91">
        <f>IF($F91="s-curve",$D91+($E91-$D91)*$I$2/(1+EXP($I$3*(COUNT($H$9:AK$9)+$I$4))),TREND($D91:$E91,$D$9:$E$9,AK$9))</f>
        <v>0</v>
      </c>
      <c r="AL91">
        <f>IF($F91="s-curve",$D91+($E91-$D91)*$I$2/(1+EXP($I$3*(COUNT($H$9:AL$9)+$I$4))),TREND($D91:$E91,$D$9:$E$9,AL$9))</f>
        <v>0</v>
      </c>
    </row>
    <row r="92" spans="1:38">
      <c r="C92" t="s">
        <v>78</v>
      </c>
      <c r="D92" s="20">
        <f t="shared" si="32"/>
        <v>0</v>
      </c>
      <c r="E92" s="20">
        <f t="shared" si="32"/>
        <v>0</v>
      </c>
      <c r="F92" s="6" t="str">
        <f>IF(D92=E92,"n/a",IF(OR(C92="battery electric vehicle",C92="natural gas vehicle",C92="plugin hybrid vehicle",C92="hydrogen vehicle"),"s-curve","linear"))</f>
        <v>n/a</v>
      </c>
      <c r="H92" s="20">
        <f t="shared" si="30"/>
        <v>0</v>
      </c>
      <c r="I92">
        <f>IF($F92="s-curve",$D92+($E92-$D92)*$I$2/(1+EXP($I$3*(COUNT($H$9:I$9)+$I$4))),TREND($D92:$E92,$D$9:$E$9,I$9))</f>
        <v>0</v>
      </c>
      <c r="J92">
        <f>IF($F92="s-curve",$D92+($E92-$D92)*$I$2/(1+EXP($I$3*(COUNT($H$9:J$9)+$I$4))),TREND($D92:$E92,$D$9:$E$9,J$9))</f>
        <v>0</v>
      </c>
      <c r="K92">
        <f>IF($F92="s-curve",$D92+($E92-$D92)*$I$2/(1+EXP($I$3*(COUNT($H$9:K$9)+$I$4))),TREND($D92:$E92,$D$9:$E$9,K$9))</f>
        <v>0</v>
      </c>
      <c r="L92">
        <f>IF($F92="s-curve",$D92+($E92-$D92)*$I$2/(1+EXP($I$3*(COUNT($H$9:L$9)+$I$4))),TREND($D92:$E92,$D$9:$E$9,L$9))</f>
        <v>0</v>
      </c>
      <c r="M92">
        <f>IF($F92="s-curve",$D92+($E92-$D92)*$I$2/(1+EXP($I$3*(COUNT($H$9:M$9)+$I$4))),TREND($D92:$E92,$D$9:$E$9,M$9))</f>
        <v>0</v>
      </c>
      <c r="N92">
        <f>IF($F92="s-curve",$D92+($E92-$D92)*$I$2/(1+EXP($I$3*(COUNT($H$9:N$9)+$I$4))),TREND($D92:$E92,$D$9:$E$9,N$9))</f>
        <v>0</v>
      </c>
      <c r="O92">
        <f>IF($F92="s-curve",$D92+($E92-$D92)*$I$2/(1+EXP($I$3*(COUNT($H$9:O$9)+$I$4))),TREND($D92:$E92,$D$9:$E$9,O$9))</f>
        <v>0</v>
      </c>
      <c r="P92">
        <f>IF($F92="s-curve",$D92+($E92-$D92)*$I$2/(1+EXP($I$3*(COUNT($H$9:P$9)+$I$4))),TREND($D92:$E92,$D$9:$E$9,P$9))</f>
        <v>0</v>
      </c>
      <c r="Q92">
        <f>IF($F92="s-curve",$D92+($E92-$D92)*$I$2/(1+EXP($I$3*(COUNT($H$9:Q$9)+$I$4))),TREND($D92:$E92,$D$9:$E$9,Q$9))</f>
        <v>0</v>
      </c>
      <c r="R92">
        <f>IF($F92="s-curve",$D92+($E92-$D92)*$I$2/(1+EXP($I$3*(COUNT($H$9:R$9)+$I$4))),TREND($D92:$E92,$D$9:$E$9,R$9))</f>
        <v>0</v>
      </c>
      <c r="S92">
        <f>IF($F92="s-curve",$D92+($E92-$D92)*$I$2/(1+EXP($I$3*(COUNT($H$9:S$9)+$I$4))),TREND($D92:$E92,$D$9:$E$9,S$9))</f>
        <v>0</v>
      </c>
      <c r="T92">
        <f>IF($F92="s-curve",$D92+($E92-$D92)*$I$2/(1+EXP($I$3*(COUNT($H$9:T$9)+$I$4))),TREND($D92:$E92,$D$9:$E$9,T$9))</f>
        <v>0</v>
      </c>
      <c r="U92">
        <f>IF($F92="s-curve",$D92+($E92-$D92)*$I$2/(1+EXP($I$3*(COUNT($H$9:U$9)+$I$4))),TREND($D92:$E92,$D$9:$E$9,U$9))</f>
        <v>0</v>
      </c>
      <c r="V92">
        <f>IF($F92="s-curve",$D92+($E92-$D92)*$I$2/(1+EXP($I$3*(COUNT($H$9:V$9)+$I$4))),TREND($D92:$E92,$D$9:$E$9,V$9))</f>
        <v>0</v>
      </c>
      <c r="W92">
        <f>IF($F92="s-curve",$D92+($E92-$D92)*$I$2/(1+EXP($I$3*(COUNT($H$9:W$9)+$I$4))),TREND($D92:$E92,$D$9:$E$9,W$9))</f>
        <v>0</v>
      </c>
      <c r="X92">
        <f>IF($F92="s-curve",$D92+($E92-$D92)*$I$2/(1+EXP($I$3*(COUNT($H$9:X$9)+$I$4))),TREND($D92:$E92,$D$9:$E$9,X$9))</f>
        <v>0</v>
      </c>
      <c r="Y92">
        <f>IF($F92="s-curve",$D92+($E92-$D92)*$I$2/(1+EXP($I$3*(COUNT($H$9:Y$9)+$I$4))),TREND($D92:$E92,$D$9:$E$9,Y$9))</f>
        <v>0</v>
      </c>
      <c r="Z92">
        <f>IF($F92="s-curve",$D92+($E92-$D92)*$I$2/(1+EXP($I$3*(COUNT($H$9:Z$9)+$I$4))),TREND($D92:$E92,$D$9:$E$9,Z$9))</f>
        <v>0</v>
      </c>
      <c r="AA92">
        <f>IF($F92="s-curve",$D92+($E92-$D92)*$I$2/(1+EXP($I$3*(COUNT($H$9:AA$9)+$I$4))),TREND($D92:$E92,$D$9:$E$9,AA$9))</f>
        <v>0</v>
      </c>
      <c r="AB92">
        <f>IF($F92="s-curve",$D92+($E92-$D92)*$I$2/(1+EXP($I$3*(COUNT($H$9:AB$9)+$I$4))),TREND($D92:$E92,$D$9:$E$9,AB$9))</f>
        <v>0</v>
      </c>
      <c r="AC92">
        <f>IF($F92="s-curve",$D92+($E92-$D92)*$I$2/(1+EXP($I$3*(COUNT($H$9:AC$9)+$I$4))),TREND($D92:$E92,$D$9:$E$9,AC$9))</f>
        <v>0</v>
      </c>
      <c r="AD92">
        <f>IF($F92="s-curve",$D92+($E92-$D92)*$I$2/(1+EXP($I$3*(COUNT($H$9:AD$9)+$I$4))),TREND($D92:$E92,$D$9:$E$9,AD$9))</f>
        <v>0</v>
      </c>
      <c r="AE92">
        <f>IF($F92="s-curve",$D92+($E92-$D92)*$I$2/(1+EXP($I$3*(COUNT($H$9:AE$9)+$I$4))),TREND($D92:$E92,$D$9:$E$9,AE$9))</f>
        <v>0</v>
      </c>
      <c r="AF92">
        <f>IF($F92="s-curve",$D92+($E92-$D92)*$I$2/(1+EXP($I$3*(COUNT($H$9:AF$9)+$I$4))),TREND($D92:$E92,$D$9:$E$9,AF$9))</f>
        <v>0</v>
      </c>
      <c r="AG92">
        <f>IF($F92="s-curve",$D92+($E92-$D92)*$I$2/(1+EXP($I$3*(COUNT($H$9:AG$9)+$I$4))),TREND($D92:$E92,$D$9:$E$9,AG$9))</f>
        <v>0</v>
      </c>
      <c r="AH92">
        <f>IF($F92="s-curve",$D92+($E92-$D92)*$I$2/(1+EXP($I$3*(COUNT($H$9:AH$9)+$I$4))),TREND($D92:$E92,$D$9:$E$9,AH$9))</f>
        <v>0</v>
      </c>
      <c r="AI92">
        <f>IF($F92="s-curve",$D92+($E92-$D92)*$I$2/(1+EXP($I$3*(COUNT($H$9:AI$9)+$I$4))),TREND($D92:$E92,$D$9:$E$9,AI$9))</f>
        <v>0</v>
      </c>
      <c r="AJ92">
        <f>IF($F92="s-curve",$D92+($E92-$D92)*$I$2/(1+EXP($I$3*(COUNT($H$9:AJ$9)+$I$4))),TREND($D92:$E92,$D$9:$E$9,AJ$9))</f>
        <v>0</v>
      </c>
      <c r="AK92">
        <f>IF($F92="s-curve",$D92+($E92-$D92)*$I$2/(1+EXP($I$3*(COUNT($H$9:AK$9)+$I$4))),TREND($D92:$E92,$D$9:$E$9,AK$9))</f>
        <v>0</v>
      </c>
      <c r="AL92">
        <f>IF($F92="s-curve",$D92+($E92-$D92)*$I$2/(1+EXP($I$3*(COUNT($H$9:AL$9)+$I$4))),TREND($D92:$E92,$D$9:$E$9,AL$9))</f>
        <v>0</v>
      </c>
    </row>
    <row r="93" spans="1:38" ht="15.75" thickBot="1">
      <c r="A93" s="21"/>
      <c r="B93" s="21"/>
      <c r="C93" s="21" t="s">
        <v>79</v>
      </c>
      <c r="D93" s="21">
        <f t="shared" si="32"/>
        <v>0</v>
      </c>
      <c r="E93" s="21">
        <v>0</v>
      </c>
      <c r="F93" s="7" t="str">
        <f>IF(D93=E93,"n/a",IF(OR(C93="battery electric vehicle",C93="natural gas vehicle",C93="plugin hybrid vehicle",C93="hydrogen vehicle"),"s-curve","linear"))</f>
        <v>n/a</v>
      </c>
      <c r="H93" s="20">
        <f t="shared" si="30"/>
        <v>0</v>
      </c>
      <c r="I93">
        <f>IF($F93="s-curve",$D93+($E93-$D93)*$I$2/(1+EXP($I$3*(COUNT($H$9:I$9)+$I$4))),TREND($D93:$E93,$D$9:$E$9,I$9))</f>
        <v>0</v>
      </c>
      <c r="J93">
        <f>IF($F93="s-curve",$D93+($E93-$D93)*$I$2/(1+EXP($I$3*(COUNT($H$9:J$9)+$I$4))),TREND($D93:$E93,$D$9:$E$9,J$9))</f>
        <v>0</v>
      </c>
      <c r="K93">
        <f>IF($F93="s-curve",$D93+($E93-$D93)*$I$2/(1+EXP($I$3*(COUNT($H$9:K$9)+$I$4))),TREND($D93:$E93,$D$9:$E$9,K$9))</f>
        <v>0</v>
      </c>
      <c r="L93">
        <f>IF($F93="s-curve",$D93+($E93-$D93)*$I$2/(1+EXP($I$3*(COUNT($H$9:L$9)+$I$4))),TREND($D93:$E93,$D$9:$E$9,L$9))</f>
        <v>0</v>
      </c>
      <c r="M93">
        <f>IF($F93="s-curve",$D93+($E93-$D93)*$I$2/(1+EXP($I$3*(COUNT($H$9:M$9)+$I$4))),TREND($D93:$E93,$D$9:$E$9,M$9))</f>
        <v>0</v>
      </c>
      <c r="N93">
        <f>IF($F93="s-curve",$D93+($E93-$D93)*$I$2/(1+EXP($I$3*(COUNT($H$9:N$9)+$I$4))),TREND($D93:$E93,$D$9:$E$9,N$9))</f>
        <v>0</v>
      </c>
      <c r="O93">
        <f>IF($F93="s-curve",$D93+($E93-$D93)*$I$2/(1+EXP($I$3*(COUNT($H$9:O$9)+$I$4))),TREND($D93:$E93,$D$9:$E$9,O$9))</f>
        <v>0</v>
      </c>
      <c r="P93">
        <f>IF($F93="s-curve",$D93+($E93-$D93)*$I$2/(1+EXP($I$3*(COUNT($H$9:P$9)+$I$4))),TREND($D93:$E93,$D$9:$E$9,P$9))</f>
        <v>0</v>
      </c>
      <c r="Q93">
        <f>IF($F93="s-curve",$D93+($E93-$D93)*$I$2/(1+EXP($I$3*(COUNT($H$9:Q$9)+$I$4))),TREND($D93:$E93,$D$9:$E$9,Q$9))</f>
        <v>0</v>
      </c>
      <c r="R93">
        <f>IF($F93="s-curve",$D93+($E93-$D93)*$I$2/(1+EXP($I$3*(COUNT($H$9:R$9)+$I$4))),TREND($D93:$E93,$D$9:$E$9,R$9))</f>
        <v>0</v>
      </c>
      <c r="S93">
        <f>IF($F93="s-curve",$D93+($E93-$D93)*$I$2/(1+EXP($I$3*(COUNT($H$9:S$9)+$I$4))),TREND($D93:$E93,$D$9:$E$9,S$9))</f>
        <v>0</v>
      </c>
      <c r="T93">
        <f>IF($F93="s-curve",$D93+($E93-$D93)*$I$2/(1+EXP($I$3*(COUNT($H$9:T$9)+$I$4))),TREND($D93:$E93,$D$9:$E$9,T$9))</f>
        <v>0</v>
      </c>
      <c r="U93">
        <f>IF($F93="s-curve",$D93+($E93-$D93)*$I$2/(1+EXP($I$3*(COUNT($H$9:U$9)+$I$4))),TREND($D93:$E93,$D$9:$E$9,U$9))</f>
        <v>0</v>
      </c>
      <c r="V93">
        <f>IF($F93="s-curve",$D93+($E93-$D93)*$I$2/(1+EXP($I$3*(COUNT($H$9:V$9)+$I$4))),TREND($D93:$E93,$D$9:$E$9,V$9))</f>
        <v>0</v>
      </c>
      <c r="W93">
        <f>IF($F93="s-curve",$D93+($E93-$D93)*$I$2/(1+EXP($I$3*(COUNT($H$9:W$9)+$I$4))),TREND($D93:$E93,$D$9:$E$9,W$9))</f>
        <v>0</v>
      </c>
      <c r="X93">
        <f>IF($F93="s-curve",$D93+($E93-$D93)*$I$2/(1+EXP($I$3*(COUNT($H$9:X$9)+$I$4))),TREND($D93:$E93,$D$9:$E$9,X$9))</f>
        <v>0</v>
      </c>
      <c r="Y93">
        <f>IF($F93="s-curve",$D93+($E93-$D93)*$I$2/(1+EXP($I$3*(COUNT($H$9:Y$9)+$I$4))),TREND($D93:$E93,$D$9:$E$9,Y$9))</f>
        <v>0</v>
      </c>
      <c r="Z93">
        <f>IF($F93="s-curve",$D93+($E93-$D93)*$I$2/(1+EXP($I$3*(COUNT($H$9:Z$9)+$I$4))),TREND($D93:$E93,$D$9:$E$9,Z$9))</f>
        <v>0</v>
      </c>
      <c r="AA93">
        <f>IF($F93="s-curve",$D93+($E93-$D93)*$I$2/(1+EXP($I$3*(COUNT($H$9:AA$9)+$I$4))),TREND($D93:$E93,$D$9:$E$9,AA$9))</f>
        <v>0</v>
      </c>
      <c r="AB93">
        <f>IF($F93="s-curve",$D93+($E93-$D93)*$I$2/(1+EXP($I$3*(COUNT($H$9:AB$9)+$I$4))),TREND($D93:$E93,$D$9:$E$9,AB$9))</f>
        <v>0</v>
      </c>
      <c r="AC93">
        <f>IF($F93="s-curve",$D93+($E93-$D93)*$I$2/(1+EXP($I$3*(COUNT($H$9:AC$9)+$I$4))),TREND($D93:$E93,$D$9:$E$9,AC$9))</f>
        <v>0</v>
      </c>
      <c r="AD93">
        <f>IF($F93="s-curve",$D93+($E93-$D93)*$I$2/(1+EXP($I$3*(COUNT($H$9:AD$9)+$I$4))),TREND($D93:$E93,$D$9:$E$9,AD$9))</f>
        <v>0</v>
      </c>
      <c r="AE93">
        <f>IF($F93="s-curve",$D93+($E93-$D93)*$I$2/(1+EXP($I$3*(COUNT($H$9:AE$9)+$I$4))),TREND($D93:$E93,$D$9:$E$9,AE$9))</f>
        <v>0</v>
      </c>
      <c r="AF93">
        <f>IF($F93="s-curve",$D93+($E93-$D93)*$I$2/(1+EXP($I$3*(COUNT($H$9:AF$9)+$I$4))),TREND($D93:$E93,$D$9:$E$9,AF$9))</f>
        <v>0</v>
      </c>
      <c r="AG93">
        <f>IF($F93="s-curve",$D93+($E93-$D93)*$I$2/(1+EXP($I$3*(COUNT($H$9:AG$9)+$I$4))),TREND($D93:$E93,$D$9:$E$9,AG$9))</f>
        <v>0</v>
      </c>
      <c r="AH93">
        <f>IF($F93="s-curve",$D93+($E93-$D93)*$I$2/(1+EXP($I$3*(COUNT($H$9:AH$9)+$I$4))),TREND($D93:$E93,$D$9:$E$9,AH$9))</f>
        <v>0</v>
      </c>
      <c r="AI93">
        <f>IF($F93="s-curve",$D93+($E93-$D93)*$I$2/(1+EXP($I$3*(COUNT($H$9:AI$9)+$I$4))),TREND($D93:$E93,$D$9:$E$9,AI$9))</f>
        <v>0</v>
      </c>
      <c r="AJ93">
        <f>IF($F93="s-curve",$D93+($E93-$D93)*$I$2/(1+EXP($I$3*(COUNT($H$9:AJ$9)+$I$4))),TREND($D93:$E93,$D$9:$E$9,AJ$9))</f>
        <v>0</v>
      </c>
      <c r="AK93">
        <f>IF($F93="s-curve",$D93+($E93-$D93)*$I$2/(1+EXP($I$3*(COUNT($H$9:AK$9)+$I$4))),TREND($D93:$E93,$D$9:$E$9,AK$9))</f>
        <v>0</v>
      </c>
      <c r="AL93">
        <f>IF($F93="s-curve",$D93+($E93-$D93)*$I$2/(1+EXP($I$3*(COUNT($H$9:AL$9)+$I$4))),TREND($D93:$E93,$D$9:$E$9,AL$9))</f>
        <v>0</v>
      </c>
    </row>
  </sheetData>
  <phoneticPr fontId="9" type="noConversion"/>
  <pageMargins left="0.7" right="0.7" top="0.75" bottom="0.75" header="0.3" footer="0.3"/>
  <pageSetup orientation="portrait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F8"/>
  <sheetViews>
    <sheetView workbookViewId="0">
      <selection activeCell="B5" sqref="B5"/>
    </sheetView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Data!H10</f>
        <v>7.3490200174101794E-2</v>
      </c>
      <c r="C2">
        <f>Data!I10</f>
        <v>7.3490200174101794E-2</v>
      </c>
      <c r="D2">
        <f>Data!J10</f>
        <v>0.157825313074512</v>
      </c>
      <c r="E2">
        <f>Data!K10</f>
        <v>0.13005309903783399</v>
      </c>
      <c r="F2">
        <f>Data!L10</f>
        <v>0.17042213170193199</v>
      </c>
      <c r="G2">
        <f>Data!M10</f>
        <v>0.26665968836382897</v>
      </c>
      <c r="H2">
        <f>Data!N10</f>
        <v>0.30932775069106316</v>
      </c>
      <c r="I2">
        <f>Data!O10</f>
        <v>0.35199581301829735</v>
      </c>
      <c r="J2">
        <f>Data!P10</f>
        <v>0.39466387534553155</v>
      </c>
      <c r="K2">
        <f>Data!Q10</f>
        <v>0.43733193767276574</v>
      </c>
      <c r="L2">
        <f>Data!R10</f>
        <v>0.48</v>
      </c>
      <c r="M2">
        <f>Data!S10</f>
        <v>0.504</v>
      </c>
      <c r="N2">
        <f>Data!T10</f>
        <v>0.52800000000000002</v>
      </c>
      <c r="O2">
        <f>Data!U10</f>
        <v>0.55200000000000005</v>
      </c>
      <c r="P2">
        <f>Data!V10</f>
        <v>0.57600000000000007</v>
      </c>
      <c r="Q2">
        <f>Data!W10</f>
        <v>0.6</v>
      </c>
      <c r="R2">
        <f>Data!X10</f>
        <v>0.64600000000000002</v>
      </c>
      <c r="S2">
        <f>Data!Y10</f>
        <v>0.69200000000000006</v>
      </c>
      <c r="T2">
        <f>Data!Z10</f>
        <v>0.7380000000000001</v>
      </c>
      <c r="U2">
        <f>Data!AA10</f>
        <v>0.78400000000000014</v>
      </c>
      <c r="V2">
        <f>Data!AB10</f>
        <v>0.83</v>
      </c>
      <c r="W2">
        <f>Data!AC10</f>
        <v>0.94399999999999995</v>
      </c>
      <c r="X2">
        <f>Data!AD10</f>
        <v>1.0579999999999998</v>
      </c>
      <c r="Y2">
        <f>Data!AE10</f>
        <v>1.1719999999999997</v>
      </c>
      <c r="Z2">
        <f>Data!AF10</f>
        <v>1.2859999999999996</v>
      </c>
      <c r="AA2">
        <f>Data!AG10</f>
        <v>1.4</v>
      </c>
      <c r="AB2">
        <f>Data!AH10</f>
        <v>1.64</v>
      </c>
      <c r="AC2">
        <f>Data!AI10</f>
        <v>1.88</v>
      </c>
      <c r="AD2">
        <f>Data!AJ10</f>
        <v>2.12</v>
      </c>
      <c r="AE2">
        <f>Data!AK10</f>
        <v>2.3600000000000003</v>
      </c>
      <c r="AF2">
        <f>Data!AL10</f>
        <v>2.6</v>
      </c>
    </row>
    <row r="3" spans="1:32">
      <c r="A3" t="s">
        <v>2</v>
      </c>
      <c r="B3">
        <f>Data!H11</f>
        <v>3.3619455883161201E-3</v>
      </c>
      <c r="C3">
        <f>Data!I11</f>
        <v>3.3619455883161201E-3</v>
      </c>
      <c r="D3">
        <f>Data!J11</f>
        <v>3.2366567758692999E-3</v>
      </c>
      <c r="E3">
        <f>Data!K11</f>
        <v>3.3102715104686301E-3</v>
      </c>
      <c r="F3">
        <f>Data!L11</f>
        <v>3.31078535598989E-3</v>
      </c>
      <c r="G3">
        <f>Data!M11</f>
        <v>3.30901198145427E-3</v>
      </c>
      <c r="H3">
        <f>Data!N11</f>
        <v>3.30901198145427E-3</v>
      </c>
      <c r="I3">
        <f>Data!O11</f>
        <v>3.30901198145427E-3</v>
      </c>
      <c r="J3">
        <f>Data!P11</f>
        <v>3.30901198145427E-3</v>
      </c>
      <c r="K3">
        <f>Data!Q11</f>
        <v>3.30901198145427E-3</v>
      </c>
      <c r="L3">
        <f>Data!R11</f>
        <v>3.30901198145427E-3</v>
      </c>
      <c r="M3">
        <f>Data!S11</f>
        <v>3.30901198145427E-3</v>
      </c>
      <c r="N3">
        <f>Data!T11</f>
        <v>3.30901198145427E-3</v>
      </c>
      <c r="O3">
        <f>Data!U11</f>
        <v>3.30901198145427E-3</v>
      </c>
      <c r="P3">
        <f>Data!V11</f>
        <v>3.30901198145427E-3</v>
      </c>
      <c r="Q3">
        <f>Data!W11</f>
        <v>3.30901198145427E-3</v>
      </c>
      <c r="R3">
        <f>Data!X11</f>
        <v>3.30901198145427E-3</v>
      </c>
      <c r="S3">
        <f>Data!Y11</f>
        <v>3.30901198145427E-3</v>
      </c>
      <c r="T3">
        <f>Data!Z11</f>
        <v>3.30901198145427E-3</v>
      </c>
      <c r="U3">
        <f>Data!AA11</f>
        <v>3.30901198145427E-3</v>
      </c>
      <c r="V3">
        <f>Data!AB11</f>
        <v>3.30901198145427E-3</v>
      </c>
      <c r="W3">
        <f>Data!AC11</f>
        <v>3.30901198145427E-3</v>
      </c>
      <c r="X3">
        <f>Data!AD11</f>
        <v>3.30901198145427E-3</v>
      </c>
      <c r="Y3">
        <f>Data!AE11</f>
        <v>3.30901198145427E-3</v>
      </c>
      <c r="Z3">
        <f>Data!AF11</f>
        <v>3.30901198145427E-3</v>
      </c>
      <c r="AA3">
        <f>Data!AG11</f>
        <v>3.30901198145427E-3</v>
      </c>
      <c r="AB3">
        <f>Data!AH11</f>
        <v>3.30901198145427E-3</v>
      </c>
      <c r="AC3">
        <f>Data!AI11</f>
        <v>3.30901198145427E-3</v>
      </c>
      <c r="AD3">
        <f>Data!AJ11</f>
        <v>3.30901198145427E-3</v>
      </c>
      <c r="AE3">
        <f>Data!AK11</f>
        <v>3.30901198145427E-3</v>
      </c>
      <c r="AF3">
        <f>Data!AL11</f>
        <v>3.30901198145427E-3</v>
      </c>
    </row>
    <row r="4" spans="1:32">
      <c r="A4" t="s">
        <v>3</v>
      </c>
      <c r="B4">
        <f>Data!H12</f>
        <v>1</v>
      </c>
      <c r="C4">
        <f>Data!I12</f>
        <v>1</v>
      </c>
      <c r="D4">
        <f>Data!J12</f>
        <v>1</v>
      </c>
      <c r="E4">
        <f>Data!K12</f>
        <v>1</v>
      </c>
      <c r="F4">
        <f>Data!L12</f>
        <v>1</v>
      </c>
      <c r="G4">
        <f>Data!M12</f>
        <v>1</v>
      </c>
      <c r="H4">
        <f>Data!N12</f>
        <v>1</v>
      </c>
      <c r="I4">
        <f>Data!O12</f>
        <v>1</v>
      </c>
      <c r="J4">
        <f>Data!P12</f>
        <v>1</v>
      </c>
      <c r="K4">
        <f>Data!Q12</f>
        <v>1</v>
      </c>
      <c r="L4">
        <f>Data!R12</f>
        <v>1</v>
      </c>
      <c r="M4">
        <f>Data!S12</f>
        <v>1</v>
      </c>
      <c r="N4">
        <f>Data!T12</f>
        <v>1</v>
      </c>
      <c r="O4">
        <f>Data!U12</f>
        <v>1</v>
      </c>
      <c r="P4">
        <f>Data!V12</f>
        <v>1</v>
      </c>
      <c r="Q4">
        <f>Data!W12</f>
        <v>1</v>
      </c>
      <c r="R4">
        <f>Data!X12</f>
        <v>1</v>
      </c>
      <c r="S4">
        <f>Data!Y12</f>
        <v>1</v>
      </c>
      <c r="T4">
        <f>Data!Z12</f>
        <v>1</v>
      </c>
      <c r="U4">
        <f>Data!AA12</f>
        <v>1</v>
      </c>
      <c r="V4">
        <f>Data!AB12</f>
        <v>1</v>
      </c>
      <c r="W4">
        <f>Data!AC12</f>
        <v>1</v>
      </c>
      <c r="X4">
        <f>Data!AD12</f>
        <v>1</v>
      </c>
      <c r="Y4">
        <f>Data!AE12</f>
        <v>1</v>
      </c>
      <c r="Z4">
        <f>Data!AF12</f>
        <v>1</v>
      </c>
      <c r="AA4">
        <f>Data!AG12</f>
        <v>1</v>
      </c>
      <c r="AB4">
        <f>Data!AH12</f>
        <v>1</v>
      </c>
      <c r="AC4">
        <f>Data!AI12</f>
        <v>1</v>
      </c>
      <c r="AD4">
        <f>Data!AJ12</f>
        <v>1</v>
      </c>
      <c r="AE4">
        <f>Data!AK12</f>
        <v>1</v>
      </c>
      <c r="AF4">
        <f>Data!AL12</f>
        <v>1</v>
      </c>
    </row>
    <row r="5" spans="1:32">
      <c r="A5" t="s">
        <v>4</v>
      </c>
      <c r="B5">
        <f>Data!H13</f>
        <v>0.59258194130892095</v>
      </c>
      <c r="C5">
        <f>Data!I13</f>
        <v>0.59258194130892095</v>
      </c>
      <c r="D5">
        <f>Data!J13</f>
        <v>0.59256250147626899</v>
      </c>
      <c r="E5">
        <f>Data!K13</f>
        <v>0.592196165783894</v>
      </c>
      <c r="F5">
        <f>Data!L13</f>
        <v>0.592014678526816</v>
      </c>
      <c r="G5">
        <f>Data!M13</f>
        <v>0.59122138352735099</v>
      </c>
      <c r="H5">
        <f>Data!N13</f>
        <v>0.59122138352735099</v>
      </c>
      <c r="I5">
        <f>Data!O13</f>
        <v>0.59122138352735099</v>
      </c>
      <c r="J5">
        <f>Data!P13</f>
        <v>0.59122138352735099</v>
      </c>
      <c r="K5">
        <f>Data!Q13</f>
        <v>0.59122138352735099</v>
      </c>
      <c r="L5">
        <f>Data!R13</f>
        <v>0.59122138352735099</v>
      </c>
      <c r="M5">
        <f>Data!S13</f>
        <v>0.59122138352735099</v>
      </c>
      <c r="N5">
        <f>Data!T13</f>
        <v>0.59122138352735099</v>
      </c>
      <c r="O5">
        <f>Data!U13</f>
        <v>0.59122138352735099</v>
      </c>
      <c r="P5">
        <f>Data!V13</f>
        <v>0.59122138352735099</v>
      </c>
      <c r="Q5">
        <f>Data!W13</f>
        <v>0.59122138352735099</v>
      </c>
      <c r="R5">
        <f>Data!X13</f>
        <v>0.59122138352735099</v>
      </c>
      <c r="S5">
        <f>Data!Y13</f>
        <v>0.59122138352735099</v>
      </c>
      <c r="T5">
        <f>Data!Z13</f>
        <v>0.59122138352735099</v>
      </c>
      <c r="U5">
        <f>Data!AA13</f>
        <v>0.59122138352735099</v>
      </c>
      <c r="V5">
        <f>Data!AB13</f>
        <v>0.59122138352735099</v>
      </c>
      <c r="W5">
        <f>Data!AC13</f>
        <v>0.59122138352735099</v>
      </c>
      <c r="X5">
        <f>Data!AD13</f>
        <v>0.59122138352735099</v>
      </c>
      <c r="Y5">
        <f>Data!AE13</f>
        <v>0.59122138352735099</v>
      </c>
      <c r="Z5">
        <f>Data!AF13</f>
        <v>0.59122138352735099</v>
      </c>
      <c r="AA5">
        <f>Data!AG13</f>
        <v>0.59122138352735099</v>
      </c>
      <c r="AB5">
        <f>Data!AH13</f>
        <v>0.59122138352735099</v>
      </c>
      <c r="AC5">
        <f>Data!AI13</f>
        <v>0.59122138352735099</v>
      </c>
      <c r="AD5">
        <f>Data!AJ13</f>
        <v>0.59122138352735099</v>
      </c>
      <c r="AE5">
        <f>Data!AK13</f>
        <v>0.59122138352735099</v>
      </c>
      <c r="AF5">
        <f>Data!AL13</f>
        <v>0.59122138352735099</v>
      </c>
    </row>
    <row r="6" spans="1:32">
      <c r="A6" t="s">
        <v>5</v>
      </c>
      <c r="B6">
        <f>Data!H14</f>
        <v>2.68592624324243E-2</v>
      </c>
      <c r="C6">
        <f>Data!I14</f>
        <v>2.68592624324243E-2</v>
      </c>
      <c r="D6">
        <f>Data!J14</f>
        <v>1.94058745124292E-2</v>
      </c>
      <c r="E6">
        <f>Data!K14</f>
        <v>1.8171220012969998E-2</v>
      </c>
      <c r="F6">
        <f>Data!L14</f>
        <v>1.64374786444835E-2</v>
      </c>
      <c r="G6">
        <f>Data!M14</f>
        <v>2.2877517710931699E-2</v>
      </c>
      <c r="H6">
        <f>Data!N14</f>
        <v>2.7902014168745361E-2</v>
      </c>
      <c r="I6">
        <f>Data!O14</f>
        <v>3.2926510626559019E-2</v>
      </c>
      <c r="J6">
        <f>Data!P14</f>
        <v>3.7951007084372677E-2</v>
      </c>
      <c r="K6">
        <f>Data!Q14</f>
        <v>4.2975503542186336E-2</v>
      </c>
      <c r="L6">
        <f>Data!R14</f>
        <v>4.8000000000000001E-2</v>
      </c>
      <c r="M6">
        <f>Data!S14</f>
        <v>5.2400000000000002E-2</v>
      </c>
      <c r="N6">
        <f>Data!T14</f>
        <v>5.6800000000000003E-2</v>
      </c>
      <c r="O6">
        <f>Data!U14</f>
        <v>6.1200000000000004E-2</v>
      </c>
      <c r="P6">
        <f>Data!V14</f>
        <v>6.5600000000000006E-2</v>
      </c>
      <c r="Q6">
        <f>Data!W14</f>
        <v>7.0000000000000007E-2</v>
      </c>
      <c r="R6">
        <f>Data!X14</f>
        <v>7.46E-2</v>
      </c>
      <c r="S6">
        <f>Data!Y14</f>
        <v>7.9199999999999993E-2</v>
      </c>
      <c r="T6">
        <f>Data!Z14</f>
        <v>8.3799999999999986E-2</v>
      </c>
      <c r="U6">
        <f>Data!AA14</f>
        <v>8.8399999999999979E-2</v>
      </c>
      <c r="V6">
        <f>Data!AB14</f>
        <v>9.2999999999999999E-2</v>
      </c>
      <c r="W6">
        <f>Data!AC14</f>
        <v>0.1024</v>
      </c>
      <c r="X6">
        <f>Data!AD14</f>
        <v>0.11180000000000001</v>
      </c>
      <c r="Y6">
        <f>Data!AE14</f>
        <v>0.12120000000000002</v>
      </c>
      <c r="Z6">
        <f>Data!AF14</f>
        <v>0.13060000000000002</v>
      </c>
      <c r="AA6">
        <f>Data!AG14</f>
        <v>0.14000000000000001</v>
      </c>
      <c r="AB6">
        <f>Data!AH14</f>
        <v>0.16400000000000001</v>
      </c>
      <c r="AC6">
        <f>Data!AI14</f>
        <v>0.188</v>
      </c>
      <c r="AD6">
        <f>Data!AJ14</f>
        <v>0.21199999999999999</v>
      </c>
      <c r="AE6">
        <f>Data!AK14</f>
        <v>0.23599999999999999</v>
      </c>
      <c r="AF6">
        <f>Data!AL14</f>
        <v>0.26</v>
      </c>
    </row>
    <row r="7" spans="1:32">
      <c r="A7" t="s">
        <v>78</v>
      </c>
      <c r="B7">
        <f>Data!H15</f>
        <v>0.171228650249552</v>
      </c>
      <c r="C7">
        <f>Data!I15</f>
        <v>0.171228650249552</v>
      </c>
      <c r="D7">
        <f>Data!J15</f>
        <v>0.160575453689589</v>
      </c>
      <c r="E7">
        <f>Data!K15</f>
        <v>0.16035867432016401</v>
      </c>
      <c r="F7">
        <f>Data!L15</f>
        <v>0.16022472098401899</v>
      </c>
      <c r="G7">
        <f>Data!M15</f>
        <v>0.15979463806628899</v>
      </c>
      <c r="H7">
        <f>Data!N15</f>
        <v>0.15979463806628899</v>
      </c>
      <c r="I7">
        <f>Data!O15</f>
        <v>0.15979463806628899</v>
      </c>
      <c r="J7">
        <f>Data!P15</f>
        <v>0.15979463806628899</v>
      </c>
      <c r="K7">
        <f>Data!Q15</f>
        <v>0.15979463806628899</v>
      </c>
      <c r="L7">
        <f>Data!R15</f>
        <v>0.15979463806628899</v>
      </c>
      <c r="M7">
        <f>Data!S15</f>
        <v>0.15979463806628899</v>
      </c>
      <c r="N7">
        <f>Data!T15</f>
        <v>0.15979463806628899</v>
      </c>
      <c r="O7">
        <f>Data!U15</f>
        <v>0.15979463806628899</v>
      </c>
      <c r="P7">
        <f>Data!V15</f>
        <v>0.15979463806628899</v>
      </c>
      <c r="Q7">
        <f>Data!W15</f>
        <v>0.15979463806628899</v>
      </c>
      <c r="R7">
        <f>Data!X15</f>
        <v>0.15979463806628899</v>
      </c>
      <c r="S7">
        <f>Data!Y15</f>
        <v>0.15979463806628899</v>
      </c>
      <c r="T7">
        <f>Data!Z15</f>
        <v>0.15979463806628899</v>
      </c>
      <c r="U7">
        <f>Data!AA15</f>
        <v>0.15979463806628899</v>
      </c>
      <c r="V7">
        <f>Data!AB15</f>
        <v>0.15979463806628899</v>
      </c>
      <c r="W7">
        <f>Data!AC15</f>
        <v>0.15979463806628899</v>
      </c>
      <c r="X7">
        <f>Data!AD15</f>
        <v>0.15979463806628899</v>
      </c>
      <c r="Y7">
        <f>Data!AE15</f>
        <v>0.15979463806628899</v>
      </c>
      <c r="Z7">
        <f>Data!AF15</f>
        <v>0.15979463806628899</v>
      </c>
      <c r="AA7">
        <f>Data!AG15</f>
        <v>0.15979463806628899</v>
      </c>
      <c r="AB7">
        <f>Data!AH15</f>
        <v>0.15979463806628899</v>
      </c>
      <c r="AC7">
        <f>Data!AI15</f>
        <v>0.15979463806628899</v>
      </c>
      <c r="AD7">
        <f>Data!AJ15</f>
        <v>0.15979463806628899</v>
      </c>
      <c r="AE7">
        <f>Data!AK15</f>
        <v>0.15979463806628899</v>
      </c>
      <c r="AF7">
        <f>Data!AL15</f>
        <v>0.15979463806628899</v>
      </c>
    </row>
    <row r="8" spans="1:32">
      <c r="A8" t="s">
        <v>79</v>
      </c>
      <c r="B8">
        <f>Data!H16</f>
        <v>1.3775185340645301E-2</v>
      </c>
      <c r="C8">
        <f>Data!I16</f>
        <v>1.3775185340645301E-2</v>
      </c>
      <c r="D8">
        <f>Data!J16</f>
        <v>1.50499244982964E-2</v>
      </c>
      <c r="E8">
        <f>Data!K16</f>
        <v>5.9981476236627097E-3</v>
      </c>
      <c r="F8">
        <f>Data!L16</f>
        <v>3.9475989042041899E-3</v>
      </c>
      <c r="G8">
        <f>Data!M16</f>
        <v>8.1683077230845901E-3</v>
      </c>
      <c r="H8">
        <f>Data!N16</f>
        <v>8.1683077230845901E-3</v>
      </c>
      <c r="I8">
        <f>Data!O16</f>
        <v>8.1683077230845901E-3</v>
      </c>
      <c r="J8">
        <f>Data!P16</f>
        <v>8.1683077230845901E-3</v>
      </c>
      <c r="K8">
        <f>Data!Q16</f>
        <v>8.1683077230845901E-3</v>
      </c>
      <c r="L8">
        <f>Data!R16</f>
        <v>8.1683077230845901E-3</v>
      </c>
      <c r="M8">
        <f>Data!S16</f>
        <v>8.1683077230845901E-3</v>
      </c>
      <c r="N8">
        <f>Data!T16</f>
        <v>8.1683077230845901E-3</v>
      </c>
      <c r="O8">
        <f>Data!U16</f>
        <v>8.1683077230845901E-3</v>
      </c>
      <c r="P8">
        <f>Data!V16</f>
        <v>8.1683077230845901E-3</v>
      </c>
      <c r="Q8">
        <f>Data!W16</f>
        <v>8.1683077230845901E-3</v>
      </c>
      <c r="R8">
        <f>Data!X16</f>
        <v>8.1683077230845901E-3</v>
      </c>
      <c r="S8">
        <f>Data!Y16</f>
        <v>8.1683077230845901E-3</v>
      </c>
      <c r="T8">
        <f>Data!Z16</f>
        <v>8.1683077230845901E-3</v>
      </c>
      <c r="U8">
        <f>Data!AA16</f>
        <v>8.1683077230845901E-3</v>
      </c>
      <c r="V8">
        <f>Data!AB16</f>
        <v>8.1683077230845901E-3</v>
      </c>
      <c r="W8">
        <f>Data!AC16</f>
        <v>8.1683077230845901E-3</v>
      </c>
      <c r="X8">
        <f>Data!AD16</f>
        <v>8.1683077230845901E-3</v>
      </c>
      <c r="Y8">
        <f>Data!AE16</f>
        <v>8.1683077230845901E-3</v>
      </c>
      <c r="Z8">
        <f>Data!AF16</f>
        <v>8.1683077230845901E-3</v>
      </c>
      <c r="AA8">
        <f>Data!AG16</f>
        <v>8.1683077230845901E-3</v>
      </c>
      <c r="AB8">
        <f>Data!AH16</f>
        <v>8.1683077230845901E-3</v>
      </c>
      <c r="AC8">
        <f>Data!AI16</f>
        <v>8.1683077230845901E-3</v>
      </c>
      <c r="AD8">
        <f>Data!AJ16</f>
        <v>8.1683077230845901E-3</v>
      </c>
      <c r="AE8">
        <f>Data!AK16</f>
        <v>8.1683077230845901E-3</v>
      </c>
      <c r="AF8">
        <f>Data!AL16</f>
        <v>8.1683077230845901E-3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F8"/>
  <sheetViews>
    <sheetView workbookViewId="0">
      <selection activeCell="C5" sqref="C5"/>
    </sheetView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Data!H17</f>
        <v>0.05</v>
      </c>
      <c r="C2">
        <f>Data!I17</f>
        <v>5.6648314261972879E-2</v>
      </c>
      <c r="D2">
        <f>Data!J17</f>
        <v>5.8928137580334883E-2</v>
      </c>
      <c r="E2">
        <f>Data!K17</f>
        <v>6.1968647109589645E-2</v>
      </c>
      <c r="F2">
        <f>Data!L17</f>
        <v>6.6007035172686288E-2</v>
      </c>
      <c r="G2">
        <f>Data!M17</f>
        <v>7.1341642929905053E-2</v>
      </c>
      <c r="H2">
        <f>Data!N17</f>
        <v>7.833801022564843E-2</v>
      </c>
      <c r="I2">
        <f>Data!O17</f>
        <v>8.7427713422265074E-2</v>
      </c>
      <c r="J2">
        <f>Data!P17</f>
        <v>9.9093569538025811E-2</v>
      </c>
      <c r="K2">
        <f>Data!Q17</f>
        <v>0.11383297920521952</v>
      </c>
      <c r="L2">
        <f>Data!R17</f>
        <v>0.13209148571286036</v>
      </c>
      <c r="M2">
        <f>Data!S17</f>
        <v>0.15416384742544209</v>
      </c>
      <c r="N2">
        <f>Data!T17</f>
        <v>0.18007272381874823</v>
      </c>
      <c r="O2">
        <f>Data!U17</f>
        <v>0.20945466219839204</v>
      </c>
      <c r="P2">
        <f>Data!V17</f>
        <v>0.24150086743475346</v>
      </c>
      <c r="Q2">
        <f>Data!W17</f>
        <v>0.27500000000000002</v>
      </c>
      <c r="R2">
        <f>Data!X17</f>
        <v>0.30849913256524658</v>
      </c>
      <c r="S2">
        <f>Data!Y17</f>
        <v>0.34054533780160795</v>
      </c>
      <c r="T2">
        <f>Data!Z17</f>
        <v>0.36992727618125176</v>
      </c>
      <c r="U2">
        <f>Data!AA17</f>
        <v>0.3958361525745579</v>
      </c>
      <c r="V2">
        <f>Data!AB17</f>
        <v>0.4179085142871396</v>
      </c>
      <c r="W2">
        <f>Data!AC17</f>
        <v>0.43616702079478054</v>
      </c>
      <c r="X2">
        <f>Data!AD17</f>
        <v>0.45090643046197421</v>
      </c>
      <c r="Y2">
        <f>Data!AE17</f>
        <v>0.46257228657773497</v>
      </c>
      <c r="Z2">
        <f>Data!AF17</f>
        <v>0.47166198977435159</v>
      </c>
      <c r="AA2">
        <f>Data!AG17</f>
        <v>0.47865835707009496</v>
      </c>
      <c r="AB2">
        <f>Data!AH17</f>
        <v>0.48399296482731374</v>
      </c>
      <c r="AC2">
        <f>Data!AI17</f>
        <v>0.48803135289041033</v>
      </c>
      <c r="AD2">
        <f>Data!AJ17</f>
        <v>0.49107186241966516</v>
      </c>
      <c r="AE2">
        <f>Data!AK17</f>
        <v>0.49335168573802712</v>
      </c>
      <c r="AF2">
        <f>Data!AL17</f>
        <v>0.49505587581623306</v>
      </c>
    </row>
    <row r="3" spans="1:32">
      <c r="A3" t="s">
        <v>2</v>
      </c>
      <c r="B3">
        <f>Data!H18</f>
        <v>6.1283704210113928E-4</v>
      </c>
      <c r="C3">
        <f>Data!I18</f>
        <v>6.1283704210113928E-4</v>
      </c>
      <c r="D3">
        <f>Data!J18</f>
        <v>6.1283704210113928E-4</v>
      </c>
      <c r="E3">
        <f>Data!K18</f>
        <v>6.1283704210113928E-4</v>
      </c>
      <c r="F3">
        <f>Data!L18</f>
        <v>6.1283704210113928E-4</v>
      </c>
      <c r="G3">
        <f>Data!M18</f>
        <v>6.1283704210113928E-4</v>
      </c>
      <c r="H3">
        <f>Data!N18</f>
        <v>6.1283704210113928E-4</v>
      </c>
      <c r="I3">
        <f>Data!O18</f>
        <v>6.1283704210113928E-4</v>
      </c>
      <c r="J3">
        <f>Data!P18</f>
        <v>6.1283704210113928E-4</v>
      </c>
      <c r="K3">
        <f>Data!Q18</f>
        <v>6.1283704210113928E-4</v>
      </c>
      <c r="L3">
        <f>Data!R18</f>
        <v>6.1283704210113928E-4</v>
      </c>
      <c r="M3">
        <f>Data!S18</f>
        <v>6.1283704210113928E-4</v>
      </c>
      <c r="N3">
        <f>Data!T18</f>
        <v>6.1283704210113928E-4</v>
      </c>
      <c r="O3">
        <f>Data!U18</f>
        <v>6.1283704210113928E-4</v>
      </c>
      <c r="P3">
        <f>Data!V18</f>
        <v>6.1283704210113928E-4</v>
      </c>
      <c r="Q3">
        <f>Data!W18</f>
        <v>6.1283704210113928E-4</v>
      </c>
      <c r="R3">
        <f>Data!X18</f>
        <v>6.1283704210113928E-4</v>
      </c>
      <c r="S3">
        <f>Data!Y18</f>
        <v>6.1283704210113928E-4</v>
      </c>
      <c r="T3">
        <f>Data!Z18</f>
        <v>6.1283704210113928E-4</v>
      </c>
      <c r="U3">
        <f>Data!AA18</f>
        <v>6.1283704210113928E-4</v>
      </c>
      <c r="V3">
        <f>Data!AB18</f>
        <v>6.1283704210113928E-4</v>
      </c>
      <c r="W3">
        <f>Data!AC18</f>
        <v>6.1283704210113928E-4</v>
      </c>
      <c r="X3">
        <f>Data!AD18</f>
        <v>6.1283704210113928E-4</v>
      </c>
      <c r="Y3">
        <f>Data!AE18</f>
        <v>6.1283704210113928E-4</v>
      </c>
      <c r="Z3">
        <f>Data!AF18</f>
        <v>6.1283704210113928E-4</v>
      </c>
      <c r="AA3">
        <f>Data!AG18</f>
        <v>6.1283704210113928E-4</v>
      </c>
      <c r="AB3">
        <f>Data!AH18</f>
        <v>6.1283704210113928E-4</v>
      </c>
      <c r="AC3">
        <f>Data!AI18</f>
        <v>6.1283704210113928E-4</v>
      </c>
      <c r="AD3">
        <f>Data!AJ18</f>
        <v>6.1283704210113928E-4</v>
      </c>
      <c r="AE3">
        <f>Data!AK18</f>
        <v>6.1283704210113928E-4</v>
      </c>
      <c r="AF3">
        <f>Data!AL18</f>
        <v>6.1283704210113928E-4</v>
      </c>
    </row>
    <row r="4" spans="1:32">
      <c r="A4" t="s">
        <v>3</v>
      </c>
      <c r="B4">
        <f>Data!H19</f>
        <v>1.9186119393907859E-2</v>
      </c>
      <c r="C4">
        <f>Data!I19</f>
        <v>1.9186119393907859E-2</v>
      </c>
      <c r="D4">
        <f>Data!J19</f>
        <v>1.9186119393907859E-2</v>
      </c>
      <c r="E4">
        <f>Data!K19</f>
        <v>1.9186119393907859E-2</v>
      </c>
      <c r="F4">
        <f>Data!L19</f>
        <v>1.9186119393907859E-2</v>
      </c>
      <c r="G4">
        <f>Data!M19</f>
        <v>1.9186119393907859E-2</v>
      </c>
      <c r="H4">
        <f>Data!N19</f>
        <v>1.9186119393907859E-2</v>
      </c>
      <c r="I4">
        <f>Data!O19</f>
        <v>1.9186119393907859E-2</v>
      </c>
      <c r="J4">
        <f>Data!P19</f>
        <v>1.9186119393907859E-2</v>
      </c>
      <c r="K4">
        <f>Data!Q19</f>
        <v>1.9186119393907859E-2</v>
      </c>
      <c r="L4">
        <f>Data!R19</f>
        <v>1.9186119393907859E-2</v>
      </c>
      <c r="M4">
        <f>Data!S19</f>
        <v>1.9186119393907859E-2</v>
      </c>
      <c r="N4">
        <f>Data!T19</f>
        <v>1.9186119393907859E-2</v>
      </c>
      <c r="O4">
        <f>Data!U19</f>
        <v>1.9186119393907859E-2</v>
      </c>
      <c r="P4">
        <f>Data!V19</f>
        <v>1.9186119393907859E-2</v>
      </c>
      <c r="Q4">
        <f>Data!W19</f>
        <v>1.9186119393907859E-2</v>
      </c>
      <c r="R4">
        <f>Data!X19</f>
        <v>1.9186119393907859E-2</v>
      </c>
      <c r="S4">
        <f>Data!Y19</f>
        <v>1.9186119393907859E-2</v>
      </c>
      <c r="T4">
        <f>Data!Z19</f>
        <v>1.9186119393907859E-2</v>
      </c>
      <c r="U4">
        <f>Data!AA19</f>
        <v>1.9186119393907859E-2</v>
      </c>
      <c r="V4">
        <f>Data!AB19</f>
        <v>1.9186119393907859E-2</v>
      </c>
      <c r="W4">
        <f>Data!AC19</f>
        <v>1.9186119393907859E-2</v>
      </c>
      <c r="X4">
        <f>Data!AD19</f>
        <v>1.9186119393907859E-2</v>
      </c>
      <c r="Y4">
        <f>Data!AE19</f>
        <v>1.9186119393907859E-2</v>
      </c>
      <c r="Z4">
        <f>Data!AF19</f>
        <v>1.9186119393907859E-2</v>
      </c>
      <c r="AA4">
        <f>Data!AG19</f>
        <v>1.9186119393907859E-2</v>
      </c>
      <c r="AB4">
        <f>Data!AH19</f>
        <v>1.9186119393907859E-2</v>
      </c>
      <c r="AC4">
        <f>Data!AI19</f>
        <v>1.9186119393907859E-2</v>
      </c>
      <c r="AD4">
        <f>Data!AJ19</f>
        <v>1.9186119393907859E-2</v>
      </c>
      <c r="AE4">
        <f>Data!AK19</f>
        <v>1.9186119393907859E-2</v>
      </c>
      <c r="AF4">
        <f>Data!AL19</f>
        <v>1.9186119393907859E-2</v>
      </c>
    </row>
    <row r="5" spans="1:32">
      <c r="A5" t="s">
        <v>4</v>
      </c>
      <c r="B5">
        <f>Data!H20</f>
        <v>3</v>
      </c>
      <c r="C5">
        <f>Data!I20</f>
        <v>3</v>
      </c>
      <c r="D5">
        <f>Data!J20</f>
        <v>3</v>
      </c>
      <c r="E5">
        <f>Data!K20</f>
        <v>3</v>
      </c>
      <c r="F5">
        <f>Data!L20</f>
        <v>3</v>
      </c>
      <c r="G5">
        <f>Data!M20</f>
        <v>3</v>
      </c>
      <c r="H5">
        <f>Data!N20</f>
        <v>3</v>
      </c>
      <c r="I5">
        <f>Data!O20</f>
        <v>3</v>
      </c>
      <c r="J5">
        <f>Data!P20</f>
        <v>3</v>
      </c>
      <c r="K5">
        <f>Data!Q20</f>
        <v>3</v>
      </c>
      <c r="L5">
        <f>Data!R20</f>
        <v>3</v>
      </c>
      <c r="M5">
        <f>Data!S20</f>
        <v>3</v>
      </c>
      <c r="N5">
        <f>Data!T20</f>
        <v>3</v>
      </c>
      <c r="O5">
        <f>Data!U20</f>
        <v>3</v>
      </c>
      <c r="P5">
        <f>Data!V20</f>
        <v>3</v>
      </c>
      <c r="Q5">
        <f>Data!W20</f>
        <v>3</v>
      </c>
      <c r="R5">
        <f>Data!X20</f>
        <v>3</v>
      </c>
      <c r="S5">
        <f>Data!Y20</f>
        <v>3</v>
      </c>
      <c r="T5">
        <f>Data!Z20</f>
        <v>3</v>
      </c>
      <c r="U5">
        <f>Data!AA20</f>
        <v>3</v>
      </c>
      <c r="V5">
        <f>Data!AB20</f>
        <v>3</v>
      </c>
      <c r="W5">
        <f>Data!AC20</f>
        <v>3</v>
      </c>
      <c r="X5">
        <f>Data!AD20</f>
        <v>3</v>
      </c>
      <c r="Y5">
        <f>Data!AE20</f>
        <v>3</v>
      </c>
      <c r="Z5">
        <f>Data!AF20</f>
        <v>3</v>
      </c>
      <c r="AA5">
        <f>Data!AG20</f>
        <v>3</v>
      </c>
      <c r="AB5">
        <f>Data!AH20</f>
        <v>3</v>
      </c>
      <c r="AC5">
        <f>Data!AI20</f>
        <v>3</v>
      </c>
      <c r="AD5">
        <f>Data!AJ20</f>
        <v>3</v>
      </c>
      <c r="AE5">
        <f>Data!AK20</f>
        <v>3</v>
      </c>
      <c r="AF5">
        <f>Data!AL20</f>
        <v>3</v>
      </c>
    </row>
    <row r="6" spans="1:32">
      <c r="A6" t="s">
        <v>5</v>
      </c>
      <c r="B6">
        <f>Data!H21</f>
        <v>0</v>
      </c>
      <c r="C6">
        <f>Data!I21</f>
        <v>3.6935079233182638E-3</v>
      </c>
      <c r="D6">
        <f>Data!J21</f>
        <v>4.9600764335193774E-3</v>
      </c>
      <c r="E6">
        <f>Data!K21</f>
        <v>6.6492483942164659E-3</v>
      </c>
      <c r="F6">
        <f>Data!L21</f>
        <v>8.8927973181590451E-3</v>
      </c>
      <c r="G6">
        <f>Data!M21</f>
        <v>1.1856468294391695E-2</v>
      </c>
      <c r="H6">
        <f>Data!N21</f>
        <v>1.5743339014249128E-2</v>
      </c>
      <c r="I6">
        <f>Data!O21</f>
        <v>2.0793174123480595E-2</v>
      </c>
      <c r="J6">
        <f>Data!P21</f>
        <v>2.7274205298903231E-2</v>
      </c>
      <c r="K6">
        <f>Data!Q21</f>
        <v>3.5462766225121956E-2</v>
      </c>
      <c r="L6">
        <f>Data!R21</f>
        <v>4.5606380951589087E-2</v>
      </c>
      <c r="M6">
        <f>Data!S21</f>
        <v>5.7868804125245595E-2</v>
      </c>
      <c r="N6">
        <f>Data!T21</f>
        <v>7.2262624343749013E-2</v>
      </c>
      <c r="O6">
        <f>Data!U21</f>
        <v>8.8585923443551137E-2</v>
      </c>
      <c r="P6">
        <f>Data!V21</f>
        <v>0.10638937079708526</v>
      </c>
      <c r="Q6">
        <f>Data!W21</f>
        <v>0.125</v>
      </c>
      <c r="R6">
        <f>Data!X21</f>
        <v>0.14361062920291476</v>
      </c>
      <c r="S6">
        <f>Data!Y21</f>
        <v>0.16141407655644885</v>
      </c>
      <c r="T6">
        <f>Data!Z21</f>
        <v>0.17773737565625097</v>
      </c>
      <c r="U6">
        <f>Data!AA21</f>
        <v>0.19213119587475438</v>
      </c>
      <c r="V6">
        <f>Data!AB21</f>
        <v>0.20439361904841091</v>
      </c>
      <c r="W6">
        <f>Data!AC21</f>
        <v>0.21453723377487807</v>
      </c>
      <c r="X6">
        <f>Data!AD21</f>
        <v>0.22272579470109677</v>
      </c>
      <c r="Y6">
        <f>Data!AE21</f>
        <v>0.22920682587651942</v>
      </c>
      <c r="Z6">
        <f>Data!AF21</f>
        <v>0.23425666098575088</v>
      </c>
      <c r="AA6">
        <f>Data!AG21</f>
        <v>0.23814353170560834</v>
      </c>
      <c r="AB6">
        <f>Data!AH21</f>
        <v>0.24110720268184097</v>
      </c>
      <c r="AC6">
        <f>Data!AI21</f>
        <v>0.24335075160578351</v>
      </c>
      <c r="AD6">
        <f>Data!AJ21</f>
        <v>0.24503992356648063</v>
      </c>
      <c r="AE6">
        <f>Data!AK21</f>
        <v>0.24630649207668173</v>
      </c>
      <c r="AF6">
        <f>Data!AL21</f>
        <v>0.2472532643423517</v>
      </c>
    </row>
    <row r="7" spans="1:32">
      <c r="A7" t="s">
        <v>78</v>
      </c>
      <c r="B7">
        <f>Data!H22</f>
        <v>4.237817368977314E-2</v>
      </c>
      <c r="C7">
        <f>Data!I22</f>
        <v>4.237817368977314E-2</v>
      </c>
      <c r="D7">
        <f>Data!J22</f>
        <v>4.237817368977314E-2</v>
      </c>
      <c r="E7">
        <f>Data!K22</f>
        <v>4.237817368977314E-2</v>
      </c>
      <c r="F7">
        <f>Data!L22</f>
        <v>4.237817368977314E-2</v>
      </c>
      <c r="G7">
        <f>Data!M22</f>
        <v>4.237817368977314E-2</v>
      </c>
      <c r="H7">
        <f>Data!N22</f>
        <v>4.237817368977314E-2</v>
      </c>
      <c r="I7">
        <f>Data!O22</f>
        <v>4.237817368977314E-2</v>
      </c>
      <c r="J7">
        <f>Data!P22</f>
        <v>4.237817368977314E-2</v>
      </c>
      <c r="K7">
        <f>Data!Q22</f>
        <v>4.237817368977314E-2</v>
      </c>
      <c r="L7">
        <f>Data!R22</f>
        <v>4.237817368977314E-2</v>
      </c>
      <c r="M7">
        <f>Data!S22</f>
        <v>4.237817368977314E-2</v>
      </c>
      <c r="N7">
        <f>Data!T22</f>
        <v>4.237817368977314E-2</v>
      </c>
      <c r="O7">
        <f>Data!U22</f>
        <v>4.237817368977314E-2</v>
      </c>
      <c r="P7">
        <f>Data!V22</f>
        <v>4.237817368977314E-2</v>
      </c>
      <c r="Q7">
        <f>Data!W22</f>
        <v>4.237817368977314E-2</v>
      </c>
      <c r="R7">
        <f>Data!X22</f>
        <v>4.237817368977314E-2</v>
      </c>
      <c r="S7">
        <f>Data!Y22</f>
        <v>4.237817368977314E-2</v>
      </c>
      <c r="T7">
        <f>Data!Z22</f>
        <v>4.237817368977314E-2</v>
      </c>
      <c r="U7">
        <f>Data!AA22</f>
        <v>4.237817368977314E-2</v>
      </c>
      <c r="V7">
        <f>Data!AB22</f>
        <v>4.237817368977314E-2</v>
      </c>
      <c r="W7">
        <f>Data!AC22</f>
        <v>4.237817368977314E-2</v>
      </c>
      <c r="X7">
        <f>Data!AD22</f>
        <v>4.237817368977314E-2</v>
      </c>
      <c r="Y7">
        <f>Data!AE22</f>
        <v>4.237817368977314E-2</v>
      </c>
      <c r="Z7">
        <f>Data!AF22</f>
        <v>4.237817368977314E-2</v>
      </c>
      <c r="AA7">
        <f>Data!AG22</f>
        <v>4.237817368977314E-2</v>
      </c>
      <c r="AB7">
        <f>Data!AH22</f>
        <v>4.237817368977314E-2</v>
      </c>
      <c r="AC7">
        <f>Data!AI22</f>
        <v>4.237817368977314E-2</v>
      </c>
      <c r="AD7">
        <f>Data!AJ22</f>
        <v>4.237817368977314E-2</v>
      </c>
      <c r="AE7">
        <f>Data!AK22</f>
        <v>4.237817368977314E-2</v>
      </c>
      <c r="AF7">
        <f>Data!AL22</f>
        <v>4.237817368977314E-2</v>
      </c>
    </row>
    <row r="8" spans="1:32">
      <c r="A8" t="s">
        <v>79</v>
      </c>
      <c r="B8">
        <f>Data!H23</f>
        <v>0</v>
      </c>
      <c r="C8">
        <f>Data!I23</f>
        <v>9.0540738828139446E-6</v>
      </c>
      <c r="D8">
        <f>Data!J23</f>
        <v>1.2158874280454334E-5</v>
      </c>
      <c r="E8">
        <f>Data!K23</f>
        <v>1.6299622872429478E-5</v>
      </c>
      <c r="F8">
        <f>Data!L23</f>
        <v>2.179934241786213E-5</v>
      </c>
      <c r="G8">
        <f>Data!M23</f>
        <v>2.9064331837203784E-5</v>
      </c>
      <c r="H8">
        <f>Data!N23</f>
        <v>3.85924052571516E-5</v>
      </c>
      <c r="I8">
        <f>Data!O23</f>
        <v>5.0971309302911188E-5</v>
      </c>
      <c r="J8">
        <f>Data!P23</f>
        <v>6.6858573204156302E-5</v>
      </c>
      <c r="K8">
        <f>Data!Q23</f>
        <v>8.6931587032511697E-5</v>
      </c>
      <c r="L8">
        <f>Data!R23</f>
        <v>1.1179711841323839E-4</v>
      </c>
      <c r="M8">
        <f>Data!S23</f>
        <v>1.4185658700018285E-4</v>
      </c>
      <c r="N8">
        <f>Data!T23</f>
        <v>1.7714085182915572E-4</v>
      </c>
      <c r="O8">
        <f>Data!U23</f>
        <v>2.1715494117977539E-4</v>
      </c>
      <c r="P8">
        <f>Data!V23</f>
        <v>2.6079738924114821E-4</v>
      </c>
      <c r="Q8">
        <f>Data!W23</f>
        <v>3.0641852105056964E-4</v>
      </c>
      <c r="R8">
        <f>Data!X23</f>
        <v>3.5203965285999107E-4</v>
      </c>
      <c r="S8">
        <f>Data!Y23</f>
        <v>3.9568210092136389E-4</v>
      </c>
      <c r="T8">
        <f>Data!Z23</f>
        <v>4.3569619027198356E-4</v>
      </c>
      <c r="U8">
        <f>Data!AA23</f>
        <v>4.709804551009564E-4</v>
      </c>
      <c r="V8">
        <f>Data!AB23</f>
        <v>5.010399236879009E-4</v>
      </c>
      <c r="W8">
        <f>Data!AC23</f>
        <v>5.2590545506862765E-4</v>
      </c>
      <c r="X8">
        <f>Data!AD23</f>
        <v>5.4597846889698301E-4</v>
      </c>
      <c r="Y8">
        <f>Data!AE23</f>
        <v>5.6186573279822817E-4</v>
      </c>
      <c r="Z8">
        <f>Data!AF23</f>
        <v>5.7424463684398771E-4</v>
      </c>
      <c r="AA8">
        <f>Data!AG23</f>
        <v>5.8377271026393554E-4</v>
      </c>
      <c r="AB8">
        <f>Data!AH23</f>
        <v>5.9103769968327712E-4</v>
      </c>
      <c r="AC8">
        <f>Data!AI23</f>
        <v>5.9653741922870976E-4</v>
      </c>
      <c r="AD8">
        <f>Data!AJ23</f>
        <v>6.0067816782068497E-4</v>
      </c>
      <c r="AE8">
        <f>Data!AK23</f>
        <v>6.0378296821832537E-4</v>
      </c>
      <c r="AF8">
        <f>Data!AL23</f>
        <v>6.0610383667767168E-4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F8"/>
  <sheetViews>
    <sheetView workbookViewId="0"/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Data!H24</f>
        <v>0.05</v>
      </c>
      <c r="C2">
        <f>Data!I24</f>
        <v>6.4035330108609401E-2</v>
      </c>
      <c r="D2">
        <f>Data!J24</f>
        <v>6.8848290447373631E-2</v>
      </c>
      <c r="E2">
        <f>Data!K24</f>
        <v>7.5267143898022582E-2</v>
      </c>
      <c r="F2">
        <f>Data!L24</f>
        <v>8.3792629809004371E-2</v>
      </c>
      <c r="G2">
        <f>Data!M24</f>
        <v>9.505457951868844E-2</v>
      </c>
      <c r="H2">
        <f>Data!N24</f>
        <v>0.10982468825414668</v>
      </c>
      <c r="I2">
        <f>Data!O24</f>
        <v>0.12901406166922624</v>
      </c>
      <c r="J2">
        <f>Data!P24</f>
        <v>0.15364198013583227</v>
      </c>
      <c r="K2">
        <f>Data!Q24</f>
        <v>0.18475851165546342</v>
      </c>
      <c r="L2">
        <f>Data!R24</f>
        <v>0.22330424761603851</v>
      </c>
      <c r="M2">
        <f>Data!S24</f>
        <v>0.26990145567593327</v>
      </c>
      <c r="N2">
        <f>Data!T24</f>
        <v>0.32459797250624622</v>
      </c>
      <c r="O2">
        <f>Data!U24</f>
        <v>0.38662650908549429</v>
      </c>
      <c r="P2">
        <f>Data!V24</f>
        <v>0.45427960902892389</v>
      </c>
      <c r="Q2">
        <f>Data!W24</f>
        <v>0.52500000000000002</v>
      </c>
      <c r="R2">
        <f>Data!X24</f>
        <v>0.5957203909710761</v>
      </c>
      <c r="S2">
        <f>Data!Y24</f>
        <v>0.6633734909145057</v>
      </c>
      <c r="T2">
        <f>Data!Z24</f>
        <v>0.72540202749375371</v>
      </c>
      <c r="U2">
        <f>Data!AA24</f>
        <v>0.78009854432406667</v>
      </c>
      <c r="V2">
        <f>Data!AB24</f>
        <v>0.82669575238396142</v>
      </c>
      <c r="W2">
        <f>Data!AC24</f>
        <v>0.86524148834453662</v>
      </c>
      <c r="X2">
        <f>Data!AD24</f>
        <v>0.89635801986416774</v>
      </c>
      <c r="Y2">
        <f>Data!AE24</f>
        <v>0.9209859383307738</v>
      </c>
      <c r="Z2">
        <f>Data!AF24</f>
        <v>0.94017531174585334</v>
      </c>
      <c r="AA2">
        <f>Data!AG24</f>
        <v>0.9549454204813117</v>
      </c>
      <c r="AB2">
        <f>Data!AH24</f>
        <v>0.96620737019099567</v>
      </c>
      <c r="AC2">
        <f>Data!AI24</f>
        <v>0.97473285610197735</v>
      </c>
      <c r="AD2">
        <f>Data!AJ24</f>
        <v>0.98115170955262643</v>
      </c>
      <c r="AE2">
        <f>Data!AK24</f>
        <v>0.98596466989139064</v>
      </c>
      <c r="AF2">
        <f>Data!AL24</f>
        <v>0.98956240450093647</v>
      </c>
    </row>
    <row r="3" spans="1:32">
      <c r="A3" t="s">
        <v>2</v>
      </c>
      <c r="B3">
        <f>Data!H25</f>
        <v>2.155996206658648E-3</v>
      </c>
      <c r="C3">
        <f>Data!I25</f>
        <v>2.155996206658648E-3</v>
      </c>
      <c r="D3">
        <f>Data!J25</f>
        <v>2.155996206658648E-3</v>
      </c>
      <c r="E3">
        <f>Data!K25</f>
        <v>2.155996206658648E-3</v>
      </c>
      <c r="F3">
        <f>Data!L25</f>
        <v>2.155996206658648E-3</v>
      </c>
      <c r="G3">
        <f>Data!M25</f>
        <v>2.155996206658648E-3</v>
      </c>
      <c r="H3">
        <f>Data!N25</f>
        <v>2.155996206658648E-3</v>
      </c>
      <c r="I3">
        <f>Data!O25</f>
        <v>2.155996206658648E-3</v>
      </c>
      <c r="J3">
        <f>Data!P25</f>
        <v>2.155996206658648E-3</v>
      </c>
      <c r="K3">
        <f>Data!Q25</f>
        <v>2.155996206658648E-3</v>
      </c>
      <c r="L3">
        <f>Data!R25</f>
        <v>2.155996206658648E-3</v>
      </c>
      <c r="M3">
        <f>Data!S25</f>
        <v>2.155996206658648E-3</v>
      </c>
      <c r="N3">
        <f>Data!T25</f>
        <v>2.155996206658648E-3</v>
      </c>
      <c r="O3">
        <f>Data!U25</f>
        <v>2.155996206658648E-3</v>
      </c>
      <c r="P3">
        <f>Data!V25</f>
        <v>2.155996206658648E-3</v>
      </c>
      <c r="Q3">
        <f>Data!W25</f>
        <v>2.155996206658648E-3</v>
      </c>
      <c r="R3">
        <f>Data!X25</f>
        <v>2.155996206658648E-3</v>
      </c>
      <c r="S3">
        <f>Data!Y25</f>
        <v>2.155996206658648E-3</v>
      </c>
      <c r="T3">
        <f>Data!Z25</f>
        <v>2.155996206658648E-3</v>
      </c>
      <c r="U3">
        <f>Data!AA25</f>
        <v>2.155996206658648E-3</v>
      </c>
      <c r="V3">
        <f>Data!AB25</f>
        <v>2.155996206658648E-3</v>
      </c>
      <c r="W3">
        <f>Data!AC25</f>
        <v>2.155996206658648E-3</v>
      </c>
      <c r="X3">
        <f>Data!AD25</f>
        <v>2.155996206658648E-3</v>
      </c>
      <c r="Y3">
        <f>Data!AE25</f>
        <v>2.155996206658648E-3</v>
      </c>
      <c r="Z3">
        <f>Data!AF25</f>
        <v>2.155996206658648E-3</v>
      </c>
      <c r="AA3">
        <f>Data!AG25</f>
        <v>2.155996206658648E-3</v>
      </c>
      <c r="AB3">
        <f>Data!AH25</f>
        <v>2.155996206658648E-3</v>
      </c>
      <c r="AC3">
        <f>Data!AI25</f>
        <v>2.155996206658648E-3</v>
      </c>
      <c r="AD3">
        <f>Data!AJ25</f>
        <v>2.155996206658648E-3</v>
      </c>
      <c r="AE3">
        <f>Data!AK25</f>
        <v>2.155996206658648E-3</v>
      </c>
      <c r="AF3">
        <f>Data!AL25</f>
        <v>2.155996206658648E-3</v>
      </c>
    </row>
    <row r="4" spans="1:32">
      <c r="A4" t="s">
        <v>3</v>
      </c>
      <c r="B4">
        <f>Data!H26</f>
        <v>2.0708630477691714</v>
      </c>
      <c r="C4">
        <f>Data!I26</f>
        <v>2.0708630477691714</v>
      </c>
      <c r="D4">
        <f>Data!J26</f>
        <v>2.0708630477691714</v>
      </c>
      <c r="E4">
        <f>Data!K26</f>
        <v>2.0708630477691714</v>
      </c>
      <c r="F4">
        <f>Data!L26</f>
        <v>2.0708630477691714</v>
      </c>
      <c r="G4">
        <f>Data!M26</f>
        <v>2.0708630477691714</v>
      </c>
      <c r="H4">
        <f>Data!N26</f>
        <v>2.0708630477691714</v>
      </c>
      <c r="I4">
        <f>Data!O26</f>
        <v>2.0708630477691714</v>
      </c>
      <c r="J4">
        <f>Data!P26</f>
        <v>2.0708630477691714</v>
      </c>
      <c r="K4">
        <f>Data!Q26</f>
        <v>2.0708630477691714</v>
      </c>
      <c r="L4">
        <f>Data!R26</f>
        <v>2.0708630477691714</v>
      </c>
      <c r="M4">
        <f>Data!S26</f>
        <v>2.0708630477691714</v>
      </c>
      <c r="N4">
        <f>Data!T26</f>
        <v>2.0708630477691714</v>
      </c>
      <c r="O4">
        <f>Data!U26</f>
        <v>2.0708630477691714</v>
      </c>
      <c r="P4">
        <f>Data!V26</f>
        <v>2.0708630477691714</v>
      </c>
      <c r="Q4">
        <f>Data!W26</f>
        <v>2.0708630477691714</v>
      </c>
      <c r="R4">
        <f>Data!X26</f>
        <v>2.0708630477691714</v>
      </c>
      <c r="S4">
        <f>Data!Y26</f>
        <v>2.0708630477691714</v>
      </c>
      <c r="T4">
        <f>Data!Z26</f>
        <v>2.0708630477691714</v>
      </c>
      <c r="U4">
        <f>Data!AA26</f>
        <v>2.0708630477691714</v>
      </c>
      <c r="V4">
        <f>Data!AB26</f>
        <v>2.0708630477691714</v>
      </c>
      <c r="W4">
        <f>Data!AC26</f>
        <v>2.0708630477691714</v>
      </c>
      <c r="X4">
        <f>Data!AD26</f>
        <v>2.0708630477691714</v>
      </c>
      <c r="Y4">
        <f>Data!AE26</f>
        <v>2.0708630477691714</v>
      </c>
      <c r="Z4">
        <f>Data!AF26</f>
        <v>2.0708630477691714</v>
      </c>
      <c r="AA4">
        <f>Data!AG26</f>
        <v>2.0708630477691714</v>
      </c>
      <c r="AB4">
        <f>Data!AH26</f>
        <v>2.0708630477691714</v>
      </c>
      <c r="AC4">
        <f>Data!AI26</f>
        <v>2.0708630477691714</v>
      </c>
      <c r="AD4">
        <f>Data!AJ26</f>
        <v>2.0708630477691714</v>
      </c>
      <c r="AE4">
        <f>Data!AK26</f>
        <v>2.0708630477691714</v>
      </c>
      <c r="AF4">
        <f>Data!AL26</f>
        <v>2.0708630477691714</v>
      </c>
    </row>
    <row r="5" spans="1:32">
      <c r="A5" t="s">
        <v>4</v>
      </c>
      <c r="B5">
        <f>Data!H27</f>
        <v>1.1886920057569821</v>
      </c>
      <c r="C5">
        <f>Data!I27</f>
        <v>1.1886920057569821</v>
      </c>
      <c r="D5">
        <f>Data!J27</f>
        <v>1.1886920057569821</v>
      </c>
      <c r="E5">
        <f>Data!K27</f>
        <v>1.1886920057569821</v>
      </c>
      <c r="F5">
        <f>Data!L27</f>
        <v>1.1886920057569821</v>
      </c>
      <c r="G5">
        <f>Data!M27</f>
        <v>1.1886920057569821</v>
      </c>
      <c r="H5">
        <f>Data!N27</f>
        <v>1.1886920057569821</v>
      </c>
      <c r="I5">
        <f>Data!O27</f>
        <v>1.1886920057569821</v>
      </c>
      <c r="J5">
        <f>Data!P27</f>
        <v>1.1886920057569821</v>
      </c>
      <c r="K5">
        <f>Data!Q27</f>
        <v>1.1886920057569821</v>
      </c>
      <c r="L5">
        <f>Data!R27</f>
        <v>1.1886920057569821</v>
      </c>
      <c r="M5">
        <f>Data!S27</f>
        <v>1.1886920057569821</v>
      </c>
      <c r="N5">
        <f>Data!T27</f>
        <v>1.1886920057569821</v>
      </c>
      <c r="O5">
        <f>Data!U27</f>
        <v>1.1886920057569821</v>
      </c>
      <c r="P5">
        <f>Data!V27</f>
        <v>1.1886920057569821</v>
      </c>
      <c r="Q5">
        <f>Data!W27</f>
        <v>1.1886920057569821</v>
      </c>
      <c r="R5">
        <f>Data!X27</f>
        <v>1.1886920057569821</v>
      </c>
      <c r="S5">
        <f>Data!Y27</f>
        <v>1.1886920057569821</v>
      </c>
      <c r="T5">
        <f>Data!Z27</f>
        <v>1.1886920057569821</v>
      </c>
      <c r="U5">
        <f>Data!AA27</f>
        <v>1.1886920057569821</v>
      </c>
      <c r="V5">
        <f>Data!AB27</f>
        <v>1.1886920057569821</v>
      </c>
      <c r="W5">
        <f>Data!AC27</f>
        <v>1.1886920057569821</v>
      </c>
      <c r="X5">
        <f>Data!AD27</f>
        <v>1.1886920057569821</v>
      </c>
      <c r="Y5">
        <f>Data!AE27</f>
        <v>1.1886920057569821</v>
      </c>
      <c r="Z5">
        <f>Data!AF27</f>
        <v>1.1886920057569821</v>
      </c>
      <c r="AA5">
        <f>Data!AG27</f>
        <v>1.1886920057569821</v>
      </c>
      <c r="AB5">
        <f>Data!AH27</f>
        <v>1.1886920057569821</v>
      </c>
      <c r="AC5">
        <f>Data!AI27</f>
        <v>1.1886920057569821</v>
      </c>
      <c r="AD5">
        <f>Data!AJ27</f>
        <v>1.1886920057569821</v>
      </c>
      <c r="AE5">
        <f>Data!AK27</f>
        <v>1.1886920057569821</v>
      </c>
      <c r="AF5">
        <f>Data!AL27</f>
        <v>1.1886920057569821</v>
      </c>
    </row>
    <row r="6" spans="1:32">
      <c r="A6" t="s">
        <v>5</v>
      </c>
      <c r="B6">
        <f>Data!H28</f>
        <v>4.0868310546055435E-2</v>
      </c>
      <c r="C6">
        <f>Data!I28</f>
        <v>4.0868310546055435E-2</v>
      </c>
      <c r="D6">
        <f>Data!J28</f>
        <v>4.0868310546055435E-2</v>
      </c>
      <c r="E6">
        <f>Data!K28</f>
        <v>4.0868310546055435E-2</v>
      </c>
      <c r="F6">
        <f>Data!L28</f>
        <v>4.0868310546055435E-2</v>
      </c>
      <c r="G6">
        <f>Data!M28</f>
        <v>4.0868310546055435E-2</v>
      </c>
      <c r="H6">
        <f>Data!N28</f>
        <v>4.0868310546055435E-2</v>
      </c>
      <c r="I6">
        <f>Data!O28</f>
        <v>4.0868310546055435E-2</v>
      </c>
      <c r="J6">
        <f>Data!P28</f>
        <v>4.0868310546055435E-2</v>
      </c>
      <c r="K6">
        <f>Data!Q28</f>
        <v>4.0868310546055435E-2</v>
      </c>
      <c r="L6">
        <f>Data!R28</f>
        <v>4.0868310546055435E-2</v>
      </c>
      <c r="M6">
        <f>Data!S28</f>
        <v>4.0868310546055435E-2</v>
      </c>
      <c r="N6">
        <f>Data!T28</f>
        <v>4.0868310546055435E-2</v>
      </c>
      <c r="O6">
        <f>Data!U28</f>
        <v>4.0868310546055435E-2</v>
      </c>
      <c r="P6">
        <f>Data!V28</f>
        <v>4.0868310546055435E-2</v>
      </c>
      <c r="Q6">
        <f>Data!W28</f>
        <v>4.0868310546055435E-2</v>
      </c>
      <c r="R6">
        <f>Data!X28</f>
        <v>4.0868310546055435E-2</v>
      </c>
      <c r="S6">
        <f>Data!Y28</f>
        <v>4.0868310546055435E-2</v>
      </c>
      <c r="T6">
        <f>Data!Z28</f>
        <v>4.0868310546055435E-2</v>
      </c>
      <c r="U6">
        <f>Data!AA28</f>
        <v>4.0868310546055435E-2</v>
      </c>
      <c r="V6">
        <f>Data!AB28</f>
        <v>4.0868310546055435E-2</v>
      </c>
      <c r="W6">
        <f>Data!AC28</f>
        <v>4.0868310546055435E-2</v>
      </c>
      <c r="X6">
        <f>Data!AD28</f>
        <v>4.0868310546055435E-2</v>
      </c>
      <c r="Y6">
        <f>Data!AE28</f>
        <v>4.0868310546055435E-2</v>
      </c>
      <c r="Z6">
        <f>Data!AF28</f>
        <v>4.0868310546055435E-2</v>
      </c>
      <c r="AA6">
        <f>Data!AG28</f>
        <v>4.0868310546055435E-2</v>
      </c>
      <c r="AB6">
        <f>Data!AH28</f>
        <v>4.0868310546055435E-2</v>
      </c>
      <c r="AC6">
        <f>Data!AI28</f>
        <v>4.0868310546055435E-2</v>
      </c>
      <c r="AD6">
        <f>Data!AJ28</f>
        <v>4.0868310546055435E-2</v>
      </c>
      <c r="AE6">
        <f>Data!AK28</f>
        <v>4.0868310546055435E-2</v>
      </c>
      <c r="AF6">
        <f>Data!AL28</f>
        <v>4.0868310546055435E-2</v>
      </c>
    </row>
    <row r="7" spans="1:32">
      <c r="A7" t="s">
        <v>78</v>
      </c>
      <c r="B7">
        <f>Data!H29</f>
        <v>0.11252178195802712</v>
      </c>
      <c r="C7">
        <f>Data!I29</f>
        <v>0.11252178195802712</v>
      </c>
      <c r="D7">
        <f>Data!J29</f>
        <v>0.11252178195802712</v>
      </c>
      <c r="E7">
        <f>Data!K29</f>
        <v>0.11252178195802712</v>
      </c>
      <c r="F7">
        <f>Data!L29</f>
        <v>0.11252178195802712</v>
      </c>
      <c r="G7">
        <f>Data!M29</f>
        <v>0.11252178195802712</v>
      </c>
      <c r="H7">
        <f>Data!N29</f>
        <v>0.11252178195802712</v>
      </c>
      <c r="I7">
        <f>Data!O29</f>
        <v>0.11252178195802712</v>
      </c>
      <c r="J7">
        <f>Data!P29</f>
        <v>0.11252178195802712</v>
      </c>
      <c r="K7">
        <f>Data!Q29</f>
        <v>0.11252178195802712</v>
      </c>
      <c r="L7">
        <f>Data!R29</f>
        <v>0.11252178195802712</v>
      </c>
      <c r="M7">
        <f>Data!S29</f>
        <v>0.11252178195802712</v>
      </c>
      <c r="N7">
        <f>Data!T29</f>
        <v>0.11252178195802712</v>
      </c>
      <c r="O7">
        <f>Data!U29</f>
        <v>0.11252178195802712</v>
      </c>
      <c r="P7">
        <f>Data!V29</f>
        <v>0.11252178195802712</v>
      </c>
      <c r="Q7">
        <f>Data!W29</f>
        <v>0.11252178195802712</v>
      </c>
      <c r="R7">
        <f>Data!X29</f>
        <v>0.11252178195802712</v>
      </c>
      <c r="S7">
        <f>Data!Y29</f>
        <v>0.11252178195802712</v>
      </c>
      <c r="T7">
        <f>Data!Z29</f>
        <v>0.11252178195802712</v>
      </c>
      <c r="U7">
        <f>Data!AA29</f>
        <v>0.11252178195802712</v>
      </c>
      <c r="V7">
        <f>Data!AB29</f>
        <v>0.11252178195802712</v>
      </c>
      <c r="W7">
        <f>Data!AC29</f>
        <v>0.11252178195802712</v>
      </c>
      <c r="X7">
        <f>Data!AD29</f>
        <v>0.11252178195802712</v>
      </c>
      <c r="Y7">
        <f>Data!AE29</f>
        <v>0.11252178195802712</v>
      </c>
      <c r="Z7">
        <f>Data!AF29</f>
        <v>0.11252178195802712</v>
      </c>
      <c r="AA7">
        <f>Data!AG29</f>
        <v>0.11252178195802712</v>
      </c>
      <c r="AB7">
        <f>Data!AH29</f>
        <v>0.11252178195802712</v>
      </c>
      <c r="AC7">
        <f>Data!AI29</f>
        <v>0.11252178195802712</v>
      </c>
      <c r="AD7">
        <f>Data!AJ29</f>
        <v>0.11252178195802712</v>
      </c>
      <c r="AE7">
        <f>Data!AK29</f>
        <v>0.11252178195802712</v>
      </c>
      <c r="AF7">
        <f>Data!AL29</f>
        <v>0.11252178195802712</v>
      </c>
    </row>
    <row r="8" spans="1:32">
      <c r="A8" t="s">
        <v>79</v>
      </c>
      <c r="B8">
        <f>Data!H30</f>
        <v>6.6083849891288092E-4</v>
      </c>
      <c r="C8">
        <f>Data!I30</f>
        <v>6.8292800627355835E-4</v>
      </c>
      <c r="D8">
        <f>Data!J30</f>
        <v>6.9050288495521941E-4</v>
      </c>
      <c r="E8">
        <f>Data!K30</f>
        <v>7.0060519886219654E-4</v>
      </c>
      <c r="F8">
        <f>Data!L30</f>
        <v>7.140230367275464E-4</v>
      </c>
      <c r="G8">
        <f>Data!M30</f>
        <v>7.3174765874089315E-4</v>
      </c>
      <c r="H8">
        <f>Data!N30</f>
        <v>7.549935976041178E-4</v>
      </c>
      <c r="I8">
        <f>Data!O30</f>
        <v>7.851947971497683E-4</v>
      </c>
      <c r="J8">
        <f>Data!P30</f>
        <v>8.2395545201406335E-4</v>
      </c>
      <c r="K8">
        <f>Data!Q30</f>
        <v>8.7292821195079028E-4</v>
      </c>
      <c r="L8">
        <f>Data!R30</f>
        <v>9.3359342692151347E-4</v>
      </c>
      <c r="M8">
        <f>Data!S30</f>
        <v>1.0069304530164447E-3</v>
      </c>
      <c r="N8">
        <f>Data!T30</f>
        <v>1.0930145779908538E-3</v>
      </c>
      <c r="O8">
        <f>Data!U30</f>
        <v>1.1906382038504885E-3</v>
      </c>
      <c r="P8">
        <f>Data!V30</f>
        <v>1.2971140499908186E-3</v>
      </c>
      <c r="Q8">
        <f>Data!W30</f>
        <v>1.4084173527857645E-3</v>
      </c>
      <c r="R8">
        <f>Data!X30</f>
        <v>1.5197206555807102E-3</v>
      </c>
      <c r="S8">
        <f>Data!Y30</f>
        <v>1.62619650172104E-3</v>
      </c>
      <c r="T8">
        <f>Data!Z30</f>
        <v>1.7238201275806748E-3</v>
      </c>
      <c r="U8">
        <f>Data!AA30</f>
        <v>1.8099042525550838E-3</v>
      </c>
      <c r="V8">
        <f>Data!AB30</f>
        <v>1.8832412786500153E-3</v>
      </c>
      <c r="W8">
        <f>Data!AC30</f>
        <v>1.9439064936207385E-3</v>
      </c>
      <c r="X8">
        <f>Data!AD30</f>
        <v>1.9928792535574653E-3</v>
      </c>
      <c r="Y8">
        <f>Data!AE30</f>
        <v>2.0316399084217606E-3</v>
      </c>
      <c r="Z8">
        <f>Data!AF30</f>
        <v>2.0618411079674111E-3</v>
      </c>
      <c r="AA8">
        <f>Data!AG30</f>
        <v>2.0850870468306359E-3</v>
      </c>
      <c r="AB8">
        <f>Data!AH30</f>
        <v>2.1028116688439824E-3</v>
      </c>
      <c r="AC8">
        <f>Data!AI30</f>
        <v>2.1162295067093319E-3</v>
      </c>
      <c r="AD8">
        <f>Data!AJ30</f>
        <v>2.1263318206163092E-3</v>
      </c>
      <c r="AE8">
        <f>Data!AK30</f>
        <v>2.1339066992979703E-3</v>
      </c>
      <c r="AF8">
        <f>Data!AL30</f>
        <v>2.1395689946999558E-3</v>
      </c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F8"/>
  <sheetViews>
    <sheetView workbookViewId="0"/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Data!H31</f>
        <v>5.3709944550863111E-3</v>
      </c>
      <c r="C2">
        <f>Data!I31</f>
        <v>1.2678659059418999E-2</v>
      </c>
      <c r="D2">
        <f>Data!J31</f>
        <v>1.5184585150040118E-2</v>
      </c>
      <c r="E2">
        <f>Data!K31</f>
        <v>1.8526638938495932E-2</v>
      </c>
      <c r="F2">
        <f>Data!L31</f>
        <v>2.2965536431060245E-2</v>
      </c>
      <c r="G2">
        <f>Data!M31</f>
        <v>2.8829206942005366E-2</v>
      </c>
      <c r="H2">
        <f>Data!N31</f>
        <v>3.651944293738426E-2</v>
      </c>
      <c r="I2">
        <f>Data!O31</f>
        <v>4.6510622610364066E-2</v>
      </c>
      <c r="J2">
        <f>Data!P31</f>
        <v>5.933344663118359E-2</v>
      </c>
      <c r="K2">
        <f>Data!Q31</f>
        <v>7.5534645622301611E-2</v>
      </c>
      <c r="L2">
        <f>Data!R31</f>
        <v>9.5603949881434322E-2</v>
      </c>
      <c r="M2">
        <f>Data!S31</f>
        <v>0.11986535060126081</v>
      </c>
      <c r="N2">
        <f>Data!T31</f>
        <v>0.1483437545239433</v>
      </c>
      <c r="O2">
        <f>Data!U31</f>
        <v>0.18063966332773254</v>
      </c>
      <c r="P2">
        <f>Data!V31</f>
        <v>0.21586406916673176</v>
      </c>
      <c r="Q2">
        <f>Data!W31</f>
        <v>0.25268549722754313</v>
      </c>
      <c r="R2">
        <f>Data!X31</f>
        <v>0.28950692528835459</v>
      </c>
      <c r="S2">
        <f>Data!Y31</f>
        <v>0.32473133112735375</v>
      </c>
      <c r="T2">
        <f>Data!Z31</f>
        <v>0.35702723993114299</v>
      </c>
      <c r="U2">
        <f>Data!AA31</f>
        <v>0.38550564385382546</v>
      </c>
      <c r="V2">
        <f>Data!AB31</f>
        <v>0.40976704457365198</v>
      </c>
      <c r="W2">
        <f>Data!AC31</f>
        <v>0.42983634883278476</v>
      </c>
      <c r="X2">
        <f>Data!AD31</f>
        <v>0.4460375478239027</v>
      </c>
      <c r="Y2">
        <f>Data!AE31</f>
        <v>0.45886037184472228</v>
      </c>
      <c r="Z2">
        <f>Data!AF31</f>
        <v>0.46885155151770208</v>
      </c>
      <c r="AA2">
        <f>Data!AG31</f>
        <v>0.47654178751308102</v>
      </c>
      <c r="AB2">
        <f>Data!AH31</f>
        <v>0.48240545802402607</v>
      </c>
      <c r="AC2">
        <f>Data!AI31</f>
        <v>0.48684435551659033</v>
      </c>
      <c r="AD2">
        <f>Data!AJ31</f>
        <v>0.4901864093050462</v>
      </c>
      <c r="AE2">
        <f>Data!AK31</f>
        <v>0.49269233539566731</v>
      </c>
      <c r="AF2">
        <f>Data!AL31</f>
        <v>0.4945655394926507</v>
      </c>
    </row>
    <row r="3" spans="1:32">
      <c r="A3" t="s">
        <v>2</v>
      </c>
      <c r="B3">
        <f>Data!H32</f>
        <v>0</v>
      </c>
      <c r="C3">
        <f>Data!I32</f>
        <v>0</v>
      </c>
      <c r="D3">
        <f>Data!J32</f>
        <v>0</v>
      </c>
      <c r="E3">
        <f>Data!K32</f>
        <v>0</v>
      </c>
      <c r="F3">
        <f>Data!L32</f>
        <v>0</v>
      </c>
      <c r="G3">
        <f>Data!M32</f>
        <v>0</v>
      </c>
      <c r="H3">
        <f>Data!N32</f>
        <v>0</v>
      </c>
      <c r="I3">
        <f>Data!O32</f>
        <v>0</v>
      </c>
      <c r="J3">
        <f>Data!P32</f>
        <v>0</v>
      </c>
      <c r="K3">
        <f>Data!Q32</f>
        <v>0</v>
      </c>
      <c r="L3">
        <f>Data!R32</f>
        <v>0</v>
      </c>
      <c r="M3">
        <f>Data!S32</f>
        <v>0</v>
      </c>
      <c r="N3">
        <f>Data!T32</f>
        <v>0</v>
      </c>
      <c r="O3">
        <f>Data!U32</f>
        <v>0</v>
      </c>
      <c r="P3">
        <f>Data!V32</f>
        <v>0</v>
      </c>
      <c r="Q3">
        <f>Data!W32</f>
        <v>0</v>
      </c>
      <c r="R3">
        <f>Data!X32</f>
        <v>0</v>
      </c>
      <c r="S3">
        <f>Data!Y32</f>
        <v>0</v>
      </c>
      <c r="T3">
        <f>Data!Z32</f>
        <v>0</v>
      </c>
      <c r="U3">
        <f>Data!AA32</f>
        <v>0</v>
      </c>
      <c r="V3">
        <f>Data!AB32</f>
        <v>0</v>
      </c>
      <c r="W3">
        <f>Data!AC32</f>
        <v>0</v>
      </c>
      <c r="X3">
        <f>Data!AD32</f>
        <v>0</v>
      </c>
      <c r="Y3">
        <f>Data!AE32</f>
        <v>0</v>
      </c>
      <c r="Z3">
        <f>Data!AF32</f>
        <v>0</v>
      </c>
      <c r="AA3">
        <f>Data!AG32</f>
        <v>0</v>
      </c>
      <c r="AB3">
        <f>Data!AH32</f>
        <v>0</v>
      </c>
      <c r="AC3">
        <f>Data!AI32</f>
        <v>0</v>
      </c>
      <c r="AD3">
        <f>Data!AJ32</f>
        <v>0</v>
      </c>
      <c r="AE3">
        <f>Data!AK32</f>
        <v>0</v>
      </c>
      <c r="AF3">
        <f>Data!AL32</f>
        <v>0</v>
      </c>
    </row>
    <row r="4" spans="1:32">
      <c r="A4" t="s">
        <v>3</v>
      </c>
      <c r="B4">
        <f>Data!H33</f>
        <v>1.9195530379555355E-2</v>
      </c>
      <c r="C4">
        <f>Data!I33</f>
        <v>1.9195530379555355E-2</v>
      </c>
      <c r="D4">
        <f>Data!J33</f>
        <v>1.9195530379555355E-2</v>
      </c>
      <c r="E4">
        <f>Data!K33</f>
        <v>1.9195530379555355E-2</v>
      </c>
      <c r="F4">
        <f>Data!L33</f>
        <v>1.9195530379555355E-2</v>
      </c>
      <c r="G4">
        <f>Data!M33</f>
        <v>1.9195530379555355E-2</v>
      </c>
      <c r="H4">
        <f>Data!N33</f>
        <v>1.9195530379555355E-2</v>
      </c>
      <c r="I4">
        <f>Data!O33</f>
        <v>1.9195530379555355E-2</v>
      </c>
      <c r="J4">
        <f>Data!P33</f>
        <v>1.9195530379555355E-2</v>
      </c>
      <c r="K4">
        <f>Data!Q33</f>
        <v>1.9195530379555355E-2</v>
      </c>
      <c r="L4">
        <f>Data!R33</f>
        <v>1.9195530379555355E-2</v>
      </c>
      <c r="M4">
        <f>Data!S33</f>
        <v>1.9195530379555355E-2</v>
      </c>
      <c r="N4">
        <f>Data!T33</f>
        <v>1.9195530379555355E-2</v>
      </c>
      <c r="O4">
        <f>Data!U33</f>
        <v>1.9195530379555355E-2</v>
      </c>
      <c r="P4">
        <f>Data!V33</f>
        <v>1.9195530379555355E-2</v>
      </c>
      <c r="Q4">
        <f>Data!W33</f>
        <v>1.9195530379555355E-2</v>
      </c>
      <c r="R4">
        <f>Data!X33</f>
        <v>1.9195530379555355E-2</v>
      </c>
      <c r="S4">
        <f>Data!Y33</f>
        <v>1.9195530379555355E-2</v>
      </c>
      <c r="T4">
        <f>Data!Z33</f>
        <v>1.9195530379555355E-2</v>
      </c>
      <c r="U4">
        <f>Data!AA33</f>
        <v>1.9195530379555355E-2</v>
      </c>
      <c r="V4">
        <f>Data!AB33</f>
        <v>1.9195530379555355E-2</v>
      </c>
      <c r="W4">
        <f>Data!AC33</f>
        <v>1.9195530379555355E-2</v>
      </c>
      <c r="X4">
        <f>Data!AD33</f>
        <v>1.9195530379555355E-2</v>
      </c>
      <c r="Y4">
        <f>Data!AE33</f>
        <v>1.9195530379555355E-2</v>
      </c>
      <c r="Z4">
        <f>Data!AF33</f>
        <v>1.9195530379555355E-2</v>
      </c>
      <c r="AA4">
        <f>Data!AG33</f>
        <v>1.9195530379555355E-2</v>
      </c>
      <c r="AB4">
        <f>Data!AH33</f>
        <v>1.9195530379555355E-2</v>
      </c>
      <c r="AC4">
        <f>Data!AI33</f>
        <v>1.9195530379555355E-2</v>
      </c>
      <c r="AD4">
        <f>Data!AJ33</f>
        <v>1.9195530379555355E-2</v>
      </c>
      <c r="AE4">
        <f>Data!AK33</f>
        <v>1.9195530379555355E-2</v>
      </c>
      <c r="AF4">
        <f>Data!AL33</f>
        <v>1.9195530379555355E-2</v>
      </c>
    </row>
    <row r="5" spans="1:32">
      <c r="A5" t="s">
        <v>4</v>
      </c>
      <c r="B5">
        <f>Data!H34</f>
        <v>3</v>
      </c>
      <c r="C5">
        <f>Data!I34</f>
        <v>3</v>
      </c>
      <c r="D5">
        <f>Data!J34</f>
        <v>3</v>
      </c>
      <c r="E5">
        <f>Data!K34</f>
        <v>3</v>
      </c>
      <c r="F5">
        <f>Data!L34</f>
        <v>3</v>
      </c>
      <c r="G5">
        <f>Data!M34</f>
        <v>3</v>
      </c>
      <c r="H5">
        <f>Data!N34</f>
        <v>3</v>
      </c>
      <c r="I5">
        <f>Data!O34</f>
        <v>3</v>
      </c>
      <c r="J5">
        <f>Data!P34</f>
        <v>3</v>
      </c>
      <c r="K5">
        <f>Data!Q34</f>
        <v>3</v>
      </c>
      <c r="L5">
        <f>Data!R34</f>
        <v>3</v>
      </c>
      <c r="M5">
        <f>Data!S34</f>
        <v>3</v>
      </c>
      <c r="N5">
        <f>Data!T34</f>
        <v>3</v>
      </c>
      <c r="O5">
        <f>Data!U34</f>
        <v>3</v>
      </c>
      <c r="P5">
        <f>Data!V34</f>
        <v>3</v>
      </c>
      <c r="Q5">
        <f>Data!W34</f>
        <v>3</v>
      </c>
      <c r="R5">
        <f>Data!X34</f>
        <v>3</v>
      </c>
      <c r="S5">
        <f>Data!Y34</f>
        <v>3</v>
      </c>
      <c r="T5">
        <f>Data!Z34</f>
        <v>3</v>
      </c>
      <c r="U5">
        <f>Data!AA34</f>
        <v>3</v>
      </c>
      <c r="V5">
        <f>Data!AB34</f>
        <v>3</v>
      </c>
      <c r="W5">
        <f>Data!AC34</f>
        <v>3</v>
      </c>
      <c r="X5">
        <f>Data!AD34</f>
        <v>3</v>
      </c>
      <c r="Y5">
        <f>Data!AE34</f>
        <v>3</v>
      </c>
      <c r="Z5">
        <f>Data!AF34</f>
        <v>3</v>
      </c>
      <c r="AA5">
        <f>Data!AG34</f>
        <v>3</v>
      </c>
      <c r="AB5">
        <f>Data!AH34</f>
        <v>3</v>
      </c>
      <c r="AC5">
        <f>Data!AI34</f>
        <v>3</v>
      </c>
      <c r="AD5">
        <f>Data!AJ34</f>
        <v>3</v>
      </c>
      <c r="AE5">
        <f>Data!AK34</f>
        <v>3</v>
      </c>
      <c r="AF5">
        <f>Data!AL34</f>
        <v>3</v>
      </c>
    </row>
    <row r="6" spans="1:32">
      <c r="A6" t="s">
        <v>5</v>
      </c>
      <c r="B6">
        <f>Data!H35</f>
        <v>0</v>
      </c>
      <c r="C6">
        <f>Data!I35</f>
        <v>0</v>
      </c>
      <c r="D6">
        <f>Data!J35</f>
        <v>0</v>
      </c>
      <c r="E6">
        <f>Data!K35</f>
        <v>0</v>
      </c>
      <c r="F6">
        <f>Data!L35</f>
        <v>0</v>
      </c>
      <c r="G6">
        <f>Data!M35</f>
        <v>0</v>
      </c>
      <c r="H6">
        <f>Data!N35</f>
        <v>0</v>
      </c>
      <c r="I6">
        <f>Data!O35</f>
        <v>0</v>
      </c>
      <c r="J6">
        <f>Data!P35</f>
        <v>0</v>
      </c>
      <c r="K6">
        <f>Data!Q35</f>
        <v>0</v>
      </c>
      <c r="L6">
        <f>Data!R35</f>
        <v>0</v>
      </c>
      <c r="M6">
        <f>Data!S35</f>
        <v>0</v>
      </c>
      <c r="N6">
        <f>Data!T35</f>
        <v>0</v>
      </c>
      <c r="O6">
        <f>Data!U35</f>
        <v>0</v>
      </c>
      <c r="P6">
        <f>Data!V35</f>
        <v>0</v>
      </c>
      <c r="Q6">
        <f>Data!W35</f>
        <v>0</v>
      </c>
      <c r="R6">
        <f>Data!X35</f>
        <v>0</v>
      </c>
      <c r="S6">
        <f>Data!Y35</f>
        <v>0</v>
      </c>
      <c r="T6">
        <f>Data!Z35</f>
        <v>0</v>
      </c>
      <c r="U6">
        <f>Data!AA35</f>
        <v>0</v>
      </c>
      <c r="V6">
        <f>Data!AB35</f>
        <v>0</v>
      </c>
      <c r="W6">
        <f>Data!AC35</f>
        <v>0</v>
      </c>
      <c r="X6">
        <f>Data!AD35</f>
        <v>0</v>
      </c>
      <c r="Y6">
        <f>Data!AE35</f>
        <v>0</v>
      </c>
      <c r="Z6">
        <f>Data!AF35</f>
        <v>0</v>
      </c>
      <c r="AA6">
        <f>Data!AG35</f>
        <v>0</v>
      </c>
      <c r="AB6">
        <f>Data!AH35</f>
        <v>0</v>
      </c>
      <c r="AC6">
        <f>Data!AI35</f>
        <v>0</v>
      </c>
      <c r="AD6">
        <f>Data!AJ35</f>
        <v>0</v>
      </c>
      <c r="AE6">
        <f>Data!AK35</f>
        <v>0</v>
      </c>
      <c r="AF6">
        <f>Data!AL35</f>
        <v>0</v>
      </c>
    </row>
    <row r="7" spans="1:32">
      <c r="A7" t="s">
        <v>78</v>
      </c>
      <c r="B7">
        <f>Data!H36</f>
        <v>4.2398960612661157E-2</v>
      </c>
      <c r="C7">
        <f>Data!I36</f>
        <v>4.2398960612661157E-2</v>
      </c>
      <c r="D7">
        <f>Data!J36</f>
        <v>4.2398960612661157E-2</v>
      </c>
      <c r="E7">
        <f>Data!K36</f>
        <v>4.2398960612661157E-2</v>
      </c>
      <c r="F7">
        <f>Data!L36</f>
        <v>4.2398960612661157E-2</v>
      </c>
      <c r="G7">
        <f>Data!M36</f>
        <v>4.2398960612661157E-2</v>
      </c>
      <c r="H7">
        <f>Data!N36</f>
        <v>4.2398960612661157E-2</v>
      </c>
      <c r="I7">
        <f>Data!O36</f>
        <v>4.2398960612661157E-2</v>
      </c>
      <c r="J7">
        <f>Data!P36</f>
        <v>4.2398960612661157E-2</v>
      </c>
      <c r="K7">
        <f>Data!Q36</f>
        <v>4.2398960612661157E-2</v>
      </c>
      <c r="L7">
        <f>Data!R36</f>
        <v>4.2398960612661157E-2</v>
      </c>
      <c r="M7">
        <f>Data!S36</f>
        <v>4.2398960612661157E-2</v>
      </c>
      <c r="N7">
        <f>Data!T36</f>
        <v>4.2398960612661157E-2</v>
      </c>
      <c r="O7">
        <f>Data!U36</f>
        <v>4.2398960612661157E-2</v>
      </c>
      <c r="P7">
        <f>Data!V36</f>
        <v>4.2398960612661157E-2</v>
      </c>
      <c r="Q7">
        <f>Data!W36</f>
        <v>4.2398960612661157E-2</v>
      </c>
      <c r="R7">
        <f>Data!X36</f>
        <v>4.2398960612661157E-2</v>
      </c>
      <c r="S7">
        <f>Data!Y36</f>
        <v>4.2398960612661157E-2</v>
      </c>
      <c r="T7">
        <f>Data!Z36</f>
        <v>4.2398960612661157E-2</v>
      </c>
      <c r="U7">
        <f>Data!AA36</f>
        <v>4.2398960612661157E-2</v>
      </c>
      <c r="V7">
        <f>Data!AB36</f>
        <v>4.2398960612661157E-2</v>
      </c>
      <c r="W7">
        <f>Data!AC36</f>
        <v>4.2398960612661157E-2</v>
      </c>
      <c r="X7">
        <f>Data!AD36</f>
        <v>4.2398960612661157E-2</v>
      </c>
      <c r="Y7">
        <f>Data!AE36</f>
        <v>4.2398960612661157E-2</v>
      </c>
      <c r="Z7">
        <f>Data!AF36</f>
        <v>4.2398960612661157E-2</v>
      </c>
      <c r="AA7">
        <f>Data!AG36</f>
        <v>4.2398960612661157E-2</v>
      </c>
      <c r="AB7">
        <f>Data!AH36</f>
        <v>4.2398960612661157E-2</v>
      </c>
      <c r="AC7">
        <f>Data!AI36</f>
        <v>4.2398960612661157E-2</v>
      </c>
      <c r="AD7">
        <f>Data!AJ36</f>
        <v>4.2398960612661157E-2</v>
      </c>
      <c r="AE7">
        <f>Data!AK36</f>
        <v>4.2398960612661157E-2</v>
      </c>
      <c r="AF7">
        <f>Data!AL36</f>
        <v>4.2398960612661157E-2</v>
      </c>
    </row>
    <row r="8" spans="1:32">
      <c r="A8" t="s">
        <v>79</v>
      </c>
      <c r="B8">
        <f>Data!H37</f>
        <v>0</v>
      </c>
      <c r="C8">
        <f>Data!I37</f>
        <v>6.2640358785329186E-4</v>
      </c>
      <c r="D8">
        <f>Data!J37</f>
        <v>8.4120834136230764E-4</v>
      </c>
      <c r="E8">
        <f>Data!K37</f>
        <v>1.1276848830807375E-3</v>
      </c>
      <c r="F8">
        <f>Data!L37</f>
        <v>1.5081814529160165E-3</v>
      </c>
      <c r="G8">
        <f>Data!M37</f>
        <v>2.0108077288767171E-3</v>
      </c>
      <c r="H8">
        <f>Data!N37</f>
        <v>2.6700048431076819E-3</v>
      </c>
      <c r="I8">
        <f>Data!O37</f>
        <v>3.5264358826946353E-3</v>
      </c>
      <c r="J8">
        <f>Data!P37</f>
        <v>4.6255918248393289E-3</v>
      </c>
      <c r="K8">
        <f>Data!Q37</f>
        <v>6.0143377135798244E-3</v>
      </c>
      <c r="L8">
        <f>Data!R37</f>
        <v>7.7346525986097831E-3</v>
      </c>
      <c r="M8">
        <f>Data!S37</f>
        <v>9.8143085872323659E-3</v>
      </c>
      <c r="N8">
        <f>Data!T37</f>
        <v>1.2255440653272574E-2</v>
      </c>
      <c r="O8">
        <f>Data!U37</f>
        <v>1.5023804315677364E-2</v>
      </c>
      <c r="P8">
        <f>Data!V37</f>
        <v>1.8043194968125682E-2</v>
      </c>
      <c r="Q8">
        <f>Data!W37</f>
        <v>2.1199480306330579E-2</v>
      </c>
      <c r="R8">
        <f>Data!X37</f>
        <v>2.4355765644535475E-2</v>
      </c>
      <c r="S8">
        <f>Data!Y37</f>
        <v>2.7375156296983789E-2</v>
      </c>
      <c r="T8">
        <f>Data!Z37</f>
        <v>3.014351995938858E-2</v>
      </c>
      <c r="U8">
        <f>Data!AA37</f>
        <v>3.258465202542879E-2</v>
      </c>
      <c r="V8">
        <f>Data!AB37</f>
        <v>3.4664308014051376E-2</v>
      </c>
      <c r="W8">
        <f>Data!AC37</f>
        <v>3.6384622899081336E-2</v>
      </c>
      <c r="X8">
        <f>Data!AD37</f>
        <v>3.777336878782183E-2</v>
      </c>
      <c r="Y8">
        <f>Data!AE37</f>
        <v>3.8872524729966523E-2</v>
      </c>
      <c r="Z8">
        <f>Data!AF37</f>
        <v>3.972895576955348E-2</v>
      </c>
      <c r="AA8">
        <f>Data!AG37</f>
        <v>4.0388152883784445E-2</v>
      </c>
      <c r="AB8">
        <f>Data!AH37</f>
        <v>4.0890779159745143E-2</v>
      </c>
      <c r="AC8">
        <f>Data!AI37</f>
        <v>4.127127572958042E-2</v>
      </c>
      <c r="AD8">
        <f>Data!AJ37</f>
        <v>4.1557752271298855E-2</v>
      </c>
      <c r="AE8">
        <f>Data!AK37</f>
        <v>4.1772557024807866E-2</v>
      </c>
      <c r="AF8">
        <f>Data!AL37</f>
        <v>4.1933125664813074E-2</v>
      </c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F8"/>
  <sheetViews>
    <sheetView workbookViewId="0"/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Data!H38</f>
        <v>0</v>
      </c>
      <c r="C2">
        <f>Data!I38</f>
        <v>0</v>
      </c>
      <c r="D2">
        <f>Data!J38</f>
        <v>0</v>
      </c>
      <c r="E2">
        <f>Data!K38</f>
        <v>0</v>
      </c>
      <c r="F2">
        <f>Data!L38</f>
        <v>0</v>
      </c>
      <c r="G2">
        <f>Data!M38</f>
        <v>0</v>
      </c>
      <c r="H2">
        <f>Data!N38</f>
        <v>0</v>
      </c>
      <c r="I2">
        <f>Data!O38</f>
        <v>0</v>
      </c>
      <c r="J2">
        <f>Data!P38</f>
        <v>0</v>
      </c>
      <c r="K2">
        <f>Data!Q38</f>
        <v>0</v>
      </c>
      <c r="L2">
        <f>Data!R38</f>
        <v>0</v>
      </c>
      <c r="M2">
        <f>Data!S38</f>
        <v>0</v>
      </c>
      <c r="N2">
        <f>Data!T38</f>
        <v>0</v>
      </c>
      <c r="O2">
        <f>Data!U38</f>
        <v>0</v>
      </c>
      <c r="P2">
        <f>Data!V38</f>
        <v>0</v>
      </c>
      <c r="Q2">
        <f>Data!W38</f>
        <v>0</v>
      </c>
      <c r="R2">
        <f>Data!X38</f>
        <v>0</v>
      </c>
      <c r="S2">
        <f>Data!Y38</f>
        <v>0</v>
      </c>
      <c r="T2">
        <f>Data!Z38</f>
        <v>0</v>
      </c>
      <c r="U2">
        <f>Data!AA38</f>
        <v>0</v>
      </c>
      <c r="V2">
        <f>Data!AB38</f>
        <v>0</v>
      </c>
      <c r="W2">
        <f>Data!AC38</f>
        <v>0</v>
      </c>
      <c r="X2">
        <f>Data!AD38</f>
        <v>0</v>
      </c>
      <c r="Y2">
        <f>Data!AE38</f>
        <v>0</v>
      </c>
      <c r="Z2">
        <f>Data!AF38</f>
        <v>0</v>
      </c>
      <c r="AA2">
        <f>Data!AG38</f>
        <v>0</v>
      </c>
      <c r="AB2">
        <f>Data!AH38</f>
        <v>0</v>
      </c>
      <c r="AC2">
        <f>Data!AI38</f>
        <v>0</v>
      </c>
      <c r="AD2">
        <f>Data!AJ38</f>
        <v>0</v>
      </c>
      <c r="AE2">
        <f>Data!AK38</f>
        <v>0</v>
      </c>
      <c r="AF2">
        <f>Data!AL38</f>
        <v>0</v>
      </c>
    </row>
    <row r="3" spans="1:32">
      <c r="A3" t="s">
        <v>2</v>
      </c>
      <c r="B3">
        <f>Data!H39</f>
        <v>0</v>
      </c>
      <c r="C3">
        <f>Data!I39</f>
        <v>0</v>
      </c>
      <c r="D3">
        <f>Data!J39</f>
        <v>0</v>
      </c>
      <c r="E3">
        <f>Data!K39</f>
        <v>0</v>
      </c>
      <c r="F3">
        <f>Data!L39</f>
        <v>0</v>
      </c>
      <c r="G3">
        <f>Data!M39</f>
        <v>0</v>
      </c>
      <c r="H3">
        <f>Data!N39</f>
        <v>0</v>
      </c>
      <c r="I3">
        <f>Data!O39</f>
        <v>0</v>
      </c>
      <c r="J3">
        <f>Data!P39</f>
        <v>0</v>
      </c>
      <c r="K3">
        <f>Data!Q39</f>
        <v>0</v>
      </c>
      <c r="L3">
        <f>Data!R39</f>
        <v>0</v>
      </c>
      <c r="M3">
        <f>Data!S39</f>
        <v>0</v>
      </c>
      <c r="N3">
        <f>Data!T39</f>
        <v>0</v>
      </c>
      <c r="O3">
        <f>Data!U39</f>
        <v>0</v>
      </c>
      <c r="P3">
        <f>Data!V39</f>
        <v>0</v>
      </c>
      <c r="Q3">
        <f>Data!W39</f>
        <v>0</v>
      </c>
      <c r="R3">
        <f>Data!X39</f>
        <v>0</v>
      </c>
      <c r="S3">
        <f>Data!Y39</f>
        <v>0</v>
      </c>
      <c r="T3">
        <f>Data!Z39</f>
        <v>0</v>
      </c>
      <c r="U3">
        <f>Data!AA39</f>
        <v>0</v>
      </c>
      <c r="V3">
        <f>Data!AB39</f>
        <v>0</v>
      </c>
      <c r="W3">
        <f>Data!AC39</f>
        <v>0</v>
      </c>
      <c r="X3">
        <f>Data!AD39</f>
        <v>0</v>
      </c>
      <c r="Y3">
        <f>Data!AE39</f>
        <v>0</v>
      </c>
      <c r="Z3">
        <f>Data!AF39</f>
        <v>0</v>
      </c>
      <c r="AA3">
        <f>Data!AG39</f>
        <v>0</v>
      </c>
      <c r="AB3">
        <f>Data!AH39</f>
        <v>0</v>
      </c>
      <c r="AC3">
        <f>Data!AI39</f>
        <v>0</v>
      </c>
      <c r="AD3">
        <f>Data!AJ39</f>
        <v>0</v>
      </c>
      <c r="AE3">
        <f>Data!AK39</f>
        <v>0</v>
      </c>
      <c r="AF3">
        <f>Data!AL39</f>
        <v>0</v>
      </c>
    </row>
    <row r="4" spans="1:32">
      <c r="A4" t="s">
        <v>3</v>
      </c>
      <c r="B4">
        <f>Data!H40</f>
        <v>0</v>
      </c>
      <c r="C4">
        <f>Data!I40</f>
        <v>0</v>
      </c>
      <c r="D4">
        <f>Data!J40</f>
        <v>0</v>
      </c>
      <c r="E4">
        <f>Data!K40</f>
        <v>0</v>
      </c>
      <c r="F4">
        <f>Data!L40</f>
        <v>0</v>
      </c>
      <c r="G4">
        <f>Data!M40</f>
        <v>0</v>
      </c>
      <c r="H4">
        <f>Data!N40</f>
        <v>0</v>
      </c>
      <c r="I4">
        <f>Data!O40</f>
        <v>0</v>
      </c>
      <c r="J4">
        <f>Data!P40</f>
        <v>0</v>
      </c>
      <c r="K4">
        <f>Data!Q40</f>
        <v>0</v>
      </c>
      <c r="L4">
        <f>Data!R40</f>
        <v>0</v>
      </c>
      <c r="M4">
        <f>Data!S40</f>
        <v>0</v>
      </c>
      <c r="N4">
        <f>Data!T40</f>
        <v>0</v>
      </c>
      <c r="O4">
        <f>Data!U40</f>
        <v>0</v>
      </c>
      <c r="P4">
        <f>Data!V40</f>
        <v>0</v>
      </c>
      <c r="Q4">
        <f>Data!W40</f>
        <v>0</v>
      </c>
      <c r="R4">
        <f>Data!X40</f>
        <v>0</v>
      </c>
      <c r="S4">
        <f>Data!Y40</f>
        <v>0</v>
      </c>
      <c r="T4">
        <f>Data!Z40</f>
        <v>0</v>
      </c>
      <c r="U4">
        <f>Data!AA40</f>
        <v>0</v>
      </c>
      <c r="V4">
        <f>Data!AB40</f>
        <v>0</v>
      </c>
      <c r="W4">
        <f>Data!AC40</f>
        <v>0</v>
      </c>
      <c r="X4">
        <f>Data!AD40</f>
        <v>0</v>
      </c>
      <c r="Y4">
        <f>Data!AE40</f>
        <v>0</v>
      </c>
      <c r="Z4">
        <f>Data!AF40</f>
        <v>0</v>
      </c>
      <c r="AA4">
        <f>Data!AG40</f>
        <v>0</v>
      </c>
      <c r="AB4">
        <f>Data!AH40</f>
        <v>0</v>
      </c>
      <c r="AC4">
        <f>Data!AI40</f>
        <v>0</v>
      </c>
      <c r="AD4">
        <f>Data!AJ40</f>
        <v>0</v>
      </c>
      <c r="AE4">
        <f>Data!AK40</f>
        <v>0</v>
      </c>
      <c r="AF4">
        <f>Data!AL40</f>
        <v>0</v>
      </c>
    </row>
    <row r="5" spans="1:32">
      <c r="A5" t="s">
        <v>4</v>
      </c>
      <c r="B5">
        <f>Data!H41</f>
        <v>1</v>
      </c>
      <c r="C5">
        <f>Data!I41</f>
        <v>1</v>
      </c>
      <c r="D5">
        <f>Data!J41</f>
        <v>1</v>
      </c>
      <c r="E5">
        <f>Data!K41</f>
        <v>1</v>
      </c>
      <c r="F5">
        <f>Data!L41</f>
        <v>1</v>
      </c>
      <c r="G5">
        <f>Data!M41</f>
        <v>1</v>
      </c>
      <c r="H5">
        <f>Data!N41</f>
        <v>1</v>
      </c>
      <c r="I5">
        <f>Data!O41</f>
        <v>1</v>
      </c>
      <c r="J5">
        <f>Data!P41</f>
        <v>1</v>
      </c>
      <c r="K5">
        <f>Data!Q41</f>
        <v>1</v>
      </c>
      <c r="L5">
        <f>Data!R41</f>
        <v>1</v>
      </c>
      <c r="M5">
        <f>Data!S41</f>
        <v>1</v>
      </c>
      <c r="N5">
        <f>Data!T41</f>
        <v>1</v>
      </c>
      <c r="O5">
        <f>Data!U41</f>
        <v>1</v>
      </c>
      <c r="P5">
        <f>Data!V41</f>
        <v>1</v>
      </c>
      <c r="Q5">
        <f>Data!W41</f>
        <v>1</v>
      </c>
      <c r="R5">
        <f>Data!X41</f>
        <v>1</v>
      </c>
      <c r="S5">
        <f>Data!Y41</f>
        <v>1</v>
      </c>
      <c r="T5">
        <f>Data!Z41</f>
        <v>1</v>
      </c>
      <c r="U5">
        <f>Data!AA41</f>
        <v>1</v>
      </c>
      <c r="V5">
        <f>Data!AB41</f>
        <v>1</v>
      </c>
      <c r="W5">
        <f>Data!AC41</f>
        <v>1</v>
      </c>
      <c r="X5">
        <f>Data!AD41</f>
        <v>1</v>
      </c>
      <c r="Y5">
        <f>Data!AE41</f>
        <v>1</v>
      </c>
      <c r="Z5">
        <f>Data!AF41</f>
        <v>1</v>
      </c>
      <c r="AA5">
        <f>Data!AG41</f>
        <v>1</v>
      </c>
      <c r="AB5">
        <f>Data!AH41</f>
        <v>1</v>
      </c>
      <c r="AC5">
        <f>Data!AI41</f>
        <v>1</v>
      </c>
      <c r="AD5">
        <f>Data!AJ41</f>
        <v>1</v>
      </c>
      <c r="AE5">
        <f>Data!AK41</f>
        <v>1</v>
      </c>
      <c r="AF5">
        <f>Data!AL41</f>
        <v>1</v>
      </c>
    </row>
    <row r="6" spans="1:32">
      <c r="A6" t="s">
        <v>5</v>
      </c>
      <c r="B6">
        <f>Data!H42</f>
        <v>0</v>
      </c>
      <c r="C6">
        <f>Data!I42</f>
        <v>0</v>
      </c>
      <c r="D6">
        <f>Data!J42</f>
        <v>0</v>
      </c>
      <c r="E6">
        <f>Data!K42</f>
        <v>0</v>
      </c>
      <c r="F6">
        <f>Data!L42</f>
        <v>0</v>
      </c>
      <c r="G6">
        <f>Data!M42</f>
        <v>0</v>
      </c>
      <c r="H6">
        <f>Data!N42</f>
        <v>0</v>
      </c>
      <c r="I6">
        <f>Data!O42</f>
        <v>0</v>
      </c>
      <c r="J6">
        <f>Data!P42</f>
        <v>0</v>
      </c>
      <c r="K6">
        <f>Data!Q42</f>
        <v>0</v>
      </c>
      <c r="L6">
        <f>Data!R42</f>
        <v>0</v>
      </c>
      <c r="M6">
        <f>Data!S42</f>
        <v>0</v>
      </c>
      <c r="N6">
        <f>Data!T42</f>
        <v>0</v>
      </c>
      <c r="O6">
        <f>Data!U42</f>
        <v>0</v>
      </c>
      <c r="P6">
        <f>Data!V42</f>
        <v>0</v>
      </c>
      <c r="Q6">
        <f>Data!W42</f>
        <v>0</v>
      </c>
      <c r="R6">
        <f>Data!X42</f>
        <v>0</v>
      </c>
      <c r="S6">
        <f>Data!Y42</f>
        <v>0</v>
      </c>
      <c r="T6">
        <f>Data!Z42</f>
        <v>0</v>
      </c>
      <c r="U6">
        <f>Data!AA42</f>
        <v>0</v>
      </c>
      <c r="V6">
        <f>Data!AB42</f>
        <v>0</v>
      </c>
      <c r="W6">
        <f>Data!AC42</f>
        <v>0</v>
      </c>
      <c r="X6">
        <f>Data!AD42</f>
        <v>0</v>
      </c>
      <c r="Y6">
        <f>Data!AE42</f>
        <v>0</v>
      </c>
      <c r="Z6">
        <f>Data!AF42</f>
        <v>0</v>
      </c>
      <c r="AA6">
        <f>Data!AG42</f>
        <v>0</v>
      </c>
      <c r="AB6">
        <f>Data!AH42</f>
        <v>0</v>
      </c>
      <c r="AC6">
        <f>Data!AI42</f>
        <v>0</v>
      </c>
      <c r="AD6">
        <f>Data!AJ42</f>
        <v>0</v>
      </c>
      <c r="AE6">
        <f>Data!AK42</f>
        <v>0</v>
      </c>
      <c r="AF6">
        <f>Data!AL42</f>
        <v>0</v>
      </c>
    </row>
    <row r="7" spans="1:32">
      <c r="A7" t="s">
        <v>78</v>
      </c>
      <c r="B7">
        <f>Data!H43</f>
        <v>0</v>
      </c>
      <c r="C7">
        <f>Data!I43</f>
        <v>0</v>
      </c>
      <c r="D7">
        <f>Data!J43</f>
        <v>0</v>
      </c>
      <c r="E7">
        <f>Data!K43</f>
        <v>0</v>
      </c>
      <c r="F7">
        <f>Data!L43</f>
        <v>0</v>
      </c>
      <c r="G7">
        <f>Data!M43</f>
        <v>0</v>
      </c>
      <c r="H7">
        <f>Data!N43</f>
        <v>0</v>
      </c>
      <c r="I7">
        <f>Data!O43</f>
        <v>0</v>
      </c>
      <c r="J7">
        <f>Data!P43</f>
        <v>0</v>
      </c>
      <c r="K7">
        <f>Data!Q43</f>
        <v>0</v>
      </c>
      <c r="L7">
        <f>Data!R43</f>
        <v>0</v>
      </c>
      <c r="M7">
        <f>Data!S43</f>
        <v>0</v>
      </c>
      <c r="N7">
        <f>Data!T43</f>
        <v>0</v>
      </c>
      <c r="O7">
        <f>Data!U43</f>
        <v>0</v>
      </c>
      <c r="P7">
        <f>Data!V43</f>
        <v>0</v>
      </c>
      <c r="Q7">
        <f>Data!W43</f>
        <v>0</v>
      </c>
      <c r="R7">
        <f>Data!X43</f>
        <v>0</v>
      </c>
      <c r="S7">
        <f>Data!Y43</f>
        <v>0</v>
      </c>
      <c r="T7">
        <f>Data!Z43</f>
        <v>0</v>
      </c>
      <c r="U7">
        <f>Data!AA43</f>
        <v>0</v>
      </c>
      <c r="V7">
        <f>Data!AB43</f>
        <v>0</v>
      </c>
      <c r="W7">
        <f>Data!AC43</f>
        <v>0</v>
      </c>
      <c r="X7">
        <f>Data!AD43</f>
        <v>0</v>
      </c>
      <c r="Y7">
        <f>Data!AE43</f>
        <v>0</v>
      </c>
      <c r="Z7">
        <f>Data!AF43</f>
        <v>0</v>
      </c>
      <c r="AA7">
        <f>Data!AG43</f>
        <v>0</v>
      </c>
      <c r="AB7">
        <f>Data!AH43</f>
        <v>0</v>
      </c>
      <c r="AC7">
        <f>Data!AI43</f>
        <v>0</v>
      </c>
      <c r="AD7">
        <f>Data!AJ43</f>
        <v>0</v>
      </c>
      <c r="AE7">
        <f>Data!AK43</f>
        <v>0</v>
      </c>
      <c r="AF7">
        <f>Data!AL43</f>
        <v>0</v>
      </c>
    </row>
    <row r="8" spans="1:32">
      <c r="A8" t="s">
        <v>79</v>
      </c>
      <c r="B8">
        <f>Data!H44</f>
        <v>0</v>
      </c>
      <c r="C8">
        <f>Data!I44</f>
        <v>0</v>
      </c>
      <c r="D8">
        <f>Data!J44</f>
        <v>0</v>
      </c>
      <c r="E8">
        <f>Data!K44</f>
        <v>0</v>
      </c>
      <c r="F8">
        <f>Data!L44</f>
        <v>0</v>
      </c>
      <c r="G8">
        <f>Data!M44</f>
        <v>0</v>
      </c>
      <c r="H8">
        <f>Data!N44</f>
        <v>0</v>
      </c>
      <c r="I8">
        <f>Data!O44</f>
        <v>0</v>
      </c>
      <c r="J8">
        <f>Data!P44</f>
        <v>0</v>
      </c>
      <c r="K8">
        <f>Data!Q44</f>
        <v>0</v>
      </c>
      <c r="L8">
        <f>Data!R44</f>
        <v>0</v>
      </c>
      <c r="M8">
        <f>Data!S44</f>
        <v>0</v>
      </c>
      <c r="N8">
        <f>Data!T44</f>
        <v>0</v>
      </c>
      <c r="O8">
        <f>Data!U44</f>
        <v>0</v>
      </c>
      <c r="P8">
        <f>Data!V44</f>
        <v>0</v>
      </c>
      <c r="Q8">
        <f>Data!W44</f>
        <v>0</v>
      </c>
      <c r="R8">
        <f>Data!X44</f>
        <v>0</v>
      </c>
      <c r="S8">
        <f>Data!Y44</f>
        <v>0</v>
      </c>
      <c r="T8">
        <f>Data!Z44</f>
        <v>0</v>
      </c>
      <c r="U8">
        <f>Data!AA44</f>
        <v>0</v>
      </c>
      <c r="V8">
        <f>Data!AB44</f>
        <v>0</v>
      </c>
      <c r="W8">
        <f>Data!AC44</f>
        <v>0</v>
      </c>
      <c r="X8">
        <f>Data!AD44</f>
        <v>0</v>
      </c>
      <c r="Y8">
        <f>Data!AE44</f>
        <v>0</v>
      </c>
      <c r="Z8">
        <f>Data!AF44</f>
        <v>0</v>
      </c>
      <c r="AA8">
        <f>Data!AG44</f>
        <v>0</v>
      </c>
      <c r="AB8">
        <f>Data!AH44</f>
        <v>0</v>
      </c>
      <c r="AC8">
        <f>Data!AI44</f>
        <v>0</v>
      </c>
      <c r="AD8">
        <f>Data!AJ44</f>
        <v>0</v>
      </c>
      <c r="AE8">
        <f>Data!AK44</f>
        <v>0</v>
      </c>
      <c r="AF8">
        <f>Data!AL44</f>
        <v>0</v>
      </c>
    </row>
  </sheetData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F8"/>
  <sheetViews>
    <sheetView workbookViewId="0"/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Data!H45</f>
        <v>0</v>
      </c>
      <c r="C2">
        <f>Data!I45</f>
        <v>0</v>
      </c>
      <c r="D2">
        <f>Data!J45</f>
        <v>0</v>
      </c>
      <c r="E2">
        <f>Data!K45</f>
        <v>0</v>
      </c>
      <c r="F2">
        <f>Data!L45</f>
        <v>0</v>
      </c>
      <c r="G2">
        <f>Data!M45</f>
        <v>0</v>
      </c>
      <c r="H2">
        <f>Data!N45</f>
        <v>0</v>
      </c>
      <c r="I2">
        <f>Data!O45</f>
        <v>0</v>
      </c>
      <c r="J2">
        <f>Data!P45</f>
        <v>0</v>
      </c>
      <c r="K2">
        <f>Data!Q45</f>
        <v>0</v>
      </c>
      <c r="L2">
        <f>Data!R45</f>
        <v>0</v>
      </c>
      <c r="M2">
        <f>Data!S45</f>
        <v>0</v>
      </c>
      <c r="N2">
        <f>Data!T45</f>
        <v>0</v>
      </c>
      <c r="O2">
        <f>Data!U45</f>
        <v>0</v>
      </c>
      <c r="P2">
        <f>Data!V45</f>
        <v>0</v>
      </c>
      <c r="Q2">
        <f>Data!W45</f>
        <v>0</v>
      </c>
      <c r="R2">
        <f>Data!X45</f>
        <v>0</v>
      </c>
      <c r="S2">
        <f>Data!Y45</f>
        <v>0</v>
      </c>
      <c r="T2">
        <f>Data!Z45</f>
        <v>0</v>
      </c>
      <c r="U2">
        <f>Data!AA45</f>
        <v>0</v>
      </c>
      <c r="V2">
        <f>Data!AB45</f>
        <v>0</v>
      </c>
      <c r="W2">
        <f>Data!AC45</f>
        <v>0</v>
      </c>
      <c r="X2">
        <f>Data!AD45</f>
        <v>0</v>
      </c>
      <c r="Y2">
        <f>Data!AE45</f>
        <v>0</v>
      </c>
      <c r="Z2">
        <f>Data!AF45</f>
        <v>0</v>
      </c>
      <c r="AA2">
        <f>Data!AG45</f>
        <v>0</v>
      </c>
      <c r="AB2">
        <f>Data!AH45</f>
        <v>0</v>
      </c>
      <c r="AC2">
        <f>Data!AI45</f>
        <v>0</v>
      </c>
      <c r="AD2">
        <f>Data!AJ45</f>
        <v>0</v>
      </c>
      <c r="AE2">
        <f>Data!AK45</f>
        <v>0</v>
      </c>
      <c r="AF2">
        <f>Data!AL45</f>
        <v>0</v>
      </c>
    </row>
    <row r="3" spans="1:32">
      <c r="A3" t="s">
        <v>2</v>
      </c>
      <c r="B3">
        <f>Data!H46</f>
        <v>0</v>
      </c>
      <c r="C3">
        <f>Data!I46</f>
        <v>0</v>
      </c>
      <c r="D3">
        <f>Data!J46</f>
        <v>0</v>
      </c>
      <c r="E3">
        <f>Data!K46</f>
        <v>0</v>
      </c>
      <c r="F3">
        <f>Data!L46</f>
        <v>0</v>
      </c>
      <c r="G3">
        <f>Data!M46</f>
        <v>0</v>
      </c>
      <c r="H3">
        <f>Data!N46</f>
        <v>0</v>
      </c>
      <c r="I3">
        <f>Data!O46</f>
        <v>0</v>
      </c>
      <c r="J3">
        <f>Data!P46</f>
        <v>0</v>
      </c>
      <c r="K3">
        <f>Data!Q46</f>
        <v>0</v>
      </c>
      <c r="L3">
        <f>Data!R46</f>
        <v>0</v>
      </c>
      <c r="M3">
        <f>Data!S46</f>
        <v>0</v>
      </c>
      <c r="N3">
        <f>Data!T46</f>
        <v>0</v>
      </c>
      <c r="O3">
        <f>Data!U46</f>
        <v>0</v>
      </c>
      <c r="P3">
        <f>Data!V46</f>
        <v>0</v>
      </c>
      <c r="Q3">
        <f>Data!W46</f>
        <v>0</v>
      </c>
      <c r="R3">
        <f>Data!X46</f>
        <v>0</v>
      </c>
      <c r="S3">
        <f>Data!Y46</f>
        <v>0</v>
      </c>
      <c r="T3">
        <f>Data!Z46</f>
        <v>0</v>
      </c>
      <c r="U3">
        <f>Data!AA46</f>
        <v>0</v>
      </c>
      <c r="V3">
        <f>Data!AB46</f>
        <v>0</v>
      </c>
      <c r="W3">
        <f>Data!AC46</f>
        <v>0</v>
      </c>
      <c r="X3">
        <f>Data!AD46</f>
        <v>0</v>
      </c>
      <c r="Y3">
        <f>Data!AE46</f>
        <v>0</v>
      </c>
      <c r="Z3">
        <f>Data!AF46</f>
        <v>0</v>
      </c>
      <c r="AA3">
        <f>Data!AG46</f>
        <v>0</v>
      </c>
      <c r="AB3">
        <f>Data!AH46</f>
        <v>0</v>
      </c>
      <c r="AC3">
        <f>Data!AI46</f>
        <v>0</v>
      </c>
      <c r="AD3">
        <f>Data!AJ46</f>
        <v>0</v>
      </c>
      <c r="AE3">
        <f>Data!AK46</f>
        <v>0</v>
      </c>
      <c r="AF3">
        <f>Data!AL46</f>
        <v>0</v>
      </c>
    </row>
    <row r="4" spans="1:32">
      <c r="A4" t="s">
        <v>3</v>
      </c>
      <c r="B4">
        <f>Data!H47</f>
        <v>0</v>
      </c>
      <c r="C4">
        <f>Data!I47</f>
        <v>0</v>
      </c>
      <c r="D4">
        <f>Data!J47</f>
        <v>0</v>
      </c>
      <c r="E4">
        <f>Data!K47</f>
        <v>0</v>
      </c>
      <c r="F4">
        <f>Data!L47</f>
        <v>0</v>
      </c>
      <c r="G4">
        <f>Data!M47</f>
        <v>0</v>
      </c>
      <c r="H4">
        <f>Data!N47</f>
        <v>0</v>
      </c>
      <c r="I4">
        <f>Data!O47</f>
        <v>0</v>
      </c>
      <c r="J4">
        <f>Data!P47</f>
        <v>0</v>
      </c>
      <c r="K4">
        <f>Data!Q47</f>
        <v>0</v>
      </c>
      <c r="L4">
        <f>Data!R47</f>
        <v>0</v>
      </c>
      <c r="M4">
        <f>Data!S47</f>
        <v>0</v>
      </c>
      <c r="N4">
        <f>Data!T47</f>
        <v>0</v>
      </c>
      <c r="O4">
        <f>Data!U47</f>
        <v>0</v>
      </c>
      <c r="P4">
        <f>Data!V47</f>
        <v>0</v>
      </c>
      <c r="Q4">
        <f>Data!W47</f>
        <v>0</v>
      </c>
      <c r="R4">
        <f>Data!X47</f>
        <v>0</v>
      </c>
      <c r="S4">
        <f>Data!Y47</f>
        <v>0</v>
      </c>
      <c r="T4">
        <f>Data!Z47</f>
        <v>0</v>
      </c>
      <c r="U4">
        <f>Data!AA47</f>
        <v>0</v>
      </c>
      <c r="V4">
        <f>Data!AB47</f>
        <v>0</v>
      </c>
      <c r="W4">
        <f>Data!AC47</f>
        <v>0</v>
      </c>
      <c r="X4">
        <f>Data!AD47</f>
        <v>0</v>
      </c>
      <c r="Y4">
        <f>Data!AE47</f>
        <v>0</v>
      </c>
      <c r="Z4">
        <f>Data!AF47</f>
        <v>0</v>
      </c>
      <c r="AA4">
        <f>Data!AG47</f>
        <v>0</v>
      </c>
      <c r="AB4">
        <f>Data!AH47</f>
        <v>0</v>
      </c>
      <c r="AC4">
        <f>Data!AI47</f>
        <v>0</v>
      </c>
      <c r="AD4">
        <f>Data!AJ47</f>
        <v>0</v>
      </c>
      <c r="AE4">
        <f>Data!AK47</f>
        <v>0</v>
      </c>
      <c r="AF4">
        <f>Data!AL47</f>
        <v>0</v>
      </c>
    </row>
    <row r="5" spans="1:32">
      <c r="A5" t="s">
        <v>4</v>
      </c>
      <c r="B5">
        <f>Data!H48</f>
        <v>1</v>
      </c>
      <c r="C5">
        <f>Data!I48</f>
        <v>1</v>
      </c>
      <c r="D5">
        <f>Data!J48</f>
        <v>1</v>
      </c>
      <c r="E5">
        <f>Data!K48</f>
        <v>1</v>
      </c>
      <c r="F5">
        <f>Data!L48</f>
        <v>1</v>
      </c>
      <c r="G5">
        <f>Data!M48</f>
        <v>1</v>
      </c>
      <c r="H5">
        <f>Data!N48</f>
        <v>1</v>
      </c>
      <c r="I5">
        <f>Data!O48</f>
        <v>1</v>
      </c>
      <c r="J5">
        <f>Data!P48</f>
        <v>1</v>
      </c>
      <c r="K5">
        <f>Data!Q48</f>
        <v>1</v>
      </c>
      <c r="L5">
        <f>Data!R48</f>
        <v>1</v>
      </c>
      <c r="M5">
        <f>Data!S48</f>
        <v>1</v>
      </c>
      <c r="N5">
        <f>Data!T48</f>
        <v>1</v>
      </c>
      <c r="O5">
        <f>Data!U48</f>
        <v>1</v>
      </c>
      <c r="P5">
        <f>Data!V48</f>
        <v>1</v>
      </c>
      <c r="Q5">
        <f>Data!W48</f>
        <v>1</v>
      </c>
      <c r="R5">
        <f>Data!X48</f>
        <v>1</v>
      </c>
      <c r="S5">
        <f>Data!Y48</f>
        <v>1</v>
      </c>
      <c r="T5">
        <f>Data!Z48</f>
        <v>1</v>
      </c>
      <c r="U5">
        <f>Data!AA48</f>
        <v>1</v>
      </c>
      <c r="V5">
        <f>Data!AB48</f>
        <v>1</v>
      </c>
      <c r="W5">
        <f>Data!AC48</f>
        <v>1</v>
      </c>
      <c r="X5">
        <f>Data!AD48</f>
        <v>1</v>
      </c>
      <c r="Y5">
        <f>Data!AE48</f>
        <v>1</v>
      </c>
      <c r="Z5">
        <f>Data!AF48</f>
        <v>1</v>
      </c>
      <c r="AA5">
        <f>Data!AG48</f>
        <v>1</v>
      </c>
      <c r="AB5">
        <f>Data!AH48</f>
        <v>1</v>
      </c>
      <c r="AC5">
        <f>Data!AI48</f>
        <v>1</v>
      </c>
      <c r="AD5">
        <f>Data!AJ48</f>
        <v>1</v>
      </c>
      <c r="AE5">
        <f>Data!AK48</f>
        <v>1</v>
      </c>
      <c r="AF5">
        <f>Data!AL48</f>
        <v>1</v>
      </c>
    </row>
    <row r="6" spans="1:32">
      <c r="A6" t="s">
        <v>5</v>
      </c>
      <c r="B6">
        <f>Data!H49</f>
        <v>0</v>
      </c>
      <c r="C6">
        <f>Data!I49</f>
        <v>0</v>
      </c>
      <c r="D6">
        <f>Data!J49</f>
        <v>0</v>
      </c>
      <c r="E6">
        <f>Data!K49</f>
        <v>0</v>
      </c>
      <c r="F6">
        <f>Data!L49</f>
        <v>0</v>
      </c>
      <c r="G6">
        <f>Data!M49</f>
        <v>0</v>
      </c>
      <c r="H6">
        <f>Data!N49</f>
        <v>0</v>
      </c>
      <c r="I6">
        <f>Data!O49</f>
        <v>0</v>
      </c>
      <c r="J6">
        <f>Data!P49</f>
        <v>0</v>
      </c>
      <c r="K6">
        <f>Data!Q49</f>
        <v>0</v>
      </c>
      <c r="L6">
        <f>Data!R49</f>
        <v>0</v>
      </c>
      <c r="M6">
        <f>Data!S49</f>
        <v>0</v>
      </c>
      <c r="N6">
        <f>Data!T49</f>
        <v>0</v>
      </c>
      <c r="O6">
        <f>Data!U49</f>
        <v>0</v>
      </c>
      <c r="P6">
        <f>Data!V49</f>
        <v>0</v>
      </c>
      <c r="Q6">
        <f>Data!W49</f>
        <v>0</v>
      </c>
      <c r="R6">
        <f>Data!X49</f>
        <v>0</v>
      </c>
      <c r="S6">
        <f>Data!Y49</f>
        <v>0</v>
      </c>
      <c r="T6">
        <f>Data!Z49</f>
        <v>0</v>
      </c>
      <c r="U6">
        <f>Data!AA49</f>
        <v>0</v>
      </c>
      <c r="V6">
        <f>Data!AB49</f>
        <v>0</v>
      </c>
      <c r="W6">
        <f>Data!AC49</f>
        <v>0</v>
      </c>
      <c r="X6">
        <f>Data!AD49</f>
        <v>0</v>
      </c>
      <c r="Y6">
        <f>Data!AE49</f>
        <v>0</v>
      </c>
      <c r="Z6">
        <f>Data!AF49</f>
        <v>0</v>
      </c>
      <c r="AA6">
        <f>Data!AG49</f>
        <v>0</v>
      </c>
      <c r="AB6">
        <f>Data!AH49</f>
        <v>0</v>
      </c>
      <c r="AC6">
        <f>Data!AI49</f>
        <v>0</v>
      </c>
      <c r="AD6">
        <f>Data!AJ49</f>
        <v>0</v>
      </c>
      <c r="AE6">
        <f>Data!AK49</f>
        <v>0</v>
      </c>
      <c r="AF6">
        <f>Data!AL49</f>
        <v>0</v>
      </c>
    </row>
    <row r="7" spans="1:32">
      <c r="A7" t="s">
        <v>78</v>
      </c>
      <c r="B7">
        <f>Data!H50</f>
        <v>0</v>
      </c>
      <c r="C7">
        <f>Data!I50</f>
        <v>0</v>
      </c>
      <c r="D7">
        <f>Data!J50</f>
        <v>0</v>
      </c>
      <c r="E7">
        <f>Data!K50</f>
        <v>0</v>
      </c>
      <c r="F7">
        <f>Data!L50</f>
        <v>0</v>
      </c>
      <c r="G7">
        <f>Data!M50</f>
        <v>0</v>
      </c>
      <c r="H7">
        <f>Data!N50</f>
        <v>0</v>
      </c>
      <c r="I7">
        <f>Data!O50</f>
        <v>0</v>
      </c>
      <c r="J7">
        <f>Data!P50</f>
        <v>0</v>
      </c>
      <c r="K7">
        <f>Data!Q50</f>
        <v>0</v>
      </c>
      <c r="L7">
        <f>Data!R50</f>
        <v>0</v>
      </c>
      <c r="M7">
        <f>Data!S50</f>
        <v>0</v>
      </c>
      <c r="N7">
        <f>Data!T50</f>
        <v>0</v>
      </c>
      <c r="O7">
        <f>Data!U50</f>
        <v>0</v>
      </c>
      <c r="P7">
        <f>Data!V50</f>
        <v>0</v>
      </c>
      <c r="Q7">
        <f>Data!W50</f>
        <v>0</v>
      </c>
      <c r="R7">
        <f>Data!X50</f>
        <v>0</v>
      </c>
      <c r="S7">
        <f>Data!Y50</f>
        <v>0</v>
      </c>
      <c r="T7">
        <f>Data!Z50</f>
        <v>0</v>
      </c>
      <c r="U7">
        <f>Data!AA50</f>
        <v>0</v>
      </c>
      <c r="V7">
        <f>Data!AB50</f>
        <v>0</v>
      </c>
      <c r="W7">
        <f>Data!AC50</f>
        <v>0</v>
      </c>
      <c r="X7">
        <f>Data!AD50</f>
        <v>0</v>
      </c>
      <c r="Y7">
        <f>Data!AE50</f>
        <v>0</v>
      </c>
      <c r="Z7">
        <f>Data!AF50</f>
        <v>0</v>
      </c>
      <c r="AA7">
        <f>Data!AG50</f>
        <v>0</v>
      </c>
      <c r="AB7">
        <f>Data!AH50</f>
        <v>0</v>
      </c>
      <c r="AC7">
        <f>Data!AI50</f>
        <v>0</v>
      </c>
      <c r="AD7">
        <f>Data!AJ50</f>
        <v>0</v>
      </c>
      <c r="AE7">
        <f>Data!AK50</f>
        <v>0</v>
      </c>
      <c r="AF7">
        <f>Data!AL50</f>
        <v>0</v>
      </c>
    </row>
    <row r="8" spans="1:32">
      <c r="A8" t="s">
        <v>79</v>
      </c>
      <c r="B8">
        <f>Data!H51</f>
        <v>0</v>
      </c>
      <c r="C8">
        <f>Data!I51</f>
        <v>0</v>
      </c>
      <c r="D8">
        <f>Data!J51</f>
        <v>0</v>
      </c>
      <c r="E8">
        <f>Data!K51</f>
        <v>0</v>
      </c>
      <c r="F8">
        <f>Data!L51</f>
        <v>0</v>
      </c>
      <c r="G8">
        <f>Data!M51</f>
        <v>0</v>
      </c>
      <c r="H8">
        <f>Data!N51</f>
        <v>0</v>
      </c>
      <c r="I8">
        <f>Data!O51</f>
        <v>0</v>
      </c>
      <c r="J8">
        <f>Data!P51</f>
        <v>0</v>
      </c>
      <c r="K8">
        <f>Data!Q51</f>
        <v>0</v>
      </c>
      <c r="L8">
        <f>Data!R51</f>
        <v>0</v>
      </c>
      <c r="M8">
        <f>Data!S51</f>
        <v>0</v>
      </c>
      <c r="N8">
        <f>Data!T51</f>
        <v>0</v>
      </c>
      <c r="O8">
        <f>Data!U51</f>
        <v>0</v>
      </c>
      <c r="P8">
        <f>Data!V51</f>
        <v>0</v>
      </c>
      <c r="Q8">
        <f>Data!W51</f>
        <v>0</v>
      </c>
      <c r="R8">
        <f>Data!X51</f>
        <v>0</v>
      </c>
      <c r="S8">
        <f>Data!Y51</f>
        <v>0</v>
      </c>
      <c r="T8">
        <f>Data!Z51</f>
        <v>0</v>
      </c>
      <c r="U8">
        <f>Data!AA51</f>
        <v>0</v>
      </c>
      <c r="V8">
        <f>Data!AB51</f>
        <v>0</v>
      </c>
      <c r="W8">
        <f>Data!AC51</f>
        <v>0</v>
      </c>
      <c r="X8">
        <f>Data!AD51</f>
        <v>0</v>
      </c>
      <c r="Y8">
        <f>Data!AE51</f>
        <v>0</v>
      </c>
      <c r="Z8">
        <f>Data!AF51</f>
        <v>0</v>
      </c>
      <c r="AA8">
        <f>Data!AG51</f>
        <v>0</v>
      </c>
      <c r="AB8">
        <f>Data!AH51</f>
        <v>0</v>
      </c>
      <c r="AC8">
        <f>Data!AI51</f>
        <v>0</v>
      </c>
      <c r="AD8">
        <f>Data!AJ51</f>
        <v>0</v>
      </c>
      <c r="AE8">
        <f>Data!AK51</f>
        <v>0</v>
      </c>
      <c r="AF8">
        <f>Data!AL51</f>
        <v>0</v>
      </c>
    </row>
  </sheetData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F8"/>
  <sheetViews>
    <sheetView workbookViewId="0">
      <selection activeCell="B2" sqref="B2"/>
    </sheetView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Data!H52</f>
        <v>1</v>
      </c>
      <c r="C2">
        <f>Data!I52</f>
        <v>1</v>
      </c>
      <c r="D2">
        <f>Data!J52</f>
        <v>1</v>
      </c>
      <c r="E2">
        <f>Data!K52</f>
        <v>1</v>
      </c>
      <c r="F2">
        <f>Data!L52</f>
        <v>1</v>
      </c>
      <c r="G2">
        <f>Data!M52</f>
        <v>1</v>
      </c>
      <c r="H2">
        <f>Data!N52</f>
        <v>1</v>
      </c>
      <c r="I2">
        <f>Data!O52</f>
        <v>1</v>
      </c>
      <c r="J2">
        <f>Data!P52</f>
        <v>1</v>
      </c>
      <c r="K2">
        <f>Data!Q52</f>
        <v>1</v>
      </c>
      <c r="L2">
        <f>Data!R52</f>
        <v>1</v>
      </c>
      <c r="M2">
        <f>Data!S52</f>
        <v>1</v>
      </c>
      <c r="N2">
        <f>Data!T52</f>
        <v>1</v>
      </c>
      <c r="O2">
        <f>Data!U52</f>
        <v>1</v>
      </c>
      <c r="P2">
        <f>Data!V52</f>
        <v>1</v>
      </c>
      <c r="Q2">
        <f>Data!W52</f>
        <v>1</v>
      </c>
      <c r="R2">
        <f>Data!X52</f>
        <v>1</v>
      </c>
      <c r="S2">
        <f>Data!Y52</f>
        <v>1</v>
      </c>
      <c r="T2">
        <f>Data!Z52</f>
        <v>1</v>
      </c>
      <c r="U2">
        <f>Data!AA52</f>
        <v>1</v>
      </c>
      <c r="V2">
        <f>Data!AB52</f>
        <v>1</v>
      </c>
      <c r="W2">
        <f>Data!AC52</f>
        <v>1</v>
      </c>
      <c r="X2">
        <f>Data!AD52</f>
        <v>1</v>
      </c>
      <c r="Y2">
        <f>Data!AE52</f>
        <v>1</v>
      </c>
      <c r="Z2">
        <f>Data!AF52</f>
        <v>1</v>
      </c>
      <c r="AA2">
        <f>Data!AG52</f>
        <v>1</v>
      </c>
      <c r="AB2">
        <f>Data!AH52</f>
        <v>1</v>
      </c>
      <c r="AC2">
        <f>Data!AI52</f>
        <v>1</v>
      </c>
      <c r="AD2">
        <f>Data!AJ52</f>
        <v>1</v>
      </c>
      <c r="AE2">
        <f>Data!AK52</f>
        <v>1</v>
      </c>
      <c r="AF2">
        <f>Data!AL52</f>
        <v>1</v>
      </c>
    </row>
    <row r="3" spans="1:32">
      <c r="A3" t="s">
        <v>2</v>
      </c>
      <c r="B3">
        <f>Data!H53</f>
        <v>0</v>
      </c>
      <c r="C3">
        <f>Data!I53</f>
        <v>0</v>
      </c>
      <c r="D3">
        <f>Data!J53</f>
        <v>0</v>
      </c>
      <c r="E3">
        <f>Data!K53</f>
        <v>0</v>
      </c>
      <c r="F3">
        <f>Data!L53</f>
        <v>0</v>
      </c>
      <c r="G3">
        <f>Data!M53</f>
        <v>0</v>
      </c>
      <c r="H3">
        <f>Data!N53</f>
        <v>0</v>
      </c>
      <c r="I3">
        <f>Data!O53</f>
        <v>0</v>
      </c>
      <c r="J3">
        <f>Data!P53</f>
        <v>0</v>
      </c>
      <c r="K3">
        <f>Data!Q53</f>
        <v>0</v>
      </c>
      <c r="L3">
        <f>Data!R53</f>
        <v>0</v>
      </c>
      <c r="M3">
        <f>Data!S53</f>
        <v>0</v>
      </c>
      <c r="N3">
        <f>Data!T53</f>
        <v>0</v>
      </c>
      <c r="O3">
        <f>Data!U53</f>
        <v>0</v>
      </c>
      <c r="P3">
        <f>Data!V53</f>
        <v>0</v>
      </c>
      <c r="Q3">
        <f>Data!W53</f>
        <v>0</v>
      </c>
      <c r="R3">
        <f>Data!X53</f>
        <v>0</v>
      </c>
      <c r="S3">
        <f>Data!Y53</f>
        <v>0</v>
      </c>
      <c r="T3">
        <f>Data!Z53</f>
        <v>0</v>
      </c>
      <c r="U3">
        <f>Data!AA53</f>
        <v>0</v>
      </c>
      <c r="V3">
        <f>Data!AB53</f>
        <v>0</v>
      </c>
      <c r="W3">
        <f>Data!AC53</f>
        <v>0</v>
      </c>
      <c r="X3">
        <f>Data!AD53</f>
        <v>0</v>
      </c>
      <c r="Y3">
        <f>Data!AE53</f>
        <v>0</v>
      </c>
      <c r="Z3">
        <f>Data!AF53</f>
        <v>0</v>
      </c>
      <c r="AA3">
        <f>Data!AG53</f>
        <v>0</v>
      </c>
      <c r="AB3">
        <f>Data!AH53</f>
        <v>0</v>
      </c>
      <c r="AC3">
        <f>Data!AI53</f>
        <v>0</v>
      </c>
      <c r="AD3">
        <f>Data!AJ53</f>
        <v>0</v>
      </c>
      <c r="AE3">
        <f>Data!AK53</f>
        <v>0</v>
      </c>
      <c r="AF3">
        <f>Data!AL53</f>
        <v>0</v>
      </c>
    </row>
    <row r="4" spans="1:32">
      <c r="A4" t="s">
        <v>3</v>
      </c>
      <c r="B4">
        <f>Data!H54</f>
        <v>0</v>
      </c>
      <c r="C4">
        <f>Data!I54</f>
        <v>0</v>
      </c>
      <c r="D4">
        <f>Data!J54</f>
        <v>0</v>
      </c>
      <c r="E4">
        <f>Data!K54</f>
        <v>0</v>
      </c>
      <c r="F4">
        <f>Data!L54</f>
        <v>0</v>
      </c>
      <c r="G4">
        <f>Data!M54</f>
        <v>0</v>
      </c>
      <c r="H4">
        <f>Data!N54</f>
        <v>0</v>
      </c>
      <c r="I4">
        <f>Data!O54</f>
        <v>0</v>
      </c>
      <c r="J4">
        <f>Data!P54</f>
        <v>0</v>
      </c>
      <c r="K4">
        <f>Data!Q54</f>
        <v>0</v>
      </c>
      <c r="L4">
        <f>Data!R54</f>
        <v>0</v>
      </c>
      <c r="M4">
        <f>Data!S54</f>
        <v>0</v>
      </c>
      <c r="N4">
        <f>Data!T54</f>
        <v>0</v>
      </c>
      <c r="O4">
        <f>Data!U54</f>
        <v>0</v>
      </c>
      <c r="P4">
        <f>Data!V54</f>
        <v>0</v>
      </c>
      <c r="Q4">
        <f>Data!W54</f>
        <v>0</v>
      </c>
      <c r="R4">
        <f>Data!X54</f>
        <v>0</v>
      </c>
      <c r="S4">
        <f>Data!Y54</f>
        <v>0</v>
      </c>
      <c r="T4">
        <f>Data!Z54</f>
        <v>0</v>
      </c>
      <c r="U4">
        <f>Data!AA54</f>
        <v>0</v>
      </c>
      <c r="V4">
        <f>Data!AB54</f>
        <v>0</v>
      </c>
      <c r="W4">
        <f>Data!AC54</f>
        <v>0</v>
      </c>
      <c r="X4">
        <f>Data!AD54</f>
        <v>0</v>
      </c>
      <c r="Y4">
        <f>Data!AE54</f>
        <v>0</v>
      </c>
      <c r="Z4">
        <f>Data!AF54</f>
        <v>0</v>
      </c>
      <c r="AA4">
        <f>Data!AG54</f>
        <v>0</v>
      </c>
      <c r="AB4">
        <f>Data!AH54</f>
        <v>0</v>
      </c>
      <c r="AC4">
        <f>Data!AI54</f>
        <v>0</v>
      </c>
      <c r="AD4">
        <f>Data!AJ54</f>
        <v>0</v>
      </c>
      <c r="AE4">
        <f>Data!AK54</f>
        <v>0</v>
      </c>
      <c r="AF4">
        <f>Data!AL54</f>
        <v>0</v>
      </c>
    </row>
    <row r="5" spans="1:32">
      <c r="A5" t="s">
        <v>4</v>
      </c>
      <c r="B5">
        <f>Data!H55</f>
        <v>0.52</v>
      </c>
      <c r="C5">
        <f>Data!I55</f>
        <v>0.52</v>
      </c>
      <c r="D5">
        <f>Data!J55</f>
        <v>0.52</v>
      </c>
      <c r="E5">
        <f>Data!K55</f>
        <v>0.52</v>
      </c>
      <c r="F5">
        <f>Data!L55</f>
        <v>0.52</v>
      </c>
      <c r="G5">
        <f>Data!M55</f>
        <v>0.52</v>
      </c>
      <c r="H5">
        <f>Data!N55</f>
        <v>0.52</v>
      </c>
      <c r="I5">
        <f>Data!O55</f>
        <v>0.52</v>
      </c>
      <c r="J5">
        <f>Data!P55</f>
        <v>0.52</v>
      </c>
      <c r="K5">
        <f>Data!Q55</f>
        <v>0.52</v>
      </c>
      <c r="L5">
        <f>Data!R55</f>
        <v>0.52</v>
      </c>
      <c r="M5">
        <f>Data!S55</f>
        <v>0.52</v>
      </c>
      <c r="N5">
        <f>Data!T55</f>
        <v>0.52</v>
      </c>
      <c r="O5">
        <f>Data!U55</f>
        <v>0.52</v>
      </c>
      <c r="P5">
        <f>Data!V55</f>
        <v>0.52</v>
      </c>
      <c r="Q5">
        <f>Data!W55</f>
        <v>0.52</v>
      </c>
      <c r="R5">
        <f>Data!X55</f>
        <v>0.52</v>
      </c>
      <c r="S5">
        <f>Data!Y55</f>
        <v>0.52</v>
      </c>
      <c r="T5">
        <f>Data!Z55</f>
        <v>0.52</v>
      </c>
      <c r="U5">
        <f>Data!AA55</f>
        <v>0.52</v>
      </c>
      <c r="V5">
        <f>Data!AB55</f>
        <v>0.52</v>
      </c>
      <c r="W5">
        <f>Data!AC55</f>
        <v>0.52</v>
      </c>
      <c r="X5">
        <f>Data!AD55</f>
        <v>0.52</v>
      </c>
      <c r="Y5">
        <f>Data!AE55</f>
        <v>0.52</v>
      </c>
      <c r="Z5">
        <f>Data!AF55</f>
        <v>0.52</v>
      </c>
      <c r="AA5">
        <f>Data!AG55</f>
        <v>0.52</v>
      </c>
      <c r="AB5">
        <f>Data!AH55</f>
        <v>0.52</v>
      </c>
      <c r="AC5">
        <f>Data!AI55</f>
        <v>0.52</v>
      </c>
      <c r="AD5">
        <f>Data!AJ55</f>
        <v>0.52</v>
      </c>
      <c r="AE5">
        <f>Data!AK55</f>
        <v>0.52</v>
      </c>
      <c r="AF5">
        <f>Data!AL55</f>
        <v>0.52</v>
      </c>
    </row>
    <row r="6" spans="1:32">
      <c r="A6" t="s">
        <v>5</v>
      </c>
      <c r="B6">
        <f>Data!H56</f>
        <v>0</v>
      </c>
      <c r="C6">
        <f>Data!I56</f>
        <v>0</v>
      </c>
      <c r="D6">
        <f>Data!J56</f>
        <v>0</v>
      </c>
      <c r="E6">
        <f>Data!K56</f>
        <v>0</v>
      </c>
      <c r="F6">
        <f>Data!L56</f>
        <v>0</v>
      </c>
      <c r="G6">
        <f>Data!M56</f>
        <v>0</v>
      </c>
      <c r="H6">
        <f>Data!N56</f>
        <v>0</v>
      </c>
      <c r="I6">
        <f>Data!O56</f>
        <v>0</v>
      </c>
      <c r="J6">
        <f>Data!P56</f>
        <v>0</v>
      </c>
      <c r="K6">
        <f>Data!Q56</f>
        <v>0</v>
      </c>
      <c r="L6">
        <f>Data!R56</f>
        <v>0</v>
      </c>
      <c r="M6">
        <f>Data!S56</f>
        <v>0</v>
      </c>
      <c r="N6">
        <f>Data!T56</f>
        <v>0</v>
      </c>
      <c r="O6">
        <f>Data!U56</f>
        <v>0</v>
      </c>
      <c r="P6">
        <f>Data!V56</f>
        <v>0</v>
      </c>
      <c r="Q6">
        <f>Data!W56</f>
        <v>0</v>
      </c>
      <c r="R6">
        <f>Data!X56</f>
        <v>0</v>
      </c>
      <c r="S6">
        <f>Data!Y56</f>
        <v>0</v>
      </c>
      <c r="T6">
        <f>Data!Z56</f>
        <v>0</v>
      </c>
      <c r="U6">
        <f>Data!AA56</f>
        <v>0</v>
      </c>
      <c r="V6">
        <f>Data!AB56</f>
        <v>0</v>
      </c>
      <c r="W6">
        <f>Data!AC56</f>
        <v>0</v>
      </c>
      <c r="X6">
        <f>Data!AD56</f>
        <v>0</v>
      </c>
      <c r="Y6">
        <f>Data!AE56</f>
        <v>0</v>
      </c>
      <c r="Z6">
        <f>Data!AF56</f>
        <v>0</v>
      </c>
      <c r="AA6">
        <f>Data!AG56</f>
        <v>0</v>
      </c>
      <c r="AB6">
        <f>Data!AH56</f>
        <v>0</v>
      </c>
      <c r="AC6">
        <f>Data!AI56</f>
        <v>0</v>
      </c>
      <c r="AD6">
        <f>Data!AJ56</f>
        <v>0</v>
      </c>
      <c r="AE6">
        <f>Data!AK56</f>
        <v>0</v>
      </c>
      <c r="AF6">
        <f>Data!AL56</f>
        <v>0</v>
      </c>
    </row>
    <row r="7" spans="1:32">
      <c r="A7" t="s">
        <v>78</v>
      </c>
      <c r="B7">
        <f>Data!H57</f>
        <v>0</v>
      </c>
      <c r="C7">
        <f>Data!I57</f>
        <v>0</v>
      </c>
      <c r="D7">
        <f>Data!J57</f>
        <v>0</v>
      </c>
      <c r="E7">
        <f>Data!K57</f>
        <v>0</v>
      </c>
      <c r="F7">
        <f>Data!L57</f>
        <v>0</v>
      </c>
      <c r="G7">
        <f>Data!M57</f>
        <v>0</v>
      </c>
      <c r="H7">
        <f>Data!N57</f>
        <v>0</v>
      </c>
      <c r="I7">
        <f>Data!O57</f>
        <v>0</v>
      </c>
      <c r="J7">
        <f>Data!P57</f>
        <v>0</v>
      </c>
      <c r="K7">
        <f>Data!Q57</f>
        <v>0</v>
      </c>
      <c r="L7">
        <f>Data!R57</f>
        <v>0</v>
      </c>
      <c r="M7">
        <f>Data!S57</f>
        <v>0</v>
      </c>
      <c r="N7">
        <f>Data!T57</f>
        <v>0</v>
      </c>
      <c r="O7">
        <f>Data!U57</f>
        <v>0</v>
      </c>
      <c r="P7">
        <f>Data!V57</f>
        <v>0</v>
      </c>
      <c r="Q7">
        <f>Data!W57</f>
        <v>0</v>
      </c>
      <c r="R7">
        <f>Data!X57</f>
        <v>0</v>
      </c>
      <c r="S7">
        <f>Data!Y57</f>
        <v>0</v>
      </c>
      <c r="T7">
        <f>Data!Z57</f>
        <v>0</v>
      </c>
      <c r="U7">
        <f>Data!AA57</f>
        <v>0</v>
      </c>
      <c r="V7">
        <f>Data!AB57</f>
        <v>0</v>
      </c>
      <c r="W7">
        <f>Data!AC57</f>
        <v>0</v>
      </c>
      <c r="X7">
        <f>Data!AD57</f>
        <v>0</v>
      </c>
      <c r="Y7">
        <f>Data!AE57</f>
        <v>0</v>
      </c>
      <c r="Z7">
        <f>Data!AF57</f>
        <v>0</v>
      </c>
      <c r="AA7">
        <f>Data!AG57</f>
        <v>0</v>
      </c>
      <c r="AB7">
        <f>Data!AH57</f>
        <v>0</v>
      </c>
      <c r="AC7">
        <f>Data!AI57</f>
        <v>0</v>
      </c>
      <c r="AD7">
        <f>Data!AJ57</f>
        <v>0</v>
      </c>
      <c r="AE7">
        <f>Data!AK57</f>
        <v>0</v>
      </c>
      <c r="AF7">
        <f>Data!AL57</f>
        <v>0</v>
      </c>
    </row>
    <row r="8" spans="1:32">
      <c r="A8" t="s">
        <v>79</v>
      </c>
      <c r="B8">
        <f>Data!H58</f>
        <v>0</v>
      </c>
      <c r="C8">
        <f>Data!I58</f>
        <v>0</v>
      </c>
      <c r="D8">
        <f>Data!J58</f>
        <v>0</v>
      </c>
      <c r="E8">
        <f>Data!K58</f>
        <v>0</v>
      </c>
      <c r="F8">
        <f>Data!L58</f>
        <v>0</v>
      </c>
      <c r="G8">
        <f>Data!M58</f>
        <v>0</v>
      </c>
      <c r="H8">
        <f>Data!N58</f>
        <v>0</v>
      </c>
      <c r="I8">
        <f>Data!O58</f>
        <v>0</v>
      </c>
      <c r="J8">
        <f>Data!P58</f>
        <v>0</v>
      </c>
      <c r="K8">
        <f>Data!Q58</f>
        <v>0</v>
      </c>
      <c r="L8">
        <f>Data!R58</f>
        <v>0</v>
      </c>
      <c r="M8">
        <f>Data!S58</f>
        <v>0</v>
      </c>
      <c r="N8">
        <f>Data!T58</f>
        <v>0</v>
      </c>
      <c r="O8">
        <f>Data!U58</f>
        <v>0</v>
      </c>
      <c r="P8">
        <f>Data!V58</f>
        <v>0</v>
      </c>
      <c r="Q8">
        <f>Data!W58</f>
        <v>0</v>
      </c>
      <c r="R8">
        <f>Data!X58</f>
        <v>0</v>
      </c>
      <c r="S8">
        <f>Data!Y58</f>
        <v>0</v>
      </c>
      <c r="T8">
        <f>Data!Z58</f>
        <v>0</v>
      </c>
      <c r="U8">
        <f>Data!AA58</f>
        <v>0</v>
      </c>
      <c r="V8">
        <f>Data!AB58</f>
        <v>0</v>
      </c>
      <c r="W8">
        <f>Data!AC58</f>
        <v>0</v>
      </c>
      <c r="X8">
        <f>Data!AD58</f>
        <v>0</v>
      </c>
      <c r="Y8">
        <f>Data!AE58</f>
        <v>0</v>
      </c>
      <c r="Z8">
        <f>Data!AF58</f>
        <v>0</v>
      </c>
      <c r="AA8">
        <f>Data!AG58</f>
        <v>0</v>
      </c>
      <c r="AB8">
        <f>Data!AH58</f>
        <v>0</v>
      </c>
      <c r="AC8">
        <f>Data!AI58</f>
        <v>0</v>
      </c>
      <c r="AD8">
        <f>Data!AJ58</f>
        <v>0</v>
      </c>
      <c r="AE8">
        <f>Data!AK58</f>
        <v>0</v>
      </c>
      <c r="AF8">
        <f>Data!AL58</f>
        <v>0</v>
      </c>
    </row>
  </sheetData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F8"/>
  <sheetViews>
    <sheetView workbookViewId="0"/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Data!H59</f>
        <v>0.2</v>
      </c>
      <c r="C2">
        <f>Data!I59</f>
        <v>0.2</v>
      </c>
      <c r="D2">
        <f>Data!J59</f>
        <v>0.2</v>
      </c>
      <c r="E2">
        <f>Data!K59</f>
        <v>0.2</v>
      </c>
      <c r="F2">
        <f>Data!L59</f>
        <v>0.2</v>
      </c>
      <c r="G2">
        <f>Data!M59</f>
        <v>0.2</v>
      </c>
      <c r="H2">
        <f>Data!N59</f>
        <v>0.2</v>
      </c>
      <c r="I2">
        <f>Data!O59</f>
        <v>0.2</v>
      </c>
      <c r="J2">
        <f>Data!P59</f>
        <v>0.2</v>
      </c>
      <c r="K2">
        <f>Data!Q59</f>
        <v>0.2</v>
      </c>
      <c r="L2">
        <f>Data!R59</f>
        <v>0.2</v>
      </c>
      <c r="M2">
        <f>Data!S59</f>
        <v>0.2</v>
      </c>
      <c r="N2">
        <f>Data!T59</f>
        <v>0.2</v>
      </c>
      <c r="O2">
        <f>Data!U59</f>
        <v>0.2</v>
      </c>
      <c r="P2">
        <f>Data!V59</f>
        <v>0.2</v>
      </c>
      <c r="Q2">
        <f>Data!W59</f>
        <v>0.2</v>
      </c>
      <c r="R2">
        <f>Data!X59</f>
        <v>0.2</v>
      </c>
      <c r="S2">
        <f>Data!Y59</f>
        <v>0.2</v>
      </c>
      <c r="T2">
        <f>Data!Z59</f>
        <v>0.2</v>
      </c>
      <c r="U2">
        <f>Data!AA59</f>
        <v>0.2</v>
      </c>
      <c r="V2">
        <f>Data!AB59</f>
        <v>0.2</v>
      </c>
      <c r="W2">
        <f>Data!AC59</f>
        <v>0.2</v>
      </c>
      <c r="X2">
        <f>Data!AD59</f>
        <v>0.2</v>
      </c>
      <c r="Y2">
        <f>Data!AE59</f>
        <v>0.2</v>
      </c>
      <c r="Z2">
        <f>Data!AF59</f>
        <v>0.2</v>
      </c>
      <c r="AA2">
        <f>Data!AG59</f>
        <v>0.2</v>
      </c>
      <c r="AB2">
        <f>Data!AH59</f>
        <v>0.2</v>
      </c>
      <c r="AC2">
        <f>Data!AI59</f>
        <v>0.2</v>
      </c>
      <c r="AD2">
        <f>Data!AJ59</f>
        <v>0.2</v>
      </c>
      <c r="AE2">
        <f>Data!AK59</f>
        <v>0.2</v>
      </c>
      <c r="AF2">
        <f>Data!AL59</f>
        <v>0.2</v>
      </c>
    </row>
    <row r="3" spans="1:32">
      <c r="A3" t="s">
        <v>2</v>
      </c>
      <c r="B3">
        <f>Data!H60</f>
        <v>0</v>
      </c>
      <c r="C3">
        <f>Data!I60</f>
        <v>0</v>
      </c>
      <c r="D3">
        <f>Data!J60</f>
        <v>0</v>
      </c>
      <c r="E3">
        <f>Data!K60</f>
        <v>0</v>
      </c>
      <c r="F3">
        <f>Data!L60</f>
        <v>0</v>
      </c>
      <c r="G3">
        <f>Data!M60</f>
        <v>0</v>
      </c>
      <c r="H3">
        <f>Data!N60</f>
        <v>0</v>
      </c>
      <c r="I3">
        <f>Data!O60</f>
        <v>0</v>
      </c>
      <c r="J3">
        <f>Data!P60</f>
        <v>0</v>
      </c>
      <c r="K3">
        <f>Data!Q60</f>
        <v>0</v>
      </c>
      <c r="L3">
        <f>Data!R60</f>
        <v>0</v>
      </c>
      <c r="M3">
        <f>Data!S60</f>
        <v>0</v>
      </c>
      <c r="N3">
        <f>Data!T60</f>
        <v>0</v>
      </c>
      <c r="O3">
        <f>Data!U60</f>
        <v>0</v>
      </c>
      <c r="P3">
        <f>Data!V60</f>
        <v>0</v>
      </c>
      <c r="Q3">
        <f>Data!W60</f>
        <v>0</v>
      </c>
      <c r="R3">
        <f>Data!X60</f>
        <v>0</v>
      </c>
      <c r="S3">
        <f>Data!Y60</f>
        <v>0</v>
      </c>
      <c r="T3">
        <f>Data!Z60</f>
        <v>0</v>
      </c>
      <c r="U3">
        <f>Data!AA60</f>
        <v>0</v>
      </c>
      <c r="V3">
        <f>Data!AB60</f>
        <v>0</v>
      </c>
      <c r="W3">
        <f>Data!AC60</f>
        <v>0</v>
      </c>
      <c r="X3">
        <f>Data!AD60</f>
        <v>0</v>
      </c>
      <c r="Y3">
        <f>Data!AE60</f>
        <v>0</v>
      </c>
      <c r="Z3">
        <f>Data!AF60</f>
        <v>0</v>
      </c>
      <c r="AA3">
        <f>Data!AG60</f>
        <v>0</v>
      </c>
      <c r="AB3">
        <f>Data!AH60</f>
        <v>0</v>
      </c>
      <c r="AC3">
        <f>Data!AI60</f>
        <v>0</v>
      </c>
      <c r="AD3">
        <f>Data!AJ60</f>
        <v>0</v>
      </c>
      <c r="AE3">
        <f>Data!AK60</f>
        <v>0</v>
      </c>
      <c r="AF3">
        <f>Data!AL60</f>
        <v>0</v>
      </c>
    </row>
    <row r="4" spans="1:32">
      <c r="A4" t="s">
        <v>3</v>
      </c>
      <c r="B4">
        <f>Data!H61</f>
        <v>0</v>
      </c>
      <c r="C4">
        <f>Data!I61</f>
        <v>0</v>
      </c>
      <c r="D4">
        <f>Data!J61</f>
        <v>0</v>
      </c>
      <c r="E4">
        <f>Data!K61</f>
        <v>0</v>
      </c>
      <c r="F4">
        <f>Data!L61</f>
        <v>0</v>
      </c>
      <c r="G4">
        <f>Data!M61</f>
        <v>0</v>
      </c>
      <c r="H4">
        <f>Data!N61</f>
        <v>0</v>
      </c>
      <c r="I4">
        <f>Data!O61</f>
        <v>0</v>
      </c>
      <c r="J4">
        <f>Data!P61</f>
        <v>0</v>
      </c>
      <c r="K4">
        <f>Data!Q61</f>
        <v>0</v>
      </c>
      <c r="L4">
        <f>Data!R61</f>
        <v>0</v>
      </c>
      <c r="M4">
        <f>Data!S61</f>
        <v>0</v>
      </c>
      <c r="N4">
        <f>Data!T61</f>
        <v>0</v>
      </c>
      <c r="O4">
        <f>Data!U61</f>
        <v>0</v>
      </c>
      <c r="P4">
        <f>Data!V61</f>
        <v>0</v>
      </c>
      <c r="Q4">
        <f>Data!W61</f>
        <v>0</v>
      </c>
      <c r="R4">
        <f>Data!X61</f>
        <v>0</v>
      </c>
      <c r="S4">
        <f>Data!Y61</f>
        <v>0</v>
      </c>
      <c r="T4">
        <f>Data!Z61</f>
        <v>0</v>
      </c>
      <c r="U4">
        <f>Data!AA61</f>
        <v>0</v>
      </c>
      <c r="V4">
        <f>Data!AB61</f>
        <v>0</v>
      </c>
      <c r="W4">
        <f>Data!AC61</f>
        <v>0</v>
      </c>
      <c r="X4">
        <f>Data!AD61</f>
        <v>0</v>
      </c>
      <c r="Y4">
        <f>Data!AE61</f>
        <v>0</v>
      </c>
      <c r="Z4">
        <f>Data!AF61</f>
        <v>0</v>
      </c>
      <c r="AA4">
        <f>Data!AG61</f>
        <v>0</v>
      </c>
      <c r="AB4">
        <f>Data!AH61</f>
        <v>0</v>
      </c>
      <c r="AC4">
        <f>Data!AI61</f>
        <v>0</v>
      </c>
      <c r="AD4">
        <f>Data!AJ61</f>
        <v>0</v>
      </c>
      <c r="AE4">
        <f>Data!AK61</f>
        <v>0</v>
      </c>
      <c r="AF4">
        <f>Data!AL61</f>
        <v>0</v>
      </c>
    </row>
    <row r="5" spans="1:32">
      <c r="A5" t="s">
        <v>4</v>
      </c>
      <c r="B5">
        <f>Data!H62</f>
        <v>1</v>
      </c>
      <c r="C5">
        <f>Data!I62</f>
        <v>1</v>
      </c>
      <c r="D5">
        <f>Data!J62</f>
        <v>1</v>
      </c>
      <c r="E5">
        <f>Data!K62</f>
        <v>1</v>
      </c>
      <c r="F5">
        <f>Data!L62</f>
        <v>1</v>
      </c>
      <c r="G5">
        <f>Data!M62</f>
        <v>1</v>
      </c>
      <c r="H5">
        <f>Data!N62</f>
        <v>1</v>
      </c>
      <c r="I5">
        <f>Data!O62</f>
        <v>1</v>
      </c>
      <c r="J5">
        <f>Data!P62</f>
        <v>1</v>
      </c>
      <c r="K5">
        <f>Data!Q62</f>
        <v>1</v>
      </c>
      <c r="L5">
        <f>Data!R62</f>
        <v>1</v>
      </c>
      <c r="M5">
        <f>Data!S62</f>
        <v>1</v>
      </c>
      <c r="N5">
        <f>Data!T62</f>
        <v>1</v>
      </c>
      <c r="O5">
        <f>Data!U62</f>
        <v>1</v>
      </c>
      <c r="P5">
        <f>Data!V62</f>
        <v>1</v>
      </c>
      <c r="Q5">
        <f>Data!W62</f>
        <v>1</v>
      </c>
      <c r="R5">
        <f>Data!X62</f>
        <v>1</v>
      </c>
      <c r="S5">
        <f>Data!Y62</f>
        <v>1</v>
      </c>
      <c r="T5">
        <f>Data!Z62</f>
        <v>1</v>
      </c>
      <c r="U5">
        <f>Data!AA62</f>
        <v>1</v>
      </c>
      <c r="V5">
        <f>Data!AB62</f>
        <v>1</v>
      </c>
      <c r="W5">
        <f>Data!AC62</f>
        <v>1</v>
      </c>
      <c r="X5">
        <f>Data!AD62</f>
        <v>1</v>
      </c>
      <c r="Y5">
        <f>Data!AE62</f>
        <v>1</v>
      </c>
      <c r="Z5">
        <f>Data!AF62</f>
        <v>1</v>
      </c>
      <c r="AA5">
        <f>Data!AG62</f>
        <v>1</v>
      </c>
      <c r="AB5">
        <f>Data!AH62</f>
        <v>1</v>
      </c>
      <c r="AC5">
        <f>Data!AI62</f>
        <v>1</v>
      </c>
      <c r="AD5">
        <f>Data!AJ62</f>
        <v>1</v>
      </c>
      <c r="AE5">
        <f>Data!AK62</f>
        <v>1</v>
      </c>
      <c r="AF5">
        <f>Data!AL62</f>
        <v>1</v>
      </c>
    </row>
    <row r="6" spans="1:32">
      <c r="A6" t="s">
        <v>5</v>
      </c>
      <c r="B6">
        <f>Data!H63</f>
        <v>0</v>
      </c>
      <c r="C6">
        <f>Data!I63</f>
        <v>0</v>
      </c>
      <c r="D6">
        <f>Data!J63</f>
        <v>0</v>
      </c>
      <c r="E6">
        <f>Data!K63</f>
        <v>0</v>
      </c>
      <c r="F6">
        <f>Data!L63</f>
        <v>0</v>
      </c>
      <c r="G6">
        <f>Data!M63</f>
        <v>0</v>
      </c>
      <c r="H6">
        <f>Data!N63</f>
        <v>0</v>
      </c>
      <c r="I6">
        <f>Data!O63</f>
        <v>0</v>
      </c>
      <c r="J6">
        <f>Data!P63</f>
        <v>0</v>
      </c>
      <c r="K6">
        <f>Data!Q63</f>
        <v>0</v>
      </c>
      <c r="L6">
        <f>Data!R63</f>
        <v>0</v>
      </c>
      <c r="M6">
        <f>Data!S63</f>
        <v>0</v>
      </c>
      <c r="N6">
        <f>Data!T63</f>
        <v>0</v>
      </c>
      <c r="O6">
        <f>Data!U63</f>
        <v>0</v>
      </c>
      <c r="P6">
        <f>Data!V63</f>
        <v>0</v>
      </c>
      <c r="Q6">
        <f>Data!W63</f>
        <v>0</v>
      </c>
      <c r="R6">
        <f>Data!X63</f>
        <v>0</v>
      </c>
      <c r="S6">
        <f>Data!Y63</f>
        <v>0</v>
      </c>
      <c r="T6">
        <f>Data!Z63</f>
        <v>0</v>
      </c>
      <c r="U6">
        <f>Data!AA63</f>
        <v>0</v>
      </c>
      <c r="V6">
        <f>Data!AB63</f>
        <v>0</v>
      </c>
      <c r="W6">
        <f>Data!AC63</f>
        <v>0</v>
      </c>
      <c r="X6">
        <f>Data!AD63</f>
        <v>0</v>
      </c>
      <c r="Y6">
        <f>Data!AE63</f>
        <v>0</v>
      </c>
      <c r="Z6">
        <f>Data!AF63</f>
        <v>0</v>
      </c>
      <c r="AA6">
        <f>Data!AG63</f>
        <v>0</v>
      </c>
      <c r="AB6">
        <f>Data!AH63</f>
        <v>0</v>
      </c>
      <c r="AC6">
        <f>Data!AI63</f>
        <v>0</v>
      </c>
      <c r="AD6">
        <f>Data!AJ63</f>
        <v>0</v>
      </c>
      <c r="AE6">
        <f>Data!AK63</f>
        <v>0</v>
      </c>
      <c r="AF6">
        <f>Data!AL63</f>
        <v>0</v>
      </c>
    </row>
    <row r="7" spans="1:32">
      <c r="A7" t="s">
        <v>78</v>
      </c>
      <c r="B7">
        <f>Data!H64</f>
        <v>0</v>
      </c>
      <c r="C7">
        <f>Data!I64</f>
        <v>0</v>
      </c>
      <c r="D7">
        <f>Data!J64</f>
        <v>0</v>
      </c>
      <c r="E7">
        <f>Data!K64</f>
        <v>0</v>
      </c>
      <c r="F7">
        <f>Data!L64</f>
        <v>0</v>
      </c>
      <c r="G7">
        <f>Data!M64</f>
        <v>0</v>
      </c>
      <c r="H7">
        <f>Data!N64</f>
        <v>0</v>
      </c>
      <c r="I7">
        <f>Data!O64</f>
        <v>0</v>
      </c>
      <c r="J7">
        <f>Data!P64</f>
        <v>0</v>
      </c>
      <c r="K7">
        <f>Data!Q64</f>
        <v>0</v>
      </c>
      <c r="L7">
        <f>Data!R64</f>
        <v>0</v>
      </c>
      <c r="M7">
        <f>Data!S64</f>
        <v>0</v>
      </c>
      <c r="N7">
        <f>Data!T64</f>
        <v>0</v>
      </c>
      <c r="O7">
        <f>Data!U64</f>
        <v>0</v>
      </c>
      <c r="P7">
        <f>Data!V64</f>
        <v>0</v>
      </c>
      <c r="Q7">
        <f>Data!W64</f>
        <v>0</v>
      </c>
      <c r="R7">
        <f>Data!X64</f>
        <v>0</v>
      </c>
      <c r="S7">
        <f>Data!Y64</f>
        <v>0</v>
      </c>
      <c r="T7">
        <f>Data!Z64</f>
        <v>0</v>
      </c>
      <c r="U7">
        <f>Data!AA64</f>
        <v>0</v>
      </c>
      <c r="V7">
        <f>Data!AB64</f>
        <v>0</v>
      </c>
      <c r="W7">
        <f>Data!AC64</f>
        <v>0</v>
      </c>
      <c r="X7">
        <f>Data!AD64</f>
        <v>0</v>
      </c>
      <c r="Y7">
        <f>Data!AE64</f>
        <v>0</v>
      </c>
      <c r="Z7">
        <f>Data!AF64</f>
        <v>0</v>
      </c>
      <c r="AA7">
        <f>Data!AG64</f>
        <v>0</v>
      </c>
      <c r="AB7">
        <f>Data!AH64</f>
        <v>0</v>
      </c>
      <c r="AC7">
        <f>Data!AI64</f>
        <v>0</v>
      </c>
      <c r="AD7">
        <f>Data!AJ64</f>
        <v>0</v>
      </c>
      <c r="AE7">
        <f>Data!AK64</f>
        <v>0</v>
      </c>
      <c r="AF7">
        <f>Data!AL64</f>
        <v>0</v>
      </c>
    </row>
    <row r="8" spans="1:32">
      <c r="A8" t="s">
        <v>79</v>
      </c>
      <c r="B8">
        <f>Data!H65</f>
        <v>0</v>
      </c>
      <c r="C8">
        <f>Data!I65</f>
        <v>0</v>
      </c>
      <c r="D8">
        <f>Data!J65</f>
        <v>0</v>
      </c>
      <c r="E8">
        <f>Data!K65</f>
        <v>0</v>
      </c>
      <c r="F8">
        <f>Data!L65</f>
        <v>0</v>
      </c>
      <c r="G8">
        <f>Data!M65</f>
        <v>0</v>
      </c>
      <c r="H8">
        <f>Data!N65</f>
        <v>0</v>
      </c>
      <c r="I8">
        <f>Data!O65</f>
        <v>0</v>
      </c>
      <c r="J8">
        <f>Data!P65</f>
        <v>0</v>
      </c>
      <c r="K8">
        <f>Data!Q65</f>
        <v>0</v>
      </c>
      <c r="L8">
        <f>Data!R65</f>
        <v>0</v>
      </c>
      <c r="M8">
        <f>Data!S65</f>
        <v>0</v>
      </c>
      <c r="N8">
        <f>Data!T65</f>
        <v>0</v>
      </c>
      <c r="O8">
        <f>Data!U65</f>
        <v>0</v>
      </c>
      <c r="P8">
        <f>Data!V65</f>
        <v>0</v>
      </c>
      <c r="Q8">
        <f>Data!W65</f>
        <v>0</v>
      </c>
      <c r="R8">
        <f>Data!X65</f>
        <v>0</v>
      </c>
      <c r="S8">
        <f>Data!Y65</f>
        <v>0</v>
      </c>
      <c r="T8">
        <f>Data!Z65</f>
        <v>0</v>
      </c>
      <c r="U8">
        <f>Data!AA65</f>
        <v>0</v>
      </c>
      <c r="V8">
        <f>Data!AB65</f>
        <v>0</v>
      </c>
      <c r="W8">
        <f>Data!AC65</f>
        <v>0</v>
      </c>
      <c r="X8">
        <f>Data!AD65</f>
        <v>0</v>
      </c>
      <c r="Y8">
        <f>Data!AE65</f>
        <v>0</v>
      </c>
      <c r="Z8">
        <f>Data!AF65</f>
        <v>0</v>
      </c>
      <c r="AA8">
        <f>Data!AG65</f>
        <v>0</v>
      </c>
      <c r="AB8">
        <f>Data!AH65</f>
        <v>0</v>
      </c>
      <c r="AC8">
        <f>Data!AI65</f>
        <v>0</v>
      </c>
      <c r="AD8">
        <f>Data!AJ65</f>
        <v>0</v>
      </c>
      <c r="AE8">
        <f>Data!AK65</f>
        <v>0</v>
      </c>
      <c r="AF8">
        <f>Data!AL65</f>
        <v>0</v>
      </c>
    </row>
  </sheetData>
  <phoneticPr fontId="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F8"/>
  <sheetViews>
    <sheetView workbookViewId="0"/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Data!H66</f>
        <v>0</v>
      </c>
      <c r="C2">
        <f>Data!I66</f>
        <v>0</v>
      </c>
      <c r="D2">
        <f>Data!J66</f>
        <v>0</v>
      </c>
      <c r="E2">
        <f>Data!K66</f>
        <v>0</v>
      </c>
      <c r="F2">
        <f>Data!L66</f>
        <v>0</v>
      </c>
      <c r="G2">
        <f>Data!M66</f>
        <v>0</v>
      </c>
      <c r="H2">
        <f>Data!N66</f>
        <v>0</v>
      </c>
      <c r="I2">
        <f>Data!O66</f>
        <v>0</v>
      </c>
      <c r="J2">
        <f>Data!P66</f>
        <v>0</v>
      </c>
      <c r="K2">
        <f>Data!Q66</f>
        <v>0</v>
      </c>
      <c r="L2">
        <f>Data!R66</f>
        <v>0</v>
      </c>
      <c r="M2">
        <f>Data!S66</f>
        <v>0</v>
      </c>
      <c r="N2">
        <f>Data!T66</f>
        <v>0</v>
      </c>
      <c r="O2">
        <f>Data!U66</f>
        <v>0</v>
      </c>
      <c r="P2">
        <f>Data!V66</f>
        <v>0</v>
      </c>
      <c r="Q2">
        <f>Data!W66</f>
        <v>0</v>
      </c>
      <c r="R2">
        <f>Data!X66</f>
        <v>0</v>
      </c>
      <c r="S2">
        <f>Data!Y66</f>
        <v>0</v>
      </c>
      <c r="T2">
        <f>Data!Z66</f>
        <v>0</v>
      </c>
      <c r="U2">
        <f>Data!AA66</f>
        <v>0</v>
      </c>
      <c r="V2">
        <f>Data!AB66</f>
        <v>0</v>
      </c>
      <c r="W2">
        <f>Data!AC66</f>
        <v>0</v>
      </c>
      <c r="X2">
        <f>Data!AD66</f>
        <v>0</v>
      </c>
      <c r="Y2">
        <f>Data!AE66</f>
        <v>0</v>
      </c>
      <c r="Z2">
        <f>Data!AF66</f>
        <v>0</v>
      </c>
      <c r="AA2">
        <f>Data!AG66</f>
        <v>0</v>
      </c>
      <c r="AB2">
        <f>Data!AH66</f>
        <v>0</v>
      </c>
      <c r="AC2">
        <f>Data!AI66</f>
        <v>0</v>
      </c>
      <c r="AD2">
        <f>Data!AJ66</f>
        <v>0</v>
      </c>
      <c r="AE2">
        <f>Data!AK66</f>
        <v>0</v>
      </c>
      <c r="AF2">
        <f>Data!AL66</f>
        <v>0</v>
      </c>
    </row>
    <row r="3" spans="1:32">
      <c r="A3" t="s">
        <v>2</v>
      </c>
      <c r="B3">
        <f>Data!H67</f>
        <v>0</v>
      </c>
      <c r="C3">
        <f>Data!I67</f>
        <v>0</v>
      </c>
      <c r="D3">
        <f>Data!J67</f>
        <v>0</v>
      </c>
      <c r="E3">
        <f>Data!K67</f>
        <v>0</v>
      </c>
      <c r="F3">
        <f>Data!L67</f>
        <v>0</v>
      </c>
      <c r="G3">
        <f>Data!M67</f>
        <v>0</v>
      </c>
      <c r="H3">
        <f>Data!N67</f>
        <v>0</v>
      </c>
      <c r="I3">
        <f>Data!O67</f>
        <v>0</v>
      </c>
      <c r="J3">
        <f>Data!P67</f>
        <v>0</v>
      </c>
      <c r="K3">
        <f>Data!Q67</f>
        <v>0</v>
      </c>
      <c r="L3">
        <f>Data!R67</f>
        <v>0</v>
      </c>
      <c r="M3">
        <f>Data!S67</f>
        <v>0</v>
      </c>
      <c r="N3">
        <f>Data!T67</f>
        <v>0</v>
      </c>
      <c r="O3">
        <f>Data!U67</f>
        <v>0</v>
      </c>
      <c r="P3">
        <f>Data!V67</f>
        <v>0</v>
      </c>
      <c r="Q3">
        <f>Data!W67</f>
        <v>0</v>
      </c>
      <c r="R3">
        <f>Data!X67</f>
        <v>0</v>
      </c>
      <c r="S3">
        <f>Data!Y67</f>
        <v>0</v>
      </c>
      <c r="T3">
        <f>Data!Z67</f>
        <v>0</v>
      </c>
      <c r="U3">
        <f>Data!AA67</f>
        <v>0</v>
      </c>
      <c r="V3">
        <f>Data!AB67</f>
        <v>0</v>
      </c>
      <c r="W3">
        <f>Data!AC67</f>
        <v>0</v>
      </c>
      <c r="X3">
        <f>Data!AD67</f>
        <v>0</v>
      </c>
      <c r="Y3">
        <f>Data!AE67</f>
        <v>0</v>
      </c>
      <c r="Z3">
        <f>Data!AF67</f>
        <v>0</v>
      </c>
      <c r="AA3">
        <f>Data!AG67</f>
        <v>0</v>
      </c>
      <c r="AB3">
        <f>Data!AH67</f>
        <v>0</v>
      </c>
      <c r="AC3">
        <f>Data!AI67</f>
        <v>0</v>
      </c>
      <c r="AD3">
        <f>Data!AJ67</f>
        <v>0</v>
      </c>
      <c r="AE3">
        <f>Data!AK67</f>
        <v>0</v>
      </c>
      <c r="AF3">
        <f>Data!AL67</f>
        <v>0</v>
      </c>
    </row>
    <row r="4" spans="1:32">
      <c r="A4" t="s">
        <v>3</v>
      </c>
      <c r="B4">
        <f>Data!H68</f>
        <v>0</v>
      </c>
      <c r="C4">
        <f>Data!I68</f>
        <v>0</v>
      </c>
      <c r="D4">
        <f>Data!J68</f>
        <v>0</v>
      </c>
      <c r="E4">
        <f>Data!K68</f>
        <v>0</v>
      </c>
      <c r="F4">
        <f>Data!L68</f>
        <v>0</v>
      </c>
      <c r="G4">
        <f>Data!M68</f>
        <v>0</v>
      </c>
      <c r="H4">
        <f>Data!N68</f>
        <v>0</v>
      </c>
      <c r="I4">
        <f>Data!O68</f>
        <v>0</v>
      </c>
      <c r="J4">
        <f>Data!P68</f>
        <v>0</v>
      </c>
      <c r="K4">
        <f>Data!Q68</f>
        <v>0</v>
      </c>
      <c r="L4">
        <f>Data!R68</f>
        <v>0</v>
      </c>
      <c r="M4">
        <f>Data!S68</f>
        <v>0</v>
      </c>
      <c r="N4">
        <f>Data!T68</f>
        <v>0</v>
      </c>
      <c r="O4">
        <f>Data!U68</f>
        <v>0</v>
      </c>
      <c r="P4">
        <f>Data!V68</f>
        <v>0</v>
      </c>
      <c r="Q4">
        <f>Data!W68</f>
        <v>0</v>
      </c>
      <c r="R4">
        <f>Data!X68</f>
        <v>0</v>
      </c>
      <c r="S4">
        <f>Data!Y68</f>
        <v>0</v>
      </c>
      <c r="T4">
        <f>Data!Z68</f>
        <v>0</v>
      </c>
      <c r="U4">
        <f>Data!AA68</f>
        <v>0</v>
      </c>
      <c r="V4">
        <f>Data!AB68</f>
        <v>0</v>
      </c>
      <c r="W4">
        <f>Data!AC68</f>
        <v>0</v>
      </c>
      <c r="X4">
        <f>Data!AD68</f>
        <v>0</v>
      </c>
      <c r="Y4">
        <f>Data!AE68</f>
        <v>0</v>
      </c>
      <c r="Z4">
        <f>Data!AF68</f>
        <v>0</v>
      </c>
      <c r="AA4">
        <f>Data!AG68</f>
        <v>0</v>
      </c>
      <c r="AB4">
        <f>Data!AH68</f>
        <v>0</v>
      </c>
      <c r="AC4">
        <f>Data!AI68</f>
        <v>0</v>
      </c>
      <c r="AD4">
        <f>Data!AJ68</f>
        <v>0</v>
      </c>
      <c r="AE4">
        <f>Data!AK68</f>
        <v>0</v>
      </c>
      <c r="AF4">
        <f>Data!AL68</f>
        <v>0</v>
      </c>
    </row>
    <row r="5" spans="1:32">
      <c r="A5" t="s">
        <v>4</v>
      </c>
      <c r="B5">
        <f>Data!H69</f>
        <v>1</v>
      </c>
      <c r="C5">
        <f>Data!I69</f>
        <v>1</v>
      </c>
      <c r="D5">
        <f>Data!J69</f>
        <v>1</v>
      </c>
      <c r="E5">
        <f>Data!K69</f>
        <v>1</v>
      </c>
      <c r="F5">
        <f>Data!L69</f>
        <v>1</v>
      </c>
      <c r="G5">
        <f>Data!M69</f>
        <v>1</v>
      </c>
      <c r="H5">
        <f>Data!N69</f>
        <v>1</v>
      </c>
      <c r="I5">
        <f>Data!O69</f>
        <v>1</v>
      </c>
      <c r="J5">
        <f>Data!P69</f>
        <v>1</v>
      </c>
      <c r="K5">
        <f>Data!Q69</f>
        <v>1</v>
      </c>
      <c r="L5">
        <f>Data!R69</f>
        <v>1</v>
      </c>
      <c r="M5">
        <f>Data!S69</f>
        <v>1</v>
      </c>
      <c r="N5">
        <f>Data!T69</f>
        <v>1</v>
      </c>
      <c r="O5">
        <f>Data!U69</f>
        <v>1</v>
      </c>
      <c r="P5">
        <f>Data!V69</f>
        <v>1</v>
      </c>
      <c r="Q5">
        <f>Data!W69</f>
        <v>1</v>
      </c>
      <c r="R5">
        <f>Data!X69</f>
        <v>1</v>
      </c>
      <c r="S5">
        <f>Data!Y69</f>
        <v>1</v>
      </c>
      <c r="T5">
        <f>Data!Z69</f>
        <v>1</v>
      </c>
      <c r="U5">
        <f>Data!AA69</f>
        <v>1</v>
      </c>
      <c r="V5">
        <f>Data!AB69</f>
        <v>1</v>
      </c>
      <c r="W5">
        <f>Data!AC69</f>
        <v>1</v>
      </c>
      <c r="X5">
        <f>Data!AD69</f>
        <v>1</v>
      </c>
      <c r="Y5">
        <f>Data!AE69</f>
        <v>1</v>
      </c>
      <c r="Z5">
        <f>Data!AF69</f>
        <v>1</v>
      </c>
      <c r="AA5">
        <f>Data!AG69</f>
        <v>1</v>
      </c>
      <c r="AB5">
        <f>Data!AH69</f>
        <v>1</v>
      </c>
      <c r="AC5">
        <f>Data!AI69</f>
        <v>1</v>
      </c>
      <c r="AD5">
        <f>Data!AJ69</f>
        <v>1</v>
      </c>
      <c r="AE5">
        <f>Data!AK69</f>
        <v>1</v>
      </c>
      <c r="AF5">
        <f>Data!AL69</f>
        <v>1</v>
      </c>
    </row>
    <row r="6" spans="1:32">
      <c r="A6" t="s">
        <v>5</v>
      </c>
      <c r="B6">
        <f>Data!H70</f>
        <v>0</v>
      </c>
      <c r="C6">
        <f>Data!I70</f>
        <v>0</v>
      </c>
      <c r="D6">
        <f>Data!J70</f>
        <v>0</v>
      </c>
      <c r="E6">
        <f>Data!K70</f>
        <v>0</v>
      </c>
      <c r="F6">
        <f>Data!L70</f>
        <v>0</v>
      </c>
      <c r="G6">
        <f>Data!M70</f>
        <v>0</v>
      </c>
      <c r="H6">
        <f>Data!N70</f>
        <v>0</v>
      </c>
      <c r="I6">
        <f>Data!O70</f>
        <v>0</v>
      </c>
      <c r="J6">
        <f>Data!P70</f>
        <v>0</v>
      </c>
      <c r="K6">
        <f>Data!Q70</f>
        <v>0</v>
      </c>
      <c r="L6">
        <f>Data!R70</f>
        <v>0</v>
      </c>
      <c r="M6">
        <f>Data!S70</f>
        <v>0</v>
      </c>
      <c r="N6">
        <f>Data!T70</f>
        <v>0</v>
      </c>
      <c r="O6">
        <f>Data!U70</f>
        <v>0</v>
      </c>
      <c r="P6">
        <f>Data!V70</f>
        <v>0</v>
      </c>
      <c r="Q6">
        <f>Data!W70</f>
        <v>0</v>
      </c>
      <c r="R6">
        <f>Data!X70</f>
        <v>0</v>
      </c>
      <c r="S6">
        <f>Data!Y70</f>
        <v>0</v>
      </c>
      <c r="T6">
        <f>Data!Z70</f>
        <v>0</v>
      </c>
      <c r="U6">
        <f>Data!AA70</f>
        <v>0</v>
      </c>
      <c r="V6">
        <f>Data!AB70</f>
        <v>0</v>
      </c>
      <c r="W6">
        <f>Data!AC70</f>
        <v>0</v>
      </c>
      <c r="X6">
        <f>Data!AD70</f>
        <v>0</v>
      </c>
      <c r="Y6">
        <f>Data!AE70</f>
        <v>0</v>
      </c>
      <c r="Z6">
        <f>Data!AF70</f>
        <v>0</v>
      </c>
      <c r="AA6">
        <f>Data!AG70</f>
        <v>0</v>
      </c>
      <c r="AB6">
        <f>Data!AH70</f>
        <v>0</v>
      </c>
      <c r="AC6">
        <f>Data!AI70</f>
        <v>0</v>
      </c>
      <c r="AD6">
        <f>Data!AJ70</f>
        <v>0</v>
      </c>
      <c r="AE6">
        <f>Data!AK70</f>
        <v>0</v>
      </c>
      <c r="AF6">
        <f>Data!AL70</f>
        <v>0</v>
      </c>
    </row>
    <row r="7" spans="1:32">
      <c r="A7" t="s">
        <v>78</v>
      </c>
      <c r="B7">
        <f>Data!H71</f>
        <v>0</v>
      </c>
      <c r="C7">
        <f>Data!I71</f>
        <v>0</v>
      </c>
      <c r="D7">
        <f>Data!J71</f>
        <v>0</v>
      </c>
      <c r="E7">
        <f>Data!K71</f>
        <v>0</v>
      </c>
      <c r="F7">
        <f>Data!L71</f>
        <v>0</v>
      </c>
      <c r="G7">
        <f>Data!M71</f>
        <v>0</v>
      </c>
      <c r="H7">
        <f>Data!N71</f>
        <v>0</v>
      </c>
      <c r="I7">
        <f>Data!O71</f>
        <v>0</v>
      </c>
      <c r="J7">
        <f>Data!P71</f>
        <v>0</v>
      </c>
      <c r="K7">
        <f>Data!Q71</f>
        <v>0</v>
      </c>
      <c r="L7">
        <f>Data!R71</f>
        <v>0</v>
      </c>
      <c r="M7">
        <f>Data!S71</f>
        <v>0</v>
      </c>
      <c r="N7">
        <f>Data!T71</f>
        <v>0</v>
      </c>
      <c r="O7">
        <f>Data!U71</f>
        <v>0</v>
      </c>
      <c r="P7">
        <f>Data!V71</f>
        <v>0</v>
      </c>
      <c r="Q7">
        <f>Data!W71</f>
        <v>0</v>
      </c>
      <c r="R7">
        <f>Data!X71</f>
        <v>0</v>
      </c>
      <c r="S7">
        <f>Data!Y71</f>
        <v>0</v>
      </c>
      <c r="T7">
        <f>Data!Z71</f>
        <v>0</v>
      </c>
      <c r="U7">
        <f>Data!AA71</f>
        <v>0</v>
      </c>
      <c r="V7">
        <f>Data!AB71</f>
        <v>0</v>
      </c>
      <c r="W7">
        <f>Data!AC71</f>
        <v>0</v>
      </c>
      <c r="X7">
        <f>Data!AD71</f>
        <v>0</v>
      </c>
      <c r="Y7">
        <f>Data!AE71</f>
        <v>0</v>
      </c>
      <c r="Z7">
        <f>Data!AF71</f>
        <v>0</v>
      </c>
      <c r="AA7">
        <f>Data!AG71</f>
        <v>0</v>
      </c>
      <c r="AB7">
        <f>Data!AH71</f>
        <v>0</v>
      </c>
      <c r="AC7">
        <f>Data!AI71</f>
        <v>0</v>
      </c>
      <c r="AD7">
        <f>Data!AJ71</f>
        <v>0</v>
      </c>
      <c r="AE7">
        <f>Data!AK71</f>
        <v>0</v>
      </c>
      <c r="AF7">
        <f>Data!AL71</f>
        <v>0</v>
      </c>
    </row>
    <row r="8" spans="1:32">
      <c r="A8" t="s">
        <v>79</v>
      </c>
      <c r="B8">
        <f>Data!H72</f>
        <v>0</v>
      </c>
      <c r="C8">
        <f>Data!I72</f>
        <v>0</v>
      </c>
      <c r="D8">
        <f>Data!J72</f>
        <v>0</v>
      </c>
      <c r="E8">
        <f>Data!K72</f>
        <v>0</v>
      </c>
      <c r="F8">
        <f>Data!L72</f>
        <v>0</v>
      </c>
      <c r="G8">
        <f>Data!M72</f>
        <v>0</v>
      </c>
      <c r="H8">
        <f>Data!N72</f>
        <v>0</v>
      </c>
      <c r="I8">
        <f>Data!O72</f>
        <v>0</v>
      </c>
      <c r="J8">
        <f>Data!P72</f>
        <v>0</v>
      </c>
      <c r="K8">
        <f>Data!Q72</f>
        <v>0</v>
      </c>
      <c r="L8">
        <f>Data!R72</f>
        <v>0</v>
      </c>
      <c r="M8">
        <f>Data!S72</f>
        <v>0</v>
      </c>
      <c r="N8">
        <f>Data!T72</f>
        <v>0</v>
      </c>
      <c r="O8">
        <f>Data!U72</f>
        <v>0</v>
      </c>
      <c r="P8">
        <f>Data!V72</f>
        <v>0</v>
      </c>
      <c r="Q8">
        <f>Data!W72</f>
        <v>0</v>
      </c>
      <c r="R8">
        <f>Data!X72</f>
        <v>0</v>
      </c>
      <c r="S8">
        <f>Data!Y72</f>
        <v>0</v>
      </c>
      <c r="T8">
        <f>Data!Z72</f>
        <v>0</v>
      </c>
      <c r="U8">
        <f>Data!AA72</f>
        <v>0</v>
      </c>
      <c r="V8">
        <f>Data!AB72</f>
        <v>0</v>
      </c>
      <c r="W8">
        <f>Data!AC72</f>
        <v>0</v>
      </c>
      <c r="X8">
        <f>Data!AD72</f>
        <v>0</v>
      </c>
      <c r="Y8">
        <f>Data!AE72</f>
        <v>0</v>
      </c>
      <c r="Z8">
        <f>Data!AF72</f>
        <v>0</v>
      </c>
      <c r="AA8">
        <f>Data!AG72</f>
        <v>0</v>
      </c>
      <c r="AB8">
        <f>Data!AH72</f>
        <v>0</v>
      </c>
      <c r="AC8">
        <f>Data!AI72</f>
        <v>0</v>
      </c>
      <c r="AD8">
        <f>Data!AJ72</f>
        <v>0</v>
      </c>
      <c r="AE8">
        <f>Data!AK72</f>
        <v>0</v>
      </c>
      <c r="AF8">
        <f>Data!AL72</f>
        <v>0</v>
      </c>
    </row>
  </sheetData>
  <phoneticPr fontId="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F8"/>
  <sheetViews>
    <sheetView workbookViewId="0"/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Data!H73</f>
        <v>0</v>
      </c>
      <c r="C2">
        <f>Data!I73</f>
        <v>0</v>
      </c>
      <c r="D2">
        <f>Data!J73</f>
        <v>0</v>
      </c>
      <c r="E2">
        <f>Data!K73</f>
        <v>0</v>
      </c>
      <c r="F2">
        <f>Data!L73</f>
        <v>0</v>
      </c>
      <c r="G2">
        <f>Data!M73</f>
        <v>0</v>
      </c>
      <c r="H2">
        <f>Data!N73</f>
        <v>0</v>
      </c>
      <c r="I2">
        <f>Data!O73</f>
        <v>0</v>
      </c>
      <c r="J2">
        <f>Data!P73</f>
        <v>0</v>
      </c>
      <c r="K2">
        <f>Data!Q73</f>
        <v>0</v>
      </c>
      <c r="L2">
        <f>Data!R73</f>
        <v>0</v>
      </c>
      <c r="M2">
        <f>Data!S73</f>
        <v>0</v>
      </c>
      <c r="N2">
        <f>Data!T73</f>
        <v>0</v>
      </c>
      <c r="O2">
        <f>Data!U73</f>
        <v>0</v>
      </c>
      <c r="P2">
        <f>Data!V73</f>
        <v>0</v>
      </c>
      <c r="Q2">
        <f>Data!W73</f>
        <v>0</v>
      </c>
      <c r="R2">
        <f>Data!X73</f>
        <v>0</v>
      </c>
      <c r="S2">
        <f>Data!Y73</f>
        <v>0</v>
      </c>
      <c r="T2">
        <f>Data!Z73</f>
        <v>0</v>
      </c>
      <c r="U2">
        <f>Data!AA73</f>
        <v>0</v>
      </c>
      <c r="V2">
        <f>Data!AB73</f>
        <v>0</v>
      </c>
      <c r="W2">
        <f>Data!AC73</f>
        <v>0</v>
      </c>
      <c r="X2">
        <f>Data!AD73</f>
        <v>0</v>
      </c>
      <c r="Y2">
        <f>Data!AE73</f>
        <v>0</v>
      </c>
      <c r="Z2">
        <f>Data!AF73</f>
        <v>0</v>
      </c>
      <c r="AA2">
        <f>Data!AG73</f>
        <v>0</v>
      </c>
      <c r="AB2">
        <f>Data!AH73</f>
        <v>0</v>
      </c>
      <c r="AC2">
        <f>Data!AI73</f>
        <v>0</v>
      </c>
      <c r="AD2">
        <f>Data!AJ73</f>
        <v>0</v>
      </c>
      <c r="AE2">
        <f>Data!AK73</f>
        <v>0</v>
      </c>
      <c r="AF2">
        <f>Data!AL73</f>
        <v>0</v>
      </c>
    </row>
    <row r="3" spans="1:32">
      <c r="A3" t="s">
        <v>2</v>
      </c>
      <c r="B3">
        <f>Data!H74</f>
        <v>0</v>
      </c>
      <c r="C3">
        <f>Data!I74</f>
        <v>0</v>
      </c>
      <c r="D3">
        <f>Data!J74</f>
        <v>0</v>
      </c>
      <c r="E3">
        <f>Data!K74</f>
        <v>0</v>
      </c>
      <c r="F3">
        <f>Data!L74</f>
        <v>0</v>
      </c>
      <c r="G3">
        <f>Data!M74</f>
        <v>0</v>
      </c>
      <c r="H3">
        <f>Data!N74</f>
        <v>0</v>
      </c>
      <c r="I3">
        <f>Data!O74</f>
        <v>0</v>
      </c>
      <c r="J3">
        <f>Data!P74</f>
        <v>0</v>
      </c>
      <c r="K3">
        <f>Data!Q74</f>
        <v>0</v>
      </c>
      <c r="L3">
        <f>Data!R74</f>
        <v>0</v>
      </c>
      <c r="M3">
        <f>Data!S74</f>
        <v>0</v>
      </c>
      <c r="N3">
        <f>Data!T74</f>
        <v>0</v>
      </c>
      <c r="O3">
        <f>Data!U74</f>
        <v>0</v>
      </c>
      <c r="P3">
        <f>Data!V74</f>
        <v>0</v>
      </c>
      <c r="Q3">
        <f>Data!W74</f>
        <v>0</v>
      </c>
      <c r="R3">
        <f>Data!X74</f>
        <v>0</v>
      </c>
      <c r="S3">
        <f>Data!Y74</f>
        <v>0</v>
      </c>
      <c r="T3">
        <f>Data!Z74</f>
        <v>0</v>
      </c>
      <c r="U3">
        <f>Data!AA74</f>
        <v>0</v>
      </c>
      <c r="V3">
        <f>Data!AB74</f>
        <v>0</v>
      </c>
      <c r="W3">
        <f>Data!AC74</f>
        <v>0</v>
      </c>
      <c r="X3">
        <f>Data!AD74</f>
        <v>0</v>
      </c>
      <c r="Y3">
        <f>Data!AE74</f>
        <v>0</v>
      </c>
      <c r="Z3">
        <f>Data!AF74</f>
        <v>0</v>
      </c>
      <c r="AA3">
        <f>Data!AG74</f>
        <v>0</v>
      </c>
      <c r="AB3">
        <f>Data!AH74</f>
        <v>0</v>
      </c>
      <c r="AC3">
        <f>Data!AI74</f>
        <v>0</v>
      </c>
      <c r="AD3">
        <f>Data!AJ74</f>
        <v>0</v>
      </c>
      <c r="AE3">
        <f>Data!AK74</f>
        <v>0</v>
      </c>
      <c r="AF3">
        <f>Data!AL74</f>
        <v>0</v>
      </c>
    </row>
    <row r="4" spans="1:32">
      <c r="A4" t="s">
        <v>3</v>
      </c>
      <c r="B4">
        <f>Data!H75</f>
        <v>4.1666444445629626E-3</v>
      </c>
      <c r="C4">
        <f>Data!I75</f>
        <v>4.1666444445629626E-3</v>
      </c>
      <c r="D4">
        <f>Data!J75</f>
        <v>4.1666444445629626E-3</v>
      </c>
      <c r="E4">
        <f>Data!K75</f>
        <v>4.1666444445629626E-3</v>
      </c>
      <c r="F4">
        <f>Data!L75</f>
        <v>4.1666444445629626E-3</v>
      </c>
      <c r="G4">
        <f>Data!M75</f>
        <v>4.1666444445629626E-3</v>
      </c>
      <c r="H4">
        <f>Data!N75</f>
        <v>4.1666444445629626E-3</v>
      </c>
      <c r="I4">
        <f>Data!O75</f>
        <v>4.1666444445629626E-3</v>
      </c>
      <c r="J4">
        <f>Data!P75</f>
        <v>4.1666444445629626E-3</v>
      </c>
      <c r="K4">
        <f>Data!Q75</f>
        <v>4.1666444445629626E-3</v>
      </c>
      <c r="L4">
        <f>Data!R75</f>
        <v>4.1666444445629626E-3</v>
      </c>
      <c r="M4">
        <f>Data!S75</f>
        <v>4.1666444445629626E-3</v>
      </c>
      <c r="N4">
        <f>Data!T75</f>
        <v>4.1666444445629626E-3</v>
      </c>
      <c r="O4">
        <f>Data!U75</f>
        <v>4.1666444445629626E-3</v>
      </c>
      <c r="P4">
        <f>Data!V75</f>
        <v>4.1666444445629626E-3</v>
      </c>
      <c r="Q4">
        <f>Data!W75</f>
        <v>4.1666444445629626E-3</v>
      </c>
      <c r="R4">
        <f>Data!X75</f>
        <v>4.1666444445629626E-3</v>
      </c>
      <c r="S4">
        <f>Data!Y75</f>
        <v>4.1666444445629626E-3</v>
      </c>
      <c r="T4">
        <f>Data!Z75</f>
        <v>4.1666444445629626E-3</v>
      </c>
      <c r="U4">
        <f>Data!AA75</f>
        <v>4.1666444445629626E-3</v>
      </c>
      <c r="V4">
        <f>Data!AB75</f>
        <v>4.1666444445629626E-3</v>
      </c>
      <c r="W4">
        <f>Data!AC75</f>
        <v>4.1666444445629626E-3</v>
      </c>
      <c r="X4">
        <f>Data!AD75</f>
        <v>4.1666444445629626E-3</v>
      </c>
      <c r="Y4">
        <f>Data!AE75</f>
        <v>4.1666444445629626E-3</v>
      </c>
      <c r="Z4">
        <f>Data!AF75</f>
        <v>4.1666444445629626E-3</v>
      </c>
      <c r="AA4">
        <f>Data!AG75</f>
        <v>4.1666444445629626E-3</v>
      </c>
      <c r="AB4">
        <f>Data!AH75</f>
        <v>4.1666444445629626E-3</v>
      </c>
      <c r="AC4">
        <f>Data!AI75</f>
        <v>4.1666444445629626E-3</v>
      </c>
      <c r="AD4">
        <f>Data!AJ75</f>
        <v>4.1666444445629626E-3</v>
      </c>
      <c r="AE4">
        <f>Data!AK75</f>
        <v>4.1666444445629626E-3</v>
      </c>
      <c r="AF4">
        <f>Data!AL75</f>
        <v>4.1666444445629626E-3</v>
      </c>
    </row>
    <row r="5" spans="1:32">
      <c r="A5" t="s">
        <v>4</v>
      </c>
      <c r="B5">
        <f>Data!H76</f>
        <v>1</v>
      </c>
      <c r="C5">
        <f>Data!I76</f>
        <v>1</v>
      </c>
      <c r="D5">
        <f>Data!J76</f>
        <v>1</v>
      </c>
      <c r="E5">
        <f>Data!K76</f>
        <v>1</v>
      </c>
      <c r="F5">
        <f>Data!L76</f>
        <v>1</v>
      </c>
      <c r="G5">
        <f>Data!M76</f>
        <v>1</v>
      </c>
      <c r="H5">
        <f>Data!N76</f>
        <v>1</v>
      </c>
      <c r="I5">
        <f>Data!O76</f>
        <v>1</v>
      </c>
      <c r="J5">
        <f>Data!P76</f>
        <v>1</v>
      </c>
      <c r="K5">
        <f>Data!Q76</f>
        <v>1</v>
      </c>
      <c r="L5">
        <f>Data!R76</f>
        <v>1</v>
      </c>
      <c r="M5">
        <f>Data!S76</f>
        <v>1</v>
      </c>
      <c r="N5">
        <f>Data!T76</f>
        <v>1</v>
      </c>
      <c r="O5">
        <f>Data!U76</f>
        <v>1</v>
      </c>
      <c r="P5">
        <f>Data!V76</f>
        <v>1</v>
      </c>
      <c r="Q5">
        <f>Data!W76</f>
        <v>1</v>
      </c>
      <c r="R5">
        <f>Data!X76</f>
        <v>1</v>
      </c>
      <c r="S5">
        <f>Data!Y76</f>
        <v>1</v>
      </c>
      <c r="T5">
        <f>Data!Z76</f>
        <v>1</v>
      </c>
      <c r="U5">
        <f>Data!AA76</f>
        <v>1</v>
      </c>
      <c r="V5">
        <f>Data!AB76</f>
        <v>1</v>
      </c>
      <c r="W5">
        <f>Data!AC76</f>
        <v>1</v>
      </c>
      <c r="X5">
        <f>Data!AD76</f>
        <v>1</v>
      </c>
      <c r="Y5">
        <f>Data!AE76</f>
        <v>1</v>
      </c>
      <c r="Z5">
        <f>Data!AF76</f>
        <v>1</v>
      </c>
      <c r="AA5">
        <f>Data!AG76</f>
        <v>1</v>
      </c>
      <c r="AB5">
        <f>Data!AH76</f>
        <v>1</v>
      </c>
      <c r="AC5">
        <f>Data!AI76</f>
        <v>1</v>
      </c>
      <c r="AD5">
        <f>Data!AJ76</f>
        <v>1</v>
      </c>
      <c r="AE5">
        <f>Data!AK76</f>
        <v>1</v>
      </c>
      <c r="AF5">
        <f>Data!AL76</f>
        <v>1</v>
      </c>
    </row>
    <row r="6" spans="1:32">
      <c r="A6" t="s">
        <v>5</v>
      </c>
      <c r="B6">
        <f>Data!H77</f>
        <v>0</v>
      </c>
      <c r="C6">
        <f>Data!I77</f>
        <v>0</v>
      </c>
      <c r="D6">
        <f>Data!J77</f>
        <v>0</v>
      </c>
      <c r="E6">
        <f>Data!K77</f>
        <v>0</v>
      </c>
      <c r="F6">
        <f>Data!L77</f>
        <v>0</v>
      </c>
      <c r="G6">
        <f>Data!M77</f>
        <v>0</v>
      </c>
      <c r="H6">
        <f>Data!N77</f>
        <v>0</v>
      </c>
      <c r="I6">
        <f>Data!O77</f>
        <v>0</v>
      </c>
      <c r="J6">
        <f>Data!P77</f>
        <v>0</v>
      </c>
      <c r="K6">
        <f>Data!Q77</f>
        <v>0</v>
      </c>
      <c r="L6">
        <f>Data!R77</f>
        <v>0</v>
      </c>
      <c r="M6">
        <f>Data!S77</f>
        <v>0</v>
      </c>
      <c r="N6">
        <f>Data!T77</f>
        <v>0</v>
      </c>
      <c r="O6">
        <f>Data!U77</f>
        <v>0</v>
      </c>
      <c r="P6">
        <f>Data!V77</f>
        <v>0</v>
      </c>
      <c r="Q6">
        <f>Data!W77</f>
        <v>0</v>
      </c>
      <c r="R6">
        <f>Data!X77</f>
        <v>0</v>
      </c>
      <c r="S6">
        <f>Data!Y77</f>
        <v>0</v>
      </c>
      <c r="T6">
        <f>Data!Z77</f>
        <v>0</v>
      </c>
      <c r="U6">
        <f>Data!AA77</f>
        <v>0</v>
      </c>
      <c r="V6">
        <f>Data!AB77</f>
        <v>0</v>
      </c>
      <c r="W6">
        <f>Data!AC77</f>
        <v>0</v>
      </c>
      <c r="X6">
        <f>Data!AD77</f>
        <v>0</v>
      </c>
      <c r="Y6">
        <f>Data!AE77</f>
        <v>0</v>
      </c>
      <c r="Z6">
        <f>Data!AF77</f>
        <v>0</v>
      </c>
      <c r="AA6">
        <f>Data!AG77</f>
        <v>0</v>
      </c>
      <c r="AB6">
        <f>Data!AH77</f>
        <v>0</v>
      </c>
      <c r="AC6">
        <f>Data!AI77</f>
        <v>0</v>
      </c>
      <c r="AD6">
        <f>Data!AJ77</f>
        <v>0</v>
      </c>
      <c r="AE6">
        <f>Data!AK77</f>
        <v>0</v>
      </c>
      <c r="AF6">
        <f>Data!AL77</f>
        <v>0</v>
      </c>
    </row>
    <row r="7" spans="1:32">
      <c r="A7" t="s">
        <v>78</v>
      </c>
      <c r="B7">
        <f>Data!H78</f>
        <v>1.6666577778251849E-3</v>
      </c>
      <c r="C7">
        <f>Data!I78</f>
        <v>1.6666577778251849E-3</v>
      </c>
      <c r="D7">
        <f>Data!J78</f>
        <v>1.6666577778251849E-3</v>
      </c>
      <c r="E7">
        <f>Data!K78</f>
        <v>1.6666577778251849E-3</v>
      </c>
      <c r="F7">
        <f>Data!L78</f>
        <v>1.6666577778251849E-3</v>
      </c>
      <c r="G7">
        <f>Data!M78</f>
        <v>1.6666577778251849E-3</v>
      </c>
      <c r="H7">
        <f>Data!N78</f>
        <v>1.6666577778251849E-3</v>
      </c>
      <c r="I7">
        <f>Data!O78</f>
        <v>1.6666577778251849E-3</v>
      </c>
      <c r="J7">
        <f>Data!P78</f>
        <v>1.6666577778251849E-3</v>
      </c>
      <c r="K7">
        <f>Data!Q78</f>
        <v>1.6666577778251849E-3</v>
      </c>
      <c r="L7">
        <f>Data!R78</f>
        <v>1.6666577778251849E-3</v>
      </c>
      <c r="M7">
        <f>Data!S78</f>
        <v>1.6666577778251849E-3</v>
      </c>
      <c r="N7">
        <f>Data!T78</f>
        <v>1.6666577778251849E-3</v>
      </c>
      <c r="O7">
        <f>Data!U78</f>
        <v>1.6666577778251849E-3</v>
      </c>
      <c r="P7">
        <f>Data!V78</f>
        <v>1.6666577778251849E-3</v>
      </c>
      <c r="Q7">
        <f>Data!W78</f>
        <v>1.6666577778251849E-3</v>
      </c>
      <c r="R7">
        <f>Data!X78</f>
        <v>1.6666577778251849E-3</v>
      </c>
      <c r="S7">
        <f>Data!Y78</f>
        <v>1.6666577778251849E-3</v>
      </c>
      <c r="T7">
        <f>Data!Z78</f>
        <v>1.6666577778251849E-3</v>
      </c>
      <c r="U7">
        <f>Data!AA78</f>
        <v>1.6666577778251849E-3</v>
      </c>
      <c r="V7">
        <f>Data!AB78</f>
        <v>1.6666577778251849E-3</v>
      </c>
      <c r="W7">
        <f>Data!AC78</f>
        <v>1.6666577778251849E-3</v>
      </c>
      <c r="X7">
        <f>Data!AD78</f>
        <v>1.6666577778251849E-3</v>
      </c>
      <c r="Y7">
        <f>Data!AE78</f>
        <v>1.6666577778251849E-3</v>
      </c>
      <c r="Z7">
        <f>Data!AF78</f>
        <v>1.6666577778251849E-3</v>
      </c>
      <c r="AA7">
        <f>Data!AG78</f>
        <v>1.6666577778251849E-3</v>
      </c>
      <c r="AB7">
        <f>Data!AH78</f>
        <v>1.6666577778251849E-3</v>
      </c>
      <c r="AC7">
        <f>Data!AI78</f>
        <v>1.6666577778251849E-3</v>
      </c>
      <c r="AD7">
        <f>Data!AJ78</f>
        <v>1.6666577778251849E-3</v>
      </c>
      <c r="AE7">
        <f>Data!AK78</f>
        <v>1.6666577778251849E-3</v>
      </c>
      <c r="AF7">
        <f>Data!AL78</f>
        <v>1.6666577778251849E-3</v>
      </c>
    </row>
    <row r="8" spans="1:32">
      <c r="A8" t="s">
        <v>79</v>
      </c>
      <c r="B8">
        <f>Data!H79</f>
        <v>0</v>
      </c>
      <c r="C8">
        <f>Data!I79</f>
        <v>0</v>
      </c>
      <c r="D8">
        <f>Data!J79</f>
        <v>0</v>
      </c>
      <c r="E8">
        <f>Data!K79</f>
        <v>0</v>
      </c>
      <c r="F8">
        <f>Data!L79</f>
        <v>0</v>
      </c>
      <c r="G8">
        <f>Data!M79</f>
        <v>0</v>
      </c>
      <c r="H8">
        <f>Data!N79</f>
        <v>0</v>
      </c>
      <c r="I8">
        <f>Data!O79</f>
        <v>0</v>
      </c>
      <c r="J8">
        <f>Data!P79</f>
        <v>0</v>
      </c>
      <c r="K8">
        <f>Data!Q79</f>
        <v>0</v>
      </c>
      <c r="L8">
        <f>Data!R79</f>
        <v>0</v>
      </c>
      <c r="M8">
        <f>Data!S79</f>
        <v>0</v>
      </c>
      <c r="N8">
        <f>Data!T79</f>
        <v>0</v>
      </c>
      <c r="O8">
        <f>Data!U79</f>
        <v>0</v>
      </c>
      <c r="P8">
        <f>Data!V79</f>
        <v>0</v>
      </c>
      <c r="Q8">
        <f>Data!W79</f>
        <v>0</v>
      </c>
      <c r="R8">
        <f>Data!X79</f>
        <v>0</v>
      </c>
      <c r="S8">
        <f>Data!Y79</f>
        <v>0</v>
      </c>
      <c r="T8">
        <f>Data!Z79</f>
        <v>0</v>
      </c>
      <c r="U8">
        <f>Data!AA79</f>
        <v>0</v>
      </c>
      <c r="V8">
        <f>Data!AB79</f>
        <v>0</v>
      </c>
      <c r="W8">
        <f>Data!AC79</f>
        <v>0</v>
      </c>
      <c r="X8">
        <f>Data!AD79</f>
        <v>0</v>
      </c>
      <c r="Y8">
        <f>Data!AE79</f>
        <v>0</v>
      </c>
      <c r="Z8">
        <f>Data!AF79</f>
        <v>0</v>
      </c>
      <c r="AA8">
        <f>Data!AG79</f>
        <v>0</v>
      </c>
      <c r="AB8">
        <f>Data!AH79</f>
        <v>0</v>
      </c>
      <c r="AC8">
        <f>Data!AI79</f>
        <v>0</v>
      </c>
      <c r="AD8">
        <f>Data!AJ79</f>
        <v>0</v>
      </c>
      <c r="AE8">
        <f>Data!AK79</f>
        <v>0</v>
      </c>
      <c r="AF8">
        <f>Data!AL79</f>
        <v>0</v>
      </c>
    </row>
  </sheetData>
  <phoneticPr fontId="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F8"/>
  <sheetViews>
    <sheetView workbookViewId="0">
      <selection activeCell="C2" sqref="C2"/>
    </sheetView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Data!H80</f>
        <v>0</v>
      </c>
      <c r="C2">
        <f>Data!I80</f>
        <v>1.4774031693273055E-2</v>
      </c>
      <c r="D2">
        <f>Data!J80</f>
        <v>1.984030573407751E-2</v>
      </c>
      <c r="E2">
        <f>Data!K80</f>
        <v>2.6596993576865863E-2</v>
      </c>
      <c r="F2">
        <f>Data!L80</f>
        <v>3.5571189272636181E-2</v>
      </c>
      <c r="G2">
        <f>Data!M80</f>
        <v>4.7425873177566781E-2</v>
      </c>
      <c r="H2">
        <f>Data!N80</f>
        <v>6.2973356056996513E-2</v>
      </c>
      <c r="I2">
        <f>Data!O80</f>
        <v>8.317269649392238E-2</v>
      </c>
      <c r="J2">
        <f>Data!P80</f>
        <v>0.10909682119561293</v>
      </c>
      <c r="K2">
        <f>Data!Q80</f>
        <v>0.14185106490048782</v>
      </c>
      <c r="L2">
        <f>Data!R80</f>
        <v>0.18242552380635635</v>
      </c>
      <c r="M2">
        <f>Data!S80</f>
        <v>0.23147521650098238</v>
      </c>
      <c r="N2">
        <f>Data!T80</f>
        <v>0.28905049737499605</v>
      </c>
      <c r="O2">
        <f>Data!U80</f>
        <v>0.35434369377420455</v>
      </c>
      <c r="P2">
        <f>Data!V80</f>
        <v>0.42555748318834102</v>
      </c>
      <c r="Q2">
        <f>Data!W80</f>
        <v>0.5</v>
      </c>
      <c r="R2">
        <f>Data!X80</f>
        <v>0.57444251681165903</v>
      </c>
      <c r="S2">
        <f>Data!Y80</f>
        <v>0.6456563062257954</v>
      </c>
      <c r="T2">
        <f>Data!Z80</f>
        <v>0.71094950262500389</v>
      </c>
      <c r="U2">
        <f>Data!AA80</f>
        <v>0.76852478349901754</v>
      </c>
      <c r="V2">
        <f>Data!AB80</f>
        <v>0.81757447619364365</v>
      </c>
      <c r="W2">
        <f>Data!AC80</f>
        <v>0.85814893509951229</v>
      </c>
      <c r="X2">
        <f>Data!AD80</f>
        <v>0.89090317880438707</v>
      </c>
      <c r="Y2">
        <f>Data!AE80</f>
        <v>0.91682730350607766</v>
      </c>
      <c r="Z2">
        <f>Data!AF80</f>
        <v>0.9370266439430035</v>
      </c>
      <c r="AA2">
        <f>Data!AG80</f>
        <v>0.95257412682243336</v>
      </c>
      <c r="AB2">
        <f>Data!AH80</f>
        <v>0.96442881072736386</v>
      </c>
      <c r="AC2">
        <f>Data!AI80</f>
        <v>0.97340300642313404</v>
      </c>
      <c r="AD2">
        <f>Data!AJ80</f>
        <v>0.98015969426592253</v>
      </c>
      <c r="AE2">
        <f>Data!AK80</f>
        <v>0.98522596830672693</v>
      </c>
      <c r="AF2">
        <f>Data!AL80</f>
        <v>0.98901305736940681</v>
      </c>
    </row>
    <row r="3" spans="1:32">
      <c r="A3" t="s">
        <v>2</v>
      </c>
      <c r="B3">
        <f>Data!H81</f>
        <v>0</v>
      </c>
      <c r="C3">
        <f>Data!I81</f>
        <v>0</v>
      </c>
      <c r="D3">
        <f>Data!J81</f>
        <v>0</v>
      </c>
      <c r="E3">
        <f>Data!K81</f>
        <v>0</v>
      </c>
      <c r="F3">
        <f>Data!L81</f>
        <v>0</v>
      </c>
      <c r="G3">
        <f>Data!M81</f>
        <v>0</v>
      </c>
      <c r="H3">
        <f>Data!N81</f>
        <v>0</v>
      </c>
      <c r="I3">
        <f>Data!O81</f>
        <v>0</v>
      </c>
      <c r="J3">
        <f>Data!P81</f>
        <v>0</v>
      </c>
      <c r="K3">
        <f>Data!Q81</f>
        <v>0</v>
      </c>
      <c r="L3">
        <f>Data!R81</f>
        <v>0</v>
      </c>
      <c r="M3">
        <f>Data!S81</f>
        <v>0</v>
      </c>
      <c r="N3">
        <f>Data!T81</f>
        <v>0</v>
      </c>
      <c r="O3">
        <f>Data!U81</f>
        <v>0</v>
      </c>
      <c r="P3">
        <f>Data!V81</f>
        <v>0</v>
      </c>
      <c r="Q3">
        <f>Data!W81</f>
        <v>0</v>
      </c>
      <c r="R3">
        <f>Data!X81</f>
        <v>0</v>
      </c>
      <c r="S3">
        <f>Data!Y81</f>
        <v>0</v>
      </c>
      <c r="T3">
        <f>Data!Z81</f>
        <v>0</v>
      </c>
      <c r="U3">
        <f>Data!AA81</f>
        <v>0</v>
      </c>
      <c r="V3">
        <f>Data!AB81</f>
        <v>0</v>
      </c>
      <c r="W3">
        <f>Data!AC81</f>
        <v>0</v>
      </c>
      <c r="X3">
        <f>Data!AD81</f>
        <v>0</v>
      </c>
      <c r="Y3">
        <f>Data!AE81</f>
        <v>0</v>
      </c>
      <c r="Z3">
        <f>Data!AF81</f>
        <v>0</v>
      </c>
      <c r="AA3">
        <f>Data!AG81</f>
        <v>0</v>
      </c>
      <c r="AB3">
        <f>Data!AH81</f>
        <v>0</v>
      </c>
      <c r="AC3">
        <f>Data!AI81</f>
        <v>0</v>
      </c>
      <c r="AD3">
        <f>Data!AJ81</f>
        <v>0</v>
      </c>
      <c r="AE3">
        <f>Data!AK81</f>
        <v>0</v>
      </c>
      <c r="AF3">
        <f>Data!AL81</f>
        <v>0</v>
      </c>
    </row>
    <row r="4" spans="1:32">
      <c r="A4" t="s">
        <v>3</v>
      </c>
      <c r="B4">
        <f>Data!H82</f>
        <v>3</v>
      </c>
      <c r="C4">
        <f>Data!I82</f>
        <v>3</v>
      </c>
      <c r="D4">
        <f>Data!J82</f>
        <v>3</v>
      </c>
      <c r="E4">
        <f>Data!K82</f>
        <v>3</v>
      </c>
      <c r="F4">
        <f>Data!L82</f>
        <v>3</v>
      </c>
      <c r="G4">
        <f>Data!M82</f>
        <v>3</v>
      </c>
      <c r="H4">
        <f>Data!N82</f>
        <v>3</v>
      </c>
      <c r="I4">
        <f>Data!O82</f>
        <v>3</v>
      </c>
      <c r="J4">
        <f>Data!P82</f>
        <v>3</v>
      </c>
      <c r="K4">
        <f>Data!Q82</f>
        <v>3</v>
      </c>
      <c r="L4">
        <f>Data!R82</f>
        <v>3</v>
      </c>
      <c r="M4">
        <f>Data!S82</f>
        <v>3</v>
      </c>
      <c r="N4">
        <f>Data!T82</f>
        <v>3</v>
      </c>
      <c r="O4">
        <f>Data!U82</f>
        <v>3</v>
      </c>
      <c r="P4">
        <f>Data!V82</f>
        <v>3</v>
      </c>
      <c r="Q4">
        <f>Data!W82</f>
        <v>3</v>
      </c>
      <c r="R4">
        <f>Data!X82</f>
        <v>3</v>
      </c>
      <c r="S4">
        <f>Data!Y82</f>
        <v>3</v>
      </c>
      <c r="T4">
        <f>Data!Z82</f>
        <v>3</v>
      </c>
      <c r="U4">
        <f>Data!AA82</f>
        <v>3</v>
      </c>
      <c r="V4">
        <f>Data!AB82</f>
        <v>3</v>
      </c>
      <c r="W4">
        <f>Data!AC82</f>
        <v>3</v>
      </c>
      <c r="X4">
        <f>Data!AD82</f>
        <v>3</v>
      </c>
      <c r="Y4">
        <f>Data!AE82</f>
        <v>3</v>
      </c>
      <c r="Z4">
        <f>Data!AF82</f>
        <v>3</v>
      </c>
      <c r="AA4">
        <f>Data!AG82</f>
        <v>3</v>
      </c>
      <c r="AB4">
        <f>Data!AH82</f>
        <v>3</v>
      </c>
      <c r="AC4">
        <f>Data!AI82</f>
        <v>3</v>
      </c>
      <c r="AD4">
        <f>Data!AJ82</f>
        <v>3</v>
      </c>
      <c r="AE4">
        <f>Data!AK82</f>
        <v>3</v>
      </c>
      <c r="AF4">
        <f>Data!AL82</f>
        <v>3</v>
      </c>
    </row>
    <row r="5" spans="1:32">
      <c r="A5" t="s">
        <v>4</v>
      </c>
      <c r="B5">
        <f>Data!H83</f>
        <v>0</v>
      </c>
      <c r="C5">
        <f>Data!I83</f>
        <v>0</v>
      </c>
      <c r="D5">
        <f>Data!J83</f>
        <v>0</v>
      </c>
      <c r="E5">
        <f>Data!K83</f>
        <v>0</v>
      </c>
      <c r="F5">
        <f>Data!L83</f>
        <v>0</v>
      </c>
      <c r="G5">
        <f>Data!M83</f>
        <v>0</v>
      </c>
      <c r="H5">
        <f>Data!N83</f>
        <v>0</v>
      </c>
      <c r="I5">
        <f>Data!O83</f>
        <v>0</v>
      </c>
      <c r="J5">
        <f>Data!P83</f>
        <v>0</v>
      </c>
      <c r="K5">
        <f>Data!Q83</f>
        <v>0</v>
      </c>
      <c r="L5">
        <f>Data!R83</f>
        <v>0</v>
      </c>
      <c r="M5">
        <f>Data!S83</f>
        <v>0</v>
      </c>
      <c r="N5">
        <f>Data!T83</f>
        <v>0</v>
      </c>
      <c r="O5">
        <f>Data!U83</f>
        <v>0</v>
      </c>
      <c r="P5">
        <f>Data!V83</f>
        <v>0</v>
      </c>
      <c r="Q5">
        <f>Data!W83</f>
        <v>0</v>
      </c>
      <c r="R5">
        <f>Data!X83</f>
        <v>0</v>
      </c>
      <c r="S5">
        <f>Data!Y83</f>
        <v>0</v>
      </c>
      <c r="T5">
        <f>Data!Z83</f>
        <v>0</v>
      </c>
      <c r="U5">
        <f>Data!AA83</f>
        <v>0</v>
      </c>
      <c r="V5">
        <f>Data!AB83</f>
        <v>0</v>
      </c>
      <c r="W5">
        <f>Data!AC83</f>
        <v>0</v>
      </c>
      <c r="X5">
        <f>Data!AD83</f>
        <v>0</v>
      </c>
      <c r="Y5">
        <f>Data!AE83</f>
        <v>0</v>
      </c>
      <c r="Z5">
        <f>Data!AF83</f>
        <v>0</v>
      </c>
      <c r="AA5">
        <f>Data!AG83</f>
        <v>0</v>
      </c>
      <c r="AB5">
        <f>Data!AH83</f>
        <v>0</v>
      </c>
      <c r="AC5">
        <f>Data!AI83</f>
        <v>0</v>
      </c>
      <c r="AD5">
        <f>Data!AJ83</f>
        <v>0</v>
      </c>
      <c r="AE5">
        <f>Data!AK83</f>
        <v>0</v>
      </c>
      <c r="AF5">
        <f>Data!AL83</f>
        <v>0</v>
      </c>
    </row>
    <row r="6" spans="1:32">
      <c r="A6" t="s">
        <v>5</v>
      </c>
      <c r="B6">
        <f>Data!H84</f>
        <v>0</v>
      </c>
      <c r="C6">
        <f>Data!I84</f>
        <v>0</v>
      </c>
      <c r="D6">
        <f>Data!J84</f>
        <v>0</v>
      </c>
      <c r="E6">
        <f>Data!K84</f>
        <v>0</v>
      </c>
      <c r="F6">
        <f>Data!L84</f>
        <v>0</v>
      </c>
      <c r="G6">
        <f>Data!M84</f>
        <v>0</v>
      </c>
      <c r="H6">
        <f>Data!N84</f>
        <v>0</v>
      </c>
      <c r="I6">
        <f>Data!O84</f>
        <v>0</v>
      </c>
      <c r="J6">
        <f>Data!P84</f>
        <v>0</v>
      </c>
      <c r="K6">
        <f>Data!Q84</f>
        <v>0</v>
      </c>
      <c r="L6">
        <f>Data!R84</f>
        <v>0</v>
      </c>
      <c r="M6">
        <f>Data!S84</f>
        <v>0</v>
      </c>
      <c r="N6">
        <f>Data!T84</f>
        <v>0</v>
      </c>
      <c r="O6">
        <f>Data!U84</f>
        <v>0</v>
      </c>
      <c r="P6">
        <f>Data!V84</f>
        <v>0</v>
      </c>
      <c r="Q6">
        <f>Data!W84</f>
        <v>0</v>
      </c>
      <c r="R6">
        <f>Data!X84</f>
        <v>0</v>
      </c>
      <c r="S6">
        <f>Data!Y84</f>
        <v>0</v>
      </c>
      <c r="T6">
        <f>Data!Z84</f>
        <v>0</v>
      </c>
      <c r="U6">
        <f>Data!AA84</f>
        <v>0</v>
      </c>
      <c r="V6">
        <f>Data!AB84</f>
        <v>0</v>
      </c>
      <c r="W6">
        <f>Data!AC84</f>
        <v>0</v>
      </c>
      <c r="X6">
        <f>Data!AD84</f>
        <v>0</v>
      </c>
      <c r="Y6">
        <f>Data!AE84</f>
        <v>0</v>
      </c>
      <c r="Z6">
        <f>Data!AF84</f>
        <v>0</v>
      </c>
      <c r="AA6">
        <f>Data!AG84</f>
        <v>0</v>
      </c>
      <c r="AB6">
        <f>Data!AH84</f>
        <v>0</v>
      </c>
      <c r="AC6">
        <f>Data!AI84</f>
        <v>0</v>
      </c>
      <c r="AD6">
        <f>Data!AJ84</f>
        <v>0</v>
      </c>
      <c r="AE6">
        <f>Data!AK84</f>
        <v>0</v>
      </c>
      <c r="AF6">
        <f>Data!AL84</f>
        <v>0</v>
      </c>
    </row>
    <row r="7" spans="1:32">
      <c r="A7" t="s">
        <v>78</v>
      </c>
      <c r="B7">
        <f>Data!H85</f>
        <v>0</v>
      </c>
      <c r="C7">
        <f>Data!I85</f>
        <v>0</v>
      </c>
      <c r="D7">
        <f>Data!J85</f>
        <v>0</v>
      </c>
      <c r="E7">
        <f>Data!K85</f>
        <v>0</v>
      </c>
      <c r="F7">
        <f>Data!L85</f>
        <v>0</v>
      </c>
      <c r="G7">
        <f>Data!M85</f>
        <v>0</v>
      </c>
      <c r="H7">
        <f>Data!N85</f>
        <v>0</v>
      </c>
      <c r="I7">
        <f>Data!O85</f>
        <v>0</v>
      </c>
      <c r="J7">
        <f>Data!P85</f>
        <v>0</v>
      </c>
      <c r="K7">
        <f>Data!Q85</f>
        <v>0</v>
      </c>
      <c r="L7">
        <f>Data!R85</f>
        <v>0</v>
      </c>
      <c r="M7">
        <f>Data!S85</f>
        <v>0</v>
      </c>
      <c r="N7">
        <f>Data!T85</f>
        <v>0</v>
      </c>
      <c r="O7">
        <f>Data!U85</f>
        <v>0</v>
      </c>
      <c r="P7">
        <f>Data!V85</f>
        <v>0</v>
      </c>
      <c r="Q7">
        <f>Data!W85</f>
        <v>0</v>
      </c>
      <c r="R7">
        <f>Data!X85</f>
        <v>0</v>
      </c>
      <c r="S7">
        <f>Data!Y85</f>
        <v>0</v>
      </c>
      <c r="T7">
        <f>Data!Z85</f>
        <v>0</v>
      </c>
      <c r="U7">
        <f>Data!AA85</f>
        <v>0</v>
      </c>
      <c r="V7">
        <f>Data!AB85</f>
        <v>0</v>
      </c>
      <c r="W7">
        <f>Data!AC85</f>
        <v>0</v>
      </c>
      <c r="X7">
        <f>Data!AD85</f>
        <v>0</v>
      </c>
      <c r="Y7">
        <f>Data!AE85</f>
        <v>0</v>
      </c>
      <c r="Z7">
        <f>Data!AF85</f>
        <v>0</v>
      </c>
      <c r="AA7">
        <f>Data!AG85</f>
        <v>0</v>
      </c>
      <c r="AB7">
        <f>Data!AH85</f>
        <v>0</v>
      </c>
      <c r="AC7">
        <f>Data!AI85</f>
        <v>0</v>
      </c>
      <c r="AD7">
        <f>Data!AJ85</f>
        <v>0</v>
      </c>
      <c r="AE7">
        <f>Data!AK85</f>
        <v>0</v>
      </c>
      <c r="AF7">
        <f>Data!AL85</f>
        <v>0</v>
      </c>
    </row>
    <row r="8" spans="1:32">
      <c r="A8" t="s">
        <v>79</v>
      </c>
      <c r="B8">
        <f>Data!H86</f>
        <v>0</v>
      </c>
      <c r="C8">
        <f>Data!I86</f>
        <v>0</v>
      </c>
      <c r="D8">
        <f>Data!J86</f>
        <v>0</v>
      </c>
      <c r="E8">
        <f>Data!K86</f>
        <v>0</v>
      </c>
      <c r="F8">
        <f>Data!L86</f>
        <v>0</v>
      </c>
      <c r="G8">
        <f>Data!M86</f>
        <v>0</v>
      </c>
      <c r="H8">
        <f>Data!N86</f>
        <v>0</v>
      </c>
      <c r="I8">
        <f>Data!O86</f>
        <v>0</v>
      </c>
      <c r="J8">
        <f>Data!P86</f>
        <v>0</v>
      </c>
      <c r="K8">
        <f>Data!Q86</f>
        <v>0</v>
      </c>
      <c r="L8">
        <f>Data!R86</f>
        <v>0</v>
      </c>
      <c r="M8">
        <f>Data!S86</f>
        <v>0</v>
      </c>
      <c r="N8">
        <f>Data!T86</f>
        <v>0</v>
      </c>
      <c r="O8">
        <f>Data!U86</f>
        <v>0</v>
      </c>
      <c r="P8">
        <f>Data!V86</f>
        <v>0</v>
      </c>
      <c r="Q8">
        <f>Data!W86</f>
        <v>0</v>
      </c>
      <c r="R8">
        <f>Data!X86</f>
        <v>0</v>
      </c>
      <c r="S8">
        <f>Data!Y86</f>
        <v>0</v>
      </c>
      <c r="T8">
        <f>Data!Z86</f>
        <v>0</v>
      </c>
      <c r="U8">
        <f>Data!AA86</f>
        <v>0</v>
      </c>
      <c r="V8">
        <f>Data!AB86</f>
        <v>0</v>
      </c>
      <c r="W8">
        <f>Data!AC86</f>
        <v>0</v>
      </c>
      <c r="X8">
        <f>Data!AD86</f>
        <v>0</v>
      </c>
      <c r="Y8">
        <f>Data!AE86</f>
        <v>0</v>
      </c>
      <c r="Z8">
        <f>Data!AF86</f>
        <v>0</v>
      </c>
      <c r="AA8">
        <f>Data!AG86</f>
        <v>0</v>
      </c>
      <c r="AB8">
        <f>Data!AH86</f>
        <v>0</v>
      </c>
      <c r="AC8">
        <f>Data!AI86</f>
        <v>0</v>
      </c>
      <c r="AD8">
        <f>Data!AJ86</f>
        <v>0</v>
      </c>
      <c r="AE8">
        <f>Data!AK86</f>
        <v>0</v>
      </c>
      <c r="AF8">
        <f>Data!AL86</f>
        <v>0</v>
      </c>
    </row>
  </sheetData>
  <phoneticPr fontId="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F8"/>
  <sheetViews>
    <sheetView topLeftCell="E1" workbookViewId="0">
      <selection activeCell="O33" sqref="O33"/>
    </sheetView>
  </sheetViews>
  <sheetFormatPr defaultColWidth="9.140625" defaultRowHeight="15"/>
  <cols>
    <col min="1" max="1" width="24.42578125" customWidth="1"/>
  </cols>
  <sheetData>
    <row r="1" spans="1:32" ht="45">
      <c r="A1" s="23" t="s">
        <v>80</v>
      </c>
      <c r="B1">
        <f>Data!H9</f>
        <v>2020</v>
      </c>
      <c r="C1">
        <f>Data!I9</f>
        <v>2021</v>
      </c>
      <c r="D1">
        <f>Data!J9</f>
        <v>2022</v>
      </c>
      <c r="E1">
        <f>Data!K9</f>
        <v>2023</v>
      </c>
      <c r="F1">
        <f>Data!L9</f>
        <v>2024</v>
      </c>
      <c r="G1">
        <f>Data!M9</f>
        <v>2025</v>
      </c>
      <c r="H1">
        <f>Data!N9</f>
        <v>2026</v>
      </c>
      <c r="I1">
        <f>Data!O9</f>
        <v>2027</v>
      </c>
      <c r="J1">
        <f>Data!P9</f>
        <v>2028</v>
      </c>
      <c r="K1">
        <f>Data!Q9</f>
        <v>2029</v>
      </c>
      <c r="L1">
        <f>Data!R9</f>
        <v>2030</v>
      </c>
      <c r="M1">
        <f>Data!S9</f>
        <v>2031</v>
      </c>
      <c r="N1">
        <f>Data!T9</f>
        <v>2032</v>
      </c>
      <c r="O1">
        <f>Data!U9</f>
        <v>2033</v>
      </c>
      <c r="P1">
        <f>Data!V9</f>
        <v>2034</v>
      </c>
      <c r="Q1">
        <f>Data!W9</f>
        <v>2035</v>
      </c>
      <c r="R1">
        <f>Data!X9</f>
        <v>2036</v>
      </c>
      <c r="S1">
        <f>Data!Y9</f>
        <v>2037</v>
      </c>
      <c r="T1">
        <f>Data!Z9</f>
        <v>2038</v>
      </c>
      <c r="U1">
        <f>Data!AA9</f>
        <v>2039</v>
      </c>
      <c r="V1">
        <f>Data!AB9</f>
        <v>2040</v>
      </c>
      <c r="W1">
        <f>Data!AC9</f>
        <v>2041</v>
      </c>
      <c r="X1">
        <f>Data!AD9</f>
        <v>2042</v>
      </c>
      <c r="Y1">
        <f>Data!AE9</f>
        <v>2043</v>
      </c>
      <c r="Z1">
        <f>Data!AF9</f>
        <v>2044</v>
      </c>
      <c r="AA1">
        <f>Data!AG9</f>
        <v>2045</v>
      </c>
      <c r="AB1">
        <f>Data!AH9</f>
        <v>2046</v>
      </c>
      <c r="AC1">
        <f>Data!AI9</f>
        <v>2047</v>
      </c>
      <c r="AD1">
        <f>Data!AJ9</f>
        <v>2048</v>
      </c>
      <c r="AE1">
        <f>Data!AK9</f>
        <v>2049</v>
      </c>
      <c r="AF1">
        <f>Data!AL9</f>
        <v>2050</v>
      </c>
    </row>
    <row r="2" spans="1:32">
      <c r="A2" t="s">
        <v>1</v>
      </c>
      <c r="B2">
        <f>Data!H87</f>
        <v>0</v>
      </c>
      <c r="C2">
        <f>Data!I87</f>
        <v>1.4774031693273055E-2</v>
      </c>
      <c r="D2">
        <f>Data!J87</f>
        <v>1.984030573407751E-2</v>
      </c>
      <c r="E2">
        <f>Data!K87</f>
        <v>2.6596993576865863E-2</v>
      </c>
      <c r="F2">
        <f>Data!L87</f>
        <v>3.5571189272636181E-2</v>
      </c>
      <c r="G2">
        <f>Data!M87</f>
        <v>4.7425873177566781E-2</v>
      </c>
      <c r="H2">
        <f>Data!N87</f>
        <v>6.2973356056996513E-2</v>
      </c>
      <c r="I2">
        <f>Data!O87</f>
        <v>8.317269649392238E-2</v>
      </c>
      <c r="J2">
        <f>Data!P87</f>
        <v>0.10909682119561293</v>
      </c>
      <c r="K2">
        <f>Data!Q87</f>
        <v>0.14185106490048782</v>
      </c>
      <c r="L2">
        <f>Data!R87</f>
        <v>0.18242552380635635</v>
      </c>
      <c r="M2">
        <f>Data!S87</f>
        <v>0.23147521650098238</v>
      </c>
      <c r="N2">
        <f>Data!T87</f>
        <v>0.28905049737499605</v>
      </c>
      <c r="O2">
        <f>Data!U87</f>
        <v>0.35434369377420455</v>
      </c>
      <c r="P2">
        <f>Data!V87</f>
        <v>0.42555748318834102</v>
      </c>
      <c r="Q2">
        <f>Data!W87</f>
        <v>0.5</v>
      </c>
      <c r="R2">
        <f>Data!X87</f>
        <v>0.57444251681165903</v>
      </c>
      <c r="S2">
        <f>Data!Y87</f>
        <v>0.6456563062257954</v>
      </c>
      <c r="T2">
        <f>Data!Z87</f>
        <v>0.71094950262500389</v>
      </c>
      <c r="U2">
        <f>Data!AA87</f>
        <v>0.76852478349901754</v>
      </c>
      <c r="V2">
        <f>Data!AB87</f>
        <v>0.81757447619364365</v>
      </c>
      <c r="W2">
        <f>Data!AC87</f>
        <v>0.85814893509951229</v>
      </c>
      <c r="X2">
        <f>Data!AD87</f>
        <v>0.89090317880438707</v>
      </c>
      <c r="Y2">
        <f>Data!AE87</f>
        <v>0.91682730350607766</v>
      </c>
      <c r="Z2">
        <f>Data!AF87</f>
        <v>0.9370266439430035</v>
      </c>
      <c r="AA2">
        <f>Data!AG87</f>
        <v>0.95257412682243336</v>
      </c>
      <c r="AB2">
        <f>Data!AH87</f>
        <v>0.96442881072736386</v>
      </c>
      <c r="AC2">
        <f>Data!AI87</f>
        <v>0.97340300642313404</v>
      </c>
      <c r="AD2">
        <f>Data!AJ87</f>
        <v>0.98015969426592253</v>
      </c>
      <c r="AE2">
        <f>Data!AK87</f>
        <v>0.98522596830672693</v>
      </c>
      <c r="AF2">
        <f>Data!AL87</f>
        <v>0.98901305736940681</v>
      </c>
    </row>
    <row r="3" spans="1:32">
      <c r="A3" t="s">
        <v>2</v>
      </c>
      <c r="B3">
        <f>Data!H88</f>
        <v>0</v>
      </c>
      <c r="C3">
        <f>Data!I88</f>
        <v>0</v>
      </c>
      <c r="D3">
        <f>Data!J88</f>
        <v>0</v>
      </c>
      <c r="E3">
        <f>Data!K88</f>
        <v>0</v>
      </c>
      <c r="F3">
        <f>Data!L88</f>
        <v>0</v>
      </c>
      <c r="G3">
        <f>Data!M88</f>
        <v>0</v>
      </c>
      <c r="H3">
        <f>Data!N88</f>
        <v>0</v>
      </c>
      <c r="I3">
        <f>Data!O88</f>
        <v>0</v>
      </c>
      <c r="J3">
        <f>Data!P88</f>
        <v>0</v>
      </c>
      <c r="K3">
        <f>Data!Q88</f>
        <v>0</v>
      </c>
      <c r="L3">
        <f>Data!R88</f>
        <v>0</v>
      </c>
      <c r="M3">
        <f>Data!S88</f>
        <v>0</v>
      </c>
      <c r="N3">
        <f>Data!T88</f>
        <v>0</v>
      </c>
      <c r="O3">
        <f>Data!U88</f>
        <v>0</v>
      </c>
      <c r="P3">
        <f>Data!V88</f>
        <v>0</v>
      </c>
      <c r="Q3">
        <f>Data!W88</f>
        <v>0</v>
      </c>
      <c r="R3">
        <f>Data!X88</f>
        <v>0</v>
      </c>
      <c r="S3">
        <f>Data!Y88</f>
        <v>0</v>
      </c>
      <c r="T3">
        <f>Data!Z88</f>
        <v>0</v>
      </c>
      <c r="U3">
        <f>Data!AA88</f>
        <v>0</v>
      </c>
      <c r="V3">
        <f>Data!AB88</f>
        <v>0</v>
      </c>
      <c r="W3">
        <f>Data!AC88</f>
        <v>0</v>
      </c>
      <c r="X3">
        <f>Data!AD88</f>
        <v>0</v>
      </c>
      <c r="Y3">
        <f>Data!AE88</f>
        <v>0</v>
      </c>
      <c r="Z3">
        <f>Data!AF88</f>
        <v>0</v>
      </c>
      <c r="AA3">
        <f>Data!AG88</f>
        <v>0</v>
      </c>
      <c r="AB3">
        <f>Data!AH88</f>
        <v>0</v>
      </c>
      <c r="AC3">
        <f>Data!AI88</f>
        <v>0</v>
      </c>
      <c r="AD3">
        <f>Data!AJ88</f>
        <v>0</v>
      </c>
      <c r="AE3">
        <f>Data!AK88</f>
        <v>0</v>
      </c>
      <c r="AF3">
        <f>Data!AL88</f>
        <v>0</v>
      </c>
    </row>
    <row r="4" spans="1:32">
      <c r="A4" t="s">
        <v>3</v>
      </c>
      <c r="B4">
        <f>Data!H89</f>
        <v>3</v>
      </c>
      <c r="C4">
        <f>Data!I89</f>
        <v>3</v>
      </c>
      <c r="D4">
        <f>Data!J89</f>
        <v>3</v>
      </c>
      <c r="E4">
        <f>Data!K89</f>
        <v>3</v>
      </c>
      <c r="F4">
        <f>Data!L89</f>
        <v>3</v>
      </c>
      <c r="G4">
        <f>Data!M89</f>
        <v>3</v>
      </c>
      <c r="H4">
        <f>Data!N89</f>
        <v>3</v>
      </c>
      <c r="I4">
        <f>Data!O89</f>
        <v>3</v>
      </c>
      <c r="J4">
        <f>Data!P89</f>
        <v>3</v>
      </c>
      <c r="K4">
        <f>Data!Q89</f>
        <v>3</v>
      </c>
      <c r="L4">
        <f>Data!R89</f>
        <v>3</v>
      </c>
      <c r="M4">
        <f>Data!S89</f>
        <v>3</v>
      </c>
      <c r="N4">
        <f>Data!T89</f>
        <v>3</v>
      </c>
      <c r="O4">
        <f>Data!U89</f>
        <v>3</v>
      </c>
      <c r="P4">
        <f>Data!V89</f>
        <v>3</v>
      </c>
      <c r="Q4">
        <f>Data!W89</f>
        <v>3</v>
      </c>
      <c r="R4">
        <f>Data!X89</f>
        <v>3</v>
      </c>
      <c r="S4">
        <f>Data!Y89</f>
        <v>3</v>
      </c>
      <c r="T4">
        <f>Data!Z89</f>
        <v>3</v>
      </c>
      <c r="U4">
        <f>Data!AA89</f>
        <v>3</v>
      </c>
      <c r="V4">
        <f>Data!AB89</f>
        <v>3</v>
      </c>
      <c r="W4">
        <f>Data!AC89</f>
        <v>3</v>
      </c>
      <c r="X4">
        <f>Data!AD89</f>
        <v>3</v>
      </c>
      <c r="Y4">
        <f>Data!AE89</f>
        <v>3</v>
      </c>
      <c r="Z4">
        <f>Data!AF89</f>
        <v>3</v>
      </c>
      <c r="AA4">
        <f>Data!AG89</f>
        <v>3</v>
      </c>
      <c r="AB4">
        <f>Data!AH89</f>
        <v>3</v>
      </c>
      <c r="AC4">
        <f>Data!AI89</f>
        <v>3</v>
      </c>
      <c r="AD4">
        <f>Data!AJ89</f>
        <v>3</v>
      </c>
      <c r="AE4">
        <f>Data!AK89</f>
        <v>3</v>
      </c>
      <c r="AF4">
        <f>Data!AL89</f>
        <v>3</v>
      </c>
    </row>
    <row r="5" spans="1:32">
      <c r="A5" t="s">
        <v>4</v>
      </c>
      <c r="B5">
        <f>Data!H90</f>
        <v>0</v>
      </c>
      <c r="C5">
        <f>Data!I90</f>
        <v>0</v>
      </c>
      <c r="D5">
        <f>Data!J90</f>
        <v>0</v>
      </c>
      <c r="E5">
        <f>Data!K90</f>
        <v>0</v>
      </c>
      <c r="F5">
        <f>Data!L90</f>
        <v>0</v>
      </c>
      <c r="G5">
        <f>Data!M90</f>
        <v>0</v>
      </c>
      <c r="H5">
        <f>Data!N90</f>
        <v>0</v>
      </c>
      <c r="I5">
        <f>Data!O90</f>
        <v>0</v>
      </c>
      <c r="J5">
        <f>Data!P90</f>
        <v>0</v>
      </c>
      <c r="K5">
        <f>Data!Q90</f>
        <v>0</v>
      </c>
      <c r="L5">
        <f>Data!R90</f>
        <v>0</v>
      </c>
      <c r="M5">
        <f>Data!S90</f>
        <v>0</v>
      </c>
      <c r="N5">
        <f>Data!T90</f>
        <v>0</v>
      </c>
      <c r="O5">
        <f>Data!U90</f>
        <v>0</v>
      </c>
      <c r="P5">
        <f>Data!V90</f>
        <v>0</v>
      </c>
      <c r="Q5">
        <f>Data!W90</f>
        <v>0</v>
      </c>
      <c r="R5">
        <f>Data!X90</f>
        <v>0</v>
      </c>
      <c r="S5">
        <f>Data!Y90</f>
        <v>0</v>
      </c>
      <c r="T5">
        <f>Data!Z90</f>
        <v>0</v>
      </c>
      <c r="U5">
        <f>Data!AA90</f>
        <v>0</v>
      </c>
      <c r="V5">
        <f>Data!AB90</f>
        <v>0</v>
      </c>
      <c r="W5">
        <f>Data!AC90</f>
        <v>0</v>
      </c>
      <c r="X5">
        <f>Data!AD90</f>
        <v>0</v>
      </c>
      <c r="Y5">
        <f>Data!AE90</f>
        <v>0</v>
      </c>
      <c r="Z5">
        <f>Data!AF90</f>
        <v>0</v>
      </c>
      <c r="AA5">
        <f>Data!AG90</f>
        <v>0</v>
      </c>
      <c r="AB5">
        <f>Data!AH90</f>
        <v>0</v>
      </c>
      <c r="AC5">
        <f>Data!AI90</f>
        <v>0</v>
      </c>
      <c r="AD5">
        <f>Data!AJ90</f>
        <v>0</v>
      </c>
      <c r="AE5">
        <f>Data!AK90</f>
        <v>0</v>
      </c>
      <c r="AF5">
        <f>Data!AL90</f>
        <v>0</v>
      </c>
    </row>
    <row r="6" spans="1:32">
      <c r="A6" t="s">
        <v>5</v>
      </c>
      <c r="B6">
        <f>Data!H91</f>
        <v>0</v>
      </c>
      <c r="C6">
        <f>Data!I91</f>
        <v>0</v>
      </c>
      <c r="D6">
        <f>Data!J91</f>
        <v>0</v>
      </c>
      <c r="E6">
        <f>Data!K91</f>
        <v>0</v>
      </c>
      <c r="F6">
        <f>Data!L91</f>
        <v>0</v>
      </c>
      <c r="G6">
        <f>Data!M91</f>
        <v>0</v>
      </c>
      <c r="H6">
        <f>Data!N91</f>
        <v>0</v>
      </c>
      <c r="I6">
        <f>Data!O91</f>
        <v>0</v>
      </c>
      <c r="J6">
        <f>Data!P91</f>
        <v>0</v>
      </c>
      <c r="K6">
        <f>Data!Q91</f>
        <v>0</v>
      </c>
      <c r="L6">
        <f>Data!R91</f>
        <v>0</v>
      </c>
      <c r="M6">
        <f>Data!S91</f>
        <v>0</v>
      </c>
      <c r="N6">
        <f>Data!T91</f>
        <v>0</v>
      </c>
      <c r="O6">
        <f>Data!U91</f>
        <v>0</v>
      </c>
      <c r="P6">
        <f>Data!V91</f>
        <v>0</v>
      </c>
      <c r="Q6">
        <f>Data!W91</f>
        <v>0</v>
      </c>
      <c r="R6">
        <f>Data!X91</f>
        <v>0</v>
      </c>
      <c r="S6">
        <f>Data!Y91</f>
        <v>0</v>
      </c>
      <c r="T6">
        <f>Data!Z91</f>
        <v>0</v>
      </c>
      <c r="U6">
        <f>Data!AA91</f>
        <v>0</v>
      </c>
      <c r="V6">
        <f>Data!AB91</f>
        <v>0</v>
      </c>
      <c r="W6">
        <f>Data!AC91</f>
        <v>0</v>
      </c>
      <c r="X6">
        <f>Data!AD91</f>
        <v>0</v>
      </c>
      <c r="Y6">
        <f>Data!AE91</f>
        <v>0</v>
      </c>
      <c r="Z6">
        <f>Data!AF91</f>
        <v>0</v>
      </c>
      <c r="AA6">
        <f>Data!AG91</f>
        <v>0</v>
      </c>
      <c r="AB6">
        <f>Data!AH91</f>
        <v>0</v>
      </c>
      <c r="AC6">
        <f>Data!AI91</f>
        <v>0</v>
      </c>
      <c r="AD6">
        <f>Data!AJ91</f>
        <v>0</v>
      </c>
      <c r="AE6">
        <f>Data!AK91</f>
        <v>0</v>
      </c>
      <c r="AF6">
        <f>Data!AL91</f>
        <v>0</v>
      </c>
    </row>
    <row r="7" spans="1:32">
      <c r="A7" t="s">
        <v>78</v>
      </c>
      <c r="B7">
        <f>Data!H92</f>
        <v>0</v>
      </c>
      <c r="C7">
        <f>Data!I92</f>
        <v>0</v>
      </c>
      <c r="D7">
        <f>Data!J92</f>
        <v>0</v>
      </c>
      <c r="E7">
        <f>Data!K92</f>
        <v>0</v>
      </c>
      <c r="F7">
        <f>Data!L92</f>
        <v>0</v>
      </c>
      <c r="G7">
        <f>Data!M92</f>
        <v>0</v>
      </c>
      <c r="H7">
        <f>Data!N92</f>
        <v>0</v>
      </c>
      <c r="I7">
        <f>Data!O92</f>
        <v>0</v>
      </c>
      <c r="J7">
        <f>Data!P92</f>
        <v>0</v>
      </c>
      <c r="K7">
        <f>Data!Q92</f>
        <v>0</v>
      </c>
      <c r="L7">
        <f>Data!R92</f>
        <v>0</v>
      </c>
      <c r="M7">
        <f>Data!S92</f>
        <v>0</v>
      </c>
      <c r="N7">
        <f>Data!T92</f>
        <v>0</v>
      </c>
      <c r="O7">
        <f>Data!U92</f>
        <v>0</v>
      </c>
      <c r="P7">
        <f>Data!V92</f>
        <v>0</v>
      </c>
      <c r="Q7">
        <f>Data!W92</f>
        <v>0</v>
      </c>
      <c r="R7">
        <f>Data!X92</f>
        <v>0</v>
      </c>
      <c r="S7">
        <f>Data!Y92</f>
        <v>0</v>
      </c>
      <c r="T7">
        <f>Data!Z92</f>
        <v>0</v>
      </c>
      <c r="U7">
        <f>Data!AA92</f>
        <v>0</v>
      </c>
      <c r="V7">
        <f>Data!AB92</f>
        <v>0</v>
      </c>
      <c r="W7">
        <f>Data!AC92</f>
        <v>0</v>
      </c>
      <c r="X7">
        <f>Data!AD92</f>
        <v>0</v>
      </c>
      <c r="Y7">
        <f>Data!AE92</f>
        <v>0</v>
      </c>
      <c r="Z7">
        <f>Data!AF92</f>
        <v>0</v>
      </c>
      <c r="AA7">
        <f>Data!AG92</f>
        <v>0</v>
      </c>
      <c r="AB7">
        <f>Data!AH92</f>
        <v>0</v>
      </c>
      <c r="AC7">
        <f>Data!AI92</f>
        <v>0</v>
      </c>
      <c r="AD7">
        <f>Data!AJ92</f>
        <v>0</v>
      </c>
      <c r="AE7">
        <f>Data!AK92</f>
        <v>0</v>
      </c>
      <c r="AF7">
        <f>Data!AL92</f>
        <v>0</v>
      </c>
    </row>
    <row r="8" spans="1:32">
      <c r="A8" t="s">
        <v>79</v>
      </c>
      <c r="B8">
        <f>Data!H93</f>
        <v>0</v>
      </c>
      <c r="C8">
        <f>Data!I93</f>
        <v>0</v>
      </c>
      <c r="D8">
        <f>Data!J93</f>
        <v>0</v>
      </c>
      <c r="E8">
        <f>Data!K93</f>
        <v>0</v>
      </c>
      <c r="F8">
        <f>Data!L93</f>
        <v>0</v>
      </c>
      <c r="G8">
        <f>Data!M93</f>
        <v>0</v>
      </c>
      <c r="H8">
        <f>Data!N93</f>
        <v>0</v>
      </c>
      <c r="I8">
        <f>Data!O93</f>
        <v>0</v>
      </c>
      <c r="J8">
        <f>Data!P93</f>
        <v>0</v>
      </c>
      <c r="K8">
        <f>Data!Q93</f>
        <v>0</v>
      </c>
      <c r="L8">
        <f>Data!R93</f>
        <v>0</v>
      </c>
      <c r="M8">
        <f>Data!S93</f>
        <v>0</v>
      </c>
      <c r="N8">
        <f>Data!T93</f>
        <v>0</v>
      </c>
      <c r="O8">
        <f>Data!U93</f>
        <v>0</v>
      </c>
      <c r="P8">
        <f>Data!V93</f>
        <v>0</v>
      </c>
      <c r="Q8">
        <f>Data!W93</f>
        <v>0</v>
      </c>
      <c r="R8">
        <f>Data!X93</f>
        <v>0</v>
      </c>
      <c r="S8">
        <f>Data!Y93</f>
        <v>0</v>
      </c>
      <c r="T8">
        <f>Data!Z93</f>
        <v>0</v>
      </c>
      <c r="U8">
        <f>Data!AA93</f>
        <v>0</v>
      </c>
      <c r="V8">
        <f>Data!AB93</f>
        <v>0</v>
      </c>
      <c r="W8">
        <f>Data!AC93</f>
        <v>0</v>
      </c>
      <c r="X8">
        <f>Data!AD93</f>
        <v>0</v>
      </c>
      <c r="Y8">
        <f>Data!AE93</f>
        <v>0</v>
      </c>
      <c r="Z8">
        <f>Data!AF93</f>
        <v>0</v>
      </c>
      <c r="AA8">
        <f>Data!AG93</f>
        <v>0</v>
      </c>
      <c r="AB8">
        <f>Data!AH93</f>
        <v>0</v>
      </c>
      <c r="AC8">
        <f>Data!AI93</f>
        <v>0</v>
      </c>
      <c r="AD8">
        <f>Data!AJ93</f>
        <v>0</v>
      </c>
      <c r="AE8">
        <f>Data!AK93</f>
        <v>0</v>
      </c>
      <c r="AF8">
        <f>Data!AL93</f>
        <v>0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ACE987-BC54-40D9-B8CF-5CB9726AD5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8F0F71-EE7E-4036-B654-BDDC7E3F72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A831F0-D33B-4743-B389-F44D66A91D94}">
  <ds:schemaRefs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SYVbT-passenger</vt:lpstr>
      <vt:lpstr>SYVbT-freight</vt:lpstr>
      <vt:lpstr>Sheet1</vt:lpstr>
      <vt:lpstr>recalculated_shareweights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2017-07-01T03:43:09Z</dcterms:created>
  <dcterms:modified xsi:type="dcterms:W3CDTF">2026-03-20T18:12:23Z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