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obbieOrvis\Models\South Korea\Models\eps-southkorea\InputData\trans\TTS\"/>
    </mc:Choice>
  </mc:AlternateContent>
  <xr:revisionPtr revIDLastSave="0" documentId="8_{4853292D-52BA-492B-99CB-EF3D764FCABD}" xr6:coauthVersionLast="47" xr6:coauthVersionMax="47" xr10:uidLastSave="{00000000-0000-0000-0000-000000000000}"/>
  <bookViews>
    <workbookView xWindow="-120" yWindow="-120" windowWidth="57840" windowHeight="23520" xr2:uid="{00000000-000D-0000-FFFF-FFFF00000000}"/>
  </bookViews>
  <sheets>
    <sheet name="About" sheetId="1" r:id="rId1"/>
    <sheet name="SYVbT-passenger" sheetId="6" r:id="rId2"/>
    <sheet name="SYVbT-freight" sheetId="19" r:id="rId3"/>
    <sheet name="psgr-LDV python" sheetId="22" r:id="rId4"/>
    <sheet name="calibration_parameters_404" sheetId="23" r:id="rId5"/>
    <sheet name="Sheet1" sheetId="21" r:id="rId6"/>
    <sheet name="recalculated_shareweights" sheetId="20" r:id="rId7"/>
    <sheet name="Data" sheetId="3" r:id="rId8"/>
    <sheet name="TTS-LDVs-psgr" sheetId="2" r:id="rId9"/>
    <sheet name="TTS-LDVs-frgt" sheetId="8" r:id="rId10"/>
    <sheet name="TTS-HDVs-psgr" sheetId="9" r:id="rId11"/>
    <sheet name="TTS-HDVs-frgt" sheetId="10" r:id="rId12"/>
    <sheet name="TTS-aircraft-psgr" sheetId="11" r:id="rId13"/>
    <sheet name="TTS-aircraft-frgt" sheetId="12" r:id="rId14"/>
    <sheet name="TTS-rail-psgr" sheetId="13" r:id="rId15"/>
    <sheet name="TTS-rail-frgt" sheetId="14" r:id="rId16"/>
    <sheet name="TTS-ships-psgr" sheetId="15" r:id="rId17"/>
    <sheet name="TTS-ships-frgt" sheetId="16" r:id="rId18"/>
    <sheet name="TTS-motorbikes-psgr" sheetId="17" r:id="rId19"/>
    <sheet name="TTS-motorbikes-frgt" sheetId="18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0" i="3" l="1"/>
  <c r="O10" i="3"/>
  <c r="P10" i="3"/>
  <c r="AJ10" i="3"/>
  <c r="AK10" i="3"/>
  <c r="AL10" i="3"/>
  <c r="F80" i="3"/>
  <c r="E23" i="3"/>
  <c r="E37" i="3"/>
  <c r="D25" i="3"/>
  <c r="E52" i="3"/>
  <c r="AI10" i="3" l="1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N10" i="3"/>
  <c r="E21" i="3"/>
  <c r="D21" i="3"/>
  <c r="D33" i="3" l="1"/>
  <c r="E33" i="3" l="1"/>
  <c r="E34" i="3"/>
  <c r="E26" i="3"/>
  <c r="E27" i="3"/>
  <c r="E87" i="3"/>
  <c r="E88" i="3"/>
  <c r="E89" i="3"/>
  <c r="E90" i="3"/>
  <c r="E91" i="3"/>
  <c r="E92" i="3"/>
  <c r="D89" i="3"/>
  <c r="D87" i="3"/>
  <c r="D73" i="3"/>
  <c r="E73" i="3" s="1"/>
  <c r="D74" i="3"/>
  <c r="E74" i="3" s="1"/>
  <c r="D75" i="3"/>
  <c r="E75" i="3" s="1"/>
  <c r="D76" i="3"/>
  <c r="E76" i="3" s="1"/>
  <c r="D77" i="3"/>
  <c r="E77" i="3" s="1"/>
  <c r="D78" i="3"/>
  <c r="E78" i="3" s="1"/>
  <c r="D79" i="3"/>
  <c r="E79" i="3" s="1"/>
  <c r="E59" i="3"/>
  <c r="D60" i="3"/>
  <c r="E60" i="3" s="1"/>
  <c r="D61" i="3"/>
  <c r="E61" i="3" s="1"/>
  <c r="E62" i="3"/>
  <c r="D63" i="3"/>
  <c r="E63" i="3" s="1"/>
  <c r="D64" i="3"/>
  <c r="E64" i="3" s="1"/>
  <c r="D65" i="3"/>
  <c r="E65" i="3" s="1"/>
  <c r="D53" i="3"/>
  <c r="E53" i="3" s="1"/>
  <c r="D54" i="3"/>
  <c r="E54" i="3" s="1"/>
  <c r="E55" i="3"/>
  <c r="D56" i="3"/>
  <c r="E56" i="3" s="1"/>
  <c r="D57" i="3"/>
  <c r="E57" i="3" s="1"/>
  <c r="D58" i="3"/>
  <c r="E58" i="3" s="1"/>
  <c r="D31" i="3"/>
  <c r="D32" i="3"/>
  <c r="E32" i="3" s="1"/>
  <c r="D35" i="3"/>
  <c r="E35" i="3" s="1"/>
  <c r="E36" i="3"/>
  <c r="E25" i="3"/>
  <c r="E30" i="3" s="1"/>
  <c r="E28" i="3"/>
  <c r="E29" i="3"/>
  <c r="D18" i="3"/>
  <c r="E18" i="3" s="1"/>
  <c r="E19" i="3"/>
  <c r="E20" i="3"/>
  <c r="E22" i="3"/>
  <c r="I9" i="3" l="1"/>
  <c r="I13" i="3" l="1"/>
  <c r="H13" i="3" s="1"/>
  <c r="I12" i="3"/>
  <c r="H12" i="3" s="1"/>
  <c r="I16" i="3"/>
  <c r="H16" i="3" s="1"/>
  <c r="I11" i="3"/>
  <c r="H11" i="3" s="1"/>
  <c r="I15" i="3"/>
  <c r="H15" i="3" s="1"/>
  <c r="I10" i="3"/>
  <c r="H10" i="3" s="1"/>
  <c r="I14" i="3"/>
  <c r="H14" i="3" s="1"/>
  <c r="D86" i="3"/>
  <c r="D93" i="3" s="1"/>
  <c r="D85" i="3"/>
  <c r="D92" i="3" s="1"/>
  <c r="D84" i="3"/>
  <c r="D91" i="3" s="1"/>
  <c r="D83" i="3"/>
  <c r="D90" i="3" s="1"/>
  <c r="D81" i="3"/>
  <c r="D88" i="3" s="1"/>
  <c r="F29" i="3" l="1"/>
  <c r="F30" i="3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F23" i="3"/>
  <c r="F22" i="3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B2" i="18" s="1"/>
  <c r="H88" i="3"/>
  <c r="B3" i="18" s="1"/>
  <c r="H89" i="3"/>
  <c r="B4" i="18" s="1"/>
  <c r="H90" i="3"/>
  <c r="B5" i="18" s="1"/>
  <c r="H91" i="3"/>
  <c r="B6" i="18" s="1"/>
  <c r="H92" i="3"/>
  <c r="B7" i="18" s="1"/>
  <c r="H93" i="3"/>
  <c r="B8" i="18" s="1"/>
  <c r="H19" i="3"/>
  <c r="H22" i="3"/>
  <c r="B7" i="8" s="1"/>
  <c r="H23" i="3"/>
  <c r="B8" i="8" s="1"/>
  <c r="B7" i="2"/>
  <c r="B8" i="2" l="1"/>
  <c r="H18" i="3" l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H35" i="3"/>
  <c r="H33" i="3"/>
  <c r="H32" i="3"/>
  <c r="H31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C7" i="18" s="1"/>
  <c r="I93" i="3"/>
  <c r="C8" i="18" s="1"/>
  <c r="I30" i="3"/>
  <c r="C8" i="9" s="1"/>
  <c r="C7" i="2"/>
  <c r="I86" i="3"/>
  <c r="C8" i="17" s="1"/>
  <c r="I29" i="3"/>
  <c r="C7" i="9" s="1"/>
  <c r="I22" i="3"/>
  <c r="C7" i="8" s="1"/>
  <c r="I18" i="3"/>
  <c r="C8" i="2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J13" i="3" l="1"/>
  <c r="J12" i="3"/>
  <c r="J15" i="3"/>
  <c r="D7" i="2" s="1"/>
  <c r="J14" i="3"/>
  <c r="J11" i="3"/>
  <c r="J10" i="3"/>
  <c r="J16" i="3"/>
  <c r="D8" i="2" s="1"/>
  <c r="J36" i="3"/>
  <c r="D7" i="10" s="1"/>
  <c r="J37" i="3"/>
  <c r="D8" i="10" s="1"/>
  <c r="J23" i="3"/>
  <c r="D8" i="8" s="1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D8" i="18" s="1"/>
  <c r="J92" i="3"/>
  <c r="D7" i="18" s="1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81" i="3"/>
  <c r="K12" i="3" l="1"/>
  <c r="K16" i="3"/>
  <c r="K11" i="3"/>
  <c r="K15" i="3"/>
  <c r="K10" i="3"/>
  <c r="K14" i="3"/>
  <c r="K13" i="3"/>
  <c r="K36" i="3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E8" i="18" s="1"/>
  <c r="K92" i="3"/>
  <c r="E7" i="18" s="1"/>
  <c r="K22" i="3"/>
  <c r="E7" i="8" s="1"/>
  <c r="K30" i="3"/>
  <c r="E8" i="9" s="1"/>
  <c r="K29" i="3"/>
  <c r="E7" i="9" s="1"/>
  <c r="E7" i="2"/>
  <c r="K18" i="3"/>
  <c r="K23" i="3"/>
  <c r="E8" i="8" s="1"/>
  <c r="E8" i="2"/>
  <c r="L9" i="3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6" i="3" l="1"/>
  <c r="F7" i="10" s="1"/>
  <c r="L12" i="3"/>
  <c r="L15" i="3"/>
  <c r="L10" i="3"/>
  <c r="L14" i="3"/>
  <c r="L13" i="3"/>
  <c r="L16" i="3"/>
  <c r="L11" i="3"/>
  <c r="L37" i="3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F7" i="18" s="1"/>
  <c r="L93" i="3"/>
  <c r="F8" i="18" s="1"/>
  <c r="L86" i="3"/>
  <c r="F8" i="17" s="1"/>
  <c r="L22" i="3"/>
  <c r="F7" i="8" s="1"/>
  <c r="L29" i="3"/>
  <c r="F7" i="9" s="1"/>
  <c r="L30" i="3"/>
  <c r="F8" i="9" s="1"/>
  <c r="F7" i="2"/>
  <c r="L18" i="3"/>
  <c r="L23" i="3"/>
  <c r="F8" i="8" s="1"/>
  <c r="F8" i="2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B2" i="2"/>
  <c r="H25" i="3"/>
  <c r="M12" i="3" l="1"/>
  <c r="M16" i="3"/>
  <c r="G8" i="2" s="1"/>
  <c r="M15" i="3"/>
  <c r="M11" i="3"/>
  <c r="M10" i="3"/>
  <c r="M14" i="3"/>
  <c r="M13" i="3"/>
  <c r="M23" i="3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G7" i="18" s="1"/>
  <c r="M93" i="3"/>
  <c r="G8" i="18" s="1"/>
  <c r="M22" i="3"/>
  <c r="G7" i="8" s="1"/>
  <c r="M29" i="3"/>
  <c r="G7" i="9" s="1"/>
  <c r="M30" i="3"/>
  <c r="G8" i="9" s="1"/>
  <c r="M86" i="3"/>
  <c r="G8" i="17" s="1"/>
  <c r="G7" i="2"/>
  <c r="M18" i="3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13" i="3" l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AF13" i="3" s="1"/>
  <c r="AG13" i="3" s="1"/>
  <c r="AH13" i="3" s="1"/>
  <c r="AI13" i="3" s="1"/>
  <c r="AJ13" i="3" s="1"/>
  <c r="AK13" i="3" s="1"/>
  <c r="AL13" i="3" s="1"/>
  <c r="D13" i="3"/>
  <c r="E13" i="3" s="1"/>
  <c r="D14" i="3"/>
  <c r="F14" i="3" s="1"/>
  <c r="C6" i="2" s="1"/>
  <c r="D10" i="3"/>
  <c r="N11" i="3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AF11" i="3" s="1"/>
  <c r="AG11" i="3" s="1"/>
  <c r="AH11" i="3" s="1"/>
  <c r="AI11" i="3" s="1"/>
  <c r="AJ11" i="3" s="1"/>
  <c r="AK11" i="3" s="1"/>
  <c r="AL11" i="3" s="1"/>
  <c r="D11" i="3"/>
  <c r="E11" i="3" s="1"/>
  <c r="N15" i="3"/>
  <c r="O15" i="3" s="1"/>
  <c r="P15" i="3" s="1"/>
  <c r="Q15" i="3" s="1"/>
  <c r="R15" i="3" s="1"/>
  <c r="S15" i="3" s="1"/>
  <c r="T15" i="3" s="1"/>
  <c r="U15" i="3" s="1"/>
  <c r="V15" i="3" s="1"/>
  <c r="W15" i="3" s="1"/>
  <c r="X15" i="3" s="1"/>
  <c r="Y15" i="3" s="1"/>
  <c r="Z15" i="3" s="1"/>
  <c r="AA15" i="3" s="1"/>
  <c r="AB15" i="3" s="1"/>
  <c r="AC15" i="3" s="1"/>
  <c r="AD15" i="3" s="1"/>
  <c r="AE15" i="3" s="1"/>
  <c r="AF15" i="3" s="1"/>
  <c r="AG15" i="3" s="1"/>
  <c r="AH15" i="3" s="1"/>
  <c r="AI15" i="3" s="1"/>
  <c r="AJ15" i="3" s="1"/>
  <c r="AK15" i="3" s="1"/>
  <c r="AL15" i="3" s="1"/>
  <c r="D15" i="3"/>
  <c r="N16" i="3"/>
  <c r="O16" i="3" s="1"/>
  <c r="P16" i="3" s="1"/>
  <c r="Q16" i="3" s="1"/>
  <c r="R16" i="3" s="1"/>
  <c r="S16" i="3" s="1"/>
  <c r="T16" i="3" s="1"/>
  <c r="U16" i="3" s="1"/>
  <c r="V16" i="3" s="1"/>
  <c r="W16" i="3" s="1"/>
  <c r="X16" i="3" s="1"/>
  <c r="Y16" i="3" s="1"/>
  <c r="Z16" i="3" s="1"/>
  <c r="AA16" i="3" s="1"/>
  <c r="AB16" i="3" s="1"/>
  <c r="AC16" i="3" s="1"/>
  <c r="AD16" i="3" s="1"/>
  <c r="AE16" i="3" s="1"/>
  <c r="AF16" i="3" s="1"/>
  <c r="AG16" i="3" s="1"/>
  <c r="AH16" i="3" s="1"/>
  <c r="AI16" i="3" s="1"/>
  <c r="AJ16" i="3" s="1"/>
  <c r="AK16" i="3" s="1"/>
  <c r="AL16" i="3" s="1"/>
  <c r="D16" i="3"/>
  <c r="N12" i="3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AG12" i="3" s="1"/>
  <c r="AH12" i="3" s="1"/>
  <c r="AI12" i="3" s="1"/>
  <c r="AJ12" i="3" s="1"/>
  <c r="AK12" i="3" s="1"/>
  <c r="AL12" i="3" s="1"/>
  <c r="D12" i="3"/>
  <c r="N36" i="3"/>
  <c r="H7" i="10" s="1"/>
  <c r="N37" i="3"/>
  <c r="H8" i="10" s="1"/>
  <c r="J91" i="3"/>
  <c r="D6" i="18" s="1"/>
  <c r="N91" i="3"/>
  <c r="H6" i="18" s="1"/>
  <c r="K91" i="3"/>
  <c r="E6" i="18" s="1"/>
  <c r="L91" i="3"/>
  <c r="F6" i="18" s="1"/>
  <c r="I91" i="3"/>
  <c r="C6" i="18" s="1"/>
  <c r="M91" i="3"/>
  <c r="G6" i="18" s="1"/>
  <c r="L90" i="3"/>
  <c r="F5" i="18" s="1"/>
  <c r="I90" i="3"/>
  <c r="C5" i="18" s="1"/>
  <c r="M90" i="3"/>
  <c r="G5" i="18" s="1"/>
  <c r="J90" i="3"/>
  <c r="D5" i="18" s="1"/>
  <c r="N90" i="3"/>
  <c r="H5" i="18" s="1"/>
  <c r="K90" i="3"/>
  <c r="E5" i="18" s="1"/>
  <c r="K53" i="3"/>
  <c r="E3" i="13" s="1"/>
  <c r="L53" i="3"/>
  <c r="F3" i="13" s="1"/>
  <c r="I53" i="3"/>
  <c r="C3" i="13" s="1"/>
  <c r="M53" i="3"/>
  <c r="G3" i="13" s="1"/>
  <c r="J53" i="3"/>
  <c r="D3" i="13" s="1"/>
  <c r="N53" i="3"/>
  <c r="H3" i="13" s="1"/>
  <c r="J89" i="3"/>
  <c r="D4" i="18" s="1"/>
  <c r="N89" i="3"/>
  <c r="H4" i="18" s="1"/>
  <c r="K89" i="3"/>
  <c r="E4" i="18" s="1"/>
  <c r="L89" i="3"/>
  <c r="F4" i="18" s="1"/>
  <c r="I89" i="3"/>
  <c r="C4" i="18" s="1"/>
  <c r="M89" i="3"/>
  <c r="G4" i="18" s="1"/>
  <c r="L88" i="3"/>
  <c r="F3" i="18" s="1"/>
  <c r="I88" i="3"/>
  <c r="C3" i="18" s="1"/>
  <c r="N88" i="3"/>
  <c r="H3" i="18" s="1"/>
  <c r="J88" i="3"/>
  <c r="D3" i="18" s="1"/>
  <c r="K88" i="3"/>
  <c r="E3" i="18" s="1"/>
  <c r="M88" i="3"/>
  <c r="G3" i="18" s="1"/>
  <c r="J87" i="3"/>
  <c r="D2" i="18" s="1"/>
  <c r="N87" i="3"/>
  <c r="H2" i="18" s="1"/>
  <c r="L87" i="3"/>
  <c r="F2" i="18" s="1"/>
  <c r="M87" i="3"/>
  <c r="G2" i="18" s="1"/>
  <c r="I87" i="3"/>
  <c r="C2" i="18" s="1"/>
  <c r="K87" i="3"/>
  <c r="E2" i="18" s="1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H8" i="18" s="1"/>
  <c r="N92" i="3"/>
  <c r="H7" i="18" s="1"/>
  <c r="N86" i="3"/>
  <c r="H8" i="17" s="1"/>
  <c r="N22" i="3"/>
  <c r="H7" i="8" s="1"/>
  <c r="N30" i="3"/>
  <c r="H8" i="9" s="1"/>
  <c r="N29" i="3"/>
  <c r="H7" i="9" s="1"/>
  <c r="N18" i="3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C4" i="2"/>
  <c r="D4" i="2"/>
  <c r="E4" i="2"/>
  <c r="F4" i="2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H4" i="14" s="1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H2" i="11" s="1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H6" i="12" s="1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G4" i="2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B5" i="8"/>
  <c r="H4" i="2" l="1"/>
  <c r="E15" i="3"/>
  <c r="F15" i="3" s="1"/>
  <c r="H8" i="2"/>
  <c r="E16" i="3"/>
  <c r="F16" i="3" s="1"/>
  <c r="E12" i="3"/>
  <c r="F12" i="3"/>
  <c r="H7" i="2"/>
  <c r="O37" i="3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I8" i="18" s="1"/>
  <c r="O92" i="3"/>
  <c r="I7" i="18" s="1"/>
  <c r="O29" i="3"/>
  <c r="I7" i="9" s="1"/>
  <c r="O30" i="3"/>
  <c r="I8" i="9" s="1"/>
  <c r="O22" i="3"/>
  <c r="I7" i="8" s="1"/>
  <c r="I7" i="2"/>
  <c r="O18" i="3"/>
  <c r="I8" i="2"/>
  <c r="O53" i="3"/>
  <c r="I3" i="13" s="1"/>
  <c r="O88" i="3"/>
  <c r="I3" i="18" s="1"/>
  <c r="O87" i="3"/>
  <c r="I2" i="18" s="1"/>
  <c r="O91" i="3"/>
  <c r="I6" i="18" s="1"/>
  <c r="O89" i="3"/>
  <c r="I4" i="18" s="1"/>
  <c r="O42" i="3"/>
  <c r="I6" i="11" s="1"/>
  <c r="O52" i="3"/>
  <c r="I2" i="13" s="1"/>
  <c r="O90" i="3"/>
  <c r="I5" i="18" s="1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I4" i="2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J7" i="18" s="1"/>
  <c r="P93" i="3"/>
  <c r="J8" i="18" s="1"/>
  <c r="P22" i="3"/>
  <c r="J7" i="8" s="1"/>
  <c r="P29" i="3"/>
  <c r="J7" i="9" s="1"/>
  <c r="J7" i="2"/>
  <c r="P30" i="3"/>
  <c r="J8" i="9" s="1"/>
  <c r="P86" i="3"/>
  <c r="J8" i="17" s="1"/>
  <c r="P18" i="3"/>
  <c r="J8" i="2"/>
  <c r="P53" i="3"/>
  <c r="J3" i="13" s="1"/>
  <c r="P91" i="3"/>
  <c r="J6" i="18" s="1"/>
  <c r="P89" i="3"/>
  <c r="J4" i="18" s="1"/>
  <c r="P23" i="3"/>
  <c r="J8" i="8" s="1"/>
  <c r="P90" i="3"/>
  <c r="J5" i="18" s="1"/>
  <c r="P88" i="3"/>
  <c r="J3" i="18" s="1"/>
  <c r="P87" i="3"/>
  <c r="J2" i="18" s="1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J4" i="2"/>
  <c r="F25" i="3"/>
  <c r="F26" i="3"/>
  <c r="F28" i="3"/>
  <c r="F31" i="3"/>
  <c r="F32" i="3"/>
  <c r="F81" i="3"/>
  <c r="F24" i="3"/>
  <c r="H24" i="3" s="1"/>
  <c r="B2" i="9" s="1"/>
  <c r="F33" i="3"/>
  <c r="F83" i="3"/>
  <c r="F35" i="3"/>
  <c r="F84" i="3"/>
  <c r="Q36" i="3" l="1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K7" i="18" s="1"/>
  <c r="Q93" i="3"/>
  <c r="K8" i="18" s="1"/>
  <c r="Q22" i="3"/>
  <c r="K7" i="8" s="1"/>
  <c r="Q30" i="3"/>
  <c r="K8" i="9" s="1"/>
  <c r="Q86" i="3"/>
  <c r="K8" i="17" s="1"/>
  <c r="Q29" i="3"/>
  <c r="K7" i="9" s="1"/>
  <c r="K7" i="2"/>
  <c r="Q18" i="3"/>
  <c r="K8" i="2"/>
  <c r="Q23" i="3"/>
  <c r="K8" i="8" s="1"/>
  <c r="Q87" i="3"/>
  <c r="K2" i="18" s="1"/>
  <c r="Q53" i="3"/>
  <c r="K3" i="13" s="1"/>
  <c r="Q52" i="3"/>
  <c r="K2" i="13" s="1"/>
  <c r="Q91" i="3"/>
  <c r="K6" i="18" s="1"/>
  <c r="Q89" i="3"/>
  <c r="K4" i="18" s="1"/>
  <c r="Q90" i="3"/>
  <c r="K5" i="18" s="1"/>
  <c r="Q88" i="3"/>
  <c r="K3" i="18" s="1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E4" i="10" s="1"/>
  <c r="O33" i="3"/>
  <c r="I4" i="10" s="1"/>
  <c r="L33" i="3"/>
  <c r="F4" i="10" s="1"/>
  <c r="P33" i="3"/>
  <c r="J4" i="10" s="1"/>
  <c r="I33" i="3"/>
  <c r="C4" i="10" s="1"/>
  <c r="M33" i="3"/>
  <c r="G4" i="10" s="1"/>
  <c r="Q33" i="3"/>
  <c r="K4" i="10" s="1"/>
  <c r="J33" i="3"/>
  <c r="D4" i="10" s="1"/>
  <c r="N33" i="3"/>
  <c r="H4" i="10" s="1"/>
  <c r="K31" i="3"/>
  <c r="E2" i="10" s="1"/>
  <c r="O31" i="3"/>
  <c r="I2" i="10" s="1"/>
  <c r="L31" i="3"/>
  <c r="F2" i="10" s="1"/>
  <c r="P31" i="3"/>
  <c r="J2" i="10" s="1"/>
  <c r="I31" i="3"/>
  <c r="C2" i="10" s="1"/>
  <c r="M31" i="3"/>
  <c r="G2" i="10" s="1"/>
  <c r="Q31" i="3"/>
  <c r="K2" i="10" s="1"/>
  <c r="N31" i="3"/>
  <c r="H2" i="10" s="1"/>
  <c r="J31" i="3"/>
  <c r="D2" i="10" s="1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I24" i="3"/>
  <c r="C2" i="9" s="1"/>
  <c r="M24" i="3"/>
  <c r="G2" i="9" s="1"/>
  <c r="Q24" i="3"/>
  <c r="K2" i="9" s="1"/>
  <c r="J24" i="3"/>
  <c r="D2" i="9" s="1"/>
  <c r="N24" i="3"/>
  <c r="H2" i="9" s="1"/>
  <c r="K24" i="3"/>
  <c r="E2" i="9" s="1"/>
  <c r="O24" i="3"/>
  <c r="I2" i="9" s="1"/>
  <c r="L24" i="3"/>
  <c r="F2" i="9" s="1"/>
  <c r="P24" i="3"/>
  <c r="J2" i="9" s="1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L80" i="3"/>
  <c r="F2" i="17" s="1"/>
  <c r="P80" i="3"/>
  <c r="J2" i="17" s="1"/>
  <c r="I80" i="3"/>
  <c r="C2" i="17" s="1"/>
  <c r="M80" i="3"/>
  <c r="G2" i="17" s="1"/>
  <c r="Q80" i="3"/>
  <c r="K2" i="17" s="1"/>
  <c r="J80" i="3"/>
  <c r="D2" i="17" s="1"/>
  <c r="N80" i="3"/>
  <c r="H2" i="17" s="1"/>
  <c r="K80" i="3"/>
  <c r="E2" i="17" s="1"/>
  <c r="O80" i="3"/>
  <c r="I2" i="17" s="1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K4" i="2"/>
  <c r="B4" i="10"/>
  <c r="B2" i="10"/>
  <c r="F13" i="3"/>
  <c r="B6" i="9"/>
  <c r="F21" i="3"/>
  <c r="B4" i="9"/>
  <c r="B2" i="17"/>
  <c r="B3" i="17"/>
  <c r="B6" i="17"/>
  <c r="F11" i="3"/>
  <c r="B5" i="17"/>
  <c r="B3" i="10"/>
  <c r="F10" i="3"/>
  <c r="B6" i="10"/>
  <c r="F17" i="3"/>
  <c r="H17" i="3" s="1"/>
  <c r="B3" i="9"/>
  <c r="N14" i="3" l="1"/>
  <c r="O14" i="3" s="1"/>
  <c r="P14" i="3" s="1"/>
  <c r="Q14" i="3" s="1"/>
  <c r="I17" i="3"/>
  <c r="C2" i="8" s="1"/>
  <c r="J17" i="3"/>
  <c r="D2" i="8" s="1"/>
  <c r="K17" i="3"/>
  <c r="E2" i="8" s="1"/>
  <c r="M17" i="3"/>
  <c r="G2" i="8" s="1"/>
  <c r="N17" i="3"/>
  <c r="H2" i="8" s="1"/>
  <c r="O17" i="3"/>
  <c r="I2" i="8" s="1"/>
  <c r="P17" i="3"/>
  <c r="J2" i="8" s="1"/>
  <c r="Q17" i="3"/>
  <c r="K2" i="8" s="1"/>
  <c r="R17" i="3"/>
  <c r="L2" i="8" s="1"/>
  <c r="L17" i="3"/>
  <c r="F2" i="8" s="1"/>
  <c r="E2" i="2"/>
  <c r="C2" i="2"/>
  <c r="D2" i="2"/>
  <c r="F2" i="2"/>
  <c r="G2" i="2"/>
  <c r="H2" i="2"/>
  <c r="I2" i="2"/>
  <c r="J2" i="2"/>
  <c r="K2" i="2"/>
  <c r="L2" i="2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R24" i="3"/>
  <c r="L2" i="9" s="1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L8" i="18" s="1"/>
  <c r="R92" i="3"/>
  <c r="L7" i="18" s="1"/>
  <c r="R22" i="3"/>
  <c r="L7" i="8" s="1"/>
  <c r="R86" i="3"/>
  <c r="L8" i="17" s="1"/>
  <c r="R30" i="3"/>
  <c r="L8" i="9" s="1"/>
  <c r="R29" i="3"/>
  <c r="L7" i="9" s="1"/>
  <c r="L7" i="2"/>
  <c r="R18" i="3"/>
  <c r="L3" i="8" s="1"/>
  <c r="L8" i="2"/>
  <c r="R23" i="3"/>
  <c r="L8" i="8" s="1"/>
  <c r="R90" i="3"/>
  <c r="L5" i="18" s="1"/>
  <c r="R42" i="3"/>
  <c r="L6" i="11" s="1"/>
  <c r="R88" i="3"/>
  <c r="L3" i="18" s="1"/>
  <c r="R87" i="3"/>
  <c r="L2" i="18" s="1"/>
  <c r="R91" i="3"/>
  <c r="L6" i="18" s="1"/>
  <c r="R53" i="3"/>
  <c r="L3" i="13" s="1"/>
  <c r="R89" i="3"/>
  <c r="L4" i="18" s="1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R80" i="3"/>
  <c r="L2" i="17" s="1"/>
  <c r="R31" i="3"/>
  <c r="L2" i="10" s="1"/>
  <c r="R33" i="3"/>
  <c r="L4" i="10" s="1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L4" i="2"/>
  <c r="D3" i="2"/>
  <c r="L3" i="2"/>
  <c r="E3" i="2"/>
  <c r="F3" i="2"/>
  <c r="G3" i="2"/>
  <c r="H3" i="2"/>
  <c r="C3" i="2"/>
  <c r="I3" i="2"/>
  <c r="J3" i="2"/>
  <c r="K3" i="2"/>
  <c r="I5" i="2"/>
  <c r="J5" i="2"/>
  <c r="C5" i="2"/>
  <c r="K5" i="2"/>
  <c r="D5" i="2"/>
  <c r="L5" i="2"/>
  <c r="E5" i="2"/>
  <c r="F5" i="2"/>
  <c r="H5" i="2"/>
  <c r="G5" i="2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S17" i="3" l="1"/>
  <c r="M2" i="8" s="1"/>
  <c r="S36" i="3"/>
  <c r="M7" i="10" s="1"/>
  <c r="S37" i="3"/>
  <c r="M8" i="10" s="1"/>
  <c r="M3" i="2"/>
  <c r="S35" i="3"/>
  <c r="M6" i="10" s="1"/>
  <c r="S24" i="3"/>
  <c r="M2" i="9" s="1"/>
  <c r="S80" i="3"/>
  <c r="M2" i="17" s="1"/>
  <c r="S32" i="3"/>
  <c r="M3" i="10" s="1"/>
  <c r="S28" i="3"/>
  <c r="M6" i="9" s="1"/>
  <c r="S31" i="3"/>
  <c r="M2" i="10" s="1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M8" i="18" s="1"/>
  <c r="S92" i="3"/>
  <c r="M7" i="18" s="1"/>
  <c r="S22" i="3"/>
  <c r="M7" i="8" s="1"/>
  <c r="S30" i="3"/>
  <c r="M8" i="9" s="1"/>
  <c r="M7" i="2"/>
  <c r="S18" i="3"/>
  <c r="M3" i="8" s="1"/>
  <c r="M8" i="2"/>
  <c r="S23" i="3"/>
  <c r="M8" i="8" s="1"/>
  <c r="S90" i="3"/>
  <c r="M5" i="18" s="1"/>
  <c r="S53" i="3"/>
  <c r="M3" i="13" s="1"/>
  <c r="S91" i="3"/>
  <c r="M6" i="18" s="1"/>
  <c r="S89" i="3"/>
  <c r="M4" i="18" s="1"/>
  <c r="S88" i="3"/>
  <c r="M3" i="18" s="1"/>
  <c r="S87" i="3"/>
  <c r="M2" i="18" s="1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M4" i="10" s="1"/>
  <c r="S26" i="3"/>
  <c r="M4" i="9" s="1"/>
  <c r="S83" i="3"/>
  <c r="M5" i="17" s="1"/>
  <c r="S21" i="3"/>
  <c r="M6" i="8" s="1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M4" i="2"/>
  <c r="T17" i="3" l="1"/>
  <c r="N2" i="8" s="1"/>
  <c r="T36" i="3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N7" i="18" s="1"/>
  <c r="T22" i="3"/>
  <c r="N7" i="8" s="1"/>
  <c r="T93" i="3"/>
  <c r="N8" i="18" s="1"/>
  <c r="T29" i="3"/>
  <c r="N7" i="9" s="1"/>
  <c r="T30" i="3"/>
  <c r="N8" i="9" s="1"/>
  <c r="T86" i="3"/>
  <c r="N8" i="17" s="1"/>
  <c r="N7" i="2"/>
  <c r="T18" i="3"/>
  <c r="N3" i="8" s="1"/>
  <c r="T23" i="3"/>
  <c r="N8" i="8" s="1"/>
  <c r="N8" i="2"/>
  <c r="T42" i="3"/>
  <c r="N6" i="11" s="1"/>
  <c r="T53" i="3"/>
  <c r="N3" i="13" s="1"/>
  <c r="T87" i="3"/>
  <c r="N2" i="18" s="1"/>
  <c r="T91" i="3"/>
  <c r="N6" i="18" s="1"/>
  <c r="T89" i="3"/>
  <c r="N4" i="18" s="1"/>
  <c r="T90" i="3"/>
  <c r="N5" i="18" s="1"/>
  <c r="T88" i="3"/>
  <c r="N3" i="18" s="1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N4" i="10" s="1"/>
  <c r="T26" i="3"/>
  <c r="N4" i="9" s="1"/>
  <c r="T83" i="3"/>
  <c r="N5" i="17" s="1"/>
  <c r="T28" i="3"/>
  <c r="N6" i="9" s="1"/>
  <c r="T32" i="3"/>
  <c r="N3" i="10" s="1"/>
  <c r="T80" i="3"/>
  <c r="N2" i="17" s="1"/>
  <c r="T21" i="3"/>
  <c r="N6" i="8" s="1"/>
  <c r="T31" i="3"/>
  <c r="N2" i="10" s="1"/>
  <c r="T24" i="3"/>
  <c r="N2" i="9" s="1"/>
  <c r="T35" i="3"/>
  <c r="N6" i="10" s="1"/>
  <c r="T25" i="3"/>
  <c r="N3" i="9" s="1"/>
  <c r="U9" i="3"/>
  <c r="U17" i="3" s="1"/>
  <c r="N1" i="17"/>
  <c r="N1" i="15"/>
  <c r="N1" i="13"/>
  <c r="N1" i="11"/>
  <c r="N1" i="9"/>
  <c r="N1" i="14"/>
  <c r="N1" i="12"/>
  <c r="N1" i="2"/>
  <c r="N1" i="16"/>
  <c r="N1" i="18"/>
  <c r="N1" i="10"/>
  <c r="N1" i="8"/>
  <c r="N4" i="2"/>
  <c r="N5" i="2"/>
  <c r="N3" i="2"/>
  <c r="U25" i="3" l="1"/>
  <c r="O3" i="9" s="1"/>
  <c r="U32" i="3"/>
  <c r="O3" i="10" s="1"/>
  <c r="U21" i="3"/>
  <c r="O6" i="8" s="1"/>
  <c r="O3" i="2"/>
  <c r="U35" i="3"/>
  <c r="O6" i="10" s="1"/>
  <c r="U24" i="3"/>
  <c r="O2" i="9" s="1"/>
  <c r="U31" i="3"/>
  <c r="O2" i="10" s="1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O7" i="18" s="1"/>
  <c r="U93" i="3"/>
  <c r="O8" i="18" s="1"/>
  <c r="U30" i="3"/>
  <c r="O8" i="9" s="1"/>
  <c r="U86" i="3"/>
  <c r="O8" i="17" s="1"/>
  <c r="U22" i="3"/>
  <c r="O7" i="8" s="1"/>
  <c r="U29" i="3"/>
  <c r="O7" i="9" s="1"/>
  <c r="O7" i="2"/>
  <c r="U18" i="3"/>
  <c r="O3" i="8" s="1"/>
  <c r="U23" i="3"/>
  <c r="O8" i="8" s="1"/>
  <c r="O8" i="2"/>
  <c r="U90" i="3"/>
  <c r="O5" i="18" s="1"/>
  <c r="U87" i="3"/>
  <c r="O2" i="18" s="1"/>
  <c r="U42" i="3"/>
  <c r="O6" i="11" s="1"/>
  <c r="U88" i="3"/>
  <c r="O3" i="18" s="1"/>
  <c r="U53" i="3"/>
  <c r="O3" i="13" s="1"/>
  <c r="U91" i="3"/>
  <c r="O6" i="18" s="1"/>
  <c r="U89" i="3"/>
  <c r="O4" i="18" s="1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O4" i="10" s="1"/>
  <c r="U83" i="3"/>
  <c r="O5" i="17" s="1"/>
  <c r="O2" i="8"/>
  <c r="U80" i="3"/>
  <c r="O2" i="17" s="1"/>
  <c r="U28" i="3"/>
  <c r="O6" i="9" s="1"/>
  <c r="V9" i="3"/>
  <c r="O1" i="18"/>
  <c r="O1" i="16"/>
  <c r="O1" i="14"/>
  <c r="O1" i="12"/>
  <c r="O1" i="10"/>
  <c r="O1" i="17"/>
  <c r="O1" i="15"/>
  <c r="O1" i="13"/>
  <c r="O1" i="11"/>
  <c r="O1" i="8"/>
  <c r="O1" i="2"/>
  <c r="O1" i="9"/>
  <c r="O4" i="2"/>
  <c r="O5" i="2"/>
  <c r="V80" i="3" l="1"/>
  <c r="P2" i="17" s="1"/>
  <c r="V17" i="3"/>
  <c r="P2" i="8" s="1"/>
  <c r="V36" i="3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P8" i="18" s="1"/>
  <c r="V92" i="3"/>
  <c r="P7" i="18" s="1"/>
  <c r="V22" i="3"/>
  <c r="P7" i="8" s="1"/>
  <c r="V30" i="3"/>
  <c r="P8" i="9" s="1"/>
  <c r="V29" i="3"/>
  <c r="P7" i="9" s="1"/>
  <c r="V86" i="3"/>
  <c r="P8" i="17" s="1"/>
  <c r="P7" i="2"/>
  <c r="V18" i="3"/>
  <c r="P3" i="8" s="1"/>
  <c r="P8" i="2"/>
  <c r="V23" i="3"/>
  <c r="P8" i="8" s="1"/>
  <c r="V88" i="3"/>
  <c r="P3" i="18" s="1"/>
  <c r="V90" i="3"/>
  <c r="P5" i="18" s="1"/>
  <c r="V42" i="3"/>
  <c r="P6" i="11" s="1"/>
  <c r="V87" i="3"/>
  <c r="P2" i="18" s="1"/>
  <c r="V91" i="3"/>
  <c r="P6" i="18" s="1"/>
  <c r="V53" i="3"/>
  <c r="P3" i="13" s="1"/>
  <c r="V89" i="3"/>
  <c r="P4" i="18" s="1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P4" i="10" s="1"/>
  <c r="V81" i="3"/>
  <c r="P3" i="17" s="1"/>
  <c r="V84" i="3"/>
  <c r="P6" i="17" s="1"/>
  <c r="V26" i="3"/>
  <c r="P4" i="9" s="1"/>
  <c r="V83" i="3"/>
  <c r="P5" i="17" s="1"/>
  <c r="V28" i="3"/>
  <c r="P6" i="9" s="1"/>
  <c r="V21" i="3"/>
  <c r="P6" i="8" s="1"/>
  <c r="V24" i="3"/>
  <c r="P2" i="9" s="1"/>
  <c r="V31" i="3"/>
  <c r="P2" i="10" s="1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P4" i="2"/>
  <c r="P5" i="2"/>
  <c r="P3" i="2"/>
  <c r="W17" i="3" l="1"/>
  <c r="Q2" i="8" s="1"/>
  <c r="Q2" i="2"/>
  <c r="Q3" i="2"/>
  <c r="W36" i="3"/>
  <c r="Q7" i="10" s="1"/>
  <c r="W37" i="3"/>
  <c r="Q8" i="10" s="1"/>
  <c r="W21" i="3"/>
  <c r="Q6" i="8" s="1"/>
  <c r="W31" i="3"/>
  <c r="Q2" i="10" s="1"/>
  <c r="W25" i="3"/>
  <c r="Q3" i="9" s="1"/>
  <c r="W28" i="3"/>
  <c r="Q6" i="9" s="1"/>
  <c r="W24" i="3"/>
  <c r="Q2" i="9" s="1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Q8" i="18" s="1"/>
  <c r="W92" i="3"/>
  <c r="Q7" i="18" s="1"/>
  <c r="W22" i="3"/>
  <c r="Q7" i="8" s="1"/>
  <c r="W30" i="3"/>
  <c r="Q8" i="9" s="1"/>
  <c r="W29" i="3"/>
  <c r="Q7" i="9" s="1"/>
  <c r="Q7" i="2"/>
  <c r="W18" i="3"/>
  <c r="Q3" i="8" s="1"/>
  <c r="Q8" i="2"/>
  <c r="W23" i="3"/>
  <c r="Q8" i="8" s="1"/>
  <c r="W90" i="3"/>
  <c r="Q5" i="18" s="1"/>
  <c r="W87" i="3"/>
  <c r="Q2" i="18" s="1"/>
  <c r="W53" i="3"/>
  <c r="Q3" i="13" s="1"/>
  <c r="W88" i="3"/>
  <c r="Q3" i="18" s="1"/>
  <c r="W91" i="3"/>
  <c r="Q6" i="18" s="1"/>
  <c r="W89" i="3"/>
  <c r="Q4" i="18" s="1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Q4" i="10" s="1"/>
  <c r="W26" i="3"/>
  <c r="Q4" i="9" s="1"/>
  <c r="W83" i="3"/>
  <c r="Q5" i="17" s="1"/>
  <c r="W80" i="3"/>
  <c r="Q2" i="17" s="1"/>
  <c r="W35" i="3"/>
  <c r="Q6" i="10" s="1"/>
  <c r="X9" i="3"/>
  <c r="X17" i="3" s="1"/>
  <c r="Q1" i="17"/>
  <c r="Q1" i="15"/>
  <c r="Q1" i="13"/>
  <c r="Q1" i="11"/>
  <c r="Q1" i="9"/>
  <c r="Q1" i="18"/>
  <c r="Q1" i="16"/>
  <c r="Q1" i="14"/>
  <c r="Q1" i="12"/>
  <c r="Q1" i="10"/>
  <c r="Q1" i="2"/>
  <c r="Q1" i="8"/>
  <c r="Q4" i="2"/>
  <c r="Q5" i="2"/>
  <c r="M2" i="2" l="1"/>
  <c r="X31" i="3"/>
  <c r="R2" i="10" s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R7" i="18" s="1"/>
  <c r="X93" i="3"/>
  <c r="R8" i="18" s="1"/>
  <c r="X22" i="3"/>
  <c r="R7" i="8" s="1"/>
  <c r="X30" i="3"/>
  <c r="R8" i="9" s="1"/>
  <c r="X86" i="3"/>
  <c r="R8" i="17" s="1"/>
  <c r="X29" i="3"/>
  <c r="R7" i="9" s="1"/>
  <c r="R7" i="2"/>
  <c r="X18" i="3"/>
  <c r="R3" i="8" s="1"/>
  <c r="X23" i="3"/>
  <c r="R8" i="8" s="1"/>
  <c r="R8" i="2"/>
  <c r="X90" i="3"/>
  <c r="R5" i="18" s="1"/>
  <c r="X88" i="3"/>
  <c r="R3" i="18" s="1"/>
  <c r="X52" i="3"/>
  <c r="R2" i="13" s="1"/>
  <c r="X53" i="3"/>
  <c r="R3" i="13" s="1"/>
  <c r="X42" i="3"/>
  <c r="R6" i="11" s="1"/>
  <c r="X91" i="3"/>
  <c r="R6" i="18" s="1"/>
  <c r="X89" i="3"/>
  <c r="R4" i="18" s="1"/>
  <c r="X87" i="3"/>
  <c r="R2" i="18" s="1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R4" i="10" s="1"/>
  <c r="X26" i="3"/>
  <c r="R4" i="9" s="1"/>
  <c r="X83" i="3"/>
  <c r="R5" i="17" s="1"/>
  <c r="X35" i="3"/>
  <c r="R6" i="10" s="1"/>
  <c r="X28" i="3"/>
  <c r="R6" i="9" s="1"/>
  <c r="X80" i="3"/>
  <c r="R2" i="17" s="1"/>
  <c r="R2" i="8"/>
  <c r="X25" i="3"/>
  <c r="R3" i="9" s="1"/>
  <c r="X24" i="3"/>
  <c r="R2" i="9" s="1"/>
  <c r="X32" i="3"/>
  <c r="R3" i="10" s="1"/>
  <c r="Y9" i="3"/>
  <c r="R1" i="17"/>
  <c r="R1" i="15"/>
  <c r="R1" i="13"/>
  <c r="R1" i="11"/>
  <c r="R1" i="9"/>
  <c r="R1" i="16"/>
  <c r="R1" i="14"/>
  <c r="R1" i="2"/>
  <c r="R1" i="8"/>
  <c r="R1" i="12"/>
  <c r="R1" i="18"/>
  <c r="R1" i="10"/>
  <c r="R4" i="2"/>
  <c r="R5" i="2"/>
  <c r="R3" i="2"/>
  <c r="N2" i="2" l="1"/>
  <c r="Y17" i="3"/>
  <c r="S2" i="8" s="1"/>
  <c r="S3" i="2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S7" i="18" s="1"/>
  <c r="Y93" i="3"/>
  <c r="S8" i="18" s="1"/>
  <c r="Y30" i="3"/>
  <c r="S8" i="9" s="1"/>
  <c r="Y86" i="3"/>
  <c r="S8" i="17" s="1"/>
  <c r="Y29" i="3"/>
  <c r="S7" i="9" s="1"/>
  <c r="Y22" i="3"/>
  <c r="S7" i="8" s="1"/>
  <c r="S7" i="2"/>
  <c r="Y18" i="3"/>
  <c r="S3" i="8" s="1"/>
  <c r="S8" i="2"/>
  <c r="Y23" i="3"/>
  <c r="S8" i="8" s="1"/>
  <c r="Y91" i="3"/>
  <c r="S6" i="18" s="1"/>
  <c r="Y89" i="3"/>
  <c r="S4" i="18" s="1"/>
  <c r="Y90" i="3"/>
  <c r="S5" i="18" s="1"/>
  <c r="Y42" i="3"/>
  <c r="S6" i="11" s="1"/>
  <c r="Y87" i="3"/>
  <c r="S2" i="18" s="1"/>
  <c r="Y53" i="3"/>
  <c r="S3" i="13" s="1"/>
  <c r="Y88" i="3"/>
  <c r="S3" i="18" s="1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S4" i="10" s="1"/>
  <c r="Y83" i="3"/>
  <c r="S5" i="17" s="1"/>
  <c r="Y84" i="3"/>
  <c r="S6" i="17" s="1"/>
  <c r="Y81" i="3"/>
  <c r="S3" i="17" s="1"/>
  <c r="Y26" i="3"/>
  <c r="S4" i="9" s="1"/>
  <c r="Y35" i="3"/>
  <c r="S6" i="10" s="1"/>
  <c r="Y80" i="3"/>
  <c r="S2" i="17" s="1"/>
  <c r="Y25" i="3"/>
  <c r="S3" i="9" s="1"/>
  <c r="Y28" i="3"/>
  <c r="S6" i="9" s="1"/>
  <c r="Y32" i="3"/>
  <c r="S3" i="10" s="1"/>
  <c r="Y24" i="3"/>
  <c r="S2" i="9" s="1"/>
  <c r="Y31" i="3"/>
  <c r="S2" i="10" s="1"/>
  <c r="Y21" i="3"/>
  <c r="S6" i="8" s="1"/>
  <c r="Z9" i="3"/>
  <c r="S1" i="18"/>
  <c r="S1" i="16"/>
  <c r="S1" i="14"/>
  <c r="S1" i="12"/>
  <c r="S1" i="10"/>
  <c r="S1" i="17"/>
  <c r="S1" i="15"/>
  <c r="S1" i="13"/>
  <c r="S1" i="11"/>
  <c r="S1" i="8"/>
  <c r="S1" i="9"/>
  <c r="S1" i="2"/>
  <c r="S4" i="2"/>
  <c r="S5" i="2"/>
  <c r="P2" i="2" l="1"/>
  <c r="O2" i="2"/>
  <c r="Z17" i="3"/>
  <c r="T2" i="8" s="1"/>
  <c r="Z21" i="3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T8" i="18" s="1"/>
  <c r="Z92" i="3"/>
  <c r="T7" i="18" s="1"/>
  <c r="Z30" i="3"/>
  <c r="T8" i="9" s="1"/>
  <c r="Z29" i="3"/>
  <c r="T7" i="9" s="1"/>
  <c r="Z22" i="3"/>
  <c r="T7" i="8" s="1"/>
  <c r="Z86" i="3"/>
  <c r="T8" i="17" s="1"/>
  <c r="T7" i="2"/>
  <c r="Z18" i="3"/>
  <c r="T3" i="8" s="1"/>
  <c r="Z23" i="3"/>
  <c r="T8" i="8" s="1"/>
  <c r="T8" i="2"/>
  <c r="Z91" i="3"/>
  <c r="T6" i="18" s="1"/>
  <c r="Z53" i="3"/>
  <c r="T3" i="13" s="1"/>
  <c r="Z89" i="3"/>
  <c r="T4" i="18" s="1"/>
  <c r="Z90" i="3"/>
  <c r="T5" i="18" s="1"/>
  <c r="Z88" i="3"/>
  <c r="T3" i="18" s="1"/>
  <c r="Z42" i="3"/>
  <c r="T6" i="11" s="1"/>
  <c r="Z87" i="3"/>
  <c r="T2" i="18" s="1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T4" i="10" s="1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Z24" i="3"/>
  <c r="T2" i="9" s="1"/>
  <c r="Z28" i="3"/>
  <c r="T6" i="9" s="1"/>
  <c r="Z31" i="3"/>
  <c r="T2" i="10" s="1"/>
  <c r="Z80" i="3"/>
  <c r="T2" i="17" s="1"/>
  <c r="Z25" i="3"/>
  <c r="T3" i="9" s="1"/>
  <c r="AA9" i="3"/>
  <c r="T1" i="18"/>
  <c r="T1" i="16"/>
  <c r="T1" i="14"/>
  <c r="T1" i="12"/>
  <c r="T1" i="10"/>
  <c r="T1" i="17"/>
  <c r="T1" i="15"/>
  <c r="T1" i="8"/>
  <c r="T1" i="13"/>
  <c r="T1" i="9"/>
  <c r="T1" i="11"/>
  <c r="T1" i="2"/>
  <c r="T4" i="2"/>
  <c r="T5" i="2"/>
  <c r="T3" i="2"/>
  <c r="AA17" i="3" l="1"/>
  <c r="U3" i="2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U8" i="18" s="1"/>
  <c r="AA92" i="3"/>
  <c r="U7" i="18" s="1"/>
  <c r="AA22" i="3"/>
  <c r="U7" i="8" s="1"/>
  <c r="AA29" i="3"/>
  <c r="U7" i="9" s="1"/>
  <c r="AA30" i="3"/>
  <c r="U8" i="9" s="1"/>
  <c r="U7" i="2"/>
  <c r="AA18" i="3"/>
  <c r="U3" i="8" s="1"/>
  <c r="U8" i="2"/>
  <c r="AA23" i="3"/>
  <c r="U8" i="8" s="1"/>
  <c r="AA91" i="3"/>
  <c r="U6" i="18" s="1"/>
  <c r="AA89" i="3"/>
  <c r="U4" i="18" s="1"/>
  <c r="AA42" i="3"/>
  <c r="U6" i="11" s="1"/>
  <c r="AA88" i="3"/>
  <c r="U3" i="18" s="1"/>
  <c r="AA87" i="3"/>
  <c r="U2" i="18" s="1"/>
  <c r="AA90" i="3"/>
  <c r="U5" i="18" s="1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U4" i="10" s="1"/>
  <c r="AA26" i="3"/>
  <c r="U4" i="9" s="1"/>
  <c r="AA83" i="3"/>
  <c r="U5" i="17" s="1"/>
  <c r="AA81" i="3"/>
  <c r="U3" i="17" s="1"/>
  <c r="AA84" i="3"/>
  <c r="U6" i="17" s="1"/>
  <c r="AA31" i="3"/>
  <c r="U2" i="10" s="1"/>
  <c r="AA28" i="3"/>
  <c r="U6" i="9" s="1"/>
  <c r="AA35" i="3"/>
  <c r="U6" i="10" s="1"/>
  <c r="AA32" i="3"/>
  <c r="U3" i="10" s="1"/>
  <c r="AA24" i="3"/>
  <c r="U2" i="9" s="1"/>
  <c r="U2" i="8"/>
  <c r="AA21" i="3"/>
  <c r="U6" i="8" s="1"/>
  <c r="AA80" i="3"/>
  <c r="U2" i="17" s="1"/>
  <c r="AA25" i="3"/>
  <c r="U3" i="9" s="1"/>
  <c r="AB9" i="3"/>
  <c r="U1" i="17"/>
  <c r="U1" i="15"/>
  <c r="U1" i="13"/>
  <c r="U1" i="11"/>
  <c r="U1" i="9"/>
  <c r="U1" i="18"/>
  <c r="U1" i="16"/>
  <c r="U1" i="14"/>
  <c r="U1" i="12"/>
  <c r="U1" i="10"/>
  <c r="U1" i="2"/>
  <c r="U1" i="8"/>
  <c r="U4" i="2"/>
  <c r="U5" i="2"/>
  <c r="V2" i="2" l="1"/>
  <c r="X14" i="3"/>
  <c r="Y14" i="3" s="1"/>
  <c r="Z14" i="3" s="1"/>
  <c r="AA14" i="3" s="1"/>
  <c r="AB17" i="3"/>
  <c r="V2" i="8" s="1"/>
  <c r="AB36" i="3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V7" i="18" s="1"/>
  <c r="AB93" i="3"/>
  <c r="V8" i="18" s="1"/>
  <c r="AB22" i="3"/>
  <c r="V7" i="8" s="1"/>
  <c r="AB29" i="3"/>
  <c r="V7" i="9" s="1"/>
  <c r="AB30" i="3"/>
  <c r="V8" i="9" s="1"/>
  <c r="AB86" i="3"/>
  <c r="V8" i="17" s="1"/>
  <c r="V7" i="2"/>
  <c r="AB18" i="3"/>
  <c r="V3" i="8" s="1"/>
  <c r="V8" i="2"/>
  <c r="AB91" i="3"/>
  <c r="V6" i="18" s="1"/>
  <c r="AB89" i="3"/>
  <c r="V4" i="18" s="1"/>
  <c r="AB90" i="3"/>
  <c r="V5" i="18" s="1"/>
  <c r="AB88" i="3"/>
  <c r="V3" i="18" s="1"/>
  <c r="AB42" i="3"/>
  <c r="V6" i="11" s="1"/>
  <c r="AB87" i="3"/>
  <c r="V2" i="18" s="1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V4" i="10" s="1"/>
  <c r="AB26" i="3"/>
  <c r="V4" i="9" s="1"/>
  <c r="AB83" i="3"/>
  <c r="V5" i="17" s="1"/>
  <c r="AB84" i="3"/>
  <c r="V6" i="17" s="1"/>
  <c r="AB81" i="3"/>
  <c r="V3" i="17" s="1"/>
  <c r="AB35" i="3"/>
  <c r="V6" i="10" s="1"/>
  <c r="AB80" i="3"/>
  <c r="V2" i="17" s="1"/>
  <c r="AB31" i="3"/>
  <c r="V2" i="10" s="1"/>
  <c r="AB32" i="3"/>
  <c r="V3" i="10" s="1"/>
  <c r="AB24" i="3"/>
  <c r="V2" i="9" s="1"/>
  <c r="AB25" i="3"/>
  <c r="V3" i="9" s="1"/>
  <c r="AB28" i="3"/>
  <c r="V6" i="9" s="1"/>
  <c r="AB21" i="3"/>
  <c r="V6" i="8" s="1"/>
  <c r="AC9" i="3"/>
  <c r="V1" i="17"/>
  <c r="V1" i="15"/>
  <c r="V1" i="13"/>
  <c r="V1" i="11"/>
  <c r="V1" i="9"/>
  <c r="V1" i="18"/>
  <c r="V1" i="10"/>
  <c r="V1" i="16"/>
  <c r="V1" i="2"/>
  <c r="V1" i="14"/>
  <c r="V1" i="12"/>
  <c r="V1" i="8"/>
  <c r="V4" i="2"/>
  <c r="V5" i="2"/>
  <c r="V3" i="2"/>
  <c r="AC17" i="3" l="1"/>
  <c r="W2" i="8" s="1"/>
  <c r="R2" i="2"/>
  <c r="W3" i="2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W7" i="18" s="1"/>
  <c r="AC93" i="3"/>
  <c r="W8" i="18" s="1"/>
  <c r="AC22" i="3"/>
  <c r="W7" i="8" s="1"/>
  <c r="AC86" i="3"/>
  <c r="W8" i="17" s="1"/>
  <c r="AC29" i="3"/>
  <c r="W7" i="9" s="1"/>
  <c r="AC30" i="3"/>
  <c r="W8" i="9" s="1"/>
  <c r="W7" i="2"/>
  <c r="AC18" i="3"/>
  <c r="W3" i="8" s="1"/>
  <c r="W8" i="2"/>
  <c r="AC23" i="3"/>
  <c r="W8" i="8" s="1"/>
  <c r="AC53" i="3"/>
  <c r="W3" i="13" s="1"/>
  <c r="AC87" i="3"/>
  <c r="W2" i="18" s="1"/>
  <c r="AC91" i="3"/>
  <c r="W6" i="18" s="1"/>
  <c r="AC89" i="3"/>
  <c r="W4" i="18" s="1"/>
  <c r="AC90" i="3"/>
  <c r="W5" i="18" s="1"/>
  <c r="AC42" i="3"/>
  <c r="W6" i="11" s="1"/>
  <c r="AC88" i="3"/>
  <c r="W3" i="18" s="1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W4" i="10" s="1"/>
  <c r="AC83" i="3"/>
  <c r="W5" i="17" s="1"/>
  <c r="AC84" i="3"/>
  <c r="W6" i="17" s="1"/>
  <c r="AC81" i="3"/>
  <c r="W3" i="17" s="1"/>
  <c r="AC35" i="3"/>
  <c r="W6" i="10" s="1"/>
  <c r="AC80" i="3"/>
  <c r="W2" i="17" s="1"/>
  <c r="AC31" i="3"/>
  <c r="W2" i="10" s="1"/>
  <c r="AC28" i="3"/>
  <c r="W6" i="9" s="1"/>
  <c r="AC32" i="3"/>
  <c r="W3" i="10" s="1"/>
  <c r="AC25" i="3"/>
  <c r="W3" i="9" s="1"/>
  <c r="AC24" i="3"/>
  <c r="W2" i="9" s="1"/>
  <c r="AC21" i="3"/>
  <c r="W6" i="8" s="1"/>
  <c r="AD9" i="3"/>
  <c r="W1" i="18"/>
  <c r="W1" i="16"/>
  <c r="W1" i="14"/>
  <c r="W1" i="12"/>
  <c r="W1" i="10"/>
  <c r="W1" i="17"/>
  <c r="W1" i="15"/>
  <c r="W1" i="13"/>
  <c r="W1" i="11"/>
  <c r="W1" i="8"/>
  <c r="W1" i="9"/>
  <c r="W1" i="2"/>
  <c r="W4" i="2"/>
  <c r="W5" i="2"/>
  <c r="AD17" i="3" l="1"/>
  <c r="X2" i="8" s="1"/>
  <c r="S2" i="2"/>
  <c r="AD36" i="3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X8" i="18" s="1"/>
  <c r="AD92" i="3"/>
  <c r="X7" i="18" s="1"/>
  <c r="AD29" i="3"/>
  <c r="X7" i="9" s="1"/>
  <c r="AD86" i="3"/>
  <c r="X8" i="17" s="1"/>
  <c r="AD22" i="3"/>
  <c r="X7" i="8" s="1"/>
  <c r="AD30" i="3"/>
  <c r="X8" i="9" s="1"/>
  <c r="X7" i="2"/>
  <c r="AD18" i="3"/>
  <c r="X3" i="8" s="1"/>
  <c r="X8" i="2"/>
  <c r="AD23" i="3"/>
  <c r="X8" i="8" s="1"/>
  <c r="AD88" i="3"/>
  <c r="X3" i="18" s="1"/>
  <c r="AD87" i="3"/>
  <c r="X2" i="18" s="1"/>
  <c r="AD91" i="3"/>
  <c r="X6" i="18" s="1"/>
  <c r="AD53" i="3"/>
  <c r="X3" i="13" s="1"/>
  <c r="AD89" i="3"/>
  <c r="X4" i="18" s="1"/>
  <c r="AD52" i="3"/>
  <c r="X2" i="13" s="1"/>
  <c r="AD90" i="3"/>
  <c r="X5" i="18" s="1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X4" i="10" s="1"/>
  <c r="AD81" i="3"/>
  <c r="X3" i="17" s="1"/>
  <c r="AD35" i="3"/>
  <c r="X6" i="10" s="1"/>
  <c r="AD24" i="3"/>
  <c r="X2" i="9" s="1"/>
  <c r="AD28" i="3"/>
  <c r="X6" i="9" s="1"/>
  <c r="AD31" i="3"/>
  <c r="X2" i="10" s="1"/>
  <c r="AD25" i="3"/>
  <c r="X3" i="9" s="1"/>
  <c r="AD80" i="3"/>
  <c r="X2" i="17" s="1"/>
  <c r="AD32" i="3"/>
  <c r="X3" i="10" s="1"/>
  <c r="AD21" i="3"/>
  <c r="X6" i="8" s="1"/>
  <c r="AE9" i="3"/>
  <c r="X1" i="18"/>
  <c r="X1" i="16"/>
  <c r="X1" i="14"/>
  <c r="X1" i="12"/>
  <c r="X1" i="10"/>
  <c r="X1" i="11"/>
  <c r="X1" i="9"/>
  <c r="X1" i="17"/>
  <c r="X1" i="8"/>
  <c r="X1" i="2"/>
  <c r="X1" i="15"/>
  <c r="X1" i="13"/>
  <c r="X4" i="2"/>
  <c r="X5" i="2"/>
  <c r="X3" i="2"/>
  <c r="AE17" i="3" l="1"/>
  <c r="Y2" i="8" s="1"/>
  <c r="U2" i="2"/>
  <c r="T2" i="2"/>
  <c r="AE36" i="3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Y8" i="18" s="1"/>
  <c r="AE86" i="3"/>
  <c r="Y8" i="17" s="1"/>
  <c r="AE92" i="3"/>
  <c r="Y7" i="18" s="1"/>
  <c r="AE29" i="3"/>
  <c r="Y7" i="9" s="1"/>
  <c r="AE22" i="3"/>
  <c r="Y7" i="8" s="1"/>
  <c r="AE30" i="3"/>
  <c r="Y8" i="9" s="1"/>
  <c r="Y7" i="2"/>
  <c r="AE18" i="3"/>
  <c r="Y3" i="8" s="1"/>
  <c r="AE23" i="3"/>
  <c r="Y8" i="8" s="1"/>
  <c r="Y8" i="2"/>
  <c r="AE53" i="3"/>
  <c r="Y3" i="13" s="1"/>
  <c r="AE91" i="3"/>
  <c r="Y6" i="18" s="1"/>
  <c r="AE89" i="3"/>
  <c r="Y4" i="18" s="1"/>
  <c r="AE42" i="3"/>
  <c r="Y6" i="11" s="1"/>
  <c r="AE52" i="3"/>
  <c r="Y2" i="13" s="1"/>
  <c r="AE90" i="3"/>
  <c r="Y5" i="18" s="1"/>
  <c r="AE88" i="3"/>
  <c r="Y3" i="18" s="1"/>
  <c r="AE87" i="3"/>
  <c r="Y2" i="18" s="1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Y4" i="10" s="1"/>
  <c r="AE26" i="3"/>
  <c r="Y4" i="9" s="1"/>
  <c r="AE83" i="3"/>
  <c r="Y5" i="17" s="1"/>
  <c r="AE81" i="3"/>
  <c r="Y3" i="17" s="1"/>
  <c r="AE35" i="3"/>
  <c r="Y6" i="10" s="1"/>
  <c r="AE25" i="3"/>
  <c r="Y3" i="9" s="1"/>
  <c r="AE80" i="3"/>
  <c r="Y2" i="17" s="1"/>
  <c r="AE31" i="3"/>
  <c r="Y2" i="10" s="1"/>
  <c r="AE24" i="3"/>
  <c r="Y2" i="9" s="1"/>
  <c r="AE32" i="3"/>
  <c r="Y3" i="10" s="1"/>
  <c r="AE28" i="3"/>
  <c r="Y6" i="9" s="1"/>
  <c r="AE21" i="3"/>
  <c r="Y6" i="8" s="1"/>
  <c r="AF9" i="3"/>
  <c r="Y1" i="17"/>
  <c r="Y1" i="15"/>
  <c r="Y1" i="13"/>
  <c r="Y1" i="11"/>
  <c r="Y1" i="9"/>
  <c r="Y1" i="18"/>
  <c r="Y1" i="16"/>
  <c r="Y1" i="14"/>
  <c r="Y1" i="12"/>
  <c r="Y1" i="10"/>
  <c r="Y1" i="2"/>
  <c r="Y1" i="8"/>
  <c r="Y4" i="2"/>
  <c r="Y5" i="2"/>
  <c r="Y3" i="2"/>
  <c r="AF17" i="3" l="1"/>
  <c r="Z2" i="8" s="1"/>
  <c r="AF36" i="3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Z7" i="18" s="1"/>
  <c r="AF93" i="3"/>
  <c r="Z8" i="18" s="1"/>
  <c r="AF85" i="3"/>
  <c r="Z7" i="17" s="1"/>
  <c r="AF22" i="3"/>
  <c r="Z7" i="8" s="1"/>
  <c r="AF29" i="3"/>
  <c r="Z7" i="9" s="1"/>
  <c r="AF30" i="3"/>
  <c r="Z8" i="9" s="1"/>
  <c r="AF86" i="3"/>
  <c r="Z8" i="17" s="1"/>
  <c r="Z7" i="2"/>
  <c r="AF18" i="3"/>
  <c r="Z3" i="8" s="1"/>
  <c r="AF23" i="3"/>
  <c r="Z8" i="8" s="1"/>
  <c r="Z8" i="2"/>
  <c r="AF53" i="3"/>
  <c r="Z3" i="13" s="1"/>
  <c r="AF42" i="3"/>
  <c r="Z6" i="11" s="1"/>
  <c r="AF91" i="3"/>
  <c r="Z6" i="18" s="1"/>
  <c r="AF89" i="3"/>
  <c r="Z4" i="18" s="1"/>
  <c r="AF90" i="3"/>
  <c r="Z5" i="18" s="1"/>
  <c r="AF88" i="3"/>
  <c r="Z3" i="18" s="1"/>
  <c r="AF87" i="3"/>
  <c r="Z2" i="18" s="1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Z4" i="10" s="1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AF80" i="3"/>
  <c r="Z2" i="17" s="1"/>
  <c r="AF31" i="3"/>
  <c r="Z2" i="10" s="1"/>
  <c r="AF24" i="3"/>
  <c r="Z2" i="9" s="1"/>
  <c r="AF28" i="3"/>
  <c r="Z6" i="9" s="1"/>
  <c r="AF21" i="3"/>
  <c r="Z6" i="8" s="1"/>
  <c r="AF25" i="3"/>
  <c r="Z3" i="9" s="1"/>
  <c r="AG9" i="3"/>
  <c r="Z1" i="17"/>
  <c r="Z1" i="15"/>
  <c r="Z1" i="13"/>
  <c r="Z1" i="11"/>
  <c r="Z1" i="9"/>
  <c r="Z1" i="12"/>
  <c r="Z1" i="18"/>
  <c r="Z1" i="10"/>
  <c r="Z1" i="2"/>
  <c r="Z1" i="8"/>
  <c r="Z1" i="16"/>
  <c r="Z1" i="14"/>
  <c r="Z4" i="2"/>
  <c r="Z5" i="2"/>
  <c r="Z3" i="2"/>
  <c r="AA2" i="2" l="1"/>
  <c r="AC14" i="3"/>
  <c r="AD14" i="3" s="1"/>
  <c r="AE14" i="3" s="1"/>
  <c r="AF14" i="3" s="1"/>
  <c r="AG17" i="3"/>
  <c r="AG36" i="3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A7" i="18" s="1"/>
  <c r="AG93" i="3"/>
  <c r="AA8" i="18" s="1"/>
  <c r="AG22" i="3"/>
  <c r="AA7" i="8" s="1"/>
  <c r="AG30" i="3"/>
  <c r="AA8" i="9" s="1"/>
  <c r="AG86" i="3"/>
  <c r="AA8" i="17" s="1"/>
  <c r="AG29" i="3"/>
  <c r="AA7" i="9" s="1"/>
  <c r="AA7" i="2"/>
  <c r="AG18" i="3"/>
  <c r="AA3" i="8" s="1"/>
  <c r="AG23" i="3"/>
  <c r="AA8" i="8" s="1"/>
  <c r="AA8" i="2"/>
  <c r="AG53" i="3"/>
  <c r="AA3" i="13" s="1"/>
  <c r="AG91" i="3"/>
  <c r="AA6" i="18" s="1"/>
  <c r="AG89" i="3"/>
  <c r="AA4" i="18" s="1"/>
  <c r="AG88" i="3"/>
  <c r="AA3" i="18" s="1"/>
  <c r="AG90" i="3"/>
  <c r="AA5" i="18" s="1"/>
  <c r="AG87" i="3"/>
  <c r="AA2" i="18" s="1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A4" i="10" s="1"/>
  <c r="AG83" i="3"/>
  <c r="AA5" i="17" s="1"/>
  <c r="AG25" i="3"/>
  <c r="AA3" i="9" s="1"/>
  <c r="AG35" i="3"/>
  <c r="AA6" i="10" s="1"/>
  <c r="AG28" i="3"/>
  <c r="AA6" i="9" s="1"/>
  <c r="AG31" i="3"/>
  <c r="AA2" i="10" s="1"/>
  <c r="AG32" i="3"/>
  <c r="AA3" i="10" s="1"/>
  <c r="AG80" i="3"/>
  <c r="AA2" i="17" s="1"/>
  <c r="AG24" i="3"/>
  <c r="AA2" i="9" s="1"/>
  <c r="AG21" i="3"/>
  <c r="AA6" i="8" s="1"/>
  <c r="AA2" i="8"/>
  <c r="AH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A4" i="2"/>
  <c r="AA5" i="2"/>
  <c r="AA3" i="2"/>
  <c r="AH17" i="3" l="1"/>
  <c r="AB2" i="8" s="1"/>
  <c r="W2" i="2"/>
  <c r="AH36" i="3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B8" i="18" s="1"/>
  <c r="AH92" i="3"/>
  <c r="AB7" i="18" s="1"/>
  <c r="AH22" i="3"/>
  <c r="AB7" i="8" s="1"/>
  <c r="AH86" i="3"/>
  <c r="AB8" i="17" s="1"/>
  <c r="AH29" i="3"/>
  <c r="AB7" i="9" s="1"/>
  <c r="AH30" i="3"/>
  <c r="AB8" i="9" s="1"/>
  <c r="AB7" i="2"/>
  <c r="AH18" i="3"/>
  <c r="AB3" i="8" s="1"/>
  <c r="AH23" i="3"/>
  <c r="AB8" i="8" s="1"/>
  <c r="AH90" i="3"/>
  <c r="AB5" i="18" s="1"/>
  <c r="AH88" i="3"/>
  <c r="AB3" i="18" s="1"/>
  <c r="AH87" i="3"/>
  <c r="AB2" i="18" s="1"/>
  <c r="AH42" i="3"/>
  <c r="AB6" i="11" s="1"/>
  <c r="AH91" i="3"/>
  <c r="AB6" i="18" s="1"/>
  <c r="AH53" i="3"/>
  <c r="AB3" i="13" s="1"/>
  <c r="AH89" i="3"/>
  <c r="AB4" i="18" s="1"/>
  <c r="AB8" i="2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B4" i="10" s="1"/>
  <c r="AH35" i="3"/>
  <c r="AB6" i="10" s="1"/>
  <c r="AH80" i="3"/>
  <c r="AB2" i="17" s="1"/>
  <c r="AH28" i="3"/>
  <c r="AB6" i="9" s="1"/>
  <c r="AH24" i="3"/>
  <c r="AB2" i="9" s="1"/>
  <c r="AH32" i="3"/>
  <c r="AB3" i="10" s="1"/>
  <c r="AH21" i="3"/>
  <c r="AB6" i="8" s="1"/>
  <c r="AH31" i="3"/>
  <c r="AB2" i="10" s="1"/>
  <c r="AH25" i="3"/>
  <c r="AB3" i="9" s="1"/>
  <c r="AI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B4" i="2"/>
  <c r="AB5" i="2"/>
  <c r="AB3" i="2"/>
  <c r="AI17" i="3" l="1"/>
  <c r="X2" i="2"/>
  <c r="AI36" i="3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C8" i="18" s="1"/>
  <c r="AI92" i="3"/>
  <c r="AC7" i="18" s="1"/>
  <c r="AI30" i="3"/>
  <c r="AC8" i="9" s="1"/>
  <c r="AI29" i="3"/>
  <c r="AC7" i="9" s="1"/>
  <c r="AI22" i="3"/>
  <c r="AC7" i="8" s="1"/>
  <c r="AC7" i="2"/>
  <c r="AI18" i="3"/>
  <c r="AC3" i="8" s="1"/>
  <c r="AC8" i="2"/>
  <c r="AI23" i="3"/>
  <c r="AC8" i="8" s="1"/>
  <c r="AI90" i="3"/>
  <c r="AC5" i="18" s="1"/>
  <c r="AI53" i="3"/>
  <c r="AC3" i="13" s="1"/>
  <c r="AI88" i="3"/>
  <c r="AC3" i="18" s="1"/>
  <c r="AI87" i="3"/>
  <c r="AC2" i="18" s="1"/>
  <c r="AI91" i="3"/>
  <c r="AC6" i="18" s="1"/>
  <c r="AI89" i="3"/>
  <c r="AC4" i="18" s="1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C4" i="10" s="1"/>
  <c r="AI26" i="3"/>
  <c r="AC4" i="9" s="1"/>
  <c r="AI83" i="3"/>
  <c r="AC5" i="17" s="1"/>
  <c r="AI35" i="3"/>
  <c r="AC6" i="10" s="1"/>
  <c r="AI31" i="3"/>
  <c r="AC2" i="10" s="1"/>
  <c r="AI32" i="3"/>
  <c r="AC3" i="10" s="1"/>
  <c r="AI28" i="3"/>
  <c r="AC6" i="9" s="1"/>
  <c r="AI24" i="3"/>
  <c r="AC2" i="9" s="1"/>
  <c r="AI21" i="3"/>
  <c r="AC6" i="8" s="1"/>
  <c r="AI25" i="3"/>
  <c r="AC3" i="9" s="1"/>
  <c r="AI80" i="3"/>
  <c r="AC2" i="17" s="1"/>
  <c r="AC2" i="8"/>
  <c r="AJ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C4" i="2"/>
  <c r="AC5" i="2"/>
  <c r="AC3" i="2"/>
  <c r="AJ17" i="3" l="1"/>
  <c r="AD2" i="8" s="1"/>
  <c r="Z2" i="2"/>
  <c r="Y2" i="2"/>
  <c r="AJ36" i="3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D7" i="18" s="1"/>
  <c r="AJ93" i="3"/>
  <c r="AD8" i="18" s="1"/>
  <c r="AJ22" i="3"/>
  <c r="AD7" i="8" s="1"/>
  <c r="AJ30" i="3"/>
  <c r="AD8" i="9" s="1"/>
  <c r="AJ86" i="3"/>
  <c r="AD8" i="17" s="1"/>
  <c r="AJ29" i="3"/>
  <c r="AD7" i="9" s="1"/>
  <c r="AD7" i="2"/>
  <c r="AJ18" i="3"/>
  <c r="AD3" i="8" s="1"/>
  <c r="AJ23" i="3"/>
  <c r="AD8" i="8" s="1"/>
  <c r="AD8" i="2"/>
  <c r="AJ87" i="3"/>
  <c r="AD2" i="18" s="1"/>
  <c r="AJ53" i="3"/>
  <c r="AD3" i="13" s="1"/>
  <c r="AJ91" i="3"/>
  <c r="AD6" i="18" s="1"/>
  <c r="AJ89" i="3"/>
  <c r="AD4" i="18" s="1"/>
  <c r="AJ90" i="3"/>
  <c r="AD5" i="18" s="1"/>
  <c r="AJ88" i="3"/>
  <c r="AD3" i="18" s="1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D4" i="10" s="1"/>
  <c r="AJ26" i="3"/>
  <c r="AD4" i="9" s="1"/>
  <c r="AJ83" i="3"/>
  <c r="AD5" i="17" s="1"/>
  <c r="AJ35" i="3"/>
  <c r="AD6" i="10" s="1"/>
  <c r="AJ28" i="3"/>
  <c r="AD6" i="9" s="1"/>
  <c r="AJ31" i="3"/>
  <c r="AD2" i="10" s="1"/>
  <c r="AJ32" i="3"/>
  <c r="AD3" i="10" s="1"/>
  <c r="AJ80" i="3"/>
  <c r="AD2" i="17" s="1"/>
  <c r="AJ24" i="3"/>
  <c r="AD2" i="9" s="1"/>
  <c r="AJ25" i="3"/>
  <c r="AD3" i="9" s="1"/>
  <c r="AJ21" i="3"/>
  <c r="AD6" i="8" s="1"/>
  <c r="AK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D4" i="2"/>
  <c r="AD5" i="2"/>
  <c r="AD3" i="2"/>
  <c r="AK17" i="3" l="1"/>
  <c r="AE2" i="8" s="1"/>
  <c r="AK36" i="3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E7" i="18" s="1"/>
  <c r="AK93" i="3"/>
  <c r="AE8" i="18" s="1"/>
  <c r="AK30" i="3"/>
  <c r="AE8" i="9" s="1"/>
  <c r="AK22" i="3"/>
  <c r="AE7" i="8" s="1"/>
  <c r="AK86" i="3"/>
  <c r="AE8" i="17" s="1"/>
  <c r="AE7" i="2"/>
  <c r="AK18" i="3"/>
  <c r="AE3" i="8" s="1"/>
  <c r="AE8" i="2"/>
  <c r="AK23" i="3"/>
  <c r="AE8" i="8" s="1"/>
  <c r="AK90" i="3"/>
  <c r="AE5" i="18" s="1"/>
  <c r="AK88" i="3"/>
  <c r="AE3" i="18" s="1"/>
  <c r="AK42" i="3"/>
  <c r="AE6" i="11" s="1"/>
  <c r="AK53" i="3"/>
  <c r="AE3" i="13" s="1"/>
  <c r="AK91" i="3"/>
  <c r="AE6" i="18" s="1"/>
  <c r="AK89" i="3"/>
  <c r="AE4" i="18" s="1"/>
  <c r="AK87" i="3"/>
  <c r="AE2" i="18" s="1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E4" i="10" s="1"/>
  <c r="AK83" i="3"/>
  <c r="AE5" i="17" s="1"/>
  <c r="AK31" i="3"/>
  <c r="AE2" i="10" s="1"/>
  <c r="AK35" i="3"/>
  <c r="AE6" i="10" s="1"/>
  <c r="AK28" i="3"/>
  <c r="AE6" i="9" s="1"/>
  <c r="AK25" i="3"/>
  <c r="AE3" i="9" s="1"/>
  <c r="AK80" i="3"/>
  <c r="AE2" i="17" s="1"/>
  <c r="AK21" i="3"/>
  <c r="AE6" i="8" s="1"/>
  <c r="AK24" i="3"/>
  <c r="AE2" i="9" s="1"/>
  <c r="AK32" i="3"/>
  <c r="AE3" i="10" s="1"/>
  <c r="AL9" i="3"/>
  <c r="AE1" i="18"/>
  <c r="AE1" i="16"/>
  <c r="AE1" i="14"/>
  <c r="AE1" i="12"/>
  <c r="AE1" i="10"/>
  <c r="AE1" i="17"/>
  <c r="AE1" i="15"/>
  <c r="AE1" i="13"/>
  <c r="AE1" i="11"/>
  <c r="AE1" i="8"/>
  <c r="AE1" i="2"/>
  <c r="AE1" i="9"/>
  <c r="AE4" i="2"/>
  <c r="AE5" i="2"/>
  <c r="AE3" i="2"/>
  <c r="AF2" i="2" l="1"/>
  <c r="AH14" i="3"/>
  <c r="AI14" i="3" s="1"/>
  <c r="AJ14" i="3" s="1"/>
  <c r="AK14" i="3" s="1"/>
  <c r="AL17" i="3"/>
  <c r="AL36" i="3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F8" i="18" s="1"/>
  <c r="AL85" i="3"/>
  <c r="AF7" i="17" s="1"/>
  <c r="AL92" i="3"/>
  <c r="AF7" i="18" s="1"/>
  <c r="AL29" i="3"/>
  <c r="AF7" i="9" s="1"/>
  <c r="AL22" i="3"/>
  <c r="AF7" i="8" s="1"/>
  <c r="AL30" i="3"/>
  <c r="AF8" i="9" s="1"/>
  <c r="AL86" i="3"/>
  <c r="AF8" i="17" s="1"/>
  <c r="AF7" i="2"/>
  <c r="AL18" i="3"/>
  <c r="AF3" i="8" s="1"/>
  <c r="AF8" i="2"/>
  <c r="AL23" i="3"/>
  <c r="AF8" i="8" s="1"/>
  <c r="AL90" i="3"/>
  <c r="AF5" i="18" s="1"/>
  <c r="AL87" i="3"/>
  <c r="AF2" i="18" s="1"/>
  <c r="AL42" i="3"/>
  <c r="AF6" i="11" s="1"/>
  <c r="AL91" i="3"/>
  <c r="AF6" i="18" s="1"/>
  <c r="AL53" i="3"/>
  <c r="AF3" i="13" s="1"/>
  <c r="AL89" i="3"/>
  <c r="AF4" i="18" s="1"/>
  <c r="AL88" i="3"/>
  <c r="AF3" i="18" s="1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F4" i="10" s="1"/>
  <c r="AL84" i="3"/>
  <c r="AF6" i="17" s="1"/>
  <c r="AL26" i="3"/>
  <c r="AF4" i="9" s="1"/>
  <c r="AL83" i="3"/>
  <c r="AF5" i="17" s="1"/>
  <c r="AL35" i="3"/>
  <c r="AF6" i="10" s="1"/>
  <c r="AL24" i="3"/>
  <c r="AF2" i="9" s="1"/>
  <c r="AL32" i="3"/>
  <c r="AF3" i="10" s="1"/>
  <c r="AL80" i="3"/>
  <c r="AF2" i="17" s="1"/>
  <c r="AL25" i="3"/>
  <c r="AF3" i="9" s="1"/>
  <c r="AL28" i="3"/>
  <c r="AF6" i="9" s="1"/>
  <c r="AL31" i="3"/>
  <c r="AF2" i="10" s="1"/>
  <c r="AL21" i="3"/>
  <c r="AF6" i="8" s="1"/>
  <c r="AF2" i="8"/>
  <c r="AF1" i="18"/>
  <c r="AF1" i="16"/>
  <c r="AF1" i="14"/>
  <c r="AF1" i="12"/>
  <c r="AF1" i="10"/>
  <c r="AF1" i="15"/>
  <c r="AF1" i="9"/>
  <c r="AF1" i="13"/>
  <c r="AF1" i="8"/>
  <c r="AF1" i="11"/>
  <c r="AF1" i="17"/>
  <c r="AF1" i="2"/>
  <c r="AF4" i="2"/>
  <c r="AF5" i="2"/>
  <c r="AF3" i="2"/>
  <c r="AB2" i="2" l="1"/>
  <c r="R6" i="2"/>
  <c r="S14" i="3"/>
  <c r="Q6" i="2"/>
  <c r="AC2" i="2" l="1"/>
  <c r="M6" i="2"/>
  <c r="T14" i="3"/>
  <c r="U14" i="3" s="1"/>
  <c r="V14" i="3" s="1"/>
  <c r="S6" i="2"/>
  <c r="AE2" i="2" l="1"/>
  <c r="AD2" i="2"/>
  <c r="N6" i="2"/>
  <c r="T6" i="2"/>
  <c r="U6" i="2" l="1"/>
  <c r="O6" i="2"/>
  <c r="P6" i="2"/>
  <c r="V6" i="2" l="1"/>
  <c r="W6" i="2" l="1"/>
  <c r="X6" i="2" l="1"/>
  <c r="Y6" i="2" l="1"/>
  <c r="Z6" i="2" l="1"/>
  <c r="AA6" i="2" l="1"/>
  <c r="AB6" i="2" l="1"/>
  <c r="AC6" i="2" l="1"/>
  <c r="AD6" i="2" l="1"/>
  <c r="AF6" i="2" l="1"/>
  <c r="AE6" i="2"/>
</calcChain>
</file>

<file path=xl/sharedStrings.xml><?xml version="1.0" encoding="utf-8"?>
<sst xmlns="http://schemas.openxmlformats.org/spreadsheetml/2006/main" count="834" uniqueCount="403">
  <si>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</si>
  <si>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</si>
  <si>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</si>
  <si>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</si>
  <si>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</si>
  <si>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</si>
  <si>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</si>
  <si>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</si>
  <si>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</si>
  <si>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</si>
  <si>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</si>
  <si>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</si>
  <si>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</si>
  <si>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</si>
  <si>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</si>
  <si>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</si>
  <si>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</si>
  <si>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</si>
  <si>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</si>
  <si>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</si>
  <si>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</si>
  <si>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</si>
  <si>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</si>
  <si>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</si>
  <si>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</si>
  <si>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</si>
  <si>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</si>
  <si>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</si>
  <si>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</si>
  <si>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</si>
  <si>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between the current sales share and the potential 2050 sales share.</t>
  </si>
  <si>
    <t>last year values (on the "Data" tab).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</si>
  <si>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</si>
  <si>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</si>
  <si>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</si>
  <si>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</si>
  <si>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</si>
  <si>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</si>
  <si>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</si>
  <si>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</si>
  <si>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</si>
  <si>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</si>
  <si>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</si>
  <si>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</si>
  <si>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</si>
  <si>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</si>
  <si>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</si>
  <si>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</si>
  <si>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</si>
  <si>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</si>
  <si>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</si>
  <si>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</si>
  <si>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</si>
  <si>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</si>
  <si>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</si>
  <si>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</si>
  <si>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</si>
  <si>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</si>
  <si>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</si>
  <si>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</si>
  <si>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</si>
  <si>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</si>
  <si>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</si>
  <si>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</si>
  <si>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</si>
  <si>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</si>
  <si>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</si>
  <si>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</si>
  <si>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</si>
  <si>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</si>
  <si>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</si>
  <si>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</si>
  <si>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</si>
  <si>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</si>
  <si>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</si>
  <si>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</si>
  <si>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linear</t>
  </si>
  <si>
    <t>For passenger HDVs, we use the same percentages as passenger LDVs.</t>
  </si>
  <si>
    <t>LPG vehicle</t>
  </si>
  <si>
    <t>hydrogen vehicle</t>
  </si>
  <si>
    <t>Max Fraction of Production (dimensionless)</t>
  </si>
  <si>
    <t>Number of Vehicles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</si>
  <si>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</si>
  <si>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</si>
  <si>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</si>
  <si>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</si>
  <si>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</si>
  <si>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</si>
  <si>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</si>
  <si>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</si>
  <si>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</si>
  <si>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</si>
  <si>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</si>
  <si>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</si>
  <si>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</si>
  <si>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</si>
  <si>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</si>
  <si>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</si>
  <si>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</si>
  <si>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</si>
  <si>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</si>
  <si>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</si>
  <si>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All vehicles</t>
  </si>
  <si>
    <t>year</t>
  </si>
  <si>
    <t>vehicle_type</t>
  </si>
  <si>
    <t>vehicle_tech</t>
  </si>
  <si>
    <t>cost</t>
  </si>
  <si>
    <t>share_obs</t>
  </si>
  <si>
    <t>w</t>
  </si>
  <si>
    <t>alpha</t>
  </si>
  <si>
    <t>passenger LDVs</t>
  </si>
  <si>
    <t>indicates value hardcoded during calibration</t>
  </si>
  <si>
    <t>Time (Year)</t>
  </si>
  <si>
    <t>NPV of Lifetime Vehicle Cost[rail,passenger,battery electric vehicle] : NoSettings</t>
  </si>
  <si>
    <t>NPV of Lifetime Vehicle Cost[rail,passenger,natural gas vehicle] : NoSettings</t>
  </si>
  <si>
    <t>NPV of Lifetime Vehicle Cost[rail,passenger,gasoline vehicle] : NoSettings</t>
  </si>
  <si>
    <t>NPV of Lifetime Vehicle Cost[rail,passenger,diesel vehicle] : NoSettings</t>
  </si>
  <si>
    <t>NPV of Lifetime Vehicle Cost[rail,passenger,plugin hybrid vehicle] : NoSettings</t>
  </si>
  <si>
    <t>NPV of Lifetime Vehicle Cost[rail,passenger,LPG vehicle] : NoSettings</t>
  </si>
  <si>
    <t>NPV of Lifetime Vehicle Cost[rail,passenger,hydrogen vehicle] : NoSettings</t>
  </si>
  <si>
    <t>NPV of Lifetime Vehicle Cost[rail,freight,battery electric vehicle] : NoSettings</t>
  </si>
  <si>
    <t>NPV of Lifetime Vehicle Cost[rail,freight,natural gas vehicle] : NoSettings</t>
  </si>
  <si>
    <t>NPV of Lifetime Vehicle Cost[rail,freight,gasoline vehicle] : NoSettings</t>
  </si>
  <si>
    <t>NPV of Lifetime Vehicle Cost[rail,freight,diesel vehicle] : NoSettings</t>
  </si>
  <si>
    <t>NPV of Lifetime Vehicle Cost[rail,freight,plugin hybrid vehicle] : NoSettings</t>
  </si>
  <si>
    <t>NPV of Lifetime Vehicle Cost[rail,freight,LPG vehicle] : NoSettings</t>
  </si>
  <si>
    <t>NPV of Lifetime Vehicle Cost[rail,freight,hydrogen vehicle] : NoSettings</t>
  </si>
  <si>
    <t xml:space="preserve">      TTS Transportation Technology Shareweights[Vehicle Type,Cargo Type,Vehicle Technology</t>
  </si>
  <si>
    <t>]</t>
  </si>
  <si>
    <t xml:space="preserve">      * exp(MAX(1, NPV of Lifetime Vehicle Cost[Vehicle Type,Cargo Type,Vehicle Technology</t>
  </si>
  <si>
    <t>]* Vehicle Allocation Unit Correction)/1e+06*TTLE Transportation Technology Logit Exponents</t>
  </si>
  <si>
    <t>[Vehicle Type,Cargo Type])</t>
  </si>
  <si>
    <t xml:space="preserve">    )</t>
  </si>
  <si>
    <t xml:space="preserve">    /</t>
  </si>
  <si>
    <t xml:space="preserve">    (</t>
  </si>
  <si>
    <t xml:space="preserve">      SUM(TTS Transportation Technology Shareweights[Vehicle Type,Cargo Type,Vehicle Technology</t>
  </si>
  <si>
    <t>!]</t>
  </si>
  <si>
    <t>!]* Vehicle Allocation Unit Correction)/1e+06*TTLE Transportation Technology Logit Exponents</t>
  </si>
  <si>
    <t>python script #1 (determines logit exponent using historical sales &amp; NPV data)</t>
  </si>
  <si>
    <t>#!/usr/bin/env python3</t>
  </si>
  <si>
    <t>"_x000D_
Calibrate logit-style cost sensitivity + technology constants from observed shares._x000D_
_x000D_
Expected CSV columns (case-insensitive match):_x000D_
- year_x000D_
- vehicle_type_x000D_
- vehicle_tech_x000D_
- cost_x000D_
- new_vehicle_demand_x000D_
- share_obs_x000D_
_x000D_
Model (per vehicle_type per year by default):_x000D_
  E[q] = demand * exp(alpha_tech - lambda * cost)_x000D_
implemented as PPML (Poisson GLM with offset log(demand)):_x000D_
  log(E[q]) = log(demand) + alpha_tech + lambda * (-cost)_x000D_
_x000D_
Key outputs (per group):_x000D_
- lambda: common cost sensitivity_x000D_
- base_tech: dominant tech (highest total q in that group)_x000D_
- alpha_&lt;tech&gt;: tech constants with alpha_base = 0_x000D_
- w_&lt;tech&gt;: shareweights" = exp(alpha_&lt;tech&gt;) so w_base = 1</t>
  </si>
  <si>
    <t>Notes:</t>
  </si>
  <si>
    <t>- "weights" are NOT shares. Shares come from softmax of (alpha - lambda*cost).</t>
  </si>
  <si>
    <t>- Zero-share rows imply q=0; we drop q&lt;=0 rows for numerical stability.</t>
  </si>
  <si>
    <t>- If a group has too few rows after filtering, it is skipped.</t>
  </si>
  <si>
    <t>Usage:</t>
  </si>
  <si>
    <t xml:space="preserve">  python calibrationpython.py --csv calibration_parameters_404.csv --renorm-shares</t>
  </si>
  <si>
    <t xml:space="preserve">  python calibrationpython.py --csv calibration_parameters_404.csv --by-year</t>
  </si>
  <si>
    <t>"_x000D_
_x000D_
import argparse_x000D_
import re_x000D_
from typing import Dict, Tuple, List, Any_x000D_
_x000D_
import numpy as np_x000D_
import pandas as pd_x000D_
import statsmodels.api as sm_x000D_
_x000D_
_x000D_
# ----------------------------_x000D_
# Helpers_x000D_
# ----------------------------_x000D_
_x000D_
def _norm_colname(s: str) -&gt; str:_x000D_
    return re.sub(r[^a-z0-9]+", "_", str(s).strip().lower()).strip("_")</t>
  </si>
  <si>
    <t>def _find_col(df: pd.DataFrame, wanted: List[str]) -&gt; str:</t>
  </si>
  <si>
    <t xml:space="preserve">    """</t>
  </si>
  <si>
    <t xml:space="preserve">    Find a column in df matching one of wanted names (normalized).</t>
  </si>
  <si>
    <t xml:space="preserve">    Returns the actual column name.</t>
  </si>
  <si>
    <t xml:space="preserve">    norm_map = {_norm_colname(c): c for c in df.columns}</t>
  </si>
  <si>
    <t xml:space="preserve">    for w in wanted:</t>
  </si>
  <si>
    <t xml:space="preserve">        nw = _norm_colname(w)</t>
  </si>
  <si>
    <t xml:space="preserve">        if nw in norm_map:</t>
  </si>
  <si>
    <t xml:space="preserve">            return norm_map[nw]</t>
  </si>
  <si>
    <t xml:space="preserve">    raise KeyError(f"Could not find any of columns {wanted} in CSV. Found: {list(df.columns)}")</t>
  </si>
  <si>
    <t>def parse_share(series: pd.Series) -&gt; pd.Series:</t>
  </si>
  <si>
    <t xml:space="preserve">    Accepts shares like 0.0555 or 5.55% or 5.55 (meaning 5.55%).</t>
  </si>
  <si>
    <t xml:space="preserve">    Returns float in [0,1] (best effort).</t>
  </si>
  <si>
    <t xml:space="preserve">    s = series.copy()</t>
  </si>
  <si>
    <t xml:space="preserve">    if s.dtype == object:</t>
  </si>
  <si>
    <t xml:space="preserve">        s = s.astype(str).str.strip().str.replace("%", "", regex=False)</t>
  </si>
  <si>
    <t xml:space="preserve">    s = pd.to_numeric(s, errors="coerce")</t>
  </si>
  <si>
    <t xml:space="preserve">    mx = s.max(skipna=True)</t>
  </si>
  <si>
    <t xml:space="preserve">    if mx is not None and np.isfinite(mx) and mx &gt; 1.0:</t>
  </si>
  <si>
    <t xml:space="preserve">        s = s / 100.0</t>
  </si>
  <si>
    <t xml:space="preserve">    return s</t>
  </si>
  <si>
    <t>def parse_cost(series: pd.Series) -&gt; pd.Series:</t>
  </si>
  <si>
    <t xml:space="preserve">    Accepts costs like 42500, "42,500", "$42,500".</t>
  </si>
  <si>
    <t xml:space="preserve">        s = (</t>
  </si>
  <si>
    <t xml:space="preserve">            s.astype(str)</t>
  </si>
  <si>
    <t xml:space="preserve">            .str.strip()</t>
  </si>
  <si>
    <t xml:space="preserve">            .str.replace("$", "", regex=False)</t>
  </si>
  <si>
    <t xml:space="preserve">            .str.replace(",", "", regex=False)</t>
  </si>
  <si>
    <t xml:space="preserve">        )</t>
  </si>
  <si>
    <t xml:space="preserve">    return pd.to_numeric(s, errors="coerce")</t>
  </si>
  <si>
    <t>def maybe_renorm_shares(group: pd.DataFrame, share_col: str) -&gt; pd.DataFrame:</t>
  </si>
  <si>
    <t xml:space="preserve">    Renormalize shares inside the group to sum to 1 (if sum is positive).</t>
  </si>
  <si>
    <t xml:space="preserve">    g = group.copy()</t>
  </si>
  <si>
    <t xml:space="preserve">    ssum = g[share_col].sum(skipna=True)</t>
  </si>
  <si>
    <t xml:space="preserve">    if ssum is not None and np.isfinite(ssum) and ssum &gt; 0:</t>
  </si>
  <si>
    <t xml:space="preserve">        g[share_col] = g[share_col] / ssum</t>
  </si>
  <si>
    <t xml:space="preserve">    return g</t>
  </si>
  <si>
    <t># ----------------------------</t>
  </si>
  <si>
    <t># Core estimation</t>
  </si>
  <si>
    <t>def estimate_lambda_ppml(</t>
  </si>
  <si>
    <t xml:space="preserve">    g: pd.DataFrame,</t>
  </si>
  <si>
    <t xml:space="preserve">    year_col: str,</t>
  </si>
  <si>
    <t xml:space="preserve">    tech_col: str,</t>
  </si>
  <si>
    <t xml:space="preserve">    share_col: str,</t>
  </si>
  <si>
    <t xml:space="preserve">    demand_col: str,</t>
  </si>
  <si>
    <t xml:space="preserve">    cost_col: str,</t>
  </si>
  <si>
    <t>) -&gt; Tuple[float, str, Dict[str, float], sm.GLM]:</t>
  </si>
  <si>
    <t xml:space="preserve">    Fit PPML:</t>
  </si>
  <si>
    <t xml:space="preserve">      q = share * demand</t>
  </si>
  <si>
    <t xml:space="preserve">      log(E[q]) = log(demand) + alpha_tech + lambda * (-cost)</t>
  </si>
  <si>
    <t xml:space="preserve">    Returns:</t>
  </si>
  <si>
    <t xml:space="preserve">      lambda, base_tech, alpha_dict (alpha_base=0), fitted model result</t>
  </si>
  <si>
    <t xml:space="preserve">    gg = g.dropna(subset=[year_col, tech_col, share_col, demand_col, cost_col]).copy()</t>
  </si>
  <si>
    <t xml:space="preserve">    # Ensure numeric</t>
  </si>
  <si>
    <t xml:space="preserve">    gg[share_col] = parse_share(gg[share_col])</t>
  </si>
  <si>
    <t xml:space="preserve">    gg[cost_col] = parse_cost(gg[cost_col])</t>
  </si>
  <si>
    <t xml:space="preserve">    gg[demand_col] = pd.to_numeric(gg[demand_col], errors="coerce")</t>
  </si>
  <si>
    <t xml:space="preserve">    gg[year_col] = pd.to_numeric(gg[year_col], errors="coerce")</t>
  </si>
  <si>
    <t xml:space="preserve">    gg = gg.dropna(subset=[share_col, demand_col, cost_col, year_col]).copy()</t>
  </si>
  <si>
    <t xml:space="preserve">    gg = gg[(gg[share_col] &gt;= 0) &amp; (gg[demand_col] &gt; 0)].copy()</t>
  </si>
  <si>
    <t xml:space="preserve">    # Compute quantities</t>
  </si>
  <si>
    <t xml:space="preserve">    gg["q"] = gg[share_col] * gg[demand_col]</t>
  </si>
  <si>
    <t xml:space="preserve">    # Drop zero-quantity rows (share==0 =&gt; q==0)</t>
  </si>
  <si>
    <t xml:space="preserve">    gg = gg[gg["q"] &gt; 0].copy()</t>
  </si>
  <si>
    <t xml:space="preserve">    if gg.empty or gg["q"].sum() &lt;= 0:</t>
  </si>
  <si>
    <t xml:space="preserve">        raise ValueError("All implied quantities q = share*demand are zero after dropping q&lt;=0; cannot fit model.")</t>
  </si>
  <si>
    <t xml:space="preserve">    # Pick dominant tech by total quantity q in THIS group</t>
  </si>
  <si>
    <t xml:space="preserve">    base_tech = (</t>
  </si>
  <si>
    <t xml:space="preserve">        gg.groupby(tech_col)["q"]</t>
  </si>
  <si>
    <t xml:space="preserve">        .sum()</t>
  </si>
  <si>
    <t xml:space="preserve">        .sort_values(ascending=False)</t>
  </si>
  <si>
    <t xml:space="preserve">        .index[0]</t>
  </si>
  <si>
    <t xml:space="preserve">    base_tech = str(base_tech)</t>
  </si>
  <si>
    <t xml:space="preserve">    tech = gg[tech_col].astype(str)</t>
  </si>
  <si>
    <t xml:space="preserve">    tech_levels = [base_tech] + [t for t in sorted(tech.unique()) if t != base_tech]</t>
  </si>
  <si>
    <t xml:space="preserve">    # IMPORTANT: preserve gg.index so dummies align with neg_cost</t>
  </si>
  <si>
    <t xml:space="preserve">    tech_cat = pd.Categorical(tech, categories=tech_levels)</t>
  </si>
  <si>
    <t xml:space="preserve">    tech_series = pd.Series(tech_cat, index=gg.index)</t>
  </si>
  <si>
    <t xml:space="preserve">    X_tech = pd.get_dummies(tech_series, drop_first=True, dtype=float)</t>
  </si>
  <si>
    <t xml:space="preserve">    neg_cost = (-gg[cost_col]).rename("neg_cost").astype(float)</t>
  </si>
  <si>
    <t xml:space="preserve">    X = pd.concat([X_tech, neg_cost], axis=1)</t>
  </si>
  <si>
    <t xml:space="preserve">    y = gg["q"].astype(float)</t>
  </si>
  <si>
    <t xml:space="preserve">    offset = np.log(gg[demand_col].astype(float).to_numpy())</t>
  </si>
  <si>
    <t xml:space="preserve">    model = sm.GLM(y, X, family=sm.families.Poisson(), offset=offset)</t>
  </si>
  <si>
    <t xml:space="preserve">    res = model.fit()</t>
  </si>
  <si>
    <t xml:space="preserve">    lam = float(res.params["neg_cost"])</t>
  </si>
  <si>
    <t xml:space="preserve">    alpha: Dict[str, float] = {base_tech: 0.0}</t>
  </si>
  <si>
    <t xml:space="preserve">    for col in X_tech.columns:</t>
  </si>
  <si>
    <t xml:space="preserve">        alpha[str(col)] = float(res.params[col])</t>
  </si>
  <si>
    <t xml:space="preserve">    return lam, base_tech, alpha, res</t>
  </si>
  <si>
    <t>def main():</t>
  </si>
  <si>
    <t xml:space="preserve">    ap = argparse.ArgumentParser()</t>
  </si>
  <si>
    <t xml:space="preserve">    ap.add_argument("--csv", required=True, help="Path to input CSV")</t>
  </si>
  <si>
    <t xml:space="preserve">    ap.add_argument("--out", default="calibration_parameters.csv", help="Output CSV file")</t>
  </si>
  <si>
    <t xml:space="preserve">    ap.add_argument("--renorm-shares", action="store_true",</t>
  </si>
  <si>
    <t xml:space="preserve">                    help="Renormalize shares to sum to 1 within (year, vehicle_type)")</t>
  </si>
  <si>
    <t xml:space="preserve">    ap.add_argument("--min-rows", type=int, default=5,</t>
  </si>
  <si>
    <t xml:space="preserve">                    help="Minimum rows per group to attempt a fit (after filtering)")</t>
  </si>
  <si>
    <t xml:space="preserve">    ap.add_argument("--by-year", action="store_true",</t>
  </si>
  <si>
    <t xml:space="preserve">                    help="Estimate separately for each (vehicle_type, year). If omitted, pools all years per vehicle_type.")</t>
  </si>
  <si>
    <t xml:space="preserve">    args = ap.parse_args()</t>
  </si>
  <si>
    <t xml:space="preserve">    df = pd.read_csv(args.csv)</t>
  </si>
  <si>
    <t xml:space="preserve">    print("=== Columns detected in CSV ===")</t>
  </si>
  <si>
    <t xml:space="preserve">    print(list(df.columns))</t>
  </si>
  <si>
    <t xml:space="preserve">    # Resolve column names</t>
  </si>
  <si>
    <t xml:space="preserve">    year_col = _find_col(df, ["year"])</t>
  </si>
  <si>
    <t xml:space="preserve">    vtype_col = _find_col(df, ["vehicle_type", "vehicletype", "type"])</t>
  </si>
  <si>
    <t xml:space="preserve">    tech_col = _find_col(df, ["vehicle_tech", "vehicletech", "tech"])</t>
  </si>
  <si>
    <t xml:space="preserve">    cost_col = _find_col(df, ["cost", "price"])</t>
  </si>
  <si>
    <t xml:space="preserve">    demand_col = _find_col(df, ["new_vehicle_demand", "demand"])</t>
  </si>
  <si>
    <t xml:space="preserve">    share_col = _find_col(df, ["share_obs", "share", "observed_share"])</t>
  </si>
  <si>
    <t xml:space="preserve">    # Parse numerics early</t>
  </si>
  <si>
    <t xml:space="preserve">    df[year_col] = pd.to_numeric(df[year_col], errors="coerce")</t>
  </si>
  <si>
    <t xml:space="preserve">    df[share_col] = parse_share(df[share_col])</t>
  </si>
  <si>
    <t xml:space="preserve">    df[cost_col] = parse_cost(df[cost_col])</t>
  </si>
  <si>
    <t xml:space="preserve">    df[demand_col] = pd.to_numeric(df[demand_col], errors="coerce")</t>
  </si>
  <si>
    <t xml:space="preserve">    # Drop junk rows</t>
  </si>
  <si>
    <t xml:space="preserve">    df = df.dropna(subset=[year_col, vtype_col, tech_col, share_col, cost_col, demand_col]).copy()</t>
  </si>
  <si>
    <t xml:space="preserve">    df = df[(df[share_col] &gt;= 0) &amp; (df[demand_col] &gt; 0)].copy()</t>
  </si>
  <si>
    <t xml:space="preserve">    if args.renorm_shares:</t>
  </si>
  <si>
    <t xml:space="preserve">        # silence deprecation warning by explicitly excluding grouping columns in apply</t>
  </si>
  <si>
    <t xml:space="preserve">        df = (</t>
  </si>
  <si>
    <t xml:space="preserve">            df.groupby([year_col, vtype_col], group_keys=False)</t>
  </si>
  <si>
    <t xml:space="preserve">              .apply(lambda x: maybe_renorm_shares(x, share_col))</t>
  </si>
  <si>
    <t xml:space="preserve">    # Grouping choice</t>
  </si>
  <si>
    <t xml:space="preserve">    if args.by_year:</t>
  </si>
  <si>
    <t xml:space="preserve">        group_cols = [vtype_col, year_col]</t>
  </si>
  <si>
    <t xml:space="preserve">    else:</t>
  </si>
  <si>
    <t xml:space="preserve">        group_cols = [vtype_col]</t>
  </si>
  <si>
    <t xml:space="preserve">    outputs: List[Dict[str, Any]] = []</t>
  </si>
  <si>
    <t xml:space="preserve">    for key, g in df.groupby(group_cols):</t>
  </si>
  <si>
    <t xml:space="preserve">        if args.by_year:</t>
  </si>
  <si>
    <t xml:space="preserve">            vt, yr = key</t>
  </si>
  <si>
    <t xml:space="preserve">            vt_str = str(vt)</t>
  </si>
  <si>
    <t xml:space="preserve">            yr_val = int(yr)</t>
  </si>
  <si>
    <t xml:space="preserve">        else:</t>
  </si>
  <si>
    <t xml:space="preserve">            vt = key</t>
  </si>
  <si>
    <t xml:space="preserve">            yr_val = None</t>
  </si>
  <si>
    <t xml:space="preserve">        # quick row-count gate before deeper filtering</t>
  </si>
  <si>
    <t xml:space="preserve">        if len(g) &lt; args.min_rows:</t>
  </si>
  <si>
    <t xml:space="preserve">            if args.by_year:</t>
  </si>
  <si>
    <t xml:space="preserve">                print(f"[skip] vehicle_type={vt_str} year={yr_val}: only {len(g)} rows (min {args.min_rows})")</t>
  </si>
  <si>
    <t xml:space="preserve">            else:</t>
  </si>
  <si>
    <t xml:space="preserve">                print(f"[skip] vehicle_type={vt_str}: only {len(g)} rows (min {args.min_rows})")</t>
  </si>
  <si>
    <t xml:space="preserve">            continue</t>
  </si>
  <si>
    <t xml:space="preserve">        try:</t>
  </si>
  <si>
    <t xml:space="preserve">            lam, base_tech, alpha, res = estimate_lambda_ppml(</t>
  </si>
  <si>
    <t xml:space="preserve">                g=g,</t>
  </si>
  <si>
    <t xml:space="preserve">                year_col=year_col,</t>
  </si>
  <si>
    <t xml:space="preserve">                tech_col=tech_col,</t>
  </si>
  <si>
    <t xml:space="preserve">                share_col=share_col,</t>
  </si>
  <si>
    <t xml:space="preserve">                demand_col=demand_col,</t>
  </si>
  <si>
    <t xml:space="preserve">                cost_col=cost_col,</t>
  </si>
  <si>
    <t xml:space="preserve">            )</t>
  </si>
  <si>
    <t xml:space="preserve">        except Exception as e:</t>
  </si>
  <si>
    <t xml:space="preserve">                print(f"[fail] vehicle_type={vt_str} year={yr_val}: {e}")</t>
  </si>
  <si>
    <t xml:space="preserve">                print(f"[fail] vehicle_type={vt_str}: {e}")</t>
  </si>
  <si>
    <t xml:space="preserve">        techs = sorted(alpha.keys())</t>
  </si>
  <si>
    <t xml:space="preserve">        row: Dict[str, Any] = {</t>
  </si>
  <si>
    <t xml:space="preserve">            "vehicle_type": vt_str,</t>
  </si>
  <si>
    <t xml:space="preserve">            "base_tech": base_tech,</t>
  </si>
  <si>
    <t xml:space="preserve">            "lambda": lam,</t>
  </si>
  <si>
    <t xml:space="preserve">            "n_rows_used": int(</t>
  </si>
  <si>
    <t xml:space="preserve">                (parse_share(g[share_col]) * pd.to_numeric(g[demand_col], errors="coerce")).gt(0).sum()</t>
  </si>
  <si>
    <t xml:space="preserve">            ),</t>
  </si>
  <si>
    <t xml:space="preserve">            "llf": float(res.llf),</t>
  </si>
  <si>
    <t xml:space="preserve">        }</t>
  </si>
  <si>
    <t xml:space="preserve">            row["year"] = yr_val</t>
  </si>
  <si>
    <t xml:space="preserve">        # alpha (base=0) and weights w=exp(alpha) (base=1)</t>
  </si>
  <si>
    <t xml:space="preserve">        for t in techs:</t>
  </si>
  <si>
    <t xml:space="preserve">            row[f"alpha_{t}"] = float(alpha[t])</t>
  </si>
  <si>
    <t xml:space="preserve">            row[f"w_{t}"] = float(np.exp(alpha[t]))</t>
  </si>
  <si>
    <t xml:space="preserve">        outputs.append(row)</t>
  </si>
  <si>
    <t xml:space="preserve">            print(f"[ok] vehicle_type={vt_str} year={yr_val}  lambda={lam:.6g}  base_tech={base_tech}  techs={len(techs)}")</t>
  </si>
  <si>
    <t xml:space="preserve">            print(f"[ok] vehicle_type={vt_str}  lambda={lam:.6g}  base_tech={base_tech}  techs={len(techs)}")</t>
  </si>
  <si>
    <t xml:space="preserve">    if not outputs:</t>
  </si>
  <si>
    <t xml:space="preserve">        raise SystemExit(</t>
  </si>
  <si>
    <t xml:space="preserve">            "No groups were successfully fitted. "</t>
  </si>
  <si>
    <t xml:space="preserve">            "Check that shares/cost/demand are numeric and non-missing, and that each group has enough nonzero-share rows."</t>
  </si>
  <si>
    <t xml:space="preserve">    out_df = pd.DataFrame(outputs)</t>
  </si>
  <si>
    <t xml:space="preserve">    # Nicer ordering: front fields, then weights, then alphas</t>
  </si>
  <si>
    <t xml:space="preserve">    w_cols = sorted([c for c in out_df.columns if c.startswith("w_")])</t>
  </si>
  <si>
    <t xml:space="preserve">    alpha_cols = sorted([c for c in out_df.columns if c.startswith("alpha_")])</t>
  </si>
  <si>
    <t xml:space="preserve">    front = [c for c in ["vehicle_type", "year", "base_tech", "lambda", "n_rows_used", "llf"] if c in out_df.columns]</t>
  </si>
  <si>
    <t xml:space="preserve">    out_df = out_df[front + w_cols + alpha_cols]</t>
  </si>
  <si>
    <t xml:space="preserve">    out_df.to_csv(args.out, index=False)</t>
  </si>
  <si>
    <t xml:space="preserve">    print(f"\nWrote: {args.out}")</t>
  </si>
  <si>
    <t>if __name__ == "__main__":</t>
  </si>
  <si>
    <t xml:space="preserve">    main()</t>
  </si>
  <si>
    <t>python script #2: user must update logit exponent based on script #1's outputs, then use this to calculate historical shareweights</t>
  </si>
  <si>
    <t>import numpy as np</t>
  </si>
  <si>
    <t>import pandas as pd</t>
  </si>
  <si>
    <t># -----------------------------</t>
  </si>
  <si>
    <t># USER SETTINGS</t>
  </si>
  <si>
    <t>INPUT_CSV = "calibration_parameters_404.csv"</t>
  </si>
  <si>
    <t>OUTPUT_CSV = "recalculated_shareweights.csv"</t>
  </si>
  <si>
    <t># replace with your chosen lambda (mean of the 5)</t>
  </si>
  <si>
    <t>LAMBDA = 1.3e-05</t>
  </si>
  <si>
    <t># name used in your CSV for gasoline</t>
  </si>
  <si>
    <t>GAS_TECH_NAME = "gasoline vehicle"</t>
  </si>
  <si>
    <t># LOAD DATA</t>
  </si>
  <si>
    <t>df = pd.read_csv(INPUT_CSV)</t>
  </si>
  <si>
    <t># numeric conversion</t>
  </si>
  <si>
    <t>df["year"] = pd.to_numeric(df["year"], errors="coerce")</t>
  </si>
  <si>
    <t>df["cost"] = pd.to_numeric(df["cost"], errors="coerce")</t>
  </si>
  <si>
    <t>df["share_obs"] = pd.to_numeric(df["share_obs"], errors="coerce")</t>
  </si>
  <si>
    <t>df = df.dropna(subset=["year", "vehicle_type", "vehicle_tech", "cost", "share_obs"])</t>
  </si>
  <si>
    <t># RENORMALIZE SHARES</t>
  </si>
  <si>
    <t>df["share_obs"] = df.groupby(["year", "vehicle_type"])["share_obs"].transform(</t>
  </si>
  <si>
    <t xml:space="preserve">    lambda s: s / s.sum() if s.sum() &gt; 0 else np.nan</t>
  </si>
  <si>
    <t>)</t>
  </si>
  <si>
    <t>df = df.dropna(subset=["share_obs"])</t>
  </si>
  <si>
    <t># COMPUTE RAW WEIGHTS</t>
  </si>
  <si>
    <t>df["w_raw"] = df["share_obs"] * np.exp(LAMBDA * df["cost"])</t>
  </si>
  <si>
    <t># FIND GASOLINE BASE WEIGHT</t>
  </si>
  <si>
    <t>gas_mask = df["vehicle_tech"].str.lower() == GAS_TECH_NAME.lower()</t>
  </si>
  <si>
    <t>gas_w = (</t>
  </si>
  <si>
    <t xml:space="preserve">    df[gas_mask]</t>
  </si>
  <si>
    <t xml:space="preserve">    .set_index(["year", "vehicle_type"])["w_raw"]</t>
  </si>
  <si>
    <t># map gasoline weight back</t>
  </si>
  <si>
    <t>df["gas_w"] = df.set_index(["year", "vehicle_type"]).index.map(gas_w)</t>
  </si>
  <si>
    <t># NORMALIZE SO GASOLINE = 1</t>
  </si>
  <si>
    <t>df["w"] = df["w_raw"] / df["gas_w"]</t>
  </si>
  <si>
    <t># logit constants</t>
  </si>
  <si>
    <t>df["alpha"] = np.log(df["w"])</t>
  </si>
  <si>
    <t># SAVE OUTPUT</t>
  </si>
  <si>
    <t>out = df[</t>
  </si>
  <si>
    <t xml:space="preserve">    [</t>
  </si>
  <si>
    <t xml:space="preserve">        "year",</t>
  </si>
  <si>
    <t xml:space="preserve">        "vehicle_type",</t>
  </si>
  <si>
    <t xml:space="preserve">        "vehicle_tech",</t>
  </si>
  <si>
    <t xml:space="preserve">        "cost",</t>
  </si>
  <si>
    <t xml:space="preserve">        "share_obs",</t>
  </si>
  <si>
    <t xml:space="preserve">        "w",</t>
  </si>
  <si>
    <t xml:space="preserve">        "alpha",</t>
  </si>
  <si>
    <t xml:space="preserve">    ]</t>
  </si>
  <si>
    <t>].copy()</t>
  </si>
  <si>
    <t>out.to_csv(OUTPUT_CSV, index=False)</t>
  </si>
  <si>
    <t>print("Wrote:", OUTPUT_CSV)</t>
  </si>
  <si>
    <t>text</t>
  </si>
  <si>
    <t>new_vehicle_demand</t>
  </si>
  <si>
    <t>NPV of Lifetime Vehicle Cost[LDVs,passenger,battery electric vehicle] : NoSettings</t>
  </si>
  <si>
    <t>NPV of Lifetime Vehicle Cost[LDVs,passenger,natural gas vehicle] : NoSettings</t>
  </si>
  <si>
    <t>NPV of Lifetime Vehicle Cost[LDVs,passenger,gasoline vehicle] : NoSettings</t>
  </si>
  <si>
    <t>NPV of Lifetime Vehicle Cost[LDVs,passenger,diesel vehicle] : NoSettings</t>
  </si>
  <si>
    <t>NPV of Lifetime Vehicle Cost[LDVs,passenger,plugin hybrid vehicle] : NoSettings</t>
  </si>
  <si>
    <t>NPV of Lifetime Vehicle Cost[LDVs,passenger,LPG vehicle] : NoSettings</t>
  </si>
  <si>
    <t>NPV of Lifetime Vehicle Cost[LDVs,passenger,hydrogen vehicle] : NoSettings</t>
  </si>
  <si>
    <t>see the "calibration_parameters_404" tab, which is an example CSV that can be used with this script</t>
  </si>
  <si>
    <r>
      <t>run as "</t>
    </r>
    <r>
      <rPr>
        <b/>
        <i/>
        <sz val="11"/>
        <color theme="1"/>
        <rFont val="Calibri"/>
        <family val="2"/>
        <scheme val="minor"/>
      </rPr>
      <t>python calibrationpython.py --csv calibration_parameters_404 --by-year</t>
    </r>
    <r>
      <rPr>
        <i/>
        <sz val="11"/>
        <color theme="1"/>
        <rFont val="Calibri"/>
        <family val="2"/>
        <scheme val="minor"/>
      </rPr>
      <t>"</t>
    </r>
  </si>
  <si>
    <t>outputs logit exponents (lambda) by year</t>
  </si>
  <si>
    <t>change the INPUT_CSV line if needed to update the calibration file</t>
  </si>
  <si>
    <t>update logit exponent based on outputs of python script #1 if needed</t>
  </si>
  <si>
    <t>outputs shareweights to replace "recalculated_shareweights" tab in this file as needed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</si>
</sst>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_);[Red]\(0\)"/>
  </numFmts>
  <fonts count="10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2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0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</cellStyleXfs>
  <cellXfs count="35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6" xfId="0" applyFill="1" applyBorder="1"/>
    <xf numFmtId="0" fontId="0" fillId="3" borderId="7" xfId="0" applyFill="1" applyBorder="1"/>
    <xf numFmtId="0" fontId="0" fillId="3" borderId="0" xfId="0" applyFill="1"/>
    <xf numFmtId="0" fontId="0" fillId="0" borderId="9" xfId="0" applyBorder="1"/>
    <xf numFmtId="0" fontId="0" fillId="0" borderId="11" xfId="0" applyBorder="1"/>
    <xf numFmtId="0" fontId="1" fillId="3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166" fontId="0" fillId="0" borderId="0" xfId="0" applyNumberFormat="1"/>
    <xf numFmtId="0" fontId="6" fillId="0" borderId="0" xfId="8" applyAlignment="1"/>
    <xf numFmtId="167" fontId="0" fillId="0" borderId="0" xfId="0" applyNumberFormat="1"/>
    <xf numFmtId="0" fontId="0" fillId="4" borderId="0" xfId="0" applyFill="1"/>
    <xf numFmtId="0" fontId="0" fillId="5" borderId="0" xfId="0" applyFill="1"/>
    <xf numFmtId="11" fontId="0" fillId="0" borderId="0" xfId="0" applyNumberFormat="1"/>
    <xf numFmtId="0" fontId="0" fillId="6" borderId="0" xfId="0" applyFill="1"/>
    <xf numFmtId="0" fontId="1" fillId="6" borderId="0" xfId="0" applyFont="1" applyFill="1"/>
    <xf numFmtId="0" fontId="0" fillId="0" borderId="0" xfId="0" applyAlignment="1">
      <alignment wrapText="1"/>
    </xf>
  </cellXfs>
  <cellStyles count="10">
    <cellStyle name="Body: normal cell" xfId="4" xr:uid="{00000000-0005-0000-0000-000000000000}"/>
    <cellStyle name="Comma" xfId="9" builtinId="3"/>
    <cellStyle name="Font: Calibri, 9pt regular" xfId="6" xr:uid="{00000000-0005-0000-0000-000002000000}"/>
    <cellStyle name="Footnotes: top row" xfId="2" xr:uid="{00000000-0005-0000-0000-000003000000}"/>
    <cellStyle name="Header: bottom row" xfId="5" xr:uid="{00000000-0005-0000-0000-000004000000}"/>
    <cellStyle name="Hyperlink" xfId="8" builtinId="8"/>
    <cellStyle name="Normal" xfId="0" builtinId="0"/>
    <cellStyle name="Normal 2" xfId="1" xr:uid="{00000000-0005-0000-0000-000007000000}"/>
    <cellStyle name="Parent row" xfId="3" xr:uid="{00000000-0005-0000-0000-000008000000}"/>
    <cellStyle name="Table title" xfId="7" xr:uid="{00000000-0005-0000-0000-00000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Data!$H$10:$AL$10</c:f>
              <c:numCache>
                <c:formatCode>General</c:formatCode>
                <c:ptCount val="31"/>
                <c:pt idx="0" formatCode="0.0000">
                  <c:v>0.117440521101984</c:v>
                </c:pt>
                <c:pt idx="1">
                  <c:v>0.117440521101984</c:v>
                </c:pt>
                <c:pt idx="2">
                  <c:v>0.19574055486733699</c:v>
                </c:pt>
                <c:pt idx="3">
                  <c:v>0.180496933010247</c:v>
                </c:pt>
                <c:pt idx="4">
                  <c:v>0.169947491452244</c:v>
                </c:pt>
                <c:pt idx="5">
                  <c:v>0.25807148748617798</c:v>
                </c:pt>
                <c:pt idx="6">
                  <c:v>0.30479321587354868</c:v>
                </c:pt>
                <c:pt idx="7">
                  <c:v>0.31977968247767741</c:v>
                </c:pt>
                <c:pt idx="8">
                  <c:v>0.33901352975582549</c:v>
                </c:pt>
                <c:pt idx="9">
                  <c:v>0.36331483706629852</c:v>
                </c:pt>
                <c:pt idx="10">
                  <c:v>0.39341818500838277</c:v>
                </c:pt>
                <c:pt idx="11">
                  <c:v>0.42980955054856673</c:v>
                </c:pt>
                <c:pt idx="12">
                  <c:v>0.47252629304498917</c:v>
                </c:pt>
                <c:pt idx="13">
                  <c:v>0.52096917712672686</c:v>
                </c:pt>
                <c:pt idx="14">
                  <c:v>0.57380471797722965</c:v>
                </c:pt>
                <c:pt idx="15">
                  <c:v>0.6290357437430889</c:v>
                </c:pt>
                <c:pt idx="16">
                  <c:v>0.68426676950894838</c:v>
                </c:pt>
                <c:pt idx="17">
                  <c:v>0.73710231035945117</c:v>
                </c:pt>
                <c:pt idx="18">
                  <c:v>0.78554519444118864</c:v>
                </c:pt>
                <c:pt idx="19">
                  <c:v>0.82826193693761119</c:v>
                </c:pt>
                <c:pt idx="20">
                  <c:v>0.86465330247779515</c:v>
                </c:pt>
                <c:pt idx="21">
                  <c:v>0.8947566504198794</c:v>
                </c:pt>
                <c:pt idx="22">
                  <c:v>0.91905795773035237</c:v>
                </c:pt>
                <c:pt idx="23">
                  <c:v>0.93829180500850051</c:v>
                </c:pt>
                <c:pt idx="24">
                  <c:v>0.95327827161262935</c:v>
                </c:pt>
                <c:pt idx="25">
                  <c:v>0.96481339245869879</c:v>
                </c:pt>
                <c:pt idx="26">
                  <c:v>0.97360872045460534</c:v>
                </c:pt>
                <c:pt idx="27">
                  <c:v>0.98026693211817606</c:v>
                </c:pt>
                <c:pt idx="28">
                  <c:v>0.98527991147889638</c:v>
                </c:pt>
                <c:pt idx="29">
                  <c:v>0.98903872464197784</c:v>
                </c:pt>
                <c:pt idx="30">
                  <c:v>0.99184847399700926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4BD-493F-BBC6-6B463F1C898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Data!$H$11:$AL$11</c:f>
              <c:numCache>
                <c:formatCode>General</c:formatCode>
                <c:ptCount val="31"/>
                <c:pt idx="0" formatCode="0.0000">
                  <c:v>3.3529508501743601E-3</c:v>
                </c:pt>
                <c:pt idx="1">
                  <c:v>3.3529508501743601E-3</c:v>
                </c:pt>
                <c:pt idx="2">
                  <c:v>3.2344845624373798E-3</c:v>
                </c:pt>
                <c:pt idx="3">
                  <c:v>3.2992663893674601E-3</c:v>
                </c:pt>
                <c:pt idx="4">
                  <c:v>3.30947194118662E-3</c:v>
                </c:pt>
                <c:pt idx="5">
                  <c:v>3.3095148929585699E-3</c:v>
                </c:pt>
                <c:pt idx="6">
                  <c:v>3.3095148929585699E-3</c:v>
                </c:pt>
                <c:pt idx="7">
                  <c:v>3.3095148929585699E-3</c:v>
                </c:pt>
                <c:pt idx="8">
                  <c:v>3.3095148929585699E-3</c:v>
                </c:pt>
                <c:pt idx="9">
                  <c:v>3.3095148929585699E-3</c:v>
                </c:pt>
                <c:pt idx="10">
                  <c:v>3.3095148929585699E-3</c:v>
                </c:pt>
                <c:pt idx="11">
                  <c:v>3.3095148929585699E-3</c:v>
                </c:pt>
                <c:pt idx="12">
                  <c:v>3.3095148929585699E-3</c:v>
                </c:pt>
                <c:pt idx="13">
                  <c:v>3.3095148929585699E-3</c:v>
                </c:pt>
                <c:pt idx="14">
                  <c:v>3.3095148929585699E-3</c:v>
                </c:pt>
                <c:pt idx="15">
                  <c:v>3.3095148929585699E-3</c:v>
                </c:pt>
                <c:pt idx="16">
                  <c:v>3.3095148929585699E-3</c:v>
                </c:pt>
                <c:pt idx="17">
                  <c:v>3.3095148929585699E-3</c:v>
                </c:pt>
                <c:pt idx="18">
                  <c:v>3.3095148929585699E-3</c:v>
                </c:pt>
                <c:pt idx="19">
                  <c:v>3.3095148929585699E-3</c:v>
                </c:pt>
                <c:pt idx="20">
                  <c:v>3.3095148929585699E-3</c:v>
                </c:pt>
                <c:pt idx="21">
                  <c:v>3.3095148929585699E-3</c:v>
                </c:pt>
                <c:pt idx="22">
                  <c:v>3.3095148929585699E-3</c:v>
                </c:pt>
                <c:pt idx="23">
                  <c:v>3.3095148929585699E-3</c:v>
                </c:pt>
                <c:pt idx="24">
                  <c:v>3.3095148929585699E-3</c:v>
                </c:pt>
                <c:pt idx="25">
                  <c:v>3.3095148929585699E-3</c:v>
                </c:pt>
                <c:pt idx="26">
                  <c:v>3.3095148929585699E-3</c:v>
                </c:pt>
                <c:pt idx="27">
                  <c:v>3.3095148929585699E-3</c:v>
                </c:pt>
                <c:pt idx="28">
                  <c:v>3.3095148929585699E-3</c:v>
                </c:pt>
                <c:pt idx="29">
                  <c:v>3.3095148929585699E-3</c:v>
                </c:pt>
                <c:pt idx="30">
                  <c:v>3.3095148929585699E-3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4BD-493F-BBC6-6B463F1C8981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Data!$H$12:$AL$12</c:f>
              <c:numCache>
                <c:formatCode>General</c:formatCode>
                <c:ptCount val="31"/>
                <c:pt idx="0" formatCode="0.000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4BD-493F-BBC6-6B463F1C8981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Data!$H$13:$AL$13</c:f>
              <c:numCache>
                <c:formatCode>General</c:formatCode>
                <c:ptCount val="31"/>
                <c:pt idx="0" formatCode="0.0000">
                  <c:v>0.59228638519715204</c:v>
                </c:pt>
                <c:pt idx="1">
                  <c:v>0.59228638519715204</c:v>
                </c:pt>
                <c:pt idx="2">
                  <c:v>0.59230948421771701</c:v>
                </c:pt>
                <c:pt idx="3">
                  <c:v>0.59203080907285699</c:v>
                </c:pt>
                <c:pt idx="4">
                  <c:v>0.59155228627877099</c:v>
                </c:pt>
                <c:pt idx="5">
                  <c:v>0.59058027726111195</c:v>
                </c:pt>
                <c:pt idx="6">
                  <c:v>0.59058027726111195</c:v>
                </c:pt>
                <c:pt idx="7">
                  <c:v>0.59058027726111195</c:v>
                </c:pt>
                <c:pt idx="8">
                  <c:v>0.59058027726111195</c:v>
                </c:pt>
                <c:pt idx="9">
                  <c:v>0.59058027726111195</c:v>
                </c:pt>
                <c:pt idx="10">
                  <c:v>0.59058027726111195</c:v>
                </c:pt>
                <c:pt idx="11">
                  <c:v>0.59058027726111195</c:v>
                </c:pt>
                <c:pt idx="12">
                  <c:v>0.59058027726111195</c:v>
                </c:pt>
                <c:pt idx="13">
                  <c:v>0.59058027726111195</c:v>
                </c:pt>
                <c:pt idx="14">
                  <c:v>0.59058027726111195</c:v>
                </c:pt>
                <c:pt idx="15">
                  <c:v>0.59058027726111195</c:v>
                </c:pt>
                <c:pt idx="16">
                  <c:v>0.59058027726111195</c:v>
                </c:pt>
                <c:pt idx="17">
                  <c:v>0.59058027726111195</c:v>
                </c:pt>
                <c:pt idx="18">
                  <c:v>0.59058027726111195</c:v>
                </c:pt>
                <c:pt idx="19">
                  <c:v>0.59058027726111195</c:v>
                </c:pt>
                <c:pt idx="20">
                  <c:v>0.59058027726111195</c:v>
                </c:pt>
                <c:pt idx="21">
                  <c:v>0.59058027726111195</c:v>
                </c:pt>
                <c:pt idx="22">
                  <c:v>0.59058027726111195</c:v>
                </c:pt>
                <c:pt idx="23">
                  <c:v>0.59058027726111195</c:v>
                </c:pt>
                <c:pt idx="24">
                  <c:v>0.59058027726111195</c:v>
                </c:pt>
                <c:pt idx="25">
                  <c:v>0.59058027726111195</c:v>
                </c:pt>
                <c:pt idx="26">
                  <c:v>0.59058027726111195</c:v>
                </c:pt>
                <c:pt idx="27">
                  <c:v>0.59058027726111195</c:v>
                </c:pt>
                <c:pt idx="28">
                  <c:v>0.59058027726111195</c:v>
                </c:pt>
                <c:pt idx="29">
                  <c:v>0.59058027726111195</c:v>
                </c:pt>
                <c:pt idx="30">
                  <c:v>0.59058027726111195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4BD-493F-BBC6-6B463F1C8981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Data!$H$14:$AL$14</c:f>
              <c:numCache>
                <c:formatCode>General</c:formatCode>
                <c:ptCount val="31"/>
                <c:pt idx="0" formatCode="0.0000">
                  <c:v>2.3289188371058402E-2</c:v>
                </c:pt>
                <c:pt idx="1">
                  <c:v>2.3289188371058402E-2</c:v>
                </c:pt>
                <c:pt idx="2">
                  <c:v>1.61860221153209E-2</c:v>
                </c:pt>
                <c:pt idx="3">
                  <c:v>1.2519591168578899E-2</c:v>
                </c:pt>
                <c:pt idx="4">
                  <c:v>1.14350359237596E-2</c:v>
                </c:pt>
                <c:pt idx="5">
                  <c:v>1.71314827014208E-2</c:v>
                </c:pt>
                <c:pt idx="6">
                  <c:v>2.3305186161136641E-2</c:v>
                </c:pt>
                <c:pt idx="7">
                  <c:v>2.9478889620852482E-2</c:v>
                </c:pt>
                <c:pt idx="8">
                  <c:v>3.5652593080568319E-2</c:v>
                </c:pt>
                <c:pt idx="9">
                  <c:v>4.1826296540284157E-2</c:v>
                </c:pt>
                <c:pt idx="10">
                  <c:v>4.8000000000000001E-2</c:v>
                </c:pt>
                <c:pt idx="11">
                  <c:v>5.2400000000000002E-2</c:v>
                </c:pt>
                <c:pt idx="12">
                  <c:v>5.6800000000000003E-2</c:v>
                </c:pt>
                <c:pt idx="13">
                  <c:v>6.1200000000000004E-2</c:v>
                </c:pt>
                <c:pt idx="14">
                  <c:v>6.5600000000000006E-2</c:v>
                </c:pt>
                <c:pt idx="15">
                  <c:v>7.0000000000000007E-2</c:v>
                </c:pt>
                <c:pt idx="16">
                  <c:v>7.46E-2</c:v>
                </c:pt>
                <c:pt idx="17">
                  <c:v>7.9199999999999993E-2</c:v>
                </c:pt>
                <c:pt idx="18">
                  <c:v>8.3799999999999986E-2</c:v>
                </c:pt>
                <c:pt idx="19">
                  <c:v>8.8399999999999979E-2</c:v>
                </c:pt>
                <c:pt idx="20">
                  <c:v>9.2999999999999999E-2</c:v>
                </c:pt>
                <c:pt idx="21">
                  <c:v>0.1024</c:v>
                </c:pt>
                <c:pt idx="22">
                  <c:v>0.11180000000000001</c:v>
                </c:pt>
                <c:pt idx="23">
                  <c:v>0.12120000000000002</c:v>
                </c:pt>
                <c:pt idx="24">
                  <c:v>0.13060000000000002</c:v>
                </c:pt>
                <c:pt idx="25">
                  <c:v>0.14000000000000001</c:v>
                </c:pt>
                <c:pt idx="26">
                  <c:v>0.16400000000000001</c:v>
                </c:pt>
                <c:pt idx="27">
                  <c:v>0.188</c:v>
                </c:pt>
                <c:pt idx="28">
                  <c:v>0.21199999999999999</c:v>
                </c:pt>
                <c:pt idx="29">
                  <c:v>0.23599999999999999</c:v>
                </c:pt>
                <c:pt idx="30">
                  <c:v>0.26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4BD-493F-BBC6-6B463F1C8981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Data!$H$15:$AL$15</c:f>
              <c:numCache>
                <c:formatCode>General</c:formatCode>
                <c:ptCount val="31"/>
                <c:pt idx="0" formatCode="0.0000">
                  <c:v>0.17113476719881701</c:v>
                </c:pt>
                <c:pt idx="1">
                  <c:v>0.17113476719881701</c:v>
                </c:pt>
                <c:pt idx="2">
                  <c:v>0.16042654304401399</c:v>
                </c:pt>
                <c:pt idx="3">
                  <c:v>0.16019604568516499</c:v>
                </c:pt>
                <c:pt idx="4">
                  <c:v>0.15998875949545299</c:v>
                </c:pt>
                <c:pt idx="5">
                  <c:v>0.15947005332295699</c:v>
                </c:pt>
                <c:pt idx="6">
                  <c:v>0.15947005332295699</c:v>
                </c:pt>
                <c:pt idx="7">
                  <c:v>0.15947005332295699</c:v>
                </c:pt>
                <c:pt idx="8">
                  <c:v>0.15947005332295699</c:v>
                </c:pt>
                <c:pt idx="9">
                  <c:v>0.15947005332295699</c:v>
                </c:pt>
                <c:pt idx="10">
                  <c:v>0.15947005332295699</c:v>
                </c:pt>
                <c:pt idx="11">
                  <c:v>0.15947005332295699</c:v>
                </c:pt>
                <c:pt idx="12">
                  <c:v>0.15947005332295699</c:v>
                </c:pt>
                <c:pt idx="13">
                  <c:v>0.15947005332295699</c:v>
                </c:pt>
                <c:pt idx="14">
                  <c:v>0.15947005332295699</c:v>
                </c:pt>
                <c:pt idx="15">
                  <c:v>0.15947005332295699</c:v>
                </c:pt>
                <c:pt idx="16">
                  <c:v>0.15947005332295699</c:v>
                </c:pt>
                <c:pt idx="17">
                  <c:v>0.15947005332295699</c:v>
                </c:pt>
                <c:pt idx="18">
                  <c:v>0.15947005332295699</c:v>
                </c:pt>
                <c:pt idx="19">
                  <c:v>0.15947005332295699</c:v>
                </c:pt>
                <c:pt idx="20">
                  <c:v>0.15947005332295699</c:v>
                </c:pt>
                <c:pt idx="21">
                  <c:v>0.15947005332295699</c:v>
                </c:pt>
                <c:pt idx="22">
                  <c:v>0.15947005332295699</c:v>
                </c:pt>
                <c:pt idx="23">
                  <c:v>0.15947005332295699</c:v>
                </c:pt>
                <c:pt idx="24">
                  <c:v>0.15947005332295699</c:v>
                </c:pt>
                <c:pt idx="25">
                  <c:v>0.15947005332295699</c:v>
                </c:pt>
                <c:pt idx="26">
                  <c:v>0.15947005332295699</c:v>
                </c:pt>
                <c:pt idx="27">
                  <c:v>0.15947005332295699</c:v>
                </c:pt>
                <c:pt idx="28">
                  <c:v>0.15947005332295699</c:v>
                </c:pt>
                <c:pt idx="29">
                  <c:v>0.15947005332295699</c:v>
                </c:pt>
                <c:pt idx="30">
                  <c:v>0.15947005332295699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4BD-493F-BBC6-6B463F1C8981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xVal>
          <c:yVal>
            <c:numRef>
              <c:f>Data!$H$16:$AL$16</c:f>
              <c:numCache>
                <c:formatCode>General</c:formatCode>
                <c:ptCount val="31"/>
                <c:pt idx="0" formatCode="0.0000">
                  <c:v>1.37690622330492E-2</c:v>
                </c:pt>
                <c:pt idx="1">
                  <c:v>1.37690622330492E-2</c:v>
                </c:pt>
                <c:pt idx="2">
                  <c:v>1.50234391644237E-2</c:v>
                </c:pt>
                <c:pt idx="3">
                  <c:v>5.9846297320643701E-3</c:v>
                </c:pt>
                <c:pt idx="4">
                  <c:v>3.9429627558054299E-3</c:v>
                </c:pt>
                <c:pt idx="5">
                  <c:v>8.1424881347127408E-3</c:v>
                </c:pt>
                <c:pt idx="6">
                  <c:v>8.1424881347127408E-3</c:v>
                </c:pt>
                <c:pt idx="7">
                  <c:v>8.1424881347127408E-3</c:v>
                </c:pt>
                <c:pt idx="8">
                  <c:v>8.1424881347127408E-3</c:v>
                </c:pt>
                <c:pt idx="9">
                  <c:v>8.1424881347127408E-3</c:v>
                </c:pt>
                <c:pt idx="10">
                  <c:v>8.1424881347127408E-3</c:v>
                </c:pt>
                <c:pt idx="11">
                  <c:v>8.1424881347127408E-3</c:v>
                </c:pt>
                <c:pt idx="12">
                  <c:v>8.1424881347127408E-3</c:v>
                </c:pt>
                <c:pt idx="13">
                  <c:v>8.1424881347127408E-3</c:v>
                </c:pt>
                <c:pt idx="14">
                  <c:v>8.1424881347127408E-3</c:v>
                </c:pt>
                <c:pt idx="15">
                  <c:v>8.1424881347127408E-3</c:v>
                </c:pt>
                <c:pt idx="16">
                  <c:v>8.1424881347127408E-3</c:v>
                </c:pt>
                <c:pt idx="17">
                  <c:v>8.1424881347127408E-3</c:v>
                </c:pt>
                <c:pt idx="18">
                  <c:v>8.1424881347127408E-3</c:v>
                </c:pt>
                <c:pt idx="19">
                  <c:v>8.1424881347127408E-3</c:v>
                </c:pt>
                <c:pt idx="20">
                  <c:v>8.1424881347127408E-3</c:v>
                </c:pt>
                <c:pt idx="21">
                  <c:v>8.1424881347127408E-3</c:v>
                </c:pt>
                <c:pt idx="22">
                  <c:v>8.1424881347127408E-3</c:v>
                </c:pt>
                <c:pt idx="23">
                  <c:v>8.1424881347127408E-3</c:v>
                </c:pt>
                <c:pt idx="24">
                  <c:v>8.1424881347127408E-3</c:v>
                </c:pt>
                <c:pt idx="25">
                  <c:v>8.1424881347127408E-3</c:v>
                </c:pt>
                <c:pt idx="26">
                  <c:v>8.1424881347127408E-3</c:v>
                </c:pt>
                <c:pt idx="27">
                  <c:v>8.1424881347127408E-3</c:v>
                </c:pt>
                <c:pt idx="28">
                  <c:v>8.1424881347127408E-3</c:v>
                </c:pt>
                <c:pt idx="29">
                  <c:v>8.1424881347127408E-3</c:v>
                </c:pt>
                <c:pt idx="30">
                  <c:v>8.1424881347127408E-3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C4BD-493F-BBC6-6B463F1C89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2410304"/>
        <c:axId val="1442411744"/>
      </c:scatterChart>
      <c:valAx>
        <c:axId val="1442410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2411744"/>
        <c:crosses val="autoZero"/>
        <c:crossBetween val="midCat"/>
      </c:valAx>
      <c:valAx>
        <c:axId val="1442411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24103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Data!$H$17:$AL$17</c:f>
              <c:numCache>
                <c:formatCode>General</c:formatCode>
                <c:ptCount val="31"/>
                <c:pt idx="0">
                  <c:v>0.18467095381410897</c:v>
                </c:pt>
                <c:pt idx="1">
                  <c:v>0.20679585237428799</c:v>
                </c:pt>
                <c:pt idx="2">
                  <c:v>0.2323202254775863</c:v>
                </c:pt>
                <c:pt idx="3">
                  <c:v>0.26168474967806649</c:v>
                </c:pt>
                <c:pt idx="4">
                  <c:v>0.29535945465707103</c:v>
                </c:pt>
                <c:pt idx="5">
                  <c:v>0.33383584804654387</c:v>
                </c:pt>
                <c:pt idx="6">
                  <c:v>0.37761510179865232</c:v>
                </c:pt>
                <c:pt idx="7">
                  <c:v>0.42719162064128996</c:v>
                </c:pt>
                <c:pt idx="8">
                  <c:v>0.48303150241407805</c:v>
                </c:pt>
                <c:pt idx="9">
                  <c:v>0.54554576385492282</c:v>
                </c:pt>
                <c:pt idx="10">
                  <c:v>0.61505877825632926</c:v>
                </c:pt>
                <c:pt idx="11">
                  <c:v>0.69177315955181817</c:v>
                </c:pt>
                <c:pt idx="12">
                  <c:v>0.77573328647560325</c:v>
                </c:pt>
                <c:pt idx="13">
                  <c:v>0.86679067488305006</c:v>
                </c:pt>
                <c:pt idx="14">
                  <c:v>0.96457528067354337</c:v>
                </c:pt>
                <c:pt idx="15">
                  <c:v>1.0684772912113583</c:v>
                </c:pt>
                <c:pt idx="16">
                  <c:v>1.1776437694307156</c:v>
                </c:pt>
                <c:pt idx="17">
                  <c:v>1.2909934561611893</c:v>
                </c:pt>
                <c:pt idx="18">
                  <c:v>1.4072510905610811</c:v>
                </c:pt>
                <c:pt idx="19">
                  <c:v>1.5250000000000001</c:v>
                </c:pt>
                <c:pt idx="20">
                  <c:v>1.6427489094389189</c:v>
                </c:pt>
                <c:pt idx="21">
                  <c:v>1.7590065438388109</c:v>
                </c:pt>
                <c:pt idx="22">
                  <c:v>1.8723562305692845</c:v>
                </c:pt>
                <c:pt idx="23">
                  <c:v>1.981522708788642</c:v>
                </c:pt>
                <c:pt idx="24">
                  <c:v>2.0854247193264568</c:v>
                </c:pt>
                <c:pt idx="25">
                  <c:v>2.18320932511695</c:v>
                </c:pt>
                <c:pt idx="26">
                  <c:v>2.2742667135243968</c:v>
                </c:pt>
                <c:pt idx="27">
                  <c:v>2.3582268404481819</c:v>
                </c:pt>
                <c:pt idx="28">
                  <c:v>2.4349412217436712</c:v>
                </c:pt>
                <c:pt idx="29">
                  <c:v>2.5044542361450772</c:v>
                </c:pt>
                <c:pt idx="30">
                  <c:v>2.5669684975859219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F2-4315-AE68-ED008B054E39}"/>
            </c:ext>
          </c:extLst>
        </c:ser>
        <c:ser>
          <c:idx val="4"/>
          <c:order val="1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Data!$H$31:$AL$31</c:f>
              <c:numCache>
                <c:formatCode>General</c:formatCode>
                <c:ptCount val="31"/>
                <c:pt idx="0" formatCode="0.0000">
                  <c:v>5.3709944550863111E-3</c:v>
                </c:pt>
                <c:pt idx="1">
                  <c:v>2.103086091562989E-2</c:v>
                </c:pt>
                <c:pt idx="2">
                  <c:v>2.3580088259556035E-2</c:v>
                </c:pt>
                <c:pt idx="3">
                  <c:v>2.6512847772602481E-2</c:v>
                </c:pt>
                <c:pt idx="4">
                  <c:v>2.9876083311579586E-2</c:v>
                </c:pt>
                <c:pt idx="5">
                  <c:v>3.3718883827272901E-2</c:v>
                </c:pt>
                <c:pt idx="6">
                  <c:v>3.8091303487097355E-2</c:v>
                </c:pt>
                <c:pt idx="7">
                  <c:v>4.3042720587092277E-2</c:v>
                </c:pt>
                <c:pt idx="8">
                  <c:v>4.861968629436756E-2</c:v>
                </c:pt>
                <c:pt idx="9">
                  <c:v>5.486325059290683E-2</c:v>
                </c:pt>
                <c:pt idx="10">
                  <c:v>6.1805810018505346E-2</c:v>
                </c:pt>
                <c:pt idx="11">
                  <c:v>6.9467600483618303E-2</c:v>
                </c:pt>
                <c:pt idx="12">
                  <c:v>7.785305428056051E-2</c:v>
                </c:pt>
                <c:pt idx="13">
                  <c:v>8.6947341668358144E-2</c:v>
                </c:pt>
                <c:pt idx="14">
                  <c:v>9.6713504774003714E-2</c:v>
                </c:pt>
                <c:pt idx="15">
                  <c:v>0.10709063902446933</c:v>
                </c:pt>
                <c:pt idx="16">
                  <c:v>0.11799355797925228</c:v>
                </c:pt>
                <c:pt idx="17">
                  <c:v>0.12931427170136311</c:v>
                </c:pt>
                <c:pt idx="18">
                  <c:v>0.14092541448449677</c:v>
                </c:pt>
                <c:pt idx="19">
                  <c:v>0.15268549722754315</c:v>
                </c:pt>
                <c:pt idx="20">
                  <c:v>0.16444557997058951</c:v>
                </c:pt>
                <c:pt idx="21">
                  <c:v>0.17605672275372319</c:v>
                </c:pt>
                <c:pt idx="22">
                  <c:v>0.18737743647583399</c:v>
                </c:pt>
                <c:pt idx="23">
                  <c:v>0.19828035543061695</c:v>
                </c:pt>
                <c:pt idx="24">
                  <c:v>0.20865748968108258</c:v>
                </c:pt>
                <c:pt idx="25">
                  <c:v>0.21842365278672815</c:v>
                </c:pt>
                <c:pt idx="26">
                  <c:v>0.22751794017452581</c:v>
                </c:pt>
                <c:pt idx="27">
                  <c:v>0.23590339397146798</c:v>
                </c:pt>
                <c:pt idx="28">
                  <c:v>0.24356518443658098</c:v>
                </c:pt>
                <c:pt idx="29">
                  <c:v>0.25050774386217944</c:v>
                </c:pt>
                <c:pt idx="30">
                  <c:v>0.25675130816071873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2F2-4315-AE68-ED008B054E39}"/>
            </c:ext>
          </c:extLst>
        </c:ser>
        <c:ser>
          <c:idx val="7"/>
          <c:order val="2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Data!$H$24:$AL$24</c:f>
              <c:numCache>
                <c:formatCode>General</c:formatCode>
                <c:ptCount val="31"/>
                <c:pt idx="0">
                  <c:v>0.24940910118286383</c:v>
                </c:pt>
                <c:pt idx="1">
                  <c:v>0.27888396604439047</c:v>
                </c:pt>
                <c:pt idx="2">
                  <c:v>0.31288762241590307</c:v>
                </c:pt>
                <c:pt idx="3">
                  <c:v>0.3520071410965428</c:v>
                </c:pt>
                <c:pt idx="4">
                  <c:v>0.39686869722111495</c:v>
                </c:pt>
                <c:pt idx="5">
                  <c:v>0.44812707892302284</c:v>
                </c:pt>
                <c:pt idx="6">
                  <c:v>0.50644994917583175</c:v>
                </c:pt>
                <c:pt idx="7">
                  <c:v>0.57249595563398969</c:v>
                </c:pt>
                <c:pt idx="8">
                  <c:v>0.64688603541943279</c:v>
                </c:pt>
                <c:pt idx="9">
                  <c:v>0.73016774642367688</c:v>
                </c:pt>
                <c:pt idx="10">
                  <c:v>0.82277321984656737</c:v>
                </c:pt>
                <c:pt idx="11">
                  <c:v>0.92497237865716797</c:v>
                </c:pt>
                <c:pt idx="12">
                  <c:v>1.036824344355634</c:v>
                </c:pt>
                <c:pt idx="13">
                  <c:v>1.158131305861148</c:v>
                </c:pt>
                <c:pt idx="14">
                  <c:v>1.2884002891684831</c:v>
                </c:pt>
                <c:pt idx="15">
                  <c:v>1.4268188998171656</c:v>
                </c:pt>
                <c:pt idx="16">
                  <c:v>1.5722508521568517</c:v>
                </c:pt>
                <c:pt idx="17">
                  <c:v>1.7232556890554149</c:v>
                </c:pt>
                <c:pt idx="18">
                  <c:v>1.8781345036966268</c:v>
                </c:pt>
                <c:pt idx="19">
                  <c:v>2.0350000000000001</c:v>
                </c:pt>
                <c:pt idx="20">
                  <c:v>2.191865496303373</c:v>
                </c:pt>
                <c:pt idx="21">
                  <c:v>2.3467443109445854</c:v>
                </c:pt>
                <c:pt idx="22">
                  <c:v>2.4977491478431482</c:v>
                </c:pt>
                <c:pt idx="23">
                  <c:v>2.6431811001828347</c:v>
                </c:pt>
                <c:pt idx="24">
                  <c:v>2.7815997108315167</c:v>
                </c:pt>
                <c:pt idx="25">
                  <c:v>2.9118686941388523</c:v>
                </c:pt>
                <c:pt idx="26">
                  <c:v>3.0331756556443663</c:v>
                </c:pt>
                <c:pt idx="27">
                  <c:v>3.1450276213428321</c:v>
                </c:pt>
                <c:pt idx="28">
                  <c:v>3.2472267801534329</c:v>
                </c:pt>
                <c:pt idx="29">
                  <c:v>3.339832253576323</c:v>
                </c:pt>
                <c:pt idx="30">
                  <c:v>3.4231139645805673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2F2-4315-AE68-ED008B054E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6170191"/>
        <c:axId val="346170671"/>
      </c:lineChart>
      <c:catAx>
        <c:axId val="34617019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6170671"/>
        <c:crosses val="autoZero"/>
        <c:auto val="1"/>
        <c:lblAlgn val="ctr"/>
        <c:lblOffset val="100"/>
        <c:noMultiLvlLbl val="0"/>
      </c:catAx>
      <c:valAx>
        <c:axId val="346170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6170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Data!$H$10:$AL$10</c:f>
              <c:numCache>
                <c:formatCode>General</c:formatCode>
                <c:ptCount val="31"/>
                <c:pt idx="0" formatCode="0.0000">
                  <c:v>0.117440521101984</c:v>
                </c:pt>
                <c:pt idx="1">
                  <c:v>0.117440521101984</c:v>
                </c:pt>
                <c:pt idx="2">
                  <c:v>0.19574055486733699</c:v>
                </c:pt>
                <c:pt idx="3">
                  <c:v>0.180496933010247</c:v>
                </c:pt>
                <c:pt idx="4">
                  <c:v>0.169947491452244</c:v>
                </c:pt>
                <c:pt idx="5">
                  <c:v>0.25807148748617798</c:v>
                </c:pt>
                <c:pt idx="6">
                  <c:v>0.30479321587354868</c:v>
                </c:pt>
                <c:pt idx="7">
                  <c:v>0.31977968247767741</c:v>
                </c:pt>
                <c:pt idx="8">
                  <c:v>0.33901352975582549</c:v>
                </c:pt>
                <c:pt idx="9">
                  <c:v>0.36331483706629852</c:v>
                </c:pt>
                <c:pt idx="10">
                  <c:v>0.39341818500838277</c:v>
                </c:pt>
                <c:pt idx="11">
                  <c:v>0.42980955054856673</c:v>
                </c:pt>
                <c:pt idx="12">
                  <c:v>0.47252629304498917</c:v>
                </c:pt>
                <c:pt idx="13">
                  <c:v>0.52096917712672686</c:v>
                </c:pt>
                <c:pt idx="14">
                  <c:v>0.57380471797722965</c:v>
                </c:pt>
                <c:pt idx="15">
                  <c:v>0.6290357437430889</c:v>
                </c:pt>
                <c:pt idx="16">
                  <c:v>0.68426676950894838</c:v>
                </c:pt>
                <c:pt idx="17">
                  <c:v>0.73710231035945117</c:v>
                </c:pt>
                <c:pt idx="18">
                  <c:v>0.78554519444118864</c:v>
                </c:pt>
                <c:pt idx="19">
                  <c:v>0.82826193693761119</c:v>
                </c:pt>
                <c:pt idx="20">
                  <c:v>0.86465330247779515</c:v>
                </c:pt>
                <c:pt idx="21">
                  <c:v>0.8947566504198794</c:v>
                </c:pt>
                <c:pt idx="22">
                  <c:v>0.91905795773035237</c:v>
                </c:pt>
                <c:pt idx="23">
                  <c:v>0.93829180500850051</c:v>
                </c:pt>
                <c:pt idx="24">
                  <c:v>0.95327827161262935</c:v>
                </c:pt>
                <c:pt idx="25">
                  <c:v>0.96481339245869879</c:v>
                </c:pt>
                <c:pt idx="26">
                  <c:v>0.97360872045460534</c:v>
                </c:pt>
                <c:pt idx="27">
                  <c:v>0.98026693211817606</c:v>
                </c:pt>
                <c:pt idx="28">
                  <c:v>0.98527991147889638</c:v>
                </c:pt>
                <c:pt idx="29">
                  <c:v>0.98903872464197784</c:v>
                </c:pt>
                <c:pt idx="30">
                  <c:v>0.99184847399700926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E1-4E2E-A76F-5EEB7BC44C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3852976"/>
        <c:axId val="241096592"/>
      </c:lineChart>
      <c:catAx>
        <c:axId val="6538529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1096592"/>
        <c:crosses val="autoZero"/>
        <c:auto val="1"/>
        <c:lblAlgn val="ctr"/>
        <c:lblOffset val="100"/>
        <c:noMultiLvlLbl val="0"/>
      </c:catAx>
      <c:valAx>
        <c:axId val="24109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3852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40</xdr:col>
      <xdr:colOff>246529</xdr:colOff>
      <xdr:row>5</xdr:row>
      <xdr:rowOff>272169</xdr:rowOff>
    </xdr:from>
    <xdr:to>
      <xdr:col>45</xdr:col>
      <xdr:colOff>243327</xdr:colOff>
      <xdr:row>16</xdr:row>
      <xdr:rowOff>169689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8B79091-E0A2-C2C6-F98D-A19EDBA758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40</xdr:col>
      <xdr:colOff>42825</xdr:colOff>
      <xdr:row>19</xdr:row>
      <xdr:rowOff>160405</xdr:rowOff>
    </xdr:from>
    <xdr:to>
      <xdr:col>45</xdr:col>
      <xdr:colOff>49627</xdr:colOff>
      <xdr:row>34</xdr:row>
      <xdr:rowOff>18891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15D62F6-D88F-594B-E5B1-711360C55F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409014</xdr:colOff>
      <xdr:row>23</xdr:row>
      <xdr:rowOff>45943</xdr:rowOff>
    </xdr:from>
    <xdr:to>
      <xdr:col>32</xdr:col>
      <xdr:colOff>140073</xdr:colOff>
      <xdr:row>37</xdr:row>
      <xdr:rowOff>99732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0FAF81E-A04A-D94D-9791-C151CCD480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9"/>
  <sheetViews>
    <sheetView tabSelected="1" workbookViewId="0">
      <selection activeCell="J14" sqref="J14"/>
    </sheetView>
  </sheetViews>
  <sheetFormatPr defaultColWidth="9.140625" defaultRowHeight="15"/>
  <cols>
    <col min="2" max="2" width="56.140625" customWidth="1"/>
  </cols>
  <sheetData>
    <row r="1" spans="1:2">
      <c r="A1" s="1" t="s">
        <v>91</v>
      </c>
    </row>
    <row r="3" spans="1:2">
      <c r="A3" s="1" t="s">
        <v>0</v>
      </c>
      <c r="B3" s="11" t="s">
        <v>102</v>
      </c>
    </row>
    <row r="4" spans="1:2">
      <c r="B4" s="12" t="s">
        <v>36</v>
      </c>
    </row>
    <row r="6" spans="1:2">
      <c r="A6" s="1" t="s">
        <v>6</v>
      </c>
    </row>
    <row r="7" spans="1:2">
      <c r="A7" t="s">
        <v>93</v>
      </c>
    </row>
    <row r="8" spans="1:2">
      <c r="A8" t="s">
        <v>94</v>
      </c>
    </row>
    <row r="9" spans="1:2">
      <c r="A9" t="s">
        <v>95</v>
      </c>
    </row>
    <row r="10" spans="1:2">
      <c r="A10" s="27" t="s">
        <v>96</v>
      </c>
    </row>
    <row r="11" spans="1:2">
      <c r="A11" s="1"/>
    </row>
    <row r="12" spans="1:2">
      <c r="A12" t="s">
        <v>7</v>
      </c>
    </row>
    <row r="13" spans="1:2">
      <c r="A13" t="s">
        <v>8</v>
      </c>
    </row>
    <row r="15" spans="1:2">
      <c r="A15" t="s">
        <v>70</v>
      </c>
    </row>
    <row r="16" spans="1:2">
      <c r="A16" t="s">
        <v>30</v>
      </c>
    </row>
    <row r="17" spans="1:2">
      <c r="A17" t="s">
        <v>92</v>
      </c>
    </row>
    <row r="18" spans="1:2">
      <c r="A18" t="s">
        <v>31</v>
      </c>
    </row>
    <row r="20" spans="1:2">
      <c r="A20" s="11" t="s">
        <v>29</v>
      </c>
      <c r="B20" s="13"/>
    </row>
    <row r="22" spans="1:2">
      <c r="B22" s="11" t="s">
        <v>33</v>
      </c>
    </row>
    <row r="23" spans="1:2">
      <c r="B23" s="1"/>
    </row>
    <row r="24" spans="1:2">
      <c r="B24" t="s">
        <v>24</v>
      </c>
    </row>
    <row r="25" spans="1:2">
      <c r="B25" t="s">
        <v>25</v>
      </c>
    </row>
    <row r="26" spans="1:2">
      <c r="B26" t="s">
        <v>26</v>
      </c>
    </row>
    <row r="28" spans="1:2">
      <c r="B28" t="s">
        <v>27</v>
      </c>
    </row>
    <row r="29" spans="1:2">
      <c r="B29" t="s">
        <v>28</v>
      </c>
    </row>
    <row r="31" spans="1:2">
      <c r="B31" t="s">
        <v>21</v>
      </c>
    </row>
    <row r="32" spans="1:2">
      <c r="B32" t="s">
        <v>22</v>
      </c>
    </row>
    <row r="33" spans="2:2">
      <c r="B33" t="s">
        <v>23</v>
      </c>
    </row>
    <row r="35" spans="2:2">
      <c r="B35" s="11" t="s">
        <v>34</v>
      </c>
    </row>
    <row r="37" spans="2:2">
      <c r="B37" t="s">
        <v>82</v>
      </c>
    </row>
    <row r="38" spans="2:2">
      <c r="B38" t="s">
        <v>98</v>
      </c>
    </row>
    <row r="39" spans="2:2">
      <c r="B39" t="s">
        <v>83</v>
      </c>
    </row>
    <row r="40" spans="2:2">
      <c r="B40" t="s">
        <v>99</v>
      </c>
    </row>
    <row r="41" spans="2:2">
      <c r="B41" t="s">
        <v>100</v>
      </c>
    </row>
    <row r="43" spans="2:2">
      <c r="B43" t="s">
        <v>87</v>
      </c>
    </row>
    <row r="44" spans="2:2">
      <c r="B44" t="s">
        <v>32</v>
      </c>
    </row>
    <row r="46" spans="2:2">
      <c r="B46" t="s">
        <v>97</v>
      </c>
    </row>
    <row r="47" spans="2:2">
      <c r="B47" t="s">
        <v>35</v>
      </c>
    </row>
    <row r="49" spans="2:2">
      <c r="B49" t="s">
        <v>37</v>
      </c>
    </row>
    <row r="50" spans="2:2">
      <c r="B50" t="s">
        <v>35</v>
      </c>
    </row>
    <row r="52" spans="2:2">
      <c r="B52" s="11" t="s">
        <v>38</v>
      </c>
    </row>
    <row r="54" spans="2:2">
      <c r="B54" t="s">
        <v>52</v>
      </c>
    </row>
    <row r="55" spans="2:2">
      <c r="B55" t="s">
        <v>88</v>
      </c>
    </row>
    <row r="56" spans="2:2">
      <c r="B56" t="s">
        <v>89</v>
      </c>
    </row>
    <row r="57" spans="2:2">
      <c r="B57" t="s">
        <v>90</v>
      </c>
    </row>
    <row r="59" spans="2:2">
      <c r="B59" t="s">
        <v>55</v>
      </c>
    </row>
    <row r="60" spans="2:2">
      <c r="B60" t="s">
        <v>53</v>
      </c>
    </row>
    <row r="61" spans="2:2">
      <c r="B61" t="s">
        <v>59</v>
      </c>
    </row>
    <row r="62" spans="2:2">
      <c r="B62" t="s">
        <v>54</v>
      </c>
    </row>
    <row r="63" spans="2:2">
      <c r="B63" t="s">
        <v>60</v>
      </c>
    </row>
    <row r="64" spans="2:2">
      <c r="B64" t="s">
        <v>56</v>
      </c>
    </row>
    <row r="65" spans="2:2">
      <c r="B65" t="s">
        <v>57</v>
      </c>
    </row>
    <row r="66" spans="2:2">
      <c r="B66" t="s">
        <v>58</v>
      </c>
    </row>
    <row r="68" spans="2:2">
      <c r="B68" t="s">
        <v>71</v>
      </c>
    </row>
    <row r="69" spans="2:2">
      <c r="B69" t="s">
        <v>75</v>
      </c>
    </row>
    <row r="70" spans="2:2">
      <c r="B70" t="s">
        <v>72</v>
      </c>
    </row>
    <row r="71" spans="2:2">
      <c r="B71" t="s">
        <v>73</v>
      </c>
    </row>
    <row r="72" spans="2:2">
      <c r="B72" t="s">
        <v>74</v>
      </c>
    </row>
    <row r="74" spans="2:2">
      <c r="B74" t="s">
        <v>46</v>
      </c>
    </row>
    <row r="75" spans="2:2">
      <c r="B75" t="s">
        <v>47</v>
      </c>
    </row>
    <row r="76" spans="2:2">
      <c r="B76" t="s">
        <v>48</v>
      </c>
    </row>
    <row r="77" spans="2:2">
      <c r="B77" t="s">
        <v>49</v>
      </c>
    </row>
    <row r="78" spans="2:2">
      <c r="B78" t="s">
        <v>50</v>
      </c>
    </row>
    <row r="79" spans="2:2">
      <c r="B79" t="s">
        <v>51</v>
      </c>
    </row>
    <row r="81" spans="2:2">
      <c r="B81" t="s">
        <v>77</v>
      </c>
    </row>
    <row r="83" spans="2:2">
      <c r="B83" t="s">
        <v>39</v>
      </c>
    </row>
    <row r="84" spans="2:2">
      <c r="B84" t="s">
        <v>40</v>
      </c>
    </row>
    <row r="85" spans="2:2">
      <c r="B85" t="s">
        <v>41</v>
      </c>
    </row>
    <row r="86" spans="2:2">
      <c r="B86" t="s">
        <v>42</v>
      </c>
    </row>
    <row r="87" spans="2:2">
      <c r="B87" t="s">
        <v>43</v>
      </c>
    </row>
    <row r="88" spans="2:2">
      <c r="B88" t="s">
        <v>44</v>
      </c>
    </row>
    <row r="89" spans="2:2">
      <c r="B89" t="s">
        <v>45</v>
      </c>
    </row>
  </sheetData>
  <phoneticPr fontId="9" type="noConversion"/>
  <hyperlinks>
    <hyperlink ref="A10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D2" sqref="D2:E2"/>
    </sheetView>
  </sheetViews>
  <sheetFormatPr defaultRowHeight="15"/>
  <cols>
    <col min="1" max="1" width="16.85546875" customWidth="1"/>
    <col min="2" max="2" width="24.42578125" customWidth="1"/>
    <col min="3" max="3" width="20.85546875" customWidth="1"/>
    <col min="4" max="4" width="18.140625" customWidth="1"/>
    <col min="5" max="5" width="17.140625" customWidth="1"/>
    <col min="6" max="8" width="23.140625" customWidth="1"/>
    <col min="10" max="10" width="14.42578125" bestFit="1" customWidth="1"/>
  </cols>
  <sheetData>
    <row r="1" spans="1:10" ht="30">
      <c r="A1" s="23" t="s">
        <v>81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78</v>
      </c>
      <c r="H1" s="3" t="s">
        <v>79</v>
      </c>
    </row>
    <row r="2" spans="1:10">
      <c r="A2" s="1" t="s">
        <v>12</v>
      </c>
      <c r="B2" s="4">
        <v>84650.742266925648</v>
      </c>
      <c r="C2" s="4">
        <v>25214.586997392125</v>
      </c>
      <c r="D2" s="4">
        <v>8072982.1194173032</v>
      </c>
      <c r="E2" s="4">
        <v>4633956.5131107848</v>
      </c>
      <c r="F2" s="4">
        <v>477958.89831224794</v>
      </c>
      <c r="G2" s="4">
        <v>1315953.270937951</v>
      </c>
      <c r="H2" s="4">
        <v>7728.5710293009906</v>
      </c>
      <c r="J2" s="4"/>
    </row>
    <row r="3" spans="1:10">
      <c r="A3" s="1" t="s">
        <v>13</v>
      </c>
      <c r="B3" s="4">
        <v>34802.257733074344</v>
      </c>
      <c r="C3" s="4">
        <v>10314.28274882044</v>
      </c>
      <c r="D3" s="4">
        <v>3302335.2797511155</v>
      </c>
      <c r="E3" s="4">
        <v>1895566.9480886636</v>
      </c>
      <c r="F3" s="4">
        <v>195513.93881712668</v>
      </c>
      <c r="G3" s="4">
        <v>538304.04289758822</v>
      </c>
      <c r="H3" s="4">
        <v>3161.4504274369956</v>
      </c>
      <c r="I3" s="4"/>
      <c r="J3" s="22"/>
    </row>
    <row r="4" spans="1:10">
      <c r="A4" s="1" t="s">
        <v>14</v>
      </c>
      <c r="B4" s="4">
        <v>0</v>
      </c>
      <c r="C4" s="4">
        <v>0</v>
      </c>
      <c r="D4" s="4">
        <v>0</v>
      </c>
      <c r="E4" s="4">
        <v>822</v>
      </c>
      <c r="F4" s="4">
        <v>0</v>
      </c>
      <c r="G4" s="4">
        <v>0</v>
      </c>
      <c r="H4" s="4">
        <v>0</v>
      </c>
    </row>
    <row r="5" spans="1:10">
      <c r="A5" s="1" t="s">
        <v>15</v>
      </c>
      <c r="B5" s="4">
        <v>1046.875</v>
      </c>
      <c r="C5" s="4">
        <v>0</v>
      </c>
      <c r="D5" s="4">
        <v>0</v>
      </c>
      <c r="E5" s="4">
        <v>669.83333333333326</v>
      </c>
      <c r="F5" s="4">
        <v>0</v>
      </c>
      <c r="G5" s="4">
        <v>0</v>
      </c>
      <c r="H5" s="4">
        <v>0</v>
      </c>
    </row>
    <row r="6" spans="1:10">
      <c r="A6" s="1" t="s">
        <v>16</v>
      </c>
      <c r="B6" s="4">
        <v>0</v>
      </c>
      <c r="C6" s="4">
        <v>0</v>
      </c>
      <c r="D6" s="28">
        <v>0.4823245691429916</v>
      </c>
      <c r="E6" s="4">
        <v>328</v>
      </c>
      <c r="F6" s="4">
        <v>0</v>
      </c>
      <c r="G6" s="4">
        <v>0.19292982765719663</v>
      </c>
      <c r="H6" s="4">
        <v>0</v>
      </c>
    </row>
    <row r="7" spans="1:10">
      <c r="A7" s="1" t="s">
        <v>17</v>
      </c>
      <c r="B7" s="4">
        <v>0</v>
      </c>
      <c r="C7" s="4">
        <v>0</v>
      </c>
      <c r="D7" s="4">
        <v>272564</v>
      </c>
      <c r="E7" s="4">
        <v>0</v>
      </c>
      <c r="F7" s="4">
        <v>0</v>
      </c>
      <c r="G7" s="4">
        <v>0</v>
      </c>
      <c r="H7" s="4">
        <v>0</v>
      </c>
    </row>
    <row r="9" spans="1:10">
      <c r="B9" s="4"/>
      <c r="C9" s="4"/>
      <c r="D9" s="4"/>
      <c r="E9" s="4"/>
      <c r="F9" s="4"/>
      <c r="G9" s="4"/>
      <c r="H9" s="4"/>
    </row>
  </sheetData>
  <phoneticPr fontId="9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B2" sqref="B2:H7"/>
    </sheetView>
  </sheetViews>
  <sheetFormatPr defaultRowHeight="15"/>
  <cols>
    <col min="1" max="1" width="16.85546875" customWidth="1"/>
    <col min="2" max="2" width="24.42578125" customWidth="1"/>
    <col min="3" max="3" width="20.85546875" customWidth="1"/>
    <col min="4" max="4" width="18.140625" customWidth="1"/>
    <col min="5" max="5" width="17.140625" customWidth="1"/>
    <col min="6" max="8" width="23.140625" customWidth="1"/>
    <col min="9" max="9" width="13.42578125" bestFit="1" customWidth="1"/>
    <col min="10" max="10" width="12.42578125" bestFit="1" customWidth="1"/>
  </cols>
  <sheetData>
    <row r="1" spans="1:10" ht="30">
      <c r="A1" s="23" t="s">
        <v>81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78</v>
      </c>
      <c r="H1" s="3" t="s">
        <v>79</v>
      </c>
    </row>
    <row r="2" spans="1:10">
      <c r="A2" s="1" t="s">
        <v>12</v>
      </c>
      <c r="B2" s="4">
        <v>11965.956562995307</v>
      </c>
      <c r="C2" s="4">
        <v>1366</v>
      </c>
      <c r="D2" s="4">
        <v>14255.143043258835</v>
      </c>
      <c r="E2" s="4">
        <v>2664174.8230804084</v>
      </c>
      <c r="F2" s="4">
        <v>0</v>
      </c>
      <c r="G2" s="4">
        <v>94459.997166222995</v>
      </c>
      <c r="H2">
        <v>0</v>
      </c>
      <c r="I2" s="22"/>
      <c r="J2" s="4"/>
    </row>
    <row r="3" spans="1:10">
      <c r="A3" s="1" t="s">
        <v>13</v>
      </c>
      <c r="B3">
        <v>3543.0434370046937</v>
      </c>
      <c r="C3">
        <v>0</v>
      </c>
      <c r="D3">
        <v>4220.8569567411641</v>
      </c>
      <c r="E3">
        <v>788845.17691959161</v>
      </c>
      <c r="F3">
        <v>0</v>
      </c>
      <c r="G3" s="4">
        <v>27969.002833777009</v>
      </c>
      <c r="H3" s="4">
        <v>0</v>
      </c>
      <c r="J3" s="4"/>
    </row>
    <row r="4" spans="1:10">
      <c r="A4" s="1" t="s">
        <v>14</v>
      </c>
      <c r="B4">
        <v>0</v>
      </c>
      <c r="C4">
        <v>0</v>
      </c>
      <c r="D4">
        <v>0</v>
      </c>
      <c r="E4" s="10">
        <v>36</v>
      </c>
      <c r="F4">
        <v>0</v>
      </c>
      <c r="G4" s="4">
        <v>0</v>
      </c>
      <c r="H4" s="4">
        <v>0</v>
      </c>
    </row>
    <row r="5" spans="1:10">
      <c r="A5" s="1" t="s">
        <v>15</v>
      </c>
      <c r="B5">
        <v>87.5</v>
      </c>
      <c r="C5">
        <v>0</v>
      </c>
      <c r="D5">
        <v>0</v>
      </c>
      <c r="E5" s="4">
        <v>127</v>
      </c>
      <c r="F5">
        <v>0</v>
      </c>
      <c r="G5" s="4">
        <v>0</v>
      </c>
      <c r="H5" s="4">
        <v>0</v>
      </c>
    </row>
    <row r="6" spans="1:10">
      <c r="A6" s="1" t="s">
        <v>16</v>
      </c>
      <c r="B6">
        <v>0</v>
      </c>
      <c r="C6">
        <v>0</v>
      </c>
      <c r="D6">
        <v>2.1101699900005881</v>
      </c>
      <c r="E6" s="4">
        <v>630.10013528615957</v>
      </c>
      <c r="F6">
        <v>0</v>
      </c>
      <c r="G6" s="4">
        <v>0.8440679960002353</v>
      </c>
      <c r="H6" s="4">
        <v>0</v>
      </c>
    </row>
    <row r="7" spans="1:10">
      <c r="A7" s="1" t="s">
        <v>17</v>
      </c>
      <c r="B7">
        <v>0</v>
      </c>
      <c r="C7">
        <v>0</v>
      </c>
      <c r="D7">
        <v>2016445</v>
      </c>
      <c r="E7">
        <v>0</v>
      </c>
      <c r="F7">
        <v>0</v>
      </c>
      <c r="G7" s="4">
        <v>0</v>
      </c>
      <c r="H7" s="4">
        <v>0</v>
      </c>
    </row>
  </sheetData>
  <phoneticPr fontId="9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97B2F-5092-4096-B175-EDA36800D0EC}">
  <dimension ref="A2:X284"/>
  <sheetViews>
    <sheetView workbookViewId="0">
      <selection activeCell="M6" sqref="M6"/>
    </sheetView>
  </sheetViews>
  <sheetFormatPr defaultRowHeight="15"/>
  <sheetData>
    <row r="2" spans="1:24">
      <c r="A2" s="33" t="s">
        <v>138</v>
      </c>
      <c r="B2" s="32"/>
      <c r="C2" s="32"/>
      <c r="D2" s="32"/>
      <c r="E2" s="32"/>
      <c r="F2" s="32"/>
      <c r="G2" s="32"/>
      <c r="H2" s="32"/>
      <c r="I2" s="32"/>
      <c r="J2" s="32"/>
      <c r="M2" s="33" t="s">
        <v>338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</row>
    <row r="3" spans="1:24">
      <c r="A3" s="12" t="s">
        <v>397</v>
      </c>
      <c r="M3" s="12" t="s">
        <v>400</v>
      </c>
    </row>
    <row r="4" spans="1:24">
      <c r="A4" s="12" t="s">
        <v>398</v>
      </c>
      <c r="M4" s="12" t="s">
        <v>401</v>
      </c>
    </row>
    <row r="5" spans="1:24">
      <c r="A5" s="12" t="s">
        <v>399</v>
      </c>
      <c r="M5" s="12" t="s">
        <v>402</v>
      </c>
    </row>
    <row r="7" spans="1:24">
      <c r="A7" t="s">
        <v>139</v>
      </c>
      <c r="M7" t="s">
        <v>139</v>
      </c>
    </row>
    <row r="8" spans="1:24" ht="409.5">
      <c r="A8" s="34" t="s">
        <v>140</v>
      </c>
    </row>
    <row r="9" spans="1:24">
      <c r="M9" t="s">
        <v>339</v>
      </c>
    </row>
    <row r="10" spans="1:24">
      <c r="A10" t="s">
        <v>141</v>
      </c>
      <c r="M10" t="s">
        <v>340</v>
      </c>
    </row>
    <row r="11" spans="1:24">
      <c r="A11" t="s">
        <v>142</v>
      </c>
    </row>
    <row r="12" spans="1:24">
      <c r="A12" t="s">
        <v>143</v>
      </c>
      <c r="M12" t="s">
        <v>341</v>
      </c>
    </row>
    <row r="13" spans="1:24">
      <c r="A13" t="s">
        <v>144</v>
      </c>
      <c r="M13" t="s">
        <v>342</v>
      </c>
    </row>
    <row r="14" spans="1:24">
      <c r="M14" t="s">
        <v>341</v>
      </c>
    </row>
    <row r="15" spans="1:24">
      <c r="A15" t="s">
        <v>145</v>
      </c>
    </row>
    <row r="16" spans="1:24">
      <c r="A16" t="s">
        <v>146</v>
      </c>
      <c r="M16" t="s">
        <v>343</v>
      </c>
    </row>
    <row r="17" spans="1:13">
      <c r="A17" t="s">
        <v>147</v>
      </c>
      <c r="M17" t="s">
        <v>344</v>
      </c>
    </row>
    <row r="18" spans="1:13" ht="409.5">
      <c r="A18" s="34" t="s">
        <v>148</v>
      </c>
    </row>
    <row r="19" spans="1:13">
      <c r="M19" t="s">
        <v>345</v>
      </c>
    </row>
    <row r="20" spans="1:13">
      <c r="M20" t="s">
        <v>346</v>
      </c>
    </row>
    <row r="21" spans="1:13">
      <c r="A21" t="s">
        <v>149</v>
      </c>
    </row>
    <row r="22" spans="1:13">
      <c r="A22" t="s">
        <v>150</v>
      </c>
      <c r="M22" t="s">
        <v>347</v>
      </c>
    </row>
    <row r="23" spans="1:13">
      <c r="A23" t="s">
        <v>151</v>
      </c>
      <c r="M23" t="s">
        <v>348</v>
      </c>
    </row>
    <row r="24" spans="1:13">
      <c r="A24" t="s">
        <v>152</v>
      </c>
    </row>
    <row r="25" spans="1:13">
      <c r="A25" t="s">
        <v>150</v>
      </c>
      <c r="M25" t="s">
        <v>341</v>
      </c>
    </row>
    <row r="26" spans="1:13">
      <c r="A26" t="s">
        <v>153</v>
      </c>
      <c r="M26" t="s">
        <v>349</v>
      </c>
    </row>
    <row r="27" spans="1:13">
      <c r="A27" t="s">
        <v>154</v>
      </c>
      <c r="M27" t="s">
        <v>341</v>
      </c>
    </row>
    <row r="28" spans="1:13">
      <c r="A28" t="s">
        <v>155</v>
      </c>
    </row>
    <row r="29" spans="1:13">
      <c r="A29" t="s">
        <v>156</v>
      </c>
      <c r="M29" t="s">
        <v>350</v>
      </c>
    </row>
    <row r="30" spans="1:13">
      <c r="A30" t="s">
        <v>157</v>
      </c>
    </row>
    <row r="31" spans="1:13">
      <c r="A31" t="s">
        <v>158</v>
      </c>
      <c r="M31" t="s">
        <v>351</v>
      </c>
    </row>
    <row r="32" spans="1:13">
      <c r="M32" t="s">
        <v>352</v>
      </c>
    </row>
    <row r="33" spans="1:13">
      <c r="M33" t="s">
        <v>353</v>
      </c>
    </row>
    <row r="34" spans="1:13">
      <c r="A34" t="s">
        <v>159</v>
      </c>
      <c r="M34" t="s">
        <v>354</v>
      </c>
    </row>
    <row r="35" spans="1:13">
      <c r="A35" t="s">
        <v>150</v>
      </c>
    </row>
    <row r="36" spans="1:13">
      <c r="A36" t="s">
        <v>160</v>
      </c>
      <c r="M36" t="s">
        <v>355</v>
      </c>
    </row>
    <row r="37" spans="1:13">
      <c r="A37" t="s">
        <v>161</v>
      </c>
    </row>
    <row r="38" spans="1:13">
      <c r="A38" t="s">
        <v>150</v>
      </c>
      <c r="M38" t="s">
        <v>341</v>
      </c>
    </row>
    <row r="39" spans="1:13">
      <c r="A39" t="s">
        <v>162</v>
      </c>
      <c r="M39" t="s">
        <v>356</v>
      </c>
    </row>
    <row r="40" spans="1:13">
      <c r="A40" t="s">
        <v>163</v>
      </c>
      <c r="M40" t="s">
        <v>341</v>
      </c>
    </row>
    <row r="41" spans="1:13">
      <c r="A41" t="s">
        <v>164</v>
      </c>
    </row>
    <row r="42" spans="1:13">
      <c r="A42" t="s">
        <v>165</v>
      </c>
      <c r="M42" t="s">
        <v>357</v>
      </c>
    </row>
    <row r="43" spans="1:13">
      <c r="M43" t="s">
        <v>358</v>
      </c>
    </row>
    <row r="44" spans="1:13">
      <c r="A44" t="s">
        <v>166</v>
      </c>
      <c r="M44" t="s">
        <v>359</v>
      </c>
    </row>
    <row r="45" spans="1:13">
      <c r="A45" t="s">
        <v>167</v>
      </c>
    </row>
    <row r="46" spans="1:13">
      <c r="A46" t="s">
        <v>168</v>
      </c>
      <c r="M46" t="s">
        <v>360</v>
      </c>
    </row>
    <row r="47" spans="1:13">
      <c r="A47" t="s">
        <v>169</v>
      </c>
    </row>
    <row r="48" spans="1:13">
      <c r="M48" t="s">
        <v>341</v>
      </c>
    </row>
    <row r="49" spans="1:13">
      <c r="M49" t="s">
        <v>361</v>
      </c>
    </row>
    <row r="50" spans="1:13">
      <c r="A50" t="s">
        <v>170</v>
      </c>
      <c r="M50" t="s">
        <v>341</v>
      </c>
    </row>
    <row r="51" spans="1:13">
      <c r="A51" t="s">
        <v>150</v>
      </c>
    </row>
    <row r="52" spans="1:13">
      <c r="A52" t="s">
        <v>171</v>
      </c>
      <c r="M52" t="s">
        <v>362</v>
      </c>
    </row>
    <row r="53" spans="1:13">
      <c r="A53" t="s">
        <v>150</v>
      </c>
    </row>
    <row r="54" spans="1:13">
      <c r="A54" t="s">
        <v>162</v>
      </c>
      <c r="M54" t="s">
        <v>341</v>
      </c>
    </row>
    <row r="55" spans="1:13">
      <c r="A55" t="s">
        <v>163</v>
      </c>
      <c r="M55" t="s">
        <v>363</v>
      </c>
    </row>
    <row r="56" spans="1:13">
      <c r="A56" t="s">
        <v>172</v>
      </c>
      <c r="M56" t="s">
        <v>341</v>
      </c>
    </row>
    <row r="57" spans="1:13">
      <c r="A57" t="s">
        <v>173</v>
      </c>
    </row>
    <row r="58" spans="1:13">
      <c r="A58" t="s">
        <v>174</v>
      </c>
      <c r="M58" t="s">
        <v>364</v>
      </c>
    </row>
    <row r="59" spans="1:13">
      <c r="A59" t="s">
        <v>175</v>
      </c>
    </row>
    <row r="60" spans="1:13">
      <c r="A60" t="s">
        <v>176</v>
      </c>
      <c r="M60" t="s">
        <v>365</v>
      </c>
    </row>
    <row r="61" spans="1:13">
      <c r="A61" t="s">
        <v>177</v>
      </c>
      <c r="M61" t="s">
        <v>366</v>
      </c>
    </row>
    <row r="62" spans="1:13">
      <c r="A62" t="s">
        <v>178</v>
      </c>
      <c r="M62" t="s">
        <v>367</v>
      </c>
    </row>
    <row r="63" spans="1:13">
      <c r="M63" t="s">
        <v>359</v>
      </c>
    </row>
    <row r="65" spans="1:13">
      <c r="A65" t="s">
        <v>179</v>
      </c>
      <c r="M65" t="s">
        <v>368</v>
      </c>
    </row>
    <row r="66" spans="1:13">
      <c r="A66" t="s">
        <v>150</v>
      </c>
      <c r="M66" t="s">
        <v>369</v>
      </c>
    </row>
    <row r="67" spans="1:13">
      <c r="A67" t="s">
        <v>180</v>
      </c>
    </row>
    <row r="68" spans="1:13">
      <c r="A68" t="s">
        <v>150</v>
      </c>
      <c r="M68" t="s">
        <v>341</v>
      </c>
    </row>
    <row r="69" spans="1:13">
      <c r="A69" t="s">
        <v>181</v>
      </c>
      <c r="M69" t="s">
        <v>370</v>
      </c>
    </row>
    <row r="70" spans="1:13">
      <c r="A70" t="s">
        <v>182</v>
      </c>
      <c r="M70" t="s">
        <v>341</v>
      </c>
    </row>
    <row r="71" spans="1:13">
      <c r="A71" t="s">
        <v>183</v>
      </c>
    </row>
    <row r="72" spans="1:13">
      <c r="A72" t="s">
        <v>184</v>
      </c>
      <c r="M72" t="s">
        <v>371</v>
      </c>
    </row>
    <row r="73" spans="1:13">
      <c r="A73" t="s">
        <v>185</v>
      </c>
    </row>
    <row r="74" spans="1:13">
      <c r="M74" t="s">
        <v>372</v>
      </c>
    </row>
    <row r="75" spans="1:13">
      <c r="M75" t="s">
        <v>373</v>
      </c>
    </row>
    <row r="76" spans="1:13">
      <c r="A76" t="s">
        <v>186</v>
      </c>
    </row>
    <row r="77" spans="1:13">
      <c r="A77" t="s">
        <v>187</v>
      </c>
      <c r="M77" t="s">
        <v>341</v>
      </c>
    </row>
    <row r="78" spans="1:13">
      <c r="A78" t="s">
        <v>186</v>
      </c>
      <c r="M78" t="s">
        <v>374</v>
      </c>
    </row>
    <row r="79" spans="1:13">
      <c r="M79" t="s">
        <v>341</v>
      </c>
    </row>
    <row r="80" spans="1:13">
      <c r="A80" t="s">
        <v>188</v>
      </c>
    </row>
    <row r="81" spans="1:13">
      <c r="A81" t="s">
        <v>189</v>
      </c>
      <c r="M81" t="s">
        <v>375</v>
      </c>
    </row>
    <row r="82" spans="1:13">
      <c r="A82" t="s">
        <v>190</v>
      </c>
      <c r="M82" t="s">
        <v>376</v>
      </c>
    </row>
    <row r="83" spans="1:13">
      <c r="A83" t="s">
        <v>191</v>
      </c>
      <c r="M83" t="s">
        <v>377</v>
      </c>
    </row>
    <row r="84" spans="1:13">
      <c r="A84" t="s">
        <v>192</v>
      </c>
      <c r="M84" t="s">
        <v>378</v>
      </c>
    </row>
    <row r="85" spans="1:13">
      <c r="A85" t="s">
        <v>193</v>
      </c>
      <c r="M85" t="s">
        <v>379</v>
      </c>
    </row>
    <row r="86" spans="1:13">
      <c r="A86" t="s">
        <v>194</v>
      </c>
      <c r="M86" t="s">
        <v>380</v>
      </c>
    </row>
    <row r="87" spans="1:13">
      <c r="A87" t="s">
        <v>195</v>
      </c>
      <c r="M87" t="s">
        <v>381</v>
      </c>
    </row>
    <row r="88" spans="1:13">
      <c r="A88" t="s">
        <v>150</v>
      </c>
      <c r="M88" t="s">
        <v>382</v>
      </c>
    </row>
    <row r="89" spans="1:13">
      <c r="A89" t="s">
        <v>196</v>
      </c>
      <c r="M89" t="s">
        <v>383</v>
      </c>
    </row>
    <row r="90" spans="1:13">
      <c r="A90" t="s">
        <v>197</v>
      </c>
      <c r="M90" t="s">
        <v>384</v>
      </c>
    </row>
    <row r="91" spans="1:13">
      <c r="A91" t="s">
        <v>198</v>
      </c>
      <c r="M91" t="s">
        <v>385</v>
      </c>
    </row>
    <row r="93" spans="1:13">
      <c r="A93" t="s">
        <v>199</v>
      </c>
      <c r="M93" t="s">
        <v>386</v>
      </c>
    </row>
    <row r="94" spans="1:13">
      <c r="A94" t="s">
        <v>200</v>
      </c>
    </row>
    <row r="95" spans="1:13">
      <c r="A95" t="s">
        <v>150</v>
      </c>
      <c r="M95" t="s">
        <v>387</v>
      </c>
    </row>
    <row r="96" spans="1:13">
      <c r="A96" t="s">
        <v>201</v>
      </c>
    </row>
    <row r="98" spans="1:1">
      <c r="A98" t="s">
        <v>202</v>
      </c>
    </row>
    <row r="99" spans="1:1">
      <c r="A99" t="s">
        <v>203</v>
      </c>
    </row>
    <row r="100" spans="1:1">
      <c r="A100" t="s">
        <v>204</v>
      </c>
    </row>
    <row r="101" spans="1:1">
      <c r="A101" t="s">
        <v>205</v>
      </c>
    </row>
    <row r="102" spans="1:1">
      <c r="A102" t="s">
        <v>206</v>
      </c>
    </row>
    <row r="104" spans="1:1">
      <c r="A104" t="s">
        <v>207</v>
      </c>
    </row>
    <row r="105" spans="1:1">
      <c r="A105" t="s">
        <v>208</v>
      </c>
    </row>
    <row r="107" spans="1:1">
      <c r="A107" t="s">
        <v>209</v>
      </c>
    </row>
    <row r="108" spans="1:1">
      <c r="A108" t="s">
        <v>210</v>
      </c>
    </row>
    <row r="110" spans="1:1">
      <c r="A110" t="s">
        <v>211</v>
      </c>
    </row>
    <row r="111" spans="1:1">
      <c r="A111" t="s">
        <v>212</v>
      </c>
    </row>
    <row r="113" spans="1:1">
      <c r="A113" t="s">
        <v>213</v>
      </c>
    </row>
    <row r="114" spans="1:1">
      <c r="A114" t="s">
        <v>214</v>
      </c>
    </row>
    <row r="116" spans="1:1">
      <c r="A116" t="s">
        <v>215</v>
      </c>
    </row>
    <row r="117" spans="1:1">
      <c r="A117" t="s">
        <v>216</v>
      </c>
    </row>
    <row r="118" spans="1:1">
      <c r="A118" t="s">
        <v>217</v>
      </c>
    </row>
    <row r="119" spans="1:1">
      <c r="A119" t="s">
        <v>218</v>
      </c>
    </row>
    <row r="120" spans="1:1">
      <c r="A120" t="s">
        <v>219</v>
      </c>
    </row>
    <row r="121" spans="1:1">
      <c r="A121" t="s">
        <v>220</v>
      </c>
    </row>
    <row r="122" spans="1:1">
      <c r="A122" t="s">
        <v>132</v>
      </c>
    </row>
    <row r="123" spans="1:1">
      <c r="A123" t="s">
        <v>221</v>
      </c>
    </row>
    <row r="125" spans="1:1">
      <c r="A125" t="s">
        <v>222</v>
      </c>
    </row>
    <row r="126" spans="1:1">
      <c r="A126" t="s">
        <v>223</v>
      </c>
    </row>
    <row r="128" spans="1:1">
      <c r="A128" t="s">
        <v>224</v>
      </c>
    </row>
    <row r="129" spans="1:1">
      <c r="A129" t="s">
        <v>225</v>
      </c>
    </row>
    <row r="130" spans="1:1">
      <c r="A130" t="s">
        <v>226</v>
      </c>
    </row>
    <row r="132" spans="1:1">
      <c r="A132" t="s">
        <v>227</v>
      </c>
    </row>
    <row r="134" spans="1:1">
      <c r="A134" t="s">
        <v>228</v>
      </c>
    </row>
    <row r="136" spans="1:1">
      <c r="A136" t="s">
        <v>229</v>
      </c>
    </row>
    <row r="137" spans="1:1">
      <c r="A137" t="s">
        <v>230</v>
      </c>
    </row>
    <row r="139" spans="1:1">
      <c r="A139" t="s">
        <v>231</v>
      </c>
    </row>
    <row r="141" spans="1:1">
      <c r="A141" t="s">
        <v>232</v>
      </c>
    </row>
    <row r="142" spans="1:1">
      <c r="A142" t="s">
        <v>233</v>
      </c>
    </row>
    <row r="144" spans="1:1">
      <c r="A144" t="s">
        <v>234</v>
      </c>
    </row>
    <row r="146" spans="1:1">
      <c r="A146" t="s">
        <v>235</v>
      </c>
    </row>
    <row r="147" spans="1:1">
      <c r="A147" t="s">
        <v>236</v>
      </c>
    </row>
    <row r="148" spans="1:1">
      <c r="A148" t="s">
        <v>237</v>
      </c>
    </row>
    <row r="150" spans="1:1">
      <c r="A150" t="s">
        <v>238</v>
      </c>
    </row>
    <row r="153" spans="1:1">
      <c r="A153" t="s">
        <v>239</v>
      </c>
    </row>
    <row r="154" spans="1:1">
      <c r="A154" t="s">
        <v>240</v>
      </c>
    </row>
    <row r="155" spans="1:1">
      <c r="A155" t="s">
        <v>241</v>
      </c>
    </row>
    <row r="156" spans="1:1">
      <c r="A156" t="s">
        <v>242</v>
      </c>
    </row>
    <row r="157" spans="1:1">
      <c r="A157" t="s">
        <v>243</v>
      </c>
    </row>
    <row r="158" spans="1:1">
      <c r="A158" t="s">
        <v>244</v>
      </c>
    </row>
    <row r="159" spans="1:1">
      <c r="A159" t="s">
        <v>245</v>
      </c>
    </row>
    <row r="160" spans="1:1">
      <c r="A160" t="s">
        <v>246</v>
      </c>
    </row>
    <row r="161" spans="1:1">
      <c r="A161" t="s">
        <v>247</v>
      </c>
    </row>
    <row r="162" spans="1:1">
      <c r="A162" t="s">
        <v>248</v>
      </c>
    </row>
    <row r="163" spans="1:1">
      <c r="A163" t="s">
        <v>249</v>
      </c>
    </row>
    <row r="165" spans="1:1">
      <c r="A165" t="s">
        <v>250</v>
      </c>
    </row>
    <row r="166" spans="1:1">
      <c r="A166" t="s">
        <v>251</v>
      </c>
    </row>
    <row r="167" spans="1:1">
      <c r="A167" t="s">
        <v>252</v>
      </c>
    </row>
    <row r="169" spans="1:1">
      <c r="A169" t="s">
        <v>253</v>
      </c>
    </row>
    <row r="170" spans="1:1">
      <c r="A170" t="s">
        <v>254</v>
      </c>
    </row>
    <row r="171" spans="1:1">
      <c r="A171" t="s">
        <v>255</v>
      </c>
    </row>
    <row r="172" spans="1:1">
      <c r="A172" t="s">
        <v>256</v>
      </c>
    </row>
    <row r="173" spans="1:1">
      <c r="A173" t="s">
        <v>257</v>
      </c>
    </row>
    <row r="174" spans="1:1">
      <c r="A174" t="s">
        <v>258</v>
      </c>
    </row>
    <row r="175" spans="1:1">
      <c r="A175" t="s">
        <v>259</v>
      </c>
    </row>
    <row r="177" spans="1:1">
      <c r="A177" t="s">
        <v>260</v>
      </c>
    </row>
    <row r="178" spans="1:1">
      <c r="A178" t="s">
        <v>261</v>
      </c>
    </row>
    <row r="179" spans="1:1">
      <c r="A179" t="s">
        <v>262</v>
      </c>
    </row>
    <row r="180" spans="1:1">
      <c r="A180" t="s">
        <v>263</v>
      </c>
    </row>
    <row r="181" spans="1:1">
      <c r="A181" t="s">
        <v>264</v>
      </c>
    </row>
    <row r="183" spans="1:1">
      <c r="A183" t="s">
        <v>265</v>
      </c>
    </row>
    <row r="184" spans="1:1">
      <c r="A184" t="s">
        <v>266</v>
      </c>
    </row>
    <row r="185" spans="1:1">
      <c r="A185" t="s">
        <v>267</v>
      </c>
    </row>
    <row r="187" spans="1:1">
      <c r="A187" t="s">
        <v>268</v>
      </c>
    </row>
    <row r="188" spans="1:1">
      <c r="A188" t="s">
        <v>269</v>
      </c>
    </row>
    <row r="189" spans="1:1">
      <c r="A189" t="s">
        <v>270</v>
      </c>
    </row>
    <row r="190" spans="1:1">
      <c r="A190" t="s">
        <v>271</v>
      </c>
    </row>
    <row r="191" spans="1:1">
      <c r="A191" t="s">
        <v>272</v>
      </c>
    </row>
    <row r="192" spans="1:1">
      <c r="A192" t="s">
        <v>177</v>
      </c>
    </row>
    <row r="194" spans="1:1">
      <c r="A194" t="s">
        <v>273</v>
      </c>
    </row>
    <row r="195" spans="1:1">
      <c r="A195" t="s">
        <v>274</v>
      </c>
    </row>
    <row r="196" spans="1:1">
      <c r="A196" t="s">
        <v>275</v>
      </c>
    </row>
    <row r="197" spans="1:1">
      <c r="A197" t="s">
        <v>276</v>
      </c>
    </row>
    <row r="198" spans="1:1">
      <c r="A198" t="s">
        <v>277</v>
      </c>
    </row>
    <row r="200" spans="1:1">
      <c r="A200" t="s">
        <v>278</v>
      </c>
    </row>
    <row r="202" spans="1:1">
      <c r="A202" t="s">
        <v>279</v>
      </c>
    </row>
    <row r="203" spans="1:1">
      <c r="A203" t="s">
        <v>280</v>
      </c>
    </row>
    <row r="204" spans="1:1">
      <c r="A204" t="s">
        <v>281</v>
      </c>
    </row>
    <row r="205" spans="1:1">
      <c r="A205" t="s">
        <v>282</v>
      </c>
    </row>
    <row r="206" spans="1:1">
      <c r="A206" t="s">
        <v>283</v>
      </c>
    </row>
    <row r="207" spans="1:1">
      <c r="A207" t="s">
        <v>284</v>
      </c>
    </row>
    <row r="208" spans="1:1">
      <c r="A208" t="s">
        <v>285</v>
      </c>
    </row>
    <row r="209" spans="1:1">
      <c r="A209" t="s">
        <v>282</v>
      </c>
    </row>
    <row r="210" spans="1:1">
      <c r="A210" t="s">
        <v>286</v>
      </c>
    </row>
    <row r="212" spans="1:1">
      <c r="A212" t="s">
        <v>287</v>
      </c>
    </row>
    <row r="213" spans="1:1">
      <c r="A213" t="s">
        <v>288</v>
      </c>
    </row>
    <row r="214" spans="1:1">
      <c r="A214" t="s">
        <v>289</v>
      </c>
    </row>
    <row r="215" spans="1:1">
      <c r="A215" t="s">
        <v>290</v>
      </c>
    </row>
    <row r="216" spans="1:1">
      <c r="A216" t="s">
        <v>291</v>
      </c>
    </row>
    <row r="217" spans="1:1">
      <c r="A217" t="s">
        <v>292</v>
      </c>
    </row>
    <row r="218" spans="1:1">
      <c r="A218" t="s">
        <v>293</v>
      </c>
    </row>
    <row r="220" spans="1:1">
      <c r="A220" t="s">
        <v>294</v>
      </c>
    </row>
    <row r="221" spans="1:1">
      <c r="A221" t="s">
        <v>295</v>
      </c>
    </row>
    <row r="222" spans="1:1">
      <c r="A222" t="s">
        <v>296</v>
      </c>
    </row>
    <row r="223" spans="1:1">
      <c r="A223" t="s">
        <v>297</v>
      </c>
    </row>
    <row r="224" spans="1:1">
      <c r="A224" t="s">
        <v>298</v>
      </c>
    </row>
    <row r="225" spans="1:1">
      <c r="A225" t="s">
        <v>299</v>
      </c>
    </row>
    <row r="226" spans="1:1">
      <c r="A226" t="s">
        <v>300</v>
      </c>
    </row>
    <row r="227" spans="1:1">
      <c r="A227" t="s">
        <v>301</v>
      </c>
    </row>
    <row r="228" spans="1:1">
      <c r="A228" t="s">
        <v>302</v>
      </c>
    </row>
    <row r="229" spans="1:1">
      <c r="A229" t="s">
        <v>303</v>
      </c>
    </row>
    <row r="230" spans="1:1">
      <c r="A230" t="s">
        <v>289</v>
      </c>
    </row>
    <row r="231" spans="1:1">
      <c r="A231" t="s">
        <v>304</v>
      </c>
    </row>
    <row r="232" spans="1:1">
      <c r="A232" t="s">
        <v>291</v>
      </c>
    </row>
    <row r="233" spans="1:1">
      <c r="A233" t="s">
        <v>305</v>
      </c>
    </row>
    <row r="234" spans="1:1">
      <c r="A234" t="s">
        <v>293</v>
      </c>
    </row>
    <row r="236" spans="1:1">
      <c r="A236" t="s">
        <v>306</v>
      </c>
    </row>
    <row r="238" spans="1:1">
      <c r="A238" t="s">
        <v>307</v>
      </c>
    </row>
    <row r="239" spans="1:1">
      <c r="A239" t="s">
        <v>308</v>
      </c>
    </row>
    <row r="240" spans="1:1">
      <c r="A240" t="s">
        <v>309</v>
      </c>
    </row>
    <row r="241" spans="1:1">
      <c r="A241" t="s">
        <v>310</v>
      </c>
    </row>
    <row r="242" spans="1:1">
      <c r="A242" t="s">
        <v>311</v>
      </c>
    </row>
    <row r="243" spans="1:1">
      <c r="A243" t="s">
        <v>312</v>
      </c>
    </row>
    <row r="244" spans="1:1">
      <c r="A244" t="s">
        <v>313</v>
      </c>
    </row>
    <row r="245" spans="1:1">
      <c r="A245" t="s">
        <v>314</v>
      </c>
    </row>
    <row r="246" spans="1:1">
      <c r="A246" t="s">
        <v>315</v>
      </c>
    </row>
    <row r="247" spans="1:1">
      <c r="A247" t="s">
        <v>280</v>
      </c>
    </row>
    <row r="248" spans="1:1">
      <c r="A248" t="s">
        <v>316</v>
      </c>
    </row>
    <row r="250" spans="1:1">
      <c r="A250" t="s">
        <v>317</v>
      </c>
    </row>
    <row r="251" spans="1:1">
      <c r="A251" t="s">
        <v>318</v>
      </c>
    </row>
    <row r="252" spans="1:1">
      <c r="A252" t="s">
        <v>319</v>
      </c>
    </row>
    <row r="253" spans="1:1">
      <c r="A253" t="s">
        <v>320</v>
      </c>
    </row>
    <row r="255" spans="1:1">
      <c r="A255" t="s">
        <v>321</v>
      </c>
    </row>
    <row r="257" spans="1:1">
      <c r="A257" t="s">
        <v>280</v>
      </c>
    </row>
    <row r="258" spans="1:1">
      <c r="A258" t="s">
        <v>322</v>
      </c>
    </row>
    <row r="259" spans="1:1">
      <c r="A259" t="s">
        <v>284</v>
      </c>
    </row>
    <row r="260" spans="1:1">
      <c r="A260" t="s">
        <v>323</v>
      </c>
    </row>
    <row r="262" spans="1:1">
      <c r="A262" t="s">
        <v>324</v>
      </c>
    </row>
    <row r="263" spans="1:1">
      <c r="A263" t="s">
        <v>325</v>
      </c>
    </row>
    <row r="264" spans="1:1">
      <c r="A264" t="s">
        <v>326</v>
      </c>
    </row>
    <row r="265" spans="1:1">
      <c r="A265" t="s">
        <v>327</v>
      </c>
    </row>
    <row r="266" spans="1:1">
      <c r="A266" t="s">
        <v>177</v>
      </c>
    </row>
    <row r="268" spans="1:1">
      <c r="A268" t="s">
        <v>328</v>
      </c>
    </row>
    <row r="270" spans="1:1">
      <c r="A270" t="s">
        <v>329</v>
      </c>
    </row>
    <row r="271" spans="1:1">
      <c r="A271" t="s">
        <v>330</v>
      </c>
    </row>
    <row r="272" spans="1:1">
      <c r="A272" t="s">
        <v>331</v>
      </c>
    </row>
    <row r="273" spans="1:10">
      <c r="A273" t="s">
        <v>332</v>
      </c>
    </row>
    <row r="274" spans="1:10">
      <c r="A274" t="s">
        <v>333</v>
      </c>
    </row>
    <row r="276" spans="1:10">
      <c r="A276" t="s">
        <v>334</v>
      </c>
    </row>
    <row r="277" spans="1:10">
      <c r="A277" t="s">
        <v>335</v>
      </c>
    </row>
    <row r="280" spans="1:10">
      <c r="A280" t="s">
        <v>336</v>
      </c>
    </row>
    <row r="281" spans="1:10">
      <c r="A281" t="s">
        <v>337</v>
      </c>
    </row>
    <row r="284" spans="1:10">
      <c r="B284" s="32"/>
      <c r="C284" s="32"/>
      <c r="D284" s="32"/>
      <c r="E284" s="32"/>
      <c r="F284" s="32"/>
      <c r="G284" s="32"/>
      <c r="H284" s="32"/>
      <c r="I284" s="32"/>
      <c r="J284" s="3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9E7F5-D122-4C59-A6D3-7F5B0E744BE5}">
  <dimension ref="A1:G36"/>
  <sheetViews>
    <sheetView workbookViewId="0">
      <selection activeCell="H5" sqref="H5"/>
    </sheetView>
  </sheetViews>
  <sheetFormatPr defaultRowHeight="15"/>
  <cols>
    <col min="2" max="2" width="14.85546875" bestFit="1" customWidth="1"/>
    <col min="3" max="3" width="21.7109375" bestFit="1" customWidth="1"/>
    <col min="4" max="4" width="76" bestFit="1" customWidth="1"/>
    <col min="6" max="6" width="20.85546875" bestFit="1" customWidth="1"/>
    <col min="7" max="7" width="10" bestFit="1" customWidth="1"/>
  </cols>
  <sheetData>
    <row r="1" spans="1:7">
      <c r="A1" t="s">
        <v>103</v>
      </c>
      <c r="B1" t="s">
        <v>104</v>
      </c>
      <c r="C1" t="s">
        <v>105</v>
      </c>
      <c r="D1" t="s">
        <v>388</v>
      </c>
      <c r="E1" t="s">
        <v>106</v>
      </c>
      <c r="F1" t="s">
        <v>389</v>
      </c>
      <c r="G1" t="s">
        <v>107</v>
      </c>
    </row>
    <row r="2" spans="1:7">
      <c r="A2">
        <v>2021</v>
      </c>
      <c r="B2" t="s">
        <v>110</v>
      </c>
      <c r="C2" t="s">
        <v>1</v>
      </c>
      <c r="D2" t="s">
        <v>390</v>
      </c>
      <c r="E2">
        <v>58414</v>
      </c>
      <c r="F2">
        <v>1402020</v>
      </c>
      <c r="G2">
        <v>3.5340000000000003E-2</v>
      </c>
    </row>
    <row r="3" spans="1:7">
      <c r="A3">
        <v>2021</v>
      </c>
      <c r="B3" t="s">
        <v>110</v>
      </c>
      <c r="C3" t="s">
        <v>2</v>
      </c>
      <c r="D3" t="s">
        <v>391</v>
      </c>
      <c r="E3">
        <v>54549</v>
      </c>
      <c r="F3">
        <v>1402020</v>
      </c>
      <c r="G3">
        <v>1.6999999999999999E-3</v>
      </c>
    </row>
    <row r="4" spans="1:7">
      <c r="A4">
        <v>2021</v>
      </c>
      <c r="B4" t="s">
        <v>110</v>
      </c>
      <c r="C4" t="s">
        <v>3</v>
      </c>
      <c r="D4" t="s">
        <v>392</v>
      </c>
      <c r="E4">
        <v>49019</v>
      </c>
      <c r="F4">
        <v>1402020</v>
      </c>
      <c r="G4">
        <v>0.54335</v>
      </c>
    </row>
    <row r="5" spans="1:7">
      <c r="A5">
        <v>2021</v>
      </c>
      <c r="B5" t="s">
        <v>110</v>
      </c>
      <c r="C5" t="s">
        <v>4</v>
      </c>
      <c r="D5" t="s">
        <v>393</v>
      </c>
      <c r="E5">
        <v>51468</v>
      </c>
      <c r="F5">
        <v>1402020</v>
      </c>
      <c r="G5">
        <v>0.31189</v>
      </c>
    </row>
    <row r="6" spans="1:7">
      <c r="A6">
        <v>2021</v>
      </c>
      <c r="B6" t="s">
        <v>110</v>
      </c>
      <c r="C6" t="s">
        <v>5</v>
      </c>
      <c r="D6" t="s">
        <v>394</v>
      </c>
      <c r="E6">
        <v>55470</v>
      </c>
      <c r="F6">
        <v>1402020</v>
      </c>
      <c r="G6">
        <v>1.342E-2</v>
      </c>
    </row>
    <row r="7" spans="1:7">
      <c r="A7">
        <v>2021</v>
      </c>
      <c r="B7" t="s">
        <v>110</v>
      </c>
      <c r="C7" t="s">
        <v>78</v>
      </c>
      <c r="D7" t="s">
        <v>395</v>
      </c>
      <c r="E7">
        <v>52804</v>
      </c>
      <c r="F7">
        <v>1402020</v>
      </c>
      <c r="G7">
        <v>8.8569999999999996E-2</v>
      </c>
    </row>
    <row r="8" spans="1:7">
      <c r="A8">
        <v>2021</v>
      </c>
      <c r="B8" t="s">
        <v>110</v>
      </c>
      <c r="C8" t="s">
        <v>79</v>
      </c>
      <c r="D8" t="s">
        <v>396</v>
      </c>
      <c r="E8">
        <v>69435</v>
      </c>
      <c r="F8">
        <v>1402020</v>
      </c>
      <c r="G8">
        <v>5.7400000000000003E-3</v>
      </c>
    </row>
    <row r="9" spans="1:7">
      <c r="A9">
        <v>2022</v>
      </c>
      <c r="B9" t="s">
        <v>110</v>
      </c>
      <c r="C9" t="s">
        <v>1</v>
      </c>
      <c r="D9" t="s">
        <v>390</v>
      </c>
      <c r="E9">
        <v>57856</v>
      </c>
      <c r="F9">
        <v>1271370</v>
      </c>
      <c r="G9">
        <v>7.4800000000000005E-2</v>
      </c>
    </row>
    <row r="10" spans="1:7">
      <c r="A10">
        <v>2022</v>
      </c>
      <c r="B10" t="s">
        <v>110</v>
      </c>
      <c r="C10" t="s">
        <v>2</v>
      </c>
      <c r="D10" t="s">
        <v>391</v>
      </c>
      <c r="E10">
        <v>53186</v>
      </c>
      <c r="F10">
        <v>1271370</v>
      </c>
      <c r="G10">
        <v>1.6299999999999999E-3</v>
      </c>
    </row>
    <row r="11" spans="1:7">
      <c r="A11">
        <v>2022</v>
      </c>
      <c r="B11" t="s">
        <v>110</v>
      </c>
      <c r="C11" t="s">
        <v>3</v>
      </c>
      <c r="D11" t="s">
        <v>392</v>
      </c>
      <c r="E11">
        <v>50400</v>
      </c>
      <c r="F11">
        <v>1271370</v>
      </c>
      <c r="G11">
        <v>0.52217999999999998</v>
      </c>
    </row>
    <row r="12" spans="1:7">
      <c r="A12">
        <v>2022</v>
      </c>
      <c r="B12" t="s">
        <v>110</v>
      </c>
      <c r="C12" t="s">
        <v>4</v>
      </c>
      <c r="D12" t="s">
        <v>393</v>
      </c>
      <c r="E12">
        <v>52846</v>
      </c>
      <c r="F12">
        <v>1271370</v>
      </c>
      <c r="G12">
        <v>0.29974000000000001</v>
      </c>
    </row>
    <row r="13" spans="1:7">
      <c r="A13">
        <v>2022</v>
      </c>
      <c r="B13" t="s">
        <v>110</v>
      </c>
      <c r="C13" t="s">
        <v>5</v>
      </c>
      <c r="D13" t="s">
        <v>394</v>
      </c>
      <c r="E13">
        <v>55608</v>
      </c>
      <c r="F13">
        <v>1271370</v>
      </c>
      <c r="G13">
        <v>9.4699999999999993E-3</v>
      </c>
    </row>
    <row r="14" spans="1:7">
      <c r="A14">
        <v>2022</v>
      </c>
      <c r="B14" t="s">
        <v>110</v>
      </c>
      <c r="C14" t="s">
        <v>78</v>
      </c>
      <c r="D14" t="s">
        <v>395</v>
      </c>
      <c r="E14">
        <v>49243</v>
      </c>
      <c r="F14">
        <v>1271370</v>
      </c>
      <c r="G14">
        <v>8.5120000000000001E-2</v>
      </c>
    </row>
    <row r="15" spans="1:7">
      <c r="A15">
        <v>2022</v>
      </c>
      <c r="B15" t="s">
        <v>110</v>
      </c>
      <c r="C15" t="s">
        <v>79</v>
      </c>
      <c r="D15" t="s">
        <v>396</v>
      </c>
      <c r="E15">
        <v>58645</v>
      </c>
      <c r="F15">
        <v>1271370</v>
      </c>
      <c r="G15">
        <v>7.0600000000000003E-3</v>
      </c>
    </row>
    <row r="16" spans="1:7">
      <c r="A16">
        <v>2023</v>
      </c>
      <c r="B16" t="s">
        <v>110</v>
      </c>
      <c r="C16" t="s">
        <v>1</v>
      </c>
      <c r="D16" t="s">
        <v>390</v>
      </c>
      <c r="E16">
        <v>54552</v>
      </c>
      <c r="F16">
        <v>1284090</v>
      </c>
      <c r="G16">
        <v>6.5549999999999997E-2</v>
      </c>
    </row>
    <row r="17" spans="1:7">
      <c r="A17">
        <v>2023</v>
      </c>
      <c r="B17" t="s">
        <v>110</v>
      </c>
      <c r="C17" t="s">
        <v>2</v>
      </c>
      <c r="D17" t="s">
        <v>391</v>
      </c>
      <c r="E17">
        <v>54943</v>
      </c>
      <c r="F17">
        <v>1284090</v>
      </c>
      <c r="G17">
        <v>1.66E-3</v>
      </c>
    </row>
    <row r="18" spans="1:7">
      <c r="A18">
        <v>2023</v>
      </c>
      <c r="B18" t="s">
        <v>110</v>
      </c>
      <c r="C18" t="s">
        <v>3</v>
      </c>
      <c r="D18" t="s">
        <v>392</v>
      </c>
      <c r="E18">
        <v>50672</v>
      </c>
      <c r="F18">
        <v>1284090</v>
      </c>
      <c r="G18">
        <v>0.53010000000000002</v>
      </c>
    </row>
    <row r="19" spans="1:7">
      <c r="A19">
        <v>2023</v>
      </c>
      <c r="B19" t="s">
        <v>110</v>
      </c>
      <c r="C19" t="s">
        <v>4</v>
      </c>
      <c r="D19" t="s">
        <v>393</v>
      </c>
      <c r="E19">
        <v>53072</v>
      </c>
      <c r="F19">
        <v>1284090</v>
      </c>
      <c r="G19">
        <v>0.30427999999999999</v>
      </c>
    </row>
    <row r="20" spans="1:7">
      <c r="A20">
        <v>2023</v>
      </c>
      <c r="B20" t="s">
        <v>110</v>
      </c>
      <c r="C20" t="s">
        <v>5</v>
      </c>
      <c r="D20" t="s">
        <v>394</v>
      </c>
      <c r="E20">
        <v>55047</v>
      </c>
      <c r="F20">
        <v>1284090</v>
      </c>
      <c r="G20">
        <v>9.1000000000000004E-3</v>
      </c>
    </row>
    <row r="21" spans="1:7">
      <c r="A21">
        <v>2023</v>
      </c>
      <c r="B21" t="s">
        <v>110</v>
      </c>
      <c r="C21" t="s">
        <v>78</v>
      </c>
      <c r="D21" t="s">
        <v>395</v>
      </c>
      <c r="E21">
        <v>49412</v>
      </c>
      <c r="F21">
        <v>1284090</v>
      </c>
      <c r="G21">
        <v>8.6410000000000001E-2</v>
      </c>
    </row>
    <row r="22" spans="1:7">
      <c r="A22">
        <v>2023</v>
      </c>
      <c r="B22" t="s">
        <v>110</v>
      </c>
      <c r="C22" t="s">
        <v>79</v>
      </c>
      <c r="D22" t="s">
        <v>396</v>
      </c>
      <c r="E22">
        <v>57488</v>
      </c>
      <c r="F22">
        <v>1284090</v>
      </c>
      <c r="G22">
        <v>2.9099999999999998E-3</v>
      </c>
    </row>
    <row r="23" spans="1:7">
      <c r="A23">
        <v>2024</v>
      </c>
      <c r="B23" t="s">
        <v>110</v>
      </c>
      <c r="C23" t="s">
        <v>1</v>
      </c>
      <c r="D23" t="s">
        <v>390</v>
      </c>
      <c r="E23">
        <v>52141</v>
      </c>
      <c r="F23">
        <v>1309790</v>
      </c>
      <c r="G23">
        <v>8.6980000000000002E-2</v>
      </c>
    </row>
    <row r="24" spans="1:7">
      <c r="A24">
        <v>2024</v>
      </c>
      <c r="B24" t="s">
        <v>110</v>
      </c>
      <c r="C24" t="s">
        <v>2</v>
      </c>
      <c r="D24" t="s">
        <v>391</v>
      </c>
      <c r="E24">
        <v>55384</v>
      </c>
      <c r="F24">
        <v>1309790</v>
      </c>
      <c r="G24">
        <v>1.6199999999999999E-3</v>
      </c>
    </row>
    <row r="25" spans="1:7">
      <c r="A25">
        <v>2024</v>
      </c>
      <c r="B25" t="s">
        <v>110</v>
      </c>
      <c r="C25" t="s">
        <v>3</v>
      </c>
      <c r="D25" t="s">
        <v>392</v>
      </c>
      <c r="E25">
        <v>50863</v>
      </c>
      <c r="F25">
        <v>1309790</v>
      </c>
      <c r="G25">
        <v>0.51893</v>
      </c>
    </row>
    <row r="26" spans="1:7">
      <c r="A26">
        <v>2024</v>
      </c>
      <c r="B26" t="s">
        <v>110</v>
      </c>
      <c r="C26" t="s">
        <v>4</v>
      </c>
      <c r="D26" t="s">
        <v>393</v>
      </c>
      <c r="E26">
        <v>53239</v>
      </c>
      <c r="F26">
        <v>1309790</v>
      </c>
      <c r="G26">
        <v>0.29787000000000002</v>
      </c>
    </row>
    <row r="27" spans="1:7">
      <c r="A27">
        <v>2024</v>
      </c>
      <c r="B27" t="s">
        <v>110</v>
      </c>
      <c r="C27" t="s">
        <v>5</v>
      </c>
      <c r="D27" t="s">
        <v>394</v>
      </c>
      <c r="E27">
        <v>54936</v>
      </c>
      <c r="F27">
        <v>1309790</v>
      </c>
      <c r="G27">
        <v>8.09E-3</v>
      </c>
    </row>
    <row r="28" spans="1:7">
      <c r="A28">
        <v>2024</v>
      </c>
      <c r="B28" t="s">
        <v>110</v>
      </c>
      <c r="C28" t="s">
        <v>78</v>
      </c>
      <c r="D28" t="s">
        <v>395</v>
      </c>
      <c r="E28">
        <v>49538</v>
      </c>
      <c r="F28">
        <v>1309790</v>
      </c>
      <c r="G28">
        <v>8.4589999999999999E-2</v>
      </c>
    </row>
    <row r="29" spans="1:7">
      <c r="A29">
        <v>2024</v>
      </c>
      <c r="B29" t="s">
        <v>110</v>
      </c>
      <c r="C29" t="s">
        <v>79</v>
      </c>
      <c r="D29" t="s">
        <v>396</v>
      </c>
      <c r="E29">
        <v>56249</v>
      </c>
      <c r="F29">
        <v>1309790</v>
      </c>
      <c r="G29">
        <v>1.91E-3</v>
      </c>
    </row>
    <row r="30" spans="1:7">
      <c r="A30">
        <v>2025</v>
      </c>
      <c r="B30" t="s">
        <v>110</v>
      </c>
      <c r="C30" t="s">
        <v>1</v>
      </c>
      <c r="D30" t="s">
        <v>390</v>
      </c>
      <c r="E30">
        <v>50779</v>
      </c>
      <c r="F30">
        <v>1335360</v>
      </c>
      <c r="G30">
        <v>0.13181999999999999</v>
      </c>
    </row>
    <row r="31" spans="1:7">
      <c r="A31">
        <v>2025</v>
      </c>
      <c r="B31" t="s">
        <v>110</v>
      </c>
      <c r="C31" t="s">
        <v>2</v>
      </c>
      <c r="D31" t="s">
        <v>391</v>
      </c>
      <c r="E31">
        <v>55921</v>
      </c>
      <c r="F31">
        <v>1335360</v>
      </c>
      <c r="G31">
        <v>1.5299999999999999E-3</v>
      </c>
    </row>
    <row r="32" spans="1:7">
      <c r="A32">
        <v>2025</v>
      </c>
      <c r="B32" t="s">
        <v>110</v>
      </c>
      <c r="C32" t="s">
        <v>3</v>
      </c>
      <c r="D32" t="s">
        <v>392</v>
      </c>
      <c r="E32">
        <v>51366</v>
      </c>
      <c r="F32">
        <v>1335360</v>
      </c>
      <c r="G32">
        <v>0.49058000000000002</v>
      </c>
    </row>
    <row r="33" spans="1:7">
      <c r="A33">
        <v>2025</v>
      </c>
      <c r="B33" t="s">
        <v>110</v>
      </c>
      <c r="C33" t="s">
        <v>4</v>
      </c>
      <c r="D33" t="s">
        <v>393</v>
      </c>
      <c r="E33">
        <v>53638</v>
      </c>
      <c r="F33">
        <v>1335360</v>
      </c>
      <c r="G33">
        <v>0.28160000000000002</v>
      </c>
    </row>
    <row r="34" spans="1:7">
      <c r="A34">
        <v>2025</v>
      </c>
      <c r="B34" t="s">
        <v>110</v>
      </c>
      <c r="C34" t="s">
        <v>5</v>
      </c>
      <c r="D34" t="s">
        <v>394</v>
      </c>
      <c r="E34">
        <v>54680</v>
      </c>
      <c r="F34">
        <v>1335360</v>
      </c>
      <c r="G34">
        <v>1.0749999999999999E-2</v>
      </c>
    </row>
    <row r="35" spans="1:7">
      <c r="A35">
        <v>2025</v>
      </c>
      <c r="B35" t="s">
        <v>110</v>
      </c>
      <c r="C35" t="s">
        <v>78</v>
      </c>
      <c r="D35" t="s">
        <v>395</v>
      </c>
      <c r="E35">
        <v>49833</v>
      </c>
      <c r="F35">
        <v>1335360</v>
      </c>
      <c r="G35">
        <v>7.9969999999999999E-2</v>
      </c>
    </row>
    <row r="36" spans="1:7">
      <c r="A36">
        <v>2025</v>
      </c>
      <c r="B36" t="s">
        <v>110</v>
      </c>
      <c r="C36" t="s">
        <v>79</v>
      </c>
      <c r="D36" t="s">
        <v>396</v>
      </c>
      <c r="E36">
        <v>56469</v>
      </c>
      <c r="F36">
        <v>1335360</v>
      </c>
      <c r="G36">
        <v>3.7499999999999999E-3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98A0B0-4AA3-4C7F-A6AE-244E743CFDDD}">
  <dimension ref="B2:AF35"/>
  <sheetViews>
    <sheetView workbookViewId="0">
      <selection activeCell="D28" sqref="D28"/>
    </sheetView>
  </sheetViews>
  <sheetFormatPr defaultRowHeight="15"/>
  <cols>
    <col min="2" max="2" width="74.42578125" bestFit="1" customWidth="1"/>
  </cols>
  <sheetData>
    <row r="2" spans="2:32">
      <c r="B2" t="s">
        <v>112</v>
      </c>
      <c r="C2">
        <v>2021</v>
      </c>
      <c r="D2">
        <v>2022</v>
      </c>
      <c r="E2">
        <v>2023</v>
      </c>
      <c r="F2">
        <v>2024</v>
      </c>
      <c r="G2">
        <v>2025</v>
      </c>
      <c r="H2">
        <v>2026</v>
      </c>
      <c r="I2">
        <v>2027</v>
      </c>
      <c r="J2">
        <v>2028</v>
      </c>
      <c r="K2">
        <v>2029</v>
      </c>
      <c r="L2">
        <v>2030</v>
      </c>
      <c r="M2">
        <v>2031</v>
      </c>
      <c r="N2">
        <v>2032</v>
      </c>
      <c r="O2">
        <v>2033</v>
      </c>
      <c r="P2">
        <v>2034</v>
      </c>
      <c r="Q2">
        <v>2035</v>
      </c>
      <c r="R2">
        <v>2036</v>
      </c>
      <c r="S2">
        <v>2037</v>
      </c>
      <c r="T2">
        <v>2038</v>
      </c>
      <c r="U2">
        <v>2039</v>
      </c>
      <c r="V2">
        <v>2040</v>
      </c>
      <c r="W2">
        <v>2041</v>
      </c>
      <c r="X2">
        <v>2042</v>
      </c>
      <c r="Y2">
        <v>2043</v>
      </c>
      <c r="Z2">
        <v>2044</v>
      </c>
      <c r="AA2">
        <v>2045</v>
      </c>
      <c r="AB2">
        <v>2046</v>
      </c>
      <c r="AC2">
        <v>2047</v>
      </c>
      <c r="AD2">
        <v>2048</v>
      </c>
      <c r="AE2">
        <v>2049</v>
      </c>
      <c r="AF2">
        <v>2050</v>
      </c>
    </row>
    <row r="3" spans="2:32">
      <c r="B3" t="s">
        <v>113</v>
      </c>
      <c r="C3" s="31">
        <v>49233500</v>
      </c>
      <c r="D3" s="31">
        <v>49235000</v>
      </c>
      <c r="E3" s="31">
        <v>49827200</v>
      </c>
      <c r="F3" s="31">
        <v>53422400</v>
      </c>
      <c r="G3" s="31">
        <v>54626000</v>
      </c>
      <c r="H3" s="31">
        <v>56242500</v>
      </c>
      <c r="I3" s="31">
        <v>55110700</v>
      </c>
      <c r="J3" s="31">
        <v>53945200</v>
      </c>
      <c r="K3" s="31">
        <v>53056900</v>
      </c>
      <c r="L3" s="31">
        <v>52838500</v>
      </c>
      <c r="M3" s="31">
        <v>52446900</v>
      </c>
      <c r="N3" s="31">
        <v>51692900</v>
      </c>
      <c r="O3" s="31">
        <v>53332800</v>
      </c>
      <c r="P3" s="31">
        <v>52977500</v>
      </c>
      <c r="Q3" s="31">
        <v>52958600</v>
      </c>
      <c r="R3" s="31">
        <v>52732200</v>
      </c>
      <c r="S3" s="31">
        <v>54927200</v>
      </c>
      <c r="T3" s="31">
        <v>56761300</v>
      </c>
      <c r="U3" s="31">
        <v>56864400</v>
      </c>
      <c r="V3" s="31">
        <v>56747500</v>
      </c>
      <c r="W3" s="31">
        <v>56851800</v>
      </c>
      <c r="X3" s="31">
        <v>56830700</v>
      </c>
      <c r="Y3" s="31">
        <v>56722200</v>
      </c>
      <c r="Z3" s="31">
        <v>56637500</v>
      </c>
      <c r="AA3" s="31">
        <v>56401400</v>
      </c>
      <c r="AB3" s="31">
        <v>56093800</v>
      </c>
      <c r="AC3" s="31">
        <v>55766000</v>
      </c>
      <c r="AD3" s="31">
        <v>55692800</v>
      </c>
      <c r="AE3" s="31">
        <v>55626600</v>
      </c>
      <c r="AF3" s="31">
        <v>55552800</v>
      </c>
    </row>
    <row r="4" spans="2:32">
      <c r="B4" t="s">
        <v>114</v>
      </c>
      <c r="C4" s="31">
        <v>1042500000</v>
      </c>
      <c r="D4" s="31">
        <v>1042500000</v>
      </c>
      <c r="E4" s="31">
        <v>1042500000</v>
      </c>
      <c r="F4" s="31">
        <v>1042500000</v>
      </c>
      <c r="G4" s="31">
        <v>1042500000</v>
      </c>
      <c r="H4" s="31">
        <v>1042500000</v>
      </c>
      <c r="I4" s="31">
        <v>1042500000</v>
      </c>
      <c r="J4" s="31">
        <v>1042500000</v>
      </c>
      <c r="K4" s="31">
        <v>1042500000</v>
      </c>
      <c r="L4" s="31">
        <v>1042500000</v>
      </c>
      <c r="M4" s="31">
        <v>1042500000</v>
      </c>
      <c r="N4" s="31">
        <v>1042500000</v>
      </c>
      <c r="O4" s="31">
        <v>1042500000</v>
      </c>
      <c r="P4" s="31">
        <v>1042500000</v>
      </c>
      <c r="Q4" s="31">
        <v>1042500000</v>
      </c>
      <c r="R4" s="31">
        <v>1042500000</v>
      </c>
      <c r="S4" s="31">
        <v>1042500000</v>
      </c>
      <c r="T4" s="31">
        <v>1042500000</v>
      </c>
      <c r="U4" s="31">
        <v>1042500000</v>
      </c>
      <c r="V4" s="31">
        <v>1042500000</v>
      </c>
      <c r="W4" s="31">
        <v>1042500000</v>
      </c>
      <c r="X4" s="31">
        <v>1042500000</v>
      </c>
      <c r="Y4" s="31">
        <v>1042500000</v>
      </c>
      <c r="Z4" s="31">
        <v>1042500000</v>
      </c>
      <c r="AA4" s="31">
        <v>1042500000</v>
      </c>
      <c r="AB4" s="31">
        <v>1042500000</v>
      </c>
      <c r="AC4" s="31">
        <v>1042500000</v>
      </c>
      <c r="AD4" s="31">
        <v>1042500000</v>
      </c>
      <c r="AE4" s="31">
        <v>1042500000</v>
      </c>
      <c r="AF4" s="31">
        <v>1042500000</v>
      </c>
    </row>
    <row r="5" spans="2:32">
      <c r="B5" t="s">
        <v>115</v>
      </c>
      <c r="C5" s="31">
        <v>1042500000</v>
      </c>
      <c r="D5" s="31">
        <v>1042500000</v>
      </c>
      <c r="E5" s="31">
        <v>1042500000</v>
      </c>
      <c r="F5" s="31">
        <v>1042500000</v>
      </c>
      <c r="G5" s="31">
        <v>1042500000</v>
      </c>
      <c r="H5" s="31">
        <v>1042500000</v>
      </c>
      <c r="I5" s="31">
        <v>1042500000</v>
      </c>
      <c r="J5" s="31">
        <v>1042500000</v>
      </c>
      <c r="K5" s="31">
        <v>1042500000</v>
      </c>
      <c r="L5" s="31">
        <v>1042500000</v>
      </c>
      <c r="M5" s="31">
        <v>1042500000</v>
      </c>
      <c r="N5" s="31">
        <v>1042500000</v>
      </c>
      <c r="O5" s="31">
        <v>1042500000</v>
      </c>
      <c r="P5" s="31">
        <v>1042500000</v>
      </c>
      <c r="Q5" s="31">
        <v>1042500000</v>
      </c>
      <c r="R5" s="31">
        <v>1042500000</v>
      </c>
      <c r="S5" s="31">
        <v>1042500000</v>
      </c>
      <c r="T5" s="31">
        <v>1042500000</v>
      </c>
      <c r="U5" s="31">
        <v>1042500000</v>
      </c>
      <c r="V5" s="31">
        <v>1042500000</v>
      </c>
      <c r="W5" s="31">
        <v>1042500000</v>
      </c>
      <c r="X5" s="31">
        <v>1042500000</v>
      </c>
      <c r="Y5" s="31">
        <v>1042500000</v>
      </c>
      <c r="Z5" s="31">
        <v>1042500000</v>
      </c>
      <c r="AA5" s="31">
        <v>1042500000</v>
      </c>
      <c r="AB5" s="31">
        <v>1042500000</v>
      </c>
      <c r="AC5" s="31">
        <v>1042500000</v>
      </c>
      <c r="AD5" s="31">
        <v>1042500000</v>
      </c>
      <c r="AE5" s="31">
        <v>1042500000</v>
      </c>
      <c r="AF5" s="31">
        <v>1042500000</v>
      </c>
    </row>
    <row r="6" spans="2:32">
      <c r="B6" t="s">
        <v>116</v>
      </c>
      <c r="C6" s="31">
        <v>46244200</v>
      </c>
      <c r="D6" s="31">
        <v>46573700</v>
      </c>
      <c r="E6" s="31">
        <v>46593600</v>
      </c>
      <c r="F6" s="31">
        <v>46612900</v>
      </c>
      <c r="G6" s="31">
        <v>46633700</v>
      </c>
      <c r="H6" s="31">
        <v>46653800</v>
      </c>
      <c r="I6" s="31">
        <v>46675300</v>
      </c>
      <c r="J6" s="31">
        <v>46699700</v>
      </c>
      <c r="K6" s="31">
        <v>46721300</v>
      </c>
      <c r="L6" s="31">
        <v>46743700</v>
      </c>
      <c r="M6" s="31">
        <v>46766100</v>
      </c>
      <c r="N6" s="31">
        <v>46788500</v>
      </c>
      <c r="O6" s="31">
        <v>46816200</v>
      </c>
      <c r="P6" s="31">
        <v>46839500</v>
      </c>
      <c r="Q6" s="31">
        <v>46863400</v>
      </c>
      <c r="R6" s="31">
        <v>46888200</v>
      </c>
      <c r="S6" s="31">
        <v>46913000</v>
      </c>
      <c r="T6" s="31">
        <v>46938500</v>
      </c>
      <c r="U6" s="31">
        <v>46968100</v>
      </c>
      <c r="V6" s="31">
        <v>46994400</v>
      </c>
      <c r="W6" s="31">
        <v>47020800</v>
      </c>
      <c r="X6" s="31">
        <v>47047900</v>
      </c>
      <c r="Y6" s="31">
        <v>47075800</v>
      </c>
      <c r="Z6" s="31">
        <v>47103700</v>
      </c>
      <c r="AA6" s="31">
        <v>47136800</v>
      </c>
      <c r="AB6" s="31">
        <v>47166300</v>
      </c>
      <c r="AC6" s="31">
        <v>47195800</v>
      </c>
      <c r="AD6" s="31">
        <v>47226100</v>
      </c>
      <c r="AE6" s="31">
        <v>47256400</v>
      </c>
      <c r="AF6" s="31">
        <v>47287500</v>
      </c>
    </row>
    <row r="7" spans="2:32">
      <c r="B7" t="s">
        <v>117</v>
      </c>
      <c r="C7" s="31">
        <v>1042500000</v>
      </c>
      <c r="D7" s="31">
        <v>1042500000</v>
      </c>
      <c r="E7" s="31">
        <v>1042500000</v>
      </c>
      <c r="F7" s="31">
        <v>1042500000</v>
      </c>
      <c r="G7" s="31">
        <v>1042500000</v>
      </c>
      <c r="H7" s="31">
        <v>1042500000</v>
      </c>
      <c r="I7" s="31">
        <v>1042500000</v>
      </c>
      <c r="J7" s="31">
        <v>1042500000</v>
      </c>
      <c r="K7" s="31">
        <v>1042500000</v>
      </c>
      <c r="L7" s="31">
        <v>1042500000</v>
      </c>
      <c r="M7" s="31">
        <v>1042500000</v>
      </c>
      <c r="N7" s="31">
        <v>1042500000</v>
      </c>
      <c r="O7" s="31">
        <v>1042500000</v>
      </c>
      <c r="P7" s="31">
        <v>1042500000</v>
      </c>
      <c r="Q7" s="31">
        <v>1042500000</v>
      </c>
      <c r="R7" s="31">
        <v>1042500000</v>
      </c>
      <c r="S7" s="31">
        <v>1042500000</v>
      </c>
      <c r="T7" s="31">
        <v>1042500000</v>
      </c>
      <c r="U7" s="31">
        <v>1042500000</v>
      </c>
      <c r="V7" s="31">
        <v>1042500000</v>
      </c>
      <c r="W7" s="31">
        <v>1042500000</v>
      </c>
      <c r="X7" s="31">
        <v>1042500000</v>
      </c>
      <c r="Y7" s="31">
        <v>1042500000</v>
      </c>
      <c r="Z7" s="31">
        <v>1042500000</v>
      </c>
      <c r="AA7" s="31">
        <v>1042500000</v>
      </c>
      <c r="AB7" s="31">
        <v>1042500000</v>
      </c>
      <c r="AC7" s="31">
        <v>1042500000</v>
      </c>
      <c r="AD7" s="31">
        <v>1042500000</v>
      </c>
      <c r="AE7" s="31">
        <v>1042500000</v>
      </c>
      <c r="AF7" s="31">
        <v>1042500000</v>
      </c>
    </row>
    <row r="8" spans="2:32">
      <c r="B8" t="s">
        <v>118</v>
      </c>
      <c r="C8" s="31">
        <v>1042500000</v>
      </c>
      <c r="D8" s="31">
        <v>1042500000</v>
      </c>
      <c r="E8" s="31">
        <v>1042500000</v>
      </c>
      <c r="F8" s="31">
        <v>1042500000</v>
      </c>
      <c r="G8" s="31">
        <v>1042500000</v>
      </c>
      <c r="H8" s="31">
        <v>1042500000</v>
      </c>
      <c r="I8" s="31">
        <v>1042500000</v>
      </c>
      <c r="J8" s="31">
        <v>1042500000</v>
      </c>
      <c r="K8" s="31">
        <v>1042500000</v>
      </c>
      <c r="L8" s="31">
        <v>1042500000</v>
      </c>
      <c r="M8" s="31">
        <v>1042500000</v>
      </c>
      <c r="N8" s="31">
        <v>1042500000</v>
      </c>
      <c r="O8" s="31">
        <v>1042500000</v>
      </c>
      <c r="P8" s="31">
        <v>1042500000</v>
      </c>
      <c r="Q8" s="31">
        <v>1042500000</v>
      </c>
      <c r="R8" s="31">
        <v>1042500000</v>
      </c>
      <c r="S8" s="31">
        <v>1042500000</v>
      </c>
      <c r="T8" s="31">
        <v>1042500000</v>
      </c>
      <c r="U8" s="31">
        <v>1042500000</v>
      </c>
      <c r="V8" s="31">
        <v>1042500000</v>
      </c>
      <c r="W8" s="31">
        <v>1042500000</v>
      </c>
      <c r="X8" s="31">
        <v>1042500000</v>
      </c>
      <c r="Y8" s="31">
        <v>1042500000</v>
      </c>
      <c r="Z8" s="31">
        <v>1042500000</v>
      </c>
      <c r="AA8" s="31">
        <v>1042500000</v>
      </c>
      <c r="AB8" s="31">
        <v>1042500000</v>
      </c>
      <c r="AC8" s="31">
        <v>1042500000</v>
      </c>
      <c r="AD8" s="31">
        <v>1042500000</v>
      </c>
      <c r="AE8" s="31">
        <v>1042500000</v>
      </c>
      <c r="AF8" s="31">
        <v>1042500000</v>
      </c>
    </row>
    <row r="9" spans="2:32">
      <c r="B9" t="s">
        <v>119</v>
      </c>
      <c r="C9" s="31">
        <v>35312800</v>
      </c>
      <c r="D9" s="31">
        <v>35076200</v>
      </c>
      <c r="E9" s="31">
        <v>35025300</v>
      </c>
      <c r="F9" s="31">
        <v>34820700</v>
      </c>
      <c r="G9" s="31">
        <v>34621000</v>
      </c>
      <c r="H9" s="31">
        <v>34427000</v>
      </c>
      <c r="I9" s="31">
        <v>34134300</v>
      </c>
      <c r="J9" s="31">
        <v>33850300</v>
      </c>
      <c r="K9" s="31">
        <v>33598700</v>
      </c>
      <c r="L9" s="31">
        <v>33364700</v>
      </c>
      <c r="M9" s="31">
        <v>33294400</v>
      </c>
      <c r="N9" s="31">
        <v>33238700</v>
      </c>
      <c r="O9" s="31">
        <v>33194300</v>
      </c>
      <c r="P9" s="31">
        <v>33155000</v>
      </c>
      <c r="Q9" s="31">
        <v>33114200</v>
      </c>
      <c r="R9" s="31">
        <v>33070700</v>
      </c>
      <c r="S9" s="31">
        <v>33030700</v>
      </c>
      <c r="T9" s="31">
        <v>32986500</v>
      </c>
      <c r="U9" s="31">
        <v>32950700</v>
      </c>
      <c r="V9" s="31">
        <v>32923500</v>
      </c>
      <c r="W9" s="31">
        <v>32896900</v>
      </c>
      <c r="X9" s="31">
        <v>32873600</v>
      </c>
      <c r="Y9" s="31">
        <v>32853400</v>
      </c>
      <c r="Z9" s="31">
        <v>32831400</v>
      </c>
      <c r="AA9" s="31">
        <v>32812300</v>
      </c>
      <c r="AB9" s="31">
        <v>32797800</v>
      </c>
      <c r="AC9" s="31">
        <v>32787600</v>
      </c>
      <c r="AD9" s="31">
        <v>32777800</v>
      </c>
      <c r="AE9" s="31">
        <v>32768500</v>
      </c>
      <c r="AF9" s="31">
        <v>32759300</v>
      </c>
    </row>
    <row r="10" spans="2:32">
      <c r="B10" t="s">
        <v>120</v>
      </c>
      <c r="C10" s="31">
        <v>43448100</v>
      </c>
      <c r="D10" s="31">
        <v>43376300</v>
      </c>
      <c r="E10" s="31">
        <v>43602100</v>
      </c>
      <c r="F10" s="31">
        <v>45461100</v>
      </c>
      <c r="G10" s="31">
        <v>45986800</v>
      </c>
      <c r="H10" s="31">
        <v>46712100</v>
      </c>
      <c r="I10" s="31">
        <v>46125100</v>
      </c>
      <c r="J10" s="31">
        <v>45445100</v>
      </c>
      <c r="K10" s="31">
        <v>44915700</v>
      </c>
      <c r="L10" s="31">
        <v>44807100</v>
      </c>
      <c r="M10" s="31">
        <v>44522200</v>
      </c>
      <c r="N10" s="31">
        <v>44076900</v>
      </c>
      <c r="O10" s="31">
        <v>44876200</v>
      </c>
      <c r="P10" s="31">
        <v>44624300</v>
      </c>
      <c r="Q10" s="31">
        <v>44527000</v>
      </c>
      <c r="R10" s="31">
        <v>44418800</v>
      </c>
      <c r="S10" s="31">
        <v>45383800</v>
      </c>
      <c r="T10" s="31">
        <v>46162300</v>
      </c>
      <c r="U10" s="31">
        <v>46108500</v>
      </c>
      <c r="V10" s="31">
        <v>46054200</v>
      </c>
      <c r="W10" s="31">
        <v>46015200</v>
      </c>
      <c r="X10" s="31">
        <v>45919600</v>
      </c>
      <c r="Y10" s="31">
        <v>45857400</v>
      </c>
      <c r="Z10" s="31">
        <v>45735200</v>
      </c>
      <c r="AA10" s="31">
        <v>45547200</v>
      </c>
      <c r="AB10" s="31">
        <v>45330500</v>
      </c>
      <c r="AC10" s="31">
        <v>45173000</v>
      </c>
      <c r="AD10" s="31">
        <v>45064600</v>
      </c>
      <c r="AE10" s="31">
        <v>44961200</v>
      </c>
      <c r="AF10" s="31">
        <v>44856100</v>
      </c>
    </row>
    <row r="11" spans="2:32">
      <c r="B11" t="s">
        <v>121</v>
      </c>
      <c r="C11" s="31">
        <v>1042500000</v>
      </c>
      <c r="D11" s="31">
        <v>1042500000</v>
      </c>
      <c r="E11" s="31">
        <v>1042500000</v>
      </c>
      <c r="F11" s="31">
        <v>1042500000</v>
      </c>
      <c r="G11" s="31">
        <v>1042500000</v>
      </c>
      <c r="H11" s="31">
        <v>1042500000</v>
      </c>
      <c r="I11" s="31">
        <v>1042500000</v>
      </c>
      <c r="J11" s="31">
        <v>1042500000</v>
      </c>
      <c r="K11" s="31">
        <v>1042500000</v>
      </c>
      <c r="L11" s="31">
        <v>1042500000</v>
      </c>
      <c r="M11" s="31">
        <v>1042500000</v>
      </c>
      <c r="N11" s="31">
        <v>1042500000</v>
      </c>
      <c r="O11" s="31">
        <v>1042500000</v>
      </c>
      <c r="P11" s="31">
        <v>1042500000</v>
      </c>
      <c r="Q11" s="31">
        <v>1042500000</v>
      </c>
      <c r="R11" s="31">
        <v>1042500000</v>
      </c>
      <c r="S11" s="31">
        <v>1042500000</v>
      </c>
      <c r="T11" s="31">
        <v>1042500000</v>
      </c>
      <c r="U11" s="31">
        <v>1042500000</v>
      </c>
      <c r="V11" s="31">
        <v>1042500000</v>
      </c>
      <c r="W11" s="31">
        <v>1042500000</v>
      </c>
      <c r="X11" s="31">
        <v>1042500000</v>
      </c>
      <c r="Y11" s="31">
        <v>1042500000</v>
      </c>
      <c r="Z11" s="31">
        <v>1042500000</v>
      </c>
      <c r="AA11" s="31">
        <v>1042500000</v>
      </c>
      <c r="AB11" s="31">
        <v>1042500000</v>
      </c>
      <c r="AC11" s="31">
        <v>1042500000</v>
      </c>
      <c r="AD11" s="31">
        <v>1042500000</v>
      </c>
      <c r="AE11" s="31">
        <v>1042500000</v>
      </c>
      <c r="AF11" s="31">
        <v>1042500000</v>
      </c>
    </row>
    <row r="12" spans="2:32">
      <c r="B12" t="s">
        <v>122</v>
      </c>
      <c r="C12" s="31">
        <v>1042500000</v>
      </c>
      <c r="D12" s="31">
        <v>1042500000</v>
      </c>
      <c r="E12" s="31">
        <v>1042500000</v>
      </c>
      <c r="F12" s="31">
        <v>1042500000</v>
      </c>
      <c r="G12" s="31">
        <v>1042500000</v>
      </c>
      <c r="H12" s="31">
        <v>1042500000</v>
      </c>
      <c r="I12" s="31">
        <v>1042500000</v>
      </c>
      <c r="J12" s="31">
        <v>1042500000</v>
      </c>
      <c r="K12" s="31">
        <v>1042500000</v>
      </c>
      <c r="L12" s="31">
        <v>1042500000</v>
      </c>
      <c r="M12" s="31">
        <v>1042500000</v>
      </c>
      <c r="N12" s="31">
        <v>1042500000</v>
      </c>
      <c r="O12" s="31">
        <v>1042500000</v>
      </c>
      <c r="P12" s="31">
        <v>1042500000</v>
      </c>
      <c r="Q12" s="31">
        <v>1042500000</v>
      </c>
      <c r="R12" s="31">
        <v>1042500000</v>
      </c>
      <c r="S12" s="31">
        <v>1042500000</v>
      </c>
      <c r="T12" s="31">
        <v>1042500000</v>
      </c>
      <c r="U12" s="31">
        <v>1042500000</v>
      </c>
      <c r="V12" s="31">
        <v>1042500000</v>
      </c>
      <c r="W12" s="31">
        <v>1042500000</v>
      </c>
      <c r="X12" s="31">
        <v>1042500000</v>
      </c>
      <c r="Y12" s="31">
        <v>1042500000</v>
      </c>
      <c r="Z12" s="31">
        <v>1042500000</v>
      </c>
      <c r="AA12" s="31">
        <v>1042500000</v>
      </c>
      <c r="AB12" s="31">
        <v>1042500000</v>
      </c>
      <c r="AC12" s="31">
        <v>1042500000</v>
      </c>
      <c r="AD12" s="31">
        <v>1042500000</v>
      </c>
      <c r="AE12" s="31">
        <v>1042500000</v>
      </c>
      <c r="AF12" s="31">
        <v>1042500000</v>
      </c>
    </row>
    <row r="13" spans="2:32">
      <c r="B13" t="s">
        <v>123</v>
      </c>
      <c r="C13" s="31">
        <v>45539700</v>
      </c>
      <c r="D13" s="31">
        <v>45612800</v>
      </c>
      <c r="E13" s="31">
        <v>45614800</v>
      </c>
      <c r="F13" s="31">
        <v>45616600</v>
      </c>
      <c r="G13" s="31">
        <v>45618800</v>
      </c>
      <c r="H13" s="31">
        <v>45620700</v>
      </c>
      <c r="I13" s="31">
        <v>45623000</v>
      </c>
      <c r="J13" s="31">
        <v>45625100</v>
      </c>
      <c r="K13" s="31">
        <v>45627300</v>
      </c>
      <c r="L13" s="31">
        <v>45627100</v>
      </c>
      <c r="M13" s="31">
        <v>45629500</v>
      </c>
      <c r="N13" s="31">
        <v>45631800</v>
      </c>
      <c r="O13" s="31">
        <v>45634400</v>
      </c>
      <c r="P13" s="31">
        <v>45636900</v>
      </c>
      <c r="Q13" s="31">
        <v>45639400</v>
      </c>
      <c r="R13" s="31">
        <v>45642100</v>
      </c>
      <c r="S13" s="31">
        <v>45644800</v>
      </c>
      <c r="T13" s="31">
        <v>45647600</v>
      </c>
      <c r="U13" s="31">
        <v>45647800</v>
      </c>
      <c r="V13" s="31">
        <v>45650700</v>
      </c>
      <c r="W13" s="31">
        <v>45653600</v>
      </c>
      <c r="X13" s="31">
        <v>45656600</v>
      </c>
      <c r="Y13" s="31">
        <v>45659700</v>
      </c>
      <c r="Z13" s="31">
        <v>45662800</v>
      </c>
      <c r="AA13" s="31">
        <v>45663500</v>
      </c>
      <c r="AB13" s="31">
        <v>45666800</v>
      </c>
      <c r="AC13" s="31">
        <v>45670100</v>
      </c>
      <c r="AD13" s="31">
        <v>45673500</v>
      </c>
      <c r="AE13" s="31">
        <v>45676900</v>
      </c>
      <c r="AF13" s="31">
        <v>45677800</v>
      </c>
    </row>
    <row r="14" spans="2:32">
      <c r="B14" t="s">
        <v>124</v>
      </c>
      <c r="C14" s="31">
        <v>1042500000</v>
      </c>
      <c r="D14" s="31">
        <v>1042500000</v>
      </c>
      <c r="E14" s="31">
        <v>1042500000</v>
      </c>
      <c r="F14" s="31">
        <v>1042500000</v>
      </c>
      <c r="G14" s="31">
        <v>1042500000</v>
      </c>
      <c r="H14" s="31">
        <v>1042500000</v>
      </c>
      <c r="I14" s="31">
        <v>1042500000</v>
      </c>
      <c r="J14" s="31">
        <v>1042500000</v>
      </c>
      <c r="K14" s="31">
        <v>1042500000</v>
      </c>
      <c r="L14" s="31">
        <v>1042500000</v>
      </c>
      <c r="M14" s="31">
        <v>1042500000</v>
      </c>
      <c r="N14" s="31">
        <v>1042500000</v>
      </c>
      <c r="O14" s="31">
        <v>1042500000</v>
      </c>
      <c r="P14" s="31">
        <v>1042500000</v>
      </c>
      <c r="Q14" s="31">
        <v>1042500000</v>
      </c>
      <c r="R14" s="31">
        <v>1042500000</v>
      </c>
      <c r="S14" s="31">
        <v>1042500000</v>
      </c>
      <c r="T14" s="31">
        <v>1042500000</v>
      </c>
      <c r="U14" s="31">
        <v>1042500000</v>
      </c>
      <c r="V14" s="31">
        <v>1042500000</v>
      </c>
      <c r="W14" s="31">
        <v>1042500000</v>
      </c>
      <c r="X14" s="31">
        <v>1042500000</v>
      </c>
      <c r="Y14" s="31">
        <v>1042500000</v>
      </c>
      <c r="Z14" s="31">
        <v>1042500000</v>
      </c>
      <c r="AA14" s="31">
        <v>1042500000</v>
      </c>
      <c r="AB14" s="31">
        <v>1042500000</v>
      </c>
      <c r="AC14" s="31">
        <v>1042500000</v>
      </c>
      <c r="AD14" s="31">
        <v>1042500000</v>
      </c>
      <c r="AE14" s="31">
        <v>1042500000</v>
      </c>
      <c r="AF14" s="31">
        <v>1042500000</v>
      </c>
    </row>
    <row r="15" spans="2:32">
      <c r="B15" t="s">
        <v>125</v>
      </c>
      <c r="C15" s="31">
        <v>1042500000</v>
      </c>
      <c r="D15" s="31">
        <v>1042500000</v>
      </c>
      <c r="E15" s="31">
        <v>1042500000</v>
      </c>
      <c r="F15" s="31">
        <v>1042500000</v>
      </c>
      <c r="G15" s="31">
        <v>1042500000</v>
      </c>
      <c r="H15" s="31">
        <v>1042500000</v>
      </c>
      <c r="I15" s="31">
        <v>1042500000</v>
      </c>
      <c r="J15" s="31">
        <v>1042500000</v>
      </c>
      <c r="K15" s="31">
        <v>1042500000</v>
      </c>
      <c r="L15" s="31">
        <v>1042500000</v>
      </c>
      <c r="M15" s="31">
        <v>1042500000</v>
      </c>
      <c r="N15" s="31">
        <v>1042500000</v>
      </c>
      <c r="O15" s="31">
        <v>1042500000</v>
      </c>
      <c r="P15" s="31">
        <v>1042500000</v>
      </c>
      <c r="Q15" s="31">
        <v>1042500000</v>
      </c>
      <c r="R15" s="31">
        <v>1042500000</v>
      </c>
      <c r="S15" s="31">
        <v>1042500000</v>
      </c>
      <c r="T15" s="31">
        <v>1042500000</v>
      </c>
      <c r="U15" s="31">
        <v>1042500000</v>
      </c>
      <c r="V15" s="31">
        <v>1042500000</v>
      </c>
      <c r="W15" s="31">
        <v>1042500000</v>
      </c>
      <c r="X15" s="31">
        <v>1042500000</v>
      </c>
      <c r="Y15" s="31">
        <v>1042500000</v>
      </c>
      <c r="Z15" s="31">
        <v>1042500000</v>
      </c>
      <c r="AA15" s="31">
        <v>1042500000</v>
      </c>
      <c r="AB15" s="31">
        <v>1042500000</v>
      </c>
      <c r="AC15" s="31">
        <v>1042500000</v>
      </c>
      <c r="AD15" s="31">
        <v>1042500000</v>
      </c>
      <c r="AE15" s="31">
        <v>1042500000</v>
      </c>
      <c r="AF15" s="31">
        <v>1042500000</v>
      </c>
    </row>
    <row r="16" spans="2:32">
      <c r="B16" t="s">
        <v>126</v>
      </c>
      <c r="C16" s="31">
        <v>39699000</v>
      </c>
      <c r="D16" s="31">
        <v>39030400</v>
      </c>
      <c r="E16" s="31">
        <v>38884700</v>
      </c>
      <c r="F16" s="31">
        <v>38306200</v>
      </c>
      <c r="G16" s="31">
        <v>37741600</v>
      </c>
      <c r="H16" s="31">
        <v>37193100</v>
      </c>
      <c r="I16" s="31">
        <v>36645600</v>
      </c>
      <c r="J16" s="31">
        <v>36104900</v>
      </c>
      <c r="K16" s="31">
        <v>35595500</v>
      </c>
      <c r="L16" s="31">
        <v>35102000</v>
      </c>
      <c r="M16" s="31">
        <v>35030200</v>
      </c>
      <c r="N16" s="31">
        <v>34952800</v>
      </c>
      <c r="O16" s="31">
        <v>34886900</v>
      </c>
      <c r="P16" s="31">
        <v>34822000</v>
      </c>
      <c r="Q16" s="31">
        <v>34759800</v>
      </c>
      <c r="R16" s="31">
        <v>34703400</v>
      </c>
      <c r="S16" s="31">
        <v>34650100</v>
      </c>
      <c r="T16" s="31">
        <v>34598600</v>
      </c>
      <c r="U16" s="31">
        <v>34550700</v>
      </c>
      <c r="V16" s="31">
        <v>34506900</v>
      </c>
      <c r="W16" s="31">
        <v>34464600</v>
      </c>
      <c r="X16" s="31">
        <v>34425100</v>
      </c>
      <c r="Y16" s="31">
        <v>34387600</v>
      </c>
      <c r="Z16" s="31">
        <v>34351600</v>
      </c>
      <c r="AA16" s="31">
        <v>34317400</v>
      </c>
      <c r="AB16" s="31">
        <v>34284900</v>
      </c>
      <c r="AC16" s="31">
        <v>34255200</v>
      </c>
      <c r="AD16" s="31">
        <v>34227000</v>
      </c>
      <c r="AE16" s="31">
        <v>34199900</v>
      </c>
      <c r="AF16" s="31">
        <v>34173100</v>
      </c>
    </row>
    <row r="23" spans="2:2">
      <c r="B23" t="s">
        <v>127</v>
      </c>
    </row>
    <row r="24" spans="2:2">
      <c r="B24" t="s">
        <v>128</v>
      </c>
    </row>
    <row r="25" spans="2:2">
      <c r="B25" t="s">
        <v>129</v>
      </c>
    </row>
    <row r="26" spans="2:2">
      <c r="B26" t="s">
        <v>130</v>
      </c>
    </row>
    <row r="27" spans="2:2">
      <c r="B27" t="s">
        <v>131</v>
      </c>
    </row>
    <row r="28" spans="2:2">
      <c r="B28" t="s">
        <v>132</v>
      </c>
    </row>
    <row r="29" spans="2:2">
      <c r="B29" t="s">
        <v>133</v>
      </c>
    </row>
    <row r="30" spans="2:2">
      <c r="B30" t="s">
        <v>134</v>
      </c>
    </row>
    <row r="31" spans="2:2">
      <c r="B31" t="s">
        <v>135</v>
      </c>
    </row>
    <row r="32" spans="2:2">
      <c r="B32" t="s">
        <v>136</v>
      </c>
    </row>
    <row r="33" spans="2:2">
      <c r="B33" t="s">
        <v>129</v>
      </c>
    </row>
    <row r="34" spans="2:2">
      <c r="B34" t="s">
        <v>137</v>
      </c>
    </row>
    <row r="35" spans="2:2">
      <c r="B35" t="s">
        <v>131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9F80A-1DD4-4EFC-BD0A-42EC00E11F1F}">
  <dimension ref="A1:G36"/>
  <sheetViews>
    <sheetView workbookViewId="0">
      <selection activeCell="E2" sqref="E2"/>
    </sheetView>
  </sheetViews>
  <sheetFormatPr defaultRowHeight="15"/>
  <cols>
    <col min="2" max="2" width="14.140625" bestFit="1" customWidth="1"/>
    <col min="3" max="3" width="20.7109375" bestFit="1" customWidth="1"/>
    <col min="6" max="6" width="11.85546875" bestFit="1" customWidth="1"/>
  </cols>
  <sheetData>
    <row r="1" spans="1:7">
      <c r="A1" t="s">
        <v>103</v>
      </c>
      <c r="B1" t="s">
        <v>104</v>
      </c>
      <c r="C1" t="s">
        <v>105</v>
      </c>
      <c r="D1" t="s">
        <v>106</v>
      </c>
      <c r="E1" t="s">
        <v>107</v>
      </c>
      <c r="F1" t="s">
        <v>108</v>
      </c>
      <c r="G1" t="s">
        <v>109</v>
      </c>
    </row>
    <row r="2" spans="1:7">
      <c r="A2">
        <v>2021</v>
      </c>
      <c r="B2" t="s">
        <v>110</v>
      </c>
      <c r="C2" t="s">
        <v>1</v>
      </c>
      <c r="D2">
        <v>58457.5</v>
      </c>
      <c r="E2">
        <v>5.5477427000000003E-2</v>
      </c>
      <c r="F2">
        <v>0.117440521101984</v>
      </c>
      <c r="G2">
        <v>-2.1418232769494701</v>
      </c>
    </row>
    <row r="3" spans="1:7">
      <c r="A3">
        <v>2021</v>
      </c>
      <c r="B3" t="s">
        <v>110</v>
      </c>
      <c r="C3" t="s">
        <v>2</v>
      </c>
      <c r="D3">
        <v>54630</v>
      </c>
      <c r="E3">
        <v>1.664696E-3</v>
      </c>
      <c r="F3">
        <v>3.3529508501743601E-3</v>
      </c>
      <c r="G3">
        <v>-5.6979144700682403</v>
      </c>
    </row>
    <row r="4" spans="1:7">
      <c r="A4">
        <v>2021</v>
      </c>
      <c r="B4" t="s">
        <v>110</v>
      </c>
      <c r="C4" t="s">
        <v>3</v>
      </c>
      <c r="D4">
        <v>49173</v>
      </c>
      <c r="E4">
        <v>0.53298751200000005</v>
      </c>
      <c r="F4">
        <v>1</v>
      </c>
      <c r="G4">
        <v>0</v>
      </c>
    </row>
    <row r="5" spans="1:7">
      <c r="A5">
        <v>2021</v>
      </c>
      <c r="B5" t="s">
        <v>110</v>
      </c>
      <c r="C5" t="s">
        <v>4</v>
      </c>
      <c r="D5">
        <v>51584.3</v>
      </c>
      <c r="E5">
        <v>0.30593910899999999</v>
      </c>
      <c r="F5">
        <v>0.59228638519715204</v>
      </c>
      <c r="G5">
        <v>-0.52376500229271195</v>
      </c>
    </row>
    <row r="6" spans="1:7">
      <c r="A6">
        <v>2021</v>
      </c>
      <c r="B6" t="s">
        <v>110</v>
      </c>
      <c r="C6" t="s">
        <v>5</v>
      </c>
      <c r="D6">
        <v>55614.8</v>
      </c>
      <c r="E6">
        <v>1.1415688E-2</v>
      </c>
      <c r="F6">
        <v>2.3289188371058402E-2</v>
      </c>
      <c r="G6">
        <v>-3.7597660445098402</v>
      </c>
    </row>
    <row r="7" spans="1:7">
      <c r="A7">
        <v>2021</v>
      </c>
      <c r="B7" t="s">
        <v>110</v>
      </c>
      <c r="C7" t="s">
        <v>78</v>
      </c>
      <c r="D7">
        <v>52915.9</v>
      </c>
      <c r="E7">
        <v>8.6880739999999998E-2</v>
      </c>
      <c r="F7">
        <v>0.17113476719881701</v>
      </c>
      <c r="G7">
        <v>-1.76530392060309</v>
      </c>
    </row>
    <row r="8" spans="1:7">
      <c r="A8">
        <v>2021</v>
      </c>
      <c r="B8" t="s">
        <v>110</v>
      </c>
      <c r="C8" t="s">
        <v>79</v>
      </c>
      <c r="D8">
        <v>69496.100000000006</v>
      </c>
      <c r="E8">
        <v>5.6348279999999997E-3</v>
      </c>
      <c r="F8">
        <v>1.37690622330492E-2</v>
      </c>
      <c r="G8">
        <v>-4.2853310707357002</v>
      </c>
    </row>
    <row r="9" spans="1:7">
      <c r="A9">
        <v>2022</v>
      </c>
      <c r="B9" t="s">
        <v>110</v>
      </c>
      <c r="C9" t="s">
        <v>1</v>
      </c>
      <c r="D9">
        <v>57901.2</v>
      </c>
      <c r="E9">
        <v>9.1412709908587297E-2</v>
      </c>
      <c r="F9">
        <v>0.19574055486733699</v>
      </c>
      <c r="G9">
        <v>-1.6309651962723299</v>
      </c>
    </row>
    <row r="10" spans="1:7">
      <c r="A10">
        <v>2022</v>
      </c>
      <c r="B10" t="s">
        <v>110</v>
      </c>
      <c r="C10" t="s">
        <v>2</v>
      </c>
      <c r="D10">
        <v>53264.5</v>
      </c>
      <c r="E10">
        <v>1.6043859983956099E-3</v>
      </c>
      <c r="F10">
        <v>3.2344845624373798E-3</v>
      </c>
      <c r="G10">
        <v>-5.7338856952733801</v>
      </c>
    </row>
    <row r="11" spans="1:7">
      <c r="A11">
        <v>2022</v>
      </c>
      <c r="B11" t="s">
        <v>110</v>
      </c>
      <c r="C11" t="s">
        <v>3</v>
      </c>
      <c r="D11">
        <v>50574.5</v>
      </c>
      <c r="E11">
        <v>0.51367810948632198</v>
      </c>
      <c r="F11">
        <v>1</v>
      </c>
      <c r="G11">
        <v>0</v>
      </c>
    </row>
    <row r="12" spans="1:7">
      <c r="A12">
        <v>2022</v>
      </c>
      <c r="B12" t="s">
        <v>110</v>
      </c>
      <c r="C12" t="s">
        <v>4</v>
      </c>
      <c r="D12">
        <v>52988.800000000003</v>
      </c>
      <c r="E12">
        <v>0.29485535670514401</v>
      </c>
      <c r="F12">
        <v>0.59230948421771701</v>
      </c>
      <c r="G12">
        <v>-0.52372600330383501</v>
      </c>
    </row>
    <row r="13" spans="1:7">
      <c r="A13">
        <v>2022</v>
      </c>
      <c r="B13" t="s">
        <v>110</v>
      </c>
      <c r="C13" t="s">
        <v>5</v>
      </c>
      <c r="D13">
        <v>55751.3</v>
      </c>
      <c r="E13">
        <v>7.7732719922267296E-3</v>
      </c>
      <c r="F13">
        <v>1.61860221153209E-2</v>
      </c>
      <c r="G13">
        <v>-4.1236072415855096</v>
      </c>
    </row>
    <row r="14" spans="1:7">
      <c r="A14">
        <v>2022</v>
      </c>
      <c r="B14" t="s">
        <v>110</v>
      </c>
      <c r="C14" t="s">
        <v>78</v>
      </c>
      <c r="D14">
        <v>49347</v>
      </c>
      <c r="E14">
        <v>8.3733170916266794E-2</v>
      </c>
      <c r="F14">
        <v>0.16042654304401399</v>
      </c>
      <c r="G14">
        <v>-1.82991911691579</v>
      </c>
    </row>
    <row r="15" spans="1:7">
      <c r="A15">
        <v>2022</v>
      </c>
      <c r="B15" t="s">
        <v>110</v>
      </c>
      <c r="C15" t="s">
        <v>79</v>
      </c>
      <c r="D15">
        <v>58706.8</v>
      </c>
      <c r="E15">
        <v>6.9429949930570004E-3</v>
      </c>
      <c r="F15">
        <v>1.50234391644237E-2</v>
      </c>
      <c r="G15">
        <v>-4.1981436865245003</v>
      </c>
    </row>
    <row r="16" spans="1:7">
      <c r="A16">
        <v>2023</v>
      </c>
      <c r="B16" t="s">
        <v>110</v>
      </c>
      <c r="C16" t="s">
        <v>1</v>
      </c>
      <c r="D16">
        <v>54607</v>
      </c>
      <c r="E16">
        <v>8.9111182910888806E-2</v>
      </c>
      <c r="F16">
        <v>0.180496933010247</v>
      </c>
      <c r="G16">
        <v>-1.71204149298653</v>
      </c>
    </row>
    <row r="17" spans="1:7">
      <c r="A17">
        <v>2023</v>
      </c>
      <c r="B17" t="s">
        <v>110</v>
      </c>
      <c r="C17" t="s">
        <v>2</v>
      </c>
      <c r="D17">
        <v>55081.9</v>
      </c>
      <c r="E17">
        <v>1.6188199983811699E-3</v>
      </c>
      <c r="F17">
        <v>3.2992663893674601E-3</v>
      </c>
      <c r="G17">
        <v>-5.7140551414756802</v>
      </c>
    </row>
    <row r="18" spans="1:7">
      <c r="A18">
        <v>2023</v>
      </c>
      <c r="B18" t="s">
        <v>110</v>
      </c>
      <c r="C18" t="s">
        <v>3</v>
      </c>
      <c r="D18">
        <v>50866.5</v>
      </c>
      <c r="E18">
        <v>0.51829927648170004</v>
      </c>
      <c r="F18">
        <v>1</v>
      </c>
      <c r="G18">
        <v>0</v>
      </c>
    </row>
    <row r="19" spans="1:7">
      <c r="A19">
        <v>2023</v>
      </c>
      <c r="B19" t="s">
        <v>110</v>
      </c>
      <c r="C19" t="s">
        <v>4</v>
      </c>
      <c r="D19">
        <v>53244.6</v>
      </c>
      <c r="E19">
        <v>0.29750794370249201</v>
      </c>
      <c r="F19">
        <v>0.59203080907285699</v>
      </c>
      <c r="G19">
        <v>-0.52419660309948801</v>
      </c>
    </row>
    <row r="20" spans="1:7">
      <c r="A20">
        <v>2023</v>
      </c>
      <c r="B20" t="s">
        <v>110</v>
      </c>
      <c r="C20" t="s">
        <v>5</v>
      </c>
      <c r="D20">
        <v>55210.7</v>
      </c>
      <c r="E20">
        <v>6.1325929938673999E-3</v>
      </c>
      <c r="F20">
        <v>1.2519591168578899E-2</v>
      </c>
      <c r="G20">
        <v>-4.3804605681102</v>
      </c>
    </row>
    <row r="21" spans="1:7">
      <c r="A21">
        <v>2023</v>
      </c>
      <c r="B21" t="s">
        <v>110</v>
      </c>
      <c r="C21" t="s">
        <v>78</v>
      </c>
      <c r="D21">
        <v>49528.4</v>
      </c>
      <c r="E21">
        <v>8.4486452915513502E-2</v>
      </c>
      <c r="F21">
        <v>0.16019604568516499</v>
      </c>
      <c r="G21">
        <v>-1.8313569282657201</v>
      </c>
    </row>
    <row r="22" spans="1:7">
      <c r="A22">
        <v>2023</v>
      </c>
      <c r="B22" t="s">
        <v>110</v>
      </c>
      <c r="C22" t="s">
        <v>79</v>
      </c>
      <c r="D22">
        <v>57549.2</v>
      </c>
      <c r="E22">
        <v>2.8437309971562599E-3</v>
      </c>
      <c r="F22">
        <v>5.9846297320643701E-3</v>
      </c>
      <c r="G22">
        <v>-5.1185608078735498</v>
      </c>
    </row>
    <row r="23" spans="1:7">
      <c r="A23">
        <v>2024</v>
      </c>
      <c r="B23" t="s">
        <v>110</v>
      </c>
      <c r="C23" t="s">
        <v>1</v>
      </c>
      <c r="D23">
        <v>52222.6</v>
      </c>
      <c r="E23">
        <v>8.7179404912820599E-2</v>
      </c>
      <c r="F23">
        <v>0.169947491452244</v>
      </c>
      <c r="G23">
        <v>-1.7722657634535299</v>
      </c>
    </row>
    <row r="24" spans="1:7">
      <c r="A24">
        <v>2024</v>
      </c>
      <c r="B24" t="s">
        <v>110</v>
      </c>
      <c r="C24" t="s">
        <v>2</v>
      </c>
      <c r="D24">
        <v>55596.9</v>
      </c>
      <c r="E24">
        <v>1.6248269983751701E-3</v>
      </c>
      <c r="F24">
        <v>3.30947194118662E-3</v>
      </c>
      <c r="G24">
        <v>-5.7109666367048302</v>
      </c>
    </row>
    <row r="25" spans="1:7">
      <c r="A25">
        <v>2024</v>
      </c>
      <c r="B25" t="s">
        <v>110</v>
      </c>
      <c r="C25" t="s">
        <v>3</v>
      </c>
      <c r="D25">
        <v>51143.9</v>
      </c>
      <c r="E25">
        <v>0.52022269747977701</v>
      </c>
      <c r="F25">
        <v>1</v>
      </c>
      <c r="G25">
        <v>0</v>
      </c>
    </row>
    <row r="26" spans="1:7">
      <c r="A26">
        <v>2024</v>
      </c>
      <c r="B26" t="s">
        <v>110</v>
      </c>
      <c r="C26" t="s">
        <v>4</v>
      </c>
      <c r="D26">
        <v>53459.8</v>
      </c>
      <c r="E26">
        <v>0.29861200270138799</v>
      </c>
      <c r="F26">
        <v>0.59155228627877099</v>
      </c>
      <c r="G26">
        <v>-0.52500520339470602</v>
      </c>
    </row>
    <row r="27" spans="1:7">
      <c r="A27">
        <v>2024</v>
      </c>
      <c r="B27" t="s">
        <v>110</v>
      </c>
      <c r="C27" t="s">
        <v>5</v>
      </c>
      <c r="D27">
        <v>55193.599999999999</v>
      </c>
      <c r="E27">
        <v>5.6436869943563102E-3</v>
      </c>
      <c r="F27">
        <v>1.14350359237596E-2</v>
      </c>
      <c r="G27">
        <v>-4.47107330995048</v>
      </c>
    </row>
    <row r="28" spans="1:7">
      <c r="A28">
        <v>2024</v>
      </c>
      <c r="B28" t="s">
        <v>110</v>
      </c>
      <c r="C28" t="s">
        <v>78</v>
      </c>
      <c r="D28">
        <v>49706.2</v>
      </c>
      <c r="E28">
        <v>8.4799984915199994E-2</v>
      </c>
      <c r="F28">
        <v>0.15998875949545299</v>
      </c>
      <c r="G28">
        <v>-1.8326517193695899</v>
      </c>
    </row>
    <row r="29" spans="1:7">
      <c r="A29">
        <v>2024</v>
      </c>
      <c r="B29" t="s">
        <v>110</v>
      </c>
      <c r="C29" t="s">
        <v>79</v>
      </c>
      <c r="D29">
        <v>56333.599999999999</v>
      </c>
      <c r="E29">
        <v>1.9173959980826E-3</v>
      </c>
      <c r="F29">
        <v>3.9429627558054299E-3</v>
      </c>
      <c r="G29">
        <v>-5.5358228697803904</v>
      </c>
    </row>
    <row r="30" spans="1:7">
      <c r="A30">
        <v>2025</v>
      </c>
      <c r="B30" t="s">
        <v>110</v>
      </c>
      <c r="C30" t="s">
        <v>1</v>
      </c>
      <c r="D30">
        <v>50895.3</v>
      </c>
      <c r="E30">
        <v>0.12883113900000001</v>
      </c>
      <c r="F30">
        <v>0.25807148748617798</v>
      </c>
      <c r="G30">
        <v>-1.35451864916124</v>
      </c>
    </row>
    <row r="31" spans="1:7">
      <c r="A31">
        <v>2025</v>
      </c>
      <c r="B31" t="s">
        <v>110</v>
      </c>
      <c r="C31" t="s">
        <v>2</v>
      </c>
      <c r="D31">
        <v>56186.400000000001</v>
      </c>
      <c r="E31">
        <v>1.542313E-3</v>
      </c>
      <c r="F31">
        <v>3.3095148929585699E-3</v>
      </c>
      <c r="G31">
        <v>-5.7109536583524001</v>
      </c>
    </row>
    <row r="32" spans="1:7">
      <c r="A32">
        <v>2025</v>
      </c>
      <c r="B32" t="s">
        <v>110</v>
      </c>
      <c r="C32" t="s">
        <v>3</v>
      </c>
      <c r="D32">
        <v>51732.4</v>
      </c>
      <c r="E32">
        <v>0.49380410800000002</v>
      </c>
      <c r="F32">
        <v>1</v>
      </c>
      <c r="G32">
        <v>0</v>
      </c>
    </row>
    <row r="33" spans="1:7">
      <c r="A33">
        <v>2025</v>
      </c>
      <c r="B33" t="s">
        <v>110</v>
      </c>
      <c r="C33" t="s">
        <v>4</v>
      </c>
      <c r="D33">
        <v>53921.8</v>
      </c>
      <c r="E33">
        <v>0.28344752000000001</v>
      </c>
      <c r="F33">
        <v>0.59058027726111195</v>
      </c>
      <c r="G33">
        <v>-0.52664970464049898</v>
      </c>
    </row>
    <row r="34" spans="1:7">
      <c r="A34">
        <v>2025</v>
      </c>
      <c r="B34" t="s">
        <v>110</v>
      </c>
      <c r="C34" t="s">
        <v>5</v>
      </c>
      <c r="D34">
        <v>55016.800000000003</v>
      </c>
      <c r="E34">
        <v>8.1059979999999997E-3</v>
      </c>
      <c r="F34">
        <v>1.71314827014208E-2</v>
      </c>
      <c r="G34">
        <v>-4.0668374145587496</v>
      </c>
    </row>
    <row r="35" spans="1:7">
      <c r="A35">
        <v>2025</v>
      </c>
      <c r="B35" t="s">
        <v>110</v>
      </c>
      <c r="C35" t="s">
        <v>78</v>
      </c>
      <c r="D35">
        <v>50044.9</v>
      </c>
      <c r="E35">
        <v>8.0493567000000002E-2</v>
      </c>
      <c r="F35">
        <v>0.15947005332295699</v>
      </c>
      <c r="G35">
        <v>-1.8358991278462</v>
      </c>
    </row>
    <row r="36" spans="1:7">
      <c r="A36">
        <v>2025</v>
      </c>
      <c r="B36" t="s">
        <v>110</v>
      </c>
      <c r="C36" t="s">
        <v>79</v>
      </c>
      <c r="D36">
        <v>56577.4</v>
      </c>
      <c r="E36">
        <v>3.7753550000000002E-3</v>
      </c>
      <c r="F36">
        <v>8.1424881347127408E-3</v>
      </c>
      <c r="G36">
        <v>-4.8106594780194003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zoomScale="85" zoomScaleNormal="85" workbookViewId="0">
      <selection activeCell="O5" sqref="O5"/>
    </sheetView>
  </sheetViews>
  <sheetFormatPr defaultColWidth="9.140625" defaultRowHeight="15"/>
  <cols>
    <col min="1" max="1" width="23.140625" customWidth="1"/>
    <col min="2" max="2" width="18.85546875" customWidth="1"/>
    <col min="3" max="3" width="24.140625" customWidth="1"/>
    <col min="4" max="4" width="14.85546875" customWidth="1"/>
    <col min="5" max="5" width="16.140625" customWidth="1"/>
    <col min="6" max="6" width="18" style="6" customWidth="1"/>
    <col min="8" max="9" width="9.140625" customWidth="1"/>
  </cols>
  <sheetData>
    <row r="1" spans="1:38">
      <c r="A1" t="s">
        <v>65</v>
      </c>
      <c r="H1" s="14" t="s">
        <v>86</v>
      </c>
      <c r="I1" s="15"/>
      <c r="J1" s="16"/>
      <c r="K1" s="16"/>
      <c r="L1" s="16"/>
      <c r="N1" s="14" t="s">
        <v>85</v>
      </c>
      <c r="O1" s="15"/>
      <c r="P1" s="16"/>
      <c r="Q1" s="16"/>
      <c r="R1" s="16"/>
    </row>
    <row r="2" spans="1:38">
      <c r="A2" t="s">
        <v>66</v>
      </c>
      <c r="H2" s="8" t="s">
        <v>61</v>
      </c>
      <c r="I2" s="17">
        <v>1</v>
      </c>
      <c r="N2" s="8" t="s">
        <v>61</v>
      </c>
      <c r="O2" s="17">
        <v>1</v>
      </c>
    </row>
    <row r="3" spans="1:38">
      <c r="A3" t="s">
        <v>67</v>
      </c>
      <c r="H3" s="8" t="s">
        <v>62</v>
      </c>
      <c r="I3" s="17">
        <v>-0.16</v>
      </c>
      <c r="N3" s="8" t="s">
        <v>62</v>
      </c>
      <c r="O3" s="17">
        <v>-0.3</v>
      </c>
    </row>
    <row r="4" spans="1:38" ht="15.75" thickBot="1">
      <c r="A4" t="s">
        <v>68</v>
      </c>
      <c r="H4" s="9" t="s">
        <v>63</v>
      </c>
      <c r="I4" s="18">
        <v>-20</v>
      </c>
      <c r="N4" s="9" t="s">
        <v>63</v>
      </c>
      <c r="O4" s="18">
        <v>-11</v>
      </c>
    </row>
    <row r="5" spans="1:38">
      <c r="A5" t="s">
        <v>69</v>
      </c>
    </row>
    <row r="6" spans="1:38" ht="30">
      <c r="A6" s="11"/>
      <c r="B6" s="11"/>
      <c r="C6" s="11"/>
      <c r="D6" s="2" t="s">
        <v>20</v>
      </c>
      <c r="E6" s="2" t="s">
        <v>20</v>
      </c>
      <c r="F6" s="2" t="s">
        <v>64</v>
      </c>
    </row>
    <row r="7" spans="1:38">
      <c r="A7" s="11"/>
      <c r="B7" s="11"/>
      <c r="C7" s="11" t="s">
        <v>101</v>
      </c>
      <c r="D7" s="2">
        <v>2020</v>
      </c>
      <c r="E7" s="2">
        <v>2035</v>
      </c>
      <c r="F7" s="2"/>
    </row>
    <row r="8" spans="1:38" ht="45">
      <c r="A8" s="11"/>
      <c r="B8" s="11"/>
      <c r="C8" s="11"/>
      <c r="D8" s="25">
        <v>2025</v>
      </c>
      <c r="E8" s="25">
        <v>2050</v>
      </c>
      <c r="F8" s="25" t="s">
        <v>84</v>
      </c>
      <c r="R8" s="30" t="s">
        <v>111</v>
      </c>
      <c r="S8" s="30"/>
      <c r="T8" s="30"/>
      <c r="U8" s="30"/>
      <c r="V8" s="30"/>
    </row>
    <row r="9" spans="1:38">
      <c r="A9" s="11" t="s">
        <v>9</v>
      </c>
      <c r="B9" s="11" t="s">
        <v>10</v>
      </c>
      <c r="C9" s="11" t="s">
        <v>11</v>
      </c>
      <c r="D9" s="11">
        <v>2025</v>
      </c>
      <c r="E9" s="11">
        <v>2050</v>
      </c>
      <c r="F9" s="5"/>
      <c r="H9" s="19">
        <v>2020</v>
      </c>
      <c r="I9" s="19">
        <f>H9+1</f>
        <v>2021</v>
      </c>
      <c r="J9" s="19">
        <f t="shared" ref="J9:AL9" si="0">I9+1</f>
        <v>2022</v>
      </c>
      <c r="K9" s="19">
        <f t="shared" si="0"/>
        <v>2023</v>
      </c>
      <c r="L9" s="19">
        <f t="shared" si="0"/>
        <v>2024</v>
      </c>
      <c r="M9" s="19">
        <f t="shared" si="0"/>
        <v>2025</v>
      </c>
      <c r="N9" s="19">
        <f t="shared" si="0"/>
        <v>2026</v>
      </c>
      <c r="O9" s="19">
        <f t="shared" si="0"/>
        <v>2027</v>
      </c>
      <c r="P9" s="19">
        <f t="shared" si="0"/>
        <v>2028</v>
      </c>
      <c r="Q9" s="19">
        <f t="shared" si="0"/>
        <v>2029</v>
      </c>
      <c r="R9" s="19">
        <f t="shared" si="0"/>
        <v>2030</v>
      </c>
      <c r="S9" s="19">
        <f t="shared" si="0"/>
        <v>2031</v>
      </c>
      <c r="T9" s="19">
        <f t="shared" si="0"/>
        <v>2032</v>
      </c>
      <c r="U9" s="19">
        <f t="shared" si="0"/>
        <v>2033</v>
      </c>
      <c r="V9" s="19">
        <f t="shared" si="0"/>
        <v>2034</v>
      </c>
      <c r="W9" s="19">
        <f t="shared" si="0"/>
        <v>2035</v>
      </c>
      <c r="X9" s="19">
        <f t="shared" si="0"/>
        <v>2036</v>
      </c>
      <c r="Y9" s="19">
        <f t="shared" si="0"/>
        <v>2037</v>
      </c>
      <c r="Z9" s="19">
        <f t="shared" si="0"/>
        <v>2038</v>
      </c>
      <c r="AA9" s="19">
        <f t="shared" si="0"/>
        <v>2039</v>
      </c>
      <c r="AB9" s="19">
        <f t="shared" si="0"/>
        <v>2040</v>
      </c>
      <c r="AC9" s="19">
        <f t="shared" si="0"/>
        <v>2041</v>
      </c>
      <c r="AD9" s="19">
        <f t="shared" si="0"/>
        <v>2042</v>
      </c>
      <c r="AE9" s="19">
        <f t="shared" si="0"/>
        <v>2043</v>
      </c>
      <c r="AF9" s="19">
        <f t="shared" si="0"/>
        <v>2044</v>
      </c>
      <c r="AG9" s="19">
        <f t="shared" si="0"/>
        <v>2045</v>
      </c>
      <c r="AH9" s="19">
        <f t="shared" si="0"/>
        <v>2046</v>
      </c>
      <c r="AI9" s="19">
        <f t="shared" si="0"/>
        <v>2047</v>
      </c>
      <c r="AJ9" s="19">
        <f t="shared" si="0"/>
        <v>2048</v>
      </c>
      <c r="AK9" s="19">
        <f t="shared" si="0"/>
        <v>2049</v>
      </c>
      <c r="AL9" s="19">
        <f t="shared" si="0"/>
        <v>2050</v>
      </c>
    </row>
    <row r="10" spans="1:38">
      <c r="A10" t="s">
        <v>12</v>
      </c>
      <c r="B10" t="s">
        <v>19</v>
      </c>
      <c r="C10" t="s">
        <v>1</v>
      </c>
      <c r="D10">
        <f>M10</f>
        <v>0.25807148748617798</v>
      </c>
      <c r="E10">
        <v>1</v>
      </c>
      <c r="F10" s="6" t="str">
        <f>IF(D10=E10,"n/a",IF(OR(C10="battery electric vehicle",C10="natural gas vehicle",C10="plugin hybrid vehicle"),"s-curve","linear"))</f>
        <v>s-curve</v>
      </c>
      <c r="H10" s="20">
        <f>I10</f>
        <v>0.117440521101984</v>
      </c>
      <c r="I10" s="29">
        <f>SUMIFS(recalculated_shareweights!$F:$F,recalculated_shareweights!$A:$A,Data!I$9,recalculated_shareweights!$C:$C,Data!$C10)</f>
        <v>0.117440521101984</v>
      </c>
      <c r="J10" s="29">
        <f>SUMIFS(recalculated_shareweights!$F:$F,recalculated_shareweights!$A:$A,Data!J$9,recalculated_shareweights!$C:$C,Data!$C10)</f>
        <v>0.19574055486733699</v>
      </c>
      <c r="K10" s="29">
        <f>SUMIFS(recalculated_shareweights!$F:$F,recalculated_shareweights!$A:$A,Data!K$9,recalculated_shareweights!$C:$C,Data!$C10)</f>
        <v>0.180496933010247</v>
      </c>
      <c r="L10" s="29">
        <f>SUMIFS(recalculated_shareweights!$F:$F,recalculated_shareweights!$A:$A,Data!L$9,recalculated_shareweights!$C:$C,Data!$C10)</f>
        <v>0.169947491452244</v>
      </c>
      <c r="M10" s="29">
        <f>SUMIFS(recalculated_shareweights!$F:$F,recalculated_shareweights!$A:$A,Data!M$9,recalculated_shareweights!$C:$C,Data!$C10)</f>
        <v>0.25807148748617798</v>
      </c>
      <c r="N10">
        <f>IF($F10="s-curve",$D10+($E10-$D10)*$O$2/(1+EXP($O$3*(COUNT($M$9:N$9)+$O$4))),TREND($D10:$E10,$D$9:$E$9,N$9))</f>
        <v>0.30479321587354868</v>
      </c>
      <c r="O10">
        <f>IF($F10="s-curve",$D10+($E10-$D10)*$O$2/(1+EXP($O$3*(COUNT($M$9:O$9)+$O$4))),TREND($D10:$E10,$D$9:$E$9,O$9))</f>
        <v>0.31977968247767741</v>
      </c>
      <c r="P10">
        <f>IF($F10="s-curve",$D10+($E10-$D10)*$O$2/(1+EXP($O$3*(COUNT($M$9:P$9)+$O$4))),TREND($D10:$E10,$D$9:$E$9,P$9))</f>
        <v>0.33901352975582549</v>
      </c>
      <c r="Q10">
        <f>IF($F10="s-curve",$D10+($E10-$D10)*$O$2/(1+EXP($O$3*(COUNT($M$9:Q$9)+$O$4))),TREND($D10:$E10,$D$9:$E$9,Q$9))</f>
        <v>0.36331483706629852</v>
      </c>
      <c r="R10">
        <f>IF($F10="s-curve",$D10+($E10-$D10)*$O$2/(1+EXP($O$3*(COUNT($M$9:R$9)+$O$4))),TREND($D10:$E10,$D$9:$E$9,R$9))</f>
        <v>0.39341818500838277</v>
      </c>
      <c r="S10">
        <f>IF($F10="s-curve",$D10+($E10-$D10)*$O$2/(1+EXP($O$3*(COUNT($M$9:S$9)+$O$4))),TREND($D10:$E10,$D$9:$E$9,S$9))</f>
        <v>0.42980955054856673</v>
      </c>
      <c r="T10">
        <f>IF($F10="s-curve",$D10+($E10-$D10)*$O$2/(1+EXP($O$3*(COUNT($M$9:T$9)+$O$4))),TREND($D10:$E10,$D$9:$E$9,T$9))</f>
        <v>0.47252629304498917</v>
      </c>
      <c r="U10">
        <f>IF($F10="s-curve",$D10+($E10-$D10)*$O$2/(1+EXP($O$3*(COUNT($M$9:U$9)+$O$4))),TREND($D10:$E10,$D$9:$E$9,U$9))</f>
        <v>0.52096917712672686</v>
      </c>
      <c r="V10">
        <f>IF($F10="s-curve",$D10+($E10-$D10)*$O$2/(1+EXP($O$3*(COUNT($M$9:V$9)+$O$4))),TREND($D10:$E10,$D$9:$E$9,V$9))</f>
        <v>0.57380471797722965</v>
      </c>
      <c r="W10">
        <f>IF($F10="s-curve",$D10+($E10-$D10)*$O$2/(1+EXP($O$3*(COUNT($M$9:W$9)+$O$4))),TREND($D10:$E10,$D$9:$E$9,W$9))</f>
        <v>0.6290357437430889</v>
      </c>
      <c r="X10">
        <f>IF($F10="s-curve",$D10+($E10-$D10)*$O$2/(1+EXP($O$3*(COUNT($M$9:X$9)+$O$4))),TREND($D10:$E10,$D$9:$E$9,X$9))</f>
        <v>0.68426676950894838</v>
      </c>
      <c r="Y10">
        <f>IF($F10="s-curve",$D10+($E10-$D10)*$O$2/(1+EXP($O$3*(COUNT($M$9:Y$9)+$O$4))),TREND($D10:$E10,$D$9:$E$9,Y$9))</f>
        <v>0.73710231035945117</v>
      </c>
      <c r="Z10">
        <f>IF($F10="s-curve",$D10+($E10-$D10)*$O$2/(1+EXP($O$3*(COUNT($M$9:Z$9)+$O$4))),TREND($D10:$E10,$D$9:$E$9,Z$9))</f>
        <v>0.78554519444118864</v>
      </c>
      <c r="AA10">
        <f>IF($F10="s-curve",$D10+($E10-$D10)*$O$2/(1+EXP($O$3*(COUNT($M$9:AA$9)+$O$4))),TREND($D10:$E10,$D$9:$E$9,AA$9))</f>
        <v>0.82826193693761119</v>
      </c>
      <c r="AB10">
        <f>IF($F10="s-curve",$D10+($E10-$D10)*$O$2/(1+EXP($O$3*(COUNT($M$9:AB$9)+$O$4))),TREND($D10:$E10,$D$9:$E$9,AB$9))</f>
        <v>0.86465330247779515</v>
      </c>
      <c r="AC10">
        <f>IF($F10="s-curve",$D10+($E10-$D10)*$O$2/(1+EXP($O$3*(COUNT($M$9:AC$9)+$O$4))),TREND($D10:$E10,$D$9:$E$9,AC$9))</f>
        <v>0.8947566504198794</v>
      </c>
      <c r="AD10">
        <f>IF($F10="s-curve",$D10+($E10-$D10)*$O$2/(1+EXP($O$3*(COUNT($M$9:AD$9)+$O$4))),TREND($D10:$E10,$D$9:$E$9,AD$9))</f>
        <v>0.91905795773035237</v>
      </c>
      <c r="AE10">
        <f>IF($F10="s-curve",$D10+($E10-$D10)*$O$2/(1+EXP($O$3*(COUNT($M$9:AE$9)+$O$4))),TREND($D10:$E10,$D$9:$E$9,AE$9))</f>
        <v>0.93829180500850051</v>
      </c>
      <c r="AF10">
        <f>IF($F10="s-curve",$D10+($E10-$D10)*$O$2/(1+EXP($O$3*(COUNT($M$9:AF$9)+$O$4))),TREND($D10:$E10,$D$9:$E$9,AF$9))</f>
        <v>0.95327827161262935</v>
      </c>
      <c r="AG10">
        <f>IF($F10="s-curve",$D10+($E10-$D10)*$O$2/(1+EXP($O$3*(COUNT($M$9:AG$9)+$O$4))),TREND($D10:$E10,$D$9:$E$9,AG$9))</f>
        <v>0.96481339245869879</v>
      </c>
      <c r="AH10">
        <f>IF($F10="s-curve",$D10+($E10-$D10)*$O$2/(1+EXP($O$3*(COUNT($M$9:AH$9)+$O$4))),TREND($D10:$E10,$D$9:$E$9,AH$9))</f>
        <v>0.97360872045460534</v>
      </c>
      <c r="AI10">
        <f>IF($F10="s-curve",$D10+($E10-$D10)*$O$2/(1+EXP($O$3*(COUNT($M$9:AI$9)+$O$4))),TREND($D10:$E10,$D$9:$E$9,AI$9))</f>
        <v>0.98026693211817606</v>
      </c>
      <c r="AJ10">
        <f>IF($F10="s-curve",$D10+($E10-$D10)*$O$2/(1+EXP($O$3*(COUNT($M$9:AJ$9)+$O$4))),TREND($D10:$E10,$D$9:$E$9,AJ$9))</f>
        <v>0.98527991147889638</v>
      </c>
      <c r="AK10">
        <f>IF($F10="s-curve",$D10+($E10-$D10)*$O$2/(1+EXP($O$3*(COUNT($M$9:AK$9)+$O$4))),TREND($D10:$E10,$D$9:$E$9,AK$9))</f>
        <v>0.98903872464197784</v>
      </c>
      <c r="AL10">
        <f>IF($F10="s-curve",$D10+($E10-$D10)*$O$2/(1+EXP($O$3*(COUNT($M$9:AL$9)+$O$4))),TREND($D10:$E10,$D$9:$E$9,AL$9))</f>
        <v>0.99184847399700926</v>
      </c>
    </row>
    <row r="11" spans="1:38">
      <c r="C11" t="s">
        <v>2</v>
      </c>
      <c r="D11" s="20">
        <f t="shared" ref="D11:D16" si="1">M11</f>
        <v>3.3095148929585699E-3</v>
      </c>
      <c r="E11" s="20">
        <f>D11</f>
        <v>3.3095148929585699E-3</v>
      </c>
      <c r="F11" s="6" t="str">
        <f>IF(D11=E11,"n/a",IF(OR(C11="battery electric vehicle",C11="natural gas vehicle",C11="plugin hybrid vehicle"),"s-curve","linear"))</f>
        <v>n/a</v>
      </c>
      <c r="H11" s="20">
        <f t="shared" ref="H11:H16" si="2">I11</f>
        <v>3.3529508501743601E-3</v>
      </c>
      <c r="I11" s="29">
        <f>SUMIFS(recalculated_shareweights!$F:$F,recalculated_shareweights!$A:$A,Data!I$9,recalculated_shareweights!$C:$C,Data!$C11)</f>
        <v>3.3529508501743601E-3</v>
      </c>
      <c r="J11" s="29">
        <f>SUMIFS(recalculated_shareweights!$F:$F,recalculated_shareweights!$A:$A,Data!J$9,recalculated_shareweights!$C:$C,Data!$C11)</f>
        <v>3.2344845624373798E-3</v>
      </c>
      <c r="K11" s="29">
        <f>SUMIFS(recalculated_shareweights!$F:$F,recalculated_shareweights!$A:$A,Data!K$9,recalculated_shareweights!$C:$C,Data!$C11)</f>
        <v>3.2992663893674601E-3</v>
      </c>
      <c r="L11" s="29">
        <f>SUMIFS(recalculated_shareweights!$F:$F,recalculated_shareweights!$A:$A,Data!L$9,recalculated_shareweights!$C:$C,Data!$C11)</f>
        <v>3.30947194118662E-3</v>
      </c>
      <c r="M11" s="29">
        <f>SUMIFS(recalculated_shareweights!$F:$F,recalculated_shareweights!$A:$A,Data!M$9,recalculated_shareweights!$C:$C,Data!$C11)</f>
        <v>3.3095148929585699E-3</v>
      </c>
      <c r="N11">
        <f t="shared" ref="N11:AL11" si="3">M11</f>
        <v>3.3095148929585699E-3</v>
      </c>
      <c r="O11">
        <f t="shared" si="3"/>
        <v>3.3095148929585699E-3</v>
      </c>
      <c r="P11">
        <f t="shared" si="3"/>
        <v>3.3095148929585699E-3</v>
      </c>
      <c r="Q11">
        <f t="shared" si="3"/>
        <v>3.3095148929585699E-3</v>
      </c>
      <c r="R11">
        <f t="shared" si="3"/>
        <v>3.3095148929585699E-3</v>
      </c>
      <c r="S11">
        <f t="shared" si="3"/>
        <v>3.3095148929585699E-3</v>
      </c>
      <c r="T11">
        <f t="shared" si="3"/>
        <v>3.3095148929585699E-3</v>
      </c>
      <c r="U11">
        <f t="shared" si="3"/>
        <v>3.3095148929585699E-3</v>
      </c>
      <c r="V11">
        <f t="shared" si="3"/>
        <v>3.3095148929585699E-3</v>
      </c>
      <c r="W11">
        <f t="shared" si="3"/>
        <v>3.3095148929585699E-3</v>
      </c>
      <c r="X11">
        <f t="shared" si="3"/>
        <v>3.3095148929585699E-3</v>
      </c>
      <c r="Y11">
        <f t="shared" si="3"/>
        <v>3.3095148929585699E-3</v>
      </c>
      <c r="Z11">
        <f t="shared" si="3"/>
        <v>3.3095148929585699E-3</v>
      </c>
      <c r="AA11">
        <f t="shared" si="3"/>
        <v>3.3095148929585699E-3</v>
      </c>
      <c r="AB11">
        <f t="shared" si="3"/>
        <v>3.3095148929585699E-3</v>
      </c>
      <c r="AC11">
        <f t="shared" si="3"/>
        <v>3.3095148929585699E-3</v>
      </c>
      <c r="AD11">
        <f t="shared" si="3"/>
        <v>3.3095148929585699E-3</v>
      </c>
      <c r="AE11">
        <f t="shared" si="3"/>
        <v>3.3095148929585699E-3</v>
      </c>
      <c r="AF11">
        <f t="shared" si="3"/>
        <v>3.3095148929585699E-3</v>
      </c>
      <c r="AG11">
        <f t="shared" si="3"/>
        <v>3.3095148929585699E-3</v>
      </c>
      <c r="AH11">
        <f t="shared" si="3"/>
        <v>3.3095148929585699E-3</v>
      </c>
      <c r="AI11">
        <f t="shared" si="3"/>
        <v>3.3095148929585699E-3</v>
      </c>
      <c r="AJ11">
        <f t="shared" si="3"/>
        <v>3.3095148929585699E-3</v>
      </c>
      <c r="AK11">
        <f t="shared" si="3"/>
        <v>3.3095148929585699E-3</v>
      </c>
      <c r="AL11">
        <f t="shared" si="3"/>
        <v>3.3095148929585699E-3</v>
      </c>
    </row>
    <row r="12" spans="1:38">
      <c r="C12" t="s">
        <v>3</v>
      </c>
      <c r="D12" s="20">
        <f t="shared" si="1"/>
        <v>1</v>
      </c>
      <c r="E12" s="20">
        <f>D12</f>
        <v>1</v>
      </c>
      <c r="F12" s="6" t="str">
        <f>IF(D12=E12,"n/a",IF(OR(C12="battery electric vehicle",C12="natural gas vehicle",C12="plugin hybrid vehicle"),"s-curve","linear"))</f>
        <v>n/a</v>
      </c>
      <c r="H12" s="20">
        <f t="shared" si="2"/>
        <v>1</v>
      </c>
      <c r="I12" s="29">
        <f>SUMIFS(recalculated_shareweights!$F:$F,recalculated_shareweights!$A:$A,Data!I$9,recalculated_shareweights!$C:$C,Data!$C12)</f>
        <v>1</v>
      </c>
      <c r="J12" s="29">
        <f>SUMIFS(recalculated_shareweights!$F:$F,recalculated_shareweights!$A:$A,Data!J$9,recalculated_shareweights!$C:$C,Data!$C12)</f>
        <v>1</v>
      </c>
      <c r="K12" s="29">
        <f>SUMIFS(recalculated_shareweights!$F:$F,recalculated_shareweights!$A:$A,Data!K$9,recalculated_shareweights!$C:$C,Data!$C12)</f>
        <v>1</v>
      </c>
      <c r="L12" s="29">
        <f>SUMIFS(recalculated_shareweights!$F:$F,recalculated_shareweights!$A:$A,Data!L$9,recalculated_shareweights!$C:$C,Data!$C12)</f>
        <v>1</v>
      </c>
      <c r="M12" s="29">
        <f>SUMIFS(recalculated_shareweights!$F:$F,recalculated_shareweights!$A:$A,Data!M$9,recalculated_shareweights!$C:$C,Data!$C12)</f>
        <v>1</v>
      </c>
      <c r="N12">
        <f t="shared" ref="N12:AL12" si="4">M12</f>
        <v>1</v>
      </c>
      <c r="O12">
        <f t="shared" si="4"/>
        <v>1</v>
      </c>
      <c r="P12">
        <f t="shared" si="4"/>
        <v>1</v>
      </c>
      <c r="Q12">
        <f t="shared" si="4"/>
        <v>1</v>
      </c>
      <c r="R12">
        <f t="shared" si="4"/>
        <v>1</v>
      </c>
      <c r="S12">
        <f t="shared" si="4"/>
        <v>1</v>
      </c>
      <c r="T12">
        <f t="shared" si="4"/>
        <v>1</v>
      </c>
      <c r="U12">
        <f t="shared" si="4"/>
        <v>1</v>
      </c>
      <c r="V12">
        <f t="shared" si="4"/>
        <v>1</v>
      </c>
      <c r="W12">
        <f t="shared" si="4"/>
        <v>1</v>
      </c>
      <c r="X12">
        <f t="shared" si="4"/>
        <v>1</v>
      </c>
      <c r="Y12">
        <f t="shared" si="4"/>
        <v>1</v>
      </c>
      <c r="Z12">
        <f t="shared" si="4"/>
        <v>1</v>
      </c>
      <c r="AA12">
        <f t="shared" si="4"/>
        <v>1</v>
      </c>
      <c r="AB12">
        <f t="shared" si="4"/>
        <v>1</v>
      </c>
      <c r="AC12">
        <f t="shared" si="4"/>
        <v>1</v>
      </c>
      <c r="AD12">
        <f t="shared" si="4"/>
        <v>1</v>
      </c>
      <c r="AE12">
        <f t="shared" si="4"/>
        <v>1</v>
      </c>
      <c r="AF12">
        <f t="shared" si="4"/>
        <v>1</v>
      </c>
      <c r="AG12">
        <f t="shared" si="4"/>
        <v>1</v>
      </c>
      <c r="AH12">
        <f t="shared" si="4"/>
        <v>1</v>
      </c>
      <c r="AI12">
        <f t="shared" si="4"/>
        <v>1</v>
      </c>
      <c r="AJ12">
        <f t="shared" si="4"/>
        <v>1</v>
      </c>
      <c r="AK12">
        <f t="shared" si="4"/>
        <v>1</v>
      </c>
      <c r="AL12">
        <f t="shared" si="4"/>
        <v>1</v>
      </c>
    </row>
    <row r="13" spans="1:38">
      <c r="C13" t="s">
        <v>4</v>
      </c>
      <c r="D13" s="20">
        <f t="shared" si="1"/>
        <v>0.59058027726111195</v>
      </c>
      <c r="E13" s="20">
        <f t="shared" ref="E13:E15" si="5">D13</f>
        <v>0.59058027726111195</v>
      </c>
      <c r="F13" s="6" t="str">
        <f>IF(D13=E13,"n/a",IF(OR(C13="battery electric vehicle",C13="natural gas vehicle",C13="plugin hybrid vehicle"),"s-curve","linear"))</f>
        <v>n/a</v>
      </c>
      <c r="H13" s="20">
        <f t="shared" si="2"/>
        <v>0.59228638519715204</v>
      </c>
      <c r="I13" s="29">
        <f>SUMIFS(recalculated_shareweights!$F:$F,recalculated_shareweights!$A:$A,Data!I$9,recalculated_shareweights!$C:$C,Data!$C13)</f>
        <v>0.59228638519715204</v>
      </c>
      <c r="J13" s="29">
        <f>SUMIFS(recalculated_shareweights!$F:$F,recalculated_shareweights!$A:$A,Data!J$9,recalculated_shareweights!$C:$C,Data!$C13)</f>
        <v>0.59230948421771701</v>
      </c>
      <c r="K13" s="29">
        <f>SUMIFS(recalculated_shareweights!$F:$F,recalculated_shareweights!$A:$A,Data!K$9,recalculated_shareweights!$C:$C,Data!$C13)</f>
        <v>0.59203080907285699</v>
      </c>
      <c r="L13" s="29">
        <f>SUMIFS(recalculated_shareweights!$F:$F,recalculated_shareweights!$A:$A,Data!L$9,recalculated_shareweights!$C:$C,Data!$C13)</f>
        <v>0.59155228627877099</v>
      </c>
      <c r="M13" s="29">
        <f>SUMIFS(recalculated_shareweights!$F:$F,recalculated_shareweights!$A:$A,Data!M$9,recalculated_shareweights!$C:$C,Data!$C13)</f>
        <v>0.59058027726111195</v>
      </c>
      <c r="N13">
        <f t="shared" ref="N13:AL13" si="6">M13</f>
        <v>0.59058027726111195</v>
      </c>
      <c r="O13">
        <f t="shared" si="6"/>
        <v>0.59058027726111195</v>
      </c>
      <c r="P13">
        <f t="shared" si="6"/>
        <v>0.59058027726111195</v>
      </c>
      <c r="Q13">
        <f t="shared" si="6"/>
        <v>0.59058027726111195</v>
      </c>
      <c r="R13">
        <f t="shared" si="6"/>
        <v>0.59058027726111195</v>
      </c>
      <c r="S13">
        <f t="shared" si="6"/>
        <v>0.59058027726111195</v>
      </c>
      <c r="T13">
        <f t="shared" si="6"/>
        <v>0.59058027726111195</v>
      </c>
      <c r="U13">
        <f t="shared" si="6"/>
        <v>0.59058027726111195</v>
      </c>
      <c r="V13">
        <f t="shared" si="6"/>
        <v>0.59058027726111195</v>
      </c>
      <c r="W13">
        <f t="shared" si="6"/>
        <v>0.59058027726111195</v>
      </c>
      <c r="X13">
        <f t="shared" si="6"/>
        <v>0.59058027726111195</v>
      </c>
      <c r="Y13">
        <f t="shared" si="6"/>
        <v>0.59058027726111195</v>
      </c>
      <c r="Z13">
        <f t="shared" si="6"/>
        <v>0.59058027726111195</v>
      </c>
      <c r="AA13">
        <f t="shared" si="6"/>
        <v>0.59058027726111195</v>
      </c>
      <c r="AB13">
        <f t="shared" si="6"/>
        <v>0.59058027726111195</v>
      </c>
      <c r="AC13">
        <f t="shared" si="6"/>
        <v>0.59058027726111195</v>
      </c>
      <c r="AD13">
        <f t="shared" si="6"/>
        <v>0.59058027726111195</v>
      </c>
      <c r="AE13">
        <f t="shared" si="6"/>
        <v>0.59058027726111195</v>
      </c>
      <c r="AF13">
        <f t="shared" si="6"/>
        <v>0.59058027726111195</v>
      </c>
      <c r="AG13">
        <f t="shared" si="6"/>
        <v>0.59058027726111195</v>
      </c>
      <c r="AH13">
        <f t="shared" si="6"/>
        <v>0.59058027726111195</v>
      </c>
      <c r="AI13">
        <f t="shared" si="6"/>
        <v>0.59058027726111195</v>
      </c>
      <c r="AJ13">
        <f t="shared" si="6"/>
        <v>0.59058027726111195</v>
      </c>
      <c r="AK13">
        <f t="shared" si="6"/>
        <v>0.59058027726111195</v>
      </c>
      <c r="AL13">
        <f t="shared" si="6"/>
        <v>0.59058027726111195</v>
      </c>
    </row>
    <row r="14" spans="1:38">
      <c r="C14" t="s">
        <v>5</v>
      </c>
      <c r="D14" s="20">
        <f t="shared" si="1"/>
        <v>1.71314827014208E-2</v>
      </c>
      <c r="E14" s="20">
        <v>0.25</v>
      </c>
      <c r="F14" s="6" t="str">
        <f>IF(D14=E14,"n/a",IF(OR(C14="battery electric vehicle",C14="natural gas vehicle",C14="plugin hybrid vehicle",C14="hydrogen vehicle"),"s-curve","linear"))</f>
        <v>s-curve</v>
      </c>
      <c r="H14" s="20">
        <f t="shared" si="2"/>
        <v>2.3289188371058402E-2</v>
      </c>
      <c r="I14" s="29">
        <f>SUMIFS(recalculated_shareweights!$F:$F,recalculated_shareweights!$A:$A,Data!I$9,recalculated_shareweights!$C:$C,Data!$C14)</f>
        <v>2.3289188371058402E-2</v>
      </c>
      <c r="J14" s="29">
        <f>SUMIFS(recalculated_shareweights!$F:$F,recalculated_shareweights!$A:$A,Data!J$9,recalculated_shareweights!$C:$C,Data!$C14)</f>
        <v>1.61860221153209E-2</v>
      </c>
      <c r="K14" s="29">
        <f>SUMIFS(recalculated_shareweights!$F:$F,recalculated_shareweights!$A:$A,Data!K$9,recalculated_shareweights!$C:$C,Data!$C14)</f>
        <v>1.2519591168578899E-2</v>
      </c>
      <c r="L14" s="29">
        <f>SUMIFS(recalculated_shareweights!$F:$F,recalculated_shareweights!$A:$A,Data!L$9,recalculated_shareweights!$C:$C,Data!$C14)</f>
        <v>1.14350359237596E-2</v>
      </c>
      <c r="M14" s="29">
        <f>SUMIFS(recalculated_shareweights!$F:$F,recalculated_shareweights!$A:$A,Data!M$9,recalculated_shareweights!$C:$C,Data!$C14)</f>
        <v>1.71314827014208E-2</v>
      </c>
      <c r="N14">
        <f>M14+($R$14-$M$14)/($R$9-$M$9)</f>
        <v>2.3305186161136641E-2</v>
      </c>
      <c r="O14">
        <f t="shared" ref="O14:Q14" si="7">N14+($R$14-$M$14)/($R$9-$M$9)</f>
        <v>2.9478889620852482E-2</v>
      </c>
      <c r="P14">
        <f t="shared" si="7"/>
        <v>3.5652593080568319E-2</v>
      </c>
      <c r="Q14">
        <f t="shared" si="7"/>
        <v>4.1826296540284157E-2</v>
      </c>
      <c r="R14" s="30">
        <v>4.8000000000000001E-2</v>
      </c>
      <c r="S14">
        <f>R14+($W$14-$R$14)/($W$9-$R$9)</f>
        <v>5.2400000000000002E-2</v>
      </c>
      <c r="T14">
        <f t="shared" ref="T14:V14" si="8">S14+($W$14-$R$14)/($W$9-$R$9)</f>
        <v>5.6800000000000003E-2</v>
      </c>
      <c r="U14">
        <f t="shared" si="8"/>
        <v>6.1200000000000004E-2</v>
      </c>
      <c r="V14">
        <f t="shared" si="8"/>
        <v>6.5600000000000006E-2</v>
      </c>
      <c r="W14" s="30">
        <v>7.0000000000000007E-2</v>
      </c>
      <c r="X14">
        <f>W14+($AB$14-$W$14)/($AB$9-$W$9)</f>
        <v>7.46E-2</v>
      </c>
      <c r="Y14">
        <f t="shared" ref="Y14:AA14" si="9">X14+($AB$14-$W$14)/($AB$9-$W$9)</f>
        <v>7.9199999999999993E-2</v>
      </c>
      <c r="Z14">
        <f t="shared" si="9"/>
        <v>8.3799999999999986E-2</v>
      </c>
      <c r="AA14">
        <f t="shared" si="9"/>
        <v>8.8399999999999979E-2</v>
      </c>
      <c r="AB14" s="30">
        <v>9.2999999999999999E-2</v>
      </c>
      <c r="AC14">
        <f t="shared" ref="AC14" si="10">AB14+($AG$14-$AB$14)/($AG$9-$AB$9)</f>
        <v>0.1024</v>
      </c>
      <c r="AD14">
        <f>AC14+($AG$14-$AB$14)/($AG$9-$AB$9)</f>
        <v>0.11180000000000001</v>
      </c>
      <c r="AE14">
        <f t="shared" ref="AE14:AF14" si="11">AD14+($AG$14-$AB$14)/($AG$9-$AB$9)</f>
        <v>0.12120000000000002</v>
      </c>
      <c r="AF14">
        <f t="shared" si="11"/>
        <v>0.13060000000000002</v>
      </c>
      <c r="AG14" s="30">
        <v>0.14000000000000001</v>
      </c>
      <c r="AH14">
        <f t="shared" ref="AH14" si="12">AG14+($AL$14-$AG$14)/($AL$9-$AG$9)</f>
        <v>0.16400000000000001</v>
      </c>
      <c r="AI14">
        <f>AH14+($AL$14-$AG$14)/($AL$9-$AG$9)</f>
        <v>0.188</v>
      </c>
      <c r="AJ14">
        <f t="shared" ref="AJ14:AK14" si="13">AI14+($AL$14-$AG$14)/($AL$9-$AG$9)</f>
        <v>0.21199999999999999</v>
      </c>
      <c r="AK14">
        <f t="shared" si="13"/>
        <v>0.23599999999999999</v>
      </c>
      <c r="AL14" s="30">
        <v>0.26</v>
      </c>
    </row>
    <row r="15" spans="1:38">
      <c r="C15" t="s">
        <v>78</v>
      </c>
      <c r="D15" s="20">
        <f t="shared" si="1"/>
        <v>0.15947005332295699</v>
      </c>
      <c r="E15" s="20">
        <f t="shared" si="5"/>
        <v>0.15947005332295699</v>
      </c>
      <c r="F15" s="6" t="str">
        <f>IF(D15=E15,"n/a",IF(OR(C15="battery electric vehicle",C15="natural gas vehicle",C15="plugin hybrid vehicle",C15="hydrogen vehicle"),"s-curve","linear"))</f>
        <v>n/a</v>
      </c>
      <c r="H15" s="20">
        <f t="shared" si="2"/>
        <v>0.17113476719881701</v>
      </c>
      <c r="I15" s="29">
        <f>SUMIFS(recalculated_shareweights!$F:$F,recalculated_shareweights!$A:$A,Data!I$9,recalculated_shareweights!$C:$C,Data!$C15)</f>
        <v>0.17113476719881701</v>
      </c>
      <c r="J15" s="29">
        <f>SUMIFS(recalculated_shareweights!$F:$F,recalculated_shareweights!$A:$A,Data!J$9,recalculated_shareweights!$C:$C,Data!$C15)</f>
        <v>0.16042654304401399</v>
      </c>
      <c r="K15" s="29">
        <f>SUMIFS(recalculated_shareweights!$F:$F,recalculated_shareweights!$A:$A,Data!K$9,recalculated_shareweights!$C:$C,Data!$C15)</f>
        <v>0.16019604568516499</v>
      </c>
      <c r="L15" s="29">
        <f>SUMIFS(recalculated_shareweights!$F:$F,recalculated_shareweights!$A:$A,Data!L$9,recalculated_shareweights!$C:$C,Data!$C15)</f>
        <v>0.15998875949545299</v>
      </c>
      <c r="M15" s="29">
        <f>SUMIFS(recalculated_shareweights!$F:$F,recalculated_shareweights!$A:$A,Data!M$9,recalculated_shareweights!$C:$C,Data!$C15)</f>
        <v>0.15947005332295699</v>
      </c>
      <c r="N15">
        <f t="shared" ref="N15:AL15" si="14">M15</f>
        <v>0.15947005332295699</v>
      </c>
      <c r="O15">
        <f t="shared" si="14"/>
        <v>0.15947005332295699</v>
      </c>
      <c r="P15">
        <f t="shared" si="14"/>
        <v>0.15947005332295699</v>
      </c>
      <c r="Q15">
        <f t="shared" si="14"/>
        <v>0.15947005332295699</v>
      </c>
      <c r="R15">
        <f t="shared" si="14"/>
        <v>0.15947005332295699</v>
      </c>
      <c r="S15">
        <f t="shared" si="14"/>
        <v>0.15947005332295699</v>
      </c>
      <c r="T15">
        <f t="shared" si="14"/>
        <v>0.15947005332295699</v>
      </c>
      <c r="U15">
        <f t="shared" si="14"/>
        <v>0.15947005332295699</v>
      </c>
      <c r="V15">
        <f t="shared" si="14"/>
        <v>0.15947005332295699</v>
      </c>
      <c r="W15">
        <f t="shared" si="14"/>
        <v>0.15947005332295699</v>
      </c>
      <c r="X15">
        <f t="shared" si="14"/>
        <v>0.15947005332295699</v>
      </c>
      <c r="Y15">
        <f t="shared" si="14"/>
        <v>0.15947005332295699</v>
      </c>
      <c r="Z15">
        <f t="shared" si="14"/>
        <v>0.15947005332295699</v>
      </c>
      <c r="AA15">
        <f t="shared" si="14"/>
        <v>0.15947005332295699</v>
      </c>
      <c r="AB15">
        <f t="shared" si="14"/>
        <v>0.15947005332295699</v>
      </c>
      <c r="AC15">
        <f t="shared" si="14"/>
        <v>0.15947005332295699</v>
      </c>
      <c r="AD15">
        <f t="shared" si="14"/>
        <v>0.15947005332295699</v>
      </c>
      <c r="AE15">
        <f t="shared" si="14"/>
        <v>0.15947005332295699</v>
      </c>
      <c r="AF15">
        <f t="shared" si="14"/>
        <v>0.15947005332295699</v>
      </c>
      <c r="AG15">
        <f t="shared" si="14"/>
        <v>0.15947005332295699</v>
      </c>
      <c r="AH15">
        <f t="shared" si="14"/>
        <v>0.15947005332295699</v>
      </c>
      <c r="AI15">
        <f t="shared" si="14"/>
        <v>0.15947005332295699</v>
      </c>
      <c r="AJ15">
        <f t="shared" si="14"/>
        <v>0.15947005332295699</v>
      </c>
      <c r="AK15">
        <f t="shared" si="14"/>
        <v>0.15947005332295699</v>
      </c>
      <c r="AL15">
        <f t="shared" si="14"/>
        <v>0.15947005332295699</v>
      </c>
    </row>
    <row r="16" spans="1:38" ht="15.75" thickBot="1">
      <c r="A16" s="21"/>
      <c r="B16" s="21"/>
      <c r="C16" s="21" t="s">
        <v>79</v>
      </c>
      <c r="D16" s="24">
        <f t="shared" si="1"/>
        <v>8.1424881347127408E-3</v>
      </c>
      <c r="E16" s="24">
        <f>D16</f>
        <v>8.1424881347127408E-3</v>
      </c>
      <c r="F16" s="7" t="str">
        <f>IF(D16=E16,"n/a",IF(OR(C16="battery electric vehicle",C16="natural gas vehicle",C16="plugin hybrid vehicle",C16="hydrogen vehicle"),"s-curve","linear"))</f>
        <v>n/a</v>
      </c>
      <c r="H16" s="20">
        <f t="shared" si="2"/>
        <v>1.37690622330492E-2</v>
      </c>
      <c r="I16" s="29">
        <f>SUMIFS(recalculated_shareweights!$F:$F,recalculated_shareweights!$A:$A,Data!I$9,recalculated_shareweights!$C:$C,Data!$C16)</f>
        <v>1.37690622330492E-2</v>
      </c>
      <c r="J16" s="29">
        <f>SUMIFS(recalculated_shareweights!$F:$F,recalculated_shareweights!$A:$A,Data!J$9,recalculated_shareweights!$C:$C,Data!$C16)</f>
        <v>1.50234391644237E-2</v>
      </c>
      <c r="K16" s="29">
        <f>SUMIFS(recalculated_shareweights!$F:$F,recalculated_shareweights!$A:$A,Data!K$9,recalculated_shareweights!$C:$C,Data!$C16)</f>
        <v>5.9846297320643701E-3</v>
      </c>
      <c r="L16" s="29">
        <f>SUMIFS(recalculated_shareweights!$F:$F,recalculated_shareweights!$A:$A,Data!L$9,recalculated_shareweights!$C:$C,Data!$C16)</f>
        <v>3.9429627558054299E-3</v>
      </c>
      <c r="M16" s="29">
        <f>SUMIFS(recalculated_shareweights!$F:$F,recalculated_shareweights!$A:$A,Data!M$9,recalculated_shareweights!$C:$C,Data!$C16)</f>
        <v>8.1424881347127408E-3</v>
      </c>
      <c r="N16">
        <f t="shared" ref="N16:AL16" si="15">M16</f>
        <v>8.1424881347127408E-3</v>
      </c>
      <c r="O16">
        <f t="shared" si="15"/>
        <v>8.1424881347127408E-3</v>
      </c>
      <c r="P16">
        <f t="shared" si="15"/>
        <v>8.1424881347127408E-3</v>
      </c>
      <c r="Q16">
        <f t="shared" si="15"/>
        <v>8.1424881347127408E-3</v>
      </c>
      <c r="R16">
        <f t="shared" si="15"/>
        <v>8.1424881347127408E-3</v>
      </c>
      <c r="S16">
        <f t="shared" si="15"/>
        <v>8.1424881347127408E-3</v>
      </c>
      <c r="T16">
        <f t="shared" si="15"/>
        <v>8.1424881347127408E-3</v>
      </c>
      <c r="U16">
        <f t="shared" si="15"/>
        <v>8.1424881347127408E-3</v>
      </c>
      <c r="V16">
        <f t="shared" si="15"/>
        <v>8.1424881347127408E-3</v>
      </c>
      <c r="W16">
        <f t="shared" si="15"/>
        <v>8.1424881347127408E-3</v>
      </c>
      <c r="X16">
        <f t="shared" si="15"/>
        <v>8.1424881347127408E-3</v>
      </c>
      <c r="Y16">
        <f t="shared" si="15"/>
        <v>8.1424881347127408E-3</v>
      </c>
      <c r="Z16">
        <f t="shared" si="15"/>
        <v>8.1424881347127408E-3</v>
      </c>
      <c r="AA16">
        <f t="shared" si="15"/>
        <v>8.1424881347127408E-3</v>
      </c>
      <c r="AB16">
        <f t="shared" si="15"/>
        <v>8.1424881347127408E-3</v>
      </c>
      <c r="AC16">
        <f t="shared" si="15"/>
        <v>8.1424881347127408E-3</v>
      </c>
      <c r="AD16">
        <f t="shared" si="15"/>
        <v>8.1424881347127408E-3</v>
      </c>
      <c r="AE16">
        <f t="shared" si="15"/>
        <v>8.1424881347127408E-3</v>
      </c>
      <c r="AF16">
        <f t="shared" si="15"/>
        <v>8.1424881347127408E-3</v>
      </c>
      <c r="AG16">
        <f t="shared" si="15"/>
        <v>8.1424881347127408E-3</v>
      </c>
      <c r="AH16">
        <f t="shared" si="15"/>
        <v>8.1424881347127408E-3</v>
      </c>
      <c r="AI16">
        <f t="shared" si="15"/>
        <v>8.1424881347127408E-3</v>
      </c>
      <c r="AJ16">
        <f t="shared" si="15"/>
        <v>8.1424881347127408E-3</v>
      </c>
      <c r="AK16">
        <f t="shared" si="15"/>
        <v>8.1424881347127408E-3</v>
      </c>
      <c r="AL16">
        <f t="shared" si="15"/>
        <v>8.1424881347127408E-3</v>
      </c>
    </row>
    <row r="17" spans="1:38">
      <c r="A17" t="s">
        <v>12</v>
      </c>
      <c r="B17" t="s">
        <v>18</v>
      </c>
      <c r="C17" t="s">
        <v>1</v>
      </c>
      <c r="D17" s="20">
        <v>0.05</v>
      </c>
      <c r="E17">
        <v>3</v>
      </c>
      <c r="F17" s="6" t="str">
        <f>IF(D17=E17,"n/a",IF(OR(C17="battery electric vehicle",C17="natural gas vehicle",C17="plugin hybrid vehicle"),"s-curve","linear"))</f>
        <v>s-curve</v>
      </c>
      <c r="H17">
        <f>IF($F17="s-curve",$D17+($E17-$D17)*$I$2/(1+EXP($I$3*(COUNT($H$9:H$9)+$I$4))),TREND($D17:$E17,$D$9:$E$9,H$9))</f>
        <v>0.18467095381410897</v>
      </c>
      <c r="I17">
        <f>IF($F17="s-curve",$D17+($E17-$D17)*$I$2/(1+EXP($I$3*(COUNT($H$9:I$9)+$I$4))),TREND($D17:$E17,$D$9:$E$9,I$9))</f>
        <v>0.20679585237428799</v>
      </c>
      <c r="J17">
        <f>IF($F17="s-curve",$D17+($E17-$D17)*$I$2/(1+EXP($I$3*(COUNT($H$9:J$9)+$I$4))),TREND($D17:$E17,$D$9:$E$9,J$9))</f>
        <v>0.2323202254775863</v>
      </c>
      <c r="K17">
        <f>IF($F17="s-curve",$D17+($E17-$D17)*$I$2/(1+EXP($I$3*(COUNT($H$9:K$9)+$I$4))),TREND($D17:$E17,$D$9:$E$9,K$9))</f>
        <v>0.26168474967806649</v>
      </c>
      <c r="L17">
        <f>IF($F17="s-curve",$D17+($E17-$D17)*$I$2/(1+EXP($I$3*(COUNT($H$9:L$9)+$I$4))),TREND($D17:$E17,$D$9:$E$9,L$9))</f>
        <v>0.29535945465707103</v>
      </c>
      <c r="M17">
        <f>IF($F17="s-curve",$D17+($E17-$D17)*$I$2/(1+EXP($I$3*(COUNT($H$9:M$9)+$I$4))),TREND($D17:$E17,$D$9:$E$9,M$9))</f>
        <v>0.33383584804654387</v>
      </c>
      <c r="N17">
        <f>IF($F17="s-curve",$D17+($E17-$D17)*$I$2/(1+EXP($I$3*(COUNT($H$9:N$9)+$I$4))),TREND($D17:$E17,$D$9:$E$9,N$9))</f>
        <v>0.37761510179865232</v>
      </c>
      <c r="O17">
        <f>IF($F17="s-curve",$D17+($E17-$D17)*$I$2/(1+EXP($I$3*(COUNT($H$9:O$9)+$I$4))),TREND($D17:$E17,$D$9:$E$9,O$9))</f>
        <v>0.42719162064128996</v>
      </c>
      <c r="P17">
        <f>IF($F17="s-curve",$D17+($E17-$D17)*$I$2/(1+EXP($I$3*(COUNT($H$9:P$9)+$I$4))),TREND($D17:$E17,$D$9:$E$9,P$9))</f>
        <v>0.48303150241407805</v>
      </c>
      <c r="Q17">
        <f>IF($F17="s-curve",$D17+($E17-$D17)*$I$2/(1+EXP($I$3*(COUNT($H$9:Q$9)+$I$4))),TREND($D17:$E17,$D$9:$E$9,Q$9))</f>
        <v>0.54554576385492282</v>
      </c>
      <c r="R17">
        <f>IF($F17="s-curve",$D17+($E17-$D17)*$I$2/(1+EXP($I$3*(COUNT($H$9:R$9)+$I$4))),TREND($D17:$E17,$D$9:$E$9,R$9))</f>
        <v>0.61505877825632926</v>
      </c>
      <c r="S17">
        <f>IF($F17="s-curve",$D17+($E17-$D17)*$I$2/(1+EXP($I$3*(COUNT($H$9:S$9)+$I$4))),TREND($D17:$E17,$D$9:$E$9,S$9))</f>
        <v>0.69177315955181817</v>
      </c>
      <c r="T17">
        <f>IF($F17="s-curve",$D17+($E17-$D17)*$I$2/(1+EXP($I$3*(COUNT($H$9:T$9)+$I$4))),TREND($D17:$E17,$D$9:$E$9,T$9))</f>
        <v>0.77573328647560325</v>
      </c>
      <c r="U17">
        <f>IF($F17="s-curve",$D17+($E17-$D17)*$I$2/(1+EXP($I$3*(COUNT($H$9:U$9)+$I$4))),TREND($D17:$E17,$D$9:$E$9,U$9))</f>
        <v>0.86679067488305006</v>
      </c>
      <c r="V17">
        <f>IF($F17="s-curve",$D17+($E17-$D17)*$I$2/(1+EXP($I$3*(COUNT($H$9:V$9)+$I$4))),TREND($D17:$E17,$D$9:$E$9,V$9))</f>
        <v>0.96457528067354337</v>
      </c>
      <c r="W17">
        <f>IF($F17="s-curve",$D17+($E17-$D17)*$I$2/(1+EXP($I$3*(COUNT($H$9:W$9)+$I$4))),TREND($D17:$E17,$D$9:$E$9,W$9))</f>
        <v>1.0684772912113583</v>
      </c>
      <c r="X17">
        <f>IF($F17="s-curve",$D17+($E17-$D17)*$I$2/(1+EXP($I$3*(COUNT($H$9:X$9)+$I$4))),TREND($D17:$E17,$D$9:$E$9,X$9))</f>
        <v>1.1776437694307156</v>
      </c>
      <c r="Y17">
        <f>IF($F17="s-curve",$D17+($E17-$D17)*$I$2/(1+EXP($I$3*(COUNT($H$9:Y$9)+$I$4))),TREND($D17:$E17,$D$9:$E$9,Y$9))</f>
        <v>1.2909934561611893</v>
      </c>
      <c r="Z17">
        <f>IF($F17="s-curve",$D17+($E17-$D17)*$I$2/(1+EXP($I$3*(COUNT($H$9:Z$9)+$I$4))),TREND($D17:$E17,$D$9:$E$9,Z$9))</f>
        <v>1.4072510905610811</v>
      </c>
      <c r="AA17">
        <f>IF($F17="s-curve",$D17+($E17-$D17)*$I$2/(1+EXP($I$3*(COUNT($H$9:AA$9)+$I$4))),TREND($D17:$E17,$D$9:$E$9,AA$9))</f>
        <v>1.5250000000000001</v>
      </c>
      <c r="AB17">
        <f>IF($F17="s-curve",$D17+($E17-$D17)*$I$2/(1+EXP($I$3*(COUNT($H$9:AB$9)+$I$4))),TREND($D17:$E17,$D$9:$E$9,AB$9))</f>
        <v>1.6427489094389189</v>
      </c>
      <c r="AC17">
        <f>IF($F17="s-curve",$D17+($E17-$D17)*$I$2/(1+EXP($I$3*(COUNT($H$9:AC$9)+$I$4))),TREND($D17:$E17,$D$9:$E$9,AC$9))</f>
        <v>1.7590065438388109</v>
      </c>
      <c r="AD17">
        <f>IF($F17="s-curve",$D17+($E17-$D17)*$I$2/(1+EXP($I$3*(COUNT($H$9:AD$9)+$I$4))),TREND($D17:$E17,$D$9:$E$9,AD$9))</f>
        <v>1.8723562305692845</v>
      </c>
      <c r="AE17">
        <f>IF($F17="s-curve",$D17+($E17-$D17)*$I$2/(1+EXP($I$3*(COUNT($H$9:AE$9)+$I$4))),TREND($D17:$E17,$D$9:$E$9,AE$9))</f>
        <v>1.981522708788642</v>
      </c>
      <c r="AF17">
        <f>IF($F17="s-curve",$D17+($E17-$D17)*$I$2/(1+EXP($I$3*(COUNT($H$9:AF$9)+$I$4))),TREND($D17:$E17,$D$9:$E$9,AF$9))</f>
        <v>2.0854247193264568</v>
      </c>
      <c r="AG17">
        <f>IF($F17="s-curve",$D17+($E17-$D17)*$I$2/(1+EXP($I$3*(COUNT($H$9:AG$9)+$I$4))),TREND($D17:$E17,$D$9:$E$9,AG$9))</f>
        <v>2.18320932511695</v>
      </c>
      <c r="AH17">
        <f>IF($F17="s-curve",$D17+($E17-$D17)*$I$2/(1+EXP($I$3*(COUNT($H$9:AH$9)+$I$4))),TREND($D17:$E17,$D$9:$E$9,AH$9))</f>
        <v>2.2742667135243968</v>
      </c>
      <c r="AI17">
        <f>IF($F17="s-curve",$D17+($E17-$D17)*$I$2/(1+EXP($I$3*(COUNT($H$9:AI$9)+$I$4))),TREND($D17:$E17,$D$9:$E$9,AI$9))</f>
        <v>2.3582268404481819</v>
      </c>
      <c r="AJ17">
        <f>IF($F17="s-curve",$D17+($E17-$D17)*$I$2/(1+EXP($I$3*(COUNT($H$9:AJ$9)+$I$4))),TREND($D17:$E17,$D$9:$E$9,AJ$9))</f>
        <v>2.4349412217436712</v>
      </c>
      <c r="AK17">
        <f>IF($F17="s-curve",$D17+($E17-$D17)*$I$2/(1+EXP($I$3*(COUNT($H$9:AK$9)+$I$4))),TREND($D17:$E17,$D$9:$E$9,AK$9))</f>
        <v>2.5044542361450772</v>
      </c>
      <c r="AL17">
        <f>IF($F17="s-curve",$D17+($E17-$D17)*$I$2/(1+EXP($I$3*(COUNT($H$9:AL$9)+$I$4))),TREND($D17:$E17,$D$9:$E$9,AL$9))</f>
        <v>2.5669684975859219</v>
      </c>
    </row>
    <row r="18" spans="1:38">
      <c r="C18" t="s">
        <v>2</v>
      </c>
      <c r="D18" s="20">
        <f>MIN(1.25*INDEX('SYVbT-freight'!$B$2:$H$2,MATCH(Data!$C11,'SYVbT-passenger'!$B$1:$H$1,0))/SUM('SYVbT-freight'!$B$2:$H$2),1)</f>
        <v>6.1283704210113928E-4</v>
      </c>
      <c r="E18" s="20">
        <f>D18</f>
        <v>6.1283704210113928E-4</v>
      </c>
      <c r="F18" s="6" t="s">
        <v>76</v>
      </c>
      <c r="H18" s="20">
        <f t="shared" ref="H18:H40" si="16">D18</f>
        <v>6.1283704210113928E-4</v>
      </c>
      <c r="I18">
        <f>IF($F18="s-curve",$D18+($E18-$D18)*$I$2/(1+EXP($I$3*(COUNT($H$9:I$9)+$I$4))),TREND($D18:$E18,$D$9:$E$9,I$9))</f>
        <v>6.1283704210113928E-4</v>
      </c>
      <c r="J18">
        <f>IF($F18="s-curve",$D18+($E18-$D18)*$I$2/(1+EXP($I$3*(COUNT($H$9:J$9)+$I$4))),TREND($D18:$E18,$D$9:$E$9,J$9))</f>
        <v>6.1283704210113928E-4</v>
      </c>
      <c r="K18">
        <f>IF($F18="s-curve",$D18+($E18-$D18)*$I$2/(1+EXP($I$3*(COUNT($H$9:K$9)+$I$4))),TREND($D18:$E18,$D$9:$E$9,K$9))</f>
        <v>6.1283704210113928E-4</v>
      </c>
      <c r="L18">
        <f>IF($F18="s-curve",$D18+($E18-$D18)*$I$2/(1+EXP($I$3*(COUNT($H$9:L$9)+$I$4))),TREND($D18:$E18,$D$9:$E$9,L$9))</f>
        <v>6.1283704210113928E-4</v>
      </c>
      <c r="M18">
        <f>IF($F18="s-curve",$D18+($E18-$D18)*$I$2/(1+EXP($I$3*(COUNT($H$9:M$9)+$I$4))),TREND($D18:$E18,$D$9:$E$9,M$9))</f>
        <v>6.1283704210113928E-4</v>
      </c>
      <c r="N18">
        <f>IF($F18="s-curve",$D18+($E18-$D18)*$I$2/(1+EXP($I$3*(COUNT($H$9:N$9)+$I$4))),TREND($D18:$E18,$D$9:$E$9,N$9))</f>
        <v>6.1283704210113928E-4</v>
      </c>
      <c r="O18">
        <f>IF($F18="s-curve",$D18+($E18-$D18)*$I$2/(1+EXP($I$3*(COUNT($H$9:O$9)+$I$4))),TREND($D18:$E18,$D$9:$E$9,O$9))</f>
        <v>6.1283704210113928E-4</v>
      </c>
      <c r="P18">
        <f>IF($F18="s-curve",$D18+($E18-$D18)*$I$2/(1+EXP($I$3*(COUNT($H$9:P$9)+$I$4))),TREND($D18:$E18,$D$9:$E$9,P$9))</f>
        <v>6.1283704210113928E-4</v>
      </c>
      <c r="Q18">
        <f>IF($F18="s-curve",$D18+($E18-$D18)*$I$2/(1+EXP($I$3*(COUNT($H$9:Q$9)+$I$4))),TREND($D18:$E18,$D$9:$E$9,Q$9))</f>
        <v>6.1283704210113928E-4</v>
      </c>
      <c r="R18">
        <f>IF($F18="s-curve",$D18+($E18-$D18)*$I$2/(1+EXP($I$3*(COUNT($H$9:R$9)+$I$4))),TREND($D18:$E18,$D$9:$E$9,R$9))</f>
        <v>6.1283704210113928E-4</v>
      </c>
      <c r="S18">
        <f>IF($F18="s-curve",$D18+($E18-$D18)*$I$2/(1+EXP($I$3*(COUNT($H$9:S$9)+$I$4))),TREND($D18:$E18,$D$9:$E$9,S$9))</f>
        <v>6.1283704210113928E-4</v>
      </c>
      <c r="T18">
        <f>IF($F18="s-curve",$D18+($E18-$D18)*$I$2/(1+EXP($I$3*(COUNT($H$9:T$9)+$I$4))),TREND($D18:$E18,$D$9:$E$9,T$9))</f>
        <v>6.1283704210113928E-4</v>
      </c>
      <c r="U18">
        <f>IF($F18="s-curve",$D18+($E18-$D18)*$I$2/(1+EXP($I$3*(COUNT($H$9:U$9)+$I$4))),TREND($D18:$E18,$D$9:$E$9,U$9))</f>
        <v>6.1283704210113928E-4</v>
      </c>
      <c r="V18">
        <f>IF($F18="s-curve",$D18+($E18-$D18)*$I$2/(1+EXP($I$3*(COUNT($H$9:V$9)+$I$4))),TREND($D18:$E18,$D$9:$E$9,V$9))</f>
        <v>6.1283704210113928E-4</v>
      </c>
      <c r="W18">
        <f>IF($F18="s-curve",$D18+($E18-$D18)*$I$2/(1+EXP($I$3*(COUNT($H$9:W$9)+$I$4))),TREND($D18:$E18,$D$9:$E$9,W$9))</f>
        <v>6.1283704210113928E-4</v>
      </c>
      <c r="X18">
        <f>IF($F18="s-curve",$D18+($E18-$D18)*$I$2/(1+EXP($I$3*(COUNT($H$9:X$9)+$I$4))),TREND($D18:$E18,$D$9:$E$9,X$9))</f>
        <v>6.1283704210113928E-4</v>
      </c>
      <c r="Y18">
        <f>IF($F18="s-curve",$D18+($E18-$D18)*$I$2/(1+EXP($I$3*(COUNT($H$9:Y$9)+$I$4))),TREND($D18:$E18,$D$9:$E$9,Y$9))</f>
        <v>6.1283704210113928E-4</v>
      </c>
      <c r="Z18">
        <f>IF($F18="s-curve",$D18+($E18-$D18)*$I$2/(1+EXP($I$3*(COUNT($H$9:Z$9)+$I$4))),TREND($D18:$E18,$D$9:$E$9,Z$9))</f>
        <v>6.1283704210113928E-4</v>
      </c>
      <c r="AA18">
        <f>IF($F18="s-curve",$D18+($E18-$D18)*$I$2/(1+EXP($I$3*(COUNT($H$9:AA$9)+$I$4))),TREND($D18:$E18,$D$9:$E$9,AA$9))</f>
        <v>6.1283704210113928E-4</v>
      </c>
      <c r="AB18">
        <f>IF($F18="s-curve",$D18+($E18-$D18)*$I$2/(1+EXP($I$3*(COUNT($H$9:AB$9)+$I$4))),TREND($D18:$E18,$D$9:$E$9,AB$9))</f>
        <v>6.1283704210113928E-4</v>
      </c>
      <c r="AC18">
        <f>IF($F18="s-curve",$D18+($E18-$D18)*$I$2/(1+EXP($I$3*(COUNT($H$9:AC$9)+$I$4))),TREND($D18:$E18,$D$9:$E$9,AC$9))</f>
        <v>6.1283704210113928E-4</v>
      </c>
      <c r="AD18">
        <f>IF($F18="s-curve",$D18+($E18-$D18)*$I$2/(1+EXP($I$3*(COUNT($H$9:AD$9)+$I$4))),TREND($D18:$E18,$D$9:$E$9,AD$9))</f>
        <v>6.1283704210113928E-4</v>
      </c>
      <c r="AE18">
        <f>IF($F18="s-curve",$D18+($E18-$D18)*$I$2/(1+EXP($I$3*(COUNT($H$9:AE$9)+$I$4))),TREND($D18:$E18,$D$9:$E$9,AE$9))</f>
        <v>6.1283704210113928E-4</v>
      </c>
      <c r="AF18">
        <f>IF($F18="s-curve",$D18+($E18-$D18)*$I$2/(1+EXP($I$3*(COUNT($H$9:AF$9)+$I$4))),TREND($D18:$E18,$D$9:$E$9,AF$9))</f>
        <v>6.1283704210113928E-4</v>
      </c>
      <c r="AG18">
        <f>IF($F18="s-curve",$D18+($E18-$D18)*$I$2/(1+EXP($I$3*(COUNT($H$9:AG$9)+$I$4))),TREND($D18:$E18,$D$9:$E$9,AG$9))</f>
        <v>6.1283704210113928E-4</v>
      </c>
      <c r="AH18">
        <f>IF($F18="s-curve",$D18+($E18-$D18)*$I$2/(1+EXP($I$3*(COUNT($H$9:AH$9)+$I$4))),TREND($D18:$E18,$D$9:$E$9,AH$9))</f>
        <v>6.1283704210113928E-4</v>
      </c>
      <c r="AI18">
        <f>IF($F18="s-curve",$D18+($E18-$D18)*$I$2/(1+EXP($I$3*(COUNT($H$9:AI$9)+$I$4))),TREND($D18:$E18,$D$9:$E$9,AI$9))</f>
        <v>6.1283704210113928E-4</v>
      </c>
      <c r="AJ18">
        <f>IF($F18="s-curve",$D18+($E18-$D18)*$I$2/(1+EXP($I$3*(COUNT($H$9:AJ$9)+$I$4))),TREND($D18:$E18,$D$9:$E$9,AJ$9))</f>
        <v>6.1283704210113928E-4</v>
      </c>
      <c r="AK18">
        <f>IF($F18="s-curve",$D18+($E18-$D18)*$I$2/(1+EXP($I$3*(COUNT($H$9:AK$9)+$I$4))),TREND($D18:$E18,$D$9:$E$9,AK$9))</f>
        <v>6.1283704210113928E-4</v>
      </c>
      <c r="AL18">
        <f>IF($F18="s-curve",$D18+($E18-$D18)*$I$2/(1+EXP($I$3*(COUNT($H$9:AL$9)+$I$4))),TREND($D18:$E18,$D$9:$E$9,AL$9))</f>
        <v>6.1283704210113928E-4</v>
      </c>
    </row>
    <row r="19" spans="1:38">
      <c r="C19" t="s">
        <v>3</v>
      </c>
      <c r="D19" s="20">
        <v>0.01</v>
      </c>
      <c r="E19" s="20">
        <f t="shared" ref="E19:E20" si="17">D19</f>
        <v>0.01</v>
      </c>
      <c r="F19" s="6" t="str">
        <f>IF(D19=E19,"n/a",IF(OR(C19="battery electric vehicle",C19="natural gas vehicle",C19="plugin hybrid vehicle"),"s-curve","linear"))</f>
        <v>n/a</v>
      </c>
      <c r="H19" s="20">
        <f t="shared" si="16"/>
        <v>0.01</v>
      </c>
      <c r="I19">
        <f>IF($F19="s-curve",$D19+($E19-$D19)*$I$2/(1+EXP($I$3*(COUNT($H$9:I$9)+$I$4))),TREND($D19:$E19,$D$9:$E$9,I$9))</f>
        <v>0.01</v>
      </c>
      <c r="J19">
        <f>IF($F19="s-curve",$D19+($E19-$D19)*$I$2/(1+EXP($I$3*(COUNT($H$9:J$9)+$I$4))),TREND($D19:$E19,$D$9:$E$9,J$9))</f>
        <v>0.01</v>
      </c>
      <c r="K19">
        <f>IF($F19="s-curve",$D19+($E19-$D19)*$I$2/(1+EXP($I$3*(COUNT($H$9:K$9)+$I$4))),TREND($D19:$E19,$D$9:$E$9,K$9))</f>
        <v>0.01</v>
      </c>
      <c r="L19">
        <f>IF($F19="s-curve",$D19+($E19-$D19)*$I$2/(1+EXP($I$3*(COUNT($H$9:L$9)+$I$4))),TREND($D19:$E19,$D$9:$E$9,L$9))</f>
        <v>0.01</v>
      </c>
      <c r="M19">
        <f>IF($F19="s-curve",$D19+($E19-$D19)*$I$2/(1+EXP($I$3*(COUNT($H$9:M$9)+$I$4))),TREND($D19:$E19,$D$9:$E$9,M$9))</f>
        <v>0.01</v>
      </c>
      <c r="N19">
        <f>IF($F19="s-curve",$D19+($E19-$D19)*$I$2/(1+EXP($I$3*(COUNT($H$9:N$9)+$I$4))),TREND($D19:$E19,$D$9:$E$9,N$9))</f>
        <v>0.01</v>
      </c>
      <c r="O19">
        <f>IF($F19="s-curve",$D19+($E19-$D19)*$I$2/(1+EXP($I$3*(COUNT($H$9:O$9)+$I$4))),TREND($D19:$E19,$D$9:$E$9,O$9))</f>
        <v>0.01</v>
      </c>
      <c r="P19">
        <f>IF($F19="s-curve",$D19+($E19-$D19)*$I$2/(1+EXP($I$3*(COUNT($H$9:P$9)+$I$4))),TREND($D19:$E19,$D$9:$E$9,P$9))</f>
        <v>0.01</v>
      </c>
      <c r="Q19">
        <f>IF($F19="s-curve",$D19+($E19-$D19)*$I$2/(1+EXP($I$3*(COUNT($H$9:Q$9)+$I$4))),TREND($D19:$E19,$D$9:$E$9,Q$9))</f>
        <v>0.01</v>
      </c>
      <c r="R19">
        <f>IF($F19="s-curve",$D19+($E19-$D19)*$I$2/(1+EXP($I$3*(COUNT($H$9:R$9)+$I$4))),TREND($D19:$E19,$D$9:$E$9,R$9))</f>
        <v>0.01</v>
      </c>
      <c r="S19">
        <f>IF($F19="s-curve",$D19+($E19-$D19)*$I$2/(1+EXP($I$3*(COUNT($H$9:S$9)+$I$4))),TREND($D19:$E19,$D$9:$E$9,S$9))</f>
        <v>0.01</v>
      </c>
      <c r="T19">
        <f>IF($F19="s-curve",$D19+($E19-$D19)*$I$2/(1+EXP($I$3*(COUNT($H$9:T$9)+$I$4))),TREND($D19:$E19,$D$9:$E$9,T$9))</f>
        <v>0.01</v>
      </c>
      <c r="U19">
        <f>IF($F19="s-curve",$D19+($E19-$D19)*$I$2/(1+EXP($I$3*(COUNT($H$9:U$9)+$I$4))),TREND($D19:$E19,$D$9:$E$9,U$9))</f>
        <v>0.01</v>
      </c>
      <c r="V19">
        <f>IF($F19="s-curve",$D19+($E19-$D19)*$I$2/(1+EXP($I$3*(COUNT($H$9:V$9)+$I$4))),TREND($D19:$E19,$D$9:$E$9,V$9))</f>
        <v>0.01</v>
      </c>
      <c r="W19">
        <f>IF($F19="s-curve",$D19+($E19-$D19)*$I$2/(1+EXP($I$3*(COUNT($H$9:W$9)+$I$4))),TREND($D19:$E19,$D$9:$E$9,W$9))</f>
        <v>0.01</v>
      </c>
      <c r="X19">
        <f>IF($F19="s-curve",$D19+($E19-$D19)*$I$2/(1+EXP($I$3*(COUNT($H$9:X$9)+$I$4))),TREND($D19:$E19,$D$9:$E$9,X$9))</f>
        <v>0.01</v>
      </c>
      <c r="Y19">
        <f>IF($F19="s-curve",$D19+($E19-$D19)*$I$2/(1+EXP($I$3*(COUNT($H$9:Y$9)+$I$4))),TREND($D19:$E19,$D$9:$E$9,Y$9))</f>
        <v>0.01</v>
      </c>
      <c r="Z19">
        <f>IF($F19="s-curve",$D19+($E19-$D19)*$I$2/(1+EXP($I$3*(COUNT($H$9:Z$9)+$I$4))),TREND($D19:$E19,$D$9:$E$9,Z$9))</f>
        <v>0.01</v>
      </c>
      <c r="AA19">
        <f>IF($F19="s-curve",$D19+($E19-$D19)*$I$2/(1+EXP($I$3*(COUNT($H$9:AA$9)+$I$4))),TREND($D19:$E19,$D$9:$E$9,AA$9))</f>
        <v>0.01</v>
      </c>
      <c r="AB19">
        <f>IF($F19="s-curve",$D19+($E19-$D19)*$I$2/(1+EXP($I$3*(COUNT($H$9:AB$9)+$I$4))),TREND($D19:$E19,$D$9:$E$9,AB$9))</f>
        <v>0.01</v>
      </c>
      <c r="AC19">
        <f>IF($F19="s-curve",$D19+($E19-$D19)*$I$2/(1+EXP($I$3*(COUNT($H$9:AC$9)+$I$4))),TREND($D19:$E19,$D$9:$E$9,AC$9))</f>
        <v>0.01</v>
      </c>
      <c r="AD19">
        <f>IF($F19="s-curve",$D19+($E19-$D19)*$I$2/(1+EXP($I$3*(COUNT($H$9:AD$9)+$I$4))),TREND($D19:$E19,$D$9:$E$9,AD$9))</f>
        <v>0.01</v>
      </c>
      <c r="AE19">
        <f>IF($F19="s-curve",$D19+($E19-$D19)*$I$2/(1+EXP($I$3*(COUNT($H$9:AE$9)+$I$4))),TREND($D19:$E19,$D$9:$E$9,AE$9))</f>
        <v>0.01</v>
      </c>
      <c r="AF19">
        <f>IF($F19="s-curve",$D19+($E19-$D19)*$I$2/(1+EXP($I$3*(COUNT($H$9:AF$9)+$I$4))),TREND($D19:$E19,$D$9:$E$9,AF$9))</f>
        <v>0.01</v>
      </c>
      <c r="AG19">
        <f>IF($F19="s-curve",$D19+($E19-$D19)*$I$2/(1+EXP($I$3*(COUNT($H$9:AG$9)+$I$4))),TREND($D19:$E19,$D$9:$E$9,AG$9))</f>
        <v>0.01</v>
      </c>
      <c r="AH19">
        <f>IF($F19="s-curve",$D19+($E19-$D19)*$I$2/(1+EXP($I$3*(COUNT($H$9:AH$9)+$I$4))),TREND($D19:$E19,$D$9:$E$9,AH$9))</f>
        <v>0.01</v>
      </c>
      <c r="AI19">
        <f>IF($F19="s-curve",$D19+($E19-$D19)*$I$2/(1+EXP($I$3*(COUNT($H$9:AI$9)+$I$4))),TREND($D19:$E19,$D$9:$E$9,AI$9))</f>
        <v>0.01</v>
      </c>
      <c r="AJ19">
        <f>IF($F19="s-curve",$D19+($E19-$D19)*$I$2/(1+EXP($I$3*(COUNT($H$9:AJ$9)+$I$4))),TREND($D19:$E19,$D$9:$E$9,AJ$9))</f>
        <v>0.01</v>
      </c>
      <c r="AK19">
        <f>IF($F19="s-curve",$D19+($E19-$D19)*$I$2/(1+EXP($I$3*(COUNT($H$9:AK$9)+$I$4))),TREND($D19:$E19,$D$9:$E$9,AK$9))</f>
        <v>0.01</v>
      </c>
      <c r="AL19">
        <f>IF($F19="s-curve",$D19+($E19-$D19)*$I$2/(1+EXP($I$3*(COUNT($H$9:AL$9)+$I$4))),TREND($D19:$E19,$D$9:$E$9,AL$9))</f>
        <v>0.01</v>
      </c>
    </row>
    <row r="20" spans="1:38">
      <c r="C20" t="s">
        <v>4</v>
      </c>
      <c r="D20" s="20">
        <v>1</v>
      </c>
      <c r="E20" s="20">
        <f t="shared" si="17"/>
        <v>1</v>
      </c>
      <c r="F20" s="6" t="str">
        <f>IF(D20=E20,"n/a",IF(OR(C20="battery electric vehicle",C20="natural gas vehicle",C20="plugin hybrid vehicle"),"s-curve","linear"))</f>
        <v>n/a</v>
      </c>
      <c r="H20" s="20">
        <f t="shared" si="16"/>
        <v>1</v>
      </c>
      <c r="I20">
        <f>IF($F20="s-curve",$D20+($E20-$D20)*$I$2/(1+EXP($I$3*(COUNT($H$9:I$9)+$I$4))),TREND($D20:$E20,$D$9:$E$9,I$9))</f>
        <v>1</v>
      </c>
      <c r="J20">
        <f>IF($F20="s-curve",$D20+($E20-$D20)*$I$2/(1+EXP($I$3*(COUNT($H$9:J$9)+$I$4))),TREND($D20:$E20,$D$9:$E$9,J$9))</f>
        <v>1</v>
      </c>
      <c r="K20">
        <f>IF($F20="s-curve",$D20+($E20-$D20)*$I$2/(1+EXP($I$3*(COUNT($H$9:K$9)+$I$4))),TREND($D20:$E20,$D$9:$E$9,K$9))</f>
        <v>1</v>
      </c>
      <c r="L20">
        <f>IF($F20="s-curve",$D20+($E20-$D20)*$I$2/(1+EXP($I$3*(COUNT($H$9:L$9)+$I$4))),TREND($D20:$E20,$D$9:$E$9,L$9))</f>
        <v>1</v>
      </c>
      <c r="M20">
        <f>IF($F20="s-curve",$D20+($E20-$D20)*$I$2/(1+EXP($I$3*(COUNT($H$9:M$9)+$I$4))),TREND($D20:$E20,$D$9:$E$9,M$9))</f>
        <v>1</v>
      </c>
      <c r="N20">
        <f>IF($F20="s-curve",$D20+($E20-$D20)*$I$2/(1+EXP($I$3*(COUNT($H$9:N$9)+$I$4))),TREND($D20:$E20,$D$9:$E$9,N$9))</f>
        <v>1</v>
      </c>
      <c r="O20">
        <f>IF($F20="s-curve",$D20+($E20-$D20)*$I$2/(1+EXP($I$3*(COUNT($H$9:O$9)+$I$4))),TREND($D20:$E20,$D$9:$E$9,O$9))</f>
        <v>1</v>
      </c>
      <c r="P20">
        <f>IF($F20="s-curve",$D20+($E20-$D20)*$I$2/(1+EXP($I$3*(COUNT($H$9:P$9)+$I$4))),TREND($D20:$E20,$D$9:$E$9,P$9))</f>
        <v>1</v>
      </c>
      <c r="Q20">
        <f>IF($F20="s-curve",$D20+($E20-$D20)*$I$2/(1+EXP($I$3*(COUNT($H$9:Q$9)+$I$4))),TREND($D20:$E20,$D$9:$E$9,Q$9))</f>
        <v>1</v>
      </c>
      <c r="R20">
        <f>IF($F20="s-curve",$D20+($E20-$D20)*$I$2/(1+EXP($I$3*(COUNT($H$9:R$9)+$I$4))),TREND($D20:$E20,$D$9:$E$9,R$9))</f>
        <v>1</v>
      </c>
      <c r="S20">
        <f>IF($F20="s-curve",$D20+($E20-$D20)*$I$2/(1+EXP($I$3*(COUNT($H$9:S$9)+$I$4))),TREND($D20:$E20,$D$9:$E$9,S$9))</f>
        <v>1</v>
      </c>
      <c r="T20">
        <f>IF($F20="s-curve",$D20+($E20-$D20)*$I$2/(1+EXP($I$3*(COUNT($H$9:T$9)+$I$4))),TREND($D20:$E20,$D$9:$E$9,T$9))</f>
        <v>1</v>
      </c>
      <c r="U20">
        <f>IF($F20="s-curve",$D20+($E20-$D20)*$I$2/(1+EXP($I$3*(COUNT($H$9:U$9)+$I$4))),TREND($D20:$E20,$D$9:$E$9,U$9))</f>
        <v>1</v>
      </c>
      <c r="V20">
        <f>IF($F20="s-curve",$D20+($E20-$D20)*$I$2/(1+EXP($I$3*(COUNT($H$9:V$9)+$I$4))),TREND($D20:$E20,$D$9:$E$9,V$9))</f>
        <v>1</v>
      </c>
      <c r="W20">
        <f>IF($F20="s-curve",$D20+($E20-$D20)*$I$2/(1+EXP($I$3*(COUNT($H$9:W$9)+$I$4))),TREND($D20:$E20,$D$9:$E$9,W$9))</f>
        <v>1</v>
      </c>
      <c r="X20">
        <f>IF($F20="s-curve",$D20+($E20-$D20)*$I$2/(1+EXP($I$3*(COUNT($H$9:X$9)+$I$4))),TREND($D20:$E20,$D$9:$E$9,X$9))</f>
        <v>1</v>
      </c>
      <c r="Y20">
        <f>IF($F20="s-curve",$D20+($E20-$D20)*$I$2/(1+EXP($I$3*(COUNT($H$9:Y$9)+$I$4))),TREND($D20:$E20,$D$9:$E$9,Y$9))</f>
        <v>1</v>
      </c>
      <c r="Z20">
        <f>IF($F20="s-curve",$D20+($E20-$D20)*$I$2/(1+EXP($I$3*(COUNT($H$9:Z$9)+$I$4))),TREND($D20:$E20,$D$9:$E$9,Z$9))</f>
        <v>1</v>
      </c>
      <c r="AA20">
        <f>IF($F20="s-curve",$D20+($E20-$D20)*$I$2/(1+EXP($I$3*(COUNT($H$9:AA$9)+$I$4))),TREND($D20:$E20,$D$9:$E$9,AA$9))</f>
        <v>1</v>
      </c>
      <c r="AB20">
        <f>IF($F20="s-curve",$D20+($E20-$D20)*$I$2/(1+EXP($I$3*(COUNT($H$9:AB$9)+$I$4))),TREND($D20:$E20,$D$9:$E$9,AB$9))</f>
        <v>1</v>
      </c>
      <c r="AC20">
        <f>IF($F20="s-curve",$D20+($E20-$D20)*$I$2/(1+EXP($I$3*(COUNT($H$9:AC$9)+$I$4))),TREND($D20:$E20,$D$9:$E$9,AC$9))</f>
        <v>1</v>
      </c>
      <c r="AD20">
        <f>IF($F20="s-curve",$D20+($E20-$D20)*$I$2/(1+EXP($I$3*(COUNT($H$9:AD$9)+$I$4))),TREND($D20:$E20,$D$9:$E$9,AD$9))</f>
        <v>1</v>
      </c>
      <c r="AE20">
        <f>IF($F20="s-curve",$D20+($E20-$D20)*$I$2/(1+EXP($I$3*(COUNT($H$9:AE$9)+$I$4))),TREND($D20:$E20,$D$9:$E$9,AE$9))</f>
        <v>1</v>
      </c>
      <c r="AF20">
        <f>IF($F20="s-curve",$D20+($E20-$D20)*$I$2/(1+EXP($I$3*(COUNT($H$9:AF$9)+$I$4))),TREND($D20:$E20,$D$9:$E$9,AF$9))</f>
        <v>1</v>
      </c>
      <c r="AG20">
        <f>IF($F20="s-curve",$D20+($E20-$D20)*$I$2/(1+EXP($I$3*(COUNT($H$9:AG$9)+$I$4))),TREND($D20:$E20,$D$9:$E$9,AG$9))</f>
        <v>1</v>
      </c>
      <c r="AH20">
        <f>IF($F20="s-curve",$D20+($E20-$D20)*$I$2/(1+EXP($I$3*(COUNT($H$9:AH$9)+$I$4))),TREND($D20:$E20,$D$9:$E$9,AH$9))</f>
        <v>1</v>
      </c>
      <c r="AI20">
        <f>IF($F20="s-curve",$D20+($E20-$D20)*$I$2/(1+EXP($I$3*(COUNT($H$9:AI$9)+$I$4))),TREND($D20:$E20,$D$9:$E$9,AI$9))</f>
        <v>1</v>
      </c>
      <c r="AJ20">
        <f>IF($F20="s-curve",$D20+($E20-$D20)*$I$2/(1+EXP($I$3*(COUNT($H$9:AJ$9)+$I$4))),TREND($D20:$E20,$D$9:$E$9,AJ$9))</f>
        <v>1</v>
      </c>
      <c r="AK20">
        <f>IF($F20="s-curve",$D20+($E20-$D20)*$I$2/(1+EXP($I$3*(COUNT($H$9:AK$9)+$I$4))),TREND($D20:$E20,$D$9:$E$9,AK$9))</f>
        <v>1</v>
      </c>
      <c r="AL20">
        <f>IF($F20="s-curve",$D20+($E20-$D20)*$I$2/(1+EXP($I$3*(COUNT($H$9:AL$9)+$I$4))),TREND($D20:$E20,$D$9:$E$9,AL$9))</f>
        <v>1</v>
      </c>
    </row>
    <row r="21" spans="1:38">
      <c r="C21" t="s">
        <v>5</v>
      </c>
      <c r="D21" s="20">
        <f>MIN(1.25*INDEX('SYVbT-freight'!$B$2:$H$2,MATCH(Data!$C14,'SYVbT-passenger'!$B$1:$H$1,0))/SUM('SYVbT-freight'!$B$2:$H$2),1)</f>
        <v>0</v>
      </c>
      <c r="E21" s="20">
        <f>E14</f>
        <v>0.25</v>
      </c>
      <c r="F21" s="6" t="str">
        <f>IF(D21=E21,"n/a",IF(OR(C21="battery electric vehicle",C21="natural gas vehicle",C21="plugin hybrid vehicle"),"s-curve","linear"))</f>
        <v>s-curve</v>
      </c>
      <c r="H21" s="20">
        <f t="shared" si="16"/>
        <v>0</v>
      </c>
      <c r="I21">
        <f>IF($F21="s-curve",$D21+($E21-$D21)*$I$2/(1+EXP($I$3*(COUNT($H$9:I$9)+$I$4))),TREND($D21:$E21,$D$9:$E$9,I$9))</f>
        <v>1.3287784099515931E-2</v>
      </c>
      <c r="J21">
        <f>IF($F21="s-curve",$D21+($E21-$D21)*$I$2/(1+EXP($I$3*(COUNT($H$9:J$9)+$I$4))),TREND($D21:$E21,$D$9:$E$9,J$9))</f>
        <v>1.5450866565897142E-2</v>
      </c>
      <c r="K21">
        <f>IF($F21="s-curve",$D21+($E21-$D21)*$I$2/(1+EXP($I$3*(COUNT($H$9:K$9)+$I$4))),TREND($D21:$E21,$D$9:$E$9,K$9))</f>
        <v>1.7939385565937833E-2</v>
      </c>
      <c r="L21">
        <f>IF($F21="s-curve",$D21+($E21-$D21)*$I$2/(1+EXP($I$3*(COUNT($H$9:L$9)+$I$4))),TREND($D21:$E21,$D$9:$E$9,L$9))</f>
        <v>2.0793174123480595E-2</v>
      </c>
      <c r="M21">
        <f>IF($F21="s-curve",$D21+($E21-$D21)*$I$2/(1+EXP($I$3*(COUNT($H$9:M$9)+$I$4))),TREND($D21:$E21,$D$9:$E$9,M$9))</f>
        <v>2.4053885427673206E-2</v>
      </c>
      <c r="N21">
        <f>IF($F21="s-curve",$D21+($E21-$D21)*$I$2/(1+EXP($I$3*(COUNT($H$9:N$9)+$I$4))),TREND($D21:$E21,$D$9:$E$9,N$9))</f>
        <v>2.7763991677851891E-2</v>
      </c>
      <c r="O21">
        <f>IF($F21="s-curve",$D21+($E21-$D21)*$I$2/(1+EXP($I$3*(COUNT($H$9:O$9)+$I$4))),TREND($D21:$E21,$D$9:$E$9,O$9))</f>
        <v>3.1965391579770332E-2</v>
      </c>
      <c r="P21">
        <f>IF($F21="s-curve",$D21+($E21-$D21)*$I$2/(1+EXP($I$3*(COUNT($H$9:P$9)+$I$4))),TREND($D21:$E21,$D$9:$E$9,P$9))</f>
        <v>3.6697584950345592E-2</v>
      </c>
      <c r="Q21">
        <f>IF($F21="s-curve",$D21+($E21-$D21)*$I$2/(1+EXP($I$3*(COUNT($H$9:Q$9)+$I$4))),TREND($D21:$E21,$D$9:$E$9,Q$9))</f>
        <v>4.199540371651888E-2</v>
      </c>
      <c r="R21">
        <f>IF($F21="s-curve",$D21+($E21-$D21)*$I$2/(1+EXP($I$3*(COUNT($H$9:R$9)+$I$4))),TREND($D21:$E21,$D$9:$E$9,R$9))</f>
        <v>4.7886337140366879E-2</v>
      </c>
      <c r="S21">
        <f>IF($F21="s-curve",$D21+($E21-$D21)*$I$2/(1+EXP($I$3*(COUNT($H$9:S$9)+$I$4))),TREND($D21:$E21,$D$9:$E$9,S$9))</f>
        <v>5.4387555894221874E-2</v>
      </c>
      <c r="T21">
        <f>IF($F21="s-curve",$D21+($E21-$D21)*$I$2/(1+EXP($I$3*(COUNT($H$9:T$9)+$I$4))),TREND($D21:$E21,$D$9:$E$9,T$9))</f>
        <v>6.1502820887762974E-2</v>
      </c>
      <c r="U21">
        <f>IF($F21="s-curve",$D21+($E21-$D21)*$I$2/(1+EXP($I$3*(COUNT($H$9:U$9)+$I$4))),TREND($D21:$E21,$D$9:$E$9,U$9))</f>
        <v>6.921954871890254E-2</v>
      </c>
      <c r="V21">
        <f>IF($F21="s-curve",$D21+($E21-$D21)*$I$2/(1+EXP($I$3*(COUNT($H$9:V$9)+$I$4))),TREND($D21:$E21,$D$9:$E$9,V$9))</f>
        <v>7.7506379718096888E-2</v>
      </c>
      <c r="W21">
        <f>IF($F21="s-curve",$D21+($E21-$D21)*$I$2/(1+EXP($I$3*(COUNT($H$9:W$9)+$I$4))),TREND($D21:$E21,$D$9:$E$9,W$9))</f>
        <v>8.6311634848420193E-2</v>
      </c>
      <c r="X21">
        <f>IF($F21="s-curve",$D21+($E21-$D21)*$I$2/(1+EXP($I$3*(COUNT($H$9:X$9)+$I$4))),TREND($D21:$E21,$D$9:$E$9,X$9))</f>
        <v>9.5563031307687757E-2</v>
      </c>
      <c r="Y21">
        <f>IF($F21="s-curve",$D21+($E21-$D21)*$I$2/(1+EXP($I$3*(COUNT($H$9:Y$9)+$I$4))),TREND($D21:$E21,$D$9:$E$9,Y$9))</f>
        <v>0.10516893696281264</v>
      </c>
      <c r="Z21">
        <f>IF($F21="s-curve",$D21+($E21-$D21)*$I$2/(1+EXP($I$3*(COUNT($H$9:Z$9)+$I$4))),TREND($D21:$E21,$D$9:$E$9,Z$9))</f>
        <v>0.11502127886110856</v>
      </c>
      <c r="AA21">
        <f>IF($F21="s-curve",$D21+($E21-$D21)*$I$2/(1+EXP($I$3*(COUNT($H$9:AA$9)+$I$4))),TREND($D21:$E21,$D$9:$E$9,AA$9))</f>
        <v>0.125</v>
      </c>
      <c r="AB21">
        <f>IF($F21="s-curve",$D21+($E21-$D21)*$I$2/(1+EXP($I$3*(COUNT($H$9:AB$9)+$I$4))),TREND($D21:$E21,$D$9:$E$9,AB$9))</f>
        <v>0.13497872113889142</v>
      </c>
      <c r="AC21">
        <f>IF($F21="s-curve",$D21+($E21-$D21)*$I$2/(1+EXP($I$3*(COUNT($H$9:AC$9)+$I$4))),TREND($D21:$E21,$D$9:$E$9,AC$9))</f>
        <v>0.14483106303718737</v>
      </c>
      <c r="AD21">
        <f>IF($F21="s-curve",$D21+($E21-$D21)*$I$2/(1+EXP($I$3*(COUNT($H$9:AD$9)+$I$4))),TREND($D21:$E21,$D$9:$E$9,AD$9))</f>
        <v>0.15443696869231224</v>
      </c>
      <c r="AE21">
        <f>IF($F21="s-curve",$D21+($E21-$D21)*$I$2/(1+EXP($I$3*(COUNT($H$9:AE$9)+$I$4))),TREND($D21:$E21,$D$9:$E$9,AE$9))</f>
        <v>0.16368836515157981</v>
      </c>
      <c r="AF21">
        <f>IF($F21="s-curve",$D21+($E21-$D21)*$I$2/(1+EXP($I$3*(COUNT($H$9:AF$9)+$I$4))),TREND($D21:$E21,$D$9:$E$9,AF$9))</f>
        <v>0.17249362028190313</v>
      </c>
      <c r="AG21">
        <f>IF($F21="s-curve",$D21+($E21-$D21)*$I$2/(1+EXP($I$3*(COUNT($H$9:AG$9)+$I$4))),TREND($D21:$E21,$D$9:$E$9,AG$9))</f>
        <v>0.18078045128109746</v>
      </c>
      <c r="AH21">
        <f>IF($F21="s-curve",$D21+($E21-$D21)*$I$2/(1+EXP($I$3*(COUNT($H$9:AH$9)+$I$4))),TREND($D21:$E21,$D$9:$E$9,AH$9))</f>
        <v>0.18849717911223704</v>
      </c>
      <c r="AI21">
        <f>IF($F21="s-curve",$D21+($E21-$D21)*$I$2/(1+EXP($I$3*(COUNT($H$9:AI$9)+$I$4))),TREND($D21:$E21,$D$9:$E$9,AI$9))</f>
        <v>0.1956124441057781</v>
      </c>
      <c r="AJ21">
        <f>IF($F21="s-curve",$D21+($E21-$D21)*$I$2/(1+EXP($I$3*(COUNT($H$9:AJ$9)+$I$4))),TREND($D21:$E21,$D$9:$E$9,AJ$9))</f>
        <v>0.20211366285963314</v>
      </c>
      <c r="AK21">
        <f>IF($F21="s-curve",$D21+($E21-$D21)*$I$2/(1+EXP($I$3*(COUNT($H$9:AK$9)+$I$4))),TREND($D21:$E21,$D$9:$E$9,AK$9))</f>
        <v>0.20800459628348111</v>
      </c>
      <c r="AL21">
        <f>IF($F21="s-curve",$D21+($E21-$D21)*$I$2/(1+EXP($I$3*(COUNT($H$9:AL$9)+$I$4))),TREND($D21:$E21,$D$9:$E$9,AL$9))</f>
        <v>0.21330241504965441</v>
      </c>
    </row>
    <row r="22" spans="1:38">
      <c r="C22" t="s">
        <v>78</v>
      </c>
      <c r="D22" s="20">
        <v>0.1</v>
      </c>
      <c r="E22" s="20">
        <f>D22</f>
        <v>0.1</v>
      </c>
      <c r="F22" s="6" t="str">
        <f>IF(D22=E22,"n/a",IF(OR(C22="battery electric vehicle",C22="natural gas vehicle",C22="plugin hybrid vehicle",C22="hydrogen vehicle"),"s-curve","linear"))</f>
        <v>n/a</v>
      </c>
      <c r="H22" s="20">
        <f t="shared" si="16"/>
        <v>0.1</v>
      </c>
      <c r="I22">
        <f>IF($F22="s-curve",$D22+($E22-$D22)*$I$2/(1+EXP($I$3*(COUNT($H$9:I$9)+$I$4))),TREND($D22:$E22,$D$9:$E$9,I$9))</f>
        <v>0.1</v>
      </c>
      <c r="J22">
        <f>IF($F22="s-curve",$D22+($E22-$D22)*$I$2/(1+EXP($I$3*(COUNT($H$9:J$9)+$I$4))),TREND($D22:$E22,$D$9:$E$9,J$9))</f>
        <v>0.1</v>
      </c>
      <c r="K22">
        <f>IF($F22="s-curve",$D22+($E22-$D22)*$I$2/(1+EXP($I$3*(COUNT($H$9:K$9)+$I$4))),TREND($D22:$E22,$D$9:$E$9,K$9))</f>
        <v>0.1</v>
      </c>
      <c r="L22">
        <f>IF($F22="s-curve",$D22+($E22-$D22)*$I$2/(1+EXP($I$3*(COUNT($H$9:L$9)+$I$4))),TREND($D22:$E22,$D$9:$E$9,L$9))</f>
        <v>0.1</v>
      </c>
      <c r="M22">
        <f>IF($F22="s-curve",$D22+($E22-$D22)*$I$2/(1+EXP($I$3*(COUNT($H$9:M$9)+$I$4))),TREND($D22:$E22,$D$9:$E$9,M$9))</f>
        <v>0.1</v>
      </c>
      <c r="N22">
        <f>IF($F22="s-curve",$D22+($E22-$D22)*$I$2/(1+EXP($I$3*(COUNT($H$9:N$9)+$I$4))),TREND($D22:$E22,$D$9:$E$9,N$9))</f>
        <v>0.1</v>
      </c>
      <c r="O22">
        <f>IF($F22="s-curve",$D22+($E22-$D22)*$I$2/(1+EXP($I$3*(COUNT($H$9:O$9)+$I$4))),TREND($D22:$E22,$D$9:$E$9,O$9))</f>
        <v>0.1</v>
      </c>
      <c r="P22">
        <f>IF($F22="s-curve",$D22+($E22-$D22)*$I$2/(1+EXP($I$3*(COUNT($H$9:P$9)+$I$4))),TREND($D22:$E22,$D$9:$E$9,P$9))</f>
        <v>0.1</v>
      </c>
      <c r="Q22">
        <f>IF($F22="s-curve",$D22+($E22-$D22)*$I$2/(1+EXP($I$3*(COUNT($H$9:Q$9)+$I$4))),TREND($D22:$E22,$D$9:$E$9,Q$9))</f>
        <v>0.1</v>
      </c>
      <c r="R22">
        <f>IF($F22="s-curve",$D22+($E22-$D22)*$I$2/(1+EXP($I$3*(COUNT($H$9:R$9)+$I$4))),TREND($D22:$E22,$D$9:$E$9,R$9))</f>
        <v>0.1</v>
      </c>
      <c r="S22">
        <f>IF($F22="s-curve",$D22+($E22-$D22)*$I$2/(1+EXP($I$3*(COUNT($H$9:S$9)+$I$4))),TREND($D22:$E22,$D$9:$E$9,S$9))</f>
        <v>0.1</v>
      </c>
      <c r="T22">
        <f>IF($F22="s-curve",$D22+($E22-$D22)*$I$2/(1+EXP($I$3*(COUNT($H$9:T$9)+$I$4))),TREND($D22:$E22,$D$9:$E$9,T$9))</f>
        <v>0.1</v>
      </c>
      <c r="U22">
        <f>IF($F22="s-curve",$D22+($E22-$D22)*$I$2/(1+EXP($I$3*(COUNT($H$9:U$9)+$I$4))),TREND($D22:$E22,$D$9:$E$9,U$9))</f>
        <v>0.1</v>
      </c>
      <c r="V22">
        <f>IF($F22="s-curve",$D22+($E22-$D22)*$I$2/(1+EXP($I$3*(COUNT($H$9:V$9)+$I$4))),TREND($D22:$E22,$D$9:$E$9,V$9))</f>
        <v>0.1</v>
      </c>
      <c r="W22">
        <f>IF($F22="s-curve",$D22+($E22-$D22)*$I$2/(1+EXP($I$3*(COUNT($H$9:W$9)+$I$4))),TREND($D22:$E22,$D$9:$E$9,W$9))</f>
        <v>0.1</v>
      </c>
      <c r="X22">
        <f>IF($F22="s-curve",$D22+($E22-$D22)*$I$2/(1+EXP($I$3*(COUNT($H$9:X$9)+$I$4))),TREND($D22:$E22,$D$9:$E$9,X$9))</f>
        <v>0.1</v>
      </c>
      <c r="Y22">
        <f>IF($F22="s-curve",$D22+($E22-$D22)*$I$2/(1+EXP($I$3*(COUNT($H$9:Y$9)+$I$4))),TREND($D22:$E22,$D$9:$E$9,Y$9))</f>
        <v>0.1</v>
      </c>
      <c r="Z22">
        <f>IF($F22="s-curve",$D22+($E22-$D22)*$I$2/(1+EXP($I$3*(COUNT($H$9:Z$9)+$I$4))),TREND($D22:$E22,$D$9:$E$9,Z$9))</f>
        <v>0.1</v>
      </c>
      <c r="AA22">
        <f>IF($F22="s-curve",$D22+($E22-$D22)*$I$2/(1+EXP($I$3*(COUNT($H$9:AA$9)+$I$4))),TREND($D22:$E22,$D$9:$E$9,AA$9))</f>
        <v>0.1</v>
      </c>
      <c r="AB22">
        <f>IF($F22="s-curve",$D22+($E22-$D22)*$I$2/(1+EXP($I$3*(COUNT($H$9:AB$9)+$I$4))),TREND($D22:$E22,$D$9:$E$9,AB$9))</f>
        <v>0.1</v>
      </c>
      <c r="AC22">
        <f>IF($F22="s-curve",$D22+($E22-$D22)*$I$2/(1+EXP($I$3*(COUNT($H$9:AC$9)+$I$4))),TREND($D22:$E22,$D$9:$E$9,AC$9))</f>
        <v>0.1</v>
      </c>
      <c r="AD22">
        <f>IF($F22="s-curve",$D22+($E22-$D22)*$I$2/(1+EXP($I$3*(COUNT($H$9:AD$9)+$I$4))),TREND($D22:$E22,$D$9:$E$9,AD$9))</f>
        <v>0.1</v>
      </c>
      <c r="AE22">
        <f>IF($F22="s-curve",$D22+($E22-$D22)*$I$2/(1+EXP($I$3*(COUNT($H$9:AE$9)+$I$4))),TREND($D22:$E22,$D$9:$E$9,AE$9))</f>
        <v>0.1</v>
      </c>
      <c r="AF22">
        <f>IF($F22="s-curve",$D22+($E22-$D22)*$I$2/(1+EXP($I$3*(COUNT($H$9:AF$9)+$I$4))),TREND($D22:$E22,$D$9:$E$9,AF$9))</f>
        <v>0.1</v>
      </c>
      <c r="AG22">
        <f>IF($F22="s-curve",$D22+($E22-$D22)*$I$2/(1+EXP($I$3*(COUNT($H$9:AG$9)+$I$4))),TREND($D22:$E22,$D$9:$E$9,AG$9))</f>
        <v>0.1</v>
      </c>
      <c r="AH22">
        <f>IF($F22="s-curve",$D22+($E22-$D22)*$I$2/(1+EXP($I$3*(COUNT($H$9:AH$9)+$I$4))),TREND($D22:$E22,$D$9:$E$9,AH$9))</f>
        <v>0.1</v>
      </c>
      <c r="AI22">
        <f>IF($F22="s-curve",$D22+($E22-$D22)*$I$2/(1+EXP($I$3*(COUNT($H$9:AI$9)+$I$4))),TREND($D22:$E22,$D$9:$E$9,AI$9))</f>
        <v>0.1</v>
      </c>
      <c r="AJ22">
        <f>IF($F22="s-curve",$D22+($E22-$D22)*$I$2/(1+EXP($I$3*(COUNT($H$9:AJ$9)+$I$4))),TREND($D22:$E22,$D$9:$E$9,AJ$9))</f>
        <v>0.1</v>
      </c>
      <c r="AK22">
        <f>IF($F22="s-curve",$D22+($E22-$D22)*$I$2/(1+EXP($I$3*(COUNT($H$9:AK$9)+$I$4))),TREND($D22:$E22,$D$9:$E$9,AK$9))</f>
        <v>0.1</v>
      </c>
      <c r="AL22">
        <f>IF($F22="s-curve",$D22+($E22-$D22)*$I$2/(1+EXP($I$3*(COUNT($H$9:AL$9)+$I$4))),TREND($D22:$E22,$D$9:$E$9,AL$9))</f>
        <v>0.1</v>
      </c>
    </row>
    <row r="23" spans="1:38" ht="15.75" thickBot="1">
      <c r="A23" s="21"/>
      <c r="B23" s="21"/>
      <c r="C23" s="21" t="s">
        <v>79</v>
      </c>
      <c r="D23" s="21">
        <v>5.0000000000000001E-4</v>
      </c>
      <c r="E23" s="24">
        <f>D23</f>
        <v>5.0000000000000001E-4</v>
      </c>
      <c r="F23" s="7" t="str">
        <f>IF(D23=E23,"n/a",IF(OR(C23="battery electric vehicle",C23="natural gas vehicle",C23="plugin hybrid vehicle",C23="hydrogen vehicle"),"s-curve","linear"))</f>
        <v>n/a</v>
      </c>
      <c r="H23" s="20">
        <f t="shared" si="16"/>
        <v>5.0000000000000001E-4</v>
      </c>
      <c r="I23">
        <f>IF($F23="s-curve",$D23+($E23-$D23)*$I$2/(1+EXP($I$3*(COUNT($H$9:I$9)+$I$4))),TREND($D23:$E23,$D$9:$E$9,I$9))</f>
        <v>5.0000000000000001E-4</v>
      </c>
      <c r="J23">
        <f>IF($F23="s-curve",$D23+($E23-$D23)*$I$2/(1+EXP($I$3*(COUNT($H$9:J$9)+$I$4))),TREND($D23:$E23,$D$9:$E$9,J$9))</f>
        <v>5.0000000000000001E-4</v>
      </c>
      <c r="K23">
        <f>IF($F23="s-curve",$D23+($E23-$D23)*$I$2/(1+EXP($I$3*(COUNT($H$9:K$9)+$I$4))),TREND($D23:$E23,$D$9:$E$9,K$9))</f>
        <v>5.0000000000000001E-4</v>
      </c>
      <c r="L23">
        <f>IF($F23="s-curve",$D23+($E23-$D23)*$I$2/(1+EXP($I$3*(COUNT($H$9:L$9)+$I$4))),TREND($D23:$E23,$D$9:$E$9,L$9))</f>
        <v>5.0000000000000001E-4</v>
      </c>
      <c r="M23">
        <f>IF($F23="s-curve",$D23+($E23-$D23)*$I$2/(1+EXP($I$3*(COUNT($H$9:M$9)+$I$4))),TREND($D23:$E23,$D$9:$E$9,M$9))</f>
        <v>5.0000000000000001E-4</v>
      </c>
      <c r="N23">
        <f>IF($F23="s-curve",$D23+($E23-$D23)*$I$2/(1+EXP($I$3*(COUNT($H$9:N$9)+$I$4))),TREND($D23:$E23,$D$9:$E$9,N$9))</f>
        <v>5.0000000000000001E-4</v>
      </c>
      <c r="O23">
        <f>IF($F23="s-curve",$D23+($E23-$D23)*$I$2/(1+EXP($I$3*(COUNT($H$9:O$9)+$I$4))),TREND($D23:$E23,$D$9:$E$9,O$9))</f>
        <v>5.0000000000000001E-4</v>
      </c>
      <c r="P23">
        <f>IF($F23="s-curve",$D23+($E23-$D23)*$I$2/(1+EXP($I$3*(COUNT($H$9:P$9)+$I$4))),TREND($D23:$E23,$D$9:$E$9,P$9))</f>
        <v>5.0000000000000001E-4</v>
      </c>
      <c r="Q23">
        <f>IF($F23="s-curve",$D23+($E23-$D23)*$I$2/(1+EXP($I$3*(COUNT($H$9:Q$9)+$I$4))),TREND($D23:$E23,$D$9:$E$9,Q$9))</f>
        <v>5.0000000000000001E-4</v>
      </c>
      <c r="R23">
        <f>IF($F23="s-curve",$D23+($E23-$D23)*$I$2/(1+EXP($I$3*(COUNT($H$9:R$9)+$I$4))),TREND($D23:$E23,$D$9:$E$9,R$9))</f>
        <v>5.0000000000000001E-4</v>
      </c>
      <c r="S23">
        <f>IF($F23="s-curve",$D23+($E23-$D23)*$I$2/(1+EXP($I$3*(COUNT($H$9:S$9)+$I$4))),TREND($D23:$E23,$D$9:$E$9,S$9))</f>
        <v>5.0000000000000001E-4</v>
      </c>
      <c r="T23">
        <f>IF($F23="s-curve",$D23+($E23-$D23)*$I$2/(1+EXP($I$3*(COUNT($H$9:T$9)+$I$4))),TREND($D23:$E23,$D$9:$E$9,T$9))</f>
        <v>5.0000000000000001E-4</v>
      </c>
      <c r="U23">
        <f>IF($F23="s-curve",$D23+($E23-$D23)*$I$2/(1+EXP($I$3*(COUNT($H$9:U$9)+$I$4))),TREND($D23:$E23,$D$9:$E$9,U$9))</f>
        <v>5.0000000000000001E-4</v>
      </c>
      <c r="V23">
        <f>IF($F23="s-curve",$D23+($E23-$D23)*$I$2/(1+EXP($I$3*(COUNT($H$9:V$9)+$I$4))),TREND($D23:$E23,$D$9:$E$9,V$9))</f>
        <v>5.0000000000000001E-4</v>
      </c>
      <c r="W23">
        <f>IF($F23="s-curve",$D23+($E23-$D23)*$I$2/(1+EXP($I$3*(COUNT($H$9:W$9)+$I$4))),TREND($D23:$E23,$D$9:$E$9,W$9))</f>
        <v>5.0000000000000001E-4</v>
      </c>
      <c r="X23">
        <f>IF($F23="s-curve",$D23+($E23-$D23)*$I$2/(1+EXP($I$3*(COUNT($H$9:X$9)+$I$4))),TREND($D23:$E23,$D$9:$E$9,X$9))</f>
        <v>5.0000000000000001E-4</v>
      </c>
      <c r="Y23">
        <f>IF($F23="s-curve",$D23+($E23-$D23)*$I$2/(1+EXP($I$3*(COUNT($H$9:Y$9)+$I$4))),TREND($D23:$E23,$D$9:$E$9,Y$9))</f>
        <v>5.0000000000000001E-4</v>
      </c>
      <c r="Z23">
        <f>IF($F23="s-curve",$D23+($E23-$D23)*$I$2/(1+EXP($I$3*(COUNT($H$9:Z$9)+$I$4))),TREND($D23:$E23,$D$9:$E$9,Z$9))</f>
        <v>5.0000000000000001E-4</v>
      </c>
      <c r="AA23">
        <f>IF($F23="s-curve",$D23+($E23-$D23)*$I$2/(1+EXP($I$3*(COUNT($H$9:AA$9)+$I$4))),TREND($D23:$E23,$D$9:$E$9,AA$9))</f>
        <v>5.0000000000000001E-4</v>
      </c>
      <c r="AB23">
        <f>IF($F23="s-curve",$D23+($E23-$D23)*$I$2/(1+EXP($I$3*(COUNT($H$9:AB$9)+$I$4))),TREND($D23:$E23,$D$9:$E$9,AB$9))</f>
        <v>5.0000000000000001E-4</v>
      </c>
      <c r="AC23">
        <f>IF($F23="s-curve",$D23+($E23-$D23)*$I$2/(1+EXP($I$3*(COUNT($H$9:AC$9)+$I$4))),TREND($D23:$E23,$D$9:$E$9,AC$9))</f>
        <v>5.0000000000000001E-4</v>
      </c>
      <c r="AD23">
        <f>IF($F23="s-curve",$D23+($E23-$D23)*$I$2/(1+EXP($I$3*(COUNT($H$9:AD$9)+$I$4))),TREND($D23:$E23,$D$9:$E$9,AD$9))</f>
        <v>5.0000000000000001E-4</v>
      </c>
      <c r="AE23">
        <f>IF($F23="s-curve",$D23+($E23-$D23)*$I$2/(1+EXP($I$3*(COUNT($H$9:AE$9)+$I$4))),TREND($D23:$E23,$D$9:$E$9,AE$9))</f>
        <v>5.0000000000000001E-4</v>
      </c>
      <c r="AF23">
        <f>IF($F23="s-curve",$D23+($E23-$D23)*$I$2/(1+EXP($I$3*(COUNT($H$9:AF$9)+$I$4))),TREND($D23:$E23,$D$9:$E$9,AF$9))</f>
        <v>5.0000000000000001E-4</v>
      </c>
      <c r="AG23">
        <f>IF($F23="s-curve",$D23+($E23-$D23)*$I$2/(1+EXP($I$3*(COUNT($H$9:AG$9)+$I$4))),TREND($D23:$E23,$D$9:$E$9,AG$9))</f>
        <v>5.0000000000000001E-4</v>
      </c>
      <c r="AH23">
        <f>IF($F23="s-curve",$D23+($E23-$D23)*$I$2/(1+EXP($I$3*(COUNT($H$9:AH$9)+$I$4))),TREND($D23:$E23,$D$9:$E$9,AH$9))</f>
        <v>5.0000000000000001E-4</v>
      </c>
      <c r="AI23">
        <f>IF($F23="s-curve",$D23+($E23-$D23)*$I$2/(1+EXP($I$3*(COUNT($H$9:AI$9)+$I$4))),TREND($D23:$E23,$D$9:$E$9,AI$9))</f>
        <v>5.0000000000000001E-4</v>
      </c>
      <c r="AJ23">
        <f>IF($F23="s-curve",$D23+($E23-$D23)*$I$2/(1+EXP($I$3*(COUNT($H$9:AJ$9)+$I$4))),TREND($D23:$E23,$D$9:$E$9,AJ$9))</f>
        <v>5.0000000000000001E-4</v>
      </c>
      <c r="AK23">
        <f>IF($F23="s-curve",$D23+($E23-$D23)*$I$2/(1+EXP($I$3*(COUNT($H$9:AK$9)+$I$4))),TREND($D23:$E23,$D$9:$E$9,AK$9))</f>
        <v>5.0000000000000001E-4</v>
      </c>
      <c r="AL23">
        <f>IF($F23="s-curve",$D23+($E23-$D23)*$I$2/(1+EXP($I$3*(COUNT($H$9:AL$9)+$I$4))),TREND($D23:$E23,$D$9:$E$9,AL$9))</f>
        <v>5.0000000000000001E-4</v>
      </c>
    </row>
    <row r="24" spans="1:38">
      <c r="A24" t="s">
        <v>13</v>
      </c>
      <c r="B24" t="s">
        <v>19</v>
      </c>
      <c r="C24" t="s">
        <v>1</v>
      </c>
      <c r="D24" s="20">
        <v>7.0000000000000007E-2</v>
      </c>
      <c r="E24" s="26">
        <v>4</v>
      </c>
      <c r="F24" s="6" t="str">
        <f>IF(D24=E24,"n/a",IF(OR(C24="battery electric vehicle",C24="natural gas vehicle",C24="plugin hybrid vehicle"),"s-curve","linear"))</f>
        <v>s-curve</v>
      </c>
      <c r="H24">
        <f>IF($F24="s-curve",$D24+($E24-$D24)*$I$2/(1+EXP($I$3*(COUNT($H$9:H$9)+$I$4))),TREND($D24:$E24,$D$9:$E$9,H$9))</f>
        <v>0.24940910118286383</v>
      </c>
      <c r="I24">
        <f>IF($F24="s-curve",$D24+($E24-$D24)*$I$2/(1+EXP($I$3*(COUNT($H$9:I$9)+$I$4))),TREND($D24:$E24,$D$9:$E$9,I$9))</f>
        <v>0.27888396604439047</v>
      </c>
      <c r="J24">
        <f>IF($F24="s-curve",$D24+($E24-$D24)*$I$2/(1+EXP($I$3*(COUNT($H$9:J$9)+$I$4))),TREND($D24:$E24,$D$9:$E$9,J$9))</f>
        <v>0.31288762241590307</v>
      </c>
      <c r="K24">
        <f>IF($F24="s-curve",$D24+($E24-$D24)*$I$2/(1+EXP($I$3*(COUNT($H$9:K$9)+$I$4))),TREND($D24:$E24,$D$9:$E$9,K$9))</f>
        <v>0.3520071410965428</v>
      </c>
      <c r="L24">
        <f>IF($F24="s-curve",$D24+($E24-$D24)*$I$2/(1+EXP($I$3*(COUNT($H$9:L$9)+$I$4))),TREND($D24:$E24,$D$9:$E$9,L$9))</f>
        <v>0.39686869722111495</v>
      </c>
      <c r="M24">
        <f>IF($F24="s-curve",$D24+($E24-$D24)*$I$2/(1+EXP($I$3*(COUNT($H$9:M$9)+$I$4))),TREND($D24:$E24,$D$9:$E$9,M$9))</f>
        <v>0.44812707892302284</v>
      </c>
      <c r="N24">
        <f>IF($F24="s-curve",$D24+($E24-$D24)*$I$2/(1+EXP($I$3*(COUNT($H$9:N$9)+$I$4))),TREND($D24:$E24,$D$9:$E$9,N$9))</f>
        <v>0.50644994917583175</v>
      </c>
      <c r="O24">
        <f>IF($F24="s-curve",$D24+($E24-$D24)*$I$2/(1+EXP($I$3*(COUNT($H$9:O$9)+$I$4))),TREND($D24:$E24,$D$9:$E$9,O$9))</f>
        <v>0.57249595563398969</v>
      </c>
      <c r="P24">
        <f>IF($F24="s-curve",$D24+($E24-$D24)*$I$2/(1+EXP($I$3*(COUNT($H$9:P$9)+$I$4))),TREND($D24:$E24,$D$9:$E$9,P$9))</f>
        <v>0.64688603541943279</v>
      </c>
      <c r="Q24">
        <f>IF($F24="s-curve",$D24+($E24-$D24)*$I$2/(1+EXP($I$3*(COUNT($H$9:Q$9)+$I$4))),TREND($D24:$E24,$D$9:$E$9,Q$9))</f>
        <v>0.73016774642367688</v>
      </c>
      <c r="R24">
        <f>IF($F24="s-curve",$D24+($E24-$D24)*$I$2/(1+EXP($I$3*(COUNT($H$9:R$9)+$I$4))),TREND($D24:$E24,$D$9:$E$9,R$9))</f>
        <v>0.82277321984656737</v>
      </c>
      <c r="S24">
        <f>IF($F24="s-curve",$D24+($E24-$D24)*$I$2/(1+EXP($I$3*(COUNT($H$9:S$9)+$I$4))),TREND($D24:$E24,$D$9:$E$9,S$9))</f>
        <v>0.92497237865716797</v>
      </c>
      <c r="T24">
        <f>IF($F24="s-curve",$D24+($E24-$D24)*$I$2/(1+EXP($I$3*(COUNT($H$9:T$9)+$I$4))),TREND($D24:$E24,$D$9:$E$9,T$9))</f>
        <v>1.036824344355634</v>
      </c>
      <c r="U24">
        <f>IF($F24="s-curve",$D24+($E24-$D24)*$I$2/(1+EXP($I$3*(COUNT($H$9:U$9)+$I$4))),TREND($D24:$E24,$D$9:$E$9,U$9))</f>
        <v>1.158131305861148</v>
      </c>
      <c r="V24">
        <f>IF($F24="s-curve",$D24+($E24-$D24)*$I$2/(1+EXP($I$3*(COUNT($H$9:V$9)+$I$4))),TREND($D24:$E24,$D$9:$E$9,V$9))</f>
        <v>1.2884002891684831</v>
      </c>
      <c r="W24">
        <f>IF($F24="s-curve",$D24+($E24-$D24)*$I$2/(1+EXP($I$3*(COUNT($H$9:W$9)+$I$4))),TREND($D24:$E24,$D$9:$E$9,W$9))</f>
        <v>1.4268188998171656</v>
      </c>
      <c r="X24">
        <f>IF($F24="s-curve",$D24+($E24-$D24)*$I$2/(1+EXP($I$3*(COUNT($H$9:X$9)+$I$4))),TREND($D24:$E24,$D$9:$E$9,X$9))</f>
        <v>1.5722508521568517</v>
      </c>
      <c r="Y24">
        <f>IF($F24="s-curve",$D24+($E24-$D24)*$I$2/(1+EXP($I$3*(COUNT($H$9:Y$9)+$I$4))),TREND($D24:$E24,$D$9:$E$9,Y$9))</f>
        <v>1.7232556890554149</v>
      </c>
      <c r="Z24">
        <f>IF($F24="s-curve",$D24+($E24-$D24)*$I$2/(1+EXP($I$3*(COUNT($H$9:Z$9)+$I$4))),TREND($D24:$E24,$D$9:$E$9,Z$9))</f>
        <v>1.8781345036966268</v>
      </c>
      <c r="AA24">
        <f>IF($F24="s-curve",$D24+($E24-$D24)*$I$2/(1+EXP($I$3*(COUNT($H$9:AA$9)+$I$4))),TREND($D24:$E24,$D$9:$E$9,AA$9))</f>
        <v>2.0350000000000001</v>
      </c>
      <c r="AB24">
        <f>IF($F24="s-curve",$D24+($E24-$D24)*$I$2/(1+EXP($I$3*(COUNT($H$9:AB$9)+$I$4))),TREND($D24:$E24,$D$9:$E$9,AB$9))</f>
        <v>2.191865496303373</v>
      </c>
      <c r="AC24">
        <f>IF($F24="s-curve",$D24+($E24-$D24)*$I$2/(1+EXP($I$3*(COUNT($H$9:AC$9)+$I$4))),TREND($D24:$E24,$D$9:$E$9,AC$9))</f>
        <v>2.3467443109445854</v>
      </c>
      <c r="AD24">
        <f>IF($F24="s-curve",$D24+($E24-$D24)*$I$2/(1+EXP($I$3*(COUNT($H$9:AD$9)+$I$4))),TREND($D24:$E24,$D$9:$E$9,AD$9))</f>
        <v>2.4977491478431482</v>
      </c>
      <c r="AE24">
        <f>IF($F24="s-curve",$D24+($E24-$D24)*$I$2/(1+EXP($I$3*(COUNT($H$9:AE$9)+$I$4))),TREND($D24:$E24,$D$9:$E$9,AE$9))</f>
        <v>2.6431811001828347</v>
      </c>
      <c r="AF24">
        <f>IF($F24="s-curve",$D24+($E24-$D24)*$I$2/(1+EXP($I$3*(COUNT($H$9:AF$9)+$I$4))),TREND($D24:$E24,$D$9:$E$9,AF$9))</f>
        <v>2.7815997108315167</v>
      </c>
      <c r="AG24">
        <f>IF($F24="s-curve",$D24+($E24-$D24)*$I$2/(1+EXP($I$3*(COUNT($H$9:AG$9)+$I$4))),TREND($D24:$E24,$D$9:$E$9,AG$9))</f>
        <v>2.9118686941388523</v>
      </c>
      <c r="AH24">
        <f>IF($F24="s-curve",$D24+($E24-$D24)*$I$2/(1+EXP($I$3*(COUNT($H$9:AH$9)+$I$4))),TREND($D24:$E24,$D$9:$E$9,AH$9))</f>
        <v>3.0331756556443663</v>
      </c>
      <c r="AI24">
        <f>IF($F24="s-curve",$D24+($E24-$D24)*$I$2/(1+EXP($I$3*(COUNT($H$9:AI$9)+$I$4))),TREND($D24:$E24,$D$9:$E$9,AI$9))</f>
        <v>3.1450276213428321</v>
      </c>
      <c r="AJ24">
        <f>IF($F24="s-curve",$D24+($E24-$D24)*$I$2/(1+EXP($I$3*(COUNT($H$9:AJ$9)+$I$4))),TREND($D24:$E24,$D$9:$E$9,AJ$9))</f>
        <v>3.2472267801534329</v>
      </c>
      <c r="AK24">
        <f>IF($F24="s-curve",$D24+($E24-$D24)*$I$2/(1+EXP($I$3*(COUNT($H$9:AK$9)+$I$4))),TREND($D24:$E24,$D$9:$E$9,AK$9))</f>
        <v>3.339832253576323</v>
      </c>
      <c r="AL24">
        <f>IF($F24="s-curve",$D24+($E24-$D24)*$I$2/(1+EXP($I$3*(COUNT($H$9:AL$9)+$I$4))),TREND($D24:$E24,$D$9:$E$9,AL$9))</f>
        <v>3.4231139645805673</v>
      </c>
    </row>
    <row r="25" spans="1:38">
      <c r="C25" t="s">
        <v>2</v>
      </c>
      <c r="D25" s="20">
        <f>MIN(1.25*INDEX('SYVbT-passenger'!$B$3:$H$3,MATCH(Data!$C11,'SYVbT-passenger'!$B$1:$H$1,0))/SUM('SYVbT-passenger'!$B$3:$H$3),1)</f>
        <v>2.155996206658648E-3</v>
      </c>
      <c r="E25" s="20">
        <f>D25</f>
        <v>2.155996206658648E-3</v>
      </c>
      <c r="F25" s="6" t="str">
        <f>IF(D25=E25,"n/a",IF(OR(C25="battery electric vehicle",C25="natural gas vehicle",C25="plugin hybrid vehicle"),"s-curve","linear"))</f>
        <v>n/a</v>
      </c>
      <c r="H25" s="20">
        <f t="shared" si="16"/>
        <v>2.155996206658648E-3</v>
      </c>
      <c r="I25">
        <f>IF($F25="s-curve",$D25+($E25-$D25)*$I$2/(1+EXP($I$3*(COUNT($H$9:I$9)+$I$4))),TREND($D25:$E25,$D$9:$E$9,I$9))</f>
        <v>2.155996206658648E-3</v>
      </c>
      <c r="J25">
        <f>IF($F25="s-curve",$D25+($E25-$D25)*$I$2/(1+EXP($I$3*(COUNT($H$9:J$9)+$I$4))),TREND($D25:$E25,$D$9:$E$9,J$9))</f>
        <v>2.155996206658648E-3</v>
      </c>
      <c r="K25">
        <f>IF($F25="s-curve",$D25+($E25-$D25)*$I$2/(1+EXP($I$3*(COUNT($H$9:K$9)+$I$4))),TREND($D25:$E25,$D$9:$E$9,K$9))</f>
        <v>2.155996206658648E-3</v>
      </c>
      <c r="L25">
        <f>IF($F25="s-curve",$D25+($E25-$D25)*$I$2/(1+EXP($I$3*(COUNT($H$9:L$9)+$I$4))),TREND($D25:$E25,$D$9:$E$9,L$9))</f>
        <v>2.155996206658648E-3</v>
      </c>
      <c r="M25">
        <f>IF($F25="s-curve",$D25+($E25-$D25)*$I$2/(1+EXP($I$3*(COUNT($H$9:M$9)+$I$4))),TREND($D25:$E25,$D$9:$E$9,M$9))</f>
        <v>2.155996206658648E-3</v>
      </c>
      <c r="N25">
        <f>IF($F25="s-curve",$D25+($E25-$D25)*$I$2/(1+EXP($I$3*(COUNT($H$9:N$9)+$I$4))),TREND($D25:$E25,$D$9:$E$9,N$9))</f>
        <v>2.155996206658648E-3</v>
      </c>
      <c r="O25">
        <f>IF($F25="s-curve",$D25+($E25-$D25)*$I$2/(1+EXP($I$3*(COUNT($H$9:O$9)+$I$4))),TREND($D25:$E25,$D$9:$E$9,O$9))</f>
        <v>2.155996206658648E-3</v>
      </c>
      <c r="P25">
        <f>IF($F25="s-curve",$D25+($E25-$D25)*$I$2/(1+EXP($I$3*(COUNT($H$9:P$9)+$I$4))),TREND($D25:$E25,$D$9:$E$9,P$9))</f>
        <v>2.155996206658648E-3</v>
      </c>
      <c r="Q25">
        <f>IF($F25="s-curve",$D25+($E25-$D25)*$I$2/(1+EXP($I$3*(COUNT($H$9:Q$9)+$I$4))),TREND($D25:$E25,$D$9:$E$9,Q$9))</f>
        <v>2.155996206658648E-3</v>
      </c>
      <c r="R25">
        <f>IF($F25="s-curve",$D25+($E25-$D25)*$I$2/(1+EXP($I$3*(COUNT($H$9:R$9)+$I$4))),TREND($D25:$E25,$D$9:$E$9,R$9))</f>
        <v>2.155996206658648E-3</v>
      </c>
      <c r="S25">
        <f>IF($F25="s-curve",$D25+($E25-$D25)*$I$2/(1+EXP($I$3*(COUNT($H$9:S$9)+$I$4))),TREND($D25:$E25,$D$9:$E$9,S$9))</f>
        <v>2.155996206658648E-3</v>
      </c>
      <c r="T25">
        <f>IF($F25="s-curve",$D25+($E25-$D25)*$I$2/(1+EXP($I$3*(COUNT($H$9:T$9)+$I$4))),TREND($D25:$E25,$D$9:$E$9,T$9))</f>
        <v>2.155996206658648E-3</v>
      </c>
      <c r="U25">
        <f>IF($F25="s-curve",$D25+($E25-$D25)*$I$2/(1+EXP($I$3*(COUNT($H$9:U$9)+$I$4))),TREND($D25:$E25,$D$9:$E$9,U$9))</f>
        <v>2.155996206658648E-3</v>
      </c>
      <c r="V25">
        <f>IF($F25="s-curve",$D25+($E25-$D25)*$I$2/(1+EXP($I$3*(COUNT($H$9:V$9)+$I$4))),TREND($D25:$E25,$D$9:$E$9,V$9))</f>
        <v>2.155996206658648E-3</v>
      </c>
      <c r="W25">
        <f>IF($F25="s-curve",$D25+($E25-$D25)*$I$2/(1+EXP($I$3*(COUNT($H$9:W$9)+$I$4))),TREND($D25:$E25,$D$9:$E$9,W$9))</f>
        <v>2.155996206658648E-3</v>
      </c>
      <c r="X25">
        <f>IF($F25="s-curve",$D25+($E25-$D25)*$I$2/(1+EXP($I$3*(COUNT($H$9:X$9)+$I$4))),TREND($D25:$E25,$D$9:$E$9,X$9))</f>
        <v>2.155996206658648E-3</v>
      </c>
      <c r="Y25">
        <f>IF($F25="s-curve",$D25+($E25-$D25)*$I$2/(1+EXP($I$3*(COUNT($H$9:Y$9)+$I$4))),TREND($D25:$E25,$D$9:$E$9,Y$9))</f>
        <v>2.155996206658648E-3</v>
      </c>
      <c r="Z25">
        <f>IF($F25="s-curve",$D25+($E25-$D25)*$I$2/(1+EXP($I$3*(COUNT($H$9:Z$9)+$I$4))),TREND($D25:$E25,$D$9:$E$9,Z$9))</f>
        <v>2.155996206658648E-3</v>
      </c>
      <c r="AA25">
        <f>IF($F25="s-curve",$D25+($E25-$D25)*$I$2/(1+EXP($I$3*(COUNT($H$9:AA$9)+$I$4))),TREND($D25:$E25,$D$9:$E$9,AA$9))</f>
        <v>2.155996206658648E-3</v>
      </c>
      <c r="AB25">
        <f>IF($F25="s-curve",$D25+($E25-$D25)*$I$2/(1+EXP($I$3*(COUNT($H$9:AB$9)+$I$4))),TREND($D25:$E25,$D$9:$E$9,AB$9))</f>
        <v>2.155996206658648E-3</v>
      </c>
      <c r="AC25">
        <f>IF($F25="s-curve",$D25+($E25-$D25)*$I$2/(1+EXP($I$3*(COUNT($H$9:AC$9)+$I$4))),TREND($D25:$E25,$D$9:$E$9,AC$9))</f>
        <v>2.155996206658648E-3</v>
      </c>
      <c r="AD25">
        <f>IF($F25="s-curve",$D25+($E25-$D25)*$I$2/(1+EXP($I$3*(COUNT($H$9:AD$9)+$I$4))),TREND($D25:$E25,$D$9:$E$9,AD$9))</f>
        <v>2.155996206658648E-3</v>
      </c>
      <c r="AE25">
        <f>IF($F25="s-curve",$D25+($E25-$D25)*$I$2/(1+EXP($I$3*(COUNT($H$9:AE$9)+$I$4))),TREND($D25:$E25,$D$9:$E$9,AE$9))</f>
        <v>2.155996206658648E-3</v>
      </c>
      <c r="AF25">
        <f>IF($F25="s-curve",$D25+($E25-$D25)*$I$2/(1+EXP($I$3*(COUNT($H$9:AF$9)+$I$4))),TREND($D25:$E25,$D$9:$E$9,AF$9))</f>
        <v>2.155996206658648E-3</v>
      </c>
      <c r="AG25">
        <f>IF($F25="s-curve",$D25+($E25-$D25)*$I$2/(1+EXP($I$3*(COUNT($H$9:AG$9)+$I$4))),TREND($D25:$E25,$D$9:$E$9,AG$9))</f>
        <v>2.155996206658648E-3</v>
      </c>
      <c r="AH25">
        <f>IF($F25="s-curve",$D25+($E25-$D25)*$I$2/(1+EXP($I$3*(COUNT($H$9:AH$9)+$I$4))),TREND($D25:$E25,$D$9:$E$9,AH$9))</f>
        <v>2.155996206658648E-3</v>
      </c>
      <c r="AI25">
        <f>IF($F25="s-curve",$D25+($E25-$D25)*$I$2/(1+EXP($I$3*(COUNT($H$9:AI$9)+$I$4))),TREND($D25:$E25,$D$9:$E$9,AI$9))</f>
        <v>2.155996206658648E-3</v>
      </c>
      <c r="AJ25">
        <f>IF($F25="s-curve",$D25+($E25-$D25)*$I$2/(1+EXP($I$3*(COUNT($H$9:AJ$9)+$I$4))),TREND($D25:$E25,$D$9:$E$9,AJ$9))</f>
        <v>2.155996206658648E-3</v>
      </c>
      <c r="AK25">
        <f>IF($F25="s-curve",$D25+($E25-$D25)*$I$2/(1+EXP($I$3*(COUNT($H$9:AK$9)+$I$4))),TREND($D25:$E25,$D$9:$E$9,AK$9))</f>
        <v>2.155996206658648E-3</v>
      </c>
      <c r="AL25">
        <f>IF($F25="s-curve",$D25+($E25-$D25)*$I$2/(1+EXP($I$3*(COUNT($H$9:AL$9)+$I$4))),TREND($D25:$E25,$D$9:$E$9,AL$9))</f>
        <v>2.155996206658648E-3</v>
      </c>
    </row>
    <row r="26" spans="1:38">
      <c r="C26" t="s">
        <v>3</v>
      </c>
      <c r="D26" s="20">
        <v>1</v>
      </c>
      <c r="E26" s="20">
        <f t="shared" ref="E26:E29" si="18">D26</f>
        <v>1</v>
      </c>
      <c r="F26" s="6" t="str">
        <f>IF(D26=E26,"n/a",IF(OR(C26="battery electric vehicle",C26="natural gas vehicle",C26="plugin hybrid vehicle"),"s-curve","linear"))</f>
        <v>n/a</v>
      </c>
      <c r="H26" s="20">
        <f t="shared" si="16"/>
        <v>1</v>
      </c>
      <c r="I26">
        <f>IF($F26="s-curve",$D26+($E26-$D26)*$I$2/(1+EXP($I$3*(COUNT($H$9:I$9)+$I$4))),TREND($D26:$E26,$D$9:$E$9,I$9))</f>
        <v>1</v>
      </c>
      <c r="J26">
        <f>IF($F26="s-curve",$D26+($E26-$D26)*$I$2/(1+EXP($I$3*(COUNT($H$9:J$9)+$I$4))),TREND($D26:$E26,$D$9:$E$9,J$9))</f>
        <v>1</v>
      </c>
      <c r="K26">
        <f>IF($F26="s-curve",$D26+($E26-$D26)*$I$2/(1+EXP($I$3*(COUNT($H$9:K$9)+$I$4))),TREND($D26:$E26,$D$9:$E$9,K$9))</f>
        <v>1</v>
      </c>
      <c r="L26">
        <f>IF($F26="s-curve",$D26+($E26-$D26)*$I$2/(1+EXP($I$3*(COUNT($H$9:L$9)+$I$4))),TREND($D26:$E26,$D$9:$E$9,L$9))</f>
        <v>1</v>
      </c>
      <c r="M26">
        <f>IF($F26="s-curve",$D26+($E26-$D26)*$I$2/(1+EXP($I$3*(COUNT($H$9:M$9)+$I$4))),TREND($D26:$E26,$D$9:$E$9,M$9))</f>
        <v>1</v>
      </c>
      <c r="N26">
        <f>IF($F26="s-curve",$D26+($E26-$D26)*$I$2/(1+EXP($I$3*(COUNT($H$9:N$9)+$I$4))),TREND($D26:$E26,$D$9:$E$9,N$9))</f>
        <v>1</v>
      </c>
      <c r="O26">
        <f>IF($F26="s-curve",$D26+($E26-$D26)*$I$2/(1+EXP($I$3*(COUNT($H$9:O$9)+$I$4))),TREND($D26:$E26,$D$9:$E$9,O$9))</f>
        <v>1</v>
      </c>
      <c r="P26">
        <f>IF($F26="s-curve",$D26+($E26-$D26)*$I$2/(1+EXP($I$3*(COUNT($H$9:P$9)+$I$4))),TREND($D26:$E26,$D$9:$E$9,P$9))</f>
        <v>1</v>
      </c>
      <c r="Q26">
        <f>IF($F26="s-curve",$D26+($E26-$D26)*$I$2/(1+EXP($I$3*(COUNT($H$9:Q$9)+$I$4))),TREND($D26:$E26,$D$9:$E$9,Q$9))</f>
        <v>1</v>
      </c>
      <c r="R26">
        <f>IF($F26="s-curve",$D26+($E26-$D26)*$I$2/(1+EXP($I$3*(COUNT($H$9:R$9)+$I$4))),TREND($D26:$E26,$D$9:$E$9,R$9))</f>
        <v>1</v>
      </c>
      <c r="S26">
        <f>IF($F26="s-curve",$D26+($E26-$D26)*$I$2/(1+EXP($I$3*(COUNT($H$9:S$9)+$I$4))),TREND($D26:$E26,$D$9:$E$9,S$9))</f>
        <v>1</v>
      </c>
      <c r="T26">
        <f>IF($F26="s-curve",$D26+($E26-$D26)*$I$2/(1+EXP($I$3*(COUNT($H$9:T$9)+$I$4))),TREND($D26:$E26,$D$9:$E$9,T$9))</f>
        <v>1</v>
      </c>
      <c r="U26">
        <f>IF($F26="s-curve",$D26+($E26-$D26)*$I$2/(1+EXP($I$3*(COUNT($H$9:U$9)+$I$4))),TREND($D26:$E26,$D$9:$E$9,U$9))</f>
        <v>1</v>
      </c>
      <c r="V26">
        <f>IF($F26="s-curve",$D26+($E26-$D26)*$I$2/(1+EXP($I$3*(COUNT($H$9:V$9)+$I$4))),TREND($D26:$E26,$D$9:$E$9,V$9))</f>
        <v>1</v>
      </c>
      <c r="W26">
        <f>IF($F26="s-curve",$D26+($E26-$D26)*$I$2/(1+EXP($I$3*(COUNT($H$9:W$9)+$I$4))),TREND($D26:$E26,$D$9:$E$9,W$9))</f>
        <v>1</v>
      </c>
      <c r="X26">
        <f>IF($F26="s-curve",$D26+($E26-$D26)*$I$2/(1+EXP($I$3*(COUNT($H$9:X$9)+$I$4))),TREND($D26:$E26,$D$9:$E$9,X$9))</f>
        <v>1</v>
      </c>
      <c r="Y26">
        <f>IF($F26="s-curve",$D26+($E26-$D26)*$I$2/(1+EXP($I$3*(COUNT($H$9:Y$9)+$I$4))),TREND($D26:$E26,$D$9:$E$9,Y$9))</f>
        <v>1</v>
      </c>
      <c r="Z26">
        <f>IF($F26="s-curve",$D26+($E26-$D26)*$I$2/(1+EXP($I$3*(COUNT($H$9:Z$9)+$I$4))),TREND($D26:$E26,$D$9:$E$9,Z$9))</f>
        <v>1</v>
      </c>
      <c r="AA26">
        <f>IF($F26="s-curve",$D26+($E26-$D26)*$I$2/(1+EXP($I$3*(COUNT($H$9:AA$9)+$I$4))),TREND($D26:$E26,$D$9:$E$9,AA$9))</f>
        <v>1</v>
      </c>
      <c r="AB26">
        <f>IF($F26="s-curve",$D26+($E26-$D26)*$I$2/(1+EXP($I$3*(COUNT($H$9:AB$9)+$I$4))),TREND($D26:$E26,$D$9:$E$9,AB$9))</f>
        <v>1</v>
      </c>
      <c r="AC26">
        <f>IF($F26="s-curve",$D26+($E26-$D26)*$I$2/(1+EXP($I$3*(COUNT($H$9:AC$9)+$I$4))),TREND($D26:$E26,$D$9:$E$9,AC$9))</f>
        <v>1</v>
      </c>
      <c r="AD26">
        <f>IF($F26="s-curve",$D26+($E26-$D26)*$I$2/(1+EXP($I$3*(COUNT($H$9:AD$9)+$I$4))),TREND($D26:$E26,$D$9:$E$9,AD$9))</f>
        <v>1</v>
      </c>
      <c r="AE26">
        <f>IF($F26="s-curve",$D26+($E26-$D26)*$I$2/(1+EXP($I$3*(COUNT($H$9:AE$9)+$I$4))),TREND($D26:$E26,$D$9:$E$9,AE$9))</f>
        <v>1</v>
      </c>
      <c r="AF26">
        <f>IF($F26="s-curve",$D26+($E26-$D26)*$I$2/(1+EXP($I$3*(COUNT($H$9:AF$9)+$I$4))),TREND($D26:$E26,$D$9:$E$9,AF$9))</f>
        <v>1</v>
      </c>
      <c r="AG26">
        <f>IF($F26="s-curve",$D26+($E26-$D26)*$I$2/(1+EXP($I$3*(COUNT($H$9:AG$9)+$I$4))),TREND($D26:$E26,$D$9:$E$9,AG$9))</f>
        <v>1</v>
      </c>
      <c r="AH26">
        <f>IF($F26="s-curve",$D26+($E26-$D26)*$I$2/(1+EXP($I$3*(COUNT($H$9:AH$9)+$I$4))),TREND($D26:$E26,$D$9:$E$9,AH$9))</f>
        <v>1</v>
      </c>
      <c r="AI26">
        <f>IF($F26="s-curve",$D26+($E26-$D26)*$I$2/(1+EXP($I$3*(COUNT($H$9:AI$9)+$I$4))),TREND($D26:$E26,$D$9:$E$9,AI$9))</f>
        <v>1</v>
      </c>
      <c r="AJ26">
        <f>IF($F26="s-curve",$D26+($E26-$D26)*$I$2/(1+EXP($I$3*(COUNT($H$9:AJ$9)+$I$4))),TREND($D26:$E26,$D$9:$E$9,AJ$9))</f>
        <v>1</v>
      </c>
      <c r="AK26">
        <f>IF($F26="s-curve",$D26+($E26-$D26)*$I$2/(1+EXP($I$3*(COUNT($H$9:AK$9)+$I$4))),TREND($D26:$E26,$D$9:$E$9,AK$9))</f>
        <v>1</v>
      </c>
      <c r="AL26">
        <f>IF($F26="s-curve",$D26+($E26-$D26)*$I$2/(1+EXP($I$3*(COUNT($H$9:AL$9)+$I$4))),TREND($D26:$E26,$D$9:$E$9,AL$9))</f>
        <v>1</v>
      </c>
    </row>
    <row r="27" spans="1:38">
      <c r="C27" t="s">
        <v>4</v>
      </c>
      <c r="D27" s="20">
        <v>1</v>
      </c>
      <c r="E27" s="20">
        <f t="shared" si="18"/>
        <v>1</v>
      </c>
      <c r="F27" s="6" t="str">
        <f>IF(D27=E27,"n/a",IF(OR(C27="battery electric vehicle",C27="natural gas vehicle",C27="plugin hybrid vehicle"),"s-curve","linear"))</f>
        <v>n/a</v>
      </c>
      <c r="H27" s="20">
        <f t="shared" si="16"/>
        <v>1</v>
      </c>
      <c r="I27">
        <f>IF($F27="s-curve",$D27+($E27-$D27)*$I$2/(1+EXP($I$3*(COUNT($H$9:I$9)+$I$4))),TREND($D27:$E27,$D$9:$E$9,I$9))</f>
        <v>1</v>
      </c>
      <c r="J27">
        <f>IF($F27="s-curve",$D27+($E27-$D27)*$I$2/(1+EXP($I$3*(COUNT($H$9:J$9)+$I$4))),TREND($D27:$E27,$D$9:$E$9,J$9))</f>
        <v>1</v>
      </c>
      <c r="K27">
        <f>IF($F27="s-curve",$D27+($E27-$D27)*$I$2/(1+EXP($I$3*(COUNT($H$9:K$9)+$I$4))),TREND($D27:$E27,$D$9:$E$9,K$9))</f>
        <v>1</v>
      </c>
      <c r="L27">
        <f>IF($F27="s-curve",$D27+($E27-$D27)*$I$2/(1+EXP($I$3*(COUNT($H$9:L$9)+$I$4))),TREND($D27:$E27,$D$9:$E$9,L$9))</f>
        <v>1</v>
      </c>
      <c r="M27">
        <f>IF($F27="s-curve",$D27+($E27-$D27)*$I$2/(1+EXP($I$3*(COUNT($H$9:M$9)+$I$4))),TREND($D27:$E27,$D$9:$E$9,M$9))</f>
        <v>1</v>
      </c>
      <c r="N27">
        <f>IF($F27="s-curve",$D27+($E27-$D27)*$I$2/(1+EXP($I$3*(COUNT($H$9:N$9)+$I$4))),TREND($D27:$E27,$D$9:$E$9,N$9))</f>
        <v>1</v>
      </c>
      <c r="O27">
        <f>IF($F27="s-curve",$D27+($E27-$D27)*$I$2/(1+EXP($I$3*(COUNT($H$9:O$9)+$I$4))),TREND($D27:$E27,$D$9:$E$9,O$9))</f>
        <v>1</v>
      </c>
      <c r="P27">
        <f>IF($F27="s-curve",$D27+($E27-$D27)*$I$2/(1+EXP($I$3*(COUNT($H$9:P$9)+$I$4))),TREND($D27:$E27,$D$9:$E$9,P$9))</f>
        <v>1</v>
      </c>
      <c r="Q27">
        <f>IF($F27="s-curve",$D27+($E27-$D27)*$I$2/(1+EXP($I$3*(COUNT($H$9:Q$9)+$I$4))),TREND($D27:$E27,$D$9:$E$9,Q$9))</f>
        <v>1</v>
      </c>
      <c r="R27">
        <f>IF($F27="s-curve",$D27+($E27-$D27)*$I$2/(1+EXP($I$3*(COUNT($H$9:R$9)+$I$4))),TREND($D27:$E27,$D$9:$E$9,R$9))</f>
        <v>1</v>
      </c>
      <c r="S27">
        <f>IF($F27="s-curve",$D27+($E27-$D27)*$I$2/(1+EXP($I$3*(COUNT($H$9:S$9)+$I$4))),TREND($D27:$E27,$D$9:$E$9,S$9))</f>
        <v>1</v>
      </c>
      <c r="T27">
        <f>IF($F27="s-curve",$D27+($E27-$D27)*$I$2/(1+EXP($I$3*(COUNT($H$9:T$9)+$I$4))),TREND($D27:$E27,$D$9:$E$9,T$9))</f>
        <v>1</v>
      </c>
      <c r="U27">
        <f>IF($F27="s-curve",$D27+($E27-$D27)*$I$2/(1+EXP($I$3*(COUNT($H$9:U$9)+$I$4))),TREND($D27:$E27,$D$9:$E$9,U$9))</f>
        <v>1</v>
      </c>
      <c r="V27">
        <f>IF($F27="s-curve",$D27+($E27-$D27)*$I$2/(1+EXP($I$3*(COUNT($H$9:V$9)+$I$4))),TREND($D27:$E27,$D$9:$E$9,V$9))</f>
        <v>1</v>
      </c>
      <c r="W27">
        <f>IF($F27="s-curve",$D27+($E27-$D27)*$I$2/(1+EXP($I$3*(COUNT($H$9:W$9)+$I$4))),TREND($D27:$E27,$D$9:$E$9,W$9))</f>
        <v>1</v>
      </c>
      <c r="X27">
        <f>IF($F27="s-curve",$D27+($E27-$D27)*$I$2/(1+EXP($I$3*(COUNT($H$9:X$9)+$I$4))),TREND($D27:$E27,$D$9:$E$9,X$9))</f>
        <v>1</v>
      </c>
      <c r="Y27">
        <f>IF($F27="s-curve",$D27+($E27-$D27)*$I$2/(1+EXP($I$3*(COUNT($H$9:Y$9)+$I$4))),TREND($D27:$E27,$D$9:$E$9,Y$9))</f>
        <v>1</v>
      </c>
      <c r="Z27">
        <f>IF($F27="s-curve",$D27+($E27-$D27)*$I$2/(1+EXP($I$3*(COUNT($H$9:Z$9)+$I$4))),TREND($D27:$E27,$D$9:$E$9,Z$9))</f>
        <v>1</v>
      </c>
      <c r="AA27">
        <f>IF($F27="s-curve",$D27+($E27-$D27)*$I$2/(1+EXP($I$3*(COUNT($H$9:AA$9)+$I$4))),TREND($D27:$E27,$D$9:$E$9,AA$9))</f>
        <v>1</v>
      </c>
      <c r="AB27">
        <f>IF($F27="s-curve",$D27+($E27-$D27)*$I$2/(1+EXP($I$3*(COUNT($H$9:AB$9)+$I$4))),TREND($D27:$E27,$D$9:$E$9,AB$9))</f>
        <v>1</v>
      </c>
      <c r="AC27">
        <f>IF($F27="s-curve",$D27+($E27-$D27)*$I$2/(1+EXP($I$3*(COUNT($H$9:AC$9)+$I$4))),TREND($D27:$E27,$D$9:$E$9,AC$9))</f>
        <v>1</v>
      </c>
      <c r="AD27">
        <f>IF($F27="s-curve",$D27+($E27-$D27)*$I$2/(1+EXP($I$3*(COUNT($H$9:AD$9)+$I$4))),TREND($D27:$E27,$D$9:$E$9,AD$9))</f>
        <v>1</v>
      </c>
      <c r="AE27">
        <f>IF($F27="s-curve",$D27+($E27-$D27)*$I$2/(1+EXP($I$3*(COUNT($H$9:AE$9)+$I$4))),TREND($D27:$E27,$D$9:$E$9,AE$9))</f>
        <v>1</v>
      </c>
      <c r="AF27">
        <f>IF($F27="s-curve",$D27+($E27-$D27)*$I$2/(1+EXP($I$3*(COUNT($H$9:AF$9)+$I$4))),TREND($D27:$E27,$D$9:$E$9,AF$9))</f>
        <v>1</v>
      </c>
      <c r="AG27">
        <f>IF($F27="s-curve",$D27+($E27-$D27)*$I$2/(1+EXP($I$3*(COUNT($H$9:AG$9)+$I$4))),TREND($D27:$E27,$D$9:$E$9,AG$9))</f>
        <v>1</v>
      </c>
      <c r="AH27">
        <f>IF($F27="s-curve",$D27+($E27-$D27)*$I$2/(1+EXP($I$3*(COUNT($H$9:AH$9)+$I$4))),TREND($D27:$E27,$D$9:$E$9,AH$9))</f>
        <v>1</v>
      </c>
      <c r="AI27">
        <f>IF($F27="s-curve",$D27+($E27-$D27)*$I$2/(1+EXP($I$3*(COUNT($H$9:AI$9)+$I$4))),TREND($D27:$E27,$D$9:$E$9,AI$9))</f>
        <v>1</v>
      </c>
      <c r="AJ27">
        <f>IF($F27="s-curve",$D27+($E27-$D27)*$I$2/(1+EXP($I$3*(COUNT($H$9:AJ$9)+$I$4))),TREND($D27:$E27,$D$9:$E$9,AJ$9))</f>
        <v>1</v>
      </c>
      <c r="AK27">
        <f>IF($F27="s-curve",$D27+($E27-$D27)*$I$2/(1+EXP($I$3*(COUNT($H$9:AK$9)+$I$4))),TREND($D27:$E27,$D$9:$E$9,AK$9))</f>
        <v>1</v>
      </c>
      <c r="AL27">
        <f>IF($F27="s-curve",$D27+($E27-$D27)*$I$2/(1+EXP($I$3*(COUNT($H$9:AL$9)+$I$4))),TREND($D27:$E27,$D$9:$E$9,AL$9))</f>
        <v>1</v>
      </c>
    </row>
    <row r="28" spans="1:38">
      <c r="C28" t="s">
        <v>5</v>
      </c>
      <c r="D28" s="20">
        <v>0.1</v>
      </c>
      <c r="E28" s="20">
        <f t="shared" si="18"/>
        <v>0.1</v>
      </c>
      <c r="F28" s="6" t="str">
        <f>IF(D28=E28,"n/a",IF(OR(C28="battery electric vehicle",C28="natural gas vehicle",C28="plugin hybrid vehicle"),"s-curve","linear"))</f>
        <v>n/a</v>
      </c>
      <c r="H28" s="20">
        <f t="shared" si="16"/>
        <v>0.1</v>
      </c>
      <c r="I28">
        <f>IF($F28="s-curve",$D28+($E28-$D28)*$I$2/(1+EXP($I$3*(COUNT($H$9:I$9)+$I$4))),TREND($D28:$E28,$D$9:$E$9,I$9))</f>
        <v>0.1</v>
      </c>
      <c r="J28">
        <f>IF($F28="s-curve",$D28+($E28-$D28)*$I$2/(1+EXP($I$3*(COUNT($H$9:J$9)+$I$4))),TREND($D28:$E28,$D$9:$E$9,J$9))</f>
        <v>0.1</v>
      </c>
      <c r="K28">
        <f>IF($F28="s-curve",$D28+($E28-$D28)*$I$2/(1+EXP($I$3*(COUNT($H$9:K$9)+$I$4))),TREND($D28:$E28,$D$9:$E$9,K$9))</f>
        <v>0.1</v>
      </c>
      <c r="L28">
        <f>IF($F28="s-curve",$D28+($E28-$D28)*$I$2/(1+EXP($I$3*(COUNT($H$9:L$9)+$I$4))),TREND($D28:$E28,$D$9:$E$9,L$9))</f>
        <v>0.1</v>
      </c>
      <c r="M28">
        <f>IF($F28="s-curve",$D28+($E28-$D28)*$I$2/(1+EXP($I$3*(COUNT($H$9:M$9)+$I$4))),TREND($D28:$E28,$D$9:$E$9,M$9))</f>
        <v>0.1</v>
      </c>
      <c r="N28">
        <f>IF($F28="s-curve",$D28+($E28-$D28)*$I$2/(1+EXP($I$3*(COUNT($H$9:N$9)+$I$4))),TREND($D28:$E28,$D$9:$E$9,N$9))</f>
        <v>0.1</v>
      </c>
      <c r="O28">
        <f>IF($F28="s-curve",$D28+($E28-$D28)*$I$2/(1+EXP($I$3*(COUNT($H$9:O$9)+$I$4))),TREND($D28:$E28,$D$9:$E$9,O$9))</f>
        <v>0.1</v>
      </c>
      <c r="P28">
        <f>IF($F28="s-curve",$D28+($E28-$D28)*$I$2/(1+EXP($I$3*(COUNT($H$9:P$9)+$I$4))),TREND($D28:$E28,$D$9:$E$9,P$9))</f>
        <v>0.1</v>
      </c>
      <c r="Q28">
        <f>IF($F28="s-curve",$D28+($E28-$D28)*$I$2/(1+EXP($I$3*(COUNT($H$9:Q$9)+$I$4))),TREND($D28:$E28,$D$9:$E$9,Q$9))</f>
        <v>0.1</v>
      </c>
      <c r="R28">
        <f>IF($F28="s-curve",$D28+($E28-$D28)*$I$2/(1+EXP($I$3*(COUNT($H$9:R$9)+$I$4))),TREND($D28:$E28,$D$9:$E$9,R$9))</f>
        <v>0.1</v>
      </c>
      <c r="S28">
        <f>IF($F28="s-curve",$D28+($E28-$D28)*$I$2/(1+EXP($I$3*(COUNT($H$9:S$9)+$I$4))),TREND($D28:$E28,$D$9:$E$9,S$9))</f>
        <v>0.1</v>
      </c>
      <c r="T28">
        <f>IF($F28="s-curve",$D28+($E28-$D28)*$I$2/(1+EXP($I$3*(COUNT($H$9:T$9)+$I$4))),TREND($D28:$E28,$D$9:$E$9,T$9))</f>
        <v>0.1</v>
      </c>
      <c r="U28">
        <f>IF($F28="s-curve",$D28+($E28-$D28)*$I$2/(1+EXP($I$3*(COUNT($H$9:U$9)+$I$4))),TREND($D28:$E28,$D$9:$E$9,U$9))</f>
        <v>0.1</v>
      </c>
      <c r="V28">
        <f>IF($F28="s-curve",$D28+($E28-$D28)*$I$2/(1+EXP($I$3*(COUNT($H$9:V$9)+$I$4))),TREND($D28:$E28,$D$9:$E$9,V$9))</f>
        <v>0.1</v>
      </c>
      <c r="W28">
        <f>IF($F28="s-curve",$D28+($E28-$D28)*$I$2/(1+EXP($I$3*(COUNT($H$9:W$9)+$I$4))),TREND($D28:$E28,$D$9:$E$9,W$9))</f>
        <v>0.1</v>
      </c>
      <c r="X28">
        <f>IF($F28="s-curve",$D28+($E28-$D28)*$I$2/(1+EXP($I$3*(COUNT($H$9:X$9)+$I$4))),TREND($D28:$E28,$D$9:$E$9,X$9))</f>
        <v>0.1</v>
      </c>
      <c r="Y28">
        <f>IF($F28="s-curve",$D28+($E28-$D28)*$I$2/(1+EXP($I$3*(COUNT($H$9:Y$9)+$I$4))),TREND($D28:$E28,$D$9:$E$9,Y$9))</f>
        <v>0.1</v>
      </c>
      <c r="Z28">
        <f>IF($F28="s-curve",$D28+($E28-$D28)*$I$2/(1+EXP($I$3*(COUNT($H$9:Z$9)+$I$4))),TREND($D28:$E28,$D$9:$E$9,Z$9))</f>
        <v>0.1</v>
      </c>
      <c r="AA28">
        <f>IF($F28="s-curve",$D28+($E28-$D28)*$I$2/(1+EXP($I$3*(COUNT($H$9:AA$9)+$I$4))),TREND($D28:$E28,$D$9:$E$9,AA$9))</f>
        <v>0.1</v>
      </c>
      <c r="AB28">
        <f>IF($F28="s-curve",$D28+($E28-$D28)*$I$2/(1+EXP($I$3*(COUNT($H$9:AB$9)+$I$4))),TREND($D28:$E28,$D$9:$E$9,AB$9))</f>
        <v>0.1</v>
      </c>
      <c r="AC28">
        <f>IF($F28="s-curve",$D28+($E28-$D28)*$I$2/(1+EXP($I$3*(COUNT($H$9:AC$9)+$I$4))),TREND($D28:$E28,$D$9:$E$9,AC$9))</f>
        <v>0.1</v>
      </c>
      <c r="AD28">
        <f>IF($F28="s-curve",$D28+($E28-$D28)*$I$2/(1+EXP($I$3*(COUNT($H$9:AD$9)+$I$4))),TREND($D28:$E28,$D$9:$E$9,AD$9))</f>
        <v>0.1</v>
      </c>
      <c r="AE28">
        <f>IF($F28="s-curve",$D28+($E28-$D28)*$I$2/(1+EXP($I$3*(COUNT($H$9:AE$9)+$I$4))),TREND($D28:$E28,$D$9:$E$9,AE$9))</f>
        <v>0.1</v>
      </c>
      <c r="AF28">
        <f>IF($F28="s-curve",$D28+($E28-$D28)*$I$2/(1+EXP($I$3*(COUNT($H$9:AF$9)+$I$4))),TREND($D28:$E28,$D$9:$E$9,AF$9))</f>
        <v>0.1</v>
      </c>
      <c r="AG28">
        <f>IF($F28="s-curve",$D28+($E28-$D28)*$I$2/(1+EXP($I$3*(COUNT($H$9:AG$9)+$I$4))),TREND($D28:$E28,$D$9:$E$9,AG$9))</f>
        <v>0.1</v>
      </c>
      <c r="AH28">
        <f>IF($F28="s-curve",$D28+($E28-$D28)*$I$2/(1+EXP($I$3*(COUNT($H$9:AH$9)+$I$4))),TREND($D28:$E28,$D$9:$E$9,AH$9))</f>
        <v>0.1</v>
      </c>
      <c r="AI28">
        <f>IF($F28="s-curve",$D28+($E28-$D28)*$I$2/(1+EXP($I$3*(COUNT($H$9:AI$9)+$I$4))),TREND($D28:$E28,$D$9:$E$9,AI$9))</f>
        <v>0.1</v>
      </c>
      <c r="AJ28">
        <f>IF($F28="s-curve",$D28+($E28-$D28)*$I$2/(1+EXP($I$3*(COUNT($H$9:AJ$9)+$I$4))),TREND($D28:$E28,$D$9:$E$9,AJ$9))</f>
        <v>0.1</v>
      </c>
      <c r="AK28">
        <f>IF($F28="s-curve",$D28+($E28-$D28)*$I$2/(1+EXP($I$3*(COUNT($H$9:AK$9)+$I$4))),TREND($D28:$E28,$D$9:$E$9,AK$9))</f>
        <v>0.1</v>
      </c>
      <c r="AL28">
        <f>IF($F28="s-curve",$D28+($E28-$D28)*$I$2/(1+EXP($I$3*(COUNT($H$9:AL$9)+$I$4))),TREND($D28:$E28,$D$9:$E$9,AL$9))</f>
        <v>0.1</v>
      </c>
    </row>
    <row r="29" spans="1:38">
      <c r="C29" t="s">
        <v>78</v>
      </c>
      <c r="D29" s="20">
        <v>0.3</v>
      </c>
      <c r="E29" s="20">
        <f t="shared" si="18"/>
        <v>0.3</v>
      </c>
      <c r="F29" s="6" t="str">
        <f>IF(D29=E29,"n/a",IF(OR(C29="battery electric vehicle",C29="natural gas vehicle",C29="plugin hybrid vehicle",C29="hydrogen vehicle"),"s-curve","linear"))</f>
        <v>n/a</v>
      </c>
      <c r="H29" s="20">
        <f t="shared" si="16"/>
        <v>0.3</v>
      </c>
      <c r="I29">
        <f>IF($F29="s-curve",$D29+($E29-$D29)*$I$2/(1+EXP($I$3*(COUNT($H$9:I$9)+$I$4))),TREND($D29:$E29,$D$9:$E$9,I$9))</f>
        <v>0.3</v>
      </c>
      <c r="J29">
        <f>IF($F29="s-curve",$D29+($E29-$D29)*$I$2/(1+EXP($I$3*(COUNT($H$9:J$9)+$I$4))),TREND($D29:$E29,$D$9:$E$9,J$9))</f>
        <v>0.3</v>
      </c>
      <c r="K29">
        <f>IF($F29="s-curve",$D29+($E29-$D29)*$I$2/(1+EXP($I$3*(COUNT($H$9:K$9)+$I$4))),TREND($D29:$E29,$D$9:$E$9,K$9))</f>
        <v>0.3</v>
      </c>
      <c r="L29">
        <f>IF($F29="s-curve",$D29+($E29-$D29)*$I$2/(1+EXP($I$3*(COUNT($H$9:L$9)+$I$4))),TREND($D29:$E29,$D$9:$E$9,L$9))</f>
        <v>0.3</v>
      </c>
      <c r="M29">
        <f>IF($F29="s-curve",$D29+($E29-$D29)*$I$2/(1+EXP($I$3*(COUNT($H$9:M$9)+$I$4))),TREND($D29:$E29,$D$9:$E$9,M$9))</f>
        <v>0.3</v>
      </c>
      <c r="N29">
        <f>IF($F29="s-curve",$D29+($E29-$D29)*$I$2/(1+EXP($I$3*(COUNT($H$9:N$9)+$I$4))),TREND($D29:$E29,$D$9:$E$9,N$9))</f>
        <v>0.3</v>
      </c>
      <c r="O29">
        <f>IF($F29="s-curve",$D29+($E29-$D29)*$I$2/(1+EXP($I$3*(COUNT($H$9:O$9)+$I$4))),TREND($D29:$E29,$D$9:$E$9,O$9))</f>
        <v>0.3</v>
      </c>
      <c r="P29">
        <f>IF($F29="s-curve",$D29+($E29-$D29)*$I$2/(1+EXP($I$3*(COUNT($H$9:P$9)+$I$4))),TREND($D29:$E29,$D$9:$E$9,P$9))</f>
        <v>0.3</v>
      </c>
      <c r="Q29">
        <f>IF($F29="s-curve",$D29+($E29-$D29)*$I$2/(1+EXP($I$3*(COUNT($H$9:Q$9)+$I$4))),TREND($D29:$E29,$D$9:$E$9,Q$9))</f>
        <v>0.3</v>
      </c>
      <c r="R29">
        <f>IF($F29="s-curve",$D29+($E29-$D29)*$I$2/(1+EXP($I$3*(COUNT($H$9:R$9)+$I$4))),TREND($D29:$E29,$D$9:$E$9,R$9))</f>
        <v>0.3</v>
      </c>
      <c r="S29">
        <f>IF($F29="s-curve",$D29+($E29-$D29)*$I$2/(1+EXP($I$3*(COUNT($H$9:S$9)+$I$4))),TREND($D29:$E29,$D$9:$E$9,S$9))</f>
        <v>0.3</v>
      </c>
      <c r="T29">
        <f>IF($F29="s-curve",$D29+($E29-$D29)*$I$2/(1+EXP($I$3*(COUNT($H$9:T$9)+$I$4))),TREND($D29:$E29,$D$9:$E$9,T$9))</f>
        <v>0.3</v>
      </c>
      <c r="U29">
        <f>IF($F29="s-curve",$D29+($E29-$D29)*$I$2/(1+EXP($I$3*(COUNT($H$9:U$9)+$I$4))),TREND($D29:$E29,$D$9:$E$9,U$9))</f>
        <v>0.3</v>
      </c>
      <c r="V29">
        <f>IF($F29="s-curve",$D29+($E29-$D29)*$I$2/(1+EXP($I$3*(COUNT($H$9:V$9)+$I$4))),TREND($D29:$E29,$D$9:$E$9,V$9))</f>
        <v>0.3</v>
      </c>
      <c r="W29">
        <f>IF($F29="s-curve",$D29+($E29-$D29)*$I$2/(1+EXP($I$3*(COUNT($H$9:W$9)+$I$4))),TREND($D29:$E29,$D$9:$E$9,W$9))</f>
        <v>0.3</v>
      </c>
      <c r="X29">
        <f>IF($F29="s-curve",$D29+($E29-$D29)*$I$2/(1+EXP($I$3*(COUNT($H$9:X$9)+$I$4))),TREND($D29:$E29,$D$9:$E$9,X$9))</f>
        <v>0.3</v>
      </c>
      <c r="Y29">
        <f>IF($F29="s-curve",$D29+($E29-$D29)*$I$2/(1+EXP($I$3*(COUNT($H$9:Y$9)+$I$4))),TREND($D29:$E29,$D$9:$E$9,Y$9))</f>
        <v>0.3</v>
      </c>
      <c r="Z29">
        <f>IF($F29="s-curve",$D29+($E29-$D29)*$I$2/(1+EXP($I$3*(COUNT($H$9:Z$9)+$I$4))),TREND($D29:$E29,$D$9:$E$9,Z$9))</f>
        <v>0.3</v>
      </c>
      <c r="AA29">
        <f>IF($F29="s-curve",$D29+($E29-$D29)*$I$2/(1+EXP($I$3*(COUNT($H$9:AA$9)+$I$4))),TREND($D29:$E29,$D$9:$E$9,AA$9))</f>
        <v>0.3</v>
      </c>
      <c r="AB29">
        <f>IF($F29="s-curve",$D29+($E29-$D29)*$I$2/(1+EXP($I$3*(COUNT($H$9:AB$9)+$I$4))),TREND($D29:$E29,$D$9:$E$9,AB$9))</f>
        <v>0.3</v>
      </c>
      <c r="AC29">
        <f>IF($F29="s-curve",$D29+($E29-$D29)*$I$2/(1+EXP($I$3*(COUNT($H$9:AC$9)+$I$4))),TREND($D29:$E29,$D$9:$E$9,AC$9))</f>
        <v>0.3</v>
      </c>
      <c r="AD29">
        <f>IF($F29="s-curve",$D29+($E29-$D29)*$I$2/(1+EXP($I$3*(COUNT($H$9:AD$9)+$I$4))),TREND($D29:$E29,$D$9:$E$9,AD$9))</f>
        <v>0.3</v>
      </c>
      <c r="AE29">
        <f>IF($F29="s-curve",$D29+($E29-$D29)*$I$2/(1+EXP($I$3*(COUNT($H$9:AE$9)+$I$4))),TREND($D29:$E29,$D$9:$E$9,AE$9))</f>
        <v>0.3</v>
      </c>
      <c r="AF29">
        <f>IF($F29="s-curve",$D29+($E29-$D29)*$I$2/(1+EXP($I$3*(COUNT($H$9:AF$9)+$I$4))),TREND($D29:$E29,$D$9:$E$9,AF$9))</f>
        <v>0.3</v>
      </c>
      <c r="AG29">
        <f>IF($F29="s-curve",$D29+($E29-$D29)*$I$2/(1+EXP($I$3*(COUNT($H$9:AG$9)+$I$4))),TREND($D29:$E29,$D$9:$E$9,AG$9))</f>
        <v>0.3</v>
      </c>
      <c r="AH29">
        <f>IF($F29="s-curve",$D29+($E29-$D29)*$I$2/(1+EXP($I$3*(COUNT($H$9:AH$9)+$I$4))),TREND($D29:$E29,$D$9:$E$9,AH$9))</f>
        <v>0.3</v>
      </c>
      <c r="AI29">
        <f>IF($F29="s-curve",$D29+($E29-$D29)*$I$2/(1+EXP($I$3*(COUNT($H$9:AI$9)+$I$4))),TREND($D29:$E29,$D$9:$E$9,AI$9))</f>
        <v>0.3</v>
      </c>
      <c r="AJ29">
        <f>IF($F29="s-curve",$D29+($E29-$D29)*$I$2/(1+EXP($I$3*(COUNT($H$9:AJ$9)+$I$4))),TREND($D29:$E29,$D$9:$E$9,AJ$9))</f>
        <v>0.3</v>
      </c>
      <c r="AK29">
        <f>IF($F29="s-curve",$D29+($E29-$D29)*$I$2/(1+EXP($I$3*(COUNT($H$9:AK$9)+$I$4))),TREND($D29:$E29,$D$9:$E$9,AK$9))</f>
        <v>0.3</v>
      </c>
      <c r="AL29">
        <f>IF($F29="s-curve",$D29+($E29-$D29)*$I$2/(1+EXP($I$3*(COUNT($H$9:AL$9)+$I$4))),TREND($D29:$E29,$D$9:$E$9,AL$9))</f>
        <v>0.3</v>
      </c>
    </row>
    <row r="30" spans="1:38" ht="15.75" thickBot="1">
      <c r="A30" s="21"/>
      <c r="B30" s="21"/>
      <c r="C30" s="21" t="s">
        <v>79</v>
      </c>
      <c r="D30" s="21">
        <v>6.9999999999999999E-4</v>
      </c>
      <c r="E30" s="24">
        <f>E25</f>
        <v>2.155996206658648E-3</v>
      </c>
      <c r="F30" s="7" t="str">
        <f>IF(D30=E30,"n/a",IF(OR(C30="battery electric vehicle",C30="natural gas vehicle",C30="plugin hybrid vehicle",C30="hydrogen vehicle"),"s-curve","linear"))</f>
        <v>s-curve</v>
      </c>
      <c r="H30" s="20">
        <f t="shared" si="16"/>
        <v>6.9999999999999999E-4</v>
      </c>
      <c r="I30">
        <f>IF($F30="s-curve",$D30+($E30-$D30)*$I$2/(1+EXP($I$3*(COUNT($H$9:I$9)+$I$4))),TREND($D30:$E30,$D$9:$E$9,I$9))</f>
        <v>7.7738785297517719E-4</v>
      </c>
      <c r="J30">
        <f>IF($F30="s-curve",$D30+($E30-$D30)*$I$2/(1+EXP($I$3*(COUNT($H$9:J$9)+$I$4))),TREND($D30:$E30,$D$9:$E$9,J$9))</f>
        <v>7.8998561243814067E-4</v>
      </c>
      <c r="K30">
        <f>IF($F30="s-curve",$D30+($E30-$D30)*$I$2/(1+EXP($I$3*(COUNT($H$9:K$9)+$I$4))),TREND($D30:$E30,$D$9:$E$9,K$9))</f>
        <v>8.0447870933516956E-4</v>
      </c>
      <c r="L30">
        <f>IF($F30="s-curve",$D30+($E30-$D30)*$I$2/(1+EXP($I$3*(COUNT($H$9:L$9)+$I$4))),TREND($D30:$E30,$D$9:$E$9,L$9))</f>
        <v>8.2109913059272201E-4</v>
      </c>
      <c r="M30">
        <f>IF($F30="s-curve",$D30+($E30-$D30)*$I$2/(1+EXP($I$3*(COUNT($H$9:M$9)+$I$4))),TREND($D30:$E30,$D$9:$E$9,M$9))</f>
        <v>8.4008946375237572E-4</v>
      </c>
      <c r="N30">
        <f>IF($F30="s-curve",$D30+($E30-$D30)*$I$2/(1+EXP($I$3*(COUNT($H$9:N$9)+$I$4))),TREND($D30:$E30,$D$9:$E$9,N$9))</f>
        <v>8.6169706625861841E-4</v>
      </c>
      <c r="O30">
        <f>IF($F30="s-curve",$D30+($E30-$D30)*$I$2/(1+EXP($I$3*(COUNT($H$9:O$9)+$I$4))),TREND($D30:$E30,$D$9:$E$9,O$9))</f>
        <v>8.8616595553801553E-4</v>
      </c>
      <c r="P30">
        <f>IF($F30="s-curve",$D30+($E30-$D30)*$I$2/(1+EXP($I$3*(COUNT($H$9:P$9)+$I$4))),TREND($D30:$E30,$D$9:$E$9,P$9))</f>
        <v>9.1372617792494671E-4</v>
      </c>
      <c r="Q30">
        <f>IF($F30="s-curve",$D30+($E30-$D30)*$I$2/(1+EXP($I$3*(COUNT($H$9:Q$9)+$I$4))),TREND($D30:$E30,$D$9:$E$9,Q$9))</f>
        <v>9.4458059403339993E-4</v>
      </c>
      <c r="R30">
        <f>IF($F30="s-curve",$D30+($E30-$D30)*$I$2/(1+EXP($I$3*(COUNT($H$9:R$9)+$I$4))),TREND($D30:$E30,$D$9:$E$9,R$9))</f>
        <v>9.7888930090860526E-4</v>
      </c>
      <c r="S30">
        <f>IF($F30="s-curve",$D30+($E30-$D30)*$I$2/(1+EXP($I$3*(COUNT($H$9:S$9)+$I$4))),TREND($D30:$E30,$D$9:$E$9,S$9))</f>
        <v>1.016752300285689E-3</v>
      </c>
      <c r="T30">
        <f>IF($F30="s-curve",$D30+($E30-$D30)*$I$2/(1+EXP($I$3*(COUNT($H$9:T$9)+$I$4))),TREND($D30:$E30,$D$9:$E$9,T$9))</f>
        <v>1.0581914956455567E-3</v>
      </c>
      <c r="U30">
        <f>IF($F30="s-curve",$D30+($E30-$D30)*$I$2/(1+EXP($I$3*(COUNT($H$9:U$9)+$I$4))),TREND($D30:$E30,$D$9:$E$9,U$9))</f>
        <v>1.1031336014453823E-3</v>
      </c>
      <c r="V30">
        <f>IF($F30="s-curve",$D30+($E30-$D30)*$I$2/(1+EXP($I$3*(COUNT($H$9:V$9)+$I$4))),TREND($D30:$E30,$D$9:$E$9,V$9))</f>
        <v>1.1513959794455754E-3</v>
      </c>
      <c r="W30">
        <f>IF($F30="s-curve",$D30+($E30-$D30)*$I$2/(1+EXP($I$3*(COUNT($H$9:W$9)+$I$4))),TREND($D30:$E30,$D$9:$E$9,W$9))</f>
        <v>1.2026776517192247E-3</v>
      </c>
      <c r="X30">
        <f>IF($F30="s-curve",$D30+($E30-$D30)*$I$2/(1+EXP($I$3*(COUNT($H$9:X$9)+$I$4))),TREND($D30:$E30,$D$9:$E$9,X$9))</f>
        <v>1.25655764432318E-3</v>
      </c>
      <c r="Y30">
        <f>IF($F30="s-curve",$D30+($E30-$D30)*$I$2/(1+EXP($I$3*(COUNT($H$9:Y$9)+$I$4))),TREND($D30:$E30,$D$9:$E$9,Y$9))</f>
        <v>1.3125022931047108E-3</v>
      </c>
      <c r="Z30">
        <f>IF($F30="s-curve",$D30+($E30-$D30)*$I$2/(1+EXP($I$3*(COUNT($H$9:Z$9)+$I$4))),TREND($D30:$E30,$D$9:$E$9,Z$9))</f>
        <v>1.3698821828272024E-3</v>
      </c>
      <c r="AA30">
        <f>IF($F30="s-curve",$D30+($E30-$D30)*$I$2/(1+EXP($I$3*(COUNT($H$9:AA$9)+$I$4))),TREND($D30:$E30,$D$9:$E$9,AA$9))</f>
        <v>1.427998103329324E-3</v>
      </c>
      <c r="AB30">
        <f>IF($F30="s-curve",$D30+($E30-$D30)*$I$2/(1+EXP($I$3*(COUNT($H$9:AB$9)+$I$4))),TREND($D30:$E30,$D$9:$E$9,AB$9))</f>
        <v>1.4861140238314452E-3</v>
      </c>
      <c r="AC30">
        <f>IF($F30="s-curve",$D30+($E30-$D30)*$I$2/(1+EXP($I$3*(COUNT($H$9:AC$9)+$I$4))),TREND($D30:$E30,$D$9:$E$9,AC$9))</f>
        <v>1.5434939135539373E-3</v>
      </c>
      <c r="AD30">
        <f>IF($F30="s-curve",$D30+($E30-$D30)*$I$2/(1+EXP($I$3*(COUNT($H$9:AD$9)+$I$4))),TREND($D30:$E30,$D$9:$E$9,AD$9))</f>
        <v>1.599438562335468E-3</v>
      </c>
      <c r="AE30">
        <f>IF($F30="s-curve",$D30+($E30-$D30)*$I$2/(1+EXP($I$3*(COUNT($H$9:AE$9)+$I$4))),TREND($D30:$E30,$D$9:$E$9,AE$9))</f>
        <v>1.6533185549394234E-3</v>
      </c>
      <c r="AF30">
        <f>IF($F30="s-curve",$D30+($E30-$D30)*$I$2/(1+EXP($I$3*(COUNT($H$9:AF$9)+$I$4))),TREND($D30:$E30,$D$9:$E$9,AF$9))</f>
        <v>1.7046002272130727E-3</v>
      </c>
      <c r="AG30">
        <f>IF($F30="s-curve",$D30+($E30-$D30)*$I$2/(1+EXP($I$3*(COUNT($H$9:AG$9)+$I$4))),TREND($D30:$E30,$D$9:$E$9,AG$9))</f>
        <v>1.7528626052132658E-3</v>
      </c>
      <c r="AH30">
        <f>IF($F30="s-curve",$D30+($E30-$D30)*$I$2/(1+EXP($I$3*(COUNT($H$9:AH$9)+$I$4))),TREND($D30:$E30,$D$9:$E$9,AH$9))</f>
        <v>1.7978047110130914E-3</v>
      </c>
      <c r="AI30">
        <f>IF($F30="s-curve",$D30+($E30-$D30)*$I$2/(1+EXP($I$3*(COUNT($H$9:AI$9)+$I$4))),TREND($D30:$E30,$D$9:$E$9,AI$9))</f>
        <v>1.8392439063729588E-3</v>
      </c>
      <c r="AJ30">
        <f>IF($F30="s-curve",$D30+($E30-$D30)*$I$2/(1+EXP($I$3*(COUNT($H$9:AJ$9)+$I$4))),TREND($D30:$E30,$D$9:$E$9,AJ$9))</f>
        <v>1.8771069057500426E-3</v>
      </c>
      <c r="AK30">
        <f>IF($F30="s-curve",$D30+($E30-$D30)*$I$2/(1+EXP($I$3*(COUNT($H$9:AK$9)+$I$4))),TREND($D30:$E30,$D$9:$E$9,AK$9))</f>
        <v>1.9114156126252479E-3</v>
      </c>
      <c r="AL30">
        <f>IF($F30="s-curve",$D30+($E30-$D30)*$I$2/(1+EXP($I$3*(COUNT($H$9:AL$9)+$I$4))),TREND($D30:$E30,$D$9:$E$9,AL$9))</f>
        <v>1.942270028733701E-3</v>
      </c>
    </row>
    <row r="31" spans="1:38">
      <c r="A31" t="s">
        <v>13</v>
      </c>
      <c r="B31" t="s">
        <v>18</v>
      </c>
      <c r="C31" t="s">
        <v>1</v>
      </c>
      <c r="D31" s="20">
        <f>MIN(1.25*INDEX('SYVbT-freight'!$B$3:$H$3,MATCH(Data!$C10,'SYVbT-passenger'!$B$1:$H$1,0))/SUM('SYVbT-freight'!$B$3:$H$3),1)</f>
        <v>5.3709944550863111E-3</v>
      </c>
      <c r="E31" s="20">
        <v>0.3</v>
      </c>
      <c r="F31" s="6" t="str">
        <f>IF(D31=E31,"n/a",IF(OR(C31="battery electric vehicle",C31="natural gas vehicle",C31="plugin hybrid vehicle"),"s-curve","linear"))</f>
        <v>s-curve</v>
      </c>
      <c r="H31" s="20">
        <f t="shared" si="16"/>
        <v>5.3709944550863111E-3</v>
      </c>
      <c r="I31">
        <f>IF($F31="s-curve",$D31+($E31-$D31)*$I$2/(1+EXP($I$3*(COUNT($H$9:I$9)+$I$4))),TREND($D31:$E31,$D$9:$E$9,I$9))</f>
        <v>2.103086091562989E-2</v>
      </c>
      <c r="J31">
        <f>IF($F31="s-curve",$D31+($E31-$D31)*$I$2/(1+EXP($I$3*(COUNT($H$9:J$9)+$I$4))),TREND($D31:$E31,$D$9:$E$9,J$9))</f>
        <v>2.3580088259556035E-2</v>
      </c>
      <c r="K31">
        <f>IF($F31="s-curve",$D31+($E31-$D31)*$I$2/(1+EXP($I$3*(COUNT($H$9:K$9)+$I$4))),TREND($D31:$E31,$D$9:$E$9,K$9))</f>
        <v>2.6512847772602481E-2</v>
      </c>
      <c r="L31">
        <f>IF($F31="s-curve",$D31+($E31-$D31)*$I$2/(1+EXP($I$3*(COUNT($H$9:L$9)+$I$4))),TREND($D31:$E31,$D$9:$E$9,L$9))</f>
        <v>2.9876083311579586E-2</v>
      </c>
      <c r="M31">
        <f>IF($F31="s-curve",$D31+($E31-$D31)*$I$2/(1+EXP($I$3*(COUNT($H$9:M$9)+$I$4))),TREND($D31:$E31,$D$9:$E$9,M$9))</f>
        <v>3.3718883827272901E-2</v>
      </c>
      <c r="N31">
        <f>IF($F31="s-curve",$D31+($E31-$D31)*$I$2/(1+EXP($I$3*(COUNT($H$9:N$9)+$I$4))),TREND($D31:$E31,$D$9:$E$9,N$9))</f>
        <v>3.8091303487097355E-2</v>
      </c>
      <c r="O31">
        <f>IF($F31="s-curve",$D31+($E31-$D31)*$I$2/(1+EXP($I$3*(COUNT($H$9:O$9)+$I$4))),TREND($D31:$E31,$D$9:$E$9,O$9))</f>
        <v>4.3042720587092277E-2</v>
      </c>
      <c r="P31">
        <f>IF($F31="s-curve",$D31+($E31-$D31)*$I$2/(1+EXP($I$3*(COUNT($H$9:P$9)+$I$4))),TREND($D31:$E31,$D$9:$E$9,P$9))</f>
        <v>4.861968629436756E-2</v>
      </c>
      <c r="Q31">
        <f>IF($F31="s-curve",$D31+($E31-$D31)*$I$2/(1+EXP($I$3*(COUNT($H$9:Q$9)+$I$4))),TREND($D31:$E31,$D$9:$E$9,Q$9))</f>
        <v>5.486325059290683E-2</v>
      </c>
      <c r="R31">
        <f>IF($F31="s-curve",$D31+($E31-$D31)*$I$2/(1+EXP($I$3*(COUNT($H$9:R$9)+$I$4))),TREND($D31:$E31,$D$9:$E$9,R$9))</f>
        <v>6.1805810018505346E-2</v>
      </c>
      <c r="S31">
        <f>IF($F31="s-curve",$D31+($E31-$D31)*$I$2/(1+EXP($I$3*(COUNT($H$9:S$9)+$I$4))),TREND($D31:$E31,$D$9:$E$9,S$9))</f>
        <v>6.9467600483618303E-2</v>
      </c>
      <c r="T31">
        <f>IF($F31="s-curve",$D31+($E31-$D31)*$I$2/(1+EXP($I$3*(COUNT($H$9:T$9)+$I$4))),TREND($D31:$E31,$D$9:$E$9,T$9))</f>
        <v>7.785305428056051E-2</v>
      </c>
      <c r="U31">
        <f>IF($F31="s-curve",$D31+($E31-$D31)*$I$2/(1+EXP($I$3*(COUNT($H$9:U$9)+$I$4))),TREND($D31:$E31,$D$9:$E$9,U$9))</f>
        <v>8.6947341668358144E-2</v>
      </c>
      <c r="V31">
        <f>IF($F31="s-curve",$D31+($E31-$D31)*$I$2/(1+EXP($I$3*(COUNT($H$9:V$9)+$I$4))),TREND($D31:$E31,$D$9:$E$9,V$9))</f>
        <v>9.6713504774003714E-2</v>
      </c>
      <c r="W31">
        <f>IF($F31="s-curve",$D31+($E31-$D31)*$I$2/(1+EXP($I$3*(COUNT($H$9:W$9)+$I$4))),TREND($D31:$E31,$D$9:$E$9,W$9))</f>
        <v>0.10709063902446933</v>
      </c>
      <c r="X31">
        <f>IF($F31="s-curve",$D31+($E31-$D31)*$I$2/(1+EXP($I$3*(COUNT($H$9:X$9)+$I$4))),TREND($D31:$E31,$D$9:$E$9,X$9))</f>
        <v>0.11799355797925228</v>
      </c>
      <c r="Y31">
        <f>IF($F31="s-curve",$D31+($E31-$D31)*$I$2/(1+EXP($I$3*(COUNT($H$9:Y$9)+$I$4))),TREND($D31:$E31,$D$9:$E$9,Y$9))</f>
        <v>0.12931427170136311</v>
      </c>
      <c r="Z31">
        <f>IF($F31="s-curve",$D31+($E31-$D31)*$I$2/(1+EXP($I$3*(COUNT($H$9:Z$9)+$I$4))),TREND($D31:$E31,$D$9:$E$9,Z$9))</f>
        <v>0.14092541448449677</v>
      </c>
      <c r="AA31">
        <f>IF($F31="s-curve",$D31+($E31-$D31)*$I$2/(1+EXP($I$3*(COUNT($H$9:AA$9)+$I$4))),TREND($D31:$E31,$D$9:$E$9,AA$9))</f>
        <v>0.15268549722754315</v>
      </c>
      <c r="AB31">
        <f>IF($F31="s-curve",$D31+($E31-$D31)*$I$2/(1+EXP($I$3*(COUNT($H$9:AB$9)+$I$4))),TREND($D31:$E31,$D$9:$E$9,AB$9))</f>
        <v>0.16444557997058951</v>
      </c>
      <c r="AC31">
        <f>IF($F31="s-curve",$D31+($E31-$D31)*$I$2/(1+EXP($I$3*(COUNT($H$9:AC$9)+$I$4))),TREND($D31:$E31,$D$9:$E$9,AC$9))</f>
        <v>0.17605672275372319</v>
      </c>
      <c r="AD31">
        <f>IF($F31="s-curve",$D31+($E31-$D31)*$I$2/(1+EXP($I$3*(COUNT($H$9:AD$9)+$I$4))),TREND($D31:$E31,$D$9:$E$9,AD$9))</f>
        <v>0.18737743647583399</v>
      </c>
      <c r="AE31">
        <f>IF($F31="s-curve",$D31+($E31-$D31)*$I$2/(1+EXP($I$3*(COUNT($H$9:AE$9)+$I$4))),TREND($D31:$E31,$D$9:$E$9,AE$9))</f>
        <v>0.19828035543061695</v>
      </c>
      <c r="AF31">
        <f>IF($F31="s-curve",$D31+($E31-$D31)*$I$2/(1+EXP($I$3*(COUNT($H$9:AF$9)+$I$4))),TREND($D31:$E31,$D$9:$E$9,AF$9))</f>
        <v>0.20865748968108258</v>
      </c>
      <c r="AG31">
        <f>IF($F31="s-curve",$D31+($E31-$D31)*$I$2/(1+EXP($I$3*(COUNT($H$9:AG$9)+$I$4))),TREND($D31:$E31,$D$9:$E$9,AG$9))</f>
        <v>0.21842365278672815</v>
      </c>
      <c r="AH31">
        <f>IF($F31="s-curve",$D31+($E31-$D31)*$I$2/(1+EXP($I$3*(COUNT($H$9:AH$9)+$I$4))),TREND($D31:$E31,$D$9:$E$9,AH$9))</f>
        <v>0.22751794017452581</v>
      </c>
      <c r="AI31">
        <f>IF($F31="s-curve",$D31+($E31-$D31)*$I$2/(1+EXP($I$3*(COUNT($H$9:AI$9)+$I$4))),TREND($D31:$E31,$D$9:$E$9,AI$9))</f>
        <v>0.23590339397146798</v>
      </c>
      <c r="AJ31">
        <f>IF($F31="s-curve",$D31+($E31-$D31)*$I$2/(1+EXP($I$3*(COUNT($H$9:AJ$9)+$I$4))),TREND($D31:$E31,$D$9:$E$9,AJ$9))</f>
        <v>0.24356518443658098</v>
      </c>
      <c r="AK31">
        <f>IF($F31="s-curve",$D31+($E31-$D31)*$I$2/(1+EXP($I$3*(COUNT($H$9:AK$9)+$I$4))),TREND($D31:$E31,$D$9:$E$9,AK$9))</f>
        <v>0.25050774386217944</v>
      </c>
      <c r="AL31">
        <f>IF($F31="s-curve",$D31+($E31-$D31)*$I$2/(1+EXP($I$3*(COUNT($H$9:AL$9)+$I$4))),TREND($D31:$E31,$D$9:$E$9,AL$9))</f>
        <v>0.25675130816071873</v>
      </c>
    </row>
    <row r="32" spans="1:38">
      <c r="C32" t="s">
        <v>2</v>
      </c>
      <c r="D32" s="20">
        <f>MIN(1.25*INDEX('SYVbT-freight'!$B$3:$H$3,MATCH(Data!$C11,'SYVbT-passenger'!$B$1:$H$1,0))/SUM('SYVbT-freight'!$B$3:$H$3),1)</f>
        <v>0</v>
      </c>
      <c r="E32" s="20">
        <f>D32</f>
        <v>0</v>
      </c>
      <c r="F32" s="6" t="str">
        <f>IF(D32=E32,"n/a",IF(OR(C32="battery electric vehicle",C32="natural gas vehicle",C32="plugin hybrid vehicle"),"s-curve","linear"))</f>
        <v>n/a</v>
      </c>
      <c r="H32" s="20">
        <f t="shared" si="16"/>
        <v>0</v>
      </c>
      <c r="I32">
        <f>IF($F32="s-curve",$D32+($E32-$D32)*$I$2/(1+EXP($I$3*(COUNT($H$9:I$9)+$I$4))),TREND($D32:$E32,$D$9:$E$9,I$9))</f>
        <v>0</v>
      </c>
      <c r="J32">
        <f>IF($F32="s-curve",$D32+($E32-$D32)*$I$2/(1+EXP($I$3*(COUNT($H$9:J$9)+$I$4))),TREND($D32:$E32,$D$9:$E$9,J$9))</f>
        <v>0</v>
      </c>
      <c r="K32">
        <f>IF($F32="s-curve",$D32+($E32-$D32)*$I$2/(1+EXP($I$3*(COUNT($H$9:K$9)+$I$4))),TREND($D32:$E32,$D$9:$E$9,K$9))</f>
        <v>0</v>
      </c>
      <c r="L32">
        <f>IF($F32="s-curve",$D32+($E32-$D32)*$I$2/(1+EXP($I$3*(COUNT($H$9:L$9)+$I$4))),TREND($D32:$E32,$D$9:$E$9,L$9))</f>
        <v>0</v>
      </c>
      <c r="M32">
        <f>IF($F32="s-curve",$D32+($E32-$D32)*$I$2/(1+EXP($I$3*(COUNT($H$9:M$9)+$I$4))),TREND($D32:$E32,$D$9:$E$9,M$9))</f>
        <v>0</v>
      </c>
      <c r="N32">
        <f>IF($F32="s-curve",$D32+($E32-$D32)*$I$2/(1+EXP($I$3*(COUNT($H$9:N$9)+$I$4))),TREND($D32:$E32,$D$9:$E$9,N$9))</f>
        <v>0</v>
      </c>
      <c r="O32">
        <f>IF($F32="s-curve",$D32+($E32-$D32)*$I$2/(1+EXP($I$3*(COUNT($H$9:O$9)+$I$4))),TREND($D32:$E32,$D$9:$E$9,O$9))</f>
        <v>0</v>
      </c>
      <c r="P32">
        <f>IF($F32="s-curve",$D32+($E32-$D32)*$I$2/(1+EXP($I$3*(COUNT($H$9:P$9)+$I$4))),TREND($D32:$E32,$D$9:$E$9,P$9))</f>
        <v>0</v>
      </c>
      <c r="Q32">
        <f>IF($F32="s-curve",$D32+($E32-$D32)*$I$2/(1+EXP($I$3*(COUNT($H$9:Q$9)+$I$4))),TREND($D32:$E32,$D$9:$E$9,Q$9))</f>
        <v>0</v>
      </c>
      <c r="R32">
        <f>IF($F32="s-curve",$D32+($E32-$D32)*$I$2/(1+EXP($I$3*(COUNT($H$9:R$9)+$I$4))),TREND($D32:$E32,$D$9:$E$9,R$9))</f>
        <v>0</v>
      </c>
      <c r="S32">
        <f>IF($F32="s-curve",$D32+($E32-$D32)*$I$2/(1+EXP($I$3*(COUNT($H$9:S$9)+$I$4))),TREND($D32:$E32,$D$9:$E$9,S$9))</f>
        <v>0</v>
      </c>
      <c r="T32">
        <f>IF($F32="s-curve",$D32+($E32-$D32)*$I$2/(1+EXP($I$3*(COUNT($H$9:T$9)+$I$4))),TREND($D32:$E32,$D$9:$E$9,T$9))</f>
        <v>0</v>
      </c>
      <c r="U32">
        <f>IF($F32="s-curve",$D32+($E32-$D32)*$I$2/(1+EXP($I$3*(COUNT($H$9:U$9)+$I$4))),TREND($D32:$E32,$D$9:$E$9,U$9))</f>
        <v>0</v>
      </c>
      <c r="V32">
        <f>IF($F32="s-curve",$D32+($E32-$D32)*$I$2/(1+EXP($I$3*(COUNT($H$9:V$9)+$I$4))),TREND($D32:$E32,$D$9:$E$9,V$9))</f>
        <v>0</v>
      </c>
      <c r="W32">
        <f>IF($F32="s-curve",$D32+($E32-$D32)*$I$2/(1+EXP($I$3*(COUNT($H$9:W$9)+$I$4))),TREND($D32:$E32,$D$9:$E$9,W$9))</f>
        <v>0</v>
      </c>
      <c r="X32">
        <f>IF($F32="s-curve",$D32+($E32-$D32)*$I$2/(1+EXP($I$3*(COUNT($H$9:X$9)+$I$4))),TREND($D32:$E32,$D$9:$E$9,X$9))</f>
        <v>0</v>
      </c>
      <c r="Y32">
        <f>IF($F32="s-curve",$D32+($E32-$D32)*$I$2/(1+EXP($I$3*(COUNT($H$9:Y$9)+$I$4))),TREND($D32:$E32,$D$9:$E$9,Y$9))</f>
        <v>0</v>
      </c>
      <c r="Z32">
        <f>IF($F32="s-curve",$D32+($E32-$D32)*$I$2/(1+EXP($I$3*(COUNT($H$9:Z$9)+$I$4))),TREND($D32:$E32,$D$9:$E$9,Z$9))</f>
        <v>0</v>
      </c>
      <c r="AA32">
        <f>IF($F32="s-curve",$D32+($E32-$D32)*$I$2/(1+EXP($I$3*(COUNT($H$9:AA$9)+$I$4))),TREND($D32:$E32,$D$9:$E$9,AA$9))</f>
        <v>0</v>
      </c>
      <c r="AB32">
        <f>IF($F32="s-curve",$D32+($E32-$D32)*$I$2/(1+EXP($I$3*(COUNT($H$9:AB$9)+$I$4))),TREND($D32:$E32,$D$9:$E$9,AB$9))</f>
        <v>0</v>
      </c>
      <c r="AC32">
        <f>IF($F32="s-curve",$D32+($E32-$D32)*$I$2/(1+EXP($I$3*(COUNT($H$9:AC$9)+$I$4))),TREND($D32:$E32,$D$9:$E$9,AC$9))</f>
        <v>0</v>
      </c>
      <c r="AD32">
        <f>IF($F32="s-curve",$D32+($E32-$D32)*$I$2/(1+EXP($I$3*(COUNT($H$9:AD$9)+$I$4))),TREND($D32:$E32,$D$9:$E$9,AD$9))</f>
        <v>0</v>
      </c>
      <c r="AE32">
        <f>IF($F32="s-curve",$D32+($E32-$D32)*$I$2/(1+EXP($I$3*(COUNT($H$9:AE$9)+$I$4))),TREND($D32:$E32,$D$9:$E$9,AE$9))</f>
        <v>0</v>
      </c>
      <c r="AF32">
        <f>IF($F32="s-curve",$D32+($E32-$D32)*$I$2/(1+EXP($I$3*(COUNT($H$9:AF$9)+$I$4))),TREND($D32:$E32,$D$9:$E$9,AF$9))</f>
        <v>0</v>
      </c>
      <c r="AG32">
        <f>IF($F32="s-curve",$D32+($E32-$D32)*$I$2/(1+EXP($I$3*(COUNT($H$9:AG$9)+$I$4))),TREND($D32:$E32,$D$9:$E$9,AG$9))</f>
        <v>0</v>
      </c>
      <c r="AH32">
        <f>IF($F32="s-curve",$D32+($E32-$D32)*$I$2/(1+EXP($I$3*(COUNT($H$9:AH$9)+$I$4))),TREND($D32:$E32,$D$9:$E$9,AH$9))</f>
        <v>0</v>
      </c>
      <c r="AI32">
        <f>IF($F32="s-curve",$D32+($E32-$D32)*$I$2/(1+EXP($I$3*(COUNT($H$9:AI$9)+$I$4))),TREND($D32:$E32,$D$9:$E$9,AI$9))</f>
        <v>0</v>
      </c>
      <c r="AJ32">
        <f>IF($F32="s-curve",$D32+($E32-$D32)*$I$2/(1+EXP($I$3*(COUNT($H$9:AJ$9)+$I$4))),TREND($D32:$E32,$D$9:$E$9,AJ$9))</f>
        <v>0</v>
      </c>
      <c r="AK32">
        <f>IF($F32="s-curve",$D32+($E32-$D32)*$I$2/(1+EXP($I$3*(COUNT($H$9:AK$9)+$I$4))),TREND($D32:$E32,$D$9:$E$9,AK$9))</f>
        <v>0</v>
      </c>
      <c r="AL32">
        <f>IF($F32="s-curve",$D32+($E32-$D32)*$I$2/(1+EXP($I$3*(COUNT($H$9:AL$9)+$I$4))),TREND($D32:$E32,$D$9:$E$9,AL$9))</f>
        <v>0</v>
      </c>
    </row>
    <row r="33" spans="1:38">
      <c r="C33" t="s">
        <v>3</v>
      </c>
      <c r="D33" s="20">
        <f>MIN(1.25*INDEX('SYVbT-freight'!$B$3:$H$3,MATCH(Data!$C12,'SYVbT-passenger'!$B$1:$H$1,0))/SUM('SYVbT-freight'!$B$3:$H$3),1)*3</f>
        <v>1.9195530379555355E-2</v>
      </c>
      <c r="E33" s="20">
        <f t="shared" ref="E33:E36" si="19">D33</f>
        <v>1.9195530379555355E-2</v>
      </c>
      <c r="F33" s="6" t="str">
        <f>IF(D33=E33,"n/a",IF(OR(C33="battery electric vehicle",C33="natural gas vehicle",C33="plugin hybrid vehicle"),"s-curve","linear"))</f>
        <v>n/a</v>
      </c>
      <c r="H33" s="20">
        <f t="shared" si="16"/>
        <v>1.9195530379555355E-2</v>
      </c>
      <c r="I33">
        <f>IF($F33="s-curve",$D33+($E33-$D33)*$I$2/(1+EXP($I$3*(COUNT($H$9:I$9)+$I$4))),TREND($D33:$E33,$D$9:$E$9,I$9))</f>
        <v>1.9195530379555355E-2</v>
      </c>
      <c r="J33">
        <f>IF($F33="s-curve",$D33+($E33-$D33)*$I$2/(1+EXP($I$3*(COUNT($H$9:J$9)+$I$4))),TREND($D33:$E33,$D$9:$E$9,J$9))</f>
        <v>1.9195530379555355E-2</v>
      </c>
      <c r="K33">
        <f>IF($F33="s-curve",$D33+($E33-$D33)*$I$2/(1+EXP($I$3*(COUNT($H$9:K$9)+$I$4))),TREND($D33:$E33,$D$9:$E$9,K$9))</f>
        <v>1.9195530379555355E-2</v>
      </c>
      <c r="L33">
        <f>IF($F33="s-curve",$D33+($E33-$D33)*$I$2/(1+EXP($I$3*(COUNT($H$9:L$9)+$I$4))),TREND($D33:$E33,$D$9:$E$9,L$9))</f>
        <v>1.9195530379555355E-2</v>
      </c>
      <c r="M33">
        <f>IF($F33="s-curve",$D33+($E33-$D33)*$I$2/(1+EXP($I$3*(COUNT($H$9:M$9)+$I$4))),TREND($D33:$E33,$D$9:$E$9,M$9))</f>
        <v>1.9195530379555355E-2</v>
      </c>
      <c r="N33">
        <f>IF($F33="s-curve",$D33+($E33-$D33)*$I$2/(1+EXP($I$3*(COUNT($H$9:N$9)+$I$4))),TREND($D33:$E33,$D$9:$E$9,N$9))</f>
        <v>1.9195530379555355E-2</v>
      </c>
      <c r="O33">
        <f>IF($F33="s-curve",$D33+($E33-$D33)*$I$2/(1+EXP($I$3*(COUNT($H$9:O$9)+$I$4))),TREND($D33:$E33,$D$9:$E$9,O$9))</f>
        <v>1.9195530379555355E-2</v>
      </c>
      <c r="P33">
        <f>IF($F33="s-curve",$D33+($E33-$D33)*$I$2/(1+EXP($I$3*(COUNT($H$9:P$9)+$I$4))),TREND($D33:$E33,$D$9:$E$9,P$9))</f>
        <v>1.9195530379555355E-2</v>
      </c>
      <c r="Q33">
        <f>IF($F33="s-curve",$D33+($E33-$D33)*$I$2/(1+EXP($I$3*(COUNT($H$9:Q$9)+$I$4))),TREND($D33:$E33,$D$9:$E$9,Q$9))</f>
        <v>1.9195530379555355E-2</v>
      </c>
      <c r="R33">
        <f>IF($F33="s-curve",$D33+($E33-$D33)*$I$2/(1+EXP($I$3*(COUNT($H$9:R$9)+$I$4))),TREND($D33:$E33,$D$9:$E$9,R$9))</f>
        <v>1.9195530379555355E-2</v>
      </c>
      <c r="S33">
        <f>IF($F33="s-curve",$D33+($E33-$D33)*$I$2/(1+EXP($I$3*(COUNT($H$9:S$9)+$I$4))),TREND($D33:$E33,$D$9:$E$9,S$9))</f>
        <v>1.9195530379555355E-2</v>
      </c>
      <c r="T33">
        <f>IF($F33="s-curve",$D33+($E33-$D33)*$I$2/(1+EXP($I$3*(COUNT($H$9:T$9)+$I$4))),TREND($D33:$E33,$D$9:$E$9,T$9))</f>
        <v>1.9195530379555355E-2</v>
      </c>
      <c r="U33">
        <f>IF($F33="s-curve",$D33+($E33-$D33)*$I$2/(1+EXP($I$3*(COUNT($H$9:U$9)+$I$4))),TREND($D33:$E33,$D$9:$E$9,U$9))</f>
        <v>1.9195530379555355E-2</v>
      </c>
      <c r="V33">
        <f>IF($F33="s-curve",$D33+($E33-$D33)*$I$2/(1+EXP($I$3*(COUNT($H$9:V$9)+$I$4))),TREND($D33:$E33,$D$9:$E$9,V$9))</f>
        <v>1.9195530379555355E-2</v>
      </c>
      <c r="W33">
        <f>IF($F33="s-curve",$D33+($E33-$D33)*$I$2/(1+EXP($I$3*(COUNT($H$9:W$9)+$I$4))),TREND($D33:$E33,$D$9:$E$9,W$9))</f>
        <v>1.9195530379555355E-2</v>
      </c>
      <c r="X33">
        <f>IF($F33="s-curve",$D33+($E33-$D33)*$I$2/(1+EXP($I$3*(COUNT($H$9:X$9)+$I$4))),TREND($D33:$E33,$D$9:$E$9,X$9))</f>
        <v>1.9195530379555355E-2</v>
      </c>
      <c r="Y33">
        <f>IF($F33="s-curve",$D33+($E33-$D33)*$I$2/(1+EXP($I$3*(COUNT($H$9:Y$9)+$I$4))),TREND($D33:$E33,$D$9:$E$9,Y$9))</f>
        <v>1.9195530379555355E-2</v>
      </c>
      <c r="Z33">
        <f>IF($F33="s-curve",$D33+($E33-$D33)*$I$2/(1+EXP($I$3*(COUNT($H$9:Z$9)+$I$4))),TREND($D33:$E33,$D$9:$E$9,Z$9))</f>
        <v>1.9195530379555355E-2</v>
      </c>
      <c r="AA33">
        <f>IF($F33="s-curve",$D33+($E33-$D33)*$I$2/(1+EXP($I$3*(COUNT($H$9:AA$9)+$I$4))),TREND($D33:$E33,$D$9:$E$9,AA$9))</f>
        <v>1.9195530379555355E-2</v>
      </c>
      <c r="AB33">
        <f>IF($F33="s-curve",$D33+($E33-$D33)*$I$2/(1+EXP($I$3*(COUNT($H$9:AB$9)+$I$4))),TREND($D33:$E33,$D$9:$E$9,AB$9))</f>
        <v>1.9195530379555355E-2</v>
      </c>
      <c r="AC33">
        <f>IF($F33="s-curve",$D33+($E33-$D33)*$I$2/(1+EXP($I$3*(COUNT($H$9:AC$9)+$I$4))),TREND($D33:$E33,$D$9:$E$9,AC$9))</f>
        <v>1.9195530379555355E-2</v>
      </c>
      <c r="AD33">
        <f>IF($F33="s-curve",$D33+($E33-$D33)*$I$2/(1+EXP($I$3*(COUNT($H$9:AD$9)+$I$4))),TREND($D33:$E33,$D$9:$E$9,AD$9))</f>
        <v>1.9195530379555355E-2</v>
      </c>
      <c r="AE33">
        <f>IF($F33="s-curve",$D33+($E33-$D33)*$I$2/(1+EXP($I$3*(COUNT($H$9:AE$9)+$I$4))),TREND($D33:$E33,$D$9:$E$9,AE$9))</f>
        <v>1.9195530379555355E-2</v>
      </c>
      <c r="AF33">
        <f>IF($F33="s-curve",$D33+($E33-$D33)*$I$2/(1+EXP($I$3*(COUNT($H$9:AF$9)+$I$4))),TREND($D33:$E33,$D$9:$E$9,AF$9))</f>
        <v>1.9195530379555355E-2</v>
      </c>
      <c r="AG33">
        <f>IF($F33="s-curve",$D33+($E33-$D33)*$I$2/(1+EXP($I$3*(COUNT($H$9:AG$9)+$I$4))),TREND($D33:$E33,$D$9:$E$9,AG$9))</f>
        <v>1.9195530379555355E-2</v>
      </c>
      <c r="AH33">
        <f>IF($F33="s-curve",$D33+($E33-$D33)*$I$2/(1+EXP($I$3*(COUNT($H$9:AH$9)+$I$4))),TREND($D33:$E33,$D$9:$E$9,AH$9))</f>
        <v>1.9195530379555355E-2</v>
      </c>
      <c r="AI33">
        <f>IF($F33="s-curve",$D33+($E33-$D33)*$I$2/(1+EXP($I$3*(COUNT($H$9:AI$9)+$I$4))),TREND($D33:$E33,$D$9:$E$9,AI$9))</f>
        <v>1.9195530379555355E-2</v>
      </c>
      <c r="AJ33">
        <f>IF($F33="s-curve",$D33+($E33-$D33)*$I$2/(1+EXP($I$3*(COUNT($H$9:AJ$9)+$I$4))),TREND($D33:$E33,$D$9:$E$9,AJ$9))</f>
        <v>1.9195530379555355E-2</v>
      </c>
      <c r="AK33">
        <f>IF($F33="s-curve",$D33+($E33-$D33)*$I$2/(1+EXP($I$3*(COUNT($H$9:AK$9)+$I$4))),TREND($D33:$E33,$D$9:$E$9,AK$9))</f>
        <v>1.9195530379555355E-2</v>
      </c>
      <c r="AL33">
        <f>IF($F33="s-curve",$D33+($E33-$D33)*$I$2/(1+EXP($I$3*(COUNT($H$9:AL$9)+$I$4))),TREND($D33:$E33,$D$9:$E$9,AL$9))</f>
        <v>1.9195530379555355E-2</v>
      </c>
    </row>
    <row r="34" spans="1:38">
      <c r="C34" t="s">
        <v>4</v>
      </c>
      <c r="D34" s="20">
        <v>1</v>
      </c>
      <c r="E34" s="20">
        <f t="shared" si="19"/>
        <v>1</v>
      </c>
      <c r="F34" s="6" t="str">
        <f>IF(D34=E34,"n/a",IF(OR(C34="battery electric vehicle",C34="natural gas vehicle",C34="plugin hybrid vehicle"),"s-curve","linear"))</f>
        <v>n/a</v>
      </c>
      <c r="H34" s="20">
        <f t="shared" si="16"/>
        <v>1</v>
      </c>
      <c r="I34">
        <f>IF($F34="s-curve",$D34+($E34-$D34)*$I$2/(1+EXP($I$3*(COUNT($H$9:I$9)+$I$4))),TREND($D34:$E34,$D$9:$E$9,I$9))</f>
        <v>1</v>
      </c>
      <c r="J34">
        <f>IF($F34="s-curve",$D34+($E34-$D34)*$I$2/(1+EXP($I$3*(COUNT($H$9:J$9)+$I$4))),TREND($D34:$E34,$D$9:$E$9,J$9))</f>
        <v>1</v>
      </c>
      <c r="K34">
        <f>IF($F34="s-curve",$D34+($E34-$D34)*$I$2/(1+EXP($I$3*(COUNT($H$9:K$9)+$I$4))),TREND($D34:$E34,$D$9:$E$9,K$9))</f>
        <v>1</v>
      </c>
      <c r="L34">
        <f>IF($F34="s-curve",$D34+($E34-$D34)*$I$2/(1+EXP($I$3*(COUNT($H$9:L$9)+$I$4))),TREND($D34:$E34,$D$9:$E$9,L$9))</f>
        <v>1</v>
      </c>
      <c r="M34">
        <f>IF($F34="s-curve",$D34+($E34-$D34)*$I$2/(1+EXP($I$3*(COUNT($H$9:M$9)+$I$4))),TREND($D34:$E34,$D$9:$E$9,M$9))</f>
        <v>1</v>
      </c>
      <c r="N34">
        <f>IF($F34="s-curve",$D34+($E34-$D34)*$I$2/(1+EXP($I$3*(COUNT($H$9:N$9)+$I$4))),TREND($D34:$E34,$D$9:$E$9,N$9))</f>
        <v>1</v>
      </c>
      <c r="O34">
        <f>IF($F34="s-curve",$D34+($E34-$D34)*$I$2/(1+EXP($I$3*(COUNT($H$9:O$9)+$I$4))),TREND($D34:$E34,$D$9:$E$9,O$9))</f>
        <v>1</v>
      </c>
      <c r="P34">
        <f>IF($F34="s-curve",$D34+($E34-$D34)*$I$2/(1+EXP($I$3*(COUNT($H$9:P$9)+$I$4))),TREND($D34:$E34,$D$9:$E$9,P$9))</f>
        <v>1</v>
      </c>
      <c r="Q34">
        <f>IF($F34="s-curve",$D34+($E34-$D34)*$I$2/(1+EXP($I$3*(COUNT($H$9:Q$9)+$I$4))),TREND($D34:$E34,$D$9:$E$9,Q$9))</f>
        <v>1</v>
      </c>
      <c r="R34">
        <f>IF($F34="s-curve",$D34+($E34-$D34)*$I$2/(1+EXP($I$3*(COUNT($H$9:R$9)+$I$4))),TREND($D34:$E34,$D$9:$E$9,R$9))</f>
        <v>1</v>
      </c>
      <c r="S34">
        <f>IF($F34="s-curve",$D34+($E34-$D34)*$I$2/(1+EXP($I$3*(COUNT($H$9:S$9)+$I$4))),TREND($D34:$E34,$D$9:$E$9,S$9))</f>
        <v>1</v>
      </c>
      <c r="T34">
        <f>IF($F34="s-curve",$D34+($E34-$D34)*$I$2/(1+EXP($I$3*(COUNT($H$9:T$9)+$I$4))),TREND($D34:$E34,$D$9:$E$9,T$9))</f>
        <v>1</v>
      </c>
      <c r="U34">
        <f>IF($F34="s-curve",$D34+($E34-$D34)*$I$2/(1+EXP($I$3*(COUNT($H$9:U$9)+$I$4))),TREND($D34:$E34,$D$9:$E$9,U$9))</f>
        <v>1</v>
      </c>
      <c r="V34">
        <f>IF($F34="s-curve",$D34+($E34-$D34)*$I$2/(1+EXP($I$3*(COUNT($H$9:V$9)+$I$4))),TREND($D34:$E34,$D$9:$E$9,V$9))</f>
        <v>1</v>
      </c>
      <c r="W34">
        <f>IF($F34="s-curve",$D34+($E34-$D34)*$I$2/(1+EXP($I$3*(COUNT($H$9:W$9)+$I$4))),TREND($D34:$E34,$D$9:$E$9,W$9))</f>
        <v>1</v>
      </c>
      <c r="X34">
        <f>IF($F34="s-curve",$D34+($E34-$D34)*$I$2/(1+EXP($I$3*(COUNT($H$9:X$9)+$I$4))),TREND($D34:$E34,$D$9:$E$9,X$9))</f>
        <v>1</v>
      </c>
      <c r="Y34">
        <f>IF($F34="s-curve",$D34+($E34-$D34)*$I$2/(1+EXP($I$3*(COUNT($H$9:Y$9)+$I$4))),TREND($D34:$E34,$D$9:$E$9,Y$9))</f>
        <v>1</v>
      </c>
      <c r="Z34">
        <f>IF($F34="s-curve",$D34+($E34-$D34)*$I$2/(1+EXP($I$3*(COUNT($H$9:Z$9)+$I$4))),TREND($D34:$E34,$D$9:$E$9,Z$9))</f>
        <v>1</v>
      </c>
      <c r="AA34">
        <f>IF($F34="s-curve",$D34+($E34-$D34)*$I$2/(1+EXP($I$3*(COUNT($H$9:AA$9)+$I$4))),TREND($D34:$E34,$D$9:$E$9,AA$9))</f>
        <v>1</v>
      </c>
      <c r="AB34">
        <f>IF($F34="s-curve",$D34+($E34-$D34)*$I$2/(1+EXP($I$3*(COUNT($H$9:AB$9)+$I$4))),TREND($D34:$E34,$D$9:$E$9,AB$9))</f>
        <v>1</v>
      </c>
      <c r="AC34">
        <f>IF($F34="s-curve",$D34+($E34-$D34)*$I$2/(1+EXP($I$3*(COUNT($H$9:AC$9)+$I$4))),TREND($D34:$E34,$D$9:$E$9,AC$9))</f>
        <v>1</v>
      </c>
      <c r="AD34">
        <f>IF($F34="s-curve",$D34+($E34-$D34)*$I$2/(1+EXP($I$3*(COUNT($H$9:AD$9)+$I$4))),TREND($D34:$E34,$D$9:$E$9,AD$9))</f>
        <v>1</v>
      </c>
      <c r="AE34">
        <f>IF($F34="s-curve",$D34+($E34-$D34)*$I$2/(1+EXP($I$3*(COUNT($H$9:AE$9)+$I$4))),TREND($D34:$E34,$D$9:$E$9,AE$9))</f>
        <v>1</v>
      </c>
      <c r="AF34">
        <f>IF($F34="s-curve",$D34+($E34-$D34)*$I$2/(1+EXP($I$3*(COUNT($H$9:AF$9)+$I$4))),TREND($D34:$E34,$D$9:$E$9,AF$9))</f>
        <v>1</v>
      </c>
      <c r="AG34">
        <f>IF($F34="s-curve",$D34+($E34-$D34)*$I$2/(1+EXP($I$3*(COUNT($H$9:AG$9)+$I$4))),TREND($D34:$E34,$D$9:$E$9,AG$9))</f>
        <v>1</v>
      </c>
      <c r="AH34">
        <f>IF($F34="s-curve",$D34+($E34-$D34)*$I$2/(1+EXP($I$3*(COUNT($H$9:AH$9)+$I$4))),TREND($D34:$E34,$D$9:$E$9,AH$9))</f>
        <v>1</v>
      </c>
      <c r="AI34">
        <f>IF($F34="s-curve",$D34+($E34-$D34)*$I$2/(1+EXP($I$3*(COUNT($H$9:AI$9)+$I$4))),TREND($D34:$E34,$D$9:$E$9,AI$9))</f>
        <v>1</v>
      </c>
      <c r="AJ34">
        <f>IF($F34="s-curve",$D34+($E34-$D34)*$I$2/(1+EXP($I$3*(COUNT($H$9:AJ$9)+$I$4))),TREND($D34:$E34,$D$9:$E$9,AJ$9))</f>
        <v>1</v>
      </c>
      <c r="AK34">
        <f>IF($F34="s-curve",$D34+($E34-$D34)*$I$2/(1+EXP($I$3*(COUNT($H$9:AK$9)+$I$4))),TREND($D34:$E34,$D$9:$E$9,AK$9))</f>
        <v>1</v>
      </c>
      <c r="AL34">
        <f>IF($F34="s-curve",$D34+($E34-$D34)*$I$2/(1+EXP($I$3*(COUNT($H$9:AL$9)+$I$4))),TREND($D34:$E34,$D$9:$E$9,AL$9))</f>
        <v>1</v>
      </c>
    </row>
    <row r="35" spans="1:38">
      <c r="C35" t="s">
        <v>5</v>
      </c>
      <c r="D35" s="20">
        <f>MIN(1.25*INDEX('SYVbT-freight'!$B$3:$H$3,MATCH(Data!$C14,'SYVbT-passenger'!$B$1:$H$1,0))/SUM('SYVbT-freight'!$B$3:$H$3),1)</f>
        <v>0</v>
      </c>
      <c r="E35" s="20">
        <f t="shared" si="19"/>
        <v>0</v>
      </c>
      <c r="F35" s="6" t="str">
        <f>IF(D35=E35,"n/a",IF(OR(C35="battery electric vehicle",C35="natural gas vehicle",C35="plugin hybrid vehicle"),"s-curve","linear"))</f>
        <v>n/a</v>
      </c>
      <c r="H35" s="20">
        <f t="shared" si="16"/>
        <v>0</v>
      </c>
      <c r="I35">
        <f>IF($F35="s-curve",$D35+($E35-$D35)*$I$2/(1+EXP($I$3*(COUNT($H$9:I$9)+$I$4))),TREND($D35:$E35,$D$9:$E$9,I$9))</f>
        <v>0</v>
      </c>
      <c r="J35">
        <f>IF($F35="s-curve",$D35+($E35-$D35)*$I$2/(1+EXP($I$3*(COUNT($H$9:J$9)+$I$4))),TREND($D35:$E35,$D$9:$E$9,J$9))</f>
        <v>0</v>
      </c>
      <c r="K35">
        <f>IF($F35="s-curve",$D35+($E35-$D35)*$I$2/(1+EXP($I$3*(COUNT($H$9:K$9)+$I$4))),TREND($D35:$E35,$D$9:$E$9,K$9))</f>
        <v>0</v>
      </c>
      <c r="L35">
        <f>IF($F35="s-curve",$D35+($E35-$D35)*$I$2/(1+EXP($I$3*(COUNT($H$9:L$9)+$I$4))),TREND($D35:$E35,$D$9:$E$9,L$9))</f>
        <v>0</v>
      </c>
      <c r="M35">
        <f>IF($F35="s-curve",$D35+($E35-$D35)*$I$2/(1+EXP($I$3*(COUNT($H$9:M$9)+$I$4))),TREND($D35:$E35,$D$9:$E$9,M$9))</f>
        <v>0</v>
      </c>
      <c r="N35">
        <f>IF($F35="s-curve",$D35+($E35-$D35)*$I$2/(1+EXP($I$3*(COUNT($H$9:N$9)+$I$4))),TREND($D35:$E35,$D$9:$E$9,N$9))</f>
        <v>0</v>
      </c>
      <c r="O35">
        <f>IF($F35="s-curve",$D35+($E35-$D35)*$I$2/(1+EXP($I$3*(COUNT($H$9:O$9)+$I$4))),TREND($D35:$E35,$D$9:$E$9,O$9))</f>
        <v>0</v>
      </c>
      <c r="P35">
        <f>IF($F35="s-curve",$D35+($E35-$D35)*$I$2/(1+EXP($I$3*(COUNT($H$9:P$9)+$I$4))),TREND($D35:$E35,$D$9:$E$9,P$9))</f>
        <v>0</v>
      </c>
      <c r="Q35">
        <f>IF($F35="s-curve",$D35+($E35-$D35)*$I$2/(1+EXP($I$3*(COUNT($H$9:Q$9)+$I$4))),TREND($D35:$E35,$D$9:$E$9,Q$9))</f>
        <v>0</v>
      </c>
      <c r="R35">
        <f>IF($F35="s-curve",$D35+($E35-$D35)*$I$2/(1+EXP($I$3*(COUNT($H$9:R$9)+$I$4))),TREND($D35:$E35,$D$9:$E$9,R$9))</f>
        <v>0</v>
      </c>
      <c r="S35">
        <f>IF($F35="s-curve",$D35+($E35-$D35)*$I$2/(1+EXP($I$3*(COUNT($H$9:S$9)+$I$4))),TREND($D35:$E35,$D$9:$E$9,S$9))</f>
        <v>0</v>
      </c>
      <c r="T35">
        <f>IF($F35="s-curve",$D35+($E35-$D35)*$I$2/(1+EXP($I$3*(COUNT($H$9:T$9)+$I$4))),TREND($D35:$E35,$D$9:$E$9,T$9))</f>
        <v>0</v>
      </c>
      <c r="U35">
        <f>IF($F35="s-curve",$D35+($E35-$D35)*$I$2/(1+EXP($I$3*(COUNT($H$9:U$9)+$I$4))),TREND($D35:$E35,$D$9:$E$9,U$9))</f>
        <v>0</v>
      </c>
      <c r="V35">
        <f>IF($F35="s-curve",$D35+($E35-$D35)*$I$2/(1+EXP($I$3*(COUNT($H$9:V$9)+$I$4))),TREND($D35:$E35,$D$9:$E$9,V$9))</f>
        <v>0</v>
      </c>
      <c r="W35">
        <f>IF($F35="s-curve",$D35+($E35-$D35)*$I$2/(1+EXP($I$3*(COUNT($H$9:W$9)+$I$4))),TREND($D35:$E35,$D$9:$E$9,W$9))</f>
        <v>0</v>
      </c>
      <c r="X35">
        <f>IF($F35="s-curve",$D35+($E35-$D35)*$I$2/(1+EXP($I$3*(COUNT($H$9:X$9)+$I$4))),TREND($D35:$E35,$D$9:$E$9,X$9))</f>
        <v>0</v>
      </c>
      <c r="Y35">
        <f>IF($F35="s-curve",$D35+($E35-$D35)*$I$2/(1+EXP($I$3*(COUNT($H$9:Y$9)+$I$4))),TREND($D35:$E35,$D$9:$E$9,Y$9))</f>
        <v>0</v>
      </c>
      <c r="Z35">
        <f>IF($F35="s-curve",$D35+($E35-$D35)*$I$2/(1+EXP($I$3*(COUNT($H$9:Z$9)+$I$4))),TREND($D35:$E35,$D$9:$E$9,Z$9))</f>
        <v>0</v>
      </c>
      <c r="AA35">
        <f>IF($F35="s-curve",$D35+($E35-$D35)*$I$2/(1+EXP($I$3*(COUNT($H$9:AA$9)+$I$4))),TREND($D35:$E35,$D$9:$E$9,AA$9))</f>
        <v>0</v>
      </c>
      <c r="AB35">
        <f>IF($F35="s-curve",$D35+($E35-$D35)*$I$2/(1+EXP($I$3*(COUNT($H$9:AB$9)+$I$4))),TREND($D35:$E35,$D$9:$E$9,AB$9))</f>
        <v>0</v>
      </c>
      <c r="AC35">
        <f>IF($F35="s-curve",$D35+($E35-$D35)*$I$2/(1+EXP($I$3*(COUNT($H$9:AC$9)+$I$4))),TREND($D35:$E35,$D$9:$E$9,AC$9))</f>
        <v>0</v>
      </c>
      <c r="AD35">
        <f>IF($F35="s-curve",$D35+($E35-$D35)*$I$2/(1+EXP($I$3*(COUNT($H$9:AD$9)+$I$4))),TREND($D35:$E35,$D$9:$E$9,AD$9))</f>
        <v>0</v>
      </c>
      <c r="AE35">
        <f>IF($F35="s-curve",$D35+($E35-$D35)*$I$2/(1+EXP($I$3*(COUNT($H$9:AE$9)+$I$4))),TREND($D35:$E35,$D$9:$E$9,AE$9))</f>
        <v>0</v>
      </c>
      <c r="AF35">
        <f>IF($F35="s-curve",$D35+($E35-$D35)*$I$2/(1+EXP($I$3*(COUNT($H$9:AF$9)+$I$4))),TREND($D35:$E35,$D$9:$E$9,AF$9))</f>
        <v>0</v>
      </c>
      <c r="AG35">
        <f>IF($F35="s-curve",$D35+($E35-$D35)*$I$2/(1+EXP($I$3*(COUNT($H$9:AG$9)+$I$4))),TREND($D35:$E35,$D$9:$E$9,AG$9))</f>
        <v>0</v>
      </c>
      <c r="AH35">
        <f>IF($F35="s-curve",$D35+($E35-$D35)*$I$2/(1+EXP($I$3*(COUNT($H$9:AH$9)+$I$4))),TREND($D35:$E35,$D$9:$E$9,AH$9))</f>
        <v>0</v>
      </c>
      <c r="AI35">
        <f>IF($F35="s-curve",$D35+($E35-$D35)*$I$2/(1+EXP($I$3*(COUNT($H$9:AI$9)+$I$4))),TREND($D35:$E35,$D$9:$E$9,AI$9))</f>
        <v>0</v>
      </c>
      <c r="AJ35">
        <f>IF($F35="s-curve",$D35+($E35-$D35)*$I$2/(1+EXP($I$3*(COUNT($H$9:AJ$9)+$I$4))),TREND($D35:$E35,$D$9:$E$9,AJ$9))</f>
        <v>0</v>
      </c>
      <c r="AK35">
        <f>IF($F35="s-curve",$D35+($E35-$D35)*$I$2/(1+EXP($I$3*(COUNT($H$9:AK$9)+$I$4))),TREND($D35:$E35,$D$9:$E$9,AK$9))</f>
        <v>0</v>
      </c>
      <c r="AL35">
        <f>IF($F35="s-curve",$D35+($E35-$D35)*$I$2/(1+EXP($I$3*(COUNT($H$9:AL$9)+$I$4))),TREND($D35:$E35,$D$9:$E$9,AL$9))</f>
        <v>0</v>
      </c>
    </row>
    <row r="36" spans="1:38">
      <c r="C36" t="s">
        <v>78</v>
      </c>
      <c r="D36" s="20">
        <v>0.1</v>
      </c>
      <c r="E36" s="20">
        <f t="shared" si="19"/>
        <v>0.1</v>
      </c>
      <c r="F36" s="6" t="str">
        <f>IF(D36=E36,"n/a",IF(OR(C36="battery electric vehicle",C36="natural gas vehicle",C36="plugin hybrid vehicle",C36="hydrogen vehicle"),"s-curve","linear"))</f>
        <v>n/a</v>
      </c>
      <c r="H36" s="20">
        <f t="shared" si="16"/>
        <v>0.1</v>
      </c>
      <c r="I36">
        <f>IF($F36="s-curve",$D36+($E36-$D36)*$I$2/(1+EXP($I$3*(COUNT($H$9:I$9)+$I$4))),TREND($D36:$E36,$D$9:$E$9,I$9))</f>
        <v>0.1</v>
      </c>
      <c r="J36">
        <f>IF($F36="s-curve",$D36+($E36-$D36)*$I$2/(1+EXP($I$3*(COUNT($H$9:J$9)+$I$4))),TREND($D36:$E36,$D$9:$E$9,J$9))</f>
        <v>0.1</v>
      </c>
      <c r="K36">
        <f>IF($F36="s-curve",$D36+($E36-$D36)*$I$2/(1+EXP($I$3*(COUNT($H$9:K$9)+$I$4))),TREND($D36:$E36,$D$9:$E$9,K$9))</f>
        <v>0.1</v>
      </c>
      <c r="L36">
        <f>IF($F36="s-curve",$D36+($E36-$D36)*$I$2/(1+EXP($I$3*(COUNT($H$9:L$9)+$I$4))),TREND($D36:$E36,$D$9:$E$9,L$9))</f>
        <v>0.1</v>
      </c>
      <c r="M36">
        <f>IF($F36="s-curve",$D36+($E36-$D36)*$I$2/(1+EXP($I$3*(COUNT($H$9:M$9)+$I$4))),TREND($D36:$E36,$D$9:$E$9,M$9))</f>
        <v>0.1</v>
      </c>
      <c r="N36">
        <f>IF($F36="s-curve",$D36+($E36-$D36)*$I$2/(1+EXP($I$3*(COUNT($H$9:N$9)+$I$4))),TREND($D36:$E36,$D$9:$E$9,N$9))</f>
        <v>0.1</v>
      </c>
      <c r="O36">
        <f>IF($F36="s-curve",$D36+($E36-$D36)*$I$2/(1+EXP($I$3*(COUNT($H$9:O$9)+$I$4))),TREND($D36:$E36,$D$9:$E$9,O$9))</f>
        <v>0.1</v>
      </c>
      <c r="P36">
        <f>IF($F36="s-curve",$D36+($E36-$D36)*$I$2/(1+EXP($I$3*(COUNT($H$9:P$9)+$I$4))),TREND($D36:$E36,$D$9:$E$9,P$9))</f>
        <v>0.1</v>
      </c>
      <c r="Q36">
        <f>IF($F36="s-curve",$D36+($E36-$D36)*$I$2/(1+EXP($I$3*(COUNT($H$9:Q$9)+$I$4))),TREND($D36:$E36,$D$9:$E$9,Q$9))</f>
        <v>0.1</v>
      </c>
      <c r="R36">
        <f>IF($F36="s-curve",$D36+($E36-$D36)*$I$2/(1+EXP($I$3*(COUNT($H$9:R$9)+$I$4))),TREND($D36:$E36,$D$9:$E$9,R$9))</f>
        <v>0.1</v>
      </c>
      <c r="S36">
        <f>IF($F36="s-curve",$D36+($E36-$D36)*$I$2/(1+EXP($I$3*(COUNT($H$9:S$9)+$I$4))),TREND($D36:$E36,$D$9:$E$9,S$9))</f>
        <v>0.1</v>
      </c>
      <c r="T36">
        <f>IF($F36="s-curve",$D36+($E36-$D36)*$I$2/(1+EXP($I$3*(COUNT($H$9:T$9)+$I$4))),TREND($D36:$E36,$D$9:$E$9,T$9))</f>
        <v>0.1</v>
      </c>
      <c r="U36">
        <f>IF($F36="s-curve",$D36+($E36-$D36)*$I$2/(1+EXP($I$3*(COUNT($H$9:U$9)+$I$4))),TREND($D36:$E36,$D$9:$E$9,U$9))</f>
        <v>0.1</v>
      </c>
      <c r="V36">
        <f>IF($F36="s-curve",$D36+($E36-$D36)*$I$2/(1+EXP($I$3*(COUNT($H$9:V$9)+$I$4))),TREND($D36:$E36,$D$9:$E$9,V$9))</f>
        <v>0.1</v>
      </c>
      <c r="W36">
        <f>IF($F36="s-curve",$D36+($E36-$D36)*$I$2/(1+EXP($I$3*(COUNT($H$9:W$9)+$I$4))),TREND($D36:$E36,$D$9:$E$9,W$9))</f>
        <v>0.1</v>
      </c>
      <c r="X36">
        <f>IF($F36="s-curve",$D36+($E36-$D36)*$I$2/(1+EXP($I$3*(COUNT($H$9:X$9)+$I$4))),TREND($D36:$E36,$D$9:$E$9,X$9))</f>
        <v>0.1</v>
      </c>
      <c r="Y36">
        <f>IF($F36="s-curve",$D36+($E36-$D36)*$I$2/(1+EXP($I$3*(COUNT($H$9:Y$9)+$I$4))),TREND($D36:$E36,$D$9:$E$9,Y$9))</f>
        <v>0.1</v>
      </c>
      <c r="Z36">
        <f>IF($F36="s-curve",$D36+($E36-$D36)*$I$2/(1+EXP($I$3*(COUNT($H$9:Z$9)+$I$4))),TREND($D36:$E36,$D$9:$E$9,Z$9))</f>
        <v>0.1</v>
      </c>
      <c r="AA36">
        <f>IF($F36="s-curve",$D36+($E36-$D36)*$I$2/(1+EXP($I$3*(COUNT($H$9:AA$9)+$I$4))),TREND($D36:$E36,$D$9:$E$9,AA$9))</f>
        <v>0.1</v>
      </c>
      <c r="AB36">
        <f>IF($F36="s-curve",$D36+($E36-$D36)*$I$2/(1+EXP($I$3*(COUNT($H$9:AB$9)+$I$4))),TREND($D36:$E36,$D$9:$E$9,AB$9))</f>
        <v>0.1</v>
      </c>
      <c r="AC36">
        <f>IF($F36="s-curve",$D36+($E36-$D36)*$I$2/(1+EXP($I$3*(COUNT($H$9:AC$9)+$I$4))),TREND($D36:$E36,$D$9:$E$9,AC$9))</f>
        <v>0.1</v>
      </c>
      <c r="AD36">
        <f>IF($F36="s-curve",$D36+($E36-$D36)*$I$2/(1+EXP($I$3*(COUNT($H$9:AD$9)+$I$4))),TREND($D36:$E36,$D$9:$E$9,AD$9))</f>
        <v>0.1</v>
      </c>
      <c r="AE36">
        <f>IF($F36="s-curve",$D36+($E36-$D36)*$I$2/(1+EXP($I$3*(COUNT($H$9:AE$9)+$I$4))),TREND($D36:$E36,$D$9:$E$9,AE$9))</f>
        <v>0.1</v>
      </c>
      <c r="AF36">
        <f>IF($F36="s-curve",$D36+($E36-$D36)*$I$2/(1+EXP($I$3*(COUNT($H$9:AF$9)+$I$4))),TREND($D36:$E36,$D$9:$E$9,AF$9))</f>
        <v>0.1</v>
      </c>
      <c r="AG36">
        <f>IF($F36="s-curve",$D36+($E36-$D36)*$I$2/(1+EXP($I$3*(COUNT($H$9:AG$9)+$I$4))),TREND($D36:$E36,$D$9:$E$9,AG$9))</f>
        <v>0.1</v>
      </c>
      <c r="AH36">
        <f>IF($F36="s-curve",$D36+($E36-$D36)*$I$2/(1+EXP($I$3*(COUNT($H$9:AH$9)+$I$4))),TREND($D36:$E36,$D$9:$E$9,AH$9))</f>
        <v>0.1</v>
      </c>
      <c r="AI36">
        <f>IF($F36="s-curve",$D36+($E36-$D36)*$I$2/(1+EXP($I$3*(COUNT($H$9:AI$9)+$I$4))),TREND($D36:$E36,$D$9:$E$9,AI$9))</f>
        <v>0.1</v>
      </c>
      <c r="AJ36">
        <f>IF($F36="s-curve",$D36+($E36-$D36)*$I$2/(1+EXP($I$3*(COUNT($H$9:AJ$9)+$I$4))),TREND($D36:$E36,$D$9:$E$9,AJ$9))</f>
        <v>0.1</v>
      </c>
      <c r="AK36">
        <f>IF($F36="s-curve",$D36+($E36-$D36)*$I$2/(1+EXP($I$3*(COUNT($H$9:AK$9)+$I$4))),TREND($D36:$E36,$D$9:$E$9,AK$9))</f>
        <v>0.1</v>
      </c>
      <c r="AL36">
        <f>IF($F36="s-curve",$D36+($E36-$D36)*$I$2/(1+EXP($I$3*(COUNT($H$9:AL$9)+$I$4))),TREND($D36:$E36,$D$9:$E$9,AL$9))</f>
        <v>0.1</v>
      </c>
    </row>
    <row r="37" spans="1:38" ht="15.75" thickBot="1">
      <c r="A37" s="21"/>
      <c r="B37" s="21"/>
      <c r="C37" s="21" t="s">
        <v>79</v>
      </c>
      <c r="D37" s="21">
        <v>5.0000000000000001E-4</v>
      </c>
      <c r="E37" s="24">
        <f>D37</f>
        <v>5.0000000000000001E-4</v>
      </c>
      <c r="F37" s="7" t="str">
        <f>IF(D37=E37,"n/a",IF(OR(C37="battery electric vehicle",C37="natural gas vehicle",C37="plugin hybrid vehicle",C37="hydrogen vehicle"),"s-curve","linear"))</f>
        <v>n/a</v>
      </c>
      <c r="H37" s="20">
        <f t="shared" si="16"/>
        <v>5.0000000000000001E-4</v>
      </c>
      <c r="I37">
        <f>IF($F37="s-curve",$D37+($E37-$D37)*$I$2/(1+EXP($I$3*(COUNT($H$9:I$9)+$I$4))),TREND($D37:$E37,$D$9:$E$9,I$9))</f>
        <v>5.0000000000000001E-4</v>
      </c>
      <c r="J37">
        <f>IF($F37="s-curve",$D37+($E37-$D37)*$I$2/(1+EXP($I$3*(COUNT($H$9:J$9)+$I$4))),TREND($D37:$E37,$D$9:$E$9,J$9))</f>
        <v>5.0000000000000001E-4</v>
      </c>
      <c r="K37">
        <f>IF($F37="s-curve",$D37+($E37-$D37)*$I$2/(1+EXP($I$3*(COUNT($H$9:K$9)+$I$4))),TREND($D37:$E37,$D$9:$E$9,K$9))</f>
        <v>5.0000000000000001E-4</v>
      </c>
      <c r="L37">
        <f>IF($F37="s-curve",$D37+($E37-$D37)*$I$2/(1+EXP($I$3*(COUNT($H$9:L$9)+$I$4))),TREND($D37:$E37,$D$9:$E$9,L$9))</f>
        <v>5.0000000000000001E-4</v>
      </c>
      <c r="M37">
        <f>IF($F37="s-curve",$D37+($E37-$D37)*$I$2/(1+EXP($I$3*(COUNT($H$9:M$9)+$I$4))),TREND($D37:$E37,$D$9:$E$9,M$9))</f>
        <v>5.0000000000000001E-4</v>
      </c>
      <c r="N37">
        <f>IF($F37="s-curve",$D37+($E37-$D37)*$I$2/(1+EXP($I$3*(COUNT($H$9:N$9)+$I$4))),TREND($D37:$E37,$D$9:$E$9,N$9))</f>
        <v>5.0000000000000001E-4</v>
      </c>
      <c r="O37">
        <f>IF($F37="s-curve",$D37+($E37-$D37)*$I$2/(1+EXP($I$3*(COUNT($H$9:O$9)+$I$4))),TREND($D37:$E37,$D$9:$E$9,O$9))</f>
        <v>5.0000000000000001E-4</v>
      </c>
      <c r="P37">
        <f>IF($F37="s-curve",$D37+($E37-$D37)*$I$2/(1+EXP($I$3*(COUNT($H$9:P$9)+$I$4))),TREND($D37:$E37,$D$9:$E$9,P$9))</f>
        <v>5.0000000000000001E-4</v>
      </c>
      <c r="Q37">
        <f>IF($F37="s-curve",$D37+($E37-$D37)*$I$2/(1+EXP($I$3*(COUNT($H$9:Q$9)+$I$4))),TREND($D37:$E37,$D$9:$E$9,Q$9))</f>
        <v>5.0000000000000001E-4</v>
      </c>
      <c r="R37">
        <f>IF($F37="s-curve",$D37+($E37-$D37)*$I$2/(1+EXP($I$3*(COUNT($H$9:R$9)+$I$4))),TREND($D37:$E37,$D$9:$E$9,R$9))</f>
        <v>5.0000000000000001E-4</v>
      </c>
      <c r="S37">
        <f>IF($F37="s-curve",$D37+($E37-$D37)*$I$2/(1+EXP($I$3*(COUNT($H$9:S$9)+$I$4))),TREND($D37:$E37,$D$9:$E$9,S$9))</f>
        <v>5.0000000000000001E-4</v>
      </c>
      <c r="T37">
        <f>IF($F37="s-curve",$D37+($E37-$D37)*$I$2/(1+EXP($I$3*(COUNT($H$9:T$9)+$I$4))),TREND($D37:$E37,$D$9:$E$9,T$9))</f>
        <v>5.0000000000000001E-4</v>
      </c>
      <c r="U37">
        <f>IF($F37="s-curve",$D37+($E37-$D37)*$I$2/(1+EXP($I$3*(COUNT($H$9:U$9)+$I$4))),TREND($D37:$E37,$D$9:$E$9,U$9))</f>
        <v>5.0000000000000001E-4</v>
      </c>
      <c r="V37">
        <f>IF($F37="s-curve",$D37+($E37-$D37)*$I$2/(1+EXP($I$3*(COUNT($H$9:V$9)+$I$4))),TREND($D37:$E37,$D$9:$E$9,V$9))</f>
        <v>5.0000000000000001E-4</v>
      </c>
      <c r="W37">
        <f>IF($F37="s-curve",$D37+($E37-$D37)*$I$2/(1+EXP($I$3*(COUNT($H$9:W$9)+$I$4))),TREND($D37:$E37,$D$9:$E$9,W$9))</f>
        <v>5.0000000000000001E-4</v>
      </c>
      <c r="X37">
        <f>IF($F37="s-curve",$D37+($E37-$D37)*$I$2/(1+EXP($I$3*(COUNT($H$9:X$9)+$I$4))),TREND($D37:$E37,$D$9:$E$9,X$9))</f>
        <v>5.0000000000000001E-4</v>
      </c>
      <c r="Y37">
        <f>IF($F37="s-curve",$D37+($E37-$D37)*$I$2/(1+EXP($I$3*(COUNT($H$9:Y$9)+$I$4))),TREND($D37:$E37,$D$9:$E$9,Y$9))</f>
        <v>5.0000000000000001E-4</v>
      </c>
      <c r="Z37">
        <f>IF($F37="s-curve",$D37+($E37-$D37)*$I$2/(1+EXP($I$3*(COUNT($H$9:Z$9)+$I$4))),TREND($D37:$E37,$D$9:$E$9,Z$9))</f>
        <v>5.0000000000000001E-4</v>
      </c>
      <c r="AA37">
        <f>IF($F37="s-curve",$D37+($E37-$D37)*$I$2/(1+EXP($I$3*(COUNT($H$9:AA$9)+$I$4))),TREND($D37:$E37,$D$9:$E$9,AA$9))</f>
        <v>5.0000000000000001E-4</v>
      </c>
      <c r="AB37">
        <f>IF($F37="s-curve",$D37+($E37-$D37)*$I$2/(1+EXP($I$3*(COUNT($H$9:AB$9)+$I$4))),TREND($D37:$E37,$D$9:$E$9,AB$9))</f>
        <v>5.0000000000000001E-4</v>
      </c>
      <c r="AC37">
        <f>IF($F37="s-curve",$D37+($E37-$D37)*$I$2/(1+EXP($I$3*(COUNT($H$9:AC$9)+$I$4))),TREND($D37:$E37,$D$9:$E$9,AC$9))</f>
        <v>5.0000000000000001E-4</v>
      </c>
      <c r="AD37">
        <f>IF($F37="s-curve",$D37+($E37-$D37)*$I$2/(1+EXP($I$3*(COUNT($H$9:AD$9)+$I$4))),TREND($D37:$E37,$D$9:$E$9,AD$9))</f>
        <v>5.0000000000000001E-4</v>
      </c>
      <c r="AE37">
        <f>IF($F37="s-curve",$D37+($E37-$D37)*$I$2/(1+EXP($I$3*(COUNT($H$9:AE$9)+$I$4))),TREND($D37:$E37,$D$9:$E$9,AE$9))</f>
        <v>5.0000000000000001E-4</v>
      </c>
      <c r="AF37">
        <f>IF($F37="s-curve",$D37+($E37-$D37)*$I$2/(1+EXP($I$3*(COUNT($H$9:AF$9)+$I$4))),TREND($D37:$E37,$D$9:$E$9,AF$9))</f>
        <v>5.0000000000000001E-4</v>
      </c>
      <c r="AG37">
        <f>IF($F37="s-curve",$D37+($E37-$D37)*$I$2/(1+EXP($I$3*(COUNT($H$9:AG$9)+$I$4))),TREND($D37:$E37,$D$9:$E$9,AG$9))</f>
        <v>5.0000000000000001E-4</v>
      </c>
      <c r="AH37">
        <f>IF($F37="s-curve",$D37+($E37-$D37)*$I$2/(1+EXP($I$3*(COUNT($H$9:AH$9)+$I$4))),TREND($D37:$E37,$D$9:$E$9,AH$9))</f>
        <v>5.0000000000000001E-4</v>
      </c>
      <c r="AI37">
        <f>IF($F37="s-curve",$D37+($E37-$D37)*$I$2/(1+EXP($I$3*(COUNT($H$9:AI$9)+$I$4))),TREND($D37:$E37,$D$9:$E$9,AI$9))</f>
        <v>5.0000000000000001E-4</v>
      </c>
      <c r="AJ37">
        <f>IF($F37="s-curve",$D37+($E37-$D37)*$I$2/(1+EXP($I$3*(COUNT($H$9:AJ$9)+$I$4))),TREND($D37:$E37,$D$9:$E$9,AJ$9))</f>
        <v>5.0000000000000001E-4</v>
      </c>
      <c r="AK37">
        <f>IF($F37="s-curve",$D37+($E37-$D37)*$I$2/(1+EXP($I$3*(COUNT($H$9:AK$9)+$I$4))),TREND($D37:$E37,$D$9:$E$9,AK$9))</f>
        <v>5.0000000000000001E-4</v>
      </c>
      <c r="AL37">
        <f>IF($F37="s-curve",$D37+($E37-$D37)*$I$2/(1+EXP($I$3*(COUNT($H$9:AL$9)+$I$4))),TREND($D37:$E37,$D$9:$E$9,AL$9))</f>
        <v>5.0000000000000001E-4</v>
      </c>
    </row>
    <row r="38" spans="1:38">
      <c r="A38" t="s">
        <v>14</v>
      </c>
      <c r="B38" t="s">
        <v>19</v>
      </c>
      <c r="C38" t="s">
        <v>1</v>
      </c>
      <c r="D38">
        <v>0</v>
      </c>
      <c r="E38">
        <v>0</v>
      </c>
      <c r="F38" s="6" t="str">
        <f>IF(D38=E38,"n/a",IF(OR(C38="battery electric vehicle",C38="natural gas vehicle",C38="plugin hybrid vehicle"),"s-curve","linear"))</f>
        <v>n/a</v>
      </c>
      <c r="H38" s="20">
        <f t="shared" si="16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>
      <c r="C39" t="s">
        <v>2</v>
      </c>
      <c r="D39">
        <v>0</v>
      </c>
      <c r="E39">
        <v>0</v>
      </c>
      <c r="F39" s="6" t="str">
        <f>IF(D39=E39,"n/a",IF(OR(C39="battery electric vehicle",C39="natural gas vehicle",C39="plugin hybrid vehicle"),"s-curve","linear"))</f>
        <v>n/a</v>
      </c>
      <c r="H39" s="20">
        <f t="shared" si="16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>
      <c r="C40" t="s">
        <v>3</v>
      </c>
      <c r="D40">
        <v>0</v>
      </c>
      <c r="E40">
        <v>0</v>
      </c>
      <c r="F40" s="6" t="str">
        <f>IF(D40=E40,"n/a",IF(OR(C40="battery electric vehicle",C40="natural gas vehicle",C40="plugin hybrid vehicle"),"s-curve","linear"))</f>
        <v>n/a</v>
      </c>
      <c r="H40" s="20">
        <f t="shared" si="16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>
      <c r="C41" t="s">
        <v>4</v>
      </c>
      <c r="D41">
        <v>1</v>
      </c>
      <c r="E41">
        <v>1</v>
      </c>
      <c r="F41" s="6" t="str">
        <f>IF(D41=E41,"n/a",IF(OR(C41="battery electric vehicle",C41="natural gas vehicle",C41="plugin hybrid vehicle"),"s-curve","linear"))</f>
        <v>n/a</v>
      </c>
      <c r="H41" s="20">
        <f t="shared" ref="H41:H72" si="20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>
      <c r="C42" t="s">
        <v>5</v>
      </c>
      <c r="D42">
        <v>0</v>
      </c>
      <c r="E42">
        <v>0</v>
      </c>
      <c r="F42" s="6" t="str">
        <f>IF(D42=E42,"n/a",IF(OR(C42="battery electric vehicle",C42="natural gas vehicle",C42="plugin hybrid vehicle"),"s-curve","linear"))</f>
        <v>n/a</v>
      </c>
      <c r="H42" s="20">
        <f t="shared" si="20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>
      <c r="C43" t="s">
        <v>78</v>
      </c>
      <c r="D43">
        <v>0</v>
      </c>
      <c r="E43">
        <v>0</v>
      </c>
      <c r="F43" s="6" t="str">
        <f>IF(D43=E43,"n/a",IF(OR(C43="battery electric vehicle",C43="natural gas vehicle",C43="plugin hybrid vehicle",C43="hydrogen vehicle"),"s-curve","linear"))</f>
        <v>n/a</v>
      </c>
      <c r="H43" s="20">
        <f t="shared" si="20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5.75" thickBot="1">
      <c r="A44" s="21"/>
      <c r="B44" s="21"/>
      <c r="C44" s="21" t="s">
        <v>79</v>
      </c>
      <c r="D44" s="21">
        <v>0</v>
      </c>
      <c r="E44" s="21">
        <v>0</v>
      </c>
      <c r="F44" s="7" t="str">
        <f>IF(D44=E44,"n/a",IF(OR(C44="battery electric vehicle",C44="natural gas vehicle",C44="plugin hybrid vehicle",C44="hydrogen vehicle"),"s-curve","linear"))</f>
        <v>n/a</v>
      </c>
      <c r="H44" s="20">
        <f t="shared" si="20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>
      <c r="A45" t="s">
        <v>14</v>
      </c>
      <c r="B45" t="s">
        <v>18</v>
      </c>
      <c r="C45" t="s">
        <v>1</v>
      </c>
      <c r="D45">
        <v>0</v>
      </c>
      <c r="E45">
        <v>0</v>
      </c>
      <c r="F45" s="6" t="str">
        <f>IF(D45=E45,"n/a",IF(OR(C45="battery electric vehicle",C45="natural gas vehicle",C45="plugin hybrid vehicle"),"s-curve","linear"))</f>
        <v>n/a</v>
      </c>
      <c r="H45" s="20">
        <f t="shared" si="20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>
      <c r="C46" t="s">
        <v>2</v>
      </c>
      <c r="D46">
        <v>0</v>
      </c>
      <c r="E46">
        <v>0</v>
      </c>
      <c r="F46" s="6" t="str">
        <f>IF(D46=E46,"n/a",IF(OR(C46="battery electric vehicle",C46="natural gas vehicle",C46="plugin hybrid vehicle"),"s-curve","linear"))</f>
        <v>n/a</v>
      </c>
      <c r="H46" s="20">
        <f t="shared" si="20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>
      <c r="C47" t="s">
        <v>3</v>
      </c>
      <c r="D47">
        <v>0</v>
      </c>
      <c r="E47">
        <v>0</v>
      </c>
      <c r="F47" s="6" t="str">
        <f>IF(D47=E47,"n/a",IF(OR(C47="battery electric vehicle",C47="natural gas vehicle",C47="plugin hybrid vehicle"),"s-curve","linear"))</f>
        <v>n/a</v>
      </c>
      <c r="H47" s="20">
        <f t="shared" si="20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>
      <c r="C48" t="s">
        <v>4</v>
      </c>
      <c r="D48">
        <v>1</v>
      </c>
      <c r="E48">
        <v>1</v>
      </c>
      <c r="F48" s="6" t="str">
        <f>IF(D48=E48,"n/a",IF(OR(C48="battery electric vehicle",C48="natural gas vehicle",C48="plugin hybrid vehicle"),"s-curve","linear"))</f>
        <v>n/a</v>
      </c>
      <c r="H48" s="20">
        <f t="shared" si="20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>
      <c r="C49" t="s">
        <v>5</v>
      </c>
      <c r="D49">
        <v>0</v>
      </c>
      <c r="E49">
        <v>0</v>
      </c>
      <c r="F49" s="6" t="str">
        <f>IF(D49=E49,"n/a",IF(OR(C49="battery electric vehicle",C49="natural gas vehicle",C49="plugin hybrid vehicle"),"s-curve","linear"))</f>
        <v>n/a</v>
      </c>
      <c r="H49" s="20">
        <f t="shared" si="20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>
      <c r="C50" t="s">
        <v>78</v>
      </c>
      <c r="D50">
        <v>0</v>
      </c>
      <c r="E50">
        <v>0</v>
      </c>
      <c r="F50" s="6" t="str">
        <f>IF(D50=E50,"n/a",IF(OR(C50="battery electric vehicle",C50="natural gas vehicle",C50="plugin hybrid vehicle",C50="hydrogen vehicle"),"s-curve","linear"))</f>
        <v>n/a</v>
      </c>
      <c r="H50" s="20">
        <f t="shared" si="20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5.75" thickBot="1">
      <c r="A51" s="21"/>
      <c r="B51" s="21"/>
      <c r="C51" s="21" t="s">
        <v>79</v>
      </c>
      <c r="D51" s="21">
        <v>0</v>
      </c>
      <c r="E51" s="21">
        <v>0</v>
      </c>
      <c r="F51" s="7" t="str">
        <f>IF(D51=E51,"n/a",IF(OR(C51="battery electric vehicle",C51="natural gas vehicle",C51="plugin hybrid vehicle",C51="hydrogen vehicle"),"s-curve","linear"))</f>
        <v>n/a</v>
      </c>
      <c r="H51" s="20">
        <f t="shared" si="20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>
      <c r="A52" t="s">
        <v>15</v>
      </c>
      <c r="B52" t="s">
        <v>19</v>
      </c>
      <c r="C52" t="s">
        <v>1</v>
      </c>
      <c r="D52" s="20">
        <v>1</v>
      </c>
      <c r="E52" s="20">
        <f>D52</f>
        <v>1</v>
      </c>
      <c r="F52" s="6" t="str">
        <f>IF(D52=E52,"n/a",IF(OR(C52="battery electric vehicle",C52="natural gas vehicle",C52="plugin hybrid vehicle"),"s-curve","linear"))</f>
        <v>n/a</v>
      </c>
      <c r="H52" s="20">
        <f t="shared" si="20"/>
        <v>1</v>
      </c>
      <c r="I52">
        <f>IF($F52="s-curve",$D52+($E52-$D52)*$I$2/(1+EXP($I$3*(COUNT($H$9:I$9)+$I$4))),TREND($D52:$E52,$D$9:$E$9,I$9))</f>
        <v>1</v>
      </c>
      <c r="J52">
        <f>IF($F52="s-curve",$D52+($E52-$D52)*$I$2/(1+EXP($I$3*(COUNT($H$9:J$9)+$I$4))),TREND($D52:$E52,$D$9:$E$9,J$9))</f>
        <v>1</v>
      </c>
      <c r="K52">
        <f>IF($F52="s-curve",$D52+($E52-$D52)*$I$2/(1+EXP($I$3*(COUNT($H$9:K$9)+$I$4))),TREND($D52:$E52,$D$9:$E$9,K$9))</f>
        <v>1</v>
      </c>
      <c r="L52">
        <f>IF($F52="s-curve",$D52+($E52-$D52)*$I$2/(1+EXP($I$3*(COUNT($H$9:L$9)+$I$4))),TREND($D52:$E52,$D$9:$E$9,L$9))</f>
        <v>1</v>
      </c>
      <c r="M52">
        <f>IF($F52="s-curve",$D52+($E52-$D52)*$I$2/(1+EXP($I$3*(COUNT($H$9:M$9)+$I$4))),TREND($D52:$E52,$D$9:$E$9,M$9))</f>
        <v>1</v>
      </c>
      <c r="N52">
        <f>IF($F52="s-curve",$D52+($E52-$D52)*$I$2/(1+EXP($I$3*(COUNT($H$9:N$9)+$I$4))),TREND($D52:$E52,$D$9:$E$9,N$9))</f>
        <v>1</v>
      </c>
      <c r="O52">
        <f>IF($F52="s-curve",$D52+($E52-$D52)*$I$2/(1+EXP($I$3*(COUNT($H$9:O$9)+$I$4))),TREND($D52:$E52,$D$9:$E$9,O$9))</f>
        <v>1</v>
      </c>
      <c r="P52">
        <f>IF($F52="s-curve",$D52+($E52-$D52)*$I$2/(1+EXP($I$3*(COUNT($H$9:P$9)+$I$4))),TREND($D52:$E52,$D$9:$E$9,P$9))</f>
        <v>1</v>
      </c>
      <c r="Q52">
        <f>IF($F52="s-curve",$D52+($E52-$D52)*$I$2/(1+EXP($I$3*(COUNT($H$9:Q$9)+$I$4))),TREND($D52:$E52,$D$9:$E$9,Q$9))</f>
        <v>1</v>
      </c>
      <c r="R52">
        <f>IF($F52="s-curve",$D52+($E52-$D52)*$I$2/(1+EXP($I$3*(COUNT($H$9:R$9)+$I$4))),TREND($D52:$E52,$D$9:$E$9,R$9))</f>
        <v>1</v>
      </c>
      <c r="S52">
        <f>IF($F52="s-curve",$D52+($E52-$D52)*$I$2/(1+EXP($I$3*(COUNT($H$9:S$9)+$I$4))),TREND($D52:$E52,$D$9:$E$9,S$9))</f>
        <v>1</v>
      </c>
      <c r="T52">
        <f>IF($F52="s-curve",$D52+($E52-$D52)*$I$2/(1+EXP($I$3*(COUNT($H$9:T$9)+$I$4))),TREND($D52:$E52,$D$9:$E$9,T$9))</f>
        <v>1</v>
      </c>
      <c r="U52">
        <f>IF($F52="s-curve",$D52+($E52-$D52)*$I$2/(1+EXP($I$3*(COUNT($H$9:U$9)+$I$4))),TREND($D52:$E52,$D$9:$E$9,U$9))</f>
        <v>1</v>
      </c>
      <c r="V52">
        <f>IF($F52="s-curve",$D52+($E52-$D52)*$I$2/(1+EXP($I$3*(COUNT($H$9:V$9)+$I$4))),TREND($D52:$E52,$D$9:$E$9,V$9))</f>
        <v>1</v>
      </c>
      <c r="W52">
        <f>IF($F52="s-curve",$D52+($E52-$D52)*$I$2/(1+EXP($I$3*(COUNT($H$9:W$9)+$I$4))),TREND($D52:$E52,$D$9:$E$9,W$9))</f>
        <v>1</v>
      </c>
      <c r="X52">
        <f>IF($F52="s-curve",$D52+($E52-$D52)*$I$2/(1+EXP($I$3*(COUNT($H$9:X$9)+$I$4))),TREND($D52:$E52,$D$9:$E$9,X$9))</f>
        <v>1</v>
      </c>
      <c r="Y52">
        <f>IF($F52="s-curve",$D52+($E52-$D52)*$I$2/(1+EXP($I$3*(COUNT($H$9:Y$9)+$I$4))),TREND($D52:$E52,$D$9:$E$9,Y$9))</f>
        <v>1</v>
      </c>
      <c r="Z52">
        <f>IF($F52="s-curve",$D52+($E52-$D52)*$I$2/(1+EXP($I$3*(COUNT($H$9:Z$9)+$I$4))),TREND($D52:$E52,$D$9:$E$9,Z$9))</f>
        <v>1</v>
      </c>
      <c r="AA52">
        <f>IF($F52="s-curve",$D52+($E52-$D52)*$I$2/(1+EXP($I$3*(COUNT($H$9:AA$9)+$I$4))),TREND($D52:$E52,$D$9:$E$9,AA$9))</f>
        <v>1</v>
      </c>
      <c r="AB52">
        <f>IF($F52="s-curve",$D52+($E52-$D52)*$I$2/(1+EXP($I$3*(COUNT($H$9:AB$9)+$I$4))),TREND($D52:$E52,$D$9:$E$9,AB$9))</f>
        <v>1</v>
      </c>
      <c r="AC52">
        <f>IF($F52="s-curve",$D52+($E52-$D52)*$I$2/(1+EXP($I$3*(COUNT($H$9:AC$9)+$I$4))),TREND($D52:$E52,$D$9:$E$9,AC$9))</f>
        <v>1</v>
      </c>
      <c r="AD52">
        <f>IF($F52="s-curve",$D52+($E52-$D52)*$I$2/(1+EXP($I$3*(COUNT($H$9:AD$9)+$I$4))),TREND($D52:$E52,$D$9:$E$9,AD$9))</f>
        <v>1</v>
      </c>
      <c r="AE52">
        <f>IF($F52="s-curve",$D52+($E52-$D52)*$I$2/(1+EXP($I$3*(COUNT($H$9:AE$9)+$I$4))),TREND($D52:$E52,$D$9:$E$9,AE$9))</f>
        <v>1</v>
      </c>
      <c r="AF52">
        <f>IF($F52="s-curve",$D52+($E52-$D52)*$I$2/(1+EXP($I$3*(COUNT($H$9:AF$9)+$I$4))),TREND($D52:$E52,$D$9:$E$9,AF$9))</f>
        <v>1</v>
      </c>
      <c r="AG52">
        <f>IF($F52="s-curve",$D52+($E52-$D52)*$I$2/(1+EXP($I$3*(COUNT($H$9:AG$9)+$I$4))),TREND($D52:$E52,$D$9:$E$9,AG$9))</f>
        <v>1</v>
      </c>
      <c r="AH52">
        <f>IF($F52="s-curve",$D52+($E52-$D52)*$I$2/(1+EXP($I$3*(COUNT($H$9:AH$9)+$I$4))),TREND($D52:$E52,$D$9:$E$9,AH$9))</f>
        <v>1</v>
      </c>
      <c r="AI52">
        <f>IF($F52="s-curve",$D52+($E52-$D52)*$I$2/(1+EXP($I$3*(COUNT($H$9:AI$9)+$I$4))),TREND($D52:$E52,$D$9:$E$9,AI$9))</f>
        <v>1</v>
      </c>
      <c r="AJ52">
        <f>IF($F52="s-curve",$D52+($E52-$D52)*$I$2/(1+EXP($I$3*(COUNT($H$9:AJ$9)+$I$4))),TREND($D52:$E52,$D$9:$E$9,AJ$9))</f>
        <v>1</v>
      </c>
      <c r="AK52">
        <f>IF($F52="s-curve",$D52+($E52-$D52)*$I$2/(1+EXP($I$3*(COUNT($H$9:AK$9)+$I$4))),TREND($D52:$E52,$D$9:$E$9,AK$9))</f>
        <v>1</v>
      </c>
      <c r="AL52">
        <f>IF($F52="s-curve",$D52+($E52-$D52)*$I$2/(1+EXP($I$3*(COUNT($H$9:AL$9)+$I$4))),TREND($D52:$E52,$D$9:$E$9,AL$9))</f>
        <v>1</v>
      </c>
    </row>
    <row r="53" spans="1:38">
      <c r="C53" t="s">
        <v>2</v>
      </c>
      <c r="D53" s="20">
        <f>MIN(1.25*INDEX('SYVbT-passenger'!$B$5:$H$5,MATCH(Data!$C11,'SYVbT-passenger'!$B$1:$H$1,0))/SUM('SYVbT-passenger'!$B$5:$H$5),1)</f>
        <v>0</v>
      </c>
      <c r="E53" s="20">
        <f t="shared" ref="E53:E58" si="21">D53</f>
        <v>0</v>
      </c>
      <c r="F53" s="6" t="str">
        <f>IF(D53=E53,"n/a",IF(OR(C53="battery electric vehicle",C53="natural gas vehicle",C53="plugin hybrid vehicle"),"s-curve","linear"))</f>
        <v>n/a</v>
      </c>
      <c r="H53" s="20">
        <f t="shared" si="20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>
      <c r="C54" t="s">
        <v>3</v>
      </c>
      <c r="D54" s="20">
        <f>MIN(1.25*INDEX('SYVbT-passenger'!$B$5:$H$5,MATCH(Data!$C12,'SYVbT-passenger'!$B$1:$H$1,0))/SUM('SYVbT-passenger'!$B$5:$H$5),1)</f>
        <v>0</v>
      </c>
      <c r="E54" s="20">
        <f t="shared" si="21"/>
        <v>0</v>
      </c>
      <c r="F54" s="6" t="str">
        <f>IF(D54=E54,"n/a",IF(OR(C54="battery electric vehicle",C54="natural gas vehicle",C54="plugin hybrid vehicle"),"s-curve","linear"))</f>
        <v>n/a</v>
      </c>
      <c r="H54" s="20">
        <f t="shared" si="20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>
      <c r="C55" t="s">
        <v>4</v>
      </c>
      <c r="D55" s="20">
        <v>0.52</v>
      </c>
      <c r="E55" s="20">
        <f t="shared" si="21"/>
        <v>0.52</v>
      </c>
      <c r="F55" s="6" t="str">
        <f>IF(D55=E55,"n/a",IF(OR(C55="battery electric vehicle",C55="natural gas vehicle",C55="plugin hybrid vehicle"),"s-curve","linear"))</f>
        <v>n/a</v>
      </c>
      <c r="H55" s="20">
        <f t="shared" si="20"/>
        <v>0.52</v>
      </c>
      <c r="I55">
        <f>IF($F55="s-curve",$D55+($E55-$D55)*$I$2/(1+EXP($I$3*(COUNT($H$9:I$9)+$I$4))),TREND($D55:$E55,$D$9:$E$9,I$9))</f>
        <v>0.52</v>
      </c>
      <c r="J55">
        <f>IF($F55="s-curve",$D55+($E55-$D55)*$I$2/(1+EXP($I$3*(COUNT($H$9:J$9)+$I$4))),TREND($D55:$E55,$D$9:$E$9,J$9))</f>
        <v>0.52</v>
      </c>
      <c r="K55">
        <f>IF($F55="s-curve",$D55+($E55-$D55)*$I$2/(1+EXP($I$3*(COUNT($H$9:K$9)+$I$4))),TREND($D55:$E55,$D$9:$E$9,K$9))</f>
        <v>0.52</v>
      </c>
      <c r="L55">
        <f>IF($F55="s-curve",$D55+($E55-$D55)*$I$2/(1+EXP($I$3*(COUNT($H$9:L$9)+$I$4))),TREND($D55:$E55,$D$9:$E$9,L$9))</f>
        <v>0.52</v>
      </c>
      <c r="M55">
        <f>IF($F55="s-curve",$D55+($E55-$D55)*$I$2/(1+EXP($I$3*(COUNT($H$9:M$9)+$I$4))),TREND($D55:$E55,$D$9:$E$9,M$9))</f>
        <v>0.52</v>
      </c>
      <c r="N55">
        <f>IF($F55="s-curve",$D55+($E55-$D55)*$I$2/(1+EXP($I$3*(COUNT($H$9:N$9)+$I$4))),TREND($D55:$E55,$D$9:$E$9,N$9))</f>
        <v>0.52</v>
      </c>
      <c r="O55">
        <f>IF($F55="s-curve",$D55+($E55-$D55)*$I$2/(1+EXP($I$3*(COUNT($H$9:O$9)+$I$4))),TREND($D55:$E55,$D$9:$E$9,O$9))</f>
        <v>0.52</v>
      </c>
      <c r="P55">
        <f>IF($F55="s-curve",$D55+($E55-$D55)*$I$2/(1+EXP($I$3*(COUNT($H$9:P$9)+$I$4))),TREND($D55:$E55,$D$9:$E$9,P$9))</f>
        <v>0.52</v>
      </c>
      <c r="Q55">
        <f>IF($F55="s-curve",$D55+($E55-$D55)*$I$2/(1+EXP($I$3*(COUNT($H$9:Q$9)+$I$4))),TREND($D55:$E55,$D$9:$E$9,Q$9))</f>
        <v>0.52</v>
      </c>
      <c r="R55">
        <f>IF($F55="s-curve",$D55+($E55-$D55)*$I$2/(1+EXP($I$3*(COUNT($H$9:R$9)+$I$4))),TREND($D55:$E55,$D$9:$E$9,R$9))</f>
        <v>0.52</v>
      </c>
      <c r="S55">
        <f>IF($F55="s-curve",$D55+($E55-$D55)*$I$2/(1+EXP($I$3*(COUNT($H$9:S$9)+$I$4))),TREND($D55:$E55,$D$9:$E$9,S$9))</f>
        <v>0.52</v>
      </c>
      <c r="T55">
        <f>IF($F55="s-curve",$D55+($E55-$D55)*$I$2/(1+EXP($I$3*(COUNT($H$9:T$9)+$I$4))),TREND($D55:$E55,$D$9:$E$9,T$9))</f>
        <v>0.52</v>
      </c>
      <c r="U55">
        <f>IF($F55="s-curve",$D55+($E55-$D55)*$I$2/(1+EXP($I$3*(COUNT($H$9:U$9)+$I$4))),TREND($D55:$E55,$D$9:$E$9,U$9))</f>
        <v>0.52</v>
      </c>
      <c r="V55">
        <f>IF($F55="s-curve",$D55+($E55-$D55)*$I$2/(1+EXP($I$3*(COUNT($H$9:V$9)+$I$4))),TREND($D55:$E55,$D$9:$E$9,V$9))</f>
        <v>0.52</v>
      </c>
      <c r="W55">
        <f>IF($F55="s-curve",$D55+($E55-$D55)*$I$2/(1+EXP($I$3*(COUNT($H$9:W$9)+$I$4))),TREND($D55:$E55,$D$9:$E$9,W$9))</f>
        <v>0.52</v>
      </c>
      <c r="X55">
        <f>IF($F55="s-curve",$D55+($E55-$D55)*$I$2/(1+EXP($I$3*(COUNT($H$9:X$9)+$I$4))),TREND($D55:$E55,$D$9:$E$9,X$9))</f>
        <v>0.52</v>
      </c>
      <c r="Y55">
        <f>IF($F55="s-curve",$D55+($E55-$D55)*$I$2/(1+EXP($I$3*(COUNT($H$9:Y$9)+$I$4))),TREND($D55:$E55,$D$9:$E$9,Y$9))</f>
        <v>0.52</v>
      </c>
      <c r="Z55">
        <f>IF($F55="s-curve",$D55+($E55-$D55)*$I$2/(1+EXP($I$3*(COUNT($H$9:Z$9)+$I$4))),TREND($D55:$E55,$D$9:$E$9,Z$9))</f>
        <v>0.52</v>
      </c>
      <c r="AA55">
        <f>IF($F55="s-curve",$D55+($E55-$D55)*$I$2/(1+EXP($I$3*(COUNT($H$9:AA$9)+$I$4))),TREND($D55:$E55,$D$9:$E$9,AA$9))</f>
        <v>0.52</v>
      </c>
      <c r="AB55">
        <f>IF($F55="s-curve",$D55+($E55-$D55)*$I$2/(1+EXP($I$3*(COUNT($H$9:AB$9)+$I$4))),TREND($D55:$E55,$D$9:$E$9,AB$9))</f>
        <v>0.52</v>
      </c>
      <c r="AC55">
        <f>IF($F55="s-curve",$D55+($E55-$D55)*$I$2/(1+EXP($I$3*(COUNT($H$9:AC$9)+$I$4))),TREND($D55:$E55,$D$9:$E$9,AC$9))</f>
        <v>0.52</v>
      </c>
      <c r="AD55">
        <f>IF($F55="s-curve",$D55+($E55-$D55)*$I$2/(1+EXP($I$3*(COUNT($H$9:AD$9)+$I$4))),TREND($D55:$E55,$D$9:$E$9,AD$9))</f>
        <v>0.52</v>
      </c>
      <c r="AE55">
        <f>IF($F55="s-curve",$D55+($E55-$D55)*$I$2/(1+EXP($I$3*(COUNT($H$9:AE$9)+$I$4))),TREND($D55:$E55,$D$9:$E$9,AE$9))</f>
        <v>0.52</v>
      </c>
      <c r="AF55">
        <f>IF($F55="s-curve",$D55+($E55-$D55)*$I$2/(1+EXP($I$3*(COUNT($H$9:AF$9)+$I$4))),TREND($D55:$E55,$D$9:$E$9,AF$9))</f>
        <v>0.52</v>
      </c>
      <c r="AG55">
        <f>IF($F55="s-curve",$D55+($E55-$D55)*$I$2/(1+EXP($I$3*(COUNT($H$9:AG$9)+$I$4))),TREND($D55:$E55,$D$9:$E$9,AG$9))</f>
        <v>0.52</v>
      </c>
      <c r="AH55">
        <f>IF($F55="s-curve",$D55+($E55-$D55)*$I$2/(1+EXP($I$3*(COUNT($H$9:AH$9)+$I$4))),TREND($D55:$E55,$D$9:$E$9,AH$9))</f>
        <v>0.52</v>
      </c>
      <c r="AI55">
        <f>IF($F55="s-curve",$D55+($E55-$D55)*$I$2/(1+EXP($I$3*(COUNT($H$9:AI$9)+$I$4))),TREND($D55:$E55,$D$9:$E$9,AI$9))</f>
        <v>0.52</v>
      </c>
      <c r="AJ55">
        <f>IF($F55="s-curve",$D55+($E55-$D55)*$I$2/(1+EXP($I$3*(COUNT($H$9:AJ$9)+$I$4))),TREND($D55:$E55,$D$9:$E$9,AJ$9))</f>
        <v>0.52</v>
      </c>
      <c r="AK55">
        <f>IF($F55="s-curve",$D55+($E55-$D55)*$I$2/(1+EXP($I$3*(COUNT($H$9:AK$9)+$I$4))),TREND($D55:$E55,$D$9:$E$9,AK$9))</f>
        <v>0.52</v>
      </c>
      <c r="AL55">
        <f>IF($F55="s-curve",$D55+($E55-$D55)*$I$2/(1+EXP($I$3*(COUNT($H$9:AL$9)+$I$4))),TREND($D55:$E55,$D$9:$E$9,AL$9))</f>
        <v>0.52</v>
      </c>
    </row>
    <row r="56" spans="1:38">
      <c r="C56" t="s">
        <v>5</v>
      </c>
      <c r="D56" s="20">
        <f>MIN(1.25*INDEX('SYVbT-passenger'!$B$5:$H$5,MATCH(Data!$C14,'SYVbT-passenger'!$B$1:$H$1,0))/SUM('SYVbT-passenger'!$B$5:$H$5),1)</f>
        <v>0</v>
      </c>
      <c r="E56" s="20">
        <f t="shared" si="21"/>
        <v>0</v>
      </c>
      <c r="F56" s="6" t="str">
        <f>IF(D56=E56,"n/a",IF(OR(C56="battery electric vehicle",C56="natural gas vehicle",C56="plugin hybrid vehicle"),"s-curve","linear"))</f>
        <v>n/a</v>
      </c>
      <c r="H56" s="20">
        <f t="shared" si="20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>
      <c r="C57" t="s">
        <v>78</v>
      </c>
      <c r="D57" s="20">
        <f>MIN(1.25*INDEX('SYVbT-passenger'!$B$5:$H$5,MATCH(Data!$C15,'SYVbT-passenger'!$B$1:$H$1,0))/SUM('SYVbT-passenger'!$B$5:$H$5),1)</f>
        <v>0</v>
      </c>
      <c r="E57" s="20">
        <f t="shared" si="21"/>
        <v>0</v>
      </c>
      <c r="F57" s="6" t="str">
        <f>IF(D57=E57,"n/a",IF(OR(C57="battery electric vehicle",C57="natural gas vehicle",C57="plugin hybrid vehicle",C57="hydrogen vehicle"),"s-curve","linear"))</f>
        <v>n/a</v>
      </c>
      <c r="H57" s="20">
        <f t="shared" si="20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5.75" thickBot="1">
      <c r="A58" s="21"/>
      <c r="B58" s="21"/>
      <c r="C58" s="21" t="s">
        <v>79</v>
      </c>
      <c r="D58" s="21">
        <f>MIN(1.25*INDEX('SYVbT-passenger'!$B$5:$H$5,MATCH(Data!$C16,'SYVbT-passenger'!$B$1:$H$1,0))/SUM('SYVbT-passenger'!$B$5:$H$5),1)</f>
        <v>0</v>
      </c>
      <c r="E58" s="21">
        <f t="shared" si="21"/>
        <v>0</v>
      </c>
      <c r="F58" s="7" t="str">
        <f>IF(D58=E58,"n/a",IF(OR(C58="battery electric vehicle",C58="natural gas vehicle",C58="plugin hybrid vehicle",C58="hydrogen vehicle"),"s-curve","linear"))</f>
        <v>n/a</v>
      </c>
      <c r="H58" s="20">
        <f t="shared" si="20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>
      <c r="A59" t="s">
        <v>15</v>
      </c>
      <c r="B59" t="s">
        <v>18</v>
      </c>
      <c r="C59" t="s">
        <v>1</v>
      </c>
      <c r="D59">
        <v>0.2</v>
      </c>
      <c r="E59">
        <f>D59</f>
        <v>0.2</v>
      </c>
      <c r="F59" s="6" t="str">
        <f>IF(D59=E59,"n/a",IF(OR(C59="battery electric vehicle",C59="natural gas vehicle",C59="plugin hybrid vehicle"),"s-curve","linear"))</f>
        <v>n/a</v>
      </c>
      <c r="H59" s="20">
        <f t="shared" si="20"/>
        <v>0.2</v>
      </c>
      <c r="I59">
        <f>IF($F59="s-curve",$D59+($E59-$D59)*$I$2/(1+EXP($I$3*(COUNT($H$9:I$9)+$I$4))),TREND($D59:$E59,$D$9:$E$9,I$9))</f>
        <v>0.2</v>
      </c>
      <c r="J59">
        <f>IF($F59="s-curve",$D59+($E59-$D59)*$I$2/(1+EXP($I$3*(COUNT($H$9:J$9)+$I$4))),TREND($D59:$E59,$D$9:$E$9,J$9))</f>
        <v>0.2</v>
      </c>
      <c r="K59">
        <f>IF($F59="s-curve",$D59+($E59-$D59)*$I$2/(1+EXP($I$3*(COUNT($H$9:K$9)+$I$4))),TREND($D59:$E59,$D$9:$E$9,K$9))</f>
        <v>0.2</v>
      </c>
      <c r="L59">
        <f>IF($F59="s-curve",$D59+($E59-$D59)*$I$2/(1+EXP($I$3*(COUNT($H$9:L$9)+$I$4))),TREND($D59:$E59,$D$9:$E$9,L$9))</f>
        <v>0.2</v>
      </c>
      <c r="M59">
        <f>IF($F59="s-curve",$D59+($E59-$D59)*$I$2/(1+EXP($I$3*(COUNT($H$9:M$9)+$I$4))),TREND($D59:$E59,$D$9:$E$9,M$9))</f>
        <v>0.2</v>
      </c>
      <c r="N59">
        <f>IF($F59="s-curve",$D59+($E59-$D59)*$I$2/(1+EXP($I$3*(COUNT($H$9:N$9)+$I$4))),TREND($D59:$E59,$D$9:$E$9,N$9))</f>
        <v>0.2</v>
      </c>
      <c r="O59">
        <f>IF($F59="s-curve",$D59+($E59-$D59)*$I$2/(1+EXP($I$3*(COUNT($H$9:O$9)+$I$4))),TREND($D59:$E59,$D$9:$E$9,O$9))</f>
        <v>0.2</v>
      </c>
      <c r="P59">
        <f>IF($F59="s-curve",$D59+($E59-$D59)*$I$2/(1+EXP($I$3*(COUNT($H$9:P$9)+$I$4))),TREND($D59:$E59,$D$9:$E$9,P$9))</f>
        <v>0.2</v>
      </c>
      <c r="Q59">
        <f>IF($F59="s-curve",$D59+($E59-$D59)*$I$2/(1+EXP($I$3*(COUNT($H$9:Q$9)+$I$4))),TREND($D59:$E59,$D$9:$E$9,Q$9))</f>
        <v>0.2</v>
      </c>
      <c r="R59">
        <f>IF($F59="s-curve",$D59+($E59-$D59)*$I$2/(1+EXP($I$3*(COUNT($H$9:R$9)+$I$4))),TREND($D59:$E59,$D$9:$E$9,R$9))</f>
        <v>0.2</v>
      </c>
      <c r="S59">
        <f>IF($F59="s-curve",$D59+($E59-$D59)*$I$2/(1+EXP($I$3*(COUNT($H$9:S$9)+$I$4))),TREND($D59:$E59,$D$9:$E$9,S$9))</f>
        <v>0.2</v>
      </c>
      <c r="T59">
        <f>IF($F59="s-curve",$D59+($E59-$D59)*$I$2/(1+EXP($I$3*(COUNT($H$9:T$9)+$I$4))),TREND($D59:$E59,$D$9:$E$9,T$9))</f>
        <v>0.2</v>
      </c>
      <c r="U59">
        <f>IF($F59="s-curve",$D59+($E59-$D59)*$I$2/(1+EXP($I$3*(COUNT($H$9:U$9)+$I$4))),TREND($D59:$E59,$D$9:$E$9,U$9))</f>
        <v>0.2</v>
      </c>
      <c r="V59">
        <f>IF($F59="s-curve",$D59+($E59-$D59)*$I$2/(1+EXP($I$3*(COUNT($H$9:V$9)+$I$4))),TREND($D59:$E59,$D$9:$E$9,V$9))</f>
        <v>0.2</v>
      </c>
      <c r="W59">
        <f>IF($F59="s-curve",$D59+($E59-$D59)*$I$2/(1+EXP($I$3*(COUNT($H$9:W$9)+$I$4))),TREND($D59:$E59,$D$9:$E$9,W$9))</f>
        <v>0.2</v>
      </c>
      <c r="X59">
        <f>IF($F59="s-curve",$D59+($E59-$D59)*$I$2/(1+EXP($I$3*(COUNT($H$9:X$9)+$I$4))),TREND($D59:$E59,$D$9:$E$9,X$9))</f>
        <v>0.2</v>
      </c>
      <c r="Y59">
        <f>IF($F59="s-curve",$D59+($E59-$D59)*$I$2/(1+EXP($I$3*(COUNT($H$9:Y$9)+$I$4))),TREND($D59:$E59,$D$9:$E$9,Y$9))</f>
        <v>0.2</v>
      </c>
      <c r="Z59">
        <f>IF($F59="s-curve",$D59+($E59-$D59)*$I$2/(1+EXP($I$3*(COUNT($H$9:Z$9)+$I$4))),TREND($D59:$E59,$D$9:$E$9,Z$9))</f>
        <v>0.2</v>
      </c>
      <c r="AA59">
        <f>IF($F59="s-curve",$D59+($E59-$D59)*$I$2/(1+EXP($I$3*(COUNT($H$9:AA$9)+$I$4))),TREND($D59:$E59,$D$9:$E$9,AA$9))</f>
        <v>0.2</v>
      </c>
      <c r="AB59">
        <f>IF($F59="s-curve",$D59+($E59-$D59)*$I$2/(1+EXP($I$3*(COUNT($H$9:AB$9)+$I$4))),TREND($D59:$E59,$D$9:$E$9,AB$9))</f>
        <v>0.2</v>
      </c>
      <c r="AC59">
        <f>IF($F59="s-curve",$D59+($E59-$D59)*$I$2/(1+EXP($I$3*(COUNT($H$9:AC$9)+$I$4))),TREND($D59:$E59,$D$9:$E$9,AC$9))</f>
        <v>0.2</v>
      </c>
      <c r="AD59">
        <f>IF($F59="s-curve",$D59+($E59-$D59)*$I$2/(1+EXP($I$3*(COUNT($H$9:AD$9)+$I$4))),TREND($D59:$E59,$D$9:$E$9,AD$9))</f>
        <v>0.2</v>
      </c>
      <c r="AE59">
        <f>IF($F59="s-curve",$D59+($E59-$D59)*$I$2/(1+EXP($I$3*(COUNT($H$9:AE$9)+$I$4))),TREND($D59:$E59,$D$9:$E$9,AE$9))</f>
        <v>0.2</v>
      </c>
      <c r="AF59">
        <f>IF($F59="s-curve",$D59+($E59-$D59)*$I$2/(1+EXP($I$3*(COUNT($H$9:AF$9)+$I$4))),TREND($D59:$E59,$D$9:$E$9,AF$9))</f>
        <v>0.2</v>
      </c>
      <c r="AG59">
        <f>IF($F59="s-curve",$D59+($E59-$D59)*$I$2/(1+EXP($I$3*(COUNT($H$9:AG$9)+$I$4))),TREND($D59:$E59,$D$9:$E$9,AG$9))</f>
        <v>0.2</v>
      </c>
      <c r="AH59">
        <f>IF($F59="s-curve",$D59+($E59-$D59)*$I$2/(1+EXP($I$3*(COUNT($H$9:AH$9)+$I$4))),TREND($D59:$E59,$D$9:$E$9,AH$9))</f>
        <v>0.2</v>
      </c>
      <c r="AI59">
        <f>IF($F59="s-curve",$D59+($E59-$D59)*$I$2/(1+EXP($I$3*(COUNT($H$9:AI$9)+$I$4))),TREND($D59:$E59,$D$9:$E$9,AI$9))</f>
        <v>0.2</v>
      </c>
      <c r="AJ59">
        <f>IF($F59="s-curve",$D59+($E59-$D59)*$I$2/(1+EXP($I$3*(COUNT($H$9:AJ$9)+$I$4))),TREND($D59:$E59,$D$9:$E$9,AJ$9))</f>
        <v>0.2</v>
      </c>
      <c r="AK59">
        <f>IF($F59="s-curve",$D59+($E59-$D59)*$I$2/(1+EXP($I$3*(COUNT($H$9:AK$9)+$I$4))),TREND($D59:$E59,$D$9:$E$9,AK$9))</f>
        <v>0.2</v>
      </c>
      <c r="AL59">
        <f>IF($F59="s-curve",$D59+($E59-$D59)*$I$2/(1+EXP($I$3*(COUNT($H$9:AL$9)+$I$4))),TREND($D59:$E59,$D$9:$E$9,AL$9))</f>
        <v>0.2</v>
      </c>
    </row>
    <row r="60" spans="1:38">
      <c r="C60" t="s">
        <v>2</v>
      </c>
      <c r="D60">
        <f>MIN(1.25*INDEX('SYVbT-freight'!$B$5:$H$5,MATCH(Data!$C11,'SYVbT-passenger'!$B$1:$H$1,0))/SUM('SYVbT-freight'!$B$5:$H$5),1)</f>
        <v>0</v>
      </c>
      <c r="E60">
        <f t="shared" ref="E60:E65" si="22">D60</f>
        <v>0</v>
      </c>
      <c r="F60" s="6" t="str">
        <f>IF(D60=E60,"n/a",IF(OR(C60="battery electric vehicle",C60="natural gas vehicle",C60="plugin hybrid vehicle"),"s-curve","linear"))</f>
        <v>n/a</v>
      </c>
      <c r="H60" s="20">
        <f t="shared" si="20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>
      <c r="C61" t="s">
        <v>3</v>
      </c>
      <c r="D61">
        <f>MIN(1.25*INDEX('SYVbT-freight'!$B$5:$H$5,MATCH(Data!$C12,'SYVbT-passenger'!$B$1:$H$1,0))/SUM('SYVbT-freight'!$B$5:$H$5),1)</f>
        <v>0</v>
      </c>
      <c r="E61">
        <f t="shared" si="22"/>
        <v>0</v>
      </c>
      <c r="F61" s="6" t="str">
        <f>IF(D61=E61,"n/a",IF(OR(C61="battery electric vehicle",C61="natural gas vehicle",C61="plugin hybrid vehicle"),"s-curve","linear"))</f>
        <v>n/a</v>
      </c>
      <c r="H61" s="20">
        <f t="shared" si="20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>
      <c r="C62" t="s">
        <v>4</v>
      </c>
      <c r="D62">
        <v>1</v>
      </c>
      <c r="E62">
        <f t="shared" si="22"/>
        <v>1</v>
      </c>
      <c r="F62" s="6" t="str">
        <f>IF(D62=E62,"n/a",IF(OR(C62="battery electric vehicle",C62="natural gas vehicle",C62="plugin hybrid vehicle"),"s-curve","linear"))</f>
        <v>n/a</v>
      </c>
      <c r="H62" s="20">
        <f t="shared" si="20"/>
        <v>1</v>
      </c>
      <c r="I62">
        <f>IF($F62="s-curve",$D62+($E62-$D62)*$I$2/(1+EXP($I$3*(COUNT($H$9:I$9)+$I$4))),TREND($D62:$E62,$D$9:$E$9,I$9))</f>
        <v>1</v>
      </c>
      <c r="J62">
        <f>IF($F62="s-curve",$D62+($E62-$D62)*$I$2/(1+EXP($I$3*(COUNT($H$9:J$9)+$I$4))),TREND($D62:$E62,$D$9:$E$9,J$9))</f>
        <v>1</v>
      </c>
      <c r="K62">
        <f>IF($F62="s-curve",$D62+($E62-$D62)*$I$2/(1+EXP($I$3*(COUNT($H$9:K$9)+$I$4))),TREND($D62:$E62,$D$9:$E$9,K$9))</f>
        <v>1</v>
      </c>
      <c r="L62">
        <f>IF($F62="s-curve",$D62+($E62-$D62)*$I$2/(1+EXP($I$3*(COUNT($H$9:L$9)+$I$4))),TREND($D62:$E62,$D$9:$E$9,L$9))</f>
        <v>1</v>
      </c>
      <c r="M62">
        <f>IF($F62="s-curve",$D62+($E62-$D62)*$I$2/(1+EXP($I$3*(COUNT($H$9:M$9)+$I$4))),TREND($D62:$E62,$D$9:$E$9,M$9))</f>
        <v>1</v>
      </c>
      <c r="N62">
        <f>IF($F62="s-curve",$D62+($E62-$D62)*$I$2/(1+EXP($I$3*(COUNT($H$9:N$9)+$I$4))),TREND($D62:$E62,$D$9:$E$9,N$9))</f>
        <v>1</v>
      </c>
      <c r="O62">
        <f>IF($F62="s-curve",$D62+($E62-$D62)*$I$2/(1+EXP($I$3*(COUNT($H$9:O$9)+$I$4))),TREND($D62:$E62,$D$9:$E$9,O$9))</f>
        <v>1</v>
      </c>
      <c r="P62">
        <f>IF($F62="s-curve",$D62+($E62-$D62)*$I$2/(1+EXP($I$3*(COUNT($H$9:P$9)+$I$4))),TREND($D62:$E62,$D$9:$E$9,P$9))</f>
        <v>1</v>
      </c>
      <c r="Q62">
        <f>IF($F62="s-curve",$D62+($E62-$D62)*$I$2/(1+EXP($I$3*(COUNT($H$9:Q$9)+$I$4))),TREND($D62:$E62,$D$9:$E$9,Q$9))</f>
        <v>1</v>
      </c>
      <c r="R62">
        <f>IF($F62="s-curve",$D62+($E62-$D62)*$I$2/(1+EXP($I$3*(COUNT($H$9:R$9)+$I$4))),TREND($D62:$E62,$D$9:$E$9,R$9))</f>
        <v>1</v>
      </c>
      <c r="S62">
        <f>IF($F62="s-curve",$D62+($E62-$D62)*$I$2/(1+EXP($I$3*(COUNT($H$9:S$9)+$I$4))),TREND($D62:$E62,$D$9:$E$9,S$9))</f>
        <v>1</v>
      </c>
      <c r="T62">
        <f>IF($F62="s-curve",$D62+($E62-$D62)*$I$2/(1+EXP($I$3*(COUNT($H$9:T$9)+$I$4))),TREND($D62:$E62,$D$9:$E$9,T$9))</f>
        <v>1</v>
      </c>
      <c r="U62">
        <f>IF($F62="s-curve",$D62+($E62-$D62)*$I$2/(1+EXP($I$3*(COUNT($H$9:U$9)+$I$4))),TREND($D62:$E62,$D$9:$E$9,U$9))</f>
        <v>1</v>
      </c>
      <c r="V62">
        <f>IF($F62="s-curve",$D62+($E62-$D62)*$I$2/(1+EXP($I$3*(COUNT($H$9:V$9)+$I$4))),TREND($D62:$E62,$D$9:$E$9,V$9))</f>
        <v>1</v>
      </c>
      <c r="W62">
        <f>IF($F62="s-curve",$D62+($E62-$D62)*$I$2/(1+EXP($I$3*(COUNT($H$9:W$9)+$I$4))),TREND($D62:$E62,$D$9:$E$9,W$9))</f>
        <v>1</v>
      </c>
      <c r="X62">
        <f>IF($F62="s-curve",$D62+($E62-$D62)*$I$2/(1+EXP($I$3*(COUNT($H$9:X$9)+$I$4))),TREND($D62:$E62,$D$9:$E$9,X$9))</f>
        <v>1</v>
      </c>
      <c r="Y62">
        <f>IF($F62="s-curve",$D62+($E62-$D62)*$I$2/(1+EXP($I$3*(COUNT($H$9:Y$9)+$I$4))),TREND($D62:$E62,$D$9:$E$9,Y$9))</f>
        <v>1</v>
      </c>
      <c r="Z62">
        <f>IF($F62="s-curve",$D62+($E62-$D62)*$I$2/(1+EXP($I$3*(COUNT($H$9:Z$9)+$I$4))),TREND($D62:$E62,$D$9:$E$9,Z$9))</f>
        <v>1</v>
      </c>
      <c r="AA62">
        <f>IF($F62="s-curve",$D62+($E62-$D62)*$I$2/(1+EXP($I$3*(COUNT($H$9:AA$9)+$I$4))),TREND($D62:$E62,$D$9:$E$9,AA$9))</f>
        <v>1</v>
      </c>
      <c r="AB62">
        <f>IF($F62="s-curve",$D62+($E62-$D62)*$I$2/(1+EXP($I$3*(COUNT($H$9:AB$9)+$I$4))),TREND($D62:$E62,$D$9:$E$9,AB$9))</f>
        <v>1</v>
      </c>
      <c r="AC62">
        <f>IF($F62="s-curve",$D62+($E62-$D62)*$I$2/(1+EXP($I$3*(COUNT($H$9:AC$9)+$I$4))),TREND($D62:$E62,$D$9:$E$9,AC$9))</f>
        <v>1</v>
      </c>
      <c r="AD62">
        <f>IF($F62="s-curve",$D62+($E62-$D62)*$I$2/(1+EXP($I$3*(COUNT($H$9:AD$9)+$I$4))),TREND($D62:$E62,$D$9:$E$9,AD$9))</f>
        <v>1</v>
      </c>
      <c r="AE62">
        <f>IF($F62="s-curve",$D62+($E62-$D62)*$I$2/(1+EXP($I$3*(COUNT($H$9:AE$9)+$I$4))),TREND($D62:$E62,$D$9:$E$9,AE$9))</f>
        <v>1</v>
      </c>
      <c r="AF62">
        <f>IF($F62="s-curve",$D62+($E62-$D62)*$I$2/(1+EXP($I$3*(COUNT($H$9:AF$9)+$I$4))),TREND($D62:$E62,$D$9:$E$9,AF$9))</f>
        <v>1</v>
      </c>
      <c r="AG62">
        <f>IF($F62="s-curve",$D62+($E62-$D62)*$I$2/(1+EXP($I$3*(COUNT($H$9:AG$9)+$I$4))),TREND($D62:$E62,$D$9:$E$9,AG$9))</f>
        <v>1</v>
      </c>
      <c r="AH62">
        <f>IF($F62="s-curve",$D62+($E62-$D62)*$I$2/(1+EXP($I$3*(COUNT($H$9:AH$9)+$I$4))),TREND($D62:$E62,$D$9:$E$9,AH$9))</f>
        <v>1</v>
      </c>
      <c r="AI62">
        <f>IF($F62="s-curve",$D62+($E62-$D62)*$I$2/(1+EXP($I$3*(COUNT($H$9:AI$9)+$I$4))),TREND($D62:$E62,$D$9:$E$9,AI$9))</f>
        <v>1</v>
      </c>
      <c r="AJ62">
        <f>IF($F62="s-curve",$D62+($E62-$D62)*$I$2/(1+EXP($I$3*(COUNT($H$9:AJ$9)+$I$4))),TREND($D62:$E62,$D$9:$E$9,AJ$9))</f>
        <v>1</v>
      </c>
      <c r="AK62">
        <f>IF($F62="s-curve",$D62+($E62-$D62)*$I$2/(1+EXP($I$3*(COUNT($H$9:AK$9)+$I$4))),TREND($D62:$E62,$D$9:$E$9,AK$9))</f>
        <v>1</v>
      </c>
      <c r="AL62">
        <f>IF($F62="s-curve",$D62+($E62-$D62)*$I$2/(1+EXP($I$3*(COUNT($H$9:AL$9)+$I$4))),TREND($D62:$E62,$D$9:$E$9,AL$9))</f>
        <v>1</v>
      </c>
    </row>
    <row r="63" spans="1:38">
      <c r="C63" t="s">
        <v>5</v>
      </c>
      <c r="D63">
        <f>MIN(1.25*INDEX('SYVbT-freight'!$B$5:$H$5,MATCH(Data!$C14,'SYVbT-passenger'!$B$1:$H$1,0))/SUM('SYVbT-freight'!$B$5:$H$5),1)</f>
        <v>0</v>
      </c>
      <c r="E63">
        <f t="shared" si="22"/>
        <v>0</v>
      </c>
      <c r="F63" s="6" t="str">
        <f>IF(D63=E63,"n/a",IF(OR(C63="battery electric vehicle",C63="natural gas vehicle",C63="plugin hybrid vehicle"),"s-curve","linear"))</f>
        <v>n/a</v>
      </c>
      <c r="H63" s="20">
        <f t="shared" si="20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>
      <c r="C64" t="s">
        <v>78</v>
      </c>
      <c r="D64">
        <f>MIN(1.25*INDEX('SYVbT-freight'!$B$5:$H$5,MATCH(Data!$C15,'SYVbT-passenger'!$B$1:$H$1,0))/SUM('SYVbT-freight'!$B$5:$H$5),1)</f>
        <v>0</v>
      </c>
      <c r="E64">
        <f t="shared" si="22"/>
        <v>0</v>
      </c>
      <c r="F64" s="6" t="str">
        <f>IF(D64=E64,"n/a",IF(OR(C64="battery electric vehicle",C64="natural gas vehicle",C64="plugin hybrid vehicle",C64="hydrogen vehicle"),"s-curve","linear"))</f>
        <v>n/a</v>
      </c>
      <c r="H64" s="20">
        <f t="shared" si="20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5.75" thickBot="1">
      <c r="A65" s="21"/>
      <c r="B65" s="21"/>
      <c r="C65" s="21" t="s">
        <v>79</v>
      </c>
      <c r="D65" s="21">
        <f>MIN(1.25*INDEX('SYVbT-freight'!$B$5:$H$5,MATCH(Data!$C16,'SYVbT-passenger'!$B$1:$H$1,0))/SUM('SYVbT-freight'!$B$5:$H$5),1)</f>
        <v>0</v>
      </c>
      <c r="E65" s="21">
        <f t="shared" si="22"/>
        <v>0</v>
      </c>
      <c r="F65" s="7" t="str">
        <f>IF(D65=E65,"n/a",IF(OR(C65="battery electric vehicle",C65="natural gas vehicle",C65="plugin hybrid vehicle",C65="hydrogen vehicle"),"s-curve","linear"))</f>
        <v>n/a</v>
      </c>
      <c r="H65" s="20">
        <f t="shared" si="20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>
      <c r="A66" t="s">
        <v>16</v>
      </c>
      <c r="B66" t="s">
        <v>19</v>
      </c>
      <c r="C66" t="s">
        <v>1</v>
      </c>
      <c r="D66">
        <v>0</v>
      </c>
      <c r="E66">
        <v>0</v>
      </c>
      <c r="F66" s="6" t="str">
        <f>IF(D66=E66,"n/a",IF(OR(C66="battery electric vehicle",C66="natural gas vehicle",C66="plugin hybrid vehicle"),"s-curve","linear"))</f>
        <v>n/a</v>
      </c>
      <c r="H66" s="20">
        <f t="shared" si="20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>
      <c r="C67" t="s">
        <v>2</v>
      </c>
      <c r="D67">
        <v>0</v>
      </c>
      <c r="E67">
        <v>0</v>
      </c>
      <c r="F67" s="6" t="str">
        <f>IF(D67=E67,"n/a",IF(OR(C67="battery electric vehicle",C67="natural gas vehicle",C67="plugin hybrid vehicle"),"s-curve","linear"))</f>
        <v>n/a</v>
      </c>
      <c r="H67" s="20">
        <f t="shared" si="20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>
      <c r="C68" t="s">
        <v>3</v>
      </c>
      <c r="D68">
        <v>0</v>
      </c>
      <c r="E68">
        <v>0</v>
      </c>
      <c r="F68" s="6" t="str">
        <f>IF(D68=E68,"n/a",IF(OR(C68="battery electric vehicle",C68="natural gas vehicle",C68="plugin hybrid vehicle"),"s-curve","linear"))</f>
        <v>n/a</v>
      </c>
      <c r="H68" s="20">
        <f t="shared" si="20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>
      <c r="C69" t="s">
        <v>4</v>
      </c>
      <c r="D69">
        <v>1</v>
      </c>
      <c r="E69">
        <v>1</v>
      </c>
      <c r="F69" s="6" t="str">
        <f>IF(D69=E69,"n/a",IF(OR(C69="battery electric vehicle",C69="natural gas vehicle",C69="plugin hybrid vehicle"),"s-curve","linear"))</f>
        <v>n/a</v>
      </c>
      <c r="H69" s="20">
        <f t="shared" si="20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>
      <c r="C70" t="s">
        <v>5</v>
      </c>
      <c r="D70">
        <v>0</v>
      </c>
      <c r="E70">
        <v>0</v>
      </c>
      <c r="F70" s="6" t="str">
        <f>IF(D70=E70,"n/a",IF(OR(C70="battery electric vehicle",C70="natural gas vehicle",C70="plugin hybrid vehicle"),"s-curve","linear"))</f>
        <v>n/a</v>
      </c>
      <c r="H70" s="20">
        <f t="shared" si="20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>
      <c r="C71" t="s">
        <v>78</v>
      </c>
      <c r="D71">
        <v>0</v>
      </c>
      <c r="E71">
        <v>0</v>
      </c>
      <c r="F71" s="6" t="str">
        <f>IF(D71=E71,"n/a",IF(OR(C71="battery electric vehicle",C71="natural gas vehicle",C71="plugin hybrid vehicle",C71="hydrogen vehicle"),"s-curve","linear"))</f>
        <v>n/a</v>
      </c>
      <c r="H71" s="20">
        <f t="shared" si="20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5.75" thickBot="1">
      <c r="A72" s="21"/>
      <c r="B72" s="21"/>
      <c r="C72" s="21" t="s">
        <v>79</v>
      </c>
      <c r="D72" s="21">
        <v>0</v>
      </c>
      <c r="E72" s="21">
        <v>0</v>
      </c>
      <c r="F72" s="7" t="str">
        <f>IF(D72=E72,"n/a",IF(OR(C72="battery electric vehicle",C72="natural gas vehicle",C72="plugin hybrid vehicle",C72="hydrogen vehicle"),"s-curve","linear"))</f>
        <v>n/a</v>
      </c>
      <c r="H72" s="20">
        <f t="shared" si="20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>
      <c r="A73" t="s">
        <v>16</v>
      </c>
      <c r="B73" t="s">
        <v>18</v>
      </c>
      <c r="C73" t="s">
        <v>1</v>
      </c>
      <c r="D73">
        <f>MIN(1.25*INDEX('SYVbT-freight'!$B$6:$H$6,MATCH(Data!$C10,'SYVbT-passenger'!$B$1:$H$1,0))/SUM('SYVbT-freight'!$B$6:$H$6),1)</f>
        <v>0</v>
      </c>
      <c r="E73">
        <f>D73</f>
        <v>0</v>
      </c>
      <c r="F73" s="6" t="str">
        <f>IF(D73=E73,"n/a",IF(OR(C73="battery electric vehicle",C73="natural gas vehicle",C73="plugin hybrid vehicle"),"s-curve","linear"))</f>
        <v>n/a</v>
      </c>
      <c r="H73" s="20">
        <f t="shared" ref="H73:H93" si="23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>
      <c r="C74" t="s">
        <v>2</v>
      </c>
      <c r="D74">
        <f>MIN(1.25*INDEX('SYVbT-freight'!$B$6:$H$6,MATCH(Data!$C11,'SYVbT-passenger'!$B$1:$H$1,0))/SUM('SYVbT-freight'!$B$6:$H$6),1)</f>
        <v>0</v>
      </c>
      <c r="E74">
        <f t="shared" ref="E74:E79" si="24">D74</f>
        <v>0</v>
      </c>
      <c r="F74" s="6" t="str">
        <f>IF(D74=E74,"n/a",IF(OR(C74="battery electric vehicle",C74="natural gas vehicle",C74="plugin hybrid vehicle"),"s-curve","linear"))</f>
        <v>n/a</v>
      </c>
      <c r="H74" s="20">
        <f t="shared" si="23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>
      <c r="C75" t="s">
        <v>3</v>
      </c>
      <c r="D75">
        <f>MIN(1.25*INDEX('SYVbT-freight'!$B$6:$H$6,MATCH(Data!$C12,'SYVbT-passenger'!$B$1:$H$1,0))/SUM('SYVbT-freight'!$B$6:$H$6),1)</f>
        <v>4.1666444445629626E-3</v>
      </c>
      <c r="E75">
        <f t="shared" si="24"/>
        <v>4.1666444445629626E-3</v>
      </c>
      <c r="F75" s="6" t="str">
        <f>IF(D75=E75,"n/a",IF(OR(C75="battery electric vehicle",C75="natural gas vehicle",C75="plugin hybrid vehicle"),"s-curve","linear"))</f>
        <v>n/a</v>
      </c>
      <c r="H75" s="20">
        <f t="shared" si="23"/>
        <v>4.1666444445629626E-3</v>
      </c>
      <c r="I75">
        <f>IF($F75="s-curve",$D75+($E75-$D75)*$I$2/(1+EXP($I$3*(COUNT($H$9:I$9)+$I$4))),TREND($D75:$E75,$D$9:$E$9,I$9))</f>
        <v>4.1666444445629626E-3</v>
      </c>
      <c r="J75">
        <f>IF($F75="s-curve",$D75+($E75-$D75)*$I$2/(1+EXP($I$3*(COUNT($H$9:J$9)+$I$4))),TREND($D75:$E75,$D$9:$E$9,J$9))</f>
        <v>4.1666444445629626E-3</v>
      </c>
      <c r="K75">
        <f>IF($F75="s-curve",$D75+($E75-$D75)*$I$2/(1+EXP($I$3*(COUNT($H$9:K$9)+$I$4))),TREND($D75:$E75,$D$9:$E$9,K$9))</f>
        <v>4.1666444445629626E-3</v>
      </c>
      <c r="L75">
        <f>IF($F75="s-curve",$D75+($E75-$D75)*$I$2/(1+EXP($I$3*(COUNT($H$9:L$9)+$I$4))),TREND($D75:$E75,$D$9:$E$9,L$9))</f>
        <v>4.1666444445629626E-3</v>
      </c>
      <c r="M75">
        <f>IF($F75="s-curve",$D75+($E75-$D75)*$I$2/(1+EXP($I$3*(COUNT($H$9:M$9)+$I$4))),TREND($D75:$E75,$D$9:$E$9,M$9))</f>
        <v>4.1666444445629626E-3</v>
      </c>
      <c r="N75">
        <f>IF($F75="s-curve",$D75+($E75-$D75)*$I$2/(1+EXP($I$3*(COUNT($H$9:N$9)+$I$4))),TREND($D75:$E75,$D$9:$E$9,N$9))</f>
        <v>4.1666444445629626E-3</v>
      </c>
      <c r="O75">
        <f>IF($F75="s-curve",$D75+($E75-$D75)*$I$2/(1+EXP($I$3*(COUNT($H$9:O$9)+$I$4))),TREND($D75:$E75,$D$9:$E$9,O$9))</f>
        <v>4.1666444445629626E-3</v>
      </c>
      <c r="P75">
        <f>IF($F75="s-curve",$D75+($E75-$D75)*$I$2/(1+EXP($I$3*(COUNT($H$9:P$9)+$I$4))),TREND($D75:$E75,$D$9:$E$9,P$9))</f>
        <v>4.1666444445629626E-3</v>
      </c>
      <c r="Q75">
        <f>IF($F75="s-curve",$D75+($E75-$D75)*$I$2/(1+EXP($I$3*(COUNT($H$9:Q$9)+$I$4))),TREND($D75:$E75,$D$9:$E$9,Q$9))</f>
        <v>4.1666444445629626E-3</v>
      </c>
      <c r="R75">
        <f>IF($F75="s-curve",$D75+($E75-$D75)*$I$2/(1+EXP($I$3*(COUNT($H$9:R$9)+$I$4))),TREND($D75:$E75,$D$9:$E$9,R$9))</f>
        <v>4.1666444445629626E-3</v>
      </c>
      <c r="S75">
        <f>IF($F75="s-curve",$D75+($E75-$D75)*$I$2/(1+EXP($I$3*(COUNT($H$9:S$9)+$I$4))),TREND($D75:$E75,$D$9:$E$9,S$9))</f>
        <v>4.1666444445629626E-3</v>
      </c>
      <c r="T75">
        <f>IF($F75="s-curve",$D75+($E75-$D75)*$I$2/(1+EXP($I$3*(COUNT($H$9:T$9)+$I$4))),TREND($D75:$E75,$D$9:$E$9,T$9))</f>
        <v>4.1666444445629626E-3</v>
      </c>
      <c r="U75">
        <f>IF($F75="s-curve",$D75+($E75-$D75)*$I$2/(1+EXP($I$3*(COUNT($H$9:U$9)+$I$4))),TREND($D75:$E75,$D$9:$E$9,U$9))</f>
        <v>4.1666444445629626E-3</v>
      </c>
      <c r="V75">
        <f>IF($F75="s-curve",$D75+($E75-$D75)*$I$2/(1+EXP($I$3*(COUNT($H$9:V$9)+$I$4))),TREND($D75:$E75,$D$9:$E$9,V$9))</f>
        <v>4.1666444445629626E-3</v>
      </c>
      <c r="W75">
        <f>IF($F75="s-curve",$D75+($E75-$D75)*$I$2/(1+EXP($I$3*(COUNT($H$9:W$9)+$I$4))),TREND($D75:$E75,$D$9:$E$9,W$9))</f>
        <v>4.1666444445629626E-3</v>
      </c>
      <c r="X75">
        <f>IF($F75="s-curve",$D75+($E75-$D75)*$I$2/(1+EXP($I$3*(COUNT($H$9:X$9)+$I$4))),TREND($D75:$E75,$D$9:$E$9,X$9))</f>
        <v>4.1666444445629626E-3</v>
      </c>
      <c r="Y75">
        <f>IF($F75="s-curve",$D75+($E75-$D75)*$I$2/(1+EXP($I$3*(COUNT($H$9:Y$9)+$I$4))),TREND($D75:$E75,$D$9:$E$9,Y$9))</f>
        <v>4.1666444445629626E-3</v>
      </c>
      <c r="Z75">
        <f>IF($F75="s-curve",$D75+($E75-$D75)*$I$2/(1+EXP($I$3*(COUNT($H$9:Z$9)+$I$4))),TREND($D75:$E75,$D$9:$E$9,Z$9))</f>
        <v>4.1666444445629626E-3</v>
      </c>
      <c r="AA75">
        <f>IF($F75="s-curve",$D75+($E75-$D75)*$I$2/(1+EXP($I$3*(COUNT($H$9:AA$9)+$I$4))),TREND($D75:$E75,$D$9:$E$9,AA$9))</f>
        <v>4.1666444445629626E-3</v>
      </c>
      <c r="AB75">
        <f>IF($F75="s-curve",$D75+($E75-$D75)*$I$2/(1+EXP($I$3*(COUNT($H$9:AB$9)+$I$4))),TREND($D75:$E75,$D$9:$E$9,AB$9))</f>
        <v>4.1666444445629626E-3</v>
      </c>
      <c r="AC75">
        <f>IF($F75="s-curve",$D75+($E75-$D75)*$I$2/(1+EXP($I$3*(COUNT($H$9:AC$9)+$I$4))),TREND($D75:$E75,$D$9:$E$9,AC$9))</f>
        <v>4.1666444445629626E-3</v>
      </c>
      <c r="AD75">
        <f>IF($F75="s-curve",$D75+($E75-$D75)*$I$2/(1+EXP($I$3*(COUNT($H$9:AD$9)+$I$4))),TREND($D75:$E75,$D$9:$E$9,AD$9))</f>
        <v>4.1666444445629626E-3</v>
      </c>
      <c r="AE75">
        <f>IF($F75="s-curve",$D75+($E75-$D75)*$I$2/(1+EXP($I$3*(COUNT($H$9:AE$9)+$I$4))),TREND($D75:$E75,$D$9:$E$9,AE$9))</f>
        <v>4.1666444445629626E-3</v>
      </c>
      <c r="AF75">
        <f>IF($F75="s-curve",$D75+($E75-$D75)*$I$2/(1+EXP($I$3*(COUNT($H$9:AF$9)+$I$4))),TREND($D75:$E75,$D$9:$E$9,AF$9))</f>
        <v>4.1666444445629626E-3</v>
      </c>
      <c r="AG75">
        <f>IF($F75="s-curve",$D75+($E75-$D75)*$I$2/(1+EXP($I$3*(COUNT($H$9:AG$9)+$I$4))),TREND($D75:$E75,$D$9:$E$9,AG$9))</f>
        <v>4.1666444445629626E-3</v>
      </c>
      <c r="AH75">
        <f>IF($F75="s-curve",$D75+($E75-$D75)*$I$2/(1+EXP($I$3*(COUNT($H$9:AH$9)+$I$4))),TREND($D75:$E75,$D$9:$E$9,AH$9))</f>
        <v>4.1666444445629626E-3</v>
      </c>
      <c r="AI75">
        <f>IF($F75="s-curve",$D75+($E75-$D75)*$I$2/(1+EXP($I$3*(COUNT($H$9:AI$9)+$I$4))),TREND($D75:$E75,$D$9:$E$9,AI$9))</f>
        <v>4.1666444445629626E-3</v>
      </c>
      <c r="AJ75">
        <f>IF($F75="s-curve",$D75+($E75-$D75)*$I$2/(1+EXP($I$3*(COUNT($H$9:AJ$9)+$I$4))),TREND($D75:$E75,$D$9:$E$9,AJ$9))</f>
        <v>4.1666444445629626E-3</v>
      </c>
      <c r="AK75">
        <f>IF($F75="s-curve",$D75+($E75-$D75)*$I$2/(1+EXP($I$3*(COUNT($H$9:AK$9)+$I$4))),TREND($D75:$E75,$D$9:$E$9,AK$9))</f>
        <v>4.1666444445629626E-3</v>
      </c>
      <c r="AL75">
        <f>IF($F75="s-curve",$D75+($E75-$D75)*$I$2/(1+EXP($I$3*(COUNT($H$9:AL$9)+$I$4))),TREND($D75:$E75,$D$9:$E$9,AL$9))</f>
        <v>4.1666444445629626E-3</v>
      </c>
    </row>
    <row r="76" spans="1:38">
      <c r="C76" t="s">
        <v>4</v>
      </c>
      <c r="D76">
        <f>MIN(1.25*INDEX('SYVbT-freight'!$B$6:$H$6,MATCH(Data!$C13,'SYVbT-passenger'!$B$1:$H$1,0))/SUM('SYVbT-freight'!$B$6:$H$6),1)</f>
        <v>1</v>
      </c>
      <c r="E76">
        <f t="shared" si="24"/>
        <v>1</v>
      </c>
      <c r="F76" s="6" t="str">
        <f>IF(D76=E76,"n/a",IF(OR(C76="battery electric vehicle",C76="natural gas vehicle",C76="plugin hybrid vehicle"),"s-curve","linear"))</f>
        <v>n/a</v>
      </c>
      <c r="H76" s="20">
        <f t="shared" si="23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>
      <c r="C77" t="s">
        <v>5</v>
      </c>
      <c r="D77">
        <f>MIN(1.25*INDEX('SYVbT-freight'!$B$6:$H$6,MATCH(Data!$C14,'SYVbT-passenger'!$B$1:$H$1,0))/SUM('SYVbT-freight'!$B$6:$H$6),1)</f>
        <v>0</v>
      </c>
      <c r="E77">
        <f t="shared" si="24"/>
        <v>0</v>
      </c>
      <c r="F77" s="6" t="str">
        <f>IF(D77=E77,"n/a",IF(OR(C77="battery electric vehicle",C77="natural gas vehicle",C77="plugin hybrid vehicle"),"s-curve","linear"))</f>
        <v>n/a</v>
      </c>
      <c r="H77" s="20">
        <f t="shared" si="23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>
      <c r="C78" t="s">
        <v>78</v>
      </c>
      <c r="D78">
        <f>MIN(1.25*INDEX('SYVbT-freight'!$B$6:$H$6,MATCH(Data!$C15,'SYVbT-passenger'!$B$1:$H$1,0))/SUM('SYVbT-freight'!$B$6:$H$6),1)</f>
        <v>1.6666577778251849E-3</v>
      </c>
      <c r="E78">
        <f t="shared" si="24"/>
        <v>1.6666577778251849E-3</v>
      </c>
      <c r="F78" s="6" t="str">
        <f>IF(D78=E78,"n/a",IF(OR(C78="battery electric vehicle",C78="natural gas vehicle",C78="plugin hybrid vehicle",C78="hydrogen vehicle"),"s-curve","linear"))</f>
        <v>n/a</v>
      </c>
      <c r="H78" s="20">
        <f t="shared" si="23"/>
        <v>1.6666577778251849E-3</v>
      </c>
      <c r="I78">
        <f>IF($F78="s-curve",$D78+($E78-$D78)*$I$2/(1+EXP($I$3*(COUNT($H$9:I$9)+$I$4))),TREND($D78:$E78,$D$9:$E$9,I$9))</f>
        <v>1.6666577778251849E-3</v>
      </c>
      <c r="J78">
        <f>IF($F78="s-curve",$D78+($E78-$D78)*$I$2/(1+EXP($I$3*(COUNT($H$9:J$9)+$I$4))),TREND($D78:$E78,$D$9:$E$9,J$9))</f>
        <v>1.6666577778251849E-3</v>
      </c>
      <c r="K78">
        <f>IF($F78="s-curve",$D78+($E78-$D78)*$I$2/(1+EXP($I$3*(COUNT($H$9:K$9)+$I$4))),TREND($D78:$E78,$D$9:$E$9,K$9))</f>
        <v>1.6666577778251849E-3</v>
      </c>
      <c r="L78">
        <f>IF($F78="s-curve",$D78+($E78-$D78)*$I$2/(1+EXP($I$3*(COUNT($H$9:L$9)+$I$4))),TREND($D78:$E78,$D$9:$E$9,L$9))</f>
        <v>1.6666577778251849E-3</v>
      </c>
      <c r="M78">
        <f>IF($F78="s-curve",$D78+($E78-$D78)*$I$2/(1+EXP($I$3*(COUNT($H$9:M$9)+$I$4))),TREND($D78:$E78,$D$9:$E$9,M$9))</f>
        <v>1.6666577778251849E-3</v>
      </c>
      <c r="N78">
        <f>IF($F78="s-curve",$D78+($E78-$D78)*$I$2/(1+EXP($I$3*(COUNT($H$9:N$9)+$I$4))),TREND($D78:$E78,$D$9:$E$9,N$9))</f>
        <v>1.6666577778251849E-3</v>
      </c>
      <c r="O78">
        <f>IF($F78="s-curve",$D78+($E78-$D78)*$I$2/(1+EXP($I$3*(COUNT($H$9:O$9)+$I$4))),TREND($D78:$E78,$D$9:$E$9,O$9))</f>
        <v>1.6666577778251849E-3</v>
      </c>
      <c r="P78">
        <f>IF($F78="s-curve",$D78+($E78-$D78)*$I$2/(1+EXP($I$3*(COUNT($H$9:P$9)+$I$4))),TREND($D78:$E78,$D$9:$E$9,P$9))</f>
        <v>1.6666577778251849E-3</v>
      </c>
      <c r="Q78">
        <f>IF($F78="s-curve",$D78+($E78-$D78)*$I$2/(1+EXP($I$3*(COUNT($H$9:Q$9)+$I$4))),TREND($D78:$E78,$D$9:$E$9,Q$9))</f>
        <v>1.6666577778251849E-3</v>
      </c>
      <c r="R78">
        <f>IF($F78="s-curve",$D78+($E78-$D78)*$I$2/(1+EXP($I$3*(COUNT($H$9:R$9)+$I$4))),TREND($D78:$E78,$D$9:$E$9,R$9))</f>
        <v>1.6666577778251849E-3</v>
      </c>
      <c r="S78">
        <f>IF($F78="s-curve",$D78+($E78-$D78)*$I$2/(1+EXP($I$3*(COUNT($H$9:S$9)+$I$4))),TREND($D78:$E78,$D$9:$E$9,S$9))</f>
        <v>1.6666577778251849E-3</v>
      </c>
      <c r="T78">
        <f>IF($F78="s-curve",$D78+($E78-$D78)*$I$2/(1+EXP($I$3*(COUNT($H$9:T$9)+$I$4))),TREND($D78:$E78,$D$9:$E$9,T$9))</f>
        <v>1.6666577778251849E-3</v>
      </c>
      <c r="U78">
        <f>IF($F78="s-curve",$D78+($E78-$D78)*$I$2/(1+EXP($I$3*(COUNT($H$9:U$9)+$I$4))),TREND($D78:$E78,$D$9:$E$9,U$9))</f>
        <v>1.6666577778251849E-3</v>
      </c>
      <c r="V78">
        <f>IF($F78="s-curve",$D78+($E78-$D78)*$I$2/(1+EXP($I$3*(COUNT($H$9:V$9)+$I$4))),TREND($D78:$E78,$D$9:$E$9,V$9))</f>
        <v>1.6666577778251849E-3</v>
      </c>
      <c r="W78">
        <f>IF($F78="s-curve",$D78+($E78-$D78)*$I$2/(1+EXP($I$3*(COUNT($H$9:W$9)+$I$4))),TREND($D78:$E78,$D$9:$E$9,W$9))</f>
        <v>1.6666577778251849E-3</v>
      </c>
      <c r="X78">
        <f>IF($F78="s-curve",$D78+($E78-$D78)*$I$2/(1+EXP($I$3*(COUNT($H$9:X$9)+$I$4))),TREND($D78:$E78,$D$9:$E$9,X$9))</f>
        <v>1.6666577778251849E-3</v>
      </c>
      <c r="Y78">
        <f>IF($F78="s-curve",$D78+($E78-$D78)*$I$2/(1+EXP($I$3*(COUNT($H$9:Y$9)+$I$4))),TREND($D78:$E78,$D$9:$E$9,Y$9))</f>
        <v>1.6666577778251849E-3</v>
      </c>
      <c r="Z78">
        <f>IF($F78="s-curve",$D78+($E78-$D78)*$I$2/(1+EXP($I$3*(COUNT($H$9:Z$9)+$I$4))),TREND($D78:$E78,$D$9:$E$9,Z$9))</f>
        <v>1.6666577778251849E-3</v>
      </c>
      <c r="AA78">
        <f>IF($F78="s-curve",$D78+($E78-$D78)*$I$2/(1+EXP($I$3*(COUNT($H$9:AA$9)+$I$4))),TREND($D78:$E78,$D$9:$E$9,AA$9))</f>
        <v>1.6666577778251849E-3</v>
      </c>
      <c r="AB78">
        <f>IF($F78="s-curve",$D78+($E78-$D78)*$I$2/(1+EXP($I$3*(COUNT($H$9:AB$9)+$I$4))),TREND($D78:$E78,$D$9:$E$9,AB$9))</f>
        <v>1.6666577778251849E-3</v>
      </c>
      <c r="AC78">
        <f>IF($F78="s-curve",$D78+($E78-$D78)*$I$2/(1+EXP($I$3*(COUNT($H$9:AC$9)+$I$4))),TREND($D78:$E78,$D$9:$E$9,AC$9))</f>
        <v>1.6666577778251849E-3</v>
      </c>
      <c r="AD78">
        <f>IF($F78="s-curve",$D78+($E78-$D78)*$I$2/(1+EXP($I$3*(COUNT($H$9:AD$9)+$I$4))),TREND($D78:$E78,$D$9:$E$9,AD$9))</f>
        <v>1.6666577778251849E-3</v>
      </c>
      <c r="AE78">
        <f>IF($F78="s-curve",$D78+($E78-$D78)*$I$2/(1+EXP($I$3*(COUNT($H$9:AE$9)+$I$4))),TREND($D78:$E78,$D$9:$E$9,AE$9))</f>
        <v>1.6666577778251849E-3</v>
      </c>
      <c r="AF78">
        <f>IF($F78="s-curve",$D78+($E78-$D78)*$I$2/(1+EXP($I$3*(COUNT($H$9:AF$9)+$I$4))),TREND($D78:$E78,$D$9:$E$9,AF$9))</f>
        <v>1.6666577778251849E-3</v>
      </c>
      <c r="AG78">
        <f>IF($F78="s-curve",$D78+($E78-$D78)*$I$2/(1+EXP($I$3*(COUNT($H$9:AG$9)+$I$4))),TREND($D78:$E78,$D$9:$E$9,AG$9))</f>
        <v>1.6666577778251849E-3</v>
      </c>
      <c r="AH78">
        <f>IF($F78="s-curve",$D78+($E78-$D78)*$I$2/(1+EXP($I$3*(COUNT($H$9:AH$9)+$I$4))),TREND($D78:$E78,$D$9:$E$9,AH$9))</f>
        <v>1.6666577778251849E-3</v>
      </c>
      <c r="AI78">
        <f>IF($F78="s-curve",$D78+($E78-$D78)*$I$2/(1+EXP($I$3*(COUNT($H$9:AI$9)+$I$4))),TREND($D78:$E78,$D$9:$E$9,AI$9))</f>
        <v>1.6666577778251849E-3</v>
      </c>
      <c r="AJ78">
        <f>IF($F78="s-curve",$D78+($E78-$D78)*$I$2/(1+EXP($I$3*(COUNT($H$9:AJ$9)+$I$4))),TREND($D78:$E78,$D$9:$E$9,AJ$9))</f>
        <v>1.6666577778251849E-3</v>
      </c>
      <c r="AK78">
        <f>IF($F78="s-curve",$D78+($E78-$D78)*$I$2/(1+EXP($I$3*(COUNT($H$9:AK$9)+$I$4))),TREND($D78:$E78,$D$9:$E$9,AK$9))</f>
        <v>1.6666577778251849E-3</v>
      </c>
      <c r="AL78">
        <f>IF($F78="s-curve",$D78+($E78-$D78)*$I$2/(1+EXP($I$3*(COUNT($H$9:AL$9)+$I$4))),TREND($D78:$E78,$D$9:$E$9,AL$9))</f>
        <v>1.6666577778251849E-3</v>
      </c>
    </row>
    <row r="79" spans="1:38" ht="15.75" thickBot="1">
      <c r="A79" s="21"/>
      <c r="B79" s="21"/>
      <c r="C79" s="21" t="s">
        <v>79</v>
      </c>
      <c r="D79" s="21">
        <f>MIN(1.25*INDEX('SYVbT-freight'!$B$6:$H$6,MATCH(Data!$C16,'SYVbT-passenger'!$B$1:$H$1,0))/SUM('SYVbT-freight'!$B$6:$H$6),1)</f>
        <v>0</v>
      </c>
      <c r="E79" s="21">
        <f t="shared" si="24"/>
        <v>0</v>
      </c>
      <c r="F79" s="7" t="str">
        <f>IF(D79=E79,"n/a",IF(OR(C79="battery electric vehicle",C79="natural gas vehicle",C79="plugin hybrid vehicle",C79="hydrogen vehicle"),"s-curve","linear"))</f>
        <v>n/a</v>
      </c>
      <c r="H79" s="20">
        <f t="shared" si="23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>
      <c r="A80" t="s">
        <v>17</v>
      </c>
      <c r="B80" t="s">
        <v>19</v>
      </c>
      <c r="C80" t="s">
        <v>1</v>
      </c>
      <c r="D80" s="20">
        <v>0</v>
      </c>
      <c r="E80">
        <v>1</v>
      </c>
      <c r="F80" s="6" t="str">
        <f>IF(D80=E80,"n/a",IF(OR(C80="battery electric vehicle",C80="natural gas vehicle",C80="plugin hybrid vehicle"),"s-curve","linear"))</f>
        <v>s-curve</v>
      </c>
      <c r="H80" s="20">
        <f t="shared" si="23"/>
        <v>0</v>
      </c>
      <c r="I80">
        <f>IF($F80="s-curve",$D80+($E80-$D80)*$I$2/(1+EXP($I$3*(COUNT($H$9:I$9)+$I$4))),TREND($D80:$E80,$D$9:$E$9,I$9))</f>
        <v>5.3151136398063722E-2</v>
      </c>
      <c r="J80">
        <f>IF($F80="s-curve",$D80+($E80-$D80)*$I$2/(1+EXP($I$3*(COUNT($H$9:J$9)+$I$4))),TREND($D80:$E80,$D$9:$E$9,J$9))</f>
        <v>6.1803466263588569E-2</v>
      </c>
      <c r="K80">
        <f>IF($F80="s-curve",$D80+($E80-$D80)*$I$2/(1+EXP($I$3*(COUNT($H$9:K$9)+$I$4))),TREND($D80:$E80,$D$9:$E$9,K$9))</f>
        <v>7.1757542263751334E-2</v>
      </c>
      <c r="L80">
        <f>IF($F80="s-curve",$D80+($E80-$D80)*$I$2/(1+EXP($I$3*(COUNT($H$9:L$9)+$I$4))),TREND($D80:$E80,$D$9:$E$9,L$9))</f>
        <v>8.317269649392238E-2</v>
      </c>
      <c r="M80">
        <f>IF($F80="s-curve",$D80+($E80-$D80)*$I$2/(1+EXP($I$3*(COUNT($H$9:M$9)+$I$4))),TREND($D80:$E80,$D$9:$E$9,M$9))</f>
        <v>9.6215541710692826E-2</v>
      </c>
      <c r="N80">
        <f>IF($F80="s-curve",$D80+($E80-$D80)*$I$2/(1+EXP($I$3*(COUNT($H$9:N$9)+$I$4))),TREND($D80:$E80,$D$9:$E$9,N$9))</f>
        <v>0.11105596671140756</v>
      </c>
      <c r="O80">
        <f>IF($F80="s-curve",$D80+($E80-$D80)*$I$2/(1+EXP($I$3*(COUNT($H$9:O$9)+$I$4))),TREND($D80:$E80,$D$9:$E$9,O$9))</f>
        <v>0.12786156631908133</v>
      </c>
      <c r="P80">
        <f>IF($F80="s-curve",$D80+($E80-$D80)*$I$2/(1+EXP($I$3*(COUNT($H$9:P$9)+$I$4))),TREND($D80:$E80,$D$9:$E$9,P$9))</f>
        <v>0.14679033980138237</v>
      </c>
      <c r="Q80">
        <f>IF($F80="s-curve",$D80+($E80-$D80)*$I$2/(1+EXP($I$3*(COUNT($H$9:Q$9)+$I$4))),TREND($D80:$E80,$D$9:$E$9,Q$9))</f>
        <v>0.16798161486607552</v>
      </c>
      <c r="R80">
        <f>IF($F80="s-curve",$D80+($E80-$D80)*$I$2/(1+EXP($I$3*(COUNT($H$9:R$9)+$I$4))),TREND($D80:$E80,$D$9:$E$9,R$9))</f>
        <v>0.19154534856146752</v>
      </c>
      <c r="S80">
        <f>IF($F80="s-curve",$D80+($E80-$D80)*$I$2/(1+EXP($I$3*(COUNT($H$9:S$9)+$I$4))),TREND($D80:$E80,$D$9:$E$9,S$9))</f>
        <v>0.2175502235768875</v>
      </c>
      <c r="T80">
        <f>IF($F80="s-curve",$D80+($E80-$D80)*$I$2/(1+EXP($I$3*(COUNT($H$9:T$9)+$I$4))),TREND($D80:$E80,$D$9:$E$9,T$9))</f>
        <v>0.2460112835510519</v>
      </c>
      <c r="U80">
        <f>IF($F80="s-curve",$D80+($E80-$D80)*$I$2/(1+EXP($I$3*(COUNT($H$9:U$9)+$I$4))),TREND($D80:$E80,$D$9:$E$9,U$9))</f>
        <v>0.27687819487561016</v>
      </c>
      <c r="V80">
        <f>IF($F80="s-curve",$D80+($E80-$D80)*$I$2/(1+EXP($I$3*(COUNT($H$9:V$9)+$I$4))),TREND($D80:$E80,$D$9:$E$9,V$9))</f>
        <v>0.31002551887238755</v>
      </c>
      <c r="W80">
        <f>IF($F80="s-curve",$D80+($E80-$D80)*$I$2/(1+EXP($I$3*(COUNT($H$9:W$9)+$I$4))),TREND($D80:$E80,$D$9:$E$9,W$9))</f>
        <v>0.34524653939368077</v>
      </c>
      <c r="X80">
        <f>IF($F80="s-curve",$D80+($E80-$D80)*$I$2/(1+EXP($I$3*(COUNT($H$9:X$9)+$I$4))),TREND($D80:$E80,$D$9:$E$9,X$9))</f>
        <v>0.38225212523075103</v>
      </c>
      <c r="Y80">
        <f>IF($F80="s-curve",$D80+($E80-$D80)*$I$2/(1+EXP($I$3*(COUNT($H$9:Y$9)+$I$4))),TREND($D80:$E80,$D$9:$E$9,Y$9))</f>
        <v>0.42067574785125056</v>
      </c>
      <c r="Z80">
        <f>IF($F80="s-curve",$D80+($E80-$D80)*$I$2/(1+EXP($I$3*(COUNT($H$9:Z$9)+$I$4))),TREND($D80:$E80,$D$9:$E$9,Z$9))</f>
        <v>0.46008511544443426</v>
      </c>
      <c r="AA80">
        <f>IF($F80="s-curve",$D80+($E80-$D80)*$I$2/(1+EXP($I$3*(COUNT($H$9:AA$9)+$I$4))),TREND($D80:$E80,$D$9:$E$9,AA$9))</f>
        <v>0.5</v>
      </c>
      <c r="AB80">
        <f>IF($F80="s-curve",$D80+($E80-$D80)*$I$2/(1+EXP($I$3*(COUNT($H$9:AB$9)+$I$4))),TREND($D80:$E80,$D$9:$E$9,AB$9))</f>
        <v>0.53991488455556569</v>
      </c>
      <c r="AC80">
        <f>IF($F80="s-curve",$D80+($E80-$D80)*$I$2/(1+EXP($I$3*(COUNT($H$9:AC$9)+$I$4))),TREND($D80:$E80,$D$9:$E$9,AC$9))</f>
        <v>0.5793242521487495</v>
      </c>
      <c r="AD80">
        <f>IF($F80="s-curve",$D80+($E80-$D80)*$I$2/(1+EXP($I$3*(COUNT($H$9:AD$9)+$I$4))),TREND($D80:$E80,$D$9:$E$9,AD$9))</f>
        <v>0.61774787476924897</v>
      </c>
      <c r="AE80">
        <f>IF($F80="s-curve",$D80+($E80-$D80)*$I$2/(1+EXP($I$3*(COUNT($H$9:AE$9)+$I$4))),TREND($D80:$E80,$D$9:$E$9,AE$9))</f>
        <v>0.65475346060631923</v>
      </c>
      <c r="AF80">
        <f>IF($F80="s-curve",$D80+($E80-$D80)*$I$2/(1+EXP($I$3*(COUNT($H$9:AF$9)+$I$4))),TREND($D80:$E80,$D$9:$E$9,AF$9))</f>
        <v>0.6899744811276125</v>
      </c>
      <c r="AG80">
        <f>IF($F80="s-curve",$D80+($E80-$D80)*$I$2/(1+EXP($I$3*(COUNT($H$9:AG$9)+$I$4))),TREND($D80:$E80,$D$9:$E$9,AG$9))</f>
        <v>0.72312180512438984</v>
      </c>
      <c r="AH80">
        <f>IF($F80="s-curve",$D80+($E80-$D80)*$I$2/(1+EXP($I$3*(COUNT($H$9:AH$9)+$I$4))),TREND($D80:$E80,$D$9:$E$9,AH$9))</f>
        <v>0.75398871644894816</v>
      </c>
      <c r="AI80">
        <f>IF($F80="s-curve",$D80+($E80-$D80)*$I$2/(1+EXP($I$3*(COUNT($H$9:AI$9)+$I$4))),TREND($D80:$E80,$D$9:$E$9,AI$9))</f>
        <v>0.78244977642311242</v>
      </c>
      <c r="AJ80">
        <f>IF($F80="s-curve",$D80+($E80-$D80)*$I$2/(1+EXP($I$3*(COUNT($H$9:AJ$9)+$I$4))),TREND($D80:$E80,$D$9:$E$9,AJ$9))</f>
        <v>0.80845465143853257</v>
      </c>
      <c r="AK80">
        <f>IF($F80="s-curve",$D80+($E80-$D80)*$I$2/(1+EXP($I$3*(COUNT($H$9:AK$9)+$I$4))),TREND($D80:$E80,$D$9:$E$9,AK$9))</f>
        <v>0.83201838513392445</v>
      </c>
      <c r="AL80">
        <f>IF($F80="s-curve",$D80+($E80-$D80)*$I$2/(1+EXP($I$3*(COUNT($H$9:AL$9)+$I$4))),TREND($D80:$E80,$D$9:$E$9,AL$9))</f>
        <v>0.85320966019861766</v>
      </c>
    </row>
    <row r="81" spans="1:38">
      <c r="C81" t="s">
        <v>2</v>
      </c>
      <c r="D81" s="20">
        <f>'SYVbT-passenger'!C7/SUM('SYVbT-passenger'!7:7)</f>
        <v>0</v>
      </c>
      <c r="E81">
        <v>0</v>
      </c>
      <c r="F81" s="6" t="str">
        <f>IF(D81=E81,"n/a",IF(OR(C81="battery electric vehicle",C81="natural gas vehicle",C81="plugin hybrid vehicle"),"s-curve","linear"))</f>
        <v>n/a</v>
      </c>
      <c r="H81" s="20">
        <f t="shared" si="23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>
      <c r="C82" t="s">
        <v>3</v>
      </c>
      <c r="D82">
        <v>3</v>
      </c>
      <c r="E82">
        <v>3</v>
      </c>
      <c r="F82" s="6" t="str">
        <f>IF(D82=E82,"n/a",IF(OR(C82="battery electric vehicle",C82="natural gas vehicle",C82="plugin hybrid vehicle"),"s-curve","linear"))</f>
        <v>n/a</v>
      </c>
      <c r="H82" s="20">
        <f t="shared" si="23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>
      <c r="C83" t="s">
        <v>4</v>
      </c>
      <c r="D83" s="20">
        <f>'SYVbT-passenger'!E7/SUM('SYVbT-passenger'!7:7)</f>
        <v>0</v>
      </c>
      <c r="E83">
        <v>0</v>
      </c>
      <c r="F83" s="6" t="str">
        <f>IF(D83=E83,"n/a",IF(OR(C83="battery electric vehicle",C83="natural gas vehicle",C83="plugin hybrid vehicle"),"s-curve","linear"))</f>
        <v>n/a</v>
      </c>
      <c r="H83" s="20">
        <f t="shared" si="23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>
      <c r="C84" t="s">
        <v>5</v>
      </c>
      <c r="D84" s="20">
        <f>'SYVbT-passenger'!F7/SUM('SYVbT-passenger'!7:7)</f>
        <v>0</v>
      </c>
      <c r="E84">
        <v>0</v>
      </c>
      <c r="F84" s="6" t="str">
        <f>IF(D84=E84,"n/a",IF(OR(C84="battery electric vehicle",C84="natural gas vehicle",C84="plugin hybrid vehicle"),"s-curve","linear"))</f>
        <v>n/a</v>
      </c>
      <c r="H84" s="20">
        <f t="shared" si="23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>
      <c r="C85" t="s">
        <v>78</v>
      </c>
      <c r="D85" s="20">
        <f>'SYVbT-passenger'!G7/SUM('SYVbT-passenger'!7:7)</f>
        <v>0</v>
      </c>
      <c r="E85">
        <v>0</v>
      </c>
      <c r="F85" s="6" t="str">
        <f>IF(D85=E85,"n/a",IF(OR(C85="battery electric vehicle",C85="natural gas vehicle",C85="plugin hybrid vehicle",C85="hydrogen vehicle"),"s-curve","linear"))</f>
        <v>n/a</v>
      </c>
      <c r="H85" s="20">
        <f t="shared" si="23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5.75" thickBot="1">
      <c r="A86" s="21"/>
      <c r="B86" s="21"/>
      <c r="C86" s="21" t="s">
        <v>79</v>
      </c>
      <c r="D86" s="24">
        <f>'SYVbT-passenger'!H7/SUM('SYVbT-passenger'!7:7)</f>
        <v>0</v>
      </c>
      <c r="E86" s="21">
        <v>0</v>
      </c>
      <c r="F86" s="7" t="str">
        <f>IF(D86=E86,"n/a",IF(OR(C86="battery electric vehicle",C86="natural gas vehicle",C86="plugin hybrid vehicle",C86="hydrogen vehicle"),"s-curve","linear"))</f>
        <v>n/a</v>
      </c>
      <c r="H86" s="20">
        <f t="shared" si="23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>
      <c r="A87" t="s">
        <v>17</v>
      </c>
      <c r="B87" t="s">
        <v>18</v>
      </c>
      <c r="C87" t="s">
        <v>1</v>
      </c>
      <c r="D87" s="20">
        <f>D80</f>
        <v>0</v>
      </c>
      <c r="E87" s="20">
        <f>E80</f>
        <v>1</v>
      </c>
      <c r="F87" s="6" t="str">
        <f>IF(D87=E87,"n/a",IF(OR(C87="battery electric vehicle",C87="natural gas vehicle",C87="plugin hybrid vehicle"),"s-curve","linear"))</f>
        <v>s-curve</v>
      </c>
      <c r="H87" s="20">
        <f t="shared" si="23"/>
        <v>0</v>
      </c>
      <c r="I87">
        <f>IF($F87="s-curve",$D87+($E87-$D87)*$I$2/(1+EXP($I$3*(COUNT($H$9:I$9)+$I$4))),TREND($D87:$E87,$D$9:$E$9,I$9))</f>
        <v>5.3151136398063722E-2</v>
      </c>
      <c r="J87">
        <f>IF($F87="s-curve",$D87+($E87-$D87)*$I$2/(1+EXP($I$3*(COUNT($H$9:J$9)+$I$4))),TREND($D87:$E87,$D$9:$E$9,J$9))</f>
        <v>6.1803466263588569E-2</v>
      </c>
      <c r="K87">
        <f>IF($F87="s-curve",$D87+($E87-$D87)*$I$2/(1+EXP($I$3*(COUNT($H$9:K$9)+$I$4))),TREND($D87:$E87,$D$9:$E$9,K$9))</f>
        <v>7.1757542263751334E-2</v>
      </c>
      <c r="L87">
        <f>IF($F87="s-curve",$D87+($E87-$D87)*$I$2/(1+EXP($I$3*(COUNT($H$9:L$9)+$I$4))),TREND($D87:$E87,$D$9:$E$9,L$9))</f>
        <v>8.317269649392238E-2</v>
      </c>
      <c r="M87">
        <f>IF($F87="s-curve",$D87+($E87-$D87)*$I$2/(1+EXP($I$3*(COUNT($H$9:M$9)+$I$4))),TREND($D87:$E87,$D$9:$E$9,M$9))</f>
        <v>9.6215541710692826E-2</v>
      </c>
      <c r="N87">
        <f>IF($F87="s-curve",$D87+($E87-$D87)*$I$2/(1+EXP($I$3*(COUNT($H$9:N$9)+$I$4))),TREND($D87:$E87,$D$9:$E$9,N$9))</f>
        <v>0.11105596671140756</v>
      </c>
      <c r="O87">
        <f>IF($F87="s-curve",$D87+($E87-$D87)*$I$2/(1+EXP($I$3*(COUNT($H$9:O$9)+$I$4))),TREND($D87:$E87,$D$9:$E$9,O$9))</f>
        <v>0.12786156631908133</v>
      </c>
      <c r="P87">
        <f>IF($F87="s-curve",$D87+($E87-$D87)*$I$2/(1+EXP($I$3*(COUNT($H$9:P$9)+$I$4))),TREND($D87:$E87,$D$9:$E$9,P$9))</f>
        <v>0.14679033980138237</v>
      </c>
      <c r="Q87">
        <f>IF($F87="s-curve",$D87+($E87-$D87)*$I$2/(1+EXP($I$3*(COUNT($H$9:Q$9)+$I$4))),TREND($D87:$E87,$D$9:$E$9,Q$9))</f>
        <v>0.16798161486607552</v>
      </c>
      <c r="R87">
        <f>IF($F87="s-curve",$D87+($E87-$D87)*$I$2/(1+EXP($I$3*(COUNT($H$9:R$9)+$I$4))),TREND($D87:$E87,$D$9:$E$9,R$9))</f>
        <v>0.19154534856146752</v>
      </c>
      <c r="S87">
        <f>IF($F87="s-curve",$D87+($E87-$D87)*$I$2/(1+EXP($I$3*(COUNT($H$9:S$9)+$I$4))),TREND($D87:$E87,$D$9:$E$9,S$9))</f>
        <v>0.2175502235768875</v>
      </c>
      <c r="T87">
        <f>IF($F87="s-curve",$D87+($E87-$D87)*$I$2/(1+EXP($I$3*(COUNT($H$9:T$9)+$I$4))),TREND($D87:$E87,$D$9:$E$9,T$9))</f>
        <v>0.2460112835510519</v>
      </c>
      <c r="U87">
        <f>IF($F87="s-curve",$D87+($E87-$D87)*$I$2/(1+EXP($I$3*(COUNT($H$9:U$9)+$I$4))),TREND($D87:$E87,$D$9:$E$9,U$9))</f>
        <v>0.27687819487561016</v>
      </c>
      <c r="V87">
        <f>IF($F87="s-curve",$D87+($E87-$D87)*$I$2/(1+EXP($I$3*(COUNT($H$9:V$9)+$I$4))),TREND($D87:$E87,$D$9:$E$9,V$9))</f>
        <v>0.31002551887238755</v>
      </c>
      <c r="W87">
        <f>IF($F87="s-curve",$D87+($E87-$D87)*$I$2/(1+EXP($I$3*(COUNT($H$9:W$9)+$I$4))),TREND($D87:$E87,$D$9:$E$9,W$9))</f>
        <v>0.34524653939368077</v>
      </c>
      <c r="X87">
        <f>IF($F87="s-curve",$D87+($E87-$D87)*$I$2/(1+EXP($I$3*(COUNT($H$9:X$9)+$I$4))),TREND($D87:$E87,$D$9:$E$9,X$9))</f>
        <v>0.38225212523075103</v>
      </c>
      <c r="Y87">
        <f>IF($F87="s-curve",$D87+($E87-$D87)*$I$2/(1+EXP($I$3*(COUNT($H$9:Y$9)+$I$4))),TREND($D87:$E87,$D$9:$E$9,Y$9))</f>
        <v>0.42067574785125056</v>
      </c>
      <c r="Z87">
        <f>IF($F87="s-curve",$D87+($E87-$D87)*$I$2/(1+EXP($I$3*(COUNT($H$9:Z$9)+$I$4))),TREND($D87:$E87,$D$9:$E$9,Z$9))</f>
        <v>0.46008511544443426</v>
      </c>
      <c r="AA87">
        <f>IF($F87="s-curve",$D87+($E87-$D87)*$I$2/(1+EXP($I$3*(COUNT($H$9:AA$9)+$I$4))),TREND($D87:$E87,$D$9:$E$9,AA$9))</f>
        <v>0.5</v>
      </c>
      <c r="AB87">
        <f>IF($F87="s-curve",$D87+($E87-$D87)*$I$2/(1+EXP($I$3*(COUNT($H$9:AB$9)+$I$4))),TREND($D87:$E87,$D$9:$E$9,AB$9))</f>
        <v>0.53991488455556569</v>
      </c>
      <c r="AC87">
        <f>IF($F87="s-curve",$D87+($E87-$D87)*$I$2/(1+EXP($I$3*(COUNT($H$9:AC$9)+$I$4))),TREND($D87:$E87,$D$9:$E$9,AC$9))</f>
        <v>0.5793242521487495</v>
      </c>
      <c r="AD87">
        <f>IF($F87="s-curve",$D87+($E87-$D87)*$I$2/(1+EXP($I$3*(COUNT($H$9:AD$9)+$I$4))),TREND($D87:$E87,$D$9:$E$9,AD$9))</f>
        <v>0.61774787476924897</v>
      </c>
      <c r="AE87">
        <f>IF($F87="s-curve",$D87+($E87-$D87)*$I$2/(1+EXP($I$3*(COUNT($H$9:AE$9)+$I$4))),TREND($D87:$E87,$D$9:$E$9,AE$9))</f>
        <v>0.65475346060631923</v>
      </c>
      <c r="AF87">
        <f>IF($F87="s-curve",$D87+($E87-$D87)*$I$2/(1+EXP($I$3*(COUNT($H$9:AF$9)+$I$4))),TREND($D87:$E87,$D$9:$E$9,AF$9))</f>
        <v>0.6899744811276125</v>
      </c>
      <c r="AG87">
        <f>IF($F87="s-curve",$D87+($E87-$D87)*$I$2/(1+EXP($I$3*(COUNT($H$9:AG$9)+$I$4))),TREND($D87:$E87,$D$9:$E$9,AG$9))</f>
        <v>0.72312180512438984</v>
      </c>
      <c r="AH87">
        <f>IF($F87="s-curve",$D87+($E87-$D87)*$I$2/(1+EXP($I$3*(COUNT($H$9:AH$9)+$I$4))),TREND($D87:$E87,$D$9:$E$9,AH$9))</f>
        <v>0.75398871644894816</v>
      </c>
      <c r="AI87">
        <f>IF($F87="s-curve",$D87+($E87-$D87)*$I$2/(1+EXP($I$3*(COUNT($H$9:AI$9)+$I$4))),TREND($D87:$E87,$D$9:$E$9,AI$9))</f>
        <v>0.78244977642311242</v>
      </c>
      <c r="AJ87">
        <f>IF($F87="s-curve",$D87+($E87-$D87)*$I$2/(1+EXP($I$3*(COUNT($H$9:AJ$9)+$I$4))),TREND($D87:$E87,$D$9:$E$9,AJ$9))</f>
        <v>0.80845465143853257</v>
      </c>
      <c r="AK87">
        <f>IF($F87="s-curve",$D87+($E87-$D87)*$I$2/(1+EXP($I$3*(COUNT($H$9:AK$9)+$I$4))),TREND($D87:$E87,$D$9:$E$9,AK$9))</f>
        <v>0.83201838513392445</v>
      </c>
      <c r="AL87">
        <f>IF($F87="s-curve",$D87+($E87-$D87)*$I$2/(1+EXP($I$3*(COUNT($H$9:AL$9)+$I$4))),TREND($D87:$E87,$D$9:$E$9,AL$9))</f>
        <v>0.85320966019861766</v>
      </c>
    </row>
    <row r="88" spans="1:38">
      <c r="C88" t="s">
        <v>2</v>
      </c>
      <c r="D88" s="20">
        <f t="shared" ref="D88:E93" si="25">D81</f>
        <v>0</v>
      </c>
      <c r="E88" s="20">
        <f t="shared" si="25"/>
        <v>0</v>
      </c>
      <c r="F88" s="6" t="str">
        <f>IF(D88=E88,"n/a",IF(OR(C88="battery electric vehicle",C88="natural gas vehicle",C88="plugin hybrid vehicle"),"s-curve","linear"))</f>
        <v>n/a</v>
      </c>
      <c r="H88" s="20">
        <f t="shared" si="23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>
      <c r="C89" t="s">
        <v>3</v>
      </c>
      <c r="D89" s="20">
        <f t="shared" si="25"/>
        <v>3</v>
      </c>
      <c r="E89" s="20">
        <f t="shared" si="25"/>
        <v>3</v>
      </c>
      <c r="F89" s="6" t="str">
        <f>IF(D89=E89,"n/a",IF(OR(C89="battery electric vehicle",C89="natural gas vehicle",C89="plugin hybrid vehicle"),"s-curve","linear"))</f>
        <v>n/a</v>
      </c>
      <c r="H89" s="20">
        <f t="shared" si="23"/>
        <v>3</v>
      </c>
      <c r="I89">
        <f>IF($F89="s-curve",$D89+($E89-$D89)*$I$2/(1+EXP($I$3*(COUNT($H$9:I$9)+$I$4))),TREND($D89:$E89,$D$9:$E$9,I$9))</f>
        <v>3</v>
      </c>
      <c r="J89">
        <f>IF($F89="s-curve",$D89+($E89-$D89)*$I$2/(1+EXP($I$3*(COUNT($H$9:J$9)+$I$4))),TREND($D89:$E89,$D$9:$E$9,J$9))</f>
        <v>3</v>
      </c>
      <c r="K89">
        <f>IF($F89="s-curve",$D89+($E89-$D89)*$I$2/(1+EXP($I$3*(COUNT($H$9:K$9)+$I$4))),TREND($D89:$E89,$D$9:$E$9,K$9))</f>
        <v>3</v>
      </c>
      <c r="L89">
        <f>IF($F89="s-curve",$D89+($E89-$D89)*$I$2/(1+EXP($I$3*(COUNT($H$9:L$9)+$I$4))),TREND($D89:$E89,$D$9:$E$9,L$9))</f>
        <v>3</v>
      </c>
      <c r="M89">
        <f>IF($F89="s-curve",$D89+($E89-$D89)*$I$2/(1+EXP($I$3*(COUNT($H$9:M$9)+$I$4))),TREND($D89:$E89,$D$9:$E$9,M$9))</f>
        <v>3</v>
      </c>
      <c r="N89">
        <f>IF($F89="s-curve",$D89+($E89-$D89)*$I$2/(1+EXP($I$3*(COUNT($H$9:N$9)+$I$4))),TREND($D89:$E89,$D$9:$E$9,N$9))</f>
        <v>3</v>
      </c>
      <c r="O89">
        <f>IF($F89="s-curve",$D89+($E89-$D89)*$I$2/(1+EXP($I$3*(COUNT($H$9:O$9)+$I$4))),TREND($D89:$E89,$D$9:$E$9,O$9))</f>
        <v>3</v>
      </c>
      <c r="P89">
        <f>IF($F89="s-curve",$D89+($E89-$D89)*$I$2/(1+EXP($I$3*(COUNT($H$9:P$9)+$I$4))),TREND($D89:$E89,$D$9:$E$9,P$9))</f>
        <v>3</v>
      </c>
      <c r="Q89">
        <f>IF($F89="s-curve",$D89+($E89-$D89)*$I$2/(1+EXP($I$3*(COUNT($H$9:Q$9)+$I$4))),TREND($D89:$E89,$D$9:$E$9,Q$9))</f>
        <v>3</v>
      </c>
      <c r="R89">
        <f>IF($F89="s-curve",$D89+($E89-$D89)*$I$2/(1+EXP($I$3*(COUNT($H$9:R$9)+$I$4))),TREND($D89:$E89,$D$9:$E$9,R$9))</f>
        <v>3</v>
      </c>
      <c r="S89">
        <f>IF($F89="s-curve",$D89+($E89-$D89)*$I$2/(1+EXP($I$3*(COUNT($H$9:S$9)+$I$4))),TREND($D89:$E89,$D$9:$E$9,S$9))</f>
        <v>3</v>
      </c>
      <c r="T89">
        <f>IF($F89="s-curve",$D89+($E89-$D89)*$I$2/(1+EXP($I$3*(COUNT($H$9:T$9)+$I$4))),TREND($D89:$E89,$D$9:$E$9,T$9))</f>
        <v>3</v>
      </c>
      <c r="U89">
        <f>IF($F89="s-curve",$D89+($E89-$D89)*$I$2/(1+EXP($I$3*(COUNT($H$9:U$9)+$I$4))),TREND($D89:$E89,$D$9:$E$9,U$9))</f>
        <v>3</v>
      </c>
      <c r="V89">
        <f>IF($F89="s-curve",$D89+($E89-$D89)*$I$2/(1+EXP($I$3*(COUNT($H$9:V$9)+$I$4))),TREND($D89:$E89,$D$9:$E$9,V$9))</f>
        <v>3</v>
      </c>
      <c r="W89">
        <f>IF($F89="s-curve",$D89+($E89-$D89)*$I$2/(1+EXP($I$3*(COUNT($H$9:W$9)+$I$4))),TREND($D89:$E89,$D$9:$E$9,W$9))</f>
        <v>3</v>
      </c>
      <c r="X89">
        <f>IF($F89="s-curve",$D89+($E89-$D89)*$I$2/(1+EXP($I$3*(COUNT($H$9:X$9)+$I$4))),TREND($D89:$E89,$D$9:$E$9,X$9))</f>
        <v>3</v>
      </c>
      <c r="Y89">
        <f>IF($F89="s-curve",$D89+($E89-$D89)*$I$2/(1+EXP($I$3*(COUNT($H$9:Y$9)+$I$4))),TREND($D89:$E89,$D$9:$E$9,Y$9))</f>
        <v>3</v>
      </c>
      <c r="Z89">
        <f>IF($F89="s-curve",$D89+($E89-$D89)*$I$2/(1+EXP($I$3*(COUNT($H$9:Z$9)+$I$4))),TREND($D89:$E89,$D$9:$E$9,Z$9))</f>
        <v>3</v>
      </c>
      <c r="AA89">
        <f>IF($F89="s-curve",$D89+($E89-$D89)*$I$2/(1+EXP($I$3*(COUNT($H$9:AA$9)+$I$4))),TREND($D89:$E89,$D$9:$E$9,AA$9))</f>
        <v>3</v>
      </c>
      <c r="AB89">
        <f>IF($F89="s-curve",$D89+($E89-$D89)*$I$2/(1+EXP($I$3*(COUNT($H$9:AB$9)+$I$4))),TREND($D89:$E89,$D$9:$E$9,AB$9))</f>
        <v>3</v>
      </c>
      <c r="AC89">
        <f>IF($F89="s-curve",$D89+($E89-$D89)*$I$2/(1+EXP($I$3*(COUNT($H$9:AC$9)+$I$4))),TREND($D89:$E89,$D$9:$E$9,AC$9))</f>
        <v>3</v>
      </c>
      <c r="AD89">
        <f>IF($F89="s-curve",$D89+($E89-$D89)*$I$2/(1+EXP($I$3*(COUNT($H$9:AD$9)+$I$4))),TREND($D89:$E89,$D$9:$E$9,AD$9))</f>
        <v>3</v>
      </c>
      <c r="AE89">
        <f>IF($F89="s-curve",$D89+($E89-$D89)*$I$2/(1+EXP($I$3*(COUNT($H$9:AE$9)+$I$4))),TREND($D89:$E89,$D$9:$E$9,AE$9))</f>
        <v>3</v>
      </c>
      <c r="AF89">
        <f>IF($F89="s-curve",$D89+($E89-$D89)*$I$2/(1+EXP($I$3*(COUNT($H$9:AF$9)+$I$4))),TREND($D89:$E89,$D$9:$E$9,AF$9))</f>
        <v>3</v>
      </c>
      <c r="AG89">
        <f>IF($F89="s-curve",$D89+($E89-$D89)*$I$2/(1+EXP($I$3*(COUNT($H$9:AG$9)+$I$4))),TREND($D89:$E89,$D$9:$E$9,AG$9))</f>
        <v>3</v>
      </c>
      <c r="AH89">
        <f>IF($F89="s-curve",$D89+($E89-$D89)*$I$2/(1+EXP($I$3*(COUNT($H$9:AH$9)+$I$4))),TREND($D89:$E89,$D$9:$E$9,AH$9))</f>
        <v>3</v>
      </c>
      <c r="AI89">
        <f>IF($F89="s-curve",$D89+($E89-$D89)*$I$2/(1+EXP($I$3*(COUNT($H$9:AI$9)+$I$4))),TREND($D89:$E89,$D$9:$E$9,AI$9))</f>
        <v>3</v>
      </c>
      <c r="AJ89">
        <f>IF($F89="s-curve",$D89+($E89-$D89)*$I$2/(1+EXP($I$3*(COUNT($H$9:AJ$9)+$I$4))),TREND($D89:$E89,$D$9:$E$9,AJ$9))</f>
        <v>3</v>
      </c>
      <c r="AK89">
        <f>IF($F89="s-curve",$D89+($E89-$D89)*$I$2/(1+EXP($I$3*(COUNT($H$9:AK$9)+$I$4))),TREND($D89:$E89,$D$9:$E$9,AK$9))</f>
        <v>3</v>
      </c>
      <c r="AL89">
        <f>IF($F89="s-curve",$D89+($E89-$D89)*$I$2/(1+EXP($I$3*(COUNT($H$9:AL$9)+$I$4))),TREND($D89:$E89,$D$9:$E$9,AL$9))</f>
        <v>3</v>
      </c>
    </row>
    <row r="90" spans="1:38">
      <c r="C90" t="s">
        <v>4</v>
      </c>
      <c r="D90" s="20">
        <f t="shared" si="25"/>
        <v>0</v>
      </c>
      <c r="E90" s="20">
        <f t="shared" si="25"/>
        <v>0</v>
      </c>
      <c r="F90" s="6" t="str">
        <f>IF(D90=E90,"n/a",IF(OR(C90="battery electric vehicle",C90="natural gas vehicle",C90="plugin hybrid vehicle"),"s-curve","linear"))</f>
        <v>n/a</v>
      </c>
      <c r="H90" s="20">
        <f t="shared" si="23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>
      <c r="C91" t="s">
        <v>5</v>
      </c>
      <c r="D91" s="20">
        <f t="shared" si="25"/>
        <v>0</v>
      </c>
      <c r="E91" s="20">
        <f t="shared" si="25"/>
        <v>0</v>
      </c>
      <c r="F91" s="6" t="str">
        <f>IF(D91=E91,"n/a",IF(OR(C91="battery electric vehicle",C91="natural gas vehicle",C91="plugin hybrid vehicle"),"s-curve","linear"))</f>
        <v>n/a</v>
      </c>
      <c r="H91" s="20">
        <f t="shared" si="23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>
      <c r="C92" t="s">
        <v>78</v>
      </c>
      <c r="D92" s="20">
        <f t="shared" si="25"/>
        <v>0</v>
      </c>
      <c r="E92" s="20">
        <f t="shared" si="25"/>
        <v>0</v>
      </c>
      <c r="F92" s="6" t="str">
        <f>IF(D92=E92,"n/a",IF(OR(C92="battery electric vehicle",C92="natural gas vehicle",C92="plugin hybrid vehicle",C92="hydrogen vehicle"),"s-curve","linear"))</f>
        <v>n/a</v>
      </c>
      <c r="H92" s="20">
        <f t="shared" si="23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5.75" thickBot="1">
      <c r="A93" s="21"/>
      <c r="B93" s="21"/>
      <c r="C93" s="21" t="s">
        <v>79</v>
      </c>
      <c r="D93" s="21">
        <f t="shared" si="25"/>
        <v>0</v>
      </c>
      <c r="E93" s="21">
        <v>0</v>
      </c>
      <c r="F93" s="7" t="str">
        <f>IF(D93=E93,"n/a",IF(OR(C93="battery electric vehicle",C93="natural gas vehicle",C93="plugin hybrid vehicle",C93="hydrogen vehicle"),"s-curve","linear"))</f>
        <v>n/a</v>
      </c>
      <c r="H93" s="20">
        <f t="shared" si="23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honeticPr fontId="9" type="noConversion"/>
  <pageMargins left="0.7" right="0.7" top="0.75" bottom="0.75" header="0.3" footer="0.3"/>
  <pageSetup orientation="portrait" horizontalDpi="4294967293" verticalDpi="4294967293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T6" sqref="T6"/>
    </sheetView>
  </sheetViews>
  <sheetFormatPr defaultColWidth="9.140625" defaultRowHeight="15"/>
  <cols>
    <col min="1" max="1" width="24.42578125" customWidth="1"/>
  </cols>
  <sheetData>
    <row r="1" spans="1:32" ht="45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Data!H10</f>
        <v>0.117440521101984</v>
      </c>
      <c r="C2">
        <f>Data!I10</f>
        <v>0.117440521101984</v>
      </c>
      <c r="D2">
        <f>Data!J10</f>
        <v>0.19574055486733699</v>
      </c>
      <c r="E2">
        <f>Data!K10</f>
        <v>0.180496933010247</v>
      </c>
      <c r="F2">
        <f>Data!L10</f>
        <v>0.169947491452244</v>
      </c>
      <c r="G2">
        <f>Data!M10</f>
        <v>0.25807148748617798</v>
      </c>
      <c r="H2">
        <f>Data!N10</f>
        <v>0.30479321587354868</v>
      </c>
      <c r="I2">
        <f>Data!O10</f>
        <v>0.31977968247767741</v>
      </c>
      <c r="J2">
        <f>Data!P10</f>
        <v>0.33901352975582549</v>
      </c>
      <c r="K2">
        <f>Data!Q10</f>
        <v>0.36331483706629852</v>
      </c>
      <c r="L2">
        <f>Data!R10</f>
        <v>0.39341818500838277</v>
      </c>
      <c r="M2">
        <f>Data!S10</f>
        <v>0.42980955054856673</v>
      </c>
      <c r="N2">
        <f>Data!T10</f>
        <v>0.47252629304498917</v>
      </c>
      <c r="O2">
        <f>Data!U10</f>
        <v>0.52096917712672686</v>
      </c>
      <c r="P2">
        <f>Data!V10</f>
        <v>0.57380471797722965</v>
      </c>
      <c r="Q2">
        <f>Data!W10</f>
        <v>0.6290357437430889</v>
      </c>
      <c r="R2">
        <f>Data!X10</f>
        <v>0.68426676950894838</v>
      </c>
      <c r="S2">
        <f>Data!Y10</f>
        <v>0.73710231035945117</v>
      </c>
      <c r="T2">
        <f>Data!Z10</f>
        <v>0.78554519444118864</v>
      </c>
      <c r="U2">
        <f>Data!AA10</f>
        <v>0.82826193693761119</v>
      </c>
      <c r="V2">
        <f>Data!AB10</f>
        <v>0.86465330247779515</v>
      </c>
      <c r="W2">
        <f>Data!AC10</f>
        <v>0.8947566504198794</v>
      </c>
      <c r="X2">
        <f>Data!AD10</f>
        <v>0.91905795773035237</v>
      </c>
      <c r="Y2">
        <f>Data!AE10</f>
        <v>0.93829180500850051</v>
      </c>
      <c r="Z2">
        <f>Data!AF10</f>
        <v>0.95327827161262935</v>
      </c>
      <c r="AA2">
        <f>Data!AG10</f>
        <v>0.96481339245869879</v>
      </c>
      <c r="AB2">
        <f>Data!AH10</f>
        <v>0.97360872045460534</v>
      </c>
      <c r="AC2">
        <f>Data!AI10</f>
        <v>0.98026693211817606</v>
      </c>
      <c r="AD2">
        <f>Data!AJ10</f>
        <v>0.98527991147889638</v>
      </c>
      <c r="AE2">
        <f>Data!AK10</f>
        <v>0.98903872464197784</v>
      </c>
      <c r="AF2">
        <f>Data!AL10</f>
        <v>0.99184847399700926</v>
      </c>
    </row>
    <row r="3" spans="1:32">
      <c r="A3" t="s">
        <v>2</v>
      </c>
      <c r="B3">
        <f>Data!H11</f>
        <v>3.3529508501743601E-3</v>
      </c>
      <c r="C3">
        <f>Data!I11</f>
        <v>3.3529508501743601E-3</v>
      </c>
      <c r="D3">
        <f>Data!J11</f>
        <v>3.2344845624373798E-3</v>
      </c>
      <c r="E3">
        <f>Data!K11</f>
        <v>3.2992663893674601E-3</v>
      </c>
      <c r="F3">
        <f>Data!L11</f>
        <v>3.30947194118662E-3</v>
      </c>
      <c r="G3">
        <f>Data!M11</f>
        <v>3.3095148929585699E-3</v>
      </c>
      <c r="H3">
        <f>Data!N11</f>
        <v>3.3095148929585699E-3</v>
      </c>
      <c r="I3">
        <f>Data!O11</f>
        <v>3.3095148929585699E-3</v>
      </c>
      <c r="J3">
        <f>Data!P11</f>
        <v>3.3095148929585699E-3</v>
      </c>
      <c r="K3">
        <f>Data!Q11</f>
        <v>3.3095148929585699E-3</v>
      </c>
      <c r="L3">
        <f>Data!R11</f>
        <v>3.3095148929585699E-3</v>
      </c>
      <c r="M3">
        <f>Data!S11</f>
        <v>3.3095148929585699E-3</v>
      </c>
      <c r="N3">
        <f>Data!T11</f>
        <v>3.3095148929585699E-3</v>
      </c>
      <c r="O3">
        <f>Data!U11</f>
        <v>3.3095148929585699E-3</v>
      </c>
      <c r="P3">
        <f>Data!V11</f>
        <v>3.3095148929585699E-3</v>
      </c>
      <c r="Q3">
        <f>Data!W11</f>
        <v>3.3095148929585699E-3</v>
      </c>
      <c r="R3">
        <f>Data!X11</f>
        <v>3.3095148929585699E-3</v>
      </c>
      <c r="S3">
        <f>Data!Y11</f>
        <v>3.3095148929585699E-3</v>
      </c>
      <c r="T3">
        <f>Data!Z11</f>
        <v>3.3095148929585699E-3</v>
      </c>
      <c r="U3">
        <f>Data!AA11</f>
        <v>3.3095148929585699E-3</v>
      </c>
      <c r="V3">
        <f>Data!AB11</f>
        <v>3.3095148929585699E-3</v>
      </c>
      <c r="W3">
        <f>Data!AC11</f>
        <v>3.3095148929585699E-3</v>
      </c>
      <c r="X3">
        <f>Data!AD11</f>
        <v>3.3095148929585699E-3</v>
      </c>
      <c r="Y3">
        <f>Data!AE11</f>
        <v>3.3095148929585699E-3</v>
      </c>
      <c r="Z3">
        <f>Data!AF11</f>
        <v>3.3095148929585699E-3</v>
      </c>
      <c r="AA3">
        <f>Data!AG11</f>
        <v>3.3095148929585699E-3</v>
      </c>
      <c r="AB3">
        <f>Data!AH11</f>
        <v>3.3095148929585699E-3</v>
      </c>
      <c r="AC3">
        <f>Data!AI11</f>
        <v>3.3095148929585699E-3</v>
      </c>
      <c r="AD3">
        <f>Data!AJ11</f>
        <v>3.3095148929585699E-3</v>
      </c>
      <c r="AE3">
        <f>Data!AK11</f>
        <v>3.3095148929585699E-3</v>
      </c>
      <c r="AF3">
        <f>Data!AL11</f>
        <v>3.3095148929585699E-3</v>
      </c>
    </row>
    <row r="4" spans="1:32">
      <c r="A4" t="s">
        <v>3</v>
      </c>
      <c r="B4">
        <f>Data!H12</f>
        <v>1</v>
      </c>
      <c r="C4">
        <f>Data!I12</f>
        <v>1</v>
      </c>
      <c r="D4">
        <f>Data!J12</f>
        <v>1</v>
      </c>
      <c r="E4">
        <f>Data!K12</f>
        <v>1</v>
      </c>
      <c r="F4">
        <f>Data!L12</f>
        <v>1</v>
      </c>
      <c r="G4">
        <f>Data!M12</f>
        <v>1</v>
      </c>
      <c r="H4">
        <f>Data!N12</f>
        <v>1</v>
      </c>
      <c r="I4">
        <f>Data!O12</f>
        <v>1</v>
      </c>
      <c r="J4">
        <f>Data!P12</f>
        <v>1</v>
      </c>
      <c r="K4">
        <f>Data!Q12</f>
        <v>1</v>
      </c>
      <c r="L4">
        <f>Data!R12</f>
        <v>1</v>
      </c>
      <c r="M4">
        <f>Data!S12</f>
        <v>1</v>
      </c>
      <c r="N4">
        <f>Data!T12</f>
        <v>1</v>
      </c>
      <c r="O4">
        <f>Data!U12</f>
        <v>1</v>
      </c>
      <c r="P4">
        <f>Data!V12</f>
        <v>1</v>
      </c>
      <c r="Q4">
        <f>Data!W12</f>
        <v>1</v>
      </c>
      <c r="R4">
        <f>Data!X12</f>
        <v>1</v>
      </c>
      <c r="S4">
        <f>Data!Y12</f>
        <v>1</v>
      </c>
      <c r="T4">
        <f>Data!Z12</f>
        <v>1</v>
      </c>
      <c r="U4">
        <f>Data!AA12</f>
        <v>1</v>
      </c>
      <c r="V4">
        <f>Data!AB12</f>
        <v>1</v>
      </c>
      <c r="W4">
        <f>Data!AC12</f>
        <v>1</v>
      </c>
      <c r="X4">
        <f>Data!AD12</f>
        <v>1</v>
      </c>
      <c r="Y4">
        <f>Data!AE12</f>
        <v>1</v>
      </c>
      <c r="Z4">
        <f>Data!AF12</f>
        <v>1</v>
      </c>
      <c r="AA4">
        <f>Data!AG12</f>
        <v>1</v>
      </c>
      <c r="AB4">
        <f>Data!AH12</f>
        <v>1</v>
      </c>
      <c r="AC4">
        <f>Data!AI12</f>
        <v>1</v>
      </c>
      <c r="AD4">
        <f>Data!AJ12</f>
        <v>1</v>
      </c>
      <c r="AE4">
        <f>Data!AK12</f>
        <v>1</v>
      </c>
      <c r="AF4">
        <f>Data!AL12</f>
        <v>1</v>
      </c>
    </row>
    <row r="5" spans="1:32">
      <c r="A5" t="s">
        <v>4</v>
      </c>
      <c r="B5">
        <f>Data!H13</f>
        <v>0.59228638519715204</v>
      </c>
      <c r="C5">
        <f>Data!I13</f>
        <v>0.59228638519715204</v>
      </c>
      <c r="D5">
        <f>Data!J13</f>
        <v>0.59230948421771701</v>
      </c>
      <c r="E5">
        <f>Data!K13</f>
        <v>0.59203080907285699</v>
      </c>
      <c r="F5">
        <f>Data!L13</f>
        <v>0.59155228627877099</v>
      </c>
      <c r="G5">
        <f>Data!M13</f>
        <v>0.59058027726111195</v>
      </c>
      <c r="H5">
        <f>Data!N13</f>
        <v>0.59058027726111195</v>
      </c>
      <c r="I5">
        <f>Data!O13</f>
        <v>0.59058027726111195</v>
      </c>
      <c r="J5">
        <f>Data!P13</f>
        <v>0.59058027726111195</v>
      </c>
      <c r="K5">
        <f>Data!Q13</f>
        <v>0.59058027726111195</v>
      </c>
      <c r="L5">
        <f>Data!R13</f>
        <v>0.59058027726111195</v>
      </c>
      <c r="M5">
        <f>Data!S13</f>
        <v>0.59058027726111195</v>
      </c>
      <c r="N5">
        <f>Data!T13</f>
        <v>0.59058027726111195</v>
      </c>
      <c r="O5">
        <f>Data!U13</f>
        <v>0.59058027726111195</v>
      </c>
      <c r="P5">
        <f>Data!V13</f>
        <v>0.59058027726111195</v>
      </c>
      <c r="Q5">
        <f>Data!W13</f>
        <v>0.59058027726111195</v>
      </c>
      <c r="R5">
        <f>Data!X13</f>
        <v>0.59058027726111195</v>
      </c>
      <c r="S5">
        <f>Data!Y13</f>
        <v>0.59058027726111195</v>
      </c>
      <c r="T5">
        <f>Data!Z13</f>
        <v>0.59058027726111195</v>
      </c>
      <c r="U5">
        <f>Data!AA13</f>
        <v>0.59058027726111195</v>
      </c>
      <c r="V5">
        <f>Data!AB13</f>
        <v>0.59058027726111195</v>
      </c>
      <c r="W5">
        <f>Data!AC13</f>
        <v>0.59058027726111195</v>
      </c>
      <c r="X5">
        <f>Data!AD13</f>
        <v>0.59058027726111195</v>
      </c>
      <c r="Y5">
        <f>Data!AE13</f>
        <v>0.59058027726111195</v>
      </c>
      <c r="Z5">
        <f>Data!AF13</f>
        <v>0.59058027726111195</v>
      </c>
      <c r="AA5">
        <f>Data!AG13</f>
        <v>0.59058027726111195</v>
      </c>
      <c r="AB5">
        <f>Data!AH13</f>
        <v>0.59058027726111195</v>
      </c>
      <c r="AC5">
        <f>Data!AI13</f>
        <v>0.59058027726111195</v>
      </c>
      <c r="AD5">
        <f>Data!AJ13</f>
        <v>0.59058027726111195</v>
      </c>
      <c r="AE5">
        <f>Data!AK13</f>
        <v>0.59058027726111195</v>
      </c>
      <c r="AF5">
        <f>Data!AL13</f>
        <v>0.59058027726111195</v>
      </c>
    </row>
    <row r="6" spans="1:32">
      <c r="A6" t="s">
        <v>5</v>
      </c>
      <c r="B6">
        <f>Data!H14</f>
        <v>2.3289188371058402E-2</v>
      </c>
      <c r="C6">
        <f>Data!I14</f>
        <v>2.3289188371058402E-2</v>
      </c>
      <c r="D6">
        <f>Data!J14</f>
        <v>1.61860221153209E-2</v>
      </c>
      <c r="E6">
        <f>Data!K14</f>
        <v>1.2519591168578899E-2</v>
      </c>
      <c r="F6">
        <f>Data!L14</f>
        <v>1.14350359237596E-2</v>
      </c>
      <c r="G6">
        <f>Data!M14</f>
        <v>1.71314827014208E-2</v>
      </c>
      <c r="H6">
        <f>Data!N14</f>
        <v>2.3305186161136641E-2</v>
      </c>
      <c r="I6">
        <f>Data!O14</f>
        <v>2.9478889620852482E-2</v>
      </c>
      <c r="J6">
        <f>Data!P14</f>
        <v>3.5652593080568319E-2</v>
      </c>
      <c r="K6">
        <f>Data!Q14</f>
        <v>4.1826296540284157E-2</v>
      </c>
      <c r="L6">
        <f>Data!R14</f>
        <v>4.8000000000000001E-2</v>
      </c>
      <c r="M6">
        <f>Data!S14</f>
        <v>5.2400000000000002E-2</v>
      </c>
      <c r="N6">
        <f>Data!T14</f>
        <v>5.6800000000000003E-2</v>
      </c>
      <c r="O6">
        <f>Data!U14</f>
        <v>6.1200000000000004E-2</v>
      </c>
      <c r="P6">
        <f>Data!V14</f>
        <v>6.5600000000000006E-2</v>
      </c>
      <c r="Q6">
        <f>Data!W14</f>
        <v>7.0000000000000007E-2</v>
      </c>
      <c r="R6">
        <f>Data!X14</f>
        <v>7.46E-2</v>
      </c>
      <c r="S6">
        <f>Data!Y14</f>
        <v>7.9199999999999993E-2</v>
      </c>
      <c r="T6">
        <f>Data!Z14</f>
        <v>8.3799999999999986E-2</v>
      </c>
      <c r="U6">
        <f>Data!AA14</f>
        <v>8.8399999999999979E-2</v>
      </c>
      <c r="V6">
        <f>Data!AB14</f>
        <v>9.2999999999999999E-2</v>
      </c>
      <c r="W6">
        <f>Data!AC14</f>
        <v>0.1024</v>
      </c>
      <c r="X6">
        <f>Data!AD14</f>
        <v>0.11180000000000001</v>
      </c>
      <c r="Y6">
        <f>Data!AE14</f>
        <v>0.12120000000000002</v>
      </c>
      <c r="Z6">
        <f>Data!AF14</f>
        <v>0.13060000000000002</v>
      </c>
      <c r="AA6">
        <f>Data!AG14</f>
        <v>0.14000000000000001</v>
      </c>
      <c r="AB6">
        <f>Data!AH14</f>
        <v>0.16400000000000001</v>
      </c>
      <c r="AC6">
        <f>Data!AI14</f>
        <v>0.188</v>
      </c>
      <c r="AD6">
        <f>Data!AJ14</f>
        <v>0.21199999999999999</v>
      </c>
      <c r="AE6">
        <f>Data!AK14</f>
        <v>0.23599999999999999</v>
      </c>
      <c r="AF6">
        <f>Data!AL14</f>
        <v>0.26</v>
      </c>
    </row>
    <row r="7" spans="1:32">
      <c r="A7" t="s">
        <v>78</v>
      </c>
      <c r="B7">
        <f>Data!H15</f>
        <v>0.17113476719881701</v>
      </c>
      <c r="C7">
        <f>Data!I15</f>
        <v>0.17113476719881701</v>
      </c>
      <c r="D7">
        <f>Data!J15</f>
        <v>0.16042654304401399</v>
      </c>
      <c r="E7">
        <f>Data!K15</f>
        <v>0.16019604568516499</v>
      </c>
      <c r="F7">
        <f>Data!L15</f>
        <v>0.15998875949545299</v>
      </c>
      <c r="G7">
        <f>Data!M15</f>
        <v>0.15947005332295699</v>
      </c>
      <c r="H7">
        <f>Data!N15</f>
        <v>0.15947005332295699</v>
      </c>
      <c r="I7">
        <f>Data!O15</f>
        <v>0.15947005332295699</v>
      </c>
      <c r="J7">
        <f>Data!P15</f>
        <v>0.15947005332295699</v>
      </c>
      <c r="K7">
        <f>Data!Q15</f>
        <v>0.15947005332295699</v>
      </c>
      <c r="L7">
        <f>Data!R15</f>
        <v>0.15947005332295699</v>
      </c>
      <c r="M7">
        <f>Data!S15</f>
        <v>0.15947005332295699</v>
      </c>
      <c r="N7">
        <f>Data!T15</f>
        <v>0.15947005332295699</v>
      </c>
      <c r="O7">
        <f>Data!U15</f>
        <v>0.15947005332295699</v>
      </c>
      <c r="P7">
        <f>Data!V15</f>
        <v>0.15947005332295699</v>
      </c>
      <c r="Q7">
        <f>Data!W15</f>
        <v>0.15947005332295699</v>
      </c>
      <c r="R7">
        <f>Data!X15</f>
        <v>0.15947005332295699</v>
      </c>
      <c r="S7">
        <f>Data!Y15</f>
        <v>0.15947005332295699</v>
      </c>
      <c r="T7">
        <f>Data!Z15</f>
        <v>0.15947005332295699</v>
      </c>
      <c r="U7">
        <f>Data!AA15</f>
        <v>0.15947005332295699</v>
      </c>
      <c r="V7">
        <f>Data!AB15</f>
        <v>0.15947005332295699</v>
      </c>
      <c r="W7">
        <f>Data!AC15</f>
        <v>0.15947005332295699</v>
      </c>
      <c r="X7">
        <f>Data!AD15</f>
        <v>0.15947005332295699</v>
      </c>
      <c r="Y7">
        <f>Data!AE15</f>
        <v>0.15947005332295699</v>
      </c>
      <c r="Z7">
        <f>Data!AF15</f>
        <v>0.15947005332295699</v>
      </c>
      <c r="AA7">
        <f>Data!AG15</f>
        <v>0.15947005332295699</v>
      </c>
      <c r="AB7">
        <f>Data!AH15</f>
        <v>0.15947005332295699</v>
      </c>
      <c r="AC7">
        <f>Data!AI15</f>
        <v>0.15947005332295699</v>
      </c>
      <c r="AD7">
        <f>Data!AJ15</f>
        <v>0.15947005332295699</v>
      </c>
      <c r="AE7">
        <f>Data!AK15</f>
        <v>0.15947005332295699</v>
      </c>
      <c r="AF7">
        <f>Data!AL15</f>
        <v>0.15947005332295699</v>
      </c>
    </row>
    <row r="8" spans="1:32">
      <c r="A8" t="s">
        <v>79</v>
      </c>
      <c r="B8">
        <f>Data!H16</f>
        <v>1.37690622330492E-2</v>
      </c>
      <c r="C8">
        <f>Data!I16</f>
        <v>1.37690622330492E-2</v>
      </c>
      <c r="D8">
        <f>Data!J16</f>
        <v>1.50234391644237E-2</v>
      </c>
      <c r="E8">
        <f>Data!K16</f>
        <v>5.9846297320643701E-3</v>
      </c>
      <c r="F8">
        <f>Data!L16</f>
        <v>3.9429627558054299E-3</v>
      </c>
      <c r="G8">
        <f>Data!M16</f>
        <v>8.1424881347127408E-3</v>
      </c>
      <c r="H8">
        <f>Data!N16</f>
        <v>8.1424881347127408E-3</v>
      </c>
      <c r="I8">
        <f>Data!O16</f>
        <v>8.1424881347127408E-3</v>
      </c>
      <c r="J8">
        <f>Data!P16</f>
        <v>8.1424881347127408E-3</v>
      </c>
      <c r="K8">
        <f>Data!Q16</f>
        <v>8.1424881347127408E-3</v>
      </c>
      <c r="L8">
        <f>Data!R16</f>
        <v>8.1424881347127408E-3</v>
      </c>
      <c r="M8">
        <f>Data!S16</f>
        <v>8.1424881347127408E-3</v>
      </c>
      <c r="N8">
        <f>Data!T16</f>
        <v>8.1424881347127408E-3</v>
      </c>
      <c r="O8">
        <f>Data!U16</f>
        <v>8.1424881347127408E-3</v>
      </c>
      <c r="P8">
        <f>Data!V16</f>
        <v>8.1424881347127408E-3</v>
      </c>
      <c r="Q8">
        <f>Data!W16</f>
        <v>8.1424881347127408E-3</v>
      </c>
      <c r="R8">
        <f>Data!X16</f>
        <v>8.1424881347127408E-3</v>
      </c>
      <c r="S8">
        <f>Data!Y16</f>
        <v>8.1424881347127408E-3</v>
      </c>
      <c r="T8">
        <f>Data!Z16</f>
        <v>8.1424881347127408E-3</v>
      </c>
      <c r="U8">
        <f>Data!AA16</f>
        <v>8.1424881347127408E-3</v>
      </c>
      <c r="V8">
        <f>Data!AB16</f>
        <v>8.1424881347127408E-3</v>
      </c>
      <c r="W8">
        <f>Data!AC16</f>
        <v>8.1424881347127408E-3</v>
      </c>
      <c r="X8">
        <f>Data!AD16</f>
        <v>8.1424881347127408E-3</v>
      </c>
      <c r="Y8">
        <f>Data!AE16</f>
        <v>8.1424881347127408E-3</v>
      </c>
      <c r="Z8">
        <f>Data!AF16</f>
        <v>8.1424881347127408E-3</v>
      </c>
      <c r="AA8">
        <f>Data!AG16</f>
        <v>8.1424881347127408E-3</v>
      </c>
      <c r="AB8">
        <f>Data!AH16</f>
        <v>8.1424881347127408E-3</v>
      </c>
      <c r="AC8">
        <f>Data!AI16</f>
        <v>8.1424881347127408E-3</v>
      </c>
      <c r="AD8">
        <f>Data!AJ16</f>
        <v>8.1424881347127408E-3</v>
      </c>
      <c r="AE8">
        <f>Data!AK16</f>
        <v>8.1424881347127408E-3</v>
      </c>
      <c r="AF8">
        <f>Data!AL16</f>
        <v>8.1424881347127408E-3</v>
      </c>
    </row>
  </sheetData>
  <phoneticPr fontId="9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H23" sqref="H23"/>
    </sheetView>
  </sheetViews>
  <sheetFormatPr defaultColWidth="9.140625" defaultRowHeight="15"/>
  <cols>
    <col min="1" max="1" width="24.42578125" customWidth="1"/>
  </cols>
  <sheetData>
    <row r="1" spans="1:32" ht="45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Data!H17</f>
        <v>0.18467095381410897</v>
      </c>
      <c r="C2">
        <f>Data!I17</f>
        <v>0.20679585237428799</v>
      </c>
      <c r="D2">
        <f>Data!J17</f>
        <v>0.2323202254775863</v>
      </c>
      <c r="E2">
        <f>Data!K17</f>
        <v>0.26168474967806649</v>
      </c>
      <c r="F2">
        <f>Data!L17</f>
        <v>0.29535945465707103</v>
      </c>
      <c r="G2">
        <f>Data!M17</f>
        <v>0.33383584804654387</v>
      </c>
      <c r="H2">
        <f>Data!N17</f>
        <v>0.37761510179865232</v>
      </c>
      <c r="I2">
        <f>Data!O17</f>
        <v>0.42719162064128996</v>
      </c>
      <c r="J2">
        <f>Data!P17</f>
        <v>0.48303150241407805</v>
      </c>
      <c r="K2">
        <f>Data!Q17</f>
        <v>0.54554576385492282</v>
      </c>
      <c r="L2">
        <f>Data!R17</f>
        <v>0.61505877825632926</v>
      </c>
      <c r="M2">
        <f>Data!S17</f>
        <v>0.69177315955181817</v>
      </c>
      <c r="N2">
        <f>Data!T17</f>
        <v>0.77573328647560325</v>
      </c>
      <c r="O2">
        <f>Data!U17</f>
        <v>0.86679067488305006</v>
      </c>
      <c r="P2">
        <f>Data!V17</f>
        <v>0.96457528067354337</v>
      </c>
      <c r="Q2">
        <f>Data!W17</f>
        <v>1.0684772912113583</v>
      </c>
      <c r="R2">
        <f>Data!X17</f>
        <v>1.1776437694307156</v>
      </c>
      <c r="S2">
        <f>Data!Y17</f>
        <v>1.2909934561611893</v>
      </c>
      <c r="T2">
        <f>Data!Z17</f>
        <v>1.4072510905610811</v>
      </c>
      <c r="U2">
        <f>Data!AA17</f>
        <v>1.5250000000000001</v>
      </c>
      <c r="V2">
        <f>Data!AB17</f>
        <v>1.6427489094389189</v>
      </c>
      <c r="W2">
        <f>Data!AC17</f>
        <v>1.7590065438388109</v>
      </c>
      <c r="X2">
        <f>Data!AD17</f>
        <v>1.8723562305692845</v>
      </c>
      <c r="Y2">
        <f>Data!AE17</f>
        <v>1.981522708788642</v>
      </c>
      <c r="Z2">
        <f>Data!AF17</f>
        <v>2.0854247193264568</v>
      </c>
      <c r="AA2">
        <f>Data!AG17</f>
        <v>2.18320932511695</v>
      </c>
      <c r="AB2">
        <f>Data!AH17</f>
        <v>2.2742667135243968</v>
      </c>
      <c r="AC2">
        <f>Data!AI17</f>
        <v>2.3582268404481819</v>
      </c>
      <c r="AD2">
        <f>Data!AJ17</f>
        <v>2.4349412217436712</v>
      </c>
      <c r="AE2">
        <f>Data!AK17</f>
        <v>2.5044542361450772</v>
      </c>
      <c r="AF2">
        <f>Data!AL17</f>
        <v>2.5669684975859219</v>
      </c>
    </row>
    <row r="3" spans="1:32">
      <c r="A3" t="s">
        <v>2</v>
      </c>
      <c r="B3">
        <f>Data!H18</f>
        <v>6.1283704210113928E-4</v>
      </c>
      <c r="C3">
        <f>Data!I18</f>
        <v>6.1283704210113928E-4</v>
      </c>
      <c r="D3">
        <f>Data!J18</f>
        <v>6.1283704210113928E-4</v>
      </c>
      <c r="E3">
        <f>Data!K18</f>
        <v>6.1283704210113928E-4</v>
      </c>
      <c r="F3">
        <f>Data!L18</f>
        <v>6.1283704210113928E-4</v>
      </c>
      <c r="G3">
        <f>Data!M18</f>
        <v>6.1283704210113928E-4</v>
      </c>
      <c r="H3">
        <f>Data!N18</f>
        <v>6.1283704210113928E-4</v>
      </c>
      <c r="I3">
        <f>Data!O18</f>
        <v>6.1283704210113928E-4</v>
      </c>
      <c r="J3">
        <f>Data!P18</f>
        <v>6.1283704210113928E-4</v>
      </c>
      <c r="K3">
        <f>Data!Q18</f>
        <v>6.1283704210113928E-4</v>
      </c>
      <c r="L3">
        <f>Data!R18</f>
        <v>6.1283704210113928E-4</v>
      </c>
      <c r="M3">
        <f>Data!S18</f>
        <v>6.1283704210113928E-4</v>
      </c>
      <c r="N3">
        <f>Data!T18</f>
        <v>6.1283704210113928E-4</v>
      </c>
      <c r="O3">
        <f>Data!U18</f>
        <v>6.1283704210113928E-4</v>
      </c>
      <c r="P3">
        <f>Data!V18</f>
        <v>6.1283704210113928E-4</v>
      </c>
      <c r="Q3">
        <f>Data!W18</f>
        <v>6.1283704210113928E-4</v>
      </c>
      <c r="R3">
        <f>Data!X18</f>
        <v>6.1283704210113928E-4</v>
      </c>
      <c r="S3">
        <f>Data!Y18</f>
        <v>6.1283704210113928E-4</v>
      </c>
      <c r="T3">
        <f>Data!Z18</f>
        <v>6.1283704210113928E-4</v>
      </c>
      <c r="U3">
        <f>Data!AA18</f>
        <v>6.1283704210113928E-4</v>
      </c>
      <c r="V3">
        <f>Data!AB18</f>
        <v>6.1283704210113928E-4</v>
      </c>
      <c r="W3">
        <f>Data!AC18</f>
        <v>6.1283704210113928E-4</v>
      </c>
      <c r="X3">
        <f>Data!AD18</f>
        <v>6.1283704210113928E-4</v>
      </c>
      <c r="Y3">
        <f>Data!AE18</f>
        <v>6.1283704210113928E-4</v>
      </c>
      <c r="Z3">
        <f>Data!AF18</f>
        <v>6.1283704210113928E-4</v>
      </c>
      <c r="AA3">
        <f>Data!AG18</f>
        <v>6.1283704210113928E-4</v>
      </c>
      <c r="AB3">
        <f>Data!AH18</f>
        <v>6.1283704210113928E-4</v>
      </c>
      <c r="AC3">
        <f>Data!AI18</f>
        <v>6.1283704210113928E-4</v>
      </c>
      <c r="AD3">
        <f>Data!AJ18</f>
        <v>6.1283704210113928E-4</v>
      </c>
      <c r="AE3">
        <f>Data!AK18</f>
        <v>6.1283704210113928E-4</v>
      </c>
      <c r="AF3">
        <f>Data!AL18</f>
        <v>6.1283704210113928E-4</v>
      </c>
    </row>
    <row r="4" spans="1:32">
      <c r="A4" t="s">
        <v>3</v>
      </c>
      <c r="B4">
        <f>Data!H19</f>
        <v>0.01</v>
      </c>
      <c r="C4">
        <f>Data!I19</f>
        <v>0.01</v>
      </c>
      <c r="D4">
        <f>Data!J19</f>
        <v>0.01</v>
      </c>
      <c r="E4">
        <f>Data!K19</f>
        <v>0.01</v>
      </c>
      <c r="F4">
        <f>Data!L19</f>
        <v>0.01</v>
      </c>
      <c r="G4">
        <f>Data!M19</f>
        <v>0.01</v>
      </c>
      <c r="H4">
        <f>Data!N19</f>
        <v>0.01</v>
      </c>
      <c r="I4">
        <f>Data!O19</f>
        <v>0.01</v>
      </c>
      <c r="J4">
        <f>Data!P19</f>
        <v>0.01</v>
      </c>
      <c r="K4">
        <f>Data!Q19</f>
        <v>0.01</v>
      </c>
      <c r="L4">
        <f>Data!R19</f>
        <v>0.01</v>
      </c>
      <c r="M4">
        <f>Data!S19</f>
        <v>0.01</v>
      </c>
      <c r="N4">
        <f>Data!T19</f>
        <v>0.01</v>
      </c>
      <c r="O4">
        <f>Data!U19</f>
        <v>0.01</v>
      </c>
      <c r="P4">
        <f>Data!V19</f>
        <v>0.01</v>
      </c>
      <c r="Q4">
        <f>Data!W19</f>
        <v>0.01</v>
      </c>
      <c r="R4">
        <f>Data!X19</f>
        <v>0.01</v>
      </c>
      <c r="S4">
        <f>Data!Y19</f>
        <v>0.01</v>
      </c>
      <c r="T4">
        <f>Data!Z19</f>
        <v>0.01</v>
      </c>
      <c r="U4">
        <f>Data!AA19</f>
        <v>0.01</v>
      </c>
      <c r="V4">
        <f>Data!AB19</f>
        <v>0.01</v>
      </c>
      <c r="W4">
        <f>Data!AC19</f>
        <v>0.01</v>
      </c>
      <c r="X4">
        <f>Data!AD19</f>
        <v>0.01</v>
      </c>
      <c r="Y4">
        <f>Data!AE19</f>
        <v>0.01</v>
      </c>
      <c r="Z4">
        <f>Data!AF19</f>
        <v>0.01</v>
      </c>
      <c r="AA4">
        <f>Data!AG19</f>
        <v>0.01</v>
      </c>
      <c r="AB4">
        <f>Data!AH19</f>
        <v>0.01</v>
      </c>
      <c r="AC4">
        <f>Data!AI19</f>
        <v>0.01</v>
      </c>
      <c r="AD4">
        <f>Data!AJ19</f>
        <v>0.01</v>
      </c>
      <c r="AE4">
        <f>Data!AK19</f>
        <v>0.01</v>
      </c>
      <c r="AF4">
        <f>Data!AL19</f>
        <v>0.01</v>
      </c>
    </row>
    <row r="5" spans="1:32">
      <c r="A5" t="s">
        <v>4</v>
      </c>
      <c r="B5">
        <f>Data!H20</f>
        <v>1</v>
      </c>
      <c r="C5">
        <f>Data!I20</f>
        <v>1</v>
      </c>
      <c r="D5">
        <f>Data!J20</f>
        <v>1</v>
      </c>
      <c r="E5">
        <f>Data!K20</f>
        <v>1</v>
      </c>
      <c r="F5">
        <f>Data!L20</f>
        <v>1</v>
      </c>
      <c r="G5">
        <f>Data!M20</f>
        <v>1</v>
      </c>
      <c r="H5">
        <f>Data!N20</f>
        <v>1</v>
      </c>
      <c r="I5">
        <f>Data!O20</f>
        <v>1</v>
      </c>
      <c r="J5">
        <f>Data!P20</f>
        <v>1</v>
      </c>
      <c r="K5">
        <f>Data!Q20</f>
        <v>1</v>
      </c>
      <c r="L5">
        <f>Data!R20</f>
        <v>1</v>
      </c>
      <c r="M5">
        <f>Data!S20</f>
        <v>1</v>
      </c>
      <c r="N5">
        <f>Data!T20</f>
        <v>1</v>
      </c>
      <c r="O5">
        <f>Data!U20</f>
        <v>1</v>
      </c>
      <c r="P5">
        <f>Data!V20</f>
        <v>1</v>
      </c>
      <c r="Q5">
        <f>Data!W20</f>
        <v>1</v>
      </c>
      <c r="R5">
        <f>Data!X20</f>
        <v>1</v>
      </c>
      <c r="S5">
        <f>Data!Y20</f>
        <v>1</v>
      </c>
      <c r="T5">
        <f>Data!Z20</f>
        <v>1</v>
      </c>
      <c r="U5">
        <f>Data!AA20</f>
        <v>1</v>
      </c>
      <c r="V5">
        <f>Data!AB20</f>
        <v>1</v>
      </c>
      <c r="W5">
        <f>Data!AC20</f>
        <v>1</v>
      </c>
      <c r="X5">
        <f>Data!AD20</f>
        <v>1</v>
      </c>
      <c r="Y5">
        <f>Data!AE20</f>
        <v>1</v>
      </c>
      <c r="Z5">
        <f>Data!AF20</f>
        <v>1</v>
      </c>
      <c r="AA5">
        <f>Data!AG20</f>
        <v>1</v>
      </c>
      <c r="AB5">
        <f>Data!AH20</f>
        <v>1</v>
      </c>
      <c r="AC5">
        <f>Data!AI20</f>
        <v>1</v>
      </c>
      <c r="AD5">
        <f>Data!AJ20</f>
        <v>1</v>
      </c>
      <c r="AE5">
        <f>Data!AK20</f>
        <v>1</v>
      </c>
      <c r="AF5">
        <f>Data!AL20</f>
        <v>1</v>
      </c>
    </row>
    <row r="6" spans="1:32">
      <c r="A6" t="s">
        <v>5</v>
      </c>
      <c r="B6">
        <f>Data!H21</f>
        <v>0</v>
      </c>
      <c r="C6">
        <f>Data!I21</f>
        <v>1.3287784099515931E-2</v>
      </c>
      <c r="D6">
        <f>Data!J21</f>
        <v>1.5450866565897142E-2</v>
      </c>
      <c r="E6">
        <f>Data!K21</f>
        <v>1.7939385565937833E-2</v>
      </c>
      <c r="F6">
        <f>Data!L21</f>
        <v>2.0793174123480595E-2</v>
      </c>
      <c r="G6">
        <f>Data!M21</f>
        <v>2.4053885427673206E-2</v>
      </c>
      <c r="H6">
        <f>Data!N21</f>
        <v>2.7763991677851891E-2</v>
      </c>
      <c r="I6">
        <f>Data!O21</f>
        <v>3.1965391579770332E-2</v>
      </c>
      <c r="J6">
        <f>Data!P21</f>
        <v>3.6697584950345592E-2</v>
      </c>
      <c r="K6">
        <f>Data!Q21</f>
        <v>4.199540371651888E-2</v>
      </c>
      <c r="L6">
        <f>Data!R21</f>
        <v>4.7886337140366879E-2</v>
      </c>
      <c r="M6">
        <f>Data!S21</f>
        <v>5.4387555894221874E-2</v>
      </c>
      <c r="N6">
        <f>Data!T21</f>
        <v>6.1502820887762974E-2</v>
      </c>
      <c r="O6">
        <f>Data!U21</f>
        <v>6.921954871890254E-2</v>
      </c>
      <c r="P6">
        <f>Data!V21</f>
        <v>7.7506379718096888E-2</v>
      </c>
      <c r="Q6">
        <f>Data!W21</f>
        <v>8.6311634848420193E-2</v>
      </c>
      <c r="R6">
        <f>Data!X21</f>
        <v>9.5563031307687757E-2</v>
      </c>
      <c r="S6">
        <f>Data!Y21</f>
        <v>0.10516893696281264</v>
      </c>
      <c r="T6">
        <f>Data!Z21</f>
        <v>0.11502127886110856</v>
      </c>
      <c r="U6">
        <f>Data!AA21</f>
        <v>0.125</v>
      </c>
      <c r="V6">
        <f>Data!AB21</f>
        <v>0.13497872113889142</v>
      </c>
      <c r="W6">
        <f>Data!AC21</f>
        <v>0.14483106303718737</v>
      </c>
      <c r="X6">
        <f>Data!AD21</f>
        <v>0.15443696869231224</v>
      </c>
      <c r="Y6">
        <f>Data!AE21</f>
        <v>0.16368836515157981</v>
      </c>
      <c r="Z6">
        <f>Data!AF21</f>
        <v>0.17249362028190313</v>
      </c>
      <c r="AA6">
        <f>Data!AG21</f>
        <v>0.18078045128109746</v>
      </c>
      <c r="AB6">
        <f>Data!AH21</f>
        <v>0.18849717911223704</v>
      </c>
      <c r="AC6">
        <f>Data!AI21</f>
        <v>0.1956124441057781</v>
      </c>
      <c r="AD6">
        <f>Data!AJ21</f>
        <v>0.20211366285963314</v>
      </c>
      <c r="AE6">
        <f>Data!AK21</f>
        <v>0.20800459628348111</v>
      </c>
      <c r="AF6">
        <f>Data!AL21</f>
        <v>0.21330241504965441</v>
      </c>
    </row>
    <row r="7" spans="1:32">
      <c r="A7" t="s">
        <v>78</v>
      </c>
      <c r="B7">
        <f>Data!H22</f>
        <v>0.1</v>
      </c>
      <c r="C7">
        <f>Data!I22</f>
        <v>0.1</v>
      </c>
      <c r="D7">
        <f>Data!J22</f>
        <v>0.1</v>
      </c>
      <c r="E7">
        <f>Data!K22</f>
        <v>0.1</v>
      </c>
      <c r="F7">
        <f>Data!L22</f>
        <v>0.1</v>
      </c>
      <c r="G7">
        <f>Data!M22</f>
        <v>0.1</v>
      </c>
      <c r="H7">
        <f>Data!N22</f>
        <v>0.1</v>
      </c>
      <c r="I7">
        <f>Data!O22</f>
        <v>0.1</v>
      </c>
      <c r="J7">
        <f>Data!P22</f>
        <v>0.1</v>
      </c>
      <c r="K7">
        <f>Data!Q22</f>
        <v>0.1</v>
      </c>
      <c r="L7">
        <f>Data!R22</f>
        <v>0.1</v>
      </c>
      <c r="M7">
        <f>Data!S22</f>
        <v>0.1</v>
      </c>
      <c r="N7">
        <f>Data!T22</f>
        <v>0.1</v>
      </c>
      <c r="O7">
        <f>Data!U22</f>
        <v>0.1</v>
      </c>
      <c r="P7">
        <f>Data!V22</f>
        <v>0.1</v>
      </c>
      <c r="Q7">
        <f>Data!W22</f>
        <v>0.1</v>
      </c>
      <c r="R7">
        <f>Data!X22</f>
        <v>0.1</v>
      </c>
      <c r="S7">
        <f>Data!Y22</f>
        <v>0.1</v>
      </c>
      <c r="T7">
        <f>Data!Z22</f>
        <v>0.1</v>
      </c>
      <c r="U7">
        <f>Data!AA22</f>
        <v>0.1</v>
      </c>
      <c r="V7">
        <f>Data!AB22</f>
        <v>0.1</v>
      </c>
      <c r="W7">
        <f>Data!AC22</f>
        <v>0.1</v>
      </c>
      <c r="X7">
        <f>Data!AD22</f>
        <v>0.1</v>
      </c>
      <c r="Y7">
        <f>Data!AE22</f>
        <v>0.1</v>
      </c>
      <c r="Z7">
        <f>Data!AF22</f>
        <v>0.1</v>
      </c>
      <c r="AA7">
        <f>Data!AG22</f>
        <v>0.1</v>
      </c>
      <c r="AB7">
        <f>Data!AH22</f>
        <v>0.1</v>
      </c>
      <c r="AC7">
        <f>Data!AI22</f>
        <v>0.1</v>
      </c>
      <c r="AD7">
        <f>Data!AJ22</f>
        <v>0.1</v>
      </c>
      <c r="AE7">
        <f>Data!AK22</f>
        <v>0.1</v>
      </c>
      <c r="AF7">
        <f>Data!AL22</f>
        <v>0.1</v>
      </c>
    </row>
    <row r="8" spans="1:32">
      <c r="A8" t="s">
        <v>79</v>
      </c>
      <c r="B8">
        <f>Data!H23</f>
        <v>5.0000000000000001E-4</v>
      </c>
      <c r="C8">
        <f>Data!I23</f>
        <v>5.0000000000000001E-4</v>
      </c>
      <c r="D8">
        <f>Data!J23</f>
        <v>5.0000000000000001E-4</v>
      </c>
      <c r="E8">
        <f>Data!K23</f>
        <v>5.0000000000000001E-4</v>
      </c>
      <c r="F8">
        <f>Data!L23</f>
        <v>5.0000000000000001E-4</v>
      </c>
      <c r="G8">
        <f>Data!M23</f>
        <v>5.0000000000000001E-4</v>
      </c>
      <c r="H8">
        <f>Data!N23</f>
        <v>5.0000000000000001E-4</v>
      </c>
      <c r="I8">
        <f>Data!O23</f>
        <v>5.0000000000000001E-4</v>
      </c>
      <c r="J8">
        <f>Data!P23</f>
        <v>5.0000000000000001E-4</v>
      </c>
      <c r="K8">
        <f>Data!Q23</f>
        <v>5.0000000000000001E-4</v>
      </c>
      <c r="L8">
        <f>Data!R23</f>
        <v>5.0000000000000001E-4</v>
      </c>
      <c r="M8">
        <f>Data!S23</f>
        <v>5.0000000000000001E-4</v>
      </c>
      <c r="N8">
        <f>Data!T23</f>
        <v>5.0000000000000001E-4</v>
      </c>
      <c r="O8">
        <f>Data!U23</f>
        <v>5.0000000000000001E-4</v>
      </c>
      <c r="P8">
        <f>Data!V23</f>
        <v>5.0000000000000001E-4</v>
      </c>
      <c r="Q8">
        <f>Data!W23</f>
        <v>5.0000000000000001E-4</v>
      </c>
      <c r="R8">
        <f>Data!X23</f>
        <v>5.0000000000000001E-4</v>
      </c>
      <c r="S8">
        <f>Data!Y23</f>
        <v>5.0000000000000001E-4</v>
      </c>
      <c r="T8">
        <f>Data!Z23</f>
        <v>5.0000000000000001E-4</v>
      </c>
      <c r="U8">
        <f>Data!AA23</f>
        <v>5.0000000000000001E-4</v>
      </c>
      <c r="V8">
        <f>Data!AB23</f>
        <v>5.0000000000000001E-4</v>
      </c>
      <c r="W8">
        <f>Data!AC23</f>
        <v>5.0000000000000001E-4</v>
      </c>
      <c r="X8">
        <f>Data!AD23</f>
        <v>5.0000000000000001E-4</v>
      </c>
      <c r="Y8">
        <f>Data!AE23</f>
        <v>5.0000000000000001E-4</v>
      </c>
      <c r="Z8">
        <f>Data!AF23</f>
        <v>5.0000000000000001E-4</v>
      </c>
      <c r="AA8">
        <f>Data!AG23</f>
        <v>5.0000000000000001E-4</v>
      </c>
      <c r="AB8">
        <f>Data!AH23</f>
        <v>5.0000000000000001E-4</v>
      </c>
      <c r="AC8">
        <f>Data!AI23</f>
        <v>5.0000000000000001E-4</v>
      </c>
      <c r="AD8">
        <f>Data!AJ23</f>
        <v>5.0000000000000001E-4</v>
      </c>
      <c r="AE8">
        <f>Data!AK23</f>
        <v>5.0000000000000001E-4</v>
      </c>
      <c r="AF8">
        <f>Data!AL23</f>
        <v>5.0000000000000001E-4</v>
      </c>
    </row>
  </sheetData>
  <phoneticPr fontId="9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>
      <selection activeCell="L12" sqref="A12:L12"/>
    </sheetView>
  </sheetViews>
  <sheetFormatPr defaultColWidth="9.140625" defaultRowHeight="15"/>
  <cols>
    <col min="1" max="1" width="24.42578125" customWidth="1"/>
  </cols>
  <sheetData>
    <row r="1" spans="1:32" ht="45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Data!H24</f>
        <v>0.24940910118286383</v>
      </c>
      <c r="C2">
        <f>Data!I24</f>
        <v>0.27888396604439047</v>
      </c>
      <c r="D2">
        <f>Data!J24</f>
        <v>0.31288762241590307</v>
      </c>
      <c r="E2">
        <f>Data!K24</f>
        <v>0.3520071410965428</v>
      </c>
      <c r="F2">
        <f>Data!L24</f>
        <v>0.39686869722111495</v>
      </c>
      <c r="G2">
        <f>Data!M24</f>
        <v>0.44812707892302284</v>
      </c>
      <c r="H2">
        <f>Data!N24</f>
        <v>0.50644994917583175</v>
      </c>
      <c r="I2">
        <f>Data!O24</f>
        <v>0.57249595563398969</v>
      </c>
      <c r="J2">
        <f>Data!P24</f>
        <v>0.64688603541943279</v>
      </c>
      <c r="K2">
        <f>Data!Q24</f>
        <v>0.73016774642367688</v>
      </c>
      <c r="L2">
        <f>Data!R24</f>
        <v>0.82277321984656737</v>
      </c>
      <c r="M2">
        <f>Data!S24</f>
        <v>0.92497237865716797</v>
      </c>
      <c r="N2">
        <f>Data!T24</f>
        <v>1.036824344355634</v>
      </c>
      <c r="O2">
        <f>Data!U24</f>
        <v>1.158131305861148</v>
      </c>
      <c r="P2">
        <f>Data!V24</f>
        <v>1.2884002891684831</v>
      </c>
      <c r="Q2">
        <f>Data!W24</f>
        <v>1.4268188998171656</v>
      </c>
      <c r="R2">
        <f>Data!X24</f>
        <v>1.5722508521568517</v>
      </c>
      <c r="S2">
        <f>Data!Y24</f>
        <v>1.7232556890554149</v>
      </c>
      <c r="T2">
        <f>Data!Z24</f>
        <v>1.8781345036966268</v>
      </c>
      <c r="U2">
        <f>Data!AA24</f>
        <v>2.0350000000000001</v>
      </c>
      <c r="V2">
        <f>Data!AB24</f>
        <v>2.191865496303373</v>
      </c>
      <c r="W2">
        <f>Data!AC24</f>
        <v>2.3467443109445854</v>
      </c>
      <c r="X2">
        <f>Data!AD24</f>
        <v>2.4977491478431482</v>
      </c>
      <c r="Y2">
        <f>Data!AE24</f>
        <v>2.6431811001828347</v>
      </c>
      <c r="Z2">
        <f>Data!AF24</f>
        <v>2.7815997108315167</v>
      </c>
      <c r="AA2">
        <f>Data!AG24</f>
        <v>2.9118686941388523</v>
      </c>
      <c r="AB2">
        <f>Data!AH24</f>
        <v>3.0331756556443663</v>
      </c>
      <c r="AC2">
        <f>Data!AI24</f>
        <v>3.1450276213428321</v>
      </c>
      <c r="AD2">
        <f>Data!AJ24</f>
        <v>3.2472267801534329</v>
      </c>
      <c r="AE2">
        <f>Data!AK24</f>
        <v>3.339832253576323</v>
      </c>
      <c r="AF2">
        <f>Data!AL24</f>
        <v>3.4231139645805673</v>
      </c>
    </row>
    <row r="3" spans="1:32">
      <c r="A3" t="s">
        <v>2</v>
      </c>
      <c r="B3">
        <f>Data!H25</f>
        <v>2.155996206658648E-3</v>
      </c>
      <c r="C3">
        <f>Data!I25</f>
        <v>2.155996206658648E-3</v>
      </c>
      <c r="D3">
        <f>Data!J25</f>
        <v>2.155996206658648E-3</v>
      </c>
      <c r="E3">
        <f>Data!K25</f>
        <v>2.155996206658648E-3</v>
      </c>
      <c r="F3">
        <f>Data!L25</f>
        <v>2.155996206658648E-3</v>
      </c>
      <c r="G3">
        <f>Data!M25</f>
        <v>2.155996206658648E-3</v>
      </c>
      <c r="H3">
        <f>Data!N25</f>
        <v>2.155996206658648E-3</v>
      </c>
      <c r="I3">
        <f>Data!O25</f>
        <v>2.155996206658648E-3</v>
      </c>
      <c r="J3">
        <f>Data!P25</f>
        <v>2.155996206658648E-3</v>
      </c>
      <c r="K3">
        <f>Data!Q25</f>
        <v>2.155996206658648E-3</v>
      </c>
      <c r="L3">
        <f>Data!R25</f>
        <v>2.155996206658648E-3</v>
      </c>
      <c r="M3">
        <f>Data!S25</f>
        <v>2.155996206658648E-3</v>
      </c>
      <c r="N3">
        <f>Data!T25</f>
        <v>2.155996206658648E-3</v>
      </c>
      <c r="O3">
        <f>Data!U25</f>
        <v>2.155996206658648E-3</v>
      </c>
      <c r="P3">
        <f>Data!V25</f>
        <v>2.155996206658648E-3</v>
      </c>
      <c r="Q3">
        <f>Data!W25</f>
        <v>2.155996206658648E-3</v>
      </c>
      <c r="R3">
        <f>Data!X25</f>
        <v>2.155996206658648E-3</v>
      </c>
      <c r="S3">
        <f>Data!Y25</f>
        <v>2.155996206658648E-3</v>
      </c>
      <c r="T3">
        <f>Data!Z25</f>
        <v>2.155996206658648E-3</v>
      </c>
      <c r="U3">
        <f>Data!AA25</f>
        <v>2.155996206658648E-3</v>
      </c>
      <c r="V3">
        <f>Data!AB25</f>
        <v>2.155996206658648E-3</v>
      </c>
      <c r="W3">
        <f>Data!AC25</f>
        <v>2.155996206658648E-3</v>
      </c>
      <c r="X3">
        <f>Data!AD25</f>
        <v>2.155996206658648E-3</v>
      </c>
      <c r="Y3">
        <f>Data!AE25</f>
        <v>2.155996206658648E-3</v>
      </c>
      <c r="Z3">
        <f>Data!AF25</f>
        <v>2.155996206658648E-3</v>
      </c>
      <c r="AA3">
        <f>Data!AG25</f>
        <v>2.155996206658648E-3</v>
      </c>
      <c r="AB3">
        <f>Data!AH25</f>
        <v>2.155996206658648E-3</v>
      </c>
      <c r="AC3">
        <f>Data!AI25</f>
        <v>2.155996206658648E-3</v>
      </c>
      <c r="AD3">
        <f>Data!AJ25</f>
        <v>2.155996206658648E-3</v>
      </c>
      <c r="AE3">
        <f>Data!AK25</f>
        <v>2.155996206658648E-3</v>
      </c>
      <c r="AF3">
        <f>Data!AL25</f>
        <v>2.155996206658648E-3</v>
      </c>
    </row>
    <row r="4" spans="1:32">
      <c r="A4" t="s">
        <v>3</v>
      </c>
      <c r="B4">
        <f>Data!H26</f>
        <v>1</v>
      </c>
      <c r="C4">
        <f>Data!I26</f>
        <v>1</v>
      </c>
      <c r="D4">
        <f>Data!J26</f>
        <v>1</v>
      </c>
      <c r="E4">
        <f>Data!K26</f>
        <v>1</v>
      </c>
      <c r="F4">
        <f>Data!L26</f>
        <v>1</v>
      </c>
      <c r="G4">
        <f>Data!M26</f>
        <v>1</v>
      </c>
      <c r="H4">
        <f>Data!N26</f>
        <v>1</v>
      </c>
      <c r="I4">
        <f>Data!O26</f>
        <v>1</v>
      </c>
      <c r="J4">
        <f>Data!P26</f>
        <v>1</v>
      </c>
      <c r="K4">
        <f>Data!Q26</f>
        <v>1</v>
      </c>
      <c r="L4">
        <f>Data!R26</f>
        <v>1</v>
      </c>
      <c r="M4">
        <f>Data!S26</f>
        <v>1</v>
      </c>
      <c r="N4">
        <f>Data!T26</f>
        <v>1</v>
      </c>
      <c r="O4">
        <f>Data!U26</f>
        <v>1</v>
      </c>
      <c r="P4">
        <f>Data!V26</f>
        <v>1</v>
      </c>
      <c r="Q4">
        <f>Data!W26</f>
        <v>1</v>
      </c>
      <c r="R4">
        <f>Data!X26</f>
        <v>1</v>
      </c>
      <c r="S4">
        <f>Data!Y26</f>
        <v>1</v>
      </c>
      <c r="T4">
        <f>Data!Z26</f>
        <v>1</v>
      </c>
      <c r="U4">
        <f>Data!AA26</f>
        <v>1</v>
      </c>
      <c r="V4">
        <f>Data!AB26</f>
        <v>1</v>
      </c>
      <c r="W4">
        <f>Data!AC26</f>
        <v>1</v>
      </c>
      <c r="X4">
        <f>Data!AD26</f>
        <v>1</v>
      </c>
      <c r="Y4">
        <f>Data!AE26</f>
        <v>1</v>
      </c>
      <c r="Z4">
        <f>Data!AF26</f>
        <v>1</v>
      </c>
      <c r="AA4">
        <f>Data!AG26</f>
        <v>1</v>
      </c>
      <c r="AB4">
        <f>Data!AH26</f>
        <v>1</v>
      </c>
      <c r="AC4">
        <f>Data!AI26</f>
        <v>1</v>
      </c>
      <c r="AD4">
        <f>Data!AJ26</f>
        <v>1</v>
      </c>
      <c r="AE4">
        <f>Data!AK26</f>
        <v>1</v>
      </c>
      <c r="AF4">
        <f>Data!AL26</f>
        <v>1</v>
      </c>
    </row>
    <row r="5" spans="1:32">
      <c r="A5" t="s">
        <v>4</v>
      </c>
      <c r="B5">
        <f>Data!H27</f>
        <v>1</v>
      </c>
      <c r="C5">
        <f>Data!I27</f>
        <v>1</v>
      </c>
      <c r="D5">
        <f>Data!J27</f>
        <v>1</v>
      </c>
      <c r="E5">
        <f>Data!K27</f>
        <v>1</v>
      </c>
      <c r="F5">
        <f>Data!L27</f>
        <v>1</v>
      </c>
      <c r="G5">
        <f>Data!M27</f>
        <v>1</v>
      </c>
      <c r="H5">
        <f>Data!N27</f>
        <v>1</v>
      </c>
      <c r="I5">
        <f>Data!O27</f>
        <v>1</v>
      </c>
      <c r="J5">
        <f>Data!P27</f>
        <v>1</v>
      </c>
      <c r="K5">
        <f>Data!Q27</f>
        <v>1</v>
      </c>
      <c r="L5">
        <f>Data!R27</f>
        <v>1</v>
      </c>
      <c r="M5">
        <f>Data!S27</f>
        <v>1</v>
      </c>
      <c r="N5">
        <f>Data!T27</f>
        <v>1</v>
      </c>
      <c r="O5">
        <f>Data!U27</f>
        <v>1</v>
      </c>
      <c r="P5">
        <f>Data!V27</f>
        <v>1</v>
      </c>
      <c r="Q5">
        <f>Data!W27</f>
        <v>1</v>
      </c>
      <c r="R5">
        <f>Data!X27</f>
        <v>1</v>
      </c>
      <c r="S5">
        <f>Data!Y27</f>
        <v>1</v>
      </c>
      <c r="T5">
        <f>Data!Z27</f>
        <v>1</v>
      </c>
      <c r="U5">
        <f>Data!AA27</f>
        <v>1</v>
      </c>
      <c r="V5">
        <f>Data!AB27</f>
        <v>1</v>
      </c>
      <c r="W5">
        <f>Data!AC27</f>
        <v>1</v>
      </c>
      <c r="X5">
        <f>Data!AD27</f>
        <v>1</v>
      </c>
      <c r="Y5">
        <f>Data!AE27</f>
        <v>1</v>
      </c>
      <c r="Z5">
        <f>Data!AF27</f>
        <v>1</v>
      </c>
      <c r="AA5">
        <f>Data!AG27</f>
        <v>1</v>
      </c>
      <c r="AB5">
        <f>Data!AH27</f>
        <v>1</v>
      </c>
      <c r="AC5">
        <f>Data!AI27</f>
        <v>1</v>
      </c>
      <c r="AD5">
        <f>Data!AJ27</f>
        <v>1</v>
      </c>
      <c r="AE5">
        <f>Data!AK27</f>
        <v>1</v>
      </c>
      <c r="AF5">
        <f>Data!AL27</f>
        <v>1</v>
      </c>
    </row>
    <row r="6" spans="1:32">
      <c r="A6" t="s">
        <v>5</v>
      </c>
      <c r="B6">
        <f>Data!H28</f>
        <v>0.1</v>
      </c>
      <c r="C6">
        <f>Data!I28</f>
        <v>0.1</v>
      </c>
      <c r="D6">
        <f>Data!J28</f>
        <v>0.1</v>
      </c>
      <c r="E6">
        <f>Data!K28</f>
        <v>0.1</v>
      </c>
      <c r="F6">
        <f>Data!L28</f>
        <v>0.1</v>
      </c>
      <c r="G6">
        <f>Data!M28</f>
        <v>0.1</v>
      </c>
      <c r="H6">
        <f>Data!N28</f>
        <v>0.1</v>
      </c>
      <c r="I6">
        <f>Data!O28</f>
        <v>0.1</v>
      </c>
      <c r="J6">
        <f>Data!P28</f>
        <v>0.1</v>
      </c>
      <c r="K6">
        <f>Data!Q28</f>
        <v>0.1</v>
      </c>
      <c r="L6">
        <f>Data!R28</f>
        <v>0.1</v>
      </c>
      <c r="M6">
        <f>Data!S28</f>
        <v>0.1</v>
      </c>
      <c r="N6">
        <f>Data!T28</f>
        <v>0.1</v>
      </c>
      <c r="O6">
        <f>Data!U28</f>
        <v>0.1</v>
      </c>
      <c r="P6">
        <f>Data!V28</f>
        <v>0.1</v>
      </c>
      <c r="Q6">
        <f>Data!W28</f>
        <v>0.1</v>
      </c>
      <c r="R6">
        <f>Data!X28</f>
        <v>0.1</v>
      </c>
      <c r="S6">
        <f>Data!Y28</f>
        <v>0.1</v>
      </c>
      <c r="T6">
        <f>Data!Z28</f>
        <v>0.1</v>
      </c>
      <c r="U6">
        <f>Data!AA28</f>
        <v>0.1</v>
      </c>
      <c r="V6">
        <f>Data!AB28</f>
        <v>0.1</v>
      </c>
      <c r="W6">
        <f>Data!AC28</f>
        <v>0.1</v>
      </c>
      <c r="X6">
        <f>Data!AD28</f>
        <v>0.1</v>
      </c>
      <c r="Y6">
        <f>Data!AE28</f>
        <v>0.1</v>
      </c>
      <c r="Z6">
        <f>Data!AF28</f>
        <v>0.1</v>
      </c>
      <c r="AA6">
        <f>Data!AG28</f>
        <v>0.1</v>
      </c>
      <c r="AB6">
        <f>Data!AH28</f>
        <v>0.1</v>
      </c>
      <c r="AC6">
        <f>Data!AI28</f>
        <v>0.1</v>
      </c>
      <c r="AD6">
        <f>Data!AJ28</f>
        <v>0.1</v>
      </c>
      <c r="AE6">
        <f>Data!AK28</f>
        <v>0.1</v>
      </c>
      <c r="AF6">
        <f>Data!AL28</f>
        <v>0.1</v>
      </c>
    </row>
    <row r="7" spans="1:32">
      <c r="A7" t="s">
        <v>78</v>
      </c>
      <c r="B7">
        <f>Data!H29</f>
        <v>0.3</v>
      </c>
      <c r="C7">
        <f>Data!I29</f>
        <v>0.3</v>
      </c>
      <c r="D7">
        <f>Data!J29</f>
        <v>0.3</v>
      </c>
      <c r="E7">
        <f>Data!K29</f>
        <v>0.3</v>
      </c>
      <c r="F7">
        <f>Data!L29</f>
        <v>0.3</v>
      </c>
      <c r="G7">
        <f>Data!M29</f>
        <v>0.3</v>
      </c>
      <c r="H7">
        <f>Data!N29</f>
        <v>0.3</v>
      </c>
      <c r="I7">
        <f>Data!O29</f>
        <v>0.3</v>
      </c>
      <c r="J7">
        <f>Data!P29</f>
        <v>0.3</v>
      </c>
      <c r="K7">
        <f>Data!Q29</f>
        <v>0.3</v>
      </c>
      <c r="L7">
        <f>Data!R29</f>
        <v>0.3</v>
      </c>
      <c r="M7">
        <f>Data!S29</f>
        <v>0.3</v>
      </c>
      <c r="N7">
        <f>Data!T29</f>
        <v>0.3</v>
      </c>
      <c r="O7">
        <f>Data!U29</f>
        <v>0.3</v>
      </c>
      <c r="P7">
        <f>Data!V29</f>
        <v>0.3</v>
      </c>
      <c r="Q7">
        <f>Data!W29</f>
        <v>0.3</v>
      </c>
      <c r="R7">
        <f>Data!X29</f>
        <v>0.3</v>
      </c>
      <c r="S7">
        <f>Data!Y29</f>
        <v>0.3</v>
      </c>
      <c r="T7">
        <f>Data!Z29</f>
        <v>0.3</v>
      </c>
      <c r="U7">
        <f>Data!AA29</f>
        <v>0.3</v>
      </c>
      <c r="V7">
        <f>Data!AB29</f>
        <v>0.3</v>
      </c>
      <c r="W7">
        <f>Data!AC29</f>
        <v>0.3</v>
      </c>
      <c r="X7">
        <f>Data!AD29</f>
        <v>0.3</v>
      </c>
      <c r="Y7">
        <f>Data!AE29</f>
        <v>0.3</v>
      </c>
      <c r="Z7">
        <f>Data!AF29</f>
        <v>0.3</v>
      </c>
      <c r="AA7">
        <f>Data!AG29</f>
        <v>0.3</v>
      </c>
      <c r="AB7">
        <f>Data!AH29</f>
        <v>0.3</v>
      </c>
      <c r="AC7">
        <f>Data!AI29</f>
        <v>0.3</v>
      </c>
      <c r="AD7">
        <f>Data!AJ29</f>
        <v>0.3</v>
      </c>
      <c r="AE7">
        <f>Data!AK29</f>
        <v>0.3</v>
      </c>
      <c r="AF7">
        <f>Data!AL29</f>
        <v>0.3</v>
      </c>
    </row>
    <row r="8" spans="1:32">
      <c r="A8" t="s">
        <v>79</v>
      </c>
      <c r="B8">
        <f>Data!H30</f>
        <v>6.9999999999999999E-4</v>
      </c>
      <c r="C8">
        <f>Data!I30</f>
        <v>7.7738785297517719E-4</v>
      </c>
      <c r="D8">
        <f>Data!J30</f>
        <v>7.8998561243814067E-4</v>
      </c>
      <c r="E8">
        <f>Data!K30</f>
        <v>8.0447870933516956E-4</v>
      </c>
      <c r="F8">
        <f>Data!L30</f>
        <v>8.2109913059272201E-4</v>
      </c>
      <c r="G8">
        <f>Data!M30</f>
        <v>8.4008946375237572E-4</v>
      </c>
      <c r="H8">
        <f>Data!N30</f>
        <v>8.6169706625861841E-4</v>
      </c>
      <c r="I8">
        <f>Data!O30</f>
        <v>8.8616595553801553E-4</v>
      </c>
      <c r="J8">
        <f>Data!P30</f>
        <v>9.1372617792494671E-4</v>
      </c>
      <c r="K8">
        <f>Data!Q30</f>
        <v>9.4458059403339993E-4</v>
      </c>
      <c r="L8">
        <f>Data!R30</f>
        <v>9.7888930090860526E-4</v>
      </c>
      <c r="M8">
        <f>Data!S30</f>
        <v>1.016752300285689E-3</v>
      </c>
      <c r="N8">
        <f>Data!T30</f>
        <v>1.0581914956455567E-3</v>
      </c>
      <c r="O8">
        <f>Data!U30</f>
        <v>1.1031336014453823E-3</v>
      </c>
      <c r="P8">
        <f>Data!V30</f>
        <v>1.1513959794455754E-3</v>
      </c>
      <c r="Q8">
        <f>Data!W30</f>
        <v>1.2026776517192247E-3</v>
      </c>
      <c r="R8">
        <f>Data!X30</f>
        <v>1.25655764432318E-3</v>
      </c>
      <c r="S8">
        <f>Data!Y30</f>
        <v>1.3125022931047108E-3</v>
      </c>
      <c r="T8">
        <f>Data!Z30</f>
        <v>1.3698821828272024E-3</v>
      </c>
      <c r="U8">
        <f>Data!AA30</f>
        <v>1.427998103329324E-3</v>
      </c>
      <c r="V8">
        <f>Data!AB30</f>
        <v>1.4861140238314452E-3</v>
      </c>
      <c r="W8">
        <f>Data!AC30</f>
        <v>1.5434939135539373E-3</v>
      </c>
      <c r="X8">
        <f>Data!AD30</f>
        <v>1.599438562335468E-3</v>
      </c>
      <c r="Y8">
        <f>Data!AE30</f>
        <v>1.6533185549394234E-3</v>
      </c>
      <c r="Z8">
        <f>Data!AF30</f>
        <v>1.7046002272130727E-3</v>
      </c>
      <c r="AA8">
        <f>Data!AG30</f>
        <v>1.7528626052132658E-3</v>
      </c>
      <c r="AB8">
        <f>Data!AH30</f>
        <v>1.7978047110130914E-3</v>
      </c>
      <c r="AC8">
        <f>Data!AI30</f>
        <v>1.8392439063729588E-3</v>
      </c>
      <c r="AD8">
        <f>Data!AJ30</f>
        <v>1.8771069057500426E-3</v>
      </c>
      <c r="AE8">
        <f>Data!AK30</f>
        <v>1.9114156126252479E-3</v>
      </c>
      <c r="AF8">
        <f>Data!AL30</f>
        <v>1.942270028733701E-3</v>
      </c>
    </row>
  </sheetData>
  <phoneticPr fontId="9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workbookViewId="0"/>
  </sheetViews>
  <sheetFormatPr defaultColWidth="9.140625" defaultRowHeight="15"/>
  <cols>
    <col min="1" max="1" width="24.42578125" customWidth="1"/>
  </cols>
  <sheetData>
    <row r="1" spans="1:32" ht="45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Data!H31</f>
        <v>5.3709944550863111E-3</v>
      </c>
      <c r="C2">
        <f>Data!I31</f>
        <v>2.103086091562989E-2</v>
      </c>
      <c r="D2">
        <f>Data!J31</f>
        <v>2.3580088259556035E-2</v>
      </c>
      <c r="E2">
        <f>Data!K31</f>
        <v>2.6512847772602481E-2</v>
      </c>
      <c r="F2">
        <f>Data!L31</f>
        <v>2.9876083311579586E-2</v>
      </c>
      <c r="G2">
        <f>Data!M31</f>
        <v>3.3718883827272901E-2</v>
      </c>
      <c r="H2">
        <f>Data!N31</f>
        <v>3.8091303487097355E-2</v>
      </c>
      <c r="I2">
        <f>Data!O31</f>
        <v>4.3042720587092277E-2</v>
      </c>
      <c r="J2">
        <f>Data!P31</f>
        <v>4.861968629436756E-2</v>
      </c>
      <c r="K2">
        <f>Data!Q31</f>
        <v>5.486325059290683E-2</v>
      </c>
      <c r="L2">
        <f>Data!R31</f>
        <v>6.1805810018505346E-2</v>
      </c>
      <c r="M2">
        <f>Data!S31</f>
        <v>6.9467600483618303E-2</v>
      </c>
      <c r="N2">
        <f>Data!T31</f>
        <v>7.785305428056051E-2</v>
      </c>
      <c r="O2">
        <f>Data!U31</f>
        <v>8.6947341668358144E-2</v>
      </c>
      <c r="P2">
        <f>Data!V31</f>
        <v>9.6713504774003714E-2</v>
      </c>
      <c r="Q2">
        <f>Data!W31</f>
        <v>0.10709063902446933</v>
      </c>
      <c r="R2">
        <f>Data!X31</f>
        <v>0.11799355797925228</v>
      </c>
      <c r="S2">
        <f>Data!Y31</f>
        <v>0.12931427170136311</v>
      </c>
      <c r="T2">
        <f>Data!Z31</f>
        <v>0.14092541448449677</v>
      </c>
      <c r="U2">
        <f>Data!AA31</f>
        <v>0.15268549722754315</v>
      </c>
      <c r="V2">
        <f>Data!AB31</f>
        <v>0.16444557997058951</v>
      </c>
      <c r="W2">
        <f>Data!AC31</f>
        <v>0.17605672275372319</v>
      </c>
      <c r="X2">
        <f>Data!AD31</f>
        <v>0.18737743647583399</v>
      </c>
      <c r="Y2">
        <f>Data!AE31</f>
        <v>0.19828035543061695</v>
      </c>
      <c r="Z2">
        <f>Data!AF31</f>
        <v>0.20865748968108258</v>
      </c>
      <c r="AA2">
        <f>Data!AG31</f>
        <v>0.21842365278672815</v>
      </c>
      <c r="AB2">
        <f>Data!AH31</f>
        <v>0.22751794017452581</v>
      </c>
      <c r="AC2">
        <f>Data!AI31</f>
        <v>0.23590339397146798</v>
      </c>
      <c r="AD2">
        <f>Data!AJ31</f>
        <v>0.24356518443658098</v>
      </c>
      <c r="AE2">
        <f>Data!AK31</f>
        <v>0.25050774386217944</v>
      </c>
      <c r="AF2">
        <f>Data!AL31</f>
        <v>0.25675130816071873</v>
      </c>
    </row>
    <row r="3" spans="1:32">
      <c r="A3" t="s">
        <v>2</v>
      </c>
      <c r="B3">
        <f>Data!H32</f>
        <v>0</v>
      </c>
      <c r="C3">
        <f>Data!I32</f>
        <v>0</v>
      </c>
      <c r="D3">
        <f>Data!J32</f>
        <v>0</v>
      </c>
      <c r="E3">
        <f>Data!K32</f>
        <v>0</v>
      </c>
      <c r="F3">
        <f>Data!L32</f>
        <v>0</v>
      </c>
      <c r="G3">
        <f>Data!M32</f>
        <v>0</v>
      </c>
      <c r="H3">
        <f>Data!N32</f>
        <v>0</v>
      </c>
      <c r="I3">
        <f>Data!O32</f>
        <v>0</v>
      </c>
      <c r="J3">
        <f>Data!P32</f>
        <v>0</v>
      </c>
      <c r="K3">
        <f>Data!Q32</f>
        <v>0</v>
      </c>
      <c r="L3">
        <f>Data!R32</f>
        <v>0</v>
      </c>
      <c r="M3">
        <f>Data!S32</f>
        <v>0</v>
      </c>
      <c r="N3">
        <f>Data!T32</f>
        <v>0</v>
      </c>
      <c r="O3">
        <f>Data!U32</f>
        <v>0</v>
      </c>
      <c r="P3">
        <f>Data!V32</f>
        <v>0</v>
      </c>
      <c r="Q3">
        <f>Data!W32</f>
        <v>0</v>
      </c>
      <c r="R3">
        <f>Data!X32</f>
        <v>0</v>
      </c>
      <c r="S3">
        <f>Data!Y32</f>
        <v>0</v>
      </c>
      <c r="T3">
        <f>Data!Z32</f>
        <v>0</v>
      </c>
      <c r="U3">
        <f>Data!AA32</f>
        <v>0</v>
      </c>
      <c r="V3">
        <f>Data!AB32</f>
        <v>0</v>
      </c>
      <c r="W3">
        <f>Data!AC32</f>
        <v>0</v>
      </c>
      <c r="X3">
        <f>Data!AD32</f>
        <v>0</v>
      </c>
      <c r="Y3">
        <f>Data!AE32</f>
        <v>0</v>
      </c>
      <c r="Z3">
        <f>Data!AF32</f>
        <v>0</v>
      </c>
      <c r="AA3">
        <f>Data!AG32</f>
        <v>0</v>
      </c>
      <c r="AB3">
        <f>Data!AH32</f>
        <v>0</v>
      </c>
      <c r="AC3">
        <f>Data!AI32</f>
        <v>0</v>
      </c>
      <c r="AD3">
        <f>Data!AJ32</f>
        <v>0</v>
      </c>
      <c r="AE3">
        <f>Data!AK32</f>
        <v>0</v>
      </c>
      <c r="AF3">
        <f>Data!AL32</f>
        <v>0</v>
      </c>
    </row>
    <row r="4" spans="1:32">
      <c r="A4" t="s">
        <v>3</v>
      </c>
      <c r="B4">
        <f>Data!H33</f>
        <v>1.9195530379555355E-2</v>
      </c>
      <c r="C4">
        <f>Data!I33</f>
        <v>1.9195530379555355E-2</v>
      </c>
      <c r="D4">
        <f>Data!J33</f>
        <v>1.9195530379555355E-2</v>
      </c>
      <c r="E4">
        <f>Data!K33</f>
        <v>1.9195530379555355E-2</v>
      </c>
      <c r="F4">
        <f>Data!L33</f>
        <v>1.9195530379555355E-2</v>
      </c>
      <c r="G4">
        <f>Data!M33</f>
        <v>1.9195530379555355E-2</v>
      </c>
      <c r="H4">
        <f>Data!N33</f>
        <v>1.9195530379555355E-2</v>
      </c>
      <c r="I4">
        <f>Data!O33</f>
        <v>1.9195530379555355E-2</v>
      </c>
      <c r="J4">
        <f>Data!P33</f>
        <v>1.9195530379555355E-2</v>
      </c>
      <c r="K4">
        <f>Data!Q33</f>
        <v>1.9195530379555355E-2</v>
      </c>
      <c r="L4">
        <f>Data!R33</f>
        <v>1.9195530379555355E-2</v>
      </c>
      <c r="M4">
        <f>Data!S33</f>
        <v>1.9195530379555355E-2</v>
      </c>
      <c r="N4">
        <f>Data!T33</f>
        <v>1.9195530379555355E-2</v>
      </c>
      <c r="O4">
        <f>Data!U33</f>
        <v>1.9195530379555355E-2</v>
      </c>
      <c r="P4">
        <f>Data!V33</f>
        <v>1.9195530379555355E-2</v>
      </c>
      <c r="Q4">
        <f>Data!W33</f>
        <v>1.9195530379555355E-2</v>
      </c>
      <c r="R4">
        <f>Data!X33</f>
        <v>1.9195530379555355E-2</v>
      </c>
      <c r="S4">
        <f>Data!Y33</f>
        <v>1.9195530379555355E-2</v>
      </c>
      <c r="T4">
        <f>Data!Z33</f>
        <v>1.9195530379555355E-2</v>
      </c>
      <c r="U4">
        <f>Data!AA33</f>
        <v>1.9195530379555355E-2</v>
      </c>
      <c r="V4">
        <f>Data!AB33</f>
        <v>1.9195530379555355E-2</v>
      </c>
      <c r="W4">
        <f>Data!AC33</f>
        <v>1.9195530379555355E-2</v>
      </c>
      <c r="X4">
        <f>Data!AD33</f>
        <v>1.9195530379555355E-2</v>
      </c>
      <c r="Y4">
        <f>Data!AE33</f>
        <v>1.9195530379555355E-2</v>
      </c>
      <c r="Z4">
        <f>Data!AF33</f>
        <v>1.9195530379555355E-2</v>
      </c>
      <c r="AA4">
        <f>Data!AG33</f>
        <v>1.9195530379555355E-2</v>
      </c>
      <c r="AB4">
        <f>Data!AH33</f>
        <v>1.9195530379555355E-2</v>
      </c>
      <c r="AC4">
        <f>Data!AI33</f>
        <v>1.9195530379555355E-2</v>
      </c>
      <c r="AD4">
        <f>Data!AJ33</f>
        <v>1.9195530379555355E-2</v>
      </c>
      <c r="AE4">
        <f>Data!AK33</f>
        <v>1.9195530379555355E-2</v>
      </c>
      <c r="AF4">
        <f>Data!AL33</f>
        <v>1.9195530379555355E-2</v>
      </c>
    </row>
    <row r="5" spans="1:32">
      <c r="A5" t="s">
        <v>4</v>
      </c>
      <c r="B5">
        <f>Data!H34</f>
        <v>1</v>
      </c>
      <c r="C5">
        <f>Data!I34</f>
        <v>1</v>
      </c>
      <c r="D5">
        <f>Data!J34</f>
        <v>1</v>
      </c>
      <c r="E5">
        <f>Data!K34</f>
        <v>1</v>
      </c>
      <c r="F5">
        <f>Data!L34</f>
        <v>1</v>
      </c>
      <c r="G5">
        <f>Data!M34</f>
        <v>1</v>
      </c>
      <c r="H5">
        <f>Data!N34</f>
        <v>1</v>
      </c>
      <c r="I5">
        <f>Data!O34</f>
        <v>1</v>
      </c>
      <c r="J5">
        <f>Data!P34</f>
        <v>1</v>
      </c>
      <c r="K5">
        <f>Data!Q34</f>
        <v>1</v>
      </c>
      <c r="L5">
        <f>Data!R34</f>
        <v>1</v>
      </c>
      <c r="M5">
        <f>Data!S34</f>
        <v>1</v>
      </c>
      <c r="N5">
        <f>Data!T34</f>
        <v>1</v>
      </c>
      <c r="O5">
        <f>Data!U34</f>
        <v>1</v>
      </c>
      <c r="P5">
        <f>Data!V34</f>
        <v>1</v>
      </c>
      <c r="Q5">
        <f>Data!W34</f>
        <v>1</v>
      </c>
      <c r="R5">
        <f>Data!X34</f>
        <v>1</v>
      </c>
      <c r="S5">
        <f>Data!Y34</f>
        <v>1</v>
      </c>
      <c r="T5">
        <f>Data!Z34</f>
        <v>1</v>
      </c>
      <c r="U5">
        <f>Data!AA34</f>
        <v>1</v>
      </c>
      <c r="V5">
        <f>Data!AB34</f>
        <v>1</v>
      </c>
      <c r="W5">
        <f>Data!AC34</f>
        <v>1</v>
      </c>
      <c r="X5">
        <f>Data!AD34</f>
        <v>1</v>
      </c>
      <c r="Y5">
        <f>Data!AE34</f>
        <v>1</v>
      </c>
      <c r="Z5">
        <f>Data!AF34</f>
        <v>1</v>
      </c>
      <c r="AA5">
        <f>Data!AG34</f>
        <v>1</v>
      </c>
      <c r="AB5">
        <f>Data!AH34</f>
        <v>1</v>
      </c>
      <c r="AC5">
        <f>Data!AI34</f>
        <v>1</v>
      </c>
      <c r="AD5">
        <f>Data!AJ34</f>
        <v>1</v>
      </c>
      <c r="AE5">
        <f>Data!AK34</f>
        <v>1</v>
      </c>
      <c r="AF5">
        <f>Data!AL34</f>
        <v>1</v>
      </c>
    </row>
    <row r="6" spans="1:32">
      <c r="A6" t="s">
        <v>5</v>
      </c>
      <c r="B6">
        <f>Data!H35</f>
        <v>0</v>
      </c>
      <c r="C6">
        <f>Data!I35</f>
        <v>0</v>
      </c>
      <c r="D6">
        <f>Data!J35</f>
        <v>0</v>
      </c>
      <c r="E6">
        <f>Data!K35</f>
        <v>0</v>
      </c>
      <c r="F6">
        <f>Data!L35</f>
        <v>0</v>
      </c>
      <c r="G6">
        <f>Data!M35</f>
        <v>0</v>
      </c>
      <c r="H6">
        <f>Data!N35</f>
        <v>0</v>
      </c>
      <c r="I6">
        <f>Data!O35</f>
        <v>0</v>
      </c>
      <c r="J6">
        <f>Data!P35</f>
        <v>0</v>
      </c>
      <c r="K6">
        <f>Data!Q35</f>
        <v>0</v>
      </c>
      <c r="L6">
        <f>Data!R35</f>
        <v>0</v>
      </c>
      <c r="M6">
        <f>Data!S35</f>
        <v>0</v>
      </c>
      <c r="N6">
        <f>Data!T35</f>
        <v>0</v>
      </c>
      <c r="O6">
        <f>Data!U35</f>
        <v>0</v>
      </c>
      <c r="P6">
        <f>Data!V35</f>
        <v>0</v>
      </c>
      <c r="Q6">
        <f>Data!W35</f>
        <v>0</v>
      </c>
      <c r="R6">
        <f>Data!X35</f>
        <v>0</v>
      </c>
      <c r="S6">
        <f>Data!Y35</f>
        <v>0</v>
      </c>
      <c r="T6">
        <f>Data!Z35</f>
        <v>0</v>
      </c>
      <c r="U6">
        <f>Data!AA35</f>
        <v>0</v>
      </c>
      <c r="V6">
        <f>Data!AB35</f>
        <v>0</v>
      </c>
      <c r="W6">
        <f>Data!AC35</f>
        <v>0</v>
      </c>
      <c r="X6">
        <f>Data!AD35</f>
        <v>0</v>
      </c>
      <c r="Y6">
        <f>Data!AE35</f>
        <v>0</v>
      </c>
      <c r="Z6">
        <f>Data!AF35</f>
        <v>0</v>
      </c>
      <c r="AA6">
        <f>Data!AG35</f>
        <v>0</v>
      </c>
      <c r="AB6">
        <f>Data!AH35</f>
        <v>0</v>
      </c>
      <c r="AC6">
        <f>Data!AI35</f>
        <v>0</v>
      </c>
      <c r="AD6">
        <f>Data!AJ35</f>
        <v>0</v>
      </c>
      <c r="AE6">
        <f>Data!AK35</f>
        <v>0</v>
      </c>
      <c r="AF6">
        <f>Data!AL35</f>
        <v>0</v>
      </c>
    </row>
    <row r="7" spans="1:32">
      <c r="A7" t="s">
        <v>78</v>
      </c>
      <c r="B7">
        <f>Data!H36</f>
        <v>0.1</v>
      </c>
      <c r="C7">
        <f>Data!I36</f>
        <v>0.1</v>
      </c>
      <c r="D7">
        <f>Data!J36</f>
        <v>0.1</v>
      </c>
      <c r="E7">
        <f>Data!K36</f>
        <v>0.1</v>
      </c>
      <c r="F7">
        <f>Data!L36</f>
        <v>0.1</v>
      </c>
      <c r="G7">
        <f>Data!M36</f>
        <v>0.1</v>
      </c>
      <c r="H7">
        <f>Data!N36</f>
        <v>0.1</v>
      </c>
      <c r="I7">
        <f>Data!O36</f>
        <v>0.1</v>
      </c>
      <c r="J7">
        <f>Data!P36</f>
        <v>0.1</v>
      </c>
      <c r="K7">
        <f>Data!Q36</f>
        <v>0.1</v>
      </c>
      <c r="L7">
        <f>Data!R36</f>
        <v>0.1</v>
      </c>
      <c r="M7">
        <f>Data!S36</f>
        <v>0.1</v>
      </c>
      <c r="N7">
        <f>Data!T36</f>
        <v>0.1</v>
      </c>
      <c r="O7">
        <f>Data!U36</f>
        <v>0.1</v>
      </c>
      <c r="P7">
        <f>Data!V36</f>
        <v>0.1</v>
      </c>
      <c r="Q7">
        <f>Data!W36</f>
        <v>0.1</v>
      </c>
      <c r="R7">
        <f>Data!X36</f>
        <v>0.1</v>
      </c>
      <c r="S7">
        <f>Data!Y36</f>
        <v>0.1</v>
      </c>
      <c r="T7">
        <f>Data!Z36</f>
        <v>0.1</v>
      </c>
      <c r="U7">
        <f>Data!AA36</f>
        <v>0.1</v>
      </c>
      <c r="V7">
        <f>Data!AB36</f>
        <v>0.1</v>
      </c>
      <c r="W7">
        <f>Data!AC36</f>
        <v>0.1</v>
      </c>
      <c r="X7">
        <f>Data!AD36</f>
        <v>0.1</v>
      </c>
      <c r="Y7">
        <f>Data!AE36</f>
        <v>0.1</v>
      </c>
      <c r="Z7">
        <f>Data!AF36</f>
        <v>0.1</v>
      </c>
      <c r="AA7">
        <f>Data!AG36</f>
        <v>0.1</v>
      </c>
      <c r="AB7">
        <f>Data!AH36</f>
        <v>0.1</v>
      </c>
      <c r="AC7">
        <f>Data!AI36</f>
        <v>0.1</v>
      </c>
      <c r="AD7">
        <f>Data!AJ36</f>
        <v>0.1</v>
      </c>
      <c r="AE7">
        <f>Data!AK36</f>
        <v>0.1</v>
      </c>
      <c r="AF7">
        <f>Data!AL36</f>
        <v>0.1</v>
      </c>
    </row>
    <row r="8" spans="1:32">
      <c r="A8" t="s">
        <v>79</v>
      </c>
      <c r="B8">
        <f>Data!H37</f>
        <v>5.0000000000000001E-4</v>
      </c>
      <c r="C8">
        <f>Data!I37</f>
        <v>5.0000000000000001E-4</v>
      </c>
      <c r="D8">
        <f>Data!J37</f>
        <v>5.0000000000000001E-4</v>
      </c>
      <c r="E8">
        <f>Data!K37</f>
        <v>5.0000000000000001E-4</v>
      </c>
      <c r="F8">
        <f>Data!L37</f>
        <v>5.0000000000000001E-4</v>
      </c>
      <c r="G8">
        <f>Data!M37</f>
        <v>5.0000000000000001E-4</v>
      </c>
      <c r="H8">
        <f>Data!N37</f>
        <v>5.0000000000000001E-4</v>
      </c>
      <c r="I8">
        <f>Data!O37</f>
        <v>5.0000000000000001E-4</v>
      </c>
      <c r="J8">
        <f>Data!P37</f>
        <v>5.0000000000000001E-4</v>
      </c>
      <c r="K8">
        <f>Data!Q37</f>
        <v>5.0000000000000001E-4</v>
      </c>
      <c r="L8">
        <f>Data!R37</f>
        <v>5.0000000000000001E-4</v>
      </c>
      <c r="M8">
        <f>Data!S37</f>
        <v>5.0000000000000001E-4</v>
      </c>
      <c r="N8">
        <f>Data!T37</f>
        <v>5.0000000000000001E-4</v>
      </c>
      <c r="O8">
        <f>Data!U37</f>
        <v>5.0000000000000001E-4</v>
      </c>
      <c r="P8">
        <f>Data!V37</f>
        <v>5.0000000000000001E-4</v>
      </c>
      <c r="Q8">
        <f>Data!W37</f>
        <v>5.0000000000000001E-4</v>
      </c>
      <c r="R8">
        <f>Data!X37</f>
        <v>5.0000000000000001E-4</v>
      </c>
      <c r="S8">
        <f>Data!Y37</f>
        <v>5.0000000000000001E-4</v>
      </c>
      <c r="T8">
        <f>Data!Z37</f>
        <v>5.0000000000000001E-4</v>
      </c>
      <c r="U8">
        <f>Data!AA37</f>
        <v>5.0000000000000001E-4</v>
      </c>
      <c r="V8">
        <f>Data!AB37</f>
        <v>5.0000000000000001E-4</v>
      </c>
      <c r="W8">
        <f>Data!AC37</f>
        <v>5.0000000000000001E-4</v>
      </c>
      <c r="X8">
        <f>Data!AD37</f>
        <v>5.0000000000000001E-4</v>
      </c>
      <c r="Y8">
        <f>Data!AE37</f>
        <v>5.0000000000000001E-4</v>
      </c>
      <c r="Z8">
        <f>Data!AF37</f>
        <v>5.0000000000000001E-4</v>
      </c>
      <c r="AA8">
        <f>Data!AG37</f>
        <v>5.0000000000000001E-4</v>
      </c>
      <c r="AB8">
        <f>Data!AH37</f>
        <v>5.0000000000000001E-4</v>
      </c>
      <c r="AC8">
        <f>Data!AI37</f>
        <v>5.0000000000000001E-4</v>
      </c>
      <c r="AD8">
        <f>Data!AJ37</f>
        <v>5.0000000000000001E-4</v>
      </c>
      <c r="AE8">
        <f>Data!AK37</f>
        <v>5.0000000000000001E-4</v>
      </c>
      <c r="AF8">
        <f>Data!AL37</f>
        <v>5.0000000000000001E-4</v>
      </c>
    </row>
  </sheetData>
  <phoneticPr fontId="9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40625" defaultRowHeight="15"/>
  <cols>
    <col min="1" max="1" width="24.42578125" customWidth="1"/>
  </cols>
  <sheetData>
    <row r="1" spans="1:32" ht="45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>
      <c r="A7" t="s">
        <v>78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>
      <c r="A8" t="s">
        <v>79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honeticPr fontId="9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40625" defaultRowHeight="15"/>
  <cols>
    <col min="1" max="1" width="24.42578125" customWidth="1"/>
  </cols>
  <sheetData>
    <row r="1" spans="1:32" ht="45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>
      <c r="A7" t="s">
        <v>78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>
      <c r="A8" t="s">
        <v>79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honeticPr fontId="9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>
      <selection activeCell="B2" sqref="B2"/>
    </sheetView>
  </sheetViews>
  <sheetFormatPr defaultColWidth="9.140625" defaultRowHeight="15"/>
  <cols>
    <col min="1" max="1" width="24.42578125" customWidth="1"/>
  </cols>
  <sheetData>
    <row r="1" spans="1:32" ht="45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Data!H52</f>
        <v>1</v>
      </c>
      <c r="C2">
        <f>Data!I52</f>
        <v>1</v>
      </c>
      <c r="D2">
        <f>Data!J52</f>
        <v>1</v>
      </c>
      <c r="E2">
        <f>Data!K52</f>
        <v>1</v>
      </c>
      <c r="F2">
        <f>Data!L52</f>
        <v>1</v>
      </c>
      <c r="G2">
        <f>Data!M52</f>
        <v>1</v>
      </c>
      <c r="H2">
        <f>Data!N52</f>
        <v>1</v>
      </c>
      <c r="I2">
        <f>Data!O52</f>
        <v>1</v>
      </c>
      <c r="J2">
        <f>Data!P52</f>
        <v>1</v>
      </c>
      <c r="K2">
        <f>Data!Q52</f>
        <v>1</v>
      </c>
      <c r="L2">
        <f>Data!R52</f>
        <v>1</v>
      </c>
      <c r="M2">
        <f>Data!S52</f>
        <v>1</v>
      </c>
      <c r="N2">
        <f>Data!T52</f>
        <v>1</v>
      </c>
      <c r="O2">
        <f>Data!U52</f>
        <v>1</v>
      </c>
      <c r="P2">
        <f>Data!V52</f>
        <v>1</v>
      </c>
      <c r="Q2">
        <f>Data!W52</f>
        <v>1</v>
      </c>
      <c r="R2">
        <f>Data!X52</f>
        <v>1</v>
      </c>
      <c r="S2">
        <f>Data!Y52</f>
        <v>1</v>
      </c>
      <c r="T2">
        <f>Data!Z52</f>
        <v>1</v>
      </c>
      <c r="U2">
        <f>Data!AA52</f>
        <v>1</v>
      </c>
      <c r="V2">
        <f>Data!AB52</f>
        <v>1</v>
      </c>
      <c r="W2">
        <f>Data!AC52</f>
        <v>1</v>
      </c>
      <c r="X2">
        <f>Data!AD52</f>
        <v>1</v>
      </c>
      <c r="Y2">
        <f>Data!AE52</f>
        <v>1</v>
      </c>
      <c r="Z2">
        <f>Data!AF52</f>
        <v>1</v>
      </c>
      <c r="AA2">
        <f>Data!AG52</f>
        <v>1</v>
      </c>
      <c r="AB2">
        <f>Data!AH52</f>
        <v>1</v>
      </c>
      <c r="AC2">
        <f>Data!AI52</f>
        <v>1</v>
      </c>
      <c r="AD2">
        <f>Data!AJ52</f>
        <v>1</v>
      </c>
      <c r="AE2">
        <f>Data!AK52</f>
        <v>1</v>
      </c>
      <c r="AF2">
        <f>Data!AL52</f>
        <v>1</v>
      </c>
    </row>
    <row r="3" spans="1:32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>
      <c r="A5" t="s">
        <v>4</v>
      </c>
      <c r="B5">
        <f>Data!H55</f>
        <v>0.52</v>
      </c>
      <c r="C5">
        <f>Data!I55</f>
        <v>0.52</v>
      </c>
      <c r="D5">
        <f>Data!J55</f>
        <v>0.52</v>
      </c>
      <c r="E5">
        <f>Data!K55</f>
        <v>0.52</v>
      </c>
      <c r="F5">
        <f>Data!L55</f>
        <v>0.52</v>
      </c>
      <c r="G5">
        <f>Data!M55</f>
        <v>0.52</v>
      </c>
      <c r="H5">
        <f>Data!N55</f>
        <v>0.52</v>
      </c>
      <c r="I5">
        <f>Data!O55</f>
        <v>0.52</v>
      </c>
      <c r="J5">
        <f>Data!P55</f>
        <v>0.52</v>
      </c>
      <c r="K5">
        <f>Data!Q55</f>
        <v>0.52</v>
      </c>
      <c r="L5">
        <f>Data!R55</f>
        <v>0.52</v>
      </c>
      <c r="M5">
        <f>Data!S55</f>
        <v>0.52</v>
      </c>
      <c r="N5">
        <f>Data!T55</f>
        <v>0.52</v>
      </c>
      <c r="O5">
        <f>Data!U55</f>
        <v>0.52</v>
      </c>
      <c r="P5">
        <f>Data!V55</f>
        <v>0.52</v>
      </c>
      <c r="Q5">
        <f>Data!W55</f>
        <v>0.52</v>
      </c>
      <c r="R5">
        <f>Data!X55</f>
        <v>0.52</v>
      </c>
      <c r="S5">
        <f>Data!Y55</f>
        <v>0.52</v>
      </c>
      <c r="T5">
        <f>Data!Z55</f>
        <v>0.52</v>
      </c>
      <c r="U5">
        <f>Data!AA55</f>
        <v>0.52</v>
      </c>
      <c r="V5">
        <f>Data!AB55</f>
        <v>0.52</v>
      </c>
      <c r="W5">
        <f>Data!AC55</f>
        <v>0.52</v>
      </c>
      <c r="X5">
        <f>Data!AD55</f>
        <v>0.52</v>
      </c>
      <c r="Y5">
        <f>Data!AE55</f>
        <v>0.52</v>
      </c>
      <c r="Z5">
        <f>Data!AF55</f>
        <v>0.52</v>
      </c>
      <c r="AA5">
        <f>Data!AG55</f>
        <v>0.52</v>
      </c>
      <c r="AB5">
        <f>Data!AH55</f>
        <v>0.52</v>
      </c>
      <c r="AC5">
        <f>Data!AI55</f>
        <v>0.52</v>
      </c>
      <c r="AD5">
        <f>Data!AJ55</f>
        <v>0.52</v>
      </c>
      <c r="AE5">
        <f>Data!AK55</f>
        <v>0.52</v>
      </c>
      <c r="AF5">
        <f>Data!AL55</f>
        <v>0.52</v>
      </c>
    </row>
    <row r="6" spans="1:32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>
      <c r="A7" t="s">
        <v>78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>
      <c r="A8" t="s">
        <v>79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honeticPr fontId="9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40625" defaultRowHeight="15"/>
  <cols>
    <col min="1" max="1" width="24.42578125" customWidth="1"/>
  </cols>
  <sheetData>
    <row r="1" spans="1:32" ht="45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Data!H59</f>
        <v>0.2</v>
      </c>
      <c r="C2">
        <f>Data!I59</f>
        <v>0.2</v>
      </c>
      <c r="D2">
        <f>Data!J59</f>
        <v>0.2</v>
      </c>
      <c r="E2">
        <f>Data!K59</f>
        <v>0.2</v>
      </c>
      <c r="F2">
        <f>Data!L59</f>
        <v>0.2</v>
      </c>
      <c r="G2">
        <f>Data!M59</f>
        <v>0.2</v>
      </c>
      <c r="H2">
        <f>Data!N59</f>
        <v>0.2</v>
      </c>
      <c r="I2">
        <f>Data!O59</f>
        <v>0.2</v>
      </c>
      <c r="J2">
        <f>Data!P59</f>
        <v>0.2</v>
      </c>
      <c r="K2">
        <f>Data!Q59</f>
        <v>0.2</v>
      </c>
      <c r="L2">
        <f>Data!R59</f>
        <v>0.2</v>
      </c>
      <c r="M2">
        <f>Data!S59</f>
        <v>0.2</v>
      </c>
      <c r="N2">
        <f>Data!T59</f>
        <v>0.2</v>
      </c>
      <c r="O2">
        <f>Data!U59</f>
        <v>0.2</v>
      </c>
      <c r="P2">
        <f>Data!V59</f>
        <v>0.2</v>
      </c>
      <c r="Q2">
        <f>Data!W59</f>
        <v>0.2</v>
      </c>
      <c r="R2">
        <f>Data!X59</f>
        <v>0.2</v>
      </c>
      <c r="S2">
        <f>Data!Y59</f>
        <v>0.2</v>
      </c>
      <c r="T2">
        <f>Data!Z59</f>
        <v>0.2</v>
      </c>
      <c r="U2">
        <f>Data!AA59</f>
        <v>0.2</v>
      </c>
      <c r="V2">
        <f>Data!AB59</f>
        <v>0.2</v>
      </c>
      <c r="W2">
        <f>Data!AC59</f>
        <v>0.2</v>
      </c>
      <c r="X2">
        <f>Data!AD59</f>
        <v>0.2</v>
      </c>
      <c r="Y2">
        <f>Data!AE59</f>
        <v>0.2</v>
      </c>
      <c r="Z2">
        <f>Data!AF59</f>
        <v>0.2</v>
      </c>
      <c r="AA2">
        <f>Data!AG59</f>
        <v>0.2</v>
      </c>
      <c r="AB2">
        <f>Data!AH59</f>
        <v>0.2</v>
      </c>
      <c r="AC2">
        <f>Data!AI59</f>
        <v>0.2</v>
      </c>
      <c r="AD2">
        <f>Data!AJ59</f>
        <v>0.2</v>
      </c>
      <c r="AE2">
        <f>Data!AK59</f>
        <v>0.2</v>
      </c>
      <c r="AF2">
        <f>Data!AL59</f>
        <v>0.2</v>
      </c>
    </row>
    <row r="3" spans="1:32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>
      <c r="A5" t="s">
        <v>4</v>
      </c>
      <c r="B5">
        <f>Data!H62</f>
        <v>1</v>
      </c>
      <c r="C5">
        <f>Data!I62</f>
        <v>1</v>
      </c>
      <c r="D5">
        <f>Data!J62</f>
        <v>1</v>
      </c>
      <c r="E5">
        <f>Data!K62</f>
        <v>1</v>
      </c>
      <c r="F5">
        <f>Data!L62</f>
        <v>1</v>
      </c>
      <c r="G5">
        <f>Data!M62</f>
        <v>1</v>
      </c>
      <c r="H5">
        <f>Data!N62</f>
        <v>1</v>
      </c>
      <c r="I5">
        <f>Data!O62</f>
        <v>1</v>
      </c>
      <c r="J5">
        <f>Data!P62</f>
        <v>1</v>
      </c>
      <c r="K5">
        <f>Data!Q62</f>
        <v>1</v>
      </c>
      <c r="L5">
        <f>Data!R62</f>
        <v>1</v>
      </c>
      <c r="M5">
        <f>Data!S62</f>
        <v>1</v>
      </c>
      <c r="N5">
        <f>Data!T62</f>
        <v>1</v>
      </c>
      <c r="O5">
        <f>Data!U62</f>
        <v>1</v>
      </c>
      <c r="P5">
        <f>Data!V62</f>
        <v>1</v>
      </c>
      <c r="Q5">
        <f>Data!W62</f>
        <v>1</v>
      </c>
      <c r="R5">
        <f>Data!X62</f>
        <v>1</v>
      </c>
      <c r="S5">
        <f>Data!Y62</f>
        <v>1</v>
      </c>
      <c r="T5">
        <f>Data!Z62</f>
        <v>1</v>
      </c>
      <c r="U5">
        <f>Data!AA62</f>
        <v>1</v>
      </c>
      <c r="V5">
        <f>Data!AB62</f>
        <v>1</v>
      </c>
      <c r="W5">
        <f>Data!AC62</f>
        <v>1</v>
      </c>
      <c r="X5">
        <f>Data!AD62</f>
        <v>1</v>
      </c>
      <c r="Y5">
        <f>Data!AE62</f>
        <v>1</v>
      </c>
      <c r="Z5">
        <f>Data!AF62</f>
        <v>1</v>
      </c>
      <c r="AA5">
        <f>Data!AG62</f>
        <v>1</v>
      </c>
      <c r="AB5">
        <f>Data!AH62</f>
        <v>1</v>
      </c>
      <c r="AC5">
        <f>Data!AI62</f>
        <v>1</v>
      </c>
      <c r="AD5">
        <f>Data!AJ62</f>
        <v>1</v>
      </c>
      <c r="AE5">
        <f>Data!AK62</f>
        <v>1</v>
      </c>
      <c r="AF5">
        <f>Data!AL62</f>
        <v>1</v>
      </c>
    </row>
    <row r="6" spans="1:32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>
      <c r="A7" t="s">
        <v>78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>
      <c r="A8" t="s">
        <v>79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honeticPr fontId="9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40625" defaultRowHeight="15"/>
  <cols>
    <col min="1" max="1" width="24.42578125" customWidth="1"/>
  </cols>
  <sheetData>
    <row r="1" spans="1:32" ht="45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>
      <c r="A7" t="s">
        <v>78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>
      <c r="A8" t="s">
        <v>79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honeticPr fontId="9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40625" defaultRowHeight="15"/>
  <cols>
    <col min="1" max="1" width="24.42578125" customWidth="1"/>
  </cols>
  <sheetData>
    <row r="1" spans="1:32" ht="45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>
      <c r="A4" t="s">
        <v>3</v>
      </c>
      <c r="B4">
        <f>Data!H75</f>
        <v>4.1666444445629626E-3</v>
      </c>
      <c r="C4">
        <f>Data!I75</f>
        <v>4.1666444445629626E-3</v>
      </c>
      <c r="D4">
        <f>Data!J75</f>
        <v>4.1666444445629626E-3</v>
      </c>
      <c r="E4">
        <f>Data!K75</f>
        <v>4.1666444445629626E-3</v>
      </c>
      <c r="F4">
        <f>Data!L75</f>
        <v>4.1666444445629626E-3</v>
      </c>
      <c r="G4">
        <f>Data!M75</f>
        <v>4.1666444445629626E-3</v>
      </c>
      <c r="H4">
        <f>Data!N75</f>
        <v>4.1666444445629626E-3</v>
      </c>
      <c r="I4">
        <f>Data!O75</f>
        <v>4.1666444445629626E-3</v>
      </c>
      <c r="J4">
        <f>Data!P75</f>
        <v>4.1666444445629626E-3</v>
      </c>
      <c r="K4">
        <f>Data!Q75</f>
        <v>4.1666444445629626E-3</v>
      </c>
      <c r="L4">
        <f>Data!R75</f>
        <v>4.1666444445629626E-3</v>
      </c>
      <c r="M4">
        <f>Data!S75</f>
        <v>4.1666444445629626E-3</v>
      </c>
      <c r="N4">
        <f>Data!T75</f>
        <v>4.1666444445629626E-3</v>
      </c>
      <c r="O4">
        <f>Data!U75</f>
        <v>4.1666444445629626E-3</v>
      </c>
      <c r="P4">
        <f>Data!V75</f>
        <v>4.1666444445629626E-3</v>
      </c>
      <c r="Q4">
        <f>Data!W75</f>
        <v>4.1666444445629626E-3</v>
      </c>
      <c r="R4">
        <f>Data!X75</f>
        <v>4.1666444445629626E-3</v>
      </c>
      <c r="S4">
        <f>Data!Y75</f>
        <v>4.1666444445629626E-3</v>
      </c>
      <c r="T4">
        <f>Data!Z75</f>
        <v>4.1666444445629626E-3</v>
      </c>
      <c r="U4">
        <f>Data!AA75</f>
        <v>4.1666444445629626E-3</v>
      </c>
      <c r="V4">
        <f>Data!AB75</f>
        <v>4.1666444445629626E-3</v>
      </c>
      <c r="W4">
        <f>Data!AC75</f>
        <v>4.1666444445629626E-3</v>
      </c>
      <c r="X4">
        <f>Data!AD75</f>
        <v>4.1666444445629626E-3</v>
      </c>
      <c r="Y4">
        <f>Data!AE75</f>
        <v>4.1666444445629626E-3</v>
      </c>
      <c r="Z4">
        <f>Data!AF75</f>
        <v>4.1666444445629626E-3</v>
      </c>
      <c r="AA4">
        <f>Data!AG75</f>
        <v>4.1666444445629626E-3</v>
      </c>
      <c r="AB4">
        <f>Data!AH75</f>
        <v>4.1666444445629626E-3</v>
      </c>
      <c r="AC4">
        <f>Data!AI75</f>
        <v>4.1666444445629626E-3</v>
      </c>
      <c r="AD4">
        <f>Data!AJ75</f>
        <v>4.1666444445629626E-3</v>
      </c>
      <c r="AE4">
        <f>Data!AK75</f>
        <v>4.1666444445629626E-3</v>
      </c>
      <c r="AF4">
        <f>Data!AL75</f>
        <v>4.1666444445629626E-3</v>
      </c>
    </row>
    <row r="5" spans="1:32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>
      <c r="A7" t="s">
        <v>78</v>
      </c>
      <c r="B7">
        <f>Data!H78</f>
        <v>1.6666577778251849E-3</v>
      </c>
      <c r="C7">
        <f>Data!I78</f>
        <v>1.6666577778251849E-3</v>
      </c>
      <c r="D7">
        <f>Data!J78</f>
        <v>1.6666577778251849E-3</v>
      </c>
      <c r="E7">
        <f>Data!K78</f>
        <v>1.6666577778251849E-3</v>
      </c>
      <c r="F7">
        <f>Data!L78</f>
        <v>1.6666577778251849E-3</v>
      </c>
      <c r="G7">
        <f>Data!M78</f>
        <v>1.6666577778251849E-3</v>
      </c>
      <c r="H7">
        <f>Data!N78</f>
        <v>1.6666577778251849E-3</v>
      </c>
      <c r="I7">
        <f>Data!O78</f>
        <v>1.6666577778251849E-3</v>
      </c>
      <c r="J7">
        <f>Data!P78</f>
        <v>1.6666577778251849E-3</v>
      </c>
      <c r="K7">
        <f>Data!Q78</f>
        <v>1.6666577778251849E-3</v>
      </c>
      <c r="L7">
        <f>Data!R78</f>
        <v>1.6666577778251849E-3</v>
      </c>
      <c r="M7">
        <f>Data!S78</f>
        <v>1.6666577778251849E-3</v>
      </c>
      <c r="N7">
        <f>Data!T78</f>
        <v>1.6666577778251849E-3</v>
      </c>
      <c r="O7">
        <f>Data!U78</f>
        <v>1.6666577778251849E-3</v>
      </c>
      <c r="P7">
        <f>Data!V78</f>
        <v>1.6666577778251849E-3</v>
      </c>
      <c r="Q7">
        <f>Data!W78</f>
        <v>1.6666577778251849E-3</v>
      </c>
      <c r="R7">
        <f>Data!X78</f>
        <v>1.6666577778251849E-3</v>
      </c>
      <c r="S7">
        <f>Data!Y78</f>
        <v>1.6666577778251849E-3</v>
      </c>
      <c r="T7">
        <f>Data!Z78</f>
        <v>1.6666577778251849E-3</v>
      </c>
      <c r="U7">
        <f>Data!AA78</f>
        <v>1.6666577778251849E-3</v>
      </c>
      <c r="V7">
        <f>Data!AB78</f>
        <v>1.6666577778251849E-3</v>
      </c>
      <c r="W7">
        <f>Data!AC78</f>
        <v>1.6666577778251849E-3</v>
      </c>
      <c r="X7">
        <f>Data!AD78</f>
        <v>1.6666577778251849E-3</v>
      </c>
      <c r="Y7">
        <f>Data!AE78</f>
        <v>1.6666577778251849E-3</v>
      </c>
      <c r="Z7">
        <f>Data!AF78</f>
        <v>1.6666577778251849E-3</v>
      </c>
      <c r="AA7">
        <f>Data!AG78</f>
        <v>1.6666577778251849E-3</v>
      </c>
      <c r="AB7">
        <f>Data!AH78</f>
        <v>1.6666577778251849E-3</v>
      </c>
      <c r="AC7">
        <f>Data!AI78</f>
        <v>1.6666577778251849E-3</v>
      </c>
      <c r="AD7">
        <f>Data!AJ78</f>
        <v>1.6666577778251849E-3</v>
      </c>
      <c r="AE7">
        <f>Data!AK78</f>
        <v>1.6666577778251849E-3</v>
      </c>
      <c r="AF7">
        <f>Data!AL78</f>
        <v>1.6666577778251849E-3</v>
      </c>
    </row>
    <row r="8" spans="1:32">
      <c r="A8" t="s">
        <v>79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honeticPr fontId="9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40625" defaultRowHeight="15"/>
  <cols>
    <col min="1" max="1" width="24.42578125" customWidth="1"/>
  </cols>
  <sheetData>
    <row r="1" spans="1:32" ht="45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Data!H80</f>
        <v>0</v>
      </c>
      <c r="C2">
        <f>Data!I80</f>
        <v>5.3151136398063722E-2</v>
      </c>
      <c r="D2">
        <f>Data!J80</f>
        <v>6.1803466263588569E-2</v>
      </c>
      <c r="E2">
        <f>Data!K80</f>
        <v>7.1757542263751334E-2</v>
      </c>
      <c r="F2">
        <f>Data!L80</f>
        <v>8.317269649392238E-2</v>
      </c>
      <c r="G2">
        <f>Data!M80</f>
        <v>9.6215541710692826E-2</v>
      </c>
      <c r="H2">
        <f>Data!N80</f>
        <v>0.11105596671140756</v>
      </c>
      <c r="I2">
        <f>Data!O80</f>
        <v>0.12786156631908133</v>
      </c>
      <c r="J2">
        <f>Data!P80</f>
        <v>0.14679033980138237</v>
      </c>
      <c r="K2">
        <f>Data!Q80</f>
        <v>0.16798161486607552</v>
      </c>
      <c r="L2">
        <f>Data!R80</f>
        <v>0.19154534856146752</v>
      </c>
      <c r="M2">
        <f>Data!S80</f>
        <v>0.2175502235768875</v>
      </c>
      <c r="N2">
        <f>Data!T80</f>
        <v>0.2460112835510519</v>
      </c>
      <c r="O2">
        <f>Data!U80</f>
        <v>0.27687819487561016</v>
      </c>
      <c r="P2">
        <f>Data!V80</f>
        <v>0.31002551887238755</v>
      </c>
      <c r="Q2">
        <f>Data!W80</f>
        <v>0.34524653939368077</v>
      </c>
      <c r="R2">
        <f>Data!X80</f>
        <v>0.38225212523075103</v>
      </c>
      <c r="S2">
        <f>Data!Y80</f>
        <v>0.42067574785125056</v>
      </c>
      <c r="T2">
        <f>Data!Z80</f>
        <v>0.46008511544443426</v>
      </c>
      <c r="U2">
        <f>Data!AA80</f>
        <v>0.5</v>
      </c>
      <c r="V2">
        <f>Data!AB80</f>
        <v>0.53991488455556569</v>
      </c>
      <c r="W2">
        <f>Data!AC80</f>
        <v>0.5793242521487495</v>
      </c>
      <c r="X2">
        <f>Data!AD80</f>
        <v>0.61774787476924897</v>
      </c>
      <c r="Y2">
        <f>Data!AE80</f>
        <v>0.65475346060631923</v>
      </c>
      <c r="Z2">
        <f>Data!AF80</f>
        <v>0.6899744811276125</v>
      </c>
      <c r="AA2">
        <f>Data!AG80</f>
        <v>0.72312180512438984</v>
      </c>
      <c r="AB2">
        <f>Data!AH80</f>
        <v>0.75398871644894816</v>
      </c>
      <c r="AC2">
        <f>Data!AI80</f>
        <v>0.78244977642311242</v>
      </c>
      <c r="AD2">
        <f>Data!AJ80</f>
        <v>0.80845465143853257</v>
      </c>
      <c r="AE2">
        <f>Data!AK80</f>
        <v>0.83201838513392445</v>
      </c>
      <c r="AF2">
        <f>Data!AL80</f>
        <v>0.85320966019861766</v>
      </c>
    </row>
    <row r="3" spans="1:32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>
      <c r="A7" t="s">
        <v>78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>
      <c r="A8" t="s">
        <v>79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honeticPr fontId="9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topLeftCell="E1" workbookViewId="0">
      <selection activeCell="O33" sqref="O33"/>
    </sheetView>
  </sheetViews>
  <sheetFormatPr defaultColWidth="9.140625" defaultRowHeight="15"/>
  <cols>
    <col min="1" max="1" width="24.42578125" customWidth="1"/>
  </cols>
  <sheetData>
    <row r="1" spans="1:32" ht="45">
      <c r="A1" s="23" t="s">
        <v>80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>
      <c r="A2" t="s">
        <v>1</v>
      </c>
      <c r="B2">
        <f>Data!H87</f>
        <v>0</v>
      </c>
      <c r="C2">
        <f>Data!I87</f>
        <v>5.3151136398063722E-2</v>
      </c>
      <c r="D2">
        <f>Data!J87</f>
        <v>6.1803466263588569E-2</v>
      </c>
      <c r="E2">
        <f>Data!K87</f>
        <v>7.1757542263751334E-2</v>
      </c>
      <c r="F2">
        <f>Data!L87</f>
        <v>8.317269649392238E-2</v>
      </c>
      <c r="G2">
        <f>Data!M87</f>
        <v>9.6215541710692826E-2</v>
      </c>
      <c r="H2">
        <f>Data!N87</f>
        <v>0.11105596671140756</v>
      </c>
      <c r="I2">
        <f>Data!O87</f>
        <v>0.12786156631908133</v>
      </c>
      <c r="J2">
        <f>Data!P87</f>
        <v>0.14679033980138237</v>
      </c>
      <c r="K2">
        <f>Data!Q87</f>
        <v>0.16798161486607552</v>
      </c>
      <c r="L2">
        <f>Data!R87</f>
        <v>0.19154534856146752</v>
      </c>
      <c r="M2">
        <f>Data!S87</f>
        <v>0.2175502235768875</v>
      </c>
      <c r="N2">
        <f>Data!T87</f>
        <v>0.2460112835510519</v>
      </c>
      <c r="O2">
        <f>Data!U87</f>
        <v>0.27687819487561016</v>
      </c>
      <c r="P2">
        <f>Data!V87</f>
        <v>0.31002551887238755</v>
      </c>
      <c r="Q2">
        <f>Data!W87</f>
        <v>0.34524653939368077</v>
      </c>
      <c r="R2">
        <f>Data!X87</f>
        <v>0.38225212523075103</v>
      </c>
      <c r="S2">
        <f>Data!Y87</f>
        <v>0.42067574785125056</v>
      </c>
      <c r="T2">
        <f>Data!Z87</f>
        <v>0.46008511544443426</v>
      </c>
      <c r="U2">
        <f>Data!AA87</f>
        <v>0.5</v>
      </c>
      <c r="V2">
        <f>Data!AB87</f>
        <v>0.53991488455556569</v>
      </c>
      <c r="W2">
        <f>Data!AC87</f>
        <v>0.5793242521487495</v>
      </c>
      <c r="X2">
        <f>Data!AD87</f>
        <v>0.61774787476924897</v>
      </c>
      <c r="Y2">
        <f>Data!AE87</f>
        <v>0.65475346060631923</v>
      </c>
      <c r="Z2">
        <f>Data!AF87</f>
        <v>0.6899744811276125</v>
      </c>
      <c r="AA2">
        <f>Data!AG87</f>
        <v>0.72312180512438984</v>
      </c>
      <c r="AB2">
        <f>Data!AH87</f>
        <v>0.75398871644894816</v>
      </c>
      <c r="AC2">
        <f>Data!AI87</f>
        <v>0.78244977642311242</v>
      </c>
      <c r="AD2">
        <f>Data!AJ87</f>
        <v>0.80845465143853257</v>
      </c>
      <c r="AE2">
        <f>Data!AK87</f>
        <v>0.83201838513392445</v>
      </c>
      <c r="AF2">
        <f>Data!AL87</f>
        <v>0.85320966019861766</v>
      </c>
    </row>
    <row r="3" spans="1:32">
      <c r="A3" t="s">
        <v>2</v>
      </c>
      <c r="B3">
        <f>Data!H88</f>
        <v>0</v>
      </c>
      <c r="C3">
        <f>Data!I88</f>
        <v>0</v>
      </c>
      <c r="D3">
        <f>Data!J88</f>
        <v>0</v>
      </c>
      <c r="E3">
        <f>Data!K88</f>
        <v>0</v>
      </c>
      <c r="F3">
        <f>Data!L88</f>
        <v>0</v>
      </c>
      <c r="G3">
        <f>Data!M88</f>
        <v>0</v>
      </c>
      <c r="H3">
        <f>Data!N88</f>
        <v>0</v>
      </c>
      <c r="I3">
        <f>Data!O88</f>
        <v>0</v>
      </c>
      <c r="J3">
        <f>Data!P88</f>
        <v>0</v>
      </c>
      <c r="K3">
        <f>Data!Q88</f>
        <v>0</v>
      </c>
      <c r="L3">
        <f>Data!R88</f>
        <v>0</v>
      </c>
      <c r="M3">
        <f>Data!S88</f>
        <v>0</v>
      </c>
      <c r="N3">
        <f>Data!T88</f>
        <v>0</v>
      </c>
      <c r="O3">
        <f>Data!U88</f>
        <v>0</v>
      </c>
      <c r="P3">
        <f>Data!V88</f>
        <v>0</v>
      </c>
      <c r="Q3">
        <f>Data!W88</f>
        <v>0</v>
      </c>
      <c r="R3">
        <f>Data!X88</f>
        <v>0</v>
      </c>
      <c r="S3">
        <f>Data!Y88</f>
        <v>0</v>
      </c>
      <c r="T3">
        <f>Data!Z88</f>
        <v>0</v>
      </c>
      <c r="U3">
        <f>Data!AA88</f>
        <v>0</v>
      </c>
      <c r="V3">
        <f>Data!AB88</f>
        <v>0</v>
      </c>
      <c r="W3">
        <f>Data!AC88</f>
        <v>0</v>
      </c>
      <c r="X3">
        <f>Data!AD88</f>
        <v>0</v>
      </c>
      <c r="Y3">
        <f>Data!AE88</f>
        <v>0</v>
      </c>
      <c r="Z3">
        <f>Data!AF88</f>
        <v>0</v>
      </c>
      <c r="AA3">
        <f>Data!AG88</f>
        <v>0</v>
      </c>
      <c r="AB3">
        <f>Data!AH88</f>
        <v>0</v>
      </c>
      <c r="AC3">
        <f>Data!AI88</f>
        <v>0</v>
      </c>
      <c r="AD3">
        <f>Data!AJ88</f>
        <v>0</v>
      </c>
      <c r="AE3">
        <f>Data!AK88</f>
        <v>0</v>
      </c>
      <c r="AF3">
        <f>Data!AL88</f>
        <v>0</v>
      </c>
    </row>
    <row r="4" spans="1:32">
      <c r="A4" t="s">
        <v>3</v>
      </c>
      <c r="B4">
        <f>Data!H89</f>
        <v>3</v>
      </c>
      <c r="C4">
        <f>Data!I89</f>
        <v>3</v>
      </c>
      <c r="D4">
        <f>Data!J89</f>
        <v>3</v>
      </c>
      <c r="E4">
        <f>Data!K89</f>
        <v>3</v>
      </c>
      <c r="F4">
        <f>Data!L89</f>
        <v>3</v>
      </c>
      <c r="G4">
        <f>Data!M89</f>
        <v>3</v>
      </c>
      <c r="H4">
        <f>Data!N89</f>
        <v>3</v>
      </c>
      <c r="I4">
        <f>Data!O89</f>
        <v>3</v>
      </c>
      <c r="J4">
        <f>Data!P89</f>
        <v>3</v>
      </c>
      <c r="K4">
        <f>Data!Q89</f>
        <v>3</v>
      </c>
      <c r="L4">
        <f>Data!R89</f>
        <v>3</v>
      </c>
      <c r="M4">
        <f>Data!S89</f>
        <v>3</v>
      </c>
      <c r="N4">
        <f>Data!T89</f>
        <v>3</v>
      </c>
      <c r="O4">
        <f>Data!U89</f>
        <v>3</v>
      </c>
      <c r="P4">
        <f>Data!V89</f>
        <v>3</v>
      </c>
      <c r="Q4">
        <f>Data!W89</f>
        <v>3</v>
      </c>
      <c r="R4">
        <f>Data!X89</f>
        <v>3</v>
      </c>
      <c r="S4">
        <f>Data!Y89</f>
        <v>3</v>
      </c>
      <c r="T4">
        <f>Data!Z89</f>
        <v>3</v>
      </c>
      <c r="U4">
        <f>Data!AA89</f>
        <v>3</v>
      </c>
      <c r="V4">
        <f>Data!AB89</f>
        <v>3</v>
      </c>
      <c r="W4">
        <f>Data!AC89</f>
        <v>3</v>
      </c>
      <c r="X4">
        <f>Data!AD89</f>
        <v>3</v>
      </c>
      <c r="Y4">
        <f>Data!AE89</f>
        <v>3</v>
      </c>
      <c r="Z4">
        <f>Data!AF89</f>
        <v>3</v>
      </c>
      <c r="AA4">
        <f>Data!AG89</f>
        <v>3</v>
      </c>
      <c r="AB4">
        <f>Data!AH89</f>
        <v>3</v>
      </c>
      <c r="AC4">
        <f>Data!AI89</f>
        <v>3</v>
      </c>
      <c r="AD4">
        <f>Data!AJ89</f>
        <v>3</v>
      </c>
      <c r="AE4">
        <f>Data!AK89</f>
        <v>3</v>
      </c>
      <c r="AF4">
        <f>Data!AL89</f>
        <v>3</v>
      </c>
    </row>
    <row r="5" spans="1:32">
      <c r="A5" t="s">
        <v>4</v>
      </c>
      <c r="B5">
        <f>Data!H90</f>
        <v>0</v>
      </c>
      <c r="C5">
        <f>Data!I90</f>
        <v>0</v>
      </c>
      <c r="D5">
        <f>Data!J90</f>
        <v>0</v>
      </c>
      <c r="E5">
        <f>Data!K90</f>
        <v>0</v>
      </c>
      <c r="F5">
        <f>Data!L90</f>
        <v>0</v>
      </c>
      <c r="G5">
        <f>Data!M90</f>
        <v>0</v>
      </c>
      <c r="H5">
        <f>Data!N90</f>
        <v>0</v>
      </c>
      <c r="I5">
        <f>Data!O90</f>
        <v>0</v>
      </c>
      <c r="J5">
        <f>Data!P90</f>
        <v>0</v>
      </c>
      <c r="K5">
        <f>Data!Q90</f>
        <v>0</v>
      </c>
      <c r="L5">
        <f>Data!R90</f>
        <v>0</v>
      </c>
      <c r="M5">
        <f>Data!S90</f>
        <v>0</v>
      </c>
      <c r="N5">
        <f>Data!T90</f>
        <v>0</v>
      </c>
      <c r="O5">
        <f>Data!U90</f>
        <v>0</v>
      </c>
      <c r="P5">
        <f>Data!V90</f>
        <v>0</v>
      </c>
      <c r="Q5">
        <f>Data!W90</f>
        <v>0</v>
      </c>
      <c r="R5">
        <f>Data!X90</f>
        <v>0</v>
      </c>
      <c r="S5">
        <f>Data!Y90</f>
        <v>0</v>
      </c>
      <c r="T5">
        <f>Data!Z90</f>
        <v>0</v>
      </c>
      <c r="U5">
        <f>Data!AA90</f>
        <v>0</v>
      </c>
      <c r="V5">
        <f>Data!AB90</f>
        <v>0</v>
      </c>
      <c r="W5">
        <f>Data!AC90</f>
        <v>0</v>
      </c>
      <c r="X5">
        <f>Data!AD90</f>
        <v>0</v>
      </c>
      <c r="Y5">
        <f>Data!AE90</f>
        <v>0</v>
      </c>
      <c r="Z5">
        <f>Data!AF90</f>
        <v>0</v>
      </c>
      <c r="AA5">
        <f>Data!AG90</f>
        <v>0</v>
      </c>
      <c r="AB5">
        <f>Data!AH90</f>
        <v>0</v>
      </c>
      <c r="AC5">
        <f>Data!AI90</f>
        <v>0</v>
      </c>
      <c r="AD5">
        <f>Data!AJ90</f>
        <v>0</v>
      </c>
      <c r="AE5">
        <f>Data!AK90</f>
        <v>0</v>
      </c>
      <c r="AF5">
        <f>Data!AL90</f>
        <v>0</v>
      </c>
    </row>
    <row r="6" spans="1:32">
      <c r="A6" t="s">
        <v>5</v>
      </c>
      <c r="B6">
        <f>Data!H91</f>
        <v>0</v>
      </c>
      <c r="C6">
        <f>Data!I91</f>
        <v>0</v>
      </c>
      <c r="D6">
        <f>Data!J91</f>
        <v>0</v>
      </c>
      <c r="E6">
        <f>Data!K91</f>
        <v>0</v>
      </c>
      <c r="F6">
        <f>Data!L91</f>
        <v>0</v>
      </c>
      <c r="G6">
        <f>Data!M91</f>
        <v>0</v>
      </c>
      <c r="H6">
        <f>Data!N91</f>
        <v>0</v>
      </c>
      <c r="I6">
        <f>Data!O91</f>
        <v>0</v>
      </c>
      <c r="J6">
        <f>Data!P91</f>
        <v>0</v>
      </c>
      <c r="K6">
        <f>Data!Q91</f>
        <v>0</v>
      </c>
      <c r="L6">
        <f>Data!R91</f>
        <v>0</v>
      </c>
      <c r="M6">
        <f>Data!S91</f>
        <v>0</v>
      </c>
      <c r="N6">
        <f>Data!T91</f>
        <v>0</v>
      </c>
      <c r="O6">
        <f>Data!U91</f>
        <v>0</v>
      </c>
      <c r="P6">
        <f>Data!V91</f>
        <v>0</v>
      </c>
      <c r="Q6">
        <f>Data!W91</f>
        <v>0</v>
      </c>
      <c r="R6">
        <f>Data!X91</f>
        <v>0</v>
      </c>
      <c r="S6">
        <f>Data!Y91</f>
        <v>0</v>
      </c>
      <c r="T6">
        <f>Data!Z91</f>
        <v>0</v>
      </c>
      <c r="U6">
        <f>Data!AA91</f>
        <v>0</v>
      </c>
      <c r="V6">
        <f>Data!AB91</f>
        <v>0</v>
      </c>
      <c r="W6">
        <f>Data!AC91</f>
        <v>0</v>
      </c>
      <c r="X6">
        <f>Data!AD91</f>
        <v>0</v>
      </c>
      <c r="Y6">
        <f>Data!AE91</f>
        <v>0</v>
      </c>
      <c r="Z6">
        <f>Data!AF91</f>
        <v>0</v>
      </c>
      <c r="AA6">
        <f>Data!AG91</f>
        <v>0</v>
      </c>
      <c r="AB6">
        <f>Data!AH91</f>
        <v>0</v>
      </c>
      <c r="AC6">
        <f>Data!AI91</f>
        <v>0</v>
      </c>
      <c r="AD6">
        <f>Data!AJ91</f>
        <v>0</v>
      </c>
      <c r="AE6">
        <f>Data!AK91</f>
        <v>0</v>
      </c>
      <c r="AF6">
        <f>Data!AL91</f>
        <v>0</v>
      </c>
    </row>
    <row r="7" spans="1:32">
      <c r="A7" t="s">
        <v>78</v>
      </c>
      <c r="B7">
        <f>Data!H92</f>
        <v>0</v>
      </c>
      <c r="C7">
        <f>Data!I92</f>
        <v>0</v>
      </c>
      <c r="D7">
        <f>Data!J92</f>
        <v>0</v>
      </c>
      <c r="E7">
        <f>Data!K92</f>
        <v>0</v>
      </c>
      <c r="F7">
        <f>Data!L92</f>
        <v>0</v>
      </c>
      <c r="G7">
        <f>Data!M92</f>
        <v>0</v>
      </c>
      <c r="H7">
        <f>Data!N92</f>
        <v>0</v>
      </c>
      <c r="I7">
        <f>Data!O92</f>
        <v>0</v>
      </c>
      <c r="J7">
        <f>Data!P92</f>
        <v>0</v>
      </c>
      <c r="K7">
        <f>Data!Q92</f>
        <v>0</v>
      </c>
      <c r="L7">
        <f>Data!R92</f>
        <v>0</v>
      </c>
      <c r="M7">
        <f>Data!S92</f>
        <v>0</v>
      </c>
      <c r="N7">
        <f>Data!T92</f>
        <v>0</v>
      </c>
      <c r="O7">
        <f>Data!U92</f>
        <v>0</v>
      </c>
      <c r="P7">
        <f>Data!V92</f>
        <v>0</v>
      </c>
      <c r="Q7">
        <f>Data!W92</f>
        <v>0</v>
      </c>
      <c r="R7">
        <f>Data!X92</f>
        <v>0</v>
      </c>
      <c r="S7">
        <f>Data!Y92</f>
        <v>0</v>
      </c>
      <c r="T7">
        <f>Data!Z92</f>
        <v>0</v>
      </c>
      <c r="U7">
        <f>Data!AA92</f>
        <v>0</v>
      </c>
      <c r="V7">
        <f>Data!AB92</f>
        <v>0</v>
      </c>
      <c r="W7">
        <f>Data!AC92</f>
        <v>0</v>
      </c>
      <c r="X7">
        <f>Data!AD92</f>
        <v>0</v>
      </c>
      <c r="Y7">
        <f>Data!AE92</f>
        <v>0</v>
      </c>
      <c r="Z7">
        <f>Data!AF92</f>
        <v>0</v>
      </c>
      <c r="AA7">
        <f>Data!AG92</f>
        <v>0</v>
      </c>
      <c r="AB7">
        <f>Data!AH92</f>
        <v>0</v>
      </c>
      <c r="AC7">
        <f>Data!AI92</f>
        <v>0</v>
      </c>
      <c r="AD7">
        <f>Data!AJ92</f>
        <v>0</v>
      </c>
      <c r="AE7">
        <f>Data!AK92</f>
        <v>0</v>
      </c>
      <c r="AF7">
        <f>Data!AL92</f>
        <v>0</v>
      </c>
    </row>
    <row r="8" spans="1:32">
      <c r="A8" t="s">
        <v>79</v>
      </c>
      <c r="B8">
        <f>Data!H93</f>
        <v>0</v>
      </c>
      <c r="C8">
        <f>Data!I93</f>
        <v>0</v>
      </c>
      <c r="D8">
        <f>Data!J93</f>
        <v>0</v>
      </c>
      <c r="E8">
        <f>Data!K93</f>
        <v>0</v>
      </c>
      <c r="F8">
        <f>Data!L93</f>
        <v>0</v>
      </c>
      <c r="G8">
        <f>Data!M93</f>
        <v>0</v>
      </c>
      <c r="H8">
        <f>Data!N93</f>
        <v>0</v>
      </c>
      <c r="I8">
        <f>Data!O93</f>
        <v>0</v>
      </c>
      <c r="J8">
        <f>Data!P93</f>
        <v>0</v>
      </c>
      <c r="K8">
        <f>Data!Q93</f>
        <v>0</v>
      </c>
      <c r="L8">
        <f>Data!R93</f>
        <v>0</v>
      </c>
      <c r="M8">
        <f>Data!S93</f>
        <v>0</v>
      </c>
      <c r="N8">
        <f>Data!T93</f>
        <v>0</v>
      </c>
      <c r="O8">
        <f>Data!U93</f>
        <v>0</v>
      </c>
      <c r="P8">
        <f>Data!V93</f>
        <v>0</v>
      </c>
      <c r="Q8">
        <f>Data!W93</f>
        <v>0</v>
      </c>
      <c r="R8">
        <f>Data!X93</f>
        <v>0</v>
      </c>
      <c r="S8">
        <f>Data!Y93</f>
        <v>0</v>
      </c>
      <c r="T8">
        <f>Data!Z93</f>
        <v>0</v>
      </c>
      <c r="U8">
        <f>Data!AA93</f>
        <v>0</v>
      </c>
      <c r="V8">
        <f>Data!AB93</f>
        <v>0</v>
      </c>
      <c r="W8">
        <f>Data!AC93</f>
        <v>0</v>
      </c>
      <c r="X8">
        <f>Data!AD93</f>
        <v>0</v>
      </c>
      <c r="Y8">
        <f>Data!AE93</f>
        <v>0</v>
      </c>
      <c r="Z8">
        <f>Data!AF93</f>
        <v>0</v>
      </c>
      <c r="AA8">
        <f>Data!AG93</f>
        <v>0</v>
      </c>
      <c r="AB8">
        <f>Data!AH93</f>
        <v>0</v>
      </c>
      <c r="AC8">
        <f>Data!AI93</f>
        <v>0</v>
      </c>
      <c r="AD8">
        <f>Data!AJ93</f>
        <v>0</v>
      </c>
      <c r="AE8">
        <f>Data!AK93</f>
        <v>0</v>
      </c>
      <c r="AF8">
        <f>Data!AL93</f>
        <v>0</v>
      </c>
    </row>
  </sheetData>
  <phoneticPr fontId="9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39ACE987-BC54-40D9-B8CF-5CB9726AD5E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78F0F71-EE7E-4036-B654-BDDC7E3F72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8A831F0-D33B-4743-B389-F44D66A91D94}">
  <ds:schemaRefs>
    <ds:schemaRef ds:uri="http://purl.org/dc/dcmitype/"/>
    <ds:schemaRef ds:uri="http://schemas.microsoft.com/office/2006/metadata/properties"/>
    <ds:schemaRef ds:uri="http://purl.org/dc/elements/1.1/"/>
    <ds:schemaRef ds:uri="http://purl.org/dc/terms/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About</vt:lpstr>
      <vt:lpstr>SYVbT-passenger</vt:lpstr>
      <vt:lpstr>SYVbT-freight</vt:lpstr>
      <vt:lpstr>psgr-LDV python</vt:lpstr>
      <vt:lpstr>calibration_parameters_404</vt:lpstr>
      <vt:lpstr>Sheet1</vt:lpstr>
      <vt:lpstr>recalculated_shareweights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Robbie Orvis</cp:lastModifiedBy>
  <dcterms:created xsi:type="dcterms:W3CDTF">2017-07-01T03:43:09Z</dcterms:created>
  <dcterms:modified xsi:type="dcterms:W3CDTF">2026-07-02T20:28:22Z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