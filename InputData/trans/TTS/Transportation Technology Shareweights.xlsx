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TTS\"/>
    </mc:Choice>
  </mc:AlternateContent>
  <xr:revisionPtr revIDLastSave="0" documentId="13_ncr:1_{B4BBF0FE-9036-46EA-A8C4-B0B29C11893C}" xr6:coauthVersionLast="47" xr6:coauthVersionMax="47" xr10:uidLastSave="{00000000-0000-0000-0000-000000000000}"/>
  <bookViews>
    <workbookView xWindow="1005" yWindow="2100" windowWidth="26040" windowHeight="14730" activeTab="4" xr2:uid="{00000000-000D-0000-FFFF-FFFF00000000}"/>
  </bookViews>
  <sheets>
    <sheet name="About" sheetId="1" r:id="rId1"/>
    <sheet name="SYVbT-passenger" sheetId="6" r:id="rId2"/>
    <sheet name="SYVbT-freight" sheetId="19" r:id="rId3"/>
    <sheet name="recalculated_shareweights" sheetId="20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" i="3" l="1"/>
  <c r="AI10" i="3" s="1"/>
  <c r="AJ10" i="3" s="1"/>
  <c r="AK10" i="3" s="1"/>
  <c r="AC10" i="3"/>
  <c r="AD10" i="3" s="1"/>
  <c r="AE10" i="3" s="1"/>
  <c r="AF10" i="3" s="1"/>
  <c r="X10" i="3"/>
  <c r="Y10" i="3" s="1"/>
  <c r="Z10" i="3" s="1"/>
  <c r="AA10" i="3" s="1"/>
  <c r="S10" i="3"/>
  <c r="T10" i="3" s="1"/>
  <c r="U10" i="3" s="1"/>
  <c r="V10" i="3" s="1"/>
  <c r="N10" i="3"/>
  <c r="O10" i="3" s="1"/>
  <c r="P10" i="3" s="1"/>
  <c r="Q10" i="3" s="1"/>
  <c r="M16" i="3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L16" i="3"/>
  <c r="K16" i="3"/>
  <c r="J16" i="3"/>
  <c r="I16" i="3"/>
  <c r="H16" i="3" s="1"/>
  <c r="M15" i="3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L15" i="3"/>
  <c r="K15" i="3"/>
  <c r="J15" i="3"/>
  <c r="I15" i="3"/>
  <c r="H15" i="3" s="1"/>
  <c r="M14" i="3"/>
  <c r="N14" i="3" s="1"/>
  <c r="O14" i="3" s="1"/>
  <c r="P14" i="3" s="1"/>
  <c r="Q14" i="3" s="1"/>
  <c r="L14" i="3"/>
  <c r="K14" i="3"/>
  <c r="J14" i="3"/>
  <c r="I14" i="3"/>
  <c r="H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L13" i="3"/>
  <c r="K13" i="3"/>
  <c r="J13" i="3"/>
  <c r="I13" i="3"/>
  <c r="H13" i="3" s="1"/>
  <c r="M12" i="3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L12" i="3"/>
  <c r="K12" i="3"/>
  <c r="J12" i="3"/>
  <c r="I12" i="3"/>
  <c r="H12" i="3" s="1"/>
  <c r="M11" i="3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L11" i="3"/>
  <c r="K11" i="3"/>
  <c r="J11" i="3"/>
  <c r="I11" i="3"/>
  <c r="H11" i="3" s="1"/>
  <c r="M10" i="3"/>
  <c r="L10" i="3"/>
  <c r="K10" i="3"/>
  <c r="J10" i="3"/>
  <c r="I10" i="3"/>
  <c r="H10" i="3" s="1"/>
  <c r="S14" i="3" l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AG14" i="3" s="1"/>
  <c r="AH14" i="3" s="1"/>
  <c r="AI14" i="3" s="1"/>
  <c r="AJ14" i="3" s="1"/>
  <c r="AK14" i="3" s="1"/>
  <c r="AL14" i="3" s="1"/>
  <c r="E21" i="3"/>
  <c r="D21" i="3"/>
  <c r="D19" i="3" l="1"/>
  <c r="D34" i="3"/>
  <c r="D33" i="3"/>
  <c r="D27" i="3"/>
  <c r="D26" i="3"/>
  <c r="D13" i="3"/>
  <c r="D12" i="3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65" i="3"/>
  <c r="E65" i="3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31" i="3"/>
  <c r="E31" i="3"/>
  <c r="D32" i="3"/>
  <c r="E32" i="3" s="1"/>
  <c r="D35" i="3"/>
  <c r="E35" i="3" s="1"/>
  <c r="D36" i="3"/>
  <c r="E36" i="3" s="1"/>
  <c r="E37" i="3" s="1"/>
  <c r="D37" i="3"/>
  <c r="D24" i="3"/>
  <c r="D25" i="3"/>
  <c r="E25" i="3" s="1"/>
  <c r="E30" i="3" s="1"/>
  <c r="D28" i="3"/>
  <c r="E28" i="3" s="1"/>
  <c r="D29" i="3"/>
  <c r="E29" i="3" s="1"/>
  <c r="D30" i="3"/>
  <c r="D17" i="3"/>
  <c r="D18" i="3"/>
  <c r="E18" i="3" s="1"/>
  <c r="E23" i="3" s="1"/>
  <c r="E19" i="3"/>
  <c r="E20" i="3"/>
  <c r="D22" i="3"/>
  <c r="E22" i="3" s="1"/>
  <c r="D23" i="3"/>
  <c r="E13" i="3"/>
  <c r="D11" i="3"/>
  <c r="E11" i="3" s="1"/>
  <c r="E16" i="3" s="1"/>
  <c r="E12" i="3"/>
  <c r="D14" i="3"/>
  <c r="D15" i="3"/>
  <c r="E15" i="3" s="1"/>
  <c r="D16" i="3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F16" i="3" l="1"/>
  <c r="B8" i="2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C6" i="2" s="1"/>
  <c r="J36" i="3" l="1"/>
  <c r="D7" i="10" s="1"/>
  <c r="J37" i="3"/>
  <c r="D8" i="10" s="1"/>
  <c r="J23" i="3"/>
  <c r="D8" i="8" s="1"/>
  <c r="D8" i="2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D7" i="2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E7" i="2"/>
  <c r="K18" i="3"/>
  <c r="K23" i="3"/>
  <c r="E8" i="8" s="1"/>
  <c r="E8" i="2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F7" i="2"/>
  <c r="L18" i="3"/>
  <c r="L23" i="3"/>
  <c r="F8" i="8" s="1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G7" i="2"/>
  <c r="M18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H7" i="2"/>
  <c r="N22" i="3"/>
  <c r="H7" i="8" s="1"/>
  <c r="N30" i="3"/>
  <c r="H8" i="9" s="1"/>
  <c r="N29" i="3"/>
  <c r="H7" i="9" s="1"/>
  <c r="N18" i="3"/>
  <c r="H8" i="2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H4" i="2"/>
  <c r="H2" i="11"/>
  <c r="H6" i="12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F33" i="3"/>
  <c r="F83" i="3"/>
  <c r="F80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B3" i="9"/>
  <c r="E2" i="2" l="1"/>
  <c r="C2" i="2"/>
  <c r="D2" i="2"/>
  <c r="F2" i="2"/>
  <c r="G2" i="2"/>
  <c r="H2" i="2"/>
  <c r="I2" i="2"/>
  <c r="J2" i="2"/>
  <c r="K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K17" i="3"/>
  <c r="E2" i="8" s="1"/>
  <c r="O17" i="3"/>
  <c r="I2" i="8" s="1"/>
  <c r="J17" i="3"/>
  <c r="D2" i="8" s="1"/>
  <c r="L17" i="3"/>
  <c r="F2" i="8" s="1"/>
  <c r="P17" i="3"/>
  <c r="J2" i="8" s="1"/>
  <c r="N17" i="3"/>
  <c r="H2" i="8" s="1"/>
  <c r="I17" i="3"/>
  <c r="C2" i="8" s="1"/>
  <c r="M17" i="3"/>
  <c r="G2" i="8" s="1"/>
  <c r="Q17" i="3"/>
  <c r="K2" i="8" s="1"/>
  <c r="R17" i="3"/>
  <c r="L2" i="8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M2" i="2" l="1"/>
  <c r="S36" i="3"/>
  <c r="M7" i="10" s="1"/>
  <c r="S37" i="3"/>
  <c r="M8" i="10" s="1"/>
  <c r="M6" i="2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S17" i="3"/>
  <c r="M2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N2" i="2" l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17" i="3"/>
  <c r="N2" i="8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6" i="11"/>
  <c r="N5" i="2"/>
  <c r="N3" i="2"/>
  <c r="N6" i="2"/>
  <c r="O2" i="2" l="1"/>
  <c r="U25" i="3"/>
  <c r="O3" i="9" s="1"/>
  <c r="U32" i="3"/>
  <c r="O3" i="10" s="1"/>
  <c r="U21" i="3"/>
  <c r="O6" i="8" s="1"/>
  <c r="O6" i="2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U17" i="3"/>
  <c r="O2" i="8" s="1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P2" i="2" l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17" i="3"/>
  <c r="P2" i="8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P6" i="2"/>
  <c r="Q2" i="2" l="1"/>
  <c r="Q3" i="2"/>
  <c r="Q6" i="2"/>
  <c r="W36" i="3"/>
  <c r="Q7" i="10" s="1"/>
  <c r="W37" i="3"/>
  <c r="Q8" i="10" s="1"/>
  <c r="W21" i="3"/>
  <c r="Q6" i="8" s="1"/>
  <c r="W31" i="3"/>
  <c r="Q2" i="10" s="1"/>
  <c r="W17" i="3"/>
  <c r="Q2" i="8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R2" i="2" l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X17" i="3"/>
  <c r="R2" i="8" s="1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R6" i="2"/>
  <c r="S6" i="2" l="1"/>
  <c r="S2" i="2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Y17" i="3"/>
  <c r="S2" i="8" s="1"/>
  <c r="Z9" i="3"/>
  <c r="T2" i="2" s="1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17" i="3"/>
  <c r="T2" i="8" s="1"/>
  <c r="Z80" i="3"/>
  <c r="T2" i="17" s="1"/>
  <c r="Z25" i="3"/>
  <c r="T3" i="9" s="1"/>
  <c r="AA9" i="3"/>
  <c r="U2" i="2" s="1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T6" i="2"/>
  <c r="U6" i="2" l="1"/>
  <c r="U3" i="2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17" i="3"/>
  <c r="U2" i="8" s="1"/>
  <c r="AA21" i="3"/>
  <c r="U6" i="8" s="1"/>
  <c r="AA80" i="3"/>
  <c r="U2" i="17" s="1"/>
  <c r="AA25" i="3"/>
  <c r="U3" i="9" s="1"/>
  <c r="AB9" i="3"/>
  <c r="V2" i="2" s="1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17" i="3"/>
  <c r="V2" i="8" s="1"/>
  <c r="AB24" i="3"/>
  <c r="V2" i="9" s="1"/>
  <c r="AB25" i="3"/>
  <c r="V3" i="9" s="1"/>
  <c r="AB28" i="3"/>
  <c r="V6" i="9" s="1"/>
  <c r="AB21" i="3"/>
  <c r="V6" i="8" s="1"/>
  <c r="AC9" i="3"/>
  <c r="W2" i="2" s="1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V6" i="2"/>
  <c r="W6" i="2" l="1"/>
  <c r="W3" i="2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17" i="3"/>
  <c r="W2" i="8" s="1"/>
  <c r="AC24" i="3"/>
  <c r="W2" i="9" s="1"/>
  <c r="AC21" i="3"/>
  <c r="W6" i="8" s="1"/>
  <c r="AD9" i="3"/>
  <c r="X2" i="2" s="1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17" i="3"/>
  <c r="X2" i="8" s="1"/>
  <c r="AD80" i="3"/>
  <c r="X2" i="17" s="1"/>
  <c r="AD32" i="3"/>
  <c r="X3" i="10" s="1"/>
  <c r="AD21" i="3"/>
  <c r="X6" i="8" s="1"/>
  <c r="AE9" i="3"/>
  <c r="Y2" i="2" s="1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6" i="2"/>
  <c r="X3" i="2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E17" i="3"/>
  <c r="Y2" i="8" s="1"/>
  <c r="AF9" i="3"/>
  <c r="Z2" i="2" s="1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6" i="2"/>
  <c r="Y3" i="2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17" i="3"/>
  <c r="Z2" i="8" s="1"/>
  <c r="AF24" i="3"/>
  <c r="Z2" i="9" s="1"/>
  <c r="AF28" i="3"/>
  <c r="Z6" i="9" s="1"/>
  <c r="AF21" i="3"/>
  <c r="Z6" i="8" s="1"/>
  <c r="AF25" i="3"/>
  <c r="Z3" i="9" s="1"/>
  <c r="AG9" i="3"/>
  <c r="AA2" i="2" s="1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6" i="11"/>
  <c r="Z5" i="2"/>
  <c r="Z6" i="2"/>
  <c r="Z3" i="2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G17" i="3"/>
  <c r="AA2" i="8" s="1"/>
  <c r="AH9" i="3"/>
  <c r="AB2" i="2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H17" i="3"/>
  <c r="AB2" i="8" s="1"/>
  <c r="AI9" i="3"/>
  <c r="AC2" i="2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6" i="2"/>
  <c r="AB3" i="2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I17" i="3"/>
  <c r="AC2" i="8" s="1"/>
  <c r="AJ9" i="3"/>
  <c r="AD2" i="2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17" i="3"/>
  <c r="AD2" i="8" s="1"/>
  <c r="AJ21" i="3"/>
  <c r="AD6" i="8" s="1"/>
  <c r="AK9" i="3"/>
  <c r="AE2" i="2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6" i="2"/>
  <c r="AD3" i="2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17" i="3"/>
  <c r="AE2" i="8" s="1"/>
  <c r="AK21" i="3"/>
  <c r="AE6" i="8" s="1"/>
  <c r="AK24" i="3"/>
  <c r="AE2" i="9" s="1"/>
  <c r="AK32" i="3"/>
  <c r="AE3" i="10" s="1"/>
  <c r="AL9" i="3"/>
  <c r="AF2" i="2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6" i="2"/>
  <c r="AE3" i="2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L17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6" i="2"/>
  <c r="AF3" i="2"/>
</calcChain>
</file>

<file path=xl/sharedStrings.xml><?xml version="1.0" encoding="utf-8"?>
<sst xmlns="http://schemas.openxmlformats.org/spreadsheetml/2006/main" count="400" uniqueCount="111">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</sst>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4" fontId="0" fillId="3" borderId="0" xfId="0" applyNumberFormat="1" applyFill="1"/>
    <xf numFmtId="167" fontId="0" fillId="0" borderId="0" xfId="0" applyNumberFormat="1"/>
    <xf numFmtId="0" fontId="0" fillId="5" borderId="0" xfId="0" applyFill="1"/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0.14562875828586999</c:v>
                </c:pt>
                <c:pt idx="1">
                  <c:v>0.14562875828586999</c:v>
                </c:pt>
                <c:pt idx="2">
                  <c:v>0.25157645096963099</c:v>
                </c:pt>
                <c:pt idx="3">
                  <c:v>0.24934859903793999</c:v>
                </c:pt>
                <c:pt idx="4">
                  <c:v>0.27293517554942398</c:v>
                </c:pt>
                <c:pt idx="5">
                  <c:v>0.45254097379320501</c:v>
                </c:pt>
                <c:pt idx="6">
                  <c:v>0.55003277903456405</c:v>
                </c:pt>
                <c:pt idx="7">
                  <c:v>0.64752458427592308</c:v>
                </c:pt>
                <c:pt idx="8">
                  <c:v>0.74501638951728211</c:v>
                </c:pt>
                <c:pt idx="9">
                  <c:v>0.84250819475864114</c:v>
                </c:pt>
                <c:pt idx="10">
                  <c:v>0.94</c:v>
                </c:pt>
                <c:pt idx="11">
                  <c:v>1.002</c:v>
                </c:pt>
                <c:pt idx="12">
                  <c:v>1.0640000000000001</c:v>
                </c:pt>
                <c:pt idx="13">
                  <c:v>1.1260000000000001</c:v>
                </c:pt>
                <c:pt idx="14">
                  <c:v>1.1880000000000002</c:v>
                </c:pt>
                <c:pt idx="15">
                  <c:v>1.25</c:v>
                </c:pt>
                <c:pt idx="16">
                  <c:v>1.34</c:v>
                </c:pt>
                <c:pt idx="17">
                  <c:v>1.4300000000000002</c:v>
                </c:pt>
                <c:pt idx="18">
                  <c:v>1.5200000000000002</c:v>
                </c:pt>
                <c:pt idx="19">
                  <c:v>1.6100000000000003</c:v>
                </c:pt>
                <c:pt idx="20">
                  <c:v>1.7</c:v>
                </c:pt>
                <c:pt idx="21">
                  <c:v>1.91</c:v>
                </c:pt>
                <c:pt idx="22">
                  <c:v>2.12</c:v>
                </c:pt>
                <c:pt idx="23">
                  <c:v>2.33</c:v>
                </c:pt>
                <c:pt idx="24">
                  <c:v>2.54</c:v>
                </c:pt>
                <c:pt idx="25">
                  <c:v>2.75</c:v>
                </c:pt>
                <c:pt idx="26">
                  <c:v>3.2800000000000002</c:v>
                </c:pt>
                <c:pt idx="27">
                  <c:v>3.8100000000000005</c:v>
                </c:pt>
                <c:pt idx="28">
                  <c:v>4.3400000000000007</c:v>
                </c:pt>
                <c:pt idx="29">
                  <c:v>4.870000000000001</c:v>
                </c:pt>
                <c:pt idx="30">
                  <c:v>5.4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3.3752550513252298E-3</c:v>
                </c:pt>
                <c:pt idx="1">
                  <c:v>3.3752550513252298E-3</c:v>
                </c:pt>
                <c:pt idx="2">
                  <c:v>3.2073136116094201E-3</c:v>
                </c:pt>
                <c:pt idx="3">
                  <c:v>3.2731580821590001E-3</c:v>
                </c:pt>
                <c:pt idx="4">
                  <c:v>3.2886569653648402E-3</c:v>
                </c:pt>
                <c:pt idx="5">
                  <c:v>3.2803950897637999E-3</c:v>
                </c:pt>
                <c:pt idx="6">
                  <c:v>3.2803950897637999E-3</c:v>
                </c:pt>
                <c:pt idx="7">
                  <c:v>3.2803950897637999E-3</c:v>
                </c:pt>
                <c:pt idx="8">
                  <c:v>3.2803950897637999E-3</c:v>
                </c:pt>
                <c:pt idx="9">
                  <c:v>3.2803950897637999E-3</c:v>
                </c:pt>
                <c:pt idx="10">
                  <c:v>3.2803950897637999E-3</c:v>
                </c:pt>
                <c:pt idx="11">
                  <c:v>3.2803950897637999E-3</c:v>
                </c:pt>
                <c:pt idx="12">
                  <c:v>3.2803950897637999E-3</c:v>
                </c:pt>
                <c:pt idx="13">
                  <c:v>3.2803950897637999E-3</c:v>
                </c:pt>
                <c:pt idx="14">
                  <c:v>3.2803950897637999E-3</c:v>
                </c:pt>
                <c:pt idx="15">
                  <c:v>3.2803950897637999E-3</c:v>
                </c:pt>
                <c:pt idx="16">
                  <c:v>3.2803950897637999E-3</c:v>
                </c:pt>
                <c:pt idx="17">
                  <c:v>3.2803950897637999E-3</c:v>
                </c:pt>
                <c:pt idx="18">
                  <c:v>3.2803950897637999E-3</c:v>
                </c:pt>
                <c:pt idx="19">
                  <c:v>3.2803950897637999E-3</c:v>
                </c:pt>
                <c:pt idx="20">
                  <c:v>3.2803950897637999E-3</c:v>
                </c:pt>
                <c:pt idx="21">
                  <c:v>3.2803950897637999E-3</c:v>
                </c:pt>
                <c:pt idx="22">
                  <c:v>3.2803950897637999E-3</c:v>
                </c:pt>
                <c:pt idx="23">
                  <c:v>3.2803950897637999E-3</c:v>
                </c:pt>
                <c:pt idx="24">
                  <c:v>3.2803950897637999E-3</c:v>
                </c:pt>
                <c:pt idx="25">
                  <c:v>3.2803950897637999E-3</c:v>
                </c:pt>
                <c:pt idx="26">
                  <c:v>3.2803950897637999E-3</c:v>
                </c:pt>
                <c:pt idx="27">
                  <c:v>3.2803950897637999E-3</c:v>
                </c:pt>
                <c:pt idx="28">
                  <c:v>3.2803950897637999E-3</c:v>
                </c:pt>
                <c:pt idx="29">
                  <c:v>3.2803950897637999E-3</c:v>
                </c:pt>
                <c:pt idx="30">
                  <c:v>3.2803950897637999E-3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0.59151755489837199</c:v>
                </c:pt>
                <c:pt idx="1">
                  <c:v>0.59151755489837199</c:v>
                </c:pt>
                <c:pt idx="2">
                  <c:v>0.59031765788952895</c:v>
                </c:pt>
                <c:pt idx="3">
                  <c:v>0.58983194859159405</c:v>
                </c:pt>
                <c:pt idx="4">
                  <c:v>0.589580073239939</c:v>
                </c:pt>
                <c:pt idx="5">
                  <c:v>0.58834597467789096</c:v>
                </c:pt>
                <c:pt idx="6">
                  <c:v>0.58834597467789096</c:v>
                </c:pt>
                <c:pt idx="7">
                  <c:v>0.58834597467789096</c:v>
                </c:pt>
                <c:pt idx="8">
                  <c:v>0.58834597467789096</c:v>
                </c:pt>
                <c:pt idx="9">
                  <c:v>0.58834597467789096</c:v>
                </c:pt>
                <c:pt idx="10">
                  <c:v>0.58834597467789096</c:v>
                </c:pt>
                <c:pt idx="11">
                  <c:v>0.58834597467789096</c:v>
                </c:pt>
                <c:pt idx="12">
                  <c:v>0.58834597467789096</c:v>
                </c:pt>
                <c:pt idx="13">
                  <c:v>0.58834597467789096</c:v>
                </c:pt>
                <c:pt idx="14">
                  <c:v>0.58834597467789096</c:v>
                </c:pt>
                <c:pt idx="15">
                  <c:v>0.58834597467789096</c:v>
                </c:pt>
                <c:pt idx="16">
                  <c:v>0.58834597467789096</c:v>
                </c:pt>
                <c:pt idx="17">
                  <c:v>0.58834597467789096</c:v>
                </c:pt>
                <c:pt idx="18">
                  <c:v>0.58834597467789096</c:v>
                </c:pt>
                <c:pt idx="19">
                  <c:v>0.58834597467789096</c:v>
                </c:pt>
                <c:pt idx="20">
                  <c:v>0.58834597467789096</c:v>
                </c:pt>
                <c:pt idx="21">
                  <c:v>0.58834597467789096</c:v>
                </c:pt>
                <c:pt idx="22">
                  <c:v>0.58834597467789096</c:v>
                </c:pt>
                <c:pt idx="23">
                  <c:v>0.58834597467789096</c:v>
                </c:pt>
                <c:pt idx="24">
                  <c:v>0.58834597467789096</c:v>
                </c:pt>
                <c:pt idx="25">
                  <c:v>0.58834597467789096</c:v>
                </c:pt>
                <c:pt idx="26">
                  <c:v>0.58834597467789096</c:v>
                </c:pt>
                <c:pt idx="27">
                  <c:v>0.58834597467789096</c:v>
                </c:pt>
                <c:pt idx="28">
                  <c:v>0.58834597467789096</c:v>
                </c:pt>
                <c:pt idx="29">
                  <c:v>0.58834597467789096</c:v>
                </c:pt>
                <c:pt idx="30">
                  <c:v>0.58834597467789096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0.356961080621581</c:v>
                </c:pt>
                <c:pt idx="1">
                  <c:v>0.356961080621581</c:v>
                </c:pt>
                <c:pt idx="2">
                  <c:v>0.46266979168123801</c:v>
                </c:pt>
                <c:pt idx="3">
                  <c:v>0.68107773418921602</c:v>
                </c:pt>
                <c:pt idx="4">
                  <c:v>1.1492319563763</c:v>
                </c:pt>
                <c:pt idx="5">
                  <c:v>1.4827841473737</c:v>
                </c:pt>
                <c:pt idx="6">
                  <c:v>1.5862273178989601</c:v>
                </c:pt>
                <c:pt idx="7">
                  <c:v>1.6896704884242202</c:v>
                </c:pt>
                <c:pt idx="8">
                  <c:v>1.7931136589494803</c:v>
                </c:pt>
                <c:pt idx="9">
                  <c:v>1.8965568294747404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0.171593660015216</c:v>
                </c:pt>
                <c:pt idx="1">
                  <c:v>0.171593660015216</c:v>
                </c:pt>
                <c:pt idx="2">
                  <c:v>0.157380451105636</c:v>
                </c:pt>
                <c:pt idx="3">
                  <c:v>0.157105919646333</c:v>
                </c:pt>
                <c:pt idx="4">
                  <c:v>0.15691361174878399</c:v>
                </c:pt>
                <c:pt idx="5">
                  <c:v>0.15633667860209499</c:v>
                </c:pt>
                <c:pt idx="6">
                  <c:v>0.15633667860209499</c:v>
                </c:pt>
                <c:pt idx="7">
                  <c:v>0.15633667860209499</c:v>
                </c:pt>
                <c:pt idx="8">
                  <c:v>0.15633667860209499</c:v>
                </c:pt>
                <c:pt idx="9">
                  <c:v>0.15633667860209499</c:v>
                </c:pt>
                <c:pt idx="10">
                  <c:v>0.15633667860209499</c:v>
                </c:pt>
                <c:pt idx="11">
                  <c:v>0.15633667860209499</c:v>
                </c:pt>
                <c:pt idx="12">
                  <c:v>0.15633667860209499</c:v>
                </c:pt>
                <c:pt idx="13">
                  <c:v>0.15633667860209499</c:v>
                </c:pt>
                <c:pt idx="14">
                  <c:v>0.15633667860209499</c:v>
                </c:pt>
                <c:pt idx="15">
                  <c:v>0.15633667860209499</c:v>
                </c:pt>
                <c:pt idx="16">
                  <c:v>0.15633667860209499</c:v>
                </c:pt>
                <c:pt idx="17">
                  <c:v>0.15633667860209499</c:v>
                </c:pt>
                <c:pt idx="18">
                  <c:v>0.15633667860209499</c:v>
                </c:pt>
                <c:pt idx="19">
                  <c:v>0.15633667860209499</c:v>
                </c:pt>
                <c:pt idx="20">
                  <c:v>0.15633667860209499</c:v>
                </c:pt>
                <c:pt idx="21">
                  <c:v>0.15633667860209499</c:v>
                </c:pt>
                <c:pt idx="22">
                  <c:v>0.15633667860209499</c:v>
                </c:pt>
                <c:pt idx="23">
                  <c:v>0.15633667860209499</c:v>
                </c:pt>
                <c:pt idx="24">
                  <c:v>0.15633667860209499</c:v>
                </c:pt>
                <c:pt idx="25">
                  <c:v>0.15633667860209499</c:v>
                </c:pt>
                <c:pt idx="26">
                  <c:v>0.15633667860209499</c:v>
                </c:pt>
                <c:pt idx="27">
                  <c:v>0.15633667860209499</c:v>
                </c:pt>
                <c:pt idx="28">
                  <c:v>0.15633667860209499</c:v>
                </c:pt>
                <c:pt idx="29">
                  <c:v>0.15633667860209499</c:v>
                </c:pt>
                <c:pt idx="30">
                  <c:v>0.15633667860209499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1.8305978574742698E-2</c:v>
                </c:pt>
                <c:pt idx="1">
                  <c:v>1.8305978574742698E-2</c:v>
                </c:pt>
                <c:pt idx="2">
                  <c:v>1.9637350115763199E-2</c:v>
                </c:pt>
                <c:pt idx="3">
                  <c:v>8.5168289481052303E-3</c:v>
                </c:pt>
                <c:pt idx="4">
                  <c:v>7.5865782984086399E-3</c:v>
                </c:pt>
                <c:pt idx="5">
                  <c:v>1.72086386734626E-2</c:v>
                </c:pt>
                <c:pt idx="6">
                  <c:v>1.72086386734626E-2</c:v>
                </c:pt>
                <c:pt idx="7">
                  <c:v>1.72086386734626E-2</c:v>
                </c:pt>
                <c:pt idx="8">
                  <c:v>1.72086386734626E-2</c:v>
                </c:pt>
                <c:pt idx="9">
                  <c:v>1.72086386734626E-2</c:v>
                </c:pt>
                <c:pt idx="10">
                  <c:v>1.72086386734626E-2</c:v>
                </c:pt>
                <c:pt idx="11">
                  <c:v>1.72086386734626E-2</c:v>
                </c:pt>
                <c:pt idx="12">
                  <c:v>1.72086386734626E-2</c:v>
                </c:pt>
                <c:pt idx="13">
                  <c:v>1.72086386734626E-2</c:v>
                </c:pt>
                <c:pt idx="14">
                  <c:v>1.72086386734626E-2</c:v>
                </c:pt>
                <c:pt idx="15">
                  <c:v>1.72086386734626E-2</c:v>
                </c:pt>
                <c:pt idx="16">
                  <c:v>1.72086386734626E-2</c:v>
                </c:pt>
                <c:pt idx="17">
                  <c:v>1.72086386734626E-2</c:v>
                </c:pt>
                <c:pt idx="18">
                  <c:v>1.72086386734626E-2</c:v>
                </c:pt>
                <c:pt idx="19">
                  <c:v>1.72086386734626E-2</c:v>
                </c:pt>
                <c:pt idx="20">
                  <c:v>1.72086386734626E-2</c:v>
                </c:pt>
                <c:pt idx="21">
                  <c:v>1.72086386734626E-2</c:v>
                </c:pt>
                <c:pt idx="22">
                  <c:v>1.72086386734626E-2</c:v>
                </c:pt>
                <c:pt idx="23">
                  <c:v>1.72086386734626E-2</c:v>
                </c:pt>
                <c:pt idx="24">
                  <c:v>1.72086386734626E-2</c:v>
                </c:pt>
                <c:pt idx="25">
                  <c:v>1.72086386734626E-2</c:v>
                </c:pt>
                <c:pt idx="26">
                  <c:v>1.72086386734626E-2</c:v>
                </c:pt>
                <c:pt idx="27">
                  <c:v>1.72086386734626E-2</c:v>
                </c:pt>
                <c:pt idx="28">
                  <c:v>1.72086386734626E-2</c:v>
                </c:pt>
                <c:pt idx="29">
                  <c:v>1.72086386734626E-2</c:v>
                </c:pt>
                <c:pt idx="30">
                  <c:v>1.72086386734626E-2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333000</xdr:colOff>
      <xdr:row>16</xdr:row>
      <xdr:rowOff>86471</xdr:rowOff>
    </xdr:from>
    <xdr:to>
      <xdr:col>19</xdr:col>
      <xdr:colOff>459441</xdr:colOff>
      <xdr:row>37</xdr:row>
      <xdr:rowOff>78440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08984375" defaultRowHeight="14.5"/>
  <cols>
    <col min="2" max="2" width="56.179687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4.5"/>
  <cols>
    <col min="1" max="1" width="16.90625" customWidth="1"/>
    <col min="2" max="2" width="24.453125" customWidth="1"/>
    <col min="3" max="3" width="20.90625" customWidth="1"/>
    <col min="4" max="4" width="18.1796875" customWidth="1"/>
    <col min="5" max="5" width="17.08984375" customWidth="1"/>
    <col min="6" max="8" width="23.1796875" customWidth="1"/>
    <col min="10" max="10" width="14.453125" bestFit="1" customWidth="1"/>
  </cols>
  <sheetData>
    <row r="1" spans="1:10" ht="29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9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4.5"/>
  <cols>
    <col min="1" max="1" width="16.90625" customWidth="1"/>
    <col min="2" max="2" width="24.453125" customWidth="1"/>
    <col min="3" max="3" width="20.90625" customWidth="1"/>
    <col min="4" max="4" width="18.1796875" customWidth="1"/>
    <col min="5" max="5" width="17.08984375" customWidth="1"/>
    <col min="6" max="8" width="23.1796875" customWidth="1"/>
    <col min="9" max="9" width="13.453125" bestFit="1" customWidth="1"/>
    <col min="10" max="10" width="12.453125" bestFit="1" customWidth="1"/>
  </cols>
  <sheetData>
    <row r="1" spans="1:10" ht="29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sqref="A1:G36"/>
    </sheetView>
  </sheetViews>
  <sheetFormatPr defaultRowHeight="14.5"/>
  <cols>
    <col min="2" max="2" width="14.1796875" bestFit="1" customWidth="1"/>
    <col min="3" max="3" width="20.7265625" bestFit="1" customWidth="1"/>
    <col min="6" max="6" width="11.8164062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61189</v>
      </c>
      <c r="E2">
        <v>5.54794452055479E-2</v>
      </c>
      <c r="F2">
        <v>0.14562875828586999</v>
      </c>
      <c r="G2">
        <v>-1.92669464702355</v>
      </c>
    </row>
    <row r="3" spans="1:7">
      <c r="A3">
        <v>2021</v>
      </c>
      <c r="B3" t="s">
        <v>110</v>
      </c>
      <c r="C3" t="s">
        <v>2</v>
      </c>
      <c r="D3">
        <v>53835</v>
      </c>
      <c r="E3">
        <v>1.4599854001459899E-3</v>
      </c>
      <c r="F3">
        <v>3.3752550513252298E-3</v>
      </c>
      <c r="G3">
        <v>-5.6912843867499303</v>
      </c>
    </row>
    <row r="4" spans="1:7">
      <c r="A4">
        <v>2021</v>
      </c>
      <c r="B4" t="s">
        <v>110</v>
      </c>
      <c r="C4" t="s">
        <v>3</v>
      </c>
      <c r="D4">
        <v>49476</v>
      </c>
      <c r="E4">
        <v>0.46637533624663702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51215</v>
      </c>
      <c r="E5">
        <v>0.26770732292677002</v>
      </c>
      <c r="F5">
        <v>0.59151755489837199</v>
      </c>
      <c r="G5">
        <v>-0.52506391739315295</v>
      </c>
    </row>
    <row r="6" spans="1:7">
      <c r="A6">
        <v>2021</v>
      </c>
      <c r="B6" t="s">
        <v>110</v>
      </c>
      <c r="C6" t="s">
        <v>5</v>
      </c>
      <c r="D6">
        <v>64682</v>
      </c>
      <c r="E6">
        <v>0.128028719712802</v>
      </c>
      <c r="F6">
        <v>0.356961080621581</v>
      </c>
      <c r="G6">
        <v>-1.0301285210120901</v>
      </c>
    </row>
    <row r="7" spans="1:7">
      <c r="A7">
        <v>2021</v>
      </c>
      <c r="B7" t="s">
        <v>110</v>
      </c>
      <c r="C7" t="s">
        <v>78</v>
      </c>
      <c r="D7">
        <v>52451</v>
      </c>
      <c r="E7">
        <v>7.6019239807601904E-2</v>
      </c>
      <c r="F7">
        <v>0.171593660015216</v>
      </c>
      <c r="G7">
        <v>-1.76262603890908</v>
      </c>
    </row>
    <row r="8" spans="1:7">
      <c r="A8">
        <v>2021</v>
      </c>
      <c r="B8" t="s">
        <v>110</v>
      </c>
      <c r="C8" t="s">
        <v>79</v>
      </c>
      <c r="D8">
        <v>81273</v>
      </c>
      <c r="E8">
        <v>4.9299507004929898E-3</v>
      </c>
      <c r="F8">
        <v>1.8305978574742698E-2</v>
      </c>
      <c r="G8">
        <v>-4.0005275744155799</v>
      </c>
    </row>
    <row r="9" spans="1:7">
      <c r="A9">
        <v>2022</v>
      </c>
      <c r="B9" t="s">
        <v>110</v>
      </c>
      <c r="C9" t="s">
        <v>1</v>
      </c>
      <c r="D9">
        <v>60642</v>
      </c>
      <c r="E9">
        <v>9.1410914109141095E-2</v>
      </c>
      <c r="F9">
        <v>0.25157645096963099</v>
      </c>
      <c r="G9">
        <v>-1.38000835563636</v>
      </c>
    </row>
    <row r="10" spans="1:7">
      <c r="A10">
        <v>2022</v>
      </c>
      <c r="B10" t="s">
        <v>110</v>
      </c>
      <c r="C10" t="s">
        <v>2</v>
      </c>
      <c r="D10">
        <v>52557</v>
      </c>
      <c r="E10">
        <v>1.3400134001340001E-3</v>
      </c>
      <c r="F10">
        <v>3.2073136116094201E-3</v>
      </c>
      <c r="G10">
        <v>-5.7423215733392698</v>
      </c>
    </row>
    <row r="11" spans="1:7">
      <c r="A11">
        <v>2022</v>
      </c>
      <c r="B11" t="s">
        <v>110</v>
      </c>
      <c r="C11" t="s">
        <v>3</v>
      </c>
      <c r="D11">
        <v>50918</v>
      </c>
      <c r="E11">
        <v>0.42979429794297902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52541</v>
      </c>
      <c r="E12">
        <v>0.24670246702467</v>
      </c>
      <c r="F12">
        <v>0.59031765788952895</v>
      </c>
      <c r="G12">
        <v>-0.52709448376678203</v>
      </c>
    </row>
    <row r="13" spans="1:7">
      <c r="A13">
        <v>2022</v>
      </c>
      <c r="B13" t="s">
        <v>110</v>
      </c>
      <c r="C13" t="s">
        <v>5</v>
      </c>
      <c r="D13">
        <v>65467</v>
      </c>
      <c r="E13">
        <v>0.15467154671546701</v>
      </c>
      <c r="F13">
        <v>0.46266979168123801</v>
      </c>
      <c r="G13">
        <v>-0.77074167225204404</v>
      </c>
    </row>
    <row r="14" spans="1:7">
      <c r="A14">
        <v>2022</v>
      </c>
      <c r="B14" t="s">
        <v>110</v>
      </c>
      <c r="C14" t="s">
        <v>78</v>
      </c>
      <c r="D14">
        <v>48883</v>
      </c>
      <c r="E14">
        <v>7.0060700607006005E-2</v>
      </c>
      <c r="F14">
        <v>0.157380451105636</v>
      </c>
      <c r="G14">
        <v>-1.8490891495327499</v>
      </c>
    </row>
    <row r="15" spans="1:7">
      <c r="A15">
        <v>2022</v>
      </c>
      <c r="B15" t="s">
        <v>110</v>
      </c>
      <c r="C15" t="s">
        <v>79</v>
      </c>
      <c r="D15">
        <v>70483</v>
      </c>
      <c r="E15">
        <v>6.0200602006020001E-3</v>
      </c>
      <c r="F15">
        <v>1.9637350115763199E-2</v>
      </c>
      <c r="G15">
        <v>-3.9303219079813601</v>
      </c>
    </row>
    <row r="16" spans="1:7">
      <c r="A16">
        <v>2023</v>
      </c>
      <c r="B16" t="s">
        <v>110</v>
      </c>
      <c r="C16" t="s">
        <v>1</v>
      </c>
      <c r="D16">
        <v>57692</v>
      </c>
      <c r="E16">
        <v>8.9109999999999995E-2</v>
      </c>
      <c r="F16">
        <v>0.24934859903793999</v>
      </c>
      <c r="G16">
        <v>-1.38890336546201</v>
      </c>
    </row>
    <row r="17" spans="1:7">
      <c r="A17">
        <v>2023</v>
      </c>
      <c r="B17" t="s">
        <v>110</v>
      </c>
      <c r="C17" t="s">
        <v>2</v>
      </c>
      <c r="D17">
        <v>53849</v>
      </c>
      <c r="E17">
        <v>1.25E-3</v>
      </c>
      <c r="F17">
        <v>3.2731580821590001E-3</v>
      </c>
      <c r="G17">
        <v>-5.7219999857724302</v>
      </c>
    </row>
    <row r="18" spans="1:7">
      <c r="A18">
        <v>2023</v>
      </c>
      <c r="B18" t="s">
        <v>110</v>
      </c>
      <c r="C18" t="s">
        <v>3</v>
      </c>
      <c r="D18">
        <v>51190</v>
      </c>
      <c r="E18">
        <v>0.39983999999999997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52765</v>
      </c>
      <c r="E19">
        <v>0.22950999999999999</v>
      </c>
      <c r="F19">
        <v>0.58983194859159405</v>
      </c>
      <c r="G19">
        <v>-0.52791761555056704</v>
      </c>
    </row>
    <row r="20" spans="1:7">
      <c r="A20">
        <v>2023</v>
      </c>
      <c r="B20" t="s">
        <v>110</v>
      </c>
      <c r="C20" t="s">
        <v>5</v>
      </c>
      <c r="D20">
        <v>65520</v>
      </c>
      <c r="E20">
        <v>0.21262</v>
      </c>
      <c r="F20">
        <v>0.68107773418921602</v>
      </c>
      <c r="G20">
        <v>-0.384078832226183</v>
      </c>
    </row>
    <row r="21" spans="1:7">
      <c r="A21">
        <v>2023</v>
      </c>
      <c r="B21" t="s">
        <v>110</v>
      </c>
      <c r="C21" t="s">
        <v>78</v>
      </c>
      <c r="D21">
        <v>49052</v>
      </c>
      <c r="E21">
        <v>6.5180000000000002E-2</v>
      </c>
      <c r="F21">
        <v>0.157105919646333</v>
      </c>
      <c r="G21">
        <v>-1.85083505367722</v>
      </c>
    </row>
    <row r="22" spans="1:7">
      <c r="A22">
        <v>2023</v>
      </c>
      <c r="B22" t="s">
        <v>110</v>
      </c>
      <c r="C22" t="s">
        <v>79</v>
      </c>
      <c r="D22">
        <v>69318</v>
      </c>
      <c r="E22">
        <v>2.49E-3</v>
      </c>
      <c r="F22">
        <v>8.5168289481052303E-3</v>
      </c>
      <c r="G22">
        <v>-4.7657111966100203</v>
      </c>
    </row>
    <row r="23" spans="1:7">
      <c r="A23">
        <v>2024</v>
      </c>
      <c r="B23" t="s">
        <v>110</v>
      </c>
      <c r="C23" t="s">
        <v>1</v>
      </c>
      <c r="D23">
        <v>56381</v>
      </c>
      <c r="E23">
        <v>8.7179999999999994E-2</v>
      </c>
      <c r="F23">
        <v>0.27293517554942398</v>
      </c>
      <c r="G23">
        <v>-1.29852096419332</v>
      </c>
    </row>
    <row r="24" spans="1:7">
      <c r="A24">
        <v>2024</v>
      </c>
      <c r="B24" t="s">
        <v>110</v>
      </c>
      <c r="C24" t="s">
        <v>2</v>
      </c>
      <c r="D24">
        <v>54241</v>
      </c>
      <c r="E24">
        <v>1.09E-3</v>
      </c>
      <c r="F24">
        <v>3.2886569653648402E-3</v>
      </c>
      <c r="G24">
        <v>-5.7172760147625103</v>
      </c>
    </row>
    <row r="25" spans="1:7">
      <c r="A25">
        <v>2024</v>
      </c>
      <c r="B25" t="s">
        <v>110</v>
      </c>
      <c r="C25" t="s">
        <v>3</v>
      </c>
      <c r="D25">
        <v>51380</v>
      </c>
      <c r="E25">
        <v>0.34822999999999998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52929</v>
      </c>
      <c r="E26">
        <v>0.19989000000000001</v>
      </c>
      <c r="F26">
        <v>0.589580073239939</v>
      </c>
      <c r="G26">
        <v>-0.52834473576101404</v>
      </c>
    </row>
    <row r="27" spans="1:7">
      <c r="A27">
        <v>2024</v>
      </c>
      <c r="B27" t="s">
        <v>110</v>
      </c>
      <c r="C27" t="s">
        <v>5</v>
      </c>
      <c r="D27">
        <v>67134</v>
      </c>
      <c r="E27">
        <v>0.30486999999999997</v>
      </c>
      <c r="F27">
        <v>1.1492319563763</v>
      </c>
      <c r="G27">
        <v>0.13909385523402801</v>
      </c>
    </row>
    <row r="28" spans="1:7">
      <c r="A28">
        <v>2024</v>
      </c>
      <c r="B28" t="s">
        <v>110</v>
      </c>
      <c r="C28" t="s">
        <v>78</v>
      </c>
      <c r="D28">
        <v>49178</v>
      </c>
      <c r="E28">
        <v>5.6759999999999998E-2</v>
      </c>
      <c r="F28">
        <v>0.15691361174878399</v>
      </c>
      <c r="G28">
        <v>-1.85205986871172</v>
      </c>
    </row>
    <row r="29" spans="1:7">
      <c r="A29">
        <v>2024</v>
      </c>
      <c r="B29" t="s">
        <v>110</v>
      </c>
      <c r="C29" t="s">
        <v>79</v>
      </c>
      <c r="D29">
        <v>68079</v>
      </c>
      <c r="E29">
        <v>1.98E-3</v>
      </c>
      <c r="F29">
        <v>7.5865782984086399E-3</v>
      </c>
      <c r="G29">
        <v>-4.8813746062971202</v>
      </c>
    </row>
    <row r="30" spans="1:7">
      <c r="A30">
        <v>2025</v>
      </c>
      <c r="B30" t="s">
        <v>110</v>
      </c>
      <c r="C30" t="s">
        <v>1</v>
      </c>
      <c r="D30">
        <v>55161</v>
      </c>
      <c r="E30">
        <v>0.12883</v>
      </c>
      <c r="F30">
        <v>0.45254097379320501</v>
      </c>
      <c r="G30">
        <v>-0.79287697012230496</v>
      </c>
    </row>
    <row r="31" spans="1:7">
      <c r="A31">
        <v>2025</v>
      </c>
      <c r="B31" t="s">
        <v>110</v>
      </c>
      <c r="C31" t="s">
        <v>2</v>
      </c>
      <c r="D31">
        <v>54782</v>
      </c>
      <c r="E31">
        <v>9.3999999999999997E-4</v>
      </c>
      <c r="F31">
        <v>3.2803950897637999E-3</v>
      </c>
      <c r="G31">
        <v>-5.71979140964382</v>
      </c>
    </row>
    <row r="32" spans="1:7">
      <c r="A32">
        <v>2025</v>
      </c>
      <c r="B32" t="s">
        <v>110</v>
      </c>
      <c r="C32" t="s">
        <v>3</v>
      </c>
      <c r="D32">
        <v>51895</v>
      </c>
      <c r="E32">
        <v>0.30120000000000002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53324</v>
      </c>
      <c r="E33">
        <v>0.17288999999999999</v>
      </c>
      <c r="F33">
        <v>0.58834597467789096</v>
      </c>
      <c r="G33">
        <v>-0.53044011180905404</v>
      </c>
    </row>
    <row r="34" spans="1:7">
      <c r="A34">
        <v>2025</v>
      </c>
      <c r="B34" t="s">
        <v>110</v>
      </c>
      <c r="C34" t="s">
        <v>5</v>
      </c>
      <c r="D34">
        <v>67156</v>
      </c>
      <c r="E34">
        <v>0.34314</v>
      </c>
      <c r="F34">
        <v>1.4827841473737</v>
      </c>
      <c r="G34">
        <v>0.393921501229541</v>
      </c>
    </row>
    <row r="35" spans="1:7">
      <c r="A35">
        <v>2025</v>
      </c>
      <c r="B35" t="s">
        <v>110</v>
      </c>
      <c r="C35" t="s">
        <v>78</v>
      </c>
      <c r="D35">
        <v>49473</v>
      </c>
      <c r="E35">
        <v>4.9099999999999998E-2</v>
      </c>
      <c r="F35">
        <v>0.15633667860209499</v>
      </c>
      <c r="G35">
        <v>-1.85574340112526</v>
      </c>
    </row>
    <row r="36" spans="1:7">
      <c r="A36">
        <v>2025</v>
      </c>
      <c r="B36" t="s">
        <v>110</v>
      </c>
      <c r="C36" t="s">
        <v>79</v>
      </c>
      <c r="D36">
        <v>68366</v>
      </c>
      <c r="E36">
        <v>3.8999999999999998E-3</v>
      </c>
      <c r="F36">
        <v>1.72086386734626E-2</v>
      </c>
      <c r="G36">
        <v>-4.0623437727901299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K1" zoomScale="85" zoomScaleNormal="85" workbookViewId="0">
      <selection activeCell="R11" sqref="R11"/>
    </sheetView>
  </sheetViews>
  <sheetFormatPr defaultColWidth="9.08984375" defaultRowHeight="14.5"/>
  <cols>
    <col min="1" max="1" width="23.1796875" customWidth="1"/>
    <col min="2" max="2" width="18.90625" customWidth="1"/>
    <col min="3" max="3" width="24.08984375" customWidth="1"/>
    <col min="4" max="4" width="14.81640625" customWidth="1"/>
    <col min="5" max="5" width="16.1796875" customWidth="1"/>
    <col min="6" max="6" width="18" style="6" customWidth="1"/>
    <col min="8" max="9" width="9.0898437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-0.3</v>
      </c>
      <c r="N3" s="8" t="s">
        <v>62</v>
      </c>
      <c r="O3" s="17">
        <v>-1</v>
      </c>
    </row>
    <row r="4" spans="1:38" ht="15" thickBot="1">
      <c r="A4" t="s">
        <v>68</v>
      </c>
      <c r="H4" s="9" t="s">
        <v>63</v>
      </c>
      <c r="I4" s="18">
        <v>-16</v>
      </c>
      <c r="N4" s="9" t="s">
        <v>63</v>
      </c>
      <c r="O4" s="18">
        <v>-5</v>
      </c>
    </row>
    <row r="5" spans="1:38">
      <c r="A5" t="s">
        <v>69</v>
      </c>
    </row>
    <row r="6" spans="1:38" ht="29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3.5">
      <c r="A8" s="11"/>
      <c r="B8" s="11"/>
      <c r="C8" s="11"/>
      <c r="D8" s="25">
        <v>2020</v>
      </c>
      <c r="E8" s="25">
        <v>2050</v>
      </c>
      <c r="F8" s="25" t="s">
        <v>84</v>
      </c>
    </row>
    <row r="9" spans="1:38">
      <c r="A9" s="11" t="s">
        <v>9</v>
      </c>
      <c r="B9" s="11" t="s">
        <v>10</v>
      </c>
      <c r="C9" s="11" t="s">
        <v>11</v>
      </c>
      <c r="D9" s="11">
        <v>2020</v>
      </c>
      <c r="E9" s="11">
        <v>2050</v>
      </c>
      <c r="F9" s="5"/>
      <c r="H9" s="19">
        <f>D9</f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 s="28">
        <v>0.1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0.14562875828586999</v>
      </c>
      <c r="I10" s="30">
        <f>SUMIFS(recalculated_shareweights!$F:$F,recalculated_shareweights!$A:$A,Data!I$9,recalculated_shareweights!$C:$C,Data!$C10)</f>
        <v>0.14562875828586999</v>
      </c>
      <c r="J10" s="30">
        <f>SUMIFS(recalculated_shareweights!$F:$F,recalculated_shareweights!$A:$A,Data!J$9,recalculated_shareweights!$C:$C,Data!$C10)</f>
        <v>0.25157645096963099</v>
      </c>
      <c r="K10" s="30">
        <f>SUMIFS(recalculated_shareweights!$F:$F,recalculated_shareweights!$A:$A,Data!K$9,recalculated_shareweights!$C:$C,Data!$C10)</f>
        <v>0.24934859903793999</v>
      </c>
      <c r="L10" s="30">
        <f>SUMIFS(recalculated_shareweights!$F:$F,recalculated_shareweights!$A:$A,Data!L$9,recalculated_shareweights!$C:$C,Data!$C10)</f>
        <v>0.27293517554942398</v>
      </c>
      <c r="M10" s="30">
        <f>SUMIFS(recalculated_shareweights!$F:$F,recalculated_shareweights!$A:$A,Data!M$9,recalculated_shareweights!$C:$C,Data!$C10)</f>
        <v>0.45254097379320501</v>
      </c>
      <c r="N10">
        <f>M10+($R$10-$M$10)/($R$9-$M$9)</f>
        <v>0.55003277903456405</v>
      </c>
      <c r="O10">
        <f t="shared" ref="O10:Q10" si="1">N10+($R$10-$M$10)/($R$9-$M$9)</f>
        <v>0.64752458427592308</v>
      </c>
      <c r="P10">
        <f t="shared" si="1"/>
        <v>0.74501638951728211</v>
      </c>
      <c r="Q10">
        <f t="shared" si="1"/>
        <v>0.84250819475864114</v>
      </c>
      <c r="R10">
        <v>0.94</v>
      </c>
      <c r="S10">
        <f>R10+($W$10-$R$10)/($W$9-$R$9)</f>
        <v>1.002</v>
      </c>
      <c r="T10">
        <f t="shared" ref="T10:V10" si="2">S10+($W$10-$R$10)/($W$9-$R$9)</f>
        <v>1.0640000000000001</v>
      </c>
      <c r="U10">
        <f t="shared" si="2"/>
        <v>1.1260000000000001</v>
      </c>
      <c r="V10">
        <f t="shared" si="2"/>
        <v>1.1880000000000002</v>
      </c>
      <c r="W10">
        <v>1.25</v>
      </c>
      <c r="X10">
        <f t="shared" ref="X10" si="3">W10+($AB$10-$W$10)/($AB$9-$W$9)</f>
        <v>1.34</v>
      </c>
      <c r="Y10">
        <f>X10+($AB$10-$W$10)/($AB$9-$W$9)</f>
        <v>1.4300000000000002</v>
      </c>
      <c r="Z10">
        <f t="shared" ref="Z10:AA10" si="4">Y10+($AB$10-$W$10)/($AB$9-$W$9)</f>
        <v>1.5200000000000002</v>
      </c>
      <c r="AA10">
        <f t="shared" si="4"/>
        <v>1.6100000000000003</v>
      </c>
      <c r="AB10">
        <v>1.7</v>
      </c>
      <c r="AC10">
        <f t="shared" ref="AC10" si="5">AB10+($AG$10-$AB$10)/($AG$9-$AB$9)</f>
        <v>1.91</v>
      </c>
      <c r="AD10">
        <f>AC10+($AG$10-$AB$10)/($AG$9-$AB$9)</f>
        <v>2.12</v>
      </c>
      <c r="AE10">
        <f t="shared" ref="AE10:AF10" si="6">AD10+($AG$10-$AB$10)/($AG$9-$AB$9)</f>
        <v>2.33</v>
      </c>
      <c r="AF10">
        <f t="shared" si="6"/>
        <v>2.54</v>
      </c>
      <c r="AG10">
        <v>2.75</v>
      </c>
      <c r="AH10">
        <f t="shared" ref="AH10" si="7">AG10+($AL$10-$AG$10)/($AL$9-$AG$9)</f>
        <v>3.2800000000000002</v>
      </c>
      <c r="AI10">
        <f>AH10+($AL$10-$AG$10)/($AL$9-$AG$9)</f>
        <v>3.8100000000000005</v>
      </c>
      <c r="AJ10">
        <f t="shared" ref="AJ10:AK10" si="8">AI10+($AL$10-$AG$10)/($AL$9-$AG$9)</f>
        <v>4.3400000000000007</v>
      </c>
      <c r="AK10">
        <f t="shared" si="8"/>
        <v>4.870000000000001</v>
      </c>
      <c r="AL10">
        <v>5.4</v>
      </c>
    </row>
    <row r="11" spans="1:38">
      <c r="C11" t="s">
        <v>2</v>
      </c>
      <c r="D11" s="20">
        <f>1.25*INDEX('SYVbT-passenger'!$B$2:$H$2,MATCH(Data!$C11,'SYVbT-passenger'!$B$1:$H$1,0))/SUM('SYVbT-passenger'!$B$2:$H$2)</f>
        <v>2.1560593065193183E-3</v>
      </c>
      <c r="E11" s="20">
        <f>D11</f>
        <v>2.1560593065193183E-3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9">I11</f>
        <v>3.3752550513252298E-3</v>
      </c>
      <c r="I11" s="30">
        <f>SUMIFS(recalculated_shareweights!$F:$F,recalculated_shareweights!$A:$A,Data!I$9,recalculated_shareweights!$C:$C,Data!$C11)</f>
        <v>3.3752550513252298E-3</v>
      </c>
      <c r="J11" s="30">
        <f>SUMIFS(recalculated_shareweights!$F:$F,recalculated_shareweights!$A:$A,Data!J$9,recalculated_shareweights!$C:$C,Data!$C11)</f>
        <v>3.2073136116094201E-3</v>
      </c>
      <c r="K11" s="30">
        <f>SUMIFS(recalculated_shareweights!$F:$F,recalculated_shareweights!$A:$A,Data!K$9,recalculated_shareweights!$C:$C,Data!$C11)</f>
        <v>3.2731580821590001E-3</v>
      </c>
      <c r="L11" s="30">
        <f>SUMIFS(recalculated_shareweights!$F:$F,recalculated_shareweights!$A:$A,Data!L$9,recalculated_shareweights!$C:$C,Data!$C11)</f>
        <v>3.2886569653648402E-3</v>
      </c>
      <c r="M11" s="30">
        <f>SUMIFS(recalculated_shareweights!$F:$F,recalculated_shareweights!$A:$A,Data!M$9,recalculated_shareweights!$C:$C,Data!$C11)</f>
        <v>3.2803950897637999E-3</v>
      </c>
      <c r="N11">
        <f t="shared" ref="N11:AL11" si="10">M11</f>
        <v>3.2803950897637999E-3</v>
      </c>
      <c r="O11">
        <f t="shared" si="10"/>
        <v>3.2803950897637999E-3</v>
      </c>
      <c r="P11">
        <f t="shared" si="10"/>
        <v>3.2803950897637999E-3</v>
      </c>
      <c r="Q11">
        <f t="shared" si="10"/>
        <v>3.2803950897637999E-3</v>
      </c>
      <c r="R11">
        <f t="shared" si="10"/>
        <v>3.2803950897637999E-3</v>
      </c>
      <c r="S11">
        <f t="shared" si="10"/>
        <v>3.2803950897637999E-3</v>
      </c>
      <c r="T11">
        <f t="shared" si="10"/>
        <v>3.2803950897637999E-3</v>
      </c>
      <c r="U11">
        <f t="shared" si="10"/>
        <v>3.2803950897637999E-3</v>
      </c>
      <c r="V11">
        <f t="shared" si="10"/>
        <v>3.2803950897637999E-3</v>
      </c>
      <c r="W11">
        <f t="shared" si="10"/>
        <v>3.2803950897637999E-3</v>
      </c>
      <c r="X11">
        <f t="shared" si="10"/>
        <v>3.2803950897637999E-3</v>
      </c>
      <c r="Y11">
        <f t="shared" si="10"/>
        <v>3.2803950897637999E-3</v>
      </c>
      <c r="Z11">
        <f t="shared" si="10"/>
        <v>3.2803950897637999E-3</v>
      </c>
      <c r="AA11">
        <f t="shared" si="10"/>
        <v>3.2803950897637999E-3</v>
      </c>
      <c r="AB11">
        <f t="shared" si="10"/>
        <v>3.2803950897637999E-3</v>
      </c>
      <c r="AC11">
        <f t="shared" si="10"/>
        <v>3.2803950897637999E-3</v>
      </c>
      <c r="AD11">
        <f t="shared" si="10"/>
        <v>3.2803950897637999E-3</v>
      </c>
      <c r="AE11">
        <f t="shared" si="10"/>
        <v>3.2803950897637999E-3</v>
      </c>
      <c r="AF11">
        <f t="shared" si="10"/>
        <v>3.2803950897637999E-3</v>
      </c>
      <c r="AG11">
        <f t="shared" si="10"/>
        <v>3.2803950897637999E-3</v>
      </c>
      <c r="AH11">
        <f t="shared" si="10"/>
        <v>3.2803950897637999E-3</v>
      </c>
      <c r="AI11">
        <f t="shared" si="10"/>
        <v>3.2803950897637999E-3</v>
      </c>
      <c r="AJ11">
        <f t="shared" si="10"/>
        <v>3.2803950897637999E-3</v>
      </c>
      <c r="AK11">
        <f t="shared" si="10"/>
        <v>3.2803950897637999E-3</v>
      </c>
      <c r="AL11">
        <f t="shared" si="10"/>
        <v>3.2803950897637999E-3</v>
      </c>
    </row>
    <row r="12" spans="1:38">
      <c r="C12" t="s">
        <v>3</v>
      </c>
      <c r="D12" s="20">
        <f>1.25*INDEX('SYVbT-passenger'!$B$2:$H$2,MATCH(Data!$C12,'SYVbT-passenger'!$B$1:$H$1,0))/SUM('SYVbT-passenger'!$B$2:$H$2)*3</f>
        <v>2.0709236560250575</v>
      </c>
      <c r="E12" s="20">
        <f>D12</f>
        <v>2.0709236560250575</v>
      </c>
      <c r="F12" s="6" t="str">
        <f>IF(D12=E12,"n/a",IF(OR(C12="battery electric vehicle",C12="natural gas vehicle",C12="plugin hybrid vehicle"),"s-curve","linear"))</f>
        <v>n/a</v>
      </c>
      <c r="H12" s="20">
        <f t="shared" si="9"/>
        <v>1</v>
      </c>
      <c r="I12" s="30">
        <f>SUMIFS(recalculated_shareweights!$F:$F,recalculated_shareweights!$A:$A,Data!I$9,recalculated_shareweights!$C:$C,Data!$C12)</f>
        <v>1</v>
      </c>
      <c r="J12" s="30">
        <f>SUMIFS(recalculated_shareweights!$F:$F,recalculated_shareweights!$A:$A,Data!J$9,recalculated_shareweights!$C:$C,Data!$C12)</f>
        <v>1</v>
      </c>
      <c r="K12" s="30">
        <f>SUMIFS(recalculated_shareweights!$F:$F,recalculated_shareweights!$A:$A,Data!K$9,recalculated_shareweights!$C:$C,Data!$C12)</f>
        <v>1</v>
      </c>
      <c r="L12" s="30">
        <f>SUMIFS(recalculated_shareweights!$F:$F,recalculated_shareweights!$A:$A,Data!L$9,recalculated_shareweights!$C:$C,Data!$C12)</f>
        <v>1</v>
      </c>
      <c r="M12" s="30">
        <f>SUMIFS(recalculated_shareweights!$F:$F,recalculated_shareweights!$A:$A,Data!M$9,recalculated_shareweights!$C:$C,Data!$C12)</f>
        <v>1</v>
      </c>
      <c r="N12">
        <f t="shared" ref="N12:AL12" si="11">M12</f>
        <v>1</v>
      </c>
      <c r="O12">
        <f t="shared" si="11"/>
        <v>1</v>
      </c>
      <c r="P12">
        <f t="shared" si="11"/>
        <v>1</v>
      </c>
      <c r="Q12">
        <f t="shared" si="11"/>
        <v>1</v>
      </c>
      <c r="R12">
        <f t="shared" si="11"/>
        <v>1</v>
      </c>
      <c r="S12">
        <f t="shared" si="11"/>
        <v>1</v>
      </c>
      <c r="T12">
        <f t="shared" si="11"/>
        <v>1</v>
      </c>
      <c r="U12">
        <f t="shared" si="11"/>
        <v>1</v>
      </c>
      <c r="V12">
        <f t="shared" si="11"/>
        <v>1</v>
      </c>
      <c r="W12">
        <f t="shared" si="11"/>
        <v>1</v>
      </c>
      <c r="X12">
        <f t="shared" si="11"/>
        <v>1</v>
      </c>
      <c r="Y12">
        <f t="shared" si="11"/>
        <v>1</v>
      </c>
      <c r="Z12">
        <f t="shared" si="11"/>
        <v>1</v>
      </c>
      <c r="AA12">
        <f t="shared" si="11"/>
        <v>1</v>
      </c>
      <c r="AB12">
        <f t="shared" si="11"/>
        <v>1</v>
      </c>
      <c r="AC12">
        <f t="shared" si="11"/>
        <v>1</v>
      </c>
      <c r="AD12">
        <f t="shared" si="11"/>
        <v>1</v>
      </c>
      <c r="AE12">
        <f t="shared" si="11"/>
        <v>1</v>
      </c>
      <c r="AF12">
        <f t="shared" si="11"/>
        <v>1</v>
      </c>
      <c r="AG12">
        <f t="shared" si="11"/>
        <v>1</v>
      </c>
      <c r="AH12">
        <f t="shared" si="11"/>
        <v>1</v>
      </c>
      <c r="AI12">
        <f t="shared" si="11"/>
        <v>1</v>
      </c>
      <c r="AJ12">
        <f t="shared" si="11"/>
        <v>1</v>
      </c>
      <c r="AK12">
        <f t="shared" si="11"/>
        <v>1</v>
      </c>
      <c r="AL12">
        <f t="shared" si="11"/>
        <v>1</v>
      </c>
    </row>
    <row r="13" spans="1:38">
      <c r="C13" t="s">
        <v>4</v>
      </c>
      <c r="D13" s="20">
        <f>1.25*INDEX('SYVbT-passenger'!$B$2:$H$2,MATCH(Data!$C13,'SYVbT-passenger'!$B$1:$H$1,0))/SUM('SYVbT-passenger'!$B$2:$H$2)*3</f>
        <v>1.188726795382173</v>
      </c>
      <c r="E13" s="20">
        <f t="shared" ref="E13:E15" si="12">D13</f>
        <v>1.188726795382173</v>
      </c>
      <c r="F13" s="6" t="str">
        <f>IF(D13=E13,"n/a",IF(OR(C13="battery electric vehicle",C13="natural gas vehicle",C13="plugin hybrid vehicle"),"s-curve","linear"))</f>
        <v>n/a</v>
      </c>
      <c r="H13" s="20">
        <f t="shared" si="9"/>
        <v>0.59151755489837199</v>
      </c>
      <c r="I13" s="30">
        <f>SUMIFS(recalculated_shareweights!$F:$F,recalculated_shareweights!$A:$A,Data!I$9,recalculated_shareweights!$C:$C,Data!$C13)</f>
        <v>0.59151755489837199</v>
      </c>
      <c r="J13" s="30">
        <f>SUMIFS(recalculated_shareweights!$F:$F,recalculated_shareweights!$A:$A,Data!J$9,recalculated_shareweights!$C:$C,Data!$C13)</f>
        <v>0.59031765788952895</v>
      </c>
      <c r="K13" s="30">
        <f>SUMIFS(recalculated_shareweights!$F:$F,recalculated_shareweights!$A:$A,Data!K$9,recalculated_shareweights!$C:$C,Data!$C13)</f>
        <v>0.58983194859159405</v>
      </c>
      <c r="L13" s="30">
        <f>SUMIFS(recalculated_shareweights!$F:$F,recalculated_shareweights!$A:$A,Data!L$9,recalculated_shareweights!$C:$C,Data!$C13)</f>
        <v>0.589580073239939</v>
      </c>
      <c r="M13" s="30">
        <f>SUMIFS(recalculated_shareweights!$F:$F,recalculated_shareweights!$A:$A,Data!M$9,recalculated_shareweights!$C:$C,Data!$C13)</f>
        <v>0.58834597467789096</v>
      </c>
      <c r="N13">
        <f t="shared" ref="N13:AL13" si="13">M13</f>
        <v>0.58834597467789096</v>
      </c>
      <c r="O13">
        <f t="shared" si="13"/>
        <v>0.58834597467789096</v>
      </c>
      <c r="P13">
        <f t="shared" si="13"/>
        <v>0.58834597467789096</v>
      </c>
      <c r="Q13">
        <f t="shared" si="13"/>
        <v>0.58834597467789096</v>
      </c>
      <c r="R13">
        <f t="shared" si="13"/>
        <v>0.58834597467789096</v>
      </c>
      <c r="S13">
        <f t="shared" si="13"/>
        <v>0.58834597467789096</v>
      </c>
      <c r="T13">
        <f t="shared" si="13"/>
        <v>0.58834597467789096</v>
      </c>
      <c r="U13">
        <f t="shared" si="13"/>
        <v>0.58834597467789096</v>
      </c>
      <c r="V13">
        <f t="shared" si="13"/>
        <v>0.58834597467789096</v>
      </c>
      <c r="W13">
        <f t="shared" si="13"/>
        <v>0.58834597467789096</v>
      </c>
      <c r="X13">
        <f t="shared" si="13"/>
        <v>0.58834597467789096</v>
      </c>
      <c r="Y13">
        <f t="shared" si="13"/>
        <v>0.58834597467789096</v>
      </c>
      <c r="Z13">
        <f t="shared" si="13"/>
        <v>0.58834597467789096</v>
      </c>
      <c r="AA13">
        <f t="shared" si="13"/>
        <v>0.58834597467789096</v>
      </c>
      <c r="AB13">
        <f t="shared" si="13"/>
        <v>0.58834597467789096</v>
      </c>
      <c r="AC13">
        <f t="shared" si="13"/>
        <v>0.58834597467789096</v>
      </c>
      <c r="AD13">
        <f t="shared" si="13"/>
        <v>0.58834597467789096</v>
      </c>
      <c r="AE13">
        <f t="shared" si="13"/>
        <v>0.58834597467789096</v>
      </c>
      <c r="AF13">
        <f t="shared" si="13"/>
        <v>0.58834597467789096</v>
      </c>
      <c r="AG13">
        <f t="shared" si="13"/>
        <v>0.58834597467789096</v>
      </c>
      <c r="AH13">
        <f t="shared" si="13"/>
        <v>0.58834597467789096</v>
      </c>
      <c r="AI13">
        <f t="shared" si="13"/>
        <v>0.58834597467789096</v>
      </c>
      <c r="AJ13">
        <f t="shared" si="13"/>
        <v>0.58834597467789096</v>
      </c>
      <c r="AK13">
        <f t="shared" si="13"/>
        <v>0.58834597467789096</v>
      </c>
      <c r="AL13">
        <f t="shared" si="13"/>
        <v>0.58834597467789096</v>
      </c>
    </row>
    <row r="14" spans="1:38">
      <c r="C14" t="s">
        <v>5</v>
      </c>
      <c r="D14" s="20">
        <f>1.25*INDEX('SYVbT-passenger'!$B$2:$H$2,MATCH(Data!$C14,'SYVbT-passenger'!$B$1:$H$1,0))/SUM('SYVbT-passenger'!$B$2:$H$2)</f>
        <v>4.086950664496012E-2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9"/>
        <v>0.356961080621581</v>
      </c>
      <c r="I14" s="30">
        <f>SUMIFS(recalculated_shareweights!$F:$F,recalculated_shareweights!$A:$A,Data!I$9,recalculated_shareweights!$C:$C,Data!$C14)</f>
        <v>0.356961080621581</v>
      </c>
      <c r="J14" s="30">
        <f>SUMIFS(recalculated_shareweights!$F:$F,recalculated_shareweights!$A:$A,Data!J$9,recalculated_shareweights!$C:$C,Data!$C14)</f>
        <v>0.46266979168123801</v>
      </c>
      <c r="K14" s="30">
        <f>SUMIFS(recalculated_shareweights!$F:$F,recalculated_shareweights!$A:$A,Data!K$9,recalculated_shareweights!$C:$C,Data!$C14)</f>
        <v>0.68107773418921602</v>
      </c>
      <c r="L14" s="30">
        <f>SUMIFS(recalculated_shareweights!$F:$F,recalculated_shareweights!$A:$A,Data!L$9,recalculated_shareweights!$C:$C,Data!$C14)</f>
        <v>1.1492319563763</v>
      </c>
      <c r="M14" s="30">
        <f>SUMIFS(recalculated_shareweights!$F:$F,recalculated_shareweights!$A:$A,Data!M$9,recalculated_shareweights!$C:$C,Data!$C14)</f>
        <v>1.4827841473737</v>
      </c>
      <c r="N14">
        <f>M14+($R$14-$M$14)/($R$9-$M$9)</f>
        <v>1.5862273178989601</v>
      </c>
      <c r="O14">
        <f t="shared" ref="O14:Q14" si="14">N14+($R$14-$M$14)/($R$9-$M$9)</f>
        <v>1.6896704884242202</v>
      </c>
      <c r="P14">
        <f t="shared" si="14"/>
        <v>1.7931136589494803</v>
      </c>
      <c r="Q14">
        <f t="shared" si="14"/>
        <v>1.8965568294747404</v>
      </c>
      <c r="R14">
        <v>2</v>
      </c>
      <c r="S14">
        <f t="shared" ref="S14:AL14" si="15">R14</f>
        <v>2</v>
      </c>
      <c r="T14">
        <f t="shared" si="15"/>
        <v>2</v>
      </c>
      <c r="U14">
        <f t="shared" si="15"/>
        <v>2</v>
      </c>
      <c r="V14">
        <f t="shared" si="15"/>
        <v>2</v>
      </c>
      <c r="W14">
        <f t="shared" si="15"/>
        <v>2</v>
      </c>
      <c r="X14">
        <f t="shared" si="15"/>
        <v>2</v>
      </c>
      <c r="Y14">
        <f t="shared" si="15"/>
        <v>2</v>
      </c>
      <c r="Z14">
        <f t="shared" si="15"/>
        <v>2</v>
      </c>
      <c r="AA14">
        <f t="shared" si="15"/>
        <v>2</v>
      </c>
      <c r="AB14">
        <f t="shared" si="15"/>
        <v>2</v>
      </c>
      <c r="AC14">
        <f t="shared" si="15"/>
        <v>2</v>
      </c>
      <c r="AD14">
        <f t="shared" si="15"/>
        <v>2</v>
      </c>
      <c r="AE14">
        <f t="shared" si="15"/>
        <v>2</v>
      </c>
      <c r="AF14">
        <f t="shared" si="15"/>
        <v>2</v>
      </c>
      <c r="AG14">
        <f t="shared" si="15"/>
        <v>2</v>
      </c>
      <c r="AH14">
        <f t="shared" si="15"/>
        <v>2</v>
      </c>
      <c r="AI14">
        <f t="shared" si="15"/>
        <v>2</v>
      </c>
      <c r="AJ14">
        <f t="shared" si="15"/>
        <v>2</v>
      </c>
      <c r="AK14">
        <f t="shared" si="15"/>
        <v>2</v>
      </c>
      <c r="AL14">
        <f t="shared" si="15"/>
        <v>2</v>
      </c>
    </row>
    <row r="15" spans="1:38">
      <c r="C15" t="s">
        <v>78</v>
      </c>
      <c r="D15" s="20">
        <f>1.25*INDEX('SYVbT-passenger'!$B$2:$H$2,MATCH(Data!$C15,'SYVbT-passenger'!$B$1:$H$1,0))/SUM('SYVbT-passenger'!$B$2:$H$2)</f>
        <v>0.11252507514970436</v>
      </c>
      <c r="E15" s="20">
        <f t="shared" si="12"/>
        <v>0.11252507514970436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9"/>
        <v>0.171593660015216</v>
      </c>
      <c r="I15" s="30">
        <f>SUMIFS(recalculated_shareweights!$F:$F,recalculated_shareweights!$A:$A,Data!I$9,recalculated_shareweights!$C:$C,Data!$C15)</f>
        <v>0.171593660015216</v>
      </c>
      <c r="J15" s="30">
        <f>SUMIFS(recalculated_shareweights!$F:$F,recalculated_shareweights!$A:$A,Data!J$9,recalculated_shareweights!$C:$C,Data!$C15)</f>
        <v>0.157380451105636</v>
      </c>
      <c r="K15" s="30">
        <f>SUMIFS(recalculated_shareweights!$F:$F,recalculated_shareweights!$A:$A,Data!K$9,recalculated_shareweights!$C:$C,Data!$C15)</f>
        <v>0.157105919646333</v>
      </c>
      <c r="L15" s="30">
        <f>SUMIFS(recalculated_shareweights!$F:$F,recalculated_shareweights!$A:$A,Data!L$9,recalculated_shareweights!$C:$C,Data!$C15)</f>
        <v>0.15691361174878399</v>
      </c>
      <c r="M15" s="30">
        <f>SUMIFS(recalculated_shareweights!$F:$F,recalculated_shareweights!$A:$A,Data!M$9,recalculated_shareweights!$C:$C,Data!$C15)</f>
        <v>0.15633667860209499</v>
      </c>
      <c r="N15">
        <f t="shared" ref="N15:AL15" si="16">M15</f>
        <v>0.15633667860209499</v>
      </c>
      <c r="O15">
        <f t="shared" si="16"/>
        <v>0.15633667860209499</v>
      </c>
      <c r="P15">
        <f t="shared" si="16"/>
        <v>0.15633667860209499</v>
      </c>
      <c r="Q15">
        <f t="shared" si="16"/>
        <v>0.15633667860209499</v>
      </c>
      <c r="R15">
        <f t="shared" si="16"/>
        <v>0.15633667860209499</v>
      </c>
      <c r="S15">
        <f t="shared" si="16"/>
        <v>0.15633667860209499</v>
      </c>
      <c r="T15">
        <f t="shared" si="16"/>
        <v>0.15633667860209499</v>
      </c>
      <c r="U15">
        <f t="shared" si="16"/>
        <v>0.15633667860209499</v>
      </c>
      <c r="V15">
        <f t="shared" si="16"/>
        <v>0.15633667860209499</v>
      </c>
      <c r="W15">
        <f t="shared" si="16"/>
        <v>0.15633667860209499</v>
      </c>
      <c r="X15">
        <f t="shared" si="16"/>
        <v>0.15633667860209499</v>
      </c>
      <c r="Y15">
        <f t="shared" si="16"/>
        <v>0.15633667860209499</v>
      </c>
      <c r="Z15">
        <f t="shared" si="16"/>
        <v>0.15633667860209499</v>
      </c>
      <c r="AA15">
        <f t="shared" si="16"/>
        <v>0.15633667860209499</v>
      </c>
      <c r="AB15">
        <f t="shared" si="16"/>
        <v>0.15633667860209499</v>
      </c>
      <c r="AC15">
        <f t="shared" si="16"/>
        <v>0.15633667860209499</v>
      </c>
      <c r="AD15">
        <f t="shared" si="16"/>
        <v>0.15633667860209499</v>
      </c>
      <c r="AE15">
        <f t="shared" si="16"/>
        <v>0.15633667860209499</v>
      </c>
      <c r="AF15">
        <f t="shared" si="16"/>
        <v>0.15633667860209499</v>
      </c>
      <c r="AG15">
        <f t="shared" si="16"/>
        <v>0.15633667860209499</v>
      </c>
      <c r="AH15">
        <f t="shared" si="16"/>
        <v>0.15633667860209499</v>
      </c>
      <c r="AI15">
        <f t="shared" si="16"/>
        <v>0.15633667860209499</v>
      </c>
      <c r="AJ15">
        <f t="shared" si="16"/>
        <v>0.15633667860209499</v>
      </c>
      <c r="AK15">
        <f t="shared" si="16"/>
        <v>0.15633667860209499</v>
      </c>
      <c r="AL15">
        <f t="shared" si="16"/>
        <v>0.15633667860209499</v>
      </c>
    </row>
    <row r="16" spans="1:38" ht="15" thickBot="1">
      <c r="A16" s="21"/>
      <c r="B16" s="21"/>
      <c r="C16" s="21" t="s">
        <v>79</v>
      </c>
      <c r="D16" s="21">
        <f>1.25*INDEX('SYVbT-passenger'!$B$2:$H$2,MATCH(Data!$C16,'SYVbT-passenger'!$B$1:$H$1,0))/SUM('SYVbT-passenger'!$B$2:$H$2)</f>
        <v>6.6085783977121745E-4</v>
      </c>
      <c r="E16" s="24">
        <f>E11</f>
        <v>2.1560593065193183E-3</v>
      </c>
      <c r="F16" s="7" t="str">
        <f>IF(D16=E16,"n/a",IF(OR(C16="battery electric vehicle",C16="natural gas vehicle",C16="plugin hybrid vehicle",C16="hydrogen vehicle"),"s-curve","linear"))</f>
        <v>s-curve</v>
      </c>
      <c r="H16" s="20">
        <f t="shared" si="9"/>
        <v>1.8305978574742698E-2</v>
      </c>
      <c r="I16" s="30">
        <f>SUMIFS(recalculated_shareweights!$F:$F,recalculated_shareweights!$A:$A,Data!I$9,recalculated_shareweights!$C:$C,Data!$C16)</f>
        <v>1.8305978574742698E-2</v>
      </c>
      <c r="J16" s="30">
        <f>SUMIFS(recalculated_shareweights!$F:$F,recalculated_shareweights!$A:$A,Data!J$9,recalculated_shareweights!$C:$C,Data!$C16)</f>
        <v>1.9637350115763199E-2</v>
      </c>
      <c r="K16" s="30">
        <f>SUMIFS(recalculated_shareweights!$F:$F,recalculated_shareweights!$A:$A,Data!K$9,recalculated_shareweights!$C:$C,Data!$C16)</f>
        <v>8.5168289481052303E-3</v>
      </c>
      <c r="L16" s="30">
        <f>SUMIFS(recalculated_shareweights!$F:$F,recalculated_shareweights!$A:$A,Data!L$9,recalculated_shareweights!$C:$C,Data!$C16)</f>
        <v>7.5865782984086399E-3</v>
      </c>
      <c r="M16" s="30">
        <f>SUMIFS(recalculated_shareweights!$F:$F,recalculated_shareweights!$A:$A,Data!M$9,recalculated_shareweights!$C:$C,Data!$C16)</f>
        <v>1.72086386734626E-2</v>
      </c>
      <c r="N16">
        <f t="shared" ref="N16:AL16" si="17">M16</f>
        <v>1.72086386734626E-2</v>
      </c>
      <c r="O16">
        <f t="shared" si="17"/>
        <v>1.72086386734626E-2</v>
      </c>
      <c r="P16">
        <f t="shared" si="17"/>
        <v>1.72086386734626E-2</v>
      </c>
      <c r="Q16">
        <f t="shared" si="17"/>
        <v>1.72086386734626E-2</v>
      </c>
      <c r="R16">
        <f t="shared" si="17"/>
        <v>1.72086386734626E-2</v>
      </c>
      <c r="S16">
        <f t="shared" si="17"/>
        <v>1.72086386734626E-2</v>
      </c>
      <c r="T16">
        <f t="shared" si="17"/>
        <v>1.72086386734626E-2</v>
      </c>
      <c r="U16">
        <f t="shared" si="17"/>
        <v>1.72086386734626E-2</v>
      </c>
      <c r="V16">
        <f t="shared" si="17"/>
        <v>1.72086386734626E-2</v>
      </c>
      <c r="W16">
        <f t="shared" si="17"/>
        <v>1.72086386734626E-2</v>
      </c>
      <c r="X16">
        <f t="shared" si="17"/>
        <v>1.72086386734626E-2</v>
      </c>
      <c r="Y16">
        <f t="shared" si="17"/>
        <v>1.72086386734626E-2</v>
      </c>
      <c r="Z16">
        <f t="shared" si="17"/>
        <v>1.72086386734626E-2</v>
      </c>
      <c r="AA16">
        <f t="shared" si="17"/>
        <v>1.72086386734626E-2</v>
      </c>
      <c r="AB16">
        <f t="shared" si="17"/>
        <v>1.72086386734626E-2</v>
      </c>
      <c r="AC16">
        <f t="shared" si="17"/>
        <v>1.72086386734626E-2</v>
      </c>
      <c r="AD16">
        <f t="shared" si="17"/>
        <v>1.72086386734626E-2</v>
      </c>
      <c r="AE16">
        <f t="shared" si="17"/>
        <v>1.72086386734626E-2</v>
      </c>
      <c r="AF16">
        <f t="shared" si="17"/>
        <v>1.72086386734626E-2</v>
      </c>
      <c r="AG16">
        <f t="shared" si="17"/>
        <v>1.72086386734626E-2</v>
      </c>
      <c r="AH16">
        <f t="shared" si="17"/>
        <v>1.72086386734626E-2</v>
      </c>
      <c r="AI16">
        <f t="shared" si="17"/>
        <v>1.72086386734626E-2</v>
      </c>
      <c r="AJ16">
        <f t="shared" si="17"/>
        <v>1.72086386734626E-2</v>
      </c>
      <c r="AK16">
        <f t="shared" si="17"/>
        <v>1.72086386734626E-2</v>
      </c>
      <c r="AL16">
        <f t="shared" si="17"/>
        <v>1.72086386734626E-2</v>
      </c>
    </row>
    <row r="17" spans="1:38">
      <c r="A17" t="s">
        <v>12</v>
      </c>
      <c r="B17" t="s">
        <v>18</v>
      </c>
      <c r="C17" t="s">
        <v>1</v>
      </c>
      <c r="D17" s="20">
        <f>MIN(1.25*INDEX('SYVbT-freight'!$B$2:$H$2,MATCH(Data!$C10,'SYVbT-passenger'!$B$1:$H$1,0))/SUM('SYVbT-freight'!$B$2:$H$2),1)</f>
        <v>5.3683612196023132E-3</v>
      </c>
      <c r="E17">
        <f>E10</f>
        <v>1</v>
      </c>
      <c r="F17" s="6" t="str">
        <f>IF(D17=E17,"n/a",IF(OR(C17="battery electric vehicle",C17="natural gas vehicle",C17="plugin hybrid vehicle"),"s-curve","linear"))</f>
        <v>s-curve</v>
      </c>
      <c r="H17" s="20">
        <f t="shared" ref="H17:H40" si="18">D17</f>
        <v>5.3683612196023132E-3</v>
      </c>
      <c r="I17">
        <f>IF($F17="s-curve",$D17+($E17-$D17)*$I$2/(1+EXP($I$3*(COUNT($H$9:I$9)+$I$4))),TREND($D17:$E17,$D$9:$E$9,I$9))</f>
        <v>2.0063080574076027E-2</v>
      </c>
      <c r="J17">
        <f>IF($F17="s-curve",$D17+($E17-$D17)*$I$2/(1+EXP($I$3*(COUNT($H$9:J$9)+$I$4))),TREND($D17:$E17,$D$9:$E$9,J$9))</f>
        <v>2.5102157025791948E-2</v>
      </c>
      <c r="K17">
        <f>IF($F17="s-curve",$D17+($E17-$D17)*$I$2/(1+EXP($I$3*(COUNT($H$9:K$9)+$I$4))),TREND($D17:$E17,$D$9:$E$9,K$9))</f>
        <v>3.1822572527592123E-2</v>
      </c>
      <c r="L17">
        <f>IF($F17="s-curve",$D17+($E17-$D17)*$I$2/(1+EXP($I$3*(COUNT($H$9:L$9)+$I$4))),TREND($D17:$E17,$D$9:$E$9,L$9))</f>
        <v>4.0748591499212138E-2</v>
      </c>
      <c r="M17">
        <f>IF($F17="s-curve",$D17+($E17-$D17)*$I$2/(1+EXP($I$3*(COUNT($H$9:M$9)+$I$4))),TREND($D17:$E17,$D$9:$E$9,M$9))</f>
        <v>5.2539635178796867E-2</v>
      </c>
      <c r="N17">
        <f>IF($F17="s-curve",$D17+($E17-$D17)*$I$2/(1+EXP($I$3*(COUNT($H$9:N$9)+$I$4))),TREND($D17:$E17,$D$9:$E$9,N$9))</f>
        <v>6.8003653554074228E-2</v>
      </c>
      <c r="O17">
        <f>IF($F17="s-curve",$D17+($E17-$D17)*$I$2/(1+EXP($I$3*(COUNT($H$9:O$9)+$I$4))),TREND($D17:$E17,$D$9:$E$9,O$9))</f>
        <v>8.8094556635136961E-2</v>
      </c>
      <c r="P17">
        <f>IF($F17="s-curve",$D17+($E17-$D17)*$I$2/(1+EXP($I$3*(COUNT($H$9:P$9)+$I$4))),TREND($D17:$E17,$D$9:$E$9,P$9))</f>
        <v>0.11387951127112682</v>
      </c>
      <c r="Q17">
        <f>IF($F17="s-curve",$D17+($E17-$D17)*$I$2/(1+EXP($I$3*(COUNT($H$9:Q$9)+$I$4))),TREND($D17:$E17,$D$9:$E$9,Q$9))</f>
        <v>0.14645791836431907</v>
      </c>
      <c r="R17">
        <f>IF($F17="s-curve",$D17+($E17-$D17)*$I$2/(1+EXP($I$3*(COUNT($H$9:R$9)+$I$4))),TREND($D17:$E17,$D$9:$E$9,R$9))</f>
        <v>0.186814558918491</v>
      </c>
      <c r="S17">
        <f>IF($F17="s-curve",$D17+($E17-$D17)*$I$2/(1+EXP($I$3*(COUNT($H$9:S$9)+$I$4))),TREND($D17:$E17,$D$9:$E$9,S$9))</f>
        <v>0.23560093514502178</v>
      </c>
      <c r="T17">
        <f>IF($F17="s-curve",$D17+($E17-$D17)*$I$2/(1+EXP($I$3*(COUNT($H$9:T$9)+$I$4))),TREND($D17:$E17,$D$9:$E$9,T$9))</f>
        <v>0.29286713111398371</v>
      </c>
      <c r="U17">
        <f>IF($F17="s-curve",$D17+($E17-$D17)*$I$2/(1+EXP($I$3*(COUNT($H$9:U$9)+$I$4))),TREND($D17:$E17,$D$9:$E$9,U$9))</f>
        <v>0.35780981004973877</v>
      </c>
      <c r="V17">
        <f>IF($F17="s-curve",$D17+($E17-$D17)*$I$2/(1+EXP($I$3*(COUNT($H$9:V$9)+$I$4))),TREND($D17:$E17,$D$9:$E$9,V$9))</f>
        <v>0.4286412981184835</v>
      </c>
      <c r="W17">
        <f>IF($F17="s-curve",$D17+($E17-$D17)*$I$2/(1+EXP($I$3*(COUNT($H$9:W$9)+$I$4))),TREND($D17:$E17,$D$9:$E$9,W$9))</f>
        <v>0.50268418060980113</v>
      </c>
      <c r="X17">
        <f>IF($F17="s-curve",$D17+($E17-$D17)*$I$2/(1+EXP($I$3*(COUNT($H$9:X$9)+$I$4))),TREND($D17:$E17,$D$9:$E$9,X$9))</f>
        <v>0.57672706310111888</v>
      </c>
      <c r="Y17">
        <f>IF($F17="s-curve",$D17+($E17-$D17)*$I$2/(1+EXP($I$3*(COUNT($H$9:Y$9)+$I$4))),TREND($D17:$E17,$D$9:$E$9,Y$9))</f>
        <v>0.64755855116986349</v>
      </c>
      <c r="Z17">
        <f>IF($F17="s-curve",$D17+($E17-$D17)*$I$2/(1+EXP($I$3*(COUNT($H$9:Z$9)+$I$4))),TREND($D17:$E17,$D$9:$E$9,Z$9))</f>
        <v>0.71250123010561861</v>
      </c>
      <c r="AA17">
        <f>IF($F17="s-curve",$D17+($E17-$D17)*$I$2/(1+EXP($I$3*(COUNT($H$9:AA$9)+$I$4))),TREND($D17:$E17,$D$9:$E$9,AA$9))</f>
        <v>0.76976742607458049</v>
      </c>
      <c r="AB17">
        <f>IF($F17="s-curve",$D17+($E17-$D17)*$I$2/(1+EXP($I$3*(COUNT($H$9:AB$9)+$I$4))),TREND($D17:$E17,$D$9:$E$9,AB$9))</f>
        <v>0.8185538023011113</v>
      </c>
      <c r="AC17">
        <f>IF($F17="s-curve",$D17+($E17-$D17)*$I$2/(1+EXP($I$3*(COUNT($H$9:AC$9)+$I$4))),TREND($D17:$E17,$D$9:$E$9,AC$9))</f>
        <v>0.85891044285528328</v>
      </c>
      <c r="AD17">
        <f>IF($F17="s-curve",$D17+($E17-$D17)*$I$2/(1+EXP($I$3*(COUNT($H$9:AD$9)+$I$4))),TREND($D17:$E17,$D$9:$E$9,AD$9))</f>
        <v>0.89148884994847555</v>
      </c>
      <c r="AE17">
        <f>IF($F17="s-curve",$D17+($E17-$D17)*$I$2/(1+EXP($I$3*(COUNT($H$9:AE$9)+$I$4))),TREND($D17:$E17,$D$9:$E$9,AE$9))</f>
        <v>0.91727380458446539</v>
      </c>
      <c r="AF17">
        <f>IF($F17="s-curve",$D17+($E17-$D17)*$I$2/(1+EXP($I$3*(COUNT($H$9:AF$9)+$I$4))),TREND($D17:$E17,$D$9:$E$9,AF$9))</f>
        <v>0.93736470766552815</v>
      </c>
      <c r="AG17">
        <f>IF($F17="s-curve",$D17+($E17-$D17)*$I$2/(1+EXP($I$3*(COUNT($H$9:AG$9)+$I$4))),TREND($D17:$E17,$D$9:$E$9,AG$9))</f>
        <v>0.95282872604080548</v>
      </c>
      <c r="AH17">
        <f>IF($F17="s-curve",$D17+($E17-$D17)*$I$2/(1+EXP($I$3*(COUNT($H$9:AH$9)+$I$4))),TREND($D17:$E17,$D$9:$E$9,AH$9))</f>
        <v>0.96461976972039021</v>
      </c>
      <c r="AI17">
        <f>IF($F17="s-curve",$D17+($E17-$D17)*$I$2/(1+EXP($I$3*(COUNT($H$9:AI$9)+$I$4))),TREND($D17:$E17,$D$9:$E$9,AI$9))</f>
        <v>0.97354578869201014</v>
      </c>
      <c r="AJ17">
        <f>IF($F17="s-curve",$D17+($E17-$D17)*$I$2/(1+EXP($I$3*(COUNT($H$9:AJ$9)+$I$4))),TREND($D17:$E17,$D$9:$E$9,AJ$9))</f>
        <v>0.98026620419381039</v>
      </c>
      <c r="AK17">
        <f>IF($F17="s-curve",$D17+($E17-$D17)*$I$2/(1+EXP($I$3*(COUNT($H$9:AK$9)+$I$4))),TREND($D17:$E17,$D$9:$E$9,AK$9))</f>
        <v>0.98530528064552625</v>
      </c>
      <c r="AL17">
        <f>IF($F17="s-curve",$D17+($E17-$D17)*$I$2/(1+EXP($I$3*(COUNT($H$9:AL$9)+$I$4))),TREND($D17:$E17,$D$9:$E$9,AL$9))</f>
        <v>0.98907203924614695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si="18"/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f>MIN(1.25*INDEX('SYVbT-freight'!$B$2:$H$2,MATCH(Data!$C12,'SYVbT-passenger'!$B$1:$H$1,0))/SUM('SYVbT-freight'!$B$2:$H$2),1)*3</f>
        <v>1.9186119393907859E-2</v>
      </c>
      <c r="E19" s="20">
        <f t="shared" ref="E19:E20" si="19">D19</f>
        <v>1.9186119393907859E-2</v>
      </c>
      <c r="F19" s="6" t="str">
        <f>IF(D19=E19,"n/a",IF(OR(C19="battery electric vehicle",C19="natural gas vehicle",C19="plugin hybrid vehicle"),"s-curve","linear"))</f>
        <v>n/a</v>
      </c>
      <c r="H19" s="20">
        <f t="shared" si="18"/>
        <v>1.9186119393907859E-2</v>
      </c>
      <c r="I19">
        <f>IF($F19="s-curve",$D19+($E19-$D19)*$I$2/(1+EXP($I$3*(COUNT($H$9:I$9)+$I$4))),TREND($D19:$E19,$D$9:$E$9,I$9))</f>
        <v>1.9186119393907859E-2</v>
      </c>
      <c r="J19">
        <f>IF($F19="s-curve",$D19+($E19-$D19)*$I$2/(1+EXP($I$3*(COUNT($H$9:J$9)+$I$4))),TREND($D19:$E19,$D$9:$E$9,J$9))</f>
        <v>1.9186119393907859E-2</v>
      </c>
      <c r="K19">
        <f>IF($F19="s-curve",$D19+($E19-$D19)*$I$2/(1+EXP($I$3*(COUNT($H$9:K$9)+$I$4))),TREND($D19:$E19,$D$9:$E$9,K$9))</f>
        <v>1.9186119393907859E-2</v>
      </c>
      <c r="L19">
        <f>IF($F19="s-curve",$D19+($E19-$D19)*$I$2/(1+EXP($I$3*(COUNT($H$9:L$9)+$I$4))),TREND($D19:$E19,$D$9:$E$9,L$9))</f>
        <v>1.9186119393907859E-2</v>
      </c>
      <c r="M19">
        <f>IF($F19="s-curve",$D19+($E19-$D19)*$I$2/(1+EXP($I$3*(COUNT($H$9:M$9)+$I$4))),TREND($D19:$E19,$D$9:$E$9,M$9))</f>
        <v>1.9186119393907859E-2</v>
      </c>
      <c r="N19">
        <f>IF($F19="s-curve",$D19+($E19-$D19)*$I$2/(1+EXP($I$3*(COUNT($H$9:N$9)+$I$4))),TREND($D19:$E19,$D$9:$E$9,N$9))</f>
        <v>1.9186119393907859E-2</v>
      </c>
      <c r="O19">
        <f>IF($F19="s-curve",$D19+($E19-$D19)*$I$2/(1+EXP($I$3*(COUNT($H$9:O$9)+$I$4))),TREND($D19:$E19,$D$9:$E$9,O$9))</f>
        <v>1.9186119393907859E-2</v>
      </c>
      <c r="P19">
        <f>IF($F19="s-curve",$D19+($E19-$D19)*$I$2/(1+EXP($I$3*(COUNT($H$9:P$9)+$I$4))),TREND($D19:$E19,$D$9:$E$9,P$9))</f>
        <v>1.9186119393907859E-2</v>
      </c>
      <c r="Q19">
        <f>IF($F19="s-curve",$D19+($E19-$D19)*$I$2/(1+EXP($I$3*(COUNT($H$9:Q$9)+$I$4))),TREND($D19:$E19,$D$9:$E$9,Q$9))</f>
        <v>1.9186119393907859E-2</v>
      </c>
      <c r="R19">
        <f>IF($F19="s-curve",$D19+($E19-$D19)*$I$2/(1+EXP($I$3*(COUNT($H$9:R$9)+$I$4))),TREND($D19:$E19,$D$9:$E$9,R$9))</f>
        <v>1.9186119393907859E-2</v>
      </c>
      <c r="S19">
        <f>IF($F19="s-curve",$D19+($E19-$D19)*$I$2/(1+EXP($I$3*(COUNT($H$9:S$9)+$I$4))),TREND($D19:$E19,$D$9:$E$9,S$9))</f>
        <v>1.9186119393907859E-2</v>
      </c>
      <c r="T19">
        <f>IF($F19="s-curve",$D19+($E19-$D19)*$I$2/(1+EXP($I$3*(COUNT($H$9:T$9)+$I$4))),TREND($D19:$E19,$D$9:$E$9,T$9))</f>
        <v>1.9186119393907859E-2</v>
      </c>
      <c r="U19">
        <f>IF($F19="s-curve",$D19+($E19-$D19)*$I$2/(1+EXP($I$3*(COUNT($H$9:U$9)+$I$4))),TREND($D19:$E19,$D$9:$E$9,U$9))</f>
        <v>1.9186119393907859E-2</v>
      </c>
      <c r="V19">
        <f>IF($F19="s-curve",$D19+($E19-$D19)*$I$2/(1+EXP($I$3*(COUNT($H$9:V$9)+$I$4))),TREND($D19:$E19,$D$9:$E$9,V$9))</f>
        <v>1.9186119393907859E-2</v>
      </c>
      <c r="W19">
        <f>IF($F19="s-curve",$D19+($E19-$D19)*$I$2/(1+EXP($I$3*(COUNT($H$9:W$9)+$I$4))),TREND($D19:$E19,$D$9:$E$9,W$9))</f>
        <v>1.9186119393907859E-2</v>
      </c>
      <c r="X19">
        <f>IF($F19="s-curve",$D19+($E19-$D19)*$I$2/(1+EXP($I$3*(COUNT($H$9:X$9)+$I$4))),TREND($D19:$E19,$D$9:$E$9,X$9))</f>
        <v>1.9186119393907859E-2</v>
      </c>
      <c r="Y19">
        <f>IF($F19="s-curve",$D19+($E19-$D19)*$I$2/(1+EXP($I$3*(COUNT($H$9:Y$9)+$I$4))),TREND($D19:$E19,$D$9:$E$9,Y$9))</f>
        <v>1.9186119393907859E-2</v>
      </c>
      <c r="Z19">
        <f>IF($F19="s-curve",$D19+($E19-$D19)*$I$2/(1+EXP($I$3*(COUNT($H$9:Z$9)+$I$4))),TREND($D19:$E19,$D$9:$E$9,Z$9))</f>
        <v>1.9186119393907859E-2</v>
      </c>
      <c r="AA19">
        <f>IF($F19="s-curve",$D19+($E19-$D19)*$I$2/(1+EXP($I$3*(COUNT($H$9:AA$9)+$I$4))),TREND($D19:$E19,$D$9:$E$9,AA$9))</f>
        <v>1.9186119393907859E-2</v>
      </c>
      <c r="AB19">
        <f>IF($F19="s-curve",$D19+($E19-$D19)*$I$2/(1+EXP($I$3*(COUNT($H$9:AB$9)+$I$4))),TREND($D19:$E19,$D$9:$E$9,AB$9))</f>
        <v>1.9186119393907859E-2</v>
      </c>
      <c r="AC19">
        <f>IF($F19="s-curve",$D19+($E19-$D19)*$I$2/(1+EXP($I$3*(COUNT($H$9:AC$9)+$I$4))),TREND($D19:$E19,$D$9:$E$9,AC$9))</f>
        <v>1.9186119393907859E-2</v>
      </c>
      <c r="AD19">
        <f>IF($F19="s-curve",$D19+($E19-$D19)*$I$2/(1+EXP($I$3*(COUNT($H$9:AD$9)+$I$4))),TREND($D19:$E19,$D$9:$E$9,AD$9))</f>
        <v>1.9186119393907859E-2</v>
      </c>
      <c r="AE19">
        <f>IF($F19="s-curve",$D19+($E19-$D19)*$I$2/(1+EXP($I$3*(COUNT($H$9:AE$9)+$I$4))),TREND($D19:$E19,$D$9:$E$9,AE$9))</f>
        <v>1.9186119393907859E-2</v>
      </c>
      <c r="AF19">
        <f>IF($F19="s-curve",$D19+($E19-$D19)*$I$2/(1+EXP($I$3*(COUNT($H$9:AF$9)+$I$4))),TREND($D19:$E19,$D$9:$E$9,AF$9))</f>
        <v>1.9186119393907859E-2</v>
      </c>
      <c r="AG19">
        <f>IF($F19="s-curve",$D19+($E19-$D19)*$I$2/(1+EXP($I$3*(COUNT($H$9:AG$9)+$I$4))),TREND($D19:$E19,$D$9:$E$9,AG$9))</f>
        <v>1.9186119393907859E-2</v>
      </c>
      <c r="AH19">
        <f>IF($F19="s-curve",$D19+($E19-$D19)*$I$2/(1+EXP($I$3*(COUNT($H$9:AH$9)+$I$4))),TREND($D19:$E19,$D$9:$E$9,AH$9))</f>
        <v>1.9186119393907859E-2</v>
      </c>
      <c r="AI19">
        <f>IF($F19="s-curve",$D19+($E19-$D19)*$I$2/(1+EXP($I$3*(COUNT($H$9:AI$9)+$I$4))),TREND($D19:$E19,$D$9:$E$9,AI$9))</f>
        <v>1.9186119393907859E-2</v>
      </c>
      <c r="AJ19">
        <f>IF($F19="s-curve",$D19+($E19-$D19)*$I$2/(1+EXP($I$3*(COUNT($H$9:AJ$9)+$I$4))),TREND($D19:$E19,$D$9:$E$9,AJ$9))</f>
        <v>1.9186119393907859E-2</v>
      </c>
      <c r="AK19">
        <f>IF($F19="s-curve",$D19+($E19-$D19)*$I$2/(1+EXP($I$3*(COUNT($H$9:AK$9)+$I$4))),TREND($D19:$E19,$D$9:$E$9,AK$9))</f>
        <v>1.9186119393907859E-2</v>
      </c>
      <c r="AL19">
        <f>IF($F19="s-curve",$D19+($E19-$D19)*$I$2/(1+EXP($I$3*(COUNT($H$9:AL$9)+$I$4))),TREND($D19:$E19,$D$9:$E$9,AL$9))</f>
        <v>1.9186119393907859E-2</v>
      </c>
    </row>
    <row r="20" spans="1:38">
      <c r="C20" t="s">
        <v>4</v>
      </c>
      <c r="D20" s="20">
        <v>3</v>
      </c>
      <c r="E20" s="20">
        <f t="shared" si="19"/>
        <v>3</v>
      </c>
      <c r="F20" s="6" t="str">
        <f>IF(D20=E20,"n/a",IF(OR(C20="battery electric vehicle",C20="natural gas vehicle",C20="plugin hybrid vehicle"),"s-curve","linear"))</f>
        <v>n/a</v>
      </c>
      <c r="H20" s="20">
        <f t="shared" si="18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18"/>
        <v>0</v>
      </c>
      <c r="I21">
        <f>IF($F21="s-curve",$D21+($E21-$D21)*$I$2/(1+EXP($I$3*(COUNT($H$9:I$9)+$I$4))),TREND($D21:$E21,$D$9:$E$9,I$9))</f>
        <v>3.6935079233182638E-3</v>
      </c>
      <c r="J21">
        <f>IF($F21="s-curve",$D21+($E21-$D21)*$I$2/(1+EXP($I$3*(COUNT($H$9:J$9)+$I$4))),TREND($D21:$E21,$D$9:$E$9,J$9))</f>
        <v>4.9600764335193774E-3</v>
      </c>
      <c r="K21">
        <f>IF($F21="s-curve",$D21+($E21-$D21)*$I$2/(1+EXP($I$3*(COUNT($H$9:K$9)+$I$4))),TREND($D21:$E21,$D$9:$E$9,K$9))</f>
        <v>6.6492483942164659E-3</v>
      </c>
      <c r="L21">
        <f>IF($F21="s-curve",$D21+($E21-$D21)*$I$2/(1+EXP($I$3*(COUNT($H$9:L$9)+$I$4))),TREND($D21:$E21,$D$9:$E$9,L$9))</f>
        <v>8.8927973181590451E-3</v>
      </c>
      <c r="M21">
        <f>IF($F21="s-curve",$D21+($E21-$D21)*$I$2/(1+EXP($I$3*(COUNT($H$9:M$9)+$I$4))),TREND($D21:$E21,$D$9:$E$9,M$9))</f>
        <v>1.1856468294391695E-2</v>
      </c>
      <c r="N21">
        <f>IF($F21="s-curve",$D21+($E21-$D21)*$I$2/(1+EXP($I$3*(COUNT($H$9:N$9)+$I$4))),TREND($D21:$E21,$D$9:$E$9,N$9))</f>
        <v>1.5743339014249128E-2</v>
      </c>
      <c r="O21">
        <f>IF($F21="s-curve",$D21+($E21-$D21)*$I$2/(1+EXP($I$3*(COUNT($H$9:O$9)+$I$4))),TREND($D21:$E21,$D$9:$E$9,O$9))</f>
        <v>2.0793174123480595E-2</v>
      </c>
      <c r="P21">
        <f>IF($F21="s-curve",$D21+($E21-$D21)*$I$2/(1+EXP($I$3*(COUNT($H$9:P$9)+$I$4))),TREND($D21:$E21,$D$9:$E$9,P$9))</f>
        <v>2.7274205298903231E-2</v>
      </c>
      <c r="Q21">
        <f>IF($F21="s-curve",$D21+($E21-$D21)*$I$2/(1+EXP($I$3*(COUNT($H$9:Q$9)+$I$4))),TREND($D21:$E21,$D$9:$E$9,Q$9))</f>
        <v>3.5462766225121956E-2</v>
      </c>
      <c r="R21">
        <f>IF($F21="s-curve",$D21+($E21-$D21)*$I$2/(1+EXP($I$3*(COUNT($H$9:R$9)+$I$4))),TREND($D21:$E21,$D$9:$E$9,R$9))</f>
        <v>4.5606380951589087E-2</v>
      </c>
      <c r="S21">
        <f>IF($F21="s-curve",$D21+($E21-$D21)*$I$2/(1+EXP($I$3*(COUNT($H$9:S$9)+$I$4))),TREND($D21:$E21,$D$9:$E$9,S$9))</f>
        <v>5.7868804125245595E-2</v>
      </c>
      <c r="T21">
        <f>IF($F21="s-curve",$D21+($E21-$D21)*$I$2/(1+EXP($I$3*(COUNT($H$9:T$9)+$I$4))),TREND($D21:$E21,$D$9:$E$9,T$9))</f>
        <v>7.2262624343749013E-2</v>
      </c>
      <c r="U21">
        <f>IF($F21="s-curve",$D21+($E21-$D21)*$I$2/(1+EXP($I$3*(COUNT($H$9:U$9)+$I$4))),TREND($D21:$E21,$D$9:$E$9,U$9))</f>
        <v>8.8585923443551137E-2</v>
      </c>
      <c r="V21">
        <f>IF($F21="s-curve",$D21+($E21-$D21)*$I$2/(1+EXP($I$3*(COUNT($H$9:V$9)+$I$4))),TREND($D21:$E21,$D$9:$E$9,V$9))</f>
        <v>0.10638937079708526</v>
      </c>
      <c r="W21">
        <f>IF($F21="s-curve",$D21+($E21-$D21)*$I$2/(1+EXP($I$3*(COUNT($H$9:W$9)+$I$4))),TREND($D21:$E21,$D$9:$E$9,W$9))</f>
        <v>0.125</v>
      </c>
      <c r="X21">
        <f>IF($F21="s-curve",$D21+($E21-$D21)*$I$2/(1+EXP($I$3*(COUNT($H$9:X$9)+$I$4))),TREND($D21:$E21,$D$9:$E$9,X$9))</f>
        <v>0.14361062920291476</v>
      </c>
      <c r="Y21">
        <f>IF($F21="s-curve",$D21+($E21-$D21)*$I$2/(1+EXP($I$3*(COUNT($H$9:Y$9)+$I$4))),TREND($D21:$E21,$D$9:$E$9,Y$9))</f>
        <v>0.16141407655644885</v>
      </c>
      <c r="Z21">
        <f>IF($F21="s-curve",$D21+($E21-$D21)*$I$2/(1+EXP($I$3*(COUNT($H$9:Z$9)+$I$4))),TREND($D21:$E21,$D$9:$E$9,Z$9))</f>
        <v>0.17773737565625097</v>
      </c>
      <c r="AA21">
        <f>IF($F21="s-curve",$D21+($E21-$D21)*$I$2/(1+EXP($I$3*(COUNT($H$9:AA$9)+$I$4))),TREND($D21:$E21,$D$9:$E$9,AA$9))</f>
        <v>0.19213119587475438</v>
      </c>
      <c r="AB21">
        <f>IF($F21="s-curve",$D21+($E21-$D21)*$I$2/(1+EXP($I$3*(COUNT($H$9:AB$9)+$I$4))),TREND($D21:$E21,$D$9:$E$9,AB$9))</f>
        <v>0.20439361904841091</v>
      </c>
      <c r="AC21">
        <f>IF($F21="s-curve",$D21+($E21-$D21)*$I$2/(1+EXP($I$3*(COUNT($H$9:AC$9)+$I$4))),TREND($D21:$E21,$D$9:$E$9,AC$9))</f>
        <v>0.21453723377487807</v>
      </c>
      <c r="AD21">
        <f>IF($F21="s-curve",$D21+($E21-$D21)*$I$2/(1+EXP($I$3*(COUNT($H$9:AD$9)+$I$4))),TREND($D21:$E21,$D$9:$E$9,AD$9))</f>
        <v>0.22272579470109677</v>
      </c>
      <c r="AE21">
        <f>IF($F21="s-curve",$D21+($E21-$D21)*$I$2/(1+EXP($I$3*(COUNT($H$9:AE$9)+$I$4))),TREND($D21:$E21,$D$9:$E$9,AE$9))</f>
        <v>0.22920682587651942</v>
      </c>
      <c r="AF21">
        <f>IF($F21="s-curve",$D21+($E21-$D21)*$I$2/(1+EXP($I$3*(COUNT($H$9:AF$9)+$I$4))),TREND($D21:$E21,$D$9:$E$9,AF$9))</f>
        <v>0.23425666098575088</v>
      </c>
      <c r="AG21">
        <f>IF($F21="s-curve",$D21+($E21-$D21)*$I$2/(1+EXP($I$3*(COUNT($H$9:AG$9)+$I$4))),TREND($D21:$E21,$D$9:$E$9,AG$9))</f>
        <v>0.23814353170560834</v>
      </c>
      <c r="AH21">
        <f>IF($F21="s-curve",$D21+($E21-$D21)*$I$2/(1+EXP($I$3*(COUNT($H$9:AH$9)+$I$4))),TREND($D21:$E21,$D$9:$E$9,AH$9))</f>
        <v>0.24110720268184097</v>
      </c>
      <c r="AI21">
        <f>IF($F21="s-curve",$D21+($E21-$D21)*$I$2/(1+EXP($I$3*(COUNT($H$9:AI$9)+$I$4))),TREND($D21:$E21,$D$9:$E$9,AI$9))</f>
        <v>0.24335075160578351</v>
      </c>
      <c r="AJ21">
        <f>IF($F21="s-curve",$D21+($E21-$D21)*$I$2/(1+EXP($I$3*(COUNT($H$9:AJ$9)+$I$4))),TREND($D21:$E21,$D$9:$E$9,AJ$9))</f>
        <v>0.24503992356648063</v>
      </c>
      <c r="AK21">
        <f>IF($F21="s-curve",$D21+($E21-$D21)*$I$2/(1+EXP($I$3*(COUNT($H$9:AK$9)+$I$4))),TREND($D21:$E21,$D$9:$E$9,AK$9))</f>
        <v>0.24630649207668173</v>
      </c>
      <c r="AL21">
        <f>IF($F21="s-curve",$D21+($E21-$D21)*$I$2/(1+EXP($I$3*(COUNT($H$9:AL$9)+$I$4))),TREND($D21:$E21,$D$9:$E$9,AL$9))</f>
        <v>0.2472532643423517</v>
      </c>
    </row>
    <row r="22" spans="1:38">
      <c r="C22" t="s">
        <v>78</v>
      </c>
      <c r="D22" s="20">
        <f>MIN(1.25*INDEX('SYVbT-freight'!$B$2:$H$2,MATCH(Data!$C15,'SYVbT-passenger'!$B$1:$H$1,0))/SUM('SYVbT-freight'!$B$2:$H$2),1)</f>
        <v>4.237817368977314E-2</v>
      </c>
      <c r="E22" s="20">
        <f>D22</f>
        <v>4.237817368977314E-2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18"/>
        <v>4.237817368977314E-2</v>
      </c>
      <c r="I22">
        <f>IF($F22="s-curve",$D22+($E22-$D22)*$I$2/(1+EXP($I$3*(COUNT($H$9:I$9)+$I$4))),TREND($D22:$E22,$D$9:$E$9,I$9))</f>
        <v>4.237817368977314E-2</v>
      </c>
      <c r="J22">
        <f>IF($F22="s-curve",$D22+($E22-$D22)*$I$2/(1+EXP($I$3*(COUNT($H$9:J$9)+$I$4))),TREND($D22:$E22,$D$9:$E$9,J$9))</f>
        <v>4.237817368977314E-2</v>
      </c>
      <c r="K22">
        <f>IF($F22="s-curve",$D22+($E22-$D22)*$I$2/(1+EXP($I$3*(COUNT($H$9:K$9)+$I$4))),TREND($D22:$E22,$D$9:$E$9,K$9))</f>
        <v>4.237817368977314E-2</v>
      </c>
      <c r="L22">
        <f>IF($F22="s-curve",$D22+($E22-$D22)*$I$2/(1+EXP($I$3*(COUNT($H$9:L$9)+$I$4))),TREND($D22:$E22,$D$9:$E$9,L$9))</f>
        <v>4.237817368977314E-2</v>
      </c>
      <c r="M22">
        <f>IF($F22="s-curve",$D22+($E22-$D22)*$I$2/(1+EXP($I$3*(COUNT($H$9:M$9)+$I$4))),TREND($D22:$E22,$D$9:$E$9,M$9))</f>
        <v>4.237817368977314E-2</v>
      </c>
      <c r="N22">
        <f>IF($F22="s-curve",$D22+($E22-$D22)*$I$2/(1+EXP($I$3*(COUNT($H$9:N$9)+$I$4))),TREND($D22:$E22,$D$9:$E$9,N$9))</f>
        <v>4.237817368977314E-2</v>
      </c>
      <c r="O22">
        <f>IF($F22="s-curve",$D22+($E22-$D22)*$I$2/(1+EXP($I$3*(COUNT($H$9:O$9)+$I$4))),TREND($D22:$E22,$D$9:$E$9,O$9))</f>
        <v>4.237817368977314E-2</v>
      </c>
      <c r="P22">
        <f>IF($F22="s-curve",$D22+($E22-$D22)*$I$2/(1+EXP($I$3*(COUNT($H$9:P$9)+$I$4))),TREND($D22:$E22,$D$9:$E$9,P$9))</f>
        <v>4.237817368977314E-2</v>
      </c>
      <c r="Q22">
        <f>IF($F22="s-curve",$D22+($E22-$D22)*$I$2/(1+EXP($I$3*(COUNT($H$9:Q$9)+$I$4))),TREND($D22:$E22,$D$9:$E$9,Q$9))</f>
        <v>4.237817368977314E-2</v>
      </c>
      <c r="R22">
        <f>IF($F22="s-curve",$D22+($E22-$D22)*$I$2/(1+EXP($I$3*(COUNT($H$9:R$9)+$I$4))),TREND($D22:$E22,$D$9:$E$9,R$9))</f>
        <v>4.237817368977314E-2</v>
      </c>
      <c r="S22">
        <f>IF($F22="s-curve",$D22+($E22-$D22)*$I$2/(1+EXP($I$3*(COUNT($H$9:S$9)+$I$4))),TREND($D22:$E22,$D$9:$E$9,S$9))</f>
        <v>4.237817368977314E-2</v>
      </c>
      <c r="T22">
        <f>IF($F22="s-curve",$D22+($E22-$D22)*$I$2/(1+EXP($I$3*(COUNT($H$9:T$9)+$I$4))),TREND($D22:$E22,$D$9:$E$9,T$9))</f>
        <v>4.237817368977314E-2</v>
      </c>
      <c r="U22">
        <f>IF($F22="s-curve",$D22+($E22-$D22)*$I$2/(1+EXP($I$3*(COUNT($H$9:U$9)+$I$4))),TREND($D22:$E22,$D$9:$E$9,U$9))</f>
        <v>4.237817368977314E-2</v>
      </c>
      <c r="V22">
        <f>IF($F22="s-curve",$D22+($E22-$D22)*$I$2/(1+EXP($I$3*(COUNT($H$9:V$9)+$I$4))),TREND($D22:$E22,$D$9:$E$9,V$9))</f>
        <v>4.237817368977314E-2</v>
      </c>
      <c r="W22">
        <f>IF($F22="s-curve",$D22+($E22-$D22)*$I$2/(1+EXP($I$3*(COUNT($H$9:W$9)+$I$4))),TREND($D22:$E22,$D$9:$E$9,W$9))</f>
        <v>4.237817368977314E-2</v>
      </c>
      <c r="X22">
        <f>IF($F22="s-curve",$D22+($E22-$D22)*$I$2/(1+EXP($I$3*(COUNT($H$9:X$9)+$I$4))),TREND($D22:$E22,$D$9:$E$9,X$9))</f>
        <v>4.237817368977314E-2</v>
      </c>
      <c r="Y22">
        <f>IF($F22="s-curve",$D22+($E22-$D22)*$I$2/(1+EXP($I$3*(COUNT($H$9:Y$9)+$I$4))),TREND($D22:$E22,$D$9:$E$9,Y$9))</f>
        <v>4.237817368977314E-2</v>
      </c>
      <c r="Z22">
        <f>IF($F22="s-curve",$D22+($E22-$D22)*$I$2/(1+EXP($I$3*(COUNT($H$9:Z$9)+$I$4))),TREND($D22:$E22,$D$9:$E$9,Z$9))</f>
        <v>4.237817368977314E-2</v>
      </c>
      <c r="AA22">
        <f>IF($F22="s-curve",$D22+($E22-$D22)*$I$2/(1+EXP($I$3*(COUNT($H$9:AA$9)+$I$4))),TREND($D22:$E22,$D$9:$E$9,AA$9))</f>
        <v>4.237817368977314E-2</v>
      </c>
      <c r="AB22">
        <f>IF($F22="s-curve",$D22+($E22-$D22)*$I$2/(1+EXP($I$3*(COUNT($H$9:AB$9)+$I$4))),TREND($D22:$E22,$D$9:$E$9,AB$9))</f>
        <v>4.237817368977314E-2</v>
      </c>
      <c r="AC22">
        <f>IF($F22="s-curve",$D22+($E22-$D22)*$I$2/(1+EXP($I$3*(COUNT($H$9:AC$9)+$I$4))),TREND($D22:$E22,$D$9:$E$9,AC$9))</f>
        <v>4.237817368977314E-2</v>
      </c>
      <c r="AD22">
        <f>IF($F22="s-curve",$D22+($E22-$D22)*$I$2/(1+EXP($I$3*(COUNT($H$9:AD$9)+$I$4))),TREND($D22:$E22,$D$9:$E$9,AD$9))</f>
        <v>4.237817368977314E-2</v>
      </c>
      <c r="AE22">
        <f>IF($F22="s-curve",$D22+($E22-$D22)*$I$2/(1+EXP($I$3*(COUNT($H$9:AE$9)+$I$4))),TREND($D22:$E22,$D$9:$E$9,AE$9))</f>
        <v>4.237817368977314E-2</v>
      </c>
      <c r="AF22">
        <f>IF($F22="s-curve",$D22+($E22-$D22)*$I$2/(1+EXP($I$3*(COUNT($H$9:AF$9)+$I$4))),TREND($D22:$E22,$D$9:$E$9,AF$9))</f>
        <v>4.237817368977314E-2</v>
      </c>
      <c r="AG22">
        <f>IF($F22="s-curve",$D22+($E22-$D22)*$I$2/(1+EXP($I$3*(COUNT($H$9:AG$9)+$I$4))),TREND($D22:$E22,$D$9:$E$9,AG$9))</f>
        <v>4.237817368977314E-2</v>
      </c>
      <c r="AH22">
        <f>IF($F22="s-curve",$D22+($E22-$D22)*$I$2/(1+EXP($I$3*(COUNT($H$9:AH$9)+$I$4))),TREND($D22:$E22,$D$9:$E$9,AH$9))</f>
        <v>4.237817368977314E-2</v>
      </c>
      <c r="AI22">
        <f>IF($F22="s-curve",$D22+($E22-$D22)*$I$2/(1+EXP($I$3*(COUNT($H$9:AI$9)+$I$4))),TREND($D22:$E22,$D$9:$E$9,AI$9))</f>
        <v>4.237817368977314E-2</v>
      </c>
      <c r="AJ22">
        <f>IF($F22="s-curve",$D22+($E22-$D22)*$I$2/(1+EXP($I$3*(COUNT($H$9:AJ$9)+$I$4))),TREND($D22:$E22,$D$9:$E$9,AJ$9))</f>
        <v>4.237817368977314E-2</v>
      </c>
      <c r="AK22">
        <f>IF($F22="s-curve",$D22+($E22-$D22)*$I$2/(1+EXP($I$3*(COUNT($H$9:AK$9)+$I$4))),TREND($D22:$E22,$D$9:$E$9,AK$9))</f>
        <v>4.237817368977314E-2</v>
      </c>
      <c r="AL22">
        <f>IF($F22="s-curve",$D22+($E22-$D22)*$I$2/(1+EXP($I$3*(COUNT($H$9:AL$9)+$I$4))),TREND($D22:$E22,$D$9:$E$9,AL$9))</f>
        <v>4.237817368977314E-2</v>
      </c>
    </row>
    <row r="23" spans="1:38" ht="15" thickBot="1">
      <c r="A23" s="21"/>
      <c r="B23" s="21"/>
      <c r="C23" s="21" t="s">
        <v>79</v>
      </c>
      <c r="D23" s="21">
        <f>MIN(1.25*INDEX('SYVbT-freight'!$B$2:$H$2,MATCH(Data!$C16,'SYVbT-passenger'!$B$1:$H$1,0))/SUM('SYVbT-freight'!$B$2:$H$2),1)</f>
        <v>0</v>
      </c>
      <c r="E23" s="24">
        <f>E18</f>
        <v>6.1283704210113928E-4</v>
      </c>
      <c r="F23" s="7" t="str">
        <f>IF(D23=E23,"n/a",IF(OR(C23="battery electric vehicle",C23="natural gas vehicle",C23="plugin hybrid vehicle",C23="hydrogen vehicle"),"s-curve","linear"))</f>
        <v>s-curve</v>
      </c>
      <c r="H23" s="20">
        <f t="shared" si="18"/>
        <v>0</v>
      </c>
      <c r="I23">
        <f>IF($F23="s-curve",$D23+($E23-$D23)*$I$2/(1+EXP($I$3*(COUNT($H$9:I$9)+$I$4))),TREND($D23:$E23,$D$9:$E$9,I$9))</f>
        <v>9.0540738828139446E-6</v>
      </c>
      <c r="J23">
        <f>IF($F23="s-curve",$D23+($E23-$D23)*$I$2/(1+EXP($I$3*(COUNT($H$9:J$9)+$I$4))),TREND($D23:$E23,$D$9:$E$9,J$9))</f>
        <v>1.2158874280454334E-5</v>
      </c>
      <c r="K23">
        <f>IF($F23="s-curve",$D23+($E23-$D23)*$I$2/(1+EXP($I$3*(COUNT($H$9:K$9)+$I$4))),TREND($D23:$E23,$D$9:$E$9,K$9))</f>
        <v>1.6299622872429478E-5</v>
      </c>
      <c r="L23">
        <f>IF($F23="s-curve",$D23+($E23-$D23)*$I$2/(1+EXP($I$3*(COUNT($H$9:L$9)+$I$4))),TREND($D23:$E23,$D$9:$E$9,L$9))</f>
        <v>2.179934241786213E-5</v>
      </c>
      <c r="M23">
        <f>IF($F23="s-curve",$D23+($E23-$D23)*$I$2/(1+EXP($I$3*(COUNT($H$9:M$9)+$I$4))),TREND($D23:$E23,$D$9:$E$9,M$9))</f>
        <v>2.9064331837203784E-5</v>
      </c>
      <c r="N23">
        <f>IF($F23="s-curve",$D23+($E23-$D23)*$I$2/(1+EXP($I$3*(COUNT($H$9:N$9)+$I$4))),TREND($D23:$E23,$D$9:$E$9,N$9))</f>
        <v>3.85924052571516E-5</v>
      </c>
      <c r="O23">
        <f>IF($F23="s-curve",$D23+($E23-$D23)*$I$2/(1+EXP($I$3*(COUNT($H$9:O$9)+$I$4))),TREND($D23:$E23,$D$9:$E$9,O$9))</f>
        <v>5.0971309302911188E-5</v>
      </c>
      <c r="P23">
        <f>IF($F23="s-curve",$D23+($E23-$D23)*$I$2/(1+EXP($I$3*(COUNT($H$9:P$9)+$I$4))),TREND($D23:$E23,$D$9:$E$9,P$9))</f>
        <v>6.6858573204156302E-5</v>
      </c>
      <c r="Q23">
        <f>IF($F23="s-curve",$D23+($E23-$D23)*$I$2/(1+EXP($I$3*(COUNT($H$9:Q$9)+$I$4))),TREND($D23:$E23,$D$9:$E$9,Q$9))</f>
        <v>8.6931587032511697E-5</v>
      </c>
      <c r="R23">
        <f>IF($F23="s-curve",$D23+($E23-$D23)*$I$2/(1+EXP($I$3*(COUNT($H$9:R$9)+$I$4))),TREND($D23:$E23,$D$9:$E$9,R$9))</f>
        <v>1.1179711841323839E-4</v>
      </c>
      <c r="S23">
        <f>IF($F23="s-curve",$D23+($E23-$D23)*$I$2/(1+EXP($I$3*(COUNT($H$9:S$9)+$I$4))),TREND($D23:$E23,$D$9:$E$9,S$9))</f>
        <v>1.4185658700018285E-4</v>
      </c>
      <c r="T23">
        <f>IF($F23="s-curve",$D23+($E23-$D23)*$I$2/(1+EXP($I$3*(COUNT($H$9:T$9)+$I$4))),TREND($D23:$E23,$D$9:$E$9,T$9))</f>
        <v>1.7714085182915572E-4</v>
      </c>
      <c r="U23">
        <f>IF($F23="s-curve",$D23+($E23-$D23)*$I$2/(1+EXP($I$3*(COUNT($H$9:U$9)+$I$4))),TREND($D23:$E23,$D$9:$E$9,U$9))</f>
        <v>2.1715494117977539E-4</v>
      </c>
      <c r="V23">
        <f>IF($F23="s-curve",$D23+($E23-$D23)*$I$2/(1+EXP($I$3*(COUNT($H$9:V$9)+$I$4))),TREND($D23:$E23,$D$9:$E$9,V$9))</f>
        <v>2.6079738924114821E-4</v>
      </c>
      <c r="W23">
        <f>IF($F23="s-curve",$D23+($E23-$D23)*$I$2/(1+EXP($I$3*(COUNT($H$9:W$9)+$I$4))),TREND($D23:$E23,$D$9:$E$9,W$9))</f>
        <v>3.0641852105056964E-4</v>
      </c>
      <c r="X23">
        <f>IF($F23="s-curve",$D23+($E23-$D23)*$I$2/(1+EXP($I$3*(COUNT($H$9:X$9)+$I$4))),TREND($D23:$E23,$D$9:$E$9,X$9))</f>
        <v>3.5203965285999107E-4</v>
      </c>
      <c r="Y23">
        <f>IF($F23="s-curve",$D23+($E23-$D23)*$I$2/(1+EXP($I$3*(COUNT($H$9:Y$9)+$I$4))),TREND($D23:$E23,$D$9:$E$9,Y$9))</f>
        <v>3.9568210092136389E-4</v>
      </c>
      <c r="Z23">
        <f>IF($F23="s-curve",$D23+($E23-$D23)*$I$2/(1+EXP($I$3*(COUNT($H$9:Z$9)+$I$4))),TREND($D23:$E23,$D$9:$E$9,Z$9))</f>
        <v>4.3569619027198356E-4</v>
      </c>
      <c r="AA23">
        <f>IF($F23="s-curve",$D23+($E23-$D23)*$I$2/(1+EXP($I$3*(COUNT($H$9:AA$9)+$I$4))),TREND($D23:$E23,$D$9:$E$9,AA$9))</f>
        <v>4.709804551009564E-4</v>
      </c>
      <c r="AB23">
        <f>IF($F23="s-curve",$D23+($E23-$D23)*$I$2/(1+EXP($I$3*(COUNT($H$9:AB$9)+$I$4))),TREND($D23:$E23,$D$9:$E$9,AB$9))</f>
        <v>5.010399236879009E-4</v>
      </c>
      <c r="AC23">
        <f>IF($F23="s-curve",$D23+($E23-$D23)*$I$2/(1+EXP($I$3*(COUNT($H$9:AC$9)+$I$4))),TREND($D23:$E23,$D$9:$E$9,AC$9))</f>
        <v>5.2590545506862765E-4</v>
      </c>
      <c r="AD23">
        <f>IF($F23="s-curve",$D23+($E23-$D23)*$I$2/(1+EXP($I$3*(COUNT($H$9:AD$9)+$I$4))),TREND($D23:$E23,$D$9:$E$9,AD$9))</f>
        <v>5.4597846889698301E-4</v>
      </c>
      <c r="AE23">
        <f>IF($F23="s-curve",$D23+($E23-$D23)*$I$2/(1+EXP($I$3*(COUNT($H$9:AE$9)+$I$4))),TREND($D23:$E23,$D$9:$E$9,AE$9))</f>
        <v>5.6186573279822817E-4</v>
      </c>
      <c r="AF23">
        <f>IF($F23="s-curve",$D23+($E23-$D23)*$I$2/(1+EXP($I$3*(COUNT($H$9:AF$9)+$I$4))),TREND($D23:$E23,$D$9:$E$9,AF$9))</f>
        <v>5.7424463684398771E-4</v>
      </c>
      <c r="AG23">
        <f>IF($F23="s-curve",$D23+($E23-$D23)*$I$2/(1+EXP($I$3*(COUNT($H$9:AG$9)+$I$4))),TREND($D23:$E23,$D$9:$E$9,AG$9))</f>
        <v>5.8377271026393554E-4</v>
      </c>
      <c r="AH23">
        <f>IF($F23="s-curve",$D23+($E23-$D23)*$I$2/(1+EXP($I$3*(COUNT($H$9:AH$9)+$I$4))),TREND($D23:$E23,$D$9:$E$9,AH$9))</f>
        <v>5.9103769968327712E-4</v>
      </c>
      <c r="AI23">
        <f>IF($F23="s-curve",$D23+($E23-$D23)*$I$2/(1+EXP($I$3*(COUNT($H$9:AI$9)+$I$4))),TREND($D23:$E23,$D$9:$E$9,AI$9))</f>
        <v>5.9653741922870976E-4</v>
      </c>
      <c r="AJ23">
        <f>IF($F23="s-curve",$D23+($E23-$D23)*$I$2/(1+EXP($I$3*(COUNT($H$9:AJ$9)+$I$4))),TREND($D23:$E23,$D$9:$E$9,AJ$9))</f>
        <v>6.0067816782068497E-4</v>
      </c>
      <c r="AK23">
        <f>IF($F23="s-curve",$D23+($E23-$D23)*$I$2/(1+EXP($I$3*(COUNT($H$9:AK$9)+$I$4))),TREND($D23:$E23,$D$9:$E$9,AK$9))</f>
        <v>6.0378296821832537E-4</v>
      </c>
      <c r="AL23">
        <f>IF($F23="s-curve",$D23+($E23-$D23)*$I$2/(1+EXP($I$3*(COUNT($H$9:AL$9)+$I$4))),TREND($D23:$E23,$D$9:$E$9,AL$9))</f>
        <v>6.0610383667767168E-4</v>
      </c>
    </row>
    <row r="24" spans="1:38">
      <c r="A24" t="s">
        <v>13</v>
      </c>
      <c r="B24" t="s">
        <v>19</v>
      </c>
      <c r="C24" t="s">
        <v>1</v>
      </c>
      <c r="D24" s="20">
        <f>MIN(1.25*INDEX('SYVbT-passenger'!$B$3:$H$3,MATCH(Data!$C10,'SYVbT-passenger'!$B$1:$H$1,0))/SUM('SYVbT-passenger'!$B$3:$H$3),1)</f>
        <v>7.2747216149611415E-3</v>
      </c>
      <c r="E24" s="26">
        <v>0.8</v>
      </c>
      <c r="F24" s="6" t="str">
        <f>IF(D24=E24,"n/a",IF(OR(C24="battery electric vehicle",C24="natural gas vehicle",C24="plugin hybrid vehicle"),"s-curve","linear"))</f>
        <v>s-curve</v>
      </c>
      <c r="H24" s="20">
        <f t="shared" si="18"/>
        <v>7.2747216149611415E-3</v>
      </c>
      <c r="I24">
        <f>IF($F24="s-curve",$D24+($E24-$D24)*$I$2/(1+EXP($I$3*(COUNT($H$9:I$9)+$I$4))),TREND($D24:$E24,$D$9:$E$9,I$9))</f>
        <v>1.8986470001880411E-2</v>
      </c>
      <c r="J24">
        <f>IF($F24="s-curve",$D24+($E24-$D24)*$I$2/(1+EXP($I$3*(COUNT($H$9:J$9)+$I$4))),TREND($D24:$E24,$D$9:$E$9,J$9))</f>
        <v>2.3002633501252021E-2</v>
      </c>
      <c r="K24">
        <f>IF($F24="s-curve",$D24+($E24-$D24)*$I$2/(1+EXP($I$3*(COUNT($H$9:K$9)+$I$4))),TREND($D24:$E24,$D$9:$E$9,K$9))</f>
        <v>2.8358830752387227E-2</v>
      </c>
      <c r="L24">
        <f>IF($F24="s-curve",$D24+($E24-$D24)*$I$2/(1+EXP($I$3*(COUNT($H$9:L$9)+$I$4))),TREND($D24:$E24,$D$9:$E$9,L$9))</f>
        <v>3.5472902533598569E-2</v>
      </c>
      <c r="M24">
        <f>IF($F24="s-curve",$D24+($E24-$D24)*$I$2/(1+EXP($I$3*(COUNT($H$9:M$9)+$I$4))),TREND($D24:$E24,$D$9:$E$9,M$9))</f>
        <v>4.4870410132301322E-2</v>
      </c>
      <c r="N24">
        <f>IF($F24="s-curve",$D24+($E24-$D24)*$I$2/(1+EXP($I$3*(COUNT($H$9:N$9)+$I$4))),TREND($D24:$E24,$D$9:$E$9,N$9))</f>
        <v>5.7195292826083877E-2</v>
      </c>
      <c r="O24">
        <f>IF($F24="s-curve",$D24+($E24-$D24)*$I$2/(1+EXP($I$3*(COUNT($H$9:O$9)+$I$4))),TREND($D24:$E24,$D$9:$E$9,O$9))</f>
        <v>7.3207820597140094E-2</v>
      </c>
      <c r="P24">
        <f>IF($F24="s-curve",$D24+($E24-$D24)*$I$2/(1+EXP($I$3*(COUNT($H$9:P$9)+$I$4))),TREND($D24:$E24,$D$9:$E$9,P$9))</f>
        <v>9.3758529568176208E-2</v>
      </c>
      <c r="Q24">
        <f>IF($F24="s-curve",$D24+($E24-$D24)*$I$2/(1+EXP($I$3*(COUNT($H$9:Q$9)+$I$4))),TREND($D24:$E24,$D$9:$E$9,Q$9))</f>
        <v>0.11972364652741456</v>
      </c>
      <c r="R24">
        <f>IF($F24="s-curve",$D24+($E24-$D24)*$I$2/(1+EXP($I$3*(COUNT($H$9:R$9)+$I$4))),TREND($D24:$E24,$D$9:$E$9,R$9))</f>
        <v>0.15188804575889153</v>
      </c>
      <c r="S24">
        <f>IF($F24="s-curve",$D24+($E24-$D24)*$I$2/(1+EXP($I$3*(COUNT($H$9:S$9)+$I$4))),TREND($D24:$E24,$D$9:$E$9,S$9))</f>
        <v>0.19077097705493956</v>
      </c>
      <c r="T24">
        <f>IF($F24="s-curve",$D24+($E24-$D24)*$I$2/(1+EXP($I$3*(COUNT($H$9:T$9)+$I$4))),TREND($D24:$E24,$D$9:$E$9,T$9))</f>
        <v>0.23641235761388887</v>
      </c>
      <c r="U24">
        <f>IF($F24="s-curve",$D24+($E24-$D24)*$I$2/(1+EXP($I$3*(COUNT($H$9:U$9)+$I$4))),TREND($D24:$E24,$D$9:$E$9,U$9))</f>
        <v>0.28817192490610039</v>
      </c>
      <c r="V24">
        <f>IF($F24="s-curve",$D24+($E24-$D24)*$I$2/(1+EXP($I$3*(COUNT($H$9:V$9)+$I$4))),TREND($D24:$E24,$D$9:$E$9,V$9))</f>
        <v>0.34462489594427526</v>
      </c>
      <c r="W24">
        <f>IF($F24="s-curve",$D24+($E24-$D24)*$I$2/(1+EXP($I$3*(COUNT($H$9:W$9)+$I$4))),TREND($D24:$E24,$D$9:$E$9,W$9))</f>
        <v>0.40363736080748058</v>
      </c>
      <c r="X24">
        <f>IF($F24="s-curve",$D24+($E24-$D24)*$I$2/(1+EXP($I$3*(COUNT($H$9:X$9)+$I$4))),TREND($D24:$E24,$D$9:$E$9,X$9))</f>
        <v>0.46264982567068591</v>
      </c>
      <c r="Y24">
        <f>IF($F24="s-curve",$D24+($E24-$D24)*$I$2/(1+EXP($I$3*(COUNT($H$9:Y$9)+$I$4))),TREND($D24:$E24,$D$9:$E$9,Y$9))</f>
        <v>0.51910279670886073</v>
      </c>
      <c r="Z24">
        <f>IF($F24="s-curve",$D24+($E24-$D24)*$I$2/(1+EXP($I$3*(COUNT($H$9:Z$9)+$I$4))),TREND($D24:$E24,$D$9:$E$9,Z$9))</f>
        <v>0.57086236400107226</v>
      </c>
      <c r="AA24">
        <f>IF($F24="s-curve",$D24+($E24-$D24)*$I$2/(1+EXP($I$3*(COUNT($H$9:AA$9)+$I$4))),TREND($D24:$E24,$D$9:$E$9,AA$9))</f>
        <v>0.61650374456002166</v>
      </c>
      <c r="AB24">
        <f>IF($F24="s-curve",$D24+($E24-$D24)*$I$2/(1+EXP($I$3*(COUNT($H$9:AB$9)+$I$4))),TREND($D24:$E24,$D$9:$E$9,AB$9))</f>
        <v>0.65538667585606958</v>
      </c>
      <c r="AC24">
        <f>IF($F24="s-curve",$D24+($E24-$D24)*$I$2/(1+EXP($I$3*(COUNT($H$9:AC$9)+$I$4))),TREND($D24:$E24,$D$9:$E$9,AC$9))</f>
        <v>0.68755107508754665</v>
      </c>
      <c r="AD24">
        <f>IF($F24="s-curve",$D24+($E24-$D24)*$I$2/(1+EXP($I$3*(COUNT($H$9:AD$9)+$I$4))),TREND($D24:$E24,$D$9:$E$9,AD$9))</f>
        <v>0.71351619204678496</v>
      </c>
      <c r="AE24">
        <f>IF($F24="s-curve",$D24+($E24-$D24)*$I$2/(1+EXP($I$3*(COUNT($H$9:AE$9)+$I$4))),TREND($D24:$E24,$D$9:$E$9,AE$9))</f>
        <v>0.73406690101782113</v>
      </c>
      <c r="AF24">
        <f>IF($F24="s-curve",$D24+($E24-$D24)*$I$2/(1+EXP($I$3*(COUNT($H$9:AF$9)+$I$4))),TREND($D24:$E24,$D$9:$E$9,AF$9))</f>
        <v>0.75007942878887734</v>
      </c>
      <c r="AG24">
        <f>IF($F24="s-curve",$D24+($E24-$D24)*$I$2/(1+EXP($I$3*(COUNT($H$9:AG$9)+$I$4))),TREND($D24:$E24,$D$9:$E$9,AG$9))</f>
        <v>0.76240431148265997</v>
      </c>
      <c r="AH24">
        <f>IF($F24="s-curve",$D24+($E24-$D24)*$I$2/(1+EXP($I$3*(COUNT($H$9:AH$9)+$I$4))),TREND($D24:$E24,$D$9:$E$9,AH$9))</f>
        <v>0.77180181908136269</v>
      </c>
      <c r="AI24">
        <f>IF($F24="s-curve",$D24+($E24-$D24)*$I$2/(1+EXP($I$3*(COUNT($H$9:AI$9)+$I$4))),TREND($D24:$E24,$D$9:$E$9,AI$9))</f>
        <v>0.77891589086257396</v>
      </c>
      <c r="AJ24">
        <f>IF($F24="s-curve",$D24+($E24-$D24)*$I$2/(1+EXP($I$3*(COUNT($H$9:AJ$9)+$I$4))),TREND($D24:$E24,$D$9:$E$9,AJ$9))</f>
        <v>0.78427208811370919</v>
      </c>
      <c r="AK24">
        <f>IF($F24="s-curve",$D24+($E24-$D24)*$I$2/(1+EXP($I$3*(COUNT($H$9:AK$9)+$I$4))),TREND($D24:$E24,$D$9:$E$9,AK$9))</f>
        <v>0.7882882516130808</v>
      </c>
      <c r="AL24">
        <f>IF($F24="s-curve",$D24+($E24-$D24)*$I$2/(1+EXP($I$3*(COUNT($H$9:AL$9)+$I$4))),TREND($D24:$E24,$D$9:$E$9,AL$9))</f>
        <v>0.79129037284456261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18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f>MIN(1.25*INDEX('SYVbT-passenger'!$B$3:$H$3,MATCH(Data!$C12,'SYVbT-passenger'!$B$1:$H$1,0))/SUM('SYVbT-passenger'!$B$3:$H$3),1)*3</f>
        <v>2.0708630477691714</v>
      </c>
      <c r="E26" s="20">
        <f t="shared" ref="E26:E29" si="20">D26</f>
        <v>2.0708630477691714</v>
      </c>
      <c r="F26" s="6" t="str">
        <f>IF(D26=E26,"n/a",IF(OR(C26="battery electric vehicle",C26="natural gas vehicle",C26="plugin hybrid vehicle"),"s-curve","linear"))</f>
        <v>n/a</v>
      </c>
      <c r="H26" s="20">
        <f t="shared" si="18"/>
        <v>2.0708630477691714</v>
      </c>
      <c r="I26">
        <f>IF($F26="s-curve",$D26+($E26-$D26)*$I$2/(1+EXP($I$3*(COUNT($H$9:I$9)+$I$4))),TREND($D26:$E26,$D$9:$E$9,I$9))</f>
        <v>2.0708630477691714</v>
      </c>
      <c r="J26">
        <f>IF($F26="s-curve",$D26+($E26-$D26)*$I$2/(1+EXP($I$3*(COUNT($H$9:J$9)+$I$4))),TREND($D26:$E26,$D$9:$E$9,J$9))</f>
        <v>2.0708630477691714</v>
      </c>
      <c r="K26">
        <f>IF($F26="s-curve",$D26+($E26-$D26)*$I$2/(1+EXP($I$3*(COUNT($H$9:K$9)+$I$4))),TREND($D26:$E26,$D$9:$E$9,K$9))</f>
        <v>2.0708630477691714</v>
      </c>
      <c r="L26">
        <f>IF($F26="s-curve",$D26+($E26-$D26)*$I$2/(1+EXP($I$3*(COUNT($H$9:L$9)+$I$4))),TREND($D26:$E26,$D$9:$E$9,L$9))</f>
        <v>2.0708630477691714</v>
      </c>
      <c r="M26">
        <f>IF($F26="s-curve",$D26+($E26-$D26)*$I$2/(1+EXP($I$3*(COUNT($H$9:M$9)+$I$4))),TREND($D26:$E26,$D$9:$E$9,M$9))</f>
        <v>2.0708630477691714</v>
      </c>
      <c r="N26">
        <f>IF($F26="s-curve",$D26+($E26-$D26)*$I$2/(1+EXP($I$3*(COUNT($H$9:N$9)+$I$4))),TREND($D26:$E26,$D$9:$E$9,N$9))</f>
        <v>2.0708630477691714</v>
      </c>
      <c r="O26">
        <f>IF($F26="s-curve",$D26+($E26-$D26)*$I$2/(1+EXP($I$3*(COUNT($H$9:O$9)+$I$4))),TREND($D26:$E26,$D$9:$E$9,O$9))</f>
        <v>2.0708630477691714</v>
      </c>
      <c r="P26">
        <f>IF($F26="s-curve",$D26+($E26-$D26)*$I$2/(1+EXP($I$3*(COUNT($H$9:P$9)+$I$4))),TREND($D26:$E26,$D$9:$E$9,P$9))</f>
        <v>2.0708630477691714</v>
      </c>
      <c r="Q26">
        <f>IF($F26="s-curve",$D26+($E26-$D26)*$I$2/(1+EXP($I$3*(COUNT($H$9:Q$9)+$I$4))),TREND($D26:$E26,$D$9:$E$9,Q$9))</f>
        <v>2.0708630477691714</v>
      </c>
      <c r="R26">
        <f>IF($F26="s-curve",$D26+($E26-$D26)*$I$2/(1+EXP($I$3*(COUNT($H$9:R$9)+$I$4))),TREND($D26:$E26,$D$9:$E$9,R$9))</f>
        <v>2.0708630477691714</v>
      </c>
      <c r="S26">
        <f>IF($F26="s-curve",$D26+($E26-$D26)*$I$2/(1+EXP($I$3*(COUNT($H$9:S$9)+$I$4))),TREND($D26:$E26,$D$9:$E$9,S$9))</f>
        <v>2.0708630477691714</v>
      </c>
      <c r="T26">
        <f>IF($F26="s-curve",$D26+($E26-$D26)*$I$2/(1+EXP($I$3*(COUNT($H$9:T$9)+$I$4))),TREND($D26:$E26,$D$9:$E$9,T$9))</f>
        <v>2.0708630477691714</v>
      </c>
      <c r="U26">
        <f>IF($F26="s-curve",$D26+($E26-$D26)*$I$2/(1+EXP($I$3*(COUNT($H$9:U$9)+$I$4))),TREND($D26:$E26,$D$9:$E$9,U$9))</f>
        <v>2.0708630477691714</v>
      </c>
      <c r="V26">
        <f>IF($F26="s-curve",$D26+($E26-$D26)*$I$2/(1+EXP($I$3*(COUNT($H$9:V$9)+$I$4))),TREND($D26:$E26,$D$9:$E$9,V$9))</f>
        <v>2.0708630477691714</v>
      </c>
      <c r="W26">
        <f>IF($F26="s-curve",$D26+($E26-$D26)*$I$2/(1+EXP($I$3*(COUNT($H$9:W$9)+$I$4))),TREND($D26:$E26,$D$9:$E$9,W$9))</f>
        <v>2.0708630477691714</v>
      </c>
      <c r="X26">
        <f>IF($F26="s-curve",$D26+($E26-$D26)*$I$2/(1+EXP($I$3*(COUNT($H$9:X$9)+$I$4))),TREND($D26:$E26,$D$9:$E$9,X$9))</f>
        <v>2.0708630477691714</v>
      </c>
      <c r="Y26">
        <f>IF($F26="s-curve",$D26+($E26-$D26)*$I$2/(1+EXP($I$3*(COUNT($H$9:Y$9)+$I$4))),TREND($D26:$E26,$D$9:$E$9,Y$9))</f>
        <v>2.0708630477691714</v>
      </c>
      <c r="Z26">
        <f>IF($F26="s-curve",$D26+($E26-$D26)*$I$2/(1+EXP($I$3*(COUNT($H$9:Z$9)+$I$4))),TREND($D26:$E26,$D$9:$E$9,Z$9))</f>
        <v>2.0708630477691714</v>
      </c>
      <c r="AA26">
        <f>IF($F26="s-curve",$D26+($E26-$D26)*$I$2/(1+EXP($I$3*(COUNT($H$9:AA$9)+$I$4))),TREND($D26:$E26,$D$9:$E$9,AA$9))</f>
        <v>2.0708630477691714</v>
      </c>
      <c r="AB26">
        <f>IF($F26="s-curve",$D26+($E26-$D26)*$I$2/(1+EXP($I$3*(COUNT($H$9:AB$9)+$I$4))),TREND($D26:$E26,$D$9:$E$9,AB$9))</f>
        <v>2.0708630477691714</v>
      </c>
      <c r="AC26">
        <f>IF($F26="s-curve",$D26+($E26-$D26)*$I$2/(1+EXP($I$3*(COUNT($H$9:AC$9)+$I$4))),TREND($D26:$E26,$D$9:$E$9,AC$9))</f>
        <v>2.0708630477691714</v>
      </c>
      <c r="AD26">
        <f>IF($F26="s-curve",$D26+($E26-$D26)*$I$2/(1+EXP($I$3*(COUNT($H$9:AD$9)+$I$4))),TREND($D26:$E26,$D$9:$E$9,AD$9))</f>
        <v>2.0708630477691714</v>
      </c>
      <c r="AE26">
        <f>IF($F26="s-curve",$D26+($E26-$D26)*$I$2/(1+EXP($I$3*(COUNT($H$9:AE$9)+$I$4))),TREND($D26:$E26,$D$9:$E$9,AE$9))</f>
        <v>2.0708630477691714</v>
      </c>
      <c r="AF26">
        <f>IF($F26="s-curve",$D26+($E26-$D26)*$I$2/(1+EXP($I$3*(COUNT($H$9:AF$9)+$I$4))),TREND($D26:$E26,$D$9:$E$9,AF$9))</f>
        <v>2.0708630477691714</v>
      </c>
      <c r="AG26">
        <f>IF($F26="s-curve",$D26+($E26-$D26)*$I$2/(1+EXP($I$3*(COUNT($H$9:AG$9)+$I$4))),TREND($D26:$E26,$D$9:$E$9,AG$9))</f>
        <v>2.0708630477691714</v>
      </c>
      <c r="AH26">
        <f>IF($F26="s-curve",$D26+($E26-$D26)*$I$2/(1+EXP($I$3*(COUNT($H$9:AH$9)+$I$4))),TREND($D26:$E26,$D$9:$E$9,AH$9))</f>
        <v>2.0708630477691714</v>
      </c>
      <c r="AI26">
        <f>IF($F26="s-curve",$D26+($E26-$D26)*$I$2/(1+EXP($I$3*(COUNT($H$9:AI$9)+$I$4))),TREND($D26:$E26,$D$9:$E$9,AI$9))</f>
        <v>2.0708630477691714</v>
      </c>
      <c r="AJ26">
        <f>IF($F26="s-curve",$D26+($E26-$D26)*$I$2/(1+EXP($I$3*(COUNT($H$9:AJ$9)+$I$4))),TREND($D26:$E26,$D$9:$E$9,AJ$9))</f>
        <v>2.0708630477691714</v>
      </c>
      <c r="AK26">
        <f>IF($F26="s-curve",$D26+($E26-$D26)*$I$2/(1+EXP($I$3*(COUNT($H$9:AK$9)+$I$4))),TREND($D26:$E26,$D$9:$E$9,AK$9))</f>
        <v>2.0708630477691714</v>
      </c>
      <c r="AL26">
        <f>IF($F26="s-curve",$D26+($E26-$D26)*$I$2/(1+EXP($I$3*(COUNT($H$9:AL$9)+$I$4))),TREND($D26:$E26,$D$9:$E$9,AL$9))</f>
        <v>2.0708630477691714</v>
      </c>
    </row>
    <row r="27" spans="1:38">
      <c r="C27" t="s">
        <v>4</v>
      </c>
      <c r="D27" s="20">
        <f>MIN(1.25*INDEX('SYVbT-passenger'!$B$3:$H$3,MATCH(Data!$C13,'SYVbT-passenger'!$B$1:$H$1,0))/SUM('SYVbT-passenger'!$B$3:$H$3),1)*3</f>
        <v>1.1886920057569821</v>
      </c>
      <c r="E27" s="20">
        <f t="shared" si="20"/>
        <v>1.1886920057569821</v>
      </c>
      <c r="F27" s="6" t="str">
        <f>IF(D27=E27,"n/a",IF(OR(C27="battery electric vehicle",C27="natural gas vehicle",C27="plugin hybrid vehicle"),"s-curve","linear"))</f>
        <v>n/a</v>
      </c>
      <c r="H27" s="20">
        <f t="shared" si="18"/>
        <v>1.1886920057569821</v>
      </c>
      <c r="I27">
        <f>IF($F27="s-curve",$D27+($E27-$D27)*$I$2/(1+EXP($I$3*(COUNT($H$9:I$9)+$I$4))),TREND($D27:$E27,$D$9:$E$9,I$9))</f>
        <v>1.1886920057569821</v>
      </c>
      <c r="J27">
        <f>IF($F27="s-curve",$D27+($E27-$D27)*$I$2/(1+EXP($I$3*(COUNT($H$9:J$9)+$I$4))),TREND($D27:$E27,$D$9:$E$9,J$9))</f>
        <v>1.1886920057569821</v>
      </c>
      <c r="K27">
        <f>IF($F27="s-curve",$D27+($E27-$D27)*$I$2/(1+EXP($I$3*(COUNT($H$9:K$9)+$I$4))),TREND($D27:$E27,$D$9:$E$9,K$9))</f>
        <v>1.1886920057569821</v>
      </c>
      <c r="L27">
        <f>IF($F27="s-curve",$D27+($E27-$D27)*$I$2/(1+EXP($I$3*(COUNT($H$9:L$9)+$I$4))),TREND($D27:$E27,$D$9:$E$9,L$9))</f>
        <v>1.1886920057569821</v>
      </c>
      <c r="M27">
        <f>IF($F27="s-curve",$D27+($E27-$D27)*$I$2/(1+EXP($I$3*(COUNT($H$9:M$9)+$I$4))),TREND($D27:$E27,$D$9:$E$9,M$9))</f>
        <v>1.1886920057569821</v>
      </c>
      <c r="N27">
        <f>IF($F27="s-curve",$D27+($E27-$D27)*$I$2/(1+EXP($I$3*(COUNT($H$9:N$9)+$I$4))),TREND($D27:$E27,$D$9:$E$9,N$9))</f>
        <v>1.1886920057569821</v>
      </c>
      <c r="O27">
        <f>IF($F27="s-curve",$D27+($E27-$D27)*$I$2/(1+EXP($I$3*(COUNT($H$9:O$9)+$I$4))),TREND($D27:$E27,$D$9:$E$9,O$9))</f>
        <v>1.1886920057569821</v>
      </c>
      <c r="P27">
        <f>IF($F27="s-curve",$D27+($E27-$D27)*$I$2/(1+EXP($I$3*(COUNT($H$9:P$9)+$I$4))),TREND($D27:$E27,$D$9:$E$9,P$9))</f>
        <v>1.1886920057569821</v>
      </c>
      <c r="Q27">
        <f>IF($F27="s-curve",$D27+($E27-$D27)*$I$2/(1+EXP($I$3*(COUNT($H$9:Q$9)+$I$4))),TREND($D27:$E27,$D$9:$E$9,Q$9))</f>
        <v>1.1886920057569821</v>
      </c>
      <c r="R27">
        <f>IF($F27="s-curve",$D27+($E27-$D27)*$I$2/(1+EXP($I$3*(COUNT($H$9:R$9)+$I$4))),TREND($D27:$E27,$D$9:$E$9,R$9))</f>
        <v>1.1886920057569821</v>
      </c>
      <c r="S27">
        <f>IF($F27="s-curve",$D27+($E27-$D27)*$I$2/(1+EXP($I$3*(COUNT($H$9:S$9)+$I$4))),TREND($D27:$E27,$D$9:$E$9,S$9))</f>
        <v>1.1886920057569821</v>
      </c>
      <c r="T27">
        <f>IF($F27="s-curve",$D27+($E27-$D27)*$I$2/(1+EXP($I$3*(COUNT($H$9:T$9)+$I$4))),TREND($D27:$E27,$D$9:$E$9,T$9))</f>
        <v>1.1886920057569821</v>
      </c>
      <c r="U27">
        <f>IF($F27="s-curve",$D27+($E27-$D27)*$I$2/(1+EXP($I$3*(COUNT($H$9:U$9)+$I$4))),TREND($D27:$E27,$D$9:$E$9,U$9))</f>
        <v>1.1886920057569821</v>
      </c>
      <c r="V27">
        <f>IF($F27="s-curve",$D27+($E27-$D27)*$I$2/(1+EXP($I$3*(COUNT($H$9:V$9)+$I$4))),TREND($D27:$E27,$D$9:$E$9,V$9))</f>
        <v>1.1886920057569821</v>
      </c>
      <c r="W27">
        <f>IF($F27="s-curve",$D27+($E27-$D27)*$I$2/(1+EXP($I$3*(COUNT($H$9:W$9)+$I$4))),TREND($D27:$E27,$D$9:$E$9,W$9))</f>
        <v>1.1886920057569821</v>
      </c>
      <c r="X27">
        <f>IF($F27="s-curve",$D27+($E27-$D27)*$I$2/(1+EXP($I$3*(COUNT($H$9:X$9)+$I$4))),TREND($D27:$E27,$D$9:$E$9,X$9))</f>
        <v>1.1886920057569821</v>
      </c>
      <c r="Y27">
        <f>IF($F27="s-curve",$D27+($E27-$D27)*$I$2/(1+EXP($I$3*(COUNT($H$9:Y$9)+$I$4))),TREND($D27:$E27,$D$9:$E$9,Y$9))</f>
        <v>1.1886920057569821</v>
      </c>
      <c r="Z27">
        <f>IF($F27="s-curve",$D27+($E27-$D27)*$I$2/(1+EXP($I$3*(COUNT($H$9:Z$9)+$I$4))),TREND($D27:$E27,$D$9:$E$9,Z$9))</f>
        <v>1.1886920057569821</v>
      </c>
      <c r="AA27">
        <f>IF($F27="s-curve",$D27+($E27-$D27)*$I$2/(1+EXP($I$3*(COUNT($H$9:AA$9)+$I$4))),TREND($D27:$E27,$D$9:$E$9,AA$9))</f>
        <v>1.1886920057569821</v>
      </c>
      <c r="AB27">
        <f>IF($F27="s-curve",$D27+($E27-$D27)*$I$2/(1+EXP($I$3*(COUNT($H$9:AB$9)+$I$4))),TREND($D27:$E27,$D$9:$E$9,AB$9))</f>
        <v>1.1886920057569821</v>
      </c>
      <c r="AC27">
        <f>IF($F27="s-curve",$D27+($E27-$D27)*$I$2/(1+EXP($I$3*(COUNT($H$9:AC$9)+$I$4))),TREND($D27:$E27,$D$9:$E$9,AC$9))</f>
        <v>1.1886920057569821</v>
      </c>
      <c r="AD27">
        <f>IF($F27="s-curve",$D27+($E27-$D27)*$I$2/(1+EXP($I$3*(COUNT($H$9:AD$9)+$I$4))),TREND($D27:$E27,$D$9:$E$9,AD$9))</f>
        <v>1.1886920057569821</v>
      </c>
      <c r="AE27">
        <f>IF($F27="s-curve",$D27+($E27-$D27)*$I$2/(1+EXP($I$3*(COUNT($H$9:AE$9)+$I$4))),TREND($D27:$E27,$D$9:$E$9,AE$9))</f>
        <v>1.1886920057569821</v>
      </c>
      <c r="AF27">
        <f>IF($F27="s-curve",$D27+($E27-$D27)*$I$2/(1+EXP($I$3*(COUNT($H$9:AF$9)+$I$4))),TREND($D27:$E27,$D$9:$E$9,AF$9))</f>
        <v>1.1886920057569821</v>
      </c>
      <c r="AG27">
        <f>IF($F27="s-curve",$D27+($E27-$D27)*$I$2/(1+EXP($I$3*(COUNT($H$9:AG$9)+$I$4))),TREND($D27:$E27,$D$9:$E$9,AG$9))</f>
        <v>1.1886920057569821</v>
      </c>
      <c r="AH27">
        <f>IF($F27="s-curve",$D27+($E27-$D27)*$I$2/(1+EXP($I$3*(COUNT($H$9:AH$9)+$I$4))),TREND($D27:$E27,$D$9:$E$9,AH$9))</f>
        <v>1.1886920057569821</v>
      </c>
      <c r="AI27">
        <f>IF($F27="s-curve",$D27+($E27-$D27)*$I$2/(1+EXP($I$3*(COUNT($H$9:AI$9)+$I$4))),TREND($D27:$E27,$D$9:$E$9,AI$9))</f>
        <v>1.1886920057569821</v>
      </c>
      <c r="AJ27">
        <f>IF($F27="s-curve",$D27+($E27-$D27)*$I$2/(1+EXP($I$3*(COUNT($H$9:AJ$9)+$I$4))),TREND($D27:$E27,$D$9:$E$9,AJ$9))</f>
        <v>1.1886920057569821</v>
      </c>
      <c r="AK27">
        <f>IF($F27="s-curve",$D27+($E27-$D27)*$I$2/(1+EXP($I$3*(COUNT($H$9:AK$9)+$I$4))),TREND($D27:$E27,$D$9:$E$9,AK$9))</f>
        <v>1.1886920057569821</v>
      </c>
      <c r="AL27">
        <f>IF($F27="s-curve",$D27+($E27-$D27)*$I$2/(1+EXP($I$3*(COUNT($H$9:AL$9)+$I$4))),TREND($D27:$E27,$D$9:$E$9,AL$9))</f>
        <v>1.1886920057569821</v>
      </c>
    </row>
    <row r="28" spans="1:38">
      <c r="C28" t="s">
        <v>5</v>
      </c>
      <c r="D28" s="20">
        <f>MIN(1.25*INDEX('SYVbT-passenger'!$B$3:$H$3,MATCH(Data!$C14,'SYVbT-passenger'!$B$1:$H$1,0))/SUM('SYVbT-passenger'!$B$3:$H$3),1)</f>
        <v>4.0868310546055435E-2</v>
      </c>
      <c r="E28" s="20">
        <f t="shared" si="20"/>
        <v>4.0868310546055435E-2</v>
      </c>
      <c r="F28" s="6" t="str">
        <f>IF(D28=E28,"n/a",IF(OR(C28="battery electric vehicle",C28="natural gas vehicle",C28="plugin hybrid vehicle"),"s-curve","linear"))</f>
        <v>n/a</v>
      </c>
      <c r="H28" s="20">
        <f t="shared" si="18"/>
        <v>4.0868310546055435E-2</v>
      </c>
      <c r="I28">
        <f>IF($F28="s-curve",$D28+($E28-$D28)*$I$2/(1+EXP($I$3*(COUNT($H$9:I$9)+$I$4))),TREND($D28:$E28,$D$9:$E$9,I$9))</f>
        <v>4.0868310546055435E-2</v>
      </c>
      <c r="J28">
        <f>IF($F28="s-curve",$D28+($E28-$D28)*$I$2/(1+EXP($I$3*(COUNT($H$9:J$9)+$I$4))),TREND($D28:$E28,$D$9:$E$9,J$9))</f>
        <v>4.0868310546055435E-2</v>
      </c>
      <c r="K28">
        <f>IF($F28="s-curve",$D28+($E28-$D28)*$I$2/(1+EXP($I$3*(COUNT($H$9:K$9)+$I$4))),TREND($D28:$E28,$D$9:$E$9,K$9))</f>
        <v>4.0868310546055435E-2</v>
      </c>
      <c r="L28">
        <f>IF($F28="s-curve",$D28+($E28-$D28)*$I$2/(1+EXP($I$3*(COUNT($H$9:L$9)+$I$4))),TREND($D28:$E28,$D$9:$E$9,L$9))</f>
        <v>4.0868310546055435E-2</v>
      </c>
      <c r="M28">
        <f>IF($F28="s-curve",$D28+($E28-$D28)*$I$2/(1+EXP($I$3*(COUNT($H$9:M$9)+$I$4))),TREND($D28:$E28,$D$9:$E$9,M$9))</f>
        <v>4.0868310546055435E-2</v>
      </c>
      <c r="N28">
        <f>IF($F28="s-curve",$D28+($E28-$D28)*$I$2/(1+EXP($I$3*(COUNT($H$9:N$9)+$I$4))),TREND($D28:$E28,$D$9:$E$9,N$9))</f>
        <v>4.0868310546055435E-2</v>
      </c>
      <c r="O28">
        <f>IF($F28="s-curve",$D28+($E28-$D28)*$I$2/(1+EXP($I$3*(COUNT($H$9:O$9)+$I$4))),TREND($D28:$E28,$D$9:$E$9,O$9))</f>
        <v>4.0868310546055435E-2</v>
      </c>
      <c r="P28">
        <f>IF($F28="s-curve",$D28+($E28-$D28)*$I$2/(1+EXP($I$3*(COUNT($H$9:P$9)+$I$4))),TREND($D28:$E28,$D$9:$E$9,P$9))</f>
        <v>4.0868310546055435E-2</v>
      </c>
      <c r="Q28">
        <f>IF($F28="s-curve",$D28+($E28-$D28)*$I$2/(1+EXP($I$3*(COUNT($H$9:Q$9)+$I$4))),TREND($D28:$E28,$D$9:$E$9,Q$9))</f>
        <v>4.0868310546055435E-2</v>
      </c>
      <c r="R28">
        <f>IF($F28="s-curve",$D28+($E28-$D28)*$I$2/(1+EXP($I$3*(COUNT($H$9:R$9)+$I$4))),TREND($D28:$E28,$D$9:$E$9,R$9))</f>
        <v>4.0868310546055435E-2</v>
      </c>
      <c r="S28">
        <f>IF($F28="s-curve",$D28+($E28-$D28)*$I$2/(1+EXP($I$3*(COUNT($H$9:S$9)+$I$4))),TREND($D28:$E28,$D$9:$E$9,S$9))</f>
        <v>4.0868310546055435E-2</v>
      </c>
      <c r="T28">
        <f>IF($F28="s-curve",$D28+($E28-$D28)*$I$2/(1+EXP($I$3*(COUNT($H$9:T$9)+$I$4))),TREND($D28:$E28,$D$9:$E$9,T$9))</f>
        <v>4.0868310546055435E-2</v>
      </c>
      <c r="U28">
        <f>IF($F28="s-curve",$D28+($E28-$D28)*$I$2/(1+EXP($I$3*(COUNT($H$9:U$9)+$I$4))),TREND($D28:$E28,$D$9:$E$9,U$9))</f>
        <v>4.0868310546055435E-2</v>
      </c>
      <c r="V28">
        <f>IF($F28="s-curve",$D28+($E28-$D28)*$I$2/(1+EXP($I$3*(COUNT($H$9:V$9)+$I$4))),TREND($D28:$E28,$D$9:$E$9,V$9))</f>
        <v>4.0868310546055435E-2</v>
      </c>
      <c r="W28">
        <f>IF($F28="s-curve",$D28+($E28-$D28)*$I$2/(1+EXP($I$3*(COUNT($H$9:W$9)+$I$4))),TREND($D28:$E28,$D$9:$E$9,W$9))</f>
        <v>4.0868310546055435E-2</v>
      </c>
      <c r="X28">
        <f>IF($F28="s-curve",$D28+($E28-$D28)*$I$2/(1+EXP($I$3*(COUNT($H$9:X$9)+$I$4))),TREND($D28:$E28,$D$9:$E$9,X$9))</f>
        <v>4.0868310546055435E-2</v>
      </c>
      <c r="Y28">
        <f>IF($F28="s-curve",$D28+($E28-$D28)*$I$2/(1+EXP($I$3*(COUNT($H$9:Y$9)+$I$4))),TREND($D28:$E28,$D$9:$E$9,Y$9))</f>
        <v>4.0868310546055435E-2</v>
      </c>
      <c r="Z28">
        <f>IF($F28="s-curve",$D28+($E28-$D28)*$I$2/(1+EXP($I$3*(COUNT($H$9:Z$9)+$I$4))),TREND($D28:$E28,$D$9:$E$9,Z$9))</f>
        <v>4.0868310546055435E-2</v>
      </c>
      <c r="AA28">
        <f>IF($F28="s-curve",$D28+($E28-$D28)*$I$2/(1+EXP($I$3*(COUNT($H$9:AA$9)+$I$4))),TREND($D28:$E28,$D$9:$E$9,AA$9))</f>
        <v>4.0868310546055435E-2</v>
      </c>
      <c r="AB28">
        <f>IF($F28="s-curve",$D28+($E28-$D28)*$I$2/(1+EXP($I$3*(COUNT($H$9:AB$9)+$I$4))),TREND($D28:$E28,$D$9:$E$9,AB$9))</f>
        <v>4.0868310546055435E-2</v>
      </c>
      <c r="AC28">
        <f>IF($F28="s-curve",$D28+($E28-$D28)*$I$2/(1+EXP($I$3*(COUNT($H$9:AC$9)+$I$4))),TREND($D28:$E28,$D$9:$E$9,AC$9))</f>
        <v>4.0868310546055435E-2</v>
      </c>
      <c r="AD28">
        <f>IF($F28="s-curve",$D28+($E28-$D28)*$I$2/(1+EXP($I$3*(COUNT($H$9:AD$9)+$I$4))),TREND($D28:$E28,$D$9:$E$9,AD$9))</f>
        <v>4.0868310546055435E-2</v>
      </c>
      <c r="AE28">
        <f>IF($F28="s-curve",$D28+($E28-$D28)*$I$2/(1+EXP($I$3*(COUNT($H$9:AE$9)+$I$4))),TREND($D28:$E28,$D$9:$E$9,AE$9))</f>
        <v>4.0868310546055435E-2</v>
      </c>
      <c r="AF28">
        <f>IF($F28="s-curve",$D28+($E28-$D28)*$I$2/(1+EXP($I$3*(COUNT($H$9:AF$9)+$I$4))),TREND($D28:$E28,$D$9:$E$9,AF$9))</f>
        <v>4.0868310546055435E-2</v>
      </c>
      <c r="AG28">
        <f>IF($F28="s-curve",$D28+($E28-$D28)*$I$2/(1+EXP($I$3*(COUNT($H$9:AG$9)+$I$4))),TREND($D28:$E28,$D$9:$E$9,AG$9))</f>
        <v>4.0868310546055435E-2</v>
      </c>
      <c r="AH28">
        <f>IF($F28="s-curve",$D28+($E28-$D28)*$I$2/(1+EXP($I$3*(COUNT($H$9:AH$9)+$I$4))),TREND($D28:$E28,$D$9:$E$9,AH$9))</f>
        <v>4.0868310546055435E-2</v>
      </c>
      <c r="AI28">
        <f>IF($F28="s-curve",$D28+($E28-$D28)*$I$2/(1+EXP($I$3*(COUNT($H$9:AI$9)+$I$4))),TREND($D28:$E28,$D$9:$E$9,AI$9))</f>
        <v>4.0868310546055435E-2</v>
      </c>
      <c r="AJ28">
        <f>IF($F28="s-curve",$D28+($E28-$D28)*$I$2/(1+EXP($I$3*(COUNT($H$9:AJ$9)+$I$4))),TREND($D28:$E28,$D$9:$E$9,AJ$9))</f>
        <v>4.0868310546055435E-2</v>
      </c>
      <c r="AK28">
        <f>IF($F28="s-curve",$D28+($E28-$D28)*$I$2/(1+EXP($I$3*(COUNT($H$9:AK$9)+$I$4))),TREND($D28:$E28,$D$9:$E$9,AK$9))</f>
        <v>4.0868310546055435E-2</v>
      </c>
      <c r="AL28">
        <f>IF($F28="s-curve",$D28+($E28-$D28)*$I$2/(1+EXP($I$3*(COUNT($H$9:AL$9)+$I$4))),TREND($D28:$E28,$D$9:$E$9,AL$9))</f>
        <v>4.0868310546055435E-2</v>
      </c>
    </row>
    <row r="29" spans="1:38">
      <c r="C29" t="s">
        <v>78</v>
      </c>
      <c r="D29" s="20">
        <f>MIN(1.25*INDEX('SYVbT-passenger'!$B$3:$H$3,MATCH(Data!$C15,'SYVbT-passenger'!$B$1:$H$1,0))/SUM('SYVbT-passenger'!$B$3:$H$3),1)</f>
        <v>0.11252178195802712</v>
      </c>
      <c r="E29" s="20">
        <f t="shared" si="20"/>
        <v>0.11252178195802712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18"/>
        <v>0.11252178195802712</v>
      </c>
      <c r="I29">
        <f>IF($F29="s-curve",$D29+($E29-$D29)*$I$2/(1+EXP($I$3*(COUNT($H$9:I$9)+$I$4))),TREND($D29:$E29,$D$9:$E$9,I$9))</f>
        <v>0.11252178195802712</v>
      </c>
      <c r="J29">
        <f>IF($F29="s-curve",$D29+($E29-$D29)*$I$2/(1+EXP($I$3*(COUNT($H$9:J$9)+$I$4))),TREND($D29:$E29,$D$9:$E$9,J$9))</f>
        <v>0.11252178195802712</v>
      </c>
      <c r="K29">
        <f>IF($F29="s-curve",$D29+($E29-$D29)*$I$2/(1+EXP($I$3*(COUNT($H$9:K$9)+$I$4))),TREND($D29:$E29,$D$9:$E$9,K$9))</f>
        <v>0.11252178195802712</v>
      </c>
      <c r="L29">
        <f>IF($F29="s-curve",$D29+($E29-$D29)*$I$2/(1+EXP($I$3*(COUNT($H$9:L$9)+$I$4))),TREND($D29:$E29,$D$9:$E$9,L$9))</f>
        <v>0.11252178195802712</v>
      </c>
      <c r="M29">
        <f>IF($F29="s-curve",$D29+($E29-$D29)*$I$2/(1+EXP($I$3*(COUNT($H$9:M$9)+$I$4))),TREND($D29:$E29,$D$9:$E$9,M$9))</f>
        <v>0.11252178195802712</v>
      </c>
      <c r="N29">
        <f>IF($F29="s-curve",$D29+($E29-$D29)*$I$2/(1+EXP($I$3*(COUNT($H$9:N$9)+$I$4))),TREND($D29:$E29,$D$9:$E$9,N$9))</f>
        <v>0.11252178195802712</v>
      </c>
      <c r="O29">
        <f>IF($F29="s-curve",$D29+($E29-$D29)*$I$2/(1+EXP($I$3*(COUNT($H$9:O$9)+$I$4))),TREND($D29:$E29,$D$9:$E$9,O$9))</f>
        <v>0.11252178195802712</v>
      </c>
      <c r="P29">
        <f>IF($F29="s-curve",$D29+($E29-$D29)*$I$2/(1+EXP($I$3*(COUNT($H$9:P$9)+$I$4))),TREND($D29:$E29,$D$9:$E$9,P$9))</f>
        <v>0.11252178195802712</v>
      </c>
      <c r="Q29">
        <f>IF($F29="s-curve",$D29+($E29-$D29)*$I$2/(1+EXP($I$3*(COUNT($H$9:Q$9)+$I$4))),TREND($D29:$E29,$D$9:$E$9,Q$9))</f>
        <v>0.11252178195802712</v>
      </c>
      <c r="R29">
        <f>IF($F29="s-curve",$D29+($E29-$D29)*$I$2/(1+EXP($I$3*(COUNT($H$9:R$9)+$I$4))),TREND($D29:$E29,$D$9:$E$9,R$9))</f>
        <v>0.11252178195802712</v>
      </c>
      <c r="S29">
        <f>IF($F29="s-curve",$D29+($E29-$D29)*$I$2/(1+EXP($I$3*(COUNT($H$9:S$9)+$I$4))),TREND($D29:$E29,$D$9:$E$9,S$9))</f>
        <v>0.11252178195802712</v>
      </c>
      <c r="T29">
        <f>IF($F29="s-curve",$D29+($E29-$D29)*$I$2/(1+EXP($I$3*(COUNT($H$9:T$9)+$I$4))),TREND($D29:$E29,$D$9:$E$9,T$9))</f>
        <v>0.11252178195802712</v>
      </c>
      <c r="U29">
        <f>IF($F29="s-curve",$D29+($E29-$D29)*$I$2/(1+EXP($I$3*(COUNT($H$9:U$9)+$I$4))),TREND($D29:$E29,$D$9:$E$9,U$9))</f>
        <v>0.11252178195802712</v>
      </c>
      <c r="V29">
        <f>IF($F29="s-curve",$D29+($E29-$D29)*$I$2/(1+EXP($I$3*(COUNT($H$9:V$9)+$I$4))),TREND($D29:$E29,$D$9:$E$9,V$9))</f>
        <v>0.11252178195802712</v>
      </c>
      <c r="W29">
        <f>IF($F29="s-curve",$D29+($E29-$D29)*$I$2/(1+EXP($I$3*(COUNT($H$9:W$9)+$I$4))),TREND($D29:$E29,$D$9:$E$9,W$9))</f>
        <v>0.11252178195802712</v>
      </c>
      <c r="X29">
        <f>IF($F29="s-curve",$D29+($E29-$D29)*$I$2/(1+EXP($I$3*(COUNT($H$9:X$9)+$I$4))),TREND($D29:$E29,$D$9:$E$9,X$9))</f>
        <v>0.11252178195802712</v>
      </c>
      <c r="Y29">
        <f>IF($F29="s-curve",$D29+($E29-$D29)*$I$2/(1+EXP($I$3*(COUNT($H$9:Y$9)+$I$4))),TREND($D29:$E29,$D$9:$E$9,Y$9))</f>
        <v>0.11252178195802712</v>
      </c>
      <c r="Z29">
        <f>IF($F29="s-curve",$D29+($E29-$D29)*$I$2/(1+EXP($I$3*(COUNT($H$9:Z$9)+$I$4))),TREND($D29:$E29,$D$9:$E$9,Z$9))</f>
        <v>0.11252178195802712</v>
      </c>
      <c r="AA29">
        <f>IF($F29="s-curve",$D29+($E29-$D29)*$I$2/(1+EXP($I$3*(COUNT($H$9:AA$9)+$I$4))),TREND($D29:$E29,$D$9:$E$9,AA$9))</f>
        <v>0.11252178195802712</v>
      </c>
      <c r="AB29">
        <f>IF($F29="s-curve",$D29+($E29-$D29)*$I$2/(1+EXP($I$3*(COUNT($H$9:AB$9)+$I$4))),TREND($D29:$E29,$D$9:$E$9,AB$9))</f>
        <v>0.11252178195802712</v>
      </c>
      <c r="AC29">
        <f>IF($F29="s-curve",$D29+($E29-$D29)*$I$2/(1+EXP($I$3*(COUNT($H$9:AC$9)+$I$4))),TREND($D29:$E29,$D$9:$E$9,AC$9))</f>
        <v>0.11252178195802712</v>
      </c>
      <c r="AD29">
        <f>IF($F29="s-curve",$D29+($E29-$D29)*$I$2/(1+EXP($I$3*(COUNT($H$9:AD$9)+$I$4))),TREND($D29:$E29,$D$9:$E$9,AD$9))</f>
        <v>0.11252178195802712</v>
      </c>
      <c r="AE29">
        <f>IF($F29="s-curve",$D29+($E29-$D29)*$I$2/(1+EXP($I$3*(COUNT($H$9:AE$9)+$I$4))),TREND($D29:$E29,$D$9:$E$9,AE$9))</f>
        <v>0.11252178195802712</v>
      </c>
      <c r="AF29">
        <f>IF($F29="s-curve",$D29+($E29-$D29)*$I$2/(1+EXP($I$3*(COUNT($H$9:AF$9)+$I$4))),TREND($D29:$E29,$D$9:$E$9,AF$9))</f>
        <v>0.11252178195802712</v>
      </c>
      <c r="AG29">
        <f>IF($F29="s-curve",$D29+($E29-$D29)*$I$2/(1+EXP($I$3*(COUNT($H$9:AG$9)+$I$4))),TREND($D29:$E29,$D$9:$E$9,AG$9))</f>
        <v>0.11252178195802712</v>
      </c>
      <c r="AH29">
        <f>IF($F29="s-curve",$D29+($E29-$D29)*$I$2/(1+EXP($I$3*(COUNT($H$9:AH$9)+$I$4))),TREND($D29:$E29,$D$9:$E$9,AH$9))</f>
        <v>0.11252178195802712</v>
      </c>
      <c r="AI29">
        <f>IF($F29="s-curve",$D29+($E29-$D29)*$I$2/(1+EXP($I$3*(COUNT($H$9:AI$9)+$I$4))),TREND($D29:$E29,$D$9:$E$9,AI$9))</f>
        <v>0.11252178195802712</v>
      </c>
      <c r="AJ29">
        <f>IF($F29="s-curve",$D29+($E29-$D29)*$I$2/(1+EXP($I$3*(COUNT($H$9:AJ$9)+$I$4))),TREND($D29:$E29,$D$9:$E$9,AJ$9))</f>
        <v>0.11252178195802712</v>
      </c>
      <c r="AK29">
        <f>IF($F29="s-curve",$D29+($E29-$D29)*$I$2/(1+EXP($I$3*(COUNT($H$9:AK$9)+$I$4))),TREND($D29:$E29,$D$9:$E$9,AK$9))</f>
        <v>0.11252178195802712</v>
      </c>
      <c r="AL29">
        <f>IF($F29="s-curve",$D29+($E29-$D29)*$I$2/(1+EXP($I$3*(COUNT($H$9:AL$9)+$I$4))),TREND($D29:$E29,$D$9:$E$9,AL$9))</f>
        <v>0.11252178195802712</v>
      </c>
    </row>
    <row r="30" spans="1:38" ht="15" thickBot="1">
      <c r="A30" s="21"/>
      <c r="B30" s="21"/>
      <c r="C30" s="21" t="s">
        <v>79</v>
      </c>
      <c r="D30" s="21">
        <f>MIN(1.25*INDEX('SYVbT-passenger'!$B$3:$H$3,MATCH(Data!$C16,'SYVbT-passenger'!$B$1:$H$1,0))/SUM('SYVbT-passenger'!$B$3:$H$3),1)</f>
        <v>6.6083849891288092E-4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18"/>
        <v>6.6083849891288092E-4</v>
      </c>
      <c r="I30">
        <f>IF($F30="s-curve",$D30+($E30-$D30)*$I$2/(1+EXP($I$3*(COUNT($H$9:I$9)+$I$4))),TREND($D30:$E30,$D$9:$E$9,I$9))</f>
        <v>6.8292800627355835E-4</v>
      </c>
      <c r="J30">
        <f>IF($F30="s-curve",$D30+($E30-$D30)*$I$2/(1+EXP($I$3*(COUNT($H$9:J$9)+$I$4))),TREND($D30:$E30,$D$9:$E$9,J$9))</f>
        <v>6.9050288495521941E-4</v>
      </c>
      <c r="K30">
        <f>IF($F30="s-curve",$D30+($E30-$D30)*$I$2/(1+EXP($I$3*(COUNT($H$9:K$9)+$I$4))),TREND($D30:$E30,$D$9:$E$9,K$9))</f>
        <v>7.0060519886219654E-4</v>
      </c>
      <c r="L30">
        <f>IF($F30="s-curve",$D30+($E30-$D30)*$I$2/(1+EXP($I$3*(COUNT($H$9:L$9)+$I$4))),TREND($D30:$E30,$D$9:$E$9,L$9))</f>
        <v>7.140230367275464E-4</v>
      </c>
      <c r="M30">
        <f>IF($F30="s-curve",$D30+($E30-$D30)*$I$2/(1+EXP($I$3*(COUNT($H$9:M$9)+$I$4))),TREND($D30:$E30,$D$9:$E$9,M$9))</f>
        <v>7.3174765874089315E-4</v>
      </c>
      <c r="N30">
        <f>IF($F30="s-curve",$D30+($E30-$D30)*$I$2/(1+EXP($I$3*(COUNT($H$9:N$9)+$I$4))),TREND($D30:$E30,$D$9:$E$9,N$9))</f>
        <v>7.549935976041178E-4</v>
      </c>
      <c r="O30">
        <f>IF($F30="s-curve",$D30+($E30-$D30)*$I$2/(1+EXP($I$3*(COUNT($H$9:O$9)+$I$4))),TREND($D30:$E30,$D$9:$E$9,O$9))</f>
        <v>7.851947971497683E-4</v>
      </c>
      <c r="P30">
        <f>IF($F30="s-curve",$D30+($E30-$D30)*$I$2/(1+EXP($I$3*(COUNT($H$9:P$9)+$I$4))),TREND($D30:$E30,$D$9:$E$9,P$9))</f>
        <v>8.2395545201406335E-4</v>
      </c>
      <c r="Q30">
        <f>IF($F30="s-curve",$D30+($E30-$D30)*$I$2/(1+EXP($I$3*(COUNT($H$9:Q$9)+$I$4))),TREND($D30:$E30,$D$9:$E$9,Q$9))</f>
        <v>8.7292821195079028E-4</v>
      </c>
      <c r="R30">
        <f>IF($F30="s-curve",$D30+($E30-$D30)*$I$2/(1+EXP($I$3*(COUNT($H$9:R$9)+$I$4))),TREND($D30:$E30,$D$9:$E$9,R$9))</f>
        <v>9.3359342692151347E-4</v>
      </c>
      <c r="S30">
        <f>IF($F30="s-curve",$D30+($E30-$D30)*$I$2/(1+EXP($I$3*(COUNT($H$9:S$9)+$I$4))),TREND($D30:$E30,$D$9:$E$9,S$9))</f>
        <v>1.0069304530164447E-3</v>
      </c>
      <c r="T30">
        <f>IF($F30="s-curve",$D30+($E30-$D30)*$I$2/(1+EXP($I$3*(COUNT($H$9:T$9)+$I$4))),TREND($D30:$E30,$D$9:$E$9,T$9))</f>
        <v>1.0930145779908538E-3</v>
      </c>
      <c r="U30">
        <f>IF($F30="s-curve",$D30+($E30-$D30)*$I$2/(1+EXP($I$3*(COUNT($H$9:U$9)+$I$4))),TREND($D30:$E30,$D$9:$E$9,U$9))</f>
        <v>1.1906382038504885E-3</v>
      </c>
      <c r="V30">
        <f>IF($F30="s-curve",$D30+($E30-$D30)*$I$2/(1+EXP($I$3*(COUNT($H$9:V$9)+$I$4))),TREND($D30:$E30,$D$9:$E$9,V$9))</f>
        <v>1.2971140499908186E-3</v>
      </c>
      <c r="W30">
        <f>IF($F30="s-curve",$D30+($E30-$D30)*$I$2/(1+EXP($I$3*(COUNT($H$9:W$9)+$I$4))),TREND($D30:$E30,$D$9:$E$9,W$9))</f>
        <v>1.4084173527857645E-3</v>
      </c>
      <c r="X30">
        <f>IF($F30="s-curve",$D30+($E30-$D30)*$I$2/(1+EXP($I$3*(COUNT($H$9:X$9)+$I$4))),TREND($D30:$E30,$D$9:$E$9,X$9))</f>
        <v>1.5197206555807102E-3</v>
      </c>
      <c r="Y30">
        <f>IF($F30="s-curve",$D30+($E30-$D30)*$I$2/(1+EXP($I$3*(COUNT($H$9:Y$9)+$I$4))),TREND($D30:$E30,$D$9:$E$9,Y$9))</f>
        <v>1.62619650172104E-3</v>
      </c>
      <c r="Z30">
        <f>IF($F30="s-curve",$D30+($E30-$D30)*$I$2/(1+EXP($I$3*(COUNT($H$9:Z$9)+$I$4))),TREND($D30:$E30,$D$9:$E$9,Z$9))</f>
        <v>1.7238201275806748E-3</v>
      </c>
      <c r="AA30">
        <f>IF($F30="s-curve",$D30+($E30-$D30)*$I$2/(1+EXP($I$3*(COUNT($H$9:AA$9)+$I$4))),TREND($D30:$E30,$D$9:$E$9,AA$9))</f>
        <v>1.8099042525550838E-3</v>
      </c>
      <c r="AB30">
        <f>IF($F30="s-curve",$D30+($E30-$D30)*$I$2/(1+EXP($I$3*(COUNT($H$9:AB$9)+$I$4))),TREND($D30:$E30,$D$9:$E$9,AB$9))</f>
        <v>1.8832412786500153E-3</v>
      </c>
      <c r="AC30">
        <f>IF($F30="s-curve",$D30+($E30-$D30)*$I$2/(1+EXP($I$3*(COUNT($H$9:AC$9)+$I$4))),TREND($D30:$E30,$D$9:$E$9,AC$9))</f>
        <v>1.9439064936207385E-3</v>
      </c>
      <c r="AD30">
        <f>IF($F30="s-curve",$D30+($E30-$D30)*$I$2/(1+EXP($I$3*(COUNT($H$9:AD$9)+$I$4))),TREND($D30:$E30,$D$9:$E$9,AD$9))</f>
        <v>1.9928792535574653E-3</v>
      </c>
      <c r="AE30">
        <f>IF($F30="s-curve",$D30+($E30-$D30)*$I$2/(1+EXP($I$3*(COUNT($H$9:AE$9)+$I$4))),TREND($D30:$E30,$D$9:$E$9,AE$9))</f>
        <v>2.0316399084217606E-3</v>
      </c>
      <c r="AF30">
        <f>IF($F30="s-curve",$D30+($E30-$D30)*$I$2/(1+EXP($I$3*(COUNT($H$9:AF$9)+$I$4))),TREND($D30:$E30,$D$9:$E$9,AF$9))</f>
        <v>2.0618411079674111E-3</v>
      </c>
      <c r="AG30">
        <f>IF($F30="s-curve",$D30+($E30-$D30)*$I$2/(1+EXP($I$3*(COUNT($H$9:AG$9)+$I$4))),TREND($D30:$E30,$D$9:$E$9,AG$9))</f>
        <v>2.0850870468306359E-3</v>
      </c>
      <c r="AH30">
        <f>IF($F30="s-curve",$D30+($E30-$D30)*$I$2/(1+EXP($I$3*(COUNT($H$9:AH$9)+$I$4))),TREND($D30:$E30,$D$9:$E$9,AH$9))</f>
        <v>2.1028116688439824E-3</v>
      </c>
      <c r="AI30">
        <f>IF($F30="s-curve",$D30+($E30-$D30)*$I$2/(1+EXP($I$3*(COUNT($H$9:AI$9)+$I$4))),TREND($D30:$E30,$D$9:$E$9,AI$9))</f>
        <v>2.1162295067093319E-3</v>
      </c>
      <c r="AJ30">
        <f>IF($F30="s-curve",$D30+($E30-$D30)*$I$2/(1+EXP($I$3*(COUNT($H$9:AJ$9)+$I$4))),TREND($D30:$E30,$D$9:$E$9,AJ$9))</f>
        <v>2.1263318206163092E-3</v>
      </c>
      <c r="AK30">
        <f>IF($F30="s-curve",$D30+($E30-$D30)*$I$2/(1+EXP($I$3*(COUNT($H$9:AK$9)+$I$4))),TREND($D30:$E30,$D$9:$E$9,AK$9))</f>
        <v>2.1339066992979703E-3</v>
      </c>
      <c r="AL30">
        <f>IF($F30="s-curve",$D30+($E30-$D30)*$I$2/(1+EXP($I$3*(COUNT($H$9:AL$9)+$I$4))),TREND($D30:$E30,$D$9:$E$9,AL$9))</f>
        <v>2.1395689946999558E-3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f>E24</f>
        <v>0.8</v>
      </c>
      <c r="F31" s="6" t="str">
        <f>IF(D31=E31,"n/a",IF(OR(C31="battery electric vehicle",C31="natural gas vehicle",C31="plugin hybrid vehicle"),"s-curve","linear"))</f>
        <v>s-curve</v>
      </c>
      <c r="H31" s="20">
        <f t="shared" si="18"/>
        <v>5.3709944550863111E-3</v>
      </c>
      <c r="I31">
        <f>IF($F31="s-curve",$D31+($E31-$D31)*$I$2/(1+EXP($I$3*(COUNT($H$9:I$9)+$I$4))),TREND($D31:$E31,$D$9:$E$9,I$9))</f>
        <v>1.7110868567400919E-2</v>
      </c>
      <c r="J31">
        <f>IF($F31="s-curve",$D31+($E31-$D31)*$I$2/(1+EXP($I$3*(COUNT($H$9:J$9)+$I$4))),TREND($D31:$E31,$D$9:$E$9,J$9))</f>
        <v>2.1136676870263375E-2</v>
      </c>
      <c r="K31">
        <f>IF($F31="s-curve",$D31+($E31-$D31)*$I$2/(1+EXP($I$3*(COUNT($H$9:K$9)+$I$4))),TREND($D31:$E31,$D$9:$E$9,K$9))</f>
        <v>2.6505737011555695E-2</v>
      </c>
      <c r="L31">
        <f>IF($F31="s-curve",$D31+($E31-$D31)*$I$2/(1+EXP($I$3*(COUNT($H$9:L$9)+$I$4))),TREND($D31:$E31,$D$9:$E$9,L$9))</f>
        <v>3.3636893212851106E-2</v>
      </c>
      <c r="M31">
        <f>IF($F31="s-curve",$D31+($E31-$D31)*$I$2/(1+EXP($I$3*(COUNT($H$9:M$9)+$I$4))),TREND($D31:$E31,$D$9:$E$9,M$9))</f>
        <v>4.3056968895275403E-2</v>
      </c>
      <c r="N31">
        <f>IF($F31="s-curve",$D31+($E31-$D31)*$I$2/(1+EXP($I$3*(COUNT($H$9:N$9)+$I$4))),TREND($D31:$E31,$D$9:$E$9,N$9))</f>
        <v>5.541144975448322E-2</v>
      </c>
      <c r="O31">
        <f>IF($F31="s-curve",$D31+($E31-$D31)*$I$2/(1+EXP($I$3*(COUNT($H$9:O$9)+$I$4))),TREND($D31:$E31,$D$9:$E$9,O$9))</f>
        <v>7.1462431558540776E-2</v>
      </c>
      <c r="P31">
        <f>IF($F31="s-curve",$D31+($E31-$D31)*$I$2/(1+EXP($I$3*(COUNT($H$9:P$9)+$I$4))),TREND($D31:$E31,$D$9:$E$9,P$9))</f>
        <v>9.2062492989867475E-2</v>
      </c>
      <c r="Q31">
        <f>IF($F31="s-curve",$D31+($E31-$D31)*$I$2/(1+EXP($I$3*(COUNT($H$9:Q$9)+$I$4))),TREND($D31:$E31,$D$9:$E$9,Q$9))</f>
        <v>0.11808996509244796</v>
      </c>
      <c r="R31">
        <f>IF($F31="s-curve",$D31+($E31-$D31)*$I$2/(1+EXP($I$3*(COUNT($H$9:R$9)+$I$4))),TREND($D31:$E31,$D$9:$E$9,R$9))</f>
        <v>0.15033160702334125</v>
      </c>
      <c r="S31">
        <f>IF($F31="s-curve",$D31+($E31-$D31)*$I$2/(1+EXP($I$3*(COUNT($H$9:S$9)+$I$4))),TREND($D31:$E31,$D$9:$E$9,S$9))</f>
        <v>0.18930791555155554</v>
      </c>
      <c r="T31">
        <f>IF($F31="s-curve",$D31+($E31-$D31)*$I$2/(1+EXP($I$3*(COUNT($H$9:T$9)+$I$4))),TREND($D31:$E31,$D$9:$E$9,T$9))</f>
        <v>0.23505890373644214</v>
      </c>
      <c r="U31">
        <f>IF($F31="s-curve",$D31+($E31-$D31)*$I$2/(1+EXP($I$3*(COUNT($H$9:U$9)+$I$4))),TREND($D31:$E31,$D$9:$E$9,U$9))</f>
        <v>0.28694277145999392</v>
      </c>
      <c r="V31">
        <f>IF($F31="s-curve",$D31+($E31-$D31)*$I$2/(1+EXP($I$3*(COUNT($H$9:V$9)+$I$4))),TREND($D31:$E31,$D$9:$E$9,V$9))</f>
        <v>0.34353131412323407</v>
      </c>
      <c r="W31">
        <f>IF($F31="s-curve",$D31+($E31-$D31)*$I$2/(1+EXP($I$3*(COUNT($H$9:W$9)+$I$4))),TREND($D31:$E31,$D$9:$E$9,W$9))</f>
        <v>0.40268549722754321</v>
      </c>
      <c r="X31">
        <f>IF($F31="s-curve",$D31+($E31-$D31)*$I$2/(1+EXP($I$3*(COUNT($H$9:X$9)+$I$4))),TREND($D31:$E31,$D$9:$E$9,X$9))</f>
        <v>0.46183968033185235</v>
      </c>
      <c r="Y31">
        <f>IF($F31="s-curve",$D31+($E31-$D31)*$I$2/(1+EXP($I$3*(COUNT($H$9:Y$9)+$I$4))),TREND($D31:$E31,$D$9:$E$9,Y$9))</f>
        <v>0.51842822299509239</v>
      </c>
      <c r="Z31">
        <f>IF($F31="s-curve",$D31+($E31-$D31)*$I$2/(1+EXP($I$3*(COUNT($H$9:Z$9)+$I$4))),TREND($D31:$E31,$D$9:$E$9,Z$9))</f>
        <v>0.57031209071864419</v>
      </c>
      <c r="AA31">
        <f>IF($F31="s-curve",$D31+($E31-$D31)*$I$2/(1+EXP($I$3*(COUNT($H$9:AA$9)+$I$4))),TREND($D31:$E31,$D$9:$E$9,AA$9))</f>
        <v>0.61606307890353074</v>
      </c>
      <c r="AB31">
        <f>IF($F31="s-curve",$D31+($E31-$D31)*$I$2/(1+EXP($I$3*(COUNT($H$9:AB$9)+$I$4))),TREND($D31:$E31,$D$9:$E$9,AB$9))</f>
        <v>0.65503938743174506</v>
      </c>
      <c r="AC31">
        <f>IF($F31="s-curve",$D31+($E31-$D31)*$I$2/(1+EXP($I$3*(COUNT($H$9:AC$9)+$I$4))),TREND($D31:$E31,$D$9:$E$9,AC$9))</f>
        <v>0.68728102936263846</v>
      </c>
      <c r="AD31">
        <f>IF($F31="s-curve",$D31+($E31-$D31)*$I$2/(1+EXP($I$3*(COUNT($H$9:AD$9)+$I$4))),TREND($D31:$E31,$D$9:$E$9,AD$9))</f>
        <v>0.71330850146521885</v>
      </c>
      <c r="AE31">
        <f>IF($F31="s-curve",$D31+($E31-$D31)*$I$2/(1+EXP($I$3*(COUNT($H$9:AE$9)+$I$4))),TREND($D31:$E31,$D$9:$E$9,AE$9))</f>
        <v>0.7339085628965456</v>
      </c>
      <c r="AF31">
        <f>IF($F31="s-curve",$D31+($E31-$D31)*$I$2/(1+EXP($I$3*(COUNT($H$9:AF$9)+$I$4))),TREND($D31:$E31,$D$9:$E$9,AF$9))</f>
        <v>0.74995954470060322</v>
      </c>
      <c r="AG31">
        <f>IF($F31="s-curve",$D31+($E31-$D31)*$I$2/(1+EXP($I$3*(COUNT($H$9:AG$9)+$I$4))),TREND($D31:$E31,$D$9:$E$9,AG$9))</f>
        <v>0.76231402555981098</v>
      </c>
      <c r="AH31">
        <f>IF($F31="s-curve",$D31+($E31-$D31)*$I$2/(1+EXP($I$3*(COUNT($H$9:AH$9)+$I$4))),TREND($D31:$E31,$D$9:$E$9,AH$9))</f>
        <v>0.77173410124223529</v>
      </c>
      <c r="AI31">
        <f>IF($F31="s-curve",$D31+($E31-$D31)*$I$2/(1+EXP($I$3*(COUNT($H$9:AI$9)+$I$4))),TREND($D31:$E31,$D$9:$E$9,AI$9))</f>
        <v>0.77886525744353063</v>
      </c>
      <c r="AJ31">
        <f>IF($F31="s-curve",$D31+($E31-$D31)*$I$2/(1+EXP($I$3*(COUNT($H$9:AJ$9)+$I$4))),TREND($D31:$E31,$D$9:$E$9,AJ$9))</f>
        <v>0.78423431758482298</v>
      </c>
      <c r="AK31">
        <f>IF($F31="s-curve",$D31+($E31-$D31)*$I$2/(1+EXP($I$3*(COUNT($H$9:AK$9)+$I$4))),TREND($D31:$E31,$D$9:$E$9,AK$9))</f>
        <v>0.78826012588768546</v>
      </c>
      <c r="AL31">
        <f>IF($F31="s-curve",$D31+($E31-$D31)*$I$2/(1+EXP($I$3*(COUNT($H$9:AL$9)+$I$4))),TREND($D31:$E31,$D$9:$E$9,AL$9))</f>
        <v>0.79126945670347282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18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21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18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f>MIN(1.25*INDEX('SYVbT-freight'!$B$3:$H$3,MATCH(Data!$C13,'SYVbT-passenger'!$B$1:$H$1,0))/SUM('SYVbT-freight'!$B$3:$H$3),1)*3</f>
        <v>3</v>
      </c>
      <c r="E34" s="20">
        <f t="shared" si="21"/>
        <v>3</v>
      </c>
      <c r="F34" s="6" t="str">
        <f>IF(D34=E34,"n/a",IF(OR(C34="battery electric vehicle",C34="natural gas vehicle",C34="plugin hybrid vehicle"),"s-curve","linear"))</f>
        <v>n/a</v>
      </c>
      <c r="H34" s="20">
        <f t="shared" si="18"/>
        <v>3</v>
      </c>
      <c r="I34">
        <f>IF($F34="s-curve",$D34+($E34-$D34)*$I$2/(1+EXP($I$3*(COUNT($H$9:I$9)+$I$4))),TREND($D34:$E34,$D$9:$E$9,I$9))</f>
        <v>3</v>
      </c>
      <c r="J34">
        <f>IF($F34="s-curve",$D34+($E34-$D34)*$I$2/(1+EXP($I$3*(COUNT($H$9:J$9)+$I$4))),TREND($D34:$E34,$D$9:$E$9,J$9))</f>
        <v>3</v>
      </c>
      <c r="K34">
        <f>IF($F34="s-curve",$D34+($E34-$D34)*$I$2/(1+EXP($I$3*(COUNT($H$9:K$9)+$I$4))),TREND($D34:$E34,$D$9:$E$9,K$9))</f>
        <v>3</v>
      </c>
      <c r="L34">
        <f>IF($F34="s-curve",$D34+($E34-$D34)*$I$2/(1+EXP($I$3*(COUNT($H$9:L$9)+$I$4))),TREND($D34:$E34,$D$9:$E$9,L$9))</f>
        <v>3</v>
      </c>
      <c r="M34">
        <f>IF($F34="s-curve",$D34+($E34-$D34)*$I$2/(1+EXP($I$3*(COUNT($H$9:M$9)+$I$4))),TREND($D34:$E34,$D$9:$E$9,M$9))</f>
        <v>3</v>
      </c>
      <c r="N34">
        <f>IF($F34="s-curve",$D34+($E34-$D34)*$I$2/(1+EXP($I$3*(COUNT($H$9:N$9)+$I$4))),TREND($D34:$E34,$D$9:$E$9,N$9))</f>
        <v>3</v>
      </c>
      <c r="O34">
        <f>IF($F34="s-curve",$D34+($E34-$D34)*$I$2/(1+EXP($I$3*(COUNT($H$9:O$9)+$I$4))),TREND($D34:$E34,$D$9:$E$9,O$9))</f>
        <v>3</v>
      </c>
      <c r="P34">
        <f>IF($F34="s-curve",$D34+($E34-$D34)*$I$2/(1+EXP($I$3*(COUNT($H$9:P$9)+$I$4))),TREND($D34:$E34,$D$9:$E$9,P$9))</f>
        <v>3</v>
      </c>
      <c r="Q34">
        <f>IF($F34="s-curve",$D34+($E34-$D34)*$I$2/(1+EXP($I$3*(COUNT($H$9:Q$9)+$I$4))),TREND($D34:$E34,$D$9:$E$9,Q$9))</f>
        <v>3</v>
      </c>
      <c r="R34">
        <f>IF($F34="s-curve",$D34+($E34-$D34)*$I$2/(1+EXP($I$3*(COUNT($H$9:R$9)+$I$4))),TREND($D34:$E34,$D$9:$E$9,R$9))</f>
        <v>3</v>
      </c>
      <c r="S34">
        <f>IF($F34="s-curve",$D34+($E34-$D34)*$I$2/(1+EXP($I$3*(COUNT($H$9:S$9)+$I$4))),TREND($D34:$E34,$D$9:$E$9,S$9))</f>
        <v>3</v>
      </c>
      <c r="T34">
        <f>IF($F34="s-curve",$D34+($E34-$D34)*$I$2/(1+EXP($I$3*(COUNT($H$9:T$9)+$I$4))),TREND($D34:$E34,$D$9:$E$9,T$9))</f>
        <v>3</v>
      </c>
      <c r="U34">
        <f>IF($F34="s-curve",$D34+($E34-$D34)*$I$2/(1+EXP($I$3*(COUNT($H$9:U$9)+$I$4))),TREND($D34:$E34,$D$9:$E$9,U$9))</f>
        <v>3</v>
      </c>
      <c r="V34">
        <f>IF($F34="s-curve",$D34+($E34-$D34)*$I$2/(1+EXP($I$3*(COUNT($H$9:V$9)+$I$4))),TREND($D34:$E34,$D$9:$E$9,V$9))</f>
        <v>3</v>
      </c>
      <c r="W34">
        <f>IF($F34="s-curve",$D34+($E34-$D34)*$I$2/(1+EXP($I$3*(COUNT($H$9:W$9)+$I$4))),TREND($D34:$E34,$D$9:$E$9,W$9))</f>
        <v>3</v>
      </c>
      <c r="X34">
        <f>IF($F34="s-curve",$D34+($E34-$D34)*$I$2/(1+EXP($I$3*(COUNT($H$9:X$9)+$I$4))),TREND($D34:$E34,$D$9:$E$9,X$9))</f>
        <v>3</v>
      </c>
      <c r="Y34">
        <f>IF($F34="s-curve",$D34+($E34-$D34)*$I$2/(1+EXP($I$3*(COUNT($H$9:Y$9)+$I$4))),TREND($D34:$E34,$D$9:$E$9,Y$9))</f>
        <v>3</v>
      </c>
      <c r="Z34">
        <f>IF($F34="s-curve",$D34+($E34-$D34)*$I$2/(1+EXP($I$3*(COUNT($H$9:Z$9)+$I$4))),TREND($D34:$E34,$D$9:$E$9,Z$9))</f>
        <v>3</v>
      </c>
      <c r="AA34">
        <f>IF($F34="s-curve",$D34+($E34-$D34)*$I$2/(1+EXP($I$3*(COUNT($H$9:AA$9)+$I$4))),TREND($D34:$E34,$D$9:$E$9,AA$9))</f>
        <v>3</v>
      </c>
      <c r="AB34">
        <f>IF($F34="s-curve",$D34+($E34-$D34)*$I$2/(1+EXP($I$3*(COUNT($H$9:AB$9)+$I$4))),TREND($D34:$E34,$D$9:$E$9,AB$9))</f>
        <v>3</v>
      </c>
      <c r="AC34">
        <f>IF($F34="s-curve",$D34+($E34-$D34)*$I$2/(1+EXP($I$3*(COUNT($H$9:AC$9)+$I$4))),TREND($D34:$E34,$D$9:$E$9,AC$9))</f>
        <v>3</v>
      </c>
      <c r="AD34">
        <f>IF($F34="s-curve",$D34+($E34-$D34)*$I$2/(1+EXP($I$3*(COUNT($H$9:AD$9)+$I$4))),TREND($D34:$E34,$D$9:$E$9,AD$9))</f>
        <v>3</v>
      </c>
      <c r="AE34">
        <f>IF($F34="s-curve",$D34+($E34-$D34)*$I$2/(1+EXP($I$3*(COUNT($H$9:AE$9)+$I$4))),TREND($D34:$E34,$D$9:$E$9,AE$9))</f>
        <v>3</v>
      </c>
      <c r="AF34">
        <f>IF($F34="s-curve",$D34+($E34-$D34)*$I$2/(1+EXP($I$3*(COUNT($H$9:AF$9)+$I$4))),TREND($D34:$E34,$D$9:$E$9,AF$9))</f>
        <v>3</v>
      </c>
      <c r="AG34">
        <f>IF($F34="s-curve",$D34+($E34-$D34)*$I$2/(1+EXP($I$3*(COUNT($H$9:AG$9)+$I$4))),TREND($D34:$E34,$D$9:$E$9,AG$9))</f>
        <v>3</v>
      </c>
      <c r="AH34">
        <f>IF($F34="s-curve",$D34+($E34-$D34)*$I$2/(1+EXP($I$3*(COUNT($H$9:AH$9)+$I$4))),TREND($D34:$E34,$D$9:$E$9,AH$9))</f>
        <v>3</v>
      </c>
      <c r="AI34">
        <f>IF($F34="s-curve",$D34+($E34-$D34)*$I$2/(1+EXP($I$3*(COUNT($H$9:AI$9)+$I$4))),TREND($D34:$E34,$D$9:$E$9,AI$9))</f>
        <v>3</v>
      </c>
      <c r="AJ34">
        <f>IF($F34="s-curve",$D34+($E34-$D34)*$I$2/(1+EXP($I$3*(COUNT($H$9:AJ$9)+$I$4))),TREND($D34:$E34,$D$9:$E$9,AJ$9))</f>
        <v>3</v>
      </c>
      <c r="AK34">
        <f>IF($F34="s-curve",$D34+($E34-$D34)*$I$2/(1+EXP($I$3*(COUNT($H$9:AK$9)+$I$4))),TREND($D34:$E34,$D$9:$E$9,AK$9))</f>
        <v>3</v>
      </c>
      <c r="AL34">
        <f>IF($F34="s-curve",$D34+($E34-$D34)*$I$2/(1+EXP($I$3*(COUNT($H$9:AL$9)+$I$4))),TREND($D34:$E34,$D$9:$E$9,AL$9))</f>
        <v>3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21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18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f>MIN(1.25*INDEX('SYVbT-freight'!$B$3:$H$3,MATCH(Data!$C15,'SYVbT-passenger'!$B$1:$H$1,0))/SUM('SYVbT-freight'!$B$3:$H$3),1)</f>
        <v>4.2398960612661157E-2</v>
      </c>
      <c r="E36" s="20">
        <f t="shared" si="21"/>
        <v>4.2398960612661157E-2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18"/>
        <v>4.2398960612661157E-2</v>
      </c>
      <c r="I36">
        <f>IF($F36="s-curve",$D36+($E36-$D36)*$I$2/(1+EXP($I$3*(COUNT($H$9:I$9)+$I$4))),TREND($D36:$E36,$D$9:$E$9,I$9))</f>
        <v>4.2398960612661157E-2</v>
      </c>
      <c r="J36">
        <f>IF($F36="s-curve",$D36+($E36-$D36)*$I$2/(1+EXP($I$3*(COUNT($H$9:J$9)+$I$4))),TREND($D36:$E36,$D$9:$E$9,J$9))</f>
        <v>4.2398960612661157E-2</v>
      </c>
      <c r="K36">
        <f>IF($F36="s-curve",$D36+($E36-$D36)*$I$2/(1+EXP($I$3*(COUNT($H$9:K$9)+$I$4))),TREND($D36:$E36,$D$9:$E$9,K$9))</f>
        <v>4.2398960612661157E-2</v>
      </c>
      <c r="L36">
        <f>IF($F36="s-curve",$D36+($E36-$D36)*$I$2/(1+EXP($I$3*(COUNT($H$9:L$9)+$I$4))),TREND($D36:$E36,$D$9:$E$9,L$9))</f>
        <v>4.2398960612661157E-2</v>
      </c>
      <c r="M36">
        <f>IF($F36="s-curve",$D36+($E36-$D36)*$I$2/(1+EXP($I$3*(COUNT($H$9:M$9)+$I$4))),TREND($D36:$E36,$D$9:$E$9,M$9))</f>
        <v>4.2398960612661157E-2</v>
      </c>
      <c r="N36">
        <f>IF($F36="s-curve",$D36+($E36-$D36)*$I$2/(1+EXP($I$3*(COUNT($H$9:N$9)+$I$4))),TREND($D36:$E36,$D$9:$E$9,N$9))</f>
        <v>4.2398960612661157E-2</v>
      </c>
      <c r="O36">
        <f>IF($F36="s-curve",$D36+($E36-$D36)*$I$2/(1+EXP($I$3*(COUNT($H$9:O$9)+$I$4))),TREND($D36:$E36,$D$9:$E$9,O$9))</f>
        <v>4.2398960612661157E-2</v>
      </c>
      <c r="P36">
        <f>IF($F36="s-curve",$D36+($E36-$D36)*$I$2/(1+EXP($I$3*(COUNT($H$9:P$9)+$I$4))),TREND($D36:$E36,$D$9:$E$9,P$9))</f>
        <v>4.2398960612661157E-2</v>
      </c>
      <c r="Q36">
        <f>IF($F36="s-curve",$D36+($E36-$D36)*$I$2/(1+EXP($I$3*(COUNT($H$9:Q$9)+$I$4))),TREND($D36:$E36,$D$9:$E$9,Q$9))</f>
        <v>4.2398960612661157E-2</v>
      </c>
      <c r="R36">
        <f>IF($F36="s-curve",$D36+($E36-$D36)*$I$2/(1+EXP($I$3*(COUNT($H$9:R$9)+$I$4))),TREND($D36:$E36,$D$9:$E$9,R$9))</f>
        <v>4.2398960612661157E-2</v>
      </c>
      <c r="S36">
        <f>IF($F36="s-curve",$D36+($E36-$D36)*$I$2/(1+EXP($I$3*(COUNT($H$9:S$9)+$I$4))),TREND($D36:$E36,$D$9:$E$9,S$9))</f>
        <v>4.2398960612661157E-2</v>
      </c>
      <c r="T36">
        <f>IF($F36="s-curve",$D36+($E36-$D36)*$I$2/(1+EXP($I$3*(COUNT($H$9:T$9)+$I$4))),TREND($D36:$E36,$D$9:$E$9,T$9))</f>
        <v>4.2398960612661157E-2</v>
      </c>
      <c r="U36">
        <f>IF($F36="s-curve",$D36+($E36-$D36)*$I$2/(1+EXP($I$3*(COUNT($H$9:U$9)+$I$4))),TREND($D36:$E36,$D$9:$E$9,U$9))</f>
        <v>4.2398960612661157E-2</v>
      </c>
      <c r="V36">
        <f>IF($F36="s-curve",$D36+($E36-$D36)*$I$2/(1+EXP($I$3*(COUNT($H$9:V$9)+$I$4))),TREND($D36:$E36,$D$9:$E$9,V$9))</f>
        <v>4.2398960612661157E-2</v>
      </c>
      <c r="W36">
        <f>IF($F36="s-curve",$D36+($E36-$D36)*$I$2/(1+EXP($I$3*(COUNT($H$9:W$9)+$I$4))),TREND($D36:$E36,$D$9:$E$9,W$9))</f>
        <v>4.2398960612661157E-2</v>
      </c>
      <c r="X36">
        <f>IF($F36="s-curve",$D36+($E36-$D36)*$I$2/(1+EXP($I$3*(COUNT($H$9:X$9)+$I$4))),TREND($D36:$E36,$D$9:$E$9,X$9))</f>
        <v>4.2398960612661157E-2</v>
      </c>
      <c r="Y36">
        <f>IF($F36="s-curve",$D36+($E36-$D36)*$I$2/(1+EXP($I$3*(COUNT($H$9:Y$9)+$I$4))),TREND($D36:$E36,$D$9:$E$9,Y$9))</f>
        <v>4.2398960612661157E-2</v>
      </c>
      <c r="Z36">
        <f>IF($F36="s-curve",$D36+($E36-$D36)*$I$2/(1+EXP($I$3*(COUNT($H$9:Z$9)+$I$4))),TREND($D36:$E36,$D$9:$E$9,Z$9))</f>
        <v>4.2398960612661157E-2</v>
      </c>
      <c r="AA36">
        <f>IF($F36="s-curve",$D36+($E36-$D36)*$I$2/(1+EXP($I$3*(COUNT($H$9:AA$9)+$I$4))),TREND($D36:$E36,$D$9:$E$9,AA$9))</f>
        <v>4.2398960612661157E-2</v>
      </c>
      <c r="AB36">
        <f>IF($F36="s-curve",$D36+($E36-$D36)*$I$2/(1+EXP($I$3*(COUNT($H$9:AB$9)+$I$4))),TREND($D36:$E36,$D$9:$E$9,AB$9))</f>
        <v>4.2398960612661157E-2</v>
      </c>
      <c r="AC36">
        <f>IF($F36="s-curve",$D36+($E36-$D36)*$I$2/(1+EXP($I$3*(COUNT($H$9:AC$9)+$I$4))),TREND($D36:$E36,$D$9:$E$9,AC$9))</f>
        <v>4.2398960612661157E-2</v>
      </c>
      <c r="AD36">
        <f>IF($F36="s-curve",$D36+($E36-$D36)*$I$2/(1+EXP($I$3*(COUNT($H$9:AD$9)+$I$4))),TREND($D36:$E36,$D$9:$E$9,AD$9))</f>
        <v>4.2398960612661157E-2</v>
      </c>
      <c r="AE36">
        <f>IF($F36="s-curve",$D36+($E36-$D36)*$I$2/(1+EXP($I$3*(COUNT($H$9:AE$9)+$I$4))),TREND($D36:$E36,$D$9:$E$9,AE$9))</f>
        <v>4.2398960612661157E-2</v>
      </c>
      <c r="AF36">
        <f>IF($F36="s-curve",$D36+($E36-$D36)*$I$2/(1+EXP($I$3*(COUNT($H$9:AF$9)+$I$4))),TREND($D36:$E36,$D$9:$E$9,AF$9))</f>
        <v>4.2398960612661157E-2</v>
      </c>
      <c r="AG36">
        <f>IF($F36="s-curve",$D36+($E36-$D36)*$I$2/(1+EXP($I$3*(COUNT($H$9:AG$9)+$I$4))),TREND($D36:$E36,$D$9:$E$9,AG$9))</f>
        <v>4.2398960612661157E-2</v>
      </c>
      <c r="AH36">
        <f>IF($F36="s-curve",$D36+($E36-$D36)*$I$2/(1+EXP($I$3*(COUNT($H$9:AH$9)+$I$4))),TREND($D36:$E36,$D$9:$E$9,AH$9))</f>
        <v>4.2398960612661157E-2</v>
      </c>
      <c r="AI36">
        <f>IF($F36="s-curve",$D36+($E36-$D36)*$I$2/(1+EXP($I$3*(COUNT($H$9:AI$9)+$I$4))),TREND($D36:$E36,$D$9:$E$9,AI$9))</f>
        <v>4.2398960612661157E-2</v>
      </c>
      <c r="AJ36">
        <f>IF($F36="s-curve",$D36+($E36-$D36)*$I$2/(1+EXP($I$3*(COUNT($H$9:AJ$9)+$I$4))),TREND($D36:$E36,$D$9:$E$9,AJ$9))</f>
        <v>4.2398960612661157E-2</v>
      </c>
      <c r="AK36">
        <f>IF($F36="s-curve",$D36+($E36-$D36)*$I$2/(1+EXP($I$3*(COUNT($H$9:AK$9)+$I$4))),TREND($D36:$E36,$D$9:$E$9,AK$9))</f>
        <v>4.2398960612661157E-2</v>
      </c>
      <c r="AL36">
        <f>IF($F36="s-curve",$D36+($E36-$D36)*$I$2/(1+EXP($I$3*(COUNT($H$9:AL$9)+$I$4))),TREND($D36:$E36,$D$9:$E$9,AL$9))</f>
        <v>4.2398960612661157E-2</v>
      </c>
    </row>
    <row r="37" spans="1:38" ht="15" thickBot="1">
      <c r="A37" s="21"/>
      <c r="B37" s="21"/>
      <c r="C37" s="21" t="s">
        <v>79</v>
      </c>
      <c r="D37" s="21">
        <f>MIN(1.25*INDEX('SYVbT-freight'!$B$3:$H$3,MATCH(Data!$C16,'SYVbT-passenger'!$B$1:$H$1,0))/SUM('SYVbT-freight'!$B$3:$H$3),1)</f>
        <v>0</v>
      </c>
      <c r="E37" s="24">
        <f>E36</f>
        <v>4.2398960612661157E-2</v>
      </c>
      <c r="F37" s="7" t="str">
        <f>IF(D37=E37,"n/a",IF(OR(C37="battery electric vehicle",C37="natural gas vehicle",C37="plugin hybrid vehicle",C37="hydrogen vehicle"),"s-curve","linear"))</f>
        <v>s-curve</v>
      </c>
      <c r="H37" s="20">
        <f t="shared" si="18"/>
        <v>0</v>
      </c>
      <c r="I37">
        <f>IF($F37="s-curve",$D37+($E37-$D37)*$I$2/(1+EXP($I$3*(COUNT($H$9:I$9)+$I$4))),TREND($D37:$E37,$D$9:$E$9,I$9))</f>
        <v>6.2640358785329186E-4</v>
      </c>
      <c r="J37">
        <f>IF($F37="s-curve",$D37+($E37-$D37)*$I$2/(1+EXP($I$3*(COUNT($H$9:J$9)+$I$4))),TREND($D37:$E37,$D$9:$E$9,J$9))</f>
        <v>8.4120834136230764E-4</v>
      </c>
      <c r="K37">
        <f>IF($F37="s-curve",$D37+($E37-$D37)*$I$2/(1+EXP($I$3*(COUNT($H$9:K$9)+$I$4))),TREND($D37:$E37,$D$9:$E$9,K$9))</f>
        <v>1.1276848830807375E-3</v>
      </c>
      <c r="L37">
        <f>IF($F37="s-curve",$D37+($E37-$D37)*$I$2/(1+EXP($I$3*(COUNT($H$9:L$9)+$I$4))),TREND($D37:$E37,$D$9:$E$9,L$9))</f>
        <v>1.5081814529160165E-3</v>
      </c>
      <c r="M37">
        <f>IF($F37="s-curve",$D37+($E37-$D37)*$I$2/(1+EXP($I$3*(COUNT($H$9:M$9)+$I$4))),TREND($D37:$E37,$D$9:$E$9,M$9))</f>
        <v>2.0108077288767171E-3</v>
      </c>
      <c r="N37">
        <f>IF($F37="s-curve",$D37+($E37-$D37)*$I$2/(1+EXP($I$3*(COUNT($H$9:N$9)+$I$4))),TREND($D37:$E37,$D$9:$E$9,N$9))</f>
        <v>2.6700048431076819E-3</v>
      </c>
      <c r="O37">
        <f>IF($F37="s-curve",$D37+($E37-$D37)*$I$2/(1+EXP($I$3*(COUNT($H$9:O$9)+$I$4))),TREND($D37:$E37,$D$9:$E$9,O$9))</f>
        <v>3.5264358826946353E-3</v>
      </c>
      <c r="P37">
        <f>IF($F37="s-curve",$D37+($E37-$D37)*$I$2/(1+EXP($I$3*(COUNT($H$9:P$9)+$I$4))),TREND($D37:$E37,$D$9:$E$9,P$9))</f>
        <v>4.6255918248393289E-3</v>
      </c>
      <c r="Q37">
        <f>IF($F37="s-curve",$D37+($E37-$D37)*$I$2/(1+EXP($I$3*(COUNT($H$9:Q$9)+$I$4))),TREND($D37:$E37,$D$9:$E$9,Q$9))</f>
        <v>6.0143377135798244E-3</v>
      </c>
      <c r="R37">
        <f>IF($F37="s-curve",$D37+($E37-$D37)*$I$2/(1+EXP($I$3*(COUNT($H$9:R$9)+$I$4))),TREND($D37:$E37,$D$9:$E$9,R$9))</f>
        <v>7.7346525986097831E-3</v>
      </c>
      <c r="S37">
        <f>IF($F37="s-curve",$D37+($E37-$D37)*$I$2/(1+EXP($I$3*(COUNT($H$9:S$9)+$I$4))),TREND($D37:$E37,$D$9:$E$9,S$9))</f>
        <v>9.8143085872323659E-3</v>
      </c>
      <c r="T37">
        <f>IF($F37="s-curve",$D37+($E37-$D37)*$I$2/(1+EXP($I$3*(COUNT($H$9:T$9)+$I$4))),TREND($D37:$E37,$D$9:$E$9,T$9))</f>
        <v>1.2255440653272574E-2</v>
      </c>
      <c r="U37">
        <f>IF($F37="s-curve",$D37+($E37-$D37)*$I$2/(1+EXP($I$3*(COUNT($H$9:U$9)+$I$4))),TREND($D37:$E37,$D$9:$E$9,U$9))</f>
        <v>1.5023804315677364E-2</v>
      </c>
      <c r="V37">
        <f>IF($F37="s-curve",$D37+($E37-$D37)*$I$2/(1+EXP($I$3*(COUNT($H$9:V$9)+$I$4))),TREND($D37:$E37,$D$9:$E$9,V$9))</f>
        <v>1.8043194968125682E-2</v>
      </c>
      <c r="W37">
        <f>IF($F37="s-curve",$D37+($E37-$D37)*$I$2/(1+EXP($I$3*(COUNT($H$9:W$9)+$I$4))),TREND($D37:$E37,$D$9:$E$9,W$9))</f>
        <v>2.1199480306330579E-2</v>
      </c>
      <c r="X37">
        <f>IF($F37="s-curve",$D37+($E37-$D37)*$I$2/(1+EXP($I$3*(COUNT($H$9:X$9)+$I$4))),TREND($D37:$E37,$D$9:$E$9,X$9))</f>
        <v>2.4355765644535475E-2</v>
      </c>
      <c r="Y37">
        <f>IF($F37="s-curve",$D37+($E37-$D37)*$I$2/(1+EXP($I$3*(COUNT($H$9:Y$9)+$I$4))),TREND($D37:$E37,$D$9:$E$9,Y$9))</f>
        <v>2.7375156296983789E-2</v>
      </c>
      <c r="Z37">
        <f>IF($F37="s-curve",$D37+($E37-$D37)*$I$2/(1+EXP($I$3*(COUNT($H$9:Z$9)+$I$4))),TREND($D37:$E37,$D$9:$E$9,Z$9))</f>
        <v>3.014351995938858E-2</v>
      </c>
      <c r="AA37">
        <f>IF($F37="s-curve",$D37+($E37-$D37)*$I$2/(1+EXP($I$3*(COUNT($H$9:AA$9)+$I$4))),TREND($D37:$E37,$D$9:$E$9,AA$9))</f>
        <v>3.258465202542879E-2</v>
      </c>
      <c r="AB37">
        <f>IF($F37="s-curve",$D37+($E37-$D37)*$I$2/(1+EXP($I$3*(COUNT($H$9:AB$9)+$I$4))),TREND($D37:$E37,$D$9:$E$9,AB$9))</f>
        <v>3.4664308014051376E-2</v>
      </c>
      <c r="AC37">
        <f>IF($F37="s-curve",$D37+($E37-$D37)*$I$2/(1+EXP($I$3*(COUNT($H$9:AC$9)+$I$4))),TREND($D37:$E37,$D$9:$E$9,AC$9))</f>
        <v>3.6384622899081336E-2</v>
      </c>
      <c r="AD37">
        <f>IF($F37="s-curve",$D37+($E37-$D37)*$I$2/(1+EXP($I$3*(COUNT($H$9:AD$9)+$I$4))),TREND($D37:$E37,$D$9:$E$9,AD$9))</f>
        <v>3.777336878782183E-2</v>
      </c>
      <c r="AE37">
        <f>IF($F37="s-curve",$D37+($E37-$D37)*$I$2/(1+EXP($I$3*(COUNT($H$9:AE$9)+$I$4))),TREND($D37:$E37,$D$9:$E$9,AE$9))</f>
        <v>3.8872524729966523E-2</v>
      </c>
      <c r="AF37">
        <f>IF($F37="s-curve",$D37+($E37-$D37)*$I$2/(1+EXP($I$3*(COUNT($H$9:AF$9)+$I$4))),TREND($D37:$E37,$D$9:$E$9,AF$9))</f>
        <v>3.972895576955348E-2</v>
      </c>
      <c r="AG37">
        <f>IF($F37="s-curve",$D37+($E37-$D37)*$I$2/(1+EXP($I$3*(COUNT($H$9:AG$9)+$I$4))),TREND($D37:$E37,$D$9:$E$9,AG$9))</f>
        <v>4.0388152883784445E-2</v>
      </c>
      <c r="AH37">
        <f>IF($F37="s-curve",$D37+($E37-$D37)*$I$2/(1+EXP($I$3*(COUNT($H$9:AH$9)+$I$4))),TREND($D37:$E37,$D$9:$E$9,AH$9))</f>
        <v>4.0890779159745143E-2</v>
      </c>
      <c r="AI37">
        <f>IF($F37="s-curve",$D37+($E37-$D37)*$I$2/(1+EXP($I$3*(COUNT($H$9:AI$9)+$I$4))),TREND($D37:$E37,$D$9:$E$9,AI$9))</f>
        <v>4.127127572958042E-2</v>
      </c>
      <c r="AJ37">
        <f>IF($F37="s-curve",$D37+($E37-$D37)*$I$2/(1+EXP($I$3*(COUNT($H$9:AJ$9)+$I$4))),TREND($D37:$E37,$D$9:$E$9,AJ$9))</f>
        <v>4.1557752271298855E-2</v>
      </c>
      <c r="AK37">
        <f>IF($F37="s-curve",$D37+($E37-$D37)*$I$2/(1+EXP($I$3*(COUNT($H$9:AK$9)+$I$4))),TREND($D37:$E37,$D$9:$E$9,AK$9))</f>
        <v>4.1772557024807866E-2</v>
      </c>
      <c r="AL37">
        <f>IF($F37="s-curve",$D37+($E37-$D37)*$I$2/(1+EXP($I$3*(COUNT($H$9:AL$9)+$I$4))),TREND($D37:$E37,$D$9:$E$9,AL$9))</f>
        <v>4.1933125664813074E-2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18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18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18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f>MIN(1.25*INDEX('SYVbT-passenger'!$B$5:$H$5,MATCH(Data!$C10,'SYVbT-passenger'!$B$1:$H$1,0))/SUM('SYVbT-passenger'!$B$5:$H$5),1)</f>
        <v>0.76226911968156119</v>
      </c>
      <c r="E52" s="20">
        <f>D52</f>
        <v>0.76226911968156119</v>
      </c>
      <c r="F52" s="6" t="str">
        <f>IF(D52=E52,"n/a",IF(OR(C52="battery electric vehicle",C52="natural gas vehicle",C52="plugin hybrid vehicle"),"s-curve","linear"))</f>
        <v>n/a</v>
      </c>
      <c r="H52" s="20">
        <f t="shared" si="22"/>
        <v>0.76226911968156119</v>
      </c>
      <c r="I52">
        <f>IF($F52="s-curve",$D52+($E52-$D52)*$I$2/(1+EXP($I$3*(COUNT($H$9:I$9)+$I$4))),TREND($D52:$E52,$D$9:$E$9,I$9))</f>
        <v>0.76226911968156119</v>
      </c>
      <c r="J52">
        <f>IF($F52="s-curve",$D52+($E52-$D52)*$I$2/(1+EXP($I$3*(COUNT($H$9:J$9)+$I$4))),TREND($D52:$E52,$D$9:$E$9,J$9))</f>
        <v>0.76226911968156119</v>
      </c>
      <c r="K52">
        <f>IF($F52="s-curve",$D52+($E52-$D52)*$I$2/(1+EXP($I$3*(COUNT($H$9:K$9)+$I$4))),TREND($D52:$E52,$D$9:$E$9,K$9))</f>
        <v>0.76226911968156119</v>
      </c>
      <c r="L52">
        <f>IF($F52="s-curve",$D52+($E52-$D52)*$I$2/(1+EXP($I$3*(COUNT($H$9:L$9)+$I$4))),TREND($D52:$E52,$D$9:$E$9,L$9))</f>
        <v>0.76226911968156119</v>
      </c>
      <c r="M52">
        <f>IF($F52="s-curve",$D52+($E52-$D52)*$I$2/(1+EXP($I$3*(COUNT($H$9:M$9)+$I$4))),TREND($D52:$E52,$D$9:$E$9,M$9))</f>
        <v>0.76226911968156119</v>
      </c>
      <c r="N52">
        <f>IF($F52="s-curve",$D52+($E52-$D52)*$I$2/(1+EXP($I$3*(COUNT($H$9:N$9)+$I$4))),TREND($D52:$E52,$D$9:$E$9,N$9))</f>
        <v>0.76226911968156119</v>
      </c>
      <c r="O52">
        <f>IF($F52="s-curve",$D52+($E52-$D52)*$I$2/(1+EXP($I$3*(COUNT($H$9:O$9)+$I$4))),TREND($D52:$E52,$D$9:$E$9,O$9))</f>
        <v>0.76226911968156119</v>
      </c>
      <c r="P52">
        <f>IF($F52="s-curve",$D52+($E52-$D52)*$I$2/(1+EXP($I$3*(COUNT($H$9:P$9)+$I$4))),TREND($D52:$E52,$D$9:$E$9,P$9))</f>
        <v>0.76226911968156119</v>
      </c>
      <c r="Q52">
        <f>IF($F52="s-curve",$D52+($E52-$D52)*$I$2/(1+EXP($I$3*(COUNT($H$9:Q$9)+$I$4))),TREND($D52:$E52,$D$9:$E$9,Q$9))</f>
        <v>0.76226911968156119</v>
      </c>
      <c r="R52">
        <f>IF($F52="s-curve",$D52+($E52-$D52)*$I$2/(1+EXP($I$3*(COUNT($H$9:R$9)+$I$4))),TREND($D52:$E52,$D$9:$E$9,R$9))</f>
        <v>0.76226911968156119</v>
      </c>
      <c r="S52">
        <f>IF($F52="s-curve",$D52+($E52-$D52)*$I$2/(1+EXP($I$3*(COUNT($H$9:S$9)+$I$4))),TREND($D52:$E52,$D$9:$E$9,S$9))</f>
        <v>0.76226911968156119</v>
      </c>
      <c r="T52">
        <f>IF($F52="s-curve",$D52+($E52-$D52)*$I$2/(1+EXP($I$3*(COUNT($H$9:T$9)+$I$4))),TREND($D52:$E52,$D$9:$E$9,T$9))</f>
        <v>0.76226911968156119</v>
      </c>
      <c r="U52">
        <f>IF($F52="s-curve",$D52+($E52-$D52)*$I$2/(1+EXP($I$3*(COUNT($H$9:U$9)+$I$4))),TREND($D52:$E52,$D$9:$E$9,U$9))</f>
        <v>0.76226911968156119</v>
      </c>
      <c r="V52">
        <f>IF($F52="s-curve",$D52+($E52-$D52)*$I$2/(1+EXP($I$3*(COUNT($H$9:V$9)+$I$4))),TREND($D52:$E52,$D$9:$E$9,V$9))</f>
        <v>0.76226911968156119</v>
      </c>
      <c r="W52">
        <f>IF($F52="s-curve",$D52+($E52-$D52)*$I$2/(1+EXP($I$3*(COUNT($H$9:W$9)+$I$4))),TREND($D52:$E52,$D$9:$E$9,W$9))</f>
        <v>0.76226911968156119</v>
      </c>
      <c r="X52">
        <f>IF($F52="s-curve",$D52+($E52-$D52)*$I$2/(1+EXP($I$3*(COUNT($H$9:X$9)+$I$4))),TREND($D52:$E52,$D$9:$E$9,X$9))</f>
        <v>0.76226911968156119</v>
      </c>
      <c r="Y52">
        <f>IF($F52="s-curve",$D52+($E52-$D52)*$I$2/(1+EXP($I$3*(COUNT($H$9:Y$9)+$I$4))),TREND($D52:$E52,$D$9:$E$9,Y$9))</f>
        <v>0.76226911968156119</v>
      </c>
      <c r="Z52">
        <f>IF($F52="s-curve",$D52+($E52-$D52)*$I$2/(1+EXP($I$3*(COUNT($H$9:Z$9)+$I$4))),TREND($D52:$E52,$D$9:$E$9,Z$9))</f>
        <v>0.76226911968156119</v>
      </c>
      <c r="AA52">
        <f>IF($F52="s-curve",$D52+($E52-$D52)*$I$2/(1+EXP($I$3*(COUNT($H$9:AA$9)+$I$4))),TREND($D52:$E52,$D$9:$E$9,AA$9))</f>
        <v>0.76226911968156119</v>
      </c>
      <c r="AB52">
        <f>IF($F52="s-curve",$D52+($E52-$D52)*$I$2/(1+EXP($I$3*(COUNT($H$9:AB$9)+$I$4))),TREND($D52:$E52,$D$9:$E$9,AB$9))</f>
        <v>0.76226911968156119</v>
      </c>
      <c r="AC52">
        <f>IF($F52="s-curve",$D52+($E52-$D52)*$I$2/(1+EXP($I$3*(COUNT($H$9:AC$9)+$I$4))),TREND($D52:$E52,$D$9:$E$9,AC$9))</f>
        <v>0.76226911968156119</v>
      </c>
      <c r="AD52">
        <f>IF($F52="s-curve",$D52+($E52-$D52)*$I$2/(1+EXP($I$3*(COUNT($H$9:AD$9)+$I$4))),TREND($D52:$E52,$D$9:$E$9,AD$9))</f>
        <v>0.76226911968156119</v>
      </c>
      <c r="AE52">
        <f>IF($F52="s-curve",$D52+($E52-$D52)*$I$2/(1+EXP($I$3*(COUNT($H$9:AE$9)+$I$4))),TREND($D52:$E52,$D$9:$E$9,AE$9))</f>
        <v>0.76226911968156119</v>
      </c>
      <c r="AF52">
        <f>IF($F52="s-curve",$D52+($E52-$D52)*$I$2/(1+EXP($I$3*(COUNT($H$9:AF$9)+$I$4))),TREND($D52:$E52,$D$9:$E$9,AF$9))</f>
        <v>0.76226911968156119</v>
      </c>
      <c r="AG52">
        <f>IF($F52="s-curve",$D52+($E52-$D52)*$I$2/(1+EXP($I$3*(COUNT($H$9:AG$9)+$I$4))),TREND($D52:$E52,$D$9:$E$9,AG$9))</f>
        <v>0.76226911968156119</v>
      </c>
      <c r="AH52">
        <f>IF($F52="s-curve",$D52+($E52-$D52)*$I$2/(1+EXP($I$3*(COUNT($H$9:AH$9)+$I$4))),TREND($D52:$E52,$D$9:$E$9,AH$9))</f>
        <v>0.76226911968156119</v>
      </c>
      <c r="AI52">
        <f>IF($F52="s-curve",$D52+($E52-$D52)*$I$2/(1+EXP($I$3*(COUNT($H$9:AI$9)+$I$4))),TREND($D52:$E52,$D$9:$E$9,AI$9))</f>
        <v>0.76226911968156119</v>
      </c>
      <c r="AJ52">
        <f>IF($F52="s-curve",$D52+($E52-$D52)*$I$2/(1+EXP($I$3*(COUNT($H$9:AJ$9)+$I$4))),TREND($D52:$E52,$D$9:$E$9,AJ$9))</f>
        <v>0.76226911968156119</v>
      </c>
      <c r="AK52">
        <f>IF($F52="s-curve",$D52+($E52-$D52)*$I$2/(1+EXP($I$3*(COUNT($H$9:AK$9)+$I$4))),TREND($D52:$E52,$D$9:$E$9,AK$9))</f>
        <v>0.76226911968156119</v>
      </c>
      <c r="AL52">
        <f>IF($F52="s-curve",$D52+($E52-$D52)*$I$2/(1+EXP($I$3*(COUNT($H$9:AL$9)+$I$4))),TREND($D52:$E52,$D$9:$E$9,AL$9))</f>
        <v>0.76226911968156119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3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3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f>MIN(1.25*INDEX('SYVbT-passenger'!$B$5:$H$5,MATCH(Data!$C13,'SYVbT-passenger'!$B$1:$H$1,0))/SUM('SYVbT-passenger'!$B$5:$H$5),1)</f>
        <v>0.48773088031843881</v>
      </c>
      <c r="E55" s="20">
        <f t="shared" si="23"/>
        <v>0.48773088031843881</v>
      </c>
      <c r="F55" s="6" t="str">
        <f>IF(D55=E55,"n/a",IF(OR(C55="battery electric vehicle",C55="natural gas vehicle",C55="plugin hybrid vehicle"),"s-curve","linear"))</f>
        <v>n/a</v>
      </c>
      <c r="H55" s="20">
        <f t="shared" si="22"/>
        <v>0.48773088031843881</v>
      </c>
      <c r="I55">
        <f>IF($F55="s-curve",$D55+($E55-$D55)*$I$2/(1+EXP($I$3*(COUNT($H$9:I$9)+$I$4))),TREND($D55:$E55,$D$9:$E$9,I$9))</f>
        <v>0.48773088031843881</v>
      </c>
      <c r="J55">
        <f>IF($F55="s-curve",$D55+($E55-$D55)*$I$2/(1+EXP($I$3*(COUNT($H$9:J$9)+$I$4))),TREND($D55:$E55,$D$9:$E$9,J$9))</f>
        <v>0.48773088031843881</v>
      </c>
      <c r="K55">
        <f>IF($F55="s-curve",$D55+($E55-$D55)*$I$2/(1+EXP($I$3*(COUNT($H$9:K$9)+$I$4))),TREND($D55:$E55,$D$9:$E$9,K$9))</f>
        <v>0.48773088031843881</v>
      </c>
      <c r="L55">
        <f>IF($F55="s-curve",$D55+($E55-$D55)*$I$2/(1+EXP($I$3*(COUNT($H$9:L$9)+$I$4))),TREND($D55:$E55,$D$9:$E$9,L$9))</f>
        <v>0.48773088031843881</v>
      </c>
      <c r="M55">
        <f>IF($F55="s-curve",$D55+($E55-$D55)*$I$2/(1+EXP($I$3*(COUNT($H$9:M$9)+$I$4))),TREND($D55:$E55,$D$9:$E$9,M$9))</f>
        <v>0.48773088031843881</v>
      </c>
      <c r="N55">
        <f>IF($F55="s-curve",$D55+($E55-$D55)*$I$2/(1+EXP($I$3*(COUNT($H$9:N$9)+$I$4))),TREND($D55:$E55,$D$9:$E$9,N$9))</f>
        <v>0.48773088031843881</v>
      </c>
      <c r="O55">
        <f>IF($F55="s-curve",$D55+($E55-$D55)*$I$2/(1+EXP($I$3*(COUNT($H$9:O$9)+$I$4))),TREND($D55:$E55,$D$9:$E$9,O$9))</f>
        <v>0.48773088031843881</v>
      </c>
      <c r="P55">
        <f>IF($F55="s-curve",$D55+($E55-$D55)*$I$2/(1+EXP($I$3*(COUNT($H$9:P$9)+$I$4))),TREND($D55:$E55,$D$9:$E$9,P$9))</f>
        <v>0.48773088031843881</v>
      </c>
      <c r="Q55">
        <f>IF($F55="s-curve",$D55+($E55-$D55)*$I$2/(1+EXP($I$3*(COUNT($H$9:Q$9)+$I$4))),TREND($D55:$E55,$D$9:$E$9,Q$9))</f>
        <v>0.48773088031843881</v>
      </c>
      <c r="R55">
        <f>IF($F55="s-curve",$D55+($E55-$D55)*$I$2/(1+EXP($I$3*(COUNT($H$9:R$9)+$I$4))),TREND($D55:$E55,$D$9:$E$9,R$9))</f>
        <v>0.48773088031843881</v>
      </c>
      <c r="S55">
        <f>IF($F55="s-curve",$D55+($E55-$D55)*$I$2/(1+EXP($I$3*(COUNT($H$9:S$9)+$I$4))),TREND($D55:$E55,$D$9:$E$9,S$9))</f>
        <v>0.48773088031843881</v>
      </c>
      <c r="T55">
        <f>IF($F55="s-curve",$D55+($E55-$D55)*$I$2/(1+EXP($I$3*(COUNT($H$9:T$9)+$I$4))),TREND($D55:$E55,$D$9:$E$9,T$9))</f>
        <v>0.48773088031843881</v>
      </c>
      <c r="U55">
        <f>IF($F55="s-curve",$D55+($E55-$D55)*$I$2/(1+EXP($I$3*(COUNT($H$9:U$9)+$I$4))),TREND($D55:$E55,$D$9:$E$9,U$9))</f>
        <v>0.48773088031843881</v>
      </c>
      <c r="V55">
        <f>IF($F55="s-curve",$D55+($E55-$D55)*$I$2/(1+EXP($I$3*(COUNT($H$9:V$9)+$I$4))),TREND($D55:$E55,$D$9:$E$9,V$9))</f>
        <v>0.48773088031843881</v>
      </c>
      <c r="W55">
        <f>IF($F55="s-curve",$D55+($E55-$D55)*$I$2/(1+EXP($I$3*(COUNT($H$9:W$9)+$I$4))),TREND($D55:$E55,$D$9:$E$9,W$9))</f>
        <v>0.48773088031843881</v>
      </c>
      <c r="X55">
        <f>IF($F55="s-curve",$D55+($E55-$D55)*$I$2/(1+EXP($I$3*(COUNT($H$9:X$9)+$I$4))),TREND($D55:$E55,$D$9:$E$9,X$9))</f>
        <v>0.48773088031843881</v>
      </c>
      <c r="Y55">
        <f>IF($F55="s-curve",$D55+($E55-$D55)*$I$2/(1+EXP($I$3*(COUNT($H$9:Y$9)+$I$4))),TREND($D55:$E55,$D$9:$E$9,Y$9))</f>
        <v>0.48773088031843881</v>
      </c>
      <c r="Z55">
        <f>IF($F55="s-curve",$D55+($E55-$D55)*$I$2/(1+EXP($I$3*(COUNT($H$9:Z$9)+$I$4))),TREND($D55:$E55,$D$9:$E$9,Z$9))</f>
        <v>0.48773088031843881</v>
      </c>
      <c r="AA55">
        <f>IF($F55="s-curve",$D55+($E55-$D55)*$I$2/(1+EXP($I$3*(COUNT($H$9:AA$9)+$I$4))),TREND($D55:$E55,$D$9:$E$9,AA$9))</f>
        <v>0.48773088031843881</v>
      </c>
      <c r="AB55">
        <f>IF($F55="s-curve",$D55+($E55-$D55)*$I$2/(1+EXP($I$3*(COUNT($H$9:AB$9)+$I$4))),TREND($D55:$E55,$D$9:$E$9,AB$9))</f>
        <v>0.48773088031843881</v>
      </c>
      <c r="AC55">
        <f>IF($F55="s-curve",$D55+($E55-$D55)*$I$2/(1+EXP($I$3*(COUNT($H$9:AC$9)+$I$4))),TREND($D55:$E55,$D$9:$E$9,AC$9))</f>
        <v>0.48773088031843881</v>
      </c>
      <c r="AD55">
        <f>IF($F55="s-curve",$D55+($E55-$D55)*$I$2/(1+EXP($I$3*(COUNT($H$9:AD$9)+$I$4))),TREND($D55:$E55,$D$9:$E$9,AD$9))</f>
        <v>0.48773088031843881</v>
      </c>
      <c r="AE55">
        <f>IF($F55="s-curve",$D55+($E55-$D55)*$I$2/(1+EXP($I$3*(COUNT($H$9:AE$9)+$I$4))),TREND($D55:$E55,$D$9:$E$9,AE$9))</f>
        <v>0.48773088031843881</v>
      </c>
      <c r="AF55">
        <f>IF($F55="s-curve",$D55+($E55-$D55)*$I$2/(1+EXP($I$3*(COUNT($H$9:AF$9)+$I$4))),TREND($D55:$E55,$D$9:$E$9,AF$9))</f>
        <v>0.48773088031843881</v>
      </c>
      <c r="AG55">
        <f>IF($F55="s-curve",$D55+($E55-$D55)*$I$2/(1+EXP($I$3*(COUNT($H$9:AG$9)+$I$4))),TREND($D55:$E55,$D$9:$E$9,AG$9))</f>
        <v>0.48773088031843881</v>
      </c>
      <c r="AH55">
        <f>IF($F55="s-curve",$D55+($E55-$D55)*$I$2/(1+EXP($I$3*(COUNT($H$9:AH$9)+$I$4))),TREND($D55:$E55,$D$9:$E$9,AH$9))</f>
        <v>0.48773088031843881</v>
      </c>
      <c r="AI55">
        <f>IF($F55="s-curve",$D55+($E55-$D55)*$I$2/(1+EXP($I$3*(COUNT($H$9:AI$9)+$I$4))),TREND($D55:$E55,$D$9:$E$9,AI$9))</f>
        <v>0.48773088031843881</v>
      </c>
      <c r="AJ55">
        <f>IF($F55="s-curve",$D55+($E55-$D55)*$I$2/(1+EXP($I$3*(COUNT($H$9:AJ$9)+$I$4))),TREND($D55:$E55,$D$9:$E$9,AJ$9))</f>
        <v>0.48773088031843881</v>
      </c>
      <c r="AK55">
        <f>IF($F55="s-curve",$D55+($E55-$D55)*$I$2/(1+EXP($I$3*(COUNT($H$9:AK$9)+$I$4))),TREND($D55:$E55,$D$9:$E$9,AK$9))</f>
        <v>0.48773088031843881</v>
      </c>
      <c r="AL55">
        <f>IF($F55="s-curve",$D55+($E55-$D55)*$I$2/(1+EXP($I$3*(COUNT($H$9:AL$9)+$I$4))),TREND($D55:$E55,$D$9:$E$9,AL$9))</f>
        <v>0.48773088031843881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3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3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3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f>MIN(1.25*INDEX('SYVbT-freight'!$B$5:$H$5,MATCH(Data!$C10,'SYVbT-passenger'!$B$1:$H$1,0))/SUM('SYVbT-freight'!$B$5:$H$5),1)</f>
        <v>0.50990675990675993</v>
      </c>
      <c r="E59">
        <f>D59</f>
        <v>0.50990675990675993</v>
      </c>
      <c r="F59" s="6" t="str">
        <f>IF(D59=E59,"n/a",IF(OR(C59="battery electric vehicle",C59="natural gas vehicle",C59="plugin hybrid vehicle"),"s-curve","linear"))</f>
        <v>n/a</v>
      </c>
      <c r="H59" s="20">
        <f t="shared" si="22"/>
        <v>0.50990675990675993</v>
      </c>
      <c r="I59">
        <f>IF($F59="s-curve",$D59+($E59-$D59)*$I$2/(1+EXP($I$3*(COUNT($H$9:I$9)+$I$4))),TREND($D59:$E59,$D$9:$E$9,I$9))</f>
        <v>0.50990675990675993</v>
      </c>
      <c r="J59">
        <f>IF($F59="s-curve",$D59+($E59-$D59)*$I$2/(1+EXP($I$3*(COUNT($H$9:J$9)+$I$4))),TREND($D59:$E59,$D$9:$E$9,J$9))</f>
        <v>0.50990675990675993</v>
      </c>
      <c r="K59">
        <f>IF($F59="s-curve",$D59+($E59-$D59)*$I$2/(1+EXP($I$3*(COUNT($H$9:K$9)+$I$4))),TREND($D59:$E59,$D$9:$E$9,K$9))</f>
        <v>0.50990675990675993</v>
      </c>
      <c r="L59">
        <f>IF($F59="s-curve",$D59+($E59-$D59)*$I$2/(1+EXP($I$3*(COUNT($H$9:L$9)+$I$4))),TREND($D59:$E59,$D$9:$E$9,L$9))</f>
        <v>0.50990675990675993</v>
      </c>
      <c r="M59">
        <f>IF($F59="s-curve",$D59+($E59-$D59)*$I$2/(1+EXP($I$3*(COUNT($H$9:M$9)+$I$4))),TREND($D59:$E59,$D$9:$E$9,M$9))</f>
        <v>0.50990675990675993</v>
      </c>
      <c r="N59">
        <f>IF($F59="s-curve",$D59+($E59-$D59)*$I$2/(1+EXP($I$3*(COUNT($H$9:N$9)+$I$4))),TREND($D59:$E59,$D$9:$E$9,N$9))</f>
        <v>0.50990675990675993</v>
      </c>
      <c r="O59">
        <f>IF($F59="s-curve",$D59+($E59-$D59)*$I$2/(1+EXP($I$3*(COUNT($H$9:O$9)+$I$4))),TREND($D59:$E59,$D$9:$E$9,O$9))</f>
        <v>0.50990675990675993</v>
      </c>
      <c r="P59">
        <f>IF($F59="s-curve",$D59+($E59-$D59)*$I$2/(1+EXP($I$3*(COUNT($H$9:P$9)+$I$4))),TREND($D59:$E59,$D$9:$E$9,P$9))</f>
        <v>0.50990675990675993</v>
      </c>
      <c r="Q59">
        <f>IF($F59="s-curve",$D59+($E59-$D59)*$I$2/(1+EXP($I$3*(COUNT($H$9:Q$9)+$I$4))),TREND($D59:$E59,$D$9:$E$9,Q$9))</f>
        <v>0.50990675990675993</v>
      </c>
      <c r="R59">
        <f>IF($F59="s-curve",$D59+($E59-$D59)*$I$2/(1+EXP($I$3*(COUNT($H$9:R$9)+$I$4))),TREND($D59:$E59,$D$9:$E$9,R$9))</f>
        <v>0.50990675990675993</v>
      </c>
      <c r="S59">
        <f>IF($F59="s-curve",$D59+($E59-$D59)*$I$2/(1+EXP($I$3*(COUNT($H$9:S$9)+$I$4))),TREND($D59:$E59,$D$9:$E$9,S$9))</f>
        <v>0.50990675990675993</v>
      </c>
      <c r="T59">
        <f>IF($F59="s-curve",$D59+($E59-$D59)*$I$2/(1+EXP($I$3*(COUNT($H$9:T$9)+$I$4))),TREND($D59:$E59,$D$9:$E$9,T$9))</f>
        <v>0.50990675990675993</v>
      </c>
      <c r="U59">
        <f>IF($F59="s-curve",$D59+($E59-$D59)*$I$2/(1+EXP($I$3*(COUNT($H$9:U$9)+$I$4))),TREND($D59:$E59,$D$9:$E$9,U$9))</f>
        <v>0.50990675990675993</v>
      </c>
      <c r="V59">
        <f>IF($F59="s-curve",$D59+($E59-$D59)*$I$2/(1+EXP($I$3*(COUNT($H$9:V$9)+$I$4))),TREND($D59:$E59,$D$9:$E$9,V$9))</f>
        <v>0.50990675990675993</v>
      </c>
      <c r="W59">
        <f>IF($F59="s-curve",$D59+($E59-$D59)*$I$2/(1+EXP($I$3*(COUNT($H$9:W$9)+$I$4))),TREND($D59:$E59,$D$9:$E$9,W$9))</f>
        <v>0.50990675990675993</v>
      </c>
      <c r="X59">
        <f>IF($F59="s-curve",$D59+($E59-$D59)*$I$2/(1+EXP($I$3*(COUNT($H$9:X$9)+$I$4))),TREND($D59:$E59,$D$9:$E$9,X$9))</f>
        <v>0.50990675990675993</v>
      </c>
      <c r="Y59">
        <f>IF($F59="s-curve",$D59+($E59-$D59)*$I$2/(1+EXP($I$3*(COUNT($H$9:Y$9)+$I$4))),TREND($D59:$E59,$D$9:$E$9,Y$9))</f>
        <v>0.50990675990675993</v>
      </c>
      <c r="Z59">
        <f>IF($F59="s-curve",$D59+($E59-$D59)*$I$2/(1+EXP($I$3*(COUNT($H$9:Z$9)+$I$4))),TREND($D59:$E59,$D$9:$E$9,Z$9))</f>
        <v>0.50990675990675993</v>
      </c>
      <c r="AA59">
        <f>IF($F59="s-curve",$D59+($E59-$D59)*$I$2/(1+EXP($I$3*(COUNT($H$9:AA$9)+$I$4))),TREND($D59:$E59,$D$9:$E$9,AA$9))</f>
        <v>0.50990675990675993</v>
      </c>
      <c r="AB59">
        <f>IF($F59="s-curve",$D59+($E59-$D59)*$I$2/(1+EXP($I$3*(COUNT($H$9:AB$9)+$I$4))),TREND($D59:$E59,$D$9:$E$9,AB$9))</f>
        <v>0.50990675990675993</v>
      </c>
      <c r="AC59">
        <f>IF($F59="s-curve",$D59+($E59-$D59)*$I$2/(1+EXP($I$3*(COUNT($H$9:AC$9)+$I$4))),TREND($D59:$E59,$D$9:$E$9,AC$9))</f>
        <v>0.50990675990675993</v>
      </c>
      <c r="AD59">
        <f>IF($F59="s-curve",$D59+($E59-$D59)*$I$2/(1+EXP($I$3*(COUNT($H$9:AD$9)+$I$4))),TREND($D59:$E59,$D$9:$E$9,AD$9))</f>
        <v>0.50990675990675993</v>
      </c>
      <c r="AE59">
        <f>IF($F59="s-curve",$D59+($E59-$D59)*$I$2/(1+EXP($I$3*(COUNT($H$9:AE$9)+$I$4))),TREND($D59:$E59,$D$9:$E$9,AE$9))</f>
        <v>0.50990675990675993</v>
      </c>
      <c r="AF59">
        <f>IF($F59="s-curve",$D59+($E59-$D59)*$I$2/(1+EXP($I$3*(COUNT($H$9:AF$9)+$I$4))),TREND($D59:$E59,$D$9:$E$9,AF$9))</f>
        <v>0.50990675990675993</v>
      </c>
      <c r="AG59">
        <f>IF($F59="s-curve",$D59+($E59-$D59)*$I$2/(1+EXP($I$3*(COUNT($H$9:AG$9)+$I$4))),TREND($D59:$E59,$D$9:$E$9,AG$9))</f>
        <v>0.50990675990675993</v>
      </c>
      <c r="AH59">
        <f>IF($F59="s-curve",$D59+($E59-$D59)*$I$2/(1+EXP($I$3*(COUNT($H$9:AH$9)+$I$4))),TREND($D59:$E59,$D$9:$E$9,AH$9))</f>
        <v>0.50990675990675993</v>
      </c>
      <c r="AI59">
        <f>IF($F59="s-curve",$D59+($E59-$D59)*$I$2/(1+EXP($I$3*(COUNT($H$9:AI$9)+$I$4))),TREND($D59:$E59,$D$9:$E$9,AI$9))</f>
        <v>0.50990675990675993</v>
      </c>
      <c r="AJ59">
        <f>IF($F59="s-curve",$D59+($E59-$D59)*$I$2/(1+EXP($I$3*(COUNT($H$9:AJ$9)+$I$4))),TREND($D59:$E59,$D$9:$E$9,AJ$9))</f>
        <v>0.50990675990675993</v>
      </c>
      <c r="AK59">
        <f>IF($F59="s-curve",$D59+($E59-$D59)*$I$2/(1+EXP($I$3*(COUNT($H$9:AK$9)+$I$4))),TREND($D59:$E59,$D$9:$E$9,AK$9))</f>
        <v>0.50990675990675993</v>
      </c>
      <c r="AL59">
        <f>IF($F59="s-curve",$D59+($E59-$D59)*$I$2/(1+EXP($I$3*(COUNT($H$9:AL$9)+$I$4))),TREND($D59:$E59,$D$9:$E$9,AL$9))</f>
        <v>0.50990675990675993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4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4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f>MIN(1.25*INDEX('SYVbT-freight'!$B$5:$H$5,MATCH(Data!$C13,'SYVbT-passenger'!$B$1:$H$1,0))/SUM('SYVbT-freight'!$B$5:$H$5),1)</f>
        <v>0.74009324009324007</v>
      </c>
      <c r="E62">
        <f t="shared" si="24"/>
        <v>0.74009324009324007</v>
      </c>
      <c r="F62" s="6" t="str">
        <f>IF(D62=E62,"n/a",IF(OR(C62="battery electric vehicle",C62="natural gas vehicle",C62="plugin hybrid vehicle"),"s-curve","linear"))</f>
        <v>n/a</v>
      </c>
      <c r="H62" s="20">
        <f t="shared" si="22"/>
        <v>0.74009324009324007</v>
      </c>
      <c r="I62">
        <f>IF($F62="s-curve",$D62+($E62-$D62)*$I$2/(1+EXP($I$3*(COUNT($H$9:I$9)+$I$4))),TREND($D62:$E62,$D$9:$E$9,I$9))</f>
        <v>0.74009324009324007</v>
      </c>
      <c r="J62">
        <f>IF($F62="s-curve",$D62+($E62-$D62)*$I$2/(1+EXP($I$3*(COUNT($H$9:J$9)+$I$4))),TREND($D62:$E62,$D$9:$E$9,J$9))</f>
        <v>0.74009324009324007</v>
      </c>
      <c r="K62">
        <f>IF($F62="s-curve",$D62+($E62-$D62)*$I$2/(1+EXP($I$3*(COUNT($H$9:K$9)+$I$4))),TREND($D62:$E62,$D$9:$E$9,K$9))</f>
        <v>0.74009324009324007</v>
      </c>
      <c r="L62">
        <f>IF($F62="s-curve",$D62+($E62-$D62)*$I$2/(1+EXP($I$3*(COUNT($H$9:L$9)+$I$4))),TREND($D62:$E62,$D$9:$E$9,L$9))</f>
        <v>0.74009324009324007</v>
      </c>
      <c r="M62">
        <f>IF($F62="s-curve",$D62+($E62-$D62)*$I$2/(1+EXP($I$3*(COUNT($H$9:M$9)+$I$4))),TREND($D62:$E62,$D$9:$E$9,M$9))</f>
        <v>0.74009324009324007</v>
      </c>
      <c r="N62">
        <f>IF($F62="s-curve",$D62+($E62-$D62)*$I$2/(1+EXP($I$3*(COUNT($H$9:N$9)+$I$4))),TREND($D62:$E62,$D$9:$E$9,N$9))</f>
        <v>0.74009324009324007</v>
      </c>
      <c r="O62">
        <f>IF($F62="s-curve",$D62+($E62-$D62)*$I$2/(1+EXP($I$3*(COUNT($H$9:O$9)+$I$4))),TREND($D62:$E62,$D$9:$E$9,O$9))</f>
        <v>0.74009324009324007</v>
      </c>
      <c r="P62">
        <f>IF($F62="s-curve",$D62+($E62-$D62)*$I$2/(1+EXP($I$3*(COUNT($H$9:P$9)+$I$4))),TREND($D62:$E62,$D$9:$E$9,P$9))</f>
        <v>0.74009324009324007</v>
      </c>
      <c r="Q62">
        <f>IF($F62="s-curve",$D62+($E62-$D62)*$I$2/(1+EXP($I$3*(COUNT($H$9:Q$9)+$I$4))),TREND($D62:$E62,$D$9:$E$9,Q$9))</f>
        <v>0.74009324009324007</v>
      </c>
      <c r="R62">
        <f>IF($F62="s-curve",$D62+($E62-$D62)*$I$2/(1+EXP($I$3*(COUNT($H$9:R$9)+$I$4))),TREND($D62:$E62,$D$9:$E$9,R$9))</f>
        <v>0.74009324009324007</v>
      </c>
      <c r="S62">
        <f>IF($F62="s-curve",$D62+($E62-$D62)*$I$2/(1+EXP($I$3*(COUNT($H$9:S$9)+$I$4))),TREND($D62:$E62,$D$9:$E$9,S$9))</f>
        <v>0.74009324009324007</v>
      </c>
      <c r="T62">
        <f>IF($F62="s-curve",$D62+($E62-$D62)*$I$2/(1+EXP($I$3*(COUNT($H$9:T$9)+$I$4))),TREND($D62:$E62,$D$9:$E$9,T$9))</f>
        <v>0.74009324009324007</v>
      </c>
      <c r="U62">
        <f>IF($F62="s-curve",$D62+($E62-$D62)*$I$2/(1+EXP($I$3*(COUNT($H$9:U$9)+$I$4))),TREND($D62:$E62,$D$9:$E$9,U$9))</f>
        <v>0.74009324009324007</v>
      </c>
      <c r="V62">
        <f>IF($F62="s-curve",$D62+($E62-$D62)*$I$2/(1+EXP($I$3*(COUNT($H$9:V$9)+$I$4))),TREND($D62:$E62,$D$9:$E$9,V$9))</f>
        <v>0.74009324009324007</v>
      </c>
      <c r="W62">
        <f>IF($F62="s-curve",$D62+($E62-$D62)*$I$2/(1+EXP($I$3*(COUNT($H$9:W$9)+$I$4))),TREND($D62:$E62,$D$9:$E$9,W$9))</f>
        <v>0.74009324009324007</v>
      </c>
      <c r="X62">
        <f>IF($F62="s-curve",$D62+($E62-$D62)*$I$2/(1+EXP($I$3*(COUNT($H$9:X$9)+$I$4))),TREND($D62:$E62,$D$9:$E$9,X$9))</f>
        <v>0.74009324009324007</v>
      </c>
      <c r="Y62">
        <f>IF($F62="s-curve",$D62+($E62-$D62)*$I$2/(1+EXP($I$3*(COUNT($H$9:Y$9)+$I$4))),TREND($D62:$E62,$D$9:$E$9,Y$9))</f>
        <v>0.74009324009324007</v>
      </c>
      <c r="Z62">
        <f>IF($F62="s-curve",$D62+($E62-$D62)*$I$2/(1+EXP($I$3*(COUNT($H$9:Z$9)+$I$4))),TREND($D62:$E62,$D$9:$E$9,Z$9))</f>
        <v>0.74009324009324007</v>
      </c>
      <c r="AA62">
        <f>IF($F62="s-curve",$D62+($E62-$D62)*$I$2/(1+EXP($I$3*(COUNT($H$9:AA$9)+$I$4))),TREND($D62:$E62,$D$9:$E$9,AA$9))</f>
        <v>0.74009324009324007</v>
      </c>
      <c r="AB62">
        <f>IF($F62="s-curve",$D62+($E62-$D62)*$I$2/(1+EXP($I$3*(COUNT($H$9:AB$9)+$I$4))),TREND($D62:$E62,$D$9:$E$9,AB$9))</f>
        <v>0.74009324009324007</v>
      </c>
      <c r="AC62">
        <f>IF($F62="s-curve",$D62+($E62-$D62)*$I$2/(1+EXP($I$3*(COUNT($H$9:AC$9)+$I$4))),TREND($D62:$E62,$D$9:$E$9,AC$9))</f>
        <v>0.74009324009324007</v>
      </c>
      <c r="AD62">
        <f>IF($F62="s-curve",$D62+($E62-$D62)*$I$2/(1+EXP($I$3*(COUNT($H$9:AD$9)+$I$4))),TREND($D62:$E62,$D$9:$E$9,AD$9))</f>
        <v>0.74009324009324007</v>
      </c>
      <c r="AE62">
        <f>IF($F62="s-curve",$D62+($E62-$D62)*$I$2/(1+EXP($I$3*(COUNT($H$9:AE$9)+$I$4))),TREND($D62:$E62,$D$9:$E$9,AE$9))</f>
        <v>0.74009324009324007</v>
      </c>
      <c r="AF62">
        <f>IF($F62="s-curve",$D62+($E62-$D62)*$I$2/(1+EXP($I$3*(COUNT($H$9:AF$9)+$I$4))),TREND($D62:$E62,$D$9:$E$9,AF$9))</f>
        <v>0.74009324009324007</v>
      </c>
      <c r="AG62">
        <f>IF($F62="s-curve",$D62+($E62-$D62)*$I$2/(1+EXP($I$3*(COUNT($H$9:AG$9)+$I$4))),TREND($D62:$E62,$D$9:$E$9,AG$9))</f>
        <v>0.74009324009324007</v>
      </c>
      <c r="AH62">
        <f>IF($F62="s-curve",$D62+($E62-$D62)*$I$2/(1+EXP($I$3*(COUNT($H$9:AH$9)+$I$4))),TREND($D62:$E62,$D$9:$E$9,AH$9))</f>
        <v>0.74009324009324007</v>
      </c>
      <c r="AI62">
        <f>IF($F62="s-curve",$D62+($E62-$D62)*$I$2/(1+EXP($I$3*(COUNT($H$9:AI$9)+$I$4))),TREND($D62:$E62,$D$9:$E$9,AI$9))</f>
        <v>0.74009324009324007</v>
      </c>
      <c r="AJ62">
        <f>IF($F62="s-curve",$D62+($E62-$D62)*$I$2/(1+EXP($I$3*(COUNT($H$9:AJ$9)+$I$4))),TREND($D62:$E62,$D$9:$E$9,AJ$9))</f>
        <v>0.74009324009324007</v>
      </c>
      <c r="AK62">
        <f>IF($F62="s-curve",$D62+($E62-$D62)*$I$2/(1+EXP($I$3*(COUNT($H$9:AK$9)+$I$4))),TREND($D62:$E62,$D$9:$E$9,AK$9))</f>
        <v>0.74009324009324007</v>
      </c>
      <c r="AL62">
        <f>IF($F62="s-curve",$D62+($E62-$D62)*$I$2/(1+EXP($I$3*(COUNT($H$9:AL$9)+$I$4))),TREND($D62:$E62,$D$9:$E$9,AL$9))</f>
        <v>0.74009324009324007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4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4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4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25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26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25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26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25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26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25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26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25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26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25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26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25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25"/>
        <v>0</v>
      </c>
      <c r="I80">
        <f>IF($F80="s-curve",$D80+($E80-$D80)*$I$2/(1+EXP($I$3*(COUNT($H$9:I$9)+$I$4))),TREND($D80:$E80,$D$9:$E$9,I$9))</f>
        <v>1.4774031693273055E-2</v>
      </c>
      <c r="J80">
        <f>IF($F80="s-curve",$D80+($E80-$D80)*$I$2/(1+EXP($I$3*(COUNT($H$9:J$9)+$I$4))),TREND($D80:$E80,$D$9:$E$9,J$9))</f>
        <v>1.984030573407751E-2</v>
      </c>
      <c r="K80">
        <f>IF($F80="s-curve",$D80+($E80-$D80)*$I$2/(1+EXP($I$3*(COUNT($H$9:K$9)+$I$4))),TREND($D80:$E80,$D$9:$E$9,K$9))</f>
        <v>2.6596993576865863E-2</v>
      </c>
      <c r="L80">
        <f>IF($F80="s-curve",$D80+($E80-$D80)*$I$2/(1+EXP($I$3*(COUNT($H$9:L$9)+$I$4))),TREND($D80:$E80,$D$9:$E$9,L$9))</f>
        <v>3.5571189272636181E-2</v>
      </c>
      <c r="M80">
        <f>IF($F80="s-curve",$D80+($E80-$D80)*$I$2/(1+EXP($I$3*(COUNT($H$9:M$9)+$I$4))),TREND($D80:$E80,$D$9:$E$9,M$9))</f>
        <v>4.7425873177566781E-2</v>
      </c>
      <c r="N80">
        <f>IF($F80="s-curve",$D80+($E80-$D80)*$I$2/(1+EXP($I$3*(COUNT($H$9:N$9)+$I$4))),TREND($D80:$E80,$D$9:$E$9,N$9))</f>
        <v>6.2973356056996513E-2</v>
      </c>
      <c r="O80">
        <f>IF($F80="s-curve",$D80+($E80-$D80)*$I$2/(1+EXP($I$3*(COUNT($H$9:O$9)+$I$4))),TREND($D80:$E80,$D$9:$E$9,O$9))</f>
        <v>8.317269649392238E-2</v>
      </c>
      <c r="P80">
        <f>IF($F80="s-curve",$D80+($E80-$D80)*$I$2/(1+EXP($I$3*(COUNT($H$9:P$9)+$I$4))),TREND($D80:$E80,$D$9:$E$9,P$9))</f>
        <v>0.10909682119561293</v>
      </c>
      <c r="Q80">
        <f>IF($F80="s-curve",$D80+($E80-$D80)*$I$2/(1+EXP($I$3*(COUNT($H$9:Q$9)+$I$4))),TREND($D80:$E80,$D$9:$E$9,Q$9))</f>
        <v>0.14185106490048782</v>
      </c>
      <c r="R80">
        <f>IF($F80="s-curve",$D80+($E80-$D80)*$I$2/(1+EXP($I$3*(COUNT($H$9:R$9)+$I$4))),TREND($D80:$E80,$D$9:$E$9,R$9))</f>
        <v>0.18242552380635635</v>
      </c>
      <c r="S80">
        <f>IF($F80="s-curve",$D80+($E80-$D80)*$I$2/(1+EXP($I$3*(COUNT($H$9:S$9)+$I$4))),TREND($D80:$E80,$D$9:$E$9,S$9))</f>
        <v>0.23147521650098238</v>
      </c>
      <c r="T80">
        <f>IF($F80="s-curve",$D80+($E80-$D80)*$I$2/(1+EXP($I$3*(COUNT($H$9:T$9)+$I$4))),TREND($D80:$E80,$D$9:$E$9,T$9))</f>
        <v>0.28905049737499605</v>
      </c>
      <c r="U80">
        <f>IF($F80="s-curve",$D80+($E80-$D80)*$I$2/(1+EXP($I$3*(COUNT($H$9:U$9)+$I$4))),TREND($D80:$E80,$D$9:$E$9,U$9))</f>
        <v>0.35434369377420455</v>
      </c>
      <c r="V80">
        <f>IF($F80="s-curve",$D80+($E80-$D80)*$I$2/(1+EXP($I$3*(COUNT($H$9:V$9)+$I$4))),TREND($D80:$E80,$D$9:$E$9,V$9))</f>
        <v>0.42555748318834102</v>
      </c>
      <c r="W80">
        <f>IF($F80="s-curve",$D80+($E80-$D80)*$I$2/(1+EXP($I$3*(COUNT($H$9:W$9)+$I$4))),TREND($D80:$E80,$D$9:$E$9,W$9))</f>
        <v>0.5</v>
      </c>
      <c r="X80">
        <f>IF($F80="s-curve",$D80+($E80-$D80)*$I$2/(1+EXP($I$3*(COUNT($H$9:X$9)+$I$4))),TREND($D80:$E80,$D$9:$E$9,X$9))</f>
        <v>0.57444251681165903</v>
      </c>
      <c r="Y80">
        <f>IF($F80="s-curve",$D80+($E80-$D80)*$I$2/(1+EXP($I$3*(COUNT($H$9:Y$9)+$I$4))),TREND($D80:$E80,$D$9:$E$9,Y$9))</f>
        <v>0.6456563062257954</v>
      </c>
      <c r="Z80">
        <f>IF($F80="s-curve",$D80+($E80-$D80)*$I$2/(1+EXP($I$3*(COUNT($H$9:Z$9)+$I$4))),TREND($D80:$E80,$D$9:$E$9,Z$9))</f>
        <v>0.71094950262500389</v>
      </c>
      <c r="AA80">
        <f>IF($F80="s-curve",$D80+($E80-$D80)*$I$2/(1+EXP($I$3*(COUNT($H$9:AA$9)+$I$4))),TREND($D80:$E80,$D$9:$E$9,AA$9))</f>
        <v>0.76852478349901754</v>
      </c>
      <c r="AB80">
        <f>IF($F80="s-curve",$D80+($E80-$D80)*$I$2/(1+EXP($I$3*(COUNT($H$9:AB$9)+$I$4))),TREND($D80:$E80,$D$9:$E$9,AB$9))</f>
        <v>0.81757447619364365</v>
      </c>
      <c r="AC80">
        <f>IF($F80="s-curve",$D80+($E80-$D80)*$I$2/(1+EXP($I$3*(COUNT($H$9:AC$9)+$I$4))),TREND($D80:$E80,$D$9:$E$9,AC$9))</f>
        <v>0.85814893509951229</v>
      </c>
      <c r="AD80">
        <f>IF($F80="s-curve",$D80+($E80-$D80)*$I$2/(1+EXP($I$3*(COUNT($H$9:AD$9)+$I$4))),TREND($D80:$E80,$D$9:$E$9,AD$9))</f>
        <v>0.89090317880438707</v>
      </c>
      <c r="AE80">
        <f>IF($F80="s-curve",$D80+($E80-$D80)*$I$2/(1+EXP($I$3*(COUNT($H$9:AE$9)+$I$4))),TREND($D80:$E80,$D$9:$E$9,AE$9))</f>
        <v>0.91682730350607766</v>
      </c>
      <c r="AF80">
        <f>IF($F80="s-curve",$D80+($E80-$D80)*$I$2/(1+EXP($I$3*(COUNT($H$9:AF$9)+$I$4))),TREND($D80:$E80,$D$9:$E$9,AF$9))</f>
        <v>0.9370266439430035</v>
      </c>
      <c r="AG80">
        <f>IF($F80="s-curve",$D80+($E80-$D80)*$I$2/(1+EXP($I$3*(COUNT($H$9:AG$9)+$I$4))),TREND($D80:$E80,$D$9:$E$9,AG$9))</f>
        <v>0.95257412682243336</v>
      </c>
      <c r="AH80">
        <f>IF($F80="s-curve",$D80+($E80-$D80)*$I$2/(1+EXP($I$3*(COUNT($H$9:AH$9)+$I$4))),TREND($D80:$E80,$D$9:$E$9,AH$9))</f>
        <v>0.96442881072736386</v>
      </c>
      <c r="AI80">
        <f>IF($F80="s-curve",$D80+($E80-$D80)*$I$2/(1+EXP($I$3*(COUNT($H$9:AI$9)+$I$4))),TREND($D80:$E80,$D$9:$E$9,AI$9))</f>
        <v>0.97340300642313404</v>
      </c>
      <c r="AJ80">
        <f>IF($F80="s-curve",$D80+($E80-$D80)*$I$2/(1+EXP($I$3*(COUNT($H$9:AJ$9)+$I$4))),TREND($D80:$E80,$D$9:$E$9,AJ$9))</f>
        <v>0.98015969426592253</v>
      </c>
      <c r="AK80">
        <f>IF($F80="s-curve",$D80+($E80-$D80)*$I$2/(1+EXP($I$3*(COUNT($H$9:AK$9)+$I$4))),TREND($D80:$E80,$D$9:$E$9,AK$9))</f>
        <v>0.98522596830672693</v>
      </c>
      <c r="AL80">
        <f>IF($F80="s-curve",$D80+($E80-$D80)*$I$2/(1+EXP($I$3*(COUNT($H$9:AL$9)+$I$4))),TREND($D80:$E80,$D$9:$E$9,AL$9))</f>
        <v>0.98901305736940681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25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25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25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25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25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25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25"/>
        <v>0</v>
      </c>
      <c r="I87">
        <f>IF($F87="s-curve",$D87+($E87-$D87)*$I$2/(1+EXP($I$3*(COUNT($H$9:I$9)+$I$4))),TREND($D87:$E87,$D$9:$E$9,I$9))</f>
        <v>1.4774031693273055E-2</v>
      </c>
      <c r="J87">
        <f>IF($F87="s-curve",$D87+($E87-$D87)*$I$2/(1+EXP($I$3*(COUNT($H$9:J$9)+$I$4))),TREND($D87:$E87,$D$9:$E$9,J$9))</f>
        <v>1.984030573407751E-2</v>
      </c>
      <c r="K87">
        <f>IF($F87="s-curve",$D87+($E87-$D87)*$I$2/(1+EXP($I$3*(COUNT($H$9:K$9)+$I$4))),TREND($D87:$E87,$D$9:$E$9,K$9))</f>
        <v>2.6596993576865863E-2</v>
      </c>
      <c r="L87">
        <f>IF($F87="s-curve",$D87+($E87-$D87)*$I$2/(1+EXP($I$3*(COUNT($H$9:L$9)+$I$4))),TREND($D87:$E87,$D$9:$E$9,L$9))</f>
        <v>3.5571189272636181E-2</v>
      </c>
      <c r="M87">
        <f>IF($F87="s-curve",$D87+($E87-$D87)*$I$2/(1+EXP($I$3*(COUNT($H$9:M$9)+$I$4))),TREND($D87:$E87,$D$9:$E$9,M$9))</f>
        <v>4.7425873177566781E-2</v>
      </c>
      <c r="N87">
        <f>IF($F87="s-curve",$D87+($E87-$D87)*$I$2/(1+EXP($I$3*(COUNT($H$9:N$9)+$I$4))),TREND($D87:$E87,$D$9:$E$9,N$9))</f>
        <v>6.2973356056996513E-2</v>
      </c>
      <c r="O87">
        <f>IF($F87="s-curve",$D87+($E87-$D87)*$I$2/(1+EXP($I$3*(COUNT($H$9:O$9)+$I$4))),TREND($D87:$E87,$D$9:$E$9,O$9))</f>
        <v>8.317269649392238E-2</v>
      </c>
      <c r="P87">
        <f>IF($F87="s-curve",$D87+($E87-$D87)*$I$2/(1+EXP($I$3*(COUNT($H$9:P$9)+$I$4))),TREND($D87:$E87,$D$9:$E$9,P$9))</f>
        <v>0.10909682119561293</v>
      </c>
      <c r="Q87">
        <f>IF($F87="s-curve",$D87+($E87-$D87)*$I$2/(1+EXP($I$3*(COUNT($H$9:Q$9)+$I$4))),TREND($D87:$E87,$D$9:$E$9,Q$9))</f>
        <v>0.14185106490048782</v>
      </c>
      <c r="R87">
        <f>IF($F87="s-curve",$D87+($E87-$D87)*$I$2/(1+EXP($I$3*(COUNT($H$9:R$9)+$I$4))),TREND($D87:$E87,$D$9:$E$9,R$9))</f>
        <v>0.18242552380635635</v>
      </c>
      <c r="S87">
        <f>IF($F87="s-curve",$D87+($E87-$D87)*$I$2/(1+EXP($I$3*(COUNT($H$9:S$9)+$I$4))),TREND($D87:$E87,$D$9:$E$9,S$9))</f>
        <v>0.23147521650098238</v>
      </c>
      <c r="T87">
        <f>IF($F87="s-curve",$D87+($E87-$D87)*$I$2/(1+EXP($I$3*(COUNT($H$9:T$9)+$I$4))),TREND($D87:$E87,$D$9:$E$9,T$9))</f>
        <v>0.28905049737499605</v>
      </c>
      <c r="U87">
        <f>IF($F87="s-curve",$D87+($E87-$D87)*$I$2/(1+EXP($I$3*(COUNT($H$9:U$9)+$I$4))),TREND($D87:$E87,$D$9:$E$9,U$9))</f>
        <v>0.35434369377420455</v>
      </c>
      <c r="V87">
        <f>IF($F87="s-curve",$D87+($E87-$D87)*$I$2/(1+EXP($I$3*(COUNT($H$9:V$9)+$I$4))),TREND($D87:$E87,$D$9:$E$9,V$9))</f>
        <v>0.42555748318834102</v>
      </c>
      <c r="W87">
        <f>IF($F87="s-curve",$D87+($E87-$D87)*$I$2/(1+EXP($I$3*(COUNT($H$9:W$9)+$I$4))),TREND($D87:$E87,$D$9:$E$9,W$9))</f>
        <v>0.5</v>
      </c>
      <c r="X87">
        <f>IF($F87="s-curve",$D87+($E87-$D87)*$I$2/(1+EXP($I$3*(COUNT($H$9:X$9)+$I$4))),TREND($D87:$E87,$D$9:$E$9,X$9))</f>
        <v>0.57444251681165903</v>
      </c>
      <c r="Y87">
        <f>IF($F87="s-curve",$D87+($E87-$D87)*$I$2/(1+EXP($I$3*(COUNT($H$9:Y$9)+$I$4))),TREND($D87:$E87,$D$9:$E$9,Y$9))</f>
        <v>0.6456563062257954</v>
      </c>
      <c r="Z87">
        <f>IF($F87="s-curve",$D87+($E87-$D87)*$I$2/(1+EXP($I$3*(COUNT($H$9:Z$9)+$I$4))),TREND($D87:$E87,$D$9:$E$9,Z$9))</f>
        <v>0.71094950262500389</v>
      </c>
      <c r="AA87">
        <f>IF($F87="s-curve",$D87+($E87-$D87)*$I$2/(1+EXP($I$3*(COUNT($H$9:AA$9)+$I$4))),TREND($D87:$E87,$D$9:$E$9,AA$9))</f>
        <v>0.76852478349901754</v>
      </c>
      <c r="AB87">
        <f>IF($F87="s-curve",$D87+($E87-$D87)*$I$2/(1+EXP($I$3*(COUNT($H$9:AB$9)+$I$4))),TREND($D87:$E87,$D$9:$E$9,AB$9))</f>
        <v>0.81757447619364365</v>
      </c>
      <c r="AC87">
        <f>IF($F87="s-curve",$D87+($E87-$D87)*$I$2/(1+EXP($I$3*(COUNT($H$9:AC$9)+$I$4))),TREND($D87:$E87,$D$9:$E$9,AC$9))</f>
        <v>0.85814893509951229</v>
      </c>
      <c r="AD87">
        <f>IF($F87="s-curve",$D87+($E87-$D87)*$I$2/(1+EXP($I$3*(COUNT($H$9:AD$9)+$I$4))),TREND($D87:$E87,$D$9:$E$9,AD$9))</f>
        <v>0.89090317880438707</v>
      </c>
      <c r="AE87">
        <f>IF($F87="s-curve",$D87+($E87-$D87)*$I$2/(1+EXP($I$3*(COUNT($H$9:AE$9)+$I$4))),TREND($D87:$E87,$D$9:$E$9,AE$9))</f>
        <v>0.91682730350607766</v>
      </c>
      <c r="AF87">
        <f>IF($F87="s-curve",$D87+($E87-$D87)*$I$2/(1+EXP($I$3*(COUNT($H$9:AF$9)+$I$4))),TREND($D87:$E87,$D$9:$E$9,AF$9))</f>
        <v>0.9370266439430035</v>
      </c>
      <c r="AG87">
        <f>IF($F87="s-curve",$D87+($E87-$D87)*$I$2/(1+EXP($I$3*(COUNT($H$9:AG$9)+$I$4))),TREND($D87:$E87,$D$9:$E$9,AG$9))</f>
        <v>0.95257412682243336</v>
      </c>
      <c r="AH87">
        <f>IF($F87="s-curve",$D87+($E87-$D87)*$I$2/(1+EXP($I$3*(COUNT($H$9:AH$9)+$I$4))),TREND($D87:$E87,$D$9:$E$9,AH$9))</f>
        <v>0.96442881072736386</v>
      </c>
      <c r="AI87">
        <f>IF($F87="s-curve",$D87+($E87-$D87)*$I$2/(1+EXP($I$3*(COUNT($H$9:AI$9)+$I$4))),TREND($D87:$E87,$D$9:$E$9,AI$9))</f>
        <v>0.97340300642313404</v>
      </c>
      <c r="AJ87">
        <f>IF($F87="s-curve",$D87+($E87-$D87)*$I$2/(1+EXP($I$3*(COUNT($H$9:AJ$9)+$I$4))),TREND($D87:$E87,$D$9:$E$9,AJ$9))</f>
        <v>0.98015969426592253</v>
      </c>
      <c r="AK87">
        <f>IF($F87="s-curve",$D87+($E87-$D87)*$I$2/(1+EXP($I$3*(COUNT($H$9:AK$9)+$I$4))),TREND($D87:$E87,$D$9:$E$9,AK$9))</f>
        <v>0.98522596830672693</v>
      </c>
      <c r="AL87">
        <f>IF($F87="s-curve",$D87+($E87-$D87)*$I$2/(1+EXP($I$3*(COUNT($H$9:AL$9)+$I$4))),TREND($D87:$E87,$D$9:$E$9,AL$9))</f>
        <v>0.98901305736940681</v>
      </c>
    </row>
    <row r="88" spans="1:38">
      <c r="C88" t="s">
        <v>2</v>
      </c>
      <c r="D88" s="20">
        <f t="shared" ref="D88:E93" si="27">D81</f>
        <v>0</v>
      </c>
      <c r="E88" s="20">
        <f t="shared" si="27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25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27"/>
        <v>3</v>
      </c>
      <c r="E89" s="20">
        <f t="shared" si="27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25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27"/>
        <v>0</v>
      </c>
      <c r="E90" s="20">
        <f t="shared" si="27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25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27"/>
        <v>0</v>
      </c>
      <c r="E91" s="20">
        <f t="shared" si="27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25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27"/>
        <v>0</v>
      </c>
      <c r="E92" s="20">
        <f t="shared" si="27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25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" thickBot="1">
      <c r="A93" s="21"/>
      <c r="B93" s="21"/>
      <c r="C93" s="21" t="s">
        <v>79</v>
      </c>
      <c r="D93" s="21">
        <f t="shared" si="27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25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B5" sqref="B5"/>
    </sheetView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0.14562875828586999</v>
      </c>
      <c r="C2">
        <f>Data!I10</f>
        <v>0.14562875828586999</v>
      </c>
      <c r="D2">
        <f>Data!J10</f>
        <v>0.25157645096963099</v>
      </c>
      <c r="E2">
        <f>Data!K10</f>
        <v>0.24934859903793999</v>
      </c>
      <c r="F2">
        <f>Data!L10</f>
        <v>0.27293517554942398</v>
      </c>
      <c r="G2">
        <f>Data!M10</f>
        <v>0.45254097379320501</v>
      </c>
      <c r="H2">
        <f>Data!N10</f>
        <v>0.55003277903456405</v>
      </c>
      <c r="I2">
        <f>Data!O10</f>
        <v>0.64752458427592308</v>
      </c>
      <c r="J2">
        <f>Data!P10</f>
        <v>0.74501638951728211</v>
      </c>
      <c r="K2">
        <f>Data!Q10</f>
        <v>0.84250819475864114</v>
      </c>
      <c r="L2">
        <f>Data!R10</f>
        <v>0.94</v>
      </c>
      <c r="M2">
        <f>Data!S10</f>
        <v>1.002</v>
      </c>
      <c r="N2">
        <f>Data!T10</f>
        <v>1.0640000000000001</v>
      </c>
      <c r="O2">
        <f>Data!U10</f>
        <v>1.1260000000000001</v>
      </c>
      <c r="P2">
        <f>Data!V10</f>
        <v>1.1880000000000002</v>
      </c>
      <c r="Q2">
        <f>Data!W10</f>
        <v>1.25</v>
      </c>
      <c r="R2">
        <f>Data!X10</f>
        <v>1.34</v>
      </c>
      <c r="S2">
        <f>Data!Y10</f>
        <v>1.4300000000000002</v>
      </c>
      <c r="T2">
        <f>Data!Z10</f>
        <v>1.5200000000000002</v>
      </c>
      <c r="U2">
        <f>Data!AA10</f>
        <v>1.6100000000000003</v>
      </c>
      <c r="V2">
        <f>Data!AB10</f>
        <v>1.7</v>
      </c>
      <c r="W2">
        <f>Data!AC10</f>
        <v>1.91</v>
      </c>
      <c r="X2">
        <f>Data!AD10</f>
        <v>2.12</v>
      </c>
      <c r="Y2">
        <f>Data!AE10</f>
        <v>2.33</v>
      </c>
      <c r="Z2">
        <f>Data!AF10</f>
        <v>2.54</v>
      </c>
      <c r="AA2">
        <f>Data!AG10</f>
        <v>2.75</v>
      </c>
      <c r="AB2">
        <f>Data!AH10</f>
        <v>3.2800000000000002</v>
      </c>
      <c r="AC2">
        <f>Data!AI10</f>
        <v>3.8100000000000005</v>
      </c>
      <c r="AD2">
        <f>Data!AJ10</f>
        <v>4.3400000000000007</v>
      </c>
      <c r="AE2">
        <f>Data!AK10</f>
        <v>4.870000000000001</v>
      </c>
      <c r="AF2">
        <f>Data!AL10</f>
        <v>5.4</v>
      </c>
    </row>
    <row r="3" spans="1:32">
      <c r="A3" t="s">
        <v>2</v>
      </c>
      <c r="B3">
        <f>Data!H11</f>
        <v>3.3752550513252298E-3</v>
      </c>
      <c r="C3">
        <f>Data!I11</f>
        <v>3.3752550513252298E-3</v>
      </c>
      <c r="D3">
        <f>Data!J11</f>
        <v>3.2073136116094201E-3</v>
      </c>
      <c r="E3">
        <f>Data!K11</f>
        <v>3.2731580821590001E-3</v>
      </c>
      <c r="F3">
        <f>Data!L11</f>
        <v>3.2886569653648402E-3</v>
      </c>
      <c r="G3">
        <f>Data!M11</f>
        <v>3.2803950897637999E-3</v>
      </c>
      <c r="H3">
        <f>Data!N11</f>
        <v>3.2803950897637999E-3</v>
      </c>
      <c r="I3">
        <f>Data!O11</f>
        <v>3.2803950897637999E-3</v>
      </c>
      <c r="J3">
        <f>Data!P11</f>
        <v>3.2803950897637999E-3</v>
      </c>
      <c r="K3">
        <f>Data!Q11</f>
        <v>3.2803950897637999E-3</v>
      </c>
      <c r="L3">
        <f>Data!R11</f>
        <v>3.2803950897637999E-3</v>
      </c>
      <c r="M3">
        <f>Data!S11</f>
        <v>3.2803950897637999E-3</v>
      </c>
      <c r="N3">
        <f>Data!T11</f>
        <v>3.2803950897637999E-3</v>
      </c>
      <c r="O3">
        <f>Data!U11</f>
        <v>3.2803950897637999E-3</v>
      </c>
      <c r="P3">
        <f>Data!V11</f>
        <v>3.2803950897637999E-3</v>
      </c>
      <c r="Q3">
        <f>Data!W11</f>
        <v>3.2803950897637999E-3</v>
      </c>
      <c r="R3">
        <f>Data!X11</f>
        <v>3.2803950897637999E-3</v>
      </c>
      <c r="S3">
        <f>Data!Y11</f>
        <v>3.2803950897637999E-3</v>
      </c>
      <c r="T3">
        <f>Data!Z11</f>
        <v>3.2803950897637999E-3</v>
      </c>
      <c r="U3">
        <f>Data!AA11</f>
        <v>3.2803950897637999E-3</v>
      </c>
      <c r="V3">
        <f>Data!AB11</f>
        <v>3.2803950897637999E-3</v>
      </c>
      <c r="W3">
        <f>Data!AC11</f>
        <v>3.2803950897637999E-3</v>
      </c>
      <c r="X3">
        <f>Data!AD11</f>
        <v>3.2803950897637999E-3</v>
      </c>
      <c r="Y3">
        <f>Data!AE11</f>
        <v>3.2803950897637999E-3</v>
      </c>
      <c r="Z3">
        <f>Data!AF11</f>
        <v>3.2803950897637999E-3</v>
      </c>
      <c r="AA3">
        <f>Data!AG11</f>
        <v>3.2803950897637999E-3</v>
      </c>
      <c r="AB3">
        <f>Data!AH11</f>
        <v>3.2803950897637999E-3</v>
      </c>
      <c r="AC3">
        <f>Data!AI11</f>
        <v>3.2803950897637999E-3</v>
      </c>
      <c r="AD3">
        <f>Data!AJ11</f>
        <v>3.2803950897637999E-3</v>
      </c>
      <c r="AE3">
        <f>Data!AK11</f>
        <v>3.2803950897637999E-3</v>
      </c>
      <c r="AF3">
        <f>Data!AL11</f>
        <v>3.2803950897637999E-3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0.59151755489837199</v>
      </c>
      <c r="C5">
        <f>Data!I13</f>
        <v>0.59151755489837199</v>
      </c>
      <c r="D5">
        <f>Data!J13</f>
        <v>0.59031765788952895</v>
      </c>
      <c r="E5">
        <f>Data!K13</f>
        <v>0.58983194859159405</v>
      </c>
      <c r="F5">
        <f>Data!L13</f>
        <v>0.589580073239939</v>
      </c>
      <c r="G5">
        <f>Data!M13</f>
        <v>0.58834597467789096</v>
      </c>
      <c r="H5">
        <f>Data!N13</f>
        <v>0.58834597467789096</v>
      </c>
      <c r="I5">
        <f>Data!O13</f>
        <v>0.58834597467789096</v>
      </c>
      <c r="J5">
        <f>Data!P13</f>
        <v>0.58834597467789096</v>
      </c>
      <c r="K5">
        <f>Data!Q13</f>
        <v>0.58834597467789096</v>
      </c>
      <c r="L5">
        <f>Data!R13</f>
        <v>0.58834597467789096</v>
      </c>
      <c r="M5">
        <f>Data!S13</f>
        <v>0.58834597467789096</v>
      </c>
      <c r="N5">
        <f>Data!T13</f>
        <v>0.58834597467789096</v>
      </c>
      <c r="O5">
        <f>Data!U13</f>
        <v>0.58834597467789096</v>
      </c>
      <c r="P5">
        <f>Data!V13</f>
        <v>0.58834597467789096</v>
      </c>
      <c r="Q5">
        <f>Data!W13</f>
        <v>0.58834597467789096</v>
      </c>
      <c r="R5">
        <f>Data!X13</f>
        <v>0.58834597467789096</v>
      </c>
      <c r="S5">
        <f>Data!Y13</f>
        <v>0.58834597467789096</v>
      </c>
      <c r="T5">
        <f>Data!Z13</f>
        <v>0.58834597467789096</v>
      </c>
      <c r="U5">
        <f>Data!AA13</f>
        <v>0.58834597467789096</v>
      </c>
      <c r="V5">
        <f>Data!AB13</f>
        <v>0.58834597467789096</v>
      </c>
      <c r="W5">
        <f>Data!AC13</f>
        <v>0.58834597467789096</v>
      </c>
      <c r="X5">
        <f>Data!AD13</f>
        <v>0.58834597467789096</v>
      </c>
      <c r="Y5">
        <f>Data!AE13</f>
        <v>0.58834597467789096</v>
      </c>
      <c r="Z5">
        <f>Data!AF13</f>
        <v>0.58834597467789096</v>
      </c>
      <c r="AA5">
        <f>Data!AG13</f>
        <v>0.58834597467789096</v>
      </c>
      <c r="AB5">
        <f>Data!AH13</f>
        <v>0.58834597467789096</v>
      </c>
      <c r="AC5">
        <f>Data!AI13</f>
        <v>0.58834597467789096</v>
      </c>
      <c r="AD5">
        <f>Data!AJ13</f>
        <v>0.58834597467789096</v>
      </c>
      <c r="AE5">
        <f>Data!AK13</f>
        <v>0.58834597467789096</v>
      </c>
      <c r="AF5">
        <f>Data!AL13</f>
        <v>0.58834597467789096</v>
      </c>
    </row>
    <row r="6" spans="1:32">
      <c r="A6" t="s">
        <v>5</v>
      </c>
      <c r="B6">
        <f>Data!H14</f>
        <v>0.356961080621581</v>
      </c>
      <c r="C6">
        <f>Data!I14</f>
        <v>0.356961080621581</v>
      </c>
      <c r="D6">
        <f>Data!J14</f>
        <v>0.46266979168123801</v>
      </c>
      <c r="E6">
        <f>Data!K14</f>
        <v>0.68107773418921602</v>
      </c>
      <c r="F6">
        <f>Data!L14</f>
        <v>1.1492319563763</v>
      </c>
      <c r="G6">
        <f>Data!M14</f>
        <v>1.4827841473737</v>
      </c>
      <c r="H6">
        <f>Data!N14</f>
        <v>1.5862273178989601</v>
      </c>
      <c r="I6">
        <f>Data!O14</f>
        <v>1.6896704884242202</v>
      </c>
      <c r="J6">
        <f>Data!P14</f>
        <v>1.7931136589494803</v>
      </c>
      <c r="K6">
        <f>Data!Q14</f>
        <v>1.8965568294747404</v>
      </c>
      <c r="L6">
        <f>Data!R14</f>
        <v>2</v>
      </c>
      <c r="M6">
        <f>Data!S14</f>
        <v>2</v>
      </c>
      <c r="N6">
        <f>Data!T14</f>
        <v>2</v>
      </c>
      <c r="O6">
        <f>Data!U14</f>
        <v>2</v>
      </c>
      <c r="P6">
        <f>Data!V14</f>
        <v>2</v>
      </c>
      <c r="Q6">
        <f>Data!W14</f>
        <v>2</v>
      </c>
      <c r="R6">
        <f>Data!X14</f>
        <v>2</v>
      </c>
      <c r="S6">
        <f>Data!Y14</f>
        <v>2</v>
      </c>
      <c r="T6">
        <f>Data!Z14</f>
        <v>2</v>
      </c>
      <c r="U6">
        <f>Data!AA14</f>
        <v>2</v>
      </c>
      <c r="V6">
        <f>Data!AB14</f>
        <v>2</v>
      </c>
      <c r="W6">
        <f>Data!AC14</f>
        <v>2</v>
      </c>
      <c r="X6">
        <f>Data!AD14</f>
        <v>2</v>
      </c>
      <c r="Y6">
        <f>Data!AE14</f>
        <v>2</v>
      </c>
      <c r="Z6">
        <f>Data!AF14</f>
        <v>2</v>
      </c>
      <c r="AA6">
        <f>Data!AG14</f>
        <v>2</v>
      </c>
      <c r="AB6">
        <f>Data!AH14</f>
        <v>2</v>
      </c>
      <c r="AC6">
        <f>Data!AI14</f>
        <v>2</v>
      </c>
      <c r="AD6">
        <f>Data!AJ14</f>
        <v>2</v>
      </c>
      <c r="AE6">
        <f>Data!AK14</f>
        <v>2</v>
      </c>
      <c r="AF6">
        <f>Data!AL14</f>
        <v>2</v>
      </c>
    </row>
    <row r="7" spans="1:32">
      <c r="A7" t="s">
        <v>78</v>
      </c>
      <c r="B7">
        <f>Data!H15</f>
        <v>0.171593660015216</v>
      </c>
      <c r="C7">
        <f>Data!I15</f>
        <v>0.171593660015216</v>
      </c>
      <c r="D7">
        <f>Data!J15</f>
        <v>0.157380451105636</v>
      </c>
      <c r="E7">
        <f>Data!K15</f>
        <v>0.157105919646333</v>
      </c>
      <c r="F7">
        <f>Data!L15</f>
        <v>0.15691361174878399</v>
      </c>
      <c r="G7">
        <f>Data!M15</f>
        <v>0.15633667860209499</v>
      </c>
      <c r="H7">
        <f>Data!N15</f>
        <v>0.15633667860209499</v>
      </c>
      <c r="I7">
        <f>Data!O15</f>
        <v>0.15633667860209499</v>
      </c>
      <c r="J7">
        <f>Data!P15</f>
        <v>0.15633667860209499</v>
      </c>
      <c r="K7">
        <f>Data!Q15</f>
        <v>0.15633667860209499</v>
      </c>
      <c r="L7">
        <f>Data!R15</f>
        <v>0.15633667860209499</v>
      </c>
      <c r="M7">
        <f>Data!S15</f>
        <v>0.15633667860209499</v>
      </c>
      <c r="N7">
        <f>Data!T15</f>
        <v>0.15633667860209499</v>
      </c>
      <c r="O7">
        <f>Data!U15</f>
        <v>0.15633667860209499</v>
      </c>
      <c r="P7">
        <f>Data!V15</f>
        <v>0.15633667860209499</v>
      </c>
      <c r="Q7">
        <f>Data!W15</f>
        <v>0.15633667860209499</v>
      </c>
      <c r="R7">
        <f>Data!X15</f>
        <v>0.15633667860209499</v>
      </c>
      <c r="S7">
        <f>Data!Y15</f>
        <v>0.15633667860209499</v>
      </c>
      <c r="T7">
        <f>Data!Z15</f>
        <v>0.15633667860209499</v>
      </c>
      <c r="U7">
        <f>Data!AA15</f>
        <v>0.15633667860209499</v>
      </c>
      <c r="V7">
        <f>Data!AB15</f>
        <v>0.15633667860209499</v>
      </c>
      <c r="W7">
        <f>Data!AC15</f>
        <v>0.15633667860209499</v>
      </c>
      <c r="X7">
        <f>Data!AD15</f>
        <v>0.15633667860209499</v>
      </c>
      <c r="Y7">
        <f>Data!AE15</f>
        <v>0.15633667860209499</v>
      </c>
      <c r="Z7">
        <f>Data!AF15</f>
        <v>0.15633667860209499</v>
      </c>
      <c r="AA7">
        <f>Data!AG15</f>
        <v>0.15633667860209499</v>
      </c>
      <c r="AB7">
        <f>Data!AH15</f>
        <v>0.15633667860209499</v>
      </c>
      <c r="AC7">
        <f>Data!AI15</f>
        <v>0.15633667860209499</v>
      </c>
      <c r="AD7">
        <f>Data!AJ15</f>
        <v>0.15633667860209499</v>
      </c>
      <c r="AE7">
        <f>Data!AK15</f>
        <v>0.15633667860209499</v>
      </c>
      <c r="AF7">
        <f>Data!AL15</f>
        <v>0.15633667860209499</v>
      </c>
    </row>
    <row r="8" spans="1:32">
      <c r="A8" t="s">
        <v>79</v>
      </c>
      <c r="B8">
        <f>Data!H16</f>
        <v>1.8305978574742698E-2</v>
      </c>
      <c r="C8">
        <f>Data!I16</f>
        <v>1.8305978574742698E-2</v>
      </c>
      <c r="D8">
        <f>Data!J16</f>
        <v>1.9637350115763199E-2</v>
      </c>
      <c r="E8">
        <f>Data!K16</f>
        <v>8.5168289481052303E-3</v>
      </c>
      <c r="F8">
        <f>Data!L16</f>
        <v>7.5865782984086399E-3</v>
      </c>
      <c r="G8">
        <f>Data!M16</f>
        <v>1.72086386734626E-2</v>
      </c>
      <c r="H8">
        <f>Data!N16</f>
        <v>1.72086386734626E-2</v>
      </c>
      <c r="I8">
        <f>Data!O16</f>
        <v>1.72086386734626E-2</v>
      </c>
      <c r="J8">
        <f>Data!P16</f>
        <v>1.72086386734626E-2</v>
      </c>
      <c r="K8">
        <f>Data!Q16</f>
        <v>1.72086386734626E-2</v>
      </c>
      <c r="L8">
        <f>Data!R16</f>
        <v>1.72086386734626E-2</v>
      </c>
      <c r="M8">
        <f>Data!S16</f>
        <v>1.72086386734626E-2</v>
      </c>
      <c r="N8">
        <f>Data!T16</f>
        <v>1.72086386734626E-2</v>
      </c>
      <c r="O8">
        <f>Data!U16</f>
        <v>1.72086386734626E-2</v>
      </c>
      <c r="P8">
        <f>Data!V16</f>
        <v>1.72086386734626E-2</v>
      </c>
      <c r="Q8">
        <f>Data!W16</f>
        <v>1.72086386734626E-2</v>
      </c>
      <c r="R8">
        <f>Data!X16</f>
        <v>1.72086386734626E-2</v>
      </c>
      <c r="S8">
        <f>Data!Y16</f>
        <v>1.72086386734626E-2</v>
      </c>
      <c r="T8">
        <f>Data!Z16</f>
        <v>1.72086386734626E-2</v>
      </c>
      <c r="U8">
        <f>Data!AA16</f>
        <v>1.72086386734626E-2</v>
      </c>
      <c r="V8">
        <f>Data!AB16</f>
        <v>1.72086386734626E-2</v>
      </c>
      <c r="W8">
        <f>Data!AC16</f>
        <v>1.72086386734626E-2</v>
      </c>
      <c r="X8">
        <f>Data!AD16</f>
        <v>1.72086386734626E-2</v>
      </c>
      <c r="Y8">
        <f>Data!AE16</f>
        <v>1.72086386734626E-2</v>
      </c>
      <c r="Z8">
        <f>Data!AF16</f>
        <v>1.72086386734626E-2</v>
      </c>
      <c r="AA8">
        <f>Data!AG16</f>
        <v>1.72086386734626E-2</v>
      </c>
      <c r="AB8">
        <f>Data!AH16</f>
        <v>1.72086386734626E-2</v>
      </c>
      <c r="AC8">
        <f>Data!AI16</f>
        <v>1.72086386734626E-2</v>
      </c>
      <c r="AD8">
        <f>Data!AJ16</f>
        <v>1.72086386734626E-2</v>
      </c>
      <c r="AE8">
        <f>Data!AK16</f>
        <v>1.72086386734626E-2</v>
      </c>
      <c r="AF8">
        <f>Data!AL16</f>
        <v>1.72086386734626E-2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5" sqref="C5"/>
    </sheetView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5.3683612196023132E-3</v>
      </c>
      <c r="C2">
        <f>Data!I17</f>
        <v>2.0063080574076027E-2</v>
      </c>
      <c r="D2">
        <f>Data!J17</f>
        <v>2.5102157025791948E-2</v>
      </c>
      <c r="E2">
        <f>Data!K17</f>
        <v>3.1822572527592123E-2</v>
      </c>
      <c r="F2">
        <f>Data!L17</f>
        <v>4.0748591499212138E-2</v>
      </c>
      <c r="G2">
        <f>Data!M17</f>
        <v>5.2539635178796867E-2</v>
      </c>
      <c r="H2">
        <f>Data!N17</f>
        <v>6.8003653554074228E-2</v>
      </c>
      <c r="I2">
        <f>Data!O17</f>
        <v>8.8094556635136961E-2</v>
      </c>
      <c r="J2">
        <f>Data!P17</f>
        <v>0.11387951127112682</v>
      </c>
      <c r="K2">
        <f>Data!Q17</f>
        <v>0.14645791836431907</v>
      </c>
      <c r="L2">
        <f>Data!R17</f>
        <v>0.186814558918491</v>
      </c>
      <c r="M2">
        <f>Data!S17</f>
        <v>0.23560093514502178</v>
      </c>
      <c r="N2">
        <f>Data!T17</f>
        <v>0.29286713111398371</v>
      </c>
      <c r="O2">
        <f>Data!U17</f>
        <v>0.35780981004973877</v>
      </c>
      <c r="P2">
        <f>Data!V17</f>
        <v>0.4286412981184835</v>
      </c>
      <c r="Q2">
        <f>Data!W17</f>
        <v>0.50268418060980113</v>
      </c>
      <c r="R2">
        <f>Data!X17</f>
        <v>0.57672706310111888</v>
      </c>
      <c r="S2">
        <f>Data!Y17</f>
        <v>0.64755855116986349</v>
      </c>
      <c r="T2">
        <f>Data!Z17</f>
        <v>0.71250123010561861</v>
      </c>
      <c r="U2">
        <f>Data!AA17</f>
        <v>0.76976742607458049</v>
      </c>
      <c r="V2">
        <f>Data!AB17</f>
        <v>0.8185538023011113</v>
      </c>
      <c r="W2">
        <f>Data!AC17</f>
        <v>0.85891044285528328</v>
      </c>
      <c r="X2">
        <f>Data!AD17</f>
        <v>0.89148884994847555</v>
      </c>
      <c r="Y2">
        <f>Data!AE17</f>
        <v>0.91727380458446539</v>
      </c>
      <c r="Z2">
        <f>Data!AF17</f>
        <v>0.93736470766552815</v>
      </c>
      <c r="AA2">
        <f>Data!AG17</f>
        <v>0.95282872604080548</v>
      </c>
      <c r="AB2">
        <f>Data!AH17</f>
        <v>0.96461976972039021</v>
      </c>
      <c r="AC2">
        <f>Data!AI17</f>
        <v>0.97354578869201014</v>
      </c>
      <c r="AD2">
        <f>Data!AJ17</f>
        <v>0.98026620419381039</v>
      </c>
      <c r="AE2">
        <f>Data!AK17</f>
        <v>0.98530528064552625</v>
      </c>
      <c r="AF2">
        <f>Data!AL17</f>
        <v>0.98907203924614695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1.9186119393907859E-2</v>
      </c>
      <c r="C4">
        <f>Data!I19</f>
        <v>1.9186119393907859E-2</v>
      </c>
      <c r="D4">
        <f>Data!J19</f>
        <v>1.9186119393907859E-2</v>
      </c>
      <c r="E4">
        <f>Data!K19</f>
        <v>1.9186119393907859E-2</v>
      </c>
      <c r="F4">
        <f>Data!L19</f>
        <v>1.9186119393907859E-2</v>
      </c>
      <c r="G4">
        <f>Data!M19</f>
        <v>1.9186119393907859E-2</v>
      </c>
      <c r="H4">
        <f>Data!N19</f>
        <v>1.9186119393907859E-2</v>
      </c>
      <c r="I4">
        <f>Data!O19</f>
        <v>1.9186119393907859E-2</v>
      </c>
      <c r="J4">
        <f>Data!P19</f>
        <v>1.9186119393907859E-2</v>
      </c>
      <c r="K4">
        <f>Data!Q19</f>
        <v>1.9186119393907859E-2</v>
      </c>
      <c r="L4">
        <f>Data!R19</f>
        <v>1.9186119393907859E-2</v>
      </c>
      <c r="M4">
        <f>Data!S19</f>
        <v>1.9186119393907859E-2</v>
      </c>
      <c r="N4">
        <f>Data!T19</f>
        <v>1.9186119393907859E-2</v>
      </c>
      <c r="O4">
        <f>Data!U19</f>
        <v>1.9186119393907859E-2</v>
      </c>
      <c r="P4">
        <f>Data!V19</f>
        <v>1.9186119393907859E-2</v>
      </c>
      <c r="Q4">
        <f>Data!W19</f>
        <v>1.9186119393907859E-2</v>
      </c>
      <c r="R4">
        <f>Data!X19</f>
        <v>1.9186119393907859E-2</v>
      </c>
      <c r="S4">
        <f>Data!Y19</f>
        <v>1.9186119393907859E-2</v>
      </c>
      <c r="T4">
        <f>Data!Z19</f>
        <v>1.9186119393907859E-2</v>
      </c>
      <c r="U4">
        <f>Data!AA19</f>
        <v>1.9186119393907859E-2</v>
      </c>
      <c r="V4">
        <f>Data!AB19</f>
        <v>1.9186119393907859E-2</v>
      </c>
      <c r="W4">
        <f>Data!AC19</f>
        <v>1.9186119393907859E-2</v>
      </c>
      <c r="X4">
        <f>Data!AD19</f>
        <v>1.9186119393907859E-2</v>
      </c>
      <c r="Y4">
        <f>Data!AE19</f>
        <v>1.9186119393907859E-2</v>
      </c>
      <c r="Z4">
        <f>Data!AF19</f>
        <v>1.9186119393907859E-2</v>
      </c>
      <c r="AA4">
        <f>Data!AG19</f>
        <v>1.9186119393907859E-2</v>
      </c>
      <c r="AB4">
        <f>Data!AH19</f>
        <v>1.9186119393907859E-2</v>
      </c>
      <c r="AC4">
        <f>Data!AI19</f>
        <v>1.9186119393907859E-2</v>
      </c>
      <c r="AD4">
        <f>Data!AJ19</f>
        <v>1.9186119393907859E-2</v>
      </c>
      <c r="AE4">
        <f>Data!AK19</f>
        <v>1.9186119393907859E-2</v>
      </c>
      <c r="AF4">
        <f>Data!AL19</f>
        <v>1.9186119393907859E-2</v>
      </c>
    </row>
    <row r="5" spans="1:3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>
      <c r="A6" t="s">
        <v>5</v>
      </c>
      <c r="B6">
        <f>Data!H21</f>
        <v>0</v>
      </c>
      <c r="C6">
        <f>Data!I21</f>
        <v>3.6935079233182638E-3</v>
      </c>
      <c r="D6">
        <f>Data!J21</f>
        <v>4.9600764335193774E-3</v>
      </c>
      <c r="E6">
        <f>Data!K21</f>
        <v>6.6492483942164659E-3</v>
      </c>
      <c r="F6">
        <f>Data!L21</f>
        <v>8.8927973181590451E-3</v>
      </c>
      <c r="G6">
        <f>Data!M21</f>
        <v>1.1856468294391695E-2</v>
      </c>
      <c r="H6">
        <f>Data!N21</f>
        <v>1.5743339014249128E-2</v>
      </c>
      <c r="I6">
        <f>Data!O21</f>
        <v>2.0793174123480595E-2</v>
      </c>
      <c r="J6">
        <f>Data!P21</f>
        <v>2.7274205298903231E-2</v>
      </c>
      <c r="K6">
        <f>Data!Q21</f>
        <v>3.5462766225121956E-2</v>
      </c>
      <c r="L6">
        <f>Data!R21</f>
        <v>4.5606380951589087E-2</v>
      </c>
      <c r="M6">
        <f>Data!S21</f>
        <v>5.7868804125245595E-2</v>
      </c>
      <c r="N6">
        <f>Data!T21</f>
        <v>7.2262624343749013E-2</v>
      </c>
      <c r="O6">
        <f>Data!U21</f>
        <v>8.8585923443551137E-2</v>
      </c>
      <c r="P6">
        <f>Data!V21</f>
        <v>0.10638937079708526</v>
      </c>
      <c r="Q6">
        <f>Data!W21</f>
        <v>0.125</v>
      </c>
      <c r="R6">
        <f>Data!X21</f>
        <v>0.14361062920291476</v>
      </c>
      <c r="S6">
        <f>Data!Y21</f>
        <v>0.16141407655644885</v>
      </c>
      <c r="T6">
        <f>Data!Z21</f>
        <v>0.17773737565625097</v>
      </c>
      <c r="U6">
        <f>Data!AA21</f>
        <v>0.19213119587475438</v>
      </c>
      <c r="V6">
        <f>Data!AB21</f>
        <v>0.20439361904841091</v>
      </c>
      <c r="W6">
        <f>Data!AC21</f>
        <v>0.21453723377487807</v>
      </c>
      <c r="X6">
        <f>Data!AD21</f>
        <v>0.22272579470109677</v>
      </c>
      <c r="Y6">
        <f>Data!AE21</f>
        <v>0.22920682587651942</v>
      </c>
      <c r="Z6">
        <f>Data!AF21</f>
        <v>0.23425666098575088</v>
      </c>
      <c r="AA6">
        <f>Data!AG21</f>
        <v>0.23814353170560834</v>
      </c>
      <c r="AB6">
        <f>Data!AH21</f>
        <v>0.24110720268184097</v>
      </c>
      <c r="AC6">
        <f>Data!AI21</f>
        <v>0.24335075160578351</v>
      </c>
      <c r="AD6">
        <f>Data!AJ21</f>
        <v>0.24503992356648063</v>
      </c>
      <c r="AE6">
        <f>Data!AK21</f>
        <v>0.24630649207668173</v>
      </c>
      <c r="AF6">
        <f>Data!AL21</f>
        <v>0.2472532643423517</v>
      </c>
    </row>
    <row r="7" spans="1:32">
      <c r="A7" t="s">
        <v>78</v>
      </c>
      <c r="B7">
        <f>Data!H22</f>
        <v>4.237817368977314E-2</v>
      </c>
      <c r="C7">
        <f>Data!I22</f>
        <v>4.237817368977314E-2</v>
      </c>
      <c r="D7">
        <f>Data!J22</f>
        <v>4.237817368977314E-2</v>
      </c>
      <c r="E7">
        <f>Data!K22</f>
        <v>4.237817368977314E-2</v>
      </c>
      <c r="F7">
        <f>Data!L22</f>
        <v>4.237817368977314E-2</v>
      </c>
      <c r="G7">
        <f>Data!M22</f>
        <v>4.237817368977314E-2</v>
      </c>
      <c r="H7">
        <f>Data!N22</f>
        <v>4.237817368977314E-2</v>
      </c>
      <c r="I7">
        <f>Data!O22</f>
        <v>4.237817368977314E-2</v>
      </c>
      <c r="J7">
        <f>Data!P22</f>
        <v>4.237817368977314E-2</v>
      </c>
      <c r="K7">
        <f>Data!Q22</f>
        <v>4.237817368977314E-2</v>
      </c>
      <c r="L7">
        <f>Data!R22</f>
        <v>4.237817368977314E-2</v>
      </c>
      <c r="M7">
        <f>Data!S22</f>
        <v>4.237817368977314E-2</v>
      </c>
      <c r="N7">
        <f>Data!T22</f>
        <v>4.237817368977314E-2</v>
      </c>
      <c r="O7">
        <f>Data!U22</f>
        <v>4.237817368977314E-2</v>
      </c>
      <c r="P7">
        <f>Data!V22</f>
        <v>4.237817368977314E-2</v>
      </c>
      <c r="Q7">
        <f>Data!W22</f>
        <v>4.237817368977314E-2</v>
      </c>
      <c r="R7">
        <f>Data!X22</f>
        <v>4.237817368977314E-2</v>
      </c>
      <c r="S7">
        <f>Data!Y22</f>
        <v>4.237817368977314E-2</v>
      </c>
      <c r="T7">
        <f>Data!Z22</f>
        <v>4.237817368977314E-2</v>
      </c>
      <c r="U7">
        <f>Data!AA22</f>
        <v>4.237817368977314E-2</v>
      </c>
      <c r="V7">
        <f>Data!AB22</f>
        <v>4.237817368977314E-2</v>
      </c>
      <c r="W7">
        <f>Data!AC22</f>
        <v>4.237817368977314E-2</v>
      </c>
      <c r="X7">
        <f>Data!AD22</f>
        <v>4.237817368977314E-2</v>
      </c>
      <c r="Y7">
        <f>Data!AE22</f>
        <v>4.237817368977314E-2</v>
      </c>
      <c r="Z7">
        <f>Data!AF22</f>
        <v>4.237817368977314E-2</v>
      </c>
      <c r="AA7">
        <f>Data!AG22</f>
        <v>4.237817368977314E-2</v>
      </c>
      <c r="AB7">
        <f>Data!AH22</f>
        <v>4.237817368977314E-2</v>
      </c>
      <c r="AC7">
        <f>Data!AI22</f>
        <v>4.237817368977314E-2</v>
      </c>
      <c r="AD7">
        <f>Data!AJ22</f>
        <v>4.237817368977314E-2</v>
      </c>
      <c r="AE7">
        <f>Data!AK22</f>
        <v>4.237817368977314E-2</v>
      </c>
      <c r="AF7">
        <f>Data!AL22</f>
        <v>4.237817368977314E-2</v>
      </c>
    </row>
    <row r="8" spans="1:32">
      <c r="A8" t="s">
        <v>79</v>
      </c>
      <c r="B8">
        <f>Data!H23</f>
        <v>0</v>
      </c>
      <c r="C8">
        <f>Data!I23</f>
        <v>9.0540738828139446E-6</v>
      </c>
      <c r="D8">
        <f>Data!J23</f>
        <v>1.2158874280454334E-5</v>
      </c>
      <c r="E8">
        <f>Data!K23</f>
        <v>1.6299622872429478E-5</v>
      </c>
      <c r="F8">
        <f>Data!L23</f>
        <v>2.179934241786213E-5</v>
      </c>
      <c r="G8">
        <f>Data!M23</f>
        <v>2.9064331837203784E-5</v>
      </c>
      <c r="H8">
        <f>Data!N23</f>
        <v>3.85924052571516E-5</v>
      </c>
      <c r="I8">
        <f>Data!O23</f>
        <v>5.0971309302911188E-5</v>
      </c>
      <c r="J8">
        <f>Data!P23</f>
        <v>6.6858573204156302E-5</v>
      </c>
      <c r="K8">
        <f>Data!Q23</f>
        <v>8.6931587032511697E-5</v>
      </c>
      <c r="L8">
        <f>Data!R23</f>
        <v>1.1179711841323839E-4</v>
      </c>
      <c r="M8">
        <f>Data!S23</f>
        <v>1.4185658700018285E-4</v>
      </c>
      <c r="N8">
        <f>Data!T23</f>
        <v>1.7714085182915572E-4</v>
      </c>
      <c r="O8">
        <f>Data!U23</f>
        <v>2.1715494117977539E-4</v>
      </c>
      <c r="P8">
        <f>Data!V23</f>
        <v>2.6079738924114821E-4</v>
      </c>
      <c r="Q8">
        <f>Data!W23</f>
        <v>3.0641852105056964E-4</v>
      </c>
      <c r="R8">
        <f>Data!X23</f>
        <v>3.5203965285999107E-4</v>
      </c>
      <c r="S8">
        <f>Data!Y23</f>
        <v>3.9568210092136389E-4</v>
      </c>
      <c r="T8">
        <f>Data!Z23</f>
        <v>4.3569619027198356E-4</v>
      </c>
      <c r="U8">
        <f>Data!AA23</f>
        <v>4.709804551009564E-4</v>
      </c>
      <c r="V8">
        <f>Data!AB23</f>
        <v>5.010399236879009E-4</v>
      </c>
      <c r="W8">
        <f>Data!AC23</f>
        <v>5.2590545506862765E-4</v>
      </c>
      <c r="X8">
        <f>Data!AD23</f>
        <v>5.4597846889698301E-4</v>
      </c>
      <c r="Y8">
        <f>Data!AE23</f>
        <v>5.6186573279822817E-4</v>
      </c>
      <c r="Z8">
        <f>Data!AF23</f>
        <v>5.7424463684398771E-4</v>
      </c>
      <c r="AA8">
        <f>Data!AG23</f>
        <v>5.8377271026393554E-4</v>
      </c>
      <c r="AB8">
        <f>Data!AH23</f>
        <v>5.9103769968327712E-4</v>
      </c>
      <c r="AC8">
        <f>Data!AI23</f>
        <v>5.9653741922870976E-4</v>
      </c>
      <c r="AD8">
        <f>Data!AJ23</f>
        <v>6.0067816782068497E-4</v>
      </c>
      <c r="AE8">
        <f>Data!AK23</f>
        <v>6.0378296821832537E-4</v>
      </c>
      <c r="AF8">
        <f>Data!AL23</f>
        <v>6.0610383667767168E-4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7.2747216149611415E-3</v>
      </c>
      <c r="C2">
        <f>Data!I24</f>
        <v>1.8986470001880411E-2</v>
      </c>
      <c r="D2">
        <f>Data!J24</f>
        <v>2.3002633501252021E-2</v>
      </c>
      <c r="E2">
        <f>Data!K24</f>
        <v>2.8358830752387227E-2</v>
      </c>
      <c r="F2">
        <f>Data!L24</f>
        <v>3.5472902533598569E-2</v>
      </c>
      <c r="G2">
        <f>Data!M24</f>
        <v>4.4870410132301322E-2</v>
      </c>
      <c r="H2">
        <f>Data!N24</f>
        <v>5.7195292826083877E-2</v>
      </c>
      <c r="I2">
        <f>Data!O24</f>
        <v>7.3207820597140094E-2</v>
      </c>
      <c r="J2">
        <f>Data!P24</f>
        <v>9.3758529568176208E-2</v>
      </c>
      <c r="K2">
        <f>Data!Q24</f>
        <v>0.11972364652741456</v>
      </c>
      <c r="L2">
        <f>Data!R24</f>
        <v>0.15188804575889153</v>
      </c>
      <c r="M2">
        <f>Data!S24</f>
        <v>0.19077097705493956</v>
      </c>
      <c r="N2">
        <f>Data!T24</f>
        <v>0.23641235761388887</v>
      </c>
      <c r="O2">
        <f>Data!U24</f>
        <v>0.28817192490610039</v>
      </c>
      <c r="P2">
        <f>Data!V24</f>
        <v>0.34462489594427526</v>
      </c>
      <c r="Q2">
        <f>Data!W24</f>
        <v>0.40363736080748058</v>
      </c>
      <c r="R2">
        <f>Data!X24</f>
        <v>0.46264982567068591</v>
      </c>
      <c r="S2">
        <f>Data!Y24</f>
        <v>0.51910279670886073</v>
      </c>
      <c r="T2">
        <f>Data!Z24</f>
        <v>0.57086236400107226</v>
      </c>
      <c r="U2">
        <f>Data!AA24</f>
        <v>0.61650374456002166</v>
      </c>
      <c r="V2">
        <f>Data!AB24</f>
        <v>0.65538667585606958</v>
      </c>
      <c r="W2">
        <f>Data!AC24</f>
        <v>0.68755107508754665</v>
      </c>
      <c r="X2">
        <f>Data!AD24</f>
        <v>0.71351619204678496</v>
      </c>
      <c r="Y2">
        <f>Data!AE24</f>
        <v>0.73406690101782113</v>
      </c>
      <c r="Z2">
        <f>Data!AF24</f>
        <v>0.75007942878887734</v>
      </c>
      <c r="AA2">
        <f>Data!AG24</f>
        <v>0.76240431148265997</v>
      </c>
      <c r="AB2">
        <f>Data!AH24</f>
        <v>0.77180181908136269</v>
      </c>
      <c r="AC2">
        <f>Data!AI24</f>
        <v>0.77891589086257396</v>
      </c>
      <c r="AD2">
        <f>Data!AJ24</f>
        <v>0.78427208811370919</v>
      </c>
      <c r="AE2">
        <f>Data!AK24</f>
        <v>0.7882882516130808</v>
      </c>
      <c r="AF2">
        <f>Data!AL24</f>
        <v>0.79129037284456261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2.0708630477691714</v>
      </c>
      <c r="C4">
        <f>Data!I26</f>
        <v>2.0708630477691714</v>
      </c>
      <c r="D4">
        <f>Data!J26</f>
        <v>2.0708630477691714</v>
      </c>
      <c r="E4">
        <f>Data!K26</f>
        <v>2.0708630477691714</v>
      </c>
      <c r="F4">
        <f>Data!L26</f>
        <v>2.0708630477691714</v>
      </c>
      <c r="G4">
        <f>Data!M26</f>
        <v>2.0708630477691714</v>
      </c>
      <c r="H4">
        <f>Data!N26</f>
        <v>2.0708630477691714</v>
      </c>
      <c r="I4">
        <f>Data!O26</f>
        <v>2.0708630477691714</v>
      </c>
      <c r="J4">
        <f>Data!P26</f>
        <v>2.0708630477691714</v>
      </c>
      <c r="K4">
        <f>Data!Q26</f>
        <v>2.0708630477691714</v>
      </c>
      <c r="L4">
        <f>Data!R26</f>
        <v>2.0708630477691714</v>
      </c>
      <c r="M4">
        <f>Data!S26</f>
        <v>2.0708630477691714</v>
      </c>
      <c r="N4">
        <f>Data!T26</f>
        <v>2.0708630477691714</v>
      </c>
      <c r="O4">
        <f>Data!U26</f>
        <v>2.0708630477691714</v>
      </c>
      <c r="P4">
        <f>Data!V26</f>
        <v>2.0708630477691714</v>
      </c>
      <c r="Q4">
        <f>Data!W26</f>
        <v>2.0708630477691714</v>
      </c>
      <c r="R4">
        <f>Data!X26</f>
        <v>2.0708630477691714</v>
      </c>
      <c r="S4">
        <f>Data!Y26</f>
        <v>2.0708630477691714</v>
      </c>
      <c r="T4">
        <f>Data!Z26</f>
        <v>2.0708630477691714</v>
      </c>
      <c r="U4">
        <f>Data!AA26</f>
        <v>2.0708630477691714</v>
      </c>
      <c r="V4">
        <f>Data!AB26</f>
        <v>2.0708630477691714</v>
      </c>
      <c r="W4">
        <f>Data!AC26</f>
        <v>2.0708630477691714</v>
      </c>
      <c r="X4">
        <f>Data!AD26</f>
        <v>2.0708630477691714</v>
      </c>
      <c r="Y4">
        <f>Data!AE26</f>
        <v>2.0708630477691714</v>
      </c>
      <c r="Z4">
        <f>Data!AF26</f>
        <v>2.0708630477691714</v>
      </c>
      <c r="AA4">
        <f>Data!AG26</f>
        <v>2.0708630477691714</v>
      </c>
      <c r="AB4">
        <f>Data!AH26</f>
        <v>2.0708630477691714</v>
      </c>
      <c r="AC4">
        <f>Data!AI26</f>
        <v>2.0708630477691714</v>
      </c>
      <c r="AD4">
        <f>Data!AJ26</f>
        <v>2.0708630477691714</v>
      </c>
      <c r="AE4">
        <f>Data!AK26</f>
        <v>2.0708630477691714</v>
      </c>
      <c r="AF4">
        <f>Data!AL26</f>
        <v>2.0708630477691714</v>
      </c>
    </row>
    <row r="5" spans="1:32">
      <c r="A5" t="s">
        <v>4</v>
      </c>
      <c r="B5">
        <f>Data!H27</f>
        <v>1.1886920057569821</v>
      </c>
      <c r="C5">
        <f>Data!I27</f>
        <v>1.1886920057569821</v>
      </c>
      <c r="D5">
        <f>Data!J27</f>
        <v>1.1886920057569821</v>
      </c>
      <c r="E5">
        <f>Data!K27</f>
        <v>1.1886920057569821</v>
      </c>
      <c r="F5">
        <f>Data!L27</f>
        <v>1.1886920057569821</v>
      </c>
      <c r="G5">
        <f>Data!M27</f>
        <v>1.1886920057569821</v>
      </c>
      <c r="H5">
        <f>Data!N27</f>
        <v>1.1886920057569821</v>
      </c>
      <c r="I5">
        <f>Data!O27</f>
        <v>1.1886920057569821</v>
      </c>
      <c r="J5">
        <f>Data!P27</f>
        <v>1.1886920057569821</v>
      </c>
      <c r="K5">
        <f>Data!Q27</f>
        <v>1.1886920057569821</v>
      </c>
      <c r="L5">
        <f>Data!R27</f>
        <v>1.1886920057569821</v>
      </c>
      <c r="M5">
        <f>Data!S27</f>
        <v>1.1886920057569821</v>
      </c>
      <c r="N5">
        <f>Data!T27</f>
        <v>1.1886920057569821</v>
      </c>
      <c r="O5">
        <f>Data!U27</f>
        <v>1.1886920057569821</v>
      </c>
      <c r="P5">
        <f>Data!V27</f>
        <v>1.1886920057569821</v>
      </c>
      <c r="Q5">
        <f>Data!W27</f>
        <v>1.1886920057569821</v>
      </c>
      <c r="R5">
        <f>Data!X27</f>
        <v>1.1886920057569821</v>
      </c>
      <c r="S5">
        <f>Data!Y27</f>
        <v>1.1886920057569821</v>
      </c>
      <c r="T5">
        <f>Data!Z27</f>
        <v>1.1886920057569821</v>
      </c>
      <c r="U5">
        <f>Data!AA27</f>
        <v>1.1886920057569821</v>
      </c>
      <c r="V5">
        <f>Data!AB27</f>
        <v>1.1886920057569821</v>
      </c>
      <c r="W5">
        <f>Data!AC27</f>
        <v>1.1886920057569821</v>
      </c>
      <c r="X5">
        <f>Data!AD27</f>
        <v>1.1886920057569821</v>
      </c>
      <c r="Y5">
        <f>Data!AE27</f>
        <v>1.1886920057569821</v>
      </c>
      <c r="Z5">
        <f>Data!AF27</f>
        <v>1.1886920057569821</v>
      </c>
      <c r="AA5">
        <f>Data!AG27</f>
        <v>1.1886920057569821</v>
      </c>
      <c r="AB5">
        <f>Data!AH27</f>
        <v>1.1886920057569821</v>
      </c>
      <c r="AC5">
        <f>Data!AI27</f>
        <v>1.1886920057569821</v>
      </c>
      <c r="AD5">
        <f>Data!AJ27</f>
        <v>1.1886920057569821</v>
      </c>
      <c r="AE5">
        <f>Data!AK27</f>
        <v>1.1886920057569821</v>
      </c>
      <c r="AF5">
        <f>Data!AL27</f>
        <v>1.1886920057569821</v>
      </c>
    </row>
    <row r="6" spans="1:32">
      <c r="A6" t="s">
        <v>5</v>
      </c>
      <c r="B6">
        <f>Data!H28</f>
        <v>4.0868310546055435E-2</v>
      </c>
      <c r="C6">
        <f>Data!I28</f>
        <v>4.0868310546055435E-2</v>
      </c>
      <c r="D6">
        <f>Data!J28</f>
        <v>4.0868310546055435E-2</v>
      </c>
      <c r="E6">
        <f>Data!K28</f>
        <v>4.0868310546055435E-2</v>
      </c>
      <c r="F6">
        <f>Data!L28</f>
        <v>4.0868310546055435E-2</v>
      </c>
      <c r="G6">
        <f>Data!M28</f>
        <v>4.0868310546055435E-2</v>
      </c>
      <c r="H6">
        <f>Data!N28</f>
        <v>4.0868310546055435E-2</v>
      </c>
      <c r="I6">
        <f>Data!O28</f>
        <v>4.0868310546055435E-2</v>
      </c>
      <c r="J6">
        <f>Data!P28</f>
        <v>4.0868310546055435E-2</v>
      </c>
      <c r="K6">
        <f>Data!Q28</f>
        <v>4.0868310546055435E-2</v>
      </c>
      <c r="L6">
        <f>Data!R28</f>
        <v>4.0868310546055435E-2</v>
      </c>
      <c r="M6">
        <f>Data!S28</f>
        <v>4.0868310546055435E-2</v>
      </c>
      <c r="N6">
        <f>Data!T28</f>
        <v>4.0868310546055435E-2</v>
      </c>
      <c r="O6">
        <f>Data!U28</f>
        <v>4.0868310546055435E-2</v>
      </c>
      <c r="P6">
        <f>Data!V28</f>
        <v>4.0868310546055435E-2</v>
      </c>
      <c r="Q6">
        <f>Data!W28</f>
        <v>4.0868310546055435E-2</v>
      </c>
      <c r="R6">
        <f>Data!X28</f>
        <v>4.0868310546055435E-2</v>
      </c>
      <c r="S6">
        <f>Data!Y28</f>
        <v>4.0868310546055435E-2</v>
      </c>
      <c r="T6">
        <f>Data!Z28</f>
        <v>4.0868310546055435E-2</v>
      </c>
      <c r="U6">
        <f>Data!AA28</f>
        <v>4.0868310546055435E-2</v>
      </c>
      <c r="V6">
        <f>Data!AB28</f>
        <v>4.0868310546055435E-2</v>
      </c>
      <c r="W6">
        <f>Data!AC28</f>
        <v>4.0868310546055435E-2</v>
      </c>
      <c r="X6">
        <f>Data!AD28</f>
        <v>4.0868310546055435E-2</v>
      </c>
      <c r="Y6">
        <f>Data!AE28</f>
        <v>4.0868310546055435E-2</v>
      </c>
      <c r="Z6">
        <f>Data!AF28</f>
        <v>4.0868310546055435E-2</v>
      </c>
      <c r="AA6">
        <f>Data!AG28</f>
        <v>4.0868310546055435E-2</v>
      </c>
      <c r="AB6">
        <f>Data!AH28</f>
        <v>4.0868310546055435E-2</v>
      </c>
      <c r="AC6">
        <f>Data!AI28</f>
        <v>4.0868310546055435E-2</v>
      </c>
      <c r="AD6">
        <f>Data!AJ28</f>
        <v>4.0868310546055435E-2</v>
      </c>
      <c r="AE6">
        <f>Data!AK28</f>
        <v>4.0868310546055435E-2</v>
      </c>
      <c r="AF6">
        <f>Data!AL28</f>
        <v>4.0868310546055435E-2</v>
      </c>
    </row>
    <row r="7" spans="1:32">
      <c r="A7" t="s">
        <v>78</v>
      </c>
      <c r="B7">
        <f>Data!H29</f>
        <v>0.11252178195802712</v>
      </c>
      <c r="C7">
        <f>Data!I29</f>
        <v>0.11252178195802712</v>
      </c>
      <c r="D7">
        <f>Data!J29</f>
        <v>0.11252178195802712</v>
      </c>
      <c r="E7">
        <f>Data!K29</f>
        <v>0.11252178195802712</v>
      </c>
      <c r="F7">
        <f>Data!L29</f>
        <v>0.11252178195802712</v>
      </c>
      <c r="G7">
        <f>Data!M29</f>
        <v>0.11252178195802712</v>
      </c>
      <c r="H7">
        <f>Data!N29</f>
        <v>0.11252178195802712</v>
      </c>
      <c r="I7">
        <f>Data!O29</f>
        <v>0.11252178195802712</v>
      </c>
      <c r="J7">
        <f>Data!P29</f>
        <v>0.11252178195802712</v>
      </c>
      <c r="K7">
        <f>Data!Q29</f>
        <v>0.11252178195802712</v>
      </c>
      <c r="L7">
        <f>Data!R29</f>
        <v>0.11252178195802712</v>
      </c>
      <c r="M7">
        <f>Data!S29</f>
        <v>0.11252178195802712</v>
      </c>
      <c r="N7">
        <f>Data!T29</f>
        <v>0.11252178195802712</v>
      </c>
      <c r="O7">
        <f>Data!U29</f>
        <v>0.11252178195802712</v>
      </c>
      <c r="P7">
        <f>Data!V29</f>
        <v>0.11252178195802712</v>
      </c>
      <c r="Q7">
        <f>Data!W29</f>
        <v>0.11252178195802712</v>
      </c>
      <c r="R7">
        <f>Data!X29</f>
        <v>0.11252178195802712</v>
      </c>
      <c r="S7">
        <f>Data!Y29</f>
        <v>0.11252178195802712</v>
      </c>
      <c r="T7">
        <f>Data!Z29</f>
        <v>0.11252178195802712</v>
      </c>
      <c r="U7">
        <f>Data!AA29</f>
        <v>0.11252178195802712</v>
      </c>
      <c r="V7">
        <f>Data!AB29</f>
        <v>0.11252178195802712</v>
      </c>
      <c r="W7">
        <f>Data!AC29</f>
        <v>0.11252178195802712</v>
      </c>
      <c r="X7">
        <f>Data!AD29</f>
        <v>0.11252178195802712</v>
      </c>
      <c r="Y7">
        <f>Data!AE29</f>
        <v>0.11252178195802712</v>
      </c>
      <c r="Z7">
        <f>Data!AF29</f>
        <v>0.11252178195802712</v>
      </c>
      <c r="AA7">
        <f>Data!AG29</f>
        <v>0.11252178195802712</v>
      </c>
      <c r="AB7">
        <f>Data!AH29</f>
        <v>0.11252178195802712</v>
      </c>
      <c r="AC7">
        <f>Data!AI29</f>
        <v>0.11252178195802712</v>
      </c>
      <c r="AD7">
        <f>Data!AJ29</f>
        <v>0.11252178195802712</v>
      </c>
      <c r="AE7">
        <f>Data!AK29</f>
        <v>0.11252178195802712</v>
      </c>
      <c r="AF7">
        <f>Data!AL29</f>
        <v>0.11252178195802712</v>
      </c>
    </row>
    <row r="8" spans="1:32">
      <c r="A8" t="s">
        <v>79</v>
      </c>
      <c r="B8">
        <f>Data!H30</f>
        <v>6.6083849891288092E-4</v>
      </c>
      <c r="C8">
        <f>Data!I30</f>
        <v>6.8292800627355835E-4</v>
      </c>
      <c r="D8">
        <f>Data!J30</f>
        <v>6.9050288495521941E-4</v>
      </c>
      <c r="E8">
        <f>Data!K30</f>
        <v>7.0060519886219654E-4</v>
      </c>
      <c r="F8">
        <f>Data!L30</f>
        <v>7.140230367275464E-4</v>
      </c>
      <c r="G8">
        <f>Data!M30</f>
        <v>7.3174765874089315E-4</v>
      </c>
      <c r="H8">
        <f>Data!N30</f>
        <v>7.549935976041178E-4</v>
      </c>
      <c r="I8">
        <f>Data!O30</f>
        <v>7.851947971497683E-4</v>
      </c>
      <c r="J8">
        <f>Data!P30</f>
        <v>8.2395545201406335E-4</v>
      </c>
      <c r="K8">
        <f>Data!Q30</f>
        <v>8.7292821195079028E-4</v>
      </c>
      <c r="L8">
        <f>Data!R30</f>
        <v>9.3359342692151347E-4</v>
      </c>
      <c r="M8">
        <f>Data!S30</f>
        <v>1.0069304530164447E-3</v>
      </c>
      <c r="N8">
        <f>Data!T30</f>
        <v>1.0930145779908538E-3</v>
      </c>
      <c r="O8">
        <f>Data!U30</f>
        <v>1.1906382038504885E-3</v>
      </c>
      <c r="P8">
        <f>Data!V30</f>
        <v>1.2971140499908186E-3</v>
      </c>
      <c r="Q8">
        <f>Data!W30</f>
        <v>1.4084173527857645E-3</v>
      </c>
      <c r="R8">
        <f>Data!X30</f>
        <v>1.5197206555807102E-3</v>
      </c>
      <c r="S8">
        <f>Data!Y30</f>
        <v>1.62619650172104E-3</v>
      </c>
      <c r="T8">
        <f>Data!Z30</f>
        <v>1.7238201275806748E-3</v>
      </c>
      <c r="U8">
        <f>Data!AA30</f>
        <v>1.8099042525550838E-3</v>
      </c>
      <c r="V8">
        <f>Data!AB30</f>
        <v>1.8832412786500153E-3</v>
      </c>
      <c r="W8">
        <f>Data!AC30</f>
        <v>1.9439064936207385E-3</v>
      </c>
      <c r="X8">
        <f>Data!AD30</f>
        <v>1.9928792535574653E-3</v>
      </c>
      <c r="Y8">
        <f>Data!AE30</f>
        <v>2.0316399084217606E-3</v>
      </c>
      <c r="Z8">
        <f>Data!AF30</f>
        <v>2.0618411079674111E-3</v>
      </c>
      <c r="AA8">
        <f>Data!AG30</f>
        <v>2.0850870468306359E-3</v>
      </c>
      <c r="AB8">
        <f>Data!AH30</f>
        <v>2.1028116688439824E-3</v>
      </c>
      <c r="AC8">
        <f>Data!AI30</f>
        <v>2.1162295067093319E-3</v>
      </c>
      <c r="AD8">
        <f>Data!AJ30</f>
        <v>2.1263318206163092E-3</v>
      </c>
      <c r="AE8">
        <f>Data!AK30</f>
        <v>2.1339066992979703E-3</v>
      </c>
      <c r="AF8">
        <f>Data!AL30</f>
        <v>2.1395689946999558E-3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1.7110868567400919E-2</v>
      </c>
      <c r="D2">
        <f>Data!J31</f>
        <v>2.1136676870263375E-2</v>
      </c>
      <c r="E2">
        <f>Data!K31</f>
        <v>2.6505737011555695E-2</v>
      </c>
      <c r="F2">
        <f>Data!L31</f>
        <v>3.3636893212851106E-2</v>
      </c>
      <c r="G2">
        <f>Data!M31</f>
        <v>4.3056968895275403E-2</v>
      </c>
      <c r="H2">
        <f>Data!N31</f>
        <v>5.541144975448322E-2</v>
      </c>
      <c r="I2">
        <f>Data!O31</f>
        <v>7.1462431558540776E-2</v>
      </c>
      <c r="J2">
        <f>Data!P31</f>
        <v>9.2062492989867475E-2</v>
      </c>
      <c r="K2">
        <f>Data!Q31</f>
        <v>0.11808996509244796</v>
      </c>
      <c r="L2">
        <f>Data!R31</f>
        <v>0.15033160702334125</v>
      </c>
      <c r="M2">
        <f>Data!S31</f>
        <v>0.18930791555155554</v>
      </c>
      <c r="N2">
        <f>Data!T31</f>
        <v>0.23505890373644214</v>
      </c>
      <c r="O2">
        <f>Data!U31</f>
        <v>0.28694277145999392</v>
      </c>
      <c r="P2">
        <f>Data!V31</f>
        <v>0.34353131412323407</v>
      </c>
      <c r="Q2">
        <f>Data!W31</f>
        <v>0.40268549722754321</v>
      </c>
      <c r="R2">
        <f>Data!X31</f>
        <v>0.46183968033185235</v>
      </c>
      <c r="S2">
        <f>Data!Y31</f>
        <v>0.51842822299509239</v>
      </c>
      <c r="T2">
        <f>Data!Z31</f>
        <v>0.57031209071864419</v>
      </c>
      <c r="U2">
        <f>Data!AA31</f>
        <v>0.61606307890353074</v>
      </c>
      <c r="V2">
        <f>Data!AB31</f>
        <v>0.65503938743174506</v>
      </c>
      <c r="W2">
        <f>Data!AC31</f>
        <v>0.68728102936263846</v>
      </c>
      <c r="X2">
        <f>Data!AD31</f>
        <v>0.71330850146521885</v>
      </c>
      <c r="Y2">
        <f>Data!AE31</f>
        <v>0.7339085628965456</v>
      </c>
      <c r="Z2">
        <f>Data!AF31</f>
        <v>0.74995954470060322</v>
      </c>
      <c r="AA2">
        <f>Data!AG31</f>
        <v>0.76231402555981098</v>
      </c>
      <c r="AB2">
        <f>Data!AH31</f>
        <v>0.77173410124223529</v>
      </c>
      <c r="AC2">
        <f>Data!AI31</f>
        <v>0.77886525744353063</v>
      </c>
      <c r="AD2">
        <f>Data!AJ31</f>
        <v>0.78423431758482298</v>
      </c>
      <c r="AE2">
        <f>Data!AK31</f>
        <v>0.78826012588768546</v>
      </c>
      <c r="AF2">
        <f>Data!AL31</f>
        <v>0.79126945670347282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3</v>
      </c>
      <c r="C5">
        <f>Data!I34</f>
        <v>3</v>
      </c>
      <c r="D5">
        <f>Data!J34</f>
        <v>3</v>
      </c>
      <c r="E5">
        <f>Data!K34</f>
        <v>3</v>
      </c>
      <c r="F5">
        <f>Data!L34</f>
        <v>3</v>
      </c>
      <c r="G5">
        <f>Data!M34</f>
        <v>3</v>
      </c>
      <c r="H5">
        <f>Data!N34</f>
        <v>3</v>
      </c>
      <c r="I5">
        <f>Data!O34</f>
        <v>3</v>
      </c>
      <c r="J5">
        <f>Data!P34</f>
        <v>3</v>
      </c>
      <c r="K5">
        <f>Data!Q34</f>
        <v>3</v>
      </c>
      <c r="L5">
        <f>Data!R34</f>
        <v>3</v>
      </c>
      <c r="M5">
        <f>Data!S34</f>
        <v>3</v>
      </c>
      <c r="N5">
        <f>Data!T34</f>
        <v>3</v>
      </c>
      <c r="O5">
        <f>Data!U34</f>
        <v>3</v>
      </c>
      <c r="P5">
        <f>Data!V34</f>
        <v>3</v>
      </c>
      <c r="Q5">
        <f>Data!W34</f>
        <v>3</v>
      </c>
      <c r="R5">
        <f>Data!X34</f>
        <v>3</v>
      </c>
      <c r="S5">
        <f>Data!Y34</f>
        <v>3</v>
      </c>
      <c r="T5">
        <f>Data!Z34</f>
        <v>3</v>
      </c>
      <c r="U5">
        <f>Data!AA34</f>
        <v>3</v>
      </c>
      <c r="V5">
        <f>Data!AB34</f>
        <v>3</v>
      </c>
      <c r="W5">
        <f>Data!AC34</f>
        <v>3</v>
      </c>
      <c r="X5">
        <f>Data!AD34</f>
        <v>3</v>
      </c>
      <c r="Y5">
        <f>Data!AE34</f>
        <v>3</v>
      </c>
      <c r="Z5">
        <f>Data!AF34</f>
        <v>3</v>
      </c>
      <c r="AA5">
        <f>Data!AG34</f>
        <v>3</v>
      </c>
      <c r="AB5">
        <f>Data!AH34</f>
        <v>3</v>
      </c>
      <c r="AC5">
        <f>Data!AI34</f>
        <v>3</v>
      </c>
      <c r="AD5">
        <f>Data!AJ34</f>
        <v>3</v>
      </c>
      <c r="AE5">
        <f>Data!AK34</f>
        <v>3</v>
      </c>
      <c r="AF5">
        <f>Data!AL34</f>
        <v>3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4.2398960612661157E-2</v>
      </c>
      <c r="C7">
        <f>Data!I36</f>
        <v>4.2398960612661157E-2</v>
      </c>
      <c r="D7">
        <f>Data!J36</f>
        <v>4.2398960612661157E-2</v>
      </c>
      <c r="E7">
        <f>Data!K36</f>
        <v>4.2398960612661157E-2</v>
      </c>
      <c r="F7">
        <f>Data!L36</f>
        <v>4.2398960612661157E-2</v>
      </c>
      <c r="G7">
        <f>Data!M36</f>
        <v>4.2398960612661157E-2</v>
      </c>
      <c r="H7">
        <f>Data!N36</f>
        <v>4.2398960612661157E-2</v>
      </c>
      <c r="I7">
        <f>Data!O36</f>
        <v>4.2398960612661157E-2</v>
      </c>
      <c r="J7">
        <f>Data!P36</f>
        <v>4.2398960612661157E-2</v>
      </c>
      <c r="K7">
        <f>Data!Q36</f>
        <v>4.2398960612661157E-2</v>
      </c>
      <c r="L7">
        <f>Data!R36</f>
        <v>4.2398960612661157E-2</v>
      </c>
      <c r="M7">
        <f>Data!S36</f>
        <v>4.2398960612661157E-2</v>
      </c>
      <c r="N7">
        <f>Data!T36</f>
        <v>4.2398960612661157E-2</v>
      </c>
      <c r="O7">
        <f>Data!U36</f>
        <v>4.2398960612661157E-2</v>
      </c>
      <c r="P7">
        <f>Data!V36</f>
        <v>4.2398960612661157E-2</v>
      </c>
      <c r="Q7">
        <f>Data!W36</f>
        <v>4.2398960612661157E-2</v>
      </c>
      <c r="R7">
        <f>Data!X36</f>
        <v>4.2398960612661157E-2</v>
      </c>
      <c r="S7">
        <f>Data!Y36</f>
        <v>4.2398960612661157E-2</v>
      </c>
      <c r="T7">
        <f>Data!Z36</f>
        <v>4.2398960612661157E-2</v>
      </c>
      <c r="U7">
        <f>Data!AA36</f>
        <v>4.2398960612661157E-2</v>
      </c>
      <c r="V7">
        <f>Data!AB36</f>
        <v>4.2398960612661157E-2</v>
      </c>
      <c r="W7">
        <f>Data!AC36</f>
        <v>4.2398960612661157E-2</v>
      </c>
      <c r="X7">
        <f>Data!AD36</f>
        <v>4.2398960612661157E-2</v>
      </c>
      <c r="Y7">
        <f>Data!AE36</f>
        <v>4.2398960612661157E-2</v>
      </c>
      <c r="Z7">
        <f>Data!AF36</f>
        <v>4.2398960612661157E-2</v>
      </c>
      <c r="AA7">
        <f>Data!AG36</f>
        <v>4.2398960612661157E-2</v>
      </c>
      <c r="AB7">
        <f>Data!AH36</f>
        <v>4.2398960612661157E-2</v>
      </c>
      <c r="AC7">
        <f>Data!AI36</f>
        <v>4.2398960612661157E-2</v>
      </c>
      <c r="AD7">
        <f>Data!AJ36</f>
        <v>4.2398960612661157E-2</v>
      </c>
      <c r="AE7">
        <f>Data!AK36</f>
        <v>4.2398960612661157E-2</v>
      </c>
      <c r="AF7">
        <f>Data!AL36</f>
        <v>4.2398960612661157E-2</v>
      </c>
    </row>
    <row r="8" spans="1:32">
      <c r="A8" t="s">
        <v>79</v>
      </c>
      <c r="B8">
        <f>Data!H37</f>
        <v>0</v>
      </c>
      <c r="C8">
        <f>Data!I37</f>
        <v>6.2640358785329186E-4</v>
      </c>
      <c r="D8">
        <f>Data!J37</f>
        <v>8.4120834136230764E-4</v>
      </c>
      <c r="E8">
        <f>Data!K37</f>
        <v>1.1276848830807375E-3</v>
      </c>
      <c r="F8">
        <f>Data!L37</f>
        <v>1.5081814529160165E-3</v>
      </c>
      <c r="G8">
        <f>Data!M37</f>
        <v>2.0108077288767171E-3</v>
      </c>
      <c r="H8">
        <f>Data!N37</f>
        <v>2.6700048431076819E-3</v>
      </c>
      <c r="I8">
        <f>Data!O37</f>
        <v>3.5264358826946353E-3</v>
      </c>
      <c r="J8">
        <f>Data!P37</f>
        <v>4.6255918248393289E-3</v>
      </c>
      <c r="K8">
        <f>Data!Q37</f>
        <v>6.0143377135798244E-3</v>
      </c>
      <c r="L8">
        <f>Data!R37</f>
        <v>7.7346525986097831E-3</v>
      </c>
      <c r="M8">
        <f>Data!S37</f>
        <v>9.8143085872323659E-3</v>
      </c>
      <c r="N8">
        <f>Data!T37</f>
        <v>1.2255440653272574E-2</v>
      </c>
      <c r="O8">
        <f>Data!U37</f>
        <v>1.5023804315677364E-2</v>
      </c>
      <c r="P8">
        <f>Data!V37</f>
        <v>1.8043194968125682E-2</v>
      </c>
      <c r="Q8">
        <f>Data!W37</f>
        <v>2.1199480306330579E-2</v>
      </c>
      <c r="R8">
        <f>Data!X37</f>
        <v>2.4355765644535475E-2</v>
      </c>
      <c r="S8">
        <f>Data!Y37</f>
        <v>2.7375156296983789E-2</v>
      </c>
      <c r="T8">
        <f>Data!Z37</f>
        <v>3.014351995938858E-2</v>
      </c>
      <c r="U8">
        <f>Data!AA37</f>
        <v>3.258465202542879E-2</v>
      </c>
      <c r="V8">
        <f>Data!AB37</f>
        <v>3.4664308014051376E-2</v>
      </c>
      <c r="W8">
        <f>Data!AC37</f>
        <v>3.6384622899081336E-2</v>
      </c>
      <c r="X8">
        <f>Data!AD37</f>
        <v>3.777336878782183E-2</v>
      </c>
      <c r="Y8">
        <f>Data!AE37</f>
        <v>3.8872524729966523E-2</v>
      </c>
      <c r="Z8">
        <f>Data!AF37</f>
        <v>3.972895576955348E-2</v>
      </c>
      <c r="AA8">
        <f>Data!AG37</f>
        <v>4.0388152883784445E-2</v>
      </c>
      <c r="AB8">
        <f>Data!AH37</f>
        <v>4.0890779159745143E-2</v>
      </c>
      <c r="AC8">
        <f>Data!AI37</f>
        <v>4.127127572958042E-2</v>
      </c>
      <c r="AD8">
        <f>Data!AJ37</f>
        <v>4.1557752271298855E-2</v>
      </c>
      <c r="AE8">
        <f>Data!AK37</f>
        <v>4.1772557024807866E-2</v>
      </c>
      <c r="AF8">
        <f>Data!AL37</f>
        <v>4.1933125664813074E-2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0.76226911968156119</v>
      </c>
      <c r="C2">
        <f>Data!I52</f>
        <v>0.76226911968156119</v>
      </c>
      <c r="D2">
        <f>Data!J52</f>
        <v>0.76226911968156119</v>
      </c>
      <c r="E2">
        <f>Data!K52</f>
        <v>0.76226911968156119</v>
      </c>
      <c r="F2">
        <f>Data!L52</f>
        <v>0.76226911968156119</v>
      </c>
      <c r="G2">
        <f>Data!M52</f>
        <v>0.76226911968156119</v>
      </c>
      <c r="H2">
        <f>Data!N52</f>
        <v>0.76226911968156119</v>
      </c>
      <c r="I2">
        <f>Data!O52</f>
        <v>0.76226911968156119</v>
      </c>
      <c r="J2">
        <f>Data!P52</f>
        <v>0.76226911968156119</v>
      </c>
      <c r="K2">
        <f>Data!Q52</f>
        <v>0.76226911968156119</v>
      </c>
      <c r="L2">
        <f>Data!R52</f>
        <v>0.76226911968156119</v>
      </c>
      <c r="M2">
        <f>Data!S52</f>
        <v>0.76226911968156119</v>
      </c>
      <c r="N2">
        <f>Data!T52</f>
        <v>0.76226911968156119</v>
      </c>
      <c r="O2">
        <f>Data!U52</f>
        <v>0.76226911968156119</v>
      </c>
      <c r="P2">
        <f>Data!V52</f>
        <v>0.76226911968156119</v>
      </c>
      <c r="Q2">
        <f>Data!W52</f>
        <v>0.76226911968156119</v>
      </c>
      <c r="R2">
        <f>Data!X52</f>
        <v>0.76226911968156119</v>
      </c>
      <c r="S2">
        <f>Data!Y52</f>
        <v>0.76226911968156119</v>
      </c>
      <c r="T2">
        <f>Data!Z52</f>
        <v>0.76226911968156119</v>
      </c>
      <c r="U2">
        <f>Data!AA52</f>
        <v>0.76226911968156119</v>
      </c>
      <c r="V2">
        <f>Data!AB52</f>
        <v>0.76226911968156119</v>
      </c>
      <c r="W2">
        <f>Data!AC52</f>
        <v>0.76226911968156119</v>
      </c>
      <c r="X2">
        <f>Data!AD52</f>
        <v>0.76226911968156119</v>
      </c>
      <c r="Y2">
        <f>Data!AE52</f>
        <v>0.76226911968156119</v>
      </c>
      <c r="Z2">
        <f>Data!AF52</f>
        <v>0.76226911968156119</v>
      </c>
      <c r="AA2">
        <f>Data!AG52</f>
        <v>0.76226911968156119</v>
      </c>
      <c r="AB2">
        <f>Data!AH52</f>
        <v>0.76226911968156119</v>
      </c>
      <c r="AC2">
        <f>Data!AI52</f>
        <v>0.76226911968156119</v>
      </c>
      <c r="AD2">
        <f>Data!AJ52</f>
        <v>0.76226911968156119</v>
      </c>
      <c r="AE2">
        <f>Data!AK52</f>
        <v>0.76226911968156119</v>
      </c>
      <c r="AF2">
        <f>Data!AL52</f>
        <v>0.76226911968156119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0.48773088031843881</v>
      </c>
      <c r="C5">
        <f>Data!I55</f>
        <v>0.48773088031843881</v>
      </c>
      <c r="D5">
        <f>Data!J55</f>
        <v>0.48773088031843881</v>
      </c>
      <c r="E5">
        <f>Data!K55</f>
        <v>0.48773088031843881</v>
      </c>
      <c r="F5">
        <f>Data!L55</f>
        <v>0.48773088031843881</v>
      </c>
      <c r="G5">
        <f>Data!M55</f>
        <v>0.48773088031843881</v>
      </c>
      <c r="H5">
        <f>Data!N55</f>
        <v>0.48773088031843881</v>
      </c>
      <c r="I5">
        <f>Data!O55</f>
        <v>0.48773088031843881</v>
      </c>
      <c r="J5">
        <f>Data!P55</f>
        <v>0.48773088031843881</v>
      </c>
      <c r="K5">
        <f>Data!Q55</f>
        <v>0.48773088031843881</v>
      </c>
      <c r="L5">
        <f>Data!R55</f>
        <v>0.48773088031843881</v>
      </c>
      <c r="M5">
        <f>Data!S55</f>
        <v>0.48773088031843881</v>
      </c>
      <c r="N5">
        <f>Data!T55</f>
        <v>0.48773088031843881</v>
      </c>
      <c r="O5">
        <f>Data!U55</f>
        <v>0.48773088031843881</v>
      </c>
      <c r="P5">
        <f>Data!V55</f>
        <v>0.48773088031843881</v>
      </c>
      <c r="Q5">
        <f>Data!W55</f>
        <v>0.48773088031843881</v>
      </c>
      <c r="R5">
        <f>Data!X55</f>
        <v>0.48773088031843881</v>
      </c>
      <c r="S5">
        <f>Data!Y55</f>
        <v>0.48773088031843881</v>
      </c>
      <c r="T5">
        <f>Data!Z55</f>
        <v>0.48773088031843881</v>
      </c>
      <c r="U5">
        <f>Data!AA55</f>
        <v>0.48773088031843881</v>
      </c>
      <c r="V5">
        <f>Data!AB55</f>
        <v>0.48773088031843881</v>
      </c>
      <c r="W5">
        <f>Data!AC55</f>
        <v>0.48773088031843881</v>
      </c>
      <c r="X5">
        <f>Data!AD55</f>
        <v>0.48773088031843881</v>
      </c>
      <c r="Y5">
        <f>Data!AE55</f>
        <v>0.48773088031843881</v>
      </c>
      <c r="Z5">
        <f>Data!AF55</f>
        <v>0.48773088031843881</v>
      </c>
      <c r="AA5">
        <f>Data!AG55</f>
        <v>0.48773088031843881</v>
      </c>
      <c r="AB5">
        <f>Data!AH55</f>
        <v>0.48773088031843881</v>
      </c>
      <c r="AC5">
        <f>Data!AI55</f>
        <v>0.48773088031843881</v>
      </c>
      <c r="AD5">
        <f>Data!AJ55</f>
        <v>0.48773088031843881</v>
      </c>
      <c r="AE5">
        <f>Data!AK55</f>
        <v>0.48773088031843881</v>
      </c>
      <c r="AF5">
        <f>Data!AL55</f>
        <v>0.48773088031843881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0.50990675990675993</v>
      </c>
      <c r="C2">
        <f>Data!I59</f>
        <v>0.50990675990675993</v>
      </c>
      <c r="D2">
        <f>Data!J59</f>
        <v>0.50990675990675993</v>
      </c>
      <c r="E2">
        <f>Data!K59</f>
        <v>0.50990675990675993</v>
      </c>
      <c r="F2">
        <f>Data!L59</f>
        <v>0.50990675990675993</v>
      </c>
      <c r="G2">
        <f>Data!M59</f>
        <v>0.50990675990675993</v>
      </c>
      <c r="H2">
        <f>Data!N59</f>
        <v>0.50990675990675993</v>
      </c>
      <c r="I2">
        <f>Data!O59</f>
        <v>0.50990675990675993</v>
      </c>
      <c r="J2">
        <f>Data!P59</f>
        <v>0.50990675990675993</v>
      </c>
      <c r="K2">
        <f>Data!Q59</f>
        <v>0.50990675990675993</v>
      </c>
      <c r="L2">
        <f>Data!R59</f>
        <v>0.50990675990675993</v>
      </c>
      <c r="M2">
        <f>Data!S59</f>
        <v>0.50990675990675993</v>
      </c>
      <c r="N2">
        <f>Data!T59</f>
        <v>0.50990675990675993</v>
      </c>
      <c r="O2">
        <f>Data!U59</f>
        <v>0.50990675990675993</v>
      </c>
      <c r="P2">
        <f>Data!V59</f>
        <v>0.50990675990675993</v>
      </c>
      <c r="Q2">
        <f>Data!W59</f>
        <v>0.50990675990675993</v>
      </c>
      <c r="R2">
        <f>Data!X59</f>
        <v>0.50990675990675993</v>
      </c>
      <c r="S2">
        <f>Data!Y59</f>
        <v>0.50990675990675993</v>
      </c>
      <c r="T2">
        <f>Data!Z59</f>
        <v>0.50990675990675993</v>
      </c>
      <c r="U2">
        <f>Data!AA59</f>
        <v>0.50990675990675993</v>
      </c>
      <c r="V2">
        <f>Data!AB59</f>
        <v>0.50990675990675993</v>
      </c>
      <c r="W2">
        <f>Data!AC59</f>
        <v>0.50990675990675993</v>
      </c>
      <c r="X2">
        <f>Data!AD59</f>
        <v>0.50990675990675993</v>
      </c>
      <c r="Y2">
        <f>Data!AE59</f>
        <v>0.50990675990675993</v>
      </c>
      <c r="Z2">
        <f>Data!AF59</f>
        <v>0.50990675990675993</v>
      </c>
      <c r="AA2">
        <f>Data!AG59</f>
        <v>0.50990675990675993</v>
      </c>
      <c r="AB2">
        <f>Data!AH59</f>
        <v>0.50990675990675993</v>
      </c>
      <c r="AC2">
        <f>Data!AI59</f>
        <v>0.50990675990675993</v>
      </c>
      <c r="AD2">
        <f>Data!AJ59</f>
        <v>0.50990675990675993</v>
      </c>
      <c r="AE2">
        <f>Data!AK59</f>
        <v>0.50990675990675993</v>
      </c>
      <c r="AF2">
        <f>Data!AL59</f>
        <v>0.50990675990675993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0.74009324009324007</v>
      </c>
      <c r="C5">
        <f>Data!I62</f>
        <v>0.74009324009324007</v>
      </c>
      <c r="D5">
        <f>Data!J62</f>
        <v>0.74009324009324007</v>
      </c>
      <c r="E5">
        <f>Data!K62</f>
        <v>0.74009324009324007</v>
      </c>
      <c r="F5">
        <f>Data!L62</f>
        <v>0.74009324009324007</v>
      </c>
      <c r="G5">
        <f>Data!M62</f>
        <v>0.74009324009324007</v>
      </c>
      <c r="H5">
        <f>Data!N62</f>
        <v>0.74009324009324007</v>
      </c>
      <c r="I5">
        <f>Data!O62</f>
        <v>0.74009324009324007</v>
      </c>
      <c r="J5">
        <f>Data!P62</f>
        <v>0.74009324009324007</v>
      </c>
      <c r="K5">
        <f>Data!Q62</f>
        <v>0.74009324009324007</v>
      </c>
      <c r="L5">
        <f>Data!R62</f>
        <v>0.74009324009324007</v>
      </c>
      <c r="M5">
        <f>Data!S62</f>
        <v>0.74009324009324007</v>
      </c>
      <c r="N5">
        <f>Data!T62</f>
        <v>0.74009324009324007</v>
      </c>
      <c r="O5">
        <f>Data!U62</f>
        <v>0.74009324009324007</v>
      </c>
      <c r="P5">
        <f>Data!V62</f>
        <v>0.74009324009324007</v>
      </c>
      <c r="Q5">
        <f>Data!W62</f>
        <v>0.74009324009324007</v>
      </c>
      <c r="R5">
        <f>Data!X62</f>
        <v>0.74009324009324007</v>
      </c>
      <c r="S5">
        <f>Data!Y62</f>
        <v>0.74009324009324007</v>
      </c>
      <c r="T5">
        <f>Data!Z62</f>
        <v>0.74009324009324007</v>
      </c>
      <c r="U5">
        <f>Data!AA62</f>
        <v>0.74009324009324007</v>
      </c>
      <c r="V5">
        <f>Data!AB62</f>
        <v>0.74009324009324007</v>
      </c>
      <c r="W5">
        <f>Data!AC62</f>
        <v>0.74009324009324007</v>
      </c>
      <c r="X5">
        <f>Data!AD62</f>
        <v>0.74009324009324007</v>
      </c>
      <c r="Y5">
        <f>Data!AE62</f>
        <v>0.74009324009324007</v>
      </c>
      <c r="Z5">
        <f>Data!AF62</f>
        <v>0.74009324009324007</v>
      </c>
      <c r="AA5">
        <f>Data!AG62</f>
        <v>0.74009324009324007</v>
      </c>
      <c r="AB5">
        <f>Data!AH62</f>
        <v>0.74009324009324007</v>
      </c>
      <c r="AC5">
        <f>Data!AI62</f>
        <v>0.74009324009324007</v>
      </c>
      <c r="AD5">
        <f>Data!AJ62</f>
        <v>0.74009324009324007</v>
      </c>
      <c r="AE5">
        <f>Data!AK62</f>
        <v>0.74009324009324007</v>
      </c>
      <c r="AF5">
        <f>Data!AL62</f>
        <v>0.74009324009324007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1.4774031693273055E-2</v>
      </c>
      <c r="D2">
        <f>Data!J80</f>
        <v>1.984030573407751E-2</v>
      </c>
      <c r="E2">
        <f>Data!K80</f>
        <v>2.6596993576865863E-2</v>
      </c>
      <c r="F2">
        <f>Data!L80</f>
        <v>3.5571189272636181E-2</v>
      </c>
      <c r="G2">
        <f>Data!M80</f>
        <v>4.7425873177566781E-2</v>
      </c>
      <c r="H2">
        <f>Data!N80</f>
        <v>6.2973356056996513E-2</v>
      </c>
      <c r="I2">
        <f>Data!O80</f>
        <v>8.317269649392238E-2</v>
      </c>
      <c r="J2">
        <f>Data!P80</f>
        <v>0.10909682119561293</v>
      </c>
      <c r="K2">
        <f>Data!Q80</f>
        <v>0.14185106490048782</v>
      </c>
      <c r="L2">
        <f>Data!R80</f>
        <v>0.18242552380635635</v>
      </c>
      <c r="M2">
        <f>Data!S80</f>
        <v>0.23147521650098238</v>
      </c>
      <c r="N2">
        <f>Data!T80</f>
        <v>0.28905049737499605</v>
      </c>
      <c r="O2">
        <f>Data!U80</f>
        <v>0.35434369377420455</v>
      </c>
      <c r="P2">
        <f>Data!V80</f>
        <v>0.42555748318834102</v>
      </c>
      <c r="Q2">
        <f>Data!W80</f>
        <v>0.5</v>
      </c>
      <c r="R2">
        <f>Data!X80</f>
        <v>0.57444251681165903</v>
      </c>
      <c r="S2">
        <f>Data!Y80</f>
        <v>0.6456563062257954</v>
      </c>
      <c r="T2">
        <f>Data!Z80</f>
        <v>0.71094950262500389</v>
      </c>
      <c r="U2">
        <f>Data!AA80</f>
        <v>0.76852478349901754</v>
      </c>
      <c r="V2">
        <f>Data!AB80</f>
        <v>0.81757447619364365</v>
      </c>
      <c r="W2">
        <f>Data!AC80</f>
        <v>0.85814893509951229</v>
      </c>
      <c r="X2">
        <f>Data!AD80</f>
        <v>0.89090317880438707</v>
      </c>
      <c r="Y2">
        <f>Data!AE80</f>
        <v>0.91682730350607766</v>
      </c>
      <c r="Z2">
        <f>Data!AF80</f>
        <v>0.9370266439430035</v>
      </c>
      <c r="AA2">
        <f>Data!AG80</f>
        <v>0.95257412682243336</v>
      </c>
      <c r="AB2">
        <f>Data!AH80</f>
        <v>0.96442881072736386</v>
      </c>
      <c r="AC2">
        <f>Data!AI80</f>
        <v>0.97340300642313404</v>
      </c>
      <c r="AD2">
        <f>Data!AJ80</f>
        <v>0.98015969426592253</v>
      </c>
      <c r="AE2">
        <f>Data!AK80</f>
        <v>0.98522596830672693</v>
      </c>
      <c r="AF2">
        <f>Data!AL80</f>
        <v>0.98901305736940681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089843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1.4774031693273055E-2</v>
      </c>
      <c r="D2">
        <f>Data!J87</f>
        <v>1.984030573407751E-2</v>
      </c>
      <c r="E2">
        <f>Data!K87</f>
        <v>2.6596993576865863E-2</v>
      </c>
      <c r="F2">
        <f>Data!L87</f>
        <v>3.5571189272636181E-2</v>
      </c>
      <c r="G2">
        <f>Data!M87</f>
        <v>4.7425873177566781E-2</v>
      </c>
      <c r="H2">
        <f>Data!N87</f>
        <v>6.2973356056996513E-2</v>
      </c>
      <c r="I2">
        <f>Data!O87</f>
        <v>8.317269649392238E-2</v>
      </c>
      <c r="J2">
        <f>Data!P87</f>
        <v>0.10909682119561293</v>
      </c>
      <c r="K2">
        <f>Data!Q87</f>
        <v>0.14185106490048782</v>
      </c>
      <c r="L2">
        <f>Data!R87</f>
        <v>0.18242552380635635</v>
      </c>
      <c r="M2">
        <f>Data!S87</f>
        <v>0.23147521650098238</v>
      </c>
      <c r="N2">
        <f>Data!T87</f>
        <v>0.28905049737499605</v>
      </c>
      <c r="O2">
        <f>Data!U87</f>
        <v>0.35434369377420455</v>
      </c>
      <c r="P2">
        <f>Data!V87</f>
        <v>0.42555748318834102</v>
      </c>
      <c r="Q2">
        <f>Data!W87</f>
        <v>0.5</v>
      </c>
      <c r="R2">
        <f>Data!X87</f>
        <v>0.57444251681165903</v>
      </c>
      <c r="S2">
        <f>Data!Y87</f>
        <v>0.6456563062257954</v>
      </c>
      <c r="T2">
        <f>Data!Z87</f>
        <v>0.71094950262500389</v>
      </c>
      <c r="U2">
        <f>Data!AA87</f>
        <v>0.76852478349901754</v>
      </c>
      <c r="V2">
        <f>Data!AB87</f>
        <v>0.81757447619364365</v>
      </c>
      <c r="W2">
        <f>Data!AC87</f>
        <v>0.85814893509951229</v>
      </c>
      <c r="X2">
        <f>Data!AD87</f>
        <v>0.89090317880438707</v>
      </c>
      <c r="Y2">
        <f>Data!AE87</f>
        <v>0.91682730350607766</v>
      </c>
      <c r="Z2">
        <f>Data!AF87</f>
        <v>0.9370266439430035</v>
      </c>
      <c r="AA2">
        <f>Data!AG87</f>
        <v>0.95257412682243336</v>
      </c>
      <c r="AB2">
        <f>Data!AH87</f>
        <v>0.96442881072736386</v>
      </c>
      <c r="AC2">
        <f>Data!AI87</f>
        <v>0.97340300642313404</v>
      </c>
      <c r="AD2">
        <f>Data!AJ87</f>
        <v>0.98015969426592253</v>
      </c>
      <c r="AE2">
        <f>Data!AK87</f>
        <v>0.98522596830672693</v>
      </c>
      <c r="AF2">
        <f>Data!AL87</f>
        <v>0.98901305736940681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SYVbT-freight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2017-07-01T03:43:09Z</dcterms:created>
  <dcterms:modified xsi:type="dcterms:W3CDTF">2026-03-06T00:18:10Z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