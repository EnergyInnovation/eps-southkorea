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southkorea\InputData\web-app\CDCF\"/>
    </mc:Choice>
  </mc:AlternateContent>
  <xr:revisionPtr revIDLastSave="0" documentId="13_ncr:1_{C47D5282-DBE5-42DA-9427-489704DC73EB}" xr6:coauthVersionLast="47" xr6:coauthVersionMax="47" xr10:uidLastSave="{00000000-0000-0000-0000-000000000000}"/>
  <bookViews>
    <workbookView xWindow="3510" yWindow="3510" windowWidth="21600" windowHeight="11040" xr2:uid="{00000000-000D-0000-FFFF-FFFF00000000}"/>
  </bookViews>
  <sheets>
    <sheet name="About" sheetId="1" r:id="rId1"/>
    <sheet name="CDCF-PMpPDOU" sheetId="2" r:id="rId2"/>
    <sheet name="CDCF-FTMpFDOU" sheetId="3" r:id="rId3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2"/>
  <c r="B15" i="1"/>
</calcChain>
</file>

<file path=xl/sharedStrings.xml><?xml version="1.0" encoding="utf-8"?>
<sst xmlns="http://schemas.openxmlformats.org/spreadsheetml/2006/main" count="16" uniqueCount="16">
  <si>
    <t>Source:</t>
  </si>
  <si>
    <t>none needed</t>
  </si>
  <si>
    <t>Notes</t>
  </si>
  <si>
    <t>This variable converts the cargo distance units used by the model</t>
  </si>
  <si>
    <t>internally (passenger*miles) and (freight ton*miles) to the</t>
  </si>
  <si>
    <t>desired output unit.</t>
  </si>
  <si>
    <t>For the U.S. model, the desired output units are:</t>
  </si>
  <si>
    <t>CDCF Passenger Miles per Passenger Distance Output Unit</t>
  </si>
  <si>
    <t>passenger distance output unit</t>
  </si>
  <si>
    <t>passenger-miles</t>
  </si>
  <si>
    <t>freight distance output unit</t>
  </si>
  <si>
    <t>freight ton-miles</t>
  </si>
  <si>
    <t>CDCF Freight Ton Miles per Freight Distance Output Unit</t>
  </si>
  <si>
    <t>milliom passenger-miles</t>
  </si>
  <si>
    <t>million freight ton-miles</t>
  </si>
  <si>
    <t>km to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</si>
</sst>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6" sqref="B16"/>
    </sheetView>
  </sheetViews>
  <sheetFormatPr defaultRowHeight="15" x14ac:dyDescent="0.25"/>
  <sheetData>
    <row r="1" spans="1:2" x14ac:dyDescent="0.25">
      <c r="A1" s="1" t="s">
        <v>7</v>
      </c>
    </row>
    <row r="2" spans="1:2" x14ac:dyDescent="0.25">
      <c r="A2" s="1" t="s">
        <v>12</v>
      </c>
    </row>
    <row r="4" spans="1:2" x14ac:dyDescent="0.25">
      <c r="A4" s="1" t="s">
        <v>0</v>
      </c>
      <c r="B4" t="s">
        <v>1</v>
      </c>
    </row>
    <row r="6" spans="1:2" x14ac:dyDescent="0.25">
      <c r="A6" s="1" t="s">
        <v>2</v>
      </c>
    </row>
    <row r="7" spans="1:2" x14ac:dyDescent="0.25">
      <c r="A7" t="s">
        <v>3</v>
      </c>
    </row>
    <row r="8" spans="1:2" x14ac:dyDescent="0.25">
      <c r="A8" s="2" t="s">
        <v>4</v>
      </c>
    </row>
    <row r="9" spans="1:2" x14ac:dyDescent="0.25">
      <c r="A9" t="s">
        <v>5</v>
      </c>
    </row>
    <row r="11" spans="1:2" x14ac:dyDescent="0.25">
      <c r="A11" t="s">
        <v>6</v>
      </c>
    </row>
    <row r="12" spans="1:2" x14ac:dyDescent="0.25">
      <c r="A12" t="s">
        <v>13</v>
      </c>
    </row>
    <row r="13" spans="1:2" x14ac:dyDescent="0.25">
      <c r="A13" t="s">
        <v>14</v>
      </c>
    </row>
    <row r="15" spans="1:2" x14ac:dyDescent="0.25">
      <c r="A15" t="s">
        <v>15</v>
      </c>
      <c r="B15">
        <f>1/1.60934</f>
        <v>0.62137273664980675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4" sqref="B4"/>
    </sheetView>
  </sheetViews>
  <sheetFormatPr defaultRowHeight="15" x14ac:dyDescent="0.25"/>
  <cols>
    <col min="1" max="1" width="20.28515625" customWidth="1"/>
    <col min="2" max="2" width="28.5703125" customWidth="1"/>
  </cols>
  <sheetData>
    <row r="1" spans="1:2" x14ac:dyDescent="0.25">
      <c r="B1" s="3" t="s">
        <v>8</v>
      </c>
    </row>
    <row r="2" spans="1:2" x14ac:dyDescent="0.25">
      <c r="A2" t="s">
        <v>9</v>
      </c>
      <c r="B2">
        <f>10^6*About!$B$15</f>
        <v>621372.73664980673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cols>
    <col min="1" max="1" width="18.85546875" customWidth="1"/>
    <col min="2" max="2" width="26.5703125" customWidth="1"/>
  </cols>
  <sheetData>
    <row r="1" spans="1:2" x14ac:dyDescent="0.25">
      <c r="B1" s="3" t="s">
        <v>10</v>
      </c>
    </row>
    <row r="2" spans="1:2" x14ac:dyDescent="0.25">
      <c r="A2" t="s">
        <v>11</v>
      </c>
      <c r="B2">
        <f>10^6*About!$B$15</f>
        <v>621372.73664980673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AC50DC4-7317-4713-8EB0-C3E5A22DF9BC}"/>
</file>

<file path=customXml/itemProps2.xml><?xml version="1.0" encoding="utf-8"?>
<ds:datastoreItem xmlns:ds="http://schemas.openxmlformats.org/officeDocument/2006/customXml" ds:itemID="{57B36FC9-7626-4D29-9698-929E6A110FB6}"/>
</file>

<file path=customXml/itemProps3.xml><?xml version="1.0" encoding="utf-8"?>
<ds:datastoreItem xmlns:ds="http://schemas.openxmlformats.org/officeDocument/2006/customXml" ds:itemID="{D91DC73C-584A-4AD8-99E6-F9C4C0C046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CDCF-PMpPDOU</vt:lpstr>
      <vt:lpstr>CDCF-FTMpFDOU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2018-01-23T17:35:21Z</dcterms:created>
  <dcterms:modified xsi:type="dcterms:W3CDTF">2022-03-30T22:30:38Z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